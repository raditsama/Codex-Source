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worksheets/sheet10.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7.xml" ContentType="application/vnd.openxmlformats-officedocument.spreadsheetml.table+xml"/>
  <Override PartName="/xl/worksheets/sheet11.xml" ContentType="application/vnd.openxmlformats-officedocument.spreadsheetml.worksheet+xml"/>
  <Override PartName="/xl/comments6.xml" ContentType="application/vnd.openxmlformats-officedocument.spreadsheetml.comments+xml"/>
  <Override PartName="/xl/threadedcomments/threadedcomment6.xml" ContentType="application/vnd.ms-excel.threadedcomments+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93198c9f6564212" /></Relationships>
</file>

<file path=xl/workbook.xml><?xml version="1.0" encoding="utf-8"?>
<x:workbook xmlns:x="http://schemas.openxmlformats.org/spreadsheetml/2006/main">
  <x:sheets>
    <x:sheet xmlns:r="http://schemas.openxmlformats.org/officeDocument/2006/relationships" name="Read Me" sheetId="1" r:id="Rff0ff3fc598b447f"/>
    <x:sheet xmlns:r="http://schemas.openxmlformats.org/officeDocument/2006/relationships" name="Dashboard" sheetId="2" r:id="Rebd43cd03e2c49ae"/>
    <x:sheet xmlns:r="http://schemas.openxmlformats.org/officeDocument/2006/relationships" name="Task Master" sheetId="3" r:id="Rd3cc298158924e40"/>
    <x:sheet xmlns:r="http://schemas.openxmlformats.org/officeDocument/2006/relationships" name="Daily Targets" sheetId="4" r:id="R52292247cb994954"/>
    <x:sheet xmlns:r="http://schemas.openxmlformats.org/officeDocument/2006/relationships" name="Engineer Updates" sheetId="5" r:id="Rc1526738aa4c4f78"/>
    <x:sheet xmlns:r="http://schemas.openxmlformats.org/officeDocument/2006/relationships" name="Assignment History" sheetId="6" r:id="R0351cc1e433b4373"/>
    <x:sheet xmlns:r="http://schemas.openxmlformats.org/officeDocument/2006/relationships" name="Scope Review" sheetId="7" r:id="Rbfbf3d4687384dc3"/>
    <x:sheet xmlns:r="http://schemas.openxmlformats.org/officeDocument/2006/relationships" name="Engineer Capacity" sheetId="8" r:id="R3581c2529d764d44"/>
    <x:sheet xmlns:r="http://schemas.openxmlformats.org/officeDocument/2006/relationships" name="Configuration" sheetId="9" r:id="Rd4d4ec99e9f6461a"/>
    <x:sheet xmlns:r="http://schemas.openxmlformats.org/officeDocument/2006/relationships" name="Raw Decommissioning" sheetId="10" r:id="R6d6d48ce00a84045"/>
    <x:sheet xmlns:r="http://schemas.openxmlformats.org/officeDocument/2006/relationships" name="Raw Provisioning" sheetId="11" r:id="Rada1a1121a784aa2"/>
    <x:sheet xmlns:r="http://schemas.openxmlformats.org/officeDocument/2006/relationships" name="Refresh Control" sheetId="12" r:id="Ra7b45bfc5b7546e2"/>
  </x:sheets>
</x:workbook>
</file>

<file path=xl/comments1.xml><?xml version="1.0" encoding="utf-8"?>
<x:comments xmlns:x="http://schemas.openxmlformats.org/spreadsheetml/2006/main">
  <x:authors>
    <x:author>tc={407F8D56-2425-0AD4-BE06-02E67E10102A}</x:author>
    <x:author>tc={DC2E6EC9-8097-AE60-E777-6F4B5415291C}</x:author>
    <x:author>tc={2601392C-0F30-CA93-783D-79E5E9C8AF0A}</x:author>
  </x:authors>
  <x:commentList>
    <x:comment ref="K4" authorId="0">
      <x:text>
        <x:r>
          <x:t>[Threaded comment]
Your version of Excel allows you to read this threaded comment; however, any edits to it will get removed if the file is opened in a newer version of Excel. Learn more: https://go.microsoft.com/fwlink/?linkid=870924
Comment:
    Current Operational PIC uses the most recent Assignment History entry; otherwise it uses normalized gate_4_id.</x:t>
        </x:r>
      </x:text>
    </x:comment>
    <x:comment ref="P4" authorId="1">
      <x:text>
        <x:r>
          <x:t>[Threaded comment]
Your version of Excel allows you to read this threaded comment; however, any edits to it will get removed if the file is opened in a newer version of Excel. Learn more: https://go.microsoft.com/fwlink/?linkid=870924
Comment:
    Effective Workload counts executing tasks not confirmed out-of-scope.</x:t>
        </x:r>
      </x:text>
    </x:comment>
    <x:comment ref="A4" authorId="2">
      <x:text>
        <x:r>
          <x:t>[Threaded comment]
Your version of Excel allows you to read this threaded comment; however, any edits to it will get removed if the file is opened in a newer version of Excel. Learn more: https://go.microsoft.com/fwlink/?linkid=870924
Comment:
    Formula source: request_number from Raw Decommissioning followed by Raw Provisioning, within the supported refresh capacity.</x:t>
        </x:r>
      </x:text>
    </x:comment>
  </x:commentList>
</x:comments>
</file>

<file path=xl/comments2.xml><?xml version="1.0" encoding="utf-8"?>
<x:comments xmlns:x="http://schemas.openxmlformats.org/spreadsheetml/2006/main">
  <x:authors>
    <x:author>tc={E3C39D4D-36BB-4B83-7587-7A9908C3D641}</x:author>
  </x:authors>
  <x:commentList>
    <x:comment ref="O4" authorId="0">
      <x:text>
        <x:r>
          <x:t>[Threaded comment]
Your version of Excel allows you to read this threaded comment; however, any edits to it will get removed if the file is opened in a newer version of Excel. Learn more: https://go.microsoft.com/fwlink/?linkid=870924
Comment:
    Achieved when Engineer Result is Achieved or Out-of-Scope Confirmed.</x:t>
        </x:r>
      </x:text>
    </x:comment>
  </x:commentList>
</x:comments>
</file>

<file path=xl/comments3.xml><?xml version="1.0" encoding="utf-8"?>
<x:comments xmlns:x="http://schemas.openxmlformats.org/spreadsheetml/2006/main">
  <x:authors>
    <x:author>tc={8E0BF05A-6CC5-FDC1-B961-2D57CA27A9AB}</x:author>
    <x:author>tc={4E23F016-02F2-366A-6D8D-D0B4CCCFBE90}</x:author>
    <x:author>tc={061E287F-AE8F-B9B4-6924-005A50AEF8E2}</x:author>
    <x:author>tc={F300EB54-601D-4EBA-8768-C8A117629074}</x:author>
  </x:authors>
  <x:commentList>
    <x:comment ref="N4" authorId="0">
      <x:text>
        <x:r>
          <x:t>[Threaded comment]
Your version of Excel allows you to read this threaded comment; however, any edits to it will get removed if the file is opened in a newer version of Excel. Learn more: https://go.microsoft.com/fwlink/?linkid=870924
Comment:
    Is Latest is TRUE for the most recent timestamp for each request number.</x:t>
        </x:r>
      </x:text>
    </x:comment>
    <x:comment ref="C4" authorId="1">
      <x:text>
        <x:r>
          <x:t>[Threaded comment]
Your version of Excel allows you to read this threaded comment; however, any edits to it will get removed if the file is opened in a newer version of Excel. Learn more: https://go.microsoft.com/fwlink/?linkid=870924
Comment:
    Formula source: request_number lookup across both raw sheets. This field is not engineer-entered.</x:t>
        </x:r>
      </x:text>
    </x:comment>
    <x:comment ref="D4" authorId="2">
      <x:text>
        <x:r>
          <x:t>[Threaded comment]
Your version of Excel allows you to read this threaded comment; however, any edits to it will get removed if the file is opened in a newer version of Excel. Learn more: https://go.microsoft.com/fwlink/?linkid=870924
Comment:
    Formula source: request_status in the latest raw snapshots. A change to completed appears here after refresh.</x:t>
        </x:r>
      </x:text>
    </x:comment>
    <x:comment ref="E4" authorId="3">
      <x:text>
        <x:r>
          <x:t>[Threaded comment]
Your version of Excel allows you to read this threaded comment; however, any edits to it will get removed if the file is opened in a newer version of Excel. Learn more: https://go.microsoft.com/fwlink/?linkid=870924
Comment:
    Derived from Current CSSP Status to highlight active, ready, completed, unmanaged, or missing source records.</x:t>
        </x:r>
      </x:text>
    </x:comment>
  </x:commentList>
</x:comments>
</file>

<file path=xl/comments4.xml><?xml version="1.0" encoding="utf-8"?>
<x:comments xmlns:x="http://schemas.openxmlformats.org/spreadsheetml/2006/main">
  <x:authors>
    <x:author>tc={022B97D8-A1B6-2362-10B6-665CB86FB4DC}</x:author>
  </x:authors>
  <x:commentList>
    <x:comment ref="S5" authorId="0">
      <x:text>
        <x:r>
          <x:t>[Threaded comment]
Your version of Excel allows you to read this threaded comment; however, any edits to it will get removed if the file is opened in a newer version of Excel. Learn more: https://go.microsoft.com/fwlink/?linkid=870924
Comment:
    Editable default capacity assumption; tune after the pilot.</x:t>
        </x:r>
      </x:text>
    </x:comment>
  </x:commentList>
</x:comments>
</file>

<file path=xl/comments5.xml><?xml version="1.0" encoding="utf-8"?>
<x:comments xmlns:x="http://schemas.openxmlformats.org/spreadsheetml/2006/main">
  <x:authors>
    <x:author>tc={31B40670-8754-EE3A-92BF-5A397EFE74D5}</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Replace values only. Keep this sheet name and all headers unchanged. Clear old rows 2-1000 before pasting a new export.</x:t>
        </x:r>
      </x:text>
    </x:comment>
  </x:commentList>
</x:comments>
</file>

<file path=xl/comments6.xml><?xml version="1.0" encoding="utf-8"?>
<x:comments xmlns:x="http://schemas.openxmlformats.org/spreadsheetml/2006/main">
  <x:authors>
    <x:author>tc={7DE79946-F3D4-BBA2-D21D-8AB6F238AB3D}</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Replace values only. Keep this sheet name and all headers unchanged. Clear old rows 2-1000 before pasting a new export.</x:t>
        </x:r>
      </x:text>
    </x:comment>
  </x:commentList>
</x:comments>
</file>

<file path=xl/sharedStrings.xml><?xml version="1.0" encoding="utf-8"?>
<x:sst xmlns:x="http://schemas.openxmlformats.org/spreadsheetml/2006/main">
  <x:si>
    <x:t xml:space="preserve">CSSP Task Control Hub — Quick Start</x:t>
  </x:si>
  <x:si>
    <x:t xml:space="preserve">Excel MVP for daily workload assignment, engineer updates, scope disposition, and target tracking.</x:t>
  </x:si>
  <x:si>
    <x:t xml:space="preserve">Purpose</x:t>
  </x:si>
  <x:si>
    <x:t xml:space="preserve">Daily Manager Workflow</x:t>
  </x:si>
  <x:si>
    <x:t xml:space="preserve">Engineer Workflow</x:t>
  </x:si>
  <x:si>
    <x:t xml:space="preserve">Step</x:t>
  </x:si>
  <x:si>
    <x:t xml:space="preserve">Action</x:t>
  </x:si>
  <x:si>
    <x:t xml:space="preserve">Control</x:t>
  </x:si>
  <x:si>
    <x:t xml:space="preserve">Find assigned work</x:t>
  </x:si>
  <x:si>
    <x:t xml:space="preserve">Filter by Current / Planned PIC.</x:t>
  </x:si>
  <x:si>
    <x:t xml:space="preserve">Review processing queue</x:t>
  </x:si>
  <x:si>
    <x:t xml:space="preserve">Use Task Master and Engineer Capacity before assignment.</x:t>
  </x:si>
  <x:si>
    <x:t xml:space="preserve">Append an update</x:t>
  </x:si>
  <x:si>
    <x:t xml:space="preserve">Add a new Engineer Updates row; never overwrite history.</x:t>
  </x:si>
  <x:si>
    <x:t xml:space="preserve">Disposition to engineer</x:t>
  </x:si>
  <x:si>
    <x:t xml:space="preserve">Append Assignment History; Current Operational PIC updates automatically.</x:t>
  </x:si>
  <x:si>
    <x:t xml:space="preserve">Record next action</x:t>
  </x:si>
  <x:si>
    <x:t xml:space="preserve">Include progress, next action, ETA, and blocker.</x:t>
  </x:si>
  <x:si>
    <x:t xml:space="preserve">Publish daily targets</x:t>
  </x:si>
  <x:si>
    <x:t xml:space="preserve">Add executing tasks for the reporting date.</x:t>
  </x:si>
  <x:si>
    <x:t xml:space="preserve">Flag scope issue</x:t>
  </x:si>
  <x:si>
    <x:t xml:space="preserve">Select Out-of-Scope Suspected and attach evidence.</x:t>
  </x:si>
  <x:si>
    <x:t xml:space="preserve">Review scope exceptions</x:t>
  </x:si>
  <x:si>
    <x:t xml:space="preserve">Confirm or reject private-cloud/on-prem flags.</x:t>
  </x:si>
  <x:si>
    <x:t xml:space="preserve">Record daily result</x:t>
  </x:si>
  <x:si>
    <x:t xml:space="preserve">Update Daily Targets result and completion evidence.</x:t>
  </x:si>
  <x:si>
    <x:t xml:space="preserve">Close the day</x:t>
  </x:si>
  <x:si>
    <x:t xml:space="preserve">Review achieved, blocked, missed, and carried-over targets.</x:t>
  </x:si>
  <x:si>
    <x:t xml:space="preserve">Workbook Controls</x:t>
  </x:si>
  <x:si>
    <x:t xml:space="preserve">Blue cells</x:t>
  </x:si>
  <x:si>
    <x:t xml:space="preserve">User input.</x:t>
  </x:si>
  <x:si>
    <x:t xml:space="preserve">Important Limitation</x:t>
  </x:si>
  <x:si>
    <x:t xml:space="preserve">Excel supports coauthoring, but it does not enforce strong row-level permissions. Store in SharePoint/OneDrive, protect source/formula sheets, retain version history, and restrict engineers to update input areas through team controls.</x:t>
  </x:si>
  <x:si>
    <x:t xml:space="preserve">Cloud Infrastructure Task Control Hub</x:t>
  </x:si>
  <x:si>
    <x:t xml:space="preserve">Operational view for executing and processing tasks. Reporting date is editable.</x:t>
  </x:si>
  <x:si>
    <x:t xml:space="preserve">Reporting Date</x:t>
  </x:si>
  <x:si>
    <x:t xml:space="preserve">MANAGED BACKLOG</x:t>
  </x:si>
  <x:si>
    <x:t xml:space="preserve">EXECUTING</x:t>
  </x:si>
  <x:si>
    <x:t xml:space="preserve">PROCESSING / READY</x:t>
  </x:si>
  <x:si>
    <x:t xml:space="preserve">ASSIGNMENT EXCEPTIONS</x:t>
  </x:si>
  <x:si>
    <x:t xml:space="preserve">TODAY'S TARGETS</x:t>
  </x:si>
  <x:si>
    <x:t xml:space="preserve">TARGETS ACHIEVED</x:t>
  </x:si>
  <x:si>
    <x:t xml:space="preserve">BLOCKED OR MISSED</x:t>
  </x:si>
  <x:si>
    <x:t xml:space="preserve">Engineer</x:t>
  </x:si>
  <x:si>
    <x:t xml:space="preserve">Projected Load</x:t>
  </x:si>
  <x:si>
    <x:t xml:space="preserve">Effective Capacity</x:t>
  </x:si>
  <x:si>
    <x:t xml:space="preserve">Today's Result</x:t>
  </x:si>
  <x:si>
    <x:t xml:space="preserve">Count</x:t>
  </x:si>
  <x:si>
    <x:t xml:space="preserve">Achieved</x:t>
  </x:si>
  <x:si>
    <x:t xml:space="preserve">Review evidence</x:t>
  </x:si>
  <x:si>
    <x:t xml:space="preserve">Blocked</x:t>
  </x:si>
  <x:si>
    <x:t xml:space="preserve">Escalate blocker</x:t>
  </x:si>
  <x:si>
    <x:t xml:space="preserve">Missed</x:t>
  </x:si>
  <x:si>
    <x:t xml:space="preserve">Record carryover</x:t>
  </x:si>
  <x:si>
    <x:t xml:space="preserve">OOS Submitted</x:t>
  </x:si>
  <x:si>
    <x:t xml:space="preserve">Manager scope review</x:t>
  </x:si>
  <x:si>
    <x:t xml:space="preserve">Daily Targets</x:t>
  </x:si>
  <x:si>
    <x:t xml:space="preserve">Manager publishes daily executing-task targets; engineers record the actual result and evidence.</x:t>
  </x:si>
  <x:si>
    <x:t xml:space="preserve">Target Date</x:t>
  </x:si>
  <x:si>
    <x:t xml:space="preserve">Request Number</x:t>
  </x:si>
  <x:si>
    <x:t xml:space="preserve">Snapshot PIC</x:t>
  </x:si>
  <x:si>
    <x:t xml:space="preserve">Planned PIC</x:t>
  </x:si>
  <x:si>
    <x:t xml:space="preserve">Dispositioned Today</x:t>
  </x:si>
  <x:si>
    <x:t xml:space="preserve">Previous PIC</x:t>
  </x:si>
  <x:si>
    <x:t xml:space="preserve">Target Outcome</x:t>
  </x:si>
  <x:si>
    <x:t xml:space="preserve">Set By</x:t>
  </x:si>
  <x:si>
    <x:t xml:space="preserve">Set At</x:t>
  </x:si>
  <x:si>
    <x:t xml:space="preserve">Engineer Result</x:t>
  </x:si>
  <x:si>
    <x:t xml:space="preserve">Result Time</x:t>
  </x:si>
  <x:si>
    <x:t xml:space="preserve">Completion Evidence</x:t>
  </x:si>
  <x:si>
    <x:t xml:space="preserve">Carryover Reason</x:t>
  </x:si>
  <x:si>
    <x:t xml:space="preserve">Target Achieved</x:t>
  </x:si>
  <x:si>
    <x:t xml:space="preserve">Notes</x:t>
  </x:si>
  <x:si>
    <x:t xml:space="preserve">Assignment History</x:t>
  </x:si>
  <x:si>
    <x:t xml:space="preserve">Managers append one row for each disposition or PIC replacement. Do not overwrite prior rows.</x:t>
  </x:si>
  <x:si>
    <x:t xml:space="preserve">Effective Time</x:t>
  </x:si>
  <x:si>
    <x:t xml:space="preserve">From PIC</x:t>
  </x:si>
  <x:si>
    <x:t xml:space="preserve">To PIC</x:t>
  </x:si>
  <x:si>
    <x:t xml:space="preserve">Reason</x:t>
  </x:si>
  <x:si>
    <x:t xml:space="preserve">Assigned By</x:t>
  </x:si>
  <x:si>
    <x:t xml:space="preserve">Acknowledged By</x:t>
  </x:si>
  <x:si>
    <x:t xml:space="preserve">Acknowledged At</x:t>
  </x:si>
  <x:si>
    <x:t xml:space="preserve">Scope Review</x:t>
  </x:si>
  <x:si>
    <x:t xml:space="preserve">Manager approval log for suspected private-cloud/on-prem resources. Confirmed OOS is excluded from active workload.</x:t>
  </x:si>
  <x:si>
    <x:t xml:space="preserve">Submitted At</x:t>
  </x:si>
  <x:si>
    <x:t xml:space="preserve">Submitted By</x:t>
  </x:si>
  <x:si>
    <x:t xml:space="preserve">OOS Type</x:t>
  </x:si>
  <x:si>
    <x:t xml:space="preserve">Engineer Justification</x:t>
  </x:si>
  <x:si>
    <x:t xml:space="preserve">Evidence / Link</x:t>
  </x:si>
  <x:si>
    <x:t xml:space="preserve">Manager Decision</x:t>
  </x:si>
  <x:si>
    <x:t xml:space="preserve">Final Disposition</x:t>
  </x:si>
  <x:si>
    <x:t xml:space="preserve">Decision By</x:t>
  </x:si>
  <x:si>
    <x:t xml:space="preserve">Decision At</x:t>
  </x:si>
  <x:si>
    <x:t xml:space="preserve">CSSP Mismatch</x:t>
  </x:si>
  <x:si>
    <x:t xml:space="preserve">Engineer Capacity</x:t>
  </x:si>
  <x:si>
    <x:t xml:space="preserve">Current and projected workload before assigning processing tasks. Availability and skills are manager inputs.</x:t>
  </x:si>
  <x:si>
    <x:t xml:space="preserve">Display Name</x:t>
  </x:si>
  <x:si>
    <x:t xml:space="preserve">Skills</x:t>
  </x:si>
  <x:si>
    <x:t xml:space="preserve">Availability</x:t>
  </x:si>
  <x:si>
    <x:t xml:space="preserve">Base Capacity Points</x:t>
  </x:si>
  <x:si>
    <x:t xml:space="preserve">Executing Tasks</x:t>
  </x:si>
  <x:si>
    <x:t xml:space="preserve">Current Workload Points</x:t>
  </x:si>
  <x:si>
    <x:t xml:space="preserve">Current Utilization</x:t>
  </x:si>
  <x:si>
    <x:t xml:space="preserve">Processing Points Assigned</x:t>
  </x:si>
  <x:si>
    <x:t xml:space="preserve">Projected Utilization</x:t>
  </x:si>
  <x:si>
    <x:t xml:space="preserve">Today's Targets</x:t>
  </x:si>
  <x:si>
    <x:t xml:space="preserve">Targets Achieved</x:t>
  </x:si>
  <x:si>
    <x:t xml:space="preserve">Capacity Flag</x:t>
  </x:si>
  <x:si>
    <x:t xml:space="preserve">abdul.khoir@petronas.com</x:t>
  </x:si>
  <x:si>
    <x:t xml:space="preserve">Abdul Khoir</x:t>
  </x:si>
  <x:si>
    <x:t xml:space="preserve">Decommissioning; Provisioning</x:t>
  </x:si>
  <x:si>
    <x:t xml:space="preserve">abhishek.bhowate@petronas.com</x:t>
  </x:si>
  <x:si>
    <x:t xml:space="preserve">Abhishek Bhowate</x:t>
  </x:si>
  <x:si>
    <x:t xml:space="preserve">amarja.kawade@petronas.com</x:t>
  </x:si>
  <x:si>
    <x:t xml:space="preserve">Amarja Kawade</x:t>
  </x:si>
  <x:si>
    <x:t xml:space="preserve">arun.karuppiah@petronas.com</x:t>
  </x:si>
  <x:si>
    <x:t xml:space="preserve">Arun Karuppiah</x:t>
  </x:si>
  <x:si>
    <x:t xml:space="preserve">Provisioning</x:t>
  </x:si>
  <x:si>
    <x:t xml:space="preserve">k.saktivelu@petronas.com</x:t>
  </x:si>
  <x:si>
    <x:t xml:space="preserve">K Saktivelu</x:t>
  </x:si>
  <x:si>
    <x:t xml:space="preserve">mardiansyah.rayasa@petronas.com</x:t>
  </x:si>
  <x:si>
    <x:t xml:space="preserve">Mardiansyah Rayasa</x:t>
  </x:si>
  <x:si>
    <x:t xml:space="preserve">nilesh.sankpal@petronas.com</x:t>
  </x:si>
  <x:si>
    <x:t xml:space="preserve">Nilesh Sankpal</x:t>
  </x:si>
  <x:si>
    <x:t xml:space="preserve">Decommissioning</x:t>
  </x:si>
  <x:si>
    <x:t xml:space="preserve">raditya.nugraha@petronas.com</x:t>
  </x:si>
  <x:si>
    <x:t xml:space="preserve">Raditya Nugraha</x:t>
  </x:si>
  <x:si>
    <x:t xml:space="preserve">sairam.villa@petronas.com</x:t>
  </x:si>
  <x:si>
    <x:t xml:space="preserve">Sairam Villa</x:t>
  </x:si>
  <x:si>
    <x:t xml:space="preserve">swaminadh.chirakala@petronas.com</x:t>
  </x:si>
  <x:si>
    <x:t xml:space="preserve">Swaminadh Chirakala</x:t>
  </x:si>
  <x:si>
    <x:t xml:space="preserve">venkatesh.kalikivayi@petronas.com</x:t>
  </x:si>
  <x:si>
    <x:t xml:space="preserve">Venkatesh Kalikivayi</x:t>
  </x:si>
  <x:si>
    <x:t xml:space="preserve">Configuration &amp; Control Lists</x:t>
  </x:si>
  <x:si>
    <x:t xml:space="preserve">Yellow cells are manager-maintained assumptions; lists drive validation and formulas.</x:t>
  </x:si>
  <x:si>
    <x:t xml:space="preserve">Engineer Update States</x:t>
  </x:si>
  <x:si>
    <x:t xml:space="preserve">Provisioning Stages</x:t>
  </x:si>
  <x:si>
    <x:t xml:space="preserve">Decommissioning Stages</x:t>
  </x:si>
  <x:si>
    <x:t xml:space="preserve">Scope Assessments</x:t>
  </x:si>
  <x:si>
    <x:t xml:space="preserve">OOS Types</x:t>
  </x:si>
  <x:si>
    <x:t xml:space="preserve">Manager Decisions</x:t>
  </x:si>
  <x:si>
    <x:t xml:space="preserve">Final Dispositions</x:t>
  </x:si>
  <x:si>
    <x:t xml:space="preserve">Target Outcomes</x:t>
  </x:si>
  <x:si>
    <x:t xml:space="preserve">Target Results</x:t>
  </x:si>
  <x:si>
    <x:t xml:space="preserve">Assignment Reasons</x:t>
  </x:si>
  <x:si>
    <x:t xml:space="preserve">Raw PIC</x:t>
  </x:si>
  <x:si>
    <x:t xml:space="preserve">Canonical PIC</x:t>
  </x:si>
  <x:si>
    <x:t xml:space="preserve">Request Size</x:t>
  </x:si>
  <x:si>
    <x:t xml:space="preserve">Workload Points</x:t>
  </x:si>
  <x:si>
    <x:t xml:space="preserve">Assumption</x:t>
  </x:si>
  <x:si>
    <x:t xml:space="preserve">Value</x:t>
  </x:si>
  <x:si>
    <x:t xml:space="preserve">All Workflow Stages</x:t>
  </x:si>
  <x:si>
    <x:t xml:space="preserve">Not Started</x:t>
  </x:si>
  <x:si>
    <x:t xml:space="preserve">Information &amp; Access Validation</x:t>
  </x:si>
  <x:si>
    <x:t xml:space="preserve">Requestor Green-Light</x:t>
  </x:si>
  <x:si>
    <x:t xml:space="preserve">Not Assessed</x:t>
  </x:si>
  <x:si>
    <x:t xml:space="preserve">Private Cloud</x:t>
  </x:si>
  <x:si>
    <x:t xml:space="preserve">Not Reviewed</x:t>
  </x:si>
  <x:si>
    <x:t xml:space="preserve">Return to Requestor</x:t>
  </x:si>
  <x:si>
    <x:t xml:space="preserve">Complete Task</x:t>
  </x:si>
  <x:si>
    <x:t xml:space="preserve">Workload Rebalance</x:t>
  </x:si>
  <x:si>
    <x:t xml:space="preserve">CCoE Operations</x:t>
  </x:si>
  <x:si>
    <x:t xml:space="preserve">S</x:t>
  </x:si>
  <x:si>
    <x:t xml:space="preserve">Default Capacity Points</x:t>
  </x:si>
  <x:si>
    <x:t xml:space="preserve">In Progress</x:t>
  </x:si>
  <x:si>
    <x:t xml:space="preserve">Create Vending</x:t>
  </x:si>
  <x:si>
    <x:t xml:space="preserve">Resource Validation</x:t>
  </x:si>
  <x:si>
    <x:t xml:space="preserve">In Scope</x:t>
  </x:si>
  <x:si>
    <x:t xml:space="preserve">On-Premises</x:t>
  </x:si>
  <x:si>
    <x:t xml:space="preserve">Pending Review</x:t>
  </x:si>
  <x:si>
    <x:t xml:space="preserve">Route to Private Cloud Team</x:t>
  </x:si>
  <x:si>
    <x:t xml:space="preserve">Confirm Out-of-Scope</x:t>
  </x:si>
  <x:si>
    <x:t xml:space="preserve">Skill Match</x:t>
  </x:si>
  <x:si>
    <x:t xml:space="preserve">IMS - CLOUD CSSP EXECUTOR</x:t>
  </x:si>
  <x:si>
    <x:t xml:space="preserve">Small</x:t>
  </x:si>
  <x:si>
    <x:t xml:space="preserve">Missing Size Points</x:t>
  </x:si>
  <x:si>
    <x:t xml:space="preserve">Waiting/Blocked</x:t>
  </x:si>
  <x:si>
    <x:t xml:space="preserve">Scripting</x:t>
  </x:si>
  <x:si>
    <x:t xml:space="preserve">Terraform Plan / Drift Check</x:t>
  </x:si>
  <x:si>
    <x:t xml:space="preserve">Suspected Out-of-Scope</x:t>
  </x:si>
  <x:si>
    <x:t xml:space="preserve">Other</x:t>
  </x:si>
  <x:si>
    <x:t xml:space="preserve">Confirmed OOS</x:t>
  </x:si>
  <x:si>
    <x:t xml:space="preserve">Route to On-Prem Team</x:t>
  </x:si>
  <x:si>
    <x:t xml:space="preserve">Leave / Availability</x:t>
  </x:si>
  <x:si>
    <x:t xml:space="preserve">K.saktivelu@petronas.com</x:t>
  </x:si>
  <x:si>
    <x:t xml:space="preserve">M</x:t>
  </x:si>
  <x:si>
    <x:t xml:space="preserve">Stale Update Days</x:t>
  </x:si>
  <x:si>
    <x:t xml:space="preserve">Out-of-Scope Suspected</x:t>
  </x:si>
  <x:si>
    <x:t xml:space="preserve">Awaiting Approval</x:t>
  </x:si>
  <x:si>
    <x:t xml:space="preserve">SME Confirmation</x:t>
  </x:si>
  <x:si>
    <x:t xml:space="preserve">Rejected OOS</x:t>
  </x:si>
  <x:si>
    <x:t xml:space="preserve">Continue In Scope</x:t>
  </x:si>
  <x:si>
    <x:t xml:space="preserve">Handover</x:t>
  </x:si>
  <x:si>
    <x:t xml:space="preserve">L</x:t>
  </x:si>
  <x:si>
    <x:t xml:space="preserve">Completed by Engineer</x:t>
  </x:si>
  <x:si>
    <x:t xml:space="preserve">Done</x:t>
  </x:si>
  <x:si>
    <x:t xml:space="preserve">Remediate Drift / Delete</x:t>
  </x:si>
  <x:si>
    <x:t xml:space="preserve">Correction</x:t>
  </x:si>
  <x:si>
    <x:t xml:space="preserve">Returned for Clarification</x:t>
  </x:si>
  <x:si>
    <x:t xml:space="preserve">RFC Document</x:t>
  </x:si>
  <x:si>
    <x:t xml:space="preserve">Out-of-Scope Submitted</x:t>
  </x:si>
  <x:si>
    <x:t xml:space="preserve">ITSM Change Request</x:t>
  </x:si>
  <x:si>
    <x:t xml:space="preserve">Out-of-Scope Confirmed</x:t>
  </x:si>
  <x:si>
    <x:t xml:space="preserve">amarja.kawde@petronas.com</x:t>
  </x:si>
  <x:si>
    <x:t xml:space="preserve">id</x:t>
  </x:si>
  <x:si>
    <x:t xml:space="preserve">request_number</x:t>
  </x:si>
  <x:si>
    <x:t xml:space="preserve">requestor_id</x:t>
  </x:si>
  <x:si>
    <x:t xml:space="preserve">request_type</x:t>
  </x:si>
  <x:si>
    <x:t xml:space="preserve">request_status</x:t>
  </x:si>
  <x:si>
    <x:t xml:space="preserve">date_created</x:t>
  </x:si>
  <x:si>
    <x:t xml:space="preserve">date_updated</x:t>
  </x:si>
  <x:si>
    <x:t xml:space="preserve">date_submitted</x:t>
  </x:si>
  <x:si>
    <x:t xml:space="preserve">application_name</x:t>
  </x:si>
  <x:si>
    <x:t xml:space="preserve">project_name</x:t>
  </x:si>
  <x:si>
    <x:t xml:space="preserve">decommission_type</x:t>
  </x:si>
  <x:si>
    <x:t xml:space="preserve">powerapps_id</x:t>
  </x:si>
  <x:si>
    <x:t xml:space="preserve">manager_email</x:t>
  </x:si>
  <x:si>
    <x:t xml:space="preserve">dns_records</x:t>
  </x:si>
  <x:si>
    <x:t xml:space="preserve">app_centre_ref</x:t>
  </x:si>
  <x:si>
    <x:t xml:space="preserve">justification</x:t>
  </x:si>
  <x:si>
    <x:t xml:space="preserve">backup</x:t>
  </x:si>
  <x:si>
    <x:t xml:space="preserve">reason</x:t>
  </x:si>
  <x:si>
    <x:t xml:space="preserve">origin</x:t>
  </x:si>
  <x:si>
    <x:t xml:space="preserve">gate_1_status</x:t>
  </x:si>
  <x:si>
    <x:t xml:space="preserve">gate_1_id</x:t>
  </x:si>
  <x:si>
    <x:t xml:space="preserve">gate_1_date</x:t>
  </x:si>
  <x:si>
    <x:t xml:space="preserve">gate_1_comments</x:t>
  </x:si>
  <x:si>
    <x:t xml:space="preserve">gate_2_status</x:t>
  </x:si>
  <x:si>
    <x:t xml:space="preserve">gate_2_id</x:t>
  </x:si>
  <x:si>
    <x:t xml:space="preserve">gate_2_date</x:t>
  </x:si>
  <x:si>
    <x:t xml:space="preserve">gate_2_comments</x:t>
  </x:si>
  <x:si>
    <x:t xml:space="preserve">gate_3_status</x:t>
  </x:si>
  <x:si>
    <x:t xml:space="preserve">gate_3_id</x:t>
  </x:si>
  <x:si>
    <x:t xml:space="preserve">gate_3_date</x:t>
  </x:si>
  <x:si>
    <x:t xml:space="preserve">gate_3_comments</x:t>
  </x:si>
  <x:si>
    <x:t xml:space="preserve">gate_4_status</x:t>
  </x:si>
  <x:si>
    <x:t xml:space="preserve">gate_4_id</x:t>
  </x:si>
  <x:si>
    <x:t xml:space="preserve">gate_4_date</x:t>
  </x:si>
  <x:si>
    <x:t xml:space="preserve">gate_4_comments</x:t>
  </x:si>
  <x:si>
    <x:t xml:space="preserve">application_id</x:t>
  </x:si>
  <x:si>
    <x:t xml:space="preserve">project_code</x:t>
  </x:si>
  <x:si>
    <x:t xml:space="preserve">request_size</x:t>
  </x:si>
  <x:si>
    <x:t xml:space="preserve">sr_number</x:t>
  </x:si>
  <x:si>
    <x:t xml:space="preserve">data_retention</x:t>
  </x:si>
  <x:si>
    <x:t xml:space="preserve">data_retention_duration</x:t>
  </x:si>
  <x:si>
    <x:t xml:space="preserve">6ef3ecb9-948b-4541-9e2a-8170c8b4d27d</x:t>
  </x:si>
  <x:si>
    <x:t xml:space="preserve">CSSP10149822</x:t>
  </x:si>
  <x:si>
    <x:t xml:space="preserve">maffendy.bobmazmi@petronas.com</x:t>
  </x:si>
  <x:si>
    <x:t xml:space="preserve">decommission-cloud</x:t>
  </x:si>
  <x:si>
    <x:t xml:space="preserve">rejected</x:t>
  </x:si>
  <x:si>
    <x:t xml:space="preserve">2025-04-09T03:59:01.573</x:t>
  </x:si>
  <x:si>
    <x:t xml:space="preserve">Asset Integrity Database Axis</x:t>
  </x:si>
  <x:si>
    <x:t xml:space="preserve">NA</x:t>
  </x:si>
  <x:si>
    <x:t xml:space="preserve">CCoE Core Services (Private)</x:t>
  </x:si>
  <x:si>
    <x:t xml:space="preserve">https://aida.petronas.com</x:t>
  </x:si>
  <x:si>
    <x:t xml:space="preserve">Application no longer in use.</x:t>
  </x:si>
  <x:si>
    <x:t xml:space="preserve">2W</x:t>
  </x:si>
  <x:si>
    <x:t xml:space="preserve">Obsolete</x:t>
  </x:si>
  <x:si>
    <x:t xml:space="preserve">cssp-v1</x:t>
  </x:si>
  <x:si>
    <x:t xml:space="preserve">approved</x:t>
  </x:si>
  <x:si>
    <x:t xml:space="preserve">huajin.tan@petronas.com</x:t>
  </x:si>
  <x:si>
    <x:t xml:space="preserve">8bc99c2f-ccb7-4219-b8be-9e0c4b545b00</x:t>
  </x:si>
  <x:si>
    <x:t xml:space="preserve">CSSP10864680</x:t>
  </x:si>
  <x:si>
    <x:t xml:space="preserve">zahar.ismail@petronas.com</x:t>
  </x:si>
  <x:si>
    <x:t xml:space="preserve">Integrated Project Monitoring &amp; Performance Tracking (i-PROMPT)</x:t>
  </x:si>
  <x:si>
    <x:t xml:space="preserve">Enhancement of Integrated Project Monitoring &amp; Performance Tracking (i-PROMPT), Phase 2 for Malaysia Petroleum Management (MPM)</x:t>
  </x:si>
  <x:si>
    <x:t xml:space="preserve">partial</x:t>
  </x:si>
  <x:si>
    <x:t xml:space="preserve">karlai.foong@petronas.com.my</x:t>
  </x:si>
  <x:si>
    <x:t xml:space="preserve">Service Retirement : TLS 1.0 and 1.1
To decomm Resource Group iPrompt D365
ptazsg-dev-ipms-rg
ptazsg-prod-ipms-rg</x:t>
  </x:si>
  <x:si>
    <x:t xml:space="preserve">12M</x:t>
  </x:si>
  <x:si>
    <x:t xml:space="preserve">iPrompt D365 is no longer in used. In the process of decommission.</x:t>
  </x:si>
  <x:si>
    <x:t xml:space="preserve">azwan.badari@petronas.com</x:t>
  </x:si>
  <x:si>
    <x:t xml:space="preserve">Please cancel if this request is no longer required.</x:t>
  </x:si>
  <x:si>
    <x:t xml:space="preserve">CCoE Business</x:t>
  </x:si>
  <x:si>
    <x:t xml:space="preserve">A-000399</x:t>
  </x:si>
  <x:si>
    <x:t xml:space="preserve">ec7f5c14-eb0e-42b7-b177-cff3ae2fea77</x:t>
  </x:si>
  <x:si>
    <x:t xml:space="preserve">CSSP10929930</x:t>
  </x:si>
  <x:si>
    <x:t xml:space="preserve">marcus.leongkahsung@petronas.com</x:t>
  </x:si>
  <x:si>
    <x:t xml:space="preserve">cancelled</x:t>
  </x:si>
  <x:si>
    <x:t xml:space="preserve">MyMinutes</x:t>
  </x:si>
  <x:si>
    <x:t xml:space="preserve">Project Implementation of myMinutes in Azure under myFinder OPSR</x:t>
  </x:si>
  <x:si>
    <x:t xml:space="preserve">mfaizal.sidek@petronas.com.my</x:t>
  </x:si>
  <x:si>
    <x:t xml:space="preserve">no longer required</x:t>
  </x:si>
  <x:si>
    <x:t xml:space="preserve">Not in Used</x:t>
  </x:si>
  <x:si>
    <x:t xml:space="preserve">mfaizal.sidek@petronas.com</x:t>
  </x:si>
  <x:si>
    <x:t xml:space="preserve">A-000487</x:t>
  </x:si>
  <x:si>
    <x:t xml:space="preserve">PSR05071_1</x:t>
  </x:si>
  <x:si>
    <x:t xml:space="preserve">cf939f0d-e824-462f-ba3a-778ac45e27f7</x:t>
  </x:si>
  <x:si>
    <x:t xml:space="preserve">CSSP10288728</x:t>
  </x:si>
  <x:si>
    <x:t xml:space="preserve">engken.choo@petronas.com</x:t>
  </x:si>
  <x:si>
    <x:t xml:space="preserve">Integrated Process Safety System (IPSS)</x:t>
  </x:si>
  <x:si>
    <x:t xml:space="preserve">Enhancement of Integrated Process Safety Solution (IPSS)</x:t>
  </x:si>
  <x:si>
    <x:t xml:space="preserve">bryan.dewitt@petronas.com.my</x:t>
  </x:si>
  <x:si>
    <x:t xml:space="preserve">hsseipssqa.petronas.com, apihsseipssqa.petronas.com</x:t>
  </x:si>
  <x:si>
    <x:t xml:space="preserve">the website is no longer required
hsseipssqa.petronas.com
apihsseipssqa.petronas.com</x:t>
  </x:si>
  <x:si>
    <x:t xml:space="preserve">The following websites are no longer required: 
hsseipssqa.petronas.com and apihsseipssqa.petronas.com. 
Therefore, there is no need to renew their SSL certificates</x:t>
  </x:si>
  <x:si>
    <x:t xml:space="preserve">A-000401</x:t>
  </x:si>
  <x:si>
    <x:t xml:space="preserve">112a04b8-d292-413d-b6f2-5f78833e3d93</x:t>
  </x:si>
  <x:si>
    <x:t xml:space="preserve">CSSP10737090</x:t>
  </x:si>
  <x:si>
    <x:t xml:space="preserve">vu.bui@petronas.com</x:t>
  </x:si>
  <x:si>
    <x:t xml:space="preserve">PETRONAS HSSE Incident Management System</x:t>
  </x:si>
  <x:si>
    <x:t xml:space="preserve">HSSE Incident Management System (HSSE IM) 6.0 Enhancement</x:t>
  </x:si>
  <x:si>
    <x:t xml:space="preserve">mfadhlulwafi.mahadi@petronas.com</x:t>
  </x:si>
  <x:si>
    <x:t xml:space="preserve">This is resource need decommissioning
https://portal.azure.com/#@PETRONAS.onmicrosoft.com/resource/subscriptions/2be5068f-e0ac-4d57-aedc-96bc9798a265/resourceGroups/PTAZSG-IAC-DEV-MYHSSE-RG/providers/Microsoft.Web/sites/ptazsg-5myhsseimwb01/appServices</x:t>
  </x:si>
  <x:si>
    <x:t xml:space="preserve">This is resource need decommissioning https://portal.azure.com/#@PETRONAS.onmicrosoft.com/resource/subscriptions/2be5068f-e0ac-4d57-aedc-96bc9798a265/resourceGroups/PTAZSG-IAC-DEV-MYHSSE-RG/providers/Microsoft.Web/sites/ptazsg-5myhsseimwb01/appServices</x:t>
  </x:si>
  <x:si>
    <x:t xml:space="preserve">Please cancel and resubmit if still require to decommission the resources. Please select the correct project code related to the resources.</x:t>
  </x:si>
  <x:si>
    <x:t xml:space="preserve">A-000388</x:t>
  </x:si>
  <x:si>
    <x:t xml:space="preserve">81f1d54a-21c5-4b45-b1b2-33b4f09c674d</x:t>
  </x:si>
  <x:si>
    <x:t xml:space="preserve">CSSP10998132</x:t>
  </x:si>
  <x:si>
    <x:t xml:space="preserve">ismail.azman@petronas.com</x:t>
  </x:si>
  <x:si>
    <x:t xml:space="preserve">Sitecom / Real time Operation - RTO</x:t>
  </x:si>
  <x:si>
    <x:t xml:space="preserve">SecOps of Development (Dev.) Chapter for Upstream Technology, Digital &amp; Innovation</x:t>
  </x:si>
  <x:si>
    <x:t xml:space="preserve">Na</x:t>
  </x:si>
  <x:si>
    <x:t xml:space="preserve">Test requests CSSP</x:t>
  </x:si>
  <x:si>
    <x:t xml:space="preserve">Not required</x:t>
  </x:si>
  <x:si>
    <x:t xml:space="preserve">A-000766</x:t>
  </x:si>
  <x:si>
    <x:t xml:space="preserve">a8a5792f-a50e-47df-8ad4-b7b033a505c7</x:t>
  </x:si>
  <x:si>
    <x:t xml:space="preserve">CSSP10613042</x:t>
  </x:si>
  <x:si>
    <x:t xml:space="preserve">syafiqfathyamer.moh@petronas.com</x:t>
  </x:si>
  <x:si>
    <x:t xml:space="preserve">PIVOT AA FeedProp</x:t>
  </x:si>
  <x:si>
    <x:t xml:space="preserve">Implementation of PIVOT AA FeedProp Phase 2</x:t>
  </x:si>
  <x:si>
    <x:t xml:space="preserve">sunny.khiani@petronas.com.my</x:t>
  </x:si>
  <x:si>
    <x:t xml:space="preserve">Decommission leftover infrastructure.</x:t>
  </x:si>
  <x:si>
    <x:t xml:space="preserve">1M</x:t>
  </x:si>
  <x:si>
    <x:t xml:space="preserve">sunny.khiani@petronas.com</x:t>
  </x:si>
  <x:si>
    <x:t xml:space="preserve">Rejected because no resources to be decommissioned has been selected and no approval been attached.</x:t>
  </x:si>
  <x:si>
    <x:t xml:space="preserve">A-000607</x:t>
  </x:si>
  <x:si>
    <x:t xml:space="preserve">0daf85c0-fa94-4cfa-83fb-50b5382fa146</x:t>
  </x:si>
  <x:si>
    <x:t xml:space="preserve">CSSP10685915</x:t>
  </x:si>
  <x:si>
    <x:t xml:space="preserve">executing</x:t>
  </x:si>
  <x:si>
    <x:t xml:space="preserve">PIVOT CGC Fouling</x:t>
  </x:si>
  <x:si>
    <x:t xml:space="preserve">OSR00154: Support and Maintenance for PIVOT Program for Group Digital – CAPEX – PIVOT CGC Fouling</x:t>
  </x:si>
  <x:si>
    <x:t xml:space="preserve">Business agreed to decommission this application</x:t>
  </x:si>
  <x:si>
    <x:t xml:space="preserve">Requesting approval for decommission CGC Fouling</x:t>
  </x:si>
  <x:si>
    <x:t xml:space="preserve">please do a scream test and make necessary data backups</x:t>
  </x:si>
  <x:si>
    <x:t xml:space="preserve">approve</x:t>
  </x:si>
  <x:si>
    <x:t xml:space="preserve">A-000610</x:t>
  </x:si>
  <x:si>
    <x:t xml:space="preserve">OSR00154_1</x:t>
  </x:si>
  <x:si>
    <x:t xml:space="preserve">REQ000008194179</x:t>
  </x:si>
  <x:si>
    <x:t xml:space="preserve">b8d9c41d-6ef1-4a89-ae40-a399e55eb53b</x:t>
  </x:si>
  <x:si>
    <x:t xml:space="preserve">CSSP10541419</x:t>
  </x:si>
  <x:si>
    <x:t xml:space="preserve">mizznajwan.mzaki@petronas.com</x:t>
  </x:si>
  <x:si>
    <x:t xml:space="preserve">completed</x:t>
  </x:si>
  <x:si>
    <x:t xml:space="preserve">Regasification Terminal Sungai Udang Digital Transformation - RGTSU-DX</x:t>
  </x:si>
  <x:si>
    <x:t xml:space="preserve">Digital Transformation at RGTSU (RGTSU-DX Phase 2)</x:t>
  </x:si>
  <x:si>
    <x:t xml:space="preserve">masmaliza.zolkefli@petronas.com.my</x:t>
  </x:si>
  <x:si>
    <x:t xml:space="preserve">Application interface moved from FUSE to Graffiquo VIP</x:t>
  </x:si>
  <x:si>
    <x:t xml:space="preserve">3M</x:t>
  </x:si>
  <x:si>
    <x:t xml:space="preserve">Consolidation</x:t>
  </x:si>
  <x:si>
    <x:t xml:space="preserve">Decomm request as Application interface moved from FUSE to Graffiquo VIP</x:t>
  </x:si>
  <x:si>
    <x:t xml:space="preserve">masmaliza.zolkefli@petronas.com</x:t>
  </x:si>
  <x:si>
    <x:t xml:space="preserve">To ensure no interruption to current system.</x:t>
  </x:si>
  <x:si>
    <x:t xml:space="preserve">Decommissioned under CSSP10136862 / REQ000007261851</x:t>
  </x:si>
  <x:si>
    <x:t xml:space="preserve">Completed</x:t>
  </x:si>
  <x:si>
    <x:t xml:space="preserve">A-000689</x:t>
  </x:si>
  <x:si>
    <x:t xml:space="preserve">REQ000007870526</x:t>
  </x:si>
  <x:si>
    <x:t xml:space="preserve">6056a465-c1d3-4d7e-bce5-d60e154e7c1e</x:t>
  </x:si>
  <x:si>
    <x:t xml:space="preserve">CSSP10512939</x:t>
  </x:si>
  <x:si>
    <x:t xml:space="preserve">mfaizal.suriyat@petronas.com</x:t>
  </x:si>
  <x:si>
    <x:t xml:space="preserve">Predictive Analytics for Pipeline Freespan - PrAnSpan</x:t>
  </x:si>
  <x:si>
    <x:t xml:space="preserve">Support and Maintenance of Predictive Analytic Freespan (PrAnSpan) for GTS</x:t>
  </x:si>
  <x:si>
    <x:t xml:space="preserve">shekha.mahdhar@petronas.com.my</x:t>
  </x:si>
  <x:si>
    <x:t xml:space="preserve">Cloud Migration - modernization</x:t>
  </x:si>
  <x:si>
    <x:t xml:space="preserve">Cloud Migration</x:t>
  </x:si>
  <x:si>
    <x:t xml:space="preserve">Remove All Component and RG in this RG - PTAZSG-PROD-PRANSPAN-ANALYTICS-GTS-RG</x:t>
  </x:si>
  <x:si>
    <x:t xml:space="preserve">shekha.mahdhar@petronas.com</x:t>
  </x:si>
  <x:si>
    <x:t xml:space="preserve">Ok</x:t>
  </x:si>
  <x:si>
    <x:t xml:space="preserve">Duplicate. RG PTAZSG-PROD-PRANSPAN-ANALYTICS-GTS-RG has been deleted under CSSP10803658.
Please cancel this request.</x:t>
  </x:si>
  <x:si>
    <x:t xml:space="preserve">A-000644</x:t>
  </x:si>
  <x:si>
    <x:t xml:space="preserve">noretention</x:t>
  </x:si>
  <x:si>
    <x:t xml:space="preserve">b5a262c2-6796-42be-83da-2a301b1d6e76</x:t>
  </x:si>
  <x:si>
    <x:t xml:space="preserve">CSSP10596587</x:t>
  </x:si>
  <x:si>
    <x:t xml:space="preserve">pending</x:t>
  </x:si>
  <x:si>
    <x:t xml:space="preserve">Cloud Migration - Modernization</x:t>
  </x:si>
  <x:si>
    <x:t xml:space="preserve">As requested</x:t>
  </x:si>
  <x:si>
    <x:t xml:space="preserve">6107ea3c-5eec-487f-985c-73ea8f886762</x:t>
  </x:si>
  <x:si>
    <x:t xml:space="preserve">CSSP10170875</x:t>
  </x:si>
  <x:si>
    <x:t xml:space="preserve">waffiudin.aziz@petronas.com</x:t>
  </x:si>
  <x:si>
    <x:t xml:space="preserve">Mobile View for Aeroscout Location Engine - ALE</x:t>
  </x:si>
  <x:si>
    <x:t xml:space="preserve">Mobile View for Aeroscout Location Engine - ALE created for PRIVATECLOUD project record</x:t>
  </x:si>
  <x:si>
    <x:t xml:space="preserve">full</x:t>
  </x:si>
  <x:si>
    <x:t xml:space="preserve">rohaizad_rozali@petronas.com.my</x:t>
  </x:si>
  <x:si>
    <x:t xml:space="preserve">Apps no longer in used by asset</x:t>
  </x:si>
  <x:si>
    <x:t xml:space="preserve">Reviewed with Abd Latif M Tobi (Gas Business Product Management)</x:t>
  </x:si>
  <x:si>
    <x:t xml:space="preserve">rohaizad_rozali@petronas.com</x:t>
  </x:si>
  <x:si>
    <x:t xml:space="preserve">Approved</x:t>
  </x:si>
  <x:si>
    <x:t xml:space="preserve">Shutdown for more than 1 month but no reports or complain.
vCENPPGBMVAP02.PETRONAS.PETRONET.DIR	10.14.65.131	TM KVDC
vCENPPGBMVDB01.PETRONAS.PETRONET.DIR	10.14.65.132	TM KVDC</x:t>
  </x:si>
  <x:si>
    <x:t xml:space="preserve">azlisham.md@petronas.com</x:t>
  </x:si>
  <x:si>
    <x:t xml:space="preserve">The decommission request has been completed, and the status is now updated accordingly. Kindly verify from your end and confirm once reviewed.</x:t>
  </x:si>
  <x:si>
    <x:t xml:space="preserve">A-000040</x:t>
  </x:si>
  <x:si>
    <x:t xml:space="preserve">REQ000007829202</x:t>
  </x:si>
  <x:si>
    <x:t xml:space="preserve">disposal</x:t>
  </x:si>
  <x:si>
    <x:t xml:space="preserve">bdb2e056-1eb1-4173-90d0-d6d1435b1b61</x:t>
  </x:si>
  <x:si>
    <x:t xml:space="preserve">CSSP10703990</x:t>
  </x:si>
  <x:si>
    <x:t xml:space="preserve">essam.arab@petronas.com</x:t>
  </x:si>
  <x:si>
    <x:t xml:space="preserve">Alpha LNG</x:t>
  </x:si>
  <x:si>
    <x:t xml:space="preserve">Alpha LNG Phase 4 (PDSB)</x:t>
  </x:si>
  <x:si>
    <x:t xml:space="preserve">Resources to be deleted are in DEV ENVIRONMENT ONLY
Azure App Service: ptazsg-5alphalngap01
Azure App Service Plan: ptazsg-5alphalngasp01</x:t>
  </x:si>
  <x:si>
    <x:t xml:space="preserve">Resources to be deleted are in DEV ENVIRONMENT ONLY 
Azure App Service: ptazsg-5alphalngap01 
Azure App Service Plan: ptazsg-5alphalngasp01</x:t>
  </x:si>
  <x:si>
    <x:t xml:space="preserve">A-000043</x:t>
  </x:si>
  <x:si>
    <x:t xml:space="preserve">REQ000008009892</x:t>
  </x:si>
  <x:si>
    <x:t xml:space="preserve">6d98f3d9-2a38-460b-8c86-8d8820e4820f</x:t>
  </x:si>
  <x:si>
    <x:t xml:space="preserve">CSSP10528936</x:t>
  </x:si>
  <x:si>
    <x:t xml:space="preserve">nursyazana.z@petronas.com</x:t>
  </x:si>
  <x:si>
    <x:t xml:space="preserve">Upstream Technical Applications SCUS</x:t>
  </x:si>
  <x:si>
    <x:t xml:space="preserve">Provision of Additional Capacity SCUS for Mexico Operation</x:t>
  </x:si>
  <x:si>
    <x:t xml:space="preserve">DCOM202512011a6</x:t>
  </x:si>
  <x:si>
    <x:t xml:space="preserve">mhafiz.samsudin@petronas.com</x:t>
  </x:si>
  <x:si>
    <x:t xml:space="preserve">Not Applicable</x:t>
  </x:si>
  <x:si>
    <x:t xml:space="preserve">Mexico office already close. Resources under Project_Code : 00592 has been shutdown and there is no issue as Ahmad Syazali has done the screaming test. You may refer to attached email</x:t>
  </x:si>
  <x:si>
    <x:t xml:space="preserve">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x:t>
  </x:si>
  <x:si>
    <x:t xml:space="preserve">Reviewed and Aproved</x:t>
  </x:si>
  <x:si>
    <x:t xml:space="preserve">Please resubmit as there is no confirmation.</x:t>
  </x:si>
  <x:si>
    <x:t xml:space="preserve">A-000803</x:t>
  </x:si>
  <x:si>
    <x:t xml:space="preserve">retention</x:t>
  </x:si>
  <x:si>
    <x:t xml:space="preserve">c0a60393-9927-4fc3-80fc-1e06da243f5f</x:t>
  </x:si>
  <x:si>
    <x:t xml:space="preserve">CSSP10984549</x:t>
  </x:si>
  <x:si>
    <x:t xml:space="preserve">azrel.nasaruddin@petronas.com</x:t>
  </x:si>
  <x:si>
    <x:t xml:space="preserve">Enterprise Software Defined Wide Area Network - SDWAN</x:t>
  </x:si>
  <x:si>
    <x:t xml:space="preserve">Implementation of Enterprise Software Defined Wide Area Network (SDWAN) for PETRONAS</x:t>
  </x:si>
  <x:si>
    <x:t xml:space="preserve">mhaslan.abuhassan@petronas.com</x:t>
  </x:si>
  <x:si>
    <x:t xml:space="preserve">704D905153</x:t>
  </x:si>
  <x:si>
    <x:t xml:space="preserve">To Decommission Resource under RG - PTAZSG-PROD-WAF-RG, 
CPU Utilization for PTAZSG-PROD-OnPrem-WAFv1-01
PTAZSG-PROD-OnPrem-WAFv1-01
PTAZSG-PROD-Onprem-WAFv1-01-PIP</x:t>
  </x:si>
  <x:si>
    <x:t xml:space="preserve">A-000754</x:t>
  </x:si>
  <x:si>
    <x:t xml:space="preserve">00480_1</x:t>
  </x:si>
  <x:si>
    <x:t xml:space="preserve">c256d4f6-56d9-4654-aae2-e852fc1db966</x:t>
  </x:si>
  <x:si>
    <x:t xml:space="preserve">CSSP10767995</x:t>
  </x:si>
  <x:si>
    <x:t xml:space="preserve">Upstream Technology and Digital Innovation (UTDI) Data Operations</x:t>
  </x:si>
  <x:si>
    <x:t xml:space="preserve">2023 - DSG repurpose for UTDI Data Ops as instruction from upstream tribe
Provision of Azure Cloud Services for Halliburton Decision Space Geoscience (DSG) Application for Group Technical Data</x:t>
  </x:si>
  <x:si>
    <x:t xml:space="preserve">PSR04669</x:t>
  </x:si>
  <x:si>
    <x:t xml:space="preserve">Resources under Project_Code : PSR04469 has been shutdown except ptazscusprodgtdstor and ptscustdmexicostorage01 as per agreed. There is no issue as Ahmad Syazali has done the screaming test. You may refer to attached email</x:t>
  </x:si>
  <x:si>
    <x:t xml:space="preserve">I have reviewed the list. All can be decommissioned except for ptazscusprodgtdstor and ptscustdmexicostorage01 and also resources related to them such as queue and table</x:t>
  </x:si>
  <x:si>
    <x:t xml:space="preserve">Align with Cloud Cost Optimization initiative. Approved.</x:t>
  </x:si>
  <x:si>
    <x:t xml:space="preserve">A-000241</x:t>
  </x:si>
  <x:si>
    <x:t xml:space="preserve">42303bf0-4804-4229-9b4d-601b156d79bc</x:t>
  </x:si>
  <x:si>
    <x:t xml:space="preserve">CSSP10547052</x:t>
  </x:si>
  <x:si>
    <x:t xml:space="preserve">Common Security</x:t>
  </x:si>
  <x:si>
    <x:t xml:space="preserve">Common infrastructure related to security such as DDOS protection, WAF and others</x:t>
  </x:si>
  <x:si>
    <x:t xml:space="preserve">to be decomm resources for : 
CPU Utilization for PTAZSG-PROD-OnPrem-WAFv1-01
PTAZSG-PROD-OnPrem-WAFv1-01
PTAZSG-PROD-Onprem-WAFv1-01-PIP</x:t>
  </x:si>
  <x:si>
    <x:t xml:space="preserve">C-000017</x:t>
  </x:si>
  <x:si>
    <x:t xml:space="preserve">Common-Security</x:t>
  </x:si>
  <x:si>
    <x:t xml:space="preserve">9dba099f-8a6d-42f2-ac79-698ccc7fa5fb</x:t>
  </x:si>
  <x:si>
    <x:t xml:space="preserve">CSSP10619105</x:t>
  </x:si>
  <x:si>
    <x:t xml:space="preserve">Upstream Technical Applications GOMSCUS</x:t>
  </x:si>
  <x:si>
    <x:t xml:space="preserve">AZURE Resource Provisioning for EIV US Gulf of Mexico (GOM) In PETRONAS AZURE South Central U.S. (SCUS)</x:t>
  </x:si>
  <x:si>
    <x:t xml:space="preserve">DCOM20251204726</x:t>
  </x:si>
  <x:si>
    <x:t xml:space="preserve">PSR05689_3</x:t>
  </x:si>
  <x:si>
    <x:t xml:space="preserve">As discussed with Syazali, all resources has been shutdown and can be decommissioned</x:t>
  </x:si>
  <x:si>
    <x:t xml:space="preserve">This will be done by Ahmad Syazali and Khairul Azwan</x:t>
  </x:si>
  <x:si>
    <x:t xml:space="preserve">Crucial as part of Cloud Cost Optimization exercise. Approved.</x:t>
  </x:si>
  <x:si>
    <x:t xml:space="preserve">A-000798</x:t>
  </x:si>
  <x:si>
    <x:t xml:space="preserve">67b0ede6-e19a-4ac3-9b27-563c45721825</x:t>
  </x:si>
  <x:si>
    <x:t xml:space="preserve">CSSP10851603</x:t>
  </x:si>
  <x:si>
    <x:t xml:space="preserve">mohamadfaisal.maasah@petronas.com</x:t>
  </x:si>
  <x:si>
    <x:t xml:space="preserve">Daily Operations Tracking System - DOTS</x:t>
  </x:si>
  <x:si>
    <x:t xml:space="preserve">Cloud Migration Program - Daily Operations Tracking System (DOTS)</x:t>
  </x:si>
  <x:si>
    <x:t xml:space="preserve">DCOM20260107c0d</x:t>
  </x:si>
  <x:si>
    <x:t xml:space="preserve">halim.matnoh@petronas.com</x:t>
  </x:si>
  <x:si>
    <x:t xml:space="preserve">https://dots.digitalfields.petronas.com/</x:t>
  </x:si>
  <x:si>
    <x:t xml:space="preserve">Application not in used.
To include shared managed databased for DOTS.</x:t>
  </x:si>
  <x:si>
    <x:t xml:space="preserve">To decomm the application (full decommission)</x:t>
  </x:si>
  <x:si>
    <x:t xml:space="preserve">Full Decommission DOTS (00915_4) including DB in shared managed instance in,
ptazsg-1udsqlmi01
ptazsg-4udsqlmi01
ptazsg-5udsqlmi01)</x:t>
  </x:si>
  <x:si>
    <x:t xml:space="preserve">A-000221</x:t>
  </x:si>
  <x:si>
    <x:t xml:space="preserve">00915_4</x:t>
  </x:si>
  <x:si>
    <x:t xml:space="preserve">REQ000007803645</x:t>
  </x:si>
  <x:si>
    <x:t xml:space="preserve">c6a129dd-daca-4be4-aad4-3f4bb646fe74</x:t>
  </x:si>
  <x:si>
    <x:t xml:space="preserve">CSSP10204527</x:t>
  </x:si>
  <x:si>
    <x:t xml:space="preserve">sitisoleha.mnizam@petronas.com</x:t>
  </x:si>
  <x:si>
    <x:t xml:space="preserve">Project Management Solution</x:t>
  </x:si>
  <x:si>
    <x:t xml:space="preserve">Implementation of Interim Project Management Solution for Malaysia Petroleum Management (MPM)</x:t>
  </x:si>
  <x:si>
    <x:t xml:space="preserve">sharulazlan.ahmad@petronas.com.my</x:t>
  </x:si>
  <x:si>
    <x:t xml:space="preserve">https://ipromptpac.petronas.com/iPROMPT/</x:t>
  </x:si>
  <x:si>
    <x:t xml:space="preserve">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t>
  </x:si>
  <x:si>
    <x:t xml:space="preserve">sharulazlan.ahmad@petronas.com</x:t>
  </x:si>
  <x:si>
    <x:t xml:space="preserve">Decommission 2 RG only.
Production RG: PTAZSG-PROD-IPMS-RG Development RG: PTAZSG-DEV-IPMS-RG
DNS provided in the form is still in use (Outsystem).</x:t>
  </x:si>
  <x:si>
    <x:t xml:space="preserve">A-000662</x:t>
  </x:si>
  <x:si>
    <x:t xml:space="preserve">REQ000007761967</x:t>
  </x:si>
  <x:si>
    <x:t xml:space="preserve">75e71d16-4e6b-4a65-9d08-118dd73320c6</x:t>
  </x:si>
  <x:si>
    <x:t xml:space="preserve">CSSP10745533</x:t>
  </x:si>
  <x:si>
    <x:t xml:space="preserve">norhamizah.hasni@petronas.com</x:t>
  </x:si>
  <x:si>
    <x:t xml:space="preserve">CI Academy Portal</x:t>
  </x:si>
  <x:si>
    <x:t xml:space="preserve">Cloud Transformation Programme - CI Academy Portal</x:t>
  </x:si>
  <x:si>
    <x:t xml:space="preserve">sazali.mokhtar@petronas.com</x:t>
  </x:si>
  <x:si>
    <x:t xml:space="preserve">To decommission old resources in Singapore region due to completed migration in MY region</x:t>
  </x:si>
  <x:si>
    <x:t xml:space="preserve">To decommission resources in SG region</x:t>
  </x:si>
  <x:si>
    <x:t xml:space="preserve">To decommission old resources in Singapore region due to completed migration in MY region - ( Hamizah )</x:t>
  </x:si>
  <x:si>
    <x:t xml:space="preserve">Repatriation</x:t>
  </x:si>
  <x:si>
    <x:t xml:space="preserve">A-000111</x:t>
  </x:si>
  <x:si>
    <x:t xml:space="preserve">02421_89</x:t>
  </x:si>
  <x:si>
    <x:t xml:space="preserve">REQ000007790054</x:t>
  </x:si>
  <x:si>
    <x:t xml:space="preserve">19a4096f-0ee7-4553-b3bf-ebf4344efc24</x:t>
  </x:si>
  <x:si>
    <x:t xml:space="preserve">CSSP10759471</x:t>
  </x:si>
  <x:si>
    <x:t xml:space="preserve">fahmi.badurisam@petronas.com</x:t>
  </x:si>
  <x:si>
    <x:t xml:space="preserve">UPS Monitoring</x:t>
  </x:si>
  <x:si>
    <x:t xml:space="preserve">DCOM20251223e29</x:t>
  </x:si>
  <x:si>
    <x:t xml:space="preserve">hafiz.awahab@petronas.com</x:t>
  </x:si>
  <x:si>
    <x:t xml:space="preserve">INDY 500 decommissioning.</x:t>
  </x:si>
  <x:si>
    <x:t xml:space="preserve">Based on INDY 500 the UPS Monitoring System can be decommissioned by the end of December 2025.</x:t>
  </x:si>
  <x:si>
    <x:t xml:space="preserve">N/A</x:t>
  </x:si>
  <x:si>
    <x:t xml:space="preserve">Full decommission. Delete all resources and RG PTAZSG-IAC-PROD-UPSMON-RG</x:t>
  </x:si>
  <x:si>
    <x:t xml:space="preserve">abdullah.haziq@petronas.com</x:t>
  </x:si>
  <x:si>
    <x:t xml:space="preserve">completed.</x:t>
  </x:si>
  <x:si>
    <x:t xml:space="preserve">A-000825</x:t>
  </x:si>
  <x:si>
    <x:t xml:space="preserve">PC-00074</x:t>
  </x:si>
  <x:si>
    <x:t xml:space="preserve">REQ000007789495</x:t>
  </x:si>
  <x:si>
    <x:t xml:space="preserve">b3e9a526-8855-4213-a5e0-c6b29a4822c1</x:t>
  </x:si>
  <x:si>
    <x:t xml:space="preserve">CSSP10150850</x:t>
  </x:si>
  <x:si>
    <x:t xml:space="preserve">chuah_kenneth@petronas.com</x:t>
  </x:si>
  <x:si>
    <x:t xml:space="preserve">Cyber Security Trend Micro</x:t>
  </x:si>
  <x:si>
    <x:t xml:space="preserve">Cyber Security Trend Micro created for PRIVATECLOUD project record</x:t>
  </x:si>
  <x:si>
    <x:t xml:space="preserve">DCOM202512232b1</x:t>
  </x:si>
  <x:si>
    <x:t xml:space="preserve">ahmadfajar.faeiz@petronas.com</x:t>
  </x:si>
  <x:si>
    <x:t xml:space="preserve">All endpoints and servers protection (antimalware) migrated to Microsoft Defender for Endpoint (MDE).</x:t>
  </x:si>
  <x:si>
    <x:t xml:space="preserve">End of Lease</x:t>
  </x:si>
  <x:si>
    <x:t xml:space="preserve">Resources has been submitted to Azlisham for further validation. 
Actual Resources for Trend Micro Deep Security ;
vcentmdsm01 - 10.14.17.149
vcentmdsm02 - 10.14.17.151
vcentmdsmdb - 10.14.17.150</x:t>
  </x:si>
  <x:si>
    <x:t xml:space="preserve">endpoint are protected by MDE</x:t>
  </x:si>
  <x:si>
    <x:t xml:space="preserve">Decommission vcentmdsm01 - 10.14.17.149, vcentmdsm02 - 10.14.17.151, vcentmdsmdb - 10.14.17.150</x:t>
  </x:si>
  <x:si>
    <x:t xml:space="preserve">A-000181</x:t>
  </x:si>
  <x:si>
    <x:t xml:space="preserve">REQ000007847048</x:t>
  </x:si>
  <x:si>
    <x:t xml:space="preserve">05ee9847-ff57-4050-a9e1-aec0b95b5284</x:t>
  </x:si>
  <x:si>
    <x:t xml:space="preserve">CSSP10737482</x:t>
  </x:si>
  <x:si>
    <x:t xml:space="preserve">syahir.shaiful@petronas.com</x:t>
  </x:si>
  <x:si>
    <x:t xml:space="preserve">Upstream Technology and Digital Innovation - UTDI Data Operations</x:t>
  </x:si>
  <x:si>
    <x:t xml:space="preserve">wanzul-atfi.matnawi@petronas.com</x:t>
  </x:si>
  <x:si>
    <x:t xml:space="preserve">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t>
  </x:si>
  <x:si>
    <x:t xml:space="preserve">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x:t>
  </x:si>
  <x:si>
    <x:t xml:space="preserve">As have been identified and validated by Data team.</x:t>
  </x:si>
  <x:si>
    <x:t xml:space="preserve">Proceed as per listed</x:t>
  </x:si>
  <x:si>
    <x:t xml:space="preserve">The decommission request has been completed, and the status is now updated accordingly. Kindly verify from your end and confirm once reviewed.
The storage account (highlighted in red)  cannot be deleted due to its artifacts being in use</x:t>
  </x:si>
  <x:si>
    <x:t xml:space="preserve">REQ000007888792</x:t>
  </x:si>
  <x:si>
    <x:t xml:space="preserve">26802f94-96c1-42b1-8695-2b1d58cb4e08</x:t>
  </x:si>
  <x:si>
    <x:t xml:space="preserve">CSSP10471891</x:t>
  </x:si>
  <x:si>
    <x:t xml:space="preserve">2023 - DSG repurpose for UTDI Data Ops as instruction from upstream tribe
Provision of Cloud Services for Gabon Office - DSG West Europe</x:t>
  </x:si>
  <x:si>
    <x:t xml:space="preserve">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t>
  </x:si>
  <x:si>
    <x:t xml:space="preserve">same request with CSSP10737482</x:t>
  </x:si>
  <x:si>
    <x:t xml:space="preserve">AZ-DSG-WEU</x:t>
  </x:si>
  <x:si>
    <x:t xml:space="preserve">REQ000007888791</x:t>
  </x:si>
  <x:si>
    <x:t xml:space="preserve">280ff278-f9e5-4b4e-801a-bd7fcb23f040</x:t>
  </x:si>
  <x:si>
    <x:t xml:space="preserve">CSSP10985709</x:t>
  </x:si>
  <x:si>
    <x:t xml:space="preserve">nurulnajwa.mud@petronas.com</x:t>
  </x:si>
  <x:si>
    <x:t xml:space="preserve">Business Intelligence Reporting and Analytic - BIRA</x:t>
  </x:si>
  <x:si>
    <x:t xml:space="preserve">Cloud Migration- BIRA (Business Intelligence Reporting &amp; Analytic)</x:t>
  </x:si>
  <x:si>
    <x:t xml:space="preserve">kuek.chiayin@petronas.com.my</x:t>
  </x:si>
  <x:si>
    <x:t xml:space="preserve">-</x:t>
  </x:si>
  <x:si>
    <x:t xml:space="preserve">Approval to proceed with the decommissioning of these specified Azure Storage Account. due to not in used
ptazsg5birastrdl Storage account StorageV2 
ptazsg4birastrdl Storage account StorageV2
ptazsg1birastrlrs Storage account StorageV2</x:t>
  </x:si>
  <x:si>
    <x:t xml:space="preserve">Decom the following Storage account:
DEV: ptazsg5birastrdl,
UAT: ptazsg4birastrdl,
PROD: ptazsg1birastrlrs</x:t>
  </x:si>
  <x:si>
    <x:t xml:space="preserve">kuek.chiayin@petronas.com</x:t>
  </x:si>
  <x:si>
    <x:t xml:space="preserve">Verified that the storage account is not in use, and can be decommissioned.</x:t>
  </x:si>
  <x:si>
    <x:t xml:space="preserve">proceed to decom</x:t>
  </x:si>
  <x:si>
    <x:t xml:space="preserve">A-000092</x:t>
  </x:si>
  <x:si>
    <x:t xml:space="preserve">02421_15</x:t>
  </x:si>
  <x:si>
    <x:t xml:space="preserve">REQ000007789020</x:t>
  </x:si>
  <x:si>
    <x:t xml:space="preserve">dbdb4c36-7ab2-4bd2-a432-02c4d278d555</x:t>
  </x:si>
  <x:si>
    <x:t xml:space="preserve">CSSP10217386</x:t>
  </x:si>
  <x:si>
    <x:t xml:space="preserve">izdihar.roslan@petronas.com</x:t>
  </x:si>
  <x:si>
    <x:t xml:space="preserve">Visual Integrated Solution for Material - VISMA</x:t>
  </x:si>
  <x:si>
    <x:t xml:space="preserve">VISUAL INTEGRATED SOLUTION for MATERIAL</x:t>
  </x:si>
  <x:si>
    <x:t xml:space="preserve">Decommission VISMA in SG region.
ptawsg-iac-nonprod-corporatecommon-visma-dev-bucket
iam/ptaw_iac_nonprod_corporatecommon_visma_user</x:t>
  </x:si>
  <x:si>
    <x:t xml:space="preserve">A-000847</x:t>
  </x:si>
  <x:si>
    <x:t xml:space="preserve">REQ000007789469</x:t>
  </x:si>
  <x:si>
    <x:t xml:space="preserve">1eacd220-97a0-4e97-9a5b-0673c47648a5</x:t>
  </x:si>
  <x:si>
    <x:t xml:space="preserve">CSSP10442429</x:t>
  </x:si>
  <x:si>
    <x:t xml:space="preserve">nurizzati.mbasir@petronas.com</x:t>
  </x:si>
  <x:si>
    <x:t xml:space="preserve">SMART / DPVA Upstream</x:t>
  </x:si>
  <x:si>
    <x:t xml:space="preserve">Vessel Analytics (VA)</x:t>
  </x:si>
  <x:si>
    <x:t xml:space="preserve">DCOM2025122461e</x:t>
  </x:si>
  <x:si>
    <x:t xml:space="preserve">salita.yami@petronas.com.my</x:t>
  </x:si>
  <x:si>
    <x:t xml:space="preserve">https://app.powerbi.com/reportEmbed?reportId=f414f4f3-df10-4736-a643-7fb9016513c0&amp;autoAuth=true&amp;ctid=3b2e8941-7948-4131-978a-b2dfc7295091</x:t>
  </x:si>
  <x:si>
    <x:t xml:space="preserve">This application is no longer in used by the users.</x:t>
  </x:si>
  <x:si>
    <x:t xml:space="preserve">Please decom RG that related with Vessel Analytics(VA) application only for all enviroments.
PTAZSG-PROD-DPVA-RG
PTAZSG-DEV-DPVA-RG</x:t>
  </x:si>
  <x:si>
    <x:t xml:space="preserve">salita.yami@petronas.com</x:t>
  </x:si>
  <x:si>
    <x:t xml:space="preserve">Proceed</x:t>
  </x:si>
  <x:si>
    <x:t xml:space="preserve">Full decommission.
PTAZSG-PROD-DPVA-RG &amp; PTAZSG-DEV-DPVA-RG</x:t>
  </x:si>
  <x:si>
    <x:t xml:space="preserve">A-000779</x:t>
  </x:si>
  <x:si>
    <x:t xml:space="preserve">REQ000007790074</x:t>
  </x:si>
  <x:si>
    <x:t xml:space="preserve">d8a012f7-8228-43ae-90b2-567d90948366</x:t>
  </x:si>
  <x:si>
    <x:t xml:space="preserve">CSSP10818859</x:t>
  </x:si>
  <x:si>
    <x:t xml:space="preserve">noorsabrina.mahhussi@petronas.com</x:t>
  </x:si>
  <x:si>
    <x:t xml:space="preserve">MyProcure</x:t>
  </x:si>
  <x:si>
    <x:t xml:space="preserve">Procurement Innovation Through Automation And Procurement Marketplace</x:t>
  </x:si>
  <x:si>
    <x:t xml:space="preserve">mosman.mhassanomar@petronas.com.my</x:t>
  </x:si>
  <x:si>
    <x:t xml:space="preserve">PSR04343</x:t>
  </x:si>
  <x:si>
    <x:t xml:space="preserve">Resources are no longer in use. Previous request to decomm had been raised in 2024 but did not go through. Raising a new urgent request in order to comply with DPIA requirements. Kindly refer to attachment for specific resources to be decommissioned.</x:t>
  </x:si>
  <x:si>
    <x:t xml:space="preserve">Confirmed based on list provided by Zul Fakar. List is attached</x:t>
  </x:si>
  <x:si>
    <x:t xml:space="preserve">mosman.mhassanomar@petronas.com</x:t>
  </x:si>
  <x:si>
    <x:t xml:space="preserve">As per recommended by the Support Team/ Technical Team</x:t>
  </x:si>
  <x:si>
    <x:t xml:space="preserve">Decommission listed storage account</x:t>
  </x:si>
  <x:si>
    <x:t xml:space="preserve">A-000490</x:t>
  </x:si>
  <x:si>
    <x:t xml:space="preserve">REQ000007789503</x:t>
  </x:si>
  <x:si>
    <x:t xml:space="preserve">b6820993-44bf-4101-ba58-bee50b0da18d</x:t>
  </x:si>
  <x:si>
    <x:t xml:space="preserve">CSSP10371521</x:t>
  </x:si>
  <x:si>
    <x:t xml:space="preserve">azrin.azizan@petronas.com</x:t>
  </x:si>
  <x:si>
    <x:t xml:space="preserve">M365 SharePoint - SPO</x:t>
  </x:si>
  <x:si>
    <x:t xml:space="preserve">Cloud Migration Program - Migration SharePoint 2013 to SharePoint 2019</x:t>
  </x:si>
  <x:si>
    <x:t xml:space="preserve">nshahidahothman@petronas.com.my</x:t>
  </x:si>
  <x:si>
    <x:t xml:space="preserve">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x:t>
  </x:si>
  <x:si>
    <x:t xml:space="preserve">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x:t>
  </x:si>
  <x:si>
    <x:t xml:space="preserve">nshahidahothman@petronas.com</x:t>
  </x:si>
  <x:si>
    <x:t xml:space="preserve">total resource for staging : 53</x:t>
  </x:si>
  <x:si>
    <x:t xml:space="preserve">Decommission listed resources</x:t>
  </x:si>
  <x:si>
    <x:t xml:space="preserve">A-000449</x:t>
  </x:si>
  <x:si>
    <x:t xml:space="preserve">00915_1</x:t>
  </x:si>
  <x:si>
    <x:t xml:space="preserve">REQ000007789505</x:t>
  </x:si>
  <x:si>
    <x:t xml:space="preserve">4b944bb2-7e2b-4d62-b883-9faa363798d6</x:t>
  </x:si>
  <x:si>
    <x:t xml:space="preserve">CSSP10672556</x:t>
  </x:si>
  <x:si>
    <x:t xml:space="preserve">Freight-X</x:t>
  </x:si>
  <x:si>
    <x:t xml:space="preserve">To decommission old resources in AWS Singapore region due to completed migration in AWS MY region</x:t>
  </x:si>
  <x:si>
    <x:t xml:space="preserve">To decommission old resources in Singapore region due to completed migration in MY region - (Hamizah)</x:t>
  </x:si>
  <x:si>
    <x:t xml:space="preserve">Repatriation.</x:t>
  </x:si>
  <x:si>
    <x:t xml:space="preserve">A-000326</x:t>
  </x:si>
  <x:si>
    <x:t xml:space="preserve">REQ000007789492</x:t>
  </x:si>
  <x:si>
    <x:t xml:space="preserve">fadb5b26-da4e-4bb7-be40-533763a9818e</x:t>
  </x:si>
  <x:si>
    <x:t xml:space="preserve">CSSP10774226</x:t>
  </x:si>
  <x:si>
    <x:t xml:space="preserve">wanmiqbal.wanmhdnoor@petronas.com</x:t>
  </x:si>
  <x:si>
    <x:t xml:space="preserve">Upstream Real Time Data Program - URTD</x:t>
  </x:si>
  <x:si>
    <x:t xml:space="preserve">Installation of Upstream Real Time Data Program (URTD) for Centre of Excellence, PCSB</x:t>
  </x:si>
  <x:si>
    <x:t xml:space="preserve">mohammadsani.johari@petronas.com</x:t>
  </x:si>
  <x:si>
    <x:t xml:space="preserve">stg.urtd.petronas.com</x:t>
  </x:si>
  <x:si>
    <x:t xml:space="preserve">PaaS DB and Dev Server are no longer in used.</x:t>
  </x:si>
  <x:si>
    <x:t xml:space="preserve">Only Decomm resources related to ptsg-1urtdsvrdb01.database.windows.net &amp; 172.25.32.16, PTSG-1URTDAP02</x:t>
  </x:si>
  <x:si>
    <x:t xml:space="preserve">Resources not in used.</x:t>
  </x:si>
  <x:si>
    <x:t xml:space="preserve">Decommission listed resources only</x:t>
  </x:si>
  <x:si>
    <x:t xml:space="preserve">A-000827</x:t>
  </x:si>
  <x:si>
    <x:t xml:space="preserve">REQ000007790220</x:t>
  </x:si>
  <x:si>
    <x:t xml:space="preserve">e59f0759-3ddf-4f24-845b-2520cb3a8fdd</x:t>
  </x:si>
  <x:si>
    <x:t xml:space="preserve">CSSP10719729</x:t>
  </x:si>
  <x:si>
    <x:t xml:space="preserve">Decision Ready Data - DRD</x:t>
  </x:si>
  <x:si>
    <x:t xml:space="preserve">Implementation of Decision Ready Data (DRD)</x:t>
  </x:si>
  <x:si>
    <x:t xml:space="preserve">DCOM20251230434</x:t>
  </x:si>
  <x:si>
    <x:t xml:space="preserve">mmpd.drd.petronas.com.my, downstream.drd.petronas.com</x:t>
  </x:si>
  <x:si>
    <x:t xml:space="preserve">The DRD for downstream is part of the decommissioning exercise under Black Swan.</x:t>
  </x:si>
  <x:si>
    <x:t xml:space="preserve">The DRD for downstream is part of the decommissioning exercise under Black Swan</x:t>
  </x:si>
  <x:si>
    <x:t xml:space="preserve">Approved as per indy500.</x:t>
  </x:si>
  <x:si>
    <x:t xml:space="preserve">Full decommission for project code 03418 including DNS</x:t>
  </x:si>
  <x:si>
    <x:t xml:space="preserve">A-000232</x:t>
  </x:si>
  <x:si>
    <x:t xml:space="preserve">REQ000007789509</x:t>
  </x:si>
  <x:si>
    <x:t xml:space="preserve">554aa139-262d-4c6f-87cd-e03c650d15e4</x:t>
  </x:si>
  <x:si>
    <x:t xml:space="preserve">CSSP10932025</x:t>
  </x:si>
  <x:si>
    <x:t xml:space="preserve">Asset Integrity Management Database - AIDA GPU</x:t>
  </x:si>
  <x:si>
    <x:t xml:space="preserve">GPU Asset Integrity Management Database AIDA</x:t>
  </x:si>
  <x:si>
    <x:t xml:space="preserve">DCOM20260105ade</x:t>
  </x:si>
  <x:si>
    <x:t xml:space="preserve">huajin.tan@petronas.com.my</x:t>
  </x:si>
  <x:si>
    <x:t xml:space="preserve">aida.petronas.com</x:t>
  </x:si>
  <x:si>
    <x:t xml:space="preserve">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x:t>
  </x:si>
  <x:si>
    <x:t xml:space="preserve">Confirmed</x:t>
  </x:si>
  <x:si>
    <x:t xml:space="preserve">Approved as business have provided their endorsement</x:t>
  </x:si>
  <x:si>
    <x:t xml:space="preserve">Full decommission ptazsg-dev-gpu-aida-rg and DNS aida.petronas.com</x:t>
  </x:si>
  <x:si>
    <x:t xml:space="preserve">A-000036</x:t>
  </x:si>
  <x:si>
    <x:t xml:space="preserve">REQ000007849037</x:t>
  </x:si>
  <x:si>
    <x:t xml:space="preserve">bb20d2ac-320e-49d2-bb7e-ba31119ecf21</x:t>
  </x:si>
  <x:si>
    <x:t xml:space="preserve">CSSP10561989</x:t>
  </x:si>
  <x:si>
    <x:t xml:space="preserve">No longer required</x:t>
  </x:si>
  <x:si>
    <x:t xml:space="preserve">4586e4b5-916f-4c51-9e27-fe55a08e3eb7</x:t>
  </x:si>
  <x:si>
    <x:t xml:space="preserve">CSSP10474599</x:t>
  </x:si>
  <x:si>
    <x:t xml:space="preserve">FORTS</x:t>
  </x:si>
  <x:si>
    <x:t xml:space="preserve">AWS Cloud Migration - FORTS</x:t>
  </x:si>
  <x:si>
    <x:t xml:space="preserve">mdkhiri@petronas.com</x:t>
  </x:si>
  <x:si>
    <x:t xml:space="preserve">FFFF</x:t>
  </x:si>
  <x:si>
    <x:t xml:space="preserve">Cancelled</x:t>
  </x:si>
  <x:si>
    <x:t xml:space="preserve">A-000321</x:t>
  </x:si>
  <x:si>
    <x:t xml:space="preserve">00915_117</x:t>
  </x:si>
  <x:si>
    <x:t xml:space="preserve">0a1cea43-c926-4b79-956d-98225c0a684c</x:t>
  </x:si>
  <x:si>
    <x:t xml:space="preserve">CSSP10578777</x:t>
  </x:si>
  <x:si>
    <x:t xml:space="preserve">zulhasyidi.hassan@petronas.com</x:t>
  </x:si>
  <x:si>
    <x:t xml:space="preserve">Plant Information - PI GTS</x:t>
  </x:si>
  <x:si>
    <x:t xml:space="preserve">AWS-Cloud Migration - PI GTS</x:t>
  </x:si>
  <x:si>
    <x:t xml:space="preserve">DCOM20260106247</x:t>
  </x:si>
  <x:si>
    <x:t xml:space="preserve">mohammadsani.johari@petronas.com.my</x:t>
  </x:si>
  <x:si>
    <x:t xml:space="preserve">gts.pi.petronas.com</x:t>
  </x:si>
  <x:si>
    <x:t xml:space="preserve">Not in used</x:t>
  </x:si>
  <x:si>
    <x:t xml:space="preserve">Full decommissioning for GTS PI application</x:t>
  </x:si>
  <x:si>
    <x:t xml:space="preserve">Approved, as per Indy500 requirement.</x:t>
  </x:si>
  <x:si>
    <x:t xml:space="preserve">Full decommission PI (00915_107)</x:t>
  </x:si>
  <x:si>
    <x:t xml:space="preserve">A-000570</x:t>
  </x:si>
  <x:si>
    <x:t xml:space="preserve">00915_107</x:t>
  </x:si>
  <x:si>
    <x:t xml:space="preserve">REQ000007826332</x:t>
  </x:si>
  <x:si>
    <x:t xml:space="preserve">4e611de9-a52a-41ed-b37f-bb0808c8e961</x:t>
  </x:si>
  <x:si>
    <x:t xml:space="preserve">CSSP10828102</x:t>
  </x:si>
  <x:si>
    <x:t xml:space="preserve">Enterprise Decarbonization iCON - ED-iCON</x:t>
  </x:si>
  <x:si>
    <x:t xml:space="preserve">Enterprise Decarbonization (ED) iCON</x:t>
  </x:si>
  <x:si>
    <x:t xml:space="preserve">Cloud Repatriation - To decommission old resources in Singapore region due to completed migration in MY region</x:t>
  </x:si>
  <x:si>
    <x:t xml:space="preserve">Cloud Repatriation - Decomm 03476 in SG</x:t>
  </x:si>
  <x:si>
    <x:t xml:space="preserve">A-000033</x:t>
  </x:si>
  <x:si>
    <x:t xml:space="preserve">REQ000007828185</x:t>
  </x:si>
  <x:si>
    <x:t xml:space="preserve">90120b9f-5cea-46de-a540-4ff191469fc6</x:t>
  </x:si>
  <x:si>
    <x:t xml:space="preserve">CSSP10960000</x:t>
  </x:si>
  <x:si>
    <x:t xml:space="preserve">mohamadsyafiq.mnoor@petronas.com</x:t>
  </x:si>
  <x:si>
    <x:t xml:space="preserve">Azure Machine Learning - PC Derivatives</x:t>
  </x:si>
  <x:si>
    <x:t xml:space="preserve">Run &amp; Maintain Citizen Analytics Use Case for Sales Gas Optimization for PC Derivatives Sdn Bhd</x:t>
  </x:si>
  <x:si>
    <x:t xml:space="preserve">khairulnizam.bahari@petronas.com</x:t>
  </x:si>
  <x:si>
    <x:t xml:space="preserve">To decommission Azure Resource Group PTAZSG-IAC-DAA-PROD-PCOGD_SGO-RG</x:t>
  </x:si>
  <x:si>
    <x:t xml:space="preserve">As per email from business, this Azure Resource Group PTAZSG-IAC-DAA-PROD-PCOGD_SGO-RG need to be decommissioned</x:t>
  </x:si>
  <x:si>
    <x:t xml:space="preserve">Decommission Azure Resource Group PTAZSG-IAC-DAA-PROD-PCOGD_SGO-RG</x:t>
  </x:si>
  <x:si>
    <x:t xml:space="preserve">Decommission all resources and delete RG PTAZSG-IAC-DAA-PROD-PCOGD-SGO-RG</x:t>
  </x:si>
  <x:si>
    <x:t xml:space="preserve">A-001304</x:t>
  </x:si>
  <x:si>
    <x:t xml:space="preserve">REQ000007815155</x:t>
  </x:si>
  <x:si>
    <x:t xml:space="preserve">9f28ea8a-b13b-4a5b-84ba-cb9eb6ad0d0d</x:t>
  </x:si>
  <x:si>
    <x:t xml:space="preserve">CSSP10159861</x:t>
  </x:si>
  <x:si>
    <x:t xml:space="preserve">mibrahim.sulaima@petronas.com</x:t>
  </x:si>
  <x:si>
    <x:t xml:space="preserve">Enhancement of Enhanced Resource Monetization by Artificial Intelligence - ERMAI Phase 3 for Malaysia Petroleum Management - MPM</x:t>
  </x:si>
  <x:si>
    <x:t xml:space="preserve">Implementation of Enhanced Resource Monetization Artificial Intelligence (ERMAI) for Malaysia Petroleum Management (MPM)</x:t>
  </x:si>
  <x:si>
    <x:t xml:space="preserve">limeng.tan@petronas.com.my</x:t>
  </x:si>
  <x:si>
    <x:t xml:space="preserve">To decom ermai dev resources that not being used anymore</x:t>
  </x:si>
  <x:si>
    <x:t xml:space="preserve">limeng.tan@petronas.com</x:t>
  </x:si>
  <x:si>
    <x:t xml:space="preserve">A-000303</x:t>
  </x:si>
  <x:si>
    <x:t xml:space="preserve">410ea196-1243-4e2c-b845-57ce8b099e18</x:t>
  </x:si>
  <x:si>
    <x:t xml:space="preserve">CSSP10622149</x:t>
  </x:si>
  <x:si>
    <x:t xml:space="preserve">Enhancement of Enhanced Resource Monetization by Artificial Intelligence (ERMAI) Phase 4</x:t>
  </x:si>
  <x:si>
    <x:t xml:space="preserve">To decom AKS and PosgreSQL DB resources for ERMAI dev since not being used anymore</x:t>
  </x:si>
  <x:si>
    <x:t xml:space="preserve">9aecfc02-2056-4390-879d-2a2098196200</x:t>
  </x:si>
  <x:si>
    <x:t xml:space="preserve">CSSP10527994</x:t>
  </x:si>
  <x:si>
    <x:t xml:space="preserve">Implementation of Enhanced Resource Monetization Artificial Intelligence (ERMAI) Malaysia Petroleum Management (MPM)</x:t>
  </x:si>
  <x:si>
    <x:t xml:space="preserve">To decom AKS and PosgreSQL temp01 in ERMAI dev since not being used anymore</x:t>
  </x:si>
  <x:si>
    <x:t xml:space="preserve">To decom AKS - ptsg-5ermaiaks01 and PosgreSQL Flexible server - ptazsg-5ermaisql01temp. These resources have been confirmed not being used anymore. This can save cost in Dev environment for about 30% monthly.</x:t>
  </x:si>
  <x:si>
    <x:t xml:space="preserve">approved as requested</x:t>
  </x:si>
  <x:si>
    <x:t xml:space="preserve">Decommission AKS - ptsg-5ermaiaks01 and PosgreSQL Flexible server - ptazsg-5ermaisql01temp</x:t>
  </x:si>
  <x:si>
    <x:t xml:space="preserve">REQ000007815159</x:t>
  </x:si>
  <x:si>
    <x:t xml:space="preserve">e09d2466-1f5f-48a0-8531-127ecf1af6ec</x:t>
  </x:si>
  <x:si>
    <x:t xml:space="preserve">CSSP10175424</x:t>
  </x:si>
  <x:si>
    <x:t xml:space="preserve">mnizar.omar@petronas.com</x:t>
  </x:si>
  <x:si>
    <x:t xml:space="preserve">Active Directory Domain Controller - ADDC KVDC</x:t>
  </x:si>
  <x:si>
    <x:t xml:space="preserve">Active Directory Domain Controller - ADDC KVDC created for PRIVATECLOUD project record</x:t>
  </x:si>
  <x:si>
    <x:t xml:space="preserve">zulizzi.yasin@petronas.com.my</x:t>
  </x:si>
  <x:si>
    <x:t xml:space="preserve">This domain controller is not required anymore as part of domain controllers decommissioning plan.</x:t>
  </x:si>
  <x:si>
    <x:t xml:space="preserve">zulizzi.yasin@petronas.com</x:t>
  </x:si>
  <x:si>
    <x:t xml:space="preserve">A-000015</x:t>
  </x:si>
  <x:si>
    <x:t xml:space="preserve">10002_03</x:t>
  </x:si>
  <x:si>
    <x:t xml:space="preserve">5d8ee9f0-2be6-4505-be54-65b3bf899f4d</x:t>
  </x:si>
  <x:si>
    <x:t xml:space="preserve">CSSP10240613</x:t>
  </x:si>
  <x:si>
    <x:t xml:space="preserve">Common Active Directory - AD</x:t>
  </x:si>
  <x:si>
    <x:t xml:space="preserve">Common infrastructure for COC dashboard, integration, ict2u, labs</x:t>
  </x:si>
  <x:si>
    <x:t xml:space="preserve">Domain controllers are not in use anymore. Please refer the attachment for the list of items to be decommed.</x:t>
  </x:si>
  <x:si>
    <x:t xml:space="preserve">C-000004</x:t>
  </x:si>
  <x:si>
    <x:t xml:space="preserve">Common-AD</x:t>
  </x:si>
  <x:si>
    <x:t xml:space="preserve">7f765445-b497-44da-8017-8873ca22791f</x:t>
  </x:si>
  <x:si>
    <x:t xml:space="preserve">CSSP10262348</x:t>
  </x:si>
  <x:si>
    <x:t xml:space="preserve">The domain controllers are not in use anymore which are part of our decommissioning plan. Please refer the attachment for the list of servers to be decommissioned. 
CEN308-INFDC-03
PTSCUS-1INFdc01
PTSCUS-1INFdc02
PTWEU-1INFdc01
PTWEU-1INFdc02
AZRSAPRODADDS01</x:t>
  </x:si>
  <x:si>
    <x:t xml:space="preserve">Servers have been shut down and confirmed not in use.</x:t>
  </x:si>
  <x:si>
    <x:t xml:space="preserve">Reviewed</x:t>
  </x:si>
  <x:si>
    <x:t xml:space="preserve">Decommission listed VM
CEN308-INFDC-03	10.3.193.171
PTSCUS-1INFdc01	172.18.32.11
PTSCUS-1INFdc02	172.18.32.12
PTWEU-1INFdc01	172.24.32.11
PTWEU-1INFdc02	172.24.32.4
AZRSAPRODADDS01	172.24.9.1</x:t>
  </x:si>
  <x:si>
    <x:t xml:space="preserve">REQ000007815546</x:t>
  </x:si>
  <x:si>
    <x:t xml:space="preserve">a4db4910-6efc-4ec6-adcc-0c92781fa443</x:t>
  </x:si>
  <x:si>
    <x:t xml:space="preserve">CSSP10861160</x:t>
  </x:si>
  <x:si>
    <x:t xml:space="preserve">9b7f550e-e5cb-4f88-94d2-23a74bc7c118</x:t>
  </x:si>
  <x:si>
    <x:t xml:space="preserve">CSSP10888172</x:t>
  </x:si>
  <x:si>
    <x:t xml:space="preserve">170c452c-8ff0-4744-b0fe-2d5884db40b4</x:t>
  </x:si>
  <x:si>
    <x:t xml:space="preserve">CSSP10280084</x:t>
  </x:si>
  <x:si>
    <x:t xml:space="preserve">10815a01-d922-4fc6-aa81-7d131c5d370f</x:t>
  </x:si>
  <x:si>
    <x:t xml:space="preserve">CSSP10575261</x:t>
  </x:si>
  <x:si>
    <x:t xml:space="preserve">e9494d31-0e6e-46f7-b930-083021ca8133</x:t>
  </x:si>
  <x:si>
    <x:t xml:space="preserve">CSSP10692553</x:t>
  </x:si>
  <x:si>
    <x:t xml:space="preserve">DCOM202601094c5</x:t>
  </x:si>
  <x:si>
    <x:t xml:space="preserve">mkhiri.msharif@petronas.com.my</x:t>
  </x:si>
  <x:si>
    <x:t xml:space="preserve">As in attached email</x:t>
  </x:si>
  <x:si>
    <x:t xml:space="preserve">mkhiri.msharif@petronas.com</x:t>
  </x:si>
  <x:si>
    <x:t xml:space="preserve">d0967d7a-2fa4-4c39-bbdd-e72c29b361f7</x:t>
  </x:si>
  <x:si>
    <x:t xml:space="preserve">CSSP10215372</x:t>
  </x:si>
  <x:si>
    <x:t xml:space="preserve">As communicated in attached email</x:t>
  </x:si>
  <x:si>
    <x:t xml:space="preserve">Full decomission</x:t>
  </x:si>
  <x:si>
    <x:t xml:space="preserve">Approced. Data has been backup</x:t>
  </x:si>
  <x:si>
    <x:t xml:space="preserve">Decommission FORTS under code 00915_117</x:t>
  </x:si>
  <x:si>
    <x:t xml:space="preserve">REQ000007815636</x:t>
  </x:si>
  <x:si>
    <x:t xml:space="preserve">fe23029d-5099-4b04-b757-7557c66cb686</x:t>
  </x:si>
  <x:si>
    <x:t xml:space="preserve">CSSP10783734</x:t>
  </x:si>
  <x:si>
    <x:t xml:space="preserve">8d44e34e-b191-49d0-9af6-a21890477bbc</x:t>
  </x:si>
  <x:si>
    <x:t xml:space="preserve">CSSP10466320</x:t>
  </x:si>
  <x:si>
    <x:t xml:space="preserve">b4d3c314-6ea6-4c32-b1b9-32e033e4544a</x:t>
  </x:si>
  <x:si>
    <x:t xml:space="preserve">CSSP10764031</x:t>
  </x:si>
  <x:si>
    <x:t xml:space="preserve">4d27c2ff-c345-45bf-9411-d4aae3fb161a</x:t>
  </x:si>
  <x:si>
    <x:t xml:space="preserve">CSSP10618851</x:t>
  </x:si>
  <x:si>
    <x:t xml:space="preserve">5a6a6648-d1fc-46cb-8f5d-a053dd4e3fc9</x:t>
  </x:si>
  <x:si>
    <x:t xml:space="preserve">CSSP10913240</x:t>
  </x:si>
  <x:si>
    <x:t xml:space="preserve">To decom AWS SG Resources for Myprocure as in attached excel file.</x:t>
  </x:si>
  <x:si>
    <x:t xml:space="preserve">Cloud Repatriation - Decomm 04343 in SG</x:t>
  </x:si>
  <x:si>
    <x:t xml:space="preserve">REQ000007828187</x:t>
  </x:si>
  <x:si>
    <x:t xml:space="preserve">9355a540-93bd-43a2-a7c5-cc43fb898fb9</x:t>
  </x:si>
  <x:si>
    <x:t xml:space="preserve">CSSP10212506</x:t>
  </x:si>
  <x:si>
    <x:t xml:space="preserve">Decom only storage account</x:t>
  </x:si>
  <x:si>
    <x:t xml:space="preserve">To decomm only storage account.</x:t>
  </x:si>
  <x:si>
    <x:t xml:space="preserve">Decommission ptsg1urtd2func01strg only</x:t>
  </x:si>
  <x:si>
    <x:t xml:space="preserve">REQ000007825797</x:t>
  </x:si>
  <x:si>
    <x:t xml:space="preserve">e11ae033-64c5-4dc0-94b6-bbeef2b9f8d0</x:t>
  </x:si>
  <x:si>
    <x:t xml:space="preserve">CSSP10256227</x:t>
  </x:si>
  <x:si>
    <x:t xml:space="preserve">yenheung.yap@petronas.com</x:t>
  </x:si>
  <x:si>
    <x:t xml:space="preserve">adi.razali@petronas.com</x:t>
  </x:si>
  <x:si>
    <x:t xml:space="preserve">Decom CCM Database only</x:t>
  </x:si>
  <x:si>
    <x:t xml:space="preserve">decom CCM database only</x:t>
  </x:si>
  <x:si>
    <x:t xml:space="preserve">As per planned by Eric Yap</x:t>
  </x:si>
  <x:si>
    <x:t xml:space="preserve">Decommission database named, (backup 3 months)
CCMAppMart in PTSG-4BIRADB01.
CCMAppMart in PTSG-1BIRADBC2</x:t>
  </x:si>
  <x:si>
    <x:t xml:space="preserve">badri.shaharudin@petronas.com</x:t>
  </x:si>
  <x:si>
    <x:t xml:space="preserve">CCMAppMart deleted</x:t>
  </x:si>
  <x:si>
    <x:t xml:space="preserve">REQ000007825744</x:t>
  </x:si>
  <x:si>
    <x:t xml:space="preserve">6320ba63-3c83-4b37-b605-b4211b85dca9</x:t>
  </x:si>
  <x:si>
    <x:t xml:space="preserve">CSSP10721535</x:t>
  </x:si>
  <x:si>
    <x:t xml:space="preserve">rajila.vadakkalthund@petronas.com</x:t>
  </x:si>
  <x:si>
    <x:t xml:space="preserve">DCOM20260119c60</x:t>
  </x:si>
  <x:si>
    <x:t xml:space="preserve">afiqah.aziz@petronas.com.my</x:t>
  </x:si>
  <x:si>
    <x:t xml:space="preserve">Sitecom has been replaced with Halvue application</x:t>
  </x:si>
  <x:si>
    <x:t xml:space="preserve">Need to backup all resources and decom</x:t>
  </x:si>
  <x:si>
    <x:t xml:space="preserve">afiqah.aziz@petronas.com</x:t>
  </x:si>
  <x:si>
    <x:t xml:space="preserve">Agreed to decom as no further utilisation</x:t>
  </x:si>
  <x:si>
    <x:t xml:space="preserve">RG ptazsg-iac-daa-dev-rto-poc-rg and all resources in it already decommissioned under CSSP10728584.</x:t>
  </x:si>
  <x:si>
    <x:t xml:space="preserve">c4e0a46f-d841-4035-9b2f-e63a373218bd</x:t>
  </x:si>
  <x:si>
    <x:t xml:space="preserve">CSSP10715412</x:t>
  </x:si>
  <x:si>
    <x:t xml:space="preserve">SiteCom and DrillScene Applications for Wells COE PETRON</x:t>
  </x:si>
  <x:si>
    <x:t xml:space="preserve">SiteCom and DrillScene Applications for Wells COE PETRON created for PRIVATECLOUD project record</x:t>
  </x:si>
  <x:si>
    <x:t xml:space="preserve">DCOM20260119778</x:t>
  </x:si>
  <x:si>
    <x:t xml:space="preserve">A-000236</x:t>
  </x:si>
  <x:si>
    <x:t xml:space="preserve">46ca1a48-c732-48b2-8cfd-bed3eff22d43</x:t>
  </x:si>
  <x:si>
    <x:t xml:space="preserve">CSSP10481206</x:t>
  </x:si>
  <x:si>
    <x:t xml:space="preserve">Decom storage account that are not in used</x:t>
  </x:si>
  <x:si>
    <x:t xml:space="preserve">4e3dda71-64e0-47a0-b520-ea0415748772</x:t>
  </x:si>
  <x:si>
    <x:t xml:space="preserve">CSSP10936679</x:t>
  </x:si>
  <x:si>
    <x:t xml:space="preserve">Storage account not in used</x:t>
  </x:si>
  <x:si>
    <x:t xml:space="preserve">sqlauditsousvoocdslrlc3q - BlobStorage account to be decommision because not in use</x:t>
  </x:si>
  <x:si>
    <x:t xml:space="preserve">Approved.</x:t>
  </x:si>
  <x:si>
    <x:t xml:space="preserve">Decommission storage account sqlauditsousvoocdslrlc3q</x:t>
  </x:si>
  <x:si>
    <x:t xml:space="preserve">REQ000007828065</x:t>
  </x:si>
  <x:si>
    <x:t xml:space="preserve">2ea4f262-8abb-4125-a0ca-85fa740ccdac</x:t>
  </x:si>
  <x:si>
    <x:t xml:space="preserve">CSSP10136110</x:t>
  </x:si>
  <x:si>
    <x:t xml:space="preserve">mirfan.mazuki@petronas.com</x:t>
  </x:si>
  <x:si>
    <x:t xml:space="preserve">ACFIN Website</x:t>
  </x:si>
  <x:si>
    <x:t xml:space="preserve">ACFIN Website for PETRONAS Advisor Office</x:t>
  </x:si>
  <x:si>
    <x:t xml:space="preserve">DCOM202601206d4</x:t>
  </x:si>
  <x:si>
    <x:t xml:space="preserve">amirshazlan.mshah@petronas.com.my</x:t>
  </x:si>
  <x:si>
    <x:t xml:space="preserve">www.acfin.com.my, www.acfin.my</x:t>
  </x:si>
  <x:si>
    <x:t xml:space="preserve">User request</x:t>
  </x:si>
  <x:si>
    <x:t xml:space="preserve">amirshazlan.mshah@petronas.com</x:t>
  </x:si>
  <x:si>
    <x:t xml:space="preserve">Full decommission 03284</x:t>
  </x:si>
  <x:si>
    <x:t xml:space="preserve">A-000004</x:t>
  </x:si>
  <x:si>
    <x:t xml:space="preserve">REQ000007837744</x:t>
  </x:si>
  <x:si>
    <x:t xml:space="preserve">4cb5421c-76ee-4918-91f4-9015721e68f2</x:t>
  </x:si>
  <x:si>
    <x:t xml:space="preserve">CSSP10956620</x:t>
  </x:si>
  <x:si>
    <x:t xml:space="preserve">need to take backup of all servers listed in the attachment.</x:t>
  </x:si>
  <x:si>
    <x:t xml:space="preserve">Proceed to decom as discussed.</x:t>
  </x:si>
  <x:si>
    <x:t xml:space="preserve">Full Decommission (10071) listed on-premise VM. Keep backup for 12 months</x:t>
  </x:si>
  <x:si>
    <x:t xml:space="preserve">REQ000007847422</x:t>
  </x:si>
  <x:si>
    <x:t xml:space="preserve">a6c49856-9f68-47d2-b48a-632ad105b938</x:t>
  </x:si>
  <x:si>
    <x:t xml:space="preserve">CSSP10693653</x:t>
  </x:si>
  <x:si>
    <x:t xml:space="preserve">nurulirdawaty.mnabi@petronas.com</x:t>
  </x:si>
  <x:si>
    <x:t xml:space="preserve">Visual Inspection Corrosion Interface - VINCI</x:t>
  </x:si>
  <x:si>
    <x:t xml:space="preserve">Enhancement Of Visual Inspection Corrosion Interface (VINCI) System For Operation Excellence (OE), PCSB</x:t>
  </x:si>
  <x:si>
    <x:t xml:space="preserve">halim.matnoh@petronas.com.my</x:t>
  </x:si>
  <x:si>
    <x:t xml:space="preserve">Full Decommission for PTAZSG-DEV-VINCI-RG (PSR0609) and PTAZSG-UAT-VINCI-RG(PSR0609). Please refer to previous decommission as reference.</x:t>
  </x:si>
  <x:si>
    <x:t xml:space="preserve">Yes, please proceed to decomm all.</x:t>
  </x:si>
  <x:si>
    <x:t xml:space="preserve">Decommission both RG, PTAZSG-DEV-VINCI-RG (PSR0609) and PTAZSG-UAT-VINCI-RG(PSR0609)</x:t>
  </x:si>
  <x:si>
    <x:t xml:space="preserve">A-000846</x:t>
  </x:si>
  <x:si>
    <x:t xml:space="preserve">PSR06029</x:t>
  </x:si>
  <x:si>
    <x:t xml:space="preserve">REQ000007834437</x:t>
  </x:si>
  <x:si>
    <x:t xml:space="preserve">a11e5124-0a1e-4c64-b612-5bb136c7bd95</x:t>
  </x:si>
  <x:si>
    <x:t xml:space="preserve">CSSP10361019</x:t>
  </x:si>
  <x:si>
    <x:t xml:space="preserve">keanseng.lim@petronas.com</x:t>
  </x:si>
  <x:si>
    <x:t xml:space="preserve">PIVOT Enterprise Knowledge Advisor Cerebro</x:t>
  </x:si>
  <x:si>
    <x:t xml:space="preserve">OSR00154: Support and Maintenance for PIVOT Program for Group Digital – Enterprise Knowledge Advisor for Cerebro</x:t>
  </x:si>
  <x:si>
    <x:t xml:space="preserve">lim.hoongkeng@petronas.com</x:t>
  </x:si>
  <x:si>
    <x:t xml:space="preserve">Both EKIH &amp; CEREBRO has been decommisioned. The identified resources is obsolted and not in used.
This has been confirmed by Business Product Owner.</x:t>
  </x:si>
  <x:si>
    <x:t xml:space="preserve">Uploaded the approval email and reselected all resources to be decommissioned</x:t>
  </x:si>
  <x:si>
    <x:t xml:space="preserve">Reapproving as requested.</x:t>
  </x:si>
  <x:si>
    <x:t xml:space="preserve">Proceed to decommission listed resources</x:t>
  </x:si>
  <x:si>
    <x:t xml:space="preserve">A-000609</x:t>
  </x:si>
  <x:si>
    <x:t xml:space="preserve">OSR00154_10</x:t>
  </x:si>
  <x:si>
    <x:t xml:space="preserve">REQ000007928247</x:t>
  </x:si>
  <x:si>
    <x:t xml:space="preserve">77f1a609-e277-4a20-8446-fa2cd0b7234e</x:t>
  </x:si>
  <x:si>
    <x:t xml:space="preserve">CSSP10644672</x:t>
  </x:si>
  <x:si>
    <x:t xml:space="preserve">Decomm only for resources related to:
1. PTSG-1URTDAP02
2. ptsg-1urtdsvrdb01
3. ptsg1urtd2func01strg
4.ptazsg-devurtd2-apim
5.sqlauditsousvoocdslrlc3q</x:t>
  </x:si>
  <x:si>
    <x:t xml:space="preserve">fcd598c0-a60b-40ad-96c2-6de6f09d5bc9</x:t>
  </x:si>
  <x:si>
    <x:t xml:space="preserve">CSSP10177449</x:t>
  </x:si>
  <x:si>
    <x:t xml:space="preserve">anissyafiqah.matzail@petronas.com</x:t>
  </x:si>
  <x:si>
    <x:t xml:space="preserve">Winglue</x:t>
  </x:si>
  <x:si>
    <x:t xml:space="preserve">OCI MIGRATION - WINGLUE</x:t>
  </x:si>
  <x:si>
    <x:t xml:space="preserve">User confirmed that Winglue's application are no longer in used. Refer to the attachment for the focal confirmation.</x:t>
  </x:si>
  <x:si>
    <x:t xml:space="preserve">Proceed to decommission resources in the list.</x:t>
  </x:si>
  <x:si>
    <x:t xml:space="preserve">A-000860</x:t>
  </x:si>
  <x:si>
    <x:t xml:space="preserve">OCI-00037</x:t>
  </x:si>
  <x:si>
    <x:t xml:space="preserve">REQ000007906393</x:t>
  </x:si>
  <x:si>
    <x:t xml:space="preserve">9a805d0b-bb21-480b-b88d-10371246b4e8</x:t>
  </x:si>
  <x:si>
    <x:t xml:space="preserve">CSSP10521638</x:t>
  </x:si>
  <x:si>
    <x:t xml:space="preserve">IDAMS / WINCAIRS PMA</x:t>
  </x:si>
  <x:si>
    <x:t xml:space="preserve">OCI MIGRATION - IDAMS (PMA)</x:t>
  </x:si>
  <x:si>
    <x:t xml:space="preserve">Contract has expired on 31/05/2025, and user confirmed that they are no longer in used. Refer to the attachment for PMA focal confirmation.</x:t>
  </x:si>
  <x:si>
    <x:t xml:space="preserve">A-000371</x:t>
  </x:si>
  <x:si>
    <x:t xml:space="preserve">OCI-00019</x:t>
  </x:si>
  <x:si>
    <x:t xml:space="preserve">f94988b0-1141-4fc1-8762-18add88c3e9d</x:t>
  </x:si>
  <x:si>
    <x:t xml:space="preserve">CSSP10603924</x:t>
  </x:si>
  <x:si>
    <x:t xml:space="preserve">IDAMS / WINCAIRS SKO</x:t>
  </x:si>
  <x:si>
    <x:t xml:space="preserve">OCI MIGRATION - IDAMS (SKO)</x:t>
  </x:si>
  <x:si>
    <x:t xml:space="preserve">Contract has expired on 31/05/2025, and user confirmed that they are no longer in used. Refer to the attachment for SKO focal confirmation.</x:t>
  </x:si>
  <x:si>
    <x:t xml:space="preserve">Decommission ptawsg-1skodb01</x:t>
  </x:si>
  <x:si>
    <x:t xml:space="preserve">A-000373</x:t>
  </x:si>
  <x:si>
    <x:t xml:space="preserve">OCI-00024</x:t>
  </x:si>
  <x:si>
    <x:t xml:space="preserve">REQ000007842863</x:t>
  </x:si>
  <x:si>
    <x:t xml:space="preserve">a58e5bb6-2b1f-4c45-9438-7b4ec6f1fe9c</x:t>
  </x:si>
  <x:si>
    <x:t xml:space="preserve">CSSP10705796</x:t>
  </x:si>
  <x:si>
    <x:t xml:space="preserve">IDAMS / WINCAIRS SBO</x:t>
  </x:si>
  <x:si>
    <x:t xml:space="preserve">OCI MIGRATION - IDAMS (SBO)</x:t>
  </x:si>
  <x:si>
    <x:t xml:space="preserve">Contract has expired on 31/05/2025, and user confirmed that they are no longer in used. Refer to the attachment for SBO focal confirmation.</x:t>
  </x:si>
  <x:si>
    <x:t xml:space="preserve">Decommission ptawsg-1sbodb01</x:t>
  </x:si>
  <x:si>
    <x:t xml:space="preserve">A-000372</x:t>
  </x:si>
  <x:si>
    <x:t xml:space="preserve">OCI-00023</x:t>
  </x:si>
  <x:si>
    <x:t xml:space="preserve">REQ000007842867</x:t>
  </x:si>
  <x:si>
    <x:t xml:space="preserve">b8581bb4-3858-4233-b3ac-6f559264b410</x:t>
  </x:si>
  <x:si>
    <x:t xml:space="preserve">CSSP10334029</x:t>
  </x:si>
  <x:si>
    <x:t xml:space="preserve">Decommission ptawsg-1pmadb01</x:t>
  </x:si>
  <x:si>
    <x:t xml:space="preserve">REQ000007842787</x:t>
  </x:si>
  <x:si>
    <x:t xml:space="preserve">7acb7bd0-bec5-46cf-a488-6c0e833afa26</x:t>
  </x:si>
  <x:si>
    <x:t xml:space="preserve">CSSP10303191</x:t>
  </x:si>
  <x:si>
    <x:t xml:space="preserve">APIM not in used</x:t>
  </x:si>
  <x:si>
    <x:t xml:space="preserve">API Management not in used.</x:t>
  </x:si>
  <x:si>
    <x:t xml:space="preserve">APIM not in used anymore.</x:t>
  </x:si>
  <x:si>
    <x:t xml:space="preserve">Decommission ptazsg-devurtd2-apim only</x:t>
  </x:si>
  <x:si>
    <x:t xml:space="preserve">decomm complete</x:t>
  </x:si>
  <x:si>
    <x:t xml:space="preserve">REQ000007846354</x:t>
  </x:si>
  <x:si>
    <x:t xml:space="preserve">4bb4f4d7-db29-42d7-911e-33bbeff5c3cc</x:t>
  </x:si>
  <x:si>
    <x:t xml:space="preserve">CSSP10810813</x:t>
  </x:si>
  <x:si>
    <x:t xml:space="preserve">abdullahnaqib.hassa@petronas.com</x:t>
  </x:si>
  <x:si>
    <x:t xml:space="preserve">SAP 30 ECC6</x:t>
  </x:si>
  <x:si>
    <x:t xml:space="preserve">ERP Transformation - Central Finance Implementation – Global Design (Remark : PETRONAS CFIN Source System Box MC1)(Y30)</x:t>
  </x:si>
  <x:si>
    <x:t xml:space="preserve">rizuanatan@petronas.com</x:t>
  </x:si>
  <x:si>
    <x:t xml:space="preserve">sapy30scs.petronas.com,peteccmc1.petronas.com</x:t>
  </x:si>
  <x:si>
    <x:t xml:space="preserve">No longer required. Project went live</x:t>
  </x:si>
  <x:si>
    <x:t xml:space="preserve">Please decom all resource under PTAZSG-UAT-SAP-CFIN-QAS-Y30-RG</x:t>
  </x:si>
  <x:si>
    <x:t xml:space="preserve">No longer required by project team.</x:t>
  </x:si>
  <x:si>
    <x:t xml:space="preserve">Decommission all resources and delete RG PTAZSG-UAT-SAP-CFIN-QAS-Y30-RG</x:t>
  </x:si>
  <x:si>
    <x:t xml:space="preserve">A-000714</x:t>
  </x:si>
  <x:si>
    <x:t xml:space="preserve">01405_13</x:t>
  </x:si>
  <x:si>
    <x:t xml:space="preserve">REQ000007842778</x:t>
  </x:si>
  <x:si>
    <x:t xml:space="preserve">16cec1dd-b569-468b-9d9f-b4bf5d5e1465</x:t>
  </x:si>
  <x:si>
    <x:t xml:space="preserve">CSSP10900691</x:t>
  </x:si>
  <x:si>
    <x:t xml:space="preserve">SAP 68 Central Finance - CFIN</x:t>
  </x:si>
  <x:si>
    <x:t xml:space="preserve">ERP Transformation - Central Finance Implementation – Global Design (Remark : PETRONAS CFIN - MC1 - CFIN)(X68)</x:t>
  </x:si>
  <x:si>
    <x:t xml:space="preserve">No longer required, migrated to SAP RISE</x:t>
  </x:si>
  <x:si>
    <x:t xml:space="preserve">Delete all in PTAZSG-UAT-SAP-CFIN-X68-RG resource group</x:t>
  </x:si>
  <x:si>
    <x:t xml:space="preserve">X68 SID no longer use.</x:t>
  </x:si>
  <x:si>
    <x:t xml:space="preserve">Decommission all resources and delete RG PTAZSG-UAT-SAP-CFIN-X68-RG</x:t>
  </x:si>
  <x:si>
    <x:t xml:space="preserve">A-000731</x:t>
  </x:si>
  <x:si>
    <x:t xml:space="preserve">01803_19</x:t>
  </x:si>
  <x:si>
    <x:t xml:space="preserve">REQ000007842862</x:t>
  </x:si>
  <x:si>
    <x:t xml:space="preserve">4768ac08-8ace-4aa5-9cf6-c8e017043438</x:t>
  </x:si>
  <x:si>
    <x:t xml:space="preserve">CSSP10853444</x:t>
  </x:si>
  <x:si>
    <x:t xml:space="preserve">joharizam.mahmood@petronas.com</x:t>
  </x:si>
  <x:si>
    <x:t xml:space="preserve">PETRONAS Unified Search and Personal Assistant - PUSPA for REAL</x:t>
  </x:si>
  <x:si>
    <x:t xml:space="preserve">PETRONAS Unified Search and Personal Assistant (PUSPA) EPIC 1 and EPIC 2 Development</x:t>
  </x:si>
  <x:si>
    <x:t xml:space="preserve">khairuldin.zubai@petronas.com.my</x:t>
  </x:si>
  <x:si>
    <x:t xml:space="preserve">Request to delete the resource group ptazsg-dev-pdb-rg, as it is no longer required by PUSPA+ REAL Dashboard on post‑decommissioning of PUSPA in Sept 2024</x:t>
  </x:si>
  <x:si>
    <x:t xml:space="preserve">Confirmation to delete all related resources under RG: ptazsg-dev-pdb-rg, as it is no longer required by PUSPA+ REAL Dashboard on post‑decommissioning of PUSPA</x:t>
  </x:si>
  <x:si>
    <x:t xml:space="preserve">khairuldin.zubai@petronas.com</x:t>
  </x:si>
  <x:si>
    <x:t xml:space="preserve">Confirmed with PUSPA Product Manager Joharizam that the RG is not used by PUSPA and REAL Dashboard</x:t>
  </x:si>
  <x:si>
    <x:t xml:space="preserve">A-001245</x:t>
  </x:si>
  <x:si>
    <x:t xml:space="preserve">REQ000007881185</x:t>
  </x:si>
  <x:si>
    <x:t xml:space="preserve">b6b412df-de85-45dd-81f0-30040e4604b4</x:t>
  </x:si>
  <x:si>
    <x:t xml:space="preserve">CSSP10790999</x:t>
  </x:si>
  <x:si>
    <x:t xml:space="preserve">izham.ajmaan@petronas.com</x:t>
  </x:si>
  <x:si>
    <x:t xml:space="preserve">VMware vCenter PRPC RTOT</x:t>
  </x:si>
  <x:si>
    <x:t xml:space="preserve">VMware vCenter PRPC RTOT created for PRIVATECLOUD project record</x:t>
  </x:si>
  <x:si>
    <x:t xml:space="preserve">ci</x:t>
  </x:si>
  <x:si>
    <x:t xml:space="preserve">raihan_ahmad@petronas.com</x:t>
  </x:si>
  <x:si>
    <x:t xml:space="preserve">OPZ-2-MAC
vms-0291101
vms-0291102
OPZ-7-MAC
vms-0791101
vms-0791102</x:t>
  </x:si>
  <x:si>
    <x:t xml:space="preserve">vms-0291101 | 172.19.100.151	 
vms-0291102 | 172.19.100.153
vms-0791101 | 172.24.100.151
vms-0791102 | 172.24.100.153</x:t>
  </x:si>
  <x:si>
    <x:t xml:space="preserve">Approved since there is no utilizing  on the VM and for optimizing the cost.</x:t>
  </x:si>
  <x:si>
    <x:t xml:space="preserve">On-premise VM</x:t>
  </x:si>
  <x:si>
    <x:t xml:space="preserve">P-000049</x:t>
  </x:si>
  <x:si>
    <x:t xml:space="preserve">10188_11</x:t>
  </x:si>
  <x:si>
    <x:t xml:space="preserve">REQ000007846201</x:t>
  </x:si>
  <x:si>
    <x:t xml:space="preserve">6a73b2fb-bd5b-4932-94ab-131925f5df5b</x:t>
  </x:si>
  <x:si>
    <x:t xml:space="preserve">CSSP10214238</x:t>
  </x:si>
  <x:si>
    <x:t xml:space="preserve">ramzan.mujib@petronas.com</x:t>
  </x:si>
  <x:si>
    <x:t xml:space="preserve">Plant Incident Reporting System - PIRS PCMTBE</x:t>
  </x:si>
  <x:si>
    <x:t xml:space="preserve">Cloud Migration Programme - Plant Incident Report</x:t>
  </x:si>
  <x:si>
    <x:t xml:space="preserve">amelia_yeow@petronas.com.my</x:t>
  </x:si>
  <x:si>
    <x:t xml:space="preserve">PIR app. in black swan 2025 list and approved for decom by management after migrate to APM PLA</x:t>
  </x:si>
  <x:si>
    <x:t xml:space="preserve">6M</x:t>
  </x:si>
  <x:si>
    <x:t xml:space="preserve">Proceed as per approval PC MTBE  Black Swan 2025</x:t>
  </x:si>
  <x:si>
    <x:t xml:space="preserve">amelia_yeow@petronas.com</x:t>
  </x:si>
  <x:si>
    <x:t xml:space="preserve">Necessary steps have been completed prior to decom</x:t>
  </x:si>
  <x:si>
    <x:t xml:space="preserve">Proceed to full decommission. Delete resources and RG, PTAZSG-IAC-DEV-PIR-PC-MTBE-RG &amp; PTAZSG-IAC-PROD-PIR-PC-MTBE-RG</x:t>
  </x:si>
  <x:si>
    <x:t xml:space="preserve">Completed with the listed resources. To check the activity of the DB in SQLMI with the same project code, if not in use decide if those will be decommissioned too or not.</x:t>
  </x:si>
  <x:si>
    <x:t xml:space="preserve">A-000600</x:t>
  </x:si>
  <x:si>
    <x:t xml:space="preserve">02421_124</x:t>
  </x:si>
  <x:si>
    <x:t xml:space="preserve">REQ000007937995</x:t>
  </x:si>
  <x:si>
    <x:t xml:space="preserve">77524547-9556-4680-8e15-ff261708c2a8</x:t>
  </x:si>
  <x:si>
    <x:t xml:space="preserve">CSSP10289737</x:t>
  </x:si>
  <x:si>
    <x:t xml:space="preserve">sengchin.leong@petronas.com</x:t>
  </x:si>
  <x:si>
    <x:t xml:space="preserve">Cyber Security Mandiant Security Validation - MSV BFDC</x:t>
  </x:si>
  <x:si>
    <x:t xml:space="preserve">Cyber Security Mandiant Security Validation - MSV BFDC created for PRIVATECLOUD project record</x:t>
  </x:si>
  <x:si>
    <x:t xml:space="preserve">mshafri.hatta@petronas.com</x:t>
  </x:si>
  <x:si>
    <x:t xml:space="preserve">One of the module (172.25.8.83) has been unsubscribed due to cost optimization.
the VM no longer in use</x:t>
  </x:si>
  <x:si>
    <x:t xml:space="preserve">decommission for MSV (Mandiant Security Validation) - Protected Theatre module - 172.25.8.83
The module has been unsubscribed and VM no longer in used</x:t>
  </x:si>
  <x:si>
    <x:t xml:space="preserve">A-000170</x:t>
  </x:si>
  <x:si>
    <x:t xml:space="preserve">b00ce160-a1aa-4225-b953-1a9e8b334600</x:t>
  </x:si>
  <x:si>
    <x:t xml:space="preserve">CSSP10385911</x:t>
  </x:si>
  <x:si>
    <x:t xml:space="preserve">RISER</x:t>
  </x:si>
  <x:si>
    <x:t xml:space="preserve">DCOM2026012946c</x:t>
  </x:si>
  <x:si>
    <x:t xml:space="preserve">sarkunan.tigarajan@petronas.com.my</x:t>
  </x:si>
  <x:si>
    <x:t xml:space="preserve">Decommissioning for RISER</x:t>
  </x:si>
  <x:si>
    <x:t xml:space="preserve">1.	Staging (Non-Production): PTAW-IAC-NonPROD-AIP-Environment-01
2.	Production: PTAW-IAC-PROD-AIP-Environment-01</x:t>
  </x:si>
  <x:si>
    <x:t xml:space="preserve">sarkunan.tigarajan@petronas.com</x:t>
  </x:si>
  <x:si>
    <x:t xml:space="preserve">Decommission 03457</x:t>
  </x:si>
  <x:si>
    <x:t xml:space="preserve">A-000690</x:t>
  </x:si>
  <x:si>
    <x:t xml:space="preserve">REQ000007850113</x:t>
  </x:si>
  <x:si>
    <x:t xml:space="preserve">fffd0b9b-2361-49c7-ad9e-ff9f5e9d733a</x:t>
  </x:si>
  <x:si>
    <x:t xml:space="preserve">CSSP10696569</x:t>
  </x:si>
  <x:si>
    <x:t xml:space="preserve">mfuad.ahmadrafee@petronas.com</x:t>
  </x:si>
  <x:si>
    <x:t xml:space="preserve">M365 Teams Message Broadcast</x:t>
  </x:si>
  <x:si>
    <x:t xml:space="preserve">MS Teams Message Broadcast (POC Environment) for Group Risk Demonstration</x:t>
  </x:si>
  <x:si>
    <x:t xml:space="preserve">The RG is not in used</x:t>
  </x:si>
  <x:si>
    <x:t xml:space="preserve">These resources were identified during the DPIA remediation process. After further review, we found that they were originally requested during the previous M365 project for POC purposes and are no longer in use.</x:t>
  </x:si>
  <x:si>
    <x:t xml:space="preserve">proceed</x:t>
  </x:si>
  <x:si>
    <x:t xml:space="preserve">Decommission all resources and RG PTAZSG-DEV-ENS-POC-RG</x:t>
  </x:si>
  <x:si>
    <x:t xml:space="preserve">A-000450</x:t>
  </x:si>
  <x:si>
    <x:t xml:space="preserve">PC-00012</x:t>
  </x:si>
  <x:si>
    <x:t xml:space="preserve">REQ000007859287</x:t>
  </x:si>
  <x:si>
    <x:t xml:space="preserve">2f24b3bc-d655-44dc-8935-32ed396c7554</x:t>
  </x:si>
  <x:si>
    <x:t xml:space="preserve">CSSP10342452</x:t>
  </x:si>
  <x:si>
    <x:t xml:space="preserve">President Townhall</x:t>
  </x:si>
  <x:si>
    <x:t xml:space="preserve">Subscription for Azure Media Services for President Townhall</x:t>
  </x:si>
  <x:si>
    <x:t xml:space="preserve">Decommission all resources and both RG, PTAZSG-DEV-PRESTH-RG &amp; PTAZSG-PROD-PRESTH-RG</x:t>
  </x:si>
  <x:si>
    <x:t xml:space="preserve">Resource decommission complete</x:t>
  </x:si>
  <x:si>
    <x:t xml:space="preserve">C-000036</x:t>
  </x:si>
  <x:si>
    <x:t xml:space="preserve">PC-00003</x:t>
  </x:si>
  <x:si>
    <x:t xml:space="preserve">REQ000007859727</x:t>
  </x:si>
  <x:si>
    <x:t xml:space="preserve">0eb38b0d-c959-4e8d-a296-62530cad6454</x:t>
  </x:si>
  <x:si>
    <x:t xml:space="preserve">CSSP10522577</x:t>
  </x:si>
  <x:si>
    <x:t xml:space="preserve">aqeelah.rashidi@petronas.com</x:t>
  </x:si>
  <x:si>
    <x:t xml:space="preserve">ATG TotaLizer Automation System - ATLAS</x:t>
  </x:si>
  <x:si>
    <x:t xml:space="preserve">Cloud Migration Program - ATLAS - ATG Tota(L)izer Automation System</x:t>
  </x:si>
  <x:si>
    <x:t xml:space="preserve">DCOM20250912867</x:t>
  </x:si>
  <x:si>
    <x:t xml:space="preserve">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x:t>
  </x:si>
  <x:si>
    <x:t xml:space="preserve">physical server related</x:t>
  </x:si>
  <x:si>
    <x:t xml:space="preserve">To decom ATLAS physical server</x:t>
  </x:si>
  <x:si>
    <x:t xml:space="preserve">Decommission 4 physical server.
1. cenppdbpiap01- 10.13.4.56 2. sbappdbpiap01- 10.45.224.56 3. Easppdbpiap01- 10.18.96.56 4. skappdbpiap01- 10.43.64.56</x:t>
  </x:si>
  <x:si>
    <x:t xml:space="preserve">A-000080</x:t>
  </x:si>
  <x:si>
    <x:t xml:space="preserve">02421_135</x:t>
  </x:si>
  <x:si>
    <x:t xml:space="preserve">REQ000007846361</x:t>
  </x:si>
  <x:si>
    <x:t xml:space="preserve">11dd9fd0-3e28-4ca5-a850-18be9ce90734</x:t>
  </x:si>
  <x:si>
    <x:t xml:space="preserve">CSSP10577735</x:t>
  </x:si>
  <x:si>
    <x:t xml:space="preserve">M365</x:t>
  </x:si>
  <x:si>
    <x:t xml:space="preserve">Microsoft 365 (M365) Deployment for PETRONAS Groupwide.</x:t>
  </x:si>
  <x:si>
    <x:t xml:space="preserve">Decommission all resources and both RG PTAZSG-CORE-RMS-RG &amp; PTAZSG-PROD-CMG04-RG</x:t>
  </x:si>
  <x:si>
    <x:t xml:space="preserve">A-000440</x:t>
  </x:si>
  <x:si>
    <x:t xml:space="preserve">REQ000007859928</x:t>
  </x:si>
  <x:si>
    <x:t xml:space="preserve">43f520a7-aecc-4f2b-8665-a17b83e9a4df</x:t>
  </x:si>
  <x:si>
    <x:t xml:space="preserve">CSSP10999243</x:t>
  </x:si>
  <x:si>
    <x:t xml:space="preserve">PETRONAS Pipeline Engineering Solution - P-PIES</x:t>
  </x:si>
  <x:si>
    <x:t xml:space="preserve">Development of Phase 2 PETRONAS Pipeline Engineering Solution (P-PiES) System for GTS</x:t>
  </x:si>
  <x:si>
    <x:t xml:space="preserve">VM replaced with other VM</x:t>
  </x:si>
  <x:si>
    <x:t xml:space="preserve">ptsg-4piesap01,ptsg-4piesap01_disk1_db1501356f2c4d7b8b9932f92b31f1fe</x:t>
  </x:si>
  <x:si>
    <x:t xml:space="preserve">As requested.</x:t>
  </x:si>
  <x:si>
    <x:t xml:space="preserve">Decommission ptsg-4piesap01</x:t>
  </x:si>
  <x:si>
    <x:t xml:space="preserve">A-000640</x:t>
  </x:si>
  <x:si>
    <x:t xml:space="preserve">REQ000007848216</x:t>
  </x:si>
  <x:si>
    <x:t xml:space="preserve">b60c3fa6-59c1-4e01-a90b-402d28a4a538</x:t>
  </x:si>
  <x:si>
    <x:t xml:space="preserve">CSSP10175519</x:t>
  </x:si>
  <x:si>
    <x:t xml:space="preserve">aziah.azahari@petronas.com</x:t>
  </x:si>
  <x:si>
    <x:t xml:space="preserve">Authorization For Expenditure Management System - AFEMS PCSB</x:t>
  </x:si>
  <x:si>
    <x:t xml:space="preserve">Cloud Migration Program - Authorization For Expenditure Management System (AFEMS) 4.0</x:t>
  </x:si>
  <x:si>
    <x:t xml:space="preserve">rafedah.mdtap@petronas.com.my</x:t>
  </x:si>
  <x:si>
    <x:t xml:space="preserve">afems-pccmo.petronas.com</x:t>
  </x:si>
  <x:si>
    <x:t xml:space="preserve">DNS still exist and tagged to UAT RG ptazscus-uat-afems-rg which not included in earlier full decommission request. Previous AFEMS PCCMO decommission CSSP No is CSSP10132527.</x:t>
  </x:si>
  <x:si>
    <x:t xml:space="preserve">To decommission selected resource</x:t>
  </x:si>
  <x:si>
    <x:t xml:space="preserve">rafedah.mdtap@petronas.com</x:t>
  </x:si>
  <x:si>
    <x:t xml:space="preserve">Approved as discussed</x:t>
  </x:si>
  <x:si>
    <x:t xml:space="preserve">Decommission ptazscus-uat-afems-rg and DNS afems-pccmo.petronas.com</x:t>
  </x:si>
  <x:si>
    <x:t xml:space="preserve">A-000028</x:t>
  </x:si>
  <x:si>
    <x:t xml:space="preserve">00915_65</x:t>
  </x:si>
  <x:si>
    <x:t xml:space="preserve">REQ000007848196</x:t>
  </x:si>
  <x:si>
    <x:t xml:space="preserve">a7a986de-fcbe-4f4e-9eff-254a29772caf</x:t>
  </x:si>
  <x:si>
    <x:t xml:space="preserve">CSSP10454461</x:t>
  </x:si>
  <x:si>
    <x:t xml:space="preserve">zuwina.masaat@petronas.com</x:t>
  </x:si>
  <x:si>
    <x:t xml:space="preserve">Asset Ageing Life Extension System - ALES</x:t>
  </x:si>
  <x:si>
    <x:t xml:space="preserve">ALES for MPM</x:t>
  </x:si>
  <x:si>
    <x:t xml:space="preserve">wadiah.rusli@petronas.com</x:t>
  </x:si>
  <x:si>
    <x:t xml:space="preserve">No backup required. This request to remove CMDB Record for CI Name - ALE Suite and retain CI Name - Asset Ageing Life Extension System (ALES) 2.0</x:t>
  </x:si>
  <x:si>
    <x:t xml:space="preserve">No resource to be removed.</x:t>
  </x:si>
  <x:si>
    <x:t xml:space="preserve">Please remove ALE Suite</x:t>
  </x:si>
  <x:si>
    <x:t xml:space="preserve">saniza.ismail@petronas.com</x:t>
  </x:si>
  <x:si>
    <x:t xml:space="preserve">To update CI record in CMDB</x:t>
  </x:si>
  <x:si>
    <x:t xml:space="preserve">Update CI  ALE Suite to Status Disposed in CMDB</x:t>
  </x:si>
  <x:si>
    <x:t xml:space="preserve">A-000041</x:t>
  </x:si>
  <x:si>
    <x:t xml:space="preserve">REQ000007849045</x:t>
  </x:si>
  <x:si>
    <x:t xml:space="preserve">3986ddb3-b49e-409a-9e59-64dd4affe2a1</x:t>
  </x:si>
  <x:si>
    <x:t xml:space="preserve">CSSP10783990</x:t>
  </x:si>
  <x:si>
    <x:t xml:space="preserve">diana.ali@petronas.com</x:t>
  </x:si>
  <x:si>
    <x:t xml:space="preserve">Enterprise Application Integration - EAI WebMethod</x:t>
  </x:si>
  <x:si>
    <x:t xml:space="preserve">EAI WebMethod Integration Platform Cloud Migration and Upgrade</x:t>
  </x:si>
  <x:si>
    <x:t xml:space="preserve">mahzan.musa@petronas.com</x:t>
  </x:si>
  <x:si>
    <x:t xml:space="preserve">myeai.petronas.com, myeaiext.petronas.com</x:t>
  </x:si>
  <x:si>
    <x:t xml:space="preserve">Migrated to MuleSoft</x:t>
  </x:si>
  <x:si>
    <x:t xml:space="preserve">Upgrade</x:t>
  </x:si>
  <x:si>
    <x:t xml:space="preserve">A-000253</x:t>
  </x:si>
  <x:si>
    <x:t xml:space="preserve">d778a5ce-abff-4322-ad68-1474fea0794d</x:t>
  </x:si>
  <x:si>
    <x:t xml:space="preserve">CSSP10238871</x:t>
  </x:si>
  <x:si>
    <x:t xml:space="preserve">The WebMethods integration has been migrated to MuleSoft. We will proceed with an application decommission for now. A full decommission request will be submitted later in February once the stabilization period ends.</x:t>
  </x:si>
  <x:si>
    <x:t xml:space="preserve">Approve decommissioning as EAI webMethods replaced with MuleSoft. Migration completed Jan-2026.</x:t>
  </x:si>
  <x:si>
    <x:t xml:space="preserve">To change Webmethod EAI to Disposed in CMDB.</x:t>
  </x:si>
  <x:si>
    <x:t xml:space="preserve">Change Webmethod EAI CI Status to Disposed in CMDB
1. WebMethods EAI (onCloud 10.7 External)
2. WebMethods EAI (onCloud 10.7 Internal)</x:t>
  </x:si>
  <x:si>
    <x:t xml:space="preserve">REQ000007870614</x:t>
  </x:si>
  <x:si>
    <x:t xml:space="preserve">553c9672-36e8-48ac-8730-da383cbf82ca</x:t>
  </x:si>
  <x:si>
    <x:t xml:space="preserve">CSSP10654103</x:t>
  </x:si>
  <x:si>
    <x:t xml:space="preserve">izmir.marzuki@petronas.com</x:t>
  </x:si>
  <x:si>
    <x:t xml:space="preserve">GoAnywhere MFT</x:t>
  </x:si>
  <x:si>
    <x:t xml:space="preserve">Provision of Hosting Infrastructure-as-a-Service (IaaS) for GoAnywhere MFT for PETRONAS Group</x:t>
  </x:si>
  <x:si>
    <x:t xml:space="preserve">saiful.zahari@petronas.com</x:t>
  </x:si>
  <x:si>
    <x:t xml:space="preserve">1) ptazsg1mftgofilestrggrs is not in used. 2) ptazsg5mftgofilestrglrs is not in used. 3) ptazsg5mftgostrglrs is not in used.</x:t>
  </x:si>
  <x:si>
    <x:t xml:space="preserve">Ensure that all related and non interdependent resources are also deleted eg snapshots and backup (if any)</x:t>
  </x:si>
  <x:si>
    <x:t xml:space="preserve">A-000342</x:t>
  </x:si>
  <x:si>
    <x:t xml:space="preserve">REQ000007850888</x:t>
  </x:si>
  <x:si>
    <x:t xml:space="preserve">75aa387d-efbb-4f36-b7e7-29d01ccacb86</x:t>
  </x:si>
  <x:si>
    <x:t xml:space="preserve">CSSP10892983</x:t>
  </x:si>
  <x:si>
    <x:t xml:space="preserve">mfaizal.salleh@petronas.com</x:t>
  </x:si>
  <x:si>
    <x:t xml:space="preserve">Malaysian Financial Reporting Standards - MFRS</x:t>
  </x:si>
  <x:si>
    <x:t xml:space="preserve">Implementation Malaysian Financial Reporting Standards (MFRS) Statutory Reporting (MFRS16) for PETRONAS Group of Companies</x:t>
  </x:si>
  <x:si>
    <x:t xml:space="preserve">Not in used - 
Resource not found 
ptsg4mfrsblobstrg
ptazsguatmfrsrgdiag
ptsg4mfrsfunc01strg
ptsg1mfrsblobstrg</x:t>
  </x:si>
  <x:si>
    <x:t xml:space="preserve">approval</x:t>
  </x:si>
  <x:si>
    <x:t xml:space="preserve">A-000461</x:t>
  </x:si>
  <x:si>
    <x:t xml:space="preserve">REQ000007851251</x:t>
  </x:si>
  <x:si>
    <x:t xml:space="preserve">34877244-ad85-4856-bd47-9fbef95c822d</x:t>
  </x:si>
  <x:si>
    <x:t xml:space="preserve">CSSP10245126</x:t>
  </x:si>
  <x:si>
    <x:t xml:space="preserve">hari.amirchow@petronas.com</x:t>
  </x:si>
  <x:si>
    <x:t xml:space="preserve">SAP 40 BPC</x:t>
  </x:si>
  <x:si>
    <x:t xml:space="preserve">Migration and Optimization of SAP P40 to BPC 10.1 using HANA Database for Group Financial Control (GFC)</x:t>
  </x:si>
  <x:si>
    <x:t xml:space="preserve">Issue with DB corruption. DB had to be restored in new server</x:t>
  </x:si>
  <x:si>
    <x:t xml:space="preserve">Old VM that has been replaced with new VM due to restore issue</x:t>
  </x:si>
  <x:si>
    <x:t xml:space="preserve">Due to a database corruption issue, the server was moved to a new VM. The old VM is no longer being used.</x:t>
  </x:si>
  <x:si>
    <x:t xml:space="preserve">Proceed to decommission listed VM.</x:t>
  </x:si>
  <x:si>
    <x:t xml:space="preserve">A-000723</x:t>
  </x:si>
  <x:si>
    <x:t xml:space="preserve">PSR05474</x:t>
  </x:si>
  <x:si>
    <x:t xml:space="preserve">REQ000007865007</x:t>
  </x:si>
  <x:si>
    <x:t xml:space="preserve">dbdae2f3-d153-4f86-aed1-be13cc473370</x:t>
  </x:si>
  <x:si>
    <x:t xml:space="preserve">CSSP10431985</x:t>
  </x:si>
  <x:si>
    <x:t xml:space="preserve">azad.johari@petronas.com</x:t>
  </x:si>
  <x:si>
    <x:t xml:space="preserve">Talent Analytics - TA</x:t>
  </x:si>
  <x:si>
    <x:t xml:space="preserve">VM for Talent Analytics POC</x:t>
  </x:si>
  <x:si>
    <x:t xml:space="preserve">PTSG-1TLDap01, PTSG-5TLDap01 not in used.</x:t>
  </x:si>
  <x:si>
    <x:t xml:space="preserve">no resource found. these 2 servers to be decomm PTSG-1TLDap01, PTSG-5TLDap01. both in AWS.</x:t>
  </x:si>
  <x:si>
    <x:t xml:space="preserve">Server PTSG-1TLDap01, PTSG-5TLDap01 not found, might has been decommissioned.</x:t>
  </x:si>
  <x:si>
    <x:t xml:space="preserve">A-000801</x:t>
  </x:si>
  <x:si>
    <x:t xml:space="preserve">8836aca8-9ff7-4684-975e-5433333a7be1</x:t>
  </x:si>
  <x:si>
    <x:t xml:space="preserve">CSSP10348510</x:t>
  </x:si>
  <x:si>
    <x:t xml:space="preserve">marziah.mahmod@petronas.com</x:t>
  </x:si>
  <x:si>
    <x:t xml:space="preserve">Plant Information - PI Enterprise</x:t>
  </x:si>
  <x:si>
    <x:t xml:space="preserve">CTP Old to New LZ - PI Enterprise</x:t>
  </x:si>
  <x:si>
    <x:t xml:space="preserve">DCOM20260204e88</x:t>
  </x:si>
  <x:si>
    <x:t xml:space="preserve">PTAWSG-1PIGDA01;10.102.21.191, PTAWSG-1PIGDA02;10.102.22.28</x:t>
  </x:si>
  <x:si>
    <x:t xml:space="preserve">Server consolidation as part of cost optimization for EPH.</x:t>
  </x:si>
  <x:si>
    <x:t xml:space="preserve">PTAWSG-1PIGDA01;10.102.21.191, PTAWSG-1PIGDA02;10.102.22.28 in AWS, PTAW-IAC-PROD-PEnT-Environment-01</x:t>
  </x:si>
  <x:si>
    <x:t xml:space="preserve">A-000568</x:t>
  </x:si>
  <x:si>
    <x:t xml:space="preserve">02421_71</x:t>
  </x:si>
  <x:si>
    <x:t xml:space="preserve">REQ000007889231</x:t>
  </x:si>
  <x:si>
    <x:t xml:space="preserve">a210e434-a6eb-4702-8acc-5a76408edc4b</x:t>
  </x:si>
  <x:si>
    <x:t xml:space="preserve">CSSP10650004</x:t>
  </x:si>
  <x:si>
    <x:t xml:space="preserve">syahadah.salleh@petronas.com</x:t>
  </x:si>
  <x:si>
    <x:t xml:space="preserve">SharePoint - SPO ShareGate Desktop</x:t>
  </x:si>
  <x:si>
    <x:t xml:space="preserve">Cloud Migration Program - Sharepoint ShareGate Desktop Migration</x:t>
  </x:si>
  <x:si>
    <x:t xml:space="preserve">na</x:t>
  </x:si>
  <x:si>
    <x:t xml:space="preserve">COC enforcement.</x:t>
  </x:si>
  <x:si>
    <x:t xml:space="preserve">Storage account not in use, 0 usage for past years.</x:t>
  </x:si>
  <x:si>
    <x:t xml:space="preserve">Decommission selected storage account, ptsg1spsgstrg</x:t>
  </x:si>
  <x:si>
    <x:t xml:space="preserve">A-000787</x:t>
  </x:si>
  <x:si>
    <x:t xml:space="preserve">00915_32</x:t>
  </x:si>
  <x:si>
    <x:t xml:space="preserve">REQ000007894393</x:t>
  </x:si>
  <x:si>
    <x:t xml:space="preserve">f191af8a-ec87-42d5-8835-d7dd954ffe0d</x:t>
  </x:si>
  <x:si>
    <x:t xml:space="preserve">CSSP10132385</x:t>
  </x:si>
  <x:si>
    <x:t xml:space="preserve">Lab Information Management System - LIMS PDB</x:t>
  </x:si>
  <x:si>
    <x:t xml:space="preserve">OCI MIGRATION - LIMS PDB</x:t>
  </x:si>
  <x:si>
    <x:t xml:space="preserve">sazali.mokhtar@petronas.com.my</x:t>
  </x:si>
  <x:si>
    <x:t xml:space="preserve">Cloud Repatriation - To decommission old resources in Singapore region due to completed migration in MY region.</x:t>
  </x:si>
  <x:si>
    <x:t xml:space="preserve">Decommission as per listed resources</x:t>
  </x:si>
  <x:si>
    <x:t xml:space="preserve">A-000426</x:t>
  </x:si>
  <x:si>
    <x:t xml:space="preserve">00915_209</x:t>
  </x:si>
  <x:si>
    <x:t xml:space="preserve">REQ000007859789</x:t>
  </x:si>
  <x:si>
    <x:t xml:space="preserve">8e017d90-1def-41d9-8d66-b921ead6c49f</x:t>
  </x:si>
  <x:si>
    <x:t xml:space="preserve">CSSP10359052</x:t>
  </x:si>
  <x:si>
    <x:t xml:space="preserve">OCI MIGRATION - Integrated Lab Information System (PDB)</x:t>
  </x:si>
  <x:si>
    <x:t xml:space="preserve">OCI-00021</x:t>
  </x:si>
  <x:si>
    <x:t xml:space="preserve">fe35be98-9b56-46d7-8e50-a9decc18c354</x:t>
  </x:si>
  <x:si>
    <x:t xml:space="preserve">CSSP10117120</x:t>
  </x:si>
  <x:si>
    <x:t xml:space="preserve">INCOTDA</x:t>
  </x:si>
  <x:si>
    <x:t xml:space="preserve">Provision of INCOTDA DevSecOps Programme Continuation for DFE</x:t>
  </x:si>
  <x:si>
    <x:t xml:space="preserve">Cloud Repatriation – Decommissioning legacy resources in the Singapore region following the completion of migration to the MY region.</x:t>
  </x:si>
  <x:si>
    <x:t xml:space="preserve">Proceed to decommission as listed resources in SG</x:t>
  </x:si>
  <x:si>
    <x:t xml:space="preserve">A-001220</x:t>
  </x:si>
  <x:si>
    <x:t xml:space="preserve">REQ000007859919</x:t>
  </x:si>
  <x:si>
    <x:t xml:space="preserve">f3175e11-9594-4bb3-924e-6372942fda80</x:t>
  </x:si>
  <x:si>
    <x:t xml:space="preserve">CSSP10845786</x:t>
  </x:si>
  <x:si>
    <x:t xml:space="preserve">ivanlim.choonkit@petronas.com</x:t>
  </x:si>
  <x:si>
    <x:t xml:space="preserve">Upstream Mobile Application</x:t>
  </x:si>
  <x:si>
    <x:t xml:space="preserve">Provision of Hosting Services for UP Mobile for Upstream Digital, PCSB</x:t>
  </x:si>
  <x:si>
    <x:t xml:space="preserve">https://up.petronas.com</x:t>
  </x:si>
  <x:si>
    <x:t xml:space="preserve">PSR03811</x:t>
  </x:si>
  <x:si>
    <x:t xml:space="preserve">DPIA activity to decomm unused resources</x:t>
  </x:si>
  <x:si>
    <x:t xml:space="preserve">Reviewed and approved</x:t>
  </x:si>
  <x:si>
    <x:t xml:space="preserve">To cancelled</x:t>
  </x:si>
  <x:si>
    <x:t xml:space="preserve">A-000823</x:t>
  </x:si>
  <x:si>
    <x:t xml:space="preserve">PSR05960</x:t>
  </x:si>
  <x:si>
    <x:t xml:space="preserve">5c1c127f-8997-41a6-97f4-d365211cc1ea</x:t>
  </x:si>
  <x:si>
    <x:t xml:space="preserve">CSSP10957330</x:t>
  </x:si>
  <x:si>
    <x:t xml:space="preserve">003UD1-001</x:t>
  </x:si>
  <x:si>
    <x:t xml:space="preserve">[DPIA] - To decomm resources that are unused</x:t>
  </x:si>
  <x:si>
    <x:t xml:space="preserve">72939741-a7d4-497b-b140-3cc5701f0c81</x:t>
  </x:si>
  <x:si>
    <x:t xml:space="preserve">CSSP10249306</x:t>
  </x:si>
  <x:si>
    <x:t xml:space="preserve">Provision of Production Environment (Microsoft Azure Cloud Services) Hosting for Upstream Mobile Application for Operational Excellence (OE), PCSB - PCSB Integrated Operations (IO) Up-Mobile Infrastructure (Mobile App) - Production</x:t>
  </x:si>
  <x:si>
    <x:t xml:space="preserve">[DPIA] - Decomm resources that is not in used</x:t>
  </x:si>
  <x:si>
    <x:t xml:space="preserve">[DPIA] Upstream Mobile Application - To decomm unused resources</x:t>
  </x:si>
  <x:si>
    <x:t xml:space="preserve">Decommission selected resources</x:t>
  </x:si>
  <x:si>
    <x:t xml:space="preserve">PSR04596</x:t>
  </x:si>
  <x:si>
    <x:t xml:space="preserve">REQ000007865931</x:t>
  </x:si>
  <x:si>
    <x:t xml:space="preserve">da65f520-e4d4-4105-99d5-f281e22b9290</x:t>
  </x:si>
  <x:si>
    <x:t xml:space="preserve">CSSP10921166</x:t>
  </x:si>
  <x:si>
    <x:t xml:space="preserve">siddiq.faiz@petronas.com</x:t>
  </x:si>
  <x:si>
    <x:t xml:space="preserve">GPU Technical Centre (GTC) and Barrier Management Tools</x:t>
  </x:si>
  <x:si>
    <x:t xml:space="preserve">syaiful_hendra@petronas.com</x:t>
  </x:si>
  <x:si>
    <x:t xml:space="preserve">To decommission ONLY the following server, as it is no longer in use:
Server Function: System 1 Fleet Server
Hostname: CENPGTCSFLAP01
S/N: 8G6WB33
IP Address: 10.14.21.59</x:t>
  </x:si>
  <x:si>
    <x:t xml:space="preserve">agreed to decomm  1 server out of 3 server. System 1 Evo still functional as normal with remaining 2 server.</x:t>
  </x:si>
  <x:si>
    <x:t xml:space="preserve">Proceed to decommission physical server in KVDC.</x:t>
  </x:si>
  <x:si>
    <x:t xml:space="preserve">A-001321</x:t>
  </x:si>
  <x:si>
    <x:t xml:space="preserve">PSR1014</x:t>
  </x:si>
  <x:si>
    <x:t xml:space="preserve">REQ000007866855</x:t>
  </x:si>
  <x:si>
    <x:t xml:space="preserve">f3a70e1e-5ccf-44c1-84c2-5513331284a8</x:t>
  </x:si>
  <x:si>
    <x:t xml:space="preserve">CSSP10827404</x:t>
  </x:si>
  <x:si>
    <x:t xml:space="preserve">mzurfaiezzuddin.zur@petronas.com</x:t>
  </x:si>
  <x:si>
    <x:t xml:space="preserve">Wells DROID</x:t>
  </x:si>
  <x:si>
    <x:t xml:space="preserve">Cloud Migration - Wells Droid 2.0</x:t>
  </x:si>
  <x:si>
    <x:t xml:space="preserve">Reviewed and approved from 40,000 feet above the sea. All the best!</x:t>
  </x:si>
  <x:si>
    <x:t xml:space="preserve">Repat - Decommission as listed</x:t>
  </x:si>
  <x:si>
    <x:t xml:space="preserve">A-000859</x:t>
  </x:si>
  <x:si>
    <x:t xml:space="preserve">00915_133</x:t>
  </x:si>
  <x:si>
    <x:t xml:space="preserve">REQ000007870571</x:t>
  </x:si>
  <x:si>
    <x:t xml:space="preserve">693955db-9694-4d71-86ee-fc7e801a69fc</x:t>
  </x:si>
  <x:si>
    <x:t xml:space="preserve">CSSP10431237</x:t>
  </x:si>
  <x:si>
    <x:t xml:space="preserve">Quality Practitioner Registration Scheme - QPRS</x:t>
  </x:si>
  <x:si>
    <x:t xml:space="preserve">[PMOF] Development of Quality Practitioner Registration Scheme (QPRS) for GPD</x:t>
  </x:si>
  <x:si>
    <x:t xml:space="preserve">Special approval from 40,000 ft above the sea.</x:t>
  </x:si>
  <x:si>
    <x:t xml:space="preserve">A-000632</x:t>
  </x:si>
  <x:si>
    <x:t xml:space="preserve">REQ000007870658</x:t>
  </x:si>
  <x:si>
    <x:t xml:space="preserve">fa8b8055-6eae-4c8b-acc0-4c51be888c92</x:t>
  </x:si>
  <x:si>
    <x:t xml:space="preserve">CSSP10192804</x:t>
  </x:si>
  <x:si>
    <x:t xml:space="preserve">Daily Staff Self Check-In</x:t>
  </x:si>
  <x:si>
    <x:t xml:space="preserve">Implementation of Daily Staff Self Check-in Function for PD&amp;T</x:t>
  </x:si>
  <x:si>
    <x:t xml:space="preserve">RGs ptazsg-prod-sscf-rg and ptazsg-dev-sscf-rg is no longer use.</x:t>
  </x:si>
  <x:si>
    <x:t xml:space="preserve">All the resources under RGs ptazsg-prod-sscf-rg and ptazsg-dev-sscf-rg are no longer in use.</x:t>
  </x:si>
  <x:si>
    <x:t xml:space="preserve">Proceed the mentioned RG</x:t>
  </x:si>
  <x:si>
    <x:t xml:space="preserve">A-000791</x:t>
  </x:si>
  <x:si>
    <x:t xml:space="preserve">REQ000007881184</x:t>
  </x:si>
  <x:si>
    <x:t xml:space="preserve">1e270ca8-36b1-40e1-8e64-cd57b362f487</x:t>
  </x:si>
  <x:si>
    <x:t xml:space="preserve">CSSP10232771</x:t>
  </x:si>
  <x:si>
    <x:t xml:space="preserve">Request to delete the resource under RG ptazsg-dev-pdb-rg, as it is no longer required by PUSPA+ REAL Dashboard on post‑decommissioning of PUSPA in Sept 2024</x:t>
  </x:si>
  <x:si>
    <x:t xml:space="preserve">All the resources under RG ptazsg-dev-pdb-rg, are no longer required</x:t>
  </x:si>
  <x:si>
    <x:t xml:space="preserve">This request is a duplicate of REQ000007881185/CSSP10853444 for decommissioning resources under resource group ptazsg-dev-pdb-rg.</x:t>
  </x:si>
  <x:si>
    <x:t xml:space="preserve">REQ000007881744</x:t>
  </x:si>
  <x:si>
    <x:t xml:space="preserve">0f17e0cb-5535-4b0c-89d0-fb5eea0677e2</x:t>
  </x:si>
  <x:si>
    <x:t xml:space="preserve">CSSP10454800</x:t>
  </x:si>
  <x:si>
    <x:t xml:space="preserve">sulaiman.tawil@petronas.com</x:t>
  </x:si>
  <x:si>
    <x:t xml:space="preserve">Facial Recognition - FR</x:t>
  </x:si>
  <x:si>
    <x:t xml:space="preserve">Implementation of Facial Recognition (FR) for PETRONAS LNG Complex for Group Security, GHSSE</x:t>
  </x:si>
  <x:si>
    <x:t xml:space="preserve">DCOM20260210ef0</x:t>
  </x:si>
  <x:si>
    <x:t xml:space="preserve">sulaiman.tawil@petronas.com.my</x:t>
  </x:si>
  <x:si>
    <x:t xml:space="preserve">DPIA and Server not in used as confirmed by Fazreel (GS)</x:t>
  </x:si>
  <x:si>
    <x:t xml:space="preserve">Please proceed.</x:t>
  </x:si>
  <x:si>
    <x:t xml:space="preserve">To change the resource to be decommissioned</x:t>
  </x:si>
  <x:si>
    <x:t xml:space="preserve">A-000325</x:t>
  </x:si>
  <x:si>
    <x:t xml:space="preserve">ba5c1654-d2df-44fe-b524-7bc1f0f471ca</x:t>
  </x:si>
  <x:si>
    <x:t xml:space="preserve">CSSP10652416</x:t>
  </x:si>
  <x:si>
    <x:t xml:space="preserve">REAL Implementation of Facial Recognition Centralize Cloud Server for PETRONAS</x:t>
  </x:si>
  <x:si>
    <x:t xml:space="preserve">DCOM2026021063c</x:t>
  </x:si>
  <x:si>
    <x:t xml:space="preserve">DPIA and Server not in used as confirmed by Fazreel (GS).</x:t>
  </x:si>
  <x:si>
    <x:t xml:space="preserve">To change the resource to be decommissioned.</x:t>
  </x:si>
  <x:si>
    <x:t xml:space="preserve">307e04f0-f6f5-4c92-bd50-5dedff02ddd3</x:t>
  </x:si>
  <x:si>
    <x:t xml:space="preserve">CSSP10352771</x:t>
  </x:si>
  <x:si>
    <x:t xml:space="preserve">anisaufa.mohamadafif@petronas.com</x:t>
  </x:si>
  <x:si>
    <x:t xml:space="preserve">Enterprise Data Hub - EDH</x:t>
  </x:si>
  <x:si>
    <x:t xml:space="preserve">PETRONAS Enterprise Data Hub</x:t>
  </x:si>
  <x:si>
    <x:t xml:space="preserve">sahrilnizam.ismail@petronas.com</x:t>
  </x:si>
  <x:si>
    <x:t xml:space="preserve">To decommission EDH DQ Servers as the resources have been successfully replicated to Talend Common. EDH Team Leads have also approved to decommission (refer attached email).</x:t>
  </x:si>
  <x:si>
    <x:t xml:space="preserve">Submitting for servers tagged to 'AZ-EDH'.</x:t>
  </x:si>
  <x:si>
    <x:t xml:space="preserve">Reviewed.</x:t>
  </x:si>
  <x:si>
    <x:t xml:space="preserve">Decommission VM ptsg-5edhapp03 &amp; ptsg-5edhapp02</x:t>
  </x:si>
  <x:si>
    <x:t xml:space="preserve">same request with CSSP10360167</x:t>
  </x:si>
  <x:si>
    <x:t xml:space="preserve">A-000262</x:t>
  </x:si>
  <x:si>
    <x:t xml:space="preserve">AZ-EDH</x:t>
  </x:si>
  <x:si>
    <x:t xml:space="preserve">REQ000007870651</x:t>
  </x:si>
  <x:si>
    <x:t xml:space="preserve">126fc6de-ea9c-46a0-9c7e-c29dfb3febc8</x:t>
  </x:si>
  <x:si>
    <x:t xml:space="preserve">CSSP10985343</x:t>
  </x:si>
  <x:si>
    <x:t xml:space="preserve">CRAFT</x:t>
  </x:si>
  <x:si>
    <x:t xml:space="preserve">Dear Decomm team, please have a review the attachment</x:t>
  </x:si>
  <x:si>
    <x:t xml:space="preserve">Reviewed and approved from 40,000 feet above the sea.
All the best!</x:t>
  </x:si>
  <x:si>
    <x:t xml:space="preserve">A-000147</x:t>
  </x:si>
  <x:si>
    <x:t xml:space="preserve">REQ000007870656</x:t>
  </x:si>
  <x:si>
    <x:t xml:space="preserve">7f3f188d-bb52-4b76-8bed-fdedd6cb18c1</x:t>
  </x:si>
  <x:si>
    <x:t xml:space="preserve">CSSP10360167</x:t>
  </x:si>
  <x:si>
    <x:t xml:space="preserve">Submitting for servers tagged to '01116'.</x:t>
  </x:si>
  <x:si>
    <x:t xml:space="preserve">Decommission VM ptsg-1edhtjs03</x:t>
  </x:si>
  <x:si>
    <x:t xml:space="preserve">REQ000007870564</x:t>
  </x:si>
  <x:si>
    <x:t xml:space="preserve">08c5365a-16b3-41fc-bfe3-7daffa28ac1a</x:t>
  </x:si>
  <x:si>
    <x:t xml:space="preserve">CSSP10566358</x:t>
  </x:si>
  <x:si>
    <x:t xml:space="preserve">krishnamurthy.s@petronas.com</x:t>
  </x:si>
  <x:si>
    <x:t xml:space="preserve">Raphael R4 - Development of Analytics on GasLNG Products Forecast</x:t>
  </x:si>
  <x:si>
    <x:t xml:space="preserve">Project Raphael R4 - Analytics on Gas/LNG Products Forecast</x:t>
  </x:si>
  <x:si>
    <x:t xml:space="preserve">gopabandhu.patr@petronas.com.my</x:t>
  </x:si>
  <x:si>
    <x:t xml:space="preserve">Request to decom the attached resources that no longer used in ArBiTra  Project / Modules.</x:t>
  </x:si>
  <x:si>
    <x:t xml:space="preserve">Request to decom the attached partial resources that no longer used in ArBiTra Project / Modules.</x:t>
  </x:si>
  <x:si>
    <x:t xml:space="preserve">gopabandhu.patr@petronas.com</x:t>
  </x:si>
  <x:si>
    <x:t xml:space="preserve">A-000700</x:t>
  </x:si>
  <x:si>
    <x:t xml:space="preserve">42cc3a15-3492-48d1-a862-b7d6e7d993c9</x:t>
  </x:si>
  <x:si>
    <x:t xml:space="preserve">CSSP10445227</x:t>
  </x:si>
  <x:si>
    <x:t xml:space="preserve">Request to decom the attached resources that no longer used in ArBiTra Project / Modules.</x:t>
  </x:si>
  <x:si>
    <x:t xml:space="preserve">41e0c03f-1a30-4945-a168-216e63abeaef</x:t>
  </x:si>
  <x:si>
    <x:t xml:space="preserve">CSSP10401822</x:t>
  </x:si>
  <x:si>
    <x:t xml:space="preserve">nurainnasiha.ibrahi@petronas.com</x:t>
  </x:si>
  <x:si>
    <x:t xml:space="preserve">Drillbench and Engineering Desktop - EDT</x:t>
  </x:si>
  <x:si>
    <x:t xml:space="preserve">Cloud Migration- Drillbench &amp;EDM (EDT)</x:t>
  </x:si>
  <x:si>
    <x:t xml:space="preserve">dsa</x:t>
  </x:si>
  <x:si>
    <x:t xml:space="preserve">sdsa</x:t>
  </x:si>
  <x:si>
    <x:t xml:space="preserve">sdd</x:t>
  </x:si>
  <x:si>
    <x:t xml:space="preserve">saas</x:t>
  </x:si>
  <x:si>
    <x:t xml:space="preserve">A-000270</x:t>
  </x:si>
  <x:si>
    <x:t xml:space="preserve">02421_30</x:t>
  </x:si>
  <x:si>
    <x:t xml:space="preserve">a853efc9-7d4d-4c3f-9cfa-a0ac6fb33d8f</x:t>
  </x:si>
  <x:si>
    <x:t xml:space="preserve">CSSP10873376</x:t>
  </x:si>
  <x:si>
    <x:t xml:space="preserve">Please decom the resources as attached excel sheet mentioned</x:t>
  </x:si>
  <x:si>
    <x:t xml:space="preserve">Please decom the resources mentioned in attachment</x:t>
  </x:si>
  <x:si>
    <x:t xml:space="preserve">Proceed to decommission as per listed in attachment</x:t>
  </x:si>
  <x:si>
    <x:t xml:space="preserve">REQ000007885481</x:t>
  </x:si>
  <x:si>
    <x:t xml:space="preserve">150c05a0-82fb-4c54-95ee-10cfc114a4b9</x:t>
  </x:si>
  <x:si>
    <x:t xml:space="preserve">CSSP10248892</x:t>
  </x:si>
  <x:si>
    <x:t xml:space="preserve">Electronic Permit To Work - ePTW KPOC</x:t>
  </x:si>
  <x:si>
    <x:t xml:space="preserve">Implementation of ePTW system and Support &amp; Maintenance for Kebabangan Petroleum Operating Company Sdn. Bhd (KPOC) for Virtus IP Sdn Bhd - ePTW Commercial (Production) (Formelrly known as: ePTW (KPOC))</x:t>
  </x:si>
  <x:si>
    <x:t xml:space="preserve">To cleanup VirtusIP residual in Azure</x:t>
  </x:si>
  <x:si>
    <x:t xml:space="preserve">selected resources in viazsg</x:t>
  </x:si>
  <x:si>
    <x:t xml:space="preserve">VirtusIP resources cleanup</x:t>
  </x:si>
  <x:si>
    <x:t xml:space="preserve">assigned to ismail</x:t>
  </x:si>
  <x:si>
    <x:t xml:space="preserve">all completed</x:t>
  </x:si>
  <x:si>
    <x:t xml:space="preserve">A-000295</x:t>
  </x:si>
  <x:si>
    <x:t xml:space="preserve">REQ000007880365</x:t>
  </x:si>
  <x:si>
    <x:t xml:space="preserve">b8f3fb2f-5d9e-4794-a148-753de99b860d</x:t>
  </x:si>
  <x:si>
    <x:t xml:space="preserve">CSSP10609067</x:t>
  </x:si>
  <x:si>
    <x:t xml:space="preserve">Cyber Security Microsoft Defender</x:t>
  </x:si>
  <x:si>
    <x:t xml:space="preserve">OSR00165: Procurement and Infrastructure Deployment for Cyber Defense (Pilot Phase) - Subscription for CyberSec of Microsoft Defender ATP (MDATP)</x:t>
  </x:si>
  <x:si>
    <x:t xml:space="preserve">A-000158</x:t>
  </x:si>
  <x:si>
    <x:t xml:space="preserve">OSR00165_7</x:t>
  </x:si>
  <x:si>
    <x:t xml:space="preserve">91b18b9e-1723-431e-8736-f5ae05ca633d</x:t>
  </x:si>
  <x:si>
    <x:t xml:space="preserve">CSSP10597742</x:t>
  </x:si>
  <x:si>
    <x:t xml:space="preserve">azani.matjusoh@petronas.com</x:t>
  </x:si>
  <x:si>
    <x:t xml:space="preserve">PERFECT</x:t>
  </x:si>
  <x:si>
    <x:t xml:space="preserve">[Elec. Monitoring] Enhancements Support and Maintenance of PERFECT for GTS</x:t>
  </x:si>
  <x:si>
    <x:t xml:space="preserve">thanaletchumi.s@petronas.com.my</x:t>
  </x:si>
  <x:si>
    <x:t xml:space="preserve">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x:t>
  </x:si>
  <x:si>
    <x:t xml:space="preserve">To proceed with decommissioning AWS infrastructures (VM) as below: 
1. PTAWSG-1ESMRT01, 10.77.45.79 - production
2. PTAWSG-4ESMRT01, 10.75.66.167 - staging</x:t>
  </x:si>
  <x:si>
    <x:t xml:space="preserve">thanaletchumi.s@petronas.com</x:t>
  </x:si>
  <x:si>
    <x:t xml:space="preserve">Proceed to decomm vm and related resources</x:t>
  </x:si>
  <x:si>
    <x:t xml:space="preserve">A-000557</x:t>
  </x:si>
  <x:si>
    <x:t xml:space="preserve">REQ000007914988</x:t>
  </x:si>
  <x:si>
    <x:t xml:space="preserve">b0fdcf20-8802-47e8-a3f0-c1aa2df7ac20</x:t>
  </x:si>
  <x:si>
    <x:t xml:space="preserve">CSSP10898265</x:t>
  </x:si>
  <x:si>
    <x:t xml:space="preserve">Alpha LNG Tech Refactoring and Modernization (TEV)</x:t>
  </x:si>
  <x:si>
    <x:t xml:space="preserve">Not in use (migrated to NLZ)</x:t>
  </x:si>
  <x:si>
    <x:t xml:space="preserve">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x:t>
  </x:si>
  <x:si>
    <x:t xml:space="preserve">No resources has been found</x:t>
  </x:si>
  <x:si>
    <x:t xml:space="preserve">REQ000008009891</x:t>
  </x:si>
  <x:si>
    <x:t xml:space="preserve">ae54af02-6e4d-4f49-8346-c35ceb7e8122</x:t>
  </x:si>
  <x:si>
    <x:t xml:space="preserve">CSSP10682082</x:t>
  </x:si>
  <x:si>
    <x:t xml:space="preserve">Lab Information Management System - LIMS MRCSB</x:t>
  </x:si>
  <x:si>
    <x:t xml:space="preserve">OCI MIGRATION - Lab Information Management System (LIMS) for MRCSB</x:t>
  </x:si>
  <x:si>
    <x:t xml:space="preserve">Old resources in SG - Applications successfully migrated to MY.</x:t>
  </x:si>
  <x:si>
    <x:t xml:space="preserve">A-000424</x:t>
  </x:si>
  <x:si>
    <x:t xml:space="preserve">00915_93</x:t>
  </x:si>
  <x:si>
    <x:t xml:space="preserve">REQ000007889241</x:t>
  </x:si>
  <x:si>
    <x:t xml:space="preserve">f25143e8-a18a-4de4-8dee-a45563e349c8</x:t>
  </x:si>
  <x:si>
    <x:t xml:space="preserve">CSSP10223994</x:t>
  </x:si>
  <x:si>
    <x:t xml:space="preserve">OCI MIGRATION - Integrated Lab Information System (MRCSB)</x:t>
  </x:si>
  <x:si>
    <x:t xml:space="preserve">OCI-00017</x:t>
  </x:si>
  <x:si>
    <x:t xml:space="preserve">REQ000007889242</x:t>
  </x:si>
  <x:si>
    <x:t xml:space="preserve">9c1f7e42-00f1-4054-8ce3-dbda16277e49</x:t>
  </x:si>
  <x:si>
    <x:t xml:space="preserve">CSSP10451863</x:t>
  </x:si>
  <x:si>
    <x:t xml:space="preserve">Lab Information Management System - LIMS PRSB</x:t>
  </x:si>
  <x:si>
    <x:t xml:space="preserve">OCI MIGRATION - Lab Information Management System (LIMS) for PRSB</x:t>
  </x:si>
  <x:si>
    <x:t xml:space="preserve">A-000431</x:t>
  </x:si>
  <x:si>
    <x:t xml:space="preserve">00915_92</x:t>
  </x:si>
  <x:si>
    <x:t xml:space="preserve">REQ000007889248</x:t>
  </x:si>
  <x:si>
    <x:t xml:space="preserve">7be0516f-35a2-4781-9676-c3f3a461fab1</x:t>
  </x:si>
  <x:si>
    <x:t xml:space="preserve">CSSP10452749</x:t>
  </x:si>
  <x:si>
    <x:t xml:space="preserve">OCI-00020</x:t>
  </x:si>
  <x:si>
    <x:t xml:space="preserve">REQ000007889247</x:t>
  </x:si>
  <x:si>
    <x:t xml:space="preserve">bc4071a9-0344-4fe0-bd07-c41612075aef</x:t>
  </x:si>
  <x:si>
    <x:t xml:space="preserve">CSSP10542876</x:t>
  </x:si>
  <x:si>
    <x:t xml:space="preserve">nurainhayati.zahari@petronas.com</x:t>
  </x:si>
  <x:si>
    <x:t xml:space="preserve">Regas Management System - RMS</x:t>
  </x:si>
  <x:si>
    <x:t xml:space="preserve">Regas Management System (RMS) 2.0 for RGTSU</x:t>
  </x:si>
  <x:si>
    <x:t xml:space="preserve">A-000692</x:t>
  </x:si>
  <x:si>
    <x:t xml:space="preserve">REQ000007889252</x:t>
  </x:si>
  <x:si>
    <x:t xml:space="preserve">adf27da8-9b51-4185-86b1-94c5ae38b69a</x:t>
  </x:si>
  <x:si>
    <x:t xml:space="preserve">CSSP10301277</x:t>
  </x:si>
  <x:si>
    <x:t xml:space="preserve">haslina.hashim@petronas.com</x:t>
  </x:si>
  <x:si>
    <x:t xml:space="preserve">Corrective Action Key to No Accident - iCAKNA</x:t>
  </x:si>
  <x:si>
    <x:t xml:space="preserve">OCI MIGRATION - ICAKNA</x:t>
  </x:si>
  <x:si>
    <x:t xml:space="preserve">Please proceed as attached</x:t>
  </x:si>
  <x:si>
    <x:t xml:space="preserve">A-000364</x:t>
  </x:si>
  <x:si>
    <x:t xml:space="preserve">OCI-00005</x:t>
  </x:si>
  <x:si>
    <x:t xml:space="preserve">REQ000007889819</x:t>
  </x:si>
  <x:si>
    <x:t xml:space="preserve">d8f705b2-6e8f-49f6-8dd8-ae6d5e43e2ed</x:t>
  </x:si>
  <x:si>
    <x:t xml:space="preserve">CSSP10953444</x:t>
  </x:si>
  <x:si>
    <x:t xml:space="preserve">The Application within these resources/servers already decommission in Dec 2025. We want to proceed with the resources decommission for SP2019 farm.</x:t>
  </x:si>
  <x:si>
    <x:t xml:space="preserve">All selected resource was confirmed to decommission since there is no application within the server anymore.</x:t>
  </x:si>
  <x:si>
    <x:t xml:space="preserve">REQ000007894394</x:t>
  </x:si>
  <x:si>
    <x:t xml:space="preserve">5b80ce02-9b7b-44df-9c5d-6afe46f80060</x:t>
  </x:si>
  <x:si>
    <x:t xml:space="preserve">CSSP10460886</x:t>
  </x:si>
  <x:si>
    <x:t xml:space="preserve">yuslinda.mustapha@petronas.com</x:t>
  </x:si>
  <x:si>
    <x:t xml:space="preserve">Eticketing system</x:t>
  </x:si>
  <x:si>
    <x:t xml:space="preserve">Cloud Migration Program - eticketing system</x:t>
  </x:si>
  <x:si>
    <x:t xml:space="preserve">faizalakhtar.abdulla@petronas.com.my</x:t>
  </x:si>
  <x:si>
    <x:t xml:space="preserve">DPIA Remediation to decomm etsdstrglrs</x:t>
  </x:si>
  <x:si>
    <x:t xml:space="preserve">Kindly approve of DPIA remediation to decomm etsdstrglrs</x:t>
  </x:si>
  <x:si>
    <x:t xml:space="preserve">faizalakhtar.abdulla@petronas.com</x:t>
  </x:si>
  <x:si>
    <x:t xml:space="preserve">The etsdstrglrs is currently inactive and not used by the vendor; hence, it is recommended for decommissioning.</x:t>
  </x:si>
  <x:si>
    <x:t xml:space="preserve">Decommission storage account etsdstrglrs</x:t>
  </x:si>
  <x:si>
    <x:t xml:space="preserve">A-000310</x:t>
  </x:si>
  <x:si>
    <x:t xml:space="preserve">02421_78</x:t>
  </x:si>
  <x:si>
    <x:t xml:space="preserve">REQ000007894758</x:t>
  </x:si>
  <x:si>
    <x:t xml:space="preserve">63795a02-cc7c-47b3-b79e-12cf67d7e97d</x:t>
  </x:si>
  <x:si>
    <x:t xml:space="preserve">CSSP10743566</x:t>
  </x:si>
  <x:si>
    <x:t xml:space="preserve">mfaris.abubakar@petronas.com</x:t>
  </x:si>
  <x:si>
    <x:t xml:space="preserve">M365 Provisioning Engine - PE</x:t>
  </x:si>
  <x:si>
    <x:t xml:space="preserve">M365 - WS7- Connect Workplace: Self Provisioning (Modern Workplace Provisioning Engine)</x:t>
  </x:si>
  <x:si>
    <x:t xml:space="preserve">not in used</x:t>
  </x:si>
  <x:si>
    <x:t xml:space="preserve">Resource Group not in used:
PTAZSG-DEV-M365-PE-RG
PTAZSG-UAT-M365-PE-RG</x:t>
  </x:si>
  <x:si>
    <x:t xml:space="preserve">Completed deleted. except disk 2 below as the VM is not selected to be delete.
ptsg-4peap01_osdisk_1_7e9c81932348432f88ee3363bcdd5c01 
ptsg-5peap01_osdisk_1_b2a8eb8c92eb4948bcd89c471fa7cff8</x:t>
  </x:si>
  <x:si>
    <x:t xml:space="preserve">A-000446</x:t>
  </x:si>
  <x:si>
    <x:t xml:space="preserve">00916_1</x:t>
  </x:si>
  <x:si>
    <x:t xml:space="preserve">REQ000007894396</x:t>
  </x:si>
  <x:si>
    <x:t xml:space="preserve">d2475fce-5264-4565-9016-0c2c01261da6</x:t>
  </x:si>
  <x:si>
    <x:t xml:space="preserve">CSSP10700193</x:t>
  </x:si>
  <x:si>
    <x:t xml:space="preserve">sitizuraidah.mramli@petronas.com</x:t>
  </x:si>
  <x:si>
    <x:t xml:space="preserve">Enterprise Service Management - ESM</x:t>
  </x:si>
  <x:si>
    <x:t xml:space="preserve">Cloud Migration Program - Enterprise Service Management</x:t>
  </x:si>
  <x:si>
    <x:t xml:space="preserve">DCOM202602257c6</x:t>
  </x:si>
  <x:si>
    <x:t xml:space="preserve">norazmanz@petronas.com.my</x:t>
  </x:si>
  <x:si>
    <x:t xml:space="preserve">agent.picssc.petronas.com, system.picssc.petronas.com, picssc.petronas.com, servicebroker.picssc.petronas.com, report.picssc.petronas.com, login.picssc.petronas.com</x:t>
  </x:si>
  <x:si>
    <x:t xml:space="preserve">No longer in used and no backup is required as the required reports have already been extracted and stored in the PRPC repository.</x:t>
  </x:si>
  <x:si>
    <x:t xml:space="preserve">All good. Pls proceed to decomm. Thanks</x:t>
  </x:si>
  <x:si>
    <x:t xml:space="preserve">norazmanz@petronas.com</x:t>
  </x:si>
  <x:si>
    <x:t xml:space="preserve">Proceed as per plan</x:t>
  </x:si>
  <x:si>
    <x:t xml:space="preserve">Decommission resources and DNS</x:t>
  </x:si>
  <x:si>
    <x:t xml:space="preserve">A-000306</x:t>
  </x:si>
  <x:si>
    <x:t xml:space="preserve">02421_92</x:t>
  </x:si>
  <x:si>
    <x:t xml:space="preserve">REQ000007919544</x:t>
  </x:si>
  <x:si>
    <x:t xml:space="preserve">27dddc97-26cb-464b-aa2e-794ce099e006</x:t>
  </x:si>
  <x:si>
    <x:t xml:space="preserve">CSSP10667841</x:t>
  </x:si>
  <x:si>
    <x:t xml:space="preserve">maxim.nawangwe@petronas.com</x:t>
  </x:si>
  <x:si>
    <x:t xml:space="preserve">Danger Dodgers</x:t>
  </x:si>
  <x:si>
    <x:t xml:space="preserve">Pilot Deployment of Danger Dodgers at PCFK</x:t>
  </x:si>
  <x:si>
    <x:t xml:space="preserve">bryan.dewitt@petronas.com</x:t>
  </x:si>
  <x:si>
    <x:t xml:space="preserve">Moving out of the pilot phase to our first release, we intend to decommision the following:
- Danger Dodgers Incognito Instance
- Danger Dodgers S3 Instance
The old cloudfront was repurposed to point to the new S3 instance, we do not need to decommission that.</x:t>
  </x:si>
  <x:si>
    <x:t xml:space="preserve">AWS congnito should also be decommed, but it's not in the list above.</x:t>
  </x:si>
  <x:si>
    <x:t xml:space="preserve">Proceed to decomm listed resources and PTAWSG-IAC-PROD-DANGERDODGERS-UserPool (Cognito)</x:t>
  </x:si>
  <x:si>
    <x:t xml:space="preserve">A-000192</x:t>
  </x:si>
  <x:si>
    <x:t xml:space="preserve">REQ000007906650</x:t>
  </x:si>
  <x:si>
    <x:t xml:space="preserve">e8690469-1ca2-4af5-927c-1c4c47bbe31c</x:t>
  </x:si>
  <x:si>
    <x:t xml:space="preserve">CSSP10315344</x:t>
  </x:si>
  <x:si>
    <x:t xml:space="preserve">mfazreel.mfaridazme@petronas.com</x:t>
  </x:si>
  <x:si>
    <x:t xml:space="preserve">nursharul.mnor@petronas.com</x:t>
  </x:si>
  <x:si>
    <x:t xml:space="preserve">DPIA</x:t>
  </x:si>
  <x:si>
    <x:t xml:space="preserve">e0ec58c4-f7eb-47a1-94f5-708818f71ef4</x:t>
  </x:si>
  <x:si>
    <x:t xml:space="preserve">CSSP10620367</x:t>
  </x:si>
  <x:si>
    <x:t xml:space="preserve">DCOM20260227572</x:t>
  </x:si>
  <x:si>
    <x:t xml:space="preserve">284b73f8-a90b-4f1a-8573-b7fc886dee5d</x:t>
  </x:si>
  <x:si>
    <x:t xml:space="preserve">CSSP10126661</x:t>
  </x:si>
  <x:si>
    <x:t xml:space="preserve">MyINSIGHTS</x:t>
  </x:si>
  <x:si>
    <x:t xml:space="preserve">myINSIGHTS</x:t>
  </x:si>
  <x:si>
    <x:t xml:space="preserve">Please proceed. Refer to attached list</x:t>
  </x:si>
  <x:si>
    <x:t xml:space="preserve">Old resources in Singapore - Repat completed.</x:t>
  </x:si>
  <x:si>
    <x:t xml:space="preserve">Decommission listed resources. Refer to attachment for confirmation.</x:t>
  </x:si>
  <x:si>
    <x:t xml:space="preserve">A-000484</x:t>
  </x:si>
  <x:si>
    <x:t xml:space="preserve">REQ000007919360</x:t>
  </x:si>
  <x:si>
    <x:t xml:space="preserve">0180d9e4-6521-45d6-b7f1-f8849d558667</x:t>
  </x:si>
  <x:si>
    <x:t xml:space="preserve">CSSP10562704</x:t>
  </x:si>
  <x:si>
    <x:t xml:space="preserve">muhamadhafiz.muham@petronas.com</x:t>
  </x:si>
  <x:si>
    <x:t xml:space="preserve">Go Dashboard - GGO</x:t>
  </x:si>
  <x:si>
    <x:t xml:space="preserve">GO Dashboard DevOps 2025</x:t>
  </x:si>
  <x:si>
    <x:t xml:space="preserve">go.petronas.com</x:t>
  </x:si>
  <x:si>
    <x:t xml:space="preserve">The system is being decommissioned as it is no longer in use and has no current or foreseeable business requirement.</x:t>
  </x:si>
  <x:si>
    <x:t xml:space="preserve">To decommission database below
1. Non-prod (407331559142)
Host: ptawsg-5ggodb01.c444fcimx0qx.ap-southeast-1.rds.amazonaws.com
2. Prod (947558275301)
Host: ptawsg-1ggodb01-extendedrds.c9qfkmwd4m57.ap-southeast-1.rds.amazonaws.com</x:t>
  </x:si>
  <x:si>
    <x:t xml:space="preserve">Please proceed</x:t>
  </x:si>
  <x:si>
    <x:t xml:space="preserve">1. Non-prod (407331559142) Host: ptawsg-5ggodb01.c444fcimx0qx.ap-southeast-1.rds.amazonaws.com 
2. Prod (947558275301) Host: ptawsg-1ggodb01-extendedrds.c9qfkmwd4m57.ap-southeast-1.rds.amazonaws.com</x:t>
  </x:si>
  <x:si>
    <x:t xml:space="preserve">A-000335</x:t>
  </x:si>
  <x:si>
    <x:t xml:space="preserve">REQ000007924011</x:t>
  </x:si>
  <x:si>
    <x:t xml:space="preserve">a413421a-9288-4d70-a675-5a22b7cbf26f</x:t>
  </x:si>
  <x:si>
    <x:t xml:space="preserve">CSSP10634478</x:t>
  </x:si>
  <x:si>
    <x:t xml:space="preserve">REQ000007919359</x:t>
  </x:si>
  <x:si>
    <x:t xml:space="preserve">717f1bd9-2693-4342-be18-97cad6badf9f</x:t>
  </x:si>
  <x:si>
    <x:t xml:space="preserve">CSSP10435001</x:t>
  </x:si>
  <x:si>
    <x:t xml:space="preserve">PETRONAS Electrical Safety and Operability Review - P-ELSOR</x:t>
  </x:si>
  <x:si>
    <x:t xml:space="preserve">P-ELSOR 3.0</x:t>
  </x:si>
  <x:si>
    <x:t xml:space="preserve">test</x:t>
  </x:si>
  <x:si>
    <x:t xml:space="preserve">A-000556</x:t>
  </x:si>
  <x:si>
    <x:t xml:space="preserve">21f7373f-046f-4095-abd1-39eb8fcece47</x:t>
  </x:si>
  <x:si>
    <x:t xml:space="preserve">CSSP10290355</x:t>
  </x:si>
  <x:si>
    <x:t xml:space="preserve">rosdi.kasim@petronas.com</x:t>
  </x:si>
  <x:si>
    <x:t xml:space="preserve">Electronic Permit To Work Plus - ePTW+</x:t>
  </x:si>
  <x:si>
    <x:t xml:space="preserve">Implementation of Disaster Recovery for ePTW+</x:t>
  </x:si>
  <x:si>
    <x:t xml:space="preserve">Not used.</x:t>
  </x:si>
  <x:si>
    <x:t xml:space="preserve">A-000297</x:t>
  </x:si>
  <x:si>
    <x:t xml:space="preserve">3e13d1e8-fd25-4022-8c5f-a74f91d0844b</x:t>
  </x:si>
  <x:si>
    <x:t xml:space="preserve">CSSP10480747</x:t>
  </x:si>
  <x:si>
    <x:t xml:space="preserve">Electronic Permit To Work - ePTW MLNG</x:t>
  </x:si>
  <x:si>
    <x:t xml:space="preserve">Application Development Of New Modules and Function for ePTW/ePTW TA Web and ePTW+ Mobile Application For Malaysia LNG Sdn Bhd</x:t>
  </x:si>
  <x:si>
    <x:t xml:space="preserve">All these 4 VMs are not being used. The project is dormant and may be decommissioned entirely soon.
PTSG-5ePTWap01 172.25.68.59
PTSG-5ePTWap02 172.25.68.60
PTSG-5ePTWap03
PTSG-5ePTWap04 172.25.68.62</x:t>
  </x:si>
  <x:si>
    <x:t xml:space="preserve">A-000296</x:t>
  </x:si>
  <x:si>
    <x:t xml:space="preserve">PSR04526</x:t>
  </x:si>
  <x:si>
    <x:t xml:space="preserve">REQ000007919354</x:t>
  </x:si>
  <x:si>
    <x:t xml:space="preserve">000e790b-1f48-4c25-94ce-4fba6fae8e32</x:t>
  </x:si>
  <x:si>
    <x:t xml:space="preserve">CSSP10240447</x:t>
  </x:si>
  <x:si>
    <x:t xml:space="preserve">The server is not being used any more</x:t>
  </x:si>
  <x:si>
    <x:t xml:space="preserve">Decommissioning of server PTSG-1EDTPFS01</x:t>
  </x:si>
  <x:si>
    <x:t xml:space="preserve">As no more utilisation, agreed to decomm</x:t>
  </x:si>
  <x:si>
    <x:t xml:space="preserve">REQ000007924646</x:t>
  </x:si>
  <x:si>
    <x:t xml:space="preserve">a1c5df6e-b6f1-4c3c-86c3-8a23673e62ac</x:t>
  </x:si>
  <x:si>
    <x:t xml:space="preserve">CSSP10932890</x:t>
  </x:si>
  <x:si>
    <x:t xml:space="preserve">mkhairulazhar.jamil@petronas.com</x:t>
  </x:si>
  <x:si>
    <x:t xml:space="preserve">COMPASS</x:t>
  </x:si>
  <x:si>
    <x:t xml:space="preserve">COMPASS Phase 2</x:t>
  </x:si>
  <x:si>
    <x:t xml:space="preserve">compass.petronas.com</x:t>
  </x:si>
  <x:si>
    <x:t xml:space="preserve">Migrated to new VM.</x:t>
  </x:si>
  <x:si>
    <x:t xml:space="preserve">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x:t>
  </x:si>
  <x:si>
    <x:t xml:space="preserve">request to set autogrow for db approved</x:t>
  </x:si>
  <x:si>
    <x:t xml:space="preserve">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x:t>
  </x:si>
  <x:si>
    <x:t xml:space="preserve">The decommission request has been completed, and the status is now updated accordingly. Kindly verify from your end and confirm once reviewed.
The user has requested to place the decommissioning of ptsg-4compasspgsql-flexi on hold, pending deletion.</x:t>
  </x:si>
  <x:si>
    <x:t xml:space="preserve">A-000124</x:t>
  </x:si>
  <x:si>
    <x:t xml:space="preserve">REQ000008048018</x:t>
  </x:si>
  <x:si>
    <x:t xml:space="preserve">0109eed2-8e73-4f32-9fd6-8475681a48b6</x:t>
  </x:si>
  <x:si>
    <x:t xml:space="preserve">CSSP10278874</x:t>
  </x:si>
  <x:si>
    <x:t xml:space="preserve">DCOM2026030502b</x:t>
  </x:si>
  <x:si>
    <x:t xml:space="preserve">myeaiint.petronas.com, myeaiext.petronas.com</x:t>
  </x:si>
  <x:si>
    <x:t xml:space="preserve">The WebMethods integration has been migrated to MuleSoft.</x:t>
  </x:si>
  <x:si>
    <x:t xml:space="preserve">Full decomission of EAI . EAI WebMethods integration has been fully migrated to MuleSoft.</x:t>
  </x:si>
  <x:si>
    <x:t xml:space="preserve">approved as platform has been migrated to MuleSoft</x:t>
  </x:si>
  <x:si>
    <x:t xml:space="preserve">REQ000007924010</x:t>
  </x:si>
  <x:si>
    <x:t xml:space="preserve">64416d70-6e34-43be-8b8a-77e22bdc39ee</x:t>
  </x:si>
  <x:si>
    <x:t xml:space="preserve">CSSP10656783</x:t>
  </x:si>
  <x:si>
    <x:t xml:space="preserve">Orion MLNG</x:t>
  </x:si>
  <x:si>
    <x:t xml:space="preserve">Full-Fledge Deployment of ORION Engine and Front-End Development</x:t>
  </x:si>
  <x:si>
    <x:t xml:space="preserve">Repat - Decommission selected resources</x:t>
  </x:si>
  <x:si>
    <x:t xml:space="preserve">A-000530</x:t>
  </x:si>
  <x:si>
    <x:t xml:space="preserve">REQ000007948447</x:t>
  </x:si>
  <x:si>
    <x:t xml:space="preserve">d73e9b44-6b7a-44f8-9d40-d7e492fd4c8d</x:t>
  </x:si>
  <x:si>
    <x:t xml:space="preserve">CSSP10768875</x:t>
  </x:si>
  <x:si>
    <x:t xml:space="preserve">SmartSignal</x:t>
  </x:si>
  <x:si>
    <x:t xml:space="preserve">CTP Old to New LZ - GE Smart Signal for GTS</x:t>
  </x:si>
  <x:si>
    <x:t xml:space="preserve">DCOM2026030982f</x:t>
  </x:si>
  <x:si>
    <x:t xml:space="preserve">mmpdsmartsignal.petronas.com</x:t>
  </x:si>
  <x:si>
    <x:t xml:space="preserve">no longer in use.</x:t>
  </x:si>
  <x:si>
    <x:t xml:space="preserve">Decomm related to smart signal only, exclude data platform resources which was wrongly tagged.</x:t>
  </x:si>
  <x:si>
    <x:t xml:space="preserve">Decommission PTAWSG-4SSAP01, PTAWSG-4SSDB01, PTAWSG-4SSWB01 in PTAW-IAC-NonPROD-PEnT-Environment-01</x:t>
  </x:si>
  <x:si>
    <x:t xml:space="preserve">A-000781</x:t>
  </x:si>
  <x:si>
    <x:t xml:space="preserve">02421_99</x:t>
  </x:si>
  <x:si>
    <x:t xml:space="preserve">REQ000007930758</x:t>
  </x:si>
  <x:si>
    <x:t xml:space="preserve">5c0f8534-0f8b-416a-b9b1-4638b5157553</x:t>
  </x:si>
  <x:si>
    <x:t xml:space="preserve">CSSP10412234</x:t>
  </x:si>
  <x:si>
    <x:t xml:space="preserve">cus.ng@petronas.com</x:t>
  </x:si>
  <x:si>
    <x:t xml:space="preserve">Static Equipment Analytic Library - SEAL</x:t>
  </x:si>
  <x:si>
    <x:t xml:space="preserve">Static Equipment Analytic Library (SEAL) as Upstream Static Equipment Advanced Analytical Tools for Upstream COE</x:t>
  </x:si>
  <x:si>
    <x:t xml:space="preserve">ghimyee.tang@petronas.com.my</x:t>
  </x:si>
  <x:si>
    <x:t xml:space="preserve">sealmrsstaging.petronas.com:443</x:t>
  </x:si>
  <x:si>
    <x:t xml:space="preserve">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x:t>
  </x:si>
  <x:si>
    <x:t xml:space="preserve">ghimyee.tang@petronas.com</x:t>
  </x:si>
  <x:si>
    <x:t xml:space="preserve">A-000755</x:t>
  </x:si>
  <x:si>
    <x:t xml:space="preserve">b3f3a5cb-c8ec-4cf0-8ea1-9857501fffbf</x:t>
  </x:si>
  <x:si>
    <x:t xml:space="preserve">CSSP10850861</x:t>
  </x:si>
  <x:si>
    <x:t xml:space="preserve">aliuddin.abdrauf@petronas.com</x:t>
  </x:si>
  <x:si>
    <x:t xml:space="preserve">eanand.ehambaram@petronas.com</x:t>
  </x:si>
  <x:si>
    <x:t xml:space="preserve">droidtesting.petronas.com</x:t>
  </x:si>
  <x:si>
    <x:t xml:space="preserve">this url does not bind to any resources</x:t>
  </x:si>
  <x:si>
    <x:t xml:space="preserve">947dde13-4595-4559-962a-0ac936a6aa63</x:t>
  </x:si>
  <x:si>
    <x:t xml:space="preserve">CSSP10128136</x:t>
  </x:si>
  <x:si>
    <x:t xml:space="preserve">amirasufiya.mradz@petronas.com</x:t>
  </x:si>
  <x:si>
    <x:t xml:space="preserve">Operations Planning-RGT2 - OPP</x:t>
  </x:si>
  <x:si>
    <x:t xml:space="preserve">OCI MIGRATION - OPP RGT2 PRPC</x:t>
  </x:si>
  <x:si>
    <x:t xml:space="preserve">DCOM20260318865</x:t>
  </x:si>
  <x:si>
    <x:t xml:space="preserve">siowfui.chen@petronas.com.my</x:t>
  </x:si>
  <x:si>
    <x:t xml:space="preserve">rgtpopp.petronas.com</x:t>
  </x:si>
  <x:si>
    <x:t xml:space="preserve">as per approved memo to decommission Operations Planning-RGT2 (OPP)</x:t>
  </x:si>
  <x:si>
    <x:t xml:space="preserve">2 Database Storage in AWS: ptawsg-1plngdb01; ptawsg-5plngdb01</x:t>
  </x:si>
  <x:si>
    <x:t xml:space="preserve">siowfui.chen@petronas.com</x:t>
  </x:si>
  <x:si>
    <x:t xml:space="preserve">Proceed to decommission selected OCI in PTAW-IAC-NonPROD-DownStream-Environment-01 &amp; PTAW-IAC-PROD-DownStream-Environment-01</x:t>
  </x:si>
  <x:si>
    <x:t xml:space="preserve">A-000527</x:t>
  </x:si>
  <x:si>
    <x:t xml:space="preserve">OCI-00033</x:t>
  </x:si>
  <x:si>
    <x:t xml:space="preserve">REQ000007957430</x:t>
  </x:si>
  <x:si>
    <x:t xml:space="preserve">b20df41a-cbc6-40b9-b34e-db14f38d89ec</x:t>
  </x:si>
  <x:si>
    <x:t xml:space="preserve">CSSP10778403</x:t>
  </x:si>
  <x:si>
    <x:t xml:space="preserve">ArBiTra PTLCL</x:t>
  </x:si>
  <x:si>
    <x:t xml:space="preserve">Professional Service, Software License and Infra for ArBiTra to PTLCL 2022-2023</x:t>
  </x:si>
  <x:si>
    <x:t xml:space="preserve">Cloud Repatriation - To decommission old resources in Singapore region due to completed migration in MY region. Please refer below attachment. Only the highlighted resources can be decom.</x:t>
  </x:si>
  <x:si>
    <x:t xml:space="preserve">Please proceed with the highlighted resources only as per focal agreed</x:t>
  </x:si>
  <x:si>
    <x:t xml:space="preserve">Repat - Decommission selected resources.
ptawsg-iac-nonprod-downstream-arbitra-pvtsto-dev-bucket
ptawsg-iac-prod-downstream-arbitra-pvtsto-bucket</x:t>
  </x:si>
  <x:si>
    <x:t xml:space="preserve">A-000064</x:t>
  </x:si>
  <x:si>
    <x:t xml:space="preserve">REQ000007948823</x:t>
  </x:si>
  <x:si>
    <x:t xml:space="preserve">10cb509f-6ff3-46be-9540-2606af854f62</x:t>
  </x:si>
  <x:si>
    <x:t xml:space="preserve">CSSP10179535</x:t>
  </x:si>
  <x:si>
    <x:t xml:space="preserve">Upstream HSE - UHSE Online</x:t>
  </x:si>
  <x:si>
    <x:t xml:space="preserve">Cloud Migration Program - UHSE Online Apps</x:t>
  </x:si>
  <x:si>
    <x:t xml:space="preserve">DCOM20260317bc3</x:t>
  </x:si>
  <x:si>
    <x:t xml:space="preserve">uhseonline.petronas.com, uhselaunchpad.petronas.com</x:t>
  </x:si>
  <x:si>
    <x:t xml:space="preserve">Applications is part of INDY 500 and has been agreed to be decommissioned. Please refer to attachment.
CI Name:
•	Upstream HSE Launchpad 2.0
•	Upstream HSE Online 2.0
•	Upstream HSE Online PCINO</x:t>
  </x:si>
  <x:si>
    <x:t xml:space="preserve">Resource has been reviewed. The list is correct and aligned with the resources in Azure Portal</x:t>
  </x:si>
  <x:si>
    <x:t xml:space="preserve">Approved as planned</x:t>
  </x:si>
  <x:si>
    <x:t xml:space="preserve">Decommission all resources under code 00915_8.
For PROD managed database in PTAZSG-IAC-PROD-SQLMI-CORPORATE-RG with code 00915_8, do backup and share the backup file with requester for their self-keeping.
Remove DNS uhseonline.petronas.com &amp; uhselaunchpad.petronas.com.</x:t>
  </x:si>
  <x:si>
    <x:t xml:space="preserve">A-000821</x:t>
  </x:si>
  <x:si>
    <x:t xml:space="preserve">00915_8</x:t>
  </x:si>
  <x:si>
    <x:t xml:space="preserve">REQ000007970011</x:t>
  </x:si>
  <x:si>
    <x:t xml:space="preserve">fcc48c21-b379-4022-9a1b-822a5e281d5e</x:t>
  </x:si>
  <x:si>
    <x:t xml:space="preserve">CSSP10552164</x:t>
  </x:si>
  <x:si>
    <x:t xml:space="preserve">jeswinkaur@petronas.com</x:t>
  </x:si>
  <x:si>
    <x:t xml:space="preserve">UAUC HSSE</x:t>
  </x:si>
  <x:si>
    <x:t xml:space="preserve">Implementation of PETRONAS HSSE UAUC Module for GHSSE</x:t>
  </x:si>
  <x:si>
    <x:t xml:space="preserve">isman.isni@petronas.com.my</x:t>
  </x:si>
  <x:si>
    <x:t xml:space="preserve">The server running Windows 2016 in Azure due for EOSL and confirmation from Bryan that the server is not in used anymore,</x:t>
  </x:si>
  <x:si>
    <x:t xml:space="preserve">Agreed to decomm</x:t>
  </x:si>
  <x:si>
    <x:t xml:space="preserve">isman.isni@petronas.com</x:t>
  </x:si>
  <x:si>
    <x:t xml:space="preserve">As per confirmed by the SA that this is not required anymore</x:t>
  </x:si>
  <x:si>
    <x:t xml:space="preserve">Decommission server ptsg-4uaucwb01 (172.25.50.14) only</x:t>
  </x:si>
  <x:si>
    <x:t xml:space="preserve">A-000817</x:t>
  </x:si>
  <x:si>
    <x:t xml:space="preserve">PSR05623</x:t>
  </x:si>
  <x:si>
    <x:t xml:space="preserve">REQ000007948822</x:t>
  </x:si>
  <x:si>
    <x:t xml:space="preserve">4b317099-ccce-4b7c-8eb9-6b5bdf86dc44</x:t>
  </x:si>
  <x:si>
    <x:t xml:space="preserve">CSSP10825013</x:t>
  </x:si>
  <x:si>
    <x:t xml:space="preserve">norhayati.saad@petronas.com</x:t>
  </x:si>
  <x:si>
    <x:t xml:space="preserve">Quality Plus</x:t>
  </x:si>
  <x:si>
    <x:t xml:space="preserve">Development of Quality+ for GPD</x:t>
  </x:si>
  <x:si>
    <x:t xml:space="preserve">only 3 items are selected. S3 and secret manager only. SG Production are using the nonprod resources, confirmed by app support.</x:t>
  </x:si>
  <x:si>
    <x:t xml:space="preserve">Proceed as listed resources</x:t>
  </x:si>
  <x:si>
    <x:t xml:space="preserve">A-000680</x:t>
  </x:si>
  <x:si>
    <x:t xml:space="preserve">REQ000007952704</x:t>
  </x:si>
  <x:si>
    <x:t xml:space="preserve">3657bc8b-90d9-4f97-b456-cd5e335caf29</x:t>
  </x:si>
  <x:si>
    <x:t xml:space="preserve">CSSP10195466</x:t>
  </x:si>
  <x:si>
    <x:t xml:space="preserve">fairuz.aziz@petronas.com</x:t>
  </x:si>
  <x:si>
    <x:t xml:space="preserve">.NET Shared Infra</x:t>
  </x:si>
  <x:si>
    <x:t xml:space="preserve">Cloud Migration Program - .NET Shared Infra (SWE Dot Net)</x:t>
  </x:si>
  <x:si>
    <x:t xml:space="preserve">ahmadkamal.aziz@petronas.com.my</x:t>
  </x:si>
  <x:si>
    <x:t xml:space="preserve">These servers are currently powered off, as no applications are running on them.
Below is the list of servers:
PTAWSG-1NETwb01, 10.77.32.157
PTAWSG-1NETwb02, 10.77.104.216
PTAWSG-4NETwb01, 10.75.67.79</x:t>
  </x:si>
  <x:si>
    <x:t xml:space="preserve">These servers are not listed under related resources. Please find the VM details as below:
PTAWSG-1NETwb01, 10.77.32.157 
PTAWSG-1NETwb02, 10.77.104.216 
PTAWSG-4NETwb01, 10.75.67.79
Please reach out to me if you require further information.</x:t>
  </x:si>
  <x:si>
    <x:t xml:space="preserve">ahmadkamal.aziz@petronas.com</x:t>
  </x:si>
  <x:si>
    <x:t xml:space="preserve">Proceed to decommission mentioned EC2.
PTAWSG-1NETwb01, 10.77.32.157 PTAWSG-1NETwb02, 10.77.104.216 in PTAWSG-PROD-ENVIRONMENT-01.
PTAWSG-4NETwb01, 10.75.67.79 in PTAWSG-STG-ENVIRONMENT-01</x:t>
  </x:si>
  <x:si>
    <x:t xml:space="preserve">P-000004</x:t>
  </x:si>
  <x:si>
    <x:t xml:space="preserve">00915_57</x:t>
  </x:si>
  <x:si>
    <x:t xml:space="preserve">REQ000007955262</x:t>
  </x:si>
  <x:si>
    <x:t xml:space="preserve">a80120d7-f839-4588-9cfd-278a99b04ec7</x:t>
  </x:si>
  <x:si>
    <x:t xml:space="preserve">CSSP10850015</x:t>
  </x:si>
  <x:si>
    <x:t xml:space="preserve">norasikin.ahmad@petronas.com</x:t>
  </x:si>
  <x:si>
    <x:t xml:space="preserve">MMPD ICON</x:t>
  </x:si>
  <x:si>
    <x:t xml:space="preserve">ICON</x:t>
  </x:si>
  <x:si>
    <x:t xml:space="preserve">Cloud Repatriation Project to Malaysia region and decommisioning recources in Singapore region.</x:t>
  </x:si>
  <x:si>
    <x:t xml:space="preserve">To decomm resources in Singapore</x:t>
  </x:si>
  <x:si>
    <x:t xml:space="preserve">Proceed to decomm as listed</x:t>
  </x:si>
  <x:si>
    <x:t xml:space="preserve">A-000367</x:t>
  </x:si>
  <x:si>
    <x:t xml:space="preserve">REQ000007952703</x:t>
  </x:si>
  <x:si>
    <x:t xml:space="preserve">fdd7fdc0-db05-44f0-8c62-ebbf1dacd129</x:t>
  </x:si>
  <x:si>
    <x:t xml:space="preserve">CSSP10212993</x:t>
  </x:si>
  <x:si>
    <x:t xml:space="preserve">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x:t>
  </x:si>
  <x:si>
    <x:t xml:space="preserve">14f2fed5-bb6c-491d-b9d3-707953294e1d</x:t>
  </x:si>
  <x:si>
    <x:t xml:space="preserve">CSSP10545760</x:t>
  </x:si>
  <x:si>
    <x:t xml:space="preserve">azeerahanim.akash@petronas.com</x:t>
  </x:si>
  <x:si>
    <x:t xml:space="preserve">P360 DQ Database</x:t>
  </x:si>
  <x:si>
    <x:t xml:space="preserve">Enhancement Data Quality Management of PETRONAS360 for DCO</x:t>
  </x:si>
  <x:si>
    <x:t xml:space="preserve">DCOM20260331941</x:t>
  </x:si>
  <x:si>
    <x:t xml:space="preserve">adi.razali@petronas.com.my</x:t>
  </x:si>
  <x:si>
    <x:t xml:space="preserve">dataplus.petronas.com</x:t>
  </x:si>
  <x:si>
    <x:t xml:space="preserve">To decommission ALL resources related to DataPlus (remove entire Resource Groups: PTAZSG-PROD-EDH-SSP-RG)</x:t>
  </x:si>
  <x:si>
    <x:t xml:space="preserve">To request for full decommissioning of Dataplus resources along with its group in PTAZSG-PROD-EDH-SSP-RG.</x:t>
  </x:si>
  <x:si>
    <x:t xml:space="preserve">Decommission all resources in PTAZSG-PROD-EDH-SSP-RG</x:t>
  </x:si>
  <x:si>
    <x:t xml:space="preserve">A-001314</x:t>
  </x:si>
  <x:si>
    <x:t xml:space="preserve">REQ000007991752</x:t>
  </x:si>
  <x:si>
    <x:t xml:space="preserve">6d9182e6-9890-472f-9a1a-04e783bc316e</x:t>
  </x:si>
  <x:si>
    <x:t xml:space="preserve">CSSP10733147</x:t>
  </x:si>
  <x:si>
    <x:t xml:space="preserve">HSSEMARS</x:t>
  </x:si>
  <x:si>
    <x:t xml:space="preserve">MARS 6.0 Enhancement Plan</x:t>
  </x:si>
  <x:si>
    <x:t xml:space="preserve">sealmrsstaging.petronas.com:443 is an old unused URL - CD Vulnerability Team has raised a severe SSL findings and advices to decomm this URL and related resources.</x:t>
  </x:si>
  <x:si>
    <x:t xml:space="preserve">A-001222</x:t>
  </x:si>
  <x:si>
    <x:t xml:space="preserve">d14bafd5-20df-43d4-bfdc-4f7112db271c</x:t>
  </x:si>
  <x:si>
    <x:t xml:space="preserve">CSSP10531664</x:t>
  </x:si>
  <x:si>
    <x:t xml:space="preserve">Lab Information Management System - LIMS PCGB</x:t>
  </x:si>
  <x:si>
    <x:t xml:space="preserve">Cloud Migration - Integrated Laboratory Information Management System (iLIMS) for PCGB Dev</x:t>
  </x:si>
  <x:si>
    <x:t xml:space="preserve">Cloud Repatriation - To decommission old resources in SG region due to completed migration in MY region</x:t>
  </x:si>
  <x:si>
    <x:t xml:space="preserve">Decommission as listed</x:t>
  </x:si>
  <x:si>
    <x:t xml:space="preserve">A-000380</x:t>
  </x:si>
  <x:si>
    <x:t xml:space="preserve">00915_211</x:t>
  </x:si>
  <x:si>
    <x:t xml:space="preserve">REQ000007970951</x:t>
  </x:si>
  <x:si>
    <x:t xml:space="preserve">f5ac3597-ff4e-49a7-b4e5-daacd8e4e8ec</x:t>
  </x:si>
  <x:si>
    <x:t xml:space="preserve">CSSP10451318</x:t>
  </x:si>
  <x:si>
    <x:t xml:space="preserve">Provisioning of Virtual Machine for LIMS with ELN for STAR+ Project for PCGB</x:t>
  </x:si>
  <x:si>
    <x:t xml:space="preserve">SR00080</x:t>
  </x:si>
  <x:si>
    <x:t xml:space="preserve">83a75e8a-b7e0-4af5-a68b-c3afd66801a0</x:t>
  </x:si>
  <x:si>
    <x:t xml:space="preserve">CSSP10463624</x:t>
  </x:si>
  <x:si>
    <x:t xml:space="preserve">OCI MIGRATION - Integrated Laboratory Information Management System (iLIMS) for PCGB Dev</x:t>
  </x:si>
  <x:si>
    <x:t xml:space="preserve">REQ000007970313</x:t>
  </x:si>
  <x:si>
    <x:t xml:space="preserve">a511ff93-60c4-470c-bc32-1f28d467076e</x:t>
  </x:si>
  <x:si>
    <x:t xml:space="preserve">CSSP10772569</x:t>
  </x:si>
  <x:si>
    <x:t xml:space="preserve">OCI MIGRATION - Integrated Lab Information System (PCG)</x:t>
  </x:si>
  <x:si>
    <x:t xml:space="preserve">OCI-00016</x:t>
  </x:si>
  <x:si>
    <x:t xml:space="preserve">REQ000007970945</x:t>
  </x:si>
  <x:si>
    <x:t xml:space="preserve">ef0f40a1-a7d0-4522-801f-28a0a17bfda3</x:t>
  </x:si>
  <x:si>
    <x:t xml:space="preserve">CSSP10423338</x:t>
  </x:si>
  <x:si>
    <x:t xml:space="preserve">PETRONAS Drone Command Centre - P-DCC</x:t>
  </x:si>
  <x:si>
    <x:t xml:space="preserve">Drone Centre Cloud Storage for Drone Operations Across OPUs – Contract &amp; Collaboration Works</x:t>
  </x:si>
  <x:si>
    <x:t xml:space="preserve">Decommission resources as per attached</x:t>
  </x:si>
  <x:si>
    <x:t xml:space="preserve">A-000237</x:t>
  </x:si>
  <x:si>
    <x:t xml:space="preserve">REQ000007960488</x:t>
  </x:si>
  <x:si>
    <x:t xml:space="preserve">e4e009c7-7206-417d-97c8-945baddc9887</x:t>
  </x:si>
  <x:si>
    <x:t xml:space="preserve">CSSP10895487</x:t>
  </x:si>
  <x:si>
    <x:t xml:space="preserve">norfarhanael.shukor@petronas.com</x:t>
  </x:si>
  <x:si>
    <x:t xml:space="preserve">Product Stewardship - PDST</x:t>
  </x:si>
  <x:si>
    <x:t xml:space="preserve">Product Stewardship - PDST created for PRIVATECLOUD project record</x:t>
  </x:si>
  <x:si>
    <x:t xml:space="preserve">DCOM20260403c44</x:t>
  </x:si>
  <x:si>
    <x:t xml:space="preserve">ps.petronas.com, ps.staging.petronas.com</x:t>
  </x:si>
  <x:si>
    <x:t xml:space="preserve">The application is not longer in used due to completion of ICT Carve out for PRefChem activity.</x:t>
  </x:si>
  <x:si>
    <x:t xml:space="preserve">Full Decommission of Product Stewardship application for all servers &amp; DNS.</x:t>
  </x:si>
  <x:si>
    <x:t xml:space="preserve">Decommission onpremise VM.
VPICPPDSTAP01	    10.54.225.168
VPICPPDSTAP02	10.54.225.169
VPICPPDSTAP03	10.54.225.170
VPICPPDSTDB01	10.54.226.50
VPICSPDSTAP01	    10.54.239.21
VPICSPDSTAP02	10.54.239.22
VPICSPDSTAP03	10.54.239.23
VPICSPDSTDB01	10.54.239.24</x:t>
  </x:si>
  <x:si>
    <x:t xml:space="preserve">A-000551</x:t>
  </x:si>
  <x:si>
    <x:t xml:space="preserve">REQ000007975334</x:t>
  </x:si>
  <x:si>
    <x:t xml:space="preserve">ced601a0-8712-49c0-901c-f622e399085f</x:t>
  </x:si>
  <x:si>
    <x:t xml:space="preserve">CSSP10309494</x:t>
  </x:si>
  <x:si>
    <x:t xml:space="preserve">darren.leevuiphin@petronas.com</x:t>
  </x:si>
  <x:si>
    <x:t xml:space="preserve">Offline Data Management - ODM ABF</x:t>
  </x:si>
  <x:si>
    <x:t xml:space="preserve">Cloud Migration Program - Offline Data Management (ODM) ABF</x:t>
  </x:si>
  <x:si>
    <x:t xml:space="preserve">omar.norazmi@petronas.com.my</x:t>
  </x:si>
  <x:si>
    <x:t xml:space="preserve">EBC has moved from ODM to APM. Contract with ODM Vendor has also ended.</x:t>
  </x:si>
  <x:si>
    <x:t xml:space="preserve">Decom ODM as EBC has moved to APM</x:t>
  </x:si>
  <x:si>
    <x:t xml:space="preserve">omar.norazmi@petronas.com</x:t>
  </x:si>
  <x:si>
    <x:t xml:space="preserve">agreed to decomm application.</x:t>
  </x:si>
  <x:si>
    <x:t xml:space="preserve">Decommission all resources under 00915_24 including dbODMSNew-ABF managed database in PTAZSG-IAC-PROD-SQLMI-GNE-RG</x:t>
  </x:si>
  <x:si>
    <x:t xml:space="preserve">A-000512</x:t>
  </x:si>
  <x:si>
    <x:t xml:space="preserve">00915_24</x:t>
  </x:si>
  <x:si>
    <x:t xml:space="preserve">REQ000007974279</x:t>
  </x:si>
  <x:si>
    <x:t xml:space="preserve">4b63c679-a423-4c37-8e2a-c971543863f6</x:t>
  </x:si>
  <x:si>
    <x:t xml:space="preserve">CSSP10971886</x:t>
  </x:si>
  <x:si>
    <x:t xml:space="preserve">Project Management Workbench Plus - PMW+</x:t>
  </x:si>
  <x:si>
    <x:t xml:space="preserve">PMW Plus</x:t>
  </x:si>
  <x:si>
    <x:t xml:space="preserve">A-000635</x:t>
  </x:si>
  <x:si>
    <x:t xml:space="preserve">e25a200b-3586-4f3e-821b-072cefa4a9b0</x:t>
  </x:si>
  <x:si>
    <x:t xml:space="preserve">CSSP10112184</x:t>
  </x:si>
  <x:si>
    <x:t xml:space="preserve">To decommission 03563 - PMW Plus resources in SG</x:t>
  </x:si>
  <x:si>
    <x:t xml:space="preserve">REQ000008094193</x:t>
  </x:si>
  <x:si>
    <x:t xml:space="preserve">c43d4db7-baf9-421f-b6ea-895f86cff998</x:t>
  </x:si>
  <x:si>
    <x:t xml:space="preserve">CSSP10436840</x:t>
  </x:si>
  <x:si>
    <x:t xml:space="preserve">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t>
  </x:si>
  <x:si>
    <x:t xml:space="preserve">Cyber Security Issue</x:t>
  </x:si>
  <x:si>
    <x:t xml:space="preserve">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t>
  </x:si>
  <x:si>
    <x:t xml:space="preserve">Approve to decommission the unused old URL due to severe SSL vulnerability findings from CD Vulnerability.</x:t>
  </x:si>
  <x:si>
    <x:t xml:space="preserve">Decommission DNS sealmrsstaging.petronas.com</x:t>
  </x:si>
  <x:si>
    <x:t xml:space="preserve">REQ000007979550</x:t>
  </x:si>
  <x:si>
    <x:t xml:space="preserve">3ede6421-8a4f-43ae-b12d-60c561181223</x:t>
  </x:si>
  <x:si>
    <x:t xml:space="preserve">CSSP10433701</x:t>
  </x:si>
  <x:si>
    <x:t xml:space="preserve">selwyn.limtzeyong@petronas.com</x:t>
  </x:si>
  <x:si>
    <x:t xml:space="preserve">NextGEN</x:t>
  </x:si>
  <x:si>
    <x:t xml:space="preserve">Deployment of NextGEN Geoscience &amp; Geology Data Discovery Platform for Upstream Exploration</x:t>
  </x:si>
  <x:si>
    <x:t xml:space="preserve">DCOM20260408fe6</x:t>
  </x:si>
  <x:si>
    <x:t xml:space="preserve">hoongkum.chan@petronas.com</x:t>
  </x:si>
  <x:si>
    <x:t xml:space="preserve">seek.petronas.com, seek-stg.petronas.com</x:t>
  </x:si>
  <x:si>
    <x:t xml:space="preserve">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x:t>
  </x:si>
  <x:si>
    <x:t xml:space="preserve">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x:t>
  </x:si>
  <x:si>
    <x:t xml:space="preserve">Business has informed and agreed to initiate the decomm.</x:t>
  </x:si>
  <x:si>
    <x:t xml:space="preserve">Decommission all resources for NXGEO 03674.
DEV:
1) PTAZSG-IAC-DEV-NXGEO-RG
2) PTAZSG-DEV-NXGEO-RG
UAT:
1) PTAZSG-IAC-UAT-NXGEO-JAI-RG
2) PTAZSG-UAT-NXGEO-RG
PROD:
1) PTAZSG-IAC-PROD-NXGEO-JAI-RG
2) PTAZSG-PROD-NXGEO-RG</x:t>
  </x:si>
  <x:si>
    <x:t xml:space="preserve">A-000503</x:t>
  </x:si>
  <x:si>
    <x:t xml:space="preserve">REQ000007978914</x:t>
  </x:si>
  <x:si>
    <x:t xml:space="preserve">cc80b4f4-d46a-45a2-819b-fd967d2344b7</x:t>
  </x:si>
  <x:si>
    <x:t xml:space="preserve">CSSP10575380</x:t>
  </x:si>
  <x:si>
    <x:t xml:space="preserve">hadrie.hariffadila@petronas.com</x:t>
  </x:si>
  <x:si>
    <x:t xml:space="preserve">Model Catalogue - MC</x:t>
  </x:si>
  <x:si>
    <x:t xml:space="preserve">Implementation of Upstream Model Integration Solution for Upstream Technology, Digital Innovation</x:t>
  </x:si>
  <x:si>
    <x:t xml:space="preserve">norzahilah.matdau@petronas.com.my</x:t>
  </x:si>
  <x:si>
    <x:t xml:space="preserve">No longer in use.</x:t>
  </x:si>
  <x:si>
    <x:t xml:space="preserve">To decommission ptsg1utdistr02 since it was replaced with ptsg1utdistr03</x:t>
  </x:si>
  <x:si>
    <x:t xml:space="preserve">norzahilah.matdau@petronas.com</x:t>
  </x:si>
  <x:si>
    <x:t xml:space="preserve">to decom as this server is no longer in use for the MC integration work.</x:t>
  </x:si>
  <x:si>
    <x:t xml:space="preserve">Decommission storage ptsg1utdistr02 only</x:t>
  </x:si>
  <x:si>
    <x:t xml:space="preserve">A-000456</x:t>
  </x:si>
  <x:si>
    <x:t xml:space="preserve">REQ000007978856</x:t>
  </x:si>
  <x:si>
    <x:t xml:space="preserve">ce1f2e1c-7f1d-4f47-baef-74f9bcee1af8</x:t>
  </x:si>
  <x:si>
    <x:t xml:space="preserve">CSSP10958726</x:t>
  </x:si>
  <x:si>
    <x:t xml:space="preserve">nuralia.anuar@petronas.com</x:t>
  </x:si>
  <x:si>
    <x:t xml:space="preserve">Data Science Advanced Analytics</x:t>
  </x:si>
  <x:si>
    <x:t xml:space="preserve">Provisioning Dedicated Advanced Analytics subscription (Terraform-enabled Azure Cloud Infrastructure) for Data Science Department</x:t>
  </x:si>
  <x:si>
    <x:t xml:space="preserve">ng.kokkwan@petronas.com.my</x:t>
  </x:si>
  <x:si>
    <x:t xml:space="preserve">We were previously using an outdated Ubuntu OS (18.04). We have since migrated to an updated OS on a new VM, and the old VM is no longer required.</x:t>
  </x:si>
  <x:si>
    <x:t xml:space="preserve">Decommissioning PTSG-1GUROBIap01 and all disks attached to it. The new VM replacing this is PTSG-1GUROBIap02. The application connected to the new VM has been running smoothly for a month and it is safe to decommission the old VM</x:t>
  </x:si>
  <x:si>
    <x:t xml:space="preserve">ng.kokkwan@petronas.com</x:t>
  </x:si>
  <x:si>
    <x:t xml:space="preserve">To decomm unused VM due to migration completed</x:t>
  </x:si>
  <x:si>
    <x:t xml:space="preserve">Decommission PTSG-1GUROBIap01 (172.25.164.5) in PTAZSG-IAC-DAA-PROD-GUROBI-RG</x:t>
  </x:si>
  <x:si>
    <x:t xml:space="preserve">A-000239</x:t>
  </x:si>
  <x:si>
    <x:t xml:space="preserve">REQ000007989983</x:t>
  </x:si>
  <x:si>
    <x:t xml:space="preserve">571e976b-f777-456a-8434-dc76bcb18ee5</x:t>
  </x:si>
  <x:si>
    <x:t xml:space="preserve">CSSP10746801</x:t>
  </x:si>
  <x:si>
    <x:t xml:space="preserve">sahril</x:t>
  </x:si>
  <x:si>
    <x:t xml:space="preserve">To decommission virtual machine PTSG-5TLDDQTJS01 due to not in used</x:t>
  </x:si>
  <x:si>
    <x:t xml:space="preserve">68908e56-1e6a-4d0c-8d31-3a88953755a2</x:t>
  </x:si>
  <x:si>
    <x:t xml:space="preserve">CSSP10657684</x:t>
  </x:si>
  <x:si>
    <x:t xml:space="preserve">Enterprise Data Hub - EDH Common Talend</x:t>
  </x:si>
  <x:si>
    <x:t xml:space="preserve">Enterprise Data Hub - Common Talend Infrastructure</x:t>
  </x:si>
  <x:si>
    <x:t xml:space="preserve">To decommission unused virtual machine in Talend Common - PTSG-5TLDDQTJS01. IP Address - 172.25.68.115</x:t>
  </x:si>
  <x:si>
    <x:t xml:space="preserve">Hostname - PTSG-5TLDDQTJS01
IP Address - 172.25.68.115</x:t>
  </x:si>
  <x:si>
    <x:t xml:space="preserve">To decommission VM PTSG-5TLDDQTJS01. IP Address - 172.25.68.115</x:t>
  </x:si>
  <x:si>
    <x:t xml:space="preserve">A-000266</x:t>
  </x:si>
  <x:si>
    <x:t xml:space="preserve">PC-00007</x:t>
  </x:si>
  <x:si>
    <x:t xml:space="preserve">REQ000007987625</x:t>
  </x:si>
  <x:si>
    <x:t xml:space="preserve">99b92242-175d-42f8-9255-64956b534f0e</x:t>
  </x:si>
  <x:si>
    <x:t xml:space="preserve">CSSP10182189</x:t>
  </x:si>
  <x:si>
    <x:t xml:space="preserve">Palisade</x:t>
  </x:si>
  <x:si>
    <x:t xml:space="preserve">PDU SecOps of Business Excellence (BE) and Development (Dev.) Chapter's for Upstream Digital &amp; Technology</x:t>
  </x:si>
  <x:si>
    <x:t xml:space="preserve">A-001224</x:t>
  </x:si>
  <x:si>
    <x:t xml:space="preserve">03265_4</x:t>
  </x:si>
  <x:si>
    <x:t xml:space="preserve">4703c302-ea21-49ba-96ea-29eba18353ee</x:t>
  </x:si>
  <x:si>
    <x:t xml:space="preserve">CSSP10162067</x:t>
  </x:si>
  <x:si>
    <x:t xml:space="preserve">nurhasuna_khalid@petronas.com.my</x:t>
  </x:si>
  <x:si>
    <x:t xml:space="preserve">nurhasuna_khalid@petronas.com</x:t>
  </x:si>
  <x:si>
    <x:t xml:space="preserve">006c8385-cb7a-440c-9acc-72d7365c2078</x:t>
  </x:si>
  <x:si>
    <x:t xml:space="preserve">CSSP10861911</x:t>
  </x:si>
  <x:si>
    <x:t xml:space="preserve">Talent Engine</x:t>
  </x:si>
  <x:si>
    <x:t xml:space="preserve">Cloud Migration - Talent Engine 2.0</x:t>
  </x:si>
  <x:si>
    <x:t xml:space="preserve">TBA</x:t>
  </x:si>
  <x:si>
    <x:t xml:space="preserve">te2.petronas.com</x:t>
  </x:si>
  <x:si>
    <x:t xml:space="preserve">n/a</x:t>
  </x:si>
  <x:si>
    <x:t xml:space="preserve">Business agreed to retire the app.</x:t>
  </x:si>
  <x:si>
    <x:t xml:space="preserve">approved for decommission</x:t>
  </x:si>
  <x:si>
    <x:t xml:space="preserve">resubnmission pending</x:t>
  </x:si>
  <x:si>
    <x:t xml:space="preserve">A-000800</x:t>
  </x:si>
  <x:si>
    <x:t xml:space="preserve">00915_90</x:t>
  </x:si>
  <x:si>
    <x:t xml:space="preserve">aec48937-4d99-43fe-a2ea-a8a903ee9c37</x:t>
  </x:si>
  <x:si>
    <x:t xml:space="preserve">CSSP10780664</x:t>
  </x:si>
  <x:si>
    <x:t xml:space="preserve">shahrizar.mbasir@petronas.com</x:t>
  </x:si>
  <x:si>
    <x:t xml:space="preserve">TO.PRODIGI - Centralised Database and Analytics</x:t>
  </x:si>
  <x:si>
    <x:t xml:space="preserve">DevOps services of Centralized Database &amp; Analytics for Turkmenistan Operation</x:t>
  </x:si>
  <x:si>
    <x:t xml:space="preserve">to-prodigi-dev.petronas.com</x:t>
  </x:si>
  <x:si>
    <x:t xml:space="preserve">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t>
  </x:si>
  <x:si>
    <x:t xml:space="preserve">A-000812</x:t>
  </x:si>
  <x:si>
    <x:t xml:space="preserve">47f9d558-bcb8-4915-9008-2c6452a478ec</x:t>
  </x:si>
  <x:si>
    <x:t xml:space="preserve">CSSP10741939</x:t>
  </x:si>
  <x:si>
    <x:t xml:space="preserve">Decision Ready Data - DRD NervCentre</x:t>
  </x:si>
  <x:si>
    <x:t xml:space="preserve">Implementation of Decision Ready Data (DRD) for NervCentre</x:t>
  </x:si>
  <x:si>
    <x:t xml:space="preserve">DCOM2026042005a</x:t>
  </x:si>
  <x:si>
    <x:t xml:space="preserve">https://nc.nadi.petronas.com.my, https://dev-nc.nadi.petronas.com.my</x:t>
  </x:si>
  <x:si>
    <x:t xml:space="preserve">The application dashboard is no longer actively used and there are no known operational dependencies at this point.</x:t>
  </x:si>
  <x:si>
    <x:t xml:space="preserve">Full decommissioning</x:t>
  </x:si>
  <x:si>
    <x:t xml:space="preserve">Proceed as per User request.</x:t>
  </x:si>
  <x:si>
    <x:t xml:space="preserve">Full decommission resources for 03067 in AWS</x:t>
  </x:si>
  <x:si>
    <x:t xml:space="preserve">A-000233</x:t>
  </x:si>
  <x:si>
    <x:t xml:space="preserve">REQ000008000240</x:t>
  </x:si>
  <x:si>
    <x:t xml:space="preserve">b00688dd-9809-42bb-803d-719017359e8f</x:t>
  </x:si>
  <x:si>
    <x:t xml:space="preserve">CSSP10524135</x:t>
  </x:si>
  <x:si>
    <x:t xml:space="preserve">67574a18-953c-45b5-972c-6df7e0b0635e</x:t>
  </x:si>
  <x:si>
    <x:t xml:space="preserve">CSSP10880692</x:t>
  </x:si>
  <x:si>
    <x:t xml:space="preserve">DCOM20260422e59</x:t>
  </x:si>
  <x:si>
    <x:t xml:space="preserve">I have reviewed that all related resources name is for development environment that is no longer use</x:t>
  </x:si>
  <x:si>
    <x:t xml:space="preserve">Rejecting per offline conversation</x:t>
  </x:si>
  <x:si>
    <x:t xml:space="preserve">b4420729-4c8a-4050-aaa2-32ec201e91d2</x:t>
  </x:si>
  <x:si>
    <x:t xml:space="preserve">CSSP10621142</x:t>
  </x:si>
  <x:si>
    <x:t xml:space="preserve">I have review that all the resource name is not use anymore in development environment</x:t>
  </x:si>
  <x:si>
    <x:t xml:space="preserve">As confirmed by project delivery team, TO.PRODIGI is no longer using the mentioned Azure Cloud environment</x:t>
  </x:si>
  <x:si>
    <x:t xml:space="preserve">Proceed to decomm all resources in ptazsg-iac-dev-toprodigi-rg</x:t>
  </x:si>
  <x:si>
    <x:t xml:space="preserve">REQ000008007380</x:t>
  </x:si>
  <x:si>
    <x:t xml:space="preserve">7c314f07-316d-4bf8-beb0-ef8090c0dbd7</x:t>
  </x:si>
  <x:si>
    <x:t xml:space="preserve">CSSP10567623</x:t>
  </x:si>
  <x:si>
    <x:t xml:space="preserve">PETRONAS Continuous Emission System - PCEMS</x:t>
  </x:si>
  <x:si>
    <x:t xml:space="preserve">Cloud Migration - Implementation of Continuous Emission Monitoring System (CEMS) DIS for PC Methanol Sdn Bhd</x:t>
  </x:si>
  <x:si>
    <x:t xml:space="preserve">chris.wong@petronas.com.my</x:t>
  </x:si>
  <x:si>
    <x:t xml:space="preserve">pcems.petronas.com</x:t>
  </x:si>
  <x:si>
    <x:t xml:space="preserve">decomission url only , application is located in shared vm will be stopped</x:t>
  </x:si>
  <x:si>
    <x:t xml:space="preserve">resources in shared environment, proceed with url decommission</x:t>
  </x:si>
  <x:si>
    <x:t xml:space="preserve">chris.wong@petronas.com</x:t>
  </x:si>
  <x:si>
    <x:t xml:space="preserve">Decomm for URL only.</x:t>
  </x:si>
  <x:si>
    <x:t xml:space="preserve">Decommission URL pcems.petronas.com only.</x:t>
  </x:si>
  <x:si>
    <x:t xml:space="preserve">A-000548</x:t>
  </x:si>
  <x:si>
    <x:t xml:space="preserve">00915_171</x:t>
  </x:si>
  <x:si>
    <x:t xml:space="preserve">REQ000008012892</x:t>
  </x:si>
  <x:si>
    <x:t xml:space="preserve">68388bcc-94f5-4bc2-9c7e-9ce5e0012a72</x:t>
  </x:si>
  <x:si>
    <x:t xml:space="preserve">CSSP10305446</x:t>
  </x:si>
  <x:si>
    <x:t xml:space="preserve">PTSG-1PALSDwb02 server is no longer in use</x:t>
  </x:si>
  <x:si>
    <x:t xml:space="preserve">Decommission PTSG-1PALSDwb02 (172.25.200.77) only</x:t>
  </x:si>
  <x:si>
    <x:t xml:space="preserve">REQ000008028631</x:t>
  </x:si>
  <x:si>
    <x:t xml:space="preserve">a5eeef8d-028c-4b2d-86e1-1c3e2df327ae</x:t>
  </x:si>
  <x:si>
    <x:t xml:space="preserve">CSSP10599920</x:t>
  </x:si>
  <x:si>
    <x:t xml:space="preserve">sriram.vengadaramanu@petronas.com</x:t>
  </x:si>
  <x:si>
    <x:t xml:space="preserve">Real Time Analytics for Motor - REALM</x:t>
  </x:si>
  <x:si>
    <x:t xml:space="preserve">Development of Real Time Analytics for Motor (REALM) for GTS</x:t>
  </x:si>
  <x:si>
    <x:t xml:space="preserve">gggg</x:t>
  </x:si>
  <x:si>
    <x:t xml:space="preserve">Business has confirmed that the resource is no longer in use</x:t>
  </x:si>
  <x:si>
    <x:t xml:space="preserve">A-000685</x:t>
  </x:si>
  <x:si>
    <x:t xml:space="preserve">3db74546-5a79-4a6a-9204-e434fadf9b75</x:t>
  </x:si>
  <x:si>
    <x:t xml:space="preserve">CSSP10614931</x:t>
  </x:si>
  <x:si>
    <x:t xml:space="preserve">Business has confirmed that resource is no longer in use.</x:t>
  </x:si>
  <x:si>
    <x:t xml:space="preserve">REALM has 6 resource components that host the REALM OutSystems dashboard that is no longer in use and ready for decommission</x:t>
  </x:si>
  <x:si>
    <x:t xml:space="preserve">Approved as per Business decision..</x:t>
  </x:si>
  <x:si>
    <x:t xml:space="preserve">Decommission ptawsg-5realdb1 (10.84.101.30) in PTAW-IAC-NonPROD-PEnT-Environment-01</x:t>
  </x:si>
  <x:si>
    <x:t xml:space="preserve">REQ000008015778</x:t>
  </x:si>
  <x:si>
    <x:t xml:space="preserve">9e935b8b-09b3-4142-b43c-35fd5013c367</x:t>
  </x:si>
  <x:si>
    <x:t xml:space="preserve">CSSP10378006</x:t>
  </x:si>
  <x:si>
    <x:t xml:space="preserve">DCOM20260428a57</x:t>
  </x:si>
  <x:si>
    <x:t xml:space="preserve">App is not in used.</x:t>
  </x:si>
  <x:si>
    <x:t xml:space="preserve">All resources are selected based on naming convention.</x:t>
  </x:si>
  <x:si>
    <x:t xml:space="preserve">approved for next steps</x:t>
  </x:si>
  <x:si>
    <x:t xml:space="preserve">Decommission all resources for 00915_90.
te2.petronas.com
te2-s.petronas.com</x:t>
  </x:si>
  <x:si>
    <x:t xml:space="preserve">REQ000008016386</x:t>
  </x:si>
  <x:si>
    <x:t xml:space="preserve">6682110a-6b2c-4dac-bf24-23719c1b8422</x:t>
  </x:si>
  <x:si>
    <x:t xml:space="preserve">CSSP10763156</x:t>
  </x:si>
  <x:si>
    <x:t xml:space="preserve">OE Tracking System PGB</x:t>
  </x:si>
  <x:si>
    <x:t xml:space="preserve">CTP Old to New LZ - PGB OE</x:t>
  </x:si>
  <x:si>
    <x:t xml:space="preserve">Decommission PGB OE (02421_76) in SG</x:t>
  </x:si>
  <x:si>
    <x:t xml:space="preserve">A-000522</x:t>
  </x:si>
  <x:si>
    <x:t xml:space="preserve">02421_76</x:t>
  </x:si>
  <x:si>
    <x:t xml:space="preserve">REQ000008094202</x:t>
  </x:si>
  <x:si>
    <x:t xml:space="preserve">30539520-1427-42da-b0d9-5671843e8790</x:t>
  </x:si>
  <x:si>
    <x:t xml:space="preserve">CSSP10348826</x:t>
  </x:si>
  <x:si>
    <x:t xml:space="preserve">mizzudin.manuar@petronas.com</x:t>
  </x:si>
  <x:si>
    <x:t xml:space="preserve">Predictive Rotating Equipment Analytics - PROTEAN</x:t>
  </x:si>
  <x:si>
    <x:t xml:space="preserve">Development of Predictive Analytics for PETRONAS Rotating Equipment Analytics (PROTEAN) for Upstream Center of Excellence</x:t>
  </x:si>
  <x:si>
    <x:t xml:space="preserve">Not in use</x:t>
  </x:si>
  <x:si>
    <x:t xml:space="preserve">A-000664</x:t>
  </x:si>
  <x:si>
    <x:t xml:space="preserve">d5d33c3c-75ee-45e4-b57e-f2914806c146</x:t>
  </x:si>
  <x:si>
    <x:t xml:space="preserve">CSSP10793668</x:t>
  </x:si>
  <x:si>
    <x:t xml:space="preserve">Enhancement of Predictive Analytics for PETRONAS Rotating Equipment Analytics (PROTEAN) for Upstream Center of Excellence</x:t>
  </x:si>
  <x:si>
    <x:t xml:space="preserve">not in use</x:t>
  </x:si>
  <x:si>
    <x:t xml:space="preserve">d5a2ca21-eb2d-46ad-b73c-7177841433b9</x:t>
  </x:si>
  <x:si>
    <x:t xml:space="preserve">CSSP10368977</x:t>
  </x:si>
  <x:si>
    <x:t xml:space="preserve">Cloud Migration Program - PROTEAN (PETRONAS Rotating Equipment Analytics)</x:t>
  </x:si>
  <x:si>
    <x:t xml:space="preserve">00915_241</x:t>
  </x:si>
  <x:si>
    <x:t xml:space="preserve">69ac51a5-7a83-47e9-a9ed-af205e4b9264</x:t>
  </x:si>
  <x:si>
    <x:t xml:space="preserve">CSSP10893834</x:t>
  </x:si>
  <x:si>
    <x:t xml:space="preserve">Implementation of PETRONAS Rotating Equipment Analytics (PROTEAN) at MLNG</x:t>
  </x:si>
  <x:si>
    <x:t xml:space="preserve">1f18c89d-bf71-4ca3-a743-4b12664d51ad</x:t>
  </x:si>
  <x:si>
    <x:t xml:space="preserve">CSSP10815603</x:t>
  </x:si>
  <x:si>
    <x:t xml:space="preserve">Integrated Computing and Security - ICS MRCSB</x:t>
  </x:si>
  <x:si>
    <x:t xml:space="preserve">OCI MIGRATION - ICSPROD: ACS Time Attendance System, HeadCount System, HSE Training Management System (HTMS), MANTRACKS, Meeting Room Booking System, Occupational Health Management System (OHMS)</x:t>
  </x:si>
  <x:si>
    <x:t xml:space="preserve">A-000368</x:t>
  </x:si>
  <x:si>
    <x:t xml:space="preserve">AWSOCI_001</x:t>
  </x:si>
  <x:si>
    <x:t xml:space="preserve">c39c0832-4a3f-4963-b09a-28839a07de0e</x:t>
  </x:si>
  <x:si>
    <x:t xml:space="preserve">CSSP10209084</x:t>
  </x:si>
  <x:si>
    <x:t xml:space="preserve">azril.samad@petronas.com</x:t>
  </x:si>
  <x:si>
    <x:t xml:space="preserve">Video Analytics - VA</x:t>
  </x:si>
  <x:si>
    <x:t xml:space="preserve">Video Analytics Pilot Implementation for PeTT Tower 1</x:t>
  </x:si>
  <x:si>
    <x:t xml:space="preserve">DCOM20260506dbf</x:t>
  </x:si>
  <x:si>
    <x:t xml:space="preserve">mfauzi.atan@petronas.com.my</x:t>
  </x:si>
  <x:si>
    <x:t xml:space="preserve">VA not in used anymore to monitor and analyze personal that enter VIP floor</x:t>
  </x:si>
  <x:si>
    <x:t xml:space="preserve">Server need to be decommissioning is a physical server, server info as attached</x:t>
  </x:si>
  <x:si>
    <x:t xml:space="preserve">mfauzi.atan@petronas.com</x:t>
  </x:si>
  <x:si>
    <x:t xml:space="preserve">Approval has been granted as agreed in the REAL Programme Sub‑PWC meeting. You may proceed with the decommissioning.</x:t>
  </x:si>
  <x:si>
    <x:t xml:space="preserve">Proceed to decomm the mentioned physical server</x:t>
  </x:si>
  <x:si>
    <x:t xml:space="preserve">A-000829</x:t>
  </x:si>
  <x:si>
    <x:t xml:space="preserve">REQ000008047186</x:t>
  </x:si>
  <x:si>
    <x:t xml:space="preserve">13faefb1-4529-4555-a487-7171e4af722c</x:t>
  </x:si>
  <x:si>
    <x:t xml:space="preserve">CSSP10207194</x:t>
  </x:si>
  <x:si>
    <x:t xml:space="preserve">OCI MIGRATION - ACS Time Attendance System, HeadCount System, HSE Training Management System (HTMS), MANTRACKS, Meeting Room Booking System, Occupational Health Management System (OHMS)</x:t>
  </x:si>
  <x:si>
    <x:t xml:space="preserve">OCI-00029</x:t>
  </x:si>
  <x:si>
    <x:t xml:space="preserve">1d1a1ce9-935e-4b7d-96c8-c70b28b529e2</x:t>
  </x:si>
  <x:si>
    <x:t xml:space="preserve">CSSP10420125</x:t>
  </x:si>
  <x:si>
    <x:t xml:space="preserve">PIVOT Predict RT</x:t>
  </x:si>
  <x:si>
    <x:t xml:space="preserve">OSR00154: Support and Maintenance for PIVOT Program for Group Digital – CAPEX – PIVOT Predict RT</x:t>
  </x:si>
  <x:si>
    <x:t xml:space="preserve">A-000611</x:t>
  </x:si>
  <x:si>
    <x:t xml:space="preserve">OSR00154_2</x:t>
  </x:si>
  <x:si>
    <x:t xml:space="preserve">REQ000008214221</x:t>
  </x:si>
  <x:si>
    <x:t xml:space="preserve">28ed5a8c-6d01-429e-a54b-77975b46c7aa</x:t>
  </x:si>
  <x:si>
    <x:t xml:space="preserve">CSSP10179613</x:t>
  </x:si>
  <x:si>
    <x:t xml:space="preserve">Refer to attached list</x:t>
  </x:si>
  <x:si>
    <x:t xml:space="preserve">REQ000008119650</x:t>
  </x:si>
  <x:si>
    <x:t xml:space="preserve">457e2146-e81a-4745-a837-4ff03e8ef757</x:t>
  </x:si>
  <x:si>
    <x:t xml:space="preserve">CSSP10587615</x:t>
  </x:si>
  <x:si>
    <x:t xml:space="preserve">Refer to attachment and selected resources</x:t>
  </x:si>
  <x:si>
    <x:t xml:space="preserve">REQ000008119756</x:t>
  </x:si>
  <x:si>
    <x:t xml:space="preserve">485a878f-5174-4515-8b68-b126c8064645</x:t>
  </x:si>
  <x:si>
    <x:t xml:space="preserve">CSSP10257750</x:t>
  </x:si>
  <x:si>
    <x:t xml:space="preserve">Offshore/Onshore Safety Integrated System - OSIS</x:t>
  </x:si>
  <x:si>
    <x:t xml:space="preserve">Development of Offshore/Onshore Safety Integrated System (OSIS) for Upstream HSE</x:t>
  </x:si>
  <x:si>
    <x:t xml:space="preserve">Cloud repat. Decommission resources in SG</x:t>
  </x:si>
  <x:si>
    <x:t xml:space="preserve">A-000533</x:t>
  </x:si>
  <x:si>
    <x:t xml:space="preserve">PSR05669</x:t>
  </x:si>
  <x:si>
    <x:t xml:space="preserve">REQ000008111459</x:t>
  </x:si>
  <x:si>
    <x:t xml:space="preserve">5534cd2f-21a3-4124-96eb-a1d92b545afc</x:t>
  </x:si>
  <x:si>
    <x:t xml:space="preserve">CSSP10599205</x:t>
  </x:si>
  <x:si>
    <x:t xml:space="preserve">hidayah.khalid@petronas.com</x:t>
  </x:si>
  <x:si>
    <x:t xml:space="preserve">Group Legal Workbench and System Integration - Project IDEAL</x:t>
  </x:si>
  <x:si>
    <x:t xml:space="preserve">Enhancement of Group Legal Workbench and System Integration (Project IDEAL) for Group Legal</x:t>
  </x:si>
  <x:si>
    <x:t xml:space="preserve">nshahidah.othman@petronas.com</x:t>
  </x:si>
  <x:si>
    <x:t xml:space="preserve">lwb</x:t>
  </x:si>
  <x:si>
    <x:t xml:space="preserve">A-000438</x:t>
  </x:si>
  <x:si>
    <x:t xml:space="preserve">f8ee2757-53c3-49df-a9c3-76a49aacee25</x:t>
  </x:si>
  <x:si>
    <x:t xml:space="preserve">CSSP10486009</x:t>
  </x:si>
  <x:si>
    <x:t xml:space="preserve">DCOM202605132ca</x:t>
  </x:si>
  <x:si>
    <x:t xml:space="preserve">PROTEANxAPA cloud servers used during POC last time and no longer in use</x:t>
  </x:si>
  <x:si>
    <x:t xml:space="preserve">Proceed. Server not in use anymore.</x:t>
  </x:si>
  <x:si>
    <x:t xml:space="preserve">Decommission all resources with project code 03494</x:t>
  </x:si>
  <x:si>
    <x:t xml:space="preserve">REQ000008077075</x:t>
  </x:si>
  <x:si>
    <x:t xml:space="preserve">266c5d6c-c9d9-4149-9bd1-419b0d1ee9d7</x:t>
  </x:si>
  <x:si>
    <x:t xml:space="preserve">CSSP10167128</x:t>
  </x:si>
  <x:si>
    <x:t xml:space="preserve">kanishalakshmi.bakt@petronas.com</x:t>
  </x:si>
  <x:si>
    <x:t xml:space="preserve">SiteCore</x:t>
  </x:si>
  <x:si>
    <x:t xml:space="preserve">Sitecore License Purchase via CSP Marketplace (Marketplace)</x:t>
  </x:si>
  <x:si>
    <x:t xml:space="preserve">DCOM2026051997f</x:t>
  </x:si>
  <x:si>
    <x:t xml:space="preserve">The Sitecore license will expire soon by the end of this month on 31st May 2026. Currently, one application, myPIC, is running on this platform.
URL: https://mypic.com.my/</x:t>
  </x:si>
  <x:si>
    <x:t xml:space="preserve">Reviewed and verified the provided information. Certain fields are marked as N/A or unavailable as the Sitecore license procurement was handled via CSP Marketplace and not through the standard Procurement/AppCentre process.</x:t>
  </x:si>
  <x:si>
    <x:t xml:space="preserve">Proceed with the decommission</x:t>
  </x:si>
  <x:si>
    <x:t xml:space="preserve">Decommission PTAZSG-PROD-SiteCore-RG</x:t>
  </x:si>
  <x:si>
    <x:t xml:space="preserve">PTAZSG-PROD-SiteCore-XM-Cloud: The subscription couldn't be canceled because the 72-hour refund window has passed and there are pending payments within the current billing term.</x:t>
  </x:si>
  <x:si>
    <x:t xml:space="preserve">M-000033</x:t>
  </x:si>
  <x:si>
    <x:t xml:space="preserve">PC-00059_MP</x:t>
  </x:si>
  <x:si>
    <x:t xml:space="preserve">REQ000008089952</x:t>
  </x:si>
  <x:si>
    <x:t xml:space="preserve">ec70558a-8662-4220-9494-0694ed293dfd</x:t>
  </x:si>
  <x:si>
    <x:t xml:space="preserve">CSSP10937474</x:t>
  </x:si>
  <x:si>
    <x:t xml:space="preserve">luqmanhakim.ismai@petronas.com</x:t>
  </x:si>
  <x:si>
    <x:t xml:space="preserve">SAP 36 SRM Enterprise Buyer Professional</x:t>
  </x:si>
  <x:si>
    <x:t xml:space="preserve">DR Simulation for SAP Group Application - P36</x:t>
  </x:si>
  <x:si>
    <x:t xml:space="preserve">ptsg-1ebpap06DR (172.25.152.22), ptsg-1ebpdb06DR (172.25.152.19), ptsg-1ebpsc06dr (172.25.152.8)</x:t>
  </x:si>
  <x:si>
    <x:t xml:space="preserve">These DR servers are no longer in use and should be cleaned up to optimize costs.</x:t>
  </x:si>
  <x:si>
    <x:t xml:space="preserve">A-000719</x:t>
  </x:si>
  <x:si>
    <x:t xml:space="preserve">PC-00032_3</x:t>
  </x:si>
  <x:si>
    <x:t xml:space="preserve">bd0443fb-ed78-4525-87fc-2eba75822ed5</x:t>
  </x:si>
  <x:si>
    <x:t xml:space="preserve">CSSP10532596</x:t>
  </x:si>
  <x:si>
    <x:t xml:space="preserve">ptsg-1ebpap06DR (172.25.152.22) ptsg-1ebpdb06DR (172.25.152.19) ptsg-1ebpsc06dr (172.25.152.8)</x:t>
  </x:si>
  <x:si>
    <x:t xml:space="preserve">Server is no longer use. This is for cost optimization.</x:t>
  </x:si>
  <x:si>
    <x:t xml:space="preserve">fc078412-7345-4052-a86b-ae14393c37d2</x:t>
  </x:si>
  <x:si>
    <x:t xml:space="preserve">CSSP10900134</x:t>
  </x:si>
  <x:si>
    <x:t xml:space="preserve">hasnulauzani.hassan@petronas.com</x:t>
  </x:si>
  <x:si>
    <x:t xml:space="preserve">Tender Response Management System - TeRMS</x:t>
  </x:si>
  <x:si>
    <x:t xml:space="preserve">Cloud Migration Program - TeRMS: Tender Response Management System 2.0</x:t>
  </x:si>
  <x:si>
    <x:t xml:space="preserve">S000004981</x:t>
  </x:si>
  <x:si>
    <x:t xml:space="preserve">This application is already decom in quite sometimes. Need to have total decom</x:t>
  </x:si>
  <x:si>
    <x:t xml:space="preserve">All good to go</x:t>
  </x:si>
  <x:si>
    <x:t xml:space="preserve">Good to go</x:t>
  </x:si>
  <x:si>
    <x:t xml:space="preserve">Decommission all Terms RG,
PTAZSG-PROD-TeRMS-RG
PTAZSG-UAT-TeRMS-RG
PTAZSG-DEV-TeRMS-RG</x:t>
  </x:si>
  <x:si>
    <x:t xml:space="preserve">A-000807</x:t>
  </x:si>
  <x:si>
    <x:t xml:space="preserve">00915_58</x:t>
  </x:si>
  <x:si>
    <x:t xml:space="preserve">REQ000008052597</x:t>
  </x:si>
  <x:si>
    <x:t xml:space="preserve">e7eb9d5f-95e3-4e28-b1a6-aa56c63bf39e</x:t>
  </x:si>
  <x:si>
    <x:t xml:space="preserve">CSSP10402366</x:t>
  </x:si>
  <x:si>
    <x:t xml:space="preserve">mhaikal.mzamri@petronas.com</x:t>
  </x:si>
  <x:si>
    <x:t xml:space="preserve">S/4HANA Technical Conversion and Migration of SAP Systems P30 and P50</x:t>
  </x:si>
  <x:si>
    <x:t xml:space="preserve">DCOM20260513626</x:t>
  </x:si>
  <x:si>
    <x:t xml:space="preserve">safura.ibadullah@petronas.com.my</x:t>
  </x:si>
  <x:si>
    <x:t xml:space="preserve">System already been migrated to SAP RISE environment</x:t>
  </x:si>
  <x:si>
    <x:t xml:space="preserve">safura.ibadullah@petronas.com</x:t>
  </x:si>
  <x:si>
    <x:t xml:space="preserve">S/4HANA Technical Conversion and Migration of SAP Systems P30 and P50 completed in RISE.</x:t>
  </x:si>
  <x:si>
    <x:t xml:space="preserve">OSR00410</x:t>
  </x:si>
  <x:si>
    <x:t xml:space="preserve">REQ000008053120</x:t>
  </x:si>
  <x:si>
    <x:t xml:space="preserve">8ec3717a-84dd-4e4f-aafa-71b2887586ca</x:t>
  </x:si>
  <x:si>
    <x:t xml:space="preserve">CSSP10577934</x:t>
  </x:si>
  <x:si>
    <x:t xml:space="preserve">SAP 50 ECC6</x:t>
  </x:si>
  <x:si>
    <x:t xml:space="preserve">DCOM202605132c2</x:t>
  </x:si>
  <x:si>
    <x:t xml:space="preserve">S/4HANA Technical Conversion and Migration of SAP Systems P30 and P50 completed in SAP RISE.</x:t>
  </x:si>
  <x:si>
    <x:t xml:space="preserve">A-000726</x:t>
  </x:si>
  <x:si>
    <x:t xml:space="preserve">OSR00410_1</x:t>
  </x:si>
  <x:si>
    <x:t xml:space="preserve">REQ000008053217</x:t>
  </x:si>
  <x:si>
    <x:t xml:space="preserve">1000a2e7-295b-44f7-83c0-c2e67e4b671e</x:t>
  </x:si>
  <x:si>
    <x:t xml:space="preserve">CSSP10217006</x:t>
  </x:si>
  <x:si>
    <x:t xml:space="preserve">SAP 58 FIORI</x:t>
  </x:si>
  <x:si>
    <x:t xml:space="preserve">Cloud Migration Program - SAP FIORI Development (SAPID 58 (P58, D58, T58))</x:t>
  </x:si>
  <x:si>
    <x:t xml:space="preserve">DCOM2026051313c</x:t>
  </x:si>
  <x:si>
    <x:t xml:space="preserve">system is no longer in use</x:t>
  </x:si>
  <x:si>
    <x:t xml:space="preserve">System no longer in use</x:t>
  </x:si>
  <x:si>
    <x:t xml:space="preserve">Fiori migration to S/4HANA P30 and P50</x:t>
  </x:si>
  <x:si>
    <x:t xml:space="preserve">Decommission all resources in RG
PTAZSG-PROD-SAP-FIORI-P58-RG
PTAZSG-UAT-SAP-FIORI-T58-RG
PTAZSG-DEV-SAP-FIORI-D58-RG</x:t>
  </x:si>
  <x:si>
    <x:t xml:space="preserve">A-000729</x:t>
  </x:si>
  <x:si>
    <x:t xml:space="preserve">00915_37</x:t>
  </x:si>
  <x:si>
    <x:t xml:space="preserve">REQ000008052600</x:t>
  </x:si>
  <x:si>
    <x:t xml:space="preserve">b120eb33-939d-4490-a910-d455d4670457</x:t>
  </x:si>
  <x:si>
    <x:t xml:space="preserve">CSSP10754449</x:t>
  </x:si>
  <x:si>
    <x:t xml:space="preserve">Upstream High-Performance Computing - HPC Technology Refresh</x:t>
  </x:si>
  <x:si>
    <x:t xml:space="preserve">Implementation of Upstream High-Performance Computing (HPC) Technology Refresh for Upstream</x:t>
  </x:si>
  <x:si>
    <x:t xml:space="preserve">DCOM20260514e51</x:t>
  </x:si>
  <x:si>
    <x:t xml:space="preserve">Decommission will be done by Cegal team and by batches due to some of the lustre still doing data copy. This request is purposely for record only</x:t>
  </x:si>
  <x:si>
    <x:t xml:space="preserve">Appreciate COC team do not delete anything first. Decommissioning will be done by cegal and by batches due to some of the data currently in the midst of copy.</x:t>
  </x:si>
  <x:si>
    <x:t xml:space="preserve">Reviewed and Approved. Kindly expedite to avoid further redundant cost to Upstream.</x:t>
  </x:si>
  <x:si>
    <x:t xml:space="preserve">For decommission records only</x:t>
  </x:si>
  <x:si>
    <x:t xml:space="preserve">just for record</x:t>
  </x:si>
  <x:si>
    <x:t xml:space="preserve">A-000357</x:t>
  </x:si>
  <x:si>
    <x:t xml:space="preserve">REQ000008077903</x:t>
  </x:si>
  <x:si>
    <x:t xml:space="preserve">f9fb3fd1-64f4-4b66-8b40-30927f8cb67b</x:t>
  </x:si>
  <x:si>
    <x:t xml:space="preserve">CSSP10309904</x:t>
  </x:si>
  <x:si>
    <x:t xml:space="preserve">Digital Fields</x:t>
  </x:si>
  <x:si>
    <x:t xml:space="preserve">Subscription of Cloud Services for Proxy Well Model (PWM) and Sand Advisor (SAr) for Scaling Digital Field for Center of Excellence</x:t>
  </x:si>
  <x:si>
    <x:t xml:space="preserve">not applicable</x:t>
  </x:si>
  <x:si>
    <x:t xml:space="preserve">per business agreement on decommissioning resource related to application</x:t>
  </x:si>
  <x:si>
    <x:t xml:space="preserve">A-000206</x:t>
  </x:si>
  <x:si>
    <x:t xml:space="preserve">756f5134-f188-4a26-8875-475adfa99b6b</x:t>
  </x:si>
  <x:si>
    <x:t xml:space="preserve">CSSP10287067</x:t>
  </x:si>
  <x:si>
    <x:t xml:space="preserve">DCOM20260514fd1</x:t>
  </x:si>
  <x:si>
    <x:t xml:space="preserve">per business agreement to decomm the unused resources for VFM</x:t>
  </x:si>
  <x:si>
    <x:t xml:space="preserve">business focal agreeed to decomm with backup being done.
backup has been completed and can proceed for decommissioning</x:t>
  </x:si>
  <x:si>
    <x:t xml:space="preserve">To decommission all resources in PTAZSG-IAC-DAA-PROD-VFM-WPAA-RG and remove DNS records for vfm.petronas.com</x:t>
  </x:si>
  <x:si>
    <x:t xml:space="preserve">Completed by Amarja. Together with request CSSP10246852</x:t>
  </x:si>
  <x:si>
    <x:t xml:space="preserve">REQ000008138577</x:t>
  </x:si>
  <x:si>
    <x:t xml:space="preserve">415056df-5773-498c-967e-4fca6872c6e0</x:t>
  </x:si>
  <x:si>
    <x:t xml:space="preserve">CSSP10122979</x:t>
  </x:si>
  <x:si>
    <x:t xml:space="preserve">Refer to attachment</x:t>
  </x:si>
  <x:si>
    <x:t xml:space="preserve">REQ000008119651</x:t>
  </x:si>
  <x:si>
    <x:t xml:space="preserve">fabc8b2c-9e98-4931-8a32-a902fa44e59d</x:t>
  </x:si>
  <x:si>
    <x:t xml:space="preserve">CSSP10207809</x:t>
  </x:si>
  <x:si>
    <x:t xml:space="preserve">please decomm ptawsg-5icspdb01, PTAWSG-5ICSap01, PTAWSG-1ICSap01 and ptawsg-1icsprodb01. This cssp also related with CSSP10122979</x:t>
  </x:si>
  <x:si>
    <x:t xml:space="preserve">REQ000008119652</x:t>
  </x:si>
  <x:si>
    <x:t xml:space="preserve">21ebe187-b5a8-468d-aa99-63c14ab854c4</x:t>
  </x:si>
  <x:si>
    <x:t xml:space="preserve">CSSP10246852</x:t>
  </x:si>
  <x:si>
    <x:t xml:space="preserve">01152_1</x:t>
  </x:si>
  <x:si>
    <x:t xml:space="preserve">to decomm 01152_1 as part of decommissioning for VFM WPAA solution</x:t>
  </x:si>
  <x:si>
    <x:t xml:space="preserve">to decommission all resources in PTAZSG-IAC-DAA-PROD-SCP-RG and remove DNS records for scp.petronas.com &amp; vps.petronas.com</x:t>
  </x:si>
  <x:si>
    <x:t xml:space="preserve">REQ000008138569</x:t>
  </x:si>
  <x:si>
    <x:t xml:space="preserve">302bc997-0693-40ef-8a39-f041b82f4eb2</x:t>
  </x:si>
  <x:si>
    <x:t xml:space="preserve">CSSP10725106</x:t>
  </x:si>
  <x:si>
    <x:t xml:space="preserve">taiyen.fa@petronas.com</x:t>
  </x:si>
  <x:si>
    <x:t xml:space="preserve">Alpha Gas</x:t>
  </x:si>
  <x:si>
    <x:t xml:space="preserve">Alpha Gas Run and Maintain 2025</x:t>
  </x:si>
  <x:si>
    <x:t xml:space="preserve">DCOM2026051933d</x:t>
  </x:si>
  <x:si>
    <x:t xml:space="preserve">hazulfadli_hasan@petronas.com.my</x:t>
  </x:si>
  <x:si>
    <x:t xml:space="preserve">The product discontinuation is due to limited realised value, low user adoption and an unfavourable cost-benefit outlook for PEGT.</x:t>
  </x:si>
  <x:si>
    <x:t xml:space="preserve">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x:t>
  </x:si>
  <x:si>
    <x:t xml:space="preserve">hazulfadli_hasan@petronas.com</x:t>
  </x:si>
  <x:si>
    <x:t xml:space="preserve">Reviewed and align with PEGT management decision</x:t>
  </x:si>
  <x:si>
    <x:t xml:space="preserve">Decommission all resources for AlphaGas (04555) and DNS.
alphagas.petronas.com
dev.alphagas.petronas.com
stg.alphagas.petronas.com</x:t>
  </x:si>
  <x:si>
    <x:t xml:space="preserve">A-000042</x:t>
  </x:si>
  <x:si>
    <x:t xml:space="preserve">REQ000008066611</x:t>
  </x:si>
  <x:si>
    <x:t xml:space="preserve">cad1143c-1c95-448c-b393-be3699fc7ff4</x:t>
  </x:si>
  <x:si>
    <x:t xml:space="preserve">CSSP10128428</x:t>
  </x:si>
  <x:si>
    <x:t xml:space="preserve">Lab Information Management System - LIMS PGB</x:t>
  </x:si>
  <x:si>
    <x:t xml:space="preserve">OCI MIGRATION - LIMS PGB</x:t>
  </x:si>
  <x:si>
    <x:t xml:space="preserve">Decommission resources in SG</x:t>
  </x:si>
  <x:si>
    <x:t xml:space="preserve">A-000428</x:t>
  </x:si>
  <x:si>
    <x:t xml:space="preserve">00915_224</x:t>
  </x:si>
  <x:si>
    <x:t xml:space="preserve">REQ000008100447</x:t>
  </x:si>
  <x:si>
    <x:t xml:space="preserve">05ee937d-9af7-4e68-a0fc-abf2b24526a4</x:t>
  </x:si>
  <x:si>
    <x:t xml:space="preserve">CSSP10777099</x:t>
  </x:si>
  <x:si>
    <x:t xml:space="preserve">OCI MIGRATION - Integrated Lab Information System (PGB)</x:t>
  </x:si>
  <x:si>
    <x:t xml:space="preserve">OCI-00026</x:t>
  </x:si>
  <x:si>
    <x:t xml:space="preserve">REQ000008099890</x:t>
  </x:si>
  <x:si>
    <x:t xml:space="preserve">8a2c351c-bd7d-44f7-b6c4-d64ff5cd2a02</x:t>
  </x:si>
  <x:si>
    <x:t xml:space="preserve">CSSP10355804</x:t>
  </x:si>
  <x:si>
    <x:t xml:space="preserve">Cloud Migration Program - Portal for SRM Enterprise Buyer Professional (SAP36)</x:t>
  </x:si>
  <x:si>
    <x:t xml:space="preserve">Test</x:t>
  </x:si>
  <x:si>
    <x:t xml:space="preserve">00915_131</x:t>
  </x:si>
  <x:si>
    <x:t xml:space="preserve">ad3d6371-3967-402c-a27c-2ee69a0652ca</x:t>
  </x:si>
  <x:si>
    <x:t xml:space="preserve">CSSP10562864</x:t>
  </x:si>
  <x:si>
    <x:t xml:space="preserve">Zidane LVC</x:t>
  </x:si>
  <x:si>
    <x:t xml:space="preserve">Provision of Professional Service, Software License and Infra for Umbrella ArBiTra for PLL 2022-2023</x:t>
  </x:si>
  <x:si>
    <x:t xml:space="preserve">Please proceed with the attached lists</x:t>
  </x:si>
  <x:si>
    <x:t xml:space="preserve">Decommission 02835 resources in SG</x:t>
  </x:si>
  <x:si>
    <x:t xml:space="preserve">A-000063</x:t>
  </x:si>
  <x:si>
    <x:t xml:space="preserve">REQ000008078369</x:t>
  </x:si>
  <x:si>
    <x:t xml:space="preserve">27921864-7aa8-4168-946a-4d611d246d01</x:t>
  </x:si>
  <x:si>
    <x:t xml:space="preserve">CSSP10322010</x:t>
  </x:si>
  <x:si>
    <x:t xml:space="preserve">These DR servers [ptsg-1ebpap06DR (172.25.152.22), ptsg-1ebpdb06DR (172.25.152.19), ptsg-1ebpsc06dr (172.25.152.8)] are no longer in use and should be cleaned up to optimize costs.</x:t>
  </x:si>
  <x:si>
    <x:t xml:space="preserve">These resources were used for DR simulations. However, they are no longer in use and should be cleaned up to optimize costs.</x:t>
  </x:si>
  <x:si>
    <x:t xml:space="preserve">Decommission 
ptsg-1ebpap06DR (172.25.152.22), 
ptsg-1ebpdb06DR (172.25.152.19), 
ptsg-1ebpsc06dr (172.25.152.8)</x:t>
  </x:si>
  <x:si>
    <x:t xml:space="preserve">REQ000008060807</x:t>
  </x:si>
  <x:si>
    <x:t xml:space="preserve">656e40ce-8f02-4e32-8bb3-f5f9c5e4d40e</x:t>
  </x:si>
  <x:si>
    <x:t xml:space="preserve">CSSP10776636</x:t>
  </x:si>
  <x:si>
    <x:t xml:space="preserve">Zidane OVC</x:t>
  </x:si>
  <x:si>
    <x:t xml:space="preserve">Cloud Repatriation - To decommission old resources in Singapore region due to completed migration in MY region. Please refer below attachment. Only the highlighted resources can be decom. For OVC consists variety Project code.</x:t>
  </x:si>
  <x:si>
    <x:t xml:space="preserve">da7d2785-40aa-4885-a4a7-d2c1600ec001</x:t>
  </x:si>
  <x:si>
    <x:t xml:space="preserve">CSSP10586110</x:t>
  </x:si>
  <x:si>
    <x:t xml:space="preserve">Cloud Repatriation - To decommission old resources in Singapore region due to completed migration in MY region. Please refer below attachment. Only the highlighted resources can be decom. This OVC consists multiple project code.</x:t>
  </x:si>
  <x:si>
    <x:t xml:space="preserve">Decommission Zidane OVC (02804) resources in SG</x:t>
  </x:si>
  <x:si>
    <x:t xml:space="preserve">REQ000008094916</x:t>
  </x:si>
  <x:si>
    <x:t xml:space="preserve">f37409d8-c053-4ffd-931c-fa207b5bb522</x:t>
  </x:si>
  <x:si>
    <x:t xml:space="preserve">CSSP10474006</x:t>
  </x:si>
  <x:si>
    <x:t xml:space="preserve">mohammadarshad.hali@petronas.com</x:t>
  </x:si>
  <x:si>
    <x:t xml:space="preserve">Refinery of the Future - ROTF PRPC</x:t>
  </x:si>
  <x:si>
    <x:t xml:space="preserve">CTP - Refinery of the future (ROTF) - Feedstock</x:t>
  </x:si>
  <x:si>
    <x:t xml:space="preserve">DCOM20260519a6d</x:t>
  </x:si>
  <x:si>
    <x:t xml:space="preserve">syariman.azlantan@petronas.com.my</x:t>
  </x:si>
  <x:si>
    <x:t xml:space="preserve">https://protf.petronas.com/</x:t>
  </x:si>
  <x:si>
    <x:t xml:space="preserve">PRefChem Carve Out for ROTF has been completed, and application is no longer use by PRPC/PRefChem</x:t>
  </x:si>
  <x:si>
    <x:t xml:space="preserve">Approved by PIC Growth &amp; Sustainability Committee (PGSC), and acknowledge by PRefChem.</x:t>
  </x:si>
  <x:si>
    <x:t xml:space="preserve">syariman.azlantan@petronas.com</x:t>
  </x:si>
  <x:si>
    <x:t xml:space="preserve">A-000695</x:t>
  </x:si>
  <x:si>
    <x:t xml:space="preserve">02421_65</x:t>
  </x:si>
  <x:si>
    <x:t xml:space="preserve">e521e0b7-42b0-4af5-860a-9310b5731816</x:t>
  </x:si>
  <x:si>
    <x:t xml:space="preserve">CSSP10791971</x:t>
  </x:si>
  <x:si>
    <x:t xml:space="preserve">4af683f3-8293-4b43-8847-e0fcb68608a7</x:t>
  </x:si>
  <x:si>
    <x:t xml:space="preserve">CSSP10954799</x:t>
  </x:si>
  <x:si>
    <x:t xml:space="preserve">Structural Integrity Compliance System - SICS</x:t>
  </x:si>
  <x:si>
    <x:t xml:space="preserve">Cloud Migration Program - Structure Information Control System (SICS) - U-IMAGe Operationalization - Structural Integrity Compliance System (SICS) for Floating Structure Integrity Management (FSIM)</x:t>
  </x:si>
  <x:si>
    <x:t xml:space="preserve">A-000762</x:t>
  </x:si>
  <x:si>
    <x:t xml:space="preserve">00915_5</x:t>
  </x:si>
  <x:si>
    <x:t xml:space="preserve">228d385c-9e03-4866-909c-b83ad90066ca</x:t>
  </x:si>
  <x:si>
    <x:t xml:space="preserve">CSSP10771542</x:t>
  </x:si>
  <x:si>
    <x:t xml:space="preserve">Master Data Management - MDM Tool SAP</x:t>
  </x:si>
  <x:si>
    <x:t xml:space="preserve">Setup and Installation of Master Data Management (MDM) Tool for PETRONAS (SAP)</x:t>
  </x:si>
  <x:si>
    <x:t xml:space="preserve">The server PTSG-1MDMDB01 is no longer in use and can be decommissioned to optimize and save resources.</x:t>
  </x:si>
  <x:si>
    <x:t xml:space="preserve">A-000457</x:t>
  </x:si>
  <x:si>
    <x:t xml:space="preserve">PSR05041</x:t>
  </x:si>
  <x:si>
    <x:t xml:space="preserve">5b9a9bf2-0125-4ad4-9763-c13616ae75b5</x:t>
  </x:si>
  <x:si>
    <x:t xml:space="preserve">CSSP10820059</x:t>
  </x:si>
  <x:si>
    <x:t xml:space="preserve">SAP 39 SRM SPS</x:t>
  </x:si>
  <x:si>
    <x:t xml:space="preserve">Cloud Migration Program - SAP39</x:t>
  </x:si>
  <x:si>
    <x:t xml:space="preserve">A-000722</x:t>
  </x:si>
  <x:si>
    <x:t xml:space="preserve">02421_102</x:t>
  </x:si>
  <x:si>
    <x:t xml:space="preserve">caa6d113-b915-487a-a062-11846b5787b5</x:t>
  </x:si>
  <x:si>
    <x:t xml:space="preserve">CSSP10539408</x:t>
  </x:si>
  <x:si>
    <x:t xml:space="preserve">SAP Printer Server</x:t>
  </x:si>
  <x:si>
    <x:t xml:space="preserve">Cloud Migration Program - SAP Printer server for other SAP's systems</x:t>
  </x:si>
  <x:si>
    <x:t xml:space="preserve">The server PTSG-1SAPPR02 is no longer in use and can be decommissioned to optimize and save resources.</x:t>
  </x:si>
  <x:si>
    <x:t xml:space="preserve">Decommission PTSG-1SAPPR02 - 172.25.33.230</x:t>
  </x:si>
  <x:si>
    <x:t xml:space="preserve">A-000745</x:t>
  </x:si>
  <x:si>
    <x:t xml:space="preserve">00915_52</x:t>
  </x:si>
  <x:si>
    <x:t xml:space="preserve">REQ000008060809</x:t>
  </x:si>
  <x:si>
    <x:t xml:space="preserve">b5216083-454f-4895-bbdb-a4e52d8440b3</x:t>
  </x:si>
  <x:si>
    <x:t xml:space="preserve">CSSP10917429</x:t>
  </x:si>
  <x:si>
    <x:t xml:space="preserve">42d7dd99-6ab1-45a8-a6ca-a72840e30686</x:t>
  </x:si>
  <x:si>
    <x:t xml:space="preserve">CSSP10386386</x:t>
  </x:si>
  <x:si>
    <x:t xml:space="preserve">PTSG-1MDMDB01</x:t>
  </x:si>
  <x:si>
    <x:t xml:space="preserve">Decommission PTSG-1MDMDB0 (172.25.40.220)</x:t>
  </x:si>
  <x:si>
    <x:t xml:space="preserve">REQ000008060806</x:t>
  </x:si>
  <x:si>
    <x:t xml:space="preserve">73e9a880-4869-4846-ae11-56c98bb4152e</x:t>
  </x:si>
  <x:si>
    <x:t xml:space="preserve">CSSP10282490</x:t>
  </x:si>
  <x:si>
    <x:t xml:space="preserve">Not used</x:t>
  </x:si>
  <x:si>
    <x:t xml:space="preserve">7cd96ef1-497b-4547-bc5d-c6fc387d81e1</x:t>
  </x:si>
  <x:si>
    <x:t xml:space="preserve">CSSP10684299</x:t>
  </x:si>
  <x:si>
    <x:t xml:space="preserve">mashraf.habil@petronas.com</x:t>
  </x:si>
  <x:si>
    <x:t xml:space="preserve">processing</x:t>
  </x:si>
  <x:si>
    <x:t xml:space="preserve">DCOM20260608525</x:t>
  </x:si>
  <x:si>
    <x:t xml:space="preserve">protf.petronas.com, protf.stg.petronas.com</x:t>
  </x:si>
  <x:si>
    <x:t xml:space="preserve">All resource listed can be decom</x:t>
  </x:si>
  <x:si>
    <x:t xml:space="preserve">Proceed to decom</x:t>
  </x:si>
  <x:si>
    <x:t xml:space="preserve">IMS - CLOUD CSSP REVIEWER</x:t>
  </x:si>
  <x:si>
    <x:t xml:space="preserve">10764f57-29b3-459a-9ff4-63cdea3aa9f5</x:t>
  </x:si>
  <x:si>
    <x:t xml:space="preserve">CSSP10340483</x:t>
  </x:si>
  <x:si>
    <x:t xml:space="preserve">ramachandran.sankara@petronas.com</x:t>
  </x:si>
  <x:si>
    <x:t xml:space="preserve">Instrument Reliability Digital Suite - IRIS</x:t>
  </x:si>
  <x:si>
    <x:t xml:space="preserve">[ALS] Implementation of Instrument Reliability Digital Suite (IRIS) for GTS</x:t>
  </x:si>
  <x:si>
    <x:t xml:space="preserve">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x:t>
  </x:si>
  <x:si>
    <x:t xml:space="preserve">Only 2 resources in UAT
Azure functions and storage
ptsg4alsstrg01
ptsg4alsfunc01</x:t>
  </x:si>
  <x:si>
    <x:t xml:space="preserve">Reviewed &amp; Approved</x:t>
  </x:si>
  <x:si>
    <x:t xml:space="preserve">A-000403</x:t>
  </x:si>
  <x:si>
    <x:t xml:space="preserve">621be009-9eac-4914-b75b-7e6199940cc4</x:t>
  </x:si>
  <x:si>
    <x:t xml:space="preserve">CSSP10682186</x:t>
  </x:si>
  <x:si>
    <x:t xml:space="preserve">erenah.hanasi@petronas.com</x:t>
  </x:si>
  <x:si>
    <x:t xml:space="preserve">Turnaround Management Solution - PITSTOPS</x:t>
  </x:si>
  <x:si>
    <x:t xml:space="preserve">Modernization of Turnaround Management Solution for GTS - PITSTOPS</x:t>
  </x:si>
  <x:si>
    <x:t xml:space="preserve">sss</x:t>
  </x:si>
  <x:si>
    <x:t xml:space="preserve">ssss</x:t>
  </x:si>
  <x:si>
    <x:t xml:space="preserve">A-000603</x:t>
  </x:si>
  <x:si>
    <x:t xml:space="preserve">8871d087-ff27-4c09-8a25-4f69bc682da1</x:t>
  </x:si>
  <x:si>
    <x:t xml:space="preserve">CSSP10237001</x:t>
  </x:si>
  <x:si>
    <x:t xml:space="preserve">Energy Component as a Service - ECaaS</x:t>
  </x:si>
  <x:si>
    <x:t xml:space="preserve">PETRONAS Global Production System (PGPS) Energy Component as a Service (ECaaS)</x:t>
  </x:si>
  <x:si>
    <x:t xml:space="preserve">A-000254</x:t>
  </x:si>
  <x:si>
    <x:t xml:space="preserve">PC-00066</x:t>
  </x:si>
  <x:si>
    <x:t xml:space="preserve">64ed4481-bce0-4eaa-8a9b-b63d01e4fa1c</x:t>
  </x:si>
  <x:si>
    <x:t xml:space="preserve">CSSP10653599</x:t>
  </x:si>
  <x:si>
    <x:t xml:space="preserve">MyTimex</x:t>
  </x:si>
  <x:si>
    <x:t xml:space="preserve">Development of Enterprise myTimex for Standard Group-wide Application</x:t>
  </x:si>
  <x:si>
    <x:t xml:space="preserve">A-000496</x:t>
  </x:si>
  <x:si>
    <x:t xml:space="preserve">PSR04772</x:t>
  </x:si>
  <x:si>
    <x:t xml:space="preserve">59ce8d48-9246-4b35-9c98-83038a676bf3</x:t>
  </x:si>
  <x:si>
    <x:t xml:space="preserve">CSSP10657704</x:t>
  </x:si>
  <x:si>
    <x:t xml:space="preserve">Policy Advisory Committee to the Prime Minister - PMAC</x:t>
  </x:si>
  <x:si>
    <x:t xml:space="preserve">Policy Advisory Committee to the Prime Minister (PMAC)</x:t>
  </x:si>
  <x:si>
    <x:t xml:space="preserve">please decom entire RG PTAZSG-IAC-UAT-PMAC-RG, PTAZSG-IAC-PROD-PMAC-RG</x:t>
  </x:si>
  <x:si>
    <x:t xml:space="preserve">Decommission resources in SG (Repat)</x:t>
  </x:si>
  <x:si>
    <x:t xml:space="preserve">A-000630</x:t>
  </x:si>
  <x:si>
    <x:t xml:space="preserve">REQ000008100449</x:t>
  </x:si>
  <x:si>
    <x:t xml:space="preserve">a4387962-83a2-4e0d-b981-8958beb397fb</x:t>
  </x:si>
  <x:si>
    <x:t xml:space="preserve">CSSP10555599</x:t>
  </x:si>
  <x:si>
    <x:t xml:space="preserve">fatin.ghazali@petronas.com</x:t>
  </x:si>
  <x:si>
    <x:t xml:space="preserve">To decommission ArbitraAppMart in PTSG-4BIRADB01 only. Decomm the database only. Do not delete the server.</x:t>
  </x:si>
  <x:si>
    <x:t xml:space="preserve">Approved for decom as clean-up on unused resources.</x:t>
  </x:si>
  <x:si>
    <x:t xml:space="preserve">Decommission database name ArbitraAppMart in PTSG-4BIRADB01 only</x:t>
  </x:si>
  <x:si>
    <x:t xml:space="preserve">REQ000008111308</x:t>
  </x:si>
  <x:si>
    <x:t xml:space="preserve">c2c70e60-4100-431a-8cc2-5e6028e5e342</x:t>
  </x:si>
  <x:si>
    <x:t xml:space="preserve">CSSP10475107</x:t>
  </x:si>
  <x:si>
    <x:t xml:space="preserve">hazdirizal.abdullha@petronas.com</x:t>
  </x:si>
  <x:si>
    <x:t xml:space="preserve">M365 Exchange 2016 for Centralised Automation Management Console</x:t>
  </x:si>
  <x:si>
    <x:t xml:space="preserve">M365-Server Relocation: Exchange Hybrid Servers</x:t>
  </x:si>
  <x:si>
    <x:t xml:space="preserve">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x:t>
  </x:si>
  <x:si>
    <x:t xml:space="preserve">A-000443</x:t>
  </x:si>
  <x:si>
    <x:t xml:space="preserve">01931_2</x:t>
  </x:si>
  <x:si>
    <x:t xml:space="preserve">81979cb2-adc9-48f1-a887-9af937c30e81</x:t>
  </x:si>
  <x:si>
    <x:t xml:space="preserve">CSSP10496253</x:t>
  </x:si>
  <x:si>
    <x:t xml:space="preserve">faylynn.chua@petronas.com.my</x:t>
  </x:si>
  <x:si>
    <x:t xml:space="preserve">704D905161</x:t>
  </x:si>
  <x:si>
    <x:t xml:space="preserve">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x:t>
  </x:si>
  <x:si>
    <x:t xml:space="preserve">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x:t>
  </x:si>
  <x:si>
    <x:t xml:space="preserve">faylynn.chua@petronas.com</x:t>
  </x:si>
  <x:si>
    <x:t xml:space="preserve">CSSP Admin, approving for PTSG-3EXCHVM1 - 172.25.8.167 PTSG-3EXCHVM2 - 172.25.8.177. Please take note that PTSG-1SMTPed01 - 172.25.34.85 PTSG-1SMTPed02 - 172.25.34.86 resources are not available for selection to retire.</x:t>
  </x:si>
  <x:si>
    <x:t xml:space="preserve">Decommission listed servers, ptsg-3exchvm1 &amp; ptsg-3exchvm2</x:t>
  </x:si>
  <x:si>
    <x:t xml:space="preserve">Decommision complete PTSG-3EXCHVM1 - 172.25.8.167 PTSG-3EXCHVM2 - 172.25.8.177</x:t>
  </x:si>
  <x:si>
    <x:t xml:space="preserve">REQ000008119769</x:t>
  </x:si>
  <x:si>
    <x:t xml:space="preserve">ac067e61-eb21-4e12-aacd-93e9c3ba1cd0</x:t>
  </x:si>
  <x:si>
    <x:t xml:space="preserve">CSSP10732316</x:t>
  </x:si>
  <x:si>
    <x:t xml:space="preserve">MyExperts</x:t>
  </x:si>
  <x:si>
    <x:t xml:space="preserve">MyExperts Infrastructure Refresh for GPD</x:t>
  </x:si>
  <x:si>
    <x:t xml:space="preserve">The VM is no longer required.</x:t>
  </x:si>
  <x:si>
    <x:t xml:space="preserve">The VM is no longer required.
All related resources, Storage Disk, and Network to be removed.</x:t>
  </x:si>
  <x:si>
    <x:t xml:space="preserve">Reveiwed andApproved.</x:t>
  </x:si>
  <x:si>
    <x:t xml:space="preserve">Proceed to decommission selected resource, VM ptsg-1myxpwb01</x:t>
  </x:si>
  <x:si>
    <x:t xml:space="preserve">A-000478</x:t>
  </x:si>
  <x:si>
    <x:t xml:space="preserve">REQ000008118039</x:t>
  </x:si>
  <x:si>
    <x:t xml:space="preserve">3dc48720-fbcb-4631-85ac-1527beb87a7e</x:t>
  </x:si>
  <x:si>
    <x:t xml:space="preserve">CSSP10505484</x:t>
  </x:si>
  <x:si>
    <x:t xml:space="preserve">omarmuzhafar.omarzo@petronas.com</x:t>
  </x:si>
  <x:si>
    <x:t xml:space="preserve">myPET is no longer in used since Dec 2025 and poses CS findings. Hence, to decomm the below services:
PROD:
https://qrscan.up.petronas.com
ptazsg-1coeeventwb01.azurewebsites.net
Non-PROD: 
ptazsg-5coeeventwb01.azurewebsites.net
Refer attached email.</x:t>
  </x:si>
  <x:si>
    <x:t xml:space="preserve">To decom myPET services under UP application. Other modules under UP should not be decomm. Refer below: 
1. https://qrscan.up.petronas.com 
2. ptazsg-1coeeventwb01.azurewebsites.net
3. ptazsg-5coeeventwb01.azurewebsites.net</x:t>
  </x:si>
  <x:si>
    <x:t xml:space="preserve">Decommission App Service, ptazsg-1coeeventwb01 &amp; ptazsg-5coeeventwb01.
Remove DNS record https://qrscan.up.petronas.com</x:t>
  </x:si>
  <x:si>
    <x:t xml:space="preserve">App services deleted.</x:t>
  </x:si>
  <x:si>
    <x:t xml:space="preserve">REQ000008109030</x:t>
  </x:si>
  <x:si>
    <x:t xml:space="preserve">25d7431e-d868-4b1a-a92e-1ea44badde02</x:t>
  </x:si>
  <x:si>
    <x:t xml:space="preserve">CSSP10319295</x:t>
  </x:si>
  <x:si>
    <x:t xml:space="preserve">Cyber Security Palo Alto Firewall</x:t>
  </x:si>
  <x:si>
    <x:t xml:space="preserve">Palo Alto Migration and Implementation in Azure</x:t>
  </x:si>
  <x:si>
    <x:t xml:space="preserve">DCOM20260616612</x:t>
  </x:si>
  <x:si>
    <x:t xml:space="preserve">No longer in use as system has moved to SAP RISE</x:t>
  </x:si>
  <x:si>
    <x:t xml:space="preserve">A-000172</x:t>
  </x:si>
  <x:si>
    <x:t xml:space="preserve">AZ-00002</x:t>
  </x:si>
  <x:si>
    <x:t xml:space="preserve">66859202-b919-464c-9caa-a81845ec5122</x:t>
  </x:si>
  <x:si>
    <x:t xml:space="preserve">CSSP10413624</x:t>
  </x:si>
  <x:si>
    <x:t xml:space="preserve">Cloud Migration AWS Infrastructure for Palo Alto (New Landing Zone)</x:t>
  </x:si>
  <x:si>
    <x:t xml:space="preserve">System move to SAP RISE</x:t>
  </x:si>
  <x:si>
    <x:t xml:space="preserve">00915_121</x:t>
  </x:si>
  <x:si>
    <x:t xml:space="preserve">a79a7fa7-d26c-4167-8072-7a40599cb08a</x:t>
  </x:si>
  <x:si>
    <x:t xml:space="preserve">CSSP10750255</x:t>
  </x:si>
  <x:si>
    <x:t xml:space="preserve">Cyber Security Zscaler Private Access</x:t>
  </x:si>
  <x:si>
    <x:t xml:space="preserve">Zscaler Private Access</x:t>
  </x:si>
  <x:si>
    <x:t xml:space="preserve">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x:t>
  </x:si>
  <x:si>
    <x:t xml:space="preserve">Would like to request for 2 RFC creation:- 
1. The ZScaler Deception Portal is hosted by Zscaler (Policy required to remove - which relevant to Decoy ID)
2. For AD -  clean-up script required to run (clean-up for dependency/decoy ID) - refer to ICT_RFC00161318</x:t>
  </x:si>
  <x:si>
    <x:t xml:space="preserve">A-000185</x:t>
  </x:si>
  <x:si>
    <x:t xml:space="preserve">e827b067-4d0b-4147-9823-863ec42556f7</x:t>
  </x:si>
  <x:si>
    <x:t xml:space="preserve">CSSP10516713</x:t>
  </x:si>
  <x:si>
    <x:t xml:space="preserve">Data Culture Gamification - DCG</x:t>
  </x:si>
  <x:si>
    <x:t xml:space="preserve">Development of Data Culture Gamification for Upstream</x:t>
  </x:si>
  <x:si>
    <x:t xml:space="preserve">DCOM20260624b8f</x:t>
  </x:si>
  <x:si>
    <x:t xml:space="preserve">eanand.ehambaram@petronas.com.my</x:t>
  </x:si>
  <x:si>
    <x:t xml:space="preserve">udg.petronas.com</x:t>
  </x:si>
  <x:si>
    <x:t xml:space="preserve">As per requested by Business Owner as it is not in use anymore.</x:t>
  </x:si>
  <x:si>
    <x:t xml:space="preserve">Please perform full decommission with backup for all these resources.</x:t>
  </x:si>
  <x:si>
    <x:t xml:space="preserve">Approved as no longer in use</x:t>
  </x:si>
  <x:si>
    <x:t xml:space="preserve">OKay</x:t>
  </x:si>
  <x:si>
    <x:t xml:space="preserve">A-000202</x:t>
  </x:si>
  <x:si>
    <x:t xml:space="preserve">REQ000008182426</x:t>
  </x:si>
  <x:si>
    <x:t xml:space="preserve">b74088f0-59a0-4835-97ab-319c527f421f</x:t>
  </x:si>
  <x:si>
    <x:t xml:space="preserve">CSSP10434772</x:t>
  </x:si>
  <x:si>
    <x:t xml:space="preserve">Lab Information Management System - LIMS MLNG</x:t>
  </x:si>
  <x:si>
    <x:t xml:space="preserve">OCI MIGRATION - LIMS MLNG</x:t>
  </x:si>
  <x:si>
    <x:t xml:space="preserve">Approve</x:t>
  </x:si>
  <x:si>
    <x:t xml:space="preserve">A-000423</x:t>
  </x:si>
  <x:si>
    <x:t xml:space="preserve">00915_213</x:t>
  </x:si>
  <x:si>
    <x:t xml:space="preserve">REQ000008246580</x:t>
  </x:si>
  <x:si>
    <x:t xml:space="preserve">f793ad64-49da-4b3a-a031-92524c73ab36</x:t>
  </x:si>
  <x:si>
    <x:t xml:space="preserve">CSSP10204623</x:t>
  </x:si>
  <x:si>
    <x:t xml:space="preserve">REQ000008247056</x:t>
  </x:si>
  <x:si>
    <x:t xml:space="preserve">a7ad2705-364e-4cd6-bda4-1781c44dd7a4</x:t>
  </x:si>
  <x:si>
    <x:t xml:space="preserve">CSSP10958195</x:t>
  </x:si>
  <x:si>
    <x:t xml:space="preserve">OCI MIGRATION - Integrated Lab Information System (MLNG)</x:t>
  </x:si>
  <x:si>
    <x:t xml:space="preserve">loud Repatriation - To decommission old resources in Singapore region due to completed migration in MY region</x:t>
  </x:si>
  <x:si>
    <x:t xml:space="preserve">OCI-00025</x:t>
  </x:si>
  <x:si>
    <x:t xml:space="preserve">a68cdc33-e9cb-4a52-8098-c1b0e3990a57</x:t>
  </x:si>
  <x:si>
    <x:t xml:space="preserve">CSSP10916071</x:t>
  </x:si>
  <x:si>
    <x:t xml:space="preserve">Lab Information Management System - LIMS PPTSB</x:t>
  </x:si>
  <x:si>
    <x:t xml:space="preserve">OCI MIGRATION - LIMS PPTSB</x:t>
  </x:si>
  <x:si>
    <x:t xml:space="preserve">A-000429</x:t>
  </x:si>
  <x:si>
    <x:t xml:space="preserve">00915_212</x:t>
  </x:si>
  <x:si>
    <x:t xml:space="preserve">REQ000008247057</x:t>
  </x:si>
  <x:si>
    <x:t xml:space="preserve">7afc390d-0dff-4d29-92fc-1352f7964163</x:t>
  </x:si>
  <x:si>
    <x:t xml:space="preserve">CSSP10434338</x:t>
  </x:si>
  <x:si>
    <x:t xml:space="preserve">OCI MIGRATION - Integrated Lab Information System (PPT)</x:t>
  </x:si>
  <x:si>
    <x:t xml:space="preserve">OCI-00018</x:t>
  </x:si>
  <x:si>
    <x:t xml:space="preserve">d7365623-dfc1-4d4e-9135-d7c22fd72c18</x:t>
  </x:si>
  <x:si>
    <x:t xml:space="preserve">CSSP10120863</x:t>
  </x:si>
  <x:si>
    <x:t xml:space="preserve">606b5aae-f441-4b45-b516-7cce8b5e5d00</x:t>
  </x:si>
  <x:si>
    <x:t xml:space="preserve">CSSP10192809</x:t>
  </x:si>
  <x:si>
    <x:t xml:space="preserve">Cloud Repatriation - To decommission old resources in Singapore region due to completed migration in MY region
NOTES: Please Refer mainly to the chosen list of resources and attachment is for reference only.</x:t>
  </x:si>
  <x:si>
    <x:t xml:space="preserve">a8f7d9a2-2afc-43f6-8384-425e1d2c02a7</x:t>
  </x:si>
  <x:si>
    <x:t xml:space="preserve">CSSP10328587</x:t>
  </x:si>
  <x:si>
    <x:t xml:space="preserve">miqbal.mohsin@petronas.com</x:t>
  </x:si>
  <x:si>
    <x:t xml:space="preserve">OpAware</x:t>
  </x:si>
  <x:si>
    <x:t xml:space="preserve">Cloud Migration Program - OpAware system (Process Scout)</x:t>
  </x:si>
  <x:si>
    <x:t xml:space="preserve">jlkjlkjlkjlk</x:t>
  </x:si>
  <x:si>
    <x:t xml:space="preserve">jkljk</x:t>
  </x:si>
  <x:si>
    <x:t xml:space="preserve">.</x:t>
  </x:si>
  <x:si>
    <x:t xml:space="preserve">A-001070</x:t>
  </x:si>
  <x:si>
    <x:t xml:space="preserve">02421_56</x:t>
  </x:si>
  <x:si>
    <x:t xml:space="preserve">1455d64a-b9fe-448b-9651-6573b74743c1</x:t>
  </x:si>
  <x:si>
    <x:t xml:space="preserve">CSSP10323752</x:t>
  </x:si>
  <x:si>
    <x:t xml:space="preserve">M365-Microsoft Exchange Edge server for Address Rewriting</x:t>
  </x:si>
  <x:si>
    <x:t xml:space="preserve">current Exchange server 2016 has already reached end of life support and not in used. the total number of servers of Exchange 2016 to be decom is 2 servers: Exchange 2016 Edge Servers: PTSG-1SMTPed01 - 172.25.34.85 PTSG-1SMTPed02 - 172.25.34.86</x:t>
  </x:si>
  <x:si>
    <x:t xml:space="preserve">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x:t>
  </x:si>
  <x:si>
    <x:t xml:space="preserve">Approved as per plan.</x:t>
  </x:si>
  <x:si>
    <x:t xml:space="preserve">REQ000008238796</x:t>
  </x:si>
  <x:si>
    <x:t xml:space="preserve">b91e95dd-bfe7-4354-bb7d-f98033d0b308</x:t>
  </x:si>
  <x:si>
    <x:t xml:space="preserve">CSSP10127063</x:t>
  </x:si>
  <x:si>
    <x:t xml:space="preserve">amarsyafiq.azma@petronas.com</x:t>
  </x:si>
  <x:si>
    <x:t xml:space="preserve">Enterprise Application Observability</x:t>
  </x:si>
  <x:si>
    <x:t xml:space="preserve">chewjian.shin@petronas.com</x:t>
  </x:si>
  <x:si>
    <x:t xml:space="preserve">No longer using</x:t>
  </x:si>
  <x:si>
    <x:t xml:space="preserve">A-000285</x:t>
  </x:si>
  <x:si>
    <x:t xml:space="preserve">PC-00002</x:t>
  </x:si>
  <x:si>
    <x:t xml:space="preserve">32001a43-a497-4015-9108-afda626bc56d</x:t>
  </x:si>
  <x:si>
    <x:t xml:space="preserve">CSSP10353907</x:t>
  </x:si>
  <x:si>
    <x:t xml:space="preserve">MyMinutes – 5 December 2017 (MyMinutes Subscription)</x:t>
  </x:si>
  <x:si>
    <x:t xml:space="preserve">Resource no longer in used. To be decommissioned.</x:t>
  </x:si>
  <x:si>
    <x:t xml:space="preserve">Approved for Decommisioning</x:t>
  </x:si>
  <x:si>
    <x:t xml:space="preserve">MySuiteApps</x:t>
  </x:si>
  <x:si>
    <x:t xml:space="preserve">REQ000008194637</x:t>
  </x:si>
  <x:si>
    <x:t xml:space="preserve">df6c78e2-cbc8-40fb-85a1-384398936453</x:t>
  </x:si>
  <x:si>
    <x:t xml:space="preserve">CSSP10991525</x:t>
  </x:si>
  <x:si>
    <x:t xml:space="preserve">Development of GNE EVP Dashboard (GO Dashboard 2.0)</x:t>
  </x:si>
  <x:si>
    <x:t xml:space="preserve">Cloud Repatriation – Decommission old resources in SG region due to completed migration in MY region</x:t>
  </x:si>
  <x:si>
    <x:t xml:space="preserve">b9bef78c-c399-46d9-bf73-b16bdc7151d2</x:t>
  </x:si>
  <x:si>
    <x:t xml:space="preserve">CSSP10854464</x:t>
  </x:si>
  <x:si>
    <x:t xml:space="preserve">GO Dashboard Improvement (Common Features)</x:t>
  </x:si>
  <x:si>
    <x:t xml:space="preserve">43e89e21-82d9-4fa3-988c-325065c64dd7</x:t>
  </x:si>
  <x:si>
    <x:t xml:space="preserve">CSSP10151472</x:t>
  </x:si>
  <x:si>
    <x:t xml:space="preserve">fded97f7-898a-49e1-b549-5d5a1090c5bc</x:t>
  </x:si>
  <x:si>
    <x:t xml:space="preserve">CSSP10900385</x:t>
  </x:si>
  <x:si>
    <x:t xml:space="preserve">CTP Old to New LZ - Go Dashboard</x:t>
  </x:si>
  <x:si>
    <x:t xml:space="preserve">02421_27</x:t>
  </x:si>
  <x:si>
    <x:t xml:space="preserve">0d47a219-a16b-4002-836f-e37ea76e0949</x:t>
  </x:si>
  <x:si>
    <x:t xml:space="preserve">CSSP10928550</x:t>
  </x:si>
  <x:si>
    <x:t xml:space="preserve">eaba3816-241f-4731-a077-79c99978bbed</x:t>
  </x:si>
  <x:si>
    <x:t xml:space="preserve">CSSP10870364</x:t>
  </x:si>
  <x:si>
    <x:t xml:space="preserve">bc000242-6c65-4d29-81ca-ece799b93a85</x:t>
  </x:si>
  <x:si>
    <x:t xml:space="preserve">CSSP10183688</x:t>
  </x:si>
  <x:si>
    <x:t xml:space="preserve">REQ000008178978</x:t>
  </x:si>
  <x:si>
    <x:t xml:space="preserve">6a4092a7-1ec0-4549-b5c6-8f6debfc48a7</x:t>
  </x:si>
  <x:si>
    <x:t xml:space="preserve">CSSP10908021</x:t>
  </x:si>
  <x:si>
    <x:t xml:space="preserve">Oil Logistics Accounting and Shipping System - OAS</x:t>
  </x:si>
  <x:si>
    <x:t xml:space="preserve">OCI MIGRATION - OAS Billing System, ODM Tank Browser, Oil Logistics, Accounting and Shipping System (OAS) Prod</x:t>
  </x:si>
  <x:si>
    <x:t xml:space="preserve">Cloud Repatriation - Decommission old resources in SG region due to completed migration in MY region</x:t>
  </x:si>
  <x:si>
    <x:t xml:space="preserve">okay</x:t>
  </x:si>
  <x:si>
    <x:t xml:space="preserve">Decommissioning of the mentioned resources has been performed successfully during the execution of RFC. Hence closing the request.</x:t>
  </x:si>
  <x:si>
    <x:t xml:space="preserve">A-000509</x:t>
  </x:si>
  <x:si>
    <x:t xml:space="preserve">OCI-00035</x:t>
  </x:si>
  <x:si>
    <x:t xml:space="preserve">REQ000008176356</x:t>
  </x:si>
  <x:si>
    <x:t xml:space="preserve">15681d19-6101-4f86-954b-2d509566a338</x:t>
  </x:si>
  <x:si>
    <x:t xml:space="preserve">CSSP10523448</x:t>
  </x:si>
  <x:si>
    <x:t xml:space="preserve">OCI MIGRATION - Oil Logistics, Accounting and Shipping System (OAS)</x:t>
  </x:si>
  <x:si>
    <x:t xml:space="preserve">00915_207</x:t>
  </x:si>
  <x:si>
    <x:t xml:space="preserve">REQ000008198635</x:t>
  </x:si>
  <x:si>
    <x:t xml:space="preserve">b930edfa-bdf0-4702-bd24-5e55144881c2</x:t>
  </x:si>
  <x:si>
    <x:t xml:space="preserve">CSSP10264991</x:t>
  </x:si>
  <x:si>
    <x:t xml:space="preserve">Cloud Migration Program- Oil Logistics, Accounting and Shipping System (OAS)</x:t>
  </x:si>
  <x:si>
    <x:t xml:space="preserve">REQ000008222181</x:t>
  </x:si>
  <x:si>
    <x:t xml:space="preserve">36a8f759-d88a-4e82-9f98-a28dc0691012</x:t>
  </x:si>
  <x:si>
    <x:t xml:space="preserve">CSSP10220457</x:t>
  </x:si>
  <x:si>
    <x:t xml:space="preserve">Lubricant Enterprise Value Simulator - LEVS</x:t>
  </x:si>
  <x:si>
    <x:t xml:space="preserve">Development of Lubricant Enterprise Value Simulator (LEVS) tool for DCO</x:t>
  </x:si>
  <x:si>
    <x:t xml:space="preserve">[EXCLUDE]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x:t>
  </x:si>
  <x:si>
    <x:t xml:space="preserve">A-000421</x:t>
  </x:si>
  <x:si>
    <x:t xml:space="preserve">REQ000008178705</x:t>
  </x:si>
  <x:si>
    <x:t xml:space="preserve">cf1ebb08-aefe-4f75-b976-34be21e3ed47</x:t>
  </x:si>
  <x:si>
    <x:t xml:space="preserve">CSSP10969032</x:t>
  </x:si>
  <x:si>
    <x:t xml:space="preserve">eSAFE MLNG</x:t>
  </x:si>
  <x:si>
    <x:t xml:space="preserve">Cloud Migration -eSAFE MLNG 2.0</x:t>
  </x:si>
  <x:si>
    <x:t xml:space="preserve">To decommission Singapore AWS region resources due to Cloud Repatriation Project.</x:t>
  </x:si>
  <x:si>
    <x:t xml:space="preserve">A-000304</x:t>
  </x:si>
  <x:si>
    <x:t xml:space="preserve">02421_82</x:t>
  </x:si>
  <x:si>
    <x:t xml:space="preserve">REQ000008178706</x:t>
  </x:si>
  <x:si>
    <x:t xml:space="preserve">02a4839a-8a49-4ee6-a6f9-5a1a4b25b567</x:t>
  </x:si>
  <x:si>
    <x:t xml:space="preserve">CSSP10675579</x:t>
  </x:si>
  <x:si>
    <x:t xml:space="preserve">704D904736</x:t>
  </x:si>
  <x:si>
    <x:t xml:space="preserve">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x:t>
  </x:si>
  <x:si>
    <x:t xml:space="preserve">Decommission for the sub-module -- ZScaler Deception Decoy</x:t>
  </x:si>
  <x:si>
    <x:t xml:space="preserve">20952899-af4e-403d-9c4a-3e6421aae36c</x:t>
  </x:si>
  <x:si>
    <x:t xml:space="preserve">CSSP10339855</x:t>
  </x:si>
  <x:si>
    <x:t xml:space="preserve">MyCareerX</x:t>
  </x:si>
  <x:si>
    <x:t xml:space="preserve">MyCareerX : SPUR/Position Profile Automation</x:t>
  </x:si>
  <x:si>
    <x:t xml:space="preserve">DCOM2026070330b</x:t>
  </x:si>
  <x:si>
    <x:t xml:space="preserve">spur.petronas.com</x:t>
  </x:si>
  <x:si>
    <x:t xml:space="preserve">PSR02987</x:t>
  </x:si>
  <x:si>
    <x:t xml:space="preserve">Application not in use</x:t>
  </x:si>
  <x:si>
    <x:t xml:space="preserve">SPUR Automation on Power Apps</x:t>
  </x:si>
  <x:si>
    <x:t xml:space="preserve">Decommissioning of the resources have been done successfully during the change execution.</x:t>
  </x:si>
  <x:si>
    <x:t xml:space="preserve">A-000474</x:t>
  </x:si>
  <x:si>
    <x:t xml:space="preserve">REQ000008178707</x:t>
  </x:si>
  <x:si>
    <x:t xml:space="preserve">025d7b9a-22bd-4260-9db1-df428543c9b1</x:t>
  </x:si>
  <x:si>
    <x:t xml:space="preserve">CSSP10806185</x:t>
  </x:si>
  <x:si>
    <x:t xml:space="preserve">faiz.noorhasim@petronas.com</x:t>
  </x:si>
  <x:si>
    <x:t xml:space="preserve">Enterprise Data Protection and Recovery - EDPR</x:t>
  </x:si>
  <x:si>
    <x:t xml:space="preserve">Enterprise Data Protection and Recovery (EPDR)</x:t>
  </x:si>
  <x:si>
    <x:t xml:space="preserve">mohamadfildza.moham@petronas.com</x:t>
  </x:si>
  <x:si>
    <x:t xml:space="preserve">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x:t>
  </x:si>
  <x:si>
    <x:t xml:space="preserve">PTSG-3NBMS01 and PTSG-3NBCP01 were deployed to support the NetBackup solution for Azure resource protection. These servers are no longer required following the migration to Azure Backup.</x:t>
  </x:si>
  <x:si>
    <x:t xml:space="preserve">please review the list of resources to be decom. seems like not only 2 vm to be decom</x:t>
  </x:si>
  <x:si>
    <x:t xml:space="preserve">C-000041</x:t>
  </x:si>
  <x:si>
    <x:t xml:space="preserve">OSR00242</x:t>
  </x:si>
  <x:si>
    <x:t xml:space="preserve">728acaef-77b2-4981-bb14-d497f289eb97</x:t>
  </x:si>
  <x:si>
    <x:t xml:space="preserve">CSSP10689831</x:t>
  </x:si>
  <x:si>
    <x:t xml:space="preserve">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x:t>
  </x:si>
  <x:si>
    <x:t xml:space="preserve">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x:t>
  </x:si>
  <x:si>
    <x:t xml:space="preserve">reviewed and approved</x:t>
  </x:si>
  <x:si>
    <x:t xml:space="preserve">REQ000008222180</x:t>
  </x:si>
  <x:si>
    <x:t xml:space="preserve">baa843d0-dadd-4700-8822-0961fcc1174e</x:t>
  </x:si>
  <x:si>
    <x:t xml:space="preserve">CSSP10707625</x:t>
  </x:si>
  <x:si>
    <x:t xml:space="preserve">Plant Information - PI Hub Downstream</x:t>
  </x:si>
  <x:si>
    <x:t xml:space="preserve">CTP Old to New LZ - Enterprise PI Hub Downstream</x:t>
  </x:si>
  <x:si>
    <x:t xml:space="preserve">DCOM20260703877</x:t>
  </x:si>
  <x:si>
    <x:t xml:space="preserve">PTAWSG-1PIDAF01;10.102.21.163 PTAWSG-1PIDAF02;10.102.22.191 PTAWSG-1PIDDB01;10.85.69.81 PTAWSG-1PIBADB2;10.85.69.239</x:t>
  </x:si>
  <x:si>
    <x:t xml:space="preserve">Cloud Migration
PTAWSG-1PIDAF01;10.102.21.163
PTAWSG-1PIDAF02;10.102.22.191
PTAWSG-1PIDDB01;10.85.69.81
PTAWSG-1PIBADB2;10.85.69.239</x:t>
  </x:si>
  <x:si>
    <x:t xml:space="preserve">CCoE SA</x:t>
  </x:si>
  <x:si>
    <x:t xml:space="preserve">A-000571</x:t>
  </x:si>
  <x:si>
    <x:t xml:space="preserve">02421_70</x:t>
  </x:si>
  <x:si>
    <x:t xml:space="preserve">c8443339-08ee-4a54-a066-6f75687bba75</x:t>
  </x:si>
  <x:si>
    <x:t xml:space="preserve">CSSP10492699</x:t>
  </x:si>
  <x:si>
    <x:t xml:space="preserve">PTAWSG-1PIEDB02	10.85.69.191 PTAWSG-1PIEAF02	10.102.23.112 PTAWSG-1PIEWB01	10.85.153.145 PTAWSG-PROD-PIES-WEB-INT-NLB PTAWSG-PROD-PIGNE-WEB-INT-NLB</x:t>
  </x:si>
  <x:si>
    <x:t xml:space="preserve">622ff61d-d02b-438a-80bc-2ff1624988ef</x:t>
  </x:si>
  <x:si>
    <x:t xml:space="preserve">CSSP10768118</x:t>
  </x:si>
  <x:si>
    <x:t xml:space="preserve">Smart Planner</x:t>
  </x:si>
  <x:si>
    <x:t xml:space="preserve">Please Disable E1D5IQ42AOS0YC	Enabled	smartplanner.petronas.com	Standard	
djfixbe32fubn.cloudfront.net
smartplanner.petronas.com</x:t>
  </x:si>
  <x:si>
    <x:t xml:space="preserve">Please Decom request for CloudFront (only 1 resource) for smart planner
djfixbe32fubn.cloudfront.net
smartplanner.petronas.com</x:t>
  </x:si>
  <x:si>
    <x:t xml:space="preserve">Please Disable E1D5IQ42AOS0YC Enabled smartplanner.petronas.com Standard djfixbe32fubn.cloudfront.net smartplanner.petronas.com</x:t>
  </x:si>
  <x:si>
    <x:t xml:space="preserve">A-001324</x:t>
  </x:si>
  <x:si>
    <x:t xml:space="preserve">SR04727</x:t>
  </x:si>
  <x:si>
    <x:t xml:space="preserve">REQ000008178973</x:t>
  </x:si>
  <x:si>
    <x:t xml:space="preserve">3e0fe2e9-5864-49ca-92cb-3ffc32c83b2f</x:t>
  </x:si>
  <x:si>
    <x:t xml:space="preserve">CSSP10989463</x:t>
  </x:si>
  <x:si>
    <x:t xml:space="preserve">Cloud Self Service Portal - CSSP</x:t>
  </x:si>
  <x:si>
    <x:t xml:space="preserve">Cloud Digitization - Cloud Self Service Portal</x:t>
  </x:si>
  <x:si>
    <x:t xml:space="preserve">decom test ticket</x:t>
  </x:si>
  <x:si>
    <x:t xml:space="preserve">proceed to decomm</x:t>
  </x:si>
  <x:si>
    <x:t xml:space="preserve">good to go</x:t>
  </x:si>
  <x:si>
    <x:t xml:space="preserve">After review, we are ok to Decommission the mentioned resources</x:t>
  </x:si>
  <x:si>
    <x:t xml:space="preserve">C-000040</x:t>
  </x:si>
  <x:si>
    <x:t xml:space="preserve">REQ000008147460</x:t>
  </x:si>
  <x:si>
    <x:t xml:space="preserve">3b04cf44-231a-4083-b189-106f3a6fb827</x:t>
  </x:si>
  <x:si>
    <x:t xml:space="preserve">CSSP10929360</x:t>
  </x:si>
  <x:si>
    <x:t xml:space="preserve">Palo Alto assets used during the S4HANA migration project (triggered via CSSP portal):
PTSG-3VPNSAP	172.25.1.12 / 20.153.140.54
PTSG-3VPNSAP2	172.25.1.16 / 20.157.117.98</x:t>
  </x:si>
  <x:si>
    <x:t xml:space="preserve">Palo Alto assets used during the S4HANA migration project and no longer in used:
•	PTSG-3VPNSAP (Palo Alto P30)
•	PTSG-3VPNSAP2 (Palo Alto P50)</x:t>
  </x:si>
  <x:si>
    <x:t xml:space="preserve">For techmod decomm</x:t>
  </x:si>
  <x:si>
    <x:t xml:space="preserve">samsuddin.jumbri@petronas.com</x:t>
  </x:si>
  <x:si>
    <x:t xml:space="preserve">Proceed and good to go</x:t>
  </x:si>
  <x:si>
    <x:t xml:space="preserve">As confirmed by requestor. rejecting the ticket.</x:t>
  </x:si>
  <x:si>
    <x:t xml:space="preserve">REQ000008172860</x:t>
  </x:si>
  <x:si>
    <x:t xml:space="preserve">73234638-91eb-4ad7-ac75-582f956d28f7</x:t>
  </x:si>
  <x:si>
    <x:t xml:space="preserve">CSSP10238313</x:t>
  </x:si>
  <x:si>
    <x:t xml:space="preserve">nurinahuda.najib@petronas.com</x:t>
  </x:si>
  <x:si>
    <x:t xml:space="preserve">Testing</x:t>
  </x:si>
  <x:si>
    <x:t xml:space="preserve">294a06bd-aab4-4d62-ab09-7aec3ee1aa1b</x:t>
  </x:si>
  <x:si>
    <x:t xml:space="preserve">CSSP10108409</x:t>
  </x:si>
  <x:si>
    <x:t xml:space="preserve">GPU Technical Centre - GTC Dashboard</x:t>
  </x:si>
  <x:si>
    <x:t xml:space="preserve">Enhancement of GTC 2.0</x:t>
  </x:si>
  <x:si>
    <x:t xml:space="preserve">testing</x:t>
  </x:si>
  <x:si>
    <x:t xml:space="preserve">A-000346</x:t>
  </x:si>
  <x:si>
    <x:t xml:space="preserve">1bb9963b-ea60-4eab-bc86-7e08b95b7fa1</x:t>
  </x:si>
  <x:si>
    <x:t xml:space="preserve">CSSP10891746</x:t>
  </x:si>
  <x:si>
    <x:t xml:space="preserve">SAP Y40</x:t>
  </x:si>
  <x:si>
    <x:t xml:space="preserve">Implementation of Group Reporting (GR) Data Readiness and Rollout</x:t>
  </x:si>
  <x:si>
    <x:t xml:space="preserve">DCOM20260709826</x:t>
  </x:si>
  <x:si>
    <x:t xml:space="preserve">Palo Alto assets used during the S4HANA migration project (triggered via CSSP portal): PTSG-3VPNSAP 172.25.1.12 / 20.153.140.54 PTSG-3VPNSAP2 172.25.1.16 / 20.157.117.98</x:t>
  </x:si>
  <x:si>
    <x:t xml:space="preserve">Phoenix decommission</x:t>
  </x:si>
  <x:si>
    <x:t xml:space="preserve">A-001237</x:t>
  </x:si>
  <x:si>
    <x:t xml:space="preserve">OSR00413</x:t>
  </x:si>
  <x:si>
    <x:t xml:space="preserve">REQ000008178974</x:t>
  </x:si>
  <x:si>
    <x:t xml:space="preserve">6bad1de4-dcf5-43a1-8143-51a595a5dec7</x:t>
  </x:si>
  <x:si>
    <x:t xml:space="preserve">CSSP10762225</x:t>
  </x:si>
  <x:si>
    <x:t xml:space="preserve">myCyberisk</x:t>
  </x:si>
  <x:si>
    <x:t xml:space="preserve">CS Identity Governance and Administration</x:t>
  </x:si>
  <x:si>
    <x:t xml:space="preserve">The mentioned resources have been deleted successfully as per the request. Hence closing this ticket.</x:t>
  </x:si>
  <x:si>
    <x:t xml:space="preserve">A-001254</x:t>
  </x:si>
  <x:si>
    <x:t xml:space="preserve">PC-00081</x:t>
  </x:si>
  <x:si>
    <x:t xml:space="preserve">REQ000008178976</x:t>
  </x:si>
  <x:si>
    <x:t xml:space="preserve">bef4104a-a4e3-4ca1-b4fd-56a1729def1f</x:t>
  </x:si>
  <x:si>
    <x:t xml:space="preserve">CSSP10995799</x:t>
  </x:si>
  <x:si>
    <x:t xml:space="preserve">ABB Smart Sensor Interface Agent</x:t>
  </x:si>
  <x:si>
    <x:t xml:space="preserve">Integrating MLNG ABB Ability Smart Sensor with MLNG PI Management System</x:t>
  </x:si>
  <x:si>
    <x:t xml:space="preserve">The decommissioning has been completed as mentioned. Since these resources belong to the Singapore region, we are proceeding with closing the ticket.</x:t>
  </x:si>
  <x:si>
    <x:t xml:space="preserve">A-000001</x:t>
  </x:si>
  <x:si>
    <x:t xml:space="preserve">REQ000008178975</x:t>
  </x:si>
  <x:si>
    <x:t xml:space="preserve">cd518c47-6db3-465b-9ef3-95e74baadf32</x:t>
  </x:si>
  <x:si>
    <x:t xml:space="preserve">CSSP10531255</x:t>
  </x:si>
  <x:si>
    <x:t xml:space="preserve">Scaffolding Web - SISFOLDs</x:t>
  </x:si>
  <x:si>
    <x:t xml:space="preserve">Development of Real-time Monitoring of Scaffolding Web-based Application for GTS</x:t>
  </x:si>
  <x:si>
    <x:t xml:space="preserve">sisfolds.petronas.com</x:t>
  </x:si>
  <x:si>
    <x:t xml:space="preserve">Has been instruct by business to close the project</x:t>
  </x:si>
  <x:si>
    <x:t xml:space="preserve">as per request, please proceed</x:t>
  </x:si>
  <x:si>
    <x:t xml:space="preserve">Cancel as requested</x:t>
  </x:si>
  <x:si>
    <x:t xml:space="preserve">A-000765</x:t>
  </x:si>
  <x:si>
    <x:t xml:space="preserve">d1fce0cf-1111-48ca-8ced-3118df7b697a</x:t>
  </x:si>
  <x:si>
    <x:t xml:space="preserve">CSSP10720428</x:t>
  </x:si>
  <x:si>
    <x:t xml:space="preserve">chong.yapweeshan@petronas.com</x:t>
  </x:si>
  <x:si>
    <x:t xml:space="preserve">PI SQL DAS</x:t>
  </x:si>
  <x:si>
    <x:t xml:space="preserve">PI SQL DAS created for PRIVATECLOUD project record</x:t>
  </x:si>
  <x:si>
    <x:t xml:space="preserve">DCOM202607202fd</x:t>
  </x:si>
  <x:si>
    <x:t xml:space="preserve">mnasuha_ismail@petronas.com</x:t>
  </x:si>
  <x:si>
    <x:t xml:space="preserve">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x:t>
  </x:si>
  <x:si>
    <x:t xml:space="preserve">A-000567</x:t>
  </x:si>
  <x:si>
    <x:t xml:space="preserve">10135_01</x:t>
  </x:si>
  <x:si>
    <x:t xml:space="preserve">107384c0-e66e-463d-953b-217be54e910e</x:t>
  </x:si>
  <x:si>
    <x:t xml:space="preserve">CSSP10212226</x:t>
  </x:si>
  <x:si>
    <x:t xml:space="preserve">ahmadzafri.bahruddi@petronas.com</x:t>
  </x:si>
  <x:si>
    <x:t xml:space="preserve">Rystad Energy Auth Server</x:t>
  </x:si>
  <x:si>
    <x:t xml:space="preserve">Hosting of Rystad Energy Ucube and Database for Upstream Strategy &amp; Commercial</x:t>
  </x:si>
  <x:si>
    <x:t xml:space="preserve">DCOM20260713dd2</x:t>
  </x:si>
  <x:si>
    <x:t xml:space="preserve">adelizafahrina.azaw@petronas.com.my</x:t>
  </x:si>
  <x:si>
    <x:t xml:space="preserve">Have obtained the approval from Product Owner to proceed with discontinuation and the decommisioning of Rystad</x:t>
  </x:si>
  <x:si>
    <x:t xml:space="preserve">All resources belongs to rystad applications</x:t>
  </x:si>
  <x:si>
    <x:t xml:space="preserve">cancelled as per requested by requestor</x:t>
  </x:si>
  <x:si>
    <x:t xml:space="preserve">A-000705</x:t>
  </x:si>
  <x:si>
    <x:t xml:space="preserve">c0b8b2f5-5cdc-4e09-835b-3ded9e9a0e99</x:t>
  </x:si>
  <x:si>
    <x:t xml:space="preserve">CSSP10164093</x:t>
  </x:si>
  <x:si>
    <x:t xml:space="preserve">raileyshahril.abdull@petronas.com</x:t>
  </x:si>
  <x:si>
    <x:t xml:space="preserve">BHC3.ai</x:t>
  </x:si>
  <x:si>
    <x:t xml:space="preserve">Run and Maintain and Scale Up of PEARLS (BHC3.ai) for CVCare, I-Sense and Valve Tracker</x:t>
  </x:si>
  <x:si>
    <x:t xml:space="preserve">sitizakiah.sulaiman@petronas.com.my</x:t>
  </x:si>
  <x:si>
    <x:t xml:space="preserve">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x:t>
  </x:si>
  <x:si>
    <x:t xml:space="preserve">This project has already been decommissioned and is no longer in use. However, the Cybersecurity team has informed us that the associated IP address is still active.</x:t>
  </x:si>
  <x:si>
    <x:t xml:space="preserve">Please decommision all</x:t>
  </x:si>
  <x:si>
    <x:t xml:space="preserve">sitizakiah.sulaiman@petronas.com</x:t>
  </x:si>
  <x:si>
    <x:t xml:space="preserve">A-000088</x:t>
  </x:si>
  <x:si>
    <x:t xml:space="preserve">2618e1ef-3e4d-4dcb-ba0f-9309ea15e9ef</x:t>
  </x:si>
  <x:si>
    <x:t xml:space="preserve">CSSP10546101</x:t>
  </x:si>
  <x:si>
    <x:t xml:space="preserve">Okay</x:t>
  </x:si>
  <x:si>
    <x:t xml:space="preserve">REQ000008178972</x:t>
  </x:si>
  <x:si>
    <x:t xml:space="preserve">a3bb38d5-507a-4da5-b920-d1c8d7392d9c</x:t>
  </x:si>
  <x:si>
    <x:t xml:space="preserve">CSSP10383379</x:t>
  </x:si>
  <x:si>
    <x:t xml:space="preserve">Augmented Engineering AI</x:t>
  </x:si>
  <x:si>
    <x:t xml:space="preserve">Repurpose and Optimize J.AI Architecture for Augmented Engineering</x:t>
  </x:si>
  <x:si>
    <x:t xml:space="preserve">yewwai.yeep@petronas.com</x:t>
  </x:si>
  <x:si>
    <x:t xml:space="preserve">This was a temporary POC environment for the GEN AI project with NervCenter, it was used to speed up development as we waited for a dev environment to be provisioned. In other words, it's unused right now, and won't be used in the future.</x:t>
  </x:si>
  <x:si>
    <x:t xml:space="preserve">POC components only, in the POC resource groupd. Dev remains as is.</x:t>
  </x:si>
  <x:si>
    <x:t xml:space="preserve">A-001250</x:t>
  </x:si>
  <x:si>
    <x:t xml:space="preserve">SR00170</x:t>
  </x:si>
  <x:si>
    <x:t xml:space="preserve">b39d33e0-dd79-4d42-a124-86ceee6835b5</x:t>
  </x:si>
  <x:si>
    <x:t xml:space="preserve">CSSP10375827</x:t>
  </x:si>
  <x:si>
    <x:t xml:space="preserve">EVIE / EMT+</x:t>
  </x:si>
  <x:si>
    <x:t xml:space="preserve">Request for server subscription, installation and integration works for MLNG EVIE/EMT+</x:t>
  </x:si>
  <x:si>
    <x:t xml:space="preserve">This application has completed migration to Malaysia region</x:t>
  </x:si>
  <x:si>
    <x:t xml:space="preserve">You may refer the resource list as per document attached</x:t>
  </x:si>
  <x:si>
    <x:t xml:space="preserve">A-000311</x:t>
  </x:si>
  <x:si>
    <x:t xml:space="preserve">REQ000008178703</x:t>
  </x:si>
  <x:si>
    <x:t xml:space="preserve">ff89c8c9-152e-494f-9e04-7d7b12ea8ac1</x:t>
  </x:si>
  <x:si>
    <x:t xml:space="preserve">CSSP10100540</x:t>
  </x:si>
  <x:si>
    <x:t xml:space="preserve">PIVOT Heat Exchanger - HEX</x:t>
  </x:si>
  <x:si>
    <x:t xml:space="preserve">Support &amp; maintenance of PIVOT HEX 2.0 at MRCSB (Run &amp; Maintain)</x:t>
  </x:si>
  <x:si>
    <x:t xml:space="preserve">https://hex.pivot.petronas.com/</x:t>
  </x:si>
  <x:si>
    <x:t xml:space="preserve">Business (MRCSB) agreed to decommission the application since they are not using the application anymore.</x:t>
  </x:si>
  <x:si>
    <x:t xml:space="preserve">A-000616</x:t>
  </x:si>
  <x:si>
    <x:t xml:space="preserve">d2cc5882-c861-4787-a9dd-7bb5e1c62bae</x:t>
  </x:si>
  <x:si>
    <x:t xml:space="preserve">CSSP10663869</x:t>
  </x:si>
  <x:si>
    <x:t xml:space="preserve">Development of Heat Exchanger ( PIVOT - HEX 2.0)</x:t>
  </x:si>
  <x:si>
    <x:t xml:space="preserve">hex.pivot.petronas.com</x:t>
  </x:si>
  <x:si>
    <x:t xml:space="preserve">e7b36094-2e8c-493c-b251-3948cd9bfb67</x:t>
  </x:si>
  <x:si>
    <x:t xml:space="preserve">CSSP10873156</x:t>
  </x:si>
  <x:si>
    <x:t xml:space="preserve">Please double check resources in excel as well.</x:t>
  </x:si>
  <x:si>
    <x:t xml:space="preserve">please do scream test, necessary backups</x:t>
  </x:si>
  <x:si>
    <x:t xml:space="preserve">The resources opted for decommissioning have been decommissioned successfully. Hence initiating with closure of this request.</x:t>
  </x:si>
  <x:si>
    <x:t xml:space="preserve">REQ000008195624</x:t>
  </x:si>
  <x:si>
    <x:t xml:space="preserve">ed737e69-def5-464f-a5ed-7f2df3b1d9e2</x:t>
  </x:si>
  <x:si>
    <x:t xml:space="preserve">CSSP10112747</x:t>
  </x:si>
  <x:si>
    <x:t xml:space="preserve">saufi.tahwil@petronas.com</x:t>
  </x:si>
  <x:si>
    <x:t xml:space="preserve">Cyber Security Identity and Access Management - IAM</x:t>
  </x:si>
  <x:si>
    <x:t xml:space="preserve">OSR00173: Technical Governance Support for Identity and Access Management (IAM) - OSR00170: Cybersecurity: Procurement and Infrastructure Deployment of AM for IAM</x:t>
  </x:si>
  <x:si>
    <x:t xml:space="preserve">imran.makhdoom@petronas.com</x:t>
  </x:si>
  <x:si>
    <x:t xml:space="preserve">these servers are no longer needed at this stage and do not have any depencency on them.</x:t>
  </x:si>
  <x:si>
    <x:t xml:space="preserve">A-000161</x:t>
  </x:si>
  <x:si>
    <x:t xml:space="preserve">OSR00170</x:t>
  </x:si>
  <x:si>
    <x:t xml:space="preserve">85b08504-d6c3-4933-86a9-f7b60ab24ebd</x:t>
  </x:si>
  <x:si>
    <x:t xml:space="preserve">CSSP10707894</x:t>
  </x:si>
  <x:si>
    <x:t xml:space="preserve">Lab Information Management System - LIMS PRPC</x:t>
  </x:si>
  <x:si>
    <x:t xml:space="preserve">OCI MIGRATION - LIMS PRPC</x:t>
  </x:si>
  <x:si>
    <x:t xml:space="preserve">A-000430</x:t>
  </x:si>
  <x:si>
    <x:t xml:space="preserve">02421_44</x:t>
  </x:si>
  <x:si>
    <x:t xml:space="preserve">REQ000008178971</x:t>
  </x:si>
  <x:si>
    <x:t xml:space="preserve">70864d27-2911-46c6-b8f6-005a30e5d3d8</x:t>
  </x:si>
  <x:si>
    <x:t xml:space="preserve">CSSP10668539</x:t>
  </x:si>
  <x:si>
    <x:t xml:space="preserve">OCI-00038</x:t>
  </x:si>
  <x:si>
    <x:t xml:space="preserve">REQ000008178970</x:t>
  </x:si>
  <x:si>
    <x:t xml:space="preserve">0219e14a-939c-4a74-9704-093007b38bb6</x:t>
  </x:si>
  <x:si>
    <x:t xml:space="preserve">CSSP10434467</x:t>
  </x:si>
  <x:si>
    <x:t xml:space="preserve">Dynamic Risk Analyzer - DRA MRCSB</x:t>
  </x:si>
  <x:si>
    <x:t xml:space="preserve">CTP Old to New LZ - Dynamic Risk Analyser (DRA) MRCSB</x:t>
  </x:si>
  <x:si>
    <x:t xml:space="preserve">The decommissioning has been completed as mentioned. Since these resources belong to the Singapore region.we are proceeding with closing the ticket.</x:t>
  </x:si>
  <x:si>
    <x:t xml:space="preserve">A-000224</x:t>
  </x:si>
  <x:si>
    <x:t xml:space="preserve">02421_22</x:t>
  </x:si>
  <x:si>
    <x:t xml:space="preserve">REQ000008178962</x:t>
  </x:si>
  <x:si>
    <x:t xml:space="preserve">d50a8efd-fb67-4309-9390-0078c9219551</x:t>
  </x:si>
  <x:si>
    <x:t xml:space="preserve">CSSP10360050</x:t>
  </x:si>
  <x:si>
    <x:t xml:space="preserve">Dynamic Risk Analyzer - DRA PPTSB</x:t>
  </x:si>
  <x:si>
    <x:t xml:space="preserve">CTP Old to New LZ - Dynamic Risk Analyzer (DRA) PETRONAS Penapisan (Terengganu) Sdn. Bhd.(PPTSB)</x:t>
  </x:si>
  <x:si>
    <x:t xml:space="preserve">A-000230</x:t>
  </x:si>
  <x:si>
    <x:t xml:space="preserve">02421_17</x:t>
  </x:si>
  <x:si>
    <x:t xml:space="preserve">390dbc85-7544-4dad-bca5-0e869becaa51</x:t>
  </x:si>
  <x:si>
    <x:t xml:space="preserve">CSSP10613645</x:t>
  </x:si>
  <x:si>
    <x:t xml:space="preserve">norhasdayany.dawood@petronas.com</x:t>
  </x:si>
  <x:si>
    <x:t xml:space="preserve">Automated Tank Gauging ATG PDB</x:t>
  </x:si>
  <x:si>
    <x:t xml:space="preserve">PDB landing zone ATG application</x:t>
  </x:si>
  <x:si>
    <x:t xml:space="preserve">rokayah_kassim@petronas.com</x:t>
  </x:si>
  <x:si>
    <x:t xml:space="preserve">Not in use and required to be decommissioned</x:t>
  </x:si>
  <x:si>
    <x:t xml:space="preserve">A-000079</x:t>
  </x:si>
  <x:si>
    <x:t xml:space="preserve">00971_3</x:t>
  </x:si>
  <x:si>
    <x:t xml:space="preserve">6c5179f5-4672-409b-9383-3c1f755a7c23</x:t>
  </x:si>
  <x:si>
    <x:t xml:space="preserve">CSSP10306491</x:t>
  </x:si>
  <x:si>
    <x:t xml:space="preserve">datok.idang@petronas.com</x:t>
  </x:si>
  <x:si>
    <x:t xml:space="preserve">Operator Training Simulator - OTS</x:t>
  </x:si>
  <x:si>
    <x:t xml:space="preserve">Provisioning of AWS hosting for OTS Software for INSTEP</x:t>
  </x:si>
  <x:si>
    <x:t xml:space="preserve">Cloud Repatriation – Decommissioning legacy resources hosted in the Singapore region</x:t>
  </x:si>
  <x:si>
    <x:t xml:space="preserve">A-000535</x:t>
  </x:si>
  <x:si>
    <x:t xml:space="preserve">REQ000008222623</x:t>
  </x:si>
  <x:si>
    <x:t xml:space="preserve">1e224d24-0cda-4ac4-a2d0-e8ce85b45951</x:t>
  </x:si>
  <x:si>
    <x:t xml:space="preserve">CSSP10422093</x:t>
  </x:si>
  <x:si>
    <x:t xml:space="preserve">PIVOT Descriptive Analytics - DA PCGB</x:t>
  </x:si>
  <x:si>
    <x:t xml:space="preserve">PIVOT Descriptive Analytics</x:t>
  </x:si>
  <x:si>
    <x:t xml:space="preserve">Application is not being use and the application under Black Swan initiative.</x:t>
  </x:si>
  <x:si>
    <x:t xml:space="preserve">Residual infra to be decommissioned.</x:t>
  </x:si>
  <x:si>
    <x:t xml:space="preserve">A-000613</x:t>
  </x:si>
  <x:si>
    <x:t xml:space="preserve">f11be16c-6a52-4737-bb6c-72aa91d10b55</x:t>
  </x:si>
  <x:si>
    <x:t xml:space="preserve">CSSP10484519</x:t>
  </x:si>
  <x:si>
    <x:t xml:space="preserve">1dba04f7-27d5-4dfe-aed4-56b9c939bbfe</x:t>
  </x:si>
  <x:si>
    <x:t xml:space="preserve">CSSP10657709</x:t>
  </x:si>
  <x:si>
    <x:t xml:space="preserve">Enhancement of Danger Dodgers Gamification for GHSE</x:t>
  </x:si>
  <x:si>
    <x:t xml:space="preserve">approevd</x:t>
  </x:si>
  <x:si>
    <x:t xml:space="preserve">REQ000008222622</x:t>
  </x:si>
  <x:si>
    <x:t xml:space="preserve">8efff6b9-d1e5-4db7-a893-748781e2316c</x:t>
  </x:si>
  <x:si>
    <x:t xml:space="preserve">CSSP10274229</x:t>
  </x:si>
  <x:si>
    <x:t xml:space="preserve">Technical Competency Assessment System</x:t>
  </x:si>
  <x:si>
    <x:t xml:space="preserve">Dedicated Support for Technical Competency Assessment Systems GTCM</x:t>
  </x:si>
  <x:si>
    <x:t xml:space="preserve">epecas.petronas.com, epecas-training.petronas.com</x:t>
  </x:si>
  <x:si>
    <x:t xml:space="preserve">partially decom. not in use.</x:t>
  </x:si>
  <x:si>
    <x:t xml:space="preserve">A-000806</x:t>
  </x:si>
  <x:si>
    <x:t xml:space="preserve">e342b7ce-f9b8-4871-a216-522cbf52572d</x:t>
  </x:si>
  <x:si>
    <x:t xml:space="preserve">CSSP10420557</x:t>
  </x:si>
  <x:si>
    <x:t xml:space="preserve">Partial decom. CMDB record: PETRONAS Competency based Assessment System ePECAS 4.0 and ePecas Training. Both apps shared the VM for webserver and database with other applications.</x:t>
  </x:si>
  <x:si>
    <x:t xml:space="preserve">The selected VMs contains the app and also the DB. All servers are shared with multiple apps.</x:t>
  </x:si>
  <x:si>
    <x:t xml:space="preserve">rejcted</x:t>
  </x:si>
  <x:si>
    <x:t xml:space="preserve">45130a0c-5f40-4396-aaa9-5a026b5273bb</x:t>
  </x:si>
  <x:si>
    <x:t xml:space="preserve">CSSP10581935</x:t>
  </x:si>
  <x:si>
    <x:t xml:space="preserve">Partial decom. CMDB record: PETRONAS Competency based Assessment System ePECAS 4.0 and ePecas Training. Both apps shared the VM for webserver and database with other applications. All related servers with this app will be decom EXCEPT for Production database ptsg-1dotnetdb1.</x:t>
  </x:si>
  <x:si>
    <x:t xml:space="preserve">Purposely NOT selected: DB ptsg-1dotnetdb1 because business still need the server to perform their migration.</x:t>
  </x:si>
  <x:si>
    <x:t xml:space="preserve">Cancelled as per requested by requestor.</x:t>
  </x:si>
  <x:si>
    <x:t xml:space="preserve">46ac4172-afa2-450f-88b1-41b28b45a53c</x:t>
  </x:si>
  <x:si>
    <x:t xml:space="preserve">CSSP10749532</x:t>
  </x:si>
  <x:si>
    <x:t xml:space="preserve">Alarm Management System - AMS Machinery Manager PRPC</x:t>
  </x:si>
  <x:si>
    <x:t xml:space="preserve">Cloud Migration Program - AMS</x:t>
  </x:si>
  <x:si>
    <x:t xml:space="preserve">To decommission resources in the Singapore region since this application migrated to Malaysia region.</x:t>
  </x:si>
  <x:si>
    <x:t xml:space="preserve">A-000049</x:t>
  </x:si>
  <x:si>
    <x:t xml:space="preserve">02421_112</x:t>
  </x:si>
  <x:si>
    <x:t xml:space="preserve">REQ000008222179</x:t>
  </x:si>
  <x:si>
    <x:t xml:space="preserve">6b6ccb32-f0c3-4b75-91fe-968e53b2d95d</x:t>
  </x:si>
  <x:si>
    <x:t xml:space="preserve">CSSP10478501</x:t>
  </x:si>
  <x:si>
    <x:t xml:space="preserve">azliamirulehsan.raz@petronas.com</x:t>
  </x:si>
  <x:si>
    <x:t xml:space="preserve">Sharing Knowledge Information and Lesson Learnt - SKILL</x:t>
  </x:si>
  <x:si>
    <x:t xml:space="preserve">Enhancement of Sharing Knowledge Information &amp; Lessons Learnt (SKILL) System for PD&amp;T</x:t>
  </x:si>
  <x:si>
    <x:t xml:space="preserve">In use</x:t>
  </x:si>
  <x:si>
    <x:t xml:space="preserve">Moving to SKILL Lite developed by Business</x:t>
  </x:si>
  <x:si>
    <x:t xml:space="preserve">To be migrated.</x:t>
  </x:si>
  <x:si>
    <x:t xml:space="preserve">All resources to be decommissioned except for resources related to ptsg1skillstrg azure storage.</x:t>
  </x:si>
  <x:si>
    <x:t xml:space="preserve">A-000775</x:t>
  </x:si>
  <x:si>
    <x:t xml:space="preserve">REQ000008203411</x:t>
  </x:si>
  <x:si>
    <x:t xml:space="preserve">21156890-a9c6-48ca-a4bd-6b563ba357cb</x:t>
  </x:si>
  <x:si>
    <x:t xml:space="preserve">CSSP10187579</x:t>
  </x:si>
  <x:si>
    <x:t xml:space="preserve">ridzuan.amajid@petronas.com</x:t>
  </x:si>
  <x:si>
    <x:t xml:space="preserve">IMIM / PCSB - Sabah Asset Project</x:t>
  </x:si>
  <x:si>
    <x:t xml:space="preserve">IMIM / PCSB - Sabah Asset Project created for PRIVATECLOUD project record</x:t>
  </x:si>
  <x:si>
    <x:t xml:space="preserve">To decom VM Name vSBOPCSBRBMAPP1 - unsuccessful billing without any cost center. This VM has been in power off mode since March 2025. Request is made by Ridzuan Majid.</x:t>
  </x:si>
  <x:si>
    <x:t xml:space="preserve">A-000386</x:t>
  </x:si>
  <x:si>
    <x:t xml:space="preserve">REQ000008198554</x:t>
  </x:si>
  <x:si>
    <x:t xml:space="preserve">c1b5fb85-d750-44e3-9887-76b8c0dbafa2</x:t>
  </x:si>
  <x:si>
    <x:t xml:space="preserve">CSSP10467486</x:t>
  </x:si>
  <x:si>
    <x:t xml:space="preserve">Plant Information - PI PCSB MLNG Bintulu</x:t>
  </x:si>
  <x:si>
    <x:t xml:space="preserve">Plant Information - PI PCSB @ MLNG Bintulu created for PRIVATECLOUD project record</x:t>
  </x:si>
  <x:si>
    <x:t xml:space="preserve">To decom VM Name vSARPSKGPIAPP01, vSARPSKGPIAPP02, vSARPCSBPISTG01. User raised previous decom request CSSP10158036 but it was not processed. Request is made by Ridzuan Majid on behalf of business user. Refer to CSSP10158036.</x:t>
  </x:si>
  <x:si>
    <x:t xml:space="preserve">A-000589</x:t>
  </x:si>
  <x:si>
    <x:t xml:space="preserve">10135_11</x:t>
  </x:si>
  <x:si>
    <x:t xml:space="preserve">REQ000008198553</x:t>
  </x:si>
  <x:si>
    <x:t xml:space="preserve">c042854b-98eb-47fd-8915-6eeb7f2af323</x:t>
  </x:si>
  <x:si>
    <x:t xml:space="preserve">CSSP10886116</x:t>
  </x:si>
  <x:si>
    <x:t xml:space="preserve">Network Cisco Prime</x:t>
  </x:si>
  <x:si>
    <x:t xml:space="preserve">Network Cisco Prime created for PRIVATECLOUD project record</x:t>
  </x:si>
  <x:si>
    <x:t xml:space="preserve">vSABSBONMSAPP01 - unsuccessful billing without any cost center. This VM has been in power off mode since June 2025. Request is made by Ridzuan Majid.</x:t>
  </x:si>
  <x:si>
    <x:t xml:space="preserve">To decom VM Name vSABSBONMSAPP01 - unsuccessful billing without any cost center. This VM has been in power off mode since June 2025. Request is made by Ridzuan Majid.</x:t>
  </x:si>
  <x:si>
    <x:t xml:space="preserve">Requestor and Manager/Approver cannot be the same person. Please assign a different authorized approver and resubmit the request.</x:t>
  </x:si>
  <x:si>
    <x:t xml:space="preserve">A-000117</x:t>
  </x:si>
  <x:si>
    <x:t xml:space="preserve">6f835fb3-c6db-4e82-9219-8662a7e83673</x:t>
  </x:si>
  <x:si>
    <x:t xml:space="preserve">CSSP10271745</x:t>
  </x:si>
  <x:si>
    <x:t xml:space="preserve">Print Server PCGB</x:t>
  </x:si>
  <x:si>
    <x:t xml:space="preserve">Print Server PCGB created for PRIVATECLOUD project record</x:t>
  </x:si>
  <x:si>
    <x:t xml:space="preserve">To decom VM Name SAR607-INFPS-01. SAR607-INFPS-02 - unsuccessful billing without any cost center. This VM has been in power off mode since March 2025. Request is made by Ridzuan Majid.</x:t>
  </x:si>
  <x:si>
    <x:t xml:space="preserve">A-000660</x:t>
  </x:si>
  <x:si>
    <x:t xml:space="preserve">10161_01</x:t>
  </x:si>
  <x:si>
    <x:t xml:space="preserve">REQ000008203316</x:t>
  </x:si>
  <x:si>
    <x:t xml:space="preserve">dfce3155-e8b2-4b62-bc4e-3d85c471b00a</x:t>
  </x:si>
  <x:si>
    <x:t xml:space="preserve">CSSP10372916</x:t>
  </x:si>
  <x:si>
    <x:t xml:space="preserve">Plant Information - PI MLNG</x:t>
  </x:si>
  <x:si>
    <x:t xml:space="preserve">Plant Information - PI MLNG created for PRIVATECLOUD project record</x:t>
  </x:si>
  <x:si>
    <x:t xml:space="preserve">To decom VM Name vSAR607PIAPP01 - unsuccessful billing without any cost center. This VM has been in power off mode since March 2025. Request is made by Ridzuan Majid.</x:t>
  </x:si>
  <x:si>
    <x:t xml:space="preserve">A-000572</x:t>
  </x:si>
  <x:si>
    <x:t xml:space="preserve">10135_03</x:t>
  </x:si>
  <x:si>
    <x:t xml:space="preserve">REQ000008203410</x:t>
  </x:si>
  <x:si>
    <x:t xml:space="preserve">6d2991bf-3359-47cf-9e03-23c5d2776001</x:t>
  </x:si>
  <x:si>
    <x:t xml:space="preserve">CSSP10391895</x:t>
  </x:si>
  <x:si>
    <x:t xml:space="preserve">Online Corrosion Monitoring for Sarawak Gas</x:t>
  </x:si>
  <x:si>
    <x:t xml:space="preserve">Online Corrosion Monitoring for Sarawak Gas created for PRIVATECLOUD project record</x:t>
  </x:si>
  <x:si>
    <x:t xml:space="preserve">To decom VM Name vemppcsbpmsap01, vemppcsbpmsdm01. This VM has been in power off mode since March 2025. Request is made by Ridzuan Majid.</x:t>
  </x:si>
  <x:si>
    <x:t xml:space="preserve">A-000526</x:t>
  </x:si>
  <x:si>
    <x:t xml:space="preserve">REQ000008222621</x:t>
  </x:si>
  <x:si>
    <x:t xml:space="preserve">2f62b6b7-33d8-48e7-92de-e6c49efd2d70</x:t>
  </x:si>
  <x:si>
    <x:t xml:space="preserve">CSSP10914400</x:t>
  </x:si>
  <x:si>
    <x:t xml:space="preserve">To decom VM Name vSARLNGNMSAPP01. This VM has been in power off mode since March 2025. Request is made by Ridzuan Majid.</x:t>
  </x:si>
  <x:si>
    <x:t xml:space="preserve">REQ000008222620</x:t>
  </x:si>
  <x:si>
    <x:t xml:space="preserve">dffe6def-c553-4b28-8958-185ae8a5ff76</x:t>
  </x:si>
  <x:si>
    <x:t xml:space="preserve">CSSP10308509</x:t>
  </x:si>
  <x:si>
    <x:t xml:space="preserve">Predictive Revitalization of Instrumentation to Maximize Efficiency - PRIME SBA</x:t>
  </x:si>
  <x:si>
    <x:t xml:space="preserve">PRIME SBA</x:t>
  </x:si>
  <x:si>
    <x:t xml:space="preserve">To decom VM Name vCENPRIMEDBMLNG. This VM has been in power off mode since March 2025. Request is made by Ridzuan Majid.</x:t>
  </x:si>
  <x:si>
    <x:t xml:space="preserve">A-000657</x:t>
  </x:si>
  <x:si>
    <x:t xml:space="preserve">00915_14</x:t>
  </x:si>
  <x:si>
    <x:t xml:space="preserve">REQ000008203409</x:t>
  </x:si>
  <x:si>
    <x:t xml:space="preserve">06201963-c847-4df0-a07a-98a6002921ba</x:t>
  </x:si>
  <x:si>
    <x:t xml:space="preserve">CSSP10327864</x:t>
  </x:si>
  <x:si>
    <x:t xml:space="preserve">To decom VM Name vCENPRIMEAPMLNG. This VM has been in power off mode since March 2025. Request is made by Ridzuan Majid.</x:t>
  </x:si>
  <x:si>
    <x:t xml:space="preserve">REQ000008203315</x:t>
  </x:si>
  <x:si>
    <x:t xml:space="preserve">7fbbdcbe-86f0-4797-b066-7add3b207333</x:t>
  </x:si>
  <x:si>
    <x:t xml:space="preserve">CSSP10626318</x:t>
  </x:si>
  <x:si>
    <x:t xml:space="preserve">muhammad.hafizimats@petronas.com</x:t>
  </x:si>
  <x:si>
    <x:t xml:space="preserve">Peer to Peer Energy Trading Platform</x:t>
  </x:si>
  <x:si>
    <x:t xml:space="preserve">Enhancement of Peer to Peer Energy Trading Platform for PRSB</x:t>
  </x:si>
  <x:si>
    <x:t xml:space="preserve">DCOM202607222cf</x:t>
  </x:si>
  <x:si>
    <x:t xml:space="preserve">aressany.bohari@petronas.com.my</x:t>
  </x:si>
  <x:si>
    <x:t xml:space="preserve">www.p2p.petronas.com , www.p2pbackend.petronas.com</x:t>
  </x:si>
  <x:si>
    <x:t xml:space="preserve">This project has been dropped</x:t>
  </x:si>
  <x:si>
    <x:t xml:space="preserve">Reviewed and verified. 
The project has been discontinued and the listed cloud resources are no longer in use</x:t>
  </x:si>
  <x:si>
    <x:t xml:space="preserve">aressany.bohari@petronas.com</x:t>
  </x:si>
  <x:si>
    <x:t xml:space="preserve">A-000538</x:t>
  </x:si>
  <x:si>
    <x:t xml:space="preserve">REQ000008220859</x:t>
  </x:si>
  <x:si>
    <x:t xml:space="preserve">a3047b0d-684e-479d-b288-47cb442980e3</x:t>
  </x:si>
  <x:si>
    <x:t xml:space="preserve">CSSP10865674</x:t>
  </x:si>
  <x:si>
    <x:t xml:space="preserve">DARS</x:t>
  </x:si>
  <x:si>
    <x:t xml:space="preserve">DARS created for PRIVATECLOUD project record</x:t>
  </x:si>
  <x:si>
    <x:t xml:space="preserve">To decom VM Name PCSB614DARS - unsuccessful billing without any cost center. Request is made by Ridzuan Majid.</x:t>
  </x:si>
  <x:si>
    <x:t xml:space="preserve">A-000193</x:t>
  </x:si>
  <x:si>
    <x:t xml:space="preserve">3c6fed2a-7d9f-46f6-af4b-26803da6e09e</x:t>
  </x:si>
  <x:si>
    <x:t xml:space="preserve">CSSP10958793</x:t>
  </x:si>
  <x:si>
    <x:t xml:space="preserve">Plant Operation Management</x:t>
  </x:si>
  <x:si>
    <x:t xml:space="preserve">Plant Operation Management created for PRIVATECLOUD project record</x:t>
  </x:si>
  <x:si>
    <x:t xml:space="preserve">To decom VM Name vSKODPFLPOMAP01, vSKODPFLPOMAP02 - unsuccessful billing without any cost center. Request is made by Ridzuan Majid.</x:t>
  </x:si>
  <x:si>
    <x:t xml:space="preserve">A-000623</x:t>
  </x:si>
  <x:si>
    <x:t xml:space="preserve">d7c2f00c-ea56-4cfc-9143-84397ad5675c</x:t>
  </x:si>
  <x:si>
    <x:t xml:space="preserve">CSSP10876136</x:t>
  </x:si>
  <x:si>
    <x:t xml:space="preserve">Primavera-SAP Integration</x:t>
  </x:si>
  <x:si>
    <x:t xml:space="preserve">Primavera-SAP Integration created for PRIVATECLOUD project record</x:t>
  </x:si>
  <x:si>
    <x:t xml:space="preserve">To decom VM Name OPT166P2P1, OPT166PRI1. This VM has been in power off mode since March 2025. Request is made by Ridzuan Majid.</x:t>
  </x:si>
  <x:si>
    <x:t xml:space="preserve">A-000653</x:t>
  </x:si>
  <x:si>
    <x:t xml:space="preserve">REQ000008222178</x:t>
  </x:si>
  <x:si>
    <x:t xml:space="preserve">e1dfa073-1445-4e79-b045-f870d5d83411</x:t>
  </x:si>
  <x:si>
    <x:t xml:space="preserve">CSSP10231806</x:t>
  </x:si>
  <x:si>
    <x:t xml:space="preserve">E-CAKNA PCSB</x:t>
  </x:si>
  <x:si>
    <x:t xml:space="preserve">E-CAKNA PCSB created for PRIVATECLOUD project record</x:t>
  </x:si>
  <x:si>
    <x:t xml:space="preserve">To decom VM Name vEASOGDPAASDB02. This VM has been in power off mode since March 2025. Request is made by Ridzuan Majid.</x:t>
  </x:si>
  <x:si>
    <x:t xml:space="preserve">A-000256</x:t>
  </x:si>
  <x:si>
    <x:t xml:space="preserve">10074_02</x:t>
  </x:si>
  <x:si>
    <x:t xml:space="preserve">REQ000008203408</x:t>
  </x:si>
  <x:si>
    <x:t xml:space="preserve">3c46534f-b9b7-4748-933e-2a9934781f13</x:t>
  </x:si>
  <x:si>
    <x:t xml:space="preserve">CSSP10413108</x:t>
  </x:si>
  <x:si>
    <x:t xml:space="preserve">To decom VM Name vEASOGDPAASAPP1c. This VM has been in power off mode since March 2025. Request is made by Ridzuan Majid.</x:t>
  </x:si>
  <x:si>
    <x:t xml:space="preserve">REQ000008222619</x:t>
  </x:si>
  <x:si>
    <x:t xml:space="preserve">75c34cab-a218-4c9e-89ec-15fc00a68f77</x:t>
  </x:si>
  <x:si>
    <x:t xml:space="preserve">CSSP10328360</x:t>
  </x:si>
  <x:si>
    <x:t xml:space="preserve">Pegosa</x:t>
  </x:si>
  <x:si>
    <x:t xml:space="preserve">Pegosa created for PRIVATECLOUD project record</x:t>
  </x:si>
  <x:si>
    <x:t xml:space="preserve">To decom VM Name PGB137PEGOSAPPPS, PGB137PEGOSAWEB, PGB137PEGOSAWFC. This VM has been in power off mode since March 2025. Request is made by Ridzuan Majid.</x:t>
  </x:si>
  <x:si>
    <x:t xml:space="preserve">A-000555</x:t>
  </x:si>
  <x:si>
    <x:t xml:space="preserve">REQ000008203407</x:t>
  </x:si>
  <x:si>
    <x:t xml:space="preserve">5e1b1621-72c9-48d3-bb30-2260a5c26c75</x:t>
  </x:si>
  <x:si>
    <x:t xml:space="preserve">CSSP10766912</x:t>
  </x:si>
  <x:si>
    <x:t xml:space="preserve">To decom VM Name vEASOGDPAASDEV3. This VM has been in power off mode since March 2025. Request is made by Ridzuan Majid.</x:t>
  </x:si>
  <x:si>
    <x:t xml:space="preserve">REQ000008222618</x:t>
  </x:si>
  <x:si>
    <x:t xml:space="preserve">09a13b2d-57f1-4c56-80f0-ee6ad95971ea</x:t>
  </x:si>
  <x:si>
    <x:t xml:space="preserve">CSSP10327858</x:t>
  </x:si>
  <x:si>
    <x:t xml:space="preserve">Data Logger ODM with OSISoft PI System</x:t>
  </x:si>
  <x:si>
    <x:t xml:space="preserve">Data Logger ODM with OSISoft PI System created for PRIVATECLOUD project record</x:t>
  </x:si>
  <x:si>
    <x:t xml:space="preserve">To decom VM Name PFK204logger. This VM has been in power off mode since March 2025. Request is made by Ridzuan Majid.</x:t>
  </x:si>
  <x:si>
    <x:t xml:space="preserve">A-000513</x:t>
  </x:si>
  <x:si>
    <x:t xml:space="preserve">REQ000008203314</x:t>
  </x:si>
  <x:si>
    <x:t xml:space="preserve">d1eba89a-1acb-499f-b73a-0ce8ffafa252</x:t>
  </x:si>
  <x:si>
    <x:t xml:space="preserve">CSSP10140378</x:t>
  </x:si>
  <x:si>
    <x:t xml:space="preserve">Plant Information - PI PCFK</x:t>
  </x:si>
  <x:si>
    <x:t xml:space="preserve">Plant Information - PI PCFK created for PRIVATECLOUD project record</x:t>
  </x:si>
  <x:si>
    <x:t xml:space="preserve">To decom VM Name PIMS-ServerC-Old. This VM has been in power off mode since March 2025. Request is made by Ridzuan Majid.</x:t>
  </x:si>
  <x:si>
    <x:t xml:space="preserve">A-000583</x:t>
  </x:si>
  <x:si>
    <x:t xml:space="preserve">10135_07</x:t>
  </x:si>
  <x:si>
    <x:t xml:space="preserve">REQ000008203406</x:t>
  </x:si>
  <x:si>
    <x:t xml:space="preserve">b1be6232-c889-4b62-a0b9-775892649d74</x:t>
  </x:si>
  <x:si>
    <x:t xml:space="preserve">CSSP10910215</x:t>
  </x:si>
  <x:si>
    <x:t xml:space="preserve">Alarm Management System - AMS Machinery Manager PCFK</x:t>
  </x:si>
  <x:si>
    <x:t xml:space="preserve">Alarm Management System - AMS Machinery Manager PCFK created for PRIVATECLOUD project record</x:t>
  </x:si>
  <x:si>
    <x:t xml:space="preserve">To decom VM Name AMS-SERVER. This VM has been in power off mode since March 2025. Request is made by Ridzuan Majid.</x:t>
  </x:si>
  <x:si>
    <x:t xml:space="preserve">A-000052</x:t>
  </x:si>
  <x:si>
    <x:t xml:space="preserve">10020_03</x:t>
  </x:si>
  <x:si>
    <x:t xml:space="preserve">REQ000008222617</x:t>
  </x:si>
  <x:si>
    <x:t xml:space="preserve">9bc01dca-4582-415b-8986-3036db13d0a1</x:t>
  </x:si>
  <x:si>
    <x:t xml:space="preserve">CSSP10191098</x:t>
  </x:si>
  <x:si>
    <x:t xml:space="preserve">PETRONAS Engineering Data Management System - P-EDMS PCASB</x:t>
  </x:si>
  <x:si>
    <x:t xml:space="preserve">PETRONAS Engineering Data Management System - P-EDMS PCASB created for PRIVATECLOUD project record</x:t>
  </x:si>
  <x:si>
    <x:t xml:space="preserve">To decom VM Name PASB1662D3D. This VM has been in power off mode since March 2025. Request is made by Ridzuan Majid.</x:t>
  </x:si>
  <x:si>
    <x:t xml:space="preserve">A-000553</x:t>
  </x:si>
  <x:si>
    <x:t xml:space="preserve">REQ000008203312</x:t>
  </x:si>
  <x:si>
    <x:t xml:space="preserve">bdcede47-35ff-4613-83e4-de3b3146cf82</x:t>
  </x:si>
  <x:si>
    <x:t xml:space="preserve">CSSP10777447</x:t>
  </x:si>
  <x:si>
    <x:t xml:space="preserve">To decom VM Name EAS166-INFPS-01. This VM has been in power off mode since March 2025. Request is made by Ridzuan Majid.</x:t>
  </x:si>
  <x:si>
    <x:t xml:space="preserve">REQ000008222177</x:t>
  </x:si>
  <x:si>
    <x:t xml:space="preserve">3d5af0a1-8e44-4af1-b2d2-07ebcea5a843</x:t>
  </x:si>
  <x:si>
    <x:t xml:space="preserve">CSSP10810098</x:t>
  </x:si>
  <x:si>
    <x:t xml:space="preserve">Enterprise Content Management System - ECMS CENTERA</x:t>
  </x:si>
  <x:si>
    <x:t xml:space="preserve">Enterprise Content Management System - ECMS CENTERA created for PRIVATECLOUD project record</x:t>
  </x:si>
  <x:si>
    <x:t xml:space="preserve">To decom VM Name vSKOPCSBECMAP01. This VM has been in power off mode since March 2025. Request is made by Ridzuan Majid.</x:t>
  </x:si>
  <x:si>
    <x:t xml:space="preserve">A-000261</x:t>
  </x:si>
  <x:si>
    <x:t xml:space="preserve">5a35cb7b-7bfc-489e-aa86-3c58d9824243</x:t>
  </x:si>
  <x:si>
    <x:t xml:space="preserve">CSSP10949785</x:t>
  </x:si>
  <x:si>
    <x:t xml:space="preserve">Jawatan Kuasa Zon Ekonomi Eksklusif - e-JKZEE</x:t>
  </x:si>
  <x:si>
    <x:t xml:space="preserve">Implementation of e-JKZEE (Jawatan Kuasa Zon Ekonomi Eksklusif) System for MPM</x:t>
  </x:si>
  <x:si>
    <x:t xml:space="preserve">A-000274</x:t>
  </x:si>
  <x:si>
    <x:t xml:space="preserve">PSR05765</x:t>
  </x:si>
  <x:si>
    <x:t xml:space="preserve">REQ000008198552</x:t>
  </x:si>
  <x:si>
    <x:t xml:space="preserve">1452f521-a1f4-4a88-a796-4a052efcadf5</x:t>
  </x:si>
  <x:si>
    <x:t xml:space="preserve">CSSP10589613</x:t>
  </x:si>
  <x:si>
    <x:t xml:space="preserve">Business have given the approval to decommision PCSB Cube</x:t>
  </x:si>
  <x:si>
    <x:t xml:space="preserve">Resources has been confirmed with business and previous support foca</x:t>
  </x:si>
  <x:si>
    <x:t xml:space="preserve">adelizafahrina.azaw@petronas.com</x:t>
  </x:si>
  <x:si>
    <x:t xml:space="preserve">9ac20267-bcbb-4785-97ec-e29ff496dc4c</x:t>
  </x:si>
  <x:si>
    <x:t xml:space="preserve">CSSP10422617</x:t>
  </x:si>
  <x:si>
    <x:t xml:space="preserve">Azure Databricks has been provisioned, but it was not in used as team move into using VM.</x:t>
  </x:si>
  <x:si>
    <x:t xml:space="preserve">7decf0a0-ad3d-48d1-9895-12328f387e2f</x:t>
  </x:si>
  <x:si>
    <x:t xml:space="preserve">CSSP10170528</x:t>
  </x:si>
  <x:si>
    <x:t xml:space="preserve">REQ000008238289</x:t>
  </x:si>
  <x:si>
    <x:t xml:space="preserve">8a4abd3a-f484-48dd-b87e-cb714b7da1ed</x:t>
  </x:si>
  <x:si>
    <x:t xml:space="preserve">CSSP10844488</x:t>
  </x:si>
  <x:si>
    <x:t xml:space="preserve">REQ000008237800</x:t>
  </x:si>
  <x:si>
    <x:t xml:space="preserve">47f07a4d-95d5-4265-854f-92822aa4505c</x:t>
  </x:si>
  <x:si>
    <x:t xml:space="preserve">CSSP10588883</x:t>
  </x:si>
  <x:si>
    <x:t xml:space="preserve">Falcon</x:t>
  </x:si>
  <x:si>
    <x:t xml:space="preserve">Implementation of Falcon - Engineering Visual Analytics Program (Work Package 1) - Requirements Gathering, High Level Design, and Data Gathering for GTS</x:t>
  </x:si>
  <x:si>
    <x:t xml:space="preserve">A-000314</x:t>
  </x:si>
  <x:si>
    <x:t xml:space="preserve">243340e7-7422-4362-803c-90ecd62c94d4</x:t>
  </x:si>
  <x:si>
    <x:t xml:space="preserve">CSSP10733928</x:t>
  </x:si>
  <x:si>
    <x:t xml:space="preserve">Implementation of Falcon – Engineering Visual Analytics Program Phase 2 for Nervcentre</x:t>
  </x:si>
  <x:si>
    <x:t xml:space="preserve">REQ000008237799</x:t>
  </x:si>
  <x:si>
    <x:t xml:space="preserve">513c82f5-26a7-4efa-937e-d7e39d1d64b8</x:t>
  </x:si>
  <x:si>
    <x:t xml:space="preserve">CSSP10186192</x:t>
  </x:si>
  <x:si>
    <x:t xml:space="preserve">FALCON for CORIMS Image Analytics (IA) for Composite Repair Module for GTS</x:t>
  </x:si>
  <x:si>
    <x:t xml:space="preserve">REQ000008237798</x:t>
  </x:si>
  <x:si>
    <x:t xml:space="preserve">a4150916-57c2-444d-9ef2-2094034d2308</x:t>
  </x:si>
  <x:si>
    <x:t xml:space="preserve">CSSP10746310</x:t>
  </x:si>
  <x:si>
    <x:t xml:space="preserve">Plant Information - PI PCMSB</x:t>
  </x:si>
  <x:si>
    <x:t xml:space="preserve">Cloud Migration Program - PI PCMSB</x:t>
  </x:si>
  <x:si>
    <x:t xml:space="preserve">A-000586</x:t>
  </x:si>
  <x:si>
    <x:t xml:space="preserve">02421_57</x:t>
  </x:si>
  <x:si>
    <x:t xml:space="preserve">REQ000008238287</x:t>
  </x:si>
  <x:si>
    <x:t xml:space="preserve">9eb5d82e-4a00-4324-9551-4e77de4c4d06</x:t>
  </x:si>
  <x:si>
    <x:t xml:space="preserve">CSSP10376841</x:t>
  </x:si>
  <x:si>
    <x:t xml:space="preserve">nelly.george@petronas.com</x:t>
  </x:si>
  <x:si>
    <x:t xml:space="preserve">Capability Integrated Management System - CIMS</x:t>
  </x:si>
  <x:si>
    <x:t xml:space="preserve">Upstream Shared Support Services (SecOps) FY2025 for MA, IVA, AD &amp; SA</x:t>
  </x:si>
  <x:si>
    <x:t xml:space="preserve">DCOM20260803729</x:t>
  </x:si>
  <x:si>
    <x:t xml:space="preserve">Complete migration to myLearningX by 31st May 2026.</x:t>
  </x:si>
  <x:si>
    <x:t xml:space="preserve">Approved as per email from Business - Yashadini Anandarajah (TSKG_HRM/PETH) on  27 Jul 26.</x:t>
  </x:si>
  <x:si>
    <x:t xml:space="preserve">A-001393</x:t>
  </x:si>
  <x:si>
    <x:t xml:space="preserve">REQ000008237797</x:t>
  </x:si>
  <x:si>
    <x:t xml:space="preserve">3a3a8519-750d-42f4-8dd9-ab701dd3cad4</x:t>
  </x:si>
  <x:si>
    <x:t xml:space="preserve">CSSP10551555</x:t>
  </x:si>
  <x:si>
    <x:t xml:space="preserve">ahmadaizuddin.badry@petronas.com</x:t>
  </x:si>
  <x:si>
    <x:t xml:space="preserve">ProcurementGo/STAR</x:t>
  </x:si>
  <x:si>
    <x:t xml:space="preserve">Cloud Migration Program - Procurement/Go Star</x:t>
  </x:si>
  <x:si>
    <x:t xml:space="preserve">DCOM20260731389</x:t>
  </x:si>
  <x:si>
    <x:t xml:space="preserve">procurementgo.petronas.com</x:t>
  </x:si>
  <x:si>
    <x:t xml:space="preserve">myProcure CPE will be replacing ProcurementGO for performance evaluation for vendor.</x:t>
  </x:si>
  <x:si>
    <x:t xml:space="preserve">A-000661</x:t>
  </x:si>
  <x:si>
    <x:t xml:space="preserve">00915_30</x:t>
  </x:si>
  <x:si>
    <x:t xml:space="preserve">72dbdb80-d5ae-472a-a030-c7fdd3833eec</x:t>
  </x:si>
  <x:si>
    <x:t xml:space="preserve">CSSP10311887</x:t>
  </x:si>
  <x:si>
    <x:t xml:space="preserve">myProcure CPE will be replacing ProcurementGO for performance evaluation for Vendor feature. We need help from Cloud DB team to do backup of the DB data.</x:t>
  </x:si>
  <x:si>
    <x:t xml:space="preserve">Confirmed for the resources</x:t>
  </x:si>
  <x:si>
    <x:t xml:space="preserve">9da3307e-cbc5-4cfd-8336-3d3b5a373fd7</x:t>
  </x:si>
  <x:si>
    <x:t xml:space="preserve">CSSP10504866</x:t>
  </x:si>
  <x:si>
    <x:t xml:space="preserve">Cloud Migration (Repatriation SG to MY)</x:t>
  </x:si>
  <x:si>
    <x:t xml:space="preserve">PTAWSG-1PIDAF01
PTAWSG-1PIDAF02
PTAWSG-1PIDDB01
PTAWSG-1PIBADB2</x:t>
  </x:si>
  <x:si>
    <x:t xml:space="preserve">REQ000008237796</x:t>
  </x:si>
  <x:si>
    <x:t xml:space="preserve">05bf9597-9089-4680-8631-da11e3d61379</x:t>
  </x:si>
  <x:si>
    <x:t xml:space="preserve">CSSP10983605</x:t>
  </x:si>
  <x:si>
    <x:t xml:space="preserve">Cloud Migration (Repatriation from SG to MY)</x:t>
  </x:si>
  <x:si>
    <x:t xml:space="preserve">PTAWSG-1PIEDB02
PTAWSG-1PIEAF02
PTAWSG-PROD-PIES-WEB-INT-NLB
PTAWSG-1PIEWB01
PTAWSG-1PIBADB2</x:t>
  </x:si>
  <x:si>
    <x:t xml:space="preserve">REQ000008238286</x:t>
  </x:si>
  <x:si>
    <x:t xml:space="preserve">24ae047a-adba-4f56-bf51-a581db8048d0</x:t>
  </x:si>
  <x:si>
    <x:t xml:space="preserve">CSSP10631258</x:t>
  </x:si>
  <x:si>
    <x:t xml:space="preserve">sumituttam.vhankatte@petronas.com</x:t>
  </x:si>
  <x:si>
    <x:t xml:space="preserve">Cyber Security CyberArk</x:t>
  </x:si>
  <x:si>
    <x:t xml:space="preserve">CyberArk Migration</x:t>
  </x:si>
  <x:si>
    <x:t xml:space="preserve">imran.makhdoom@petronas.com.my</x:t>
  </x:si>
  <x:si>
    <x:t xml:space="preserve">The mentioned servers are not in use hence need to be decommissioned.
172.25.8.31	ptsg-3cacap01
172.25.8.75	ptsg-3cacap02
172.25.8.82	ptsg-3cacap03
172.25.8.84	ptsg-3cacap04</x:t>
  </x:si>
  <x:si>
    <x:t xml:space="preserve">The mentioned servers are not tagged to CyberArk application in CMDB, hence cannot be selected in the resource selector pane. Adding the server list here:
172.25.8.31	ptsg-3cacap01
172.25.8.75	ptsg-3cacap02
172.25.8.82	ptsg-3cacap03
172.25.8.84	ptsg-3cacap04</x:t>
  </x:si>
  <x:si>
    <x:t xml:space="preserve">A-000157</x:t>
  </x:si>
  <x:si>
    <x:t xml:space="preserve">PC-00046</x:t>
  </x:si>
  <x:si>
    <x:t xml:space="preserve">0b76be9d-1dee-40de-b448-3f4f6f3dc009</x:t>
  </x:si>
  <x:si>
    <x:t xml:space="preserve">CSSP10679558</x:t>
  </x:si>
  <x:si>
    <x:t xml:space="preserve">.NET Farm on Cloud- Setup of Azure New Common .Net Farm for PETRONAS</x:t>
  </x:si>
  <x:si>
    <x:t xml:space="preserve">adad</x:t>
  </x:si>
  <x:si>
    <x:t xml:space="preserve">PSR04784</x:t>
  </x:si>
  <x:si>
    <x:t xml:space="preserve">140ebd56-2d9d-4918-ac23-67f74039fec2</x:t>
  </x:si>
  <x:si>
    <x:t xml:space="preserve">CSSP10777002</x:t>
  </x:si>
  <x:si>
    <x:t xml:space="preserve">CyberArk staging environment</x:t>
  </x:si>
  <x:si>
    <x:t xml:space="preserve">The servers are not in use, hence need to be decommissioned
172.25.8.31	ptsg-3cacap01
172.25.8.75	ptsg-3cacap02
172.25.8.82	ptsg-3cacap03
172.25.8.84	ptsg-3cacap04</x:t>
  </x:si>
  <x:si>
    <x:t xml:space="preserve">X.704D27VO.210010</x:t>
  </x:si>
  <x:si>
    <x:t xml:space="preserve">eb26b4bc-1070-43bf-a29c-83dd3199430c</x:t>
  </x:si>
  <x:si>
    <x:t xml:space="preserve">CSSP10626959</x:t>
  </x:si>
  <x:si>
    <x:t xml:space="preserve">faizanabdrahim.ansar@petronas.com</x:t>
  </x:si>
  <x:si>
    <x:t xml:space="preserve">Decommission of below servers as they are not in use anymore. 
172.25.8.31 = ptsg-3cacap01
172.25.8.75 = ptsg-3cacap02
172.25.8.82 = ptsg-3cacap03
172.25.8.84 = ptsg-3cacap04</x:t>
  </x:si>
  <x:si>
    <x:t xml:space="preserve">d905f8dd-bdff-4ef9-954f-3a6a1ae90859</x:t>
  </x:si>
  <x:si>
    <x:t xml:space="preserve">CSSP10782523</x:t>
  </x:si>
  <x:si>
    <x:t xml:space="preserve">CS IAM Application Onboarding Factory -</x:t>
  </x:si>
  <x:si>
    <x:t xml:space="preserve">The mentioned servers are not in use, hence need to be decommissioned.
172.25.8.31	ptsg-3cacap01
172.25.8.75	ptsg-3cacap02
172.25.8.82	ptsg-3cacap03
172.25.8.84	ptsg-3cacap04</x:t>
  </x:si>
  <x:si>
    <x:t xml:space="preserve">bfb50a01-9d05-431c-9ba3-bc3b67c01cb3</x:t>
  </x:si>
  <x:si>
    <x:t xml:space="preserve">CSSP10292490</x:t>
  </x:si>
  <x:si>
    <x:t xml:space="preserve">UAUC for VirtusIP already Lift and Shift to VirtusIP Environment</x:t>
  </x:si>
  <x:si>
    <x:t xml:space="preserve">9388d789-9330-4ca0-84ca-63ff843fb1f1</x:t>
  </x:si>
  <x:si>
    <x:t xml:space="preserve">CSSP10409981</x:t>
  </x:si>
  <x:si>
    <x:t xml:space="preserve">taufiq.tomadan@petronas.com</x:t>
  </x:si>
  <x:si>
    <x:t xml:space="preserve">Implementation of ePTW system and Support &amp; Maintenance for Kebabangan Petroleum Operating Company Sdn. Bhd (KPOC) for Virtus IP Sdn Bhd - ePTW Commercial (Production) (Formelrly known as: ePTW (KPOC))_(Managed)</x:t>
  </x:si>
  <x:si>
    <x:t xml:space="preserve">decomm</x:t>
  </x:si>
  <x:si>
    <x:t xml:space="preserve">02315_1</x:t>
  </x:si>
  <x:si>
    <x:t xml:space="preserve">0d77f592-62d9-441b-9cd2-63ce19b3070c</x:t>
  </x:si>
  <x:si>
    <x:t xml:space="preserve">CSSP10898975</x:t>
  </x:si>
  <x:si>
    <x:t xml:space="preserve">2b7a0254-84dd-49e5-bac0-853d0ccf875e</x:t>
  </x:si>
  <x:si>
    <x:t xml:space="preserve">CSSP10733854</x:t>
  </x:si>
  <x:si>
    <x:t xml:space="preserve">UAUC For commercial already Lift and Shift to 'VirtusIP CLoud Environment'. Decom to RG PTAZSG-IAC-PROD-UAUC-RG
and all component under this RG</x:t>
  </x:si>
  <x:si>
    <x:t xml:space="preserve">DECOM RG PTAZSG-IAC-PROD-UAUC-RG and all component under this RG, please refer attached excel.</x:t>
  </x:si>
  <x:si>
    <x:t xml:space="preserve">REQ000008238285</x:t>
  </x:si>
  <x:si>
    <x:t xml:space="preserve">8db0f0f8-064a-4b6d-8983-cb268802ef6d</x:t>
  </x:si>
  <x:si>
    <x:t xml:space="preserve">CSSP10446011</x:t>
  </x:si>
  <x:si>
    <x:t xml:space="preserve">UAUC Commercial already Lift and Shift to VIPSB Env</x:t>
  </x:si>
  <x:si>
    <x:t xml:space="preserve">Decom all component under RG PTAZSG-IAC-UAT-EPTWUAUC-RG and RG, Please dont refer to project code.</x:t>
  </x:si>
  <x:si>
    <x:t xml:space="preserve">REQ000008238284</x:t>
  </x:si>
  <x:si>
    <x:t xml:space="preserve">3c48ffed-1aa5-4b14-908b-d316ea4981cf</x:t>
  </x:si>
  <x:si>
    <x:t xml:space="preserve">CSSP10521586</x:t>
  </x:si>
  <x:si>
    <x:t xml:space="preserve">Cognite Data Fusion - CDF</x:t>
  </x:si>
  <x:si>
    <x:t xml:space="preserve">Subscription and Deployment of Upstream Data Contextualization (UDC) for Resak, Peninsular Malaysia Assets (PMA)</x:t>
  </x:si>
  <x:si>
    <x:t xml:space="preserve">Cloud Repatriation - To decommission old resources in Singapore region due to completed migration in Malaysia region</x:t>
  </x:si>
  <x:si>
    <x:t xml:space="preserve">A-000105</x:t>
  </x:si>
  <x:si>
    <x:t xml:space="preserve">REQ000008238283</x:t>
  </x:si>
  <x:si>
    <x:t xml:space="preserve">d3bc0573-a7bf-40c8-9793-c49c15cd9e31</x:t>
  </x:si>
  <x:si>
    <x:t xml:space="preserve">CSSP10872182</x:t>
  </x:si>
  <x:si>
    <x:t xml:space="preserve">Cyber Security Privileged Identity Management - PIM</x:t>
  </x:si>
  <x:si>
    <x:t xml:space="preserve">Provisioning and Deployment AWS of Privileged Identity Management (PIM) for PETRONAS</x:t>
  </x:si>
  <x:si>
    <x:t xml:space="preserve">tanbeekhim@petronas.com</x:t>
  </x:si>
  <x:si>
    <x:t xml:space="preserve">to decom server that no longer in use</x:t>
  </x:si>
  <x:si>
    <x:t xml:space="preserve">pls proceed to decom</x:t>
  </x:si>
  <x:si>
    <x:t xml:space="preserve">A-000174</x:t>
  </x:si>
  <x:si>
    <x:t xml:space="preserve">PSR03903</x:t>
  </x:si>
  <x:si>
    <x:t xml:space="preserve">2fbadd2e-cc2f-4c74-bc87-0e3c7a437d7d</x:t>
  </x:si>
  <x:si>
    <x:t xml:space="preserve">CSSP10945256</x:t>
  </x:si>
  <x:si>
    <x:t xml:space="preserve">Proceed to decom.</x:t>
  </x:si>
  <x:si>
    <x:t xml:space="preserve">REQ000008237795</x:t>
  </x:si>
  <x:si>
    <x:t xml:space="preserve">3b3ef153-3674-40fe-9ac8-210277752cd6</x:t>
  </x:si>
  <x:si>
    <x:t xml:space="preserve">CSSP10520122</x:t>
  </x:si>
  <x:si>
    <x:t xml:space="preserve">2a0460d6-5f8f-4bf2-9293-ce033961a489</x:t>
  </x:si>
  <x:si>
    <x:t xml:space="preserve">CSSP10192895</x:t>
  </x:si>
  <x:si>
    <x:t xml:space="preserve">adam.kamil@petronas.com</x:t>
  </x:si>
  <x:si>
    <x:t xml:space="preserve">OPTIMUS - THRONES</x:t>
  </x:si>
  <x:si>
    <x:t xml:space="preserve">Cloud Migration Program - OPTIMUS 3.0 (THRONES)</x:t>
  </x:si>
  <x:si>
    <x:t xml:space="preserve">DCOM20250502a00</x:t>
  </x:si>
  <x:si>
    <x:t xml:space="preserve">A-000809</x:t>
  </x:si>
  <x:si>
    <x:t xml:space="preserve">00915_64</x:t>
  </x:si>
  <x:si>
    <x:t xml:space="preserve">64ca40a6-08a0-43ce-b58d-9476ed3f282e</x:t>
  </x:si>
  <x:si>
    <x:t xml:space="preserve">CSSP10293331</x:t>
  </x:si>
  <x:si>
    <x:t xml:space="preserve">RTMS</x:t>
  </x:si>
  <x:si>
    <x:t xml:space="preserve">AWS Cloud Migration - RTMS (.NET)</x:t>
  </x:si>
  <x:si>
    <x:t xml:space="preserve">benjamint.baniyamin@petronas.com.my</x:t>
  </x:si>
  <x:si>
    <x:t xml:space="preserve">Business agreed to decommission the application.</x:t>
  </x:si>
  <x:si>
    <x:t xml:space="preserve">benjamint.baniyamin@petronas.com</x:t>
  </x:si>
  <x:si>
    <x:t xml:space="preserve">A-000703</x:t>
  </x:si>
  <x:si>
    <x:t xml:space="preserve">OSR00188_22</x:t>
  </x:si>
  <x:si>
    <x:t xml:space="preserve">09dbddd7-037e-42a1-89fb-3f172e02c353</x:t>
  </x:si>
  <x:si>
    <x:t xml:space="preserve">CSSP10321088</x:t>
  </x:si>
  <x:si>
    <x:t xml:space="preserve">Cloud Migration Program - PPTSB RTMS</x:t>
  </x:si>
  <x:si>
    <x:t xml:space="preserve">Business agreed to decommission the application</x:t>
  </x:si>
  <x:si>
    <x:t xml:space="preserve">Please decommission all the resources.</x:t>
  </x:si>
  <x:si>
    <x:t xml:space="preserve">As per discusssion with business &amp; BD Arshad Halim, these are for decom</x:t>
  </x:si>
  <x:si>
    <x:t xml:space="preserve">02421_80</x:t>
  </x:si>
  <x:si>
    <x:t xml:space="preserve">96fb6ffb-ccd9-4105-8c97-69504210e8d3</x:t>
  </x:si>
  <x:si>
    <x:t xml:space="preserve">CSSP10302644</x:t>
  </x:si>
  <x:si>
    <x:t xml:space="preserve">rashidah.sharef@petronas.com</x:t>
  </x:si>
  <x:si>
    <x:t xml:space="preserve">ACL Robotics</x:t>
  </x:si>
  <x:si>
    <x:t xml:space="preserve">Provision and Implementation of Computer Assisted Audit Tool for Group Internal Audit</x:t>
  </x:si>
  <x:si>
    <x:t xml:space="preserve">DCOM20260812d62</x:t>
  </x:si>
  <x:si>
    <x:t xml:space="preserve">ruhy.zanita@petronas.com</x:t>
  </x:si>
  <x:si>
    <x:t xml:space="preserve">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t>
  </x:si>
  <x:si>
    <x:t xml:space="preserve">A-000005</x:t>
  </x:si>
  <x:si>
    <x:t xml:space="preserve">3979c4fb-af48-4c74-9547-d23c38fbb969</x:t>
  </x:si>
  <x:si>
    <x:t xml:space="preserve">CSSP10751371</x:t>
  </x:si>
  <x:si>
    <x:t xml:space="preserve">00915_150</x:t>
  </x:si>
  <x:si>
    <x:t xml:space="preserve">9add3e44-a9da-4157-a3c6-fb68460e0b77</x:t>
  </x:si>
  <x:si>
    <x:t xml:space="preserve">CSSP10151695</x:t>
  </x:si>
  <x:si>
    <x:t xml:space="preserve">tharun.mungara@petronas.com</x:t>
  </x:si>
  <x:si>
    <x:t xml:space="preserve">Cloud Migration Program - SAP ECC PDB ECC 6.0 (SAP ID 50 (P50, D50 &amp; T50)</x:t>
  </x:si>
  <x:si>
    <x:t xml:space="preserve">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x:t>
  </x:si>
  <x:si>
    <x:t xml:space="preserve">00915_42</x:t>
  </x:si>
  <x:si>
    <x:t xml:space="preserve">0febe3b6-46fb-4a3b-80da-ddb83b6d441b</x:t>
  </x:si>
  <x:si>
    <x:t xml:space="preserve">CSSP10904064</x:t>
  </x:si>
  <x:si>
    <x:t xml:space="preserve">YADA YADA</x:t>
  </x:si>
  <x:si>
    <x:t xml:space="preserve">2d64a47b-9437-4dab-8f08-6205539c1b09</x:t>
  </x:si>
  <x:si>
    <x:t xml:space="preserve">CSSP10936121</x:t>
  </x:si>
  <x:si>
    <x:t xml:space="preserve">Plant Information - PI PCASB</x:t>
  </x:si>
  <x:si>
    <x:t xml:space="preserve">Implementation of PI Asset Framework (AF) and PI Vision for PCASB</x:t>
  </x:si>
  <x:si>
    <x:t xml:space="preserve">A-000582</x:t>
  </x:si>
  <x:si>
    <x:t xml:space="preserve">d3e954a5-bfa7-4a8f-a629-016950c51c75</x:t>
  </x:si>
  <x:si>
    <x:t xml:space="preserve">CSSP10377584</x:t>
  </x:si>
  <x:si>
    <x:t xml:space="preserve">deepakfrancis.neyyan@petronas.com</x:t>
  </x:si>
  <x:si>
    <x:t xml:space="preserve">Cloud Migration Program - PETRONAS Group ECC 6.0 (SAP30)</x:t>
  </x:si>
  <x:si>
    <x:t xml:space="preserve">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x:t>
  </x:si>
  <x:si>
    <x:t xml:space="preserve">P30 system has been reviewed from our side and is currently awaiting approval.
DB Backup : We have already taken back up. You can proceed with decommission.</x:t>
  </x:si>
  <x:si>
    <x:t xml:space="preserve">00915_132</x:t>
  </x:si>
  <x:si>
    <x:t xml:space="preserve">0fb036f1-fec0-4220-89dc-805e9ff4236f</x:t>
  </x:si>
  <x:si>
    <x:t xml:space="preserve">CSSP10694484</x:t>
  </x:si>
  <x:si>
    <x:t xml:space="preserve">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x:t>
  </x:si>
  <x:si>
    <x:t xml:space="preserve">Reviewed and Proceed for decommission</x:t>
  </x:si>
  <x:si>
    <x:t xml:space="preserve">10eb4ea0-dd41-4b57-92aa-a55640ecf29d</x:t>
  </x:si>
  <x:si>
    <x:t xml:space="preserve">CSSP10715182</x:t>
  </x:si>
  <x:si>
    <x:t xml:space="preserve">maizad.hamid@klcc.com.my</x:t>
  </x:si>
  <x:si>
    <x:t xml:space="preserve">Claim Tracking System - CTS</x:t>
  </x:si>
  <x:si>
    <x:t xml:space="preserve">Cloud Migration Program - Claim Tracking System (CTS)</x:t>
  </x:si>
  <x:si>
    <x:t xml:space="preserve">DCOM202608170b9</x:t>
  </x:si>
  <x:si>
    <x:t xml:space="preserve">ghazeeg@pjh.com.my</x:t>
  </x:si>
  <x:si>
    <x:t xml:space="preserve">https://cts.pjh.com.my</x:t>
  </x:si>
  <x:si>
    <x:t xml:space="preserve">The CTS functionalities have been replaced by SmartGEP. As a result, the CTS system is no longer in use.</x:t>
  </x:si>
  <x:si>
    <x:t xml:space="preserve">maizad.hamid@klcc.com</x:t>
  </x:si>
  <x:si>
    <x:t xml:space="preserve">ghazeeg@pjh.com</x:t>
  </x:si>
  <x:si>
    <x:t xml:space="preserve">As CTS is no longer in use, we request to proceed with the decommissioning of the system.</x:t>
  </x:si>
  <x:si>
    <x:t xml:space="preserve">A-000189</x:t>
  </x:si>
  <x:si>
    <x:t xml:space="preserve">00915_217</x:t>
  </x:si>
  <x:si>
    <x:t xml:space="preserve">8a9d999b-d3ef-48f8-9d64-5b47008a2245</x:t>
  </x:si>
  <x:si>
    <x:t xml:space="preserve">CSSP10200937</x:t>
  </x:si>
  <x:si>
    <x:t xml:space="preserve">Implementation of PI Asset Framework (AF) and PI Vision for PCFK</x:t>
  </x:si>
  <x:si>
    <x:t xml:space="preserve">a6aab36e-7f45-4ed3-8b77-58980e32c9ce</x:t>
  </x:si>
  <x:si>
    <x:t xml:space="preserve">CSSP10722928</x:t>
  </x:si>
  <x:si>
    <x:t xml:space="preserve">Plant Information - PI ABF</x:t>
  </x:si>
  <x:si>
    <x:t xml:space="preserve">Provision, Installation and Configuration of PI AF &amp; PI Vision for Asean Bintulu Fertilizer Sdn Bhd (ABF)</x:t>
  </x:si>
  <x:si>
    <x:t xml:space="preserve">A-000564</x:t>
  </x:si>
  <x:si>
    <x:t xml:space="preserve">devops_project</x:t>
  </x:si>
  <x:si>
    <x:t xml:space="preserve">request_category</x:t>
  </x:si>
  <x:si>
    <x:t xml:space="preserve">environment</x:t>
  </x:si>
  <x:si>
    <x:t xml:space="preserve">remarks</x:t>
  </x:si>
  <x:si>
    <x:t xml:space="preserve">rfc_number</x:t>
  </x:si>
  <x:si>
    <x:t xml:space="preserve">project_id</x:t>
  </x:si>
  <x:si>
    <x:t xml:space="preserve">197bccd2-693d-423f-833f-6775daaba542</x:t>
  </x:si>
  <x:si>
    <x:t xml:space="preserve">REQ000006914868</x:t>
  </x:si>
  <x:si>
    <x:t xml:space="preserve">masyraf.mnasir@petronas.com</x:t>
  </x:si>
  <x:si>
    <x:t xml:space="preserve">provision-cloud-public</x:t>
  </x:si>
  <x:si>
    <x:t xml:space="preserve">2024-11-20T15:27:56.87</x:t>
  </x:si>
  <x:si>
    <x:t xml:space="preserve">2024-11-20T07:27:56.867</x:t>
  </x:si>
  <x:si>
    <x:t xml:space="preserve">ProcurementGo</x:t>
  </x:si>
  <x:si>
    <x:t xml:space="preserve">New</x:t>
  </x:si>
  <x:si>
    <x:t xml:space="preserve">Production</x:t>
  </x:si>
  <x:si>
    <x:t xml:space="preserve">small, azure, non-iac, add-on kv. RG=PTAZSG-PROD-PSTR-RG. Provision Azure key vault for ProcurementGo</x:t>
  </x:si>
  <x:si>
    <x:t xml:space="preserve">ICT_WO008350537/Pending</x:t>
  </x:si>
  <x:si>
    <x:t xml:space="preserve">2024-11-20T07:27:56.87</x:t>
  </x:si>
  <x:si>
    <x:t xml:space="preserve">syazali.saad@petronas.com</x:t>
  </x:si>
  <x:si>
    <x:t xml:space="preserve">chunwu.lim@petronas.com</x:t>
  </x:si>
  <x:si>
    <x:t xml:space="preserve">dae1b9a3-81d3-48dc-9c37-db10ec4da527</x:t>
  </x:si>
  <x:si>
    <x:t xml:space="preserve">REQ000006834467</x:t>
  </x:si>
  <x:si>
    <x:t xml:space="preserve">2024-10-15T09:51:35.49</x:t>
  </x:si>
  <x:si>
    <x:t xml:space="preserve">2024-10-15T01:51:38.16</x:t>
  </x:si>
  <x:si>
    <x:t xml:space="preserve">A-000095</x:t>
  </x:si>
  <x:si>
    <x:t xml:space="preserve">Barrier Management and Work Control (BMWC) PCGB</x:t>
  </x:si>
  <x:si>
    <x:t xml:space="preserve">Implementation of Safe Work Control &amp; Barrier Management across PCG OPUs</x:t>
  </x:si>
  <x:si>
    <x:t xml:space="preserve">Proscient middleware integration</x:t>
  </x:si>
  <x:si>
    <x:t xml:space="preserve">UAT/Staging</x:t>
  </x:si>
  <x:si>
    <x:t xml:space="preserve">VMs/Application are to be using the Key-Vault. PTAZSG-UAT-PWCB-RG</x:t>
  </x:si>
  <x:si>
    <x:t xml:space="preserve">ICT_WO008217960/Pending</x:t>
  </x:si>
  <x:si>
    <x:t xml:space="preserve">d4065c1d-1fd1-4daf-9fdf-38b049f958af</x:t>
  </x:si>
  <x:si>
    <x:t xml:space="preserve">CSSP10832041</x:t>
  </x:si>
  <x:si>
    <x:t xml:space="preserve">Malaysian Financial Reporting Standards (MFRS)</x:t>
  </x:si>
  <x:si>
    <x:t xml:space="preserve">mfakhrul.islam@petronas.com.my</x:t>
  </x:si>
  <x:si>
    <x:t xml:space="preserve">MFRS program</x:t>
  </x:si>
  <x:si>
    <x:t xml:space="preserve">To add private endpoint for ptsg-1mfrswb01. For cyber security purpose</x:t>
  </x:si>
  <x:si>
    <x:t xml:space="preserve">Approved to add a private endpoint for ptsg-1mfrswb01 for cybersecurity purposes</x:t>
  </x:si>
  <x:si>
    <x:t xml:space="preserve">mfakhrul.islam@petronas.com</x:t>
  </x:si>
  <x:si>
    <x:t xml:space="preserve">This request is to deploy 1x Private Endpoint in existing the RG (PTAZSG-PROD-MFRS-RG) for ptsg-1mfrswb01 app service. This SR is good to go.</x:t>
  </x:si>
  <x:si>
    <x:t xml:space="preserve">The private endpoint for ptsg-1mfrswb01 has created</x:t>
  </x:si>
  <x:si>
    <x:t xml:space="preserve">muhdfirdaus.muhamad@petronas.com</x:t>
  </x:si>
  <x:si>
    <x:t xml:space="preserve">f12f17a3-31cb-4fc5-a3cd-f16243f041ec</x:t>
  </x:si>
  <x:si>
    <x:t xml:space="preserve">CSSP10960249</x:t>
  </x:si>
  <x:si>
    <x:t xml:space="preserve">A-000577</x:t>
  </x:si>
  <x:si>
    <x:t xml:space="preserve">Pipeline Integrity Management System - PIMS PGB</x:t>
  </x:si>
  <x:si>
    <x:t xml:space="preserve">SR10924</x:t>
  </x:si>
  <x:si>
    <x:t xml:space="preserve">Enhancement of PETRONAS Integrated Pipeline Integrity Assurance Solutions (i-PIMS) Phase 6</x:t>
  </x:si>
  <x:si>
    <x:t xml:space="preserve">Pipeline Digital Twin</x:t>
  </x:si>
  <x:si>
    <x:t xml:space="preserve">StagingUat</x:t>
  </x:si>
  <x:si>
    <x:t xml:space="preserve">Please read note from Excel estimate
Cost Center: 001PCT-306</x:t>
  </x:si>
  <x:si>
    <x:t xml:space="preserve">resources already created in PTAZSG-IAC-UAT-PIMS-DTOFFSHORE-RG</x:t>
  </x:si>
  <x:si>
    <x:t xml:space="preserve">CCoE Core Services (Public)</x:t>
  </x:si>
  <x:si>
    <x:t xml:space="preserve">90001eaf-3d3f-4dd6-95d8-751b3f1f3ba0</x:t>
  </x:si>
  <x:si>
    <x:t xml:space="preserve">CSSP10167368</x:t>
  </x:si>
  <x:si>
    <x:t xml:space="preserve">SR04104</x:t>
  </x:si>
  <x:si>
    <x:t xml:space="preserve">Pipeline of the Future (POTF) ‐ PiES, i‐PIMS, PrAnCorr &amp; PrAnSpan</x:t>
  </x:si>
  <x:si>
    <x:t xml:space="preserve">PPIES</x:t>
  </x:si>
  <x:si>
    <x:t xml:space="preserve">Please refer attachment,</x:t>
  </x:si>
  <x:si>
    <x:t xml:space="preserve">storage account x1 only.</x:t>
  </x:si>
  <x:si>
    <x:t xml:space="preserve">Completed.</x:t>
  </x:si>
  <x:si>
    <x:t xml:space="preserve">fatinamirah.mjonik@petronas.com</x:t>
  </x:si>
  <x:si>
    <x:t xml:space="preserve">REQ000007790536</x:t>
  </x:si>
  <x:si>
    <x:t xml:space="preserve">c926f0a1-95c7-4207-b4d8-25b10c27b47c</x:t>
  </x:si>
  <x:si>
    <x:t xml:space="preserve">CSSP10742290</x:t>
  </x:si>
  <x:si>
    <x:t xml:space="preserve">Please refer Estimate Excel</x:t>
  </x:si>
  <x:si>
    <x:t xml:space="preserve">PTAZSG-PROD-GTS-PIES-RG</x:t>
  </x:si>
  <x:si>
    <x:t xml:space="preserve">job completed</x:t>
  </x:si>
  <x:si>
    <x:t xml:space="preserve">asri.yaakub@petronas.com</x:t>
  </x:si>
  <x:si>
    <x:t xml:space="preserve">REQ000007627947</x:t>
  </x:si>
  <x:si>
    <x:t xml:space="preserve">14651415-23d8-4898-b4e2-0d1247d2bd11</x:t>
  </x:si>
  <x:si>
    <x:t xml:space="preserve">52b6334b-2415-4b0a-939f-23f769132df1</x:t>
  </x:si>
  <x:si>
    <x:t xml:space="preserve">CSSP10991554</x:t>
  </x:si>
  <x:si>
    <x:t xml:space="preserve">nabilifwat.muhamadh@petronas.com</x:t>
  </x:si>
  <x:si>
    <x:t xml:space="preserve">A-000093</x:t>
  </x:si>
  <x:si>
    <x:t xml:space="preserve">Barrier Management and HSSE - BMH - formerly Measure Validate and Predict - MVP</x:t>
  </x:si>
  <x:si>
    <x:t xml:space="preserve">02421_136</x:t>
  </x:si>
  <x:si>
    <x:t xml:space="preserve">Shared between 00915_103 and 00915_104 | AWS - Cloud Migration -Measure, Validate &amp; Predict (MVP) GPU | AWS - Cloud Migration - Measure, Validate &amp; Predict (MVP) GTR - From OLZ (MVP GPU &amp; MVP GTR) to NLZ (BMH)</x:t>
  </x:si>
  <x:si>
    <x:t xml:space="preserve">BMH</x:t>
  </x:si>
  <x:si>
    <x:t xml:space="preserve">Modify</x:t>
  </x:si>
  <x:si>
    <x:t xml:space="preserve">Request to provision private IP for the following staging app services in
AWS
SG: AWSReservedSSO_PTAW_APPS_BMH_GROUP
link: https://stg.bmh.petronas.com/
database: ptawsg-4bmhdb01.c444fcimx0qx.ap-southeast-1.rds.amazonaws.com 
API: sgpuapi.bmh.petronas.com
API: sgtrapi.bmh.petronas.com</x:t>
  </x:si>
  <x:si>
    <x:t xml:space="preserve">old request</x:t>
  </x:si>
  <x:si>
    <x:t xml:space="preserve">CCoE Demand</x:t>
  </x:si>
  <x:si>
    <x:t xml:space="preserve">d2f5d842-ec9f-45ad-a893-23615e186405</x:t>
  </x:si>
  <x:si>
    <x:t xml:space="preserve">36573b9c-80d1-4fa5-ad9b-9ff80edc8e21</x:t>
  </x:si>
  <x:si>
    <x:t xml:space="preserve">CSSP10488950</x:t>
  </x:si>
  <x:si>
    <x:t xml:space="preserve">A-001291</x:t>
  </x:si>
  <x:si>
    <x:t xml:space="preserve">Future Ready IoT to Drive Remote Operations via IoSync</x:t>
  </x:si>
  <x:si>
    <x:t xml:space="preserve">IOSync</x:t>
  </x:si>
  <x:si>
    <x:t xml:space="preserve">Virtual Assets Walkabout</x:t>
  </x:si>
  <x:si>
    <x:t xml:space="preserve">I would like to provision similar services as IOSYNC staging similar as per this request below to production
CSSP ID: CSSP10913193
IOSYNC CSSP: https://cssp.petronas.com/request/provisioning/cloud/public/view/13d422f3-90cb-4fff-9e73-712486080d51</x:t>
  </x:si>
  <x:si>
    <x:t xml:space="preserve">I believe there is another request for this since the project was completed</x:t>
  </x:si>
  <x:si>
    <x:t xml:space="preserve">f062f56e-396c-40f5-a78a-c1a1c573427f</x:t>
  </x:si>
  <x:si>
    <x:t xml:space="preserve">bc64bf9a-be4e-4a4f-953a-c0ec21d376cf</x:t>
  </x:si>
  <x:si>
    <x:t xml:space="preserve">CSSP10289134</x:t>
  </x:si>
  <x:si>
    <x:t xml:space="preserve">yannchang.tan@petronas.com</x:t>
  </x:si>
  <x:si>
    <x:t xml:space="preserve">A-000037</x:t>
  </x:si>
  <x:si>
    <x:t xml:space="preserve">AI Enablement Framework</x:t>
  </x:si>
  <x:si>
    <x:t xml:space="preserve">Support and Maintenance for AI Enablement Framework 2023-2024 for PDB</x:t>
  </x:si>
  <x:si>
    <x:t xml:space="preserve">debjani.sambasivam@petronas.com.my</x:t>
  </x:si>
  <x:si>
    <x:t xml:space="preserve">PDB_AI_Enablement</x:t>
  </x:si>
  <x:si>
    <x:t xml:space="preserve">Development</x:t>
  </x:si>
  <x:si>
    <x:t xml:space="preserve">Compute Name: PDB-CAD-FATHIN Assign To: Fathin Farhana Noordin (CAD/PDB) (fathinfarhana.noord@petronas.com.my) Virtual Machine Size: Standard_DS15_v2 (20 cores, 140 GB RAM, 280 GB disk) Scheduling Auto Shut Down: 60 minute</x:t>
  </x:si>
  <x:si>
    <x:t xml:space="preserve">debjani.sambasivam@petronas.com</x:t>
  </x:si>
  <x:si>
    <x:t xml:space="preserve">REQ000007894811</x:t>
  </x:si>
  <x:si>
    <x:t xml:space="preserve">f99ec12f-a075-40d0-8957-15cd4e72ddb4</x:t>
  </x:si>
  <x:si>
    <x:t xml:space="preserve">fbf5852f-d9c4-44b4-88ec-f71c1c63c90b</x:t>
  </x:si>
  <x:si>
    <x:t xml:space="preserve">CSSP10764223</x:t>
  </x:si>
  <x:si>
    <x:t xml:space="preserve">gary.chengkeanglim@petronas.com</x:t>
  </x:si>
  <x:si>
    <x:t xml:space="preserve">A-001303</x:t>
  </x:si>
  <x:si>
    <x:t xml:space="preserve">Project Command Centre (PCC)</x:t>
  </x:si>
  <x:si>
    <x:t xml:space="preserve">Project Command Centre (PCC) Phase 3</x:t>
  </x:si>
  <x:si>
    <x:t xml:space="preserve">wahidkahar@petronas.com.my</x:t>
  </x:si>
  <x:si>
    <x:t xml:space="preserve">Project Control Tower</x:t>
  </x:si>
  <x:si>
    <x:t xml:space="preserve">Setup ADF for PCC project</x:t>
  </x:si>
  <x:si>
    <x:t xml:space="preserve">wahidkahar@petronas.com</x:t>
  </x:si>
  <x:si>
    <x:t xml:space="preserve">Deploy all requested resources under the existing Resource Group (PTAZSG-IAC-DEV-PCT-RG) in Singapore.</x:t>
  </x:si>
  <x:si>
    <x:t xml:space="preserve">CSSP10764223 Development
CSSP10651043 StagingUat
CSSP10781388 Production</x:t>
  </x:si>
  <x:si>
    <x:t xml:space="preserve">amin.manshor@petronas.com</x:t>
  </x:si>
  <x:si>
    <x:t xml:space="preserve">REQ000007707581</x:t>
  </x:si>
  <x:si>
    <x:t xml:space="preserve">5a618235-0b34-4d04-8b74-5c4052b870d7</x:t>
  </x:si>
  <x:si>
    <x:t xml:space="preserve">d4767236-4313-4bf5-8cb1-6395b037a18d</x:t>
  </x:si>
  <x:si>
    <x:t xml:space="preserve">CSSP10651043</x:t>
  </x:si>
  <x:si>
    <x:t xml:space="preserve">Deploy all requested resources under the existing Resource Group (PTAZSG-IAC-UAT-PCT-RG) in Singapore.</x:t>
  </x:si>
  <x:si>
    <x:t xml:space="preserve">REQ000007707580</x:t>
  </x:si>
  <x:si>
    <x:t xml:space="preserve">8b2cd422-d017-401e-9909-9c6dea4c8d69</x:t>
  </x:si>
  <x:si>
    <x:t xml:space="preserve">CSSP10432529</x:t>
  </x:si>
  <x:si>
    <x:t xml:space="preserve">shahrulrizal.said@petronas.com</x:t>
  </x:si>
  <x:si>
    <x:t xml:space="preserve">A-000355</x:t>
  </x:si>
  <x:si>
    <x:t xml:space="preserve">HSE Intelligence Pod Multimodal AI Vision / Voice - HIPVISION</x:t>
  </x:si>
  <x:si>
    <x:t xml:space="preserve">Development of HSE Intelligence Pod (HIP) Multimodal AI (Vision, Voice)</x:t>
  </x:si>
  <x:si>
    <x:t xml:space="preserve">josephine.danielbav@petronas.com.my</x:t>
  </x:si>
  <x:si>
    <x:t xml:space="preserve">HIP Vision AI</x:t>
  </x:si>
  <x:si>
    <x:t xml:space="preserve">To Upgrade Kubernetes version in HIP SDI UAT environment to the latest version 1.35 as per discussed
RG = PTAZSG-IAC-UAT-HIPVISION-JAI-RG
AKS= ptsg-4hipvisionaks02, ptsg-4hipvisionaks03</x:t>
  </x:si>
  <x:si>
    <x:t xml:space="preserve">Urgently Required.</x:t>
  </x:si>
  <x:si>
    <x:t xml:space="preserve">josephine.danielbav@petronas.com</x:t>
  </x:si>
  <x:si>
    <x:t xml:space="preserve">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x:t>
  </x:si>
  <x:si>
    <x:t xml:space="preserve">yeonghunn.ho@petronas.com</x:t>
  </x:si>
  <x:si>
    <x:t xml:space="preserve">REQ000007712065</x:t>
  </x:si>
  <x:si>
    <x:t xml:space="preserve">ea9ff09d-7f7a-482f-a081-c07b99b496a2</x:t>
  </x:si>
  <x:si>
    <x:t xml:space="preserve">3bb78a3c-f615-49b0-bb87-378288ebf03d</x:t>
  </x:si>
  <x:si>
    <x:t xml:space="preserve">CSSP10110126</x:t>
  </x:si>
  <x:si>
    <x:t xml:space="preserve">shafiq.hussein@petronas.com</x:t>
  </x:si>
  <x:si>
    <x:t xml:space="preserve">A-001290</x:t>
  </x:si>
  <x:si>
    <x:t xml:space="preserve">SAP Global Data Consolidation - GDC</x:t>
  </x:si>
  <x:si>
    <x:t xml:space="preserve">Enhancement for Global Data Consolidation (GDC) for MPM</x:t>
  </x:si>
  <x:si>
    <x:t xml:space="preserve">rohazlin.ahmad@petronas.com</x:t>
  </x:si>
  <x:si>
    <x:t xml:space="preserve">BPC GDC 2.0</x:t>
  </x:si>
  <x:si>
    <x:t xml:space="preserve">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x:t>
  </x:si>
  <x:si>
    <x:t xml:space="preserve">darliz.zainol@petronas.com</x:t>
  </x:si>
  <x:si>
    <x:t xml:space="preserve">REQ000007729086</x:t>
  </x:si>
  <x:si>
    <x:t xml:space="preserve">e92680b4-8369-4236-9fda-0430bb8e1dfb</x:t>
  </x:si>
  <x:si>
    <x:t xml:space="preserve">7526d2f5-1eba-42d9-aa96-708c1e73af60</x:t>
  </x:si>
  <x:si>
    <x:t xml:space="preserve">CSSP10893348</x:t>
  </x:si>
  <x:si>
    <x:t xml:space="preserve">AI Enablement for PDB</x:t>
  </x:si>
  <x:si>
    <x:t xml:space="preserve">Compute Name: PDB-CAD-KENNETH Assign To: Kenneth Lau Kheng Soong (kenneth.laukhengsoon@petronas.com.my) Virtual Machine Size: Standard_DS15_v2 (20 cores, 140 GB RAM, 280 GB disk) Scheduling Auto Shut Down: 60 minute</x:t>
  </x:si>
  <x:si>
    <x:t xml:space="preserve">ML compute. perform this in ML studio.
https://portal.azure.com/#@PETRONAS.onmicrosoft.com/resource/subscriptions/b5a67ad5-d38a-4258-aa5e-31e39d3b709f/resourceGroups/PTAZSG-DEV-AIPDB-RG/providers/Microsoft.MachineLearningServices/workspaces/ptsg-5aipdbml01/overview</x:t>
  </x:si>
  <x:si>
    <x:t xml:space="preserve">done.</x:t>
  </x:si>
  <x:si>
    <x:t xml:space="preserve">azhan.shazeli@petronas.com</x:t>
  </x:si>
  <x:si>
    <x:t xml:space="preserve">REQ000007795697</x:t>
  </x:si>
  <x:si>
    <x:t xml:space="preserve">4698f3c6-9b1b-49ab-8edd-5e8f539e07e1</x:t>
  </x:si>
  <x:si>
    <x:t xml:space="preserve">CSSP10726338</x:t>
  </x:si>
  <x:si>
    <x:t xml:space="preserve">norhajarsyazwani.moh@petronas.com</x:t>
  </x:si>
  <x:si>
    <x:t xml:space="preserve">A-000633</x:t>
  </x:si>
  <x:si>
    <x:t xml:space="preserve">Price Management Tool - PMT</x:t>
  </x:si>
  <x:si>
    <x:t xml:space="preserve">Provision of Support &amp; Maintenance for Price Management Tool (PMT) 2.0 for PCML</x:t>
  </x:si>
  <x:si>
    <x:t xml:space="preserve">noraziah.aziz@petronas.com.my</x:t>
  </x:si>
  <x:si>
    <x:t xml:space="preserve">PMT2.0 Application Support and Maintenance</x:t>
  </x:si>
  <x:si>
    <x:t xml:space="preserve">To upgrade kubernetes version, ubuntu version and add one (1) additional node in ptsg-4pmtaks. 
AKS cluster to be upgraded to 1.33.0.
Ubuntu version to be upgraded to 22.04
Please assign to Mohamad Izzat Hazwan Romainor (IS/DIGITAL).</x:t>
  </x:si>
  <x:si>
    <x:t xml:space="preserve">Approved as advise by support personnel</x:t>
  </x:si>
  <x:si>
    <x:t xml:space="preserve">noraziah.aziz@petronas.com</x:t>
  </x:si>
  <x:si>
    <x:t xml:space="preserve">as per approved by cloud demand.</x:t>
  </x:si>
  <x:si>
    <x:t xml:space="preserve">izzat.romainor@petronas.com</x:t>
  </x:si>
  <x:si>
    <x:t xml:space="preserve">REQ000007743308</x:t>
  </x:si>
  <x:si>
    <x:t xml:space="preserve">2505cb08-b067-4c2b-8956-f83a94b5cf3a</x:t>
  </x:si>
  <x:si>
    <x:t xml:space="preserve">5a97c8e5-f0a8-422c-866a-2ca5eabef156</x:t>
  </x:si>
  <x:si>
    <x:t xml:space="preserve">CSSP10283623</x:t>
  </x:si>
  <x:si>
    <x:t xml:space="preserve">dingjie.khoo@petronas.com</x:t>
  </x:si>
  <x:si>
    <x:t xml:space="preserve">A-000820</x:t>
  </x:si>
  <x:si>
    <x:t xml:space="preserve">Upstream Commercial Finance - UCF</x:t>
  </x:si>
  <x:si>
    <x:t xml:space="preserve">Implementation of Documents Comparison Tool for Upstream Commercial Finance (UCF)</x:t>
  </x:si>
  <x:si>
    <x:t xml:space="preserve">Upstream_Commercial_Finance</x:t>
  </x:si>
  <x:si>
    <x:t xml:space="preserve">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x:t>
  </x:si>
  <x:si>
    <x:t xml:space="preserve">Need for fulfilling upstream finance work</x:t>
  </x:si>
  <x:si>
    <x:t xml:space="preserve">DAA</x:t>
  </x:si>
  <x:si>
    <x:t xml:space="preserve">Quota related. Completed</x:t>
  </x:si>
  <x:si>
    <x:t xml:space="preserve">fathulrahman.misba@petronas.com</x:t>
  </x:si>
  <x:si>
    <x:t xml:space="preserve">REQ000007803681</x:t>
  </x:si>
  <x:si>
    <x:t xml:space="preserve">e25fc1c4-dbf2-4838-8f25-d590a60212e5</x:t>
  </x:si>
  <x:si>
    <x:t xml:space="preserve">cdd4a014-5097-4a7d-a741-70641ab2172f</x:t>
  </x:si>
  <x:si>
    <x:t xml:space="preserve">CSSP10469672</x:t>
  </x:si>
  <x:si>
    <x:t xml:space="preserve">hairol.zainul@petronas.com</x:t>
  </x:si>
  <x:si>
    <x:t xml:space="preserve">ELN for STAR Project for PCGB</x:t>
  </x:si>
  <x:si>
    <x:t xml:space="preserve">To provision cloud VM server and Oracle RDS database for LIMS ELN module at AWS PETRONAS cloud Test environment.</x:t>
  </x:si>
  <x:si>
    <x:t xml:space="preserve">ok noted and pls proceed as per plan.</x:t>
  </x:si>
  <x:si>
    <x:t xml:space="preserve">Provision EC2 and RDS in AWS</x:t>
  </x:si>
  <x:si>
    <x:t xml:space="preserve">REQ000007755919</x:t>
  </x:si>
  <x:si>
    <x:t xml:space="preserve">094b0a7e-cc8c-4a71-a978-7149a45f7482</x:t>
  </x:si>
  <x:si>
    <x:t xml:space="preserve">d5465d1b-34d6-4fba-875e-6ded40c465c7</x:t>
  </x:si>
  <x:si>
    <x:t xml:space="preserve">CSSP10109255</x:t>
  </x:si>
  <x:si>
    <x:t xml:space="preserve">ahmadaimanhakim.nora@petronas.com</x:t>
  </x:si>
  <x:si>
    <x:t xml:space="preserve">A-000361</x:t>
  </x:si>
  <x:si>
    <x:t xml:space="preserve">Integrated Asset Modelling - IAM</x:t>
  </x:si>
  <x:si>
    <x:t xml:space="preserve">Implementation of development, testing and production server for Integrated Asset Modelling (IAM) for COE, PCSB</x:t>
  </x:si>
  <x:si>
    <x:t xml:space="preserve">syariffudin@petronas.com</x:t>
  </x:si>
  <x:si>
    <x:t xml:space="preserve">Project IAM</x:t>
  </x:si>
  <x:si>
    <x:t xml:space="preserve">Please provision this new 8 servers for DOF/IAM Project. Attached is the excel file containing the server specification (Hostname , RAM, CPU &amp; Storage) of the new servers to be provision.</x:t>
  </x:si>
  <x:si>
    <x:t xml:space="preserve">pls proceed</x:t>
  </x:si>
  <x:si>
    <x:t xml:space="preserve">Good to go. Provision in the existing RG (PTAZSG-PROD-PETEX-IAM-RG)</x:t>
  </x:si>
  <x:si>
    <x:t xml:space="preserve">PTAZSG-PROD-PETEX-IAM-RG</x:t>
  </x:si>
  <x:si>
    <x:t xml:space="preserve">Provision VM done.</x:t>
  </x:si>
  <x:si>
    <x:t xml:space="preserve">REQ000007759450</x:t>
  </x:si>
  <x:si>
    <x:t xml:space="preserve">fe80e76e-a9eb-4430-8940-992f48d3788e</x:t>
  </x:si>
  <x:si>
    <x:t xml:space="preserve">5daca592-0d7f-456b-bd6b-f321998778ed</x:t>
  </x:si>
  <x:si>
    <x:t xml:space="preserve">CSSP10971128</x:t>
  </x:si>
  <x:si>
    <x:t xml:space="preserve">hadi.hairi@petronas.com</x:t>
  </x:si>
  <x:si>
    <x:t xml:space="preserve">A-001312</x:t>
  </x:si>
  <x:si>
    <x:t xml:space="preserve">DSSR 3.0 Proof of Value of Data Exchange Agreement (POC)</x:t>
  </x:si>
  <x:si>
    <x:t xml:space="preserve">SR00239</x:t>
  </x:si>
  <x:si>
    <x:t xml:space="preserve">Digital Sustainability Strategy review 3.0 | Proof of Value of Data Exchange Agreement (WS2)</x:t>
  </x:si>
  <x:si>
    <x:t xml:space="preserve">Proof of Value of Data Exchange Agreement (WS2)</x:t>
  </x:si>
  <x:si>
    <x:t xml:space="preserve">SandboxPocPetronet</x:t>
  </x:si>
  <x:si>
    <x:t xml:space="preserve">Proof of Concept. Will decommission these resources once the POC has been completed.</x:t>
  </x:si>
  <x:si>
    <x:t xml:space="preserve">PoC AWS / non-prod</x:t>
  </x:si>
  <x:si>
    <x:t xml:space="preserve">REQ000007795526</x:t>
  </x:si>
  <x:si>
    <x:t xml:space="preserve">70e10157-5594-4696-b5ae-987d65a7fa56</x:t>
  </x:si>
  <x:si>
    <x:t xml:space="preserve">332dd88c-6ac4-40ae-a831-e5d962aa59c5</x:t>
  </x:si>
  <x:si>
    <x:t xml:space="preserve">CSSP10357282</x:t>
  </x:si>
  <x:si>
    <x:t xml:space="preserve">nursalikeen.saparai@petronas.com</x:t>
  </x:si>
  <x:si>
    <x:t xml:space="preserve">A-000045</x:t>
  </x:si>
  <x:si>
    <x:t xml:space="preserve">Alpha Oil</x:t>
  </x:si>
  <x:si>
    <x:t xml:space="preserve">Support Services of Alpha Oil – WS2 DevSecOps for Malaysia Petroleum Management (MPM)</x:t>
  </x:si>
  <x:si>
    <x:t xml:space="preserve">yngsheng.toh@petronas.com</x:t>
  </x:si>
  <x:si>
    <x:t xml:space="preserve">To provision Azure Data Factory and Azure Function for development environment only. The new Azure Function will be used to serve Azure Data Factory endpoints.</x:t>
  </x:si>
  <x:si>
    <x:t xml:space="preserve">Based on the email correspondence, the business owner has confirmed agreement to proceed with the deployment of resources, replacing Talend with Azure Data Factory.</x:t>
  </x:si>
  <x:si>
    <x:t xml:space="preserve">df and azure function.
PTAZSG-IAC-DEV-ALPHA-OIL-RG</x:t>
  </x:si>
  <x:si>
    <x:t xml:space="preserve">akhmal.roslan@petronas.com</x:t>
  </x:si>
  <x:si>
    <x:t xml:space="preserve">REQ000007794177</x:t>
  </x:si>
  <x:si>
    <x:t xml:space="preserve">068bb9e2-7634-4ac4-b94c-0a9bb274301b</x:t>
  </x:si>
  <x:si>
    <x:t xml:space="preserve">b95199cd-799f-4205-8ce1-a63827b7efa9</x:t>
  </x:si>
  <x:si>
    <x:t xml:space="preserve">CSSP10868310</x:t>
  </x:si>
  <x:si>
    <x:t xml:space="preserve">ungkuahmadimran.ung@petronas.com</x:t>
  </x:si>
  <x:si>
    <x:t xml:space="preserve">P-000006</x:t>
  </x:si>
  <x:si>
    <x:t xml:space="preserve">OpenText</x:t>
  </x:si>
  <x:si>
    <x:t xml:space="preserve">Upgrade of Opentext Enterprise Context Management (ECM) and Business Process Management (BPM) for PETRONAS</x:t>
  </x:si>
  <x:si>
    <x:t xml:space="preserve">samsuddin.abdaziz@petronas.com.my</x:t>
  </x:si>
  <x:si>
    <x:t xml:space="preserve">UIP is configured to store index backups in a non production storage account, and the connection between production and non production resources is no longer permitted. This new provisioning for FileShare storage account will be replace the non compliant setup.</x:t>
  </x:si>
  <x:si>
    <x:t xml:space="preserve">Reviewed and approved the request to fix the non-compliance setup and mitigate the system performance issue.</x:t>
  </x:si>
  <x:si>
    <x:t xml:space="preserve">samsuddin.abdaziz@petronas.com</x:t>
  </x:si>
  <x:si>
    <x:t xml:space="preserve">deploy new storage account ptazsg1ecmfs02.
ptazsg-prod-ot-rg
clickops</x:t>
  </x:si>
  <x:si>
    <x:t xml:space="preserve">REQ000007794808</x:t>
  </x:si>
  <x:si>
    <x:t xml:space="preserve">de37ed9b-d8c1-4b5d-ac53-e8e182d20f22</x:t>
  </x:si>
  <x:si>
    <x:t xml:space="preserve">7915320d-f1bd-400c-beb6-5012a78cf12c</x:t>
  </x:si>
  <x:si>
    <x:t xml:space="preserve">CSSP10556410</x:t>
  </x:si>
  <x:si>
    <x:t xml:space="preserve">A-001313</x:t>
  </x:si>
  <x:si>
    <x:t xml:space="preserve">PLI ACS</x:t>
  </x:si>
  <x:si>
    <x:t xml:space="preserve">SR25040</x:t>
  </x:si>
  <x:si>
    <x:t xml:space="preserve">Migration of SMTP Basic Authentication to Azure Communication Services for PLISB</x:t>
  </x:si>
  <x:si>
    <x:t xml:space="preserve">ACS PLI</x:t>
  </x:si>
  <x:si>
    <x:t xml:space="preserve">To provision new Azure Communication Services for PLISB</x:t>
  </x:si>
  <x:si>
    <x:t xml:space="preserve">acs project implementation for PLI</x:t>
  </x:si>
  <x:si>
    <x:t xml:space="preserve">Provision new Azure Communication Services for PLISB</x:t>
  </x:si>
  <x:si>
    <x:t xml:space="preserve">resources provisioned</x:t>
  </x:si>
  <x:si>
    <x:t xml:space="preserve">mhafizi.madnan@petronas.com</x:t>
  </x:si>
  <x:si>
    <x:t xml:space="preserve">REQ000007785777</x:t>
  </x:si>
  <x:si>
    <x:t xml:space="preserve">924e275a-e1c4-449a-81db-f3c153a73231</x:t>
  </x:si>
  <x:si>
    <x:t xml:space="preserve">e9ecc3de-7e08-43d4-814f-c8a241a7eced</x:t>
  </x:si>
  <x:si>
    <x:t xml:space="preserve">CSSP10571003</x:t>
  </x:si>
  <x:si>
    <x:t xml:space="preserve">New function apps in HIP UAT environment</x:t>
  </x:si>
  <x:si>
    <x:t xml:space="preserve">CSSP10509086 CSSP10571003 -</x:t>
  </x:si>
  <x:si>
    <x:t xml:space="preserve">Has created the Azure function app, ptazsg-4hipsdistream in the RG PTAZSG-IAC-UAT-HIPVISION-JAI-RG</x:t>
  </x:si>
  <x:si>
    <x:t xml:space="preserve">REQ000007803716</x:t>
  </x:si>
  <x:si>
    <x:t xml:space="preserve">c507aad2-d329-45d6-b097-f90d74fe0802</x:t>
  </x:si>
  <x:si>
    <x:t xml:space="preserve">CSSP10509086</x:t>
  </x:si>
  <x:si>
    <x:t xml:space="preserve">New function apps in Production environment</x:t>
  </x:si>
  <x:si>
    <x:t xml:space="preserve">CSSP10509086 CSSP10571003</x:t>
  </x:si>
  <x:si>
    <x:t xml:space="preserve">Has created the Azure Function app, ptazsg-1hipsdistream in the RG PTAZSG-IAC-PROD-HIPVISION-JAI-RG</x:t>
  </x:si>
  <x:si>
    <x:t xml:space="preserve">REQ000007803715</x:t>
  </x:si>
  <x:si>
    <x:t xml:space="preserve">2dee6c18-2383-46ae-a71b-4bcaaee911fa</x:t>
  </x:si>
  <x:si>
    <x:t xml:space="preserve">CSSP10451453</x:t>
  </x:si>
  <x:si>
    <x:t xml:space="preserve">liang.kimmeng@petronas.com.my</x:t>
  </x:si>
  <x:si>
    <x:t xml:space="preserve">Deployment of gpt-image-1 in ptsg-5hipvison-openai located in PTAZSG-DEV-HIPVISION-JAI-RG.</x:t>
  </x:si>
  <x:si>
    <x:t xml:space="preserve">As per plan</x:t>
  </x:si>
  <x:si>
    <x:t xml:space="preserve">liang.kimmeng@petronas.com</x:t>
  </x:si>
  <x:si>
    <x:t xml:space="preserve">OLZ.</x:t>
  </x:si>
  <x:si>
    <x:t xml:space="preserve">ahmadfirdaus.adnan@petronas.com</x:t>
  </x:si>
  <x:si>
    <x:t xml:space="preserve">REQ000007804055</x:t>
  </x:si>
  <x:si>
    <x:t xml:space="preserve">63d1814c-5dc1-4772-8e7f-984aa119a289</x:t>
  </x:si>
  <x:si>
    <x:t xml:space="preserve">CSSP10494922</x:t>
  </x:si>
  <x:si>
    <x:t xml:space="preserve">Provisioning of 2 Separate Compute Instances in ptazsg-5ailabmlw01. Please assign HSE-AILAB-IZZAH to izzahmaisarah.moha@petronas.com.my.
And HSE-AILAB-ANGLEE to leetze.an@petronas.com.my.</x:t>
  </x:si>
  <x:si>
    <x:t xml:space="preserve">as per plan</x:t>
  </x:si>
  <x:si>
    <x:t xml:space="preserve">ML compute</x:t>
  </x:si>
  <x:si>
    <x:t xml:space="preserve">Request done.</x:t>
  </x:si>
  <x:si>
    <x:t xml:space="preserve">REQ000007804054</x:t>
  </x:si>
  <x:si>
    <x:t xml:space="preserve">dce1c7d6-5af4-4fcd-abdd-62148ec8fa6c</x:t>
  </x:si>
  <x:si>
    <x:t xml:space="preserve">CSSP10603892</x:t>
  </x:si>
  <x:si>
    <x:t xml:space="preserve">Provisioning of 1 Compute Instances in ptazsg-5ailabmlw01. Please assign HSE-AILAB-IMRAN to ahmadimran.khairulsa@petronas.com.my</x:t>
  </x:si>
  <x:si>
    <x:t xml:space="preserve">fd5e7d27-deed-40e8-b11d-3cc760517878</x:t>
  </x:si>
  <x:si>
    <x:t xml:space="preserve">CSSP10577297</x:t>
  </x:si>
  <x:si>
    <x:t xml:space="preserve">EPTW UAUC OSIS POINT for ENEOS Xplora</x:t>
  </x:si>
  <x:si>
    <x:t xml:space="preserve">Requesting New Azure Cloud Resources for two applications; UAUC (Staging) &amp; OSIS (Staging). please refer file attached for details (Azure Cloud server detail, CSBIA, and SOW)</x:t>
  </x:si>
  <x:si>
    <x:t xml:space="preserve">approved for vipsb resources</x:t>
  </x:si>
  <x:si>
    <x:t xml:space="preserve">https://dev.azure.com/Digital-Delivery/EPTW%20UAUC%20OSIS%20POINT%20for%20ENEOS%20Xplora</x:t>
  </x:si>
  <x:si>
    <x:t xml:space="preserve">The New Azure Cloud Resources for two applications; UAUC (Staging) &amp; OSIS (Staging) has been provisioned</x:t>
  </x:si>
  <x:si>
    <x:t xml:space="preserve">REQ000007814122</x:t>
  </x:si>
  <x:si>
    <x:t xml:space="preserve">c2005f6a-1df6-405b-8f7f-1c709c1738b1</x:t>
  </x:si>
  <x:si>
    <x:t xml:space="preserve">fbeaefe9-5924-4fd6-beb9-98ac0301d7cb</x:t>
  </x:si>
  <x:si>
    <x:t xml:space="preserve">CSSP10601579</x:t>
  </x:si>
  <x:si>
    <x:t xml:space="preserve">A-000354</x:t>
  </x:si>
  <x:si>
    <x:t xml:space="preserve">HSE Intelligence Pod - Smart Advisor - HIP SA</x:t>
  </x:si>
  <x:si>
    <x:t xml:space="preserve">HSE Intelligence Pod - Smart Advisor</x:t>
  </x:si>
  <x:si>
    <x:t xml:space="preserve">HIP.AI</x:t>
  </x:si>
  <x:si>
    <x:t xml:space="preserve">Request to add new AZ function as per attached</x:t>
  </x:si>
  <x:si>
    <x:t xml:space="preserve">REQ000007819838</x:t>
  </x:si>
  <x:si>
    <x:t xml:space="preserve">dffc798b-8629-447b-9c6c-13563df2b5ac</x:t>
  </x:si>
  <x:si>
    <x:t xml:space="preserve">e40690ac-2919-4250-b33b-74feeb704eb3</x:t>
  </x:si>
  <x:si>
    <x:t xml:space="preserve">CSSP10794553</x:t>
  </x:si>
  <x:si>
    <x:t xml:space="preserve">New AZ function in production</x:t>
  </x:si>
  <x:si>
    <x:t xml:space="preserve">Create new resource done.</x:t>
  </x:si>
  <x:si>
    <x:t xml:space="preserve">REQ000007822250</x:t>
  </x:si>
  <x:si>
    <x:t xml:space="preserve">7f9adaa5-f387-4ddf-b676-a88d8c8db72e</x:t>
  </x:si>
  <x:si>
    <x:t xml:space="preserve">CSSP10347506</x:t>
  </x:si>
  <x:si>
    <x:t xml:space="preserve">natasha.lupang@petronas.com</x:t>
  </x:si>
  <x:si>
    <x:t xml:space="preserve">A-000866</x:t>
  </x:si>
  <x:si>
    <x:t xml:space="preserve">Yayasan PETRONAS</x:t>
  </x:si>
  <x:si>
    <x:t xml:space="preserve">PSR05912</x:t>
  </x:si>
  <x:si>
    <x:t xml:space="preserve">Provisioning of Microsoft Azure Cloud for Yayasan PETRONAS Website for Yayasan PETRONAS</x:t>
  </x:si>
  <x:si>
    <x:t xml:space="preserve">shielynn.lim@petronas.com.my</x:t>
  </x:si>
  <x:si>
    <x:t xml:space="preserve">to provision new server red hat 9.6 in replacing the EOL server (PTSG-1YSPwb01). Approval from HOD is as attached.</x:t>
  </x:si>
  <x:si>
    <x:t xml:space="preserve">Approved &amp; team is to ensure the request for new server is expedited so as to allow for and ensure optimal YP website performance and timely content updates.</x:t>
  </x:si>
  <x:si>
    <x:t xml:space="preserve">shielynn.lim@petronas.com</x:t>
  </x:si>
  <x:si>
    <x:t xml:space="preserve">ptazsg-prod-ysp-rg</x:t>
  </x:si>
  <x:si>
    <x:t xml:space="preserve">Linux migration completed</x:t>
  </x:si>
  <x:si>
    <x:t xml:space="preserve">REQ000007819502</x:t>
  </x:si>
  <x:si>
    <x:t xml:space="preserve">0d817e47-fc88-4ab5-b5c9-d84574351cf0</x:t>
  </x:si>
  <x:si>
    <x:t xml:space="preserve">f54f3cdf-9b03-4459-999a-9d1e27597115</x:t>
  </x:si>
  <x:si>
    <x:t xml:space="preserve">CSSP10636896</x:t>
  </x:si>
  <x:si>
    <x:t xml:space="preserve">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x:t>
  </x:si>
  <x:si>
    <x:t xml:space="preserve">migration</x:t>
  </x:si>
  <x:si>
    <x:t xml:space="preserve">virtual machine provisioned</x:t>
  </x:si>
  <x:si>
    <x:t xml:space="preserve">REQ000007828107</x:t>
  </x:si>
  <x:si>
    <x:t xml:space="preserve">90296959-c21f-48ac-8658-df869ee75354</x:t>
  </x:si>
  <x:si>
    <x:t xml:space="preserve">3d79c2dd-4e29-4b9c-b671-002b9acb0069</x:t>
  </x:si>
  <x:si>
    <x:t xml:space="preserve">CSSP10823957</x:t>
  </x:si>
  <x:si>
    <x:t xml:space="preserve">hasrol.yusop@petronas.com</x:t>
  </x:si>
  <x:si>
    <x:t xml:space="preserve">A-000663</x:t>
  </x:si>
  <x:si>
    <x:t xml:space="preserve">ProSource</x:t>
  </x:si>
  <x:si>
    <x:t xml:space="preserve">SR00620</x:t>
  </x:si>
  <x:si>
    <x:t xml:space="preserve">Provisioning of Infrastructure for Prosource and Qumulo Storage Management System for UTDI</x:t>
  </x:si>
  <x:si>
    <x:t xml:space="preserve">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x:t>
  </x:si>
  <x:si>
    <x:t xml:space="preserve">Reviewed with no further comments.</x:t>
  </x:si>
  <x:si>
    <x:t xml:space="preserve">ER to pgsc.</x:t>
  </x:si>
  <x:si>
    <x:t xml:space="preserve">REQ000007828116</x:t>
  </x:si>
  <x:si>
    <x:t xml:space="preserve">1f46f82f-3716-4404-aa90-fc69f4af663f</x:t>
  </x:si>
  <x:si>
    <x:t xml:space="preserve">b1914e57-46b1-491e-a258-da6874c15746</x:t>
  </x:si>
  <x:si>
    <x:t xml:space="preserve">CSSP10625196</x:t>
  </x:si>
  <x:si>
    <x:t xml:space="preserve">M-000065</x:t>
  </x:si>
  <x:si>
    <x:t xml:space="preserve">Qumulo</x:t>
  </x:si>
  <x:si>
    <x:t xml:space="preserve">00620_MP</x:t>
  </x:si>
  <x:si>
    <x:t xml:space="preserve">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x:t>
  </x:si>
  <x:si>
    <x:t xml:space="preserve">kianleng.geh@petronas.com</x:t>
  </x:si>
  <x:si>
    <x:t xml:space="preserve">additional Qumulo service requirement needed</x:t>
  </x:si>
  <x:si>
    <x:t xml:space="preserve">REQ000007815535</x:t>
  </x:si>
  <x:si>
    <x:t xml:space="preserve">04019988-55f0-400f-9bac-e9b452cd7184</x:t>
  </x:si>
  <x:si>
    <x:t xml:space="preserve">834110d1-0df1-4a62-9971-bac13fe28bb7</x:t>
  </x:si>
  <x:si>
    <x:t xml:space="preserve">CSSP10904562</x:t>
  </x:si>
  <x:si>
    <x:t xml:space="preserve">manas.dutta@petronas.com</x:t>
  </x:si>
  <x:si>
    <x:t xml:space="preserve">A-001315</x:t>
  </x:si>
  <x:si>
    <x:t xml:space="preserve">PDB Data &amp; Intelligence Platform</x:t>
  </x:si>
  <x:si>
    <x:t xml:space="preserve">SR25023</x:t>
  </x:si>
  <x:si>
    <x:t xml:space="preserve">manas.dutta@petronas.com.my</x:t>
  </x:si>
  <x:si>
    <x:t xml:space="preserve">PDB Data and Intelligence Platform</x:t>
  </x:si>
  <x:si>
    <x:t xml:space="preserve">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x:t>
  </x:si>
  <x:si>
    <x:t xml:space="preserve">Approve from my end</x:t>
  </x:si>
  <x:si>
    <x:t xml:space="preserve">new environment</x:t>
  </x:si>
  <x:si>
    <x:t xml:space="preserve">resources provisioned by amin mansor</x:t>
  </x:si>
  <x:si>
    <x:t xml:space="preserve">REQ000007819500</x:t>
  </x:si>
  <x:si>
    <x:t xml:space="preserve">b4e60f9a-b7c8-4e1d-8847-6f2e75534143</x:t>
  </x:si>
  <x:si>
    <x:t xml:space="preserve">79fd6c2d-8db4-459e-b3e7-ffd955e88417</x:t>
  </x:si>
  <x:si>
    <x:t xml:space="preserve">CSSP10391326</x:t>
  </x:si>
  <x:si>
    <x:t xml:space="preserve">A-001316</x:t>
  </x:si>
  <x:si>
    <x:t xml:space="preserve">Azure Cloud Hosting for KLCC Group Intranet and Internet</x:t>
  </x:si>
  <x:si>
    <x:t xml:space="preserve">SR25038</x:t>
  </x:si>
  <x:si>
    <x:t xml:space="preserve">Provision of Azure Cloud Hosting for KLCC Group Intranet and Internet</x:t>
  </x:si>
  <x:si>
    <x:t xml:space="preserve">KLCCNET</x:t>
  </x:si>
  <x:si>
    <x:t xml:space="preserve">To provision new Azure Cloud Hosting for KLCC Group Intranet and Internet</x:t>
  </x:si>
  <x:si>
    <x:t xml:space="preserve">approve for deployment</x:t>
  </x:si>
  <x:si>
    <x:t xml:space="preserve">CSSP10391326 CSSP10608230</x:t>
  </x:si>
  <x:si>
    <x:t xml:space="preserve">resource deployed</x:t>
  </x:si>
  <x:si>
    <x:t xml:space="preserve">REQ000007802176</x:t>
  </x:si>
  <x:si>
    <x:t xml:space="preserve">19aef280-d1db-4a1f-8c78-d3476b78c5ff</x:t>
  </x:si>
  <x:si>
    <x:t xml:space="preserve">a31d7427-0502-4fd9-a922-9ffaf38bbb68</x:t>
  </x:si>
  <x:si>
    <x:t xml:space="preserve">CSSP10608230</x:t>
  </x:si>
  <x:si>
    <x:t xml:space="preserve">REQ000007802177</x:t>
  </x:si>
  <x:si>
    <x:t xml:space="preserve">320b30e1-9f8d-4bb0-a3c8-d8e877762d2c</x:t>
  </x:si>
  <x:si>
    <x:t xml:space="preserve">CSSP10579375</x:t>
  </x:si>
  <x:si>
    <x:t xml:space="preserve">norashikin.hasna@petronas.com</x:t>
  </x:si>
  <x:si>
    <x:t xml:space="preserve">A-000480</x:t>
  </x:si>
  <x:si>
    <x:t xml:space="preserve">Mygenie</x:t>
  </x:si>
  <x:si>
    <x:t xml:space="preserve">02421_83</x:t>
  </x:si>
  <x:si>
    <x:t xml:space="preserve">Cloud Migration Program - Mygenie+ Admin Portal</x:t>
  </x:si>
  <x:si>
    <x:t xml:space="preserve">saniza.ismail@petronas.com.my</x:t>
  </x:si>
  <x:si>
    <x:t xml:space="preserve">MyGenie Admin Portal</x:t>
  </x:si>
  <x:si>
    <x:t xml:space="preserve">Qa Server for myGenie+ : PTSG-5MYGENAP01
Current = D2as v4 (2 vCPU 7 &amp; 8 GB RAM)
New = D2as v4 (4 vCPU 7 &amp; 16 GB RAM)</x:t>
  </x:si>
  <x:si>
    <x:t xml:space="preserve">Need additional capacity due to high utilization cause slowness to myGenie QA</x:t>
  </x:si>
  <x:si>
    <x:t xml:space="preserve">Kindly provide the estimated cost in Excel format (including the required SKU specifications), downloaded from the Azure calculator website. For assistance with the cost calculator, please contact Samsuddin B. Jumbri (IS/DIGITAL) or Geh Kian Leng (IS/DIGITAL).</x:t>
  </x:si>
  <x:si>
    <x:t xml:space="preserve">c6a63b47-bf9e-4308-9a85-4fcd7d745577</x:t>
  </x:si>
  <x:si>
    <x:t xml:space="preserve">e14539b2-3e1d-4f64-9589-89e2aee4ab7d</x:t>
  </x:si>
  <x:si>
    <x:t xml:space="preserve">CSSP10518956</x:t>
  </x:si>
  <x:si>
    <x:t xml:space="preserve">01824_1</x:t>
  </x:si>
  <x:si>
    <x:t xml:space="preserve">CloudSSP</x:t>
  </x:si>
  <x:si>
    <x:t xml:space="preserve">to provision one ASP in prod ASE for Logic App usage to comply with DPIA</x:t>
  </x:si>
  <x:si>
    <x:t xml:space="preserve">proceed for deployment</x:t>
  </x:si>
  <x:si>
    <x:t xml:space="preserve">assigned to Afnan for provisioning</x:t>
  </x:si>
  <x:si>
    <x:t xml:space="preserve">afnanfarhan.dzaharud@petronas.com</x:t>
  </x:si>
  <x:si>
    <x:t xml:space="preserve">REQ000007805507</x:t>
  </x:si>
  <x:si>
    <x:t xml:space="preserve">721a9131-21b0-4e6a-873f-fbc67d1f7a35</x:t>
  </x:si>
  <x:si>
    <x:t xml:space="preserve">7b00047c-b5a7-4e18-ac59-96a67cd2d2cb</x:t>
  </x:si>
  <x:si>
    <x:t xml:space="preserve">CSSP10788217</x:t>
  </x:si>
  <x:si>
    <x:t xml:space="preserve">EDH Core Team</x:t>
  </x:si>
  <x:si>
    <x:t xml:space="preserve">Requesting a new VM to scale out SHIR for Azure Data Factory as recommended by Microsoft Support. Please refer to attached ExportedEstimate for important notes.</x:t>
  </x:si>
  <x:si>
    <x:t xml:space="preserve">As per described in email of suggestion from internal and microsoft. This is needed to ensure performance is not at stake</x:t>
  </x:si>
  <x:si>
    <x:t xml:space="preserve">PTAZSG-PROD-TALEND-EDH-RG</x:t>
  </x:si>
  <x:si>
    <x:t xml:space="preserve">wanahmadfaizal.wanm@petronas.com</x:t>
  </x:si>
  <x:si>
    <x:t xml:space="preserve">REQ000007813011</x:t>
  </x:si>
  <x:si>
    <x:t xml:space="preserve">2e605ebc-324b-45bb-8e38-703ce36609f3</x:t>
  </x:si>
  <x:si>
    <x:t xml:space="preserve">ed53447e-494d-41f1-82c3-9187f60e7955</x:t>
  </x:si>
  <x:si>
    <x:t xml:space="preserve">CSSP10283005</x:t>
  </x:si>
  <x:si>
    <x:t xml:space="preserve">azure-terraform-iac-daa-caf-configuration</x:t>
  </x:si>
  <x:si>
    <x:t xml:space="preserve">RG: PTAZSG-IAC-DAA-PROD-GUROBI-RG
Resource: PTSG-1GUROBIap01
Need to migrate the VM in from using Ubuntu 18.04 to using CoC approved VM running on RHEL OS</x:t>
  </x:si>
  <x:si>
    <x:t xml:space="preserve">To upgrade mongo db server</x:t>
  </x:si>
  <x:si>
    <x:t xml:space="preserve">Resources provisioned</x:t>
  </x:si>
  <x:si>
    <x:t xml:space="preserve">REQ000007858990</x:t>
  </x:si>
  <x:si>
    <x:t xml:space="preserve">40f38073-a217-4238-a072-e59828a6d0da</x:t>
  </x:si>
  <x:si>
    <x:t xml:space="preserve">41d403d3-91ef-4a92-9a31-8b7549f61426</x:t>
  </x:si>
  <x:si>
    <x:t xml:space="preserve">CSSP10387983</x:t>
  </x:si>
  <x:si>
    <x:t xml:space="preserve">RG: PTAZSG-IAC-DAA-DEV-GUROBI-RG
Resource: ptazsg-5gurobiaks01
Upsize: Increase the node size from 16vCPU to 32vCPU. Standard_F16s_v2 to Standard_F32s_v2</x:t>
  </x:si>
  <x:si>
    <x:t xml:space="preserve">Projects are ramping up testing</x:t>
  </x:si>
  <x:si>
    <x:t xml:space="preserve">New node pool configured.</x:t>
  </x:si>
  <x:si>
    <x:t xml:space="preserve">REQ000007849082</x:t>
  </x:si>
  <x:si>
    <x:t xml:space="preserve">16b5df83-687f-44fb-ad8a-78d3a1cbe2c3</x:t>
  </x:si>
  <x:si>
    <x:t xml:space="preserve">CSSP10331232</x:t>
  </x:si>
  <x:si>
    <x:t xml:space="preserve">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x:t>
  </x:si>
  <x:si>
    <x:t xml:space="preserve">ICT_RFC00218881</x:t>
  </x:si>
  <x:si>
    <x:t xml:space="preserve">approved as advise by support</x:t>
  </x:si>
  <x:si>
    <x:t xml:space="preserve">unix vm</x:t>
  </x:si>
  <x:si>
    <x:t xml:space="preserve">RFC task assigned to Luis and it is completed.</x:t>
  </x:si>
  <x:si>
    <x:t xml:space="preserve">REQ000007859219</x:t>
  </x:si>
  <x:si>
    <x:t xml:space="preserve">d92a319e-9028-481a-9898-063051993069</x:t>
  </x:si>
  <x:si>
    <x:t xml:space="preserve">CSSP10646457</x:t>
  </x:si>
  <x:si>
    <x:t xml:space="preserve">noraini.abdjalil@petronas.com</x:t>
  </x:si>
  <x:si>
    <x:t xml:space="preserve">A-000804</x:t>
  </x:si>
  <x:si>
    <x:t xml:space="preserve">TEA</x:t>
  </x:si>
  <x:si>
    <x:t xml:space="preserve">00971_2</x:t>
  </x:si>
  <x:si>
    <x:t xml:space="preserve">PDB landing zone TEA Application</x:t>
  </x:si>
  <x:si>
    <x:t xml:space="preserve">shawnbenedict.anthon@petronas.com.my</x:t>
  </x:si>
  <x:si>
    <x:t xml:space="preserve">PETRONAS_AWS_Cloud_LandingZone</x:t>
  </x:si>
  <x:si>
    <x:t xml:space="preserve">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t>
  </x:si>
  <x:si>
    <x:t xml:space="preserve">This is required for CS upgrade</x:t>
  </x:si>
  <x:si>
    <x:t xml:space="preserve">shawnbenedict.anthon@petronas.com</x:t>
  </x:si>
  <x:si>
    <x:t xml:space="preserve">Please provide all attachments, i.e. approved SOW, SP CS BIA, intended design(approved myHLD)</x:t>
  </x:si>
  <x:si>
    <x:t xml:space="preserve">8c439d80-c07f-4823-acc0-f1852d6b6218</x:t>
  </x:si>
  <x:si>
    <x:t xml:space="preserve">1454552b-cfba-41bf-9e1b-716349b8bb51</x:t>
  </x:si>
  <x:si>
    <x:t xml:space="preserve">CSSP10772940</x:t>
  </x:si>
  <x:si>
    <x:t xml:space="preserve">mnazli.sukimin@petronas.com</x:t>
  </x:si>
  <x:si>
    <x:t xml:space="preserve">iLIMS PCGB</x:t>
  </x:si>
  <x:si>
    <x:t xml:space="preserve">to add storage (100GB) at new drive (E:/) on newly provisioned VM (PTAWMY-4LPCGAP1) under CSSP request no CSSP10469672.</x:t>
  </x:si>
  <x:si>
    <x:t xml:space="preserve">assigned/emailed on 22nd.</x:t>
  </x:si>
  <x:si>
    <x:t xml:space="preserve">REQ000007846322</x:t>
  </x:si>
  <x:si>
    <x:t xml:space="preserve">79e594d8-f088-4aa8-9578-92e49b26c9c1</x:t>
  </x:si>
  <x:si>
    <x:t xml:space="preserve">CSSP10986022</x:t>
  </x:si>
  <x:si>
    <x:t xml:space="preserve">A-001318</x:t>
  </x:si>
  <x:si>
    <x:t xml:space="preserve">Plant State Integrity - PSI PCOGD</x:t>
  </x:si>
  <x:si>
    <x:t xml:space="preserve">SR00050</x:t>
  </x:si>
  <x:si>
    <x:t xml:space="preserve">Provisioning Server for RTOT Upgrading for PCOGD</x:t>
  </x:si>
  <x:si>
    <x:t xml:space="preserve">PAMS</x:t>
  </x:si>
  <x:si>
    <x:t xml:space="preserve">To provision new VM at level 4</x:t>
  </x:si>
  <x:si>
    <x:t xml:space="preserve">Requested to resubmit</x:t>
  </x:si>
  <x:si>
    <x:t xml:space="preserve">c4badc52-dfe2-4bc1-b7e5-0a9c5d89fdbb</x:t>
  </x:si>
  <x:si>
    <x:t xml:space="preserve">9aef2064-d0c0-418f-b515-c8c62d398819</x:t>
  </x:si>
  <x:si>
    <x:t xml:space="preserve">CSSP10155550</x:t>
  </x:si>
  <x:si>
    <x:t xml:space="preserve">To provision new server for AMS</x:t>
  </x:si>
  <x:si>
    <x:t xml:space="preserve">please proceed</x:t>
  </x:si>
  <x:si>
    <x:t xml:space="preserve">2x VM</x:t>
  </x:si>
  <x:si>
    <x:t xml:space="preserve">REQ000007849342</x:t>
  </x:si>
  <x:si>
    <x:t xml:space="preserve">205e1923-668a-4370-b2f0-a950e3f8af66</x:t>
  </x:si>
  <x:si>
    <x:t xml:space="preserve">CSSP10994966</x:t>
  </x:si>
  <x:si>
    <x:t xml:space="preserve">A-000605</x:t>
  </x:si>
  <x:si>
    <x:t xml:space="preserve">Plant Information - PI Vestigo</x:t>
  </x:si>
  <x:si>
    <x:t xml:space="preserve">02421_64</x:t>
  </x:si>
  <x:si>
    <x:t xml:space="preserve">Cloud Migration Program - PI Vestigo</x:t>
  </x:si>
  <x:si>
    <x:t xml:space="preserve">Migration of PI System for Vestigo Operatorship Transfer</x:t>
  </x:si>
  <x:si>
    <x:t xml:space="preserve">ESTRELLA: Migration of Plant Information (PI) System for Vestigo Operatorship Transfer
Provision new PI Vision server for Vestigo</x:t>
  </x:si>
  <x:si>
    <x:t xml:space="preserve">Please proceed. Part of Estrella scope.</x:t>
  </x:si>
  <x:si>
    <x:t xml:space="preserve">new ADO &amp; RG (unless requested by user to be in PTAZSG-PROD-VESTIGO-RG (different tagging).</x:t>
  </x:si>
  <x:si>
    <x:t xml:space="preserve">meeting held on 30/3/26 - requester agreed to provision in AWS - to aligned with cloud repatriation AWS SG to MY.</x:t>
  </x:si>
  <x:si>
    <x:t xml:space="preserve">REQ000007881725</x:t>
  </x:si>
  <x:si>
    <x:t xml:space="preserve">5d3fb87b-9d92-4201-8beb-3a6b20d59907</x:t>
  </x:si>
  <x:si>
    <x:t xml:space="preserve">c9853726-3588-45a8-9fbe-c2d8d69199e2</x:t>
  </x:si>
  <x:si>
    <x:t xml:space="preserve">CSSP10683335</x:t>
  </x:si>
  <x:si>
    <x:t xml:space="preserve">A-001320</x:t>
  </x:si>
  <x:si>
    <x:t xml:space="preserve">Plant Information - PI BASIL PCMTBE</x:t>
  </x:si>
  <x:si>
    <x:t xml:space="preserve">PSR00621</x:t>
  </x:si>
  <x:si>
    <x:t xml:space="preserve">Provisioning of PI &amp; BASIL Plant Infrastructure for PETRONAS Chemicals MTBE</x:t>
  </x:si>
  <x:si>
    <x:t xml:space="preserve">Provisioning of PI Infrastructure (BASIL Plant) for PCMTBE</x:t>
  </x:si>
  <x:si>
    <x:t xml:space="preserve">To provision 3 new Azure VMs accordingly.</x:t>
  </x:si>
  <x:si>
    <x:t xml:space="preserve">VM and SQL vm</x:t>
  </x:si>
  <x:si>
    <x:t xml:space="preserve">REQ000007881168</x:t>
  </x:si>
  <x:si>
    <x:t xml:space="preserve">d0464d7c-9244-49d6-bfa4-e8081b7fd90e</x:t>
  </x:si>
  <x:si>
    <x:t xml:space="preserve">f82edd71-3b20-4c1a-a54d-631d99b29fff</x:t>
  </x:si>
  <x:si>
    <x:t xml:space="preserve">CSSP10142017</x:t>
  </x:si>
  <x:si>
    <x:t xml:space="preserve">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x:t>
  </x:si>
  <x:si>
    <x:t xml:space="preserve">This is required for Analytics Works for CAD.</x:t>
  </x:si>
  <x:si>
    <x:t xml:space="preserve">ML creation</x:t>
  </x:si>
  <x:si>
    <x:t xml:space="preserve">provided.</x:t>
  </x:si>
  <x:si>
    <x:t xml:space="preserve">REQ000007879520</x:t>
  </x:si>
  <x:si>
    <x:t xml:space="preserve">36c7be1c-9795-44b6-8ea1-084c5c6f0d48</x:t>
  </x:si>
  <x:si>
    <x:t xml:space="preserve">CSSP10205419</x:t>
  </x:si>
  <x:si>
    <x:t xml:space="preserve">suliza.sumari@petronas.com</x:t>
  </x:si>
  <x:si>
    <x:t xml:space="preserve">A-000491</x:t>
  </x:si>
  <x:si>
    <x:t xml:space="preserve">MyPROData</x:t>
  </x:si>
  <x:si>
    <x:t xml:space="preserve">Shared Support Services (SecOps) myPROdata FY2025 for Malaysia Petroleum Management (MPM)</x:t>
  </x:si>
  <x:si>
    <x:t xml:space="preserve">wadiah.rusli@petronas.com.my</x:t>
  </x:si>
  <x:si>
    <x:t xml:space="preserve">myPROdata</x:t>
  </x:si>
  <x:si>
    <x:t xml:space="preserve">•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x:t>
  </x:si>
  <x:si>
    <x:t xml:space="preserve">ICT_RFC00218960</x:t>
  </x:si>
  <x:si>
    <x:t xml:space="preserve">Please upgrade ASAP as today is the MBR 2026 launching</x:t>
  </x:si>
  <x:si>
    <x:t xml:space="preserve">Approved. Increase C:\ drive for 2 servers. PTAZSG-PROD-ARCGIS-RG</x:t>
  </x:si>
  <x:si>
    <x:t xml:space="preserve">Proceed to urgent upgrade the disk as requested.</x:t>
  </x:si>
  <x:si>
    <x:t xml:space="preserve">request has been completed.</x:t>
  </x:si>
  <x:si>
    <x:t xml:space="preserve">REQ000007869277</x:t>
  </x:si>
  <x:si>
    <x:t xml:space="preserve">ebc92a57-efcb-4ea1-91f3-f2e35a11c936</x:t>
  </x:si>
  <x:si>
    <x:t xml:space="preserve">615059d8-5126-4d3b-8a05-58268ed42bb2</x:t>
  </x:si>
  <x:si>
    <x:t xml:space="preserve">CSSP10881366</x:t>
  </x:si>
  <x:si>
    <x:t xml:space="preserve">ettonnarimah@petronas.com</x:t>
  </x:si>
  <x:si>
    <x:t xml:space="preserve">mariful.islam@petronas.com.my</x:t>
  </x:si>
  <x:si>
    <x:t xml:space="preserve">Compute Name: PDB CAD - IMAN Assign to: Ahmad Iman Azrul Hasni (ahmadiman.azrulhasni@petronas.com.my) Virtual Machine Size: Standard_DS15_v2 (20 cores, 140 GB RAM, 280 GB disk) Scheduling Auto Shut Down: 60 minutes</x:t>
  </x:si>
  <x:si>
    <x:t xml:space="preserve">its an access to existing compute.</x:t>
  </x:si>
  <x:si>
    <x:t xml:space="preserve">mariful.islam@petronas.com</x:t>
  </x:si>
  <x:si>
    <x:t xml:space="preserve">created.</x:t>
  </x:si>
  <x:si>
    <x:t xml:space="preserve">created</x:t>
  </x:si>
  <x:si>
    <x:t xml:space="preserve">REQ000007881170</x:t>
  </x:si>
  <x:si>
    <x:t xml:space="preserve">541292bd-53a6-4abe-910a-c384c9aa3073</x:t>
  </x:si>
  <x:si>
    <x:t xml:space="preserve">CSSP10270528</x:t>
  </x:si>
  <x:si>
    <x:t xml:space="preserve">A-000566</x:t>
  </x:si>
  <x:si>
    <x:t xml:space="preserve">Plant Information - PI CHOPI UPSTREAM</x:t>
  </x:si>
  <x:si>
    <x:t xml:space="preserve">02421_12</x:t>
  </x:si>
  <x:si>
    <x:t xml:space="preserve">Cloud Migration Program - PI Upstream</x:t>
  </x:si>
  <x:si>
    <x:t xml:space="preserve">PI Upstream Cho PI</x:t>
  </x:si>
  <x:si>
    <x:t xml:space="preserve">Upgrade existing server CPU specification (PTSG-1PIDB01 &amp; PTSG-1PIDB02)</x:t>
  </x:si>
  <x:si>
    <x:t xml:space="preserve">ICT_RFC00219274</x:t>
  </x:si>
  <x:si>
    <x:t xml:space="preserve">fd598383-7773-40d2-a78c-f50abc149ce9</x:t>
  </x:si>
  <x:si>
    <x:t xml:space="preserve">1ff9cced-6766-411e-abad-e7b564e42d3f</x:t>
  </x:si>
  <x:si>
    <x:t xml:space="preserve">CSSP10965749</x:t>
  </x:si>
  <x:si>
    <x:t xml:space="preserve">Current = D2as v4 (2 vCPU 7 &amp; 8 GB RAM)
New = D2as v4 (4 vCPU 7 &amp; 16 GB RAM)</x:t>
  </x:si>
  <x:si>
    <x:t xml:space="preserve">This server is also 2nd server for Admin back end job for batch upload. The performance is too slow now.</x:t>
  </x:si>
  <x:si>
    <x:t xml:space="preserve">upsize.</x:t>
  </x:si>
  <x:si>
    <x:t xml:space="preserve">done</x:t>
  </x:si>
  <x:si>
    <x:t xml:space="preserve">REQ000007881730</x:t>
  </x:si>
  <x:si>
    <x:t xml:space="preserve">0a73b7a6-c0c7-4fc4-afe4-ec6db1149a3a</x:t>
  </x:si>
  <x:si>
    <x:t xml:space="preserve">CSSP10629844</x:t>
  </x:si>
  <x:si>
    <x:t xml:space="preserve">Provision of Professional Service, Software License and Infra for ArBiTra (OVC &amp; LVC) 2025 for PTLCL</x:t>
  </x:si>
  <x:si>
    <x:t xml:space="preserve">ArBiTra Phase 3 - IT Sub Modules</x:t>
  </x:si>
  <x:si>
    <x:t xml:space="preserve">We need to increse postgresSQL storage. currently it is 600GB and need to increase by 100GB for below resource
Resource name/Id : ptawsg-5abtdb01.cfrhfufvrhpu.ap-southeast-1.rds.amazonaws.com
Current storage size : 600GB
Need to increase additionally by 100GB.</x:t>
  </x:si>
  <x:si>
    <x:t xml:space="preserve">ok</x:t>
  </x:si>
  <x:si>
    <x:t xml:space="preserve">RDS storage resize</x:t>
  </x:si>
  <x:si>
    <x:t xml:space="preserve">RDS storage expanded</x:t>
  </x:si>
  <x:si>
    <x:t xml:space="preserve">REQ000007882775</x:t>
  </x:si>
  <x:si>
    <x:t xml:space="preserve">866cd81d-011e-424b-b696-e232f59deeb1</x:t>
  </x:si>
  <x:si>
    <x:t xml:space="preserve">eff0acd9-d429-4ebf-a66d-b60082f4a5b1</x:t>
  </x:si>
  <x:si>
    <x:t xml:space="preserve">CSSP10799733</x:t>
  </x:si>
  <x:si>
    <x:t xml:space="preserve">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x:t>
  </x:si>
  <x:si>
    <x:t xml:space="preserve">AKS</x:t>
  </x:si>
  <x:si>
    <x:t xml:space="preserve">REQ000007913270</x:t>
  </x:si>
  <x:si>
    <x:t xml:space="preserve">f3d57495-1c0e-44e3-91e3-618d253432cf</x:t>
  </x:si>
  <x:si>
    <x:t xml:space="preserve">CSSP10500225</x:t>
  </x:si>
  <x:si>
    <x:t xml:space="preserve">To create new azure foundry project from PTAZSG-1HIPSAOAI resource.
Create azure foundry project name : agentaiproj-prod
 in PTAZSG-IAC-PROD-HIP-SA-RG Resource group.
Please refer to same project created in Dev environment agentaiproj (agentaiproj-resource/agentaiproj)</x:t>
  </x:si>
  <x:si>
    <x:t xml:space="preserve">Approved. Please proceed with utmost urgency</x:t>
  </x:si>
  <x:si>
    <x:t xml:space="preserve">ai resource</x:t>
  </x:si>
  <x:si>
    <x:t xml:space="preserve">The resource has been provisioned</x:t>
  </x:si>
  <x:si>
    <x:t xml:space="preserve">REQ000007881176</x:t>
  </x:si>
  <x:si>
    <x:t xml:space="preserve">71a2611e-e0fe-41a5-a84a-5aa66b81c949</x:t>
  </x:si>
  <x:si>
    <x:t xml:space="preserve">CSSP10984525</x:t>
  </x:si>
  <x:si>
    <x:t xml:space="preserve">A-000094</x:t>
  </x:si>
  <x:si>
    <x:t xml:space="preserve">Barrier Management and Work Control - BMWC Downstream</x:t>
  </x:si>
  <x:si>
    <x:t xml:space="preserve">Pilot implementation of Proscient Work Control and Barrier Management for MRC and PPTSB</x:t>
  </x:si>
  <x:si>
    <x:t xml:space="preserve">ruhy.zanita@petronas.com.my</x:t>
  </x:si>
  <x:si>
    <x:t xml:space="preserve">Barrier Management and Work Control (BMWC)</x:t>
  </x:si>
  <x:si>
    <x:t xml:space="preserve">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x:t>
  </x:si>
  <x:si>
    <x:t xml:space="preserve">ICT_RFC00219321</x:t>
  </x:si>
  <x:si>
    <x:t xml:space="preserve">Approved based on MRCSB’s request for COTS to support the resolution of the BMWC slowness issues.</x:t>
  </x:si>
  <x:si>
    <x:t xml:space="preserve">upgrade activity on weekend.</x:t>
  </x:si>
  <x:si>
    <x:t xml:space="preserve">REQ000007876850</x:t>
  </x:si>
  <x:si>
    <x:t xml:space="preserve">7a408f03-86c5-401c-a54c-a719975e734f</x:t>
  </x:si>
  <x:si>
    <x:t xml:space="preserve">28ad9538-c792-4831-8995-14668b3ff8aa</x:t>
  </x:si>
  <x:si>
    <x:t xml:space="preserve">CSSP10441451</x:t>
  </x:si>
  <x:si>
    <x:t xml:space="preserve">To provision attached resources in this development RG PTAZSG-DEV-HIPVISION-SA-RG</x:t>
  </x:si>
  <x:si>
    <x:t xml:space="preserve">Proceed Urgently. Approved</x:t>
  </x:si>
  <x:si>
    <x:t xml:space="preserve">olz deployment</x:t>
  </x:si>
  <x:si>
    <x:t xml:space="preserve">The resources have been provisioned</x:t>
  </x:si>
  <x:si>
    <x:t xml:space="preserve">REQ000007881734</x:t>
  </x:si>
  <x:si>
    <x:t xml:space="preserve">b72088d7-d8ee-41a2-91a9-f7f3e9a77dc9</x:t>
  </x:si>
  <x:si>
    <x:t xml:space="preserve">CSSP10954631</x:t>
  </x:si>
  <x:si>
    <x:t xml:space="preserve">To upgrade Existing Azure Kubernetes pricing tier from free to standard tier. AKS resource= ptsg-1hipvisionaks01 reside in ptazsg-iac-prod-hipvision-jai-rg Resource group. Have been discussing with Fathul and good to have him assign since he understands the situation.</x:t>
  </x:si>
  <x:si>
    <x:t xml:space="preserve">ICT_RFC00218992</x:t>
  </x:si>
  <x:si>
    <x:t xml:space="preserve">Kindly Proceed urgently. Approved</x:t>
  </x:si>
  <x:si>
    <x:t xml:space="preserve">kubernetes upgrade (target 20th Feb 2026, night).</x:t>
  </x:si>
  <x:si>
    <x:t xml:space="preserve">done on 20/2</x:t>
  </x:si>
  <x:si>
    <x:t xml:space="preserve">REQ000007881736</x:t>
  </x:si>
  <x:si>
    <x:t xml:space="preserve">55fb99fa-591a-4969-a638-46daa411e6e6</x:t>
  </x:si>
  <x:si>
    <x:t xml:space="preserve">CSSP10620386</x:t>
  </x:si>
  <x:si>
    <x:t xml:space="preserve">ICT_RFC00219433</x:t>
  </x:si>
  <x:si>
    <x:t xml:space="preserve">RFC.
Azure focal - Abu
primary - Badri
2ndary - Afnan</x:t>
  </x:si>
  <x:si>
    <x:t xml:space="preserve">request completed</x:t>
  </x:si>
  <x:si>
    <x:t xml:space="preserve">REQ000007890587</x:t>
  </x:si>
  <x:si>
    <x:t xml:space="preserve">92c4b87a-8c76-427d-a543-89a708619ea5</x:t>
  </x:si>
  <x:si>
    <x:t xml:space="preserve">CSSP10936246</x:t>
  </x:si>
  <x:si>
    <x:t xml:space="preserve">mohamadkhamanfa.norm@petronas.com</x:t>
  </x:si>
  <x:si>
    <x:t xml:space="preserve">C-000009</x:t>
  </x:si>
  <x:si>
    <x:t xml:space="preserve">Common DevOps</x:t>
  </x:si>
  <x:si>
    <x:t xml:space="preserve">Common-DevOps</x:t>
  </x:si>
  <x:si>
    <x:t xml:space="preserve">Common DevOps (VS-petronasvsts-Group)</x:t>
  </x:si>
  <x:si>
    <x:t xml:space="preserve">DevOps Project Portal</x:t>
  </x:si>
  <x:si>
    <x:t xml:space="preserve">6 BU, 12 MY Subscriptions, 1 VM in each Subs, Thus, 12 Windows VM. 
Azure DevOps Agent. Using same cost center and project code from CommonDevOps (Azure DevOps services bill tagged)</x:t>
  </x:si>
  <x:si>
    <x:t xml:space="preserve">new ADO WE</x:t>
  </x:si>
  <x:si>
    <x:t xml:space="preserve">REQ000007913365</x:t>
  </x:si>
  <x:si>
    <x:t xml:space="preserve">6f125514-d21d-4733-9965-a181b6199525</x:t>
  </x:si>
  <x:si>
    <x:t xml:space="preserve">5eddc4bf-6658-4932-81e4-4f51bfcf6b77</x:t>
  </x:si>
  <x:si>
    <x:t xml:space="preserve">CSSP10505264</x:t>
  </x:si>
  <x:si>
    <x:t xml:space="preserve">Compute Name: PDB-CAD-NUR AINA ALIYAH
Assign To: Nur Aina Aliyah Yusry Effendy (CAD/PDB)
Virtual Machine Size: Standard_D4s_v3 4 cores, 16GB RAM, 32GB storage
Auto Shut Down Schedule: 60 minutes</x:t>
  </x:si>
  <x:si>
    <x:t xml:space="preserve">To comply with the Cloud Service Request and Provisioning Guideline v4.0, kindly provide the approved CS BIA, SOW/HLD and Estimate Cost (in excel file downloaded from Azure/AWS calculator website portal) as supporting evidence.</x:t>
  </x:si>
  <x:si>
    <x:t xml:space="preserve">3c3b3712-3078-4079-977d-361f5eeceb58</x:t>
  </x:si>
  <x:si>
    <x:t xml:space="preserve">CSSP10772786</x:t>
  </x:si>
  <x:si>
    <x:t xml:space="preserve">ERMAI</x:t>
  </x:si>
  <x:si>
    <x:t xml:space="preserve">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x:t>
  </x:si>
  <x:si>
    <x:t xml:space="preserve">Approved as per acknowledgement by business PM (M Faizal B A Rahim)</x:t>
  </x:si>
  <x:si>
    <x:t xml:space="preserve">upsize</x:t>
  </x:si>
  <x:si>
    <x:t xml:space="preserve">REQ000007924665</x:t>
  </x:si>
  <x:si>
    <x:t xml:space="preserve">5863a8c2-1f97-4aab-9158-0ada19ce8b61</x:t>
  </x:si>
  <x:si>
    <x:t xml:space="preserve">cbb7b077-d8cf-41e4-892e-e6bac1d707d3</x:t>
  </x:si>
  <x:si>
    <x:t xml:space="preserve">CSSP10604853</x:t>
  </x:si>
  <x:si>
    <x:t xml:space="preserve">To add private endpoint for ptsg-1mfrswb01. As part of cyber security initiative to remove MFRS from public facing.</x:t>
  </x:si>
  <x:si>
    <x:t xml:space="preserve">PE. OLZ, clickops</x:t>
  </x:si>
  <x:si>
    <x:t xml:space="preserve">The new function apps have been created (ptazsg-1hipsdiuauc)</x:t>
  </x:si>
  <x:si>
    <x:t xml:space="preserve">REQ000007913285</x:t>
  </x:si>
  <x:si>
    <x:t xml:space="preserve">f9b1ea22-2e56-44a1-8e04-89cf16f7a673</x:t>
  </x:si>
  <x:si>
    <x:t xml:space="preserve">61efcb3f-4264-4f7d-876c-fcf42812205e</x:t>
  </x:si>
  <x:si>
    <x:t xml:space="preserve">CSSP10479891</x:t>
  </x:si>
  <x:si>
    <x:t xml:space="preserve">To upgrade these servers resources PTSG-1IVMDMAP01 &amp; PTSG-1IVMDMAP02
Current -  Standard E8ds v4 (8 vcpus, 64 GiB memory). C Disk - 127 GiB
Upgrade to - 1 B32as v2 (32 vCPUs, 128 GB RAM), C Disk - 512 GiB</x:t>
  </x:si>
  <x:si>
    <x:t xml:space="preserve">ICT_RFC00219829</x:t>
  </x:si>
  <x:si>
    <x:t xml:space="preserve">rfc scheduled</x:t>
  </x:si>
  <x:si>
    <x:t xml:space="preserve">replaced with CSSP10479891. no longer required</x:t>
  </x:si>
  <x:si>
    <x:t xml:space="preserve">REQ000007896454</x:t>
  </x:si>
  <x:si>
    <x:t xml:space="preserve">6b84a122-259b-46bd-baed-e50d61a4a220</x:t>
  </x:si>
  <x:si>
    <x:t xml:space="preserve">CSSP10519899</x:t>
  </x:si>
  <x:si>
    <x:t xml:space="preserve">princy.rajpoot@petronas.com</x:t>
  </x:si>
  <x:si>
    <x:t xml:space="preserve">C-000011</x:t>
  </x:si>
  <x:si>
    <x:t xml:space="preserve">Common IAC Landing Zone</x:t>
  </x:si>
  <x:si>
    <x:t xml:space="preserve">00915_120</x:t>
  </x:si>
  <x:si>
    <x:t xml:space="preserve">Cloud Migration Azure Infrastructure for New Landing Zone</x:t>
  </x:si>
  <x:si>
    <x:t xml:space="preserve">PETRONAS Cloud Repatriation for Azure</x:t>
  </x:si>
  <x:si>
    <x:t xml:space="preserve">Cloud Repatriation for PE&amp;T (Azure Migration) - Need 1 shared VM with Domain Join to copy the data from Singapore region to Malaysia Region</x:t>
  </x:si>
  <x:si>
    <x:t xml:space="preserve">Data Migration for Repat Program.</x:t>
  </x:si>
  <x:si>
    <x:t xml:space="preserve">confirmed by haslan</x:t>
  </x:si>
  <x:si>
    <x:t xml:space="preserve">Repat. Common Cloud.</x:t>
  </x:si>
  <x:si>
    <x:t xml:space="preserve">resource provisioned</x:t>
  </x:si>
  <x:si>
    <x:t xml:space="preserve">REQ000007893088</x:t>
  </x:si>
  <x:si>
    <x:t xml:space="preserve">37299f6e-7a66-4e9b-be43-dc387a66f1ca</x:t>
  </x:si>
  <x:si>
    <x:t xml:space="preserve">17b1e930-ca35-4c2f-bd05-8c434dfda17a</x:t>
  </x:si>
  <x:si>
    <x:t xml:space="preserve">CSSP10859404</x:t>
  </x:si>
  <x:si>
    <x:t xml:space="preserve">Cloud Repatriation for PE&amp;T (Azure Migration) - For PROD -  Need 1 shared VM  with Domain Join to copy the data from Singapore region to Malaysia Region</x:t>
  </x:si>
  <x:si>
    <x:t xml:space="preserve">request already completed. closing on behalf of mhaslan.abuhassan@petronas.com</x:t>
  </x:si>
  <x:si>
    <x:t xml:space="preserve">REQ000007893524</x:t>
  </x:si>
  <x:si>
    <x:t xml:space="preserve">b0118029-5224-4da9-b529-9d375682b6c1</x:t>
  </x:si>
  <x:si>
    <x:t xml:space="preserve">CSSP10551255</x:t>
  </x:si>
  <x:si>
    <x:t xml:space="preserve">A-000558</x:t>
  </x:si>
  <x:si>
    <x:t xml:space="preserve">PETRONAS Global Website</x:t>
  </x:si>
  <x:si>
    <x:t xml:space="preserve">SR25012</x:t>
  </x:si>
  <x:si>
    <x:t xml:space="preserve">Mitigation of Cyber Security Risk &amp; Application Compatibility Issue for PETRONAS Global Website​</x:t>
  </x:si>
  <x:si>
    <x:t xml:space="preserve">Petronas Global Website (Petronas.com)</x:t>
  </x:si>
  <x:si>
    <x:t xml:space="preserve">Please provision resources in Malaysia West region. OS=RHEL, MySQL=MySQL version 5.7</x:t>
  </x:si>
  <x:si>
    <x:t xml:space="preserve">.CSSP10551255 - CSSP10816410</x:t>
  </x:si>
  <x:si>
    <x:t xml:space="preserve">mfirdaus.fadlizam@petronas.com</x:t>
  </x:si>
  <x:si>
    <x:t xml:space="preserve">REQ000007897689</x:t>
  </x:si>
  <x:si>
    <x:t xml:space="preserve">65bb69e6-e2a4-4641-86ef-72c8f0b8f4a0</x:t>
  </x:si>
  <x:si>
    <x:t xml:space="preserve">1f464361-26f7-4497-9e2c-07b5c2fe95d5</x:t>
  </x:si>
  <x:si>
    <x:t xml:space="preserve">CSSP10816410</x:t>
  </x:si>
  <x:si>
    <x:t xml:space="preserve">Please provision in Malaysia west region. OS=RHEL, MySQL=MySQL version 5.7</x:t>
  </x:si>
  <x:si>
    <x:t xml:space="preserve">approve to deploy</x:t>
  </x:si>
  <x:si>
    <x:t xml:space="preserve">CSSP10551255 - CSSP10816410</x:t>
  </x:si>
  <x:si>
    <x:t xml:space="preserve">REQ000007897690</x:t>
  </x:si>
  <x:si>
    <x:t xml:space="preserve">677a1d80-45ea-4879-92f5-3ba20754373a</x:t>
  </x:si>
  <x:si>
    <x:t xml:space="preserve">CSSP10789839</x:t>
  </x:si>
  <x:si>
    <x:t xml:space="preserve">sharonie.loris@petronas.com</x:t>
  </x:si>
  <x:si>
    <x:t xml:space="preserve">A-001322</x:t>
  </x:si>
  <x:si>
    <x:t xml:space="preserve">RADIAN</x:t>
  </x:si>
  <x:si>
    <x:t xml:space="preserve">SR10734</x:t>
  </x:si>
  <x:si>
    <x:t xml:space="preserve">Real-Time Advisory &amp; Drilling Insight via Artificial Neural Intelligence (RADIAN) for 
Wells formerly known HSPM</x:t>
  </x:si>
  <x:si>
    <x:t xml:space="preserve">nurshida.czakaria@petronas.com.my</x:t>
  </x:si>
  <x:si>
    <x:t xml:space="preserve">Request to provision cloud infrastructure</x:t>
  </x:si>
  <x:si>
    <x:t xml:space="preserve">nurshida.czakaria@petronas.com</x:t>
  </x:si>
  <x:si>
    <x:t xml:space="preserve">Good to go. Provisioned in Azure Malaysia West</x:t>
  </x:si>
  <x:si>
    <x:t xml:space="preserve">AKS, west malaysia</x:t>
  </x:si>
  <x:si>
    <x:t xml:space="preserve">REQ000007909917</x:t>
  </x:si>
  <x:si>
    <x:t xml:space="preserve">4e9ba02b-45f5-40b0-8fda-a54588d5903e</x:t>
  </x:si>
  <x:si>
    <x:t xml:space="preserve">549ea1ee-3470-4df0-8809-b9825d7db38b</x:t>
  </x:si>
  <x:si>
    <x:t xml:space="preserve">CSSP10722868</x:t>
  </x:si>
  <x:si>
    <x:t xml:space="preserve">Request to provision cloud infrastructure for production environment</x:t>
  </x:si>
  <x:si>
    <x:t xml:space="preserve">Has created the resources in PTAZMY-IAC-PROD-RADIAN-RG:
ptazmy-1radianaks01
ptazmy-1radiansvr01
ptazmy1radstrg1
ptazmy-1radiankv01
ptazmy1radianacr01
ptazmy-1radian-disk01
ptazmy-1radian-disk02
ptazmy-1radian-disk03
ptazmy-1radian-disk04
ptazmy-1radian-disk05</x:t>
  </x:si>
  <x:si>
    <x:t xml:space="preserve">REQ000007910453</x:t>
  </x:si>
  <x:si>
    <x:t xml:space="preserve">f58b87f5-3a93-4b5b-95bf-ce91e892ebdd</x:t>
  </x:si>
  <x:si>
    <x:t xml:space="preserve">CSSP10120195</x:t>
  </x:si>
  <x:si>
    <x:t xml:space="preserve">tarun.shar@petronas.com</x:t>
  </x:si>
  <x:si>
    <x:t xml:space="preserve">Cloud Repatriation for UPSTREAM (Azure Migration) - Need 1 shared VM with Domain Join to copy the data from Singapore region to Malaysia Region.</x:t>
  </x:si>
  <x:si>
    <x:t xml:space="preserve">For repat program.</x:t>
  </x:si>
  <x:si>
    <x:t xml:space="preserve">CSSP10931399 CSSP10120195</x:t>
  </x:si>
  <x:si>
    <x:t xml:space="preserve">REQ000007927316</x:t>
  </x:si>
  <x:si>
    <x:t xml:space="preserve">1e43c1cc-e547-4092-bfca-30d6f3f4a679</x:t>
  </x:si>
  <x:si>
    <x:t xml:space="preserve">CSSP10940354</x:t>
  </x:si>
  <x:si>
    <x:t xml:space="preserve">amit.manchanda@petronas.com</x:t>
  </x:si>
  <x:si>
    <x:t xml:space="preserve">Cloud Repatriation for Corporate (Azure Migration) - Need 1 shared VM with Domain Join to copy the data from Singapore region to Malaysia Region.</x:t>
  </x:si>
  <x:si>
    <x:t xml:space="preserve">CSSP10940354 CSSP10940354</x:t>
  </x:si>
  <x:si>
    <x:t xml:space="preserve">REQ000007928317</x:t>
  </x:si>
  <x:si>
    <x:t xml:space="preserve">f84dddd5-2959-43e0-a2fd-1963a4aa4506</x:t>
  </x:si>
  <x:si>
    <x:t xml:space="preserve">CSSP10297682</x:t>
  </x:si>
  <x:si>
    <x:t xml:space="preserve">A-001307</x:t>
  </x:si>
  <x:si>
    <x:t xml:space="preserve">Azure Machine Learning - PRPC</x:t>
  </x:si>
  <x:si>
    <x:t xml:space="preserve">Run &amp; Maintain Citizen Analytics Use Cases for PRPC</x:t>
  </x:si>
  <x:si>
    <x:t xml:space="preserve">khairulnizam.bahari@petronas.com.my</x:t>
  </x:si>
  <x:si>
    <x:t xml:space="preserve">Citizen-Analytics</x:t>
  </x:si>
  <x:si>
    <x:t xml:space="preserve">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x:t>
  </x:si>
  <x:si>
    <x:t xml:space="preserve">to provision compute instance for the new member from PRPC M Rafiq Ramlee</x:t>
  </x:si>
  <x:si>
    <x:t xml:space="preserve">ML Compute. DAA.</x:t>
  </x:si>
  <x:si>
    <x:t xml:space="preserve">ETP-Rafiq - PTAZSG-1CA-ETP-AERATION
CWP-Rafiq - PTAZSG-1CA-COOL-WTR-PUMP
ODOR-Rafiq - PTAZSG-1CA-ODOR-PRED</x:t>
  </x:si>
  <x:si>
    <x:t xml:space="preserve">REQ000007913362</x:t>
  </x:si>
  <x:si>
    <x:t xml:space="preserve">175979a6-0134-4d4e-b3f1-5ff77e1fdf7f</x:t>
  </x:si>
  <x:si>
    <x:t xml:space="preserve">c58436d1-93f3-4853-b557-138f409babe1</x:t>
  </x:si>
  <x:si>
    <x:t xml:space="preserve">CSSP10328144</x:t>
  </x:si>
  <x:si>
    <x:t xml:space="preserve">marash.pakhrurraz@petronas.com</x:t>
  </x:si>
  <x:si>
    <x:t xml:space="preserve">noraini.abdjalil@petronas.com.my</x:t>
  </x:si>
  <x:si>
    <x:t xml:space="preserve">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t>
  </x:si>
  <x:si>
    <x:t xml:space="preserve">Approved. Please proceed.</x:t>
  </x:si>
  <x:si>
    <x:t xml:space="preserve">Approved. Provision 2 EC2 instance with Ubuntu 24.04 and 2 load balancers</x:t>
  </x:si>
  <x:si>
    <x:t xml:space="preserve">deploy aws and ec2 resource. may refer existing code for ec2 and lb configuration.</x:t>
  </x:si>
  <x:si>
    <x:t xml:space="preserve">REQ000007921958</x:t>
  </x:si>
  <x:si>
    <x:t xml:space="preserve">fd805707-8c2f-4024-8fa1-3922b9448344</x:t>
  </x:si>
  <x:si>
    <x:t xml:space="preserve">CSSP10931399</x:t>
  </x:si>
  <x:si>
    <x:t xml:space="preserve">REQ000007927315</x:t>
  </x:si>
  <x:si>
    <x:t xml:space="preserve">43616fc9-592e-426c-a9bf-c7cffd8a944a</x:t>
  </x:si>
  <x:si>
    <x:t xml:space="preserve">CSSP10391617</x:t>
  </x:si>
  <x:si>
    <x:t xml:space="preserve">Cloud Repatriation for CORPORATE (Azure Migration) - For PROD - Need 1 shared VM with Domain Join to copy the data from Singapore region to Malaysia Region</x:t>
  </x:si>
  <x:si>
    <x:t xml:space="preserve">REQ000007928248</x:t>
  </x:si>
  <x:si>
    <x:t xml:space="preserve">53e088bd-0315-4c06-9c35-dec15452a29f</x:t>
  </x:si>
  <x:si>
    <x:t xml:space="preserve">CSSP10196936</x:t>
  </x:si>
  <x:si>
    <x:t xml:space="preserve">To provision 1 VM for (Azure Data Factory) ADF integration run time for data loading, transformation and ingestion. Alpha Oil required to setup ADF to replace Talend for their data processor.</x:t>
  </x:si>
  <x:si>
    <x:t xml:space="preserve">Approved. Provision VM under PTAZSG-IAC-DEV-ALPHA-OIL-RG</x:t>
  </x:si>
  <x:si>
    <x:t xml:space="preserve">1x VM</x:t>
  </x:si>
  <x:si>
    <x:t xml:space="preserve">REQ000007917534</x:t>
  </x:si>
  <x:si>
    <x:t xml:space="preserve">e1de3770-b2a1-4489-85af-04ac4a4c581a</x:t>
  </x:si>
  <x:si>
    <x:t xml:space="preserve">CSSP10535228</x:t>
  </x:si>
  <x:si>
    <x:t xml:space="preserve">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x:t>
  </x:si>
  <x:si>
    <x:t xml:space="preserve">compute instance for the new resource under En Azman's team.</x:t>
  </x:si>
  <x:si>
    <x:t xml:space="preserve">ML</x:t>
  </x:si>
  <x:si>
    <x:t xml:space="preserve">Compute created.</x:t>
  </x:si>
  <x:si>
    <x:t xml:space="preserve">REQ000007928353</x:t>
  </x:si>
  <x:si>
    <x:t xml:space="preserve">b532da1e-5ea3-4c5b-ad1b-50e3455fdab1</x:t>
  </x:si>
  <x:si>
    <x:t xml:space="preserve">CSSP10447421</x:t>
  </x:si>
  <x:si>
    <x:t xml:space="preserve">ESTRELLA: Migration of Plant Information (PI) System for Vestigo Operatorship Transfer, PI Server Hard Drive Upgrade</x:t>
  </x:si>
  <x:si>
    <x:t xml:space="preserve">ICT_RFC00219906</x:t>
  </x:si>
  <x:si>
    <x:t xml:space="preserve">Project requirement.</x:t>
  </x:si>
  <x:si>
    <x:t xml:space="preserve">rfc, 03/16/2026 10:00:00 PM. AWS.</x:t>
  </x:si>
  <x:si>
    <x:t xml:space="preserve">requestor cancelled due to change in plan and spec.</x:t>
  </x:si>
  <x:si>
    <x:t xml:space="preserve">REQ000007925432</x:t>
  </x:si>
  <x:si>
    <x:t xml:space="preserve">5b7bbbc1-4eda-4abb-b3a0-6d660db246a8</x:t>
  </x:si>
  <x:si>
    <x:t xml:space="preserve">CSSP10489794</x:t>
  </x:si>
  <x:si>
    <x:t xml:space="preserve">P-000007</x:t>
  </x:si>
  <x:si>
    <x:t xml:space="preserve">Outsystem - Citizen Developer Program</x:t>
  </x:si>
  <x:si>
    <x:t xml:space="preserve">PC-00034</x:t>
  </x:si>
  <x:si>
    <x:t xml:space="preserve">Citizen Developer Program - OutSystems Standard edition (150 AOs)</x:t>
  </x:si>
  <x:si>
    <x:t xml:space="preserve">Citizen Developer Program</x:t>
  </x:si>
  <x:si>
    <x:t xml:space="preserve">Dashboard for cost recovery. Amazon EC2 1 instance. Windows Server. t3.2xlarge. EBS Storage 10 GB</x:t>
  </x:si>
  <x:si>
    <x:t xml:space="preserve">ec2 x1. new.</x:t>
  </x:si>
  <x:si>
    <x:t xml:space="preserve">Request completed and email has been sent for verification.</x:t>
  </x:si>
  <x:si>
    <x:t xml:space="preserve">REQ000007927046</x:t>
  </x:si>
  <x:si>
    <x:t xml:space="preserve">d06714b8-6137-414d-b0ca-dc58ccfe404a</x:t>
  </x:si>
  <x:si>
    <x:t xml:space="preserve">52b36a76-7e00-49d6-a9da-5b10a07aeda5</x:t>
  </x:si>
  <x:si>
    <x:t xml:space="preserve">CSSP10732023</x:t>
  </x:si>
  <x:si>
    <x:t xml:space="preserve">PHOENIX Technology Modernisation</x:t>
  </x:si>
  <x:si>
    <x:t xml:space="preserve">Phoenix Tech mod P50 DB VM upgrade</x:t>
  </x:si>
  <x:si>
    <x:t xml:space="preserve">ICT_RFC00219889</x:t>
  </x:si>
  <x:si>
    <x:t xml:space="preserve">Phoenix Dress Rehersal</x:t>
  </x:si>
  <x:si>
    <x:t xml:space="preserve">Approved for P50</x:t>
  </x:si>
  <x:si>
    <x:t xml:space="preserve">VM upgrade to E96ds. clickops.</x:t>
  </x:si>
  <x:si>
    <x:t xml:space="preserve">PTSG-1PDBdb01 and PTSG-1PDBdb02 have been upgraded to Standard E96ds v5 (96 vCPU and 672 GiB memory). It is the highest available E series class available.</x:t>
  </x:si>
  <x:si>
    <x:t xml:space="preserve">REQ000007918425</x:t>
  </x:si>
  <x:si>
    <x:t xml:space="preserve">23f8d636-6c6b-4ae6-97b1-490b7f9db028</x:t>
  </x:si>
  <x:si>
    <x:t xml:space="preserve">012e7efc-80f7-4b03-9717-1a9c6a3b4ee2</x:t>
  </x:si>
  <x:si>
    <x:t xml:space="preserve">CSSP10398565</x:t>
  </x:si>
  <x:si>
    <x:t xml:space="preserve">The dev resources are already provisioned so this request is to provision the UAT resources</x:t>
  </x:si>
  <x:si>
    <x:t xml:space="preserve">Same as Dev so COC can proceed to provision for UAT/Prod</x:t>
  </x:si>
  <x:si>
    <x:t xml:space="preserve">databricks.</x:t>
  </x:si>
  <x:si>
    <x:t xml:space="preserve">REQ000007927043</x:t>
  </x:si>
  <x:si>
    <x:t xml:space="preserve">df1258b4-cf59-4e94-9341-daa35a947f0b</x:t>
  </x:si>
  <x:si>
    <x:t xml:space="preserve">CSSP10114358</x:t>
  </x:si>
  <x:si>
    <x:t xml:space="preserve">The dev resources are already provisioned so this request is to provision the PROD resources</x:t>
  </x:si>
  <x:si>
    <x:t xml:space="preserve">REQ000007927042</x:t>
  </x:si>
  <x:si>
    <x:t xml:space="preserve">c770e32d-5625-43af-a7fb-d5258685d9f4</x:t>
  </x:si>
  <x:si>
    <x:t xml:space="preserve">CSSP10448286</x:t>
  </x:si>
  <x:si>
    <x:t xml:space="preserve">Refer previous approved CSSP10479891, re-raised to update sku and estimate. 
To upgrade these servers resources PTSG-1IVMDMAP01 &amp; PTSG-1IVMDMAP02:
Current -  Standard E8ds v4
Upgrade to - E16s v3</x:t>
  </x:si>
  <x:si>
    <x:t xml:space="preserve">ICT_RFC00220099</x:t>
  </x:si>
  <x:si>
    <x:t xml:space="preserve">cc9cf246-3e93-466f-953c-a2886069963a</x:t>
  </x:si>
  <x:si>
    <x:t xml:space="preserve">CSSP10683664</x:t>
  </x:si>
  <x:si>
    <x:t xml:space="preserve">rusnani.mamat@petronas.com</x:t>
  </x:si>
  <x:si>
    <x:t xml:space="preserve">A-000031</x:t>
  </x:si>
  <x:si>
    <x:t xml:space="preserve">Augmented Gas Nomination Ecosystem - AGNES</x:t>
  </x:si>
  <x:si>
    <x:t xml:space="preserve">Establishment of Augmented Gas Nomination EcoSystem (AGNES) DevSecOps for Malaysia Petroleum Management (MPM)</x:t>
  </x:si>
  <x:si>
    <x:t xml:space="preserve">faradina.mohamed@petronas.com.my</x:t>
  </x:si>
  <x:si>
    <x:t xml:space="preserve">Establishment of AGNES DevSecOps for MPM</x:t>
  </x:si>
  <x:si>
    <x:t xml:space="preserve">AGNES is an existing system application. This request is for new provisioning for AGNES Run&amp;Maintain.</x:t>
  </x:si>
  <x:si>
    <x:t xml:space="preserve">approved to provision</x:t>
  </x:si>
  <x:si>
    <x:t xml:space="preserve">faradina.mohamed@petronas.com</x:t>
  </x:si>
  <x:si>
    <x:t xml:space="preserve">Kindly provide the estimated cost in Excel format (including the required SKU specifications), downloaded from the Azure/AWS calculator website.</x:t>
  </x:si>
  <x:si>
    <x:t xml:space="preserve">a3f54c5f-6942-4740-96ec-b35604ec2ace</x:t>
  </x:si>
  <x:si>
    <x:t xml:space="preserve">0fbb821f-d649-401a-bd3e-295f0eab46bc</x:t>
  </x:si>
  <x:si>
    <x:t xml:space="preserve">CSSP10958937</x:t>
  </x:si>
  <x:si>
    <x:t xml:space="preserve">myProcure DevOps - Support</x:t>
  </x:si>
  <x:si>
    <x:t xml:space="preserve">Resources group : PTAZSG-IAC-DEV-GPDATA-RG
Security Group : GP_POC_SG</x:t>
  </x:si>
  <x:si>
    <x:t xml:space="preserve">to close request first while waiting for another resource to completed</x:t>
  </x:si>
  <x:si>
    <x:t xml:space="preserve">REQ000007933192</x:t>
  </x:si>
  <x:si>
    <x:t xml:space="preserve">b5606a96-441e-48fe-ab6e-881a6eb72c27</x:t>
  </x:si>
  <x:si>
    <x:t xml:space="preserve">de291346-4740-49d5-bbbb-9700eee39b66</x:t>
  </x:si>
  <x:si>
    <x:t xml:space="preserve">CSSP10354764</x:t>
  </x:si>
  <x:si>
    <x:t xml:space="preserve">Request for new server for existing application</x:t>
  </x:si>
  <x:si>
    <x:t xml:space="preserve">Request for StagingUat DB environment for AGNES</x:t>
  </x:si>
  <x:si>
    <x:t xml:space="preserve">database</x:t>
  </x:si>
  <x:si>
    <x:t xml:space="preserve">REQ000007960183</x:t>
  </x:si>
  <x:si>
    <x:t xml:space="preserve">fe4c57d6-dd6d-4392-8b5b-c2f3c85bb18d</x:t>
  </x:si>
  <x:si>
    <x:t xml:space="preserve">CSSP10205245</x:t>
  </x:si>
  <x:si>
    <x:t xml:space="preserve">Refer previous approved CSSP10479891, re-raised to update sku and estimate. To upgrade these servers resources PTSG-1IVMDMAP01 &amp; PTSG-1IVMDMAP02. Current -  Standard E8ds v4. Upgrade to - E16s v3.</x:t>
  </x:si>
  <x:si>
    <x:t xml:space="preserve">Approved for the upgrade.</x:t>
  </x:si>
  <x:si>
    <x:t xml:space="preserve">RFC, OLZ, 13 March 2026</x:t>
  </x:si>
  <x:si>
    <x:t xml:space="preserve">REQ000007925112</x:t>
  </x:si>
  <x:si>
    <x:t xml:space="preserve">f27582cc-2e87-4f13-b755-daf66667a8e4</x:t>
  </x:si>
  <x:si>
    <x:t xml:space="preserve">CSSP10900651</x:t>
  </x:si>
  <x:si>
    <x:t xml:space="preserve">nurulemira.jalaluddi@petronas.com</x:t>
  </x:si>
  <x:si>
    <x:t xml:space="preserve">00859_1</x:t>
  </x:si>
  <x:si>
    <x:t xml:space="preserve">Upstream Model Management</x:t>
  </x:si>
  <x:si>
    <x:t xml:space="preserve">To upgrade the server resource PTSG-1IVMDMAP03. Current - Standard E8ds v4. Upgrade to - E16s v3.</x:t>
  </x:si>
  <x:si>
    <x:t xml:space="preserve">Approved as part of operational requirement to Upgrade the server resource.</x:t>
  </x:si>
  <x:si>
    <x:t xml:space="preserve">olz</x:t>
  </x:si>
  <x:si>
    <x:t xml:space="preserve">Pending RFC, will proceed once approve</x:t>
  </x:si>
  <x:si>
    <x:t xml:space="preserve">REQ000007984507</x:t>
  </x:si>
  <x:si>
    <x:t xml:space="preserve">963ea52f-6351-4b1a-96d8-a8442114967a</x:t>
  </x:si>
  <x:si>
    <x:t xml:space="preserve">cff5a88b-5a77-4daa-acd1-7d599baa23e8</x:t>
  </x:si>
  <x:si>
    <x:t xml:space="preserve">CSSP10573691</x:t>
  </x:si>
  <x:si>
    <x:t xml:space="preserve">mengsiang.ta@petronas.com</x:t>
  </x:si>
  <x:si>
    <x:t xml:space="preserve">A-001273</x:t>
  </x:si>
  <x:si>
    <x:t xml:space="preserve">Meeting Experience System - MEET</x:t>
  </x:si>
  <x:si>
    <x:t xml:space="preserve">Meeting Experience System (MEET) Enhancement</x:t>
  </x:si>
  <x:si>
    <x:t xml:space="preserve">Petronas Visitor Management System</x:t>
  </x:si>
  <x:si>
    <x:t xml:space="preserve">to provision new Azure Front Door for REAL Applications to connect to the Private Azure Storage</x:t>
  </x:si>
  <x:si>
    <x:t xml:space="preserve">small.</x:t>
  </x:si>
  <x:si>
    <x:t xml:space="preserve">REQ000007943240</x:t>
  </x:si>
  <x:si>
    <x:t xml:space="preserve">c2d31433-d14e-4d91-90d2-b63326245a43</x:t>
  </x:si>
  <x:si>
    <x:t xml:space="preserve">0af23e8c-a3c7-40e1-b02b-fc911499979f</x:t>
  </x:si>
  <x:si>
    <x:t xml:space="preserve">CSSP10418243</x:t>
  </x:si>
  <x:si>
    <x:t xml:space="preserve">A-000486</x:t>
  </x:si>
  <x:si>
    <x:t xml:space="preserve">MyMILLORA</x:t>
  </x:si>
  <x:si>
    <x:t xml:space="preserve">myMILLORA ‐ PD&amp;T One Stop Solution Offerings Platform (MVP 1) For Petroliam Nasional Berhad</x:t>
  </x:si>
  <x:si>
    <x:t xml:space="preserve">Request increase SQL Pool Size &amp; DB Size for myMILLORA Production DB to 1TB. Scale for upcoming bulk data migration requirement.</x:t>
  </x:si>
  <x:si>
    <x:t xml:space="preserve">ICT_RFC00220719</x:t>
  </x:si>
  <x:si>
    <x:t xml:space="preserve">upsize db</x:t>
  </x:si>
  <x:si>
    <x:t xml:space="preserve">REQ000007965931</x:t>
  </x:si>
  <x:si>
    <x:t xml:space="preserve">4e368d05-0609-4182-8d84-58829c78a96d</x:t>
  </x:si>
  <x:si>
    <x:t xml:space="preserve">186d91fc-61b1-4c73-9bcd-916d468eb9d1</x:t>
  </x:si>
  <x:si>
    <x:t xml:space="preserve">CSSP10906743</x:t>
  </x:si>
  <x:si>
    <x:t xml:space="preserve">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x:t>
  </x:si>
  <x:si>
    <x:t xml:space="preserve">This request is urgent as a remediation to address a cyber security incident happened on 10 March 2026. Please review and quickly assign to the PIC. We are targeting for the provision of the server before the Hari Raya Holiday, please. Thank you.</x:t>
  </x:si>
  <x:si>
    <x:t xml:space="preserve">Approved. Reprovsioning of EC2 to fix CS issue</x:t>
  </x:si>
  <x:si>
    <x:t xml:space="preserve">Provision 1 EC2 in Production AWS as requested.</x:t>
  </x:si>
  <x:si>
    <x:t xml:space="preserve">The ec2 has provisioned as below:
Hostname : PTAWSG-1MBRWB02
IP Address : 10.85.156.74</x:t>
  </x:si>
  <x:si>
    <x:t xml:space="preserve">REQ000007933139</x:t>
  </x:si>
  <x:si>
    <x:t xml:space="preserve">bc270a39-b0da-4dc4-b818-0ce70900a1bd</x:t>
  </x:si>
  <x:si>
    <x:t xml:space="preserve">CSSP10219795</x:t>
  </x:si>
  <x:si>
    <x:t xml:space="preserve">msyahir.mohamadzak@petronas.com</x:t>
  </x:si>
  <x:si>
    <x:t xml:space="preserve">A-001329</x:t>
  </x:si>
  <x:si>
    <x:t xml:space="preserve">Azure Machine Learning - PCIHBV</x:t>
  </x:si>
  <x:si>
    <x:t xml:space="preserve">SR25052</x:t>
  </x:si>
  <x:si>
    <x:t xml:space="preserve">Support, Services &amp; Subscription of Azure Machine Learning for Pipeline Pigging Frequency Prediction at PCIHBV</x:t>
  </x:si>
  <x:si>
    <x:t xml:space="preserve">Request to create Resource Group named "PTAZSG-IAC-DAA-PROD-UPSTREAM-PCIHBV-RG" in Production (PTAZSG-IAC-PROD-DAA ENVIRONMENT). Resources to be provisioned under this Resource Group: 
1. Azure Machine Learning Workspace named "PTAZSG-1CA-PIG-FREQ-PRED"
2. Compute cluster: 3 nodes</x:t>
  </x:si>
  <x:si>
    <x:t xml:space="preserve">Move Citizen Analytics solution to Production environment via SR25052</x:t>
  </x:si>
  <x:si>
    <x:t xml:space="preserve">Done.</x:t>
  </x:si>
  <x:si>
    <x:t xml:space="preserve">REQ000007960432</x:t>
  </x:si>
  <x:si>
    <x:t xml:space="preserve">d00550b3-7e5b-4f4a-b353-b0c5441a4fc7</x:t>
  </x:si>
  <x:si>
    <x:t xml:space="preserve">bb1dbd31-109d-4f86-a2f2-d6de4d90103b</x:t>
  </x:si>
  <x:si>
    <x:t xml:space="preserve">CSSP10488606</x:t>
  </x:si>
  <x:si>
    <x:t xml:space="preserve">Request to provision a new  development server for AGNES Database as part of AGNES Run &amp; Maintain scope, to support USDB to AGNES DB data migration.</x:t>
  </x:si>
  <x:si>
    <x:t xml:space="preserve">provisioning for DB Dev server, TQ</x:t>
  </x:si>
  <x:si>
    <x:t xml:space="preserve">CSSP10354764 - CSSP10488606 - AGNES</x:t>
  </x:si>
  <x:si>
    <x:t xml:space="preserve">REQ000007960492</x:t>
  </x:si>
  <x:si>
    <x:t xml:space="preserve">7090b274-ccb3-4900-b54a-776ee31f763f</x:t>
  </x:si>
  <x:si>
    <x:t xml:space="preserve">CSSP10900243</x:t>
  </x:si>
  <x:si>
    <x:t xml:space="preserve">ishwandi.akadir@petronas.com</x:t>
  </x:si>
  <x:si>
    <x:t xml:space="preserve">A-000493</x:t>
  </x:si>
  <x:si>
    <x:t xml:space="preserve">MyRISK</x:t>
  </x:si>
  <x:si>
    <x:t xml:space="preserve">[myRISK] Implementation of Integrated Risk Management System for Group Risk Management</x:t>
  </x:si>
  <x:si>
    <x:t xml:space="preserve">lena.boey@petronas.com.my</x:t>
  </x:si>
  <x:si>
    <x:t xml:space="preserve">myRisk Project</x:t>
  </x:si>
  <x:si>
    <x:t xml:space="preserve">Repat</x:t>
  </x:si>
  <x:si>
    <x:t xml:space="preserve">Azure Repat Requirement, to provision a Keyvault in RG PTAZMY-IAC-UAT-MYRISK-RG</x:t>
  </x:si>
  <x:si>
    <x:t xml:space="preserve">[System] Stage pre-approved for Cloud Repatriation project</x:t>
  </x:si>
  <x:si>
    <x:t xml:space="preserve">lena.boey@petronas.com</x:t>
  </x:si>
  <x:si>
    <x:t xml:space="preserve">be2b68e2-08ed-42b3-8760-aceba00d470c</x:t>
  </x:si>
  <x:si>
    <x:t xml:space="preserve">ddcdce05-f015-4f58-8d9c-4294428fe27e</x:t>
  </x:si>
  <x:si>
    <x:t xml:space="preserve">CSSP10732948</x:t>
  </x:si>
  <x:si>
    <x:t xml:space="preserve">sitisazreena.myusof@petronas.com</x:t>
  </x:si>
  <x:si>
    <x:t xml:space="preserve">A-001331</x:t>
  </x:si>
  <x:si>
    <x:t xml:space="preserve">Process Director for BRB</x:t>
  </x:si>
  <x:si>
    <x:t xml:space="preserve">SR00585</x:t>
  </x:si>
  <x:si>
    <x:t xml:space="preserve">Implementation of Invoice Processing for BRB</x:t>
  </x:si>
  <x:si>
    <x:t xml:space="preserve">sarabjeetsingh.meha@petronas.com.my</x:t>
  </x:si>
  <x:si>
    <x:t xml:space="preserve">SAP Project BRB</x:t>
  </x:si>
  <x:si>
    <x:t xml:space="preserve">PD Web Development Server for Invoice Processing implementation for BRB International.</x:t>
  </x:si>
  <x:si>
    <x:t xml:space="preserve">Approved for BRB Process Invoicing</x:t>
  </x:si>
  <x:si>
    <x:t xml:space="preserve">sarabjeetsingh.meha@petronas.com</x:t>
  </x:si>
  <x:si>
    <x:t xml:space="preserve">vm x2</x:t>
  </x:si>
  <x:si>
    <x:t xml:space="preserve">REQ000007966984</x:t>
  </x:si>
  <x:si>
    <x:t xml:space="preserve">32bf3704-001f-4f9d-bbfa-7974a79e112d</x:t>
  </x:si>
  <x:si>
    <x:t xml:space="preserve">190def84-4f5f-4f52-8c1b-a97229db3008</x:t>
  </x:si>
  <x:si>
    <x:t xml:space="preserve">CSSP10264005</x:t>
  </x:si>
  <x:si>
    <x:t xml:space="preserve">ahmadtarmezee.sham@petronas.com</x:t>
  </x:si>
  <x:si>
    <x:t xml:space="preserve">nuruddin.mansor@petronas.com.my</x:t>
  </x:si>
  <x:si>
    <x:t xml:space="preserve">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x:t>
  </x:si>
  <x:si>
    <x:t xml:space="preserve">nuruddin.mansor@petronas.com</x:t>
  </x:si>
  <x:si>
    <x:t xml:space="preserve">SPN request</x:t>
  </x:si>
  <x:si>
    <x:t xml:space="preserve">Refer to AD team for Service Principal provisioning.</x:t>
  </x:si>
  <x:si>
    <x:t xml:space="preserve">REQ000007961468</x:t>
  </x:si>
  <x:si>
    <x:t xml:space="preserve">2dc49972-cd40-43e3-80cf-8883b7a278df</x:t>
  </x:si>
  <x:si>
    <x:t xml:space="preserve">CSSP10308393</x:t>
  </x:si>
  <x:si>
    <x:t xml:space="preserve">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x:t>
  </x:si>
  <x:si>
    <x:t xml:space="preserve">REQ000007960479</x:t>
  </x:si>
  <x:si>
    <x:t xml:space="preserve">bb58609c-14ab-443c-bedf-6a50c6e8f18a</x:t>
  </x:si>
  <x:si>
    <x:t xml:space="preserve">CSSP10944972</x:t>
  </x:si>
  <x:si>
    <x:t xml:space="preserve">bob.jaliu@petronas.com</x:t>
  </x:si>
  <x:si>
    <x:t xml:space="preserve">A-001332</x:t>
  </x:si>
  <x:si>
    <x:t xml:space="preserve">Authorization For Expenditure Management System - AFEMS VESTIGO</x:t>
  </x:si>
  <x:si>
    <x:t xml:space="preserve">Estrella OT Vestigo AFEMS Implementation</x:t>
  </x:si>
  <x:si>
    <x:t xml:space="preserve">AFEMS</x:t>
  </x:si>
  <x:si>
    <x:t xml:space="preserve">Creating a replication of AFEMS for VPSB in MY data centre</x:t>
  </x:si>
  <x:si>
    <x:t xml:space="preserve">REQ000008004292</x:t>
  </x:si>
  <x:si>
    <x:t xml:space="preserve">86c503ed-3326-410f-be77-d501f00c226c</x:t>
  </x:si>
  <x:si>
    <x:t xml:space="preserve">381cefdb-8e2a-47e7-8923-9777c25f6934</x:t>
  </x:si>
  <x:si>
    <x:t xml:space="preserve">CSSP10903969</x:t>
  </x:si>
  <x:si>
    <x:t xml:space="preserve">Creating a replication of AFEMS for VPSB in MY data centre (UAT/Staging environment)</x:t>
  </x:si>
  <x:si>
    <x:t xml:space="preserve">provision new env.
CSSP10903969 - Staging
CSSP10944972 - Production</x:t>
  </x:si>
  <x:si>
    <x:t xml:space="preserve">REQ000007994604</x:t>
  </x:si>
  <x:si>
    <x:t xml:space="preserve">d837bcd4-9dd5-4b8e-8e54-9d9750002938</x:t>
  </x:si>
  <x:si>
    <x:t xml:space="preserve">CSSP10561171</x:t>
  </x:si>
  <x:si>
    <x:t xml:space="preserve">Provisioning of AWS Malaysia server.
Project - ESTRELLA: Migration of Plant Information (PI) System for Vestigo Operatorship Transfer</x:t>
  </x:si>
  <x:si>
    <x:t xml:space="preserve">As per project scope.</x:t>
  </x:si>
  <x:si>
    <x:t xml:space="preserve">1x EC2</x:t>
  </x:si>
  <x:si>
    <x:t xml:space="preserve">The ec2 has provision as detail here : 
AWS Account : PTAW-IAC-PROD-UpStream-Environment-01
Server name : PTAWMY-1VTGDB1
IP Address : 10.80.116.120</x:t>
  </x:si>
  <x:si>
    <x:t xml:space="preserve">REQ000007957440</x:t>
  </x:si>
  <x:si>
    <x:t xml:space="preserve">c0e8071a-6acb-4e58-953c-17df2bd7c66a</x:t>
  </x:si>
  <x:si>
    <x:t xml:space="preserve">CSSP10524027</x:t>
  </x:si>
  <x:si>
    <x:t xml:space="preserve">Provisioning for DB production server.</x:t>
  </x:si>
  <x:si>
    <x:t xml:space="preserve">to proceed obtaining PROD DB server for AGNES SKA (MPM-GT&amp;C)</x:t>
  </x:si>
  <x:si>
    <x:t xml:space="preserve">sql server x2.</x:t>
  </x:si>
  <x:si>
    <x:t xml:space="preserve">db prod server provisioned in prod rg</x:t>
  </x:si>
  <x:si>
    <x:t xml:space="preserve">REQ000007973461</x:t>
  </x:si>
  <x:si>
    <x:t xml:space="preserve">6ee44ecb-7c51-459e-82aa-e1ad65286ce9</x:t>
  </x:si>
  <x:si>
    <x:t xml:space="preserve">CSSP10922302</x:t>
  </x:si>
  <x:si>
    <x:t xml:space="preserve">A-000622</x:t>
  </x:si>
  <x:si>
    <x:t xml:space="preserve">PlanningSpace</x:t>
  </x:si>
  <x:si>
    <x:t xml:space="preserve">00915_249</x:t>
  </x:si>
  <x:si>
    <x:t xml:space="preserve">Cloud Migration-Planning Space</x:t>
  </x:si>
  <x:si>
    <x:t xml:space="preserve">Upstream Development Group Of Apps 2</x:t>
  </x:si>
  <x:si>
    <x:t xml:space="preserve">Require to provision Azure SQL DB for Planning Space 2.0 in this Resource Group: PTAZSG-IAC-DEV-PLAN-RG</x:t>
  </x:si>
  <x:si>
    <x:t xml:space="preserve">dev. sql single database,  sql server.</x:t>
  </x:si>
  <x:si>
    <x:t xml:space="preserve">REQ000007973465</x:t>
  </x:si>
  <x:si>
    <x:t xml:space="preserve">4f36fdd8-8a97-43a9-a559-a2d958b5285f</x:t>
  </x:si>
  <x:si>
    <x:t xml:space="preserve">74b739bc-65d6-4731-87f4-7181c8a1f9a9</x:t>
  </x:si>
  <x:si>
    <x:t xml:space="preserve">CSSP10479593</x:t>
  </x:si>
  <x:si>
    <x:t xml:space="preserve">mammarhaziq.amra@petronas.com</x:t>
  </x:si>
  <x:si>
    <x:t xml:space="preserve">A-000782</x:t>
  </x:si>
  <x:si>
    <x:t xml:space="preserve">Subsurface Sand Management and Rock Mechanics - SMRM</x:t>
  </x:si>
  <x:si>
    <x:t xml:space="preserve">Intelligent Sand Management System (iSAND) Enhancement for Malaysia Petroleum Management (MPM)</x:t>
  </x:si>
  <x:si>
    <x:t xml:space="preserve">ng.kokwan@petronas.com</x:t>
  </x:si>
  <x:si>
    <x:t xml:space="preserve">iSAND (Intelligent Sand Management System)</x:t>
  </x:si>
  <x:si>
    <x:t xml:space="preserve">1. Request to upgrade VM PTSG-1SMRMap01 in PTAZSG-IAC-DAA-PROD-SMRM-RG from B2s to D2s_v5 due to higher spec computing requirements.
2. Request to increase datadisk PTSG-1SMRMap01_DataDisk01 from 32gb to 64gb to accommodate storage.</x:t>
  </x:si>
  <x:si>
    <x:t xml:space="preserve">f9928342-9ca0-4aff-90a3-8216880b8e69</x:t>
  </x:si>
  <x:si>
    <x:t xml:space="preserve">58da446a-3d64-4f4b-ae14-dfead1fee681</x:t>
  </x:si>
  <x:si>
    <x:t xml:space="preserve">CSSP10339640</x:t>
  </x:si>
  <x:si>
    <x:t xml:space="preserve">Phoenix Tech mod P30 DB VM upgrade</x:t>
  </x:si>
  <x:si>
    <x:t xml:space="preserve">ICT_RFC00220127</x:t>
  </x:si>
  <x:si>
    <x:t xml:space="preserve">for S4HANA readiness</x:t>
  </x:si>
  <x:si>
    <x:t xml:space="preserve">rfc</x:t>
  </x:si>
  <x:si>
    <x:t xml:space="preserve">REQ000007965989</x:t>
  </x:si>
  <x:si>
    <x:t xml:space="preserve">cc1bad82-c5d9-409e-b5f0-e231f3f4551d</x:t>
  </x:si>
  <x:si>
    <x:t xml:space="preserve">6d8c86a9-eab7-4698-a876-34c81cf2b1bb</x:t>
  </x:si>
  <x:si>
    <x:t xml:space="preserve">CSSP10902778</x:t>
  </x:si>
  <x:si>
    <x:t xml:space="preserve">Request to add new item in provision cloud infrastructure</x:t>
  </x:si>
  <x:si>
    <x:t xml:space="preserve">Approved for RADIAN project.</x:t>
  </x:si>
  <x:si>
    <x:t xml:space="preserve">REQ000007980589</x:t>
  </x:si>
  <x:si>
    <x:t xml:space="preserve">20865d57-7c57-47da-9d3d-198bd8815b99</x:t>
  </x:si>
  <x:si>
    <x:t xml:space="preserve">CSSP10769881</x:t>
  </x:si>
  <x:si>
    <x:t xml:space="preserve">harsukhvir.godrei@petronas.com</x:t>
  </x:si>
  <x:si>
    <x:t xml:space="preserve">A-001334</x:t>
  </x:si>
  <x:si>
    <x:t xml:space="preserve">PETRONAS360 PRO</x:t>
  </x:si>
  <x:si>
    <x:t xml:space="preserve">PC-00087</x:t>
  </x:si>
  <x:si>
    <x:t xml:space="preserve">MS Fabric License for PETRONAS360 PRO POC</x:t>
  </x:si>
  <x:si>
    <x:t xml:space="preserve">yong.laiming@petronas.com.my</x:t>
  </x:si>
  <x:si>
    <x:t xml:space="preserve">PETRONAS360</x:t>
  </x:si>
  <x:si>
    <x:t xml:space="preserve">Require Fabric F2 license for POC to get Data agent</x:t>
  </x:si>
  <x:si>
    <x:t xml:space="preserve">POC on Microsoft co-pilot &amp; PETRONAS360</x:t>
  </x:si>
  <x:si>
    <x:t xml:space="preserve">yong.laiming@petronas.com</x:t>
  </x:si>
  <x:si>
    <x:t xml:space="preserve">deploy fabric license</x:t>
  </x:si>
  <x:si>
    <x:t xml:space="preserve">The fabric ptazsg5ptpropocfabric01 has been provisioned and assigned with F2 license</x:t>
  </x:si>
  <x:si>
    <x:t xml:space="preserve">REQ000007973305</x:t>
  </x:si>
  <x:si>
    <x:t xml:space="preserve">c4fec439-0b2c-4ce2-b258-61a1ee373d09</x:t>
  </x:si>
  <x:si>
    <x:t xml:space="preserve">4cfe86bc-f194-45f0-b422-3afa92653756</x:t>
  </x:si>
  <x:si>
    <x:t xml:space="preserve">CSSP10237634</x:t>
  </x:si>
  <x:si>
    <x:t xml:space="preserve">Request for Azure Data Factory (ADF) provisioning. ADF is needed to migrate the data from 1 SQL server to another SQL server. TQ</x:t>
  </x:si>
  <x:si>
    <x:t xml:space="preserve">require for temp data migration</x:t>
  </x:si>
  <x:si>
    <x:t xml:space="preserve">staging. + ADF and storage account.</x:t>
  </x:si>
  <x:si>
    <x:t xml:space="preserve">data factory provisioned</x:t>
  </x:si>
  <x:si>
    <x:t xml:space="preserve">REQ000007973298</x:t>
  </x:si>
  <x:si>
    <x:t xml:space="preserve">606cae02-87cc-435a-a299-bc2ea55f8ff8</x:t>
  </x:si>
  <x:si>
    <x:t xml:space="preserve">CSSP10397504</x:t>
  </x:si>
  <x:si>
    <x:t xml:space="preserve">Compute Name: PDB CAD - ALIYAH Assign to: Nur Aina Aliyah Yusry Effendy (nurainaaliyah.yusrye@petronas.com.my) Virtual Machine Size: Standard_DS15_v2 20 cores, 140 GB RAM, 280 GB disk) Scheduling Auto Shut Down: 60 minutes</x:t>
  </x:si>
  <x:si>
    <x:t xml:space="preserve">REQ000007980833</x:t>
  </x:si>
  <x:si>
    <x:t xml:space="preserve">7f738736-12b5-42c4-ba07-2a384bbbfd9c</x:t>
  </x:si>
  <x:si>
    <x:t xml:space="preserve">CSSP10104844</x:t>
  </x:si>
  <x:si>
    <x:t xml:space="preserve">Request for RAM upgrade for the myPROdata staging server from 32GB to 64 GB. Detail of server is as below;
Server environment: Staging App	
Server Name: PTSG-4ArcGisap1.PETRONAS.PETRONET.DIR	
IP Address: 172.25.52.193	
Hostname: PTSG-4ArcGisap1</x:t>
  </x:si>
  <x:si>
    <x:t xml:space="preserve">Please expedite to ensure operations are optimal.</x:t>
  </x:si>
  <x:si>
    <x:t xml:space="preserve">Approved. Upgrade RAM for only 1 server: PTSG-4ArcGisap1.PETRONAS.PETRONET.DIR in PTAZSG-UAT-ARCGIS-RG</x:t>
  </x:si>
  <x:si>
    <x:t xml:space="preserve">nonprod OLZ upgrade</x:t>
  </x:si>
  <x:si>
    <x:t xml:space="preserve">REQ000007978815</x:t>
  </x:si>
  <x:si>
    <x:t xml:space="preserve">e1f6d44d-4da1-47b2-b9e3-ad9012f64cba</x:t>
  </x:si>
  <x:si>
    <x:t xml:space="preserve">CSSP10326926</x:t>
  </x:si>
  <x:si>
    <x:t xml:space="preserve">mhelmi.abdaziz@petronas.com</x:t>
  </x:si>
  <x:si>
    <x:t xml:space="preserve">A-000510</x:t>
  </x:si>
  <x:si>
    <x:t xml:space="preserve">OASIS Infra provisioning</x:t>
  </x:si>
  <x:si>
    <x:t xml:space="preserve">izayu.ismail@petronas.com</x:t>
  </x:si>
  <x:si>
    <x:t xml:space="preserve">Provision of Infra for OASIS Modernization for PDB</x:t>
  </x:si>
  <x:si>
    <x:t xml:space="preserve">Azure Front Door is required as a public entry point to handle external eDM click‑tracking traffic, ensuring proper SSL termination and transparent forwarding to downstream services (SendGrid/Braze) to resolve current link unwrapping issues.</x:t>
  </x:si>
  <x:si>
    <x:t xml:space="preserve">Approved as per business confirmation email.</x:t>
  </x:si>
  <x:si>
    <x:t xml:space="preserve">frontdoor</x:t>
  </x:si>
  <x:si>
    <x:t xml:space="preserve">REQ000007980584</x:t>
  </x:si>
  <x:si>
    <x:t xml:space="preserve">613431ac-fd85-4e43-891e-042bf980fe35</x:t>
  </x:si>
  <x:si>
    <x:t xml:space="preserve">b2e0ff9c-eddc-4f40-b416-6a04a3120c8d</x:t>
  </x:si>
  <x:si>
    <x:t xml:space="preserve">CSSP10441441</x:t>
  </x:si>
  <x:si>
    <x:t xml:space="preserve">Add-on to CSSP10732948</x:t>
  </x:si>
  <x:si>
    <x:t xml:space="preserve">Approved as requirement</x:t>
  </x:si>
  <x:si>
    <x:t xml:space="preserve">CSSP10732948 (dev)
CSSP10441441 (prod)</x:t>
  </x:si>
  <x:si>
    <x:t xml:space="preserve">REQ000007984390</x:t>
  </x:si>
  <x:si>
    <x:t xml:space="preserve">4f7bc192-9e81-4a7a-8ee6-5a64c64cb158</x:t>
  </x:si>
  <x:si>
    <x:t xml:space="preserve">CSSP10663979</x:t>
  </x:si>
  <x:si>
    <x:t xml:space="preserve">arul.britto@petronas.com</x:t>
  </x:si>
  <x:si>
    <x:t xml:space="preserve">yap.winhong@petronas.com.my</x:t>
  </x:si>
  <x:si>
    <x:t xml:space="preserve">Request Azure Document Intelligence subscription, to extract content from PDF for market data</x:t>
  </x:si>
  <x:si>
    <x:t xml:space="preserve">yap.winhong@petronas.com</x:t>
  </x:si>
  <x:si>
    <x:t xml:space="preserve">To configure AWS Databrick workspace /26 per subnet</x:t>
  </x:si>
  <x:si>
    <x:t xml:space="preserve">REQ000008013554</x:t>
  </x:si>
  <x:si>
    <x:t xml:space="preserve">49eac9a9-80ed-42e0-9861-487e2db4c669</x:t>
  </x:si>
  <x:si>
    <x:t xml:space="preserve">CSSP10882869</x:t>
  </x:si>
  <x:si>
    <x:t xml:space="preserve">To provision Azure Container App &amp; Azure Managed Redis for enhancement of module of Rapid Scale Up in ERMAI. Please allow security group ERMAIDevTeam to access both Container App and Redis inside Staging environment.</x:t>
  </x:si>
  <x:si>
    <x:t xml:space="preserve">approved as discussed.</x:t>
  </x:si>
  <x:si>
    <x:t xml:space="preserve">CSSP10114358 &amp; CSSP10882869</x:t>
  </x:si>
  <x:si>
    <x:t xml:space="preserve">Complete provisioning</x:t>
  </x:si>
  <x:si>
    <x:t xml:space="preserve">REQ000008001687</x:t>
  </x:si>
  <x:si>
    <x:t xml:space="preserve">845993d7-d9a9-4675-ab49-df8f20699553</x:t>
  </x:si>
  <x:si>
    <x:t xml:space="preserve">To provision Azure Container App &amp; Azure Managed Redis for enhancement of module of Rapid Scale Up in ERMAI. Please allow security group ERMAIDevTeam to access both Container App and Redis inside Production environment.</x:t>
  </x:si>
  <x:si>
    <x:t xml:space="preserve">Container App / Redis</x:t>
  </x:si>
  <x:si>
    <x:t xml:space="preserve">REQ000008001685</x:t>
  </x:si>
  <x:si>
    <x:t xml:space="preserve">a86ffe31-d8c1-4c22-af8c-14a5919ab9d8</x:t>
  </x:si>
  <x:si>
    <x:t xml:space="preserve">CSSP10357340</x:t>
  </x:si>
  <x:si>
    <x:t xml:space="preserve">mhashimi.aris@petronas.com</x:t>
  </x:si>
  <x:si>
    <x:t xml:space="preserve">ananddutt.pande@petronas.com.my</x:t>
  </x:si>
  <x:si>
    <x:t xml:space="preserve">BIRA</x:t>
  </x:si>
  <x:si>
    <x:t xml:space="preserve">Kindly assist to perform storage expansion from 8TB to 10TB  BIRA storage for TRMS above threshold and impacting Prod Environment. Urgent request  Server type : Windows 2019 Server Server name : PTSG-1BIRADB01 IP Address : 172.25.204.22 Volume : F: Label:SQLVMDATA 068342FC</x:t>
  </x:si>
  <x:si>
    <x:t xml:space="preserve">ICT_RFC00221663</x:t>
  </x:si>
  <x:si>
    <x:t xml:space="preserve">Approved, as this is critical for Production env to work.</x:t>
  </x:si>
  <x:si>
    <x:t xml:space="preserve">ananddutt.pande@petronas.com</x:t>
  </x:si>
  <x:si>
    <x:t xml:space="preserve">Approved. Upgrade disk for server at PTAZSG-IAC-PROD-BIRA-RG. Please note that RFC is currently still in draft mode and not approved yet.</x:t>
  </x:si>
  <x:si>
    <x:t xml:space="preserve">execute storage</x:t>
  </x:si>
  <x:si>
    <x:t xml:space="preserve">REQ000007990812</x:t>
  </x:si>
  <x:si>
    <x:t xml:space="preserve">8f88cbcf-d8f7-44bc-bc09-e51d40ce3c7e</x:t>
  </x:si>
  <x:si>
    <x:t xml:space="preserve">791c8989-9231-45d0-b8d1-de14722402d6</x:t>
  </x:si>
  <x:si>
    <x:t xml:space="preserve">CSSP10542659</x:t>
  </x:si>
  <x:si>
    <x:t xml:space="preserve">This request to enable the 'Database Auto Grow' option for:
Subscription: PTAZSG-IAC-PROD ENVIRONMENT
Resource group: PTAZSG-IAC-PROD-COMPASS-RG
Server name: ptazsg-1compass-psql02
Endpoint: ptazsg-1compass-psql02.postgres.database.azure.com
End date (to disable after): 15th July 2026</x:t>
  </x:si>
  <x:si>
    <x:t xml:space="preserve">for setting up autogrow - approved</x:t>
  </x:si>
  <x:si>
    <x:t xml:space="preserve">enable config</x:t>
  </x:si>
  <x:si>
    <x:t xml:space="preserve">Completed - autogrow is enabled for ptazsg-1compass-psql02 and the server has updated successfully.</x:t>
  </x:si>
  <x:si>
    <x:t xml:space="preserve">REQ000008001893</x:t>
  </x:si>
  <x:si>
    <x:t xml:space="preserve">641df817-64a4-4b73-9b09-40860cd695fb</x:t>
  </x:si>
  <x:si>
    <x:t xml:space="preserve">CSSP10399247</x:t>
  </x:si>
  <x:si>
    <x:t xml:space="preserve">1. Request to upgrade VM PTSG-1SMRMap01 in PTAZSG-IAC-DAA-PROD-SMRM-RG from B2s to D2s_v5 due to higher spec computing requirements. 
2. Request to increase datadisk PTSG-1SMRMap01_DataDisk01 from 32gb to 64gb to accommodate storage.</x:t>
  </x:si>
  <x:si>
    <x:t xml:space="preserve">Increase resources due to increase in scope and workloads</x:t>
  </x:si>
  <x:si>
    <x:t xml:space="preserve">(1) For a server upgrade (Production), please raise an RFC and include the RFC number in this service request.
(2) Kindly provide the estimated cost in Excel format, including the required SKU specifications, generated from the Azure Pricing Calculator website.</x:t>
  </x:si>
  <x:si>
    <x:t xml:space="preserve">0b89befe-7846-4028-a3b0-771ce105c8f8</x:t>
  </x:si>
  <x:si>
    <x:t xml:space="preserve">CSSP10486910</x:t>
  </x:si>
  <x:si>
    <x:t xml:space="preserve">ismail.azman@petronas.com.my</x:t>
  </x:si>
  <x:si>
    <x:t xml:space="preserve">0aac1bfa-a95b-42b3-b323-bc26a2c4fd0e</x:t>
  </x:si>
  <x:si>
    <x:t xml:space="preserve">CSSP10502441</x:t>
  </x:si>
  <x:si>
    <x:t xml:space="preserve">rabiatul.mohamad@petronas.com</x:t>
  </x:si>
  <x:si>
    <x:t xml:space="preserve">SR26593</x:t>
  </x:si>
  <x:si>
    <x:t xml:space="preserve">Procurement for Deployment of Augmented Gas Nomination Ecosystem (AGNES) at PMA</x:t>
  </x:si>
  <x:si>
    <x:t xml:space="preserve">zuhairi.zubir@petronas.com</x:t>
  </x:si>
  <x:si>
    <x:t xml:space="preserve">AGNES</x:t>
  </x:si>
  <x:si>
    <x:t xml:space="preserve">Provisional server for AGNES-PMA Enhancement of Module 1-5</x:t>
  </x:si>
  <x:si>
    <x:t xml:space="preserve">Approved. For staging, please provision VM SKU of D8ds v5 instead of D64ds v5.</x:t>
  </x:si>
  <x:si>
    <x:t xml:space="preserve">CSSP10814403 CSSP10502441</x:t>
  </x:si>
  <x:si>
    <x:t xml:space="preserve">Resource group: PTAZMY-IAC-UAT-AGNES-PMA-RG
VM name: ptmy-4agnespma1
VM IP: 10.176.48.6
OS: Windows server 2022
Domain: PETRONAS</x:t>
  </x:si>
  <x:si>
    <x:t xml:space="preserve">REQ000007995955</x:t>
  </x:si>
  <x:si>
    <x:t xml:space="preserve">ce102e4f-11e3-4336-af66-3c380cafe022</x:t>
  </x:si>
  <x:si>
    <x:t xml:space="preserve">04166769-2fdc-4eb5-80eb-bac8157cab75</x:t>
  </x:si>
  <x:si>
    <x:t xml:space="preserve">CSSP10814403</x:t>
  </x:si>
  <x:si>
    <x:t xml:space="preserve">Resource group: PTAZMY-IAC-PROD-AGNES-PMA-RG
VM name: ptmy-1agnespma1
VM IP: 10.176.120.6
OS: Windows server 2022
Domain: PETRONAS</x:t>
  </x:si>
  <x:si>
    <x:t xml:space="preserve">REQ000007995606</x:t>
  </x:si>
  <x:si>
    <x:t xml:space="preserve">38459830-a915-44c8-91f1-939930127be0</x:t>
  </x:si>
  <x:si>
    <x:t xml:space="preserve">CSSP10775394</x:t>
  </x:si>
  <x:si>
    <x:t xml:space="preserve">mohd.azri@petronas.com</x:t>
  </x:si>
  <x:si>
    <x:t xml:space="preserve">ng.cheekeong@petronas.com.my</x:t>
  </x:si>
  <x:si>
    <x:t xml:space="preserve">to clone hostname to clone ptsg-1oasisap04 (FleetOps 2) into our UAT Azure environment</x:t>
  </x:si>
  <x:si>
    <x:t xml:space="preserve">ng.cheekeong@petronas.com</x:t>
  </x:si>
  <x:si>
    <x:t xml:space="preserve">REQ000008001689</x:t>
  </x:si>
  <x:si>
    <x:t xml:space="preserve">2fffdeca-fe16-4105-b6c8-993a9ff35042</x:t>
  </x:si>
  <x:si>
    <x:t xml:space="preserve">CSSP10474051</x:t>
  </x:si>
  <x:si>
    <x:t xml:space="preserve">zakwan.zulkifli@petronas.com</x:t>
  </x:si>
  <x:si>
    <x:t xml:space="preserve">A-000552</x:t>
  </x:si>
  <x:si>
    <x:t xml:space="preserve">PETRONAS Engineering Data Management System - P-EDMS GTS</x:t>
  </x:si>
  <x:si>
    <x:t xml:space="preserve">00915_238</x:t>
  </x:si>
  <x:si>
    <x:t xml:space="preserve">Cloud Migration Program - P-EDMS</x:t>
  </x:si>
  <x:si>
    <x:t xml:space="preserve">PETRONAS Engineering Data Management System (P-EDMS)</x:t>
  </x:si>
  <x:si>
    <x:t xml:space="preserve">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x:t>
  </x:si>
  <x:si>
    <x:t xml:space="preserve">ICT_RFC00221716</x:t>
  </x:si>
  <x:si>
    <x:t xml:space="preserve">r5.4xlarge (16 vCPU, 128 GB Memory) &gt; g6.4xlarge (16 vCPU, 64 GB Memory, GPU: 1 × NVIDIA L4 – 24 GB VRAM).
04/24/2026 10:00:00 PM - 04/25/2026 12:00:00 AM</x:t>
  </x:si>
  <x:si>
    <x:t xml:space="preserve">REQ000008002623</x:t>
  </x:si>
  <x:si>
    <x:t xml:space="preserve">e1b324dc-c83c-4236-a989-0ba174653cd6</x:t>
  </x:si>
  <x:si>
    <x:t xml:space="preserve">24214abf-5ddd-43bb-a7c0-2db30cb657c8</x:t>
  </x:si>
  <x:si>
    <x:t xml:space="preserve">CSSP10945611</x:t>
  </x:si>
  <x:si>
    <x:t xml:space="preserve">To request new resource to be use for MSP transition &amp; knowledge transfer. 
Spec: the same as existing PTSG-5MYGENAP01
 D4as v4 (4 vCPUs &amp; 16 GB RAM)
New resource Name: PTSG-5MYGENAP02</x:t>
  </x:si>
  <x:si>
    <x:t xml:space="preserve">Servicedesk team required to use Dev environment for MSP Training. We required gateway server to run data import tool to export Production Product category and support group to Development</x:t>
  </x:si>
  <x:si>
    <x:t xml:space="preserve">The new vm PTSG-5MYGENAP02 has been provisioned</x:t>
  </x:si>
  <x:si>
    <x:t xml:space="preserve">REQ000008004739</x:t>
  </x:si>
  <x:si>
    <x:t xml:space="preserve">181855dc-7118-4c89-9352-0b11596d10cc</x:t>
  </x:si>
  <x:si>
    <x:t xml:space="preserve">CSSP10433585</x:t>
  </x:si>
  <x:si>
    <x:t xml:space="preserve">azmi.mohd.noor@petronas.com</x:t>
  </x:si>
  <x:si>
    <x:t xml:space="preserve">00916_6</x:t>
  </x:si>
  <x:si>
    <x:t xml:space="preserve">Productivity Platform Hub</x:t>
  </x:si>
  <x:si>
    <x:t xml:space="preserve">Preferred RG : PTAZSG-PROD-PP-HUB-RG
Note on Azure DevOps Project Name, This resources for this request to be provisioned under the same repo as per Parent Project Code : 00916_1</x:t>
  </x:si>
  <x:si>
    <x:t xml:space="preserve">This request is only to create a new RG.</x:t>
  </x:si>
  <x:si>
    <x:t xml:space="preserve">to create in PTAZSG-PROD-COPILOT-ENVIRONMENT subscription.</x:t>
  </x:si>
  <x:si>
    <x:t xml:space="preserve">REQ000008007394</x:t>
  </x:si>
  <x:si>
    <x:t xml:space="preserve">c0acc46f-c9c3-4203-9c5f-6ae7551aeff1</x:t>
  </x:si>
  <x:si>
    <x:t xml:space="preserve">64828225-b4a6-4b8d-bd66-9667bf7e5fbd</x:t>
  </x:si>
  <x:si>
    <x:t xml:space="preserve">CSSP10186972</x:t>
  </x:si>
  <x:si>
    <x:t xml:space="preserve">A-001296</x:t>
  </x:si>
  <x:si>
    <x:t xml:space="preserve">Predictive Rotating Equipment Analytics - PROTEAN BRMC</x:t>
  </x:si>
  <x:si>
    <x:t xml:space="preserve">SR10961</x:t>
  </x:si>
  <x:si>
    <x:t xml:space="preserve">PROTEAN BRMC SI</x:t>
  </x:si>
  <x:si>
    <x:t xml:space="preserve">Provisioning Azure Communication Services (ACS)</x:t>
  </x:si>
  <x:si>
    <x:t xml:space="preserve">Proceed as per project requirement</x:t>
  </x:si>
  <x:si>
    <x:t xml:space="preserve">The Azure Communication Services (ACS) has been provisioned</x:t>
  </x:si>
  <x:si>
    <x:t xml:space="preserve">REQ000008026483</x:t>
  </x:si>
  <x:si>
    <x:t xml:space="preserve">d5fabeea-472b-4beb-bd0b-7c60661c9643</x:t>
  </x:si>
  <x:si>
    <x:t xml:space="preserve">87d1c6a0-2046-4f47-ac6d-41c1941b87f8</x:t>
  </x:si>
  <x:si>
    <x:t xml:space="preserve">CSSP10335168</x:t>
  </x:si>
  <x:si>
    <x:t xml:space="preserve">Approved for RADIAN project</x:t>
  </x:si>
  <x:si>
    <x:t xml:space="preserve">provisioned in PTAZMY-IAC-PROD-RADIAN-RG</x:t>
  </x:si>
  <x:si>
    <x:t xml:space="preserve">REQ000008007292</x:t>
  </x:si>
  <x:si>
    <x:t xml:space="preserve">c9daca31-1afb-4521-abd6-2570b2df97e6</x:t>
  </x:si>
  <x:si>
    <x:t xml:space="preserve">CSSP10489931</x:t>
  </x:si>
  <x:si>
    <x:t xml:space="preserve">A-001241</x:t>
  </x:si>
  <x:si>
    <x:t xml:space="preserve">Digital Intelligence Center - DIC</x:t>
  </x:si>
  <x:si>
    <x:t xml:space="preserve">Deployment of Digital Intelligence Center (DIC) for Malaysia Petroleum Management (MPM)</x:t>
  </x:si>
  <x:si>
    <x:t xml:space="preserve">Deployment of Digital Intelligence Center (DIC) for MPM</x:t>
  </x:si>
  <x:si>
    <x:t xml:space="preserve">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t>
  </x:si>
  <x:si>
    <x:t xml:space="preserve">Approved for DIC project requirement.</x:t>
  </x:si>
  <x:si>
    <x:t xml:space="preserve">Approved for the provisioning of EC2. User need to contact helpdesk for Microsoft Office installation.</x:t>
  </x:si>
  <x:si>
    <x:t xml:space="preserve">ec2</x:t>
  </x:si>
  <x:si>
    <x:t xml:space="preserve">ec2 provisioned</x:t>
  </x:si>
  <x:si>
    <x:t xml:space="preserve">REQ000008006244</x:t>
  </x:si>
  <x:si>
    <x:t xml:space="preserve">cc71964c-37e4-4a55-80e9-353ad3690f75</x:t>
  </x:si>
  <x:si>
    <x:t xml:space="preserve">e3931116-b96b-4e5e-833f-dfb0c8d4f537</x:t>
  </x:si>
  <x:si>
    <x:t xml:space="preserve">CSSP10547846</x:t>
  </x:si>
  <x:si>
    <x:t xml:space="preserve">Procurement AI</x:t>
  </x:si>
  <x:si>
    <x:t xml:space="preserve">Add to resource group PTAZSG-IAC-DEV-GPDATA-RG</x:t>
  </x:si>
  <x:si>
    <x:t xml:space="preserve">approved for dev purpose</x:t>
  </x:si>
  <x:si>
    <x:t xml:space="preserve">work with badri / luis on the databricks.</x:t>
  </x:si>
  <x:si>
    <x:t xml:space="preserve">REQ000008019447</x:t>
  </x:si>
  <x:si>
    <x:t xml:space="preserve">e1827a6c-e18c-4500-94be-16de9cbb9e7c</x:t>
  </x:si>
  <x:si>
    <x:t xml:space="preserve">1618794a-db69-462e-9559-41e3b603d54e</x:t>
  </x:si>
  <x:si>
    <x:t xml:space="preserve">CSSP10697511</x:t>
  </x:si>
  <x:si>
    <x:t xml:space="preserve">A-000271</x:t>
  </x:si>
  <x:si>
    <x:t xml:space="preserve">PETRONAS Education Sponsorship Programme Web</x:t>
  </x:si>
  <x:si>
    <x:t xml:space="preserve">00915_83</x:t>
  </x:si>
  <x:si>
    <x:t xml:space="preserve">Cloud Migration Program - PETRONAS Education Sponsorship Programme ESMS.NET 2.0</x:t>
  </x:si>
  <x:si>
    <x:t xml:space="preserve">EducationSponsorship</x:t>
  </x:si>
  <x:si>
    <x:t xml:space="preserve">add KV and FD</x:t>
  </x:si>
  <x:si>
    <x:t xml:space="preserve">approved but need to see whether other CDN besides Front Door is available with lower cost</x:t>
  </x:si>
  <x:si>
    <x:t xml:space="preserve">dev and prod. olz. PTAZSG-PROD-ESMS-RG, PTAZSG-DEV-ESMS-RG</x:t>
  </x:si>
  <x:si>
    <x:t xml:space="preserve">done;</x:t>
  </x:si>
  <x:si>
    <x:t xml:space="preserve">REQ000008021758</x:t>
  </x:si>
  <x:si>
    <x:t xml:space="preserve">29a27bbf-d3a1-4b49-8c7a-d475a28d955c</x:t>
  </x:si>
  <x:si>
    <x:t xml:space="preserve">5f53e6fc-eecd-4fcb-9bfd-77eb5aee6542</x:t>
  </x:si>
  <x:si>
    <x:t xml:space="preserve">CSSP10594123</x:t>
  </x:si>
  <x:si>
    <x:t xml:space="preserve">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x:t>
  </x:si>
  <x:si>
    <x:t xml:space="preserve">Add 2 new users from PRPC for Cooling Water Pump Workspace use case</x:t>
  </x:si>
  <x:si>
    <x:t xml:space="preserve">create ML compute.
workspace PTAZSG-1CA-COOL-WTR-PUMP</x:t>
  </x:si>
  <x:si>
    <x:t xml:space="preserve">provision done.</x:t>
  </x:si>
  <x:si>
    <x:t xml:space="preserve">REQ000008019830</x:t>
  </x:si>
  <x:si>
    <x:t xml:space="preserve">a58ff428-eda6-4919-8a1e-bbefb91806fe</x:t>
  </x:si>
  <x:si>
    <x:t xml:space="preserve">CSSP10893583</x:t>
  </x:si>
  <x:si>
    <x:t xml:space="preserve">Enterprise Observability</x:t>
  </x:si>
  <x:si>
    <x:t xml:space="preserve">Enterprise Application Observability (Elastic Stack) Repatriation &amp; Modernization - Staging Environment</x:t>
  </x:si>
  <x:si>
    <x:t xml:space="preserve">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x:t>
  </x:si>
  <x:si>
    <x:t xml:space="preserve">66d4ebcb-ad48-4d93-a2d3-c759ef6af5c8</x:t>
  </x:si>
  <x:si>
    <x:t xml:space="preserve">ff430273-3df7-4d39-9972-76ff3721e71e</x:t>
  </x:si>
  <x:si>
    <x:t xml:space="preserve">CSSP10407326</x:t>
  </x:si>
  <x:si>
    <x:t xml:space="preserve">Upgrading staging server for myPRODATA to a latest version (from PTAWSG-3COC-RHEL8.6-20230608 to
PTAWSG-3COC-RHEL9.0-20250428). Refer to file MBR-_AWS_EstimateCost_v32 for spec in staging.</x:t>
  </x:si>
  <x:si>
    <x:t xml:space="preserve">Approved. Please expedite the provisioning.</x:t>
  </x:si>
  <x:si>
    <x:t xml:space="preserve">Approved. Server to upgrade is PTASWG-4MBRDB01 (10.84.47.252)</x:t>
  </x:si>
  <x:si>
    <x:t xml:space="preserve">just deploy new vm with new os.
if upgrade work only then backup and upgrade only but require RFC. 
looping in unix team to work on this.</x:t>
  </x:si>
  <x:si>
    <x:t xml:space="preserve">REQ000008019833</x:t>
  </x:si>
  <x:si>
    <x:t xml:space="preserve">cf7bcefb-51ff-41a3-93ab-18cf4f29b645</x:t>
  </x:si>
  <x:si>
    <x:t xml:space="preserve">CSSP10574214</x:t>
  </x:si>
  <x:si>
    <x:t xml:space="preserve">SKILL</x:t>
  </x:si>
  <x:si>
    <x:t xml:space="preserve">The new resource is for business to migrate their data to Sharepoint. The app going to be decom after the migration.</x:t>
  </x:si>
  <x:si>
    <x:t xml:space="preserve">OLZ, DF and Databricks.</x:t>
  </x:si>
  <x:si>
    <x:t xml:space="preserve">Resource created in the below RG: 
RG: PTAZSG-PROD-SKILL-RG 
1) Azure data Factory created - ptsg1skilldf01
2) Azure Databricks - ptsg-1skilldbrick01</x:t>
  </x:si>
  <x:si>
    <x:t xml:space="preserve">REQ000008026198</x:t>
  </x:si>
  <x:si>
    <x:t xml:space="preserve">0f87d419-86fa-46c0-b215-d9598f824f7f</x:t>
  </x:si>
  <x:si>
    <x:t xml:space="preserve">43438d06-9dec-4b14-a3a0-c9a99d8e9c0e</x:t>
  </x:si>
  <x:si>
    <x:t xml:space="preserve">CSSP10698884</x:t>
  </x:si>
  <x:si>
    <x:t xml:space="preserve">mariffirdaus.mkhaidz@petronas.com</x:t>
  </x:si>
  <x:si>
    <x:t xml:space="preserve">A-001346</x:t>
  </x:si>
  <x:si>
    <x:t xml:space="preserve">GPE Digital Platform</x:t>
  </x:si>
  <x:si>
    <x:t xml:space="preserve">SR00331</x:t>
  </x:si>
  <x:si>
    <x:t xml:space="preserve">Quality Suite</x:t>
  </x:si>
  <x:si>
    <x:t xml:space="preserve">msufian.hussein@petronas.com</x:t>
  </x:si>
  <x:si>
    <x:t xml:space="preserve">The resources listed in the Excel document are crucial for the development team to initiate their work. Please reach out to me via Teams if you need any clarifications on the documents provided</x:t>
  </x:si>
  <x:si>
    <x:t xml:space="preserve">Good to go for the Dev environment. For Prod and Stg, please raise separate SR.</x:t>
  </x:si>
  <x:si>
    <x:t xml:space="preserve">EKS. deploy DEV resource only. Stg and Prod resource will require another CSSP</x:t>
  </x:si>
  <x:si>
    <x:t xml:space="preserve">provisioning completed. user confirmation on the request</x:t>
  </x:si>
  <x:si>
    <x:t xml:space="preserve">REQ000008021766</x:t>
  </x:si>
  <x:si>
    <x:t xml:space="preserve">868b1bbc-b9be-43ba-8175-d6ca35843984</x:t>
  </x:si>
  <x:si>
    <x:t xml:space="preserve">7b215cdb-7ad4-4167-9bf1-b1412d34f95f</x:t>
  </x:si>
  <x:si>
    <x:t xml:space="preserve">CSSP10673286</x:t>
  </x:si>
  <x:si>
    <x:t xml:space="preserve">norfazillah.awahab@petronas.com</x:t>
  </x:si>
  <x:si>
    <x:t xml:space="preserve">A-001339</x:t>
  </x:si>
  <x:si>
    <x:t xml:space="preserve">Wells DROID for ENIGMA</x:t>
  </x:si>
  <x:si>
    <x:t xml:space="preserve">SR26947_DROID</x:t>
  </x:si>
  <x:si>
    <x:t xml:space="preserve">ENIGMA JV: Implementation of Wells System and Data for MacCo - DROIDS</x:t>
  </x:si>
  <x:si>
    <x:t xml:space="preserve">ENIgma_DROID</x:t>
  </x:si>
  <x:si>
    <x:t xml:space="preserve">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x:t>
  </x:si>
  <x:si>
    <x:t xml:space="preserve">Approved for Enigma implementation</x:t>
  </x:si>
  <x:si>
    <x:t xml:space="preserve">Approved. Upgrade disk size by additional 768GB for ptmy-npupstrm-sqlmi01. PTAZMY-IAC-NONPROD-UPSTREAM-SQLMI-RG</x:t>
  </x:si>
  <x:si>
    <x:t xml:space="preserve">ENIGMA app.</x:t>
  </x:si>
  <x:si>
    <x:t xml:space="preserve">REQ000008031184</x:t>
  </x:si>
  <x:si>
    <x:t xml:space="preserve">662ddf7f-7aa1-4f4c-8804-11c0855e9276</x:t>
  </x:si>
  <x:si>
    <x:t xml:space="preserve">CSSP10771558</x:t>
  </x:si>
  <x:si>
    <x:t xml:space="preserve">theebban.tamizarasu@petronas.com</x:t>
  </x:si>
  <x:si>
    <x:t xml:space="preserve">Request to provision private (Internal Facing) - IP for the following app services in PTAZSG-UAT-ARCGIS-RG - myPROdata Staging</x:t>
  </x:si>
  <x:si>
    <x:t xml:space="preserve">Approved. please expedite.</x:t>
  </x:si>
  <x:si>
    <x:t xml:space="preserve">There is no app service in PTAZSG-UAT-ARCGIS-RG. All VMs are running on private IPs</x:t>
  </x:si>
  <x:si>
    <x:t xml:space="preserve">95a48abc-914c-40a4-8497-0356caac99ea</x:t>
  </x:si>
  <x:si>
    <x:t xml:space="preserve">CSSP10718591</x:t>
  </x:si>
  <x:si>
    <x:t xml:space="preserve">A-000524</x:t>
  </x:si>
  <x:si>
    <x:t xml:space="preserve">Offshore Logistics Venture - OLV</x:t>
  </x:si>
  <x:si>
    <x:t xml:space="preserve">Offshore Logistics Venture (OLV) Incubation</x:t>
  </x:si>
  <x:si>
    <x:t xml:space="preserve">Petronas GP_ULCT</x:t>
  </x:si>
  <x:si>
    <x:t xml:space="preserve">Request to provision private IP for the following Amazon S3 in PTAW-IAC-NonPROD-STAGING-STEAR-Environment-01. This is to follow Cybersecurity direction to remove external access for non production environment. Eventually staging.stear.co need to be remove from external dns</x:t>
  </x:si>
  <x:si>
    <x:t xml:space="preserve">8d2e855a-2ae6-49cd-856a-9f23a5e5ac86</x:t>
  </x:si>
  <x:si>
    <x:t xml:space="preserve">f284b03b-9af1-47d5-bb4d-1cef28a2194d</x:t>
  </x:si>
  <x:si>
    <x:t xml:space="preserve">CSSP10206240</x:t>
  </x:si>
  <x:si>
    <x:t xml:space="preserve">Provisioning of Azure Fabric and Azure Function</x:t>
  </x:si>
  <x:si>
    <x:t xml:space="preserve">To comply with the Cloud Service Request and Provisioning Guideline v4.0, kindly provide the approved CS BIA and SOW/HLD as supporting evidence.</x:t>
  </x:si>
  <x:si>
    <x:t xml:space="preserve">c039eb44-3f65-40cb-8238-4f3f542caded</x:t>
  </x:si>
  <x:si>
    <x:t xml:space="preserve">CSSP10825599</x:t>
  </x:si>
  <x:si>
    <x:t xml:space="preserve">Provisioning new resources databrick for myProcure</x:t>
  </x:si>
  <x:si>
    <x:t xml:space="preserve">https://dev.azure.com/Digital-Delivery/Procurement%20AI
to reprovision Databricks instance with VNET configured in its initial setup (instead of using Managed VNET), and to upgrade the instance tier to Premium, instead of standard.
Production</x:t>
  </x:si>
  <x:si>
    <x:t xml:space="preserve">closed</x:t>
  </x:si>
  <x:si>
    <x:t xml:space="preserve">REQ000008104444</x:t>
  </x:si>
  <x:si>
    <x:t xml:space="preserve">b35f57c0-f149-4c7b-9e4e-b2b20b7c64d9</x:t>
  </x:si>
  <x:si>
    <x:t xml:space="preserve">CSSP10903999</x:t>
  </x:si>
  <x:si>
    <x:t xml:space="preserve">Provisioning databrick for Staging env myProcure</x:t>
  </x:si>
  <x:si>
    <x:t xml:space="preserve">https://dev.azure.com/Digital-Delivery/Procurement%20AI
to reprovision Databricks instance with VNET configured in its initial setup (instead of using Managed VNET), and to upgrade the instance tier to Premium, instead of standard.
Staging</x:t>
  </x:si>
  <x:si>
    <x:t xml:space="preserve">REQ000008104340</x:t>
  </x:si>
  <x:si>
    <x:t xml:space="preserve">808ee078-6567-4285-82a0-4811b167490a</x:t>
  </x:si>
  <x:si>
    <x:t xml:space="preserve">CSSP10807730</x:t>
  </x:si>
  <x:si>
    <x:t xml:space="preserve">Provisioning of Databrick for dev env myProcure</x:t>
  </x:si>
  <x:si>
    <x:t xml:space="preserve">https://dev.azure.com/Digital-Delivery/Procurement%20AI
to reprovision Databricks instance with VNET configured in its initial setup (instead of using Managed VNET), and to upgrade the instance tier to Premium, instead of standard.
Dev</x:t>
  </x:si>
  <x:si>
    <x:t xml:space="preserve">REQ000008104339</x:t>
  </x:si>
  <x:si>
    <x:t xml:space="preserve">9882c863-1079-40d3-a6a7-511fe1e9085b</x:t>
  </x:si>
  <x:si>
    <x:t xml:space="preserve">CSSP10229026</x:t>
  </x:si>
  <x:si>
    <x:t xml:space="preserve">nurulaida.ngadiso@petronas.com</x:t>
  </x:si>
  <x:si>
    <x:t xml:space="preserve">A-001368</x:t>
  </x:si>
  <x:si>
    <x:t xml:space="preserve">myMesra</x:t>
  </x:si>
  <x:si>
    <x:t xml:space="preserve">SR26950</x:t>
  </x:si>
  <x:si>
    <x:t xml:space="preserve">MyMesra Platform Stabilisation &amp; Infrastructure Carve‑Out</x:t>
  </x:si>
  <x:si>
    <x:t xml:space="preserve">MyMesra Platform Stabilisation and Infrastructure Carve‑Out</x:t>
  </x:si>
  <x:si>
    <x:t xml:space="preserve">Provisioning for development environment: myMesra Platform Stabilization &amp; Infra Carve Out</x:t>
  </x:si>
  <x:si>
    <x:t xml:space="preserve">As per Project Scope &amp; Requirement.</x:t>
  </x:si>
  <x:si>
    <x:t xml:space="preserve">Approved. Same infra setup as PETRONAS Global Website</x:t>
  </x:si>
  <x:si>
    <x:t xml:space="preserve">CSSP10470896 - Production
CSSP10229026 - Development</x:t>
  </x:si>
  <x:si>
    <x:t xml:space="preserve">REQ000008035845</x:t>
  </x:si>
  <x:si>
    <x:t xml:space="preserve">cf5e4ef3-b398-4879-84c9-3963537a4cdc</x:t>
  </x:si>
  <x:si>
    <x:t xml:space="preserve">e1af4bf2-8927-47c0-baab-29d775491bc8</x:t>
  </x:si>
  <x:si>
    <x:t xml:space="preserve">CSSP10470896</x:t>
  </x:si>
  <x:si>
    <x:t xml:space="preserve">Provisioning for production environment: myMesra Platform Stabilization &amp; Infra Carve Out</x:t>
  </x:si>
  <x:si>
    <x:t xml:space="preserve">REQ000008035749</x:t>
  </x:si>
  <x:si>
    <x:t xml:space="preserve">888bd06c-5588-4511-9769-605a362cd255</x:t>
  </x:si>
  <x:si>
    <x:t xml:space="preserve">CSSP10941412</x:t>
  </x:si>
  <x:si>
    <x:t xml:space="preserve">Harmonization of People Tracking Solution</x:t>
  </x:si>
  <x:si>
    <x:t xml:space="preserve">Request to provision private IP for the following app services in 
ptsg-1pusparealap01.azurewebsites.net
RG Name: ptazsg-prod-puspa-real-rg</x:t>
  </x:si>
  <x:si>
    <x:t xml:space="preserve">ICT_RFC00222322</x:t>
  </x:si>
  <x:si>
    <x:t xml:space="preserve">Dns change to private access. Cyber security compliance.</x:t>
  </x:si>
  <x:si>
    <x:t xml:space="preserve">OLZ. please perform this from portal.</x:t>
  </x:si>
  <x:si>
    <x:t xml:space="preserve">The private endpoint (ptsg-1pusparealap01-pep) has been provisioned</x:t>
  </x:si>
  <x:si>
    <x:t xml:space="preserve">REQ000008059450</x:t>
  </x:si>
  <x:si>
    <x:t xml:space="preserve">ef0ab3a4-3c9b-43f4-95d4-f94a0b719434</x:t>
  </x:si>
  <x:si>
    <x:t xml:space="preserve">ba71dbc2-700f-4c14-acbc-79d1f2c8dfcc</x:t>
  </x:si>
  <x:si>
    <x:t xml:space="preserve">CSSP10759375</x:t>
  </x:si>
  <x:si>
    <x:t xml:space="preserve">Request to provision private IP for the following app services in PTAZSG-IAC-PROD-HIPAI-AIIRA-RG: ptsg-1hipsawb01, ptsg-1hipsawbapi01</x:t>
  </x:si>
  <x:si>
    <x:t xml:space="preserve">pep.</x:t>
  </x:si>
  <x:si>
    <x:t xml:space="preserve">REQ000008059672</x:t>
  </x:si>
  <x:si>
    <x:t xml:space="preserve">07f7434c-c661-4f1b-a140-aea98d7cacf0</x:t>
  </x:si>
  <x:si>
    <x:t xml:space="preserve">CSSP10455927</x:t>
  </x:si>
  <x:si>
    <x:t xml:space="preserve">A-000453</x:t>
  </x:si>
  <x:si>
    <x:t xml:space="preserve">Malaysia Bid Round Online Portal</x:t>
  </x:si>
  <x:si>
    <x:t xml:space="preserve">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x:t>
  </x:si>
  <x:si>
    <x:t xml:space="preserve">RFC00222219</x:t>
  </x:si>
  <x:si>
    <x:t xml:space="preserve">Approved. Please expedite this as business has requested that the application needs to be ready by next week.</x:t>
  </x:si>
  <x:si>
    <x:t xml:space="preserve">Requests for External IP is via AppCenter and not CSSP</x:t>
  </x:si>
  <x:si>
    <x:t xml:space="preserve">83f3493c-fdee-48cf-93b2-6fd9f419adde</x:t>
  </x:si>
  <x:si>
    <x:t xml:space="preserve">dfdb9f50-3001-4dcd-b566-f0b92010ddc9</x:t>
  </x:si>
  <x:si>
    <x:t xml:space="preserve">CSSP10470481</x:t>
  </x:si>
  <x:si>
    <x:t xml:space="preserve">shilpakasture.joshi@petronas.com</x:t>
  </x:si>
  <x:si>
    <x:t xml:space="preserve">Need these resources for migrating existing Talent ETL to AlphaOil ADF</x:t>
  </x:si>
  <x:si>
    <x:t xml:space="preserve">please attach cost estimate for resources to be provisioned. the attached email trail did not include the estimate file.</x:t>
  </x:si>
  <x:si>
    <x:t xml:space="preserve">73658ccd-3a69-4e62-a958-2048745052d1</x:t>
  </x:si>
  <x:si>
    <x:t xml:space="preserve">CSSP10338172</x:t>
  </x:si>
  <x:si>
    <x:t xml:space="preserve">yngsheng.toh@petronas.com.my</x:t>
  </x:si>
  <x:si>
    <x:t xml:space="preserve">Please attached the specifications of the requested resources.</x:t>
  </x:si>
  <x:si>
    <x:t xml:space="preserve">7aebf8a0-421a-4b6e-92ba-4d8e10531fbb</x:t>
  </x:si>
  <x:si>
    <x:t xml:space="preserve">CSSP10151727</x:t>
  </x:si>
  <x:si>
    <x:t xml:space="preserve">SR010707
Need these resources for migrating existing Talent ETL to AlphaOil ADF</x:t>
  </x:si>
  <x:si>
    <x:t xml:space="preserve">Approved. User is in the midst of raising RFC for the upgrade</x:t>
  </x:si>
  <x:si>
    <x:t xml:space="preserve">DF and Azfunctions.</x:t>
  </x:si>
  <x:si>
    <x:t xml:space="preserve">REQ000008042697</x:t>
  </x:si>
  <x:si>
    <x:t xml:space="preserve">15c89c49-98ab-4d09-b4b8-c15f562be311</x:t>
  </x:si>
  <x:si>
    <x:t xml:space="preserve">CSSP10591107</x:t>
  </x:si>
  <x:si>
    <x:t xml:space="preserve">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x:t>
  </x:si>
  <x:si>
    <x:t xml:space="preserve">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x:t>
  </x:si>
  <x:si>
    <x:t xml:space="preserve">OLZ</x:t>
  </x:si>
  <x:si>
    <x:t xml:space="preserve">Will proceed offline.</x:t>
  </x:si>
  <x:si>
    <x:t xml:space="preserve">REQ000008059443</x:t>
  </x:si>
  <x:si>
    <x:t xml:space="preserve">f67b3f48-36c4-4596-8b77-b45d0d2d62e4</x:t>
  </x:si>
  <x:si>
    <x:t xml:space="preserve">CSSP10434143</x:t>
  </x:si>
  <x:si>
    <x:t xml:space="preserve">Subscription Name: PTAZSG-IAC-PROD ENVIRONMENT
RG: PTAZSG-IAC-PROD-COMPASS-RG
To provision new Azure Cache for Redis in production environment</x:t>
  </x:si>
  <x:si>
    <x:t xml:space="preserve">small</x:t>
  </x:si>
  <x:si>
    <x:t xml:space="preserve">REQ000008073332</x:t>
  </x:si>
  <x:si>
    <x:t xml:space="preserve">cf7c1568-9465-478e-a212-1d033ab6fe72</x:t>
  </x:si>
  <x:si>
    <x:t xml:space="preserve">CSSP10714552</x:t>
  </x:si>
  <x:si>
    <x:t xml:space="preserve">RG ptazsg-iac-dev-gpdata-rg, Procurement AI Azure Functions and Fabric Upgrade (F8 =&gt; F16)</x:t>
  </x:si>
  <x:si>
    <x:t xml:space="preserve">clickops</x:t>
  </x:si>
  <x:si>
    <x:t xml:space="preserve">REQ000008059659</x:t>
  </x:si>
  <x:si>
    <x:t xml:space="preserve">9d360c06-88c7-47e9-83ad-4911ecbaa9d1</x:t>
  </x:si>
  <x:si>
    <x:t xml:space="preserve">CSSP10825896</x:t>
  </x:si>
  <x:si>
    <x:t xml:space="preserve">1. Azure Functions Premium EP2
2. App Service Free F1 - 4x
3. App Service Basic B1 - 1x
4. Storage Account Standard General Purpose V2 (Blob, Tables, Queues) - 1x
RG ptazsg-iac-dev-gpdata-rg</x:t>
  </x:si>
  <x:si>
    <x:t xml:space="preserve">additional resources
https://dev.azure.com/Digital-Delivery/Group%20Procurement%20EDH%20Data%20Enablement/_git/app-iac-azure-gpdata</x:t>
  </x:si>
  <x:si>
    <x:t xml:space="preserve">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x:t>
  </x:si>
  <x:si>
    <x:t xml:space="preserve">REQ000008103506</x:t>
  </x:si>
  <x:si>
    <x:t xml:space="preserve">d6180edd-9eee-4a81-afa8-3a8cdfc15074</x:t>
  </x:si>
  <x:si>
    <x:t xml:space="preserve">CSSP10600937</x:t>
  </x:si>
  <x:si>
    <x:t xml:space="preserve">To upgrade current Production Elastic Stack (ELK) to support PII data detection for PDPA/GDPR data compliancy as well as to cater data growth in Elastic APM.</x:t>
  </x:si>
  <x:si>
    <x:t xml:space="preserve">Yes we need this asap, already budgeted in OE</x:t>
  </x:si>
  <x:si>
    <x:t xml:space="preserve">REQ000008059629</x:t>
  </x:si>
  <x:si>
    <x:t xml:space="preserve">d5452d0f-8e90-4728-9ffc-f7ff20529111</x:t>
  </x:si>
  <x:si>
    <x:t xml:space="preserve">CSSP10511275</x:t>
  </x:si>
  <x:si>
    <x:t xml:space="preserve">A-000396</x:t>
  </x:si>
  <x:si>
    <x:t xml:space="preserve">PETRONAS Integrated Pipeline Integrity Assurance Solutions - i-PIMS</x:t>
  </x:si>
  <x:si>
    <x:t xml:space="preserve">Implementation of PETRONAS Integrated Pipeline Integrity Assurance Solutions (i-PIMS) Open System at MPM for GTS</x:t>
  </x:si>
  <x:si>
    <x:t xml:space="preserve">POTF Commercialization</x:t>
  </x:si>
  <x:si>
    <x:t xml:space="preserve">PostgreSQL obsolete, need to provision new DB Server</x:t>
  </x:si>
  <x:si>
    <x:t xml:space="preserve">Reviewed &amp; Approved.</x:t>
  </x:si>
  <x:si>
    <x:t xml:space="preserve">requested cancel on 20th  May 2026 due to no team members not available (end of contract).</x:t>
  </x:si>
  <x:si>
    <x:t xml:space="preserve">REQ000008059479</x:t>
  </x:si>
  <x:si>
    <x:t xml:space="preserve">01f46ba0-6305-42ba-af71-4e5a242ff182</x:t>
  </x:si>
  <x:si>
    <x:t xml:space="preserve">4efe5a2b-499a-4e07-a71a-a79946dc9495</x:t>
  </x:si>
  <x:si>
    <x:t xml:space="preserve">CSSP10328365</x:t>
  </x:si>
  <x:si>
    <x:t xml:space="preserve">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x:t>
  </x:si>
  <x:si>
    <x:t xml:space="preserve">required as part of project scope.</x:t>
  </x:si>
  <x:si>
    <x:t xml:space="preserve">REQ000008067221</x:t>
  </x:si>
  <x:si>
    <x:t xml:space="preserve">4b2eade0-0dc5-4b2c-b02c-e3928b54a06b</x:t>
  </x:si>
  <x:si>
    <x:t xml:space="preserve">CSSP10330561</x:t>
  </x:si>
  <x:si>
    <x:t xml:space="preserve">ang.hooichen@petronas.com</x:t>
  </x:si>
  <x:si>
    <x:t xml:space="preserve">Provision new workspace for UAT and Prod. BOM please refer to datathon_infratemplate.xlsx.</x:t>
  </x:si>
  <x:si>
    <x:t xml:space="preserve">need another CSSP for one more environment.</x:t>
  </x:si>
  <x:si>
    <x:t xml:space="preserve">The DEV databricks is ready https://dbc-348a4064-1a0b.cloud.databricks.com</x:t>
  </x:si>
  <x:si>
    <x:t xml:space="preserve">REQ000008060446</x:t>
  </x:si>
  <x:si>
    <x:t xml:space="preserve">e843491d-275f-4046-ad6d-5830963ba204</x:t>
  </x:si>
  <x:si>
    <x:t xml:space="preserve">babd5907-1c00-4297-9d58-87f5408c6776</x:t>
  </x:si>
  <x:si>
    <x:t xml:space="preserve">CSSP10350529</x:t>
  </x:si>
  <x:si>
    <x:t xml:space="preserve">Please proceed with the resources provisioning for Staging environment.</x:t>
  </x:si>
  <x:si>
    <x:t xml:space="preserve">same ADO as CSSP10698884.</x:t>
  </x:si>
  <x:si>
    <x:t xml:space="preserve">provisioning completed.</x:t>
  </x:si>
  <x:si>
    <x:t xml:space="preserve">REQ000008059477</x:t>
  </x:si>
  <x:si>
    <x:t xml:space="preserve">d6821929-4b9b-40d0-a464-da8275cbb72a</x:t>
  </x:si>
  <x:si>
    <x:t xml:space="preserve">CSSP10126897</x:t>
  </x:si>
  <x:si>
    <x:t xml:space="preserve">Please proceed with the resources provisioning for Production environment.</x:t>
  </x:si>
  <x:si>
    <x:t xml:space="preserve">To include 2 additional RDS as requested for dev and staging.</x:t>
  </x:si>
  <x:si>
    <x:t xml:space="preserve">279afb2e-4c74-4354-a0dd-310b35b2fd6f</x:t>
  </x:si>
  <x:si>
    <x:t xml:space="preserve">CSSP10318437</x:t>
  </x:si>
  <x:si>
    <x:t xml:space="preserve">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x:t>
  </x:si>
  <x:si>
    <x:t xml:space="preserve">Proceed to re-provision</x:t>
  </x:si>
  <x:si>
    <x:t xml:space="preserve">The resource ptsg-4compasspgsql02-flexi is ready</x:t>
  </x:si>
  <x:si>
    <x:t xml:space="preserve">REQ000008066616</x:t>
  </x:si>
  <x:si>
    <x:t xml:space="preserve">3ed671eb-a970-47ba-bf94-49d3c4cb576c</x:t>
  </x:si>
  <x:si>
    <x:t xml:space="preserve">CSSP10835252</x:t>
  </x:si>
  <x:si>
    <x:t xml:space="preserve">Provision new workspace for Prod. BOM please refer to datathon_infratemplate.xlsx.
BOM-PROD sheet and Network Design-PROD</x:t>
  </x:si>
  <x:si>
    <x:t xml:space="preserve">previous request CSSP10330561.
new Prod env.</x:t>
  </x:si>
  <x:si>
    <x:t xml:space="preserve">PROD databricks is ready https://dbc-0d2794f8-e80b.cloud.databricks.com</x:t>
  </x:si>
  <x:si>
    <x:t xml:space="preserve">REQ000008071669</x:t>
  </x:si>
  <x:si>
    <x:t xml:space="preserve">e595741f-5776-4394-8e4d-1fbc92952e4b</x:t>
  </x:si>
  <x:si>
    <x:t xml:space="preserve">CSSP10509113</x:t>
  </x:si>
  <x:si>
    <x:t xml:space="preserve">A-000470</x:t>
  </x:si>
  <x:si>
    <x:t xml:space="preserve">MyApproval</x:t>
  </x:si>
  <x:si>
    <x:t xml:space="preserve">myAPPROVAL</x:t>
  </x:si>
  <x:si>
    <x:t xml:space="preserve">myApproval</x:t>
  </x:si>
  <x:si>
    <x:t xml:space="preserve">Please set up Azure Backup for the myApproval Azure Storage Account as below:
1) Resource Group: ptazsg-iac-prod-myapproval-rg
2) Storage Account: ptazsg1myapprovalstrzrs
3) Backup Policy: Daily (14 days), Weekly (4 weeks), Monthly (3 months), Yearly (0 year)</x:t>
  </x:si>
  <x:si>
    <x:t xml:space="preserve">apprved</x:t>
  </x:si>
  <x:si>
    <x:t xml:space="preserve">backup config</x:t>
  </x:si>
  <x:si>
    <x:t xml:space="preserve">REQ000008104442</x:t>
  </x:si>
  <x:si>
    <x:t xml:space="preserve">4f1d0d5f-66ce-487e-88c1-e23e3ab9f818</x:t>
  </x:si>
  <x:si>
    <x:t xml:space="preserve">b4376cc2-ec01-4ebf-98a7-0f3e3f9614c8</x:t>
  </x:si>
  <x:si>
    <x:t xml:space="preserve">CSSP10314804</x:t>
  </x:si>
  <x:si>
    <x:t xml:space="preserve">A-001354</x:t>
  </x:si>
  <x:si>
    <x:t xml:space="preserve">Plant Information - PI Enterprise for ENIGMA SEARAH</x:t>
  </x:si>
  <x:si>
    <x:t xml:space="preserve">SR26937_PI</x:t>
  </x:si>
  <x:si>
    <x:t xml:space="preserve">ENIGMA JV (Production): Implementing New Subscriptions for MacCo_PI</x:t>
  </x:si>
  <x:si>
    <x:t xml:space="preserve">Enigma</x:t>
  </x:si>
  <x:si>
    <x:t xml:space="preserve">cloud provisioning for PI application for ENIGMA SEARAH</x:t>
  </x:si>
  <x:si>
    <x:t xml:space="preserve">Reviewed and Approved. Kindly expedite in order to meet 1st July deadline for Searah Go-Live.</x:t>
  </x:si>
  <x:si>
    <x:t xml:space="preserve">multi vm + sql</x:t>
  </x:si>
  <x:si>
    <x:t xml:space="preserve">Complete</x:t>
  </x:si>
  <x:si>
    <x:t xml:space="preserve">REQ000008112899</x:t>
  </x:si>
  <x:si>
    <x:t xml:space="preserve">f4480009-8078-4a46-b9cd-cd9e643b37c5</x:t>
  </x:si>
  <x:si>
    <x:t xml:space="preserve">ed217ea3-c5cf-45d2-ae95-8d26d5e1f847</x:t>
  </x:si>
  <x:si>
    <x:t xml:space="preserve">CSSP10906858</x:t>
  </x:si>
  <x:si>
    <x:t xml:space="preserve">soo.cheahchoon@petronas.com</x:t>
  </x:si>
  <x:si>
    <x:t xml:space="preserve">A-000298</x:t>
  </x:si>
  <x:si>
    <x:t xml:space="preserve">Electronic Permit To Work Plus - ePTW+ GHSSE</x:t>
  </x:si>
  <x:si>
    <x:t xml:space="preserve">Implementation of Enterprise e-Permit to Work (e-PTW+) for GHSSE</x:t>
  </x:si>
  <x:si>
    <x:t xml:space="preserve">ePTW GHSE</x:t>
  </x:si>
  <x:si>
    <x:t xml:space="preserve">Request to provision private IP for the following app services in testeptw.petronas.com RG Name: PTAZSG-IAC-UAT-EPTWGHSE-RG</x:t>
  </x:si>
  <x:si>
    <x:t xml:space="preserve">eptw cs findings</x:t>
  </x:si>
  <x:si>
    <x:t xml:space="preserve">Is this request for updating the IP address of an existing App Service or for provisioning a new App Service?</x:t>
  </x:si>
  <x:si>
    <x:t xml:space="preserve">6d6eb070-7de5-4fb1-9f0e-f90530401fbb</x:t>
  </x:si>
  <x:si>
    <x:t xml:space="preserve">f0c90161-6027-4884-b7ec-8e30d2798958</x:t>
  </x:si>
  <x:si>
    <x:t xml:space="preserve">CSSP10975801</x:t>
  </x:si>
  <x:si>
    <x:t xml:space="preserve">Request to provision private IP for the following app services in testeptwghse.petronas.com RG Name: PTAZSG-IAC-UAT-EPTWGHSE-RG</x:t>
  </x:si>
  <x:si>
    <x:t xml:space="preserve">enable pep/private IP address
ptazsg-4eptwghsev3-wb01
ptazsg-4eptwghsev3-wb02</x:t>
  </x:si>
  <x:si>
    <x:t xml:space="preserve">REQ000008113457</x:t>
  </x:si>
  <x:si>
    <x:t xml:space="preserve">88756eb0-7cbf-4aaf-8a2d-27ca3afc72ad</x:t>
  </x:si>
  <x:si>
    <x:t xml:space="preserve">CSSP10682219</x:t>
  </x:si>
  <x:si>
    <x:t xml:space="preserve">idwal.wali@petronas.com</x:t>
  </x:si>
  <x:si>
    <x:t xml:space="preserve">A-000599</x:t>
  </x:si>
  <x:si>
    <x:t xml:space="preserve">PiriGIS</x:t>
  </x:si>
  <x:si>
    <x:t xml:space="preserve">Provision of Geographic Information System Infrastructure in PETRONAS Azure Cloud for Exploration</x:t>
  </x:si>
  <x:si>
    <x:t xml:space="preserve">kartinisuriati@petronas.com.my</x:t>
  </x:si>
  <x:si>
    <x:t xml:space="preserve">to request for additional MSSQL Managed Instance in PTSG-1GISDB01 (172.25.40.117) for ENIGMA initiative.</x:t>
  </x:si>
  <x:si>
    <x:t xml:space="preserve">Approved for SEARAH Operationalize 1 July 2026</x:t>
  </x:si>
  <x:si>
    <x:t xml:space="preserve">kartinisuriati@petronas.com</x:t>
  </x:si>
  <x:si>
    <x:t xml:space="preserve">e92b0512-824f-476b-b163-edd30c189714</x:t>
  </x:si>
  <x:si>
    <x:t xml:space="preserve">8f30cf74-aae2-4af0-9c3f-e6c4f16643fe</x:t>
  </x:si>
  <x:si>
    <x:t xml:space="preserve">CSSP10367612</x:t>
  </x:si>
  <x:si>
    <x:t xml:space="preserve">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x:t>
  </x:si>
  <x:si>
    <x:t xml:space="preserve">To provision compute instance to the 4 new users from PRPC for all 3 workspaces under PRPC. T</x:t>
  </x:si>
  <x:si>
    <x:t xml:space="preserve">To comply with the Cloud Service Request and Provisioning Guideline v4.0, kindly provide the approved CS BIA, Estimated Cost (in excel format generated from AWS/Azure website) and SOW/HLD as supporting evidence.</x:t>
  </x:si>
  <x:si>
    <x:t xml:space="preserve">c0261b47-98bc-4430-b18c-0f1d3937f0c7</x:t>
  </x:si>
  <x:si>
    <x:t xml:space="preserve">CSSP10765617</x:t>
  </x:si>
  <x:si>
    <x:t xml:space="preserve">A-001366</x:t>
  </x:si>
  <x:si>
    <x:t xml:space="preserve">Instruments Asset Management - IAMS for ENIGMA SEARAH</x:t>
  </x:si>
  <x:si>
    <x:t xml:space="preserve">SR26937_IAMS</x:t>
  </x:si>
  <x:si>
    <x:t xml:space="preserve">ENIGMA JV (Production): Implementing New Subscriptions for MacCo_IAMS</x:t>
  </x:si>
  <x:si>
    <x:t xml:space="preserve">mhafiz.samsudin@petronas.com.my</x:t>
  </x:si>
  <x:si>
    <x:t xml:space="preserve">The server should be same specification as PTSG-1PWOwb02 (172.25.200.22) at PETRONAS Cloud</x:t>
  </x:si>
  <x:si>
    <x:t xml:space="preserve">Critical for Searah onboarding. Kindly expedite to meet 1st July cutover.</x:t>
  </x:si>
  <x:si>
    <x:t xml:space="preserve">pre-assigned.</x:t>
  </x:si>
  <x:si>
    <x:t xml:space="preserve">REQ000008112895</x:t>
  </x:si>
  <x:si>
    <x:t xml:space="preserve">e9adc685-ea5d-42bf-aacf-1d085a9b4704</x:t>
  </x:si>
  <x:si>
    <x:t xml:space="preserve">490a22b7-0256-40ee-aa08-bbcb9d6f9e27</x:t>
  </x:si>
  <x:si>
    <x:t xml:space="preserve">CSSP10340554</x:t>
  </x:si>
  <x:si>
    <x:t xml:space="preserve">mhizami.norsuhaimi@petronas.com</x:t>
  </x:si>
  <x:si>
    <x:t xml:space="preserve">A-001358</x:t>
  </x:si>
  <x:si>
    <x:t xml:space="preserve">System 1 for ENIGMA SEARAH</x:t>
  </x:si>
  <x:si>
    <x:t xml:space="preserve">SR26937_System1</x:t>
  </x:si>
  <x:si>
    <x:t xml:space="preserve">ENIGMA JV (Production): Implementing New Subscriptions for MacCo_System1</x:t>
  </x:si>
  <x:si>
    <x:t xml:space="preserve">Provisioning of System 1 cloud server for Enigma SEARAH</x:t>
  </x:si>
  <x:si>
    <x:t xml:space="preserve">vm</x:t>
  </x:si>
  <x:si>
    <x:t xml:space="preserve">REQ000008112896</x:t>
  </x:si>
  <x:si>
    <x:t xml:space="preserve">c01f7b4e-08d2-40f6-aed0-5b1979da0b79</x:t>
  </x:si>
  <x:si>
    <x:t xml:space="preserve">68be25ca-9627-4a6f-9c50-424d721f17e6</x:t>
  </x:si>
  <x:si>
    <x:t xml:space="preserve">CSSP10132938</x:t>
  </x:si>
  <x:si>
    <x:t xml:space="preserve">zulfahmi.ibrahim@petronas.com</x:t>
  </x:si>
  <x:si>
    <x:t xml:space="preserve">A-001361</x:t>
  </x:si>
  <x:si>
    <x:t xml:space="preserve">Predictive Revitalization of Instrumentation to Maximize Efficiency - PRIME for ENIGMA SEARAH</x:t>
  </x:si>
  <x:si>
    <x:t xml:space="preserve">SR26937_PRIME</x:t>
  </x:si>
  <x:si>
    <x:t xml:space="preserve">ENIGMA JV (Production): Implementing New Subscriptions for MacCo_PRIME</x:t>
  </x:si>
  <x:si>
    <x:t xml:space="preserve">provisioning of PRIME cloud Server for ENIGMA Searah</x:t>
  </x:si>
  <x:si>
    <x:t xml:space="preserve">vm&amp;sql.</x:t>
  </x:si>
  <x:si>
    <x:t xml:space="preserve">REQ000008113432</x:t>
  </x:si>
  <x:si>
    <x:t xml:space="preserve">02a376be-a31b-41f5-9343-6a84938060c3</x:t>
  </x:si>
  <x:si>
    <x:t xml:space="preserve">7efa880b-53c2-4cf4-aeb1-f17c6223b17c</x:t>
  </x:si>
  <x:si>
    <x:t xml:space="preserve">CSSP10867439</x:t>
  </x:si>
  <x:si>
    <x:t xml:space="preserve">A-001372</x:t>
  </x:si>
  <x:si>
    <x:t xml:space="preserve">Enterprise Document Management System - Power BI for ENIGMA SEARAH</x:t>
  </x:si>
  <x:si>
    <x:t xml:space="preserve">SR26965_POWERBI</x:t>
  </x:si>
  <x:si>
    <x:t xml:space="preserve">ENIGMA JV: Enterprise-Document Management (PowerBI) for MacCo</x:t>
  </x:si>
  <x:si>
    <x:t xml:space="preserve">ENIGMA JV Enterprise-Document Management</x:t>
  </x:si>
  <x:si>
    <x:t xml:space="preserve">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x:t>
  </x:si>
  <x:si>
    <x:t xml:space="preserve">fabric. assigned to medium to include post deployment configuration/access.</x:t>
  </x:si>
  <x:si>
    <x:t xml:space="preserve">REQ000008113433</x:t>
  </x:si>
  <x:si>
    <x:t xml:space="preserve">8473eb18-b858-466f-b18d-da424602c277</x:t>
  </x:si>
  <x:si>
    <x:t xml:space="preserve">f92479e1-5424-4c64-886c-9036443b2214</x:t>
  </x:si>
  <x:si>
    <x:t xml:space="preserve">CSSP10533757</x:t>
  </x:si>
  <x:si>
    <x:t xml:space="preserve">hazmanhadi.mkhirola@petronas.com</x:t>
  </x:si>
  <x:si>
    <x:t xml:space="preserve">A-000083</x:t>
  </x:si>
  <x:si>
    <x:t xml:space="preserve">Aveva</x:t>
  </x:si>
  <x:si>
    <x:t xml:space="preserve">00915_244</x:t>
  </x:si>
  <x:si>
    <x:t xml:space="preserve">Cloud Migration Program - Aveva</x:t>
  </x:si>
  <x:si>
    <x:t xml:space="preserve">nurdoriah.sarim@petronas.com.my</x:t>
  </x:si>
  <x:si>
    <x:t xml:space="preserve">ICT_RFC00222233</x:t>
  </x:si>
  <x:si>
    <x:t xml:space="preserve">Approved, please proceed</x:t>
  </x:si>
  <x:si>
    <x:t xml:space="preserve">nurdoriah.sarim@petronas.com</x:t>
  </x:si>
  <x:si>
    <x:t xml:space="preserve">Proceed as mentioned in the request</x:t>
  </x:si>
  <x:si>
    <x:t xml:space="preserve">REQ000008089397</x:t>
  </x:si>
  <x:si>
    <x:t xml:space="preserve">f57e22a1-0676-40e0-9658-4f70fbe49c4e</x:t>
  </x:si>
  <x:si>
    <x:t xml:space="preserve">34c90753-1002-40a3-a112-d510d55f6d3e</x:t>
  </x:si>
  <x:si>
    <x:t xml:space="preserve">CSSP10881379</x:t>
  </x:si>
  <x:si>
    <x:t xml:space="preserve">A-001362</x:t>
  </x:si>
  <x:si>
    <x:t xml:space="preserve">Predictive Rotating Equipment Analytics - PROTEAN for ENIGMA SEARAH</x:t>
  </x:si>
  <x:si>
    <x:t xml:space="preserve">SR26937_PROTEAN</x:t>
  </x:si>
  <x:si>
    <x:t xml:space="preserve">ENIGMA JV (Production): Implementing New Subscriptions for MacCo_PROTEAN</x:t>
  </x:si>
  <x:si>
    <x:t xml:space="preserve">Cloud Provisioning for PROTEAN SEARAH</x:t>
  </x:si>
  <x:si>
    <x:t xml:space="preserve">multi vm &amp; sql</x:t>
  </x:si>
  <x:si>
    <x:t xml:space="preserve">previously completed</x:t>
  </x:si>
  <x:si>
    <x:t xml:space="preserve">REQ000008113434</x:t>
  </x:si>
  <x:si>
    <x:t xml:space="preserve">fe29589c-031c-4b56-80df-4dfedf3c1975</x:t>
  </x:si>
  <x:si>
    <x:t xml:space="preserve">eef26968-6541-4853-8660-127eeb2fa3e6</x:t>
  </x:si>
  <x:si>
    <x:t xml:space="preserve">CSSP10258689</x:t>
  </x:si>
  <x:si>
    <x:t xml:space="preserve">A-001347</x:t>
  </x:si>
  <x:si>
    <x:t xml:space="preserve">NeTool for ENIGMA SEARAH</x:t>
  </x:si>
  <x:si>
    <x:t xml:space="preserve">SR26947_NeTool</x:t>
  </x:si>
  <x:si>
    <x:t xml:space="preserve">ENIGMA JV: Implementation of Wells System and Data for MacCo - NeTool</x:t>
  </x:si>
  <x:si>
    <x:t xml:space="preserve">To provision the enigma license server for Searah</x:t>
  </x:si>
  <x:si>
    <x:t xml:space="preserve">Supported and approved.</x:t>
  </x:si>
  <x:si>
    <x:t xml:space="preserve">Kindly proceed with deploying the Storage Account (Managed Disk) in Malaysia West, aligned with the other services. It is good to go.</x:t>
  </x:si>
  <x:si>
    <x:t xml:space="preserve">REQ000008113441</x:t>
  </x:si>
  <x:si>
    <x:t xml:space="preserve">1746e1a0-c7b0-49c0-b93c-c7e83491f828</x:t>
  </x:si>
  <x:si>
    <x:t xml:space="preserve">918c0a31-b911-4707-9a6b-69bfdb2eb0e6</x:t>
  </x:si>
  <x:si>
    <x:t xml:space="preserve">CSSP10240410</x:t>
  </x:si>
  <x:si>
    <x:t xml:space="preserve">A-001373</x:t>
  </x:si>
  <x:si>
    <x:t xml:space="preserve">Right Asset Right Player</x:t>
  </x:si>
  <x:si>
    <x:t xml:space="preserve">SR00563</x:t>
  </x:si>
  <x:si>
    <x:t xml:space="preserve">[2026] Technology Consulting for MPM Right Asset Right Player (RARP) Development</x:t>
  </x:si>
  <x:si>
    <x:t xml:space="preserve">aishah.suhaidi@petronas.com.my</x:t>
  </x:si>
  <x:si>
    <x:t xml:space="preserve">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x:t>
  </x:si>
  <x:si>
    <x:t xml:space="preserve">requested for rarp</x:t>
  </x:si>
  <x:si>
    <x:t xml:space="preserve">aishah.suhaidi@petronas.com</x:t>
  </x:si>
  <x:si>
    <x:t xml:space="preserve">DEV CSSP10240410, 
UAT CSSP10814753, 
PROD CSSP10126389
AKS</x:t>
  </x:si>
  <x:si>
    <x:t xml:space="preserve">REQ000008102709</x:t>
  </x:si>
  <x:si>
    <x:t xml:space="preserve">ece45929-4baa-4791-be4e-f8c3b759e5a7</x:t>
  </x:si>
  <x:si>
    <x:t xml:space="preserve">2f0d6952-fc56-49af-94e6-67c685a03b9b</x:t>
  </x:si>
  <x:si>
    <x:t xml:space="preserve">CSSP10814753</x:t>
  </x:si>
  <x:si>
    <x:t xml:space="preserve">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x:t>
  </x:si>
  <x:si>
    <x:t xml:space="preserve">required for rarp</x:t>
  </x:si>
  <x:si>
    <x:t xml:space="preserve">REQ000008102710</x:t>
  </x:si>
  <x:si>
    <x:t xml:space="preserve">7baf90ba-ad7f-4550-9f4c-68fce509825a</x:t>
  </x:si>
  <x:si>
    <x:t xml:space="preserve">CSSP10126389</x:t>
  </x:si>
  <x:si>
    <x:t xml:space="preserve">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x:t>
  </x:si>
  <x:si>
    <x:t xml:space="preserve">REQ000008102711</x:t>
  </x:si>
  <x:si>
    <x:t xml:space="preserve">b84b5a36-28cb-4f6d-8738-368f5f1baafd</x:t>
  </x:si>
  <x:si>
    <x:t xml:space="preserve">CSSP10689195</x:t>
  </x:si>
  <x:si>
    <x:t xml:space="preserve">mahmad.abdsamad@petronas.com</x:t>
  </x:si>
  <x:si>
    <x:t xml:space="preserve">A-001357</x:t>
  </x:si>
  <x:si>
    <x:t xml:space="preserve">Integrated Asset Modelling - IAM for ENIGMA SEARAH</x:t>
  </x:si>
  <x:si>
    <x:t xml:space="preserve">SR26937_IAM</x:t>
  </x:si>
  <x:si>
    <x:t xml:space="preserve">ENIGMA JV (Production): Implementing New Subscriptions for MacCo_IAM</x:t>
  </x:si>
  <x:si>
    <x:t xml:space="preserve">provisioning of IAM-DOFcloud Server for ENIGMA Searah</x:t>
  </x:si>
  <x:si>
    <x:t xml:space="preserve">Approved as it is critical for Searah application onboarding. Kindly expedite to meet 1st July Go-Live timeline.</x:t>
  </x:si>
  <x:si>
    <x:t xml:space="preserve">6x VM</x:t>
  </x:si>
  <x:si>
    <x:t xml:space="preserve">REQ000008113436</x:t>
  </x:si>
  <x:si>
    <x:t xml:space="preserve">48d9dba8-fbe9-47fc-b41e-8f4bcd178425</x:t>
  </x:si>
  <x:si>
    <x:t xml:space="preserve">e2a4626b-dce7-4551-8909-c37544ce5e13</x:t>
  </x:si>
  <x:si>
    <x:t xml:space="preserve">CSSP10679364</x:t>
  </x:si>
  <x:si>
    <x:t xml:space="preserve">liyana.arif@petronas.com</x:t>
  </x:si>
  <x:si>
    <x:t xml:space="preserve">A-001351</x:t>
  </x:si>
  <x:si>
    <x:t xml:space="preserve">Lab Information Management System - LIMS for ENIGMA SEARAH</x:t>
  </x:si>
  <x:si>
    <x:t xml:space="preserve">SR26937_LIMS</x:t>
  </x:si>
  <x:si>
    <x:t xml:space="preserve">ENIGMA JV (Production): Implementing New Subscriptions for MacCo_LIMS</x:t>
  </x:si>
  <x:si>
    <x:t xml:space="preserve">To provision production and development server for SEARAH LIMS</x:t>
  </x:si>
  <x:si>
    <x:t xml:space="preserve">Approved as request is critical for Searah onboarding. Kindly expedite to meet 1st July Go-Live.</x:t>
  </x:si>
  <x:si>
    <x:t xml:space="preserve">Good to go but Azure Key Vault, Defender, Azure Monitor and VNet Peering must be included in the estimation cost.</x:t>
  </x:si>
  <x:si>
    <x:t xml:space="preserve">VM + SQL</x:t>
  </x:si>
  <x:si>
    <x:t xml:space="preserve">REQ000008113440</x:t>
  </x:si>
  <x:si>
    <x:t xml:space="preserve">da7770e1-8755-414e-aae7-12d17670bbc9</x:t>
  </x:si>
  <x:si>
    <x:t xml:space="preserve">80075c55-97f9-4614-8c93-05457e89f4dd</x:t>
  </x:si>
  <x:si>
    <x:t xml:space="preserve">CSSP10856107</x:t>
  </x:si>
  <x:si>
    <x:t xml:space="preserve">Please assist us to provision additional RDS in AWS for our application in DEV environment.</x:t>
  </x:si>
  <x:si>
    <x:t xml:space="preserve">CSSP10846792 - STG CSSP10856107 - DEV</x:t>
  </x:si>
  <x:si>
    <x:t xml:space="preserve">REQ000008113450</x:t>
  </x:si>
  <x:si>
    <x:t xml:space="preserve">1169cf3b-7429-4187-9769-407331a521c9</x:t>
  </x:si>
  <x:si>
    <x:t xml:space="preserve">CSSP10846792</x:t>
  </x:si>
  <x:si>
    <x:t xml:space="preserve">Please assist us to provision additional RDS in AWS for our application in STG environment.</x:t>
  </x:si>
  <x:si>
    <x:t xml:space="preserve">CSSP10846792 - STG
CSSP10856107 - DEV</x:t>
  </x:si>
  <x:si>
    <x:t xml:space="preserve">REQ000008112904</x:t>
  </x:si>
  <x:si>
    <x:t xml:space="preserve">b2b76083-a0d5-49ca-b371-e2308e7baff5</x:t>
  </x:si>
  <x:si>
    <x:t xml:space="preserve">CSSP10346689</x:t>
  </x:si>
  <x:si>
    <x:t xml:space="preserve">Provision new workspace for Prod. BOM please refer to datathon_infratemplate.xlsx. BOM-SANDBOX sheet and Network Design-SANDBOX</x:t>
  </x:si>
  <x:si>
    <x:t xml:space="preserve">Databricks workspace</x:t>
  </x:si>
  <x:si>
    <x:t xml:space="preserve">deployment completed and successfully passed to user for usage</x:t>
  </x:si>
  <x:si>
    <x:t xml:space="preserve">REQ000008129311</x:t>
  </x:si>
  <x:si>
    <x:t xml:space="preserve">07e7c5b9-b52e-4b9d-83b1-d0a0d04a9047</x:t>
  </x:si>
  <x:si>
    <x:t xml:space="preserve">CSSP10156823</x:t>
  </x:si>
  <x:si>
    <x:t xml:space="preserve">kavya.ramamurthy@petronas.com</x:t>
  </x:si>
  <x:si>
    <x:t xml:space="preserve">A-000152</x:t>
  </x:si>
  <x:si>
    <x:t xml:space="preserve">Cyber Security Application Security Testing - ASTFortify</x:t>
  </x:si>
  <x:si>
    <x:t xml:space="preserve">Fortify AST (Application Security Testing) Tool deployment and integration to DevSecOps framework</x:t>
  </x:si>
  <x:si>
    <x:t xml:space="preserve">nurainil.m@petronas.com.my</x:t>
  </x:si>
  <x:si>
    <x:t xml:space="preserve">Fortify AST Tool</x:t>
  </x:si>
  <x:si>
    <x:t xml:space="preserve">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x:t>
  </x:si>
  <x:si>
    <x:t xml:space="preserve">please upload the Azure Calculator for 2 new servers</x:t>
  </x:si>
  <x:si>
    <x:t xml:space="preserve">nurainil.m@petronas.com</x:t>
  </x:si>
  <x:si>
    <x:t xml:space="preserve">018866d2-6805-4206-9278-19021eb0ef40</x:t>
  </x:si>
  <x:si>
    <x:t xml:space="preserve">fe745c87-39fa-457e-a6e4-0ead307871b9</x:t>
  </x:si>
  <x:si>
    <x:t xml:space="preserve">CSSP10408302</x:t>
  </x:si>
  <x:si>
    <x:t xml:space="preserve">ermanfitri.myasin@petronas.com</x:t>
  </x:si>
  <x:si>
    <x:t xml:space="preserve">A-000026</x:t>
  </x:si>
  <x:si>
    <x:t xml:space="preserve">Ansible Enterprise Configuration Management - AECM</x:t>
  </x:si>
  <x:si>
    <x:t xml:space="preserve">PC-00019</x:t>
  </x:si>
  <x:si>
    <x:t xml:space="preserve">Ansible Enterprise Configuration Management</x:t>
  </x:si>
  <x:si>
    <x:t xml:space="preserve">Configuration_Management</x:t>
  </x:si>
  <x:si>
    <x:t xml:space="preserve">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x:t>
  </x:si>
  <x:si>
    <x:t xml:space="preserve">Kindly update the Request Category from New to Upgrade. As the resources are currently running in a Production environment, please also provide the RFC number for tracking and governance purposes.</x:t>
  </x:si>
  <x:si>
    <x:t xml:space="preserve">7abf948a-6b31-4746-8daf-2698ab161815</x:t>
  </x:si>
  <x:si>
    <x:t xml:space="preserve">5b71c260-c058-4ff2-aac6-aebd7824a8fe</x:t>
  </x:si>
  <x:si>
    <x:t xml:space="preserve">CSSP10577126</x:t>
  </x:si>
  <x:si>
    <x:t xml:space="preserve">amalina.arahman@petronas.com</x:t>
  </x:si>
  <x:si>
    <x:t xml:space="preserve">A-001376</x:t>
  </x:si>
  <x:si>
    <x:t xml:space="preserve">Regional Service Management Experience Level Agreement - RSM XLA</x:t>
  </x:si>
  <x:si>
    <x:t xml:space="preserve">PC-00091</x:t>
  </x:si>
  <x:si>
    <x:t xml:space="preserve">Vanguard</x:t>
  </x:si>
  <x:si>
    <x:t xml:space="preserve">ashri.ariffin@petronas.com.my</x:t>
  </x:si>
  <x:si>
    <x:t xml:space="preserve">HRA_eForms</x:t>
  </x:si>
  <x:si>
    <x:t xml:space="preserve">To establish a sustainable AI ecosystem within Regional Service Management (RSM), enabling us to optimise MSP deliverables while aligning with the PETRONAS 2.0 agenda and broader digital transformation objectives.</x:t>
  </x:si>
  <x:si>
    <x:t xml:space="preserve">Approved as essential tools ecosystem within RSM to generate XLA Dashboard (Vanguard) to orchestrate FS services by MSP to regional business operations</x:t>
  </x:si>
  <x:si>
    <x:t xml:space="preserve">ashri.ariffin@petronas.com</x:t>
  </x:si>
  <x:si>
    <x:t xml:space="preserve">REQ000008205947</x:t>
  </x:si>
  <x:si>
    <x:t xml:space="preserve">66d834b6-2e20-4e08-afb9-86b6af4b74bf</x:t>
  </x:si>
  <x:si>
    <x:t xml:space="preserve">ecdfec65-7f82-42cb-9aba-850595e4b416</x:t>
  </x:si>
  <x:si>
    <x:t xml:space="preserve">CSSP10760217</x:t>
  </x:si>
  <x:si>
    <x:t xml:space="preserve">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t>
  </x:si>
  <x:si>
    <x:t xml:space="preserve">Approved. This is for the DIC application.</x:t>
  </x:si>
  <x:si>
    <x:t xml:space="preserve">1x EC2 with outbound port 5432 allowed.</x:t>
  </x:si>
  <x:si>
    <x:t xml:space="preserve">REQ000008129680</x:t>
  </x:si>
  <x:si>
    <x:t xml:space="preserve">6d7d884e-652e-41a2-8609-572a05d927dc</x:t>
  </x:si>
  <x:si>
    <x:t xml:space="preserve">CSSP10980096</x:t>
  </x:si>
  <x:si>
    <x:t xml:space="preserve">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x:t>
  </x:si>
  <x:si>
    <x:t xml:space="preserve">provision compute instance (with virtual network enabled)</x:t>
  </x:si>
  <x:si>
    <x:t xml:space="preserve">We have added three Azure Machine Learning environments and provisioned the required compute instances. I have verified this with Mohamad Syafiq, and the user is able to access them successfully. Hence, the request is being closed.</x:t>
  </x:si>
  <x:si>
    <x:t xml:space="preserve">REQ000008152355</x:t>
  </x:si>
  <x:si>
    <x:t xml:space="preserve">bbd14bb4-2b8c-426b-857a-0e9599551029</x:t>
  </x:si>
  <x:si>
    <x:t xml:space="preserve">CSSP10650272</x:t>
  </x:si>
  <x:si>
    <x:t xml:space="preserve">rinaaniza.mnazri@petronas.com</x:t>
  </x:si>
  <x:si>
    <x:t xml:space="preserve">A-001377</x:t>
  </x:si>
  <x:si>
    <x:t xml:space="preserve">KLCC Data Hub</x:t>
  </x:si>
  <x:si>
    <x:t xml:space="preserve">SR26952</x:t>
  </x:si>
  <x:si>
    <x:t xml:space="preserve">Subscription of PETRONAS Microsoft Fabric for KLCCH</x:t>
  </x:si>
  <x:si>
    <x:t xml:space="preserve">jamie.kee@petronas.com.my</x:t>
  </x:si>
  <x:si>
    <x:t xml:space="preserve">KLCC Digital</x:t>
  </x:si>
  <x:si>
    <x:t xml:space="preserve">To create for all 3 environment
Development
UAT
Production</x:t>
  </x:si>
  <x:si>
    <x:t xml:space="preserve">Approved in line with the stated business requirements and SA's confirmation.</x:t>
  </x:si>
  <x:si>
    <x:t xml:space="preserve">jamie.kee@petronas.com</x:t>
  </x:si>
  <x:si>
    <x:t xml:space="preserve">Good to go. We will create the Resource Group (RG) for Fabric in the Production environment.</x:t>
  </x:si>
  <x:si>
    <x:t xml:space="preserve">REQ000008178969</x:t>
  </x:si>
  <x:si>
    <x:t xml:space="preserve">9f4eb72f-c950-40b7-ad2f-809c8c432953</x:t>
  </x:si>
  <x:si>
    <x:t xml:space="preserve">e8e49670-a7a1-4765-bdfb-232b52ba2b1d</x:t>
  </x:si>
  <x:si>
    <x:t xml:space="preserve">CSSP10626091</x:t>
  </x:si>
  <x:si>
    <x:t xml:space="preserve">tommy.pang@pli-petronas.com</x:t>
  </x:si>
  <x:si>
    <x:t xml:space="preserve">A-000207</x:t>
  </x:si>
  <x:si>
    <x:t xml:space="preserve">Data Fabric Capacity</x:t>
  </x:si>
  <x:si>
    <x:t xml:space="preserve">Migration of SharePoint Phase 2 for PLISB</x:t>
  </x:si>
  <x:si>
    <x:t xml:space="preserve">gary.low@pli-petronas.com</x:t>
  </x:si>
  <x:si>
    <x:t xml:space="preserve">To request that our Power BI Workspaces be upgraded to Fabric Capacity in order to overcome current Power BI Pro license limitations. Please assign to Resource Group PTAZSG-IAC-UAT-SPPLI-BT-RG</x:t>
  </x:si>
  <x:si>
    <x:t xml:space="preserve">Hi Tommy, as discussed, pls proceed.</x:t>
  </x:si>
  <x:si>
    <x:t xml:space="preserve">gary.low@PLI-PETRONAS.COM</x:t>
  </x:si>
  <x:si>
    <x:t xml:space="preserve">Good to go. Please assign to Resource Group PTAZSG-IAC-UAT-SPPLI-BT-RG</x:t>
  </x:si>
  <x:si>
    <x:t xml:space="preserve">provisioning has been completed hence closing the request</x:t>
  </x:si>
  <x:si>
    <x:t xml:space="preserve">REQ000008194633</x:t>
  </x:si>
  <x:si>
    <x:t xml:space="preserve">4ebe31aa-25e2-4a51-9cf5-bec60f933cb8</x:t>
  </x:si>
  <x:si>
    <x:t xml:space="preserve">e6fde82f-4d1d-44b4-8a89-5bff5c39d45b</x:t>
  </x:si>
  <x:si>
    <x:t xml:space="preserve">CSSP10600017</x:t>
  </x:si>
  <x:si>
    <x:t xml:space="preserve">roslilawati.samsu@petronas.com</x:t>
  </x:si>
  <x:si>
    <x:t xml:space="preserve">A-000177</x:t>
  </x:si>
  <x:si>
    <x:t xml:space="preserve">Cyber Security SENTINEL</x:t>
  </x:si>
  <x:si>
    <x:t xml:space="preserve">SR26951</x:t>
  </x:si>
  <x:si>
    <x:t xml:space="preserve">Onboarding of Centralised Log Collector and Security Information &amp; Event Management (SIEM) for SETEL</x:t>
  </x:si>
  <x:si>
    <x:t xml:space="preserve">izayu.ismail@petronas.com.my</x:t>
  </x:si>
  <x:si>
    <x:t xml:space="preserve">SIEM for SETEL</x:t>
  </x:si>
  <x:si>
    <x:t xml:space="preserve">Centralised SIEM onboarding for SETEL Admin Portal and MongoD</x:t>
  </x:si>
  <x:si>
    <x:t xml:space="preserve">this request already completed and already check the resource by user</x:t>
  </x:si>
  <x:si>
    <x:t xml:space="preserve">REQ000008198551</x:t>
  </x:si>
  <x:si>
    <x:t xml:space="preserve">fcc5dfe6-9dcc-40fe-b4d4-3860a3180dfc</x:t>
  </x:si>
  <x:si>
    <x:t xml:space="preserve">12b5d34b-de42-48ce-aff0-ad41155bbc79</x:t>
  </x:si>
  <x:si>
    <x:t xml:space="preserve">CSSP10131317</x:t>
  </x:si>
  <x:si>
    <x:t xml:space="preserve">Please assist in provisioning three (3) servers running RHEL 9 in the existing resource group (PTAZSG-CORE-AECM-RG) following the specifications of 'PTSG-3AECMap01'. The new server names are as follows: 
1. PTAZSG-3AECMap01 
2. PTAZSG-3AECMap02 
3. PTAZSG-3AECMap03</x:t>
  </x:si>
  <x:si>
    <x:t xml:space="preserve">new provisioning has been completed hence closing the request</x:t>
  </x:si>
  <x:si>
    <x:t xml:space="preserve">REQ000008198634</x:t>
  </x:si>
  <x:si>
    <x:t xml:space="preserve">c2761cba-39e3-47ab-8992-8a7ba9972288</x:t>
  </x:si>
  <x:si>
    <x:t xml:space="preserve">CSSP10771930</x:t>
  </x:si>
  <x:si>
    <x:t xml:space="preserve">To create for all 3 environment Development UAT Production</x:t>
  </x:si>
  <x:si>
    <x:t xml:space="preserve">REQ000008178702</x:t>
  </x:si>
  <x:si>
    <x:t xml:space="preserve">63bbf4a4-4fc1-44be-b52c-95c8e9dd50ea</x:t>
  </x:si>
  <x:si>
    <x:t xml:space="preserve">CSSP10166697</x:t>
  </x:si>
  <x:si>
    <x:t xml:space="preserve">REQ000008178968</x:t>
  </x:si>
  <x:si>
    <x:t xml:space="preserve">09ff0ec9-7c77-445c-bb90-fdea8f766cee</x:t>
  </x:si>
  <x:si>
    <x:t xml:space="preserve">CSSP10268716</x:t>
  </x:si>
  <x:si>
    <x:t xml:space="preserve">A-001374</x:t>
  </x:si>
  <x:si>
    <x:t xml:space="preserve">Frontier Firm</x:t>
  </x:si>
  <x:si>
    <x:t xml:space="preserve">SR26854</x:t>
  </x:si>
  <x:si>
    <x:t xml:space="preserve">PDSB Frontier Firm</x:t>
  </x:si>
  <x:si>
    <x:t xml:space="preserve">mazahari.ahmad@petronas.com.my</x:t>
  </x:si>
  <x:si>
    <x:t xml:space="preserve">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x:t>
  </x:si>
  <x:si>
    <x:t xml:space="preserve">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t>
  </x:si>
  <x:si>
    <x:t xml:space="preserve">mazahari.ahmad@petronas.com</x:t>
  </x:si>
  <x:si>
    <x:t xml:space="preserve">Large due to container app and connectivity/environment config.</x:t>
  </x:si>
  <x:si>
    <x:t xml:space="preserve">ticket has been completed. hence closing the request</x:t>
  </x:si>
  <x:si>
    <x:t xml:space="preserve">REQ000008143314</x:t>
  </x:si>
  <x:si>
    <x:t xml:space="preserve">6a3ea0b2-21a7-451c-a21d-3278b4fc6e80</x:t>
  </x:si>
  <x:si>
    <x:t xml:space="preserve">df038705-b8ec-475a-ae96-e8885b8af39f</x:t>
  </x:si>
  <x:si>
    <x:t xml:space="preserve">CSSP10927046</x:t>
  </x:si>
  <x:si>
    <x:t xml:space="preserve">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x:t>
  </x:si>
  <x:si>
    <x:t xml:space="preserve">approved fro compass</x:t>
  </x:si>
  <x:si>
    <x:t xml:space="preserve">Security enhancement/configuration update on existing reverse proxy to address DAST finding. No new resources or complex infrastructure deployment required.</x:t>
  </x:si>
  <x:si>
    <x:t xml:space="preserve">Approved for further processing</x:t>
  </x:si>
  <x:si>
    <x:t xml:space="preserve">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x:t>
  </x:si>
  <x:si>
    <x:t xml:space="preserve">REQ000008172904</x:t>
  </x:si>
  <x:si>
    <x:t xml:space="preserve">7ef25ccc-462c-4838-8845-ab48370f5353</x:t>
  </x:si>
  <x:si>
    <x:t xml:space="preserve">CSSP10514376</x:t>
  </x:si>
  <x:si>
    <x:t xml:space="preserve">zulfakar.mohd@petronas.com.my</x:t>
  </x:si>
  <x:si>
    <x:t xml:space="preserve">Provision of PostgreSQL in Azure myProcure</x:t>
  </x:si>
  <x:si>
    <x:t xml:space="preserve">all good</x:t>
  </x:si>
  <x:si>
    <x:t xml:space="preserve">zulfakar.mohd@petronas.com</x:t>
  </x:si>
  <x:si>
    <x:t xml:space="preserve">This request does not match the associated Project SR number (04343). Kindly provide the correct Project SR number, together with the approved CS BIA, SOW and approved HLD, as supporting evidence for the review.</x:t>
  </x:si>
  <x:si>
    <x:t xml:space="preserve">301fbed9-00e3-4a60-bc88-0ad69be24b98</x:t>
  </x:si>
  <x:si>
    <x:t xml:space="preserve">CSSP10225257</x:t>
  </x:si>
  <x:si>
    <x:t xml:space="preserve">Approved. Please expedite.</x:t>
  </x:si>
  <x:si>
    <x:t xml:space="preserve">Please provide the approved CS BIA, Memo Approval (Business Approval), and the amended HLD with an updated architecture diagram incorporating the newly introduced EC2 instance, as supporting evidence to comply with the Cloud Service Request and Provisioning Guideline v4.0.</x:t>
  </x:si>
  <x:si>
    <x:t xml:space="preserve">399de0c7-8131-4207-a1e8-f3d205848502</x:t>
  </x:si>
  <x:si>
    <x:t xml:space="preserve">CSSP10301150</x:t>
  </x:si>
  <x:si>
    <x:t xml:space="preserve">Workflow update testing..</x:t>
  </x:si>
  <x:si>
    <x:t xml:space="preserve">..</x:t>
  </x:si>
  <x:si>
    <x:t xml:space="preserve">ff15772f-f5d5-4613-a878-a022487e89aa</x:t>
  </x:si>
  <x:si>
    <x:t xml:space="preserve">fa77b7d8-0475-40a0-a3b2-96871420e862</x:t>
  </x:si>
  <x:si>
    <x:t xml:space="preserve">CSSP10868450</x:t>
  </x:si>
  <x:si>
    <x:t xml:space="preserve">sample testing ticket simulation</x:t>
  </x:si>
  <x:si>
    <x:t xml:space="preserve">Ready for provisioning</x:t>
  </x:si>
  <x:si>
    <x:t xml:space="preserve">testing ticket. no need to execute.</x:t>
  </x:si>
  <x:si>
    <x:t xml:space="preserve">REQ000008147456</x:t>
  </x:si>
  <x:si>
    <x:t xml:space="preserve">0fda9f98-a951-4a38-8059-66da8c1366ac</x:t>
  </x:si>
  <x:si>
    <x:t xml:space="preserve">CSSP10838332</x:t>
  </x:si>
  <x:si>
    <x:t xml:space="preserve">OSR00165_10</x:t>
  </x:si>
  <x:si>
    <x:t xml:space="preserve">OSR00165: Procurement and Infrastructure Deployment for Cyber Defense (Pilot Phase) - Mandiant Security Validation (MSV)</x:t>
  </x:si>
  <x:si>
    <x:t xml:space="preserve">Mandiant Security Validation (MSV)</x:t>
  </x:si>
  <x:si>
    <x:t xml:space="preserve">to migrate the MSV instance from AWS SG to AWS MY .
existing IP:
10.85.33.153
10.85.33.150</x:t>
  </x:si>
  <x:si>
    <x:t xml:space="preserve">done by amarja.</x:t>
  </x:si>
  <x:si>
    <x:t xml:space="preserve">REQ000008200697</x:t>
  </x:si>
  <x:si>
    <x:t xml:space="preserve">5c84ae07-84ce-404c-abe7-df8dfc5d5162</x:t>
  </x:si>
  <x:si>
    <x:t xml:space="preserve">5b31886a-f4d6-40ec-ab00-11a357226ae0</x:t>
  </x:si>
  <x:si>
    <x:t xml:space="preserve">CSSP10686696</x:t>
  </x:si>
  <x:si>
    <x:t xml:space="preserve">mfarhan.kamaludin@petronas.com.my</x:t>
  </x:si>
  <x:si>
    <x:t xml:space="preserve">PDSB_Frontier_Firm</x:t>
  </x:si>
  <x:si>
    <x:t xml:space="preserve">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x:t>
  </x:si>
  <x:si>
    <x:t xml:space="preserve">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t>
  </x:si>
  <x:si>
    <x:t xml:space="preserve">mfarhan.kamaludin@petronas.com</x:t>
  </x:si>
  <x:si>
    <x:t xml:space="preserve">The infrastructure provisioning is good to proceed and will be implemented based on 5 use cases (UC). Kindly refer to the requestor's remarks for further details.</x:t>
  </x:si>
  <x:si>
    <x:t xml:space="preserve">REQ000008171474</x:t>
  </x:si>
  <x:si>
    <x:t xml:space="preserve">c01be255-74c1-4aa7-8613-bfff57aa74df</x:t>
  </x:si>
  <x:si>
    <x:t xml:space="preserve">CSSP10692885</x:t>
  </x:si>
  <x:si>
    <x:t xml:space="preserve">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x:t>
  </x:si>
  <x:si>
    <x:t xml:space="preserve">Reviewed and approved. The infrastructure provisioning/change request is justified to migrate the App Service slot runtime from Node.js 20 LTS (Deprecated) to Node.js 22 LTS for the identified environments. Please proceed with implementation in accordance with the requestor's remarks.</x:t>
  </x:si>
  <x:si>
    <x:t xml:space="preserve">I have received confirmation from Mohd. No issues are observed on his end. hence closing the tickets</x:t>
  </x:si>
  <x:si>
    <x:t xml:space="preserve">REQ000008172529</x:t>
  </x:si>
  <x:si>
    <x:t xml:space="preserve">632f682d-9b59-40a8-881e-23bdd630268d</x:t>
  </x:si>
  <x:si>
    <x:t xml:space="preserve">CSSP10141118</x:t>
  </x:si>
  <x:si>
    <x:t xml:space="preserve">mwafiy.omar@petronas.com</x:t>
  </x:si>
  <x:si>
    <x:t xml:space="preserve">Requirement to add additional VMs for Enterprise Observability. Nodes added are covered under Indirect cost as per DISSC.</x:t>
  </x:si>
  <x:si>
    <x:t xml:space="preserve">Requester is asking for 21 VM although provisioning is through click ops, this is considered as large request.</x:t>
  </x:si>
  <x:si>
    <x:t xml:space="preserve">REQ000008172527</x:t>
  </x:si>
  <x:si>
    <x:t xml:space="preserve">d44418db-a8d7-4ebf-ab37-42a1626348c9</x:t>
  </x:si>
  <x:si>
    <x:t xml:space="preserve">CSSP10863248</x:t>
  </x:si>
  <x:si>
    <x:t xml:space="preserve">Appreciate your assistance to provision these resources in the Production environment. The configurations and settings should be similar to our existing resources in STG environment.</x:t>
  </x:si>
  <x:si>
    <x:t xml:space="preserve">0c335b48-5e96-4b98-a06a-e443f1da680e</x:t>
  </x:si>
  <x:si>
    <x:t xml:space="preserve">CSSP10858459</x:t>
  </x:si>
  <x:si>
    <x:t xml:space="preserve">Appreciate your assistance to provision these resources in the Production environment. The configurations and settings should be similar to our existing resources in NonPROD environment. 
Please note that for AWS Glue, the jobs will be temporary and will be used for data migration.</x:t>
  </x:si>
  <x:si>
    <x:t xml:space="preserve">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x:t>
  </x:si>
  <x:si>
    <x:t xml:space="preserve">REQ000008178967</x:t>
  </x:si>
  <x:si>
    <x:t xml:space="preserve">c566327c-bb69-48c7-a486-a1888f478e12</x:t>
  </x:si>
  <x:si>
    <x:t xml:space="preserve">CSSP10656960</x:t>
  </x:si>
  <x:si>
    <x:t xml:space="preserve">Create new RG for Copilot
PTAZSG-COPILOT-DEV-DPPROC-RG
PTAZSG-COPILOT-UAT-DPPROC-RG
PTAZSG-COPILOT-PROD-DPPROC-RG</x:t>
  </x:si>
  <x:si>
    <x:t xml:space="preserve">reviewed</x:t>
  </x:si>
  <x:si>
    <x:t xml:space="preserve">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x:t>
  </x:si>
  <x:si>
    <x:t xml:space="preserve">2805da8e-fd96-47d4-8bbe-23583d6951e3</x:t>
  </x:si>
  <x:si>
    <x:t xml:space="preserve">CSSP10523151</x:t>
  </x:si>
  <x:si>
    <x:t xml:space="preserve">hafidzh.zakaria@petronas.com</x:t>
  </x:si>
  <x:si>
    <x:t xml:space="preserve">P-000050</x:t>
  </x:si>
  <x:si>
    <x:t xml:space="preserve">VMware vCenter RDMZ RTOT</x:t>
  </x:si>
  <x:si>
    <x:t xml:space="preserve">10188_10</x:t>
  </x:si>
  <x:si>
    <x:t xml:space="preserve">VMware vCenter RDMZ RTOT created for PRIVATECLOUD project record</x:t>
  </x:si>
  <x:si>
    <x:t xml:space="preserve">raihan_ahmad@petronas.com.my</x:t>
  </x:si>
  <x:si>
    <x:t xml:space="preserve">CS RTOT</x:t>
  </x:si>
  <x:si>
    <x:t xml:space="preserve">Request to provision new server at L4 KVDC for ABB SRP Wicket.</x:t>
  </x:si>
  <x:si>
    <x:t xml:space="preserve">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x:t>
  </x:si>
  <x:si>
    <x:t xml:space="preserve">105fd04d-e288-4aa4-9271-ae2da8917315</x:t>
  </x:si>
  <x:si>
    <x:t xml:space="preserve">929f57f0-42bd-4d90-baa3-c9a3c07ab2a4</x:t>
  </x:si>
  <x:si>
    <x:t xml:space="preserve">CSSP10313811</x:t>
  </x:si>
  <x:si>
    <x:t xml:space="preserve">To subscribe AI search, Bing Search, Logic Apps and Cold Storage.</x:t>
  </x:si>
  <x:si>
    <x:t xml:space="preserve">REQ000008203405</x:t>
  </x:si>
  <x:si>
    <x:t xml:space="preserve">265579c6-6c87-412e-8ccf-424cbf8eaec1</x:t>
  </x:si>
  <x:si>
    <x:t xml:space="preserve">CSSP10605623</x:t>
  </x:si>
  <x:si>
    <x:t xml:space="preserve">A-001385</x:t>
  </x:si>
  <x:si>
    <x:t xml:space="preserve">DevOps Portal</x:t>
  </x:si>
  <x:si>
    <x:t xml:space="preserve">BY26OPX-23374</x:t>
  </x:si>
  <x:si>
    <x:t xml:space="preserve">syafiqaizat.mohd@petronas.com.my</x:t>
  </x:si>
  <x:si>
    <x:t xml:space="preserve">This is to provision staging environment for DevOps Portal</x:t>
  </x:si>
  <x:si>
    <x:t xml:space="preserve">syafiqaizat.mohd@petronas.com</x:t>
  </x:si>
  <x:si>
    <x:t xml:space="preserve">REQ000008186662</x:t>
  </x:si>
  <x:si>
    <x:t xml:space="preserve">7d519f16-0fa4-4732-a7d8-5e7fba0106a0</x:t>
  </x:si>
  <x:si>
    <x:t xml:space="preserve">9bbf5aca-fa9e-4e30-9718-40189bd45b68</x:t>
  </x:si>
  <x:si>
    <x:t xml:space="preserve">CSSP10694706</x:t>
  </x:si>
  <x:si>
    <x:t xml:space="preserve">mshahrilfikri.alias@petronas.com</x:t>
  </x:si>
  <x:si>
    <x:t xml:space="preserve">A-000794</x:t>
  </x:si>
  <x:si>
    <x:t xml:space="preserve">STEPS Database Migration</x:t>
  </x:si>
  <x:si>
    <x:t xml:space="preserve">PC-00043</x:t>
  </x:si>
  <x:si>
    <x:t xml:space="preserve">SQL Server Test Site for STEPS Database Migration</x:t>
  </x:si>
  <x:si>
    <x:t xml:space="preserve">fatinayusoff@petronas.com</x:t>
  </x:si>
  <x:si>
    <x:t xml:space="preserve">Azure blob storage account for dev environment</x:t>
  </x:si>
  <x:si>
    <x:t xml:space="preserve">Required to improve digital TA execution implementation specifically on storing evidence (testing for development environment)</x:t>
  </x:si>
  <x:si>
    <x:t xml:space="preserve">Provision storage account in "PTAZSG-IAC-DEV-STEPS-PCG-RG" RG.</x:t>
  </x:si>
  <x:si>
    <x:t xml:space="preserve">Need more clarification on resource provision. Please set up the call with IMS-Cloud operation to understand the requirement.</x:t>
  </x:si>
  <x:si>
    <x:t xml:space="preserve">07c30938-4140-42e5-b08c-5429131afe98</x:t>
  </x:si>
  <x:si>
    <x:t xml:space="preserve">7085e9c9-538a-4dd9-b20a-01f26c3a882d</x:t>
  </x:si>
  <x:si>
    <x:t xml:space="preserve">CSSP10152302</x:t>
  </x:si>
  <x:si>
    <x:t xml:space="preserve">A-000693</x:t>
  </x:si>
  <x:si>
    <x:t xml:space="preserve">RNETTS/Frontliner Assessment System FAST</x:t>
  </x:si>
  <x:si>
    <x:t xml:space="preserve">RNETTS interim platform Frontliner Assessment System FAST</x:t>
  </x:si>
  <x:si>
    <x:t xml:space="preserve">RNETTS FAST</x:t>
  </x:si>
  <x:si>
    <x:t xml:space="preserve">To add a new DB named "EPECAS" in current Azure SQL Elastic Pool "ptsg-1rnettfast-ep02". Redundancy set to "Locally-redundant backup storage".</x:t>
  </x:si>
  <x:si>
    <x:t xml:space="preserve">approved for CE team review</x:t>
  </x:si>
  <x:si>
    <x:t xml:space="preserve">A request to create a new Azure SQL Database called EPECAS inside the existing Elastic Pool "ptsg-1rnettfast-ep02" with backup redundancy set to LRS</x:t>
  </x:si>
  <x:si>
    <x:t xml:space="preserve">we have successfully created new DB &amp;azure SQL elastic pool hence closing the ticket</x:t>
  </x:si>
  <x:si>
    <x:t xml:space="preserve">REQ000008186664</x:t>
  </x:si>
  <x:si>
    <x:t xml:space="preserve">4d34fdb7-60d7-4af1-9d63-91d40496e12d</x:t>
  </x:si>
  <x:si>
    <x:t xml:space="preserve">f4e26687-790a-488b-891b-3efd713ec1cb</x:t>
  </x:si>
  <x:si>
    <x:t xml:space="preserve">CSSP10834193</x:t>
  </x:si>
  <x:si>
    <x:t xml:space="preserve">abdhatta.mtalib@petronas.com</x:t>
  </x:si>
  <x:si>
    <x:t xml:space="preserve">A-001387</x:t>
  </x:si>
  <x:si>
    <x:t xml:space="preserve">Resource Management System - RMS</x:t>
  </x:si>
  <x:si>
    <x:t xml:space="preserve">Resource Management System (RMS) for PDSB</x:t>
  </x:si>
  <x:si>
    <x:t xml:space="preserve">PDCR (PETRONAS Digital Centralized Reporting)</x:t>
  </x:si>
  <x:si>
    <x:t xml:space="preserve">Request for provisioning development environment
Updated BOM document privacy</x:t>
  </x:si>
  <x:si>
    <x:t xml:space="preserve">already worked for this request.</x:t>
  </x:si>
  <x:si>
    <x:t xml:space="preserve">REQ000008198546</x:t>
  </x:si>
  <x:si>
    <x:t xml:space="preserve">efe3e234-b5d9-4b52-ba4e-6bf4ab77fa1e</x:t>
  </x:si>
  <x:si>
    <x:t xml:space="preserve">9ba462ef-a033-4733-b7ba-625e8ec22a20</x:t>
  </x:si>
  <x:si>
    <x:t xml:space="preserve">CSSP10444708</x:t>
  </x:si>
  <x:si>
    <x:t xml:space="preserve">Resource Management System (RMS)</x:t>
  </x:si>
  <x:si>
    <x:t xml:space="preserve">Request for provisioning staging/UAT environment
Updated Bill of Material privacy setting to open</x:t>
  </x:si>
  <x:si>
    <x:t xml:space="preserve">REQ000008198547</x:t>
  </x:si>
  <x:si>
    <x:t xml:space="preserve">2fd51979-66ee-4102-be2c-ed1f134ab45b</x:t>
  </x:si>
  <x:si>
    <x:t xml:space="preserve">CSSP10113283</x:t>
  </x:si>
  <x:si>
    <x:t xml:space="preserve">Request for provisioning Production environment
Have removed privacy for BOM documents</x:t>
  </x:si>
  <x:si>
    <x:t xml:space="preserve">REQ000008198548</x:t>
  </x:si>
  <x:si>
    <x:t xml:space="preserve">5098e45f-f471-4a90-bebd-4154672bf929</x:t>
  </x:si>
  <x:si>
    <x:t xml:space="preserve">CSSP10916540</x:t>
  </x:si>
  <x:si>
    <x:t xml:space="preserve">mnizam_ahmad@petronas.com</x:t>
  </x:si>
  <x:si>
    <x:t xml:space="preserve">A-001389</x:t>
  </x:si>
  <x:si>
    <x:t xml:space="preserve">IGA for ENIGMA SEARAH</x:t>
  </x:si>
  <x:si>
    <x:t xml:space="preserve">SR26939_IGA</x:t>
  </x:si>
  <x:si>
    <x:t xml:space="preserve">ENIGMA JV (Infra): ENIgma Cloud Landing Zone Implementation</x:t>
  </x:si>
  <x:si>
    <x:t xml:space="preserve">azizul.a@petronas.com</x:t>
  </x:si>
  <x:si>
    <x:t xml:space="preserve">CS - IAM</x:t>
  </x:si>
  <x:si>
    <x:t xml:space="preserve">For Searah IGA On Premise Gateway</x:t>
  </x:si>
  <x:si>
    <x:t xml:space="preserve">Approved for Searah's IGA deployment</x:t>
  </x:si>
  <x:si>
    <x:t xml:space="preserve">To expedite</x:t>
  </x:si>
  <x:si>
    <x:t xml:space="preserve">VM provisioning has been completed.</x:t>
  </x:si>
  <x:si>
    <x:t xml:space="preserve">REQ000008186660</x:t>
  </x:si>
  <x:si>
    <x:t xml:space="preserve">e5f5c370-bdf0-4787-9302-7d2594db0562</x:t>
  </x:si>
  <x:si>
    <x:t xml:space="preserve">4cc4bd0e-6207-4f6d-9877-cdaa4d931d7f</x:t>
  </x:si>
  <x:si>
    <x:t xml:space="preserve">CSSP10388990</x:t>
  </x:si>
  <x:si>
    <x:t xml:space="preserve">Searah IGA Gateway for Non-Prod</x:t>
  </x:si>
  <x:si>
    <x:t xml:space="preserve">VM provisioning has been done.</x:t>
  </x:si>
  <x:si>
    <x:t xml:space="preserve">REQ000008186285</x:t>
  </x:si>
  <x:si>
    <x:t xml:space="preserve">8da54fc0-26f9-42e2-a16b-5c25e6e5bdfe</x:t>
  </x:si>
  <x:si>
    <x:t xml:space="preserve">CSSP10792747</x:t>
  </x:si>
  <x:si>
    <x:t xml:space="preserve">A-000301</x:t>
  </x:si>
  <x:si>
    <x:t xml:space="preserve">Equipment Reliability Based Stocking - ERBS Analyzers</x:t>
  </x:si>
  <x:si>
    <x:t xml:space="preserve">Development and Deployment of Equipment Reliability Based Stocking (ERBS) Analyzers</x:t>
  </x:si>
  <x:si>
    <x:t xml:space="preserve">ERBS</x:t>
  </x:si>
  <x:si>
    <x:t xml:space="preserve">Provision PostgreSQL Database RDS in PTAWSG-STG-ENVIRONMENT-01 for ERBS</x:t>
  </x:si>
  <x:si>
    <x:t xml:space="preserve">To comply with the Cloud Service Request and Provisioning Guideline v4.0, kindly provide the approved memo/approved email from the Business owner as supporting evidence.</x:t>
  </x:si>
  <x:si>
    <x:t xml:space="preserve">ab16ae25-12e5-4bbb-af55-30df8723eb3a</x:t>
  </x:si>
  <x:si>
    <x:t xml:space="preserve">01f60275-5dc6-4b2c-af19-3c69ca7fbfda</x:t>
  </x:si>
  <x:si>
    <x:t xml:space="preserve">CSSP10583023</x:t>
  </x:si>
  <x:si>
    <x:t xml:space="preserve">A-000629</x:t>
  </x:si>
  <x:si>
    <x:t xml:space="preserve">PETRONAS Licensing and Management System - PLMS</x:t>
  </x:si>
  <x:si>
    <x:t xml:space="preserve">PETRONAS License Management System (PLMS) DevOps FY2024</x:t>
  </x:si>
  <x:si>
    <x:t xml:space="preserve">PLMS</x:t>
  </x:si>
  <x:si>
    <x:t xml:space="preserve">Provision of App service and Azure Cosmos</x:t>
  </x:si>
  <x:si>
    <x:t xml:space="preserve">The requestor has confirmed that this SR should be cancelled because the service was already deployed last year.</x:t>
  </x:si>
  <x:si>
    <x:t xml:space="preserve">df6bcae8-9975-406a-9138-f1854e624893</x:t>
  </x:si>
  <x:si>
    <x:t xml:space="preserve">30913d0f-5423-461a-8436-242eda73c507</x:t>
  </x:si>
  <x:si>
    <x:t xml:space="preserve">CSSP10379301</x:t>
  </x:si>
  <x:si>
    <x:t xml:space="preserve">Appservice and CosmosDB gremelin provision for Staging PLMS</x:t>
  </x:si>
  <x:si>
    <x:t xml:space="preserve">e77a4c8d-7178-4f01-b286-b5c6688c02aa</x:t>
  </x:si>
  <x:si>
    <x:t xml:space="preserve">CSSP10564575</x:t>
  </x:si>
  <x:si>
    <x:t xml:space="preserve">Appservice &amp; CosmosDB gremilin provision for PLMS prod. Please ensure firewall is being able to expose connection to Security group</x:t>
  </x:si>
  <x:si>
    <x:t xml:space="preserve">873a1b46-a826-4d26-82bb-b8b5ebba8919</x:t>
  </x:si>
  <x:si>
    <x:t xml:space="preserve">CSSP10895954</x:t>
  </x:si>
  <x:si>
    <x:t xml:space="preserve">amirulzakuan.azmey@petronas.com</x:t>
  </x:si>
  <x:si>
    <x:t xml:space="preserve">Unified Platform - Trading Digital</x:t>
  </x:si>
  <x:si>
    <x:t xml:space="preserve">Cost: SR25077: ArBitra Software Licenses and Infra 2026
HLD:
https://myea.petronas.com/HLD/HLDDetails?StatusId=2&amp;LandscapePlatformId=2&amp;IsInfrastructureRequiredInput=true&amp;HLDTypeId=2&amp;LandscapeTypeId=1&amp;HLDId=282</x:t>
  </x:si>
  <x:si>
    <x:t xml:space="preserve">REQ000008203404</x:t>
  </x:si>
  <x:si>
    <x:t xml:space="preserve">5a3d5dba-0bf4-4ece-a83c-9f097a769c64</x:t>
  </x:si>
  <x:si>
    <x:t xml:space="preserve">CSSP10883625</x:t>
  </x:si>
  <x:si>
    <x:t xml:space="preserve">ESTRELLA: Migration of Plant Information (PI) System for Vestigo Operatorship Transfer, PI Server Hard Disk Upgrade
RFC planned date/time: 24 July 2026  @  10pm MYT
Server Hostname: PTAWMY-1VTGAP1</x:t>
  </x:si>
  <x:si>
    <x:t xml:space="preserve">ICT_RFC00220622</x:t>
  </x:si>
  <x:si>
    <x:t xml:space="preserve">as per required and approval by Business.</x:t>
  </x:si>
  <x:si>
    <x:t xml:space="preserve">Approved. Noted that this SR is to upgrade the existing storage for the ESTRELLA PI System.</x:t>
  </x:si>
  <x:si>
    <x:t xml:space="preserve">The Data Archive and PI Backup storage for the PTAWMY-1VTGAP1 server was successfully expanded to 2 TB on 24 July 2026, in accordance with ICT_RFC00220622.</x:t>
  </x:si>
  <x:si>
    <x:t xml:space="preserve">REQ000008194339</x:t>
  </x:si>
  <x:si>
    <x:t xml:space="preserve">9f389eda-35f1-4103-94cf-2b2ed511ce74</x:t>
  </x:si>
  <x:si>
    <x:t xml:space="preserve">CSSP10984683</x:t>
  </x:si>
  <x:si>
    <x:t xml:space="preserve">mfakarrudin.abdgani@petronas.com</x:t>
  </x:si>
  <x:si>
    <x:t xml:space="preserve">requesting increase of storage for our GISPRJ instance by 2TB. currently, all system linked to this instance failed to work including ArcGIS Desktop and PiriGIS
IP : 172.25.40.117 ; 
HOSTNAME:PTSG-1GISdb01
Instance : GISPRJ</x:t>
  </x:si>
  <x:si>
    <x:t xml:space="preserve">Approved. Pls proceed the upgrade.TQ</x:t>
  </x:si>
  <x:si>
    <x:t xml:space="preserve">REQ000008203311</x:t>
  </x:si>
  <x:si>
    <x:t xml:space="preserve">0930da21-f4d3-4b86-b9fa-71f75d6e328d</x:t>
  </x:si>
  <x:si>
    <x:t xml:space="preserve">CSSP10825398</x:t>
  </x:si>
  <x:si>
    <x:t xml:space="preserve">To lift and shift following applications resources to Malaysia region
RDS:
ptawsg-1sonadb01
ptawsg-5sonadb01
EC2:
PTAWSG-5SONAap1
PTAWSG-1SONAap1
ALB: 
PTAWSG-PROD-FORTIFY-FrontEnd-ALB</x:t>
  </x:si>
  <x:si>
    <x:t xml:space="preserve">REQ000008200695</x:t>
  </x:si>
  <x:si>
    <x:t xml:space="preserve">60ee25a9-cc6b-4d99-90cf-4c4fffb0aa48</x:t>
  </x:si>
  <x:si>
    <x:t xml:space="preserve">CSSP10162770</x:t>
  </x:si>
  <x:si>
    <x:t xml:space="preserve">A-001386</x:t>
  </x:si>
  <x:si>
    <x:t xml:space="preserve">GSA Nozomi CMC and Guardian System</x:t>
  </x:si>
  <x:si>
    <x:t xml:space="preserve">PC-00092</x:t>
  </x:si>
  <x:si>
    <x:t xml:space="preserve">hasmaniza.mjasni@petronas.com.my</x:t>
  </x:si>
  <x:si>
    <x:t xml:space="preserve">Cyber-Security</x:t>
  </x:si>
  <x:si>
    <x:t xml:space="preserve">to provision below resources for GSA Nozomi CMC and Guardian System into Petronas SOC
- dedicated RG for VMSS, Azure Monitor, Load Balancer &amp; Microsoft Sentinel</x:t>
  </x:si>
  <x:si>
    <x:t xml:space="preserve">hasmaniza.mjasni@petronas.com</x:t>
  </x:si>
  <x:si>
    <x:t xml:space="preserve">12aaeea2-09ae-4290-91dc-16e0b67b87c6</x:t>
  </x:si>
  <x:si>
    <x:t xml:space="preserve">7be4e61e-bbc0-456f-a7c0-650f7cdc261c</x:t>
  </x:si>
  <x:si>
    <x:t xml:space="preserve">CSSP10567299</x:t>
  </x:si>
  <x:si>
    <x:t xml:space="preserve">kumaresan.chandran@petronas.com</x:t>
  </x:si>
  <x:si>
    <x:t xml:space="preserve">A-001390</x:t>
  </x:si>
  <x:si>
    <x:t xml:space="preserve">SenseArco - CACS Inner Layer</x:t>
  </x:si>
  <x:si>
    <x:t xml:space="preserve">SR26848</x:t>
  </x:si>
  <x:si>
    <x:t xml:space="preserve">Tower 3 CACS Technology Refresh for GS</x:t>
  </x:si>
  <x:si>
    <x:t xml:space="preserve">REAL - Implementation of Facial Recognition Server for PETRONAS</x:t>
  </x:si>
  <x:si>
    <x:t xml:space="preserve">Staging for Inner Layer CACS 
HLD link - https://myea.petronas.com/HLD/HLDDetails?StatusId=2&amp;LandscapePlatformId=0&amp;IsInfrastructureRequiredInput=true&amp;HLDTypeId=1&amp;LandscapeTypeId=0&amp;HLDId=1893</x:t>
  </x:si>
  <x:si>
    <x:t xml:space="preserve">2737c234-5256-4c02-88d4-55b6f40253d1</x:t>
  </x:si>
  <x:si>
    <x:t xml:space="preserve">c6b218ea-62aa-4f03-8adf-b00dafd3dc09</x:t>
  </x:si>
  <x:si>
    <x:t xml:space="preserve">CSSP10697905</x:t>
  </x:si>
  <x:si>
    <x:t xml:space="preserve">hazlin.rahmat@petronas.com</x:t>
  </x:si>
  <x:si>
    <x:t xml:space="preserve">A-001269</x:t>
  </x:si>
  <x:si>
    <x:t xml:space="preserve">Copilot Studio PAYG</x:t>
  </x:si>
  <x:si>
    <x:t xml:space="preserve">PC-00082</x:t>
  </x:si>
  <x:si>
    <x:t xml:space="preserve">Enterprise AI Agent Program: 007 License to Transform</x:t>
  </x:si>
  <x:si>
    <x:t xml:space="preserve">mradzuan.abdrahim@petronas.com.my</x:t>
  </x:si>
  <x:si>
    <x:t xml:space="preserve">PLT</x:t>
  </x:si>
  <x:si>
    <x:t xml:space="preserve">Please attach this newly Azure resource group to the subscription: PTAZSG-PROD-COPILOT-ENVIRONMENT</x:t>
  </x:si>
  <x:si>
    <x:t xml:space="preserve">mradzuan.abdrahim@petronas.com</x:t>
  </x:si>
  <x:si>
    <x:t xml:space="preserve">To comply with the Cloud Service Request and Provisioning Guideline v4.0, kindly provide the approved memo/approved email from the Business Owner or Cost-Center Owner as supporting evidence.</x:t>
  </x:si>
  <x:si>
    <x:t xml:space="preserve">c2f76174-bf7c-4d5d-9fa5-47109be4c48d</x:t>
  </x:si>
  <x:si>
    <x:t xml:space="preserve">1f8442a0-ced3-4d43-ad5b-882aa3032e8d</x:t>
  </x:si>
  <x:si>
    <x:t xml:space="preserve">CSSP10233187</x:t>
  </x:si>
  <x:si>
    <x:t xml:space="preserve">Cost: SR25077: ArBitra Software Licenses and Infra 2026 HLD: https://myea.petronas.com/HLD/HLDDetails?StatusId=2&amp;LandscapePlatformId=2&amp;IsInfrastructureRequiredInput=true&amp;HLDTypeId=2&amp;LandscapeTypeId=1&amp;HLDId=282</x:t>
  </x:si>
  <x:si>
    <x:t xml:space="preserve">REQ000008203403</x:t>
  </x:si>
  <x:si>
    <x:t xml:space="preserve">40bdc468-07ca-441f-a388-da52b33b580a</x:t>
  </x:si>
  <x:si>
    <x:t xml:space="preserve">CSSP10245235</x:t>
  </x:si>
  <x:si>
    <x:t xml:space="preserve">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x:t>
  </x:si>
  <x:si>
    <x:t xml:space="preserve">Approved as required for RSU</x:t>
  </x:si>
  <x:si>
    <x:t xml:space="preserve">REQ000008203402</x:t>
  </x:si>
  <x:si>
    <x:t xml:space="preserve">c6f76a57-d97b-474b-b446-01c65381b1b3</x:t>
  </x:si>
  <x:si>
    <x:t xml:space="preserve">CSSP10865009</x:t>
  </x:si>
  <x:si>
    <x:t xml:space="preserve">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x:t>
  </x:si>
  <x:si>
    <x:t xml:space="preserve">Approved as required for completion of RSU</x:t>
  </x:si>
  <x:si>
    <x:t xml:space="preserve">REQ000008203401</x:t>
  </x:si>
  <x:si>
    <x:t xml:space="preserve">293fafd6-7465-4a5f-9c4e-d9c28fc446d6</x:t>
  </x:si>
  <x:si>
    <x:t xml:space="preserve">CSSP10990776</x:t>
  </x:si>
  <x:si>
    <x:t xml:space="preserve">A-001391</x:t>
  </x:si>
  <x:si>
    <x:t xml:space="preserve">Cyber Security MDASH Security Exposure Management</x:t>
  </x:si>
  <x:si>
    <x:t xml:space="preserve">PC-00093</x:t>
  </x:si>
  <x:si>
    <x:t xml:space="preserve">MDash Implementation</x:t>
  </x:si>
  <x:si>
    <x:t xml:space="preserve">ahmedjamal.khan@petronas.com</x:t>
  </x:si>
  <x:si>
    <x:t xml:space="preserve">MDash_Implementation</x:t>
  </x:si>
  <x:si>
    <x:t xml:space="preserve">SandboxPocIsolated</x:t>
  </x:si>
  <x:si>
    <x:t xml:space="preserve">MDASH POC deployment</x:t>
  </x:si>
  <x:si>
    <x:t xml:space="preserve">To proceed</x:t>
  </x:si>
  <x:si>
    <x:t xml:space="preserve">As Discussed with M Haslan Abu Hassan (IS/DIGITAL), he will proceed with the deployment for this request, hence closing the request.</x:t>
  </x:si>
  <x:si>
    <x:t xml:space="preserve">REQ000008198538</x:t>
  </x:si>
  <x:si>
    <x:t xml:space="preserve">434595d8-a399-427d-ab35-d2864d6fa25a</x:t>
  </x:si>
  <x:si>
    <x:t xml:space="preserve">b4b92a67-3619-4867-a01b-61ac70e565e0</x:t>
  </x:si>
  <x:si>
    <x:t xml:space="preserve">CSSP10530003</x:t>
  </x:si>
  <x:si>
    <x:t xml:space="preserve">faiz.khairuddin@petronas.com</x:t>
  </x:si>
  <x:si>
    <x:t xml:space="preserve">A-000198</x:t>
  </x:si>
  <x:si>
    <x:t xml:space="preserve">Data Centre Automation - DCA</x:t>
  </x:si>
  <x:si>
    <x:t xml:space="preserve">PC-00050</x:t>
  </x:si>
  <x:si>
    <x:t xml:space="preserve">DCA v2 Implementation at Cloud</x:t>
  </x:si>
  <x:si>
    <x:t xml:space="preserve">vivek.yadav@petronas.com</x:t>
  </x:si>
  <x:si>
    <x:t xml:space="preserve">DCA new resources at Malaysia (Repat)</x:t>
  </x:si>
  <x:si>
    <x:t xml:space="preserve">Proceed with infra provisioning in Malaysia region.</x:t>
  </x:si>
  <x:si>
    <x:t xml:space="preserve">To proceed with the provisioning for repat and confirm with requestor.</x:t>
  </x:si>
  <x:si>
    <x:t xml:space="preserve">REQ000008203309</x:t>
  </x:si>
  <x:si>
    <x:t xml:space="preserve">c7339977-1f3d-45c7-a188-5496081d7513</x:t>
  </x:si>
  <x:si>
    <x:t xml:space="preserve">fd156c81-7a2a-4a42-b7cd-bf5867e8cc62</x:t>
  </x:si>
  <x:si>
    <x:t xml:space="preserve">CSSP10635363</x:t>
  </x:si>
  <x:si>
    <x:t xml:space="preserve">A-000587</x:t>
  </x:si>
  <x:si>
    <x:t xml:space="preserve">Plant Information - PI PCMTBE</x:t>
  </x:si>
  <x:si>
    <x:t xml:space="preserve">Plant Information - PI PCMTBE created for AWS KVDC migration project</x:t>
  </x:si>
  <x:si>
    <x:t xml:space="preserve">Plant Information PI Initiative</x:t>
  </x:si>
  <x:si>
    <x:t xml:space="preserve">AWS resources that will be carry from KVDC</x:t>
  </x:si>
  <x:si>
    <x:t xml:space="preserve">REQ000008203305</x:t>
  </x:si>
  <x:si>
    <x:t xml:space="preserve">9bf3695d-29d7-48d3-ac48-229e6dbc88b3</x:t>
  </x:si>
  <x:si>
    <x:t xml:space="preserve">682922ab-c9d8-4d11-8419-75e780aefc23</x:t>
  </x:si>
  <x:si>
    <x:t xml:space="preserve">CSSP10432260</x:t>
  </x:si>
  <x:si>
    <x:t xml:space="preserve">ainasyakirah.jamil@petronas.com</x:t>
  </x:si>
  <x:si>
    <x:t xml:space="preserve">A-001388</x:t>
  </x:si>
  <x:si>
    <x:t xml:space="preserve">Operational Excellence Incident​ Management - OEIM​</x:t>
  </x:si>
  <x:si>
    <x:t xml:space="preserve">SR26927</x:t>
  </x:si>
  <x:si>
    <x:t xml:space="preserve">Operational Excellence Incident​ Management (OEIM)</x:t>
  </x:si>
  <x:si>
    <x:t xml:space="preserve">Operational Excellence Incident Management (OEIM)</x:t>
  </x:si>
  <x:si>
    <x:t xml:space="preserve">New Azure cloud provision for SR 26927 OEIM</x:t>
  </x:si>
  <x:si>
    <x:t xml:space="preserve">a91e1e5c-5f8d-4d83-ad0d-b7ef787ec94e</x:t>
  </x:si>
  <x:si>
    <x:t xml:space="preserve">7ad81e20-5df2-4449-8503-dfe7410aa3cd</x:t>
  </x:si>
  <x:si>
    <x:t xml:space="preserve">CSSP10848695</x:t>
  </x:si>
  <x:si>
    <x:t xml:space="preserve">Completed by rasaya</x:t>
  </x:si>
  <x:si>
    <x:t xml:space="preserve">REQ000008201676</x:t>
  </x:si>
  <x:si>
    <x:t xml:space="preserve">7c58810c-339b-491f-8c68-cd4743b7d320</x:t>
  </x:si>
  <x:si>
    <x:t xml:space="preserve">CSSP10755207</x:t>
  </x:si>
  <x:si>
    <x:t xml:space="preserve">Provisioning new Azure server as a part of project requirement under Service Request 26927 -  Operational Excellence Incident Management (OEIM)</x:t>
  </x:si>
  <x:si>
    <x:t xml:space="preserve">REQ000008203308</x:t>
  </x:si>
  <x:si>
    <x:t xml:space="preserve">00868ed2-4e97-4b53-9872-832e5c46714c</x:t>
  </x:si>
  <x:si>
    <x:t xml:space="preserve">CSSP10939855</x:t>
  </x:si>
  <x:si>
    <x:t xml:space="preserve">provision for OEIM Dev server under SR026927 OEIM</x:t>
  </x:si>
  <x:si>
    <x:t xml:space="preserve">REQ000008216414</x:t>
  </x:si>
  <x:si>
    <x:t xml:space="preserve">6c667586-5d49-46f6-b361-3270239682ee</x:t>
  </x:si>
  <x:si>
    <x:t xml:space="preserve">CSSP10983109</x:t>
  </x:si>
  <x:si>
    <x:t xml:space="preserve">1) The JumpBox will be provisioned in
Subscription :PTAZMY-IAC-NONPROD-CORPORATE ENVIRONMENT
SubID: 7010bdd1-9b56-4c70-9c3b-07f5898d5e70 
2) A total of 6 JumpBox will be provisioned.</x:t>
  </x:si>
  <x:si>
    <x:t xml:space="preserve">9bb2bbb2-6784-4d7b-a74f-af4cff6df78b</x:t>
  </x:si>
  <x:si>
    <x:t xml:space="preserve">CSSP10466644</x:t>
  </x:si>
  <x:si>
    <x:t xml:space="preserve">1) The JumpBox will be provisioned in Subscription :PTAZMY-IAC-NONPROD-CORPORATE ENVIRONMENT SubID: 7010bdd1-9b56-4c70-9c3b-07f5898d5e70 2) A total of 6 JumpBox will be provisioned.</x:t>
  </x:si>
  <x:si>
    <x:t xml:space="preserve">Approved as required for Frontier Firm Deployment to DEV. 6 Total Vm needs to be procured</x:t>
  </x:si>
  <x:si>
    <x:t xml:space="preserve">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x:t>
  </x:si>
  <x:si>
    <x:t xml:space="preserve">REQ000008220895</x:t>
  </x:si>
  <x:si>
    <x:t xml:space="preserve">31771bc8-56f0-4bdf-86cf-3aff83a3a8b1</x:t>
  </x:si>
  <x:si>
    <x:t xml:space="preserve">CSSP10678891</x:t>
  </x:si>
  <x:si>
    <x:t xml:space="preserve">santhosh.gopal@petronas.com</x:t>
  </x:si>
  <x:si>
    <x:t xml:space="preserve">shahrulrizal.said@petronas.com.my</x:t>
  </x:si>
  <x:si>
    <x:t xml:space="preserve">HIP Smart Advisor</x:t>
  </x:si>
  <x:si>
    <x:t xml:space="preserve">This request is to provision Azure Container apps in development environment for existing resource group
PTAZSG-DEV-HIPVISION-SA-RG</x:t>
  </x:si>
  <x:si>
    <x:t xml:space="preserve">135d78c1-109d-4294-817b-27796c2306fa</x:t>
  </x:si>
  <x:si>
    <x:t xml:space="preserve">CSSP10836507</x:t>
  </x:si>
  <x:si>
    <x:t xml:space="preserve">To provision new server at L4 Cloud. LLD has been approved but previous request has been rejected due to request to provision new server at KVDC.
Therefore, need to provision at Cloud. Will amend the LLD once got the IP Cloud.</x:t>
  </x:si>
  <x:si>
    <x:t xml:space="preserve">3673ac55-ee65-4068-b254-29d8ef9615c2</x:t>
  </x:si>
  <x:si>
    <x:t xml:space="preserve">CSSP10753669</x:t>
  </x:si>
  <x:si>
    <x:t xml:space="preserve">M-000032</x:t>
  </x:si>
  <x:si>
    <x:t xml:space="preserve">Serviceware Financial</x:t>
  </x:si>
  <x:si>
    <x:t xml:space="preserve">03736_MP</x:t>
  </x:si>
  <x:si>
    <x:t xml:space="preserve">BG2B: Project Genesis Phase 2 Implementation for PDSB (Marketplace)</x:t>
  </x:si>
  <x:si>
    <x:t xml:space="preserve">ITFM</x:t>
  </x:si>
  <x:si>
    <x:t xml:space="preserve">To provision a new Azure SQL , Please create a new RG.</x:t>
  </x:si>
  <x:si>
    <x:t xml:space="preserve">Azure SQL acts as the central data repository, while Power BI consumes and visualizes the data from Azure SQL for reporting and analytics purposes.</x:t>
  </x:si>
  <x:si>
    <x:t xml:space="preserve">REQ000008229245</x:t>
  </x:si>
  <x:si>
    <x:t xml:space="preserve">897ca5be-dbdf-48f3-bc62-80f8470c1492</x:t>
  </x:si>
  <x:si>
    <x:t xml:space="preserve">6920df5a-97a4-40d8-89c3-47a0395aec91</x:t>
  </x:si>
  <x:si>
    <x:t xml:space="preserve">CSSP10466348</x:t>
  </x:si>
  <x:si>
    <x:t xml:space="preserve">This request is to provision Azure container apps in development environment for existing resource group
PTAZSG-DEV-HIPVISION-SA-RG</x:t>
  </x:si>
  <x:si>
    <x:t xml:space="preserve">Provision and deploy Azure Container Apps in the Development environment under the existing resource group PTAZSG-DEV-HIPVISION-SA-RG.</x:t>
  </x:si>
  <x:si>
    <x:t xml:space="preserve">REQ000008229244</x:t>
  </x:si>
  <x:si>
    <x:t xml:space="preserve">3be6544f-585a-4fda-a75a-4ee303bb1281</x:t>
  </x:si>
  <x:si>
    <x:t xml:space="preserve">CSSP10760755</x:t>
  </x:si>
  <x:si>
    <x:t xml:space="preserve">To provision new server at L4 Cloud. LLD has been approved but previous request has been rejected due to request to provision new server at KVDC. Therefore, need to provision at Cloud. Will amend the LLD once got the IP Cloud.</x:t>
  </x:si>
  <x:si>
    <x:t xml:space="preserve">87604950-6318-4086-9581-1519b93b1deb</x:t>
  </x:si>
  <x:si>
    <x:t xml:space="preserve">CSSP10474210</x:t>
  </x:si>
  <x:si>
    <x:t xml:space="preserve">nurulain.mmahamad@petronas.com</x:t>
  </x:si>
  <x:si>
    <x:t xml:space="preserve">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x:t>
  </x:si>
  <x:si>
    <x:t xml:space="preserve">Approved, please proceed.</x:t>
  </x:si>
  <x:si>
    <x:t xml:space="preserve">As discussed, please amend the estimated cost and include the affected servers (ptmy-4agnespma1 - 10.176.48.6) in the request details.</x:t>
  </x:si>
  <x:si>
    <x:t xml:space="preserve">3937c261-cba8-48b1-a709-a2fc329dc613</x:t>
  </x:si>
  <x:si>
    <x:t xml:space="preserve">CSSP10184564</x:t>
  </x:si>
  <x:si>
    <x:t xml:space="preserve">norsuriawani.m@petronas.com</x:t>
  </x:si>
  <x:si>
    <x:t xml:space="preserve">A-000696</x:t>
  </x:si>
  <x:si>
    <x:t xml:space="preserve">Robotic Process Automation - RPA GHRM</x:t>
  </x:si>
  <x:si>
    <x:t xml:space="preserve">00669_GHRS</x:t>
  </x:si>
  <x:si>
    <x:t xml:space="preserve">Implementation of Robotic Process Automation (RPA) (Wave 1) for GHRS</x:t>
  </x:si>
  <x:si>
    <x:t xml:space="preserve">mtariq.tahreb@petronas.com</x:t>
  </x:si>
  <x:si>
    <x:t xml:space="preserve">Implementation of RPA (Wave 4) for GHRS</x:t>
  </x:si>
  <x:si>
    <x:t xml:space="preserve">ICT_RFC00224898
Data Disk expansion about 1TB (Total Targeted F drive is 4TB) .
1.  172.25.40.60 (PTSG-1RPAdb1)
2.  172.25.40.61 (PTSG-1RPAdb2)</x:t>
  </x:si>
  <x:si>
    <x:t xml:space="preserve">ICT_RFC00224898</x:t>
  </x:si>
  <x:si>
    <x:t xml:space="preserve">1f65692d-ab91-42ae-9d20-07359793931e</x:t>
  </x:si>
  <x:si>
    <x:t xml:space="preserve">1848779f-7cff-4757-bda2-32c4b343c8f1</x:t>
  </x:si>
  <x:si>
    <x:t xml:space="preserve">CSSP10965023</x:t>
  </x:si>
  <x:si>
    <x:t xml:space="preserve">ICT_RFC00224898 Data Disk expansion about 1TB (Total Targeted F drive is 4TB)
Server: 
1. 172.25.40.60 (PTSG-1RPAdb1)
2. 172.25.40.61 (PTSG-1RPAdb2)</x:t>
  </x:si>
  <x:si>
    <x:t xml:space="preserve">REQ000008239681</x:t>
  </x:si>
  <x:si>
    <x:t xml:space="preserve">e06f558c-2c68-4fb8-afcd-86e412e61954</x:t>
  </x:si>
  <x:si>
    <x:t xml:space="preserve">CSSP10156093</x:t>
  </x:si>
  <x:si>
    <x:t xml:space="preserve">Please assist us to provision additional RDS instances in AWS for our application in DEV environment.</x:t>
  </x:si>
  <x:si>
    <x:t xml:space="preserve">Reuse existing RDS.</x:t>
  </x:si>
  <x:si>
    <x:t xml:space="preserve">04977570-7bc2-4af2-870e-e64f5399604d</x:t>
  </x:si>
  <x:si>
    <x:t xml:space="preserve">CSSP10338229</x:t>
  </x:si>
  <x:si>
    <x:t xml:space="preserve">Please assist us to provision additional RDS instances in AWS for our application in Staging/UAT environment.</x:t>
  </x:si>
  <x:si>
    <x:t xml:space="preserve">Use existing provisioned RDS</x:t>
  </x:si>
  <x:si>
    <x:t xml:space="preserve">72c8850a-6fb0-498f-aea9-abb665ecba13</x:t>
  </x:si>
  <x:si>
    <x:t xml:space="preserve">CSSP10970274</x:t>
  </x:si>
  <x:si>
    <x:t xml:space="preserve">izwan.othman@petronas.com</x:t>
  </x:si>
  <x:si>
    <x:t xml:space="preserve">A-001394</x:t>
  </x:si>
  <x:si>
    <x:t xml:space="preserve">Zentory+</x:t>
  </x:si>
  <x:si>
    <x:t xml:space="preserve">PC-00095</x:t>
  </x:si>
  <x:si>
    <x:t xml:space="preserve">Zentory+ Integration Layer</x:t>
  </x:si>
  <x:si>
    <x:t xml:space="preserve">che.nurhashimah@petronas.com</x:t>
  </x:si>
  <x:si>
    <x:t xml:space="preserve">ZentoryPlus Support Team</x:t>
  </x:si>
  <x:si>
    <x:t xml:space="preserve">New enhancement to provision for azure cloud integration layer between SAP SFTP and Zentory+ in IBM Cloud</x:t>
  </x:si>
  <x:si>
    <x:t xml:space="preserve">d2978604-92f0-4f18-8379-bde968933cf3</x:t>
  </x:si>
  <x:si>
    <x:t xml:space="preserve">04ffe0cb-4e2c-4705-8ffe-0732e09732e7</x:t>
  </x:si>
  <x:si>
    <x:t xml:space="preserve">CSSP10390950</x:t>
  </x:si>
  <x:si>
    <x:t xml:space="preserve">hoongkum.chan@petronas.com.my</x:t>
  </x:si>
  <x:si>
    <x:t xml:space="preserve">Provisioning of Infrastructure for Prosource and Qumulo for UTDI</x:t>
  </x:si>
  <x:si>
    <x:t xml:space="preserve">To request for temporary Azure VM to support the post stack data migration from Azure SG to Azure MW.
Provisioning Basis: Temporary migration scale-up to increase throughput and reduce overall migration lead time</x:t>
  </x:si>
  <x:si>
    <x:t xml:space="preserve">Approved as per project requirements</x:t>
  </x:si>
  <x:si>
    <x:t xml:space="preserve">Provision 3-units of Azure VM in PTAZMY-IAC-PROD-PROSOURCE-RG</x:t>
  </x:si>
  <x:si>
    <x:t xml:space="preserve">REQ000008244218</x:t>
  </x:si>
  <x:si>
    <x:t xml:space="preserve">178db113-a318-43c0-928c-317540c300ec</x:t>
  </x:si>
  <x:si>
    <x:t xml:space="preserve">CSSP10201868</x:t>
  </x:si>
  <x:si>
    <x:t xml:space="preserve">rabiatul.mohamad@petronas.com.my</x:t>
  </x:si>
  <x:si>
    <x:t xml:space="preserve">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x:t>
  </x:si>
  <x:si>
    <x:t xml:space="preserve">Agreed as per discussed with the team to increase the server size.</x:t>
  </x:si>
  <x:si>
    <x:t xml:space="preserve">REQ000008243606</x:t>
  </x:si>
  <x:si>
    <x:t xml:space="preserve">b7800796-bb8c-4f92-87f5-a61bd10d3d6d</x:t>
  </x:si>
  <x:si>
    <x:t xml:space="preserve">CSSP10538665</x:t>
  </x:si>
  <x:si>
    <x:t xml:space="preserve">nurshazareena.zait@petronas.com</x:t>
  </x:si>
  <x:si>
    <x:t xml:space="preserve">A-001375</x:t>
  </x:si>
  <x:si>
    <x:t xml:space="preserve">PETRONAS Data Fabric</x:t>
  </x:si>
  <x:si>
    <x:t xml:space="preserve">PC-00090</x:t>
  </x:si>
  <x:si>
    <x:t xml:space="preserve">PETRONAS Data Governance</x:t>
  </x:si>
  <x:si>
    <x:t xml:space="preserve">azmir.ghazali@petronas.com.my</x:t>
  </x:si>
  <x:si>
    <x:t xml:space="preserve">PETRONAS Data Portal</x:t>
  </x:si>
  <x:si>
    <x:t xml:space="preserve">The estimated amount is based on a 12-month calculation.</x:t>
  </x:si>
  <x:si>
    <x:t xml:space="preserve">Approved as per discussed</x:t>
  </x:si>
  <x:si>
    <x:t xml:space="preserve">azmir.ghazali@petronas.com</x:t>
  </x:si>
  <x:si>
    <x:t xml:space="preserve">Fabric SKU F64</x:t>
  </x:si>
  <x:si>
    <x:t xml:space="preserve">REQ000008244220</x:t>
  </x:si>
  <x:si>
    <x:t xml:space="preserve">677e41e4-47ef-4ca3-b902-47051af01af6</x:t>
  </x:si>
  <x:si>
    <x:t xml:space="preserve">c23768f0-bd18-4c87-b327-ae84e153bb75</x:t>
  </x:si>
  <x:si>
    <x:t xml:space="preserve">CSSP10953253</x:t>
  </x:si>
  <x:si>
    <x:t xml:space="preserve">Reviewed, as discussed with the team, please proceed.</x:t>
  </x:si>
  <x:si>
    <x:t xml:space="preserve">REQ000008243784</x:t>
  </x:si>
  <x:si>
    <x:t xml:space="preserve">c200d204-88c4-42c5-8654-d4d1ac6bcc8e</x:t>
  </x:si>
  <x:si>
    <x:t xml:space="preserve">CSSP10506137</x:t>
  </x:si>
  <x:si>
    <x:t xml:space="preserve">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x:t>
  </x:si>
  <x:si>
    <x:t xml:space="preserve">087dda70-79d1-4464-8c19-a6298767d607</x:t>
  </x:si>
  <x:si>
    <x:t xml:space="preserve">CSSP10675946</x:t>
  </x:si>
  <x:si>
    <x:t xml:space="preserve">Reviewed, please proceed.</x:t>
  </x:si>
  <x:si>
    <x:t xml:space="preserve">1d3292b5-fbec-4dcc-8ac9-7d1128280796</x:t>
  </x:si>
  <x:si>
    <x:t xml:space="preserve">CSSP10690264</x:t>
  </x:si>
  <x:si>
    <x:t xml:space="preserve">hannizatherina@petronas.com</x:t>
  </x:si>
  <x:si>
    <x:t xml:space="preserve">A-001396</x:t>
  </x:si>
  <x:si>
    <x:t xml:space="preserve">Downstream AI Innovation Sandbox</x:t>
  </x:si>
  <x:si>
    <x:t xml:space="preserve">PC-00096</x:t>
  </x:si>
  <x:si>
    <x:t xml:space="preserve">Downstream Technology, Innovation &amp; Digital</x:t>
  </x:si>
  <x:si>
    <x:t xml:space="preserve">hafidah_yazam@petronas.com</x:t>
  </x:si>
  <x:si>
    <x:t xml:space="preserve">DownstreamEVP</x:t>
  </x:si>
  <x:si>
    <x:t xml:space="preserve">Sandbox environment for Downstream</x:t>
  </x:si>
  <x:si>
    <x:t xml:space="preserve">Approved for Downstream usage.</x:t>
  </x:si>
  <x:si>
    <x:t xml:space="preserve">2f9598e5-fcd4-47e6-8380-a1fae67c87bb</x:t>
  </x:si>
  <x:si>
    <x:t xml:space="preserve">a767aecf-2fb6-400d-980b-2583fb70ec7f</x:t>
  </x:si>
  <x:si>
    <x:t xml:space="preserve">CSSP10933294</x:t>
  </x:si>
  <x:si>
    <x:t xml:space="preserve">Centralised SIEM onboarding for SETEL Admin Portal and MongoDB -reprovisioning.</x:t>
  </x:si>
  <x:si>
    <x:t xml:space="preserve">Project Initial Provisioning Request</x:t>
  </x:si>
  <x:si>
    <x:t xml:space="preserve">Please consult Jismi Jesmani (CS/DIGITAL) for further clarification.</x:t>
  </x:si>
</x:sst>
</file>

<file path=xl/styles.xml><?xml version="1.0" encoding="utf-8"?>
<x:styleSheet xmlns:x="http://schemas.openxmlformats.org/spreadsheetml/2006/main">
  <x:numFmts count="5">
    <x:numFmt numFmtId="164" formatCode="yyyy\-mm\-dd\ hh:mm"/>
    <x:numFmt numFmtId="165" formatCode="yyyy\-mm\-dd"/>
    <x:numFmt numFmtId="200" formatCode="yyyy-mm-dd hh:mm"/>
    <x:numFmt numFmtId="201" formatCode="yyyy-mm-dd"/>
    <x:numFmt numFmtId="202" formatCode="0%"/>
  </x:numFmts>
  <x:fonts count="27">
    <x:font>
      <x:sz val="11"/>
      <x:name val="Carlito"/>
    </x:font>
    <x:font>
      <x:b/>
      <x:sz val="18"/>
      <x:color rgb="FFFFFFFF"/>
      <x:name val="Calibri"/>
    </x:font>
    <x:font>
      <x:sz val="11"/>
      <x:name val="Calibri"/>
    </x:font>
    <x:font>
      <x:i/>
      <x:sz val="10"/>
      <x:color rgb="FF003B49"/>
      <x:name val="Calibri"/>
    </x:font>
    <x:font>
      <x:b/>
      <x:sz val="12"/>
      <x:color rgb="FFFFFFFF"/>
      <x:name val="Calibri"/>
    </x:font>
    <x:font>
      <x:b/>
      <x:sz val="11"/>
      <x:color rgb="FFFFFFFF"/>
      <x:name val="Calibri"/>
    </x:font>
    <x:font>
      <x:b/>
      <x:sz val="11"/>
      <x:color rgb="FF003B49"/>
      <x:name val="Calibri"/>
    </x:font>
    <x:font>
      <x:b/>
      <x:sz val="12"/>
      <x:color rgb="FFD64545"/>
      <x:name val="Calibri"/>
    </x:font>
    <x:font>
      <x:i/>
      <x:sz val="11"/>
      <x:color rgb="FF6B7280"/>
      <x:name val="Calibri"/>
    </x:font>
    <x:font>
      <x:b/>
      <x:sz val="10"/>
      <x:color rgb="FF003B49"/>
      <x:name val="Calibri"/>
    </x:font>
    <x:font>
      <x:b/>
      <x:sz val="24"/>
      <x:color rgb="FF003B49"/>
      <x:name val="Calibri"/>
    </x:font>
    <x:font>
      <x:b/>
      <x:sz val="24"/>
      <x:color rgb="FF2E7D32"/>
      <x:name val="Calibri"/>
    </x:font>
    <x:font>
      <x:b/>
      <x:sz val="24"/>
      <x:color rgb="FFD64545"/>
      <x:name val="Calibri"/>
    </x:font>
    <x:font>
      <x:b/>
      <x:sz val="18"/>
      <x:color rgb="FFFFFFFF"/>
      <x:name val="Carlito"/>
    </x:font>
    <x:font>
      <x:i/>
      <x:sz val="11"/>
      <x:color rgb="FF004C5B"/>
      <x:name val="Carlito"/>
    </x:font>
    <x:font>
      <x:b/>
      <x:sz val="11"/>
      <x:color rgb="FFFFFFFF"/>
      <x:name val="Carlito"/>
    </x:font>
    <x:font>
      <x:b/>
      <x:sz val="11"/>
      <x:color rgb="FF004C5B"/>
      <x:name val="Carlito"/>
    </x:font>
    <x:font>
      <x:b/>
      <x:sz val="11"/>
      <x:color rgb="FF15323A"/>
      <x:name val="Carlito"/>
    </x:font>
    <x:font>
      <x:i/>
      <x:sz val="10"/>
      <x:color rgb="FF004C5B"/>
      <x:name val="Calibri"/>
    </x:font>
    <x:font>
      <x:b/>
      <x:sz val="9"/>
      <x:color rgb="FF15323A"/>
      <x:name val="Calibri"/>
    </x:font>
    <x:font>
      <x:b/>
      <x:sz val="9"/>
      <x:color rgb="FF15323A"/>
      <x:name val="Carlito"/>
    </x:font>
    <x:font>
      <x:sz val="9"/>
      <x:color rgb="FF15323A"/>
      <x:name val="Calibri"/>
    </x:font>
    <x:font>
      <x:sz val="9"/>
      <x:color rgb="FF15323A"/>
      <x:name val="Carlito"/>
    </x:font>
    <x:font>
      <x:b/>
      <x:sz val="9"/>
      <x:color rgb="FFFFFFFF"/>
      <x:name val="Calibri"/>
    </x:font>
    <x:font>
      <x:b/>
      <x:sz val="9"/>
      <x:color rgb="FFFFFFFF"/>
      <x:name val="Carlito"/>
    </x:font>
    <x:font>
      <x:b/>
      <x:sz val="10"/>
      <x:color rgb="FF1B6E2D"/>
      <x:name val="Calibri"/>
    </x:font>
    <x:font>
      <x:b/>
      <x:sz val="24"/>
      <x:color rgb="FF1B6E2D"/>
      <x:name val="Calibri"/>
    </x:font>
  </x:fonts>
  <x:fills count="19">
    <x:fill>
      <x:patternFill patternType="none"/>
    </x:fill>
    <x:fill>
      <x:patternFill patternType="gray125"/>
    </x:fill>
    <x:fill>
      <x:patternFill patternType="solid">
        <x:fgColor rgb="FF003B49"/>
      </x:patternFill>
    </x:fill>
    <x:fill>
      <x:patternFill patternType="solid">
        <x:fgColor rgb="FFDDF4F2"/>
      </x:patternFill>
    </x:fill>
    <x:fill>
      <x:patternFill patternType="solid">
        <x:fgColor rgb="FF00A19B"/>
      </x:patternFill>
    </x:fill>
    <x:fill>
      <x:patternFill patternType="solid">
        <x:fgColor rgb="FFFFF4D6"/>
      </x:patternFill>
    </x:fill>
    <x:fill>
      <x:patternFill patternType="solid">
        <x:fgColor rgb="FFF2F4F5"/>
      </x:patternFill>
    </x:fill>
    <x:fill>
      <x:patternFill patternType="solid">
        <x:fgColor rgb="FFEAF2FF"/>
      </x:patternFill>
    </x:fill>
    <x:fill>
      <x:patternFill patternType="solid">
        <x:fgColor rgb="FFEDF2F3"/>
      </x:patternFill>
    </x:fill>
    <x:fill>
      <x:patternFill patternType="solid">
        <x:fgColor rgb="FFFFFFFF"/>
      </x:patternFill>
    </x:fill>
    <x:fill>
      <x:patternFill patternType="solid">
        <x:fgColor rgb="FFE4F4E5"/>
      </x:patternFill>
    </x:fill>
    <x:fill>
      <x:patternFill patternType="solid">
        <x:fgColor rgb="FFFDE8E8"/>
      </x:patternFill>
    </x:fill>
    <x:fill>
      <x:patternFill patternType="solid">
        <x:fgColor rgb="FF004C5B"/>
      </x:patternFill>
    </x:fill>
    <x:fill>
      <x:patternFill patternType="solid">
        <x:fgColor rgb="FFDDF4F2"/>
      </x:patternFill>
    </x:fill>
    <x:fill>
      <x:patternFill patternType="solid">
        <x:fgColor rgb="FFEAF2FF"/>
      </x:patternFill>
    </x:fill>
    <x:fill>
      <x:patternFill patternType="solid">
        <x:fgColor rgb="FFF1F3F5"/>
      </x:patternFill>
    </x:fill>
    <x:fill>
      <x:patternFill patternType="solid">
        <x:fgColor rgb="FF08A39A"/>
      </x:patternFill>
    </x:fill>
    <x:fill>
      <x:patternFill patternType="solid">
        <x:fgColor rgb="FFF7F7F7"/>
      </x:patternFill>
    </x:fill>
    <x:fill>
      <x:patternFill patternType="solid">
        <x:fgColor rgb="FFDFF2E1"/>
      </x:patternFill>
    </x:fill>
  </x:fills>
  <x:borders count="62">
    <x:border/>
    <x:border>
      <x:left style="thin">
        <x:color rgb="FF003B49"/>
      </x:left>
      <x:top style="thin">
        <x:color rgb="FF003B49"/>
      </x:top>
      <x:bottom style="thin">
        <x:color rgb="FF003B49"/>
      </x:bottom>
    </x:border>
    <x:border>
      <x:top style="thin">
        <x:color rgb="FF003B49"/>
      </x:top>
      <x:bottom style="thin">
        <x:color rgb="FF003B49"/>
      </x:bottom>
    </x:border>
    <x:border>
      <x:right style="thin">
        <x:color rgb="FF003B49"/>
      </x:right>
      <x:top style="thin">
        <x:color rgb="FF003B49"/>
      </x:top>
      <x:bottom style="thin">
        <x:color rgb="FF003B49"/>
      </x:bottom>
    </x:border>
    <x:border>
      <x:left style="thin">
        <x:color rgb="FF003B49"/>
      </x:left>
      <x:right style="thin">
        <x:color rgb="FF003B49"/>
      </x:right>
      <x:top style="thin">
        <x:color rgb="FF003B49"/>
      </x:top>
      <x:bottom style="thin">
        <x:color rgb="FF003B49"/>
      </x:bottom>
    </x:border>
    <x:border>
      <x:left style="thin">
        <x:color rgb="FFCBD5D8"/>
      </x:left>
      <x:top style="thin">
        <x:color rgb="FFCBD5D8"/>
      </x:top>
      <x:bottom style="thin">
        <x:color rgb="FFCBD5D8"/>
      </x:bottom>
    </x:border>
    <x:border>
      <x:top style="thin">
        <x:color rgb="FFCBD5D8"/>
      </x:top>
      <x:bottom style="thin">
        <x:color rgb="FFCBD5D8"/>
      </x:bottom>
    </x:border>
    <x:border>
      <x:right style="thin">
        <x:color rgb="FFCBD5D8"/>
      </x:right>
      <x:top style="thin">
        <x:color rgb="FFCBD5D8"/>
      </x:top>
      <x:bottom style="thin">
        <x:color rgb="FFCBD5D8"/>
      </x:bottom>
    </x:border>
    <x:border>
      <x:left style="medium">
        <x:color rgb="FF00A19B"/>
      </x:left>
      <x:top style="medium">
        <x:color rgb="FF00A19B"/>
      </x:top>
    </x:border>
    <x:border>
      <x:top style="medium">
        <x:color rgb="FF00A19B"/>
      </x:top>
    </x:border>
    <x:border>
      <x:right style="medium">
        <x:color rgb="FF00A19B"/>
      </x:right>
      <x:top style="medium">
        <x:color rgb="FF00A19B"/>
      </x:top>
    </x:border>
    <x:border>
      <x:left style="medium">
        <x:color rgb="FF00A19B"/>
      </x:left>
    </x:border>
    <x:border>
      <x:right style="medium">
        <x:color rgb="FF00A19B"/>
      </x:right>
    </x:border>
    <x:border>
      <x:left style="medium">
        <x:color rgb="FF00A19B"/>
      </x:left>
      <x:bottom style="medium">
        <x:color rgb="FF00A19B"/>
      </x:bottom>
    </x:border>
    <x:border>
      <x:bottom style="medium">
        <x:color rgb="FF00A19B"/>
      </x:bottom>
    </x:border>
    <x:border>
      <x:right style="medium">
        <x:color rgb="FF00A19B"/>
      </x:right>
      <x:bottom style="medium">
        <x:color rgb="FF00A19B"/>
      </x:bottom>
    </x:border>
    <x:border>
      <x:left style="medium">
        <x:color rgb="FFE4F4E5"/>
      </x:left>
      <x:top style="medium">
        <x:color rgb="FFE4F4E5"/>
      </x:top>
    </x:border>
    <x:border>
      <x:top style="medium">
        <x:color rgb="FFE4F4E5"/>
      </x:top>
    </x:border>
    <x:border>
      <x:right style="medium">
        <x:color rgb="FFE4F4E5"/>
      </x:right>
      <x:top style="medium">
        <x:color rgb="FFE4F4E5"/>
      </x:top>
    </x:border>
    <x:border>
      <x:left style="medium">
        <x:color rgb="FFE4F4E5"/>
      </x:left>
    </x:border>
    <x:border>
      <x:right style="medium">
        <x:color rgb="FFE4F4E5"/>
      </x:right>
    </x:border>
    <x:border>
      <x:left style="medium">
        <x:color rgb="FFE4F4E5"/>
      </x:left>
      <x:bottom style="medium">
        <x:color rgb="FFE4F4E5"/>
      </x:bottom>
    </x:border>
    <x:border>
      <x:bottom style="medium">
        <x:color rgb="FFE4F4E5"/>
      </x:bottom>
    </x:border>
    <x:border>
      <x:right style="medium">
        <x:color rgb="FFE4F4E5"/>
      </x:right>
      <x:bottom style="medium">
        <x:color rgb="FFE4F4E5"/>
      </x:bottom>
    </x:border>
    <x:border>
      <x:left style="medium">
        <x:color rgb="FFFFF4D6"/>
      </x:left>
      <x:top style="medium">
        <x:color rgb="FFFFF4D6"/>
      </x:top>
    </x:border>
    <x:border>
      <x:top style="medium">
        <x:color rgb="FFFFF4D6"/>
      </x:top>
    </x:border>
    <x:border>
      <x:right style="medium">
        <x:color rgb="FFFFF4D6"/>
      </x:right>
      <x:top style="medium">
        <x:color rgb="FFFFF4D6"/>
      </x:top>
    </x:border>
    <x:border>
      <x:left style="medium">
        <x:color rgb="FFFFF4D6"/>
      </x:left>
    </x:border>
    <x:border>
      <x:right style="medium">
        <x:color rgb="FFFFF4D6"/>
      </x:right>
    </x:border>
    <x:border>
      <x:left style="medium">
        <x:color rgb="FFFFF4D6"/>
      </x:left>
      <x:bottom style="medium">
        <x:color rgb="FFFFF4D6"/>
      </x:bottom>
    </x:border>
    <x:border>
      <x:bottom style="medium">
        <x:color rgb="FFFFF4D6"/>
      </x:bottom>
    </x:border>
    <x:border>
      <x:right style="medium">
        <x:color rgb="FFFFF4D6"/>
      </x:right>
      <x:bottom style="medium">
        <x:color rgb="FFFFF4D6"/>
      </x:bottom>
    </x:border>
    <x:border>
      <x:left style="medium">
        <x:color rgb="FFFDE8E8"/>
      </x:left>
      <x:top style="medium">
        <x:color rgb="FFFDE8E8"/>
      </x:top>
    </x:border>
    <x:border>
      <x:top style="medium">
        <x:color rgb="FFFDE8E8"/>
      </x:top>
    </x:border>
    <x:border>
      <x:right style="medium">
        <x:color rgb="FFFDE8E8"/>
      </x:right>
      <x:top style="medium">
        <x:color rgb="FFFDE8E8"/>
      </x:top>
    </x:border>
    <x:border>
      <x:left style="medium">
        <x:color rgb="FFFDE8E8"/>
      </x:left>
    </x:border>
    <x:border>
      <x:right style="medium">
        <x:color rgb="FFFDE8E8"/>
      </x:right>
    </x:border>
    <x:border>
      <x:left style="medium">
        <x:color rgb="FFFDE8E8"/>
      </x:left>
      <x:bottom style="medium">
        <x:color rgb="FFFDE8E8"/>
      </x:bottom>
    </x:border>
    <x:border>
      <x:bottom style="medium">
        <x:color rgb="FFFDE8E8"/>
      </x:bottom>
    </x:border>
    <x:border>
      <x:right style="medium">
        <x:color rgb="FFFDE8E8"/>
      </x:right>
      <x:bottom style="medium">
        <x:color rgb="FFFDE8E8"/>
      </x:bottom>
    </x:border>
    <x:border>
      <x:left style="medium">
        <x:color rgb="FFDDF4F2"/>
      </x:left>
      <x:top style="medium">
        <x:color rgb="FFDDF4F2"/>
      </x:top>
    </x:border>
    <x:border>
      <x:top style="medium">
        <x:color rgb="FFDDF4F2"/>
      </x:top>
    </x:border>
    <x:border>
      <x:right style="medium">
        <x:color rgb="FFDDF4F2"/>
      </x:right>
      <x:top style="medium">
        <x:color rgb="FFDDF4F2"/>
      </x:top>
    </x:border>
    <x:border>
      <x:left style="medium">
        <x:color rgb="FFDDF4F2"/>
      </x:left>
    </x:border>
    <x:border>
      <x:right style="medium">
        <x:color rgb="FFDDF4F2"/>
      </x:right>
    </x:border>
    <x:border>
      <x:left style="medium">
        <x:color rgb="FFDDF4F2"/>
      </x:left>
      <x:bottom style="medium">
        <x:color rgb="FFDDF4F2"/>
      </x:bottom>
    </x:border>
    <x:border>
      <x:bottom style="medium">
        <x:color rgb="FFDDF4F2"/>
      </x:bottom>
    </x:border>
    <x:border>
      <x:right style="medium">
        <x:color rgb="FFDDF4F2"/>
      </x:right>
      <x:bottom style="medium">
        <x:color rgb="FFDDF4F2"/>
      </x:bottom>
    </x:border>
    <x:border>
      <x:right style="thin">
        <x:color rgb="FFCBD5D8"/>
      </x:right>
      <x:bottom style="thin">
        <x:color rgb="FFCBD5D8"/>
      </x:bottom>
    </x:border>
    <x:border>
      <x:left style="thin">
        <x:color rgb="FFCBD5D8"/>
      </x:left>
      <x:right style="thin">
        <x:color rgb="FFCBD5D8"/>
      </x:right>
      <x:bottom style="thin">
        <x:color rgb="FFCBD5D8"/>
      </x:bottom>
    </x:border>
    <x:border>
      <x:left style="thin">
        <x:color rgb="FFCBD5D8"/>
      </x:left>
      <x:bottom style="thin">
        <x:color rgb="FFCBD5D8"/>
      </x:bottom>
    </x:border>
    <x:border>
      <x:left style="thin">
        <x:color rgb="FFCBD5D8"/>
      </x:left>
      <x:right style="thin">
        <x:color rgb="FFCBD5D8"/>
      </x:right>
      <x:top style="thin">
        <x:color rgb="FFCBD5D8"/>
      </x:top>
      <x:bottom style="thin">
        <x:color rgb="FFCBD5D8"/>
      </x:bottom>
    </x:border>
    <x:border>
      <x:right style="thin">
        <x:color rgb="FFCBD5D8"/>
      </x:right>
      <x:top style="thin">
        <x:color rgb="FFCBD5D8"/>
      </x:top>
    </x:border>
    <x:border>
      <x:left style="thin">
        <x:color rgb="FFCBD5D8"/>
      </x:left>
      <x:right style="thin">
        <x:color rgb="FFCBD5D8"/>
      </x:right>
      <x:top style="thin">
        <x:color rgb="FFCBD5D8"/>
      </x:top>
    </x:border>
    <x:border>
      <x:left style="thin">
        <x:color rgb="FFCBD5D8"/>
      </x:left>
      <x:top style="thin">
        <x:color rgb="FFCBD5D8"/>
      </x:top>
    </x:border>
    <x:border>
      <x:left style="thin">
        <x:color rgb="FFCBD5D8"/>
      </x:left>
      <x:top style="thin">
        <x:color rgb="FFCBD5D8"/>
      </x:top>
      <x:bottom style="thin">
        <x:color rgb="FF003B49"/>
      </x:bottom>
    </x:border>
    <x:border>
      <x:top style="thin">
        <x:color rgb="FFCBD5D8"/>
      </x:top>
      <x:bottom style="thin">
        <x:color rgb="FF003B49"/>
      </x:bottom>
    </x:border>
    <x:border>
      <x:right style="thin">
        <x:color rgb="FFCBD5D8"/>
      </x:right>
      <x:top style="thin">
        <x:color rgb="FFCBD5D8"/>
      </x:top>
      <x:bottom style="thin">
        <x:color rgb="FF003B49"/>
      </x:bottom>
    </x:border>
    <x:border>
      <x:left style="thin">
        <x:color rgb="FFCBD5D8"/>
      </x:left>
    </x:border>
    <x:border>
      <x:right style="thin">
        <x:color rgb="FFCBD5D8"/>
      </x:right>
    </x:border>
    <x:border>
      <x:bottom style="thin">
        <x:color rgb="FFCBD5D8"/>
      </x:bottom>
    </x:border>
    <x:border>
      <x:left style="thin">
        <x:color rgb="FFC9D5D8"/>
      </x:left>
      <x:right style="thin">
        <x:color rgb="FFC9D5D8"/>
      </x:right>
      <x:top style="thin">
        <x:color rgb="FFC9D5D8"/>
      </x:top>
      <x:bottom style="thin">
        <x:color rgb="FFC9D5D8"/>
      </x:bottom>
    </x:border>
  </x:borders>
  <x:cellStyleXfs count="1">
    <x:xf numFmtId="0" fontId="0" fillId="0" borderId="0"/>
  </x:cellStyleXfs>
  <x:cellXfs count="208">
    <x:xf numFmtId="0" fontId="0" fillId="0" borderId="0" xfId="0"/>
    <x:xf numFmtId="0" fontId="1" fillId="2" borderId="0" xfId="0" applyFont="1" applyFill="1" applyAlignment="1">
      <x:alignment vertical="center"/>
    </x:xf>
    <x:xf numFmtId="0" fontId="2" fillId="0" borderId="0" xfId="0" applyFont="1"/>
    <x:xf numFmtId="0" fontId="3" fillId="3" borderId="0" xfId="0" applyFont="1" applyFill="1" applyAlignment="1">
      <x:alignment vertical="center"/>
    </x:xf>
    <x:xf numFmtId="0" fontId="5" fillId="4" borderId="1" xfId="0" applyFont="1" applyFill="1" applyBorder="1" applyAlignment="1">
      <x:alignment vertical="center" wrapText="1"/>
    </x:xf>
    <x:xf numFmtId="0" fontId="5" fillId="4" borderId="2" xfId="0" applyFont="1" applyFill="1" applyBorder="1" applyAlignment="1">
      <x:alignment vertical="center" wrapText="1"/>
    </x:xf>
    <x:xf numFmtId="0" fontId="5" fillId="4" borderId="3" xfId="0" applyFont="1" applyFill="1" applyBorder="1" applyAlignment="1">
      <x:alignment vertical="center" wrapText="1"/>
    </x:xf>
    <x:xf numFmtId="0" fontId="2" fillId="0" borderId="0" xfId="0" applyFont="1" applyAlignment="1">
      <x:alignment wrapText="1"/>
    </x:xf>
    <x:xf numFmtId="0" fontId="5" fillId="2" borderId="0" xfId="0" applyFont="1" applyFill="1" applyAlignment="1">
      <x:alignment horizontal="center"/>
    </x:xf>
    <x:xf numFmtId="165" fontId="6" fillId="7" borderId="0" xfId="0" applyNumberFormat="1" applyFont="1" applyFill="1" applyAlignment="1">
      <x:alignment horizontal="center"/>
    </x:xf>
    <x:xf numFmtId="0" fontId="8" fillId="8" borderId="0" xfId="0" applyFont="1" applyFill="1" applyAlignment="1">
      <x:alignment wrapText="1"/>
    </x:xf>
    <x:xf numFmtId="0" fontId="9" fillId="4" borderId="5" xfId="0" applyFont="1" applyFill="1" applyBorder="1" applyAlignment="1">
      <x:alignment horizontal="center" vertical="center"/>
    </x:xf>
    <x:xf numFmtId="0" fontId="9" fillId="4" borderId="6" xfId="0" applyFont="1" applyFill="1" applyBorder="1" applyAlignment="1">
      <x:alignment horizontal="center" vertical="center"/>
    </x:xf>
    <x:xf numFmtId="0" fontId="9" fillId="4" borderId="7" xfId="0" applyFont="1" applyFill="1" applyBorder="1" applyAlignment="1">
      <x:alignment horizontal="center" vertical="center"/>
    </x:xf>
    <x:xf numFmtId="0" fontId="9" fillId="10" borderId="5" xfId="0" applyFont="1" applyFill="1" applyBorder="1" applyAlignment="1">
      <x:alignment horizontal="center" vertical="center"/>
    </x:xf>
    <x:xf numFmtId="0" fontId="9" fillId="10" borderId="6" xfId="0" applyFont="1" applyFill="1" applyBorder="1" applyAlignment="1">
      <x:alignment horizontal="center" vertical="center"/>
    </x:xf>
    <x:xf numFmtId="0" fontId="9" fillId="10" borderId="7" xfId="0" applyFont="1" applyFill="1" applyBorder="1" applyAlignment="1">
      <x:alignment horizontal="center" vertical="center"/>
    </x:xf>
    <x:xf numFmtId="0" fontId="9" fillId="5" borderId="5" xfId="0" applyFont="1" applyFill="1" applyBorder="1" applyAlignment="1">
      <x:alignment horizontal="center" vertical="center"/>
    </x:xf>
    <x:xf numFmtId="0" fontId="9" fillId="5" borderId="6" xfId="0" applyFont="1" applyFill="1" applyBorder="1" applyAlignment="1">
      <x:alignment horizontal="center" vertical="center"/>
    </x:xf>
    <x:xf numFmtId="0" fontId="9" fillId="5" borderId="7" xfId="0" applyFont="1" applyFill="1" applyBorder="1" applyAlignment="1">
      <x:alignment horizontal="center" vertical="center"/>
    </x:xf>
    <x:xf numFmtId="0" fontId="9" fillId="11" borderId="5" xfId="0" applyFont="1" applyFill="1" applyBorder="1" applyAlignment="1">
      <x:alignment horizontal="center" vertical="center"/>
    </x:xf>
    <x:xf numFmtId="0" fontId="9" fillId="11" borderId="6" xfId="0" applyFont="1" applyFill="1" applyBorder="1" applyAlignment="1">
      <x:alignment horizontal="center" vertical="center"/>
    </x:xf>
    <x:xf numFmtId="0" fontId="9" fillId="11" borderId="7" xfId="0" applyFont="1" applyFill="1" applyBorder="1" applyAlignment="1">
      <x:alignment horizontal="center" vertical="center"/>
    </x:xf>
    <x:xf numFmtId="1" fontId="10" fillId="9" borderId="8" xfId="0" applyNumberFormat="1" applyFont="1" applyFill="1" applyBorder="1" applyAlignment="1">
      <x:alignment horizontal="center" vertical="center"/>
    </x:xf>
    <x:xf numFmtId="1" fontId="10" fillId="9" borderId="9" xfId="0" applyNumberFormat="1" applyFont="1" applyFill="1" applyBorder="1" applyAlignment="1">
      <x:alignment horizontal="center" vertical="center"/>
    </x:xf>
    <x:xf numFmtId="1" fontId="10" fillId="9" borderId="10" xfId="0" applyNumberFormat="1" applyFont="1" applyFill="1" applyBorder="1" applyAlignment="1">
      <x:alignment horizontal="center" vertical="center"/>
    </x:xf>
    <x:xf numFmtId="1" fontId="11" fillId="9" borderId="16" xfId="0" applyNumberFormat="1" applyFont="1" applyFill="1" applyBorder="1" applyAlignment="1">
      <x:alignment horizontal="center" vertical="center"/>
    </x:xf>
    <x:xf numFmtId="1" fontId="11" fillId="9" borderId="17" xfId="0" applyNumberFormat="1" applyFont="1" applyFill="1" applyBorder="1" applyAlignment="1">
      <x:alignment horizontal="center" vertical="center"/>
    </x:xf>
    <x:xf numFmtId="1" fontId="11" fillId="9" borderId="18" xfId="0" applyNumberFormat="1" applyFont="1" applyFill="1" applyBorder="1" applyAlignment="1">
      <x:alignment horizontal="center" vertical="center"/>
    </x:xf>
    <x:xf numFmtId="1" fontId="10" fillId="9" borderId="24" xfId="0" applyNumberFormat="1" applyFont="1" applyFill="1" applyBorder="1" applyAlignment="1">
      <x:alignment horizontal="center" vertical="center"/>
    </x:xf>
    <x:xf numFmtId="1" fontId="10" fillId="9" borderId="25" xfId="0" applyNumberFormat="1" applyFont="1" applyFill="1" applyBorder="1" applyAlignment="1">
      <x:alignment horizontal="center" vertical="center"/>
    </x:xf>
    <x:xf numFmtId="1" fontId="10" fillId="9" borderId="26" xfId="0" applyNumberFormat="1" applyFont="1" applyFill="1" applyBorder="1" applyAlignment="1">
      <x:alignment horizontal="center" vertical="center"/>
    </x:xf>
    <x:xf numFmtId="1" fontId="12" fillId="9" borderId="32" xfId="0" applyNumberFormat="1" applyFont="1" applyFill="1" applyBorder="1" applyAlignment="1">
      <x:alignment horizontal="center" vertical="center"/>
    </x:xf>
    <x:xf numFmtId="1" fontId="12" fillId="9" borderId="33" xfId="0" applyNumberFormat="1" applyFont="1" applyFill="1" applyBorder="1" applyAlignment="1">
      <x:alignment horizontal="center" vertical="center"/>
    </x:xf>
    <x:xf numFmtId="1" fontId="12" fillId="9" borderId="34" xfId="0" applyNumberFormat="1" applyFont="1" applyFill="1" applyBorder="1" applyAlignment="1">
      <x:alignment horizontal="center" vertical="center"/>
    </x:xf>
    <x:xf numFmtId="1" fontId="10" fillId="9" borderId="11" xfId="0" applyNumberFormat="1" applyFont="1" applyFill="1" applyBorder="1" applyAlignment="1">
      <x:alignment horizontal="center" vertical="center"/>
    </x:xf>
    <x:xf numFmtId="1" fontId="10" fillId="9" borderId="0" xfId="0" applyNumberFormat="1" applyFont="1" applyFill="1" applyAlignment="1">
      <x:alignment horizontal="center" vertical="center"/>
    </x:xf>
    <x:xf numFmtId="1" fontId="10" fillId="9" borderId="12" xfId="0" applyNumberFormat="1" applyFont="1" applyFill="1" applyBorder="1" applyAlignment="1">
      <x:alignment horizontal="center" vertical="center"/>
    </x:xf>
    <x:xf numFmtId="1" fontId="11" fillId="9" borderId="19" xfId="0" applyNumberFormat="1" applyFont="1" applyFill="1" applyBorder="1" applyAlignment="1">
      <x:alignment horizontal="center" vertical="center"/>
    </x:xf>
    <x:xf numFmtId="1" fontId="11" fillId="9" borderId="0" xfId="0" applyNumberFormat="1" applyFont="1" applyFill="1" applyAlignment="1">
      <x:alignment horizontal="center" vertical="center"/>
    </x:xf>
    <x:xf numFmtId="1" fontId="11" fillId="9" borderId="20" xfId="0" applyNumberFormat="1" applyFont="1" applyFill="1" applyBorder="1" applyAlignment="1">
      <x:alignment horizontal="center" vertical="center"/>
    </x:xf>
    <x:xf numFmtId="1" fontId="10" fillId="9" borderId="27" xfId="0" applyNumberFormat="1" applyFont="1" applyFill="1" applyBorder="1" applyAlignment="1">
      <x:alignment horizontal="center" vertical="center"/>
    </x:xf>
    <x:xf numFmtId="1" fontId="10" fillId="9" borderId="28" xfId="0" applyNumberFormat="1" applyFont="1" applyFill="1" applyBorder="1" applyAlignment="1">
      <x:alignment horizontal="center" vertical="center"/>
    </x:xf>
    <x:xf numFmtId="1" fontId="12" fillId="9" borderId="35" xfId="0" applyNumberFormat="1" applyFont="1" applyFill="1" applyBorder="1" applyAlignment="1">
      <x:alignment horizontal="center" vertical="center"/>
    </x:xf>
    <x:xf numFmtId="1" fontId="12" fillId="9" borderId="0" xfId="0" applyNumberFormat="1" applyFont="1" applyFill="1" applyAlignment="1">
      <x:alignment horizontal="center" vertical="center"/>
    </x:xf>
    <x:xf numFmtId="1" fontId="12" fillId="9" borderId="36" xfId="0" applyNumberFormat="1" applyFont="1" applyFill="1" applyBorder="1" applyAlignment="1">
      <x:alignment horizontal="center" vertical="center"/>
    </x:xf>
    <x:xf numFmtId="1" fontId="10" fillId="9" borderId="13" xfId="0" applyNumberFormat="1" applyFont="1" applyFill="1" applyBorder="1" applyAlignment="1">
      <x:alignment horizontal="center" vertical="center"/>
    </x:xf>
    <x:xf numFmtId="1" fontId="10" fillId="9" borderId="14" xfId="0" applyNumberFormat="1" applyFont="1" applyFill="1" applyBorder="1" applyAlignment="1">
      <x:alignment horizontal="center" vertical="center"/>
    </x:xf>
    <x:xf numFmtId="1" fontId="10" fillId="9" borderId="15" xfId="0" applyNumberFormat="1" applyFont="1" applyFill="1" applyBorder="1" applyAlignment="1">
      <x:alignment horizontal="center" vertical="center"/>
    </x:xf>
    <x:xf numFmtId="1" fontId="11" fillId="9" borderId="21" xfId="0" applyNumberFormat="1" applyFont="1" applyFill="1" applyBorder="1" applyAlignment="1">
      <x:alignment horizontal="center" vertical="center"/>
    </x:xf>
    <x:xf numFmtId="1" fontId="11" fillId="9" borderId="22" xfId="0" applyNumberFormat="1" applyFont="1" applyFill="1" applyBorder="1" applyAlignment="1">
      <x:alignment horizontal="center" vertical="center"/>
    </x:xf>
    <x:xf numFmtId="1" fontId="11" fillId="9" borderId="23" xfId="0" applyNumberFormat="1" applyFont="1" applyFill="1" applyBorder="1" applyAlignment="1">
      <x:alignment horizontal="center" vertical="center"/>
    </x:xf>
    <x:xf numFmtId="1" fontId="10" fillId="9" borderId="29" xfId="0" applyNumberFormat="1" applyFont="1" applyFill="1" applyBorder="1" applyAlignment="1">
      <x:alignment horizontal="center" vertical="center"/>
    </x:xf>
    <x:xf numFmtId="1" fontId="10" fillId="9" borderId="30" xfId="0" applyNumberFormat="1" applyFont="1" applyFill="1" applyBorder="1" applyAlignment="1">
      <x:alignment horizontal="center" vertical="center"/>
    </x:xf>
    <x:xf numFmtId="1" fontId="10" fillId="9" borderId="31" xfId="0" applyNumberFormat="1" applyFont="1" applyFill="1" applyBorder="1" applyAlignment="1">
      <x:alignment horizontal="center" vertical="center"/>
    </x:xf>
    <x:xf numFmtId="1" fontId="12" fillId="9" borderId="37" xfId="0" applyNumberFormat="1" applyFont="1" applyFill="1" applyBorder="1" applyAlignment="1">
      <x:alignment horizontal="center" vertical="center"/>
    </x:xf>
    <x:xf numFmtId="1" fontId="12" fillId="9" borderId="38" xfId="0" applyNumberFormat="1" applyFont="1" applyFill="1" applyBorder="1" applyAlignment="1">
      <x:alignment horizontal="center" vertical="center"/>
    </x:xf>
    <x:xf numFmtId="1" fontId="12" fillId="9" borderId="39" xfId="0" applyNumberFormat="1" applyFont="1" applyFill="1" applyBorder="1" applyAlignment="1">
      <x:alignment horizontal="center" vertical="center"/>
    </x:xf>
    <x:xf numFmtId="0" fontId="9" fillId="3" borderId="5" xfId="0" applyFont="1" applyFill="1" applyBorder="1" applyAlignment="1">
      <x:alignment horizontal="center" vertical="center"/>
    </x:xf>
    <x:xf numFmtId="0" fontId="9" fillId="3" borderId="6" xfId="0" applyFont="1" applyFill="1" applyBorder="1" applyAlignment="1">
      <x:alignment horizontal="center" vertical="center"/>
    </x:xf>
    <x:xf numFmtId="0" fontId="9" fillId="3" borderId="7" xfId="0" applyFont="1" applyFill="1" applyBorder="1" applyAlignment="1">
      <x:alignment horizontal="center" vertical="center"/>
    </x:xf>
    <x:xf numFmtId="1" fontId="10" fillId="9" borderId="40" xfId="0" applyNumberFormat="1" applyFont="1" applyFill="1" applyBorder="1" applyAlignment="1">
      <x:alignment horizontal="center" vertical="center"/>
    </x:xf>
    <x:xf numFmtId="1" fontId="10" fillId="9" borderId="41" xfId="0" applyNumberFormat="1" applyFont="1" applyFill="1" applyBorder="1" applyAlignment="1">
      <x:alignment horizontal="center" vertical="center"/>
    </x:xf>
    <x:xf numFmtId="1" fontId="10" fillId="9" borderId="42" xfId="0" applyNumberFormat="1" applyFont="1" applyFill="1" applyBorder="1" applyAlignment="1">
      <x:alignment horizontal="center" vertical="center"/>
    </x:xf>
    <x:xf numFmtId="1" fontId="10" fillId="9" borderId="43" xfId="0" applyNumberFormat="1" applyFont="1" applyFill="1" applyBorder="1" applyAlignment="1">
      <x:alignment horizontal="center" vertical="center"/>
    </x:xf>
    <x:xf numFmtId="1" fontId="10" fillId="9" borderId="44" xfId="0" applyNumberFormat="1" applyFont="1" applyFill="1" applyBorder="1" applyAlignment="1">
      <x:alignment horizontal="center" vertical="center"/>
    </x:xf>
    <x:xf numFmtId="1" fontId="10" fillId="9" borderId="45" xfId="0" applyNumberFormat="1" applyFont="1" applyFill="1" applyBorder="1" applyAlignment="1">
      <x:alignment horizontal="center" vertical="center"/>
    </x:xf>
    <x:xf numFmtId="1" fontId="10" fillId="9" borderId="46" xfId="0" applyNumberFormat="1" applyFont="1" applyFill="1" applyBorder="1" applyAlignment="1">
      <x:alignment horizontal="center" vertical="center"/>
    </x:xf>
    <x:xf numFmtId="1" fontId="10" fillId="9" borderId="47" xfId="0" applyNumberFormat="1" applyFont="1" applyFill="1" applyBorder="1" applyAlignment="1">
      <x:alignment horizontal="center" vertical="center"/>
    </x:xf>
    <x:xf numFmtId="0" fontId="2" fillId="9" borderId="48" xfId="0" applyFont="1" applyFill="1" applyBorder="1"/>
    <x:xf numFmtId="1" fontId="2" fillId="9" borderId="49" xfId="0" applyNumberFormat="1" applyFont="1" applyFill="1" applyBorder="1"/>
    <x:xf numFmtId="1" fontId="2" fillId="9" borderId="50" xfId="0" applyNumberFormat="1" applyFont="1" applyFill="1" applyBorder="1"/>
    <x:xf numFmtId="0" fontId="2" fillId="9" borderId="7" xfId="0" applyFont="1" applyFill="1" applyBorder="1"/>
    <x:xf numFmtId="1" fontId="2" fillId="9" borderId="51" xfId="0" applyNumberFormat="1" applyFont="1" applyFill="1" applyBorder="1"/>
    <x:xf numFmtId="1" fontId="2" fillId="9" borderId="5" xfId="0" applyNumberFormat="1" applyFont="1" applyFill="1" applyBorder="1"/>
    <x:xf numFmtId="0" fontId="2" fillId="9" borderId="52" xfId="0" applyFont="1" applyFill="1" applyBorder="1"/>
    <x:xf numFmtId="1" fontId="2" fillId="9" borderId="53" xfId="0" applyNumberFormat="1" applyFont="1" applyFill="1" applyBorder="1"/>
    <x:xf numFmtId="1" fontId="2" fillId="9" borderId="54" xfId="0" applyNumberFormat="1" applyFont="1" applyFill="1" applyBorder="1"/>
    <x:xf numFmtId="0" fontId="5" fillId="4" borderId="55" xfId="0" applyFont="1" applyFill="1" applyBorder="1" applyAlignment="1">
      <x:alignment vertical="center" wrapText="1"/>
    </x:xf>
    <x:xf numFmtId="0" fontId="5" fillId="4" borderId="56" xfId="0" applyFont="1" applyFill="1" applyBorder="1" applyAlignment="1">
      <x:alignment vertical="center" wrapText="1"/>
    </x:xf>
    <x:xf numFmtId="0" fontId="5" fillId="4" borderId="57" xfId="0" applyFont="1" applyFill="1" applyBorder="1" applyAlignment="1">
      <x:alignment vertical="center" wrapText="1"/>
    </x:xf>
    <x:xf numFmtId="0" fontId="2" fillId="0" borderId="58" xfId="0" applyFont="1" applyBorder="1"/>
    <x:xf numFmtId="9" fontId="2" fillId="0" borderId="59" xfId="0" applyNumberFormat="1" applyFont="1" applyBorder="1"/>
    <x:xf numFmtId="0" fontId="2" fillId="0" borderId="59" xfId="0" applyFont="1" applyBorder="1"/>
    <x:xf numFmtId="0" fontId="2" fillId="0" borderId="50" xfId="0" applyFont="1" applyBorder="1"/>
    <x:xf numFmtId="0" fontId="2" fillId="0" borderId="60" xfId="0" applyFont="1" applyBorder="1"/>
    <x:xf numFmtId="9" fontId="2" fillId="0" borderId="48" xfId="0" applyNumberFormat="1" applyFont="1" applyBorder="1"/>
    <x:xf numFmtId="0" fontId="2" fillId="0" borderId="48" xfId="0" applyFont="1" applyBorder="1"/>
    <x:xf numFmtId="0" fontId="2" fillId="0" borderId="0" xfId="0" applyFont="1" applyAlignment="1">
      <x:alignment vertical="top"/>
    </x:xf>
    <x:xf numFmtId="164" fontId="2" fillId="0" borderId="0" xfId="0" applyNumberFormat="1" applyFont="1" applyAlignment="1">
      <x:alignment vertical="top"/>
    </x:xf>
    <x:xf numFmtId="0" fontId="2" fillId="0" borderId="0" xfId="0" applyFont="1" applyAlignment="1">
      <x:alignment vertical="top" wrapText="1"/>
    </x:xf>
    <x:xf numFmtId="0" fontId="2" fillId="6" borderId="0" xfId="0" applyFont="1" applyFill="1" applyAlignment="1">
      <x:alignment vertical="top" wrapText="1"/>
    </x:xf>
    <x:xf numFmtId="1" fontId="2" fillId="6" borderId="0" xfId="0" applyNumberFormat="1" applyFont="1" applyFill="1" applyAlignment="1">
      <x:alignment vertical="top" wrapText="1"/>
    </x:xf>
    <x:xf numFmtId="164" fontId="2" fillId="6" borderId="0" xfId="0" applyNumberFormat="1" applyFont="1" applyFill="1" applyAlignment="1">
      <x:alignment vertical="top" wrapText="1"/>
    </x:xf>
    <x:xf numFmtId="165" fontId="2" fillId="6" borderId="0" xfId="0" applyNumberFormat="1" applyFont="1" applyFill="1" applyAlignment="1">
      <x:alignment vertical="top"/>
    </x:xf>
    <x:xf numFmtId="0" fontId="2" fillId="6" borderId="0" xfId="0" applyFont="1" applyFill="1" applyAlignment="1">
      <x:alignment vertical="top"/>
    </x:xf>
    <x:xf numFmtId="165" fontId="2" fillId="7" borderId="0" xfId="0" applyNumberFormat="1" applyFont="1" applyFill="1"/>
    <x:xf numFmtId="0" fontId="2" fillId="7" borderId="0" xfId="0" applyFont="1" applyFill="1"/>
    <x:xf numFmtId="0" fontId="2" fillId="6" borderId="0" xfId="0" applyFont="1" applyFill="1"/>
    <x:xf numFmtId="164" fontId="2" fillId="7" borderId="0" xfId="0" applyNumberFormat="1" applyFont="1" applyFill="1"/>
    <x:xf numFmtId="0" fontId="2" fillId="7" borderId="0" xfId="0" applyFont="1" applyFill="1" applyAlignment="1">
      <x:alignment wrapText="1"/>
    </x:xf>
    <x:xf numFmtId="0" fontId="2" fillId="6" borderId="0" xfId="0" applyFont="1" applyFill="1" applyAlignment="1">
      <x:alignment wrapText="1"/>
    </x:xf>
    <x:xf numFmtId="165" fontId="2" fillId="7" borderId="0" xfId="0" applyNumberFormat="1" applyFont="1" applyFill="1" applyAlignment="1">
      <x:alignment wrapText="1"/>
    </x:xf>
    <x:xf numFmtId="164" fontId="2" fillId="7" borderId="0" xfId="0" applyNumberFormat="1" applyFont="1" applyFill="1" applyAlignment="1">
      <x:alignment wrapText="1"/>
    </x:xf>
    <x:xf numFmtId="9" fontId="2" fillId="7" borderId="0" xfId="0" applyNumberFormat="1" applyFont="1" applyFill="1"/>
    <x:xf numFmtId="9" fontId="2" fillId="6" borderId="0" xfId="0" applyNumberFormat="1" applyFont="1" applyFill="1"/>
    <x:xf numFmtId="0" fontId="5" fillId="4" borderId="4" xfId="0" applyFont="1" applyFill="1" applyBorder="1" applyAlignment="1">
      <x:alignment vertical="center" wrapText="1"/>
    </x:xf>
    <x:xf numFmtId="0" fontId="2" fillId="5" borderId="0" xfId="0" applyFont="1" applyFill="1"/>
    <x:xf numFmtId="0" fontId="1" fillId="2" borderId="0" xfId="0" applyFont="1" applyFill="1" applyAlignment="1">
      <x:alignment vertical="top" wrapText="1"/>
    </x:xf>
    <x:xf numFmtId="0" fontId="3" fillId="3" borderId="0" xfId="0" applyFont="1" applyFill="1" applyAlignment="1">
      <x:alignment vertical="top" wrapText="1"/>
    </x:xf>
    <x:xf numFmtId="0" fontId="4" fillId="4" borderId="0" xfId="0" applyFont="1" applyFill="1" applyAlignment="1">
      <x:alignment vertical="top" wrapText="1"/>
    </x:xf>
    <x:xf numFmtId="0" fontId="2" fillId="3" borderId="0" xfId="0" applyFont="1" applyFill="1" applyAlignment="1">
      <x:alignment vertical="top" wrapText="1"/>
    </x:xf>
    <x:xf numFmtId="0" fontId="4" fillId="2" borderId="0" xfId="0" applyFont="1" applyFill="1" applyAlignment="1">
      <x:alignment vertical="top" wrapText="1"/>
    </x:xf>
    <x:xf numFmtId="0" fontId="5" fillId="4" borderId="1" xfId="0" applyFont="1" applyFill="1" applyBorder="1" applyAlignment="1">
      <x:alignment vertical="top" wrapText="1"/>
    </x:xf>
    <x:xf numFmtId="0" fontId="5" fillId="4" borderId="2" xfId="0" applyFont="1" applyFill="1" applyBorder="1" applyAlignment="1">
      <x:alignment vertical="top" wrapText="1"/>
    </x:xf>
    <x:xf numFmtId="0" fontId="5" fillId="4" borderId="3" xfId="0" applyFont="1" applyFill="1" applyBorder="1" applyAlignment="1">
      <x:alignment vertical="top" wrapText="1"/>
    </x:xf>
    <x:xf numFmtId="0" fontId="6" fillId="0" borderId="0" xfId="0" applyFont="1" applyAlignment="1">
      <x:alignment vertical="top" wrapText="1"/>
    </x:xf>
    <x:xf numFmtId="0" fontId="7" fillId="11" borderId="0" xfId="0" applyFont="1" applyFill="1" applyAlignment="1">
      <x:alignment vertical="top" wrapText="1"/>
    </x:xf>
    <x:xf numFmtId="0" fontId="2" fillId="5" borderId="0" xfId="0" applyFont="1" applyFill="1" applyAlignment="1">
      <x:alignment vertical="top" wrapText="1"/>
    </x:xf>
    <x:xf numFmtId="0" fontId="0" fillId="12" borderId="0" xfId="0" applyNumberFormat="1" applyFont="1" applyFill="1" applyBorder="1"/>
    <x:xf numFmtId="0" fontId="13" fillId="12" borderId="0" xfId="0" applyNumberFormat="1" applyFont="1" applyFill="1" applyBorder="1"/>
    <x:xf numFmtId="0" fontId="0" fillId="13" borderId="0" xfId="0" applyNumberFormat="1" applyFont="1" applyFill="1" applyBorder="1"/>
    <x:xf numFmtId="0" fontId="14" fillId="13" borderId="0" xfId="0" applyNumberFormat="1" applyFont="1" applyFill="1" applyBorder="1"/>
    <x:xf numFmtId="0" fontId="15" fillId="12" borderId="0" xfId="0" applyNumberFormat="1" applyFont="1" applyFill="1" applyBorder="1"/>
    <x:xf numFmtId="0" fontId="0" fillId="14" borderId="0" xfId="0" applyNumberFormat="1" applyFont="1" applyFill="1" applyBorder="1"/>
    <x:xf numFmtId="0" fontId="16" fillId="14" borderId="0" xfId="0" applyNumberFormat="1" applyFont="1" applyFill="1" applyBorder="1"/>
    <x:xf numFmtId="200" fontId="16" fillId="14" borderId="0" xfId="0" applyNumberFormat="1" applyFont="1" applyFill="1" applyBorder="1"/>
    <x:xf numFmtId="0" fontId="0" fillId="15" borderId="0" xfId="0" applyNumberFormat="1" applyFont="1" applyFill="1" applyBorder="1"/>
    <x:xf numFmtId="0" fontId="17" fillId="15" borderId="0" xfId="0" applyNumberFormat="1" applyFont="1" applyFill="1" applyBorder="1"/>
    <x:xf numFmtId="0" fontId="0" fillId="16" borderId="0" xfId="0" applyNumberFormat="1" applyFont="1" applyFill="1" applyBorder="1"/>
    <x:xf numFmtId="0" fontId="15" fillId="16" borderId="0" xfId="0" applyNumberFormat="1" applyFont="1" applyFill="1" applyBorder="1"/>
    <x:xf numFmtId="0" fontId="0" fillId="0" borderId="61" xfId="0" applyNumberFormat="1" applyFont="1" applyFill="1" applyBorder="1"/>
    <x:xf numFmtId="0" fontId="0" fillId="0" borderId="61" xfId="0" applyNumberFormat="1" applyFont="1" applyFill="1" applyBorder="1" applyAlignment="1">
      <x:alignment wrapText="1"/>
    </x:xf>
    <x:xf numFmtId="0" fontId="0" fillId="13" borderId="61" xfId="0" applyNumberFormat="1" applyFont="1" applyFill="1" applyBorder="1" applyAlignment="1">
      <x:alignment wrapText="1"/>
    </x:xf>
    <x:xf numFmtId="0" fontId="16" fillId="13" borderId="61" xfId="0" applyNumberFormat="1" applyFont="1" applyFill="1" applyBorder="1" applyAlignment="1">
      <x:alignment wrapText="1"/>
    </x:xf>
    <x:xf numFmtId="0" fontId="16" fillId="13" borderId="61" xfId="0" applyNumberFormat="1" applyFont="1" applyFill="1" applyBorder="1" applyAlignment="1">
      <x:alignment horizontal="center" wrapText="1"/>
    </x:xf>
    <x:xf numFmtId="0" fontId="0" fillId="15" borderId="61" xfId="0" applyNumberFormat="1" applyFont="1" applyFill="1" applyBorder="1"/>
    <x:xf numFmtId="0" fontId="17" fillId="15" borderId="61" xfId="0" applyNumberFormat="1" applyFont="1" applyFill="1" applyBorder="1"/>
    <x:xf numFmtId="0" fontId="1" fillId="12" borderId="0" xfId="0" applyNumberFormat="1" applyFont="1" applyFill="1" applyBorder="1" applyAlignment="1">
      <x:alignment vertical="center"/>
    </x:xf>
    <x:xf numFmtId="0" fontId="3" fillId="13" borderId="0" xfId="0" applyNumberFormat="1" applyFont="1" applyFill="1" applyBorder="1" applyAlignment="1">
      <x:alignment vertical="center"/>
    </x:xf>
    <x:xf numFmtId="0" fontId="18" fillId="13" borderId="0" xfId="0" applyNumberFormat="1" applyFont="1" applyFill="1" applyBorder="1" applyAlignment="1">
      <x:alignment vertical="center"/>
    </x:xf>
    <x:xf numFmtId="0" fontId="5" fillId="16" borderId="1" xfId="0" applyNumberFormat="1" applyFont="1" applyFill="1" applyBorder="1" applyAlignment="1">
      <x:alignment vertical="center" wrapText="1"/>
    </x:xf>
    <x:xf numFmtId="0" fontId="5" fillId="16" borderId="2" xfId="0" applyNumberFormat="1" applyFont="1" applyFill="1" applyBorder="1" applyAlignment="1">
      <x:alignment vertical="center" wrapText="1"/>
    </x:xf>
    <x:xf numFmtId="0" fontId="5" fillId="16" borderId="3" xfId="0" applyNumberFormat="1" applyFont="1" applyFill="1" applyBorder="1" applyAlignment="1">
      <x:alignment vertical="center" wrapText="1"/>
    </x:xf>
    <x:xf numFmtId="0" fontId="15" fillId="16" borderId="0" xfId="0" applyNumberFormat="1" applyFont="1" applyFill="1" applyBorder="1" applyAlignment="1">
      <x:alignment wrapText="1"/>
    </x:xf>
    <x:xf numFmtId="0" fontId="2" fillId="15" borderId="0" xfId="0" applyNumberFormat="1" applyFont="1" applyFill="1" applyBorder="1" applyAlignment="1">
      <x:alignment vertical="top"/>
    </x:xf>
    <x:xf numFmtId="164" fontId="2" fillId="15" borderId="0" xfId="0" applyNumberFormat="1" applyFont="1" applyFill="1" applyBorder="1" applyAlignment="1">
      <x:alignment vertical="top"/>
    </x:xf>
    <x:xf numFmtId="0" fontId="2" fillId="15"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1" fontId="2" fillId="17" borderId="0" xfId="0" applyNumberFormat="1" applyFont="1" applyFill="1" applyBorder="1" applyAlignment="1">
      <x:alignment vertical="top" wrapText="1"/>
    </x:xf>
    <x:xf numFmtId="164" fontId="2" fillId="17" borderId="0" xfId="0" applyNumberFormat="1" applyFont="1" applyFill="1" applyBorder="1" applyAlignment="1">
      <x:alignment vertical="top" wrapText="1"/>
    </x:xf>
    <x:xf numFmtId="165" fontId="2" fillId="17" borderId="0" xfId="0" applyNumberFormat="1" applyFont="1" applyFill="1" applyBorder="1" applyAlignment="1">
      <x:alignment vertical="top"/>
    </x:xf>
    <x:xf numFmtId="0" fontId="0" fillId="17" borderId="0" xfId="0" applyNumberFormat="1" applyFont="1" applyFill="1" applyBorder="1"/>
    <x:xf numFmtId="200" fontId="2" fillId="15" borderId="0" xfId="0" applyNumberFormat="1" applyFont="1" applyFill="1" applyBorder="1" applyAlignment="1">
      <x:alignment vertical="top"/>
    </x:xf>
    <x:xf numFmtId="200" fontId="0" fillId="15" borderId="0" xfId="0" applyNumberFormat="1" applyFont="1" applyFill="1" applyBorder="1"/>
    <x:xf numFmtId="200" fontId="2" fillId="17" borderId="0" xfId="0" applyNumberFormat="1" applyFont="1" applyFill="1" applyBorder="1" applyAlignment="1">
      <x:alignment vertical="top" wrapText="1"/>
    </x:xf>
    <x:xf numFmtId="200" fontId="0" fillId="17" borderId="0" xfId="0" applyNumberFormat="1" applyFont="1" applyFill="1" applyBorder="1"/>
    <x:xf numFmtId="201" fontId="2" fillId="17" borderId="0" xfId="0" applyNumberFormat="1" applyFont="1" applyFill="1" applyBorder="1" applyAlignment="1">
      <x:alignment vertical="top"/>
    </x:xf>
    <x:xf numFmtId="201" fontId="0" fillId="17" borderId="0" xfId="0" applyNumberFormat="1" applyFont="1" applyFill="1" applyBorder="1"/>
    <x:xf numFmtId="0" fontId="19" fillId="16" borderId="1" xfId="0" applyNumberFormat="1" applyFont="1" applyFill="1" applyBorder="1" applyAlignment="1">
      <x:alignment vertical="center" wrapText="1"/>
    </x:xf>
    <x:xf numFmtId="0" fontId="19" fillId="16" borderId="2" xfId="0" applyNumberFormat="1" applyFont="1" applyFill="1" applyBorder="1" applyAlignment="1">
      <x:alignment vertical="center" wrapText="1"/>
    </x:xf>
    <x:xf numFmtId="0" fontId="19" fillId="16" borderId="3" xfId="0" applyNumberFormat="1" applyFont="1" applyFill="1" applyBorder="1" applyAlignment="1">
      <x:alignment vertical="center" wrapText="1"/>
    </x:xf>
    <x:xf numFmtId="0" fontId="20" fillId="16" borderId="0" xfId="0" applyNumberFormat="1" applyFont="1" applyFill="1" applyBorder="1" applyAlignment="1">
      <x:alignment wrapText="1"/>
    </x:xf>
    <x:xf numFmtId="0" fontId="21" fillId="15" borderId="0" xfId="0" applyNumberFormat="1" applyFont="1" applyFill="1" applyBorder="1" applyAlignment="1">
      <x:alignment vertical="top"/>
    </x:xf>
    <x:xf numFmtId="200" fontId="21" fillId="15" borderId="0" xfId="0" applyNumberFormat="1" applyFont="1" applyFill="1" applyBorder="1" applyAlignment="1">
      <x:alignment vertical="top"/>
    </x:xf>
    <x:xf numFmtId="0" fontId="21" fillId="15" borderId="0" xfId="0" applyNumberFormat="1" applyFont="1" applyFill="1" applyBorder="1" applyAlignment="1">
      <x:alignment vertical="top" wrapText="1"/>
    </x:xf>
    <x:xf numFmtId="0" fontId="21" fillId="17" borderId="0" xfId="0" applyNumberFormat="1" applyFont="1" applyFill="1" applyBorder="1" applyAlignment="1">
      <x:alignment vertical="top" wrapText="1"/>
    </x:xf>
    <x:xf numFmtId="1" fontId="21" fillId="17" borderId="0" xfId="0" applyNumberFormat="1" applyFont="1" applyFill="1" applyBorder="1" applyAlignment="1">
      <x:alignment vertical="top" wrapText="1"/>
    </x:xf>
    <x:xf numFmtId="200" fontId="21" fillId="17" borderId="0" xfId="0" applyNumberFormat="1" applyFont="1" applyFill="1" applyBorder="1" applyAlignment="1">
      <x:alignment vertical="top" wrapText="1"/>
    </x:xf>
    <x:xf numFmtId="201" fontId="21" fillId="17" borderId="0" xfId="0" applyNumberFormat="1" applyFont="1" applyFill="1" applyBorder="1" applyAlignment="1">
      <x:alignment vertical="top"/>
    </x:xf>
    <x:xf numFmtId="0" fontId="22" fillId="15" borderId="0" xfId="0" applyNumberFormat="1" applyFont="1" applyFill="1" applyBorder="1"/>
    <x:xf numFmtId="200" fontId="22" fillId="15" borderId="0" xfId="0" applyNumberFormat="1" applyFont="1" applyFill="1" applyBorder="1"/>
    <x:xf numFmtId="0" fontId="22" fillId="17" borderId="0" xfId="0" applyNumberFormat="1" applyFont="1" applyFill="1" applyBorder="1"/>
    <x:xf numFmtId="200" fontId="22" fillId="17" borderId="0" xfId="0" applyNumberFormat="1" applyFont="1" applyFill="1" applyBorder="1"/>
    <x:xf numFmtId="201" fontId="22" fillId="17" borderId="0" xfId="0" applyNumberFormat="1" applyFont="1" applyFill="1" applyBorder="1"/>
    <x:xf numFmtId="0" fontId="23" fillId="16" borderId="1" xfId="0" applyNumberFormat="1" applyFont="1" applyFill="1" applyBorder="1" applyAlignment="1">
      <x:alignment vertical="center" wrapText="1"/>
    </x:xf>
    <x:xf numFmtId="0" fontId="23" fillId="16" borderId="2" xfId="0" applyNumberFormat="1" applyFont="1" applyFill="1" applyBorder="1" applyAlignment="1">
      <x:alignment vertical="center" wrapText="1"/>
    </x:xf>
    <x:xf numFmtId="0" fontId="23" fillId="16" borderId="3" xfId="0" applyNumberFormat="1" applyFont="1" applyFill="1" applyBorder="1" applyAlignment="1">
      <x:alignment vertical="center" wrapText="1"/>
    </x:xf>
    <x:xf numFmtId="0" fontId="24" fillId="16" borderId="0" xfId="0" applyNumberFormat="1" applyFont="1" applyFill="1" applyBorder="1" applyAlignment="1">
      <x:alignment wrapText="1"/>
    </x:xf>
    <x:xf numFmtId="0" fontId="24" fillId="16" borderId="0" xfId="0" applyNumberFormat="1" applyFont="1" applyFill="1" applyBorder="1"/>
    <x:xf numFmtId="164" fontId="2" fillId="14" borderId="0" xfId="0" applyNumberFormat="1" applyFont="1" applyFill="1" applyBorder="1"/>
    <x:xf numFmtId="0" fontId="2" fillId="14"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4" borderId="0" xfId="0" applyNumberFormat="1" applyFont="1" applyFill="1" applyBorder="1" applyAlignment="1">
      <x:alignment wrapText="1"/>
    </x:xf>
    <x:xf numFmtId="165" fontId="2" fillId="14" borderId="0" xfId="0" applyNumberFormat="1" applyFont="1" applyFill="1" applyBorder="1" applyAlignment="1">
      <x:alignment wrapText="1"/>
    </x:xf>
    <x:xf numFmtId="164" fontId="21" fillId="14" borderId="0" xfId="0" applyNumberFormat="1" applyFont="1" applyFill="1" applyBorder="1"/>
    <x:xf numFmtId="0" fontId="21" fillId="14" borderId="0" xfId="0" applyNumberFormat="1" applyFont="1" applyFill="1" applyBorder="1"/>
    <x:xf numFmtId="0" fontId="21" fillId="15" borderId="0" xfId="0" applyNumberFormat="1" applyFont="1" applyFill="1" applyBorder="1"/>
    <x:xf numFmtId="0" fontId="21" fillId="15" borderId="0" xfId="0" applyNumberFormat="1" applyFont="1" applyFill="1" applyBorder="1" applyAlignment="1">
      <x:alignment wrapText="1"/>
    </x:xf>
    <x:xf numFmtId="0" fontId="21" fillId="14" borderId="0" xfId="0" applyNumberFormat="1" applyFont="1" applyFill="1" applyBorder="1" applyAlignment="1">
      <x:alignment wrapText="1"/>
    </x:xf>
    <x:xf numFmtId="165" fontId="21" fillId="14" borderId="0" xfId="0" applyNumberFormat="1" applyFont="1" applyFill="1" applyBorder="1" applyAlignment="1">
      <x:alignment wrapText="1"/>
    </x:xf>
    <x:xf numFmtId="0" fontId="22" fillId="14" borderId="0" xfId="0" applyNumberFormat="1" applyFont="1" applyFill="1" applyBorder="1"/>
    <x:xf numFmtId="200" fontId="21" fillId="14" borderId="0" xfId="0" applyNumberFormat="1" applyFont="1" applyFill="1" applyBorder="1"/>
    <x:xf numFmtId="200" fontId="22" fillId="14" borderId="0" xfId="0" applyNumberFormat="1" applyFont="1" applyFill="1" applyBorder="1"/>
    <x:xf numFmtId="201" fontId="21" fillId="14" borderId="0" xfId="0" applyNumberFormat="1" applyFont="1" applyFill="1" applyBorder="1" applyAlignment="1">
      <x:alignment wrapText="1"/>
    </x:xf>
    <x:xf numFmtId="201" fontId="22" fillId="14" borderId="0" xfId="0" applyNumberFormat="1" applyFont="1" applyFill="1" applyBorder="1"/>
    <x:xf numFmtId="0" fontId="9" fillId="18" borderId="5" xfId="0" applyNumberFormat="1" applyFont="1" applyFill="1" applyBorder="1" applyAlignment="1">
      <x:alignment horizontal="center" vertical="center"/>
    </x:xf>
    <x:xf numFmtId="1" fontId="10" fillId="18" borderId="24" xfId="0" applyNumberFormat="1" applyFont="1" applyFill="1" applyBorder="1" applyAlignment="1">
      <x:alignment horizontal="center" vertical="center"/>
    </x:xf>
    <x:xf numFmtId="1" fontId="10" fillId="18" borderId="27" xfId="0" applyNumberFormat="1" applyFont="1" applyFill="1" applyBorder="1" applyAlignment="1">
      <x:alignment horizontal="center" vertical="center"/>
    </x:xf>
    <x:xf numFmtId="1" fontId="10" fillId="18" borderId="29" xfId="0" applyNumberFormat="1" applyFont="1" applyFill="1" applyBorder="1" applyAlignment="1">
      <x:alignment horizontal="center" vertical="center"/>
    </x:xf>
    <x:xf numFmtId="0" fontId="25" fillId="18" borderId="5" xfId="0" applyNumberFormat="1" applyFont="1" applyFill="1" applyBorder="1" applyAlignment="1">
      <x:alignment horizontal="center" vertical="center"/>
    </x:xf>
    <x:xf numFmtId="1" fontId="26" fillId="18" borderId="24" xfId="0" applyNumberFormat="1" applyFont="1" applyFill="1" applyBorder="1" applyAlignment="1">
      <x:alignment horizontal="center" vertical="center"/>
    </x:xf>
    <x:xf numFmtId="1" fontId="26" fillId="18" borderId="27" xfId="0" applyNumberFormat="1" applyFont="1" applyFill="1" applyBorder="1" applyAlignment="1">
      <x:alignment horizontal="center" vertical="center"/>
    </x:xf>
    <x:xf numFmtId="1" fontId="26" fillId="18" borderId="29" xfId="0" applyNumberFormat="1" applyFont="1" applyFill="1" applyBorder="1" applyAlignment="1">
      <x:alignment horizontal="center" vertical="center"/>
    </x:xf>
    <x:xf numFmtId="202" fontId="2" fillId="0" borderId="59" xfId="0" applyNumberFormat="1" applyFont="1" applyFill="1" applyBorder="1"/>
    <x:xf numFmtId="202" fontId="2" fillId="0" borderId="48" xfId="0" applyNumberFormat="1" applyFont="1" applyFill="1" applyBorder="1"/>
    <x:xf numFmtId="202" fontId="0" fillId="0" borderId="0" xfId="0" applyNumberFormat="1" applyFont="1" applyFill="1" applyBorder="1"/>
  </x:cellXfs>
  <x:cellStyles count="1">
    <x:cellStyle name="Normal" xfId="0"/>
  </x:cellStyles>
  <x:dxfs count="209">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sz val="11"/>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u val="none"/>
        <x:name val="Calibri"/>
        <x:family val="2"/>
        <x:scheme val="minor"/>
      </x:font>
    </x:dxf>
    <x:dxf>
      <x:font>
        <x:b/>
        <x:color rgb="FF2E7D32"/>
      </x:font>
      <x:fill>
        <x:patternFill>
          <x:bgColor rgb="FFE4F4E5"/>
        </x:patternFill>
      </x:fill>
    </x:dxf>
    <x:dxf>
      <x:font>
        <x:b/>
        <x:color rgb="FF003B49"/>
      </x:font>
      <x:fill>
        <x:patternFill>
          <x:bgColor rgb="FFFFF4D6"/>
        </x:patternFill>
      </x:fill>
    </x:dxf>
    <x:dxf>
      <x:font>
        <x:b/>
        <x:color rgb="FFD64545"/>
      </x:font>
      <x:fill>
        <x:patternFill>
          <x:bgColor rgb="FFFDE8E8"/>
        </x:patternFill>
      </x:fill>
    </x:dxf>
    <x:dxf>
      <x:font>
        <x:b/>
        <x:color rgb="FFD64545"/>
      </x:font>
      <x:fill>
        <x:patternFill>
          <x:bgColor rgb="FFFDE8E8"/>
        </x:patternFill>
      </x:fill>
    </x:dxf>
    <x:dxf>
      <x:font>
        <x:b/>
        <x:color rgb="FF003B49"/>
      </x:font>
      <x:fill>
        <x:patternFill>
          <x:bgColor rgb="FFFFF4D6"/>
        </x:patternFill>
      </x:fill>
    </x:dxf>
    <x:dxf>
      <x:font>
        <x:b/>
        <x:color rgb="FF003B49"/>
      </x:font>
      <x:fill>
        <x:patternFill>
          <x:bgColor rgb="FFFFF4D6"/>
        </x:patternFill>
      </x:fill>
    </x:dxf>
    <x:dxf>
      <x:font>
        <x:b/>
        <x:color rgb="FF2E7D32"/>
      </x:font>
      <x:fill>
        <x:patternFill>
          <x:bgColor rgb="FFE4F4E5"/>
        </x:patternFill>
      </x:fill>
    </x:dxf>
    <x:dxf>
      <x:font>
        <x:b/>
        <x:color rgb="FFD64545"/>
      </x:font>
      <x:fill>
        <x:patternFill>
          <x:bgColor rgb="FFFDE8E8"/>
        </x:patternFill>
      </x:fill>
    </x:dxf>
    <x:dxf>
      <x:font>
        <x:b/>
        <x:color rgb="FF003B49"/>
      </x:font>
      <x:fill>
        <x:patternFill>
          <x:bgColor rgb="FFFFF4D6"/>
        </x:patternFill>
      </x:fill>
    </x:dxf>
    <x:dxf>
      <x:font>
        <x:b/>
        <x:color rgb="FFD64545"/>
      </x:font>
      <x:fill>
        <x:patternFill>
          <x:bgColor rgb="FFFDE8E8"/>
        </x:patternFill>
      </x:fill>
    </x:dxf>
    <x:dxf>
      <x:font>
        <x:b/>
        <x:color rgb="FF2E7D32"/>
      </x:font>
      <x:fill>
        <x:patternFill>
          <x:bgColor rgb="FFE4F4E5"/>
        </x:patternFill>
      </x:fill>
    </x:dxf>
    <x:dxf>
      <x:font>
        <x:b/>
        <x:color rgb="FFD64545"/>
      </x:font>
      <x:fill>
        <x:patternFill>
          <x:bgColor rgb="FFFDE8E8"/>
        </x:patternFill>
      </x:fill>
    </x:dxf>
    <x:dxf>
      <x:font>
        <x:b/>
        <x:color rgb="FF2E7D32"/>
      </x:font>
      <x:fill>
        <x:patternFill>
          <x:bgColor rgb="FFE4F4E5"/>
        </x:patternFill>
      </x:fill>
    </x:dxf>
    <x:dxf>
      <x:font>
        <x:b/>
        <x:color rgb="FF003B49"/>
      </x:font>
      <x:fill>
        <x:patternFill>
          <x:bgColor rgb="FFFFF4D6"/>
        </x:patternFill>
      </x:fill>
    </x:dxf>
    <x:dxf>
      <x:font>
        <x:b/>
        <x:color rgb="FFB4232B"/>
      </x:font>
      <x:fill>
        <x:patternFill>
          <x:bgColor rgb="FFFCE2E2"/>
        </x:patternFill>
      </x:fill>
    </x:dxf>
    <x:dxf>
      <x:font>
        <x:b/>
        <x:color rgb="FF1B6E2D"/>
      </x:font>
      <x:fill>
        <x:patternFill>
          <x:bgColor rgb="FFDFF2E1"/>
        </x:patternFill>
      </x:fill>
    </x:dxf>
    <x:dxf>
      <x:font>
        <x:b/>
        <x:color rgb="FF004C5B"/>
      </x:font>
      <x:fill>
        <x:patternFill>
          <x:bgColor rgb="FFDDEBFF"/>
        </x:patternFill>
      </x:fill>
    </x:dxf>
    <x:dxf>
      <x:font>
        <x:b/>
        <x:color rgb="FF8A5A00"/>
      </x:font>
      <x:fill>
        <x:patternFill>
          <x:bgColor rgb="FFFFF2CC"/>
        </x:patternFill>
      </x:fill>
    </x:dxf>
    <x:dxf>
      <x:font>
        <x:b/>
        <x:color rgb="FFB4232B"/>
      </x:font>
      <x:fill>
        <x:patternFill>
          <x:bgColor rgb="FFFCE2E2"/>
        </x:patternFill>
      </x:fill>
    </x:dxf>
    <x:dxf>
      <x:font>
        <x:b/>
        <x:color rgb="FF1B6E2D"/>
      </x:font>
      <x:fill>
        <x:patternFill>
          <x:bgColor rgb="FFDFF2E1"/>
        </x:patternFill>
      </x:fill>
    </x:dxf>
    <x:dxf>
      <x:font>
        <x:b/>
        <x:color rgb="FF1B6E2D"/>
      </x:font>
      <x:fill>
        <x:patternFill>
          <x:bgColor rgb="FFDFF2E1"/>
        </x:patternFill>
      </x:fill>
    </x:dxf>
    <x:dxf>
      <x:font>
        <x:b/>
        <x:color rgb="FFB4232B"/>
      </x:font>
      <x:fill>
        <x:patternFill>
          <x:bgColor rgb="FFFCE2E2"/>
        </x:patternFill>
      </x:fill>
    </x:dxf>
    <x:dxf>
      <x:font>
        <x:b/>
        <x:color rgb="FFB4232B"/>
      </x:font>
      <x:fill>
        <x:patternFill>
          <x:bgColor rgb="FFFC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9af6c6a610468d" /><Relationship Type="http://schemas.openxmlformats.org/officeDocument/2006/relationships/theme" Target="/xl/theme/theme1.xml" Id="R43e05051fb904613" /><Relationship Type="http://schemas.openxmlformats.org/officeDocument/2006/relationships/sharedStrings" Target="/xl/sharedStrings.xml" Id="R5372a7de6b314bc8" /><Relationship Type="http://schemas.openxmlformats.org/officeDocument/2006/relationships/worksheet" Target="/xl/worksheets/sheet1.xml" Id="Rff0ff3fc598b447f" /><Relationship Type="http://schemas.openxmlformats.org/officeDocument/2006/relationships/worksheet" Target="/xl/worksheets/sheet2.xml" Id="Rebd43cd03e2c49ae" /><Relationship Type="http://schemas.openxmlformats.org/officeDocument/2006/relationships/worksheet" Target="/xl/worksheets/sheet3.xml" Id="Rd3cc298158924e40" /><Relationship Type="http://schemas.openxmlformats.org/officeDocument/2006/relationships/worksheet" Target="/xl/worksheets/sheet4.xml" Id="R52292247cb994954" /><Relationship Type="http://schemas.openxmlformats.org/officeDocument/2006/relationships/worksheet" Target="/xl/worksheets/sheet5.xml" Id="Rc1526738aa4c4f78" /><Relationship Type="http://schemas.openxmlformats.org/officeDocument/2006/relationships/worksheet" Target="/xl/worksheets/sheet6.xml" Id="R0351cc1e433b4373" /><Relationship Type="http://schemas.openxmlformats.org/officeDocument/2006/relationships/worksheet" Target="/xl/worksheets/sheet7.xml" Id="Rbfbf3d4687384dc3" /><Relationship Type="http://schemas.openxmlformats.org/officeDocument/2006/relationships/worksheet" Target="/xl/worksheets/sheet8.xml" Id="R3581c2529d764d44" /><Relationship Type="http://schemas.openxmlformats.org/officeDocument/2006/relationships/worksheet" Target="/xl/worksheets/sheet9.xml" Id="Rd4d4ec99e9f6461a" /><Relationship Type="http://schemas.openxmlformats.org/officeDocument/2006/relationships/worksheet" Target="/xl/worksheets/sheet10.xml" Id="R6d6d48ce00a84045" /><Relationship Type="http://schemas.openxmlformats.org/officeDocument/2006/relationships/worksheet" Target="/xl/worksheets/sheet11.xml" Id="Rada1a1121a784aa2" /><Relationship Type="http://schemas.openxmlformats.org/officeDocument/2006/relationships/worksheet" Target="/xl/worksheets/sheet12.xml" Id="Ra7b45bfc5b7546e2" /><Relationship Type="http://schemas.microsoft.com/office/2017/10/relationships/person" Target="/xl/persons/person.xml" Id="R078f8b7bee5f48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4712319303428a"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Projected Workload vs Effective Capacity (points)</a:t>
            </a:r>
          </a:p>
        </c:rich>
      </c:tx>
      <c:overlay val="0"/>
    </c:title>
    <c:autoTitleDeleted val="0"/>
    <c:plotArea>
      <c:barChart>
        <c:barDir val="col"/>
        <c:grouping val="clustered"/>
        <c:varyColors val="0"/>
        <c:ser>
          <c:idx val="0"/>
          <c:order val="0"/>
          <c:tx>
            <c:v>Projected Load</c:v>
          </c:tx>
          <c:cat>
            <c:strRef>
              <c:f>Dashboard!$A$19:$A$29</c:f>
              <c:strCache>
                <c:ptCount val="11"/>
                <c:pt idx="0">
                  <c:v>Abdul Khoir</c:v>
                </c:pt>
                <c:pt idx="1">
                  <c:v>Abhishek Bhowate</c:v>
                </c:pt>
                <c:pt idx="2">
                  <c:v>Amarja Kawade</c:v>
                </c:pt>
                <c:pt idx="3">
                  <c:v>Arun Karuppiah</c:v>
                </c:pt>
                <c:pt idx="4">
                  <c:v>K Saktivelu</c:v>
                </c:pt>
                <c:pt idx="5">
                  <c:v>Mardiansyah Rayasa</c:v>
                </c:pt>
                <c:pt idx="6">
                  <c:v>Nilesh Sankpal</c:v>
                </c:pt>
                <c:pt idx="7">
                  <c:v>Raditya Nugraha</c:v>
                </c:pt>
                <c:pt idx="8">
                  <c:v>Sairam Villa</c:v>
                </c:pt>
                <c:pt idx="9">
                  <c:v>Swaminadh Chirakala</c:v>
                </c:pt>
                <c:pt idx="10">
                  <c:v>Venkatesh Kalikivayi</c:v>
                </c:pt>
              </c:strCache>
            </c:strRef>
          </c:cat>
          <c:val>
            <c:numRef>
              <c:f>Dashboard!$B$19:$B$29</c:f>
              <c:numCache>
                <c:formatCode>0</c:formatCode>
                <c:ptCount val="11"/>
                <c:pt idx="0">
                  <c:v>18</c:v>
                </c:pt>
                <c:pt idx="1">
                  <c:v>11</c:v>
                </c:pt>
                <c:pt idx="2">
                  <c:v>42</c:v>
                </c:pt>
                <c:pt idx="3">
                  <c:v>3</c:v>
                </c:pt>
                <c:pt idx="4">
                  <c:v>10</c:v>
                </c:pt>
                <c:pt idx="5">
                  <c:v>15</c:v>
                </c:pt>
                <c:pt idx="6">
                  <c:v>2</c:v>
                </c:pt>
                <c:pt idx="7">
                  <c:v>4</c:v>
                </c:pt>
                <c:pt idx="8">
                  <c:v>2</c:v>
                </c:pt>
                <c:pt idx="9">
                  <c:v>37</c:v>
                </c:pt>
                <c:pt idx="10">
                  <c:v>21</c:v>
                </c:pt>
              </c:numCache>
            </c:numRef>
          </c:val>
        </c:ser>
        <c:ser>
          <c:idx val="1"/>
          <c:order val="1"/>
          <c:tx>
            <c:v>Effective Capacity</c:v>
          </c:tx>
          <c:cat>
            <c:strRef>
              <c:f>Dashboard!$A$19:$A$29</c:f>
              <c:strCache>
                <c:ptCount val="11"/>
                <c:pt idx="0">
                  <c:v>Abdul Khoir</c:v>
                </c:pt>
                <c:pt idx="1">
                  <c:v>Abhishek Bhowate</c:v>
                </c:pt>
                <c:pt idx="2">
                  <c:v>Amarja Kawade</c:v>
                </c:pt>
                <c:pt idx="3">
                  <c:v>Arun Karuppiah</c:v>
                </c:pt>
                <c:pt idx="4">
                  <c:v>K Saktivelu</c:v>
                </c:pt>
                <c:pt idx="5">
                  <c:v>Mardiansyah Rayasa</c:v>
                </c:pt>
                <c:pt idx="6">
                  <c:v>Nilesh Sankpal</c:v>
                </c:pt>
                <c:pt idx="7">
                  <c:v>Raditya Nugraha</c:v>
                </c:pt>
                <c:pt idx="8">
                  <c:v>Sairam Villa</c:v>
                </c:pt>
                <c:pt idx="9">
                  <c:v>Swaminadh Chirakala</c:v>
                </c:pt>
                <c:pt idx="10">
                  <c:v>Venkatesh Kalikivayi</c:v>
                </c:pt>
              </c:strCache>
            </c:strRef>
          </c:cat>
          <c:val>
            <c:numRef>
              <c:f>Dashboard!$C$19:$C$29</c:f>
              <c:numCache>
                <c:formatCode>0</c:formatCode>
                <c:ptCount val="11"/>
                <c:pt idx="0">
                  <c:v>12</c:v>
                </c:pt>
                <c:pt idx="1">
                  <c:v>12</c:v>
                </c:pt>
                <c:pt idx="2">
                  <c:v>12</c:v>
                </c:pt>
                <c:pt idx="3">
                  <c:v>12</c:v>
                </c:pt>
                <c:pt idx="4">
                  <c:v>12</c:v>
                </c:pt>
                <c:pt idx="5">
                  <c:v>12</c:v>
                </c:pt>
                <c:pt idx="6">
                  <c:v>12</c:v>
                </c:pt>
                <c:pt idx="7">
                  <c:v>12</c:v>
                </c:pt>
                <c:pt idx="8">
                  <c:v>12</c:v>
                </c:pt>
                <c:pt idx="9">
                  <c:v>12</c:v>
                </c:pt>
                <c:pt idx="10">
                  <c:v>12</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17</xdr:row>
      <xdr:rowOff>0</xdr:rowOff>
    </xdr:from>
    <xdr:to>
      <xdr:col>15</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4712319303428a"/>
        </a:graphicData>
      </a:graphic>
    </xdr:graphicFrame>
    <xdr:clientData/>
  </xdr:twoCellAnchor>
</xdr:wsDr>
</file>

<file path=xl/drawings/drawing2.xml><?xml version="1.0" encoding="utf-8"?>
<xdr:wsDr xmlns:xdr="http://schemas.openxmlformats.org/drawingml/2006/spreadsheetDrawing">
  <xdr:twoCellAnchor editAs="oneCell">
    <xdr:from>
      <xdr:col>0</xdr:col>
      <xdr:colOff>0</xdr:colOff>
      <xdr:row>0</xdr:row>
      <xdr:rowOff>0</xdr:rowOff>
    </xdr:from>
    <xdr:to>
      <xdr:col>6</xdr:col>
      <xdr:colOff>1828800</xdr:colOff>
      <xdr:row>23</xdr:row>
      <xdr:rowOff>476250</xdr:rowOff>
    </xdr:to>
    <xdr:sp>
      <xdr:nvSpPr>
        <xdr:cNvPr id="1" name="Text Box 3"/>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3.xml><?xml version="1.0" encoding="utf-8"?>
<xdr:wsDr xmlns:xdr="http://schemas.openxmlformats.org/drawingml/2006/spreadsheetDrawing">
  <xdr:twoCellAnchor editAs="oneCell">
    <xdr:from>
      <xdr:col>0</xdr:col>
      <xdr:colOff>0</xdr:colOff>
      <xdr:row>0</xdr:row>
      <xdr:rowOff>0</xdr:rowOff>
    </xdr:from>
    <xdr:to>
      <xdr:col>5</xdr:col>
      <xdr:colOff>685800</xdr:colOff>
      <xdr:row>49</xdr:row>
      <xdr:rowOff>114300</xdr:rowOff>
    </xdr:to>
    <xdr:sp>
      <xdr:nvSpPr>
        <xdr:cNvPr id="1" name="Text Box 2"/>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4.xml><?xml version="1.0" encoding="utf-8"?>
<xdr:wsDr xmlns:xdr="http://schemas.openxmlformats.org/drawingml/2006/spreadsheetDrawing">
  <xdr:twoCellAnchor editAs="oneCell">
    <xdr:from>
      <xdr:col>0</xdr:col>
      <xdr:colOff>0</xdr:colOff>
      <xdr:row>0</xdr:row>
      <xdr:rowOff>0</xdr:rowOff>
    </xdr:from>
    <xdr:to>
      <xdr:col>4</xdr:col>
      <xdr:colOff>1676400</xdr:colOff>
      <xdr:row>49</xdr:row>
      <xdr:rowOff>114300</xdr:rowOff>
    </xdr:to>
    <xdr:sp>
      <xdr:nvSpPr>
        <xdr:cNvPr id="1" name="Text Box 2"/>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drawings/drawing5.xml><?xml version="1.0" encoding="utf-8"?>
<xdr:wsDr xmlns:xdr="http://schemas.openxmlformats.org/drawingml/2006/spreadsheetDrawing">
  <xdr:twoCellAnchor editAs="oneCell">
    <xdr:from>
      <xdr:col>0</xdr:col>
      <xdr:colOff>0</xdr:colOff>
      <xdr:row>0</xdr:row>
      <xdr:rowOff>0</xdr:rowOff>
    </xdr:from>
    <xdr:to>
      <xdr:col>4</xdr:col>
      <xdr:colOff>1295400</xdr:colOff>
      <xdr:row>49</xdr:row>
      <xdr:rowOff>114300</xdr:rowOff>
    </xdr:to>
    <xdr:sp>
      <xdr:nvSpPr>
        <xdr:cNvPr id="1" name="Text Box 2"/>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wsDr>
</file>

<file path=xl/persons/person.xml><?xml version="1.0" encoding="utf-8"?>
<xltc:personList xmlns:xltc="http://schemas.microsoft.com/office/spreadsheetml/2018/threadedcomments">
  <xltc:person displayName="User" id="{75C57DB4-9675-4943-BEF9-D89163440FCB}"/>
  <xltc:person displayName="Cloud Infrastructure Manager" id="{C7B94371-6FEF-4A4E-830E-7B8E333DC05A}"/>
</xltc:personList>
</file>

<file path=xl/tables/table1.xml><?xml version="1.0" encoding="utf-8"?>
<x:table xmlns:x="http://schemas.openxmlformats.org/spreadsheetml/2006/main" id="10" name="CurrentTaskRegisterTable" displayName="CurrentTaskRegisterTable" ref="A4:Z804" headerRowCount="1" totalsRowCount="0" totalsRowShown="0">
  <x:tableColumns count="26">
    <x:tableColumn id="1" name="Request Number"/>
    <x:tableColumn id="2" name="Task Type"/>
    <x:tableColumn id="3" name="Current CSSP Status"/>
    <x:tableColumn id="4" name="Raw Refresh Date"/>
    <x:tableColumn id="5" name="Date Created"/>
    <x:tableColumn id="6" name="Date Updated"/>
    <x:tableColumn id="7" name="Application Name"/>
    <x:tableColumn id="8" name="Project Name"/>
    <x:tableColumn id="9" name="Request Size"/>
    <x:tableColumn id="10" name="Snapshot PIC (gate_4_id)"/>
    <x:tableColumn id="11" name="Current Operational PIC"/>
    <x:tableColumn id="12" name="Assignment Mode"/>
    <x:tableColumn id="13" name="Workload Points"/>
    <x:tableColumn id="14" name="Manager Scope Decision"/>
    <x:tableColumn id="15" name="Final Disposition"/>
    <x:tableColumn id="16" name="Effective Workload"/>
    <x:tableColumn id="17" name="Latest Update"/>
    <x:tableColumn id="18" name="Latest State"/>
    <x:tableColumn id="19" name="Latest Stage"/>
    <x:tableColumn id="20" name="Latest Progress"/>
    <x:tableColumn id="21" name="Next Action"/>
    <x:tableColumn id="22" name="Blocker"/>
    <x:tableColumn id="23" name="ETA"/>
    <x:tableColumn id="24" name="Lifecycle / Exception"/>
    <x:tableColumn id="25" name="Source Sheet"/>
    <x:tableColumn id="26" name="Managed?"/>
  </x:tableColumns>
  <x:tableStyleInfo name="TableStyleMedium2" showFirstColumn="0" showLastColumn="0" showRowStripes="1" showColumnStripes="0"/>
</x:table>
</file>

<file path=xl/tables/table2.xml><?xml version="1.0" encoding="utf-8"?>
<x:table xmlns:x="http://schemas.openxmlformats.org/spreadsheetml/2006/main" id="4" name="DailyTargetsTable" displayName="DailyTargetsTable" ref="A4:P204" totalsRowShown="0" dataDxfId="141">
  <x:autoFilter ref="A4:P204"/>
  <x:tableColumns count="16">
    <x:tableColumn id="1" name="Target Date" dataDxfId="158"/>
    <x:tableColumn id="2" name="Request Number" dataDxfId="157"/>
    <x:tableColumn id="3" name="Snapshot Status" dataDxfId="156"/>
    <x:tableColumn id="4" name="Snapshot PIC" dataDxfId="155"/>
    <x:tableColumn id="5" name="Planned PIC" dataDxfId="154"/>
    <x:tableColumn id="6" name="Dispositioned Today" dataDxfId="153"/>
    <x:tableColumn id="7" name="Previous PIC" dataDxfId="152"/>
    <x:tableColumn id="8" name="Target Outcome" dataDxfId="151"/>
    <x:tableColumn id="9" name="Set By" dataDxfId="150"/>
    <x:tableColumn id="10" name="Set At" dataDxfId="149"/>
    <x:tableColumn id="11" name="Engineer Result" dataDxfId="148"/>
    <x:tableColumn id="12" name="Result Time" dataDxfId="147"/>
    <x:tableColumn id="13" name="Completion Evidence" dataDxfId="146"/>
    <x:tableColumn id="14" name="Carryover Reason" dataDxfId="145"/>
    <x:tableColumn id="15" name="Target Achieved" dataDxfId="144"/>
    <x:tableColumn id="16" name="Notes" dataDxfId="143"/>
  </x:tableColumns>
  <x:tableStyleInfo name="TableStyleMedium4" showFirstColumn="0" showLastColumn="0" showRowStripes="1" showColumnStripes="0"/>
</x:table>
</file>

<file path=xl/tables/table3.xml><?xml version="1.0" encoding="utf-8"?>
<x:table xmlns:x="http://schemas.openxmlformats.org/spreadsheetml/2006/main" id="11" name="PersistentEngineerUpdatesTable" displayName="PersistentEngineerUpdatesTable" ref="A4:Q704" headerRowCount="1" totalsRowCount="0" totalsRowShown="0">
  <x:tableColumns count="17">
    <x:tableColumn id="1" name="Update Timestamp"/>
    <x:tableColumn id="2" name="Request Number"/>
    <x:tableColumn id="3" name="Task Type"/>
    <x:tableColumn id="4" name="Current CSSP Status"/>
    <x:tableColumn id="5" name="Reconciliation State"/>
    <x:tableColumn id="6" name="Operational PIC"/>
    <x:tableColumn id="7" name="Workflow Stage"/>
    <x:tableColumn id="8" name="Engineer Update State"/>
    <x:tableColumn id="9" name="Progress Update"/>
    <x:tableColumn id="10" name="Next Action"/>
    <x:tableColumn id="11" name="Blocker"/>
    <x:tableColumn id="12" name="ETA"/>
    <x:tableColumn id="13" name="Scope Assessment"/>
    <x:tableColumn id="14" name="OOS Type"/>
    <x:tableColumn id="15" name="Evidence / Link"/>
    <x:tableColumn id="16" name="Updated By"/>
    <x:tableColumn id="17" name="Is Latest"/>
  </x:tableColumns>
  <x:tableStyleInfo name="TableStyleMedium4" showFirstColumn="0" showLastColumn="0" showRowStripes="1" showColumnStripes="0"/>
</x:table>
</file>

<file path=xl/tables/table4.xml><?xml version="1.0" encoding="utf-8"?>
<x:table xmlns:x="http://schemas.openxmlformats.org/spreadsheetml/2006/main" id="3" name="AssignmentHistoryTable" displayName="AssignmentHistoryTable" ref="A4:I204" totalsRowShown="0" dataDxfId="114">
  <x:autoFilter ref="A4:I204"/>
  <x:tableColumns count="9">
    <x:tableColumn id="1" name="Effective Time" dataDxfId="124"/>
    <x:tableColumn id="2" name="Request Number" dataDxfId="123"/>
    <x:tableColumn id="3" name="From PIC" dataDxfId="122"/>
    <x:tableColumn id="4" name="To PIC" dataDxfId="121"/>
    <x:tableColumn id="5" name="Reason" dataDxfId="120"/>
    <x:tableColumn id="6" name="Assigned By" dataDxfId="119"/>
    <x:tableColumn id="7" name="Acknowledged By" dataDxfId="118"/>
    <x:tableColumn id="8" name="Acknowledged At" dataDxfId="117"/>
    <x:tableColumn id="9" name="Notes" dataDxfId="116"/>
  </x:tableColumns>
  <x:tableStyleInfo name="TableStyleMedium4" showFirstColumn="0" showLastColumn="0" showRowStripes="1" showColumnStripes="0"/>
</x:table>
</file>

<file path=xl/tables/table5.xml><?xml version="1.0" encoding="utf-8"?>
<x:table xmlns:x="http://schemas.openxmlformats.org/spreadsheetml/2006/main" id="5" name="ScopeReviewTable" displayName="ScopeReviewTable" ref="A4:L204" totalsRowShown="0" dataDxfId="100">
  <x:autoFilter ref="A4:L204"/>
  <x:tableColumns count="12">
    <x:tableColumn id="1" name="Submitted At" dataDxfId="113"/>
    <x:tableColumn id="2" name="Request Number" dataDxfId="112"/>
    <x:tableColumn id="3" name="Submitted By" dataDxfId="111"/>
    <x:tableColumn id="4" name="OOS Type" dataDxfId="110"/>
    <x:tableColumn id="5" name="Engineer Justification" dataDxfId="109"/>
    <x:tableColumn id="6" name="Evidence / Link" dataDxfId="108"/>
    <x:tableColumn id="7" name="Manager Decision" dataDxfId="107"/>
    <x:tableColumn id="8" name="Final Disposition" dataDxfId="106"/>
    <x:tableColumn id="9" name="Decision By" dataDxfId="105"/>
    <x:tableColumn id="10" name="Decision At" dataDxfId="104"/>
    <x:tableColumn id="11" name="CSSP Mismatch" dataDxfId="103"/>
    <x:tableColumn id="12" name="Notes" dataDxfId="102"/>
  </x:tableColumns>
  <x:tableStyleInfo name="TableStyleMedium4" showFirstColumn="0" showLastColumn="0" showRowStripes="1" showColumnStripes="0"/>
</x:table>
</file>

<file path=xl/tables/table6.xml><?xml version="1.0" encoding="utf-8"?>
<x:table xmlns:x="http://schemas.openxmlformats.org/spreadsheetml/2006/main" id="6" name="EngineerCapacityTable" displayName="EngineerCapacityTable" ref="A4:O15" totalsRowShown="0" dataDxfId="83">
  <x:autoFilter ref="A4:O15"/>
  <x:tableColumns count="15">
    <x:tableColumn id="1" name="Engineer" dataDxfId="99"/>
    <x:tableColumn id="2" name="Display Name" dataDxfId="98"/>
    <x:tableColumn id="3" name="Skills" dataDxfId="97"/>
    <x:tableColumn id="4" name="Availability" dataDxfId="96"/>
    <x:tableColumn id="5" name="Base Capacity Points" dataDxfId="95"/>
    <x:tableColumn id="6" name="Effective Capacity" dataDxfId="94"/>
    <x:tableColumn id="7" name="Executing Tasks" dataDxfId="93"/>
    <x:tableColumn id="8" name="Current Workload Points" dataDxfId="92"/>
    <x:tableColumn id="9" name="Current Utilization" dataDxfId="91"/>
    <x:tableColumn id="10" name="Processing Points Assigned" dataDxfId="90"/>
    <x:tableColumn id="11" name="Projected Load" dataDxfId="89"/>
    <x:tableColumn id="12" name="Projected Utilization" dataDxfId="88"/>
    <x:tableColumn id="13" name="Today's Targets" dataDxfId="87"/>
    <x:tableColumn id="14" name="Targets Achieved" dataDxfId="86"/>
    <x:tableColumn id="15" name="Capacity Flag" dataDxfId="85"/>
  </x:tableColumns>
  <x:tableStyleInfo name="TableStyleMedium2" showFirstColumn="0" showLastColumn="0" showRowStripes="1" showColumnStripes="0"/>
</x:table>
</file>

<file path=xl/tables/table7.xml><?xml version="1.0" encoding="utf-8"?>
<x:table xmlns:x="http://schemas.openxmlformats.org/spreadsheetml/2006/main" id="7" name="RawDecommissioningTable" displayName="RawDecommissioningTable" ref="A1:AO369" totalsRowShown="0" dataDxfId="40">
  <x:autoFilter ref="A1:AO369"/>
  <x:tableColumns count="41">
    <x:tableColumn id="1" name="id" dataDxfId="82"/>
    <x:tableColumn id="2" name="request_number" dataDxfId="81"/>
    <x:tableColumn id="3" name="requestor_id" dataDxfId="80"/>
    <x:tableColumn id="4" name="request_type" dataDxfId="79"/>
    <x:tableColumn id="5" name="request_status" dataDxfId="78"/>
    <x:tableColumn id="6" name="date_created" dataDxfId="77"/>
    <x:tableColumn id="7" name="date_updated" dataDxfId="76"/>
    <x:tableColumn id="8" name="date_submitted" dataDxfId="75"/>
    <x:tableColumn id="9" name="application_name" dataDxfId="74"/>
    <x:tableColumn id="10" name="project_name" dataDxfId="73"/>
    <x:tableColumn id="11" name="decommission_type" dataDxfId="72"/>
    <x:tableColumn id="12" name="powerapps_id" dataDxfId="71"/>
    <x:tableColumn id="13" name="manager_email" dataDxfId="70"/>
    <x:tableColumn id="14" name="dns_records" dataDxfId="69"/>
    <x:tableColumn id="15" name="app_centre_ref" dataDxfId="68"/>
    <x:tableColumn id="16" name="justification" dataDxfId="67"/>
    <x:tableColumn id="17" name="backup" dataDxfId="66"/>
    <x:tableColumn id="18" name="reason" dataDxfId="65"/>
    <x:tableColumn id="19" name="origin" dataDxfId="64"/>
    <x:tableColumn id="20" name="gate_1_status" dataDxfId="63"/>
    <x:tableColumn id="21" name="gate_1_id" dataDxfId="62"/>
    <x:tableColumn id="22" name="gate_1_date" dataDxfId="61"/>
    <x:tableColumn id="23" name="gate_1_comments" dataDxfId="60"/>
    <x:tableColumn id="24" name="gate_2_status" dataDxfId="59"/>
    <x:tableColumn id="25" name="gate_2_id" dataDxfId="58"/>
    <x:tableColumn id="26" name="gate_2_date" dataDxfId="57"/>
    <x:tableColumn id="27" name="gate_2_comments" dataDxfId="56"/>
    <x:tableColumn id="28" name="gate_3_status" dataDxfId="55"/>
    <x:tableColumn id="29" name="gate_3_id" dataDxfId="54"/>
    <x:tableColumn id="30" name="gate_3_date" dataDxfId="53"/>
    <x:tableColumn id="31" name="gate_3_comments" dataDxfId="52"/>
    <x:tableColumn id="32" name="gate_4_status" dataDxfId="51"/>
    <x:tableColumn id="33" name="gate_4_id" dataDxfId="50"/>
    <x:tableColumn id="34" name="gate_4_date" dataDxfId="49"/>
    <x:tableColumn id="35" name="gate_4_comments" dataDxfId="48"/>
    <x:tableColumn id="36" name="application_id" dataDxfId="47"/>
    <x:tableColumn id="37" name="project_code" dataDxfId="46"/>
    <x:tableColumn id="38" name="request_size" dataDxfId="45"/>
    <x:tableColumn id="39" name="sr_number" dataDxfId="44"/>
    <x:tableColumn id="40" name="data_retention" dataDxfId="43"/>
    <x:tableColumn id="41" name="data_retention_duration" dataDxfId="42"/>
  </x:tableColumns>
  <x:tableStyleInfo name="TableStyleMedium2" showFirstColumn="0" showLastColumn="0" showRowStripes="1" showColumnStripes="0"/>
</x:table>
</file>

<file path=xl/tables/table8.xml><?xml version="1.0" encoding="utf-8"?>
<x:table xmlns:x="http://schemas.openxmlformats.org/spreadsheetml/2006/main" id="8" name="RawProvisioningTable" displayName="RawProvisioningTable" ref="A1:AL262" totalsRowShown="0">
  <x:autoFilter ref="A1:AL262"/>
  <x:tableColumns count="38">
    <x:tableColumn id="1" name="id" dataDxfId="39"/>
    <x:tableColumn id="2" name="request_number" dataDxfId="38"/>
    <x:tableColumn id="3" name="requestor_id" dataDxfId="37"/>
    <x:tableColumn id="4" name="request_type" dataDxfId="36"/>
    <x:tableColumn id="5" name="request_status" dataDxfId="35"/>
    <x:tableColumn id="6" name="date_created" dataDxfId="34"/>
    <x:tableColumn id="7" name="date_submitted" dataDxfId="33"/>
    <x:tableColumn id="8" name="date_updated" dataDxfId="32"/>
    <x:tableColumn id="9" name="application_id" dataDxfId="31"/>
    <x:tableColumn id="10" name="application_name" dataDxfId="30"/>
    <x:tableColumn id="11" name="project_code" dataDxfId="29"/>
    <x:tableColumn id="12" name="project_name" dataDxfId="28"/>
    <x:tableColumn id="13" name="manager_email" dataDxfId="27"/>
    <x:tableColumn id="14" name="devops_project" dataDxfId="26"/>
    <x:tableColumn id="15" name="request_category" dataDxfId="25"/>
    <x:tableColumn id="16" name="environment" dataDxfId="24"/>
    <x:tableColumn id="17" name="remarks" dataDxfId="23"/>
    <x:tableColumn id="18" name="request_size" dataDxfId="22"/>
    <x:tableColumn id="19" name="rfc_number" dataDxfId="21"/>
    <x:tableColumn id="20" name="origin" dataDxfId="20"/>
    <x:tableColumn id="21" name="gate_1_comments" dataDxfId="19"/>
    <x:tableColumn id="22" name="gate_1_date" dataDxfId="18"/>
    <x:tableColumn id="23" name="gate_1_id" dataDxfId="17"/>
    <x:tableColumn id="24" name="gate_1_status" dataDxfId="16"/>
    <x:tableColumn id="25" name="gate_2_comments" dataDxfId="15"/>
    <x:tableColumn id="26" name="gate_2_date" dataDxfId="14"/>
    <x:tableColumn id="27" name="gate_2_id" dataDxfId="13"/>
    <x:tableColumn id="28" name="gate_2_status" dataDxfId="12"/>
    <x:tableColumn id="29" name="gate_3_comments" dataDxfId="11"/>
    <x:tableColumn id="30" name="gate_3_date" dataDxfId="10"/>
    <x:tableColumn id="31" name="gate_3_id" dataDxfId="9"/>
    <x:tableColumn id="32" name="gate_3_status" dataDxfId="8"/>
    <x:tableColumn id="33" name="gate_4_comments" dataDxfId="7"/>
    <x:tableColumn id="34" name="gate_4_date" dataDxfId="6"/>
    <x:tableColumn id="35" name="gate_4_id" dataDxfId="5"/>
    <x:tableColumn id="36" name="gate_4_status" dataDxfId="4"/>
    <x:tableColumn id="37" name="sr_number" dataDxfId="3"/>
    <x:tableColumn id="38" name="project_id" dataDxfId="2"/>
  </x:tableColumns>
  <x:tableStyleInfo name="TableStyleMedium2" showFirstColumn="0" showLastColumn="0" showRowStripes="1" showColumnStripes="0"/>
</x:table>
</file>

<file path=xl/tables/table9.xml><?xml version="1.0" encoding="utf-8"?>
<x:table xmlns:x="http://schemas.openxmlformats.org/spreadsheetml/2006/main" id="9" name="RefreshReconciliationTable" displayName="RefreshReconciliationTable" ref="A13:B23" headerRowCount="1" totalsRowCount="0" totalsRowShown="0">
  <x:tableColumns count="2">
    <x:tableColumn id="1" name="Reconciliation Metric"/>
    <x:tableColumn id="2" name="Current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K4" dT="2026-08-18T01:43:44.62" personId="{75C57DB4-9675-4943-BEF9-D89163440FCB}" id="{407F8D56-2425-0AD4-BE06-02E67E10102A}">
    <xltc:text>Current Operational PIC uses the most recent Assignment History entry; otherwise it uses normalized gate_4_id.</xltc:text>
  </xltc:threadedComment>
  <xltc:threadedComment ref="P4" dT="2026-08-18T01:43:44.62" personId="{75C57DB4-9675-4943-BEF9-D89163440FCB}" id="{DC2E6EC9-8097-AE60-E777-6F4B5415291C}">
    <xltc:text>Effective Workload counts executing tasks not confirmed out-of-scope.</xltc:text>
  </xltc:threadedComment>
  <xltc:threadedComment ref="A4" dT="2026-08-20T02:56:17.406" personId="{C7B94371-6FEF-4A4E-830E-7B8E333DC05A}" id="{2601392C-0F30-CA93-783D-79E5E9C8AF0A}">
    <xltc:text>Formula source: request_number from Raw Decommissioning followed by Raw Provisioning, within the supported refresh capacity.</xltc:text>
  </xltc:threadedComment>
  <xltc:threadedComment ref="K4" dT="2026-08-20T02:56:17.406" personId="{C7B94371-6FEF-4A4E-830E-7B8E333DC05A}" id="{14A08E61-E353-1772-C4C3-96E9E251B083}">
    <xltc:text>Latest manager disposition from Assignment History; otherwise normalized gate_4_id from the raw snapshot.</xltc:text>
  </xltc:threadedComment>
</xltc:ThreadedComments>
</file>

<file path=xl/threadedcomments/threadedcomment2.xml><?xml version="1.0" encoding="utf-8"?>
<xltc:ThreadedComments xmlns:xltc="http://schemas.microsoft.com/office/spreadsheetml/2018/threadedcomments">
  <xltc:threadedComment ref="O4" dT="2026-08-18T01:43:44.63" personId="{75C57DB4-9675-4943-BEF9-D89163440FCB}" id="{E3C39D4D-36BB-4B83-7587-7A9908C3D641}">
    <xltc:text>Achieved when Engineer Result is Achieved or Out-of-Scope Confirmed.</xltc:text>
  </xltc:threadedComment>
</xltc:ThreadedComments>
</file>

<file path=xl/threadedcomments/threadedcomment3.xml><?xml version="1.0" encoding="utf-8"?>
<xltc:ThreadedComments xmlns:xltc="http://schemas.microsoft.com/office/spreadsheetml/2018/threadedcomments">
  <xltc:threadedComment ref="N4" dT="2026-08-18T01:43:44.63" personId="{75C57DB4-9675-4943-BEF9-D89163440FCB}" id="{8E0BF05A-6CC5-FDC1-B961-2D57CA27A9AB}">
    <xltc:text>Is Latest is TRUE for the most recent timestamp for each request number.</xltc:text>
  </xltc:threadedComment>
  <xltc:threadedComment ref="C4" dT="2026-08-20T02:56:17.405" personId="{C7B94371-6FEF-4A4E-830E-7B8E333DC05A}" id="{4E23F016-02F2-366A-6D8D-D0B4CCCFBE90}">
    <xltc:text>Formula source: request_number lookup across both raw sheets. This field is not engineer-entered.</xltc:text>
  </xltc:threadedComment>
  <xltc:threadedComment ref="D4" dT="2026-08-20T02:56:17.405" personId="{C7B94371-6FEF-4A4E-830E-7B8E333DC05A}" id="{061E287F-AE8F-B9B4-6924-005A50AEF8E2}">
    <xltc:text>Formula source: request_status in the latest raw snapshots. A change to completed appears here after refresh.</xltc:text>
  </xltc:threadedComment>
  <xltc:threadedComment ref="E4" dT="2026-08-20T02:56:17.406" personId="{C7B94371-6FEF-4A4E-830E-7B8E333DC05A}" id="{F300EB54-601D-4EBA-8768-C8A117629074}">
    <xltc:text>Derived from Current CSSP Status to highlight active, ready, completed, unmanaged, or missing source records.</xltc:text>
  </xltc:threadedComment>
</xltc:ThreadedComments>
</file>

<file path=xl/threadedcomments/threadedcomment4.xml><?xml version="1.0" encoding="utf-8"?>
<xltc:ThreadedComments xmlns:xltc="http://schemas.microsoft.com/office/spreadsheetml/2018/threadedcomments">
  <xltc:threadedComment ref="S5" dT="2026-08-18T01:43:44.63" personId="{75C57DB4-9675-4943-BEF9-D89163440FCB}" id="{022B97D8-A1B6-2362-10B6-665CB86FB4DC}">
    <xltc:text>Editable default capacity assumption; tune after the pilot.</xltc:text>
  </xltc:threadedComment>
</xltc:ThreadedComments>
</file>

<file path=xl/threadedcomments/threadedcomment5.xml><?xml version="1.0" encoding="utf-8"?>
<xltc:ThreadedComments xmlns:xltc="http://schemas.microsoft.com/office/spreadsheetml/2018/threadedcomments">
  <xltc:threadedComment ref="A1" dT="2026-08-20T02:56:17.404" personId="{C7B94371-6FEF-4A4E-830E-7B8E333DC05A}" id="{31B40670-8754-EE3A-92BF-5A397EFE74D5}">
    <xltc:text>Replace values only. Keep this sheet name and all headers unchanged. Clear old rows 2-1000 before pasting a new export.</xltc:text>
  </xltc:threadedComment>
</xltc:ThreadedComments>
</file>

<file path=xl/threadedcomments/threadedcomment6.xml><?xml version="1.0" encoding="utf-8"?>
<xltc:ThreadedComments xmlns:xltc="http://schemas.microsoft.com/office/spreadsheetml/2018/threadedcomments">
  <xltc:threadedComment ref="A1" dT="2026-08-20T02:56:17.405" personId="{C7B94371-6FEF-4A4E-830E-7B8E333DC05A}" id="{7DE79946-F3D4-BBA2-D21D-8AB6F238AB3D}">
    <xltc:text>Replace values only. Keep this sheet name and all headers unchanged. Clear old rows 2-1000 before pasting a new export.</xltc:text>
  </xltc:threadedComment>
</xltc:ThreadedComments>
</file>

<file path=xl/worksheets/_rels/sheet2.xml.rels>&#65279;<?xml version="1.0" encoding="utf-8"?><Relationships xmlns="http://schemas.openxmlformats.org/package/2006/relationships"><Relationship Type="http://schemas.openxmlformats.org/officeDocument/2006/relationships/drawing" Target="/xl/drawings/drawing1.xml" Id="R96894abd9033480b" /></Relationships>
</file>

<file path=xl/worksheets/_rels/sheet3.xml.rels>&#65279;<?xml version="1.0" encoding="utf-8"?><Relationships xmlns="http://schemas.openxmlformats.org/package/2006/relationships"><Relationship Type="http://schemas.openxmlformats.org/officeDocument/2006/relationships/comments" Target="/xl/comments1.xml" Id="R0abad84fde9442ba" /><Relationship Type="http://schemas.openxmlformats.org/officeDocument/2006/relationships/vmlDrawing" Target="/xl/drawings/vmldrawing.vml" Id="R6d79245638364af6" /><Relationship Type="http://schemas.microsoft.com/office/2017/10/relationships/threadedComment" Target="/xl/threadedcomments/threadedcomment.xml" Id="R2bc1135032b84eeb" /><Relationship Type="http://schemas.openxmlformats.org/officeDocument/2006/relationships/drawing" Target="/xl/drawings/drawing2.xml" Id="R122de40a2b3b418e" /><Relationship Type="http://schemas.openxmlformats.org/officeDocument/2006/relationships/table" Target="/xl/tables/table1.xml" Id="R9e81fca1bf5c4585" /></Relationships>
</file>

<file path=xl/worksheets/_rels/sheet4.xml.rels>&#65279;<?xml version="1.0" encoding="utf-8"?><Relationships xmlns="http://schemas.openxmlformats.org/package/2006/relationships"><Relationship Type="http://schemas.openxmlformats.org/officeDocument/2006/relationships/comments" Target="/xl/comments2.xml" Id="Rc7a5777cb2f24a55" /><Relationship Type="http://schemas.openxmlformats.org/officeDocument/2006/relationships/vmlDrawing" Target="/xl/drawings/vmldrawing2.vml" Id="R40155c19fd8a4839" /><Relationship Type="http://schemas.microsoft.com/office/2017/10/relationships/threadedComment" Target="/xl/threadedcomments/threadedcomment2.xml" Id="R2254d8c298c14cd4" /><Relationship Type="http://schemas.openxmlformats.org/officeDocument/2006/relationships/drawing" Target="/xl/drawings/drawing3.xml" Id="R45876c31d2614176" /><Relationship Type="http://schemas.openxmlformats.org/officeDocument/2006/relationships/table" Target="/xl/tables/table2.xml" Id="R48e8a957501746e7" /></Relationships>
</file>

<file path=xl/worksheets/_rels/sheet5.xml.rels>&#65279;<?xml version="1.0" encoding="utf-8"?><Relationships xmlns="http://schemas.openxmlformats.org/package/2006/relationships"><Relationship Type="http://schemas.openxmlformats.org/officeDocument/2006/relationships/comments" Target="/xl/comments3.xml" Id="R9d4f18f9578645fe" /><Relationship Type="http://schemas.openxmlformats.org/officeDocument/2006/relationships/vmlDrawing" Target="/xl/drawings/vmldrawing3.vml" Id="R2d4871f9480d4900" /><Relationship Type="http://schemas.microsoft.com/office/2017/10/relationships/threadedComment" Target="/xl/threadedcomments/threadedcomment3.xml" Id="R5aae0332f8474aa7" /><Relationship Type="http://schemas.openxmlformats.org/officeDocument/2006/relationships/drawing" Target="/xl/drawings/drawing4.xml" Id="R6cf91f9ee7bd43ce" /><Relationship Type="http://schemas.openxmlformats.org/officeDocument/2006/relationships/table" Target="/xl/tables/table3.xml" Id="R2039a230ee264d0d" /></Relationships>
</file>

<file path=xl/worksheets/_rels/sheet6.xml.rels>&#65279;<?xml version="1.0" encoding="utf-8"?><Relationships xmlns="http://schemas.openxmlformats.org/package/2006/relationships"><Relationship Type="http://schemas.openxmlformats.org/officeDocument/2006/relationships/table" Target="/xl/tables/table4.xml" Id="R58f8913c922143fa" /></Relationships>
</file>

<file path=xl/worksheets/_rels/sheet7.xml.rels>&#65279;<?xml version="1.0" encoding="utf-8"?><Relationships xmlns="http://schemas.openxmlformats.org/package/2006/relationships"><Relationship Type="http://schemas.openxmlformats.org/officeDocument/2006/relationships/table" Target="/xl/tables/table5.xml" Id="Reeed2cff8aba4828" /></Relationships>
</file>

<file path=xl/worksheets/_rels/sheet8.xml.rels>&#65279;<?xml version="1.0" encoding="utf-8"?><Relationships xmlns="http://schemas.openxmlformats.org/package/2006/relationships"><Relationship Type="http://schemas.openxmlformats.org/officeDocument/2006/relationships/table" Target="/xl/tables/table6.xml" Id="Rcd6344a55aed4499" /></Relationships>
</file>

<file path=xl/worksheets/_rels/sheet9.xml.rels>&#65279;<?xml version="1.0" encoding="utf-8"?><Relationships xmlns="http://schemas.openxmlformats.org/package/2006/relationships"><Relationship Type="http://schemas.openxmlformats.org/officeDocument/2006/relationships/comments" Target="/xl/comments4.xml" Id="R719e3028ac3a4920" /><Relationship Type="http://schemas.openxmlformats.org/officeDocument/2006/relationships/vmlDrawing" Target="/xl/drawings/vmldrawing4.vml" Id="R661872ff9f9c4da2" /><Relationship Type="http://schemas.microsoft.com/office/2017/10/relationships/threadedComment" Target="/xl/threadedcomments/threadedcomment4.xml" Id="Ra0a283020af0468f" /><Relationship Type="http://schemas.openxmlformats.org/officeDocument/2006/relationships/drawing" Target="/xl/drawings/drawing5.xml" Id="R4116735438d04d2f" /></Relationships>
</file>

<file path=xl/worksheets/_rels/sheet10.xml.rels>&#65279;<?xml version="1.0" encoding="utf-8"?><Relationships xmlns="http://schemas.openxmlformats.org/package/2006/relationships"><Relationship Type="http://schemas.openxmlformats.org/officeDocument/2006/relationships/comments" Target="/xl/comments5.xml" Id="R264fb9b378664cd0" /><Relationship Type="http://schemas.openxmlformats.org/officeDocument/2006/relationships/vmlDrawing" Target="/xl/drawings/vmldrawing5.vml" Id="R653f4f6b1ac94a79" /><Relationship Type="http://schemas.microsoft.com/office/2017/10/relationships/threadedComment" Target="/xl/threadedcomments/threadedcomment5.xml" Id="Rfdc0f992a9764566" /><Relationship Type="http://schemas.openxmlformats.org/officeDocument/2006/relationships/table" Target="/xl/tables/table7.xml" Id="R74be57d7dbe74e23" /></Relationships>
</file>

<file path=xl/worksheets/_rels/sheet11.xml.rels>&#65279;<?xml version="1.0" encoding="utf-8"?><Relationships xmlns="http://schemas.openxmlformats.org/package/2006/relationships"><Relationship Type="http://schemas.openxmlformats.org/officeDocument/2006/relationships/comments" Target="/xl/comments6.xml" Id="Rcf6b8298269f4b8e" /><Relationship Type="http://schemas.openxmlformats.org/officeDocument/2006/relationships/vmlDrawing" Target="/xl/drawings/vmldrawing6.vml" Id="R18dc10a031e04db3" /><Relationship Type="http://schemas.microsoft.com/office/2017/10/relationships/threadedComment" Target="/xl/threadedcomments/threadedcomment6.xml" Id="R3669b907ad894f93" /><Relationship Type="http://schemas.openxmlformats.org/officeDocument/2006/relationships/table" Target="/xl/tables/table8.xml" Id="R9c1e098d552b4f85" /></Relationships>
</file>

<file path=xl/worksheets/_rels/sheet12.xml.rels>&#65279;<?xml version="1.0" encoding="utf-8"?><Relationships xmlns="http://schemas.openxmlformats.org/package/2006/relationships"><Relationship Type="http://schemas.openxmlformats.org/officeDocument/2006/relationships/table" Target="/xl/tables/table9.xml" Id="R15ce14a9723e43a5" /></Relationships>
</file>

<file path=xl/worksheets/sheet1.xml><?xml version="1.0" encoding="utf-8"?>
<x:worksheet xmlns:x="http://schemas.openxmlformats.org/spreadsheetml/2006/main">
  <x:sheetViews>
    <x:sheetView showGridLines="0" workbookViewId="0"/>
  </x:sheetViews>
  <x:sheetFormatPr defaultRowHeight="15"/>
  <x:cols>
    <x:col min="1" max="1" width="20" style="90" customWidth="1"/>
    <x:col min="2" max="2" width="40" style="90" customWidth="1"/>
    <x:col min="3" max="3" width="60" style="90" customWidth="1"/>
    <x:col min="4" max="4" width="3" style="90" customWidth="1"/>
    <x:col min="5" max="5" width="16" style="90" customWidth="1"/>
    <x:col min="6" max="6" width="32" style="90" customWidth="1"/>
    <x:col min="7" max="7" width="60" style="90" customWidth="1"/>
    <x:col min="8" max="8" width="3" style="90" customWidth="1"/>
    <x:col min="9" max="10" width="20" style="90" customWidth="1"/>
    <x:col min="11" max="16384" width="9" style="90" customWidth="0"/>
  </x:cols>
  <x:sheetData>
    <x:row r="1" ht="30" customHeight="1">
      <x:c r="A1" s="108" t="s">
        <x:v>0</x:v>
      </x:c>
      <x:c r="B1" s="108"/>
      <x:c r="C1" s="108"/>
      <x:c r="D1" s="108"/>
      <x:c r="E1" s="108"/>
      <x:c r="F1" s="108"/>
      <x:c r="G1" s="108"/>
      <x:c r="H1" s="108"/>
      <x:c r="I1" s="108"/>
      <x:c r="J1" s="108"/>
    </x:row>
    <x:row r="2" ht="24" customHeight="1">
      <x:c r="A2" s="109" t="s">
        <x:v>1</x:v>
      </x:c>
      <x:c r="B2" s="109"/>
      <x:c r="C2" s="109"/>
      <x:c r="D2" s="109"/>
      <x:c r="E2" s="109"/>
      <x:c r="F2" s="109"/>
      <x:c r="G2" s="109"/>
      <x:c r="H2" s="109"/>
      <x:c r="I2" s="109"/>
      <x:c r="J2" s="109"/>
    </x:row>
    <x:row r="4" ht="15.75">
      <x:c r="A4" s="110" t="s">
        <x:v>2</x:v>
      </x:c>
      <x:c r="B4" s="110"/>
      <x:c r="C4" s="110"/>
      <x:c r="D4" s="110"/>
      <x:c r="E4" s="110"/>
      <x:c r="F4" s="110"/>
      <x:c r="G4" s="110"/>
      <x:c r="H4" s="110"/>
      <x:c r="I4" s="110"/>
      <x:c r="J4" s="110"/>
    </x:row>
    <x:row r="5">
      <x:c r="A5" s="111" t="str">
        <x:v>The workbook manages executing and processing tasks while retaining completed source records for reconciliation. Raw snapshots can be replaced without changing engineer progress, disposition, target, or scope-review history.</x:v>
      </x:c>
      <x:c r="B5" s="111"/>
      <x:c r="C5" s="111"/>
      <x:c r="D5" s="111"/>
      <x:c r="E5" s="111"/>
      <x:c r="F5" s="111"/>
      <x:c r="G5" s="111"/>
      <x:c r="H5" s="111"/>
      <x:c r="I5" s="111"/>
      <x:c r="J5" s="111"/>
    </x:row>
    <x:row r="6">
      <x:c r="A6" s="111"/>
      <x:c r="B6" s="111"/>
      <x:c r="C6" s="111"/>
      <x:c r="D6" s="111"/>
      <x:c r="E6" s="111"/>
      <x:c r="F6" s="111"/>
      <x:c r="G6" s="111"/>
      <x:c r="H6" s="111"/>
      <x:c r="I6" s="111"/>
      <x:c r="J6" s="111"/>
    </x:row>
    <x:row r="8" ht="15.75">
      <x:c r="A8" s="112" t="s">
        <x:v>3</x:v>
      </x:c>
      <x:c r="B8" s="112"/>
      <x:c r="C8" s="112"/>
      <x:c r="E8" s="112" t="s">
        <x:v>4</x:v>
      </x:c>
      <x:c r="F8" s="112"/>
      <x:c r="G8" s="112"/>
    </x:row>
    <x:row r="9" ht="32.099998474121094" customHeight="1">
      <x:c r="A9" s="113" t="s">
        <x:v>5</x:v>
      </x:c>
      <x:c r="B9" s="114" t="s">
        <x:v>6</x:v>
      </x:c>
      <x:c r="C9" s="115" t="s">
        <x:v>7</x:v>
      </x:c>
      <x:c r="E9" s="113" t="s">
        <x:v>5</x:v>
      </x:c>
      <x:c r="F9" s="114" t="s">
        <x:v>6</x:v>
      </x:c>
      <x:c r="G9" s="115" t="s">
        <x:v>7</x:v>
      </x:c>
    </x:row>
    <x:row r="10">
      <x:c r="A10" s="90">
        <x:v>1</x:v>
      </x:c>
      <x:c r="B10" s="90" t="str">
        <x:v>Refresh / replace raw snapshots</x:v>
      </x:c>
      <x:c r="C10" s="90" t="str">
        <x:v>Use Refresh Control. Clear raw data rows, paste the new exports, validate headers, then update the refresh timestamp.</x:v>
      </x:c>
      <x:c r="E10" s="90">
        <x:v>1</x:v>
      </x:c>
      <x:c r="F10" s="90" t="s">
        <x:v>8</x:v>
      </x:c>
      <x:c r="G10" s="90" t="s">
        <x:v>9</x:v>
      </x:c>
    </x:row>
    <x:row r="11">
      <x:c r="A11" s="90">
        <x:v>2</x:v>
      </x:c>
      <x:c r="B11" s="90" t="s">
        <x:v>10</x:v>
      </x:c>
      <x:c r="C11" s="90" t="s">
        <x:v>11</x:v>
      </x:c>
      <x:c r="E11" s="90">
        <x:v>2</x:v>
      </x:c>
      <x:c r="F11" s="90" t="s">
        <x:v>12</x:v>
      </x:c>
      <x:c r="G11" s="90" t="s">
        <x:v>13</x:v>
      </x:c>
    </x:row>
    <x:row r="12" ht="30">
      <x:c r="A12" s="90">
        <x:v>3</x:v>
      </x:c>
      <x:c r="B12" s="90" t="s">
        <x:v>14</x:v>
      </x:c>
      <x:c r="C12" s="90" t="s">
        <x:v>15</x:v>
      </x:c>
      <x:c r="E12" s="90">
        <x:v>3</x:v>
      </x:c>
      <x:c r="F12" s="90" t="s">
        <x:v>16</x:v>
      </x:c>
      <x:c r="G12" s="90" t="s">
        <x:v>17</x:v>
      </x:c>
    </x:row>
    <x:row r="13">
      <x:c r="A13" s="90">
        <x:v>4</x:v>
      </x:c>
      <x:c r="B13" s="90" t="s">
        <x:v>18</x:v>
      </x:c>
      <x:c r="C13" s="90" t="s">
        <x:v>19</x:v>
      </x:c>
      <x:c r="E13" s="90">
        <x:v>4</x:v>
      </x:c>
      <x:c r="F13" s="90" t="s">
        <x:v>20</x:v>
      </x:c>
      <x:c r="G13" s="90" t="s">
        <x:v>21</x:v>
      </x:c>
    </x:row>
    <x:row r="14">
      <x:c r="A14" s="90">
        <x:v>5</x:v>
      </x:c>
      <x:c r="B14" s="90" t="s">
        <x:v>22</x:v>
      </x:c>
      <x:c r="C14" s="90" t="s">
        <x:v>23</x:v>
      </x:c>
      <x:c r="E14" s="90">
        <x:v>5</x:v>
      </x:c>
      <x:c r="F14" s="90" t="s">
        <x:v>24</x:v>
      </x:c>
      <x:c r="G14" s="90" t="s">
        <x:v>25</x:v>
      </x:c>
    </x:row>
    <x:row r="15">
      <x:c r="A15" s="90">
        <x:v>6</x:v>
      </x:c>
      <x:c r="B15" s="90" t="s">
        <x:v>26</x:v>
      </x:c>
      <x:c r="C15" s="90" t="s">
        <x:v>27</x:v>
      </x:c>
    </x:row>
    <x:row r="18" ht="15.75">
      <x:c r="A18" s="110" t="s">
        <x:v>28</x:v>
      </x:c>
      <x:c r="B18" s="110"/>
      <x:c r="C18" s="110"/>
      <x:c r="D18" s="110"/>
      <x:c r="E18" s="110"/>
      <x:c r="F18" s="110"/>
      <x:c r="G18" s="110"/>
      <x:c r="H18" s="110"/>
      <x:c r="I18" s="110"/>
      <x:c r="J18" s="110"/>
    </x:row>
    <x:row r="19">
      <x:c r="A19" s="116" t="s">
        <x:v>29</x:v>
      </x:c>
      <x:c r="B19" s="90" t="s">
        <x:v>30</x:v>
      </x:c>
    </x:row>
    <x:row r="20">
      <x:c r="A20" s="116" t="str">
        <x:v>Gray cells</x:v>
      </x:c>
      <x:c r="B20" s="90" t="str">
        <x:v>Formula-driven; do not overwrite.</x:v>
      </x:c>
    </x:row>
    <x:row r="21" ht="30">
      <x:c r="A21" s="116" t="str">
        <x:v>Raw refresh</x:v>
      </x:c>
      <x:c r="B21" s="90" t="str">
        <x:v>Replace values only in Raw Decommissioning and Raw Provisioning; retain sheet names and headers.</x:v>
      </x:c>
    </x:row>
    <x:row r="22">
      <x:c r="A22" s="116" t="str">
        <x:v>Update history</x:v>
      </x:c>
      <x:c r="B22" s="90" t="str">
        <x:v>Engineer-entered progress, blockers, ETA, scope assessment and evidence remain persistent.</x:v>
      </x:c>
    </x:row>
    <x:row r="23" ht="30">
      <x:c r="A23" s="116" t="str">
        <x:v>Current CSSP Status</x:v>
      </x:c>
      <x:c r="B23" s="90" t="str">
        <x:v>Reconciles directly to the latest raw export, including completed.</x:v>
      </x:c>
    </x:row>
    <x:row r="24" ht="30">
      <x:c r="A24" s="116" t="str">
        <x:v>Completed in CSSP</x:v>
      </x:c>
      <x:c r="B24" s="90" t="str">
        <x:v>Shown in Engineer Updates and Task Master; excluded from managed workload.</x:v>
      </x:c>
    </x:row>
    <x:row r="25" ht="30">
      <x:c r="A25" s="116" t="str">
        <x:v>Missing from latest raw</x:v>
      </x:c>
      <x:c r="B25" s="90" t="str">
        <x:v>Flagged for source reconciliation; the historical engineer update is not deleted.</x:v>
      </x:c>
    </x:row>
    <x:row r="28" ht="15.75">
      <x:c r="A28" s="117" t="s">
        <x:v>31</x:v>
      </x:c>
      <x:c r="B28" s="117"/>
      <x:c r="C28" s="117"/>
      <x:c r="D28" s="117"/>
      <x:c r="E28" s="117"/>
      <x:c r="F28" s="117"/>
      <x:c r="G28" s="117"/>
      <x:c r="H28" s="117"/>
      <x:c r="I28" s="117"/>
      <x:c r="J28" s="117"/>
    </x:row>
    <x:row r="29">
      <x:c r="A29" s="118" t="s">
        <x:v>32</x:v>
      </x:c>
      <x:c r="B29" s="118"/>
      <x:c r="C29" s="118"/>
      <x:c r="D29" s="118"/>
      <x:c r="E29" s="118"/>
      <x:c r="F29" s="118"/>
      <x:c r="G29" s="118"/>
      <x:c r="H29" s="118"/>
      <x:c r="I29" s="118"/>
      <x:c r="J29" s="118"/>
    </x:row>
    <x:row r="30">
      <x:c r="A30" s="118"/>
      <x:c r="B30" s="118"/>
      <x:c r="C30" s="118"/>
      <x:c r="D30" s="118"/>
      <x:c r="E30" s="118"/>
      <x:c r="F30" s="118"/>
      <x:c r="G30" s="118"/>
      <x:c r="H30" s="118"/>
      <x:c r="I30" s="118"/>
      <x:c r="J30" s="118"/>
    </x:row>
    <x:row r="31">
      <x:c r="A31" s="118"/>
      <x:c r="B31" s="118"/>
      <x:c r="C31" s="118"/>
      <x:c r="D31" s="118"/>
      <x:c r="E31" s="118"/>
      <x:c r="F31" s="118"/>
      <x:c r="G31" s="118"/>
      <x:c r="H31" s="118"/>
      <x:c r="I31" s="118"/>
      <x:c r="J31" s="118"/>
    </x:row>
  </x:sheetData>
  <x:mergeCells>
    <x:mergeCell ref="A18:J18"/>
    <x:mergeCell ref="A28:J28"/>
    <x:mergeCell ref="A29:J31"/>
    <x:mergeCell ref="A1:J1"/>
    <x:mergeCell ref="A2:J2"/>
    <x:mergeCell ref="A4:J4"/>
    <x:mergeCell ref="A5:J6"/>
    <x:mergeCell ref="A8:C8"/>
    <x:mergeCell ref="E8:G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style="2" customWidth="1"/>
    <x:col min="2" max="2" width="16" style="2" customWidth="1"/>
    <x:col min="3" max="3" width="20" style="2" customWidth="1"/>
    <x:col min="4" max="4" width="3" style="2" customWidth="1"/>
    <x:col min="5" max="5" width="22" style="2" customWidth="1"/>
    <x:col min="6" max="6" width="16" style="2" customWidth="1"/>
    <x:col min="7" max="7" width="30" style="2" customWidth="1"/>
    <x:col min="8" max="8" width="3" style="2" customWidth="1"/>
    <x:col min="9" max="9" width="20" style="2" customWidth="1"/>
    <x:col min="10" max="10" width="16" style="2" customWidth="1"/>
    <x:col min="11" max="11" width="20" style="2" customWidth="1"/>
    <x:col min="12" max="12" width="3" style="2" customWidth="1"/>
    <x:col min="13" max="13" width="22" style="2" customWidth="1"/>
    <x:col min="14" max="14" width="16" style="2" customWidth="1"/>
    <x:col min="15" max="15" width="18" style="2" customWidth="1"/>
    <x:col min="16" max="16384" width="9" style="2" customWidth="0"/>
  </x:cols>
  <x:sheetData>
    <x:row r="1" ht="30" customHeight="1">
      <x:c r="A1" s="1" t="s">
        <x:v>33</x:v>
      </x:c>
      <x:c r="B1" s="1"/>
      <x:c r="C1" s="1"/>
      <x:c r="D1" s="1"/>
      <x:c r="E1" s="1"/>
      <x:c r="F1" s="1"/>
      <x:c r="G1" s="1"/>
      <x:c r="H1" s="1"/>
      <x:c r="I1" s="1"/>
      <x:c r="J1" s="1"/>
      <x:c r="K1" s="1"/>
      <x:c r="L1" s="1"/>
      <x:c r="M1" s="1"/>
      <x:c r="N1" s="1"/>
      <x:c r="O1" s="1"/>
    </x:row>
    <x:row r="2" ht="24" customHeight="1">
      <x:c r="A2" s="3" t="s">
        <x:v>34</x:v>
      </x:c>
      <x:c r="B2" s="3"/>
      <x:c r="C2" s="3"/>
      <x:c r="D2" s="3"/>
      <x:c r="E2" s="3"/>
      <x:c r="F2" s="3"/>
      <x:c r="G2" s="3"/>
      <x:c r="H2" s="3"/>
      <x:c r="I2" s="3"/>
      <x:c r="J2" s="3"/>
      <x:c r="K2" s="3"/>
      <x:c r="L2" s="3"/>
      <x:c r="M2" s="3"/>
      <x:c r="N2" s="3"/>
      <x:c r="O2" s="3"/>
    </x:row>
    <x:row r="4">
      <x:c r="A4" s="8" t="s">
        <x:v>35</x:v>
      </x:c>
      <x:c r="B4" s="9">
        <x:v>46252</x:v>
      </x:c>
      <x:c r="D4" s="10" t="str">
        <x:v>Raw sheets are replaceable inputs. Use Refresh Control; engineer updates and manager history remain persistent.</x:v>
      </x:c>
      <x:c r="E4" s="10"/>
      <x:c r="F4" s="10"/>
      <x:c r="G4" s="10"/>
      <x:c r="H4" s="10"/>
      <x:c r="I4" s="10"/>
      <x:c r="J4" s="10"/>
      <x:c r="K4" s="10"/>
      <x:c r="L4" s="10"/>
      <x:c r="M4" s="10"/>
      <x:c r="N4" s="10"/>
      <x:c r="O4" s="10"/>
    </x:row>
    <x:row r="6">
      <x:c r="A6" s="11" t="s">
        <x:v>36</x:v>
      </x:c>
      <x:c r="B6" s="12"/>
      <x:c r="C6" s="13"/>
      <x:c r="E6" s="14" t="s">
        <x:v>37</x:v>
      </x:c>
      <x:c r="F6" s="15"/>
      <x:c r="G6" s="16"/>
      <x:c r="I6" s="17" t="s">
        <x:v>38</x:v>
      </x:c>
      <x:c r="J6" s="18"/>
      <x:c r="K6" s="19"/>
      <x:c r="M6" s="20" t="s">
        <x:v>39</x:v>
      </x:c>
      <x:c r="N6" s="21"/>
      <x:c r="O6" s="22"/>
    </x:row>
    <x:row r="7">
      <x:c r="A7" s="23" t="n">
        <x:f>COUNTIF('Task Master'!$C$5:$C$804,"executing")+COUNTIF('Task Master'!$C$5:$C$804,"processing")</x:f>
        <x:v>96</x:v>
      </x:c>
      <x:c r="B7" s="24"/>
      <x:c r="C7" s="25"/>
      <x:c r="E7" s="26" t="n">
        <x:f>COUNTIF('Task Master'!$C$5:$C$804,"executing")</x:f>
        <x:v>81</x:v>
      </x:c>
      <x:c r="F7" s="27"/>
      <x:c r="G7" s="28"/>
      <x:c r="I7" s="29" t="n">
        <x:f>COUNTIF('Task Master'!$C$5:$C$804,"processing")</x:f>
        <x:v>15</x:v>
      </x:c>
      <x:c r="J7" s="30"/>
      <x:c r="K7" s="31"/>
      <x:c r="M7" s="32" t="n">
        <x:f>COUNTIF('Task Master'!$X$5:$X$804,"Executing without named engineer")</x:f>
        <x:v>2</x:v>
      </x:c>
      <x:c r="N7" s="33"/>
      <x:c r="O7" s="34"/>
    </x:row>
    <x:row r="8">
      <x:c r="A8" s="35"/>
      <x:c r="B8" s="36"/>
      <x:c r="C8" s="37"/>
      <x:c r="E8" s="38"/>
      <x:c r="F8" s="39"/>
      <x:c r="G8" s="40"/>
      <x:c r="I8" s="41"/>
      <x:c r="J8" s="36"/>
      <x:c r="K8" s="42"/>
      <x:c r="M8" s="43"/>
      <x:c r="N8" s="44"/>
      <x:c r="O8" s="45"/>
    </x:row>
    <x:row r="9">
      <x:c r="A9" s="35"/>
      <x:c r="B9" s="36"/>
      <x:c r="C9" s="37"/>
      <x:c r="E9" s="38"/>
      <x:c r="F9" s="39"/>
      <x:c r="G9" s="40"/>
      <x:c r="I9" s="41"/>
      <x:c r="J9" s="36"/>
      <x:c r="K9" s="42"/>
      <x:c r="M9" s="43"/>
      <x:c r="N9" s="44"/>
      <x:c r="O9" s="45"/>
    </x:row>
    <x:row r="10">
      <x:c r="A10" s="46"/>
      <x:c r="B10" s="47"/>
      <x:c r="C10" s="48"/>
      <x:c r="E10" s="49"/>
      <x:c r="F10" s="50"/>
      <x:c r="G10" s="51"/>
      <x:c r="I10" s="52"/>
      <x:c r="J10" s="53"/>
      <x:c r="K10" s="54"/>
      <x:c r="M10" s="55"/>
      <x:c r="N10" s="56"/>
      <x:c r="O10" s="57"/>
    </x:row>
    <x:row r="12">
      <x:c r="A12" s="58" t="s">
        <x:v>40</x:v>
      </x:c>
      <x:c r="B12" s="59"/>
      <x:c r="C12" s="60"/>
      <x:c r="E12" s="14" t="s">
        <x:v>41</x:v>
      </x:c>
      <x:c r="F12" s="15"/>
      <x:c r="G12" s="16"/>
      <x:c r="I12" s="20" t="s">
        <x:v>42</x:v>
      </x:c>
      <x:c r="J12" s="21"/>
      <x:c r="K12" s="22"/>
      <x:c r="M12" s="201" t="str">
        <x:v>COMPLETED IN LATEST RAW</x:v>
      </x:c>
      <x:c r="N12" s="18"/>
      <x:c r="O12" s="19"/>
    </x:row>
    <x:row r="13">
      <x:c r="A13" s="61" t="n">
        <x:f>COUNTIF('Daily Targets'!$A$5:$A$204,$B$4)</x:f>
        <x:v>0</x:v>
      </x:c>
      <x:c r="B13" s="62"/>
      <x:c r="C13" s="63"/>
      <x:c r="E13" s="26" t="n">
        <x:f>COUNTIFS('Daily Targets'!$A$5:$A$204,$B$4,'Daily Targets'!$O$5:$O$204,"Yes")</x:f>
        <x:v>0</x:v>
      </x:c>
      <x:c r="F13" s="27"/>
      <x:c r="G13" s="28"/>
      <x:c r="I13" s="32" t="n">
        <x:f>COUNTIFS('Daily Targets'!$A$5:$A$204,$B$4,'Daily Targets'!$K$5:$K$204,"Blocked")+COUNTIFS('Daily Targets'!$A$5:$A$204,$B$4,'Daily Targets'!$K$5:$K$204,"Missed")</x:f>
        <x:v>0</x:v>
      </x:c>
      <x:c r="J13" s="33"/>
      <x:c r="K13" s="34"/>
      <x:c r="M13" s="202" t="n">
        <x:f>COUNTIF('Task Master'!$C$5:$C$804,"completed")</x:f>
        <x:v>328</x:v>
      </x:c>
      <x:c r="N13" s="30"/>
      <x:c r="O13" s="31"/>
    </x:row>
    <x:row r="14">
      <x:c r="A14" s="64"/>
      <x:c r="B14" s="36"/>
      <x:c r="C14" s="65"/>
      <x:c r="E14" s="38"/>
      <x:c r="F14" s="39"/>
      <x:c r="G14" s="40"/>
      <x:c r="I14" s="43"/>
      <x:c r="J14" s="44"/>
      <x:c r="K14" s="45"/>
      <x:c r="M14" s="203"/>
      <x:c r="N14" s="36"/>
      <x:c r="O14" s="42"/>
    </x:row>
    <x:row r="15">
      <x:c r="A15" s="64"/>
      <x:c r="B15" s="36"/>
      <x:c r="C15" s="65"/>
      <x:c r="E15" s="38"/>
      <x:c r="F15" s="39"/>
      <x:c r="G15" s="40"/>
      <x:c r="I15" s="43"/>
      <x:c r="J15" s="44"/>
      <x:c r="K15" s="45"/>
      <x:c r="M15" s="203"/>
      <x:c r="N15" s="36"/>
      <x:c r="O15" s="42"/>
    </x:row>
    <x:row r="16">
      <x:c r="A16" s="66"/>
      <x:c r="B16" s="67"/>
      <x:c r="C16" s="68"/>
      <x:c r="E16" s="49"/>
      <x:c r="F16" s="50"/>
      <x:c r="G16" s="51"/>
      <x:c r="I16" s="55"/>
      <x:c r="J16" s="56"/>
      <x:c r="K16" s="57"/>
      <x:c r="M16" s="204"/>
      <x:c r="N16" s="53"/>
      <x:c r="O16" s="54"/>
    </x:row>
    <x:row r="18" ht="32.099998474121094" customHeight="1">
      <x:c r="A18" s="4" t="s">
        <x:v>43</x:v>
      </x:c>
      <x:c r="B18" s="5" t="s">
        <x:v>44</x:v>
      </x:c>
      <x:c r="C18" s="6" t="s">
        <x:v>45</x:v>
      </x:c>
    </x:row>
    <x:row r="19">
      <x:c r="A19" s="69" t="str">
        <x:f>'Engineer Capacity'!B5</x:f>
        <x:v>Abdul Khoir</x:v>
      </x:c>
      <x:c r="B19" s="70" t="n">
        <x:f>'Engineer Capacity'!K5</x:f>
        <x:v>18</x:v>
      </x:c>
      <x:c r="C19" s="71" t="n">
        <x:f>'Engineer Capacity'!F5</x:f>
        <x:v>12</x:v>
      </x:c>
    </x:row>
    <x:row r="20">
      <x:c r="A20" s="72" t="str">
        <x:f>'Engineer Capacity'!B6</x:f>
        <x:v>Abhishek Bhowate</x:v>
      </x:c>
      <x:c r="B20" s="73" t="n">
        <x:f>'Engineer Capacity'!K6</x:f>
        <x:v>11</x:v>
      </x:c>
      <x:c r="C20" s="74" t="n">
        <x:f>'Engineer Capacity'!F6</x:f>
        <x:v>12</x:v>
      </x:c>
    </x:row>
    <x:row r="21">
      <x:c r="A21" s="72" t="str">
        <x:f>'Engineer Capacity'!B7</x:f>
        <x:v>Amarja Kawade</x:v>
      </x:c>
      <x:c r="B21" s="73" t="n">
        <x:f>'Engineer Capacity'!K7</x:f>
        <x:v>42</x:v>
      </x:c>
      <x:c r="C21" s="74" t="n">
        <x:f>'Engineer Capacity'!F7</x:f>
        <x:v>12</x:v>
      </x:c>
    </x:row>
    <x:row r="22">
      <x:c r="A22" s="72" t="str">
        <x:f>'Engineer Capacity'!B8</x:f>
        <x:v>Arun Karuppiah</x:v>
      </x:c>
      <x:c r="B22" s="73" t="n">
        <x:f>'Engineer Capacity'!K8</x:f>
        <x:v>3</x:v>
      </x:c>
      <x:c r="C22" s="74" t="n">
        <x:f>'Engineer Capacity'!F8</x:f>
        <x:v>12</x:v>
      </x:c>
    </x:row>
    <x:row r="23">
      <x:c r="A23" s="72" t="str">
        <x:f>'Engineer Capacity'!B9</x:f>
        <x:v>K Saktivelu</x:v>
      </x:c>
      <x:c r="B23" s="73" t="n">
        <x:f>'Engineer Capacity'!K9</x:f>
        <x:v>10</x:v>
      </x:c>
      <x:c r="C23" s="74" t="n">
        <x:f>'Engineer Capacity'!F9</x:f>
        <x:v>12</x:v>
      </x:c>
    </x:row>
    <x:row r="24">
      <x:c r="A24" s="72" t="str">
        <x:f>'Engineer Capacity'!B10</x:f>
        <x:v>Mardiansyah Rayasa</x:v>
      </x:c>
      <x:c r="B24" s="73" t="n">
        <x:f>'Engineer Capacity'!K10</x:f>
        <x:v>15</x:v>
      </x:c>
      <x:c r="C24" s="74" t="n">
        <x:f>'Engineer Capacity'!F10</x:f>
        <x:v>12</x:v>
      </x:c>
    </x:row>
    <x:row r="25">
      <x:c r="A25" s="72" t="str">
        <x:f>'Engineer Capacity'!B11</x:f>
        <x:v>Nilesh Sankpal</x:v>
      </x:c>
      <x:c r="B25" s="73" t="n">
        <x:f>'Engineer Capacity'!K11</x:f>
        <x:v>2</x:v>
      </x:c>
      <x:c r="C25" s="74" t="n">
        <x:f>'Engineer Capacity'!F11</x:f>
        <x:v>12</x:v>
      </x:c>
    </x:row>
    <x:row r="26">
      <x:c r="A26" s="72" t="str">
        <x:f>'Engineer Capacity'!B12</x:f>
        <x:v>Raditya Nugraha</x:v>
      </x:c>
      <x:c r="B26" s="73" t="n">
        <x:f>'Engineer Capacity'!K12</x:f>
        <x:v>4</x:v>
      </x:c>
      <x:c r="C26" s="74" t="n">
        <x:f>'Engineer Capacity'!F12</x:f>
        <x:v>12</x:v>
      </x:c>
    </x:row>
    <x:row r="27">
      <x:c r="A27" s="72" t="str">
        <x:f>'Engineer Capacity'!B13</x:f>
        <x:v>Sairam Villa</x:v>
      </x:c>
      <x:c r="B27" s="73" t="n">
        <x:f>'Engineer Capacity'!K13</x:f>
        <x:v>2</x:v>
      </x:c>
      <x:c r="C27" s="74" t="n">
        <x:f>'Engineer Capacity'!F13</x:f>
        <x:v>12</x:v>
      </x:c>
    </x:row>
    <x:row r="28">
      <x:c r="A28" s="72" t="str">
        <x:f>'Engineer Capacity'!B14</x:f>
        <x:v>Swaminadh Chirakala</x:v>
      </x:c>
      <x:c r="B28" s="73" t="n">
        <x:f>'Engineer Capacity'!K14</x:f>
        <x:v>37</x:v>
      </x:c>
      <x:c r="C28" s="74" t="n">
        <x:f>'Engineer Capacity'!F14</x:f>
        <x:v>12</x:v>
      </x:c>
    </x:row>
    <x:row r="29">
      <x:c r="A29" s="75" t="str">
        <x:f>'Engineer Capacity'!B15</x:f>
        <x:v>Venkatesh Kalikivayi</x:v>
      </x:c>
      <x:c r="B29" s="76" t="n">
        <x:f>'Engineer Capacity'!K15</x:f>
        <x:v>21</x:v>
      </x:c>
      <x:c r="C29" s="77" t="n">
        <x:f>'Engineer Capacity'!F15</x:f>
        <x:v>12</x:v>
      </x:c>
    </x:row>
    <x:row r="38" ht="32.099998474121094" customHeight="1">
      <x:c r="A38" s="78" t="str">
        <x:v>Current CSSP Status</x:v>
      </x:c>
      <x:c r="B38" s="79" t="str">
        <x:v>Count</x:v>
      </x:c>
      <x:c r="C38" s="80" t="str">
        <x:v>Share of Raw</x:v>
      </x:c>
      <x:c r="E38" s="78" t="s">
        <x:v>46</x:v>
      </x:c>
      <x:c r="F38" s="79" t="s">
        <x:v>47</x:v>
      </x:c>
      <x:c r="G38" s="80" t="s">
        <x:v>6</x:v>
      </x:c>
    </x:row>
    <x:row r="39">
      <x:c r="A39" s="81" t="str">
        <x:v>executing</x:v>
      </x:c>
      <x:c r="B39" s="2" t="n">
        <x:f>COUNTIF('Task Master'!$C$5:$C$804,A39)</x:f>
        <x:v>81</x:v>
      </x:c>
      <x:c r="C39" s="205" t="n">
        <x:f>IFERROR(B39/COUNTIF('Task Master'!$A$5:$A$804,"&lt;&gt;"),0)</x:f>
        <x:v>0.1287758346581876</x:v>
      </x:c>
      <x:c r="E39" s="81" t="s">
        <x:v>48</x:v>
      </x:c>
      <x:c r="F39" s="2" t="n">
        <x:f>COUNTIFS('Daily Targets'!$A$5:$A$204,$B$4,'Daily Targets'!$K$5:$K$204,"Achieved")</x:f>
        <x:v>0</x:v>
      </x:c>
      <x:c r="G39" s="83" t="s">
        <x:v>49</x:v>
      </x:c>
    </x:row>
    <x:row r="40">
      <x:c r="A40" s="84" t="str">
        <x:v>processing</x:v>
      </x:c>
      <x:c r="B40" s="85" t="n">
        <x:f>COUNTIF('Task Master'!$C$5:$C$804,A40)</x:f>
        <x:v>15</x:v>
      </x:c>
      <x:c r="C40" s="206" t="n">
        <x:f>IFERROR(B40/COUNTIF('Task Master'!$A$5:$A$804,"&lt;&gt;"),0)</x:f>
        <x:v>0.02384737678855326</x:v>
      </x:c>
      <x:c r="E40" s="81" t="s">
        <x:v>50</x:v>
      </x:c>
      <x:c r="F40" s="2" t="n">
        <x:f>COUNTIFS('Daily Targets'!$A$5:$A$204,$B$4,'Daily Targets'!$K$5:$K$204,"Blocked")</x:f>
        <x:v>0</x:v>
      </x:c>
      <x:c r="G40" s="83" t="s">
        <x:v>51</x:v>
      </x:c>
    </x:row>
    <x:row r="41">
      <x:c r="A41" t="str">
        <x:v>completed</x:v>
      </x:c>
      <x:c r="B41" t="n">
        <x:f>COUNTIF('Task Master'!$C$5:$C$804,A41)</x:f>
        <x:v>328</x:v>
      </x:c>
      <x:c r="C41" s="207" t="n">
        <x:f>IFERROR(B41/COUNTIF('Task Master'!$A$5:$A$804,"&lt;&gt;"),0)</x:f>
        <x:v>0.5214626391096979</x:v>
      </x:c>
      <x:c r="E41" s="81" t="s">
        <x:v>52</x:v>
      </x:c>
      <x:c r="F41" s="2" t="n">
        <x:f>COUNTIFS('Daily Targets'!$A$5:$A$204,$B$4,'Daily Targets'!$K$5:$K$204,"Missed")</x:f>
        <x:v>0</x:v>
      </x:c>
      <x:c r="G41" s="83" t="s">
        <x:v>53</x:v>
      </x:c>
    </x:row>
    <x:row r="42">
      <x:c r="A42" t="str">
        <x:v>other</x:v>
      </x:c>
      <x:c r="B42" t="n">
        <x:f>COUNTIF('Task Master'!$A$5:$A$804,"&lt;&gt;")-SUM(B39:B41)</x:f>
        <x:v>205</x:v>
      </x:c>
      <x:c r="C42" s="207" t="n">
        <x:f>IFERROR(B42/COUNTIF('Task Master'!$A$5:$A$804,"&lt;&gt;"),0)</x:f>
        <x:v>0.32591414944356123</x:v>
      </x:c>
      <x:c r="E42" s="84" t="s">
        <x:v>54</x:v>
      </x:c>
      <x:c r="F42" s="85" t="n">
        <x:f>COUNTIFS('Daily Targets'!$A$5:$A$204,$B$4,'Daily Targets'!$K$5:$K$204,"Out-of-Scope Submitted")</x:f>
        <x:v>0</x:v>
      </x:c>
      <x:c r="G42" s="87" t="s">
        <x:v>55</x:v>
      </x:c>
    </x:row>
  </x:sheetData>
  <x:mergeCells>
    <x:mergeCell ref="M12:O12"/>
    <x:mergeCell ref="M13:O16"/>
    <x:mergeCell ref="A12:C12"/>
    <x:mergeCell ref="A13:C16"/>
    <x:mergeCell ref="E12:G12"/>
    <x:mergeCell ref="E13:G16"/>
    <x:mergeCell ref="I12:K12"/>
    <x:mergeCell ref="I13:K16"/>
    <x:mergeCell ref="A1:O1"/>
    <x:mergeCell ref="A2:O2"/>
    <x:mergeCell ref="D4:O4"/>
    <x:mergeCell ref="A6:C6"/>
    <x:mergeCell ref="A7:C10"/>
    <x:mergeCell ref="E6:G6"/>
    <x:mergeCell ref="E7:G10"/>
    <x:mergeCell ref="I6:K6"/>
    <x:mergeCell ref="I7:K10"/>
    <x:mergeCell ref="M6:O6"/>
    <x:mergeCell ref="M7:O10"/>
    <x:mergeCell ref="D4:M4"/>
  </x:mergeCells>
  <x:pageMargins left="0.7" right="0.7" top="0.75" bottom="0.75" header="0.3" footer="0.3"/>
  <x:drawing xmlns:r="http://schemas.openxmlformats.org/officeDocument/2006/relationships" r:id="R96894abd9033480b"/>
</x:worksheet>
</file>

<file path=xl/worksheets/sheet3.xml><?xml version="1.0" encoding="utf-8"?>
<x:worksheet xmlns:x="http://schemas.openxmlformats.org/spreadsheetml/2006/main">
  <x:sheetViews>
    <x:sheetView showGridLines="0" workbookViewId="0"/>
  </x:sheetViews>
  <x:sheetFormatPr defaultRowHeight="15"/>
  <x:cols>
    <x:col min="1" max="1" width="16" style="2" hidden="0" customWidth="1"/>
    <x:col min="2" max="2" width="18" style="2" hidden="0" customWidth="1"/>
    <x:col min="3" max="3" width="16" style="2" hidden="0" customWidth="1"/>
    <x:col min="4" max="4" width="16" style="2" hidden="0" customWidth="1"/>
    <x:col min="5" max="6" width="18" style="2" customWidth="1"/>
    <x:col min="7" max="7" width="30" style="2" hidden="0" customWidth="1"/>
    <x:col min="8" max="8" width="30" style="2" hidden="0" customWidth="1"/>
    <x:col min="9" max="9" width="11" style="2" hidden="0" customWidth="1"/>
    <x:col min="10" max="11" width="34" style="2" customWidth="1"/>
    <x:col min="12" max="12" width="17" style="2" hidden="0" customWidth="1"/>
    <x:col min="13" max="13" width="17" style="2" hidden="0" customWidth="1"/>
    <x:col min="14" max="14" width="17" style="2" hidden="0" customWidth="1"/>
    <x:col min="15" max="15" width="17" style="2" hidden="0" customWidth="1"/>
    <x:col min="16" max="16" width="17" style="2" hidden="0" customWidth="1"/>
    <x:col min="17" max="17" width="18" style="2" hidden="0" customWidth="1"/>
    <x:col min="18" max="18" width="18" style="2" hidden="0" customWidth="1"/>
    <x:col min="19" max="19" width="18" style="2" hidden="0" customWidth="1"/>
    <x:col min="20" max="20" width="28" style="2" hidden="0" customWidth="1"/>
    <x:col min="21" max="21" width="28" style="2" hidden="0" customWidth="1"/>
    <x:col min="22" max="22" width="28" style="2" hidden="0" customWidth="1"/>
    <x:col min="23" max="23" width="15" style="2" hidden="0" customWidth="1"/>
    <x:col min="24" max="24" width="27" style="2" hidden="0" customWidth="1"/>
    <x:col min="25" max="25" width="27" style="2" hidden="0" customWidth="1"/>
    <x:col min="26" max="16384" width="9" style="2" customWidth="0"/>
    <x:col min="5" max="5" width="16" hidden="0" customWidth="1"/>
    <x:col min="6" max="6" width="16" hidden="0" customWidth="1"/>
    <x:col min="10" max="10" width="28" hidden="0" customWidth="1"/>
    <x:col min="11" max="11" width="28" hidden="0" customWidth="1"/>
    <x:col min="26" max="26" width="12" hidden="0" customWidth="1"/>
  </x:cols>
  <x:sheetData>
    <x:row r="1" ht="30" customHeight="1">
      <x:c r="A1" s="138" t="str">
        <x:v>Task Master — Current Raw Register</x:v>
      </x:c>
      <x:c r="B1" s="138"/>
      <x:c r="C1" s="138"/>
      <x:c r="D1" s="138"/>
      <x:c r="E1" s="138"/>
      <x:c r="F1" s="138"/>
      <x:c r="G1" s="138"/>
      <x:c r="H1" s="138"/>
      <x:c r="I1" s="138"/>
      <x:c r="J1" s="138"/>
      <x:c r="K1" s="138"/>
      <x:c r="L1" s="138"/>
      <x:c r="M1" s="138"/>
      <x:c r="N1" s="138"/>
      <x:c r="O1" s="138"/>
      <x:c r="P1" s="138"/>
      <x:c r="Q1" s="138"/>
      <x:c r="R1" s="138"/>
      <x:c r="S1" s="138"/>
      <x:c r="T1" s="138"/>
      <x:c r="U1" s="138"/>
      <x:c r="V1" s="138"/>
      <x:c r="W1" s="138"/>
      <x:c r="X1" s="138"/>
      <x:c r="Y1" s="138"/>
      <x:c r="Z1" s="120"/>
    </x:row>
    <x:row r="2" ht="24" customHeight="1">
      <x:c r="A2" s="140" t="str">
        <x:v>Formula-driven from both replaceable raw sheets. Filter Managed? = Yes for executing and processing work; completed items remain visible for reconciliation.</x:v>
      </x:c>
      <x:c r="B2" s="140"/>
      <x:c r="C2" s="140"/>
      <x:c r="D2" s="140"/>
      <x:c r="E2" s="140"/>
      <x:c r="F2" s="140"/>
      <x:c r="G2" s="140"/>
      <x:c r="H2" s="140"/>
      <x:c r="I2" s="140"/>
      <x:c r="J2" s="140"/>
      <x:c r="K2" s="140"/>
      <x:c r="L2" s="140"/>
      <x:c r="M2" s="140"/>
      <x:c r="N2" s="140"/>
      <x:c r="O2" s="140"/>
      <x:c r="P2" s="140"/>
      <x:c r="Q2" s="140"/>
      <x:c r="R2" s="140"/>
      <x:c r="S2" s="140"/>
      <x:c r="T2" s="140"/>
      <x:c r="U2" s="140"/>
      <x:c r="V2" s="140"/>
      <x:c r="W2" s="140"/>
      <x:c r="X2" s="140"/>
      <x:c r="Y2" s="140"/>
      <x:c r="Z2" s="122"/>
    </x:row>
    <x:row r="4" ht="32.099998474121094" customHeight="1">
      <x:c r="A4" s="175" t="str">
        <x:v>Request Number</x:v>
      </x:c>
      <x:c r="B4" s="176" t="str">
        <x:v>Task Type</x:v>
      </x:c>
      <x:c r="C4" s="176" t="str">
        <x:v>Current CSSP Status</x:v>
      </x:c>
      <x:c r="D4" s="176" t="str">
        <x:v>Raw Refresh Date</x:v>
      </x:c>
      <x:c r="E4" s="176" t="str">
        <x:v>Date Created</x:v>
      </x:c>
      <x:c r="F4" s="176" t="str">
        <x:v>Date Updated</x:v>
      </x:c>
      <x:c r="G4" s="176" t="str">
        <x:v>Application Name</x:v>
      </x:c>
      <x:c r="H4" s="176" t="str">
        <x:v>Project Name</x:v>
      </x:c>
      <x:c r="I4" s="176" t="str">
        <x:v>Request Size</x:v>
      </x:c>
      <x:c r="J4" s="176" t="str">
        <x:v>Snapshot PIC (gate_4_id)</x:v>
      </x:c>
      <x:c r="K4" s="176" t="str">
        <x:v>Current Operational PIC</x:v>
      </x:c>
      <x:c r="L4" s="176" t="str">
        <x:v>Assignment Mode</x:v>
      </x:c>
      <x:c r="M4" s="176" t="str">
        <x:v>Workload Points</x:v>
      </x:c>
      <x:c r="N4" s="176" t="str">
        <x:v>Manager Scope Decision</x:v>
      </x:c>
      <x:c r="O4" s="176" t="str">
        <x:v>Final Disposition</x:v>
      </x:c>
      <x:c r="P4" s="176" t="str">
        <x:v>Effective Workload</x:v>
      </x:c>
      <x:c r="Q4" s="176" t="str">
        <x:v>Latest Update</x:v>
      </x:c>
      <x:c r="R4" s="176" t="str">
        <x:v>Latest State</x:v>
      </x:c>
      <x:c r="S4" s="176" t="str">
        <x:v>Latest Stage</x:v>
      </x:c>
      <x:c r="T4" s="176" t="str">
        <x:v>Latest Progress</x:v>
      </x:c>
      <x:c r="U4" s="176" t="str">
        <x:v>Next Action</x:v>
      </x:c>
      <x:c r="V4" s="176" t="str">
        <x:v>Blocker</x:v>
      </x:c>
      <x:c r="W4" s="176" t="str">
        <x:v>ETA</x:v>
      </x:c>
      <x:c r="X4" s="176" t="str">
        <x:v>Lifecycle / Exception</x:v>
      </x:c>
      <x:c r="Y4" s="177" t="str">
        <x:v>Source Sheet</x:v>
      </x:c>
      <x:c r="Z4" s="178" t="str">
        <x:v>Managed?</x:v>
      </x:c>
    </x:row>
    <x:row r="5" ht="30">
      <x:c r="A5" s="163" t="str">
        <x:f>IF(ROWS($A$5:A5)&lt;=COUNTA('Raw Decommissioning'!$B$2:$B$1000),INDEX('Raw Decommissioning'!$B$2:$B$1000,ROWS($A$5:A5)),IF(ROWS($A$5:A5)-COUNTA('Raw Decommissioning'!$B$2:$B$1000)&lt;=COUNTA('Raw Provisioning'!$B$2:$B$1000),INDEX('Raw Provisioning'!$B$2:$B$1000,ROWS($A$5:A5)-COUNTA('Raw Decommissioning'!$B$2:$B$1000)),""))</x:f>
        <x:v>CSSP10149822</x:v>
      </x:c>
      <x:c r="B5" s="163" t="str">
        <x:f>IF(A5="","",IF(ROWS($A$5:A5)&lt;=COUNTA('Raw Decommissioning'!$B$2:$B$1000),"Decommissioning","Provisioning"))</x:f>
        <x:v>Decommissioning</x:v>
      </x:c>
      <x:c r="C5" s="163" t="str">
        <x:f>IF(A5="","",IF(B5="Decommissioning",IFERROR(INDEX('Raw Decommissioning'!$E$2:$E$1000,MATCH(A5,'Raw Decommissioning'!$B$2:$B$1000,0)),"Missing from latest raw"),IFERROR(INDEX('Raw Provisioning'!$E$2:$E$1000,MATCH(A5,'Raw Provisioning'!$B$2:$B$1000,0)),"Missing from latest raw")))</x:f>
        <x:v>rejected</x:v>
      </x:c>
      <x:c r="D5" s="164" t="n">
        <x:f>IF(A5="","",'Refresh Control'!$B$4)</x:f>
        <x:v>46254</x:v>
      </x:c>
      <x:c r="E5" s="164" t="str">
        <x:f>IF(A5="","",IF(B5="Decommissioning",INDEX('Raw Decommissioning'!$F$2:$F$1000,ROWS($A$5:A5)),INDEX('Raw Provisioning'!$F$2:$F$1000,ROWS($A$5:A5)-COUNTA('Raw Decommissioning'!$B$2:$B$1000))))</x:f>
        <x:v>2025-04-09T03:59:01.573</x:v>
      </x:c>
      <x:c r="F5" s="164" t="n">
        <x:f>IF(A5="","",IF(B5="Decommissioning",INDEX('Raw Decommissioning'!$G$2:$G$1000,ROWS($A$5:A5)),INDEX('Raw Provisioning'!$H$2:$H$1000,ROWS($A$5:A5)-COUNTA('Raw Decommissioning'!$B$2:$B$1000))))</x:f>
        <x:v>46121.16748142361</x:v>
      </x:c>
      <x:c r="G5" s="165" t="str">
        <x:f>IF(A5="","",IF(B5="Decommissioning",INDEX('Raw Decommissioning'!$I$2:$I$1000,ROWS($A$5:A5)),INDEX('Raw Provisioning'!$J$2:$J$1000,ROWS($A$5:A5)-COUNTA('Raw Decommissioning'!$B$2:$B$1000))))</x:f>
        <x:v>Asset Integrity Database Axis</x:v>
      </x:c>
      <x:c r="H5" s="165" t="str">
        <x:f>IF(A5="","",IF(B5="Decommissioning",INDEX('Raw Decommissioning'!$J$2:$J$1000,ROWS($A$5:A5)),INDEX('Raw Provisioning'!$L$2:$L$1000,ROWS($A$5:A5)-COUNTA('Raw Decommissioning'!$B$2:$B$1000))))</x:f>
        <x:v>NA</x:v>
      </x:c>
      <x:c r="I5" s="165" t="str">
        <x:f>IF(A5="","",IF(B5="Decommissioning",INDEX('Raw Decommissioning'!$AL$2:$AL$1000,ROWS($A$5:A5)),INDEX('Raw Provisioning'!$R$2:$R$1000,ROWS($A$5:A5)-COUNTA('Raw Decommissioning'!$B$2:$B$1000))))</x:f>
      </x:c>
      <x:c r="J5" s="165" t="str">
        <x:f>IF(A5="","",IF(B5="Decommissioning",INDEX('Raw Decommissioning'!$AG$2:$AG$1000,ROWS($A$5:A5)),INDEX('Raw Provisioning'!$AI$2:$AI$1000,ROWS($A$5:A5)-COUNTA('Raw Decommissioning'!$B$2:$B$1000))))</x:f>
        <x:v>CCoE Core Services (Private)</x:v>
      </x:c>
      <x:c r="K5" s="166" t="str">
        <x:f>IF(A5="","",IFERROR(LOOKUP(2,1/('Assignment History'!$B$5:$B$204=A5),'Assignment History'!$D$5:$D$204),IFERROR(VLOOKUP(J5,Configuration!$L$5:$M$50,2,FALSE),J5)))</x:f>
        <x:v>CCoE Core Services (Private)</x:v>
      </x:c>
      <x:c r="L5" s="166" t="str">
        <x:f>IF(A5="","",IF(K5=IFERROR(VLOOKUP(J5,Configuration!$L$5:$M$50,2,FALSE),J5),"Snapshot PIC","Replacement PIC"))</x:f>
        <x:v>Snapshot PIC</x:v>
      </x:c>
      <x:c r="M5" s="167" t="n">
        <x:f>IF(A5="","",IFERROR(VLOOKUP(I5,Configuration!$O$5:$P$8,2,FALSE),Configuration!$S$6))</x:f>
        <x:v>2</x:v>
      </x:c>
      <x:c r="N5" s="167" t="str">
        <x:f>IF(A5="","",IFERROR(LOOKUP(2,1/('Scope Review'!$B$5:$B$204=A5),'Scope Review'!$G$5:$G$204),"Not Reviewed"))</x:f>
        <x:v>Not Reviewed</x:v>
      </x:c>
      <x:c r="O5" s="167" t="str">
        <x:f>IF(A5="","",IFERROR(LOOKUP(2,1/('Scope Review'!$B$5:$B$204=A5),'Scope Review'!$H$5:$H$204),""))</x:f>
      </x:c>
      <x:c r="P5" s="167" t="n">
        <x:f t="shared" ref="P5:P36" si="0">IF(A5="","",IF(AND(C5="executing",N5&lt;&gt;"Confirmed OOS"),M5,0))</x:f>
        <x:v>0</x:v>
      </x:c>
      <x:c r="Q5" s="168" t="str">
        <x:f>IF(A5="","",IFERROR(LOOKUP(2,1/('Engineer Updates'!$B$5:$B$704=A5),'Engineer Updates'!$A$5:$A$704),""))</x:f>
      </x:c>
      <x:c r="R5" s="166" t="str">
        <x:f>IF(A5="","",IFERROR(LOOKUP(2,1/('Engineer Updates'!$B$5:$B$704=A5),'Engineer Updates'!$H$5:$H$704),""))</x:f>
      </x:c>
      <x:c r="S5" s="166" t="str">
        <x:f>IF(A5="","",IFERROR(LOOKUP(2,1/('Engineer Updates'!$B$5:$B$704=A5),'Engineer Updates'!$G$5:$G$704),""))</x:f>
      </x:c>
      <x:c r="T5" s="166" t="str">
        <x:f>IF(A5="","",IFERROR(LOOKUP(2,1/('Engineer Updates'!$B$5:$B$704=A5),'Engineer Updates'!$I$5:$I$704),""))</x:f>
      </x:c>
      <x:c r="U5" s="166" t="str">
        <x:f>IF(A5="","",IFERROR(LOOKUP(2,1/('Engineer Updates'!$B$5:$B$704=A5),'Engineer Updates'!$J$5:$J$704),""))</x:f>
      </x:c>
      <x:c r="V5" s="166" t="str">
        <x:f>IF(A5="","",IFERROR(LOOKUP(2,1/('Engineer Updates'!$B$5:$B$704=A5),'Engineer Updates'!$K$5:$K$704),""))</x:f>
      </x:c>
      <x:c r="W5" s="169" t="str">
        <x:f>IF(A5="","",IFERROR(LOOKUP(2,1/('Engineer Updates'!$B$5:$B$704=A5),'Engineer Updates'!$L$5:$L$704),""))</x:f>
      </x:c>
      <x:c r="X5" s="163" t="str">
        <x:f t="shared" ref="X5:X36" si="1">IF(A5="","",IF(C5="completed","Completed in CSSP",IF(AND(C5="executing",ISERROR(SEARCH("@",K5))),"Executing without named engineer",IF(AND(N5="Confirmed OOS",C5="executing"),"Confirmed OOS still executing",""))))</x:f>
      </x:c>
      <x:c r="Y5" s="163" t="str">
        <x:f>IF(A5="","",IF(B5="Decommissioning","Raw Decommissioning","Raw Provisioning"))</x:f>
        <x:v>Raw Decommissioning</x:v>
      </x:c>
      <x:c r="Z5" s="170" t="str">
        <x:f>IF(A5="","",IF(OR(C5="executing",C5="processing"),"Yes","No"))</x:f>
        <x:v>No</x:v>
      </x:c>
    </x:row>
    <x:row r="6" ht="45">
      <x:c r="A6" s="163" t="str">
        <x:f>IF(ROWS($A$5:A6)&lt;=COUNTA('Raw Decommissioning'!$B$2:$B$1000),INDEX('Raw Decommissioning'!$B$2:$B$1000,ROWS($A$5:A6)),IF(ROWS($A$5:A6)-COUNTA('Raw Decommissioning'!$B$2:$B$1000)&lt;=COUNTA('Raw Provisioning'!$B$2:$B$1000),INDEX('Raw Provisioning'!$B$2:$B$1000,ROWS($A$5:A6)-COUNTA('Raw Decommissioning'!$B$2:$B$1000)),""))</x:f>
        <x:v>CSSP10864680</x:v>
      </x:c>
      <x:c r="B6" s="163" t="str">
        <x:f>IF(A6="","",IF(ROWS($A$5:A6)&lt;=COUNTA('Raw Decommissioning'!$B$2:$B$1000),"Decommissioning","Provisioning"))</x:f>
        <x:v>Decommissioning</x:v>
      </x:c>
      <x:c r="C6" s="163" t="str">
        <x:f>IF(A6="","",IF(B6="Decommissioning",IFERROR(INDEX('Raw Decommissioning'!$E$2:$E$1000,MATCH(A6,'Raw Decommissioning'!$B$2:$B$1000,0)),"Missing from latest raw"),IFERROR(INDEX('Raw Provisioning'!$E$2:$E$1000,MATCH(A6,'Raw Provisioning'!$B$2:$B$1000,0)),"Missing from latest raw")))</x:f>
        <x:v>rejected</x:v>
      </x:c>
      <x:c r="D6" s="164" t="n">
        <x:f>IF(A6="","",'Refresh Control'!$B$4)</x:f>
        <x:v>46254</x:v>
      </x:c>
      <x:c r="E6" s="164" t="n">
        <x:f>IF(A6="","",IF(B6="Decommissioning",INDEX('Raw Decommissioning'!$F$2:$F$1000,ROWS($A$5:A6)),INDEX('Raw Provisioning'!$F$2:$F$1000,ROWS($A$5:A6)-COUNTA('Raw Decommissioning'!$B$2:$B$1000))))</x:f>
        <x:v>45827.26094421296</x:v>
      </x:c>
      <x:c r="F6" s="164" t="n">
        <x:f>IF(A6="","",IF(B6="Decommissioning",INDEX('Raw Decommissioning'!$G$2:$G$1000,ROWS($A$5:A6)),INDEX('Raw Provisioning'!$H$2:$H$1000,ROWS($A$5:A6)-COUNTA('Raw Decommissioning'!$B$2:$B$1000))))</x:f>
        <x:v>46050.08617072917</x:v>
      </x:c>
      <x:c r="G6" s="165" t="str">
        <x:f>IF(A6="","",IF(B6="Decommissioning",INDEX('Raw Decommissioning'!$I$2:$I$1000,ROWS($A$5:A6)),INDEX('Raw Provisioning'!$J$2:$J$1000,ROWS($A$5:A6)-COUNTA('Raw Decommissioning'!$B$2:$B$1000))))</x:f>
        <x:v>Integrated Project Monitoring &amp; Performance Tracking (i-PROMPT)</x:v>
      </x:c>
      <x:c r="H6" s="165" t="str">
        <x:f>IF(A6="","",IF(B6="Decommissioning",INDEX('Raw Decommissioning'!$J$2:$J$1000,ROWS($A$5:A6)),INDEX('Raw Provisioning'!$L$2:$L$1000,ROWS($A$5:A6)-COUNTA('Raw Decommissioning'!$B$2:$B$1000))))</x:f>
        <x:v>Enhancement of Integrated Project Monitoring &amp; Performance Tracking (i-PROMPT), Phase 2 for Malaysia Petroleum Management (MPM)</x:v>
      </x:c>
      <x:c r="I6" s="165" t="str">
        <x:f>IF(A6="","",IF(B6="Decommissioning",INDEX('Raw Decommissioning'!$AL$2:$AL$1000,ROWS($A$5:A6)),INDEX('Raw Provisioning'!$R$2:$R$1000,ROWS($A$5:A6)-COUNTA('Raw Decommissioning'!$B$2:$B$1000))))</x:f>
      </x:c>
      <x:c r="J6" s="165" t="str">
        <x:f>IF(A6="","",IF(B6="Decommissioning",INDEX('Raw Decommissioning'!$AG$2:$AG$1000,ROWS($A$5:A6)),INDEX('Raw Provisioning'!$AI$2:$AI$1000,ROWS($A$5:A6)-COUNTA('Raw Decommissioning'!$B$2:$B$1000))))</x:f>
        <x:v>CCoE Operations</x:v>
      </x:c>
      <x:c r="K6" s="166" t="str">
        <x:f>IF(A6="","",IFERROR(LOOKUP(2,1/('Assignment History'!$B$5:$B$204=A6),'Assignment History'!$D$5:$D$204),IFERROR(VLOOKUP(J6,Configuration!$L$5:$M$50,2,FALSE),J6)))</x:f>
        <x:v>CCoE Operations</x:v>
      </x:c>
      <x:c r="L6" s="166" t="str">
        <x:f>IF(A6="","",IF(K6=IFERROR(VLOOKUP(J6,Configuration!$L$5:$M$50,2,FALSE),J6),"Snapshot PIC","Replacement PIC"))</x:f>
        <x:v>Snapshot PIC</x:v>
      </x:c>
      <x:c r="M6" s="167" t="n">
        <x:f>IF(A6="","",IFERROR(VLOOKUP(I6,Configuration!$O$5:$P$8,2,FALSE),Configuration!$S$6))</x:f>
        <x:v>2</x:v>
      </x:c>
      <x:c r="N6" s="167" t="str">
        <x:f>IF(A6="","",IFERROR(LOOKUP(2,1/('Scope Review'!$B$5:$B$204=A6),'Scope Review'!$G$5:$G$204),"Not Reviewed"))</x:f>
        <x:v>Not Reviewed</x:v>
      </x:c>
      <x:c r="O6" s="167" t="str">
        <x:f>IF(A6="","",IFERROR(LOOKUP(2,1/('Scope Review'!$B$5:$B$204=A6),'Scope Review'!$H$5:$H$204),""))</x:f>
      </x:c>
      <x:c r="P6" s="167" t="n">
        <x:f t="shared" si="0">IF(A6="","",IF(AND(C6="executing",N6&lt;&gt;"Confirmed OOS"),M6,0))</x:f>
        <x:v>0</x:v>
      </x:c>
      <x:c r="Q6" s="168" t="str">
        <x:f>IF(A6="","",IFERROR(LOOKUP(2,1/('Engineer Updates'!$B$5:$B$704=A6),'Engineer Updates'!$A$5:$A$704),""))</x:f>
      </x:c>
      <x:c r="R6" s="166" t="str">
        <x:f>IF(A6="","",IFERROR(LOOKUP(2,1/('Engineer Updates'!$B$5:$B$704=A6),'Engineer Updates'!$H$5:$H$704),""))</x:f>
      </x:c>
      <x:c r="S6" s="166" t="str">
        <x:f>IF(A6="","",IFERROR(LOOKUP(2,1/('Engineer Updates'!$B$5:$B$704=A6),'Engineer Updates'!$G$5:$G$704),""))</x:f>
      </x:c>
      <x:c r="T6" s="166" t="str">
        <x:f>IF(A6="","",IFERROR(LOOKUP(2,1/('Engineer Updates'!$B$5:$B$704=A6),'Engineer Updates'!$I$5:$I$704),""))</x:f>
      </x:c>
      <x:c r="U6" s="166" t="str">
        <x:f>IF(A6="","",IFERROR(LOOKUP(2,1/('Engineer Updates'!$B$5:$B$704=A6),'Engineer Updates'!$J$5:$J$704),""))</x:f>
      </x:c>
      <x:c r="V6" s="166" t="str">
        <x:f>IF(A6="","",IFERROR(LOOKUP(2,1/('Engineer Updates'!$B$5:$B$704=A6),'Engineer Updates'!$K$5:$K$704),""))</x:f>
      </x:c>
      <x:c r="W6" s="169" t="str">
        <x:f>IF(A6="","",IFERROR(LOOKUP(2,1/('Engineer Updates'!$B$5:$B$704=A6),'Engineer Updates'!$L$5:$L$704),""))</x:f>
      </x:c>
      <x:c r="X6" s="163" t="str">
        <x:f t="shared" si="1">IF(A6="","",IF(C6="completed","Completed in CSSP",IF(AND(C6="executing",ISERROR(SEARCH("@",K6))),"Executing without named engineer",IF(AND(N6="Confirmed OOS",C6="executing"),"Confirmed OOS still executing",""))))</x:f>
      </x:c>
      <x:c r="Y6" s="163" t="str">
        <x:f>IF(A6="","",IF(B6="Decommissioning","Raw Decommissioning","Raw Provisioning"))</x:f>
        <x:v>Raw Decommissioning</x:v>
      </x:c>
      <x:c r="Z6" s="170" t="str">
        <x:f>IF(A6="","",IF(OR(C6="executing",C6="processing"),"Yes","No"))</x:f>
        <x:v>No</x:v>
      </x:c>
    </x:row>
    <x:row r="7" ht="30">
      <x:c r="A7" s="163" t="str">
        <x:f>IF(ROWS($A$5:A7)&lt;=COUNTA('Raw Decommissioning'!$B$2:$B$1000),INDEX('Raw Decommissioning'!$B$2:$B$1000,ROWS($A$5:A7)),IF(ROWS($A$5:A7)-COUNTA('Raw Decommissioning'!$B$2:$B$1000)&lt;=COUNTA('Raw Provisioning'!$B$2:$B$1000),INDEX('Raw Provisioning'!$B$2:$B$1000,ROWS($A$5:A7)-COUNTA('Raw Decommissioning'!$B$2:$B$1000)),""))</x:f>
        <x:v>CSSP10929930</x:v>
      </x:c>
      <x:c r="B7" s="163" t="str">
        <x:f>IF(A7="","",IF(ROWS($A$5:A7)&lt;=COUNTA('Raw Decommissioning'!$B$2:$B$1000),"Decommissioning","Provisioning"))</x:f>
        <x:v>Decommissioning</x:v>
      </x:c>
      <x:c r="C7" s="163" t="str">
        <x:f>IF(A7="","",IF(B7="Decommissioning",IFERROR(INDEX('Raw Decommissioning'!$E$2:$E$1000,MATCH(A7,'Raw Decommissioning'!$B$2:$B$1000,0)),"Missing from latest raw"),IFERROR(INDEX('Raw Provisioning'!$E$2:$E$1000,MATCH(A7,'Raw Provisioning'!$B$2:$B$1000,0)),"Missing from latest raw")))</x:f>
        <x:v>cancelled</x:v>
      </x:c>
      <x:c r="D7" s="164" t="n">
        <x:f>IF(A7="","",'Refresh Control'!$B$4)</x:f>
        <x:v>46254</x:v>
      </x:c>
      <x:c r="E7" s="164" t="n">
        <x:f>IF(A7="","",IF(B7="Decommissioning",INDEX('Raw Decommissioning'!$F$2:$F$1000,ROWS($A$5:A7)),INDEX('Raw Provisioning'!$F$2:$F$1000,ROWS($A$5:A7)-COUNTA('Raw Decommissioning'!$B$2:$B$1000))))</x:f>
        <x:v>45876.22169540509</x:v>
      </x:c>
      <x:c r="F7" s="164" t="n">
        <x:f>IF(A7="","",IF(B7="Decommissioning",INDEX('Raw Decommissioning'!$G$2:$G$1000,ROWS($A$5:A7)),INDEX('Raw Provisioning'!$H$2:$H$1000,ROWS($A$5:A7)-COUNTA('Raw Decommissioning'!$B$2:$B$1000))))</x:f>
        <x:v>46050.0882481713</x:v>
      </x:c>
      <x:c r="G7" s="165" t="str">
        <x:f>IF(A7="","",IF(B7="Decommissioning",INDEX('Raw Decommissioning'!$I$2:$I$1000,ROWS($A$5:A7)),INDEX('Raw Provisioning'!$J$2:$J$1000,ROWS($A$5:A7)-COUNTA('Raw Decommissioning'!$B$2:$B$1000))))</x:f>
        <x:v>MyMinutes</x:v>
      </x:c>
      <x:c r="H7" s="165" t="str">
        <x:f>IF(A7="","",IF(B7="Decommissioning",INDEX('Raw Decommissioning'!$J$2:$J$1000,ROWS($A$5:A7)),INDEX('Raw Provisioning'!$L$2:$L$1000,ROWS($A$5:A7)-COUNTA('Raw Decommissioning'!$B$2:$B$1000))))</x:f>
        <x:v>Project Implementation of myMinutes in Azure under myFinder OPSR</x:v>
      </x:c>
      <x:c r="I7" s="165" t="str">
        <x:f>IF(A7="","",IF(B7="Decommissioning",INDEX('Raw Decommissioning'!$AL$2:$AL$1000,ROWS($A$5:A7)),INDEX('Raw Provisioning'!$R$2:$R$1000,ROWS($A$5:A7)-COUNTA('Raw Decommissioning'!$B$2:$B$1000))))</x:f>
      </x:c>
      <x:c r="J7" s="165" t="str">
        <x:f>IF(A7="","",IF(B7="Decommissioning",INDEX('Raw Decommissioning'!$AG$2:$AG$1000,ROWS($A$5:A7)),INDEX('Raw Provisioning'!$AI$2:$AI$1000,ROWS($A$5:A7)-COUNTA('Raw Decommissioning'!$B$2:$B$1000))))</x:f>
        <x:v>CCoE Operations</x:v>
      </x:c>
      <x:c r="K7" s="166" t="str">
        <x:f>IF(A7="","",IFERROR(LOOKUP(2,1/('Assignment History'!$B$5:$B$204=A7),'Assignment History'!$D$5:$D$204),IFERROR(VLOOKUP(J7,Configuration!$L$5:$M$50,2,FALSE),J7)))</x:f>
        <x:v>CCoE Operations</x:v>
      </x:c>
      <x:c r="L7" s="166" t="str">
        <x:f>IF(A7="","",IF(K7=IFERROR(VLOOKUP(J7,Configuration!$L$5:$M$50,2,FALSE),J7),"Snapshot PIC","Replacement PIC"))</x:f>
        <x:v>Snapshot PIC</x:v>
      </x:c>
      <x:c r="M7" s="167" t="n">
        <x:f>IF(A7="","",IFERROR(VLOOKUP(I7,Configuration!$O$5:$P$8,2,FALSE),Configuration!$S$6))</x:f>
        <x:v>2</x:v>
      </x:c>
      <x:c r="N7" s="167" t="str">
        <x:f>IF(A7="","",IFERROR(LOOKUP(2,1/('Scope Review'!$B$5:$B$204=A7),'Scope Review'!$G$5:$G$204),"Not Reviewed"))</x:f>
        <x:v>Not Reviewed</x:v>
      </x:c>
      <x:c r="O7" s="167" t="str">
        <x:f>IF(A7="","",IFERROR(LOOKUP(2,1/('Scope Review'!$B$5:$B$204=A7),'Scope Review'!$H$5:$H$204),""))</x:f>
      </x:c>
      <x:c r="P7" s="167" t="n">
        <x:f t="shared" si="0">IF(A7="","",IF(AND(C7="executing",N7&lt;&gt;"Confirmed OOS"),M7,0))</x:f>
        <x:v>0</x:v>
      </x:c>
      <x:c r="Q7" s="168" t="str">
        <x:f>IF(A7="","",IFERROR(LOOKUP(2,1/('Engineer Updates'!$B$5:$B$704=A7),'Engineer Updates'!$A$5:$A$704),""))</x:f>
      </x:c>
      <x:c r="R7" s="166" t="str">
        <x:f>IF(A7="","",IFERROR(LOOKUP(2,1/('Engineer Updates'!$B$5:$B$704=A7),'Engineer Updates'!$H$5:$H$704),""))</x:f>
      </x:c>
      <x:c r="S7" s="166" t="str">
        <x:f>IF(A7="","",IFERROR(LOOKUP(2,1/('Engineer Updates'!$B$5:$B$704=A7),'Engineer Updates'!$G$5:$G$704),""))</x:f>
      </x:c>
      <x:c r="T7" s="166" t="str">
        <x:f>IF(A7="","",IFERROR(LOOKUP(2,1/('Engineer Updates'!$B$5:$B$704=A7),'Engineer Updates'!$I$5:$I$704),""))</x:f>
      </x:c>
      <x:c r="U7" s="166" t="str">
        <x:f>IF(A7="","",IFERROR(LOOKUP(2,1/('Engineer Updates'!$B$5:$B$704=A7),'Engineer Updates'!$J$5:$J$704),""))</x:f>
      </x:c>
      <x:c r="V7" s="166" t="str">
        <x:f>IF(A7="","",IFERROR(LOOKUP(2,1/('Engineer Updates'!$B$5:$B$704=A7),'Engineer Updates'!$K$5:$K$704),""))</x:f>
      </x:c>
      <x:c r="W7" s="169" t="str">
        <x:f>IF(A7="","",IFERROR(LOOKUP(2,1/('Engineer Updates'!$B$5:$B$704=A7),'Engineer Updates'!$L$5:$L$704),""))</x:f>
      </x:c>
      <x:c r="X7" s="163" t="str">
        <x:f t="shared" si="1">IF(A7="","",IF(C7="completed","Completed in CSSP",IF(AND(C7="executing",ISERROR(SEARCH("@",K7))),"Executing without named engineer",IF(AND(N7="Confirmed OOS",C7="executing"),"Confirmed OOS still executing",""))))</x:f>
      </x:c>
      <x:c r="Y7" s="163" t="str">
        <x:f>IF(A7="","",IF(B7="Decommissioning","Raw Decommissioning","Raw Provisioning"))</x:f>
        <x:v>Raw Decommissioning</x:v>
      </x:c>
      <x:c r="Z7" s="170" t="str">
        <x:f>IF(A7="","",IF(OR(C7="executing",C7="processing"),"Yes","No"))</x:f>
        <x:v>No</x:v>
      </x:c>
    </x:row>
    <x:row r="8" ht="30">
      <x:c r="A8" s="163" t="str">
        <x:f>IF(ROWS($A$5:A8)&lt;=COUNTA('Raw Decommissioning'!$B$2:$B$1000),INDEX('Raw Decommissioning'!$B$2:$B$1000,ROWS($A$5:A8)),IF(ROWS($A$5:A8)-COUNTA('Raw Decommissioning'!$B$2:$B$1000)&lt;=COUNTA('Raw Provisioning'!$B$2:$B$1000),INDEX('Raw Provisioning'!$B$2:$B$1000,ROWS($A$5:A8)-COUNTA('Raw Decommissioning'!$B$2:$B$1000)),""))</x:f>
        <x:v>CSSP10288728</x:v>
      </x:c>
      <x:c r="B8" s="163" t="str">
        <x:f>IF(A8="","",IF(ROWS($A$5:A8)&lt;=COUNTA('Raw Decommissioning'!$B$2:$B$1000),"Decommissioning","Provisioning"))</x:f>
        <x:v>Decommissioning</x:v>
      </x:c>
      <x:c r="C8" s="163" t="str">
        <x:f>IF(A8="","",IF(B8="Decommissioning",IFERROR(INDEX('Raw Decommissioning'!$E$2:$E$1000,MATCH(A8,'Raw Decommissioning'!$B$2:$B$1000,0)),"Missing from latest raw"),IFERROR(INDEX('Raw Provisioning'!$E$2:$E$1000,MATCH(A8,'Raw Provisioning'!$B$2:$B$1000,0)),"Missing from latest raw")))</x:f>
        <x:v>rejected</x:v>
      </x:c>
      <x:c r="D8" s="164" t="n">
        <x:f>IF(A8="","",'Refresh Control'!$B$4)</x:f>
        <x:v>46254</x:v>
      </x:c>
      <x:c r="E8" s="164" t="n">
        <x:f>IF(A8="","",IF(B8="Decommissioning",INDEX('Raw Decommissioning'!$F$2:$F$1000,ROWS($A$5:A8)),INDEX('Raw Provisioning'!$F$2:$F$1000,ROWS($A$5:A8)-COUNTA('Raw Decommissioning'!$B$2:$B$1000))))</x:f>
        <x:v>45881.272974085645</x:v>
      </x:c>
      <x:c r="F8" s="164" t="n">
        <x:f>IF(A8="","",IF(B8="Decommissioning",INDEX('Raw Decommissioning'!$G$2:$G$1000,ROWS($A$5:A8)),INDEX('Raw Provisioning'!$H$2:$H$1000,ROWS($A$5:A8)-COUNTA('Raw Decommissioning'!$B$2:$B$1000))))</x:f>
        <x:v>46050.08747378472</x:v>
      </x:c>
      <x:c r="G8" s="165" t="str">
        <x:f>IF(A8="","",IF(B8="Decommissioning",INDEX('Raw Decommissioning'!$I$2:$I$1000,ROWS($A$5:A8)),INDEX('Raw Provisioning'!$J$2:$J$1000,ROWS($A$5:A8)-COUNTA('Raw Decommissioning'!$B$2:$B$1000))))</x:f>
        <x:v>Integrated Process Safety System (IPSS)</x:v>
      </x:c>
      <x:c r="H8" s="165" t="str">
        <x:f>IF(A8="","",IF(B8="Decommissioning",INDEX('Raw Decommissioning'!$J$2:$J$1000,ROWS($A$5:A8)),INDEX('Raw Provisioning'!$L$2:$L$1000,ROWS($A$5:A8)-COUNTA('Raw Decommissioning'!$B$2:$B$1000))))</x:f>
        <x:v>Enhancement of Integrated Process Safety Solution (IPSS)</x:v>
      </x:c>
      <x:c r="I8" s="165" t="str">
        <x:f>IF(A8="","",IF(B8="Decommissioning",INDEX('Raw Decommissioning'!$AL$2:$AL$1000,ROWS($A$5:A8)),INDEX('Raw Provisioning'!$R$2:$R$1000,ROWS($A$5:A8)-COUNTA('Raw Decommissioning'!$B$2:$B$1000))))</x:f>
      </x:c>
      <x:c r="J8" s="165" t="str">
        <x:f>IF(A8="","",IF(B8="Decommissioning",INDEX('Raw Decommissioning'!$AG$2:$AG$1000,ROWS($A$5:A8)),INDEX('Raw Provisioning'!$AI$2:$AI$1000,ROWS($A$5:A8)-COUNTA('Raw Decommissioning'!$B$2:$B$1000))))</x:f>
        <x:v>CCoE Business</x:v>
      </x:c>
      <x:c r="K8" s="166" t="str">
        <x:f>IF(A8="","",IFERROR(LOOKUP(2,1/('Assignment History'!$B$5:$B$204=A8),'Assignment History'!$D$5:$D$204),IFERROR(VLOOKUP(J8,Configuration!$L$5:$M$50,2,FALSE),J8)))</x:f>
        <x:v>CCoE Business</x:v>
      </x:c>
      <x:c r="L8" s="166" t="str">
        <x:f>IF(A8="","",IF(K8=IFERROR(VLOOKUP(J8,Configuration!$L$5:$M$50,2,FALSE),J8),"Snapshot PIC","Replacement PIC"))</x:f>
        <x:v>Snapshot PIC</x:v>
      </x:c>
      <x:c r="M8" s="167" t="n">
        <x:f>IF(A8="","",IFERROR(VLOOKUP(I8,Configuration!$O$5:$P$8,2,FALSE),Configuration!$S$6))</x:f>
        <x:v>2</x:v>
      </x:c>
      <x:c r="N8" s="167" t="str">
        <x:f>IF(A8="","",IFERROR(LOOKUP(2,1/('Scope Review'!$B$5:$B$204=A8),'Scope Review'!$G$5:$G$204),"Not Reviewed"))</x:f>
        <x:v>Not Reviewed</x:v>
      </x:c>
      <x:c r="O8" s="167" t="str">
        <x:f>IF(A8="","",IFERROR(LOOKUP(2,1/('Scope Review'!$B$5:$B$204=A8),'Scope Review'!$H$5:$H$204),""))</x:f>
      </x:c>
      <x:c r="P8" s="167" t="n">
        <x:f t="shared" si="0">IF(A8="","",IF(AND(C8="executing",N8&lt;&gt;"Confirmed OOS"),M8,0))</x:f>
        <x:v>0</x:v>
      </x:c>
      <x:c r="Q8" s="168" t="str">
        <x:f>IF(A8="","",IFERROR(LOOKUP(2,1/('Engineer Updates'!$B$5:$B$704=A8),'Engineer Updates'!$A$5:$A$704),""))</x:f>
      </x:c>
      <x:c r="R8" s="166" t="str">
        <x:f>IF(A8="","",IFERROR(LOOKUP(2,1/('Engineer Updates'!$B$5:$B$704=A8),'Engineer Updates'!$H$5:$H$704),""))</x:f>
      </x:c>
      <x:c r="S8" s="166" t="str">
        <x:f>IF(A8="","",IFERROR(LOOKUP(2,1/('Engineer Updates'!$B$5:$B$704=A8),'Engineer Updates'!$G$5:$G$704),""))</x:f>
      </x:c>
      <x:c r="T8" s="166" t="str">
        <x:f>IF(A8="","",IFERROR(LOOKUP(2,1/('Engineer Updates'!$B$5:$B$704=A8),'Engineer Updates'!$I$5:$I$704),""))</x:f>
      </x:c>
      <x:c r="U8" s="166" t="str">
        <x:f>IF(A8="","",IFERROR(LOOKUP(2,1/('Engineer Updates'!$B$5:$B$704=A8),'Engineer Updates'!$J$5:$J$704),""))</x:f>
      </x:c>
      <x:c r="V8" s="166" t="str">
        <x:f>IF(A8="","",IFERROR(LOOKUP(2,1/('Engineer Updates'!$B$5:$B$704=A8),'Engineer Updates'!$K$5:$K$704),""))</x:f>
      </x:c>
      <x:c r="W8" s="169" t="str">
        <x:f>IF(A8="","",IFERROR(LOOKUP(2,1/('Engineer Updates'!$B$5:$B$704=A8),'Engineer Updates'!$L$5:$L$704),""))</x:f>
      </x:c>
      <x:c r="X8" s="163" t="str">
        <x:f t="shared" si="1">IF(A8="","",IF(C8="completed","Completed in CSSP",IF(AND(C8="executing",ISERROR(SEARCH("@",K8))),"Executing without named engineer",IF(AND(N8="Confirmed OOS",C8="executing"),"Confirmed OOS still executing",""))))</x:f>
      </x:c>
      <x:c r="Y8" s="163" t="str">
        <x:f>IF(A8="","",IF(B8="Decommissioning","Raw Decommissioning","Raw Provisioning"))</x:f>
        <x:v>Raw Decommissioning</x:v>
      </x:c>
      <x:c r="Z8" s="170" t="str">
        <x:f>IF(A8="","",IF(OR(C8="executing",C8="processing"),"Yes","No"))</x:f>
        <x:v>No</x:v>
      </x:c>
    </x:row>
    <x:row r="9" ht="30">
      <x:c r="A9" s="163" t="str">
        <x:f>IF(ROWS($A$5:A9)&lt;=COUNTA('Raw Decommissioning'!$B$2:$B$1000),INDEX('Raw Decommissioning'!$B$2:$B$1000,ROWS($A$5:A9)),IF(ROWS($A$5:A9)-COUNTA('Raw Decommissioning'!$B$2:$B$1000)&lt;=COUNTA('Raw Provisioning'!$B$2:$B$1000),INDEX('Raw Provisioning'!$B$2:$B$1000,ROWS($A$5:A9)-COUNTA('Raw Decommissioning'!$B$2:$B$1000)),""))</x:f>
        <x:v>CSSP10737090</x:v>
      </x:c>
      <x:c r="B9" s="163" t="str">
        <x:f>IF(A9="","",IF(ROWS($A$5:A9)&lt;=COUNTA('Raw Decommissioning'!$B$2:$B$1000),"Decommissioning","Provisioning"))</x:f>
        <x:v>Decommissioning</x:v>
      </x:c>
      <x:c r="C9" s="163" t="str">
        <x:f>IF(A9="","",IF(B9="Decommissioning",IFERROR(INDEX('Raw Decommissioning'!$E$2:$E$1000,MATCH(A9,'Raw Decommissioning'!$B$2:$B$1000,0)),"Missing from latest raw"),IFERROR(INDEX('Raw Provisioning'!$E$2:$E$1000,MATCH(A9,'Raw Provisioning'!$B$2:$B$1000,0)),"Missing from latest raw")))</x:f>
        <x:v>rejected</x:v>
      </x:c>
      <x:c r="D9" s="164" t="n">
        <x:f>IF(A9="","",'Refresh Control'!$B$4)</x:f>
        <x:v>46254</x:v>
      </x:c>
      <x:c r="E9" s="164" t="n">
        <x:f>IF(A9="","",IF(B9="Decommissioning",INDEX('Raw Decommissioning'!$F$2:$F$1000,ROWS($A$5:A9)),INDEX('Raw Provisioning'!$F$2:$F$1000,ROWS($A$5:A9)-COUNTA('Raw Decommissioning'!$B$2:$B$1000))))</x:f>
        <x:v>45918.15324319444</x:v>
      </x:c>
      <x:c r="F9" s="164" t="n">
        <x:f>IF(A9="","",IF(B9="Decommissioning",INDEX('Raw Decommissioning'!$G$2:$G$1000,ROWS($A$5:A9)),INDEX('Raw Provisioning'!$H$2:$H$1000,ROWS($A$5:A9)-COUNTA('Raw Decommissioning'!$B$2:$B$1000))))</x:f>
        <x:v>46050.08263844907</x:v>
      </x:c>
      <x:c r="G9" s="165" t="str">
        <x:f>IF(A9="","",IF(B9="Decommissioning",INDEX('Raw Decommissioning'!$I$2:$I$1000,ROWS($A$5:A9)),INDEX('Raw Provisioning'!$J$2:$J$1000,ROWS($A$5:A9)-COUNTA('Raw Decommissioning'!$B$2:$B$1000))))</x:f>
        <x:v>PETRONAS HSSE Incident Management System</x:v>
      </x:c>
      <x:c r="H9" s="165" t="str">
        <x:f>IF(A9="","",IF(B9="Decommissioning",INDEX('Raw Decommissioning'!$J$2:$J$1000,ROWS($A$5:A9)),INDEX('Raw Provisioning'!$L$2:$L$1000,ROWS($A$5:A9)-COUNTA('Raw Decommissioning'!$B$2:$B$1000))))</x:f>
        <x:v>HSSE Incident Management System (HSSE IM) 6.0 Enhancement</x:v>
      </x:c>
      <x:c r="I9" s="165" t="str">
        <x:f>IF(A9="","",IF(B9="Decommissioning",INDEX('Raw Decommissioning'!$AL$2:$AL$1000,ROWS($A$5:A9)),INDEX('Raw Provisioning'!$R$2:$R$1000,ROWS($A$5:A9)-COUNTA('Raw Decommissioning'!$B$2:$B$1000))))</x:f>
      </x:c>
      <x:c r="J9" s="165" t="str">
        <x:f>IF(A9="","",IF(B9="Decommissioning",INDEX('Raw Decommissioning'!$AG$2:$AG$1000,ROWS($A$5:A9)),INDEX('Raw Provisioning'!$AI$2:$AI$1000,ROWS($A$5:A9)-COUNTA('Raw Decommissioning'!$B$2:$B$1000))))</x:f>
        <x:v>CCoE Operations</x:v>
      </x:c>
      <x:c r="K9" s="166" t="str">
        <x:f>IF(A9="","",IFERROR(LOOKUP(2,1/('Assignment History'!$B$5:$B$204=A9),'Assignment History'!$D$5:$D$204),IFERROR(VLOOKUP(J9,Configuration!$L$5:$M$50,2,FALSE),J9)))</x:f>
        <x:v>CCoE Operations</x:v>
      </x:c>
      <x:c r="L9" s="166" t="str">
        <x:f>IF(A9="","",IF(K9=IFERROR(VLOOKUP(J9,Configuration!$L$5:$M$50,2,FALSE),J9),"Snapshot PIC","Replacement PIC"))</x:f>
        <x:v>Snapshot PIC</x:v>
      </x:c>
      <x:c r="M9" s="167" t="n">
        <x:f>IF(A9="","",IFERROR(VLOOKUP(I9,Configuration!$O$5:$P$8,2,FALSE),Configuration!$S$6))</x:f>
        <x:v>2</x:v>
      </x:c>
      <x:c r="N9" s="167" t="str">
        <x:f>IF(A9="","",IFERROR(LOOKUP(2,1/('Scope Review'!$B$5:$B$204=A9),'Scope Review'!$G$5:$G$204),"Not Reviewed"))</x:f>
        <x:v>Not Reviewed</x:v>
      </x:c>
      <x:c r="O9" s="167" t="str">
        <x:f>IF(A9="","",IFERROR(LOOKUP(2,1/('Scope Review'!$B$5:$B$204=A9),'Scope Review'!$H$5:$H$204),""))</x:f>
      </x:c>
      <x:c r="P9" s="167" t="n">
        <x:f t="shared" si="0">IF(A9="","",IF(AND(C9="executing",N9&lt;&gt;"Confirmed OOS"),M9,0))</x:f>
        <x:v>0</x:v>
      </x:c>
      <x:c r="Q9" s="168" t="str">
        <x:f>IF(A9="","",IFERROR(LOOKUP(2,1/('Engineer Updates'!$B$5:$B$704=A9),'Engineer Updates'!$A$5:$A$704),""))</x:f>
      </x:c>
      <x:c r="R9" s="166" t="str">
        <x:f>IF(A9="","",IFERROR(LOOKUP(2,1/('Engineer Updates'!$B$5:$B$704=A9),'Engineer Updates'!$H$5:$H$704),""))</x:f>
      </x:c>
      <x:c r="S9" s="166" t="str">
        <x:f>IF(A9="","",IFERROR(LOOKUP(2,1/('Engineer Updates'!$B$5:$B$704=A9),'Engineer Updates'!$G$5:$G$704),""))</x:f>
      </x:c>
      <x:c r="T9" s="166" t="str">
        <x:f>IF(A9="","",IFERROR(LOOKUP(2,1/('Engineer Updates'!$B$5:$B$704=A9),'Engineer Updates'!$I$5:$I$704),""))</x:f>
      </x:c>
      <x:c r="U9" s="166" t="str">
        <x:f>IF(A9="","",IFERROR(LOOKUP(2,1/('Engineer Updates'!$B$5:$B$704=A9),'Engineer Updates'!$J$5:$J$704),""))</x:f>
      </x:c>
      <x:c r="V9" s="166" t="str">
        <x:f>IF(A9="","",IFERROR(LOOKUP(2,1/('Engineer Updates'!$B$5:$B$704=A9),'Engineer Updates'!$K$5:$K$704),""))</x:f>
      </x:c>
      <x:c r="W9" s="169" t="str">
        <x:f>IF(A9="","",IFERROR(LOOKUP(2,1/('Engineer Updates'!$B$5:$B$704=A9),'Engineer Updates'!$L$5:$L$704),""))</x:f>
      </x:c>
      <x:c r="X9" s="163" t="str">
        <x:f t="shared" si="1">IF(A9="","",IF(C9="completed","Completed in CSSP",IF(AND(C9="executing",ISERROR(SEARCH("@",K9))),"Executing without named engineer",IF(AND(N9="Confirmed OOS",C9="executing"),"Confirmed OOS still executing",""))))</x:f>
      </x:c>
      <x:c r="Y9" s="163" t="str">
        <x:f>IF(A9="","",IF(B9="Decommissioning","Raw Decommissioning","Raw Provisioning"))</x:f>
        <x:v>Raw Decommissioning</x:v>
      </x:c>
      <x:c r="Z9" s="170" t="str">
        <x:f>IF(A9="","",IF(OR(C9="executing",C9="processing"),"Yes","No"))</x:f>
        <x:v>No</x:v>
      </x:c>
    </x:row>
    <x:row r="10">
      <x:c r="A10" s="163" t="str">
        <x:f>IF(ROWS($A$5:A10)&lt;=COUNTA('Raw Decommissioning'!$B$2:$B$1000),INDEX('Raw Decommissioning'!$B$2:$B$1000,ROWS($A$5:A10)),IF(ROWS($A$5:A10)-COUNTA('Raw Decommissioning'!$B$2:$B$1000)&lt;=COUNTA('Raw Provisioning'!$B$2:$B$1000),INDEX('Raw Provisioning'!$B$2:$B$1000,ROWS($A$5:A10)-COUNTA('Raw Decommissioning'!$B$2:$B$1000)),""))</x:f>
        <x:v>CSSP10998132</x:v>
      </x:c>
      <x:c r="B10" s="163" t="str">
        <x:f>IF(A10="","",IF(ROWS($A$5:A10)&lt;=COUNTA('Raw Decommissioning'!$B$2:$B$1000),"Decommissioning","Provisioning"))</x:f>
        <x:v>Decommissioning</x:v>
      </x:c>
      <x:c r="C10" s="163" t="str">
        <x:f>IF(A10="","",IF(B10="Decommissioning",IFERROR(INDEX('Raw Decommissioning'!$E$2:$E$1000,MATCH(A10,'Raw Decommissioning'!$B$2:$B$1000,0)),"Missing from latest raw"),IFERROR(INDEX('Raw Provisioning'!$E$2:$E$1000,MATCH(A10,'Raw Provisioning'!$B$2:$B$1000,0)),"Missing from latest raw")))</x:f>
        <x:v>cancelled</x:v>
      </x:c>
      <x:c r="D10" s="164" t="n">
        <x:f>IF(A10="","",'Refresh Control'!$B$4)</x:f>
        <x:v>46254</x:v>
      </x:c>
      <x:c r="E10" s="164" t="n">
        <x:f>IF(A10="","",IF(B10="Decommissioning",INDEX('Raw Decommissioning'!$F$2:$F$1000,ROWS($A$5:A10)),INDEX('Raw Provisioning'!$F$2:$F$1000,ROWS($A$5:A10)-COUNTA('Raw Decommissioning'!$B$2:$B$1000))))</x:f>
        <x:v>45933.33272193287</x:v>
      </x:c>
      <x:c r="F10" s="164" t="n">
        <x:f>IF(A10="","",IF(B10="Decommissioning",INDEX('Raw Decommissioning'!$G$2:$G$1000,ROWS($A$5:A10)),INDEX('Raw Provisioning'!$H$2:$H$1000,ROWS($A$5:A10)-COUNTA('Raw Decommissioning'!$B$2:$B$1000))))</x:f>
        <x:v>46050.07927552083</x:v>
      </x:c>
      <x:c r="G10" s="165" t="str">
        <x:f>IF(A10="","",IF(B10="Decommissioning",INDEX('Raw Decommissioning'!$I$2:$I$1000,ROWS($A$5:A10)),INDEX('Raw Provisioning'!$J$2:$J$1000,ROWS($A$5:A10)-COUNTA('Raw Decommissioning'!$B$2:$B$1000))))</x:f>
        <x:v>Sitecom / Real time Operation - RTO</x:v>
      </x:c>
      <x:c r="H10" s="165" t="str">
        <x:f>IF(A10="","",IF(B10="Decommissioning",INDEX('Raw Decommissioning'!$J$2:$J$1000,ROWS($A$5:A10)),INDEX('Raw Provisioning'!$L$2:$L$1000,ROWS($A$5:A10)-COUNTA('Raw Decommissioning'!$B$2:$B$1000))))</x:f>
        <x:v>SecOps of Development (Dev.) Chapter for Upstream Technology, Digital &amp; Innovation</x:v>
      </x:c>
      <x:c r="I10" s="165" t="str">
        <x:f>IF(A10="","",IF(B10="Decommissioning",INDEX('Raw Decommissioning'!$AL$2:$AL$1000,ROWS($A$5:A10)),INDEX('Raw Provisioning'!$R$2:$R$1000,ROWS($A$5:A10)-COUNTA('Raw Decommissioning'!$B$2:$B$1000))))</x:f>
      </x:c>
      <x:c r="J10" s="165" t="str">
        <x:f>IF(A10="","",IF(B10="Decommissioning",INDEX('Raw Decommissioning'!$AG$2:$AG$1000,ROWS($A$5:A10)),INDEX('Raw Provisioning'!$AI$2:$AI$1000,ROWS($A$5:A10)-COUNTA('Raw Decommissioning'!$B$2:$B$1000))))</x:f>
        <x:v>CCoE Operations</x:v>
      </x:c>
      <x:c r="K10" s="166" t="str">
        <x:f>IF(A10="","",IFERROR(LOOKUP(2,1/('Assignment History'!$B$5:$B$204=A10),'Assignment History'!$D$5:$D$204),IFERROR(VLOOKUP(J10,Configuration!$L$5:$M$50,2,FALSE),J10)))</x:f>
        <x:v>CCoE Operations</x:v>
      </x:c>
      <x:c r="L10" s="166" t="str">
        <x:f>IF(A10="","",IF(K10=IFERROR(VLOOKUP(J10,Configuration!$L$5:$M$50,2,FALSE),J10),"Snapshot PIC","Replacement PIC"))</x:f>
        <x:v>Snapshot PIC</x:v>
      </x:c>
      <x:c r="M10" s="167" t="n">
        <x:f>IF(A10="","",IFERROR(VLOOKUP(I10,Configuration!$O$5:$P$8,2,FALSE),Configuration!$S$6))</x:f>
        <x:v>2</x:v>
      </x:c>
      <x:c r="N10" s="167" t="str">
        <x:f>IF(A10="","",IFERROR(LOOKUP(2,1/('Scope Review'!$B$5:$B$204=A10),'Scope Review'!$G$5:$G$204),"Not Reviewed"))</x:f>
        <x:v>Not Reviewed</x:v>
      </x:c>
      <x:c r="O10" s="167" t="str">
        <x:f>IF(A10="","",IFERROR(LOOKUP(2,1/('Scope Review'!$B$5:$B$204=A10),'Scope Review'!$H$5:$H$204),""))</x:f>
      </x:c>
      <x:c r="P10" s="167" t="n">
        <x:f t="shared" si="0">IF(A10="","",IF(AND(C10="executing",N10&lt;&gt;"Confirmed OOS"),M10,0))</x:f>
        <x:v>0</x:v>
      </x:c>
      <x:c r="Q10" s="168" t="str">
        <x:f>IF(A10="","",IFERROR(LOOKUP(2,1/('Engineer Updates'!$B$5:$B$704=A10),'Engineer Updates'!$A$5:$A$704),""))</x:f>
      </x:c>
      <x:c r="R10" s="166" t="str">
        <x:f>IF(A10="","",IFERROR(LOOKUP(2,1/('Engineer Updates'!$B$5:$B$704=A10),'Engineer Updates'!$H$5:$H$704),""))</x:f>
      </x:c>
      <x:c r="S10" s="166" t="str">
        <x:f>IF(A10="","",IFERROR(LOOKUP(2,1/('Engineer Updates'!$B$5:$B$704=A10),'Engineer Updates'!$G$5:$G$704),""))</x:f>
      </x:c>
      <x:c r="T10" s="166" t="str">
        <x:f>IF(A10="","",IFERROR(LOOKUP(2,1/('Engineer Updates'!$B$5:$B$704=A10),'Engineer Updates'!$I$5:$I$704),""))</x:f>
      </x:c>
      <x:c r="U10" s="166" t="str">
        <x:f>IF(A10="","",IFERROR(LOOKUP(2,1/('Engineer Updates'!$B$5:$B$704=A10),'Engineer Updates'!$J$5:$J$704),""))</x:f>
      </x:c>
      <x:c r="V10" s="166" t="str">
        <x:f>IF(A10="","",IFERROR(LOOKUP(2,1/('Engineer Updates'!$B$5:$B$704=A10),'Engineer Updates'!$K$5:$K$704),""))</x:f>
      </x:c>
      <x:c r="W10" s="169" t="str">
        <x:f>IF(A10="","",IFERROR(LOOKUP(2,1/('Engineer Updates'!$B$5:$B$704=A10),'Engineer Updates'!$L$5:$L$704),""))</x:f>
      </x:c>
      <x:c r="X10" s="163" t="str">
        <x:f t="shared" si="1">IF(A10="","",IF(C10="completed","Completed in CSSP",IF(AND(C10="executing",ISERROR(SEARCH("@",K10))),"Executing without named engineer",IF(AND(N10="Confirmed OOS",C10="executing"),"Confirmed OOS still executing",""))))</x:f>
      </x:c>
      <x:c r="Y10" s="163" t="str">
        <x:f>IF(A10="","",IF(B10="Decommissioning","Raw Decommissioning","Raw Provisioning"))</x:f>
        <x:v>Raw Decommissioning</x:v>
      </x:c>
      <x:c r="Z10" s="170" t="str">
        <x:f>IF(A10="","",IF(OR(C10="executing",C10="processing"),"Yes","No"))</x:f>
        <x:v>No</x:v>
      </x:c>
    </x:row>
    <x:row r="11" ht="30">
      <x:c r="A11" s="163" t="str">
        <x:f>IF(ROWS($A$5:A11)&lt;=COUNTA('Raw Decommissioning'!$B$2:$B$1000),INDEX('Raw Decommissioning'!$B$2:$B$1000,ROWS($A$5:A11)),IF(ROWS($A$5:A11)-COUNTA('Raw Decommissioning'!$B$2:$B$1000)&lt;=COUNTA('Raw Provisioning'!$B$2:$B$1000),INDEX('Raw Provisioning'!$B$2:$B$1000,ROWS($A$5:A11)-COUNTA('Raw Decommissioning'!$B$2:$B$1000)),""))</x:f>
        <x:v>CSSP10613042</x:v>
      </x:c>
      <x:c r="B11" s="163" t="str">
        <x:f>IF(A11="","",IF(ROWS($A$5:A11)&lt;=COUNTA('Raw Decommissioning'!$B$2:$B$1000),"Decommissioning","Provisioning"))</x:f>
        <x:v>Decommissioning</x:v>
      </x:c>
      <x:c r="C11" s="163" t="str">
        <x:f>IF(A11="","",IF(B11="Decommissioning",IFERROR(INDEX('Raw Decommissioning'!$E$2:$E$1000,MATCH(A11,'Raw Decommissioning'!$B$2:$B$1000,0)),"Missing from latest raw"),IFERROR(INDEX('Raw Provisioning'!$E$2:$E$1000,MATCH(A11,'Raw Provisioning'!$B$2:$B$1000,0)),"Missing from latest raw")))</x:f>
        <x:v>rejected</x:v>
      </x:c>
      <x:c r="D11" s="164" t="n">
        <x:f>IF(A11="","",'Refresh Control'!$B$4)</x:f>
        <x:v>46254</x:v>
      </x:c>
      <x:c r="E11" s="164" t="n">
        <x:f>IF(A11="","",IF(B11="Decommissioning",INDEX('Raw Decommissioning'!$F$2:$F$1000,ROWS($A$5:A11)),INDEX('Raw Provisioning'!$F$2:$F$1000,ROWS($A$5:A11)-COUNTA('Raw Decommissioning'!$B$2:$B$1000))))</x:f>
        <x:v>45945.38449571759</x:v>
      </x:c>
      <x:c r="F11" s="164" t="n">
        <x:f>IF(A11="","",IF(B11="Decommissioning",INDEX('Raw Decommissioning'!$G$2:$G$1000,ROWS($A$5:A11)),INDEX('Raw Provisioning'!$H$2:$H$1000,ROWS($A$5:A11)-COUNTA('Raw Decommissioning'!$B$2:$B$1000))))</x:f>
        <x:v>46139.10167107639</x:v>
      </x:c>
      <x:c r="G11" s="165" t="str">
        <x:f>IF(A11="","",IF(B11="Decommissioning",INDEX('Raw Decommissioning'!$I$2:$I$1000,ROWS($A$5:A11)),INDEX('Raw Provisioning'!$J$2:$J$1000,ROWS($A$5:A11)-COUNTA('Raw Decommissioning'!$B$2:$B$1000))))</x:f>
        <x:v>PIVOT AA FeedProp</x:v>
      </x:c>
      <x:c r="H11" s="165" t="str">
        <x:f>IF(A11="","",IF(B11="Decommissioning",INDEX('Raw Decommissioning'!$J$2:$J$1000,ROWS($A$5:A11)),INDEX('Raw Provisioning'!$L$2:$L$1000,ROWS($A$5:A11)-COUNTA('Raw Decommissioning'!$B$2:$B$1000))))</x:f>
        <x:v>Implementation of PIVOT AA FeedProp Phase 2</x:v>
      </x:c>
      <x:c r="I11" s="165" t="str">
        <x:f>IF(A11="","",IF(B11="Decommissioning",INDEX('Raw Decommissioning'!$AL$2:$AL$1000,ROWS($A$5:A11)),INDEX('Raw Provisioning'!$R$2:$R$1000,ROWS($A$5:A11)-COUNTA('Raw Decommissioning'!$B$2:$B$1000))))</x:f>
      </x:c>
      <x:c r="J11" s="165" t="str">
        <x:f>IF(A11="","",IF(B11="Decommissioning",INDEX('Raw Decommissioning'!$AG$2:$AG$1000,ROWS($A$5:A11)),INDEX('Raw Provisioning'!$AI$2:$AI$1000,ROWS($A$5:A11)-COUNTA('Raw Decommissioning'!$B$2:$B$1000))))</x:f>
        <x:v>CCoE Operations</x:v>
      </x:c>
      <x:c r="K11" s="166" t="str">
        <x:f>IF(A11="","",IFERROR(LOOKUP(2,1/('Assignment History'!$B$5:$B$204=A11),'Assignment History'!$D$5:$D$204),IFERROR(VLOOKUP(J11,Configuration!$L$5:$M$50,2,FALSE),J11)))</x:f>
        <x:v>CCoE Operations</x:v>
      </x:c>
      <x:c r="L11" s="166" t="str">
        <x:f>IF(A11="","",IF(K11=IFERROR(VLOOKUP(J11,Configuration!$L$5:$M$50,2,FALSE),J11),"Snapshot PIC","Replacement PIC"))</x:f>
        <x:v>Snapshot PIC</x:v>
      </x:c>
      <x:c r="M11" s="167" t="n">
        <x:f>IF(A11="","",IFERROR(VLOOKUP(I11,Configuration!$O$5:$P$8,2,FALSE),Configuration!$S$6))</x:f>
        <x:v>2</x:v>
      </x:c>
      <x:c r="N11" s="167" t="str">
        <x:f>IF(A11="","",IFERROR(LOOKUP(2,1/('Scope Review'!$B$5:$B$204=A11),'Scope Review'!$G$5:$G$204),"Not Reviewed"))</x:f>
        <x:v>Not Reviewed</x:v>
      </x:c>
      <x:c r="O11" s="167" t="str">
        <x:f>IF(A11="","",IFERROR(LOOKUP(2,1/('Scope Review'!$B$5:$B$204=A11),'Scope Review'!$H$5:$H$204),""))</x:f>
      </x:c>
      <x:c r="P11" s="167" t="n">
        <x:f t="shared" si="0">IF(A11="","",IF(AND(C11="executing",N11&lt;&gt;"Confirmed OOS"),M11,0))</x:f>
        <x:v>0</x:v>
      </x:c>
      <x:c r="Q11" s="168" t="str">
        <x:f>IF(A11="","",IFERROR(LOOKUP(2,1/('Engineer Updates'!$B$5:$B$704=A11),'Engineer Updates'!$A$5:$A$704),""))</x:f>
      </x:c>
      <x:c r="R11" s="166" t="str">
        <x:f>IF(A11="","",IFERROR(LOOKUP(2,1/('Engineer Updates'!$B$5:$B$704=A11),'Engineer Updates'!$H$5:$H$704),""))</x:f>
      </x:c>
      <x:c r="S11" s="166" t="str">
        <x:f>IF(A11="","",IFERROR(LOOKUP(2,1/('Engineer Updates'!$B$5:$B$704=A11),'Engineer Updates'!$G$5:$G$704),""))</x:f>
      </x:c>
      <x:c r="T11" s="166" t="str">
        <x:f>IF(A11="","",IFERROR(LOOKUP(2,1/('Engineer Updates'!$B$5:$B$704=A11),'Engineer Updates'!$I$5:$I$704),""))</x:f>
      </x:c>
      <x:c r="U11" s="166" t="str">
        <x:f>IF(A11="","",IFERROR(LOOKUP(2,1/('Engineer Updates'!$B$5:$B$704=A11),'Engineer Updates'!$J$5:$J$704),""))</x:f>
      </x:c>
      <x:c r="V11" s="166" t="str">
        <x:f>IF(A11="","",IFERROR(LOOKUP(2,1/('Engineer Updates'!$B$5:$B$704=A11),'Engineer Updates'!$K$5:$K$704),""))</x:f>
      </x:c>
      <x:c r="W11" s="169" t="str">
        <x:f>IF(A11="","",IFERROR(LOOKUP(2,1/('Engineer Updates'!$B$5:$B$704=A11),'Engineer Updates'!$L$5:$L$704),""))</x:f>
      </x:c>
      <x:c r="X11" s="163" t="str">
        <x:f t="shared" si="1">IF(A11="","",IF(C11="completed","Completed in CSSP",IF(AND(C11="executing",ISERROR(SEARCH("@",K11))),"Executing without named engineer",IF(AND(N11="Confirmed OOS",C11="executing"),"Confirmed OOS still executing",""))))</x:f>
      </x:c>
      <x:c r="Y11" s="163" t="str">
        <x:f>IF(A11="","",IF(B11="Decommissioning","Raw Decommissioning","Raw Provisioning"))</x:f>
        <x:v>Raw Decommissioning</x:v>
      </x:c>
      <x:c r="Z11" s="170" t="str">
        <x:f>IF(A11="","",IF(OR(C11="executing",C11="processing"),"Yes","No"))</x:f>
        <x:v>No</x:v>
      </x:c>
    </x:row>
    <x:row r="12" ht="60">
      <x:c r="A12" s="163" t="str">
        <x:f>IF(ROWS($A$5:A12)&lt;=COUNTA('Raw Decommissioning'!$B$2:$B$1000),INDEX('Raw Decommissioning'!$B$2:$B$1000,ROWS($A$5:A12)),IF(ROWS($A$5:A12)-COUNTA('Raw Decommissioning'!$B$2:$B$1000)&lt;=COUNTA('Raw Provisioning'!$B$2:$B$1000),INDEX('Raw Provisioning'!$B$2:$B$1000,ROWS($A$5:A12)-COUNTA('Raw Decommissioning'!$B$2:$B$1000)),""))</x:f>
        <x:v>CSSP10685915</x:v>
      </x:c>
      <x:c r="B12" s="163" t="str">
        <x:f>IF(A12="","",IF(ROWS($A$5:A12)&lt;=COUNTA('Raw Decommissioning'!$B$2:$B$1000),"Decommissioning","Provisioning"))</x:f>
        <x:v>Decommissioning</x:v>
      </x:c>
      <x:c r="C12" s="163" t="str">
        <x:f>IF(A12="","",IF(B12="Decommissioning",IFERROR(INDEX('Raw Decommissioning'!$E$2:$E$1000,MATCH(A12,'Raw Decommissioning'!$B$2:$B$1000,0)),"Missing from latest raw"),IFERROR(INDEX('Raw Provisioning'!$E$2:$E$1000,MATCH(A12,'Raw Provisioning'!$B$2:$B$1000,0)),"Missing from latest raw")))</x:f>
        <x:v>executing</x:v>
      </x:c>
      <x:c r="D12" s="164" t="n">
        <x:f>IF(A12="","",'Refresh Control'!$B$4)</x:f>
        <x:v>46254</x:v>
      </x:c>
      <x:c r="E12" s="164" t="n">
        <x:f>IF(A12="","",IF(B12="Decommissioning",INDEX('Raw Decommissioning'!$F$2:$F$1000,ROWS($A$5:A12)),INDEX('Raw Provisioning'!$F$2:$F$1000,ROWS($A$5:A12)-COUNTA('Raw Decommissioning'!$B$2:$B$1000))))</x:f>
        <x:v>45945.388504953706</x:v>
      </x:c>
      <x:c r="F12" s="164" t="n">
        <x:f>IF(A12="","",IF(B12="Decommissioning",INDEX('Raw Decommissioning'!$G$2:$G$1000,ROWS($A$5:A12)),INDEX('Raw Provisioning'!$H$2:$H$1000,ROWS($A$5:A12)-COUNTA('Raw Decommissioning'!$B$2:$B$1000))))</x:f>
        <x:v>46229.69473699074</x:v>
      </x:c>
      <x:c r="G12" s="165" t="str">
        <x:f>IF(A12="","",IF(B12="Decommissioning",INDEX('Raw Decommissioning'!$I$2:$I$1000,ROWS($A$5:A12)),INDEX('Raw Provisioning'!$J$2:$J$1000,ROWS($A$5:A12)-COUNTA('Raw Decommissioning'!$B$2:$B$1000))))</x:f>
        <x:v>PIVOT CGC Fouling</x:v>
      </x:c>
      <x:c r="H12" s="165" t="str">
        <x:f>IF(A12="","",IF(B12="Decommissioning",INDEX('Raw Decommissioning'!$J$2:$J$1000,ROWS($A$5:A12)),INDEX('Raw Provisioning'!$L$2:$L$1000,ROWS($A$5:A12)-COUNTA('Raw Decommissioning'!$B$2:$B$1000))))</x:f>
        <x:v>OSR00154: Support and Maintenance for PIVOT Program for Group Digital – CAPEX – PIVOT CGC Fouling</x:v>
      </x:c>
      <x:c r="I12" s="165" t="str">
        <x:f>IF(A12="","",IF(B12="Decommissioning",INDEX('Raw Decommissioning'!$AL$2:$AL$1000,ROWS($A$5:A12)),INDEX('Raw Provisioning'!$R$2:$R$1000,ROWS($A$5:A12)-COUNTA('Raw Decommissioning'!$B$2:$B$1000))))</x:f>
        <x:v>M</x:v>
      </x:c>
      <x:c r="J12" s="165" t="str">
        <x:f>IF(A12="","",IF(B12="Decommissioning",INDEX('Raw Decommissioning'!$AG$2:$AG$1000,ROWS($A$5:A12)),INDEX('Raw Provisioning'!$AI$2:$AI$1000,ROWS($A$5:A12)-COUNTA('Raw Decommissioning'!$B$2:$B$1000))))</x:f>
        <x:v>IMS - CLOUD CSSP EXECUTOR</x:v>
      </x:c>
      <x:c r="K12" s="166" t="str">
        <x:f>IF(A12="","",IFERROR(LOOKUP(2,1/('Assignment History'!$B$5:$B$204=A12),'Assignment History'!$D$5:$D$204),IFERROR(VLOOKUP(J12,Configuration!$L$5:$M$50,2,FALSE),J12)))</x:f>
        <x:v>IMS - CLOUD CSSP EXECUTOR</x:v>
      </x:c>
      <x:c r="L12" s="166" t="str">
        <x:f>IF(A12="","",IF(K12=IFERROR(VLOOKUP(J12,Configuration!$L$5:$M$50,2,FALSE),J12),"Snapshot PIC","Replacement PIC"))</x:f>
        <x:v>Snapshot PIC</x:v>
      </x:c>
      <x:c r="M12" s="167" t="n">
        <x:f>IF(A12="","",IFERROR(VLOOKUP(I12,Configuration!$O$5:$P$8,2,FALSE),Configuration!$S$6))</x:f>
        <x:v>2</x:v>
      </x:c>
      <x:c r="N12" s="167" t="str">
        <x:f>IF(A12="","",IFERROR(LOOKUP(2,1/('Scope Review'!$B$5:$B$204=A12),'Scope Review'!$G$5:$G$204),"Not Reviewed"))</x:f>
        <x:v>Not Reviewed</x:v>
      </x:c>
      <x:c r="O12" s="167" t="str">
        <x:f>IF(A12="","",IFERROR(LOOKUP(2,1/('Scope Review'!$B$5:$B$204=A12),'Scope Review'!$H$5:$H$204),""))</x:f>
      </x:c>
      <x:c r="P12" s="167" t="n">
        <x:f t="shared" si="0">IF(A12="","",IF(AND(C12="executing",N12&lt;&gt;"Confirmed OOS"),M12,0))</x:f>
        <x:v>2</x:v>
      </x:c>
      <x:c r="Q12" s="168" t="n">
        <x:f>IF(A12="","",IFERROR(LOOKUP(2,1/('Engineer Updates'!$B$5:$B$704=A12),'Engineer Updates'!$A$5:$A$704),""))</x:f>
        <x:v>46251</x:v>
      </x:c>
      <x:c r="R12" s="166" t="str">
        <x:f>IF(A12="","",IFERROR(LOOKUP(2,1/('Engineer Updates'!$B$5:$B$704=A12),'Engineer Updates'!$H$5:$H$704),""))</x:f>
        <x:v>Not Started</x:v>
      </x:c>
      <x:c r="S12" s="166" t="str">
        <x:f>IF(A12="","",IFERROR(LOOKUP(2,1/('Engineer Updates'!$B$5:$B$704=A12),'Engineer Updates'!$G$5:$G$704),""))</x:f>
      </x:c>
      <x:c r="T12" s="166" t="str">
        <x:f>IF(A12="","",IFERROR(LOOKUP(2,1/('Engineer Updates'!$B$5:$B$704=A12),'Engineer Updates'!$I$5:$I$704),""))</x:f>
      </x:c>
      <x:c r="U12" s="166" t="str">
        <x:f>IF(A12="","",IFERROR(LOOKUP(2,1/('Engineer Updates'!$B$5:$B$704=A12),'Engineer Updates'!$J$5:$J$704),""))</x:f>
      </x:c>
      <x:c r="V12" s="166" t="str">
        <x:f>IF(A12="","",IFERROR(LOOKUP(2,1/('Engineer Updates'!$B$5:$B$704=A12),'Engineer Updates'!$K$5:$K$704),""))</x:f>
      </x:c>
      <x:c r="W12" s="169" t="str">
        <x:f>IF(A12="","",IFERROR(LOOKUP(2,1/('Engineer Updates'!$B$5:$B$704=A12),'Engineer Updates'!$L$5:$L$704),""))</x:f>
      </x:c>
      <x:c r="X12" s="163" t="str">
        <x:f t="shared" si="1">IF(A12="","",IF(C12="completed","Completed in CSSP",IF(AND(C12="executing",ISERROR(SEARCH("@",K12))),"Executing without named engineer",IF(AND(N12="Confirmed OOS",C12="executing"),"Confirmed OOS still executing",""))))</x:f>
        <x:v>Executing without named engineer</x:v>
      </x:c>
      <x:c r="Y12" s="163" t="str">
        <x:f>IF(A12="","",IF(B12="Decommissioning","Raw Decommissioning","Raw Provisioning"))</x:f>
        <x:v>Raw Decommissioning</x:v>
      </x:c>
      <x:c r="Z12" s="170" t="str">
        <x:f>IF(A12="","",IF(OR(C12="executing",C12="processing"),"Yes","No"))</x:f>
        <x:v>Yes</x:v>
      </x:c>
    </x:row>
    <x:row r="13" ht="45">
      <x:c r="A13" s="163" t="str">
        <x:f>IF(ROWS($A$5:A13)&lt;=COUNTA('Raw Decommissioning'!$B$2:$B$1000),INDEX('Raw Decommissioning'!$B$2:$B$1000,ROWS($A$5:A13)),IF(ROWS($A$5:A13)-COUNTA('Raw Decommissioning'!$B$2:$B$1000)&lt;=COUNTA('Raw Provisioning'!$B$2:$B$1000),INDEX('Raw Provisioning'!$B$2:$B$1000,ROWS($A$5:A13)-COUNTA('Raw Decommissioning'!$B$2:$B$1000)),""))</x:f>
        <x:v>CSSP10541419</x:v>
      </x:c>
      <x:c r="B13" s="163" t="str">
        <x:f>IF(A13="","",IF(ROWS($A$5:A13)&lt;=COUNTA('Raw Decommissioning'!$B$2:$B$1000),"Decommissioning","Provisioning"))</x:f>
        <x:v>Decommissioning</x:v>
      </x:c>
      <x:c r="C13" s="163" t="str">
        <x:f>IF(A13="","",IF(B13="Decommissioning",IFERROR(INDEX('Raw Decommissioning'!$E$2:$E$1000,MATCH(A13,'Raw Decommissioning'!$B$2:$B$1000,0)),"Missing from latest raw"),IFERROR(INDEX('Raw Provisioning'!$E$2:$E$1000,MATCH(A13,'Raw Provisioning'!$B$2:$B$1000,0)),"Missing from latest raw")))</x:f>
        <x:v>completed</x:v>
      </x:c>
      <x:c r="D13" s="164" t="n">
        <x:f>IF(A13="","",'Refresh Control'!$B$4)</x:f>
        <x:v>46254</x:v>
      </x:c>
      <x:c r="E13" s="164" t="n">
        <x:f>IF(A13="","",IF(B13="Decommissioning",INDEX('Raw Decommissioning'!$F$2:$F$1000,ROWS($A$5:A13)),INDEX('Raw Provisioning'!$F$2:$F$1000,ROWS($A$5:A13)-COUNTA('Raw Decommissioning'!$B$2:$B$1000))))</x:f>
        <x:v>45947.11423760417</x:v>
      </x:c>
      <x:c r="F13" s="164" t="n">
        <x:f>IF(A13="","",IF(B13="Decommissioning",INDEX('Raw Decommissioning'!$G$2:$G$1000,ROWS($A$5:A13)),INDEX('Raw Provisioning'!$H$2:$H$1000,ROWS($A$5:A13)-COUNTA('Raw Decommissioning'!$B$2:$B$1000))))</x:f>
        <x:v>46069.334303090276</x:v>
      </x:c>
      <x:c r="G13" s="165" t="str">
        <x:f>IF(A13="","",IF(B13="Decommissioning",INDEX('Raw Decommissioning'!$I$2:$I$1000,ROWS($A$5:A13)),INDEX('Raw Provisioning'!$J$2:$J$1000,ROWS($A$5:A13)-COUNTA('Raw Decommissioning'!$B$2:$B$1000))))</x:f>
        <x:v>Regasification Terminal Sungai Udang Digital Transformation - RGTSU-DX</x:v>
      </x:c>
      <x:c r="H13" s="165" t="str">
        <x:f>IF(A13="","",IF(B13="Decommissioning",INDEX('Raw Decommissioning'!$J$2:$J$1000,ROWS($A$5:A13)),INDEX('Raw Provisioning'!$L$2:$L$1000,ROWS($A$5:A13)-COUNTA('Raw Decommissioning'!$B$2:$B$1000))))</x:f>
        <x:v>Digital Transformation at RGTSU (RGTSU-DX Phase 2)</x:v>
      </x:c>
      <x:c r="I13" s="165" t="str">
        <x:f>IF(A13="","",IF(B13="Decommissioning",INDEX('Raw Decommissioning'!$AL$2:$AL$1000,ROWS($A$5:A13)),INDEX('Raw Provisioning'!$R$2:$R$1000,ROWS($A$5:A13)-COUNTA('Raw Decommissioning'!$B$2:$B$1000))))</x:f>
        <x:v>S</x:v>
      </x:c>
      <x:c r="J13" s="165" t="str">
        <x:f>IF(A13="","",IF(B13="Decommissioning",INDEX('Raw Decommissioning'!$AG$2:$AG$1000,ROWS($A$5:A13)),INDEX('Raw Provisioning'!$AI$2:$AI$1000,ROWS($A$5:A13)-COUNTA('Raw Decommissioning'!$B$2:$B$1000))))</x:f>
        <x:v>azwan.badari@petronas.com</x:v>
      </x:c>
      <x:c r="K13" s="166" t="str">
        <x:f>IF(A13="","",IFERROR(LOOKUP(2,1/('Assignment History'!$B$5:$B$204=A13),'Assignment History'!$D$5:$D$204),IFERROR(VLOOKUP(J13,Configuration!$L$5:$M$50,2,FALSE),J13)))</x:f>
        <x:v>azwan.badari@petronas.com</x:v>
      </x:c>
      <x:c r="L13" s="166" t="str">
        <x:f>IF(A13="","",IF(K13=IFERROR(VLOOKUP(J13,Configuration!$L$5:$M$50,2,FALSE),J13),"Snapshot PIC","Replacement PIC"))</x:f>
        <x:v>Snapshot PIC</x:v>
      </x:c>
      <x:c r="M13" s="167" t="n">
        <x:f>IF(A13="","",IFERROR(VLOOKUP(I13,Configuration!$O$5:$P$8,2,FALSE),Configuration!$S$6))</x:f>
        <x:v>1</x:v>
      </x:c>
      <x:c r="N13" s="167" t="str">
        <x:f>IF(A13="","",IFERROR(LOOKUP(2,1/('Scope Review'!$B$5:$B$204=A13),'Scope Review'!$G$5:$G$204),"Not Reviewed"))</x:f>
        <x:v>Not Reviewed</x:v>
      </x:c>
      <x:c r="O13" s="167" t="str">
        <x:f>IF(A13="","",IFERROR(LOOKUP(2,1/('Scope Review'!$B$5:$B$204=A13),'Scope Review'!$H$5:$H$204),""))</x:f>
      </x:c>
      <x:c r="P13" s="167" t="n">
        <x:f t="shared" si="0">IF(A13="","",IF(AND(C13="executing",N13&lt;&gt;"Confirmed OOS"),M13,0))</x:f>
        <x:v>0</x:v>
      </x:c>
      <x:c r="Q13" s="168" t="str">
        <x:f>IF(A13="","",IFERROR(LOOKUP(2,1/('Engineer Updates'!$B$5:$B$704=A13),'Engineer Updates'!$A$5:$A$704),""))</x:f>
      </x:c>
      <x:c r="R13" s="166" t="str">
        <x:f>IF(A13="","",IFERROR(LOOKUP(2,1/('Engineer Updates'!$B$5:$B$704=A13),'Engineer Updates'!$H$5:$H$704),""))</x:f>
      </x:c>
      <x:c r="S13" s="166" t="str">
        <x:f>IF(A13="","",IFERROR(LOOKUP(2,1/('Engineer Updates'!$B$5:$B$704=A13),'Engineer Updates'!$G$5:$G$704),""))</x:f>
      </x:c>
      <x:c r="T13" s="166" t="str">
        <x:f>IF(A13="","",IFERROR(LOOKUP(2,1/('Engineer Updates'!$B$5:$B$704=A13),'Engineer Updates'!$I$5:$I$704),""))</x:f>
      </x:c>
      <x:c r="U13" s="166" t="str">
        <x:f>IF(A13="","",IFERROR(LOOKUP(2,1/('Engineer Updates'!$B$5:$B$704=A13),'Engineer Updates'!$J$5:$J$704),""))</x:f>
      </x:c>
      <x:c r="V13" s="166" t="str">
        <x:f>IF(A13="","",IFERROR(LOOKUP(2,1/('Engineer Updates'!$B$5:$B$704=A13),'Engineer Updates'!$K$5:$K$704),""))</x:f>
      </x:c>
      <x:c r="W13" s="169" t="str">
        <x:f>IF(A13="","",IFERROR(LOOKUP(2,1/('Engineer Updates'!$B$5:$B$704=A13),'Engineer Updates'!$L$5:$L$704),""))</x:f>
      </x:c>
      <x:c r="X13" s="163" t="str">
        <x:f t="shared" si="1">IF(A13="","",IF(C13="completed","Completed in CSSP",IF(AND(C13="executing",ISERROR(SEARCH("@",K13))),"Executing without named engineer",IF(AND(N13="Confirmed OOS",C13="executing"),"Confirmed OOS still executing",""))))</x:f>
        <x:v>Completed in CSSP</x:v>
      </x:c>
      <x:c r="Y13" s="163" t="str">
        <x:f>IF(A13="","",IF(B13="Decommissioning","Raw Decommissioning","Raw Provisioning"))</x:f>
        <x:v>Raw Decommissioning</x:v>
      </x:c>
      <x:c r="Z13" s="170" t="str">
        <x:f>IF(A13="","",IF(OR(C13="executing",C13="processing"),"Yes","No"))</x:f>
        <x:v>No</x:v>
      </x:c>
    </x:row>
    <x:row r="14" ht="30">
      <x:c r="A14" s="163" t="str">
        <x:f>IF(ROWS($A$5:A14)&lt;=COUNTA('Raw Decommissioning'!$B$2:$B$1000),INDEX('Raw Decommissioning'!$B$2:$B$1000,ROWS($A$5:A14)),IF(ROWS($A$5:A14)-COUNTA('Raw Decommissioning'!$B$2:$B$1000)&lt;=COUNTA('Raw Provisioning'!$B$2:$B$1000),INDEX('Raw Provisioning'!$B$2:$B$1000,ROWS($A$5:A14)-COUNTA('Raw Decommissioning'!$B$2:$B$1000)),""))</x:f>
        <x:v>CSSP10512939</x:v>
      </x:c>
      <x:c r="B14" s="163" t="str">
        <x:f>IF(A14="","",IF(ROWS($A$5:A14)&lt;=COUNTA('Raw Decommissioning'!$B$2:$B$1000),"Decommissioning","Provisioning"))</x:f>
        <x:v>Decommissioning</x:v>
      </x:c>
      <x:c r="C14" s="163" t="str">
        <x:f>IF(A14="","",IF(B14="Decommissioning",IFERROR(INDEX('Raw Decommissioning'!$E$2:$E$1000,MATCH(A14,'Raw Decommissioning'!$B$2:$B$1000,0)),"Missing from latest raw"),IFERROR(INDEX('Raw Provisioning'!$E$2:$E$1000,MATCH(A14,'Raw Provisioning'!$B$2:$B$1000,0)),"Missing from latest raw")))</x:f>
        <x:v>rejected</x:v>
      </x:c>
      <x:c r="D14" s="164" t="n">
        <x:f>IF(A14="","",'Refresh Control'!$B$4)</x:f>
        <x:v>46254</x:v>
      </x:c>
      <x:c r="E14" s="164" t="n">
        <x:f>IF(A14="","",IF(B14="Decommissioning",INDEX('Raw Decommissioning'!$F$2:$F$1000,ROWS($A$5:A14)),INDEX('Raw Provisioning'!$F$2:$F$1000,ROWS($A$5:A14)-COUNTA('Raw Decommissioning'!$B$2:$B$1000))))</x:f>
        <x:v>45958.01583797453</x:v>
      </x:c>
      <x:c r="F14" s="164" t="n">
        <x:f>IF(A14="","",IF(B14="Decommissioning",INDEX('Raw Decommissioning'!$G$2:$G$1000,ROWS($A$5:A14)),INDEX('Raw Provisioning'!$H$2:$H$1000,ROWS($A$5:A14)-COUNTA('Raw Decommissioning'!$B$2:$B$1000))))</x:f>
        <x:v>46050.37783171296</x:v>
      </x:c>
      <x:c r="G14" s="165" t="str">
        <x:f>IF(A14="","",IF(B14="Decommissioning",INDEX('Raw Decommissioning'!$I$2:$I$1000,ROWS($A$5:A14)),INDEX('Raw Provisioning'!$J$2:$J$1000,ROWS($A$5:A14)-COUNTA('Raw Decommissioning'!$B$2:$B$1000))))</x:f>
        <x:v>Predictive Analytics for Pipeline Freespan - PrAnSpan</x:v>
      </x:c>
      <x:c r="H14" s="165" t="str">
        <x:f>IF(A14="","",IF(B14="Decommissioning",INDEX('Raw Decommissioning'!$J$2:$J$1000,ROWS($A$5:A14)),INDEX('Raw Provisioning'!$L$2:$L$1000,ROWS($A$5:A14)-COUNTA('Raw Decommissioning'!$B$2:$B$1000))))</x:f>
        <x:v>Support and Maintenance of Predictive Analytic Freespan (PrAnSpan) for GTS</x:v>
      </x:c>
      <x:c r="I14" s="165" t="str">
        <x:f>IF(A14="","",IF(B14="Decommissioning",INDEX('Raw Decommissioning'!$AL$2:$AL$1000,ROWS($A$5:A14)),INDEX('Raw Provisioning'!$R$2:$R$1000,ROWS($A$5:A14)-COUNTA('Raw Decommissioning'!$B$2:$B$1000))))</x:f>
      </x:c>
      <x:c r="J14" s="165" t="str">
        <x:f>IF(A14="","",IF(B14="Decommissioning",INDEX('Raw Decommissioning'!$AG$2:$AG$1000,ROWS($A$5:A14)),INDEX('Raw Provisioning'!$AI$2:$AI$1000,ROWS($A$5:A14)-COUNTA('Raw Decommissioning'!$B$2:$B$1000))))</x:f>
        <x:v>CCoE Operations</x:v>
      </x:c>
      <x:c r="K14" s="166" t="str">
        <x:f>IF(A14="","",IFERROR(LOOKUP(2,1/('Assignment History'!$B$5:$B$204=A14),'Assignment History'!$D$5:$D$204),IFERROR(VLOOKUP(J14,Configuration!$L$5:$M$50,2,FALSE),J14)))</x:f>
        <x:v>CCoE Operations</x:v>
      </x:c>
      <x:c r="L14" s="166" t="str">
        <x:f>IF(A14="","",IF(K14=IFERROR(VLOOKUP(J14,Configuration!$L$5:$M$50,2,FALSE),J14),"Snapshot PIC","Replacement PIC"))</x:f>
        <x:v>Snapshot PIC</x:v>
      </x:c>
      <x:c r="M14" s="167" t="n">
        <x:f>IF(A14="","",IFERROR(VLOOKUP(I14,Configuration!$O$5:$P$8,2,FALSE),Configuration!$S$6))</x:f>
        <x:v>2</x:v>
      </x:c>
      <x:c r="N14" s="167" t="str">
        <x:f>IF(A14="","",IFERROR(LOOKUP(2,1/('Scope Review'!$B$5:$B$204=A14),'Scope Review'!$G$5:$G$204),"Not Reviewed"))</x:f>
        <x:v>Not Reviewed</x:v>
      </x:c>
      <x:c r="O14" s="167" t="str">
        <x:f>IF(A14="","",IFERROR(LOOKUP(2,1/('Scope Review'!$B$5:$B$204=A14),'Scope Review'!$H$5:$H$204),""))</x:f>
      </x:c>
      <x:c r="P14" s="167" t="n">
        <x:f t="shared" si="0">IF(A14="","",IF(AND(C14="executing",N14&lt;&gt;"Confirmed OOS"),M14,0))</x:f>
        <x:v>0</x:v>
      </x:c>
      <x:c r="Q14" s="168" t="str">
        <x:f>IF(A14="","",IFERROR(LOOKUP(2,1/('Engineer Updates'!$B$5:$B$704=A14),'Engineer Updates'!$A$5:$A$704),""))</x:f>
      </x:c>
      <x:c r="R14" s="166" t="str">
        <x:f>IF(A14="","",IFERROR(LOOKUP(2,1/('Engineer Updates'!$B$5:$B$704=A14),'Engineer Updates'!$H$5:$H$704),""))</x:f>
      </x:c>
      <x:c r="S14" s="166" t="str">
        <x:f>IF(A14="","",IFERROR(LOOKUP(2,1/('Engineer Updates'!$B$5:$B$704=A14),'Engineer Updates'!$G$5:$G$704),""))</x:f>
      </x:c>
      <x:c r="T14" s="166" t="str">
        <x:f>IF(A14="","",IFERROR(LOOKUP(2,1/('Engineer Updates'!$B$5:$B$704=A14),'Engineer Updates'!$I$5:$I$704),""))</x:f>
      </x:c>
      <x:c r="U14" s="166" t="str">
        <x:f>IF(A14="","",IFERROR(LOOKUP(2,1/('Engineer Updates'!$B$5:$B$704=A14),'Engineer Updates'!$J$5:$J$704),""))</x:f>
      </x:c>
      <x:c r="V14" s="166" t="str">
        <x:f>IF(A14="","",IFERROR(LOOKUP(2,1/('Engineer Updates'!$B$5:$B$704=A14),'Engineer Updates'!$K$5:$K$704),""))</x:f>
      </x:c>
      <x:c r="W14" s="169" t="str">
        <x:f>IF(A14="","",IFERROR(LOOKUP(2,1/('Engineer Updates'!$B$5:$B$704=A14),'Engineer Updates'!$L$5:$L$704),""))</x:f>
      </x:c>
      <x:c r="X14" s="163" t="str">
        <x:f t="shared" si="1">IF(A14="","",IF(C14="completed","Completed in CSSP",IF(AND(C14="executing",ISERROR(SEARCH("@",K14))),"Executing without named engineer",IF(AND(N14="Confirmed OOS",C14="executing"),"Confirmed OOS still executing",""))))</x:f>
      </x:c>
      <x:c r="Y14" s="163" t="str">
        <x:f>IF(A14="","",IF(B14="Decommissioning","Raw Decommissioning","Raw Provisioning"))</x:f>
        <x:v>Raw Decommissioning</x:v>
      </x:c>
      <x:c r="Z14" s="170" t="str">
        <x:f>IF(A14="","",IF(OR(C14="executing",C14="processing"),"Yes","No"))</x:f>
        <x:v>No</x:v>
      </x:c>
    </x:row>
    <x:row r="15" ht="30">
      <x:c r="A15" s="163" t="str">
        <x:f>IF(ROWS($A$5:A15)&lt;=COUNTA('Raw Decommissioning'!$B$2:$B$1000),INDEX('Raw Decommissioning'!$B$2:$B$1000,ROWS($A$5:A15)),IF(ROWS($A$5:A15)-COUNTA('Raw Decommissioning'!$B$2:$B$1000)&lt;=COUNTA('Raw Provisioning'!$B$2:$B$1000),INDEX('Raw Provisioning'!$B$2:$B$1000,ROWS($A$5:A15)-COUNTA('Raw Decommissioning'!$B$2:$B$1000)),""))</x:f>
        <x:v>CSSP10596587</x:v>
      </x:c>
      <x:c r="B15" s="163" t="str">
        <x:f>IF(A15="","",IF(ROWS($A$5:A15)&lt;=COUNTA('Raw Decommissioning'!$B$2:$B$1000),"Decommissioning","Provisioning"))</x:f>
        <x:v>Decommissioning</x:v>
      </x:c>
      <x:c r="C15" s="163" t="str">
        <x:f>IF(A15="","",IF(B15="Decommissioning",IFERROR(INDEX('Raw Decommissioning'!$E$2:$E$1000,MATCH(A15,'Raw Decommissioning'!$B$2:$B$1000,0)),"Missing from latest raw"),IFERROR(INDEX('Raw Provisioning'!$E$2:$E$1000,MATCH(A15,'Raw Provisioning'!$B$2:$B$1000,0)),"Missing from latest raw")))</x:f>
        <x:v>pending</x:v>
      </x:c>
      <x:c r="D15" s="164" t="n">
        <x:f>IF(A15="","",'Refresh Control'!$B$4)</x:f>
        <x:v>46254</x:v>
      </x:c>
      <x:c r="E15" s="164" t="n">
        <x:f>IF(A15="","",IF(B15="Decommissioning",INDEX('Raw Decommissioning'!$F$2:$F$1000,ROWS($A$5:A15)),INDEX('Raw Provisioning'!$F$2:$F$1000,ROWS($A$5:A15)-COUNTA('Raw Decommissioning'!$B$2:$B$1000))))</x:f>
        <x:v>45958.0190974537</x:v>
      </x:c>
      <x:c r="F15" s="164" t="n">
        <x:f>IF(A15="","",IF(B15="Decommissioning",INDEX('Raw Decommissioning'!$G$2:$G$1000,ROWS($A$5:A15)),INDEX('Raw Provisioning'!$H$2:$H$1000,ROWS($A$5:A15)-COUNTA('Raw Decommissioning'!$B$2:$B$1000))))</x:f>
        <x:v>46050.34166543982</x:v>
      </x:c>
      <x:c r="G15" s="165" t="str">
        <x:f>IF(A15="","",IF(B15="Decommissioning",INDEX('Raw Decommissioning'!$I$2:$I$1000,ROWS($A$5:A15)),INDEX('Raw Provisioning'!$J$2:$J$1000,ROWS($A$5:A15)-COUNTA('Raw Decommissioning'!$B$2:$B$1000))))</x:f>
        <x:v>Predictive Analytics for Pipeline Freespan - PrAnSpan</x:v>
      </x:c>
      <x:c r="H15" s="165" t="str">
        <x:f>IF(A15="","",IF(B15="Decommissioning",INDEX('Raw Decommissioning'!$J$2:$J$1000,ROWS($A$5:A15)),INDEX('Raw Provisioning'!$L$2:$L$1000,ROWS($A$5:A15)-COUNTA('Raw Decommissioning'!$B$2:$B$1000))))</x:f>
        <x:v>Support and Maintenance of Predictive Analytic Freespan (PrAnSpan) for GTS</x:v>
      </x:c>
      <x:c r="I15" s="165" t="str">
        <x:f>IF(A15="","",IF(B15="Decommissioning",INDEX('Raw Decommissioning'!$AL$2:$AL$1000,ROWS($A$5:A15)),INDEX('Raw Provisioning'!$R$2:$R$1000,ROWS($A$5:A15)-COUNTA('Raw Decommissioning'!$B$2:$B$1000))))</x:f>
      </x:c>
      <x:c r="J15" s="165" t="str">
        <x:f>IF(A15="","",IF(B15="Decommissioning",INDEX('Raw Decommissioning'!$AG$2:$AG$1000,ROWS($A$5:A15)),INDEX('Raw Provisioning'!$AI$2:$AI$1000,ROWS($A$5:A15)-COUNTA('Raw Decommissioning'!$B$2:$B$1000))))</x:f>
        <x:v>CCoE Operations</x:v>
      </x:c>
      <x:c r="K15" s="166" t="str">
        <x:f>IF(A15="","",IFERROR(LOOKUP(2,1/('Assignment History'!$B$5:$B$204=A15),'Assignment History'!$D$5:$D$204),IFERROR(VLOOKUP(J15,Configuration!$L$5:$M$50,2,FALSE),J15)))</x:f>
        <x:v>CCoE Operations</x:v>
      </x:c>
      <x:c r="L15" s="166" t="str">
        <x:f>IF(A15="","",IF(K15=IFERROR(VLOOKUP(J15,Configuration!$L$5:$M$50,2,FALSE),J15),"Snapshot PIC","Replacement PIC"))</x:f>
        <x:v>Snapshot PIC</x:v>
      </x:c>
      <x:c r="M15" s="167" t="n">
        <x:f>IF(A15="","",IFERROR(VLOOKUP(I15,Configuration!$O$5:$P$8,2,FALSE),Configuration!$S$6))</x:f>
        <x:v>2</x:v>
      </x:c>
      <x:c r="N15" s="167" t="str">
        <x:f>IF(A15="","",IFERROR(LOOKUP(2,1/('Scope Review'!$B$5:$B$204=A15),'Scope Review'!$G$5:$G$204),"Not Reviewed"))</x:f>
        <x:v>Not Reviewed</x:v>
      </x:c>
      <x:c r="O15" s="167" t="str">
        <x:f>IF(A15="","",IFERROR(LOOKUP(2,1/('Scope Review'!$B$5:$B$204=A15),'Scope Review'!$H$5:$H$204),""))</x:f>
      </x:c>
      <x:c r="P15" s="167" t="n">
        <x:f t="shared" si="0">IF(A15="","",IF(AND(C15="executing",N15&lt;&gt;"Confirmed OOS"),M15,0))</x:f>
        <x:v>0</x:v>
      </x:c>
      <x:c r="Q15" s="168" t="str">
        <x:f>IF(A15="","",IFERROR(LOOKUP(2,1/('Engineer Updates'!$B$5:$B$704=A15),'Engineer Updates'!$A$5:$A$704),""))</x:f>
      </x:c>
      <x:c r="R15" s="166" t="str">
        <x:f>IF(A15="","",IFERROR(LOOKUP(2,1/('Engineer Updates'!$B$5:$B$704=A15),'Engineer Updates'!$H$5:$H$704),""))</x:f>
      </x:c>
      <x:c r="S15" s="166" t="str">
        <x:f>IF(A15="","",IFERROR(LOOKUP(2,1/('Engineer Updates'!$B$5:$B$704=A15),'Engineer Updates'!$G$5:$G$704),""))</x:f>
      </x:c>
      <x:c r="T15" s="166" t="str">
        <x:f>IF(A15="","",IFERROR(LOOKUP(2,1/('Engineer Updates'!$B$5:$B$704=A15),'Engineer Updates'!$I$5:$I$704),""))</x:f>
      </x:c>
      <x:c r="U15" s="166" t="str">
        <x:f>IF(A15="","",IFERROR(LOOKUP(2,1/('Engineer Updates'!$B$5:$B$704=A15),'Engineer Updates'!$J$5:$J$704),""))</x:f>
      </x:c>
      <x:c r="V15" s="166" t="str">
        <x:f>IF(A15="","",IFERROR(LOOKUP(2,1/('Engineer Updates'!$B$5:$B$704=A15),'Engineer Updates'!$K$5:$K$704),""))</x:f>
      </x:c>
      <x:c r="W15" s="169" t="str">
        <x:f>IF(A15="","",IFERROR(LOOKUP(2,1/('Engineer Updates'!$B$5:$B$704=A15),'Engineer Updates'!$L$5:$L$704),""))</x:f>
      </x:c>
      <x:c r="X15" s="163" t="str">
        <x:f t="shared" si="1">IF(A15="","",IF(C15="completed","Completed in CSSP",IF(AND(C15="executing",ISERROR(SEARCH("@",K15))),"Executing without named engineer",IF(AND(N15="Confirmed OOS",C15="executing"),"Confirmed OOS still executing",""))))</x:f>
      </x:c>
      <x:c r="Y15" s="163" t="str">
        <x:f>IF(A15="","",IF(B15="Decommissioning","Raw Decommissioning","Raw Provisioning"))</x:f>
        <x:v>Raw Decommissioning</x:v>
      </x:c>
      <x:c r="Z15" s="170" t="str">
        <x:f>IF(A15="","",IF(OR(C15="executing",C15="processing"),"Yes","No"))</x:f>
        <x:v>No</x:v>
      </x:c>
    </x:row>
    <x:row r="16" ht="30">
      <x:c r="A16" s="163" t="str">
        <x:f>IF(ROWS($A$5:A16)&lt;=COUNTA('Raw Decommissioning'!$B$2:$B$1000),INDEX('Raw Decommissioning'!$B$2:$B$1000,ROWS($A$5:A16)),IF(ROWS($A$5:A16)-COUNTA('Raw Decommissioning'!$B$2:$B$1000)&lt;=COUNTA('Raw Provisioning'!$B$2:$B$1000),INDEX('Raw Provisioning'!$B$2:$B$1000,ROWS($A$5:A16)-COUNTA('Raw Decommissioning'!$B$2:$B$1000)),""))</x:f>
        <x:v>CSSP10170875</x:v>
      </x:c>
      <x:c r="B16" s="163" t="str">
        <x:f>IF(A16="","",IF(ROWS($A$5:A16)&lt;=COUNTA('Raw Decommissioning'!$B$2:$B$1000),"Decommissioning","Provisioning"))</x:f>
        <x:v>Decommissioning</x:v>
      </x:c>
      <x:c r="C16" s="163" t="str">
        <x:f>IF(A16="","",IF(B16="Decommissioning",IFERROR(INDEX('Raw Decommissioning'!$E$2:$E$1000,MATCH(A16,'Raw Decommissioning'!$B$2:$B$1000,0)),"Missing from latest raw"),IFERROR(INDEX('Raw Provisioning'!$E$2:$E$1000,MATCH(A16,'Raw Provisioning'!$B$2:$B$1000,0)),"Missing from latest raw")))</x:f>
        <x:v>completed</x:v>
      </x:c>
      <x:c r="D16" s="164" t="n">
        <x:f>IF(A16="","",'Refresh Control'!$B$4)</x:f>
        <x:v>46254</x:v>
      </x:c>
      <x:c r="E16" s="164" t="n">
        <x:f>IF(A16="","",IF(B16="Decommissioning",INDEX('Raw Decommissioning'!$F$2:$F$1000,ROWS($A$5:A16)),INDEX('Raw Provisioning'!$F$2:$F$1000,ROWS($A$5:A16)-COUNTA('Raw Decommissioning'!$B$2:$B$1000))))</x:f>
        <x:v>45981.19213831019</x:v>
      </x:c>
      <x:c r="F16" s="164" t="n">
        <x:f>IF(A16="","",IF(B16="Decommissioning",INDEX('Raw Decommissioning'!$G$2:$G$1000,ROWS($A$5:A16)),INDEX('Raw Provisioning'!$H$2:$H$1000,ROWS($A$5:A16)-COUNTA('Raw Decommissioning'!$B$2:$B$1000))))</x:f>
        <x:v>46048.29490238426</x:v>
      </x:c>
      <x:c r="G16" s="165" t="str">
        <x:f>IF(A16="","",IF(B16="Decommissioning",INDEX('Raw Decommissioning'!$I$2:$I$1000,ROWS($A$5:A16)),INDEX('Raw Provisioning'!$J$2:$J$1000,ROWS($A$5:A16)-COUNTA('Raw Decommissioning'!$B$2:$B$1000))))</x:f>
        <x:v>Mobile View for Aeroscout Location Engine - ALE</x:v>
      </x:c>
      <x:c r="H16" s="165" t="str">
        <x:f>IF(A16="","",IF(B16="Decommissioning",INDEX('Raw Decommissioning'!$J$2:$J$1000,ROWS($A$5:A16)),INDEX('Raw Provisioning'!$L$2:$L$1000,ROWS($A$5:A16)-COUNTA('Raw Decommissioning'!$B$2:$B$1000))))</x:f>
        <x:v>Mobile View for Aeroscout Location Engine - ALE created for PRIVATECLOUD project record</x:v>
      </x:c>
      <x:c r="I16" s="165" t="str">
        <x:f>IF(A16="","",IF(B16="Decommissioning",INDEX('Raw Decommissioning'!$AL$2:$AL$1000,ROWS($A$5:A16)),INDEX('Raw Provisioning'!$R$2:$R$1000,ROWS($A$5:A16)-COUNTA('Raw Decommissioning'!$B$2:$B$1000))))</x:f>
        <x:v>M</x:v>
      </x:c>
      <x:c r="J16" s="165" t="str">
        <x:f>IF(A16="","",IF(B16="Decommissioning",INDEX('Raw Decommissioning'!$AG$2:$AG$1000,ROWS($A$5:A16)),INDEX('Raw Provisioning'!$AI$2:$AI$1000,ROWS($A$5:A16)-COUNTA('Raw Decommissioning'!$B$2:$B$1000))))</x:f>
        <x:v>azlisham.md@petronas.com</x:v>
      </x:c>
      <x:c r="K16" s="166" t="str">
        <x:f>IF(A16="","",IFERROR(LOOKUP(2,1/('Assignment History'!$B$5:$B$204=A16),'Assignment History'!$D$5:$D$204),IFERROR(VLOOKUP(J16,Configuration!$L$5:$M$50,2,FALSE),J16)))</x:f>
        <x:v>azlisham.md@petronas.com</x:v>
      </x:c>
      <x:c r="L16" s="166" t="str">
        <x:f>IF(A16="","",IF(K16=IFERROR(VLOOKUP(J16,Configuration!$L$5:$M$50,2,FALSE),J16),"Snapshot PIC","Replacement PIC"))</x:f>
        <x:v>Snapshot PIC</x:v>
      </x:c>
      <x:c r="M16" s="167" t="n">
        <x:f>IF(A16="","",IFERROR(VLOOKUP(I16,Configuration!$O$5:$P$8,2,FALSE),Configuration!$S$6))</x:f>
        <x:v>2</x:v>
      </x:c>
      <x:c r="N16" s="167" t="str">
        <x:f>IF(A16="","",IFERROR(LOOKUP(2,1/('Scope Review'!$B$5:$B$204=A16),'Scope Review'!$G$5:$G$204),"Not Reviewed"))</x:f>
        <x:v>Not Reviewed</x:v>
      </x:c>
      <x:c r="O16" s="167" t="str">
        <x:f>IF(A16="","",IFERROR(LOOKUP(2,1/('Scope Review'!$B$5:$B$204=A16),'Scope Review'!$H$5:$H$204),""))</x:f>
      </x:c>
      <x:c r="P16" s="167" t="n">
        <x:f t="shared" si="0">IF(A16="","",IF(AND(C16="executing",N16&lt;&gt;"Confirmed OOS"),M16,0))</x:f>
        <x:v>0</x:v>
      </x:c>
      <x:c r="Q16" s="168" t="str">
        <x:f>IF(A16="","",IFERROR(LOOKUP(2,1/('Engineer Updates'!$B$5:$B$704=A16),'Engineer Updates'!$A$5:$A$704),""))</x:f>
      </x:c>
      <x:c r="R16" s="166" t="str">
        <x:f>IF(A16="","",IFERROR(LOOKUP(2,1/('Engineer Updates'!$B$5:$B$704=A16),'Engineer Updates'!$H$5:$H$704),""))</x:f>
      </x:c>
      <x:c r="S16" s="166" t="str">
        <x:f>IF(A16="","",IFERROR(LOOKUP(2,1/('Engineer Updates'!$B$5:$B$704=A16),'Engineer Updates'!$G$5:$G$704),""))</x:f>
      </x:c>
      <x:c r="T16" s="166" t="str">
        <x:f>IF(A16="","",IFERROR(LOOKUP(2,1/('Engineer Updates'!$B$5:$B$704=A16),'Engineer Updates'!$I$5:$I$704),""))</x:f>
      </x:c>
      <x:c r="U16" s="166" t="str">
        <x:f>IF(A16="","",IFERROR(LOOKUP(2,1/('Engineer Updates'!$B$5:$B$704=A16),'Engineer Updates'!$J$5:$J$704),""))</x:f>
      </x:c>
      <x:c r="V16" s="166" t="str">
        <x:f>IF(A16="","",IFERROR(LOOKUP(2,1/('Engineer Updates'!$B$5:$B$704=A16),'Engineer Updates'!$K$5:$K$704),""))</x:f>
      </x:c>
      <x:c r="W16" s="169" t="str">
        <x:f>IF(A16="","",IFERROR(LOOKUP(2,1/('Engineer Updates'!$B$5:$B$704=A16),'Engineer Updates'!$L$5:$L$704),""))</x:f>
      </x:c>
      <x:c r="X16" s="163" t="str">
        <x:f t="shared" si="1">IF(A16="","",IF(C16="completed","Completed in CSSP",IF(AND(C16="executing",ISERROR(SEARCH("@",K16))),"Executing without named engineer",IF(AND(N16="Confirmed OOS",C16="executing"),"Confirmed OOS still executing",""))))</x:f>
        <x:v>Completed in CSSP</x:v>
      </x:c>
      <x:c r="Y16" s="163" t="str">
        <x:f>IF(A16="","",IF(B16="Decommissioning","Raw Decommissioning","Raw Provisioning"))</x:f>
        <x:v>Raw Decommissioning</x:v>
      </x:c>
      <x:c r="Z16" s="170" t="str">
        <x:f>IF(A16="","",IF(OR(C16="executing",C16="processing"),"Yes","No"))</x:f>
        <x:v>No</x:v>
      </x:c>
    </x:row>
    <x:row r="17" ht="30">
      <x:c r="A17" s="163" t="str">
        <x:f>IF(ROWS($A$5:A17)&lt;=COUNTA('Raw Decommissioning'!$B$2:$B$1000),INDEX('Raw Decommissioning'!$B$2:$B$1000,ROWS($A$5:A17)),IF(ROWS($A$5:A17)-COUNTA('Raw Decommissioning'!$B$2:$B$1000)&lt;=COUNTA('Raw Provisioning'!$B$2:$B$1000),INDEX('Raw Provisioning'!$B$2:$B$1000,ROWS($A$5:A17)-COUNTA('Raw Decommissioning'!$B$2:$B$1000)),""))</x:f>
        <x:v>CSSP10703990</x:v>
      </x:c>
      <x:c r="B17" s="163" t="str">
        <x:f>IF(A17="","",IF(ROWS($A$5:A17)&lt;=COUNTA('Raw Decommissioning'!$B$2:$B$1000),"Decommissioning","Provisioning"))</x:f>
        <x:v>Decommissioning</x:v>
      </x:c>
      <x:c r="C17" s="163" t="str">
        <x:f>IF(A17="","",IF(B17="Decommissioning",IFERROR(INDEX('Raw Decommissioning'!$E$2:$E$1000,MATCH(A17,'Raw Decommissioning'!$B$2:$B$1000,0)),"Missing from latest raw"),IFERROR(INDEX('Raw Provisioning'!$E$2:$E$1000,MATCH(A17,'Raw Provisioning'!$B$2:$B$1000,0)),"Missing from latest raw")))</x:f>
        <x:v>completed</x:v>
      </x:c>
      <x:c r="D17" s="164" t="n">
        <x:f>IF(A17="","",'Refresh Control'!$B$4)</x:f>
        <x:v>46254</x:v>
      </x:c>
      <x:c r="E17" s="164" t="n">
        <x:f>IF(A17="","",IF(B17="Decommissioning",INDEX('Raw Decommissioning'!$F$2:$F$1000,ROWS($A$5:A17)),INDEX('Raw Provisioning'!$F$2:$F$1000,ROWS($A$5:A17)-COUNTA('Raw Decommissioning'!$B$2:$B$1000))))</x:f>
        <x:v>45986.376623854165</x:v>
      </x:c>
      <x:c r="F17" s="164" t="n">
        <x:f>IF(A17="","",IF(B17="Decommissioning",INDEX('Raw Decommissioning'!$G$2:$G$1000,ROWS($A$5:A17)),INDEX('Raw Provisioning'!$H$2:$H$1000,ROWS($A$5:A17)-COUNTA('Raw Decommissioning'!$B$2:$B$1000))))</x:f>
        <x:v>46136.177765127315</x:v>
      </x:c>
      <x:c r="G17" s="165" t="str">
        <x:f>IF(A17="","",IF(B17="Decommissioning",INDEX('Raw Decommissioning'!$I$2:$I$1000,ROWS($A$5:A17)),INDEX('Raw Provisioning'!$J$2:$J$1000,ROWS($A$5:A17)-COUNTA('Raw Decommissioning'!$B$2:$B$1000))))</x:f>
        <x:v>Alpha LNG</x:v>
      </x:c>
      <x:c r="H17" s="165" t="str">
        <x:f>IF(A17="","",IF(B17="Decommissioning",INDEX('Raw Decommissioning'!$J$2:$J$1000,ROWS($A$5:A17)),INDEX('Raw Provisioning'!$L$2:$L$1000,ROWS($A$5:A17)-COUNTA('Raw Decommissioning'!$B$2:$B$1000))))</x:f>
        <x:v>Alpha LNG Phase 4 (PDSB)</x:v>
      </x:c>
      <x:c r="I17" s="165" t="str">
        <x:f>IF(A17="","",IF(B17="Decommissioning",INDEX('Raw Decommissioning'!$AL$2:$AL$1000,ROWS($A$5:A17)),INDEX('Raw Provisioning'!$R$2:$R$1000,ROWS($A$5:A17)-COUNTA('Raw Decommissioning'!$B$2:$B$1000))))</x:f>
        <x:v>M</x:v>
      </x:c>
      <x:c r="J17" s="165" t="str">
        <x:f>IF(A17="","",IF(B17="Decommissioning",INDEX('Raw Decommissioning'!$AG$2:$AG$1000,ROWS($A$5:A17)),INDEX('Raw Provisioning'!$AI$2:$AI$1000,ROWS($A$5:A17)-COUNTA('Raw Decommissioning'!$B$2:$B$1000))))</x:f>
        <x:v>sunny.khiani@petronas.com</x:v>
      </x:c>
      <x:c r="K17" s="166" t="str">
        <x:f>IF(A17="","",IFERROR(LOOKUP(2,1/('Assignment History'!$B$5:$B$204=A17),'Assignment History'!$D$5:$D$204),IFERROR(VLOOKUP(J17,Configuration!$L$5:$M$50,2,FALSE),J17)))</x:f>
        <x:v>sunny.khiani@petronas.com</x:v>
      </x:c>
      <x:c r="L17" s="166" t="str">
        <x:f>IF(A17="","",IF(K17=IFERROR(VLOOKUP(J17,Configuration!$L$5:$M$50,2,FALSE),J17),"Snapshot PIC","Replacement PIC"))</x:f>
        <x:v>Snapshot PIC</x:v>
      </x:c>
      <x:c r="M17" s="167" t="n">
        <x:f>IF(A17="","",IFERROR(VLOOKUP(I17,Configuration!$O$5:$P$8,2,FALSE),Configuration!$S$6))</x:f>
        <x:v>2</x:v>
      </x:c>
      <x:c r="N17" s="167" t="str">
        <x:f>IF(A17="","",IFERROR(LOOKUP(2,1/('Scope Review'!$B$5:$B$204=A17),'Scope Review'!$G$5:$G$204),"Not Reviewed"))</x:f>
        <x:v>Not Reviewed</x:v>
      </x:c>
      <x:c r="O17" s="167" t="str">
        <x:f>IF(A17="","",IFERROR(LOOKUP(2,1/('Scope Review'!$B$5:$B$204=A17),'Scope Review'!$H$5:$H$204),""))</x:f>
      </x:c>
      <x:c r="P17" s="167" t="n">
        <x:f t="shared" si="0">IF(A17="","",IF(AND(C17="executing",N17&lt;&gt;"Confirmed OOS"),M17,0))</x:f>
        <x:v>0</x:v>
      </x:c>
      <x:c r="Q17" s="168" t="str">
        <x:f>IF(A17="","",IFERROR(LOOKUP(2,1/('Engineer Updates'!$B$5:$B$704=A17),'Engineer Updates'!$A$5:$A$704),""))</x:f>
      </x:c>
      <x:c r="R17" s="166" t="str">
        <x:f>IF(A17="","",IFERROR(LOOKUP(2,1/('Engineer Updates'!$B$5:$B$704=A17),'Engineer Updates'!$H$5:$H$704),""))</x:f>
      </x:c>
      <x:c r="S17" s="166" t="str">
        <x:f>IF(A17="","",IFERROR(LOOKUP(2,1/('Engineer Updates'!$B$5:$B$704=A17),'Engineer Updates'!$G$5:$G$704),""))</x:f>
      </x:c>
      <x:c r="T17" s="166" t="str">
        <x:f>IF(A17="","",IFERROR(LOOKUP(2,1/('Engineer Updates'!$B$5:$B$704=A17),'Engineer Updates'!$I$5:$I$704),""))</x:f>
      </x:c>
      <x:c r="U17" s="166" t="str">
        <x:f>IF(A17="","",IFERROR(LOOKUP(2,1/('Engineer Updates'!$B$5:$B$704=A17),'Engineer Updates'!$J$5:$J$704),""))</x:f>
      </x:c>
      <x:c r="V17" s="166" t="str">
        <x:f>IF(A17="","",IFERROR(LOOKUP(2,1/('Engineer Updates'!$B$5:$B$704=A17),'Engineer Updates'!$K$5:$K$704),""))</x:f>
      </x:c>
      <x:c r="W17" s="169" t="str">
        <x:f>IF(A17="","",IFERROR(LOOKUP(2,1/('Engineer Updates'!$B$5:$B$704=A17),'Engineer Updates'!$L$5:$L$704),""))</x:f>
      </x:c>
      <x:c r="X17" s="163" t="str">
        <x:f t="shared" si="1">IF(A17="","",IF(C17="completed","Completed in CSSP",IF(AND(C17="executing",ISERROR(SEARCH("@",K17))),"Executing without named engineer",IF(AND(N17="Confirmed OOS",C17="executing"),"Confirmed OOS still executing",""))))</x:f>
        <x:v>Completed in CSSP</x:v>
      </x:c>
      <x:c r="Y17" s="163" t="str">
        <x:f>IF(A17="","",IF(B17="Decommissioning","Raw Decommissioning","Raw Provisioning"))</x:f>
        <x:v>Raw Decommissioning</x:v>
      </x:c>
      <x:c r="Z17" s="170" t="str">
        <x:f>IF(A17="","",IF(OR(C17="executing",C17="processing"),"Yes","No"))</x:f>
        <x:v>No</x:v>
      </x:c>
    </x:row>
    <x:row r="18">
      <x:c r="A18" s="163" t="str">
        <x:f>IF(ROWS($A$5:A18)&lt;=COUNTA('Raw Decommissioning'!$B$2:$B$1000),INDEX('Raw Decommissioning'!$B$2:$B$1000,ROWS($A$5:A18)),IF(ROWS($A$5:A18)-COUNTA('Raw Decommissioning'!$B$2:$B$1000)&lt;=COUNTA('Raw Provisioning'!$B$2:$B$1000),INDEX('Raw Provisioning'!$B$2:$B$1000,ROWS($A$5:A18)-COUNTA('Raw Decommissioning'!$B$2:$B$1000)),""))</x:f>
        <x:v>CSSP10528936</x:v>
      </x:c>
      <x:c r="B18" s="163" t="str">
        <x:f>IF(A18="","",IF(ROWS($A$5:A18)&lt;=COUNTA('Raw Decommissioning'!$B$2:$B$1000),"Decommissioning","Provisioning"))</x:f>
        <x:v>Decommissioning</x:v>
      </x:c>
      <x:c r="C18" s="163" t="str">
        <x:f>IF(A18="","",IF(B18="Decommissioning",IFERROR(INDEX('Raw Decommissioning'!$E$2:$E$1000,MATCH(A18,'Raw Decommissioning'!$B$2:$B$1000,0)),"Missing from latest raw"),IFERROR(INDEX('Raw Provisioning'!$E$2:$E$1000,MATCH(A18,'Raw Provisioning'!$B$2:$B$1000,0)),"Missing from latest raw")))</x:f>
        <x:v>rejected</x:v>
      </x:c>
      <x:c r="D18" s="164" t="n">
        <x:f>IF(A18="","",'Refresh Control'!$B$4)</x:f>
        <x:v>46254</x:v>
      </x:c>
      <x:c r="E18" s="164" t="n">
        <x:f>IF(A18="","",IF(B18="Decommissioning",INDEX('Raw Decommissioning'!$F$2:$F$1000,ROWS($A$5:A18)),INDEX('Raw Provisioning'!$F$2:$F$1000,ROWS($A$5:A18)-COUNTA('Raw Decommissioning'!$B$2:$B$1000))))</x:f>
        <x:v>45988.31885174769</x:v>
      </x:c>
      <x:c r="F18" s="164" t="n">
        <x:f>IF(A18="","",IF(B18="Decommissioning",INDEX('Raw Decommissioning'!$G$2:$G$1000,ROWS($A$5:A18)),INDEX('Raw Provisioning'!$H$2:$H$1000,ROWS($A$5:A18)-COUNTA('Raw Decommissioning'!$B$2:$B$1000))))</x:f>
        <x:v>46047.724322256945</x:v>
      </x:c>
      <x:c r="G18" s="165" t="str">
        <x:f>IF(A18="","",IF(B18="Decommissioning",INDEX('Raw Decommissioning'!$I$2:$I$1000,ROWS($A$5:A18)),INDEX('Raw Provisioning'!$J$2:$J$1000,ROWS($A$5:A18)-COUNTA('Raw Decommissioning'!$B$2:$B$1000))))</x:f>
        <x:v>Upstream Technical Applications SCUS</x:v>
      </x:c>
      <x:c r="H18" s="165" t="str">
        <x:f>IF(A18="","",IF(B18="Decommissioning",INDEX('Raw Decommissioning'!$J$2:$J$1000,ROWS($A$5:A18)),INDEX('Raw Provisioning'!$L$2:$L$1000,ROWS($A$5:A18)-COUNTA('Raw Decommissioning'!$B$2:$B$1000))))</x:f>
        <x:v>Provision of Additional Capacity SCUS for Mexico Operation</x:v>
      </x:c>
      <x:c r="I18" s="165" t="str">
        <x:f>IF(A18="","",IF(B18="Decommissioning",INDEX('Raw Decommissioning'!$AL$2:$AL$1000,ROWS($A$5:A18)),INDEX('Raw Provisioning'!$R$2:$R$1000,ROWS($A$5:A18)-COUNTA('Raw Decommissioning'!$B$2:$B$1000))))</x:f>
      </x:c>
      <x:c r="J18" s="165" t="str">
        <x:f>IF(A18="","",IF(B18="Decommissioning",INDEX('Raw Decommissioning'!$AG$2:$AG$1000,ROWS($A$5:A18)),INDEX('Raw Provisioning'!$AI$2:$AI$1000,ROWS($A$5:A18)-COUNTA('Raw Decommissioning'!$B$2:$B$1000))))</x:f>
        <x:v>CCoE Business</x:v>
      </x:c>
      <x:c r="K18" s="166" t="str">
        <x:f>IF(A18="","",IFERROR(LOOKUP(2,1/('Assignment History'!$B$5:$B$204=A18),'Assignment History'!$D$5:$D$204),IFERROR(VLOOKUP(J18,Configuration!$L$5:$M$50,2,FALSE),J18)))</x:f>
        <x:v>CCoE Business</x:v>
      </x:c>
      <x:c r="L18" s="166" t="str">
        <x:f>IF(A18="","",IF(K18=IFERROR(VLOOKUP(J18,Configuration!$L$5:$M$50,2,FALSE),J18),"Snapshot PIC","Replacement PIC"))</x:f>
        <x:v>Snapshot PIC</x:v>
      </x:c>
      <x:c r="M18" s="167" t="n">
        <x:f>IF(A18="","",IFERROR(VLOOKUP(I18,Configuration!$O$5:$P$8,2,FALSE),Configuration!$S$6))</x:f>
        <x:v>2</x:v>
      </x:c>
      <x:c r="N18" s="167" t="str">
        <x:f>IF(A18="","",IFERROR(LOOKUP(2,1/('Scope Review'!$B$5:$B$204=A18),'Scope Review'!$G$5:$G$204),"Not Reviewed"))</x:f>
        <x:v>Not Reviewed</x:v>
      </x:c>
      <x:c r="O18" s="167" t="str">
        <x:f>IF(A18="","",IFERROR(LOOKUP(2,1/('Scope Review'!$B$5:$B$204=A18),'Scope Review'!$H$5:$H$204),""))</x:f>
      </x:c>
      <x:c r="P18" s="167" t="n">
        <x:f t="shared" si="0">IF(A18="","",IF(AND(C18="executing",N18&lt;&gt;"Confirmed OOS"),M18,0))</x:f>
        <x:v>0</x:v>
      </x:c>
      <x:c r="Q18" s="168" t="str">
        <x:f>IF(A18="","",IFERROR(LOOKUP(2,1/('Engineer Updates'!$B$5:$B$704=A18),'Engineer Updates'!$A$5:$A$704),""))</x:f>
      </x:c>
      <x:c r="R18" s="166" t="str">
        <x:f>IF(A18="","",IFERROR(LOOKUP(2,1/('Engineer Updates'!$B$5:$B$704=A18),'Engineer Updates'!$H$5:$H$704),""))</x:f>
      </x:c>
      <x:c r="S18" s="166" t="str">
        <x:f>IF(A18="","",IFERROR(LOOKUP(2,1/('Engineer Updates'!$B$5:$B$704=A18),'Engineer Updates'!$G$5:$G$704),""))</x:f>
      </x:c>
      <x:c r="T18" s="166" t="str">
        <x:f>IF(A18="","",IFERROR(LOOKUP(2,1/('Engineer Updates'!$B$5:$B$704=A18),'Engineer Updates'!$I$5:$I$704),""))</x:f>
      </x:c>
      <x:c r="U18" s="166" t="str">
        <x:f>IF(A18="","",IFERROR(LOOKUP(2,1/('Engineer Updates'!$B$5:$B$704=A18),'Engineer Updates'!$J$5:$J$704),""))</x:f>
      </x:c>
      <x:c r="V18" s="166" t="str">
        <x:f>IF(A18="","",IFERROR(LOOKUP(2,1/('Engineer Updates'!$B$5:$B$704=A18),'Engineer Updates'!$K$5:$K$704),""))</x:f>
      </x:c>
      <x:c r="W18" s="169" t="str">
        <x:f>IF(A18="","",IFERROR(LOOKUP(2,1/('Engineer Updates'!$B$5:$B$704=A18),'Engineer Updates'!$L$5:$L$704),""))</x:f>
      </x:c>
      <x:c r="X18" s="163" t="str">
        <x:f t="shared" si="1">IF(A18="","",IF(C18="completed","Completed in CSSP",IF(AND(C18="executing",ISERROR(SEARCH("@",K18))),"Executing without named engineer",IF(AND(N18="Confirmed OOS",C18="executing"),"Confirmed OOS still executing",""))))</x:f>
      </x:c>
      <x:c r="Y18" s="163" t="str">
        <x:f>IF(A18="","",IF(B18="Decommissioning","Raw Decommissioning","Raw Provisioning"))</x:f>
        <x:v>Raw Decommissioning</x:v>
      </x:c>
      <x:c r="Z18" s="170" t="str">
        <x:f>IF(A18="","",IF(OR(C18="executing",C18="processing"),"Yes","No"))</x:f>
        <x:v>No</x:v>
      </x:c>
    </x:row>
    <x:row r="19" ht="45">
      <x:c r="A19" s="163" t="str">
        <x:f>IF(ROWS($A$5:A19)&lt;=COUNTA('Raw Decommissioning'!$B$2:$B$1000),INDEX('Raw Decommissioning'!$B$2:$B$1000,ROWS($A$5:A19)),IF(ROWS($A$5:A19)-COUNTA('Raw Decommissioning'!$B$2:$B$1000)&lt;=COUNTA('Raw Provisioning'!$B$2:$B$1000),INDEX('Raw Provisioning'!$B$2:$B$1000,ROWS($A$5:A19)-COUNTA('Raw Decommissioning'!$B$2:$B$1000)),""))</x:f>
        <x:v>CSSP10984549</x:v>
      </x:c>
      <x:c r="B19" s="163" t="str">
        <x:f>IF(A19="","",IF(ROWS($A$5:A19)&lt;=COUNTA('Raw Decommissioning'!$B$2:$B$1000),"Decommissioning","Provisioning"))</x:f>
        <x:v>Decommissioning</x:v>
      </x:c>
      <x:c r="C19" s="163" t="str">
        <x:f>IF(A19="","",IF(B19="Decommissioning",IFERROR(INDEX('Raw Decommissioning'!$E$2:$E$1000,MATCH(A19,'Raw Decommissioning'!$B$2:$B$1000,0)),"Missing from latest raw"),IFERROR(INDEX('Raw Provisioning'!$E$2:$E$1000,MATCH(A19,'Raw Provisioning'!$B$2:$B$1000,0)),"Missing from latest raw")))</x:f>
        <x:v>cancelled</x:v>
      </x:c>
      <x:c r="D19" s="164" t="n">
        <x:f>IF(A19="","",'Refresh Control'!$B$4)</x:f>
        <x:v>46254</x:v>
      </x:c>
      <x:c r="E19" s="164" t="n">
        <x:f>IF(A19="","",IF(B19="Decommissioning",INDEX('Raw Decommissioning'!$F$2:$F$1000,ROWS($A$5:A19)),INDEX('Raw Provisioning'!$F$2:$F$1000,ROWS($A$5:A19)-COUNTA('Raw Decommissioning'!$B$2:$B$1000))))</x:f>
        <x:v>45989.44871517361</x:v>
      </x:c>
      <x:c r="F19" s="164" t="n">
        <x:f>IF(A19="","",IF(B19="Decommissioning",INDEX('Raw Decommissioning'!$G$2:$G$1000,ROWS($A$5:A19)),INDEX('Raw Provisioning'!$H$2:$H$1000,ROWS($A$5:A19)-COUNTA('Raw Decommissioning'!$B$2:$B$1000))))</x:f>
        <x:v>46050.07792778935</x:v>
      </x:c>
      <x:c r="G19" s="165" t="str">
        <x:f>IF(A19="","",IF(B19="Decommissioning",INDEX('Raw Decommissioning'!$I$2:$I$1000,ROWS($A$5:A19)),INDEX('Raw Provisioning'!$J$2:$J$1000,ROWS($A$5:A19)-COUNTA('Raw Decommissioning'!$B$2:$B$1000))))</x:f>
        <x:v>Enterprise Software Defined Wide Area Network - SDWAN</x:v>
      </x:c>
      <x:c r="H19" s="165" t="str">
        <x:f>IF(A19="","",IF(B19="Decommissioning",INDEX('Raw Decommissioning'!$J$2:$J$1000,ROWS($A$5:A19)),INDEX('Raw Provisioning'!$L$2:$L$1000,ROWS($A$5:A19)-COUNTA('Raw Decommissioning'!$B$2:$B$1000))))</x:f>
        <x:v>Implementation of Enterprise Software Defined Wide Area Network (SDWAN) for PETRONAS</x:v>
      </x:c>
      <x:c r="I19" s="165" t="str">
        <x:f>IF(A19="","",IF(B19="Decommissioning",INDEX('Raw Decommissioning'!$AL$2:$AL$1000,ROWS($A$5:A19)),INDEX('Raw Provisioning'!$R$2:$R$1000,ROWS($A$5:A19)-COUNTA('Raw Decommissioning'!$B$2:$B$1000))))</x:f>
      </x:c>
      <x:c r="J19" s="165" t="str">
        <x:f>IF(A19="","",IF(B19="Decommissioning",INDEX('Raw Decommissioning'!$AG$2:$AG$1000,ROWS($A$5:A19)),INDEX('Raw Provisioning'!$AI$2:$AI$1000,ROWS($A$5:A19)-COUNTA('Raw Decommissioning'!$B$2:$B$1000))))</x:f>
        <x:v>CCoE Operations</x:v>
      </x:c>
      <x:c r="K19" s="166" t="str">
        <x:f>IF(A19="","",IFERROR(LOOKUP(2,1/('Assignment History'!$B$5:$B$204=A19),'Assignment History'!$D$5:$D$204),IFERROR(VLOOKUP(J19,Configuration!$L$5:$M$50,2,FALSE),J19)))</x:f>
        <x:v>CCoE Operations</x:v>
      </x:c>
      <x:c r="L19" s="166" t="str">
        <x:f>IF(A19="","",IF(K19=IFERROR(VLOOKUP(J19,Configuration!$L$5:$M$50,2,FALSE),J19),"Snapshot PIC","Replacement PIC"))</x:f>
        <x:v>Snapshot PIC</x:v>
      </x:c>
      <x:c r="M19" s="167" t="n">
        <x:f>IF(A19="","",IFERROR(VLOOKUP(I19,Configuration!$O$5:$P$8,2,FALSE),Configuration!$S$6))</x:f>
        <x:v>2</x:v>
      </x:c>
      <x:c r="N19" s="167" t="str">
        <x:f>IF(A19="","",IFERROR(LOOKUP(2,1/('Scope Review'!$B$5:$B$204=A19),'Scope Review'!$G$5:$G$204),"Not Reviewed"))</x:f>
        <x:v>Not Reviewed</x:v>
      </x:c>
      <x:c r="O19" s="167" t="str">
        <x:f>IF(A19="","",IFERROR(LOOKUP(2,1/('Scope Review'!$B$5:$B$204=A19),'Scope Review'!$H$5:$H$204),""))</x:f>
      </x:c>
      <x:c r="P19" s="167" t="n">
        <x:f t="shared" si="0">IF(A19="","",IF(AND(C19="executing",N19&lt;&gt;"Confirmed OOS"),M19,0))</x:f>
        <x:v>0</x:v>
      </x:c>
      <x:c r="Q19" s="168" t="str">
        <x:f>IF(A19="","",IFERROR(LOOKUP(2,1/('Engineer Updates'!$B$5:$B$704=A19),'Engineer Updates'!$A$5:$A$704),""))</x:f>
      </x:c>
      <x:c r="R19" s="166" t="str">
        <x:f>IF(A19="","",IFERROR(LOOKUP(2,1/('Engineer Updates'!$B$5:$B$704=A19),'Engineer Updates'!$H$5:$H$704),""))</x:f>
      </x:c>
      <x:c r="S19" s="166" t="str">
        <x:f>IF(A19="","",IFERROR(LOOKUP(2,1/('Engineer Updates'!$B$5:$B$704=A19),'Engineer Updates'!$G$5:$G$704),""))</x:f>
      </x:c>
      <x:c r="T19" s="166" t="str">
        <x:f>IF(A19="","",IFERROR(LOOKUP(2,1/('Engineer Updates'!$B$5:$B$704=A19),'Engineer Updates'!$I$5:$I$704),""))</x:f>
      </x:c>
      <x:c r="U19" s="166" t="str">
        <x:f>IF(A19="","",IFERROR(LOOKUP(2,1/('Engineer Updates'!$B$5:$B$704=A19),'Engineer Updates'!$J$5:$J$704),""))</x:f>
      </x:c>
      <x:c r="V19" s="166" t="str">
        <x:f>IF(A19="","",IFERROR(LOOKUP(2,1/('Engineer Updates'!$B$5:$B$704=A19),'Engineer Updates'!$K$5:$K$704),""))</x:f>
      </x:c>
      <x:c r="W19" s="169" t="str">
        <x:f>IF(A19="","",IFERROR(LOOKUP(2,1/('Engineer Updates'!$B$5:$B$704=A19),'Engineer Updates'!$L$5:$L$704),""))</x:f>
      </x:c>
      <x:c r="X19" s="163" t="str">
        <x:f t="shared" si="1">IF(A19="","",IF(C19="completed","Completed in CSSP",IF(AND(C19="executing",ISERROR(SEARCH("@",K19))),"Executing without named engineer",IF(AND(N19="Confirmed OOS",C19="executing"),"Confirmed OOS still executing",""))))</x:f>
      </x:c>
      <x:c r="Y19" s="163" t="str">
        <x:f>IF(A19="","",IF(B19="Decommissioning","Raw Decommissioning","Raw Provisioning"))</x:f>
        <x:v>Raw Decommissioning</x:v>
      </x:c>
      <x:c r="Z19" s="170" t="str">
        <x:f>IF(A19="","",IF(OR(C19="executing",C19="processing"),"Yes","No"))</x:f>
        <x:v>No</x:v>
      </x:c>
    </x:row>
    <x:row r="20" ht="30">
      <x:c r="A20" s="163" t="str">
        <x:f>IF(ROWS($A$5:A20)&lt;=COUNTA('Raw Decommissioning'!$B$2:$B$1000),INDEX('Raw Decommissioning'!$B$2:$B$1000,ROWS($A$5:A20)),IF(ROWS($A$5:A20)-COUNTA('Raw Decommissioning'!$B$2:$B$1000)&lt;=COUNTA('Raw Provisioning'!$B$2:$B$1000),INDEX('Raw Provisioning'!$B$2:$B$1000,ROWS($A$5:A20)-COUNTA('Raw Decommissioning'!$B$2:$B$1000)),""))</x:f>
        <x:v>CSSP10767995</x:v>
      </x:c>
      <x:c r="B20" s="163" t="str">
        <x:f>IF(A20="","",IF(ROWS($A$5:A20)&lt;=COUNTA('Raw Decommissioning'!$B$2:$B$1000),"Decommissioning","Provisioning"))</x:f>
        <x:v>Decommissioning</x:v>
      </x:c>
      <x:c r="C20" s="163" t="str">
        <x:f>IF(A20="","",IF(B20="Decommissioning",IFERROR(INDEX('Raw Decommissioning'!$E$2:$E$1000,MATCH(A20,'Raw Decommissioning'!$B$2:$B$1000,0)),"Missing from latest raw"),IFERROR(INDEX('Raw Provisioning'!$E$2:$E$1000,MATCH(A20,'Raw Provisioning'!$B$2:$B$1000,0)),"Missing from latest raw")))</x:f>
        <x:v>rejected</x:v>
      </x:c>
      <x:c r="D20" s="164" t="n">
        <x:f>IF(A20="","",'Refresh Control'!$B$4)</x:f>
        <x:v>46254</x:v>
      </x:c>
      <x:c r="E20" s="164" t="n">
        <x:f>IF(A20="","",IF(B20="Decommissioning",INDEX('Raw Decommissioning'!$F$2:$F$1000,ROWS($A$5:A20)),INDEX('Raw Provisioning'!$F$2:$F$1000,ROWS($A$5:A20)-COUNTA('Raw Decommissioning'!$B$2:$B$1000))))</x:f>
        <x:v>45991.90715431713</x:v>
      </x:c>
      <x:c r="F20" s="164" t="n">
        <x:f>IF(A20="","",IF(B20="Decommissioning",INDEX('Raw Decommissioning'!$G$2:$G$1000,ROWS($A$5:A20)),INDEX('Raw Provisioning'!$H$2:$H$1000,ROWS($A$5:A20)-COUNTA('Raw Decommissioning'!$B$2:$B$1000))))</x:f>
        <x:v>46047.724448692126</x:v>
      </x:c>
      <x:c r="G20" s="165" t="str">
        <x:f>IF(A20="","",IF(B20="Decommissioning",INDEX('Raw Decommissioning'!$I$2:$I$1000,ROWS($A$5:A20)),INDEX('Raw Provisioning'!$J$2:$J$1000,ROWS($A$5:A20)-COUNTA('Raw Decommissioning'!$B$2:$B$1000))))</x:f>
        <x:v>Upstream Technology and Digital Innovation (UTDI) Data Operations</x:v>
      </x:c>
      <x:c r="H20" s="165" t="str">
        <x:f>IF(A20="","",IF(B20="Decommissioning",INDEX('Raw Decommissioning'!$J$2:$J$1000,ROWS($A$5:A20)),INDEX('Raw Provisioning'!$L$2:$L$1000,ROWS($A$5:A20)-COUNTA('Raw Decommissioning'!$B$2:$B$1000))))</x:f>
        <x:v>2023 - DSG repurpose for UTDI Data Ops as instruction from upstream tribe
Provision of Azure Cloud Services for Halliburton Decision Space Geoscience (DSG) Application for Group Technical Data</x:v>
      </x:c>
      <x:c r="I20" s="165" t="str">
        <x:f>IF(A20="","",IF(B20="Decommissioning",INDEX('Raw Decommissioning'!$AL$2:$AL$1000,ROWS($A$5:A20)),INDEX('Raw Provisioning'!$R$2:$R$1000,ROWS($A$5:A20)-COUNTA('Raw Decommissioning'!$B$2:$B$1000))))</x:f>
      </x:c>
      <x:c r="J20" s="165" t="str">
        <x:f>IF(A20="","",IF(B20="Decommissioning",INDEX('Raw Decommissioning'!$AG$2:$AG$1000,ROWS($A$5:A20)),INDEX('Raw Provisioning'!$AI$2:$AI$1000,ROWS($A$5:A20)-COUNTA('Raw Decommissioning'!$B$2:$B$1000))))</x:f>
        <x:v>CCoE Operations</x:v>
      </x:c>
      <x:c r="K20" s="166" t="str">
        <x:f>IF(A20="","",IFERROR(LOOKUP(2,1/('Assignment History'!$B$5:$B$204=A20),'Assignment History'!$D$5:$D$204),IFERROR(VLOOKUP(J20,Configuration!$L$5:$M$50,2,FALSE),J20)))</x:f>
        <x:v>CCoE Operations</x:v>
      </x:c>
      <x:c r="L20" s="166" t="str">
        <x:f>IF(A20="","",IF(K20=IFERROR(VLOOKUP(J20,Configuration!$L$5:$M$50,2,FALSE),J20),"Snapshot PIC","Replacement PIC"))</x:f>
        <x:v>Snapshot PIC</x:v>
      </x:c>
      <x:c r="M20" s="167" t="n">
        <x:f>IF(A20="","",IFERROR(VLOOKUP(I20,Configuration!$O$5:$P$8,2,FALSE),Configuration!$S$6))</x:f>
        <x:v>2</x:v>
      </x:c>
      <x:c r="N20" s="167" t="str">
        <x:f>IF(A20="","",IFERROR(LOOKUP(2,1/('Scope Review'!$B$5:$B$204=A20),'Scope Review'!$G$5:$G$204),"Not Reviewed"))</x:f>
        <x:v>Not Reviewed</x:v>
      </x:c>
      <x:c r="O20" s="167" t="str">
        <x:f>IF(A20="","",IFERROR(LOOKUP(2,1/('Scope Review'!$B$5:$B$204=A20),'Scope Review'!$H$5:$H$204),""))</x:f>
      </x:c>
      <x:c r="P20" s="167" t="n">
        <x:f t="shared" si="0">IF(A20="","",IF(AND(C20="executing",N20&lt;&gt;"Confirmed OOS"),M20,0))</x:f>
        <x:v>0</x:v>
      </x:c>
      <x:c r="Q20" s="168" t="str">
        <x:f>IF(A20="","",IFERROR(LOOKUP(2,1/('Engineer Updates'!$B$5:$B$704=A20),'Engineer Updates'!$A$5:$A$704),""))</x:f>
      </x:c>
      <x:c r="R20" s="166" t="str">
        <x:f>IF(A20="","",IFERROR(LOOKUP(2,1/('Engineer Updates'!$B$5:$B$704=A20),'Engineer Updates'!$H$5:$H$704),""))</x:f>
      </x:c>
      <x:c r="S20" s="166" t="str">
        <x:f>IF(A20="","",IFERROR(LOOKUP(2,1/('Engineer Updates'!$B$5:$B$704=A20),'Engineer Updates'!$G$5:$G$704),""))</x:f>
      </x:c>
      <x:c r="T20" s="166" t="str">
        <x:f>IF(A20="","",IFERROR(LOOKUP(2,1/('Engineer Updates'!$B$5:$B$704=A20),'Engineer Updates'!$I$5:$I$704),""))</x:f>
      </x:c>
      <x:c r="U20" s="166" t="str">
        <x:f>IF(A20="","",IFERROR(LOOKUP(2,1/('Engineer Updates'!$B$5:$B$704=A20),'Engineer Updates'!$J$5:$J$704),""))</x:f>
      </x:c>
      <x:c r="V20" s="166" t="str">
        <x:f>IF(A20="","",IFERROR(LOOKUP(2,1/('Engineer Updates'!$B$5:$B$704=A20),'Engineer Updates'!$K$5:$K$704),""))</x:f>
      </x:c>
      <x:c r="W20" s="169" t="str">
        <x:f>IF(A20="","",IFERROR(LOOKUP(2,1/('Engineer Updates'!$B$5:$B$704=A20),'Engineer Updates'!$L$5:$L$704),""))</x:f>
      </x:c>
      <x:c r="X20" s="163" t="str">
        <x:f t="shared" si="1">IF(A20="","",IF(C20="completed","Completed in CSSP",IF(AND(C20="executing",ISERROR(SEARCH("@",K20))),"Executing without named engineer",IF(AND(N20="Confirmed OOS",C20="executing"),"Confirmed OOS still executing",""))))</x:f>
      </x:c>
      <x:c r="Y20" s="163" t="str">
        <x:f>IF(A20="","",IF(B20="Decommissioning","Raw Decommissioning","Raw Provisioning"))</x:f>
        <x:v>Raw Decommissioning</x:v>
      </x:c>
      <x:c r="Z20" s="170" t="str">
        <x:f>IF(A20="","",IF(OR(C20="executing",C20="processing"),"Yes","No"))</x:f>
        <x:v>No</x:v>
      </x:c>
    </x:row>
    <x:row r="21" ht="30">
      <x:c r="A21" s="163" t="str">
        <x:f>IF(ROWS($A$5:A21)&lt;=COUNTA('Raw Decommissioning'!$B$2:$B$1000),INDEX('Raw Decommissioning'!$B$2:$B$1000,ROWS($A$5:A21)),IF(ROWS($A$5:A21)-COUNTA('Raw Decommissioning'!$B$2:$B$1000)&lt;=COUNTA('Raw Provisioning'!$B$2:$B$1000),INDEX('Raw Provisioning'!$B$2:$B$1000,ROWS($A$5:A21)-COUNTA('Raw Decommissioning'!$B$2:$B$1000)),""))</x:f>
        <x:v>CSSP10547052</x:v>
      </x:c>
      <x:c r="B21" s="163" t="str">
        <x:f>IF(A21="","",IF(ROWS($A$5:A21)&lt;=COUNTA('Raw Decommissioning'!$B$2:$B$1000),"Decommissioning","Provisioning"))</x:f>
        <x:v>Decommissioning</x:v>
      </x:c>
      <x:c r="C21" s="163" t="str">
        <x:f>IF(A21="","",IF(B21="Decommissioning",IFERROR(INDEX('Raw Decommissioning'!$E$2:$E$1000,MATCH(A21,'Raw Decommissioning'!$B$2:$B$1000,0)),"Missing from latest raw"),IFERROR(INDEX('Raw Provisioning'!$E$2:$E$1000,MATCH(A21,'Raw Provisioning'!$B$2:$B$1000,0)),"Missing from latest raw")))</x:f>
        <x:v>cancelled</x:v>
      </x:c>
      <x:c r="D21" s="164" t="n">
        <x:f>IF(A21="","",'Refresh Control'!$B$4)</x:f>
        <x:v>46254</x:v>
      </x:c>
      <x:c r="E21" s="164" t="n">
        <x:f>IF(A21="","",IF(B21="Decommissioning",INDEX('Raw Decommissioning'!$F$2:$F$1000,ROWS($A$5:A21)),INDEX('Raw Provisioning'!$F$2:$F$1000,ROWS($A$5:A21)-COUNTA('Raw Decommissioning'!$B$2:$B$1000))))</x:f>
        <x:v>45993.124247465275</x:v>
      </x:c>
      <x:c r="F21" s="164" t="n">
        <x:f>IF(A21="","",IF(B21="Decommissioning",INDEX('Raw Decommissioning'!$G$2:$G$1000,ROWS($A$5:A21)),INDEX('Raw Provisioning'!$H$2:$H$1000,ROWS($A$5:A21)-COUNTA('Raw Decommissioning'!$B$2:$B$1000))))</x:f>
        <x:v>46050.07820643519</x:v>
      </x:c>
      <x:c r="G21" s="165" t="str">
        <x:f>IF(A21="","",IF(B21="Decommissioning",INDEX('Raw Decommissioning'!$I$2:$I$1000,ROWS($A$5:A21)),INDEX('Raw Provisioning'!$J$2:$J$1000,ROWS($A$5:A21)-COUNTA('Raw Decommissioning'!$B$2:$B$1000))))</x:f>
        <x:v>Common Security</x:v>
      </x:c>
      <x:c r="H21" s="165" t="str">
        <x:f>IF(A21="","",IF(B21="Decommissioning",INDEX('Raw Decommissioning'!$J$2:$J$1000,ROWS($A$5:A21)),INDEX('Raw Provisioning'!$L$2:$L$1000,ROWS($A$5:A21)-COUNTA('Raw Decommissioning'!$B$2:$B$1000))))</x:f>
        <x:v>Common infrastructure related to security such as DDOS protection, WAF and others</x:v>
      </x:c>
      <x:c r="I21" s="165" t="str">
        <x:f>IF(A21="","",IF(B21="Decommissioning",INDEX('Raw Decommissioning'!$AL$2:$AL$1000,ROWS($A$5:A21)),INDEX('Raw Provisioning'!$R$2:$R$1000,ROWS($A$5:A21)-COUNTA('Raw Decommissioning'!$B$2:$B$1000))))</x:f>
      </x:c>
      <x:c r="J21" s="165" t="str">
        <x:f>IF(A21="","",IF(B21="Decommissioning",INDEX('Raw Decommissioning'!$AG$2:$AG$1000,ROWS($A$5:A21)),INDEX('Raw Provisioning'!$AI$2:$AI$1000,ROWS($A$5:A21)-COUNTA('Raw Decommissioning'!$B$2:$B$1000))))</x:f>
        <x:v>CCoE Operations</x:v>
      </x:c>
      <x:c r="K21" s="166" t="str">
        <x:f>IF(A21="","",IFERROR(LOOKUP(2,1/('Assignment History'!$B$5:$B$204=A21),'Assignment History'!$D$5:$D$204),IFERROR(VLOOKUP(J21,Configuration!$L$5:$M$50,2,FALSE),J21)))</x:f>
        <x:v>CCoE Operations</x:v>
      </x:c>
      <x:c r="L21" s="166" t="str">
        <x:f>IF(A21="","",IF(K21=IFERROR(VLOOKUP(J21,Configuration!$L$5:$M$50,2,FALSE),J21),"Snapshot PIC","Replacement PIC"))</x:f>
        <x:v>Snapshot PIC</x:v>
      </x:c>
      <x:c r="M21" s="167" t="n">
        <x:f>IF(A21="","",IFERROR(VLOOKUP(I21,Configuration!$O$5:$P$8,2,FALSE),Configuration!$S$6))</x:f>
        <x:v>2</x:v>
      </x:c>
      <x:c r="N21" s="167" t="str">
        <x:f>IF(A21="","",IFERROR(LOOKUP(2,1/('Scope Review'!$B$5:$B$204=A21),'Scope Review'!$G$5:$G$204),"Not Reviewed"))</x:f>
        <x:v>Not Reviewed</x:v>
      </x:c>
      <x:c r="O21" s="167" t="str">
        <x:f>IF(A21="","",IFERROR(LOOKUP(2,1/('Scope Review'!$B$5:$B$204=A21),'Scope Review'!$H$5:$H$204),""))</x:f>
      </x:c>
      <x:c r="P21" s="167" t="n">
        <x:f t="shared" si="0">IF(A21="","",IF(AND(C21="executing",N21&lt;&gt;"Confirmed OOS"),M21,0))</x:f>
        <x:v>0</x:v>
      </x:c>
      <x:c r="Q21" s="168" t="str">
        <x:f>IF(A21="","",IFERROR(LOOKUP(2,1/('Engineer Updates'!$B$5:$B$704=A21),'Engineer Updates'!$A$5:$A$704),""))</x:f>
      </x:c>
      <x:c r="R21" s="166" t="str">
        <x:f>IF(A21="","",IFERROR(LOOKUP(2,1/('Engineer Updates'!$B$5:$B$704=A21),'Engineer Updates'!$H$5:$H$704),""))</x:f>
      </x:c>
      <x:c r="S21" s="166" t="str">
        <x:f>IF(A21="","",IFERROR(LOOKUP(2,1/('Engineer Updates'!$B$5:$B$704=A21),'Engineer Updates'!$G$5:$G$704),""))</x:f>
      </x:c>
      <x:c r="T21" s="166" t="str">
        <x:f>IF(A21="","",IFERROR(LOOKUP(2,1/('Engineer Updates'!$B$5:$B$704=A21),'Engineer Updates'!$I$5:$I$704),""))</x:f>
      </x:c>
      <x:c r="U21" s="166" t="str">
        <x:f>IF(A21="","",IFERROR(LOOKUP(2,1/('Engineer Updates'!$B$5:$B$704=A21),'Engineer Updates'!$J$5:$J$704),""))</x:f>
      </x:c>
      <x:c r="V21" s="166" t="str">
        <x:f>IF(A21="","",IFERROR(LOOKUP(2,1/('Engineer Updates'!$B$5:$B$704=A21),'Engineer Updates'!$K$5:$K$704),""))</x:f>
      </x:c>
      <x:c r="W21" s="169" t="str">
        <x:f>IF(A21="","",IFERROR(LOOKUP(2,1/('Engineer Updates'!$B$5:$B$704=A21),'Engineer Updates'!$L$5:$L$704),""))</x:f>
      </x:c>
      <x:c r="X21" s="163" t="str">
        <x:f t="shared" si="1">IF(A21="","",IF(C21="completed","Completed in CSSP",IF(AND(C21="executing",ISERROR(SEARCH("@",K21))),"Executing without named engineer",IF(AND(N21="Confirmed OOS",C21="executing"),"Confirmed OOS still executing",""))))</x:f>
      </x:c>
      <x:c r="Y21" s="163" t="str">
        <x:f>IF(A21="","",IF(B21="Decommissioning","Raw Decommissioning","Raw Provisioning"))</x:f>
        <x:v>Raw Decommissioning</x:v>
      </x:c>
      <x:c r="Z21" s="170" t="str">
        <x:f>IF(A21="","",IF(OR(C21="executing",C21="processing"),"Yes","No"))</x:f>
        <x:v>No</x:v>
      </x:c>
    </x:row>
    <x:row r="22" ht="30">
      <x:c r="A22" s="163" t="str">
        <x:f>IF(ROWS($A$5:A22)&lt;=COUNTA('Raw Decommissioning'!$B$2:$B$1000),INDEX('Raw Decommissioning'!$B$2:$B$1000,ROWS($A$5:A22)),IF(ROWS($A$5:A22)-COUNTA('Raw Decommissioning'!$B$2:$B$1000)&lt;=COUNTA('Raw Provisioning'!$B$2:$B$1000),INDEX('Raw Provisioning'!$B$2:$B$1000,ROWS($A$5:A22)-COUNTA('Raw Decommissioning'!$B$2:$B$1000)),""))</x:f>
        <x:v>CSSP10619105</x:v>
      </x:c>
      <x:c r="B22" s="163" t="str">
        <x:f>IF(A22="","",IF(ROWS($A$5:A22)&lt;=COUNTA('Raw Decommissioning'!$B$2:$B$1000),"Decommissioning","Provisioning"))</x:f>
        <x:v>Decommissioning</x:v>
      </x:c>
      <x:c r="C22" s="163" t="str">
        <x:f>IF(A22="","",IF(B22="Decommissioning",IFERROR(INDEX('Raw Decommissioning'!$E$2:$E$1000,MATCH(A22,'Raw Decommissioning'!$B$2:$B$1000,0)),"Missing from latest raw"),IFERROR(INDEX('Raw Provisioning'!$E$2:$E$1000,MATCH(A22,'Raw Provisioning'!$B$2:$B$1000,0)),"Missing from latest raw")))</x:f>
        <x:v>rejected</x:v>
      </x:c>
      <x:c r="D22" s="164" t="n">
        <x:f>IF(A22="","",'Refresh Control'!$B$4)</x:f>
        <x:v>46254</x:v>
      </x:c>
      <x:c r="E22" s="164" t="n">
        <x:f>IF(A22="","",IF(B22="Decommissioning",INDEX('Raw Decommissioning'!$F$2:$F$1000,ROWS($A$5:A22)),INDEX('Raw Provisioning'!$F$2:$F$1000,ROWS($A$5:A22)-COUNTA('Raw Decommissioning'!$B$2:$B$1000))))</x:f>
        <x:v>45995.348835358796</x:v>
      </x:c>
      <x:c r="F22" s="164" t="n">
        <x:f>IF(A22="","",IF(B22="Decommissioning",INDEX('Raw Decommissioning'!$G$2:$G$1000,ROWS($A$5:A22)),INDEX('Raw Provisioning'!$H$2:$H$1000,ROWS($A$5:A22)-COUNTA('Raw Decommissioning'!$B$2:$B$1000))))</x:f>
        <x:v>46047.723683923614</x:v>
      </x:c>
      <x:c r="G22" s="165" t="str">
        <x:f>IF(A22="","",IF(B22="Decommissioning",INDEX('Raw Decommissioning'!$I$2:$I$1000,ROWS($A$5:A22)),INDEX('Raw Provisioning'!$J$2:$J$1000,ROWS($A$5:A22)-COUNTA('Raw Decommissioning'!$B$2:$B$1000))))</x:f>
        <x:v>Upstream Technical Applications GOMSCUS</x:v>
      </x:c>
      <x:c r="H22" s="165" t="str">
        <x:f>IF(A22="","",IF(B22="Decommissioning",INDEX('Raw Decommissioning'!$J$2:$J$1000,ROWS($A$5:A22)),INDEX('Raw Provisioning'!$L$2:$L$1000,ROWS($A$5:A22)-COUNTA('Raw Decommissioning'!$B$2:$B$1000))))</x:f>
        <x:v>AZURE Resource Provisioning for EIV US Gulf of Mexico (GOM) In PETRONAS AZURE South Central U.S. (SCUS)</x:v>
      </x:c>
      <x:c r="I22" s="165" t="str">
        <x:f>IF(A22="","",IF(B22="Decommissioning",INDEX('Raw Decommissioning'!$AL$2:$AL$1000,ROWS($A$5:A22)),INDEX('Raw Provisioning'!$R$2:$R$1000,ROWS($A$5:A22)-COUNTA('Raw Decommissioning'!$B$2:$B$1000))))</x:f>
      </x:c>
      <x:c r="J22" s="165" t="str">
        <x:f>IF(A22="","",IF(B22="Decommissioning",INDEX('Raw Decommissioning'!$AG$2:$AG$1000,ROWS($A$5:A22)),INDEX('Raw Provisioning'!$AI$2:$AI$1000,ROWS($A$5:A22)-COUNTA('Raw Decommissioning'!$B$2:$B$1000))))</x:f>
        <x:v>CCoE Operations</x:v>
      </x:c>
      <x:c r="K22" s="166" t="str">
        <x:f>IF(A22="","",IFERROR(LOOKUP(2,1/('Assignment History'!$B$5:$B$204=A22),'Assignment History'!$D$5:$D$204),IFERROR(VLOOKUP(J22,Configuration!$L$5:$M$50,2,FALSE),J22)))</x:f>
        <x:v>CCoE Operations</x:v>
      </x:c>
      <x:c r="L22" s="166" t="str">
        <x:f>IF(A22="","",IF(K22=IFERROR(VLOOKUP(J22,Configuration!$L$5:$M$50,2,FALSE),J22),"Snapshot PIC","Replacement PIC"))</x:f>
        <x:v>Snapshot PIC</x:v>
      </x:c>
      <x:c r="M22" s="167" t="n">
        <x:f>IF(A22="","",IFERROR(VLOOKUP(I22,Configuration!$O$5:$P$8,2,FALSE),Configuration!$S$6))</x:f>
        <x:v>2</x:v>
      </x:c>
      <x:c r="N22" s="167" t="str">
        <x:f>IF(A22="","",IFERROR(LOOKUP(2,1/('Scope Review'!$B$5:$B$204=A22),'Scope Review'!$G$5:$G$204),"Not Reviewed"))</x:f>
        <x:v>Not Reviewed</x:v>
      </x:c>
      <x:c r="O22" s="167" t="str">
        <x:f>IF(A22="","",IFERROR(LOOKUP(2,1/('Scope Review'!$B$5:$B$204=A22),'Scope Review'!$H$5:$H$204),""))</x:f>
      </x:c>
      <x:c r="P22" s="167" t="n">
        <x:f t="shared" si="0">IF(A22="","",IF(AND(C22="executing",N22&lt;&gt;"Confirmed OOS"),M22,0))</x:f>
        <x:v>0</x:v>
      </x:c>
      <x:c r="Q22" s="168" t="str">
        <x:f>IF(A22="","",IFERROR(LOOKUP(2,1/('Engineer Updates'!$B$5:$B$704=A22),'Engineer Updates'!$A$5:$A$704),""))</x:f>
      </x:c>
      <x:c r="R22" s="166" t="str">
        <x:f>IF(A22="","",IFERROR(LOOKUP(2,1/('Engineer Updates'!$B$5:$B$704=A22),'Engineer Updates'!$H$5:$H$704),""))</x:f>
      </x:c>
      <x:c r="S22" s="166" t="str">
        <x:f>IF(A22="","",IFERROR(LOOKUP(2,1/('Engineer Updates'!$B$5:$B$704=A22),'Engineer Updates'!$G$5:$G$704),""))</x:f>
      </x:c>
      <x:c r="T22" s="166" t="str">
        <x:f>IF(A22="","",IFERROR(LOOKUP(2,1/('Engineer Updates'!$B$5:$B$704=A22),'Engineer Updates'!$I$5:$I$704),""))</x:f>
      </x:c>
      <x:c r="U22" s="166" t="str">
        <x:f>IF(A22="","",IFERROR(LOOKUP(2,1/('Engineer Updates'!$B$5:$B$704=A22),'Engineer Updates'!$J$5:$J$704),""))</x:f>
      </x:c>
      <x:c r="V22" s="166" t="str">
        <x:f>IF(A22="","",IFERROR(LOOKUP(2,1/('Engineer Updates'!$B$5:$B$704=A22),'Engineer Updates'!$K$5:$K$704),""))</x:f>
      </x:c>
      <x:c r="W22" s="169" t="str">
        <x:f>IF(A22="","",IFERROR(LOOKUP(2,1/('Engineer Updates'!$B$5:$B$704=A22),'Engineer Updates'!$L$5:$L$704),""))</x:f>
      </x:c>
      <x:c r="X22" s="163" t="str">
        <x:f t="shared" si="1">IF(A22="","",IF(C22="completed","Completed in CSSP",IF(AND(C22="executing",ISERROR(SEARCH("@",K22))),"Executing without named engineer",IF(AND(N22="Confirmed OOS",C22="executing"),"Confirmed OOS still executing",""))))</x:f>
      </x:c>
      <x:c r="Y22" s="163" t="str">
        <x:f>IF(A22="","",IF(B22="Decommissioning","Raw Decommissioning","Raw Provisioning"))</x:f>
        <x:v>Raw Decommissioning</x:v>
      </x:c>
      <x:c r="Z22" s="170" t="str">
        <x:f>IF(A22="","",IF(OR(C22="executing",C22="processing"),"Yes","No"))</x:f>
        <x:v>No</x:v>
      </x:c>
    </x:row>
    <x:row r="23" ht="30">
      <x:c r="A23" s="163" t="str">
        <x:f>IF(ROWS($A$5:A23)&lt;=COUNTA('Raw Decommissioning'!$B$2:$B$1000),INDEX('Raw Decommissioning'!$B$2:$B$1000,ROWS($A$5:A23)),IF(ROWS($A$5:A23)-COUNTA('Raw Decommissioning'!$B$2:$B$1000)&lt;=COUNTA('Raw Provisioning'!$B$2:$B$1000),INDEX('Raw Provisioning'!$B$2:$B$1000,ROWS($A$5:A23)-COUNTA('Raw Decommissioning'!$B$2:$B$1000)),""))</x:f>
        <x:v>CSSP10851603</x:v>
      </x:c>
      <x:c r="B23" s="163" t="str">
        <x:f>IF(A23="","",IF(ROWS($A$5:A23)&lt;=COUNTA('Raw Decommissioning'!$B$2:$B$1000),"Decommissioning","Provisioning"))</x:f>
        <x:v>Decommissioning</x:v>
      </x:c>
      <x:c r="C23" s="163" t="str">
        <x:f>IF(A23="","",IF(B23="Decommissioning",IFERROR(INDEX('Raw Decommissioning'!$E$2:$E$1000,MATCH(A23,'Raw Decommissioning'!$B$2:$B$1000,0)),"Missing from latest raw"),IFERROR(INDEX('Raw Provisioning'!$E$2:$E$1000,MATCH(A23,'Raw Provisioning'!$B$2:$B$1000,0)),"Missing from latest raw")))</x:f>
        <x:v>completed</x:v>
      </x:c>
      <x:c r="D23" s="164" t="n">
        <x:f>IF(A23="","",'Refresh Control'!$B$4)</x:f>
        <x:v>46254</x:v>
      </x:c>
      <x:c r="E23" s="164" t="n">
        <x:f>IF(A23="","",IF(B23="Decommissioning",INDEX('Raw Decommissioning'!$F$2:$F$1000,ROWS($A$5:A23)),INDEX('Raw Provisioning'!$F$2:$F$1000,ROWS($A$5:A23)-COUNTA('Raw Decommissioning'!$B$2:$B$1000))))</x:f>
        <x:v>46002.121400289354</x:v>
      </x:c>
      <x:c r="F23" s="164" t="n">
        <x:f>IF(A23="","",IF(B23="Decommissioning",INDEX('Raw Decommissioning'!$G$2:$G$1000,ROWS($A$5:A23)),INDEX('Raw Provisioning'!$H$2:$H$1000,ROWS($A$5:A23)-COUNTA('Raw Decommissioning'!$B$2:$B$1000))))</x:f>
        <x:v>46037.24682813657</x:v>
      </x:c>
      <x:c r="G23" s="165" t="str">
        <x:f>IF(A23="","",IF(B23="Decommissioning",INDEX('Raw Decommissioning'!$I$2:$I$1000,ROWS($A$5:A23)),INDEX('Raw Provisioning'!$J$2:$J$1000,ROWS($A$5:A23)-COUNTA('Raw Decommissioning'!$B$2:$B$1000))))</x:f>
        <x:v>Daily Operations Tracking System - DOTS</x:v>
      </x:c>
      <x:c r="H23" s="165" t="str">
        <x:f>IF(A23="","",IF(B23="Decommissioning",INDEX('Raw Decommissioning'!$J$2:$J$1000,ROWS($A$5:A23)),INDEX('Raw Provisioning'!$L$2:$L$1000,ROWS($A$5:A23)-COUNTA('Raw Decommissioning'!$B$2:$B$1000))))</x:f>
        <x:v>Cloud Migration Program - Daily Operations Tracking System (DOTS)</x:v>
      </x:c>
      <x:c r="I23" s="165" t="str">
        <x:f>IF(A23="","",IF(B23="Decommissioning",INDEX('Raw Decommissioning'!$AL$2:$AL$1000,ROWS($A$5:A23)),INDEX('Raw Provisioning'!$R$2:$R$1000,ROWS($A$5:A23)-COUNTA('Raw Decommissioning'!$B$2:$B$1000))))</x:f>
        <x:v>M</x:v>
      </x:c>
      <x:c r="J23" s="165" t="str">
        <x:f>IF(A23="","",IF(B23="Decommissioning",INDEX('Raw Decommissioning'!$AG$2:$AG$1000,ROWS($A$5:A23)),INDEX('Raw Provisioning'!$AI$2:$AI$1000,ROWS($A$5:A23)-COUNTA('Raw Decommissioning'!$B$2:$B$1000))))</x:f>
        <x:v>azwan.badari@petronas.com</x:v>
      </x:c>
      <x:c r="K23" s="166" t="str">
        <x:f>IF(A23="","",IFERROR(LOOKUP(2,1/('Assignment History'!$B$5:$B$204=A23),'Assignment History'!$D$5:$D$204),IFERROR(VLOOKUP(J23,Configuration!$L$5:$M$50,2,FALSE),J23)))</x:f>
        <x:v>azwan.badari@petronas.com</x:v>
      </x:c>
      <x:c r="L23" s="166" t="str">
        <x:f>IF(A23="","",IF(K23=IFERROR(VLOOKUP(J23,Configuration!$L$5:$M$50,2,FALSE),J23),"Snapshot PIC","Replacement PIC"))</x:f>
        <x:v>Snapshot PIC</x:v>
      </x:c>
      <x:c r="M23" s="167" t="n">
        <x:f>IF(A23="","",IFERROR(VLOOKUP(I23,Configuration!$O$5:$P$8,2,FALSE),Configuration!$S$6))</x:f>
        <x:v>2</x:v>
      </x:c>
      <x:c r="N23" s="167" t="str">
        <x:f>IF(A23="","",IFERROR(LOOKUP(2,1/('Scope Review'!$B$5:$B$204=A23),'Scope Review'!$G$5:$G$204),"Not Reviewed"))</x:f>
        <x:v>Not Reviewed</x:v>
      </x:c>
      <x:c r="O23" s="167" t="str">
        <x:f>IF(A23="","",IFERROR(LOOKUP(2,1/('Scope Review'!$B$5:$B$204=A23),'Scope Review'!$H$5:$H$204),""))</x:f>
      </x:c>
      <x:c r="P23" s="167" t="n">
        <x:f t="shared" si="0">IF(A23="","",IF(AND(C23="executing",N23&lt;&gt;"Confirmed OOS"),M23,0))</x:f>
        <x:v>0</x:v>
      </x:c>
      <x:c r="Q23" s="168" t="str">
        <x:f>IF(A23="","",IFERROR(LOOKUP(2,1/('Engineer Updates'!$B$5:$B$704=A23),'Engineer Updates'!$A$5:$A$704),""))</x:f>
      </x:c>
      <x:c r="R23" s="166" t="str">
        <x:f>IF(A23="","",IFERROR(LOOKUP(2,1/('Engineer Updates'!$B$5:$B$704=A23),'Engineer Updates'!$H$5:$H$704),""))</x:f>
      </x:c>
      <x:c r="S23" s="166" t="str">
        <x:f>IF(A23="","",IFERROR(LOOKUP(2,1/('Engineer Updates'!$B$5:$B$704=A23),'Engineer Updates'!$G$5:$G$704),""))</x:f>
      </x:c>
      <x:c r="T23" s="166" t="str">
        <x:f>IF(A23="","",IFERROR(LOOKUP(2,1/('Engineer Updates'!$B$5:$B$704=A23),'Engineer Updates'!$I$5:$I$704),""))</x:f>
      </x:c>
      <x:c r="U23" s="166" t="str">
        <x:f>IF(A23="","",IFERROR(LOOKUP(2,1/('Engineer Updates'!$B$5:$B$704=A23),'Engineer Updates'!$J$5:$J$704),""))</x:f>
      </x:c>
      <x:c r="V23" s="166" t="str">
        <x:f>IF(A23="","",IFERROR(LOOKUP(2,1/('Engineer Updates'!$B$5:$B$704=A23),'Engineer Updates'!$K$5:$K$704),""))</x:f>
      </x:c>
      <x:c r="W23" s="169" t="str">
        <x:f>IF(A23="","",IFERROR(LOOKUP(2,1/('Engineer Updates'!$B$5:$B$704=A23),'Engineer Updates'!$L$5:$L$704),""))</x:f>
      </x:c>
      <x:c r="X23" s="163" t="str">
        <x:f t="shared" si="1">IF(A23="","",IF(C23="completed","Completed in CSSP",IF(AND(C23="executing",ISERROR(SEARCH("@",K23))),"Executing without named engineer",IF(AND(N23="Confirmed OOS",C23="executing"),"Confirmed OOS still executing",""))))</x:f>
        <x:v>Completed in CSSP</x:v>
      </x:c>
      <x:c r="Y23" s="163" t="str">
        <x:f>IF(A23="","",IF(B23="Decommissioning","Raw Decommissioning","Raw Provisioning"))</x:f>
        <x:v>Raw Decommissioning</x:v>
      </x:c>
      <x:c r="Z23" s="170" t="str">
        <x:f>IF(A23="","",IF(OR(C23="executing",C23="processing"),"Yes","No"))</x:f>
        <x:v>No</x:v>
      </x:c>
    </x:row>
    <x:row r="24" ht="30">
      <x:c r="A24" s="163" t="str">
        <x:f>IF(ROWS($A$5:A24)&lt;=COUNTA('Raw Decommissioning'!$B$2:$B$1000),INDEX('Raw Decommissioning'!$B$2:$B$1000,ROWS($A$5:A24)),IF(ROWS($A$5:A24)-COUNTA('Raw Decommissioning'!$B$2:$B$1000)&lt;=COUNTA('Raw Provisioning'!$B$2:$B$1000),INDEX('Raw Provisioning'!$B$2:$B$1000,ROWS($A$5:A24)-COUNTA('Raw Decommissioning'!$B$2:$B$1000)),""))</x:f>
        <x:v>CSSP10204527</x:v>
      </x:c>
      <x:c r="B24" s="163" t="str">
        <x:f>IF(A24="","",IF(ROWS($A$5:A24)&lt;=COUNTA('Raw Decommissioning'!$B$2:$B$1000),"Decommissioning","Provisioning"))</x:f>
        <x:v>Decommissioning</x:v>
      </x:c>
      <x:c r="C24" s="163" t="str">
        <x:f>IF(A24="","",IF(B24="Decommissioning",IFERROR(INDEX('Raw Decommissioning'!$E$2:$E$1000,MATCH(A24,'Raw Decommissioning'!$B$2:$B$1000,0)),"Missing from latest raw"),IFERROR(INDEX('Raw Provisioning'!$E$2:$E$1000,MATCH(A24,'Raw Provisioning'!$B$2:$B$1000,0)),"Missing from latest raw")))</x:f>
        <x:v>completed</x:v>
      </x:c>
      <x:c r="D24" s="164" t="n">
        <x:f>IF(A24="","",'Refresh Control'!$B$4)</x:f>
        <x:v>46254</x:v>
      </x:c>
      <x:c r="E24" s="164" t="n">
        <x:f>IF(A24="","",IF(B24="Decommissioning",INDEX('Raw Decommissioning'!$F$2:$F$1000,ROWS($A$5:A24)),INDEX('Raw Provisioning'!$F$2:$F$1000,ROWS($A$5:A24)-COUNTA('Raw Decommissioning'!$B$2:$B$1000))))</x:f>
        <x:v>46010.09860125</x:v>
      </x:c>
      <x:c r="F24" s="164" t="n">
        <x:f>IF(A24="","",IF(B24="Decommissioning",INDEX('Raw Decommissioning'!$G$2:$G$1000,ROWS($A$5:A24)),INDEX('Raw Provisioning'!$H$2:$H$1000,ROWS($A$5:A24)-COUNTA('Raw Decommissioning'!$B$2:$B$1000))))</x:f>
        <x:v>46027.370540034724</x:v>
      </x:c>
      <x:c r="G24" s="165" t="str">
        <x:f>IF(A24="","",IF(B24="Decommissioning",INDEX('Raw Decommissioning'!$I$2:$I$1000,ROWS($A$5:A24)),INDEX('Raw Provisioning'!$J$2:$J$1000,ROWS($A$5:A24)-COUNTA('Raw Decommissioning'!$B$2:$B$1000))))</x:f>
        <x:v>Project Management Solution</x:v>
      </x:c>
      <x:c r="H24" s="165" t="str">
        <x:f>IF(A24="","",IF(B24="Decommissioning",INDEX('Raw Decommissioning'!$J$2:$J$1000,ROWS($A$5:A24)),INDEX('Raw Provisioning'!$L$2:$L$1000,ROWS($A$5:A24)-COUNTA('Raw Decommissioning'!$B$2:$B$1000))))</x:f>
        <x:v>Implementation of Interim Project Management Solution for Malaysia Petroleum Management (MPM)</x:v>
      </x:c>
      <x:c r="I24" s="165" t="str">
        <x:f>IF(A24="","",IF(B24="Decommissioning",INDEX('Raw Decommissioning'!$AL$2:$AL$1000,ROWS($A$5:A24)),INDEX('Raw Provisioning'!$R$2:$R$1000,ROWS($A$5:A24)-COUNTA('Raw Decommissioning'!$B$2:$B$1000))))</x:f>
        <x:v>M</x:v>
      </x:c>
      <x:c r="J24" s="165" t="str">
        <x:f>IF(A24="","",IF(B24="Decommissioning",INDEX('Raw Decommissioning'!$AG$2:$AG$1000,ROWS($A$5:A24)),INDEX('Raw Provisioning'!$AI$2:$AI$1000,ROWS($A$5:A24)-COUNTA('Raw Decommissioning'!$B$2:$B$1000))))</x:f>
        <x:v>azlisham.md@petronas.com</x:v>
      </x:c>
      <x:c r="K24" s="166" t="str">
        <x:f>IF(A24="","",IFERROR(LOOKUP(2,1/('Assignment History'!$B$5:$B$204=A24),'Assignment History'!$D$5:$D$204),IFERROR(VLOOKUP(J24,Configuration!$L$5:$M$50,2,FALSE),J24)))</x:f>
        <x:v>azlisham.md@petronas.com</x:v>
      </x:c>
      <x:c r="L24" s="166" t="str">
        <x:f>IF(A24="","",IF(K24=IFERROR(VLOOKUP(J24,Configuration!$L$5:$M$50,2,FALSE),J24),"Snapshot PIC","Replacement PIC"))</x:f>
        <x:v>Snapshot PIC</x:v>
      </x:c>
      <x:c r="M24" s="167" t="n">
        <x:f>IF(A24="","",IFERROR(VLOOKUP(I24,Configuration!$O$5:$P$8,2,FALSE),Configuration!$S$6))</x:f>
        <x:v>2</x:v>
      </x:c>
      <x:c r="N24" s="167" t="str">
        <x:f>IF(A24="","",IFERROR(LOOKUP(2,1/('Scope Review'!$B$5:$B$204=A24),'Scope Review'!$G$5:$G$204),"Not Reviewed"))</x:f>
        <x:v>Not Reviewed</x:v>
      </x:c>
      <x:c r="O24" s="167" t="str">
        <x:f>IF(A24="","",IFERROR(LOOKUP(2,1/('Scope Review'!$B$5:$B$204=A24),'Scope Review'!$H$5:$H$204),""))</x:f>
      </x:c>
      <x:c r="P24" s="167" t="n">
        <x:f t="shared" si="0">IF(A24="","",IF(AND(C24="executing",N24&lt;&gt;"Confirmed OOS"),M24,0))</x:f>
        <x:v>0</x:v>
      </x:c>
      <x:c r="Q24" s="168" t="str">
        <x:f>IF(A24="","",IFERROR(LOOKUP(2,1/('Engineer Updates'!$B$5:$B$704=A24),'Engineer Updates'!$A$5:$A$704),""))</x:f>
      </x:c>
      <x:c r="R24" s="166" t="str">
        <x:f>IF(A24="","",IFERROR(LOOKUP(2,1/('Engineer Updates'!$B$5:$B$704=A24),'Engineer Updates'!$H$5:$H$704),""))</x:f>
      </x:c>
      <x:c r="S24" s="166" t="str">
        <x:f>IF(A24="","",IFERROR(LOOKUP(2,1/('Engineer Updates'!$B$5:$B$704=A24),'Engineer Updates'!$G$5:$G$704),""))</x:f>
      </x:c>
      <x:c r="T24" s="166" t="str">
        <x:f>IF(A24="","",IFERROR(LOOKUP(2,1/('Engineer Updates'!$B$5:$B$704=A24),'Engineer Updates'!$I$5:$I$704),""))</x:f>
      </x:c>
      <x:c r="U24" s="166" t="str">
        <x:f>IF(A24="","",IFERROR(LOOKUP(2,1/('Engineer Updates'!$B$5:$B$704=A24),'Engineer Updates'!$J$5:$J$704),""))</x:f>
      </x:c>
      <x:c r="V24" s="166" t="str">
        <x:f>IF(A24="","",IFERROR(LOOKUP(2,1/('Engineer Updates'!$B$5:$B$704=A24),'Engineer Updates'!$K$5:$K$704),""))</x:f>
      </x:c>
      <x:c r="W24" s="169" t="str">
        <x:f>IF(A24="","",IFERROR(LOOKUP(2,1/('Engineer Updates'!$B$5:$B$704=A24),'Engineer Updates'!$L$5:$L$704),""))</x:f>
      </x:c>
      <x:c r="X24" s="163" t="str">
        <x:f t="shared" si="1">IF(A24="","",IF(C24="completed","Completed in CSSP",IF(AND(C24="executing",ISERROR(SEARCH("@",K24))),"Executing without named engineer",IF(AND(N24="Confirmed OOS",C24="executing"),"Confirmed OOS still executing",""))))</x:f>
        <x:v>Completed in CSSP</x:v>
      </x:c>
      <x:c r="Y24" s="163" t="str">
        <x:f>IF(A24="","",IF(B24="Decommissioning","Raw Decommissioning","Raw Provisioning"))</x:f>
        <x:v>Raw Decommissioning</x:v>
      </x:c>
      <x:c r="Z24" s="170" t="str">
        <x:f>IF(A24="","",IF(OR(C24="executing",C24="processing"),"Yes","No"))</x:f>
        <x:v>No</x:v>
      </x:c>
    </x:row>
    <x:row r="25" ht="30">
      <x:c r="A25" s="163" t="str">
        <x:f>IF(ROWS($A$5:A25)&lt;=COUNTA('Raw Decommissioning'!$B$2:$B$1000),INDEX('Raw Decommissioning'!$B$2:$B$1000,ROWS($A$5:A25)),IF(ROWS($A$5:A25)-COUNTA('Raw Decommissioning'!$B$2:$B$1000)&lt;=COUNTA('Raw Provisioning'!$B$2:$B$1000),INDEX('Raw Provisioning'!$B$2:$B$1000,ROWS($A$5:A25)-COUNTA('Raw Decommissioning'!$B$2:$B$1000)),""))</x:f>
        <x:v>CSSP10745533</x:v>
      </x:c>
      <x:c r="B25" s="163" t="str">
        <x:f>IF(A25="","",IF(ROWS($A$5:A25)&lt;=COUNTA('Raw Decommissioning'!$B$2:$B$1000),"Decommissioning","Provisioning"))</x:f>
        <x:v>Decommissioning</x:v>
      </x:c>
      <x:c r="C25" s="163" t="str">
        <x:f>IF(A25="","",IF(B25="Decommissioning",IFERROR(INDEX('Raw Decommissioning'!$E$2:$E$1000,MATCH(A25,'Raw Decommissioning'!$B$2:$B$1000,0)),"Missing from latest raw"),IFERROR(INDEX('Raw Provisioning'!$E$2:$E$1000,MATCH(A25,'Raw Provisioning'!$B$2:$B$1000,0)),"Missing from latest raw")))</x:f>
        <x:v>completed</x:v>
      </x:c>
      <x:c r="D25" s="164" t="n">
        <x:f>IF(A25="","",'Refresh Control'!$B$4)</x:f>
        <x:v>46254</x:v>
      </x:c>
      <x:c r="E25" s="164" t="n">
        <x:f>IF(A25="","",IF(B25="Decommissioning",INDEX('Raw Decommissioning'!$F$2:$F$1000,ROWS($A$5:A25)),INDEX('Raw Provisioning'!$F$2:$F$1000,ROWS($A$5:A25)-COUNTA('Raw Decommissioning'!$B$2:$B$1000))))</x:f>
        <x:v>46013.30532982639</x:v>
      </x:c>
      <x:c r="F25" s="164" t="n">
        <x:f>IF(A25="","",IF(B25="Decommissioning",INDEX('Raw Decommissioning'!$G$2:$G$1000,ROWS($A$5:A25)),INDEX('Raw Provisioning'!$H$2:$H$1000,ROWS($A$5:A25)-COUNTA('Raw Decommissioning'!$B$2:$B$1000))))</x:f>
        <x:v>46031.0865446875</x:v>
      </x:c>
      <x:c r="G25" s="165" t="str">
        <x:f>IF(A25="","",IF(B25="Decommissioning",INDEX('Raw Decommissioning'!$I$2:$I$1000,ROWS($A$5:A25)),INDEX('Raw Provisioning'!$J$2:$J$1000,ROWS($A$5:A25)-COUNTA('Raw Decommissioning'!$B$2:$B$1000))))</x:f>
        <x:v>CI Academy Portal</x:v>
      </x:c>
      <x:c r="H25" s="165" t="str">
        <x:f>IF(A25="","",IF(B25="Decommissioning",INDEX('Raw Decommissioning'!$J$2:$J$1000,ROWS($A$5:A25)),INDEX('Raw Provisioning'!$L$2:$L$1000,ROWS($A$5:A25)-COUNTA('Raw Decommissioning'!$B$2:$B$1000))))</x:f>
        <x:v>Cloud Transformation Programme - CI Academy Portal</x:v>
      </x:c>
      <x:c r="I25" s="165" t="str">
        <x:f>IF(A25="","",IF(B25="Decommissioning",INDEX('Raw Decommissioning'!$AL$2:$AL$1000,ROWS($A$5:A25)),INDEX('Raw Provisioning'!$R$2:$R$1000,ROWS($A$5:A25)-COUNTA('Raw Decommissioning'!$B$2:$B$1000))))</x:f>
        <x:v>S</x:v>
      </x:c>
      <x:c r="J25" s="165" t="str">
        <x:f>IF(A25="","",IF(B25="Decommissioning",INDEX('Raw Decommissioning'!$AG$2:$AG$1000,ROWS($A$5:A25)),INDEX('Raw Provisioning'!$AI$2:$AI$1000,ROWS($A$5:A25)-COUNTA('Raw Decommissioning'!$B$2:$B$1000))))</x:f>
        <x:v>azwan.badari@petronas.com</x:v>
      </x:c>
      <x:c r="K25" s="166" t="str">
        <x:f>IF(A25="","",IFERROR(LOOKUP(2,1/('Assignment History'!$B$5:$B$204=A25),'Assignment History'!$D$5:$D$204),IFERROR(VLOOKUP(J25,Configuration!$L$5:$M$50,2,FALSE),J25)))</x:f>
        <x:v>azwan.badari@petronas.com</x:v>
      </x:c>
      <x:c r="L25" s="166" t="str">
        <x:f>IF(A25="","",IF(K25=IFERROR(VLOOKUP(J25,Configuration!$L$5:$M$50,2,FALSE),J25),"Snapshot PIC","Replacement PIC"))</x:f>
        <x:v>Snapshot PIC</x:v>
      </x:c>
      <x:c r="M25" s="167" t="n">
        <x:f>IF(A25="","",IFERROR(VLOOKUP(I25,Configuration!$O$5:$P$8,2,FALSE),Configuration!$S$6))</x:f>
        <x:v>1</x:v>
      </x:c>
      <x:c r="N25" s="167" t="str">
        <x:f>IF(A25="","",IFERROR(LOOKUP(2,1/('Scope Review'!$B$5:$B$204=A25),'Scope Review'!$G$5:$G$204),"Not Reviewed"))</x:f>
        <x:v>Not Reviewed</x:v>
      </x:c>
      <x:c r="O25" s="167" t="str">
        <x:f>IF(A25="","",IFERROR(LOOKUP(2,1/('Scope Review'!$B$5:$B$204=A25),'Scope Review'!$H$5:$H$204),""))</x:f>
      </x:c>
      <x:c r="P25" s="167" t="n">
        <x:f t="shared" si="0">IF(A25="","",IF(AND(C25="executing",N25&lt;&gt;"Confirmed OOS"),M25,0))</x:f>
        <x:v>0</x:v>
      </x:c>
      <x:c r="Q25" s="168" t="str">
        <x:f>IF(A25="","",IFERROR(LOOKUP(2,1/('Engineer Updates'!$B$5:$B$704=A25),'Engineer Updates'!$A$5:$A$704),""))</x:f>
      </x:c>
      <x:c r="R25" s="166" t="str">
        <x:f>IF(A25="","",IFERROR(LOOKUP(2,1/('Engineer Updates'!$B$5:$B$704=A25),'Engineer Updates'!$H$5:$H$704),""))</x:f>
      </x:c>
      <x:c r="S25" s="166" t="str">
        <x:f>IF(A25="","",IFERROR(LOOKUP(2,1/('Engineer Updates'!$B$5:$B$704=A25),'Engineer Updates'!$G$5:$G$704),""))</x:f>
      </x:c>
      <x:c r="T25" s="166" t="str">
        <x:f>IF(A25="","",IFERROR(LOOKUP(2,1/('Engineer Updates'!$B$5:$B$704=A25),'Engineer Updates'!$I$5:$I$704),""))</x:f>
      </x:c>
      <x:c r="U25" s="166" t="str">
        <x:f>IF(A25="","",IFERROR(LOOKUP(2,1/('Engineer Updates'!$B$5:$B$704=A25),'Engineer Updates'!$J$5:$J$704),""))</x:f>
      </x:c>
      <x:c r="V25" s="166" t="str">
        <x:f>IF(A25="","",IFERROR(LOOKUP(2,1/('Engineer Updates'!$B$5:$B$704=A25),'Engineer Updates'!$K$5:$K$704),""))</x:f>
      </x:c>
      <x:c r="W25" s="169" t="str">
        <x:f>IF(A25="","",IFERROR(LOOKUP(2,1/('Engineer Updates'!$B$5:$B$704=A25),'Engineer Updates'!$L$5:$L$704),""))</x:f>
      </x:c>
      <x:c r="X25" s="163" t="str">
        <x:f t="shared" si="1">IF(A25="","",IF(C25="completed","Completed in CSSP",IF(AND(C25="executing",ISERROR(SEARCH("@",K25))),"Executing without named engineer",IF(AND(N25="Confirmed OOS",C25="executing"),"Confirmed OOS still executing",""))))</x:f>
        <x:v>Completed in CSSP</x:v>
      </x:c>
      <x:c r="Y25" s="163" t="str">
        <x:f>IF(A25="","",IF(B25="Decommissioning","Raw Decommissioning","Raw Provisioning"))</x:f>
        <x:v>Raw Decommissioning</x:v>
      </x:c>
      <x:c r="Z25" s="170" t="str">
        <x:f>IF(A25="","",IF(OR(C25="executing",C25="processing"),"Yes","No"))</x:f>
        <x:v>No</x:v>
      </x:c>
    </x:row>
    <x:row r="26" ht="30">
      <x:c r="A26" s="163" t="str">
        <x:f>IF(ROWS($A$5:A26)&lt;=COUNTA('Raw Decommissioning'!$B$2:$B$1000),INDEX('Raw Decommissioning'!$B$2:$B$1000,ROWS($A$5:A26)),IF(ROWS($A$5:A26)-COUNTA('Raw Decommissioning'!$B$2:$B$1000)&lt;=COUNTA('Raw Provisioning'!$B$2:$B$1000),INDEX('Raw Provisioning'!$B$2:$B$1000,ROWS($A$5:A26)-COUNTA('Raw Decommissioning'!$B$2:$B$1000)),""))</x:f>
        <x:v>CSSP10759471</x:v>
      </x:c>
      <x:c r="B26" s="163" t="str">
        <x:f>IF(A26="","",IF(ROWS($A$5:A26)&lt;=COUNTA('Raw Decommissioning'!$B$2:$B$1000),"Decommissioning","Provisioning"))</x:f>
        <x:v>Decommissioning</x:v>
      </x:c>
      <x:c r="C26" s="163" t="str">
        <x:f>IF(A26="","",IF(B26="Decommissioning",IFERROR(INDEX('Raw Decommissioning'!$E$2:$E$1000,MATCH(A26,'Raw Decommissioning'!$B$2:$B$1000,0)),"Missing from latest raw"),IFERROR(INDEX('Raw Provisioning'!$E$2:$E$1000,MATCH(A26,'Raw Provisioning'!$B$2:$B$1000,0)),"Missing from latest raw")))</x:f>
        <x:v>completed</x:v>
      </x:c>
      <x:c r="D26" s="164" t="n">
        <x:f>IF(A26="","",'Refresh Control'!$B$4)</x:f>
        <x:v>46254</x:v>
      </x:c>
      <x:c r="E26" s="164" t="n">
        <x:f>IF(A26="","",IF(B26="Decommissioning",INDEX('Raw Decommissioning'!$F$2:$F$1000,ROWS($A$5:A26)),INDEX('Raw Provisioning'!$F$2:$F$1000,ROWS($A$5:A26)-COUNTA('Raw Decommissioning'!$B$2:$B$1000))))</x:f>
        <x:v>46014.15188853009</x:v>
      </x:c>
      <x:c r="F26" s="164" t="n">
        <x:f>IF(A26="","",IF(B26="Decommissioning",INDEX('Raw Decommissioning'!$G$2:$G$1000,ROWS($A$5:A26)),INDEX('Raw Provisioning'!$H$2:$H$1000,ROWS($A$5:A26)-COUNTA('Raw Decommissioning'!$B$2:$B$1000))))</x:f>
        <x:v>46048.32282732639</x:v>
      </x:c>
      <x:c r="G26" s="165" t="str">
        <x:f>IF(A26="","",IF(B26="Decommissioning",INDEX('Raw Decommissioning'!$I$2:$I$1000,ROWS($A$5:A26)),INDEX('Raw Provisioning'!$J$2:$J$1000,ROWS($A$5:A26)-COUNTA('Raw Decommissioning'!$B$2:$B$1000))))</x:f>
        <x:v>UPS Monitoring</x:v>
      </x:c>
      <x:c r="H26" s="165" t="str">
        <x:f>IF(A26="","",IF(B26="Decommissioning",INDEX('Raw Decommissioning'!$J$2:$J$1000,ROWS($A$5:A26)),INDEX('Raw Provisioning'!$L$2:$L$1000,ROWS($A$5:A26)-COUNTA('Raw Decommissioning'!$B$2:$B$1000))))</x:f>
        <x:v>UPS Monitoring</x:v>
      </x:c>
      <x:c r="I26" s="165" t="str">
        <x:f>IF(A26="","",IF(B26="Decommissioning",INDEX('Raw Decommissioning'!$AL$2:$AL$1000,ROWS($A$5:A26)),INDEX('Raw Provisioning'!$R$2:$R$1000,ROWS($A$5:A26)-COUNTA('Raw Decommissioning'!$B$2:$B$1000))))</x:f>
        <x:v>M</x:v>
      </x:c>
      <x:c r="J26" s="165" t="str">
        <x:f>IF(A26="","",IF(B26="Decommissioning",INDEX('Raw Decommissioning'!$AG$2:$AG$1000,ROWS($A$5:A26)),INDEX('Raw Provisioning'!$AI$2:$AI$1000,ROWS($A$5:A26)-COUNTA('Raw Decommissioning'!$B$2:$B$1000))))</x:f>
        <x:v>abdullah.haziq@petronas.com</x:v>
      </x:c>
      <x:c r="K26" s="166" t="str">
        <x:f>IF(A26="","",IFERROR(LOOKUP(2,1/('Assignment History'!$B$5:$B$204=A26),'Assignment History'!$D$5:$D$204),IFERROR(VLOOKUP(J26,Configuration!$L$5:$M$50,2,FALSE),J26)))</x:f>
        <x:v>abdullah.haziq@petronas.com</x:v>
      </x:c>
      <x:c r="L26" s="166" t="str">
        <x:f>IF(A26="","",IF(K26=IFERROR(VLOOKUP(J26,Configuration!$L$5:$M$50,2,FALSE),J26),"Snapshot PIC","Replacement PIC"))</x:f>
        <x:v>Snapshot PIC</x:v>
      </x:c>
      <x:c r="M26" s="167" t="n">
        <x:f>IF(A26="","",IFERROR(VLOOKUP(I26,Configuration!$O$5:$P$8,2,FALSE),Configuration!$S$6))</x:f>
        <x:v>2</x:v>
      </x:c>
      <x:c r="N26" s="167" t="str">
        <x:f>IF(A26="","",IFERROR(LOOKUP(2,1/('Scope Review'!$B$5:$B$204=A26),'Scope Review'!$G$5:$G$204),"Not Reviewed"))</x:f>
        <x:v>Not Reviewed</x:v>
      </x:c>
      <x:c r="O26" s="167" t="str">
        <x:f>IF(A26="","",IFERROR(LOOKUP(2,1/('Scope Review'!$B$5:$B$204=A26),'Scope Review'!$H$5:$H$204),""))</x:f>
      </x:c>
      <x:c r="P26" s="167" t="n">
        <x:f t="shared" si="0">IF(A26="","",IF(AND(C26="executing",N26&lt;&gt;"Confirmed OOS"),M26,0))</x:f>
        <x:v>0</x:v>
      </x:c>
      <x:c r="Q26" s="168" t="str">
        <x:f>IF(A26="","",IFERROR(LOOKUP(2,1/('Engineer Updates'!$B$5:$B$704=A26),'Engineer Updates'!$A$5:$A$704),""))</x:f>
      </x:c>
      <x:c r="R26" s="166" t="str">
        <x:f>IF(A26="","",IFERROR(LOOKUP(2,1/('Engineer Updates'!$B$5:$B$704=A26),'Engineer Updates'!$H$5:$H$704),""))</x:f>
      </x:c>
      <x:c r="S26" s="166" t="str">
        <x:f>IF(A26="","",IFERROR(LOOKUP(2,1/('Engineer Updates'!$B$5:$B$704=A26),'Engineer Updates'!$G$5:$G$704),""))</x:f>
      </x:c>
      <x:c r="T26" s="166" t="str">
        <x:f>IF(A26="","",IFERROR(LOOKUP(2,1/('Engineer Updates'!$B$5:$B$704=A26),'Engineer Updates'!$I$5:$I$704),""))</x:f>
      </x:c>
      <x:c r="U26" s="166" t="str">
        <x:f>IF(A26="","",IFERROR(LOOKUP(2,1/('Engineer Updates'!$B$5:$B$704=A26),'Engineer Updates'!$J$5:$J$704),""))</x:f>
      </x:c>
      <x:c r="V26" s="166" t="str">
        <x:f>IF(A26="","",IFERROR(LOOKUP(2,1/('Engineer Updates'!$B$5:$B$704=A26),'Engineer Updates'!$K$5:$K$704),""))</x:f>
      </x:c>
      <x:c r="W26" s="169" t="str">
        <x:f>IF(A26="","",IFERROR(LOOKUP(2,1/('Engineer Updates'!$B$5:$B$704=A26),'Engineer Updates'!$L$5:$L$704),""))</x:f>
      </x:c>
      <x:c r="X26" s="163" t="str">
        <x:f t="shared" si="1">IF(A26="","",IF(C26="completed","Completed in CSSP",IF(AND(C26="executing",ISERROR(SEARCH("@",K26))),"Executing without named engineer",IF(AND(N26="Confirmed OOS",C26="executing"),"Confirmed OOS still executing",""))))</x:f>
        <x:v>Completed in CSSP</x:v>
      </x:c>
      <x:c r="Y26" s="163" t="str">
        <x:f>IF(A26="","",IF(B26="Decommissioning","Raw Decommissioning","Raw Provisioning"))</x:f>
        <x:v>Raw Decommissioning</x:v>
      </x:c>
      <x:c r="Z26" s="170" t="str">
        <x:f>IF(A26="","",IF(OR(C26="executing",C26="processing"),"Yes","No"))</x:f>
        <x:v>No</x:v>
      </x:c>
    </x:row>
    <x:row r="27" ht="30">
      <x:c r="A27" s="163" t="str">
        <x:f>IF(ROWS($A$5:A27)&lt;=COUNTA('Raw Decommissioning'!$B$2:$B$1000),INDEX('Raw Decommissioning'!$B$2:$B$1000,ROWS($A$5:A27)),IF(ROWS($A$5:A27)-COUNTA('Raw Decommissioning'!$B$2:$B$1000)&lt;=COUNTA('Raw Provisioning'!$B$2:$B$1000),INDEX('Raw Provisioning'!$B$2:$B$1000,ROWS($A$5:A27)-COUNTA('Raw Decommissioning'!$B$2:$B$1000)),""))</x:f>
        <x:v>CSSP10150850</x:v>
      </x:c>
      <x:c r="B27" s="163" t="str">
        <x:f>IF(A27="","",IF(ROWS($A$5:A27)&lt;=COUNTA('Raw Decommissioning'!$B$2:$B$1000),"Decommissioning","Provisioning"))</x:f>
        <x:v>Decommissioning</x:v>
      </x:c>
      <x:c r="C27" s="163" t="str">
        <x:f>IF(A27="","",IF(B27="Decommissioning",IFERROR(INDEX('Raw Decommissioning'!$E$2:$E$1000,MATCH(A27,'Raw Decommissioning'!$B$2:$B$1000,0)),"Missing from latest raw"),IFERROR(INDEX('Raw Provisioning'!$E$2:$E$1000,MATCH(A27,'Raw Provisioning'!$B$2:$B$1000,0)),"Missing from latest raw")))</x:f>
        <x:v>completed</x:v>
      </x:c>
      <x:c r="D27" s="164" t="n">
        <x:f>IF(A27="","",'Refresh Control'!$B$4)</x:f>
        <x:v>46254</x:v>
      </x:c>
      <x:c r="E27" s="164" t="n">
        <x:f>IF(A27="","",IF(B27="Decommissioning",INDEX('Raw Decommissioning'!$F$2:$F$1000,ROWS($A$5:A27)),INDEX('Raw Provisioning'!$F$2:$F$1000,ROWS($A$5:A27)-COUNTA('Raw Decommissioning'!$B$2:$B$1000))))</x:f>
        <x:v>46014.29165355324</x:v>
      </x:c>
      <x:c r="F27" s="164" t="n">
        <x:f>IF(A27="","",IF(B27="Decommissioning",INDEX('Raw Decommissioning'!$G$2:$G$1000,ROWS($A$5:A27)),INDEX('Raw Provisioning'!$H$2:$H$1000,ROWS($A$5:A27)-COUNTA('Raw Decommissioning'!$B$2:$B$1000))))</x:f>
        <x:v>46059.21626530093</x:v>
      </x:c>
      <x:c r="G27" s="165" t="str">
        <x:f>IF(A27="","",IF(B27="Decommissioning",INDEX('Raw Decommissioning'!$I$2:$I$1000,ROWS($A$5:A27)),INDEX('Raw Provisioning'!$J$2:$J$1000,ROWS($A$5:A27)-COUNTA('Raw Decommissioning'!$B$2:$B$1000))))</x:f>
        <x:v>Cyber Security Trend Micro</x:v>
      </x:c>
      <x:c r="H27" s="165" t="str">
        <x:f>IF(A27="","",IF(B27="Decommissioning",INDEX('Raw Decommissioning'!$J$2:$J$1000,ROWS($A$5:A27)),INDEX('Raw Provisioning'!$L$2:$L$1000,ROWS($A$5:A27)-COUNTA('Raw Decommissioning'!$B$2:$B$1000))))</x:f>
        <x:v>Cyber Security Trend Micro created for PRIVATECLOUD project record</x:v>
      </x:c>
      <x:c r="I27" s="165" t="str">
        <x:f>IF(A27="","",IF(B27="Decommissioning",INDEX('Raw Decommissioning'!$AL$2:$AL$1000,ROWS($A$5:A27)),INDEX('Raw Provisioning'!$R$2:$R$1000,ROWS($A$5:A27)-COUNTA('Raw Decommissioning'!$B$2:$B$1000))))</x:f>
        <x:v>M</x:v>
      </x:c>
      <x:c r="J27" s="165" t="str">
        <x:f>IF(A27="","",IF(B27="Decommissioning",INDEX('Raw Decommissioning'!$AG$2:$AG$1000,ROWS($A$5:A27)),INDEX('Raw Provisioning'!$AI$2:$AI$1000,ROWS($A$5:A27)-COUNTA('Raw Decommissioning'!$B$2:$B$1000))))</x:f>
        <x:v>azlisham.md@petronas.com</x:v>
      </x:c>
      <x:c r="K27" s="166" t="str">
        <x:f>IF(A27="","",IFERROR(LOOKUP(2,1/('Assignment History'!$B$5:$B$204=A27),'Assignment History'!$D$5:$D$204),IFERROR(VLOOKUP(J27,Configuration!$L$5:$M$50,2,FALSE),J27)))</x:f>
        <x:v>azlisham.md@petronas.com</x:v>
      </x:c>
      <x:c r="L27" s="166" t="str">
        <x:f>IF(A27="","",IF(K27=IFERROR(VLOOKUP(J27,Configuration!$L$5:$M$50,2,FALSE),J27),"Snapshot PIC","Replacement PIC"))</x:f>
        <x:v>Snapshot PIC</x:v>
      </x:c>
      <x:c r="M27" s="167" t="n">
        <x:f>IF(A27="","",IFERROR(VLOOKUP(I27,Configuration!$O$5:$P$8,2,FALSE),Configuration!$S$6))</x:f>
        <x:v>2</x:v>
      </x:c>
      <x:c r="N27" s="167" t="str">
        <x:f>IF(A27="","",IFERROR(LOOKUP(2,1/('Scope Review'!$B$5:$B$204=A27),'Scope Review'!$G$5:$G$204),"Not Reviewed"))</x:f>
        <x:v>Not Reviewed</x:v>
      </x:c>
      <x:c r="O27" s="167" t="str">
        <x:f>IF(A27="","",IFERROR(LOOKUP(2,1/('Scope Review'!$B$5:$B$204=A27),'Scope Review'!$H$5:$H$204),""))</x:f>
      </x:c>
      <x:c r="P27" s="167" t="n">
        <x:f t="shared" si="0">IF(A27="","",IF(AND(C27="executing",N27&lt;&gt;"Confirmed OOS"),M27,0))</x:f>
        <x:v>0</x:v>
      </x:c>
      <x:c r="Q27" s="168" t="str">
        <x:f>IF(A27="","",IFERROR(LOOKUP(2,1/('Engineer Updates'!$B$5:$B$704=A27),'Engineer Updates'!$A$5:$A$704),""))</x:f>
      </x:c>
      <x:c r="R27" s="166" t="str">
        <x:f>IF(A27="","",IFERROR(LOOKUP(2,1/('Engineer Updates'!$B$5:$B$704=A27),'Engineer Updates'!$H$5:$H$704),""))</x:f>
      </x:c>
      <x:c r="S27" s="166" t="str">
        <x:f>IF(A27="","",IFERROR(LOOKUP(2,1/('Engineer Updates'!$B$5:$B$704=A27),'Engineer Updates'!$G$5:$G$704),""))</x:f>
      </x:c>
      <x:c r="T27" s="166" t="str">
        <x:f>IF(A27="","",IFERROR(LOOKUP(2,1/('Engineer Updates'!$B$5:$B$704=A27),'Engineer Updates'!$I$5:$I$704),""))</x:f>
      </x:c>
      <x:c r="U27" s="166" t="str">
        <x:f>IF(A27="","",IFERROR(LOOKUP(2,1/('Engineer Updates'!$B$5:$B$704=A27),'Engineer Updates'!$J$5:$J$704),""))</x:f>
      </x:c>
      <x:c r="V27" s="166" t="str">
        <x:f>IF(A27="","",IFERROR(LOOKUP(2,1/('Engineer Updates'!$B$5:$B$704=A27),'Engineer Updates'!$K$5:$K$704),""))</x:f>
      </x:c>
      <x:c r="W27" s="169" t="str">
        <x:f>IF(A27="","",IFERROR(LOOKUP(2,1/('Engineer Updates'!$B$5:$B$704=A27),'Engineer Updates'!$L$5:$L$704),""))</x:f>
      </x:c>
      <x:c r="X27" s="163" t="str">
        <x:f t="shared" si="1">IF(A27="","",IF(C27="completed","Completed in CSSP",IF(AND(C27="executing",ISERROR(SEARCH("@",K27))),"Executing without named engineer",IF(AND(N27="Confirmed OOS",C27="executing"),"Confirmed OOS still executing",""))))</x:f>
        <x:v>Completed in CSSP</x:v>
      </x:c>
      <x:c r="Y27" s="163" t="str">
        <x:f>IF(A27="","",IF(B27="Decommissioning","Raw Decommissioning","Raw Provisioning"))</x:f>
        <x:v>Raw Decommissioning</x:v>
      </x:c>
      <x:c r="Z27" s="170" t="str">
        <x:f>IF(A27="","",IF(OR(C27="executing",C27="processing"),"Yes","No"))</x:f>
        <x:v>No</x:v>
      </x:c>
    </x:row>
    <x:row r="28" ht="30">
      <x:c r="A28" s="163" t="str">
        <x:f>IF(ROWS($A$5:A28)&lt;=COUNTA('Raw Decommissioning'!$B$2:$B$1000),INDEX('Raw Decommissioning'!$B$2:$B$1000,ROWS($A$5:A28)),IF(ROWS($A$5:A28)-COUNTA('Raw Decommissioning'!$B$2:$B$1000)&lt;=COUNTA('Raw Provisioning'!$B$2:$B$1000),INDEX('Raw Provisioning'!$B$2:$B$1000,ROWS($A$5:A28)-COUNTA('Raw Decommissioning'!$B$2:$B$1000)),""))</x:f>
        <x:v>CSSP10737482</x:v>
      </x:c>
      <x:c r="B28" s="163" t="str">
        <x:f>IF(A28="","",IF(ROWS($A$5:A28)&lt;=COUNTA('Raw Decommissioning'!$B$2:$B$1000),"Decommissioning","Provisioning"))</x:f>
        <x:v>Decommissioning</x:v>
      </x:c>
      <x:c r="C28" s="163" t="str">
        <x:f>IF(A28="","",IF(B28="Decommissioning",IFERROR(INDEX('Raw Decommissioning'!$E$2:$E$1000,MATCH(A28,'Raw Decommissioning'!$B$2:$B$1000,0)),"Missing from latest raw"),IFERROR(INDEX('Raw Provisioning'!$E$2:$E$1000,MATCH(A28,'Raw Provisioning'!$B$2:$B$1000,0)),"Missing from latest raw")))</x:f>
        <x:v>completed</x:v>
      </x:c>
      <x:c r="D28" s="164" t="n">
        <x:f>IF(A28="","",'Refresh Control'!$B$4)</x:f>
        <x:v>46254</x:v>
      </x:c>
      <x:c r="E28" s="164" t="n">
        <x:f>IF(A28="","",IF(B28="Decommissioning",INDEX('Raw Decommissioning'!$F$2:$F$1000,ROWS($A$5:A28)),INDEX('Raw Provisioning'!$F$2:$F$1000,ROWS($A$5:A28)-COUNTA('Raw Decommissioning'!$B$2:$B$1000))))</x:f>
        <x:v>46014.3209653588</x:v>
      </x:c>
      <x:c r="F28" s="164" t="n">
        <x:f>IF(A28="","",IF(B28="Decommissioning",INDEX('Raw Decommissioning'!$G$2:$G$1000,ROWS($A$5:A28)),INDEX('Raw Provisioning'!$H$2:$H$1000,ROWS($A$5:A28)-COUNTA('Raw Decommissioning'!$B$2:$B$1000))))</x:f>
        <x:v>46083.35332028935</x:v>
      </x:c>
      <x:c r="G28" s="165" t="str">
        <x:f>IF(A28="","",IF(B28="Decommissioning",INDEX('Raw Decommissioning'!$I$2:$I$1000,ROWS($A$5:A28)),INDEX('Raw Provisioning'!$J$2:$J$1000,ROWS($A$5:A28)-COUNTA('Raw Decommissioning'!$B$2:$B$1000))))</x:f>
        <x:v>Upstream Technology and Digital Innovation - UTDI Data Operations</x:v>
      </x:c>
      <x:c r="H28" s="165" t="str">
        <x:f>IF(A28="","",IF(B28="Decommissioning",INDEX('Raw Decommissioning'!$J$2:$J$1000,ROWS($A$5:A28)),INDEX('Raw Provisioning'!$L$2:$L$1000,ROWS($A$5:A28)-COUNTA('Raw Decommissioning'!$B$2:$B$1000))))</x:f>
        <x:v>2023 - DSG repurpose for UTDI Data Ops as instruction from upstream tribe
Provision of Azure Cloud Services for Halliburton Decision Space Geoscience (DSG) Application for Group Technical Data</x:v>
      </x:c>
      <x:c r="I28" s="165" t="str">
        <x:f>IF(A28="","",IF(B28="Decommissioning",INDEX('Raw Decommissioning'!$AL$2:$AL$1000,ROWS($A$5:A28)),INDEX('Raw Provisioning'!$R$2:$R$1000,ROWS($A$5:A28)-COUNTA('Raw Decommissioning'!$B$2:$B$1000))))</x:f>
        <x:v>M</x:v>
      </x:c>
      <x:c r="J28" s="165" t="str">
        <x:f>IF(A28="","",IF(B28="Decommissioning",INDEX('Raw Decommissioning'!$AG$2:$AG$1000,ROWS($A$5:A28)),INDEX('Raw Provisioning'!$AI$2:$AI$1000,ROWS($A$5:A28)-COUNTA('Raw Decommissioning'!$B$2:$B$1000))))</x:f>
        <x:v>azlisham.md@petronas.com</x:v>
      </x:c>
      <x:c r="K28" s="166" t="str">
        <x:f>IF(A28="","",IFERROR(LOOKUP(2,1/('Assignment History'!$B$5:$B$204=A28),'Assignment History'!$D$5:$D$204),IFERROR(VLOOKUP(J28,Configuration!$L$5:$M$50,2,FALSE),J28)))</x:f>
        <x:v>azlisham.md@petronas.com</x:v>
      </x:c>
      <x:c r="L28" s="166" t="str">
        <x:f>IF(A28="","",IF(K28=IFERROR(VLOOKUP(J28,Configuration!$L$5:$M$50,2,FALSE),J28),"Snapshot PIC","Replacement PIC"))</x:f>
        <x:v>Snapshot PIC</x:v>
      </x:c>
      <x:c r="M28" s="167" t="n">
        <x:f>IF(A28="","",IFERROR(VLOOKUP(I28,Configuration!$O$5:$P$8,2,FALSE),Configuration!$S$6))</x:f>
        <x:v>2</x:v>
      </x:c>
      <x:c r="N28" s="167" t="str">
        <x:f>IF(A28="","",IFERROR(LOOKUP(2,1/('Scope Review'!$B$5:$B$204=A28),'Scope Review'!$G$5:$G$204),"Not Reviewed"))</x:f>
        <x:v>Not Reviewed</x:v>
      </x:c>
      <x:c r="O28" s="167" t="str">
        <x:f>IF(A28="","",IFERROR(LOOKUP(2,1/('Scope Review'!$B$5:$B$204=A28),'Scope Review'!$H$5:$H$204),""))</x:f>
      </x:c>
      <x:c r="P28" s="167" t="n">
        <x:f t="shared" si="0">IF(A28="","",IF(AND(C28="executing",N28&lt;&gt;"Confirmed OOS"),M28,0))</x:f>
        <x:v>0</x:v>
      </x:c>
      <x:c r="Q28" s="168" t="str">
        <x:f>IF(A28="","",IFERROR(LOOKUP(2,1/('Engineer Updates'!$B$5:$B$704=A28),'Engineer Updates'!$A$5:$A$704),""))</x:f>
      </x:c>
      <x:c r="R28" s="166" t="str">
        <x:f>IF(A28="","",IFERROR(LOOKUP(2,1/('Engineer Updates'!$B$5:$B$704=A28),'Engineer Updates'!$H$5:$H$704),""))</x:f>
      </x:c>
      <x:c r="S28" s="166" t="str">
        <x:f>IF(A28="","",IFERROR(LOOKUP(2,1/('Engineer Updates'!$B$5:$B$704=A28),'Engineer Updates'!$G$5:$G$704),""))</x:f>
      </x:c>
      <x:c r="T28" s="166" t="str">
        <x:f>IF(A28="","",IFERROR(LOOKUP(2,1/('Engineer Updates'!$B$5:$B$704=A28),'Engineer Updates'!$I$5:$I$704),""))</x:f>
      </x:c>
      <x:c r="U28" s="166" t="str">
        <x:f>IF(A28="","",IFERROR(LOOKUP(2,1/('Engineer Updates'!$B$5:$B$704=A28),'Engineer Updates'!$J$5:$J$704),""))</x:f>
      </x:c>
      <x:c r="V28" s="166" t="str">
        <x:f>IF(A28="","",IFERROR(LOOKUP(2,1/('Engineer Updates'!$B$5:$B$704=A28),'Engineer Updates'!$K$5:$K$704),""))</x:f>
      </x:c>
      <x:c r="W28" s="169" t="str">
        <x:f>IF(A28="","",IFERROR(LOOKUP(2,1/('Engineer Updates'!$B$5:$B$704=A28),'Engineer Updates'!$L$5:$L$704),""))</x:f>
      </x:c>
      <x:c r="X28" s="163" t="str">
        <x:f t="shared" si="1">IF(A28="","",IF(C28="completed","Completed in CSSP",IF(AND(C28="executing",ISERROR(SEARCH("@",K28))),"Executing without named engineer",IF(AND(N28="Confirmed OOS",C28="executing"),"Confirmed OOS still executing",""))))</x:f>
        <x:v>Completed in CSSP</x:v>
      </x:c>
      <x:c r="Y28" s="163" t="str">
        <x:f>IF(A28="","",IF(B28="Decommissioning","Raw Decommissioning","Raw Provisioning"))</x:f>
        <x:v>Raw Decommissioning</x:v>
      </x:c>
      <x:c r="Z28" s="170" t="str">
        <x:f>IF(A28="","",IF(OR(C28="executing",C28="processing"),"Yes","No"))</x:f>
        <x:v>No</x:v>
      </x:c>
    </x:row>
    <x:row r="29" ht="30">
      <x:c r="A29" s="163" t="str">
        <x:f>IF(ROWS($A$5:A29)&lt;=COUNTA('Raw Decommissioning'!$B$2:$B$1000),INDEX('Raw Decommissioning'!$B$2:$B$1000,ROWS($A$5:A29)),IF(ROWS($A$5:A29)-COUNTA('Raw Decommissioning'!$B$2:$B$1000)&lt;=COUNTA('Raw Provisioning'!$B$2:$B$1000),INDEX('Raw Provisioning'!$B$2:$B$1000,ROWS($A$5:A29)-COUNTA('Raw Decommissioning'!$B$2:$B$1000)),""))</x:f>
        <x:v>CSSP10471891</x:v>
      </x:c>
      <x:c r="B29" s="163" t="str">
        <x:f>IF(A29="","",IF(ROWS($A$5:A29)&lt;=COUNTA('Raw Decommissioning'!$B$2:$B$1000),"Decommissioning","Provisioning"))</x:f>
        <x:v>Decommissioning</x:v>
      </x:c>
      <x:c r="C29" s="163" t="str">
        <x:f>IF(A29="","",IF(B29="Decommissioning",IFERROR(INDEX('Raw Decommissioning'!$E$2:$E$1000,MATCH(A29,'Raw Decommissioning'!$B$2:$B$1000,0)),"Missing from latest raw"),IFERROR(INDEX('Raw Provisioning'!$E$2:$E$1000,MATCH(A29,'Raw Provisioning'!$B$2:$B$1000,0)),"Missing from latest raw")))</x:f>
        <x:v>completed</x:v>
      </x:c>
      <x:c r="D29" s="164" t="n">
        <x:f>IF(A29="","",'Refresh Control'!$B$4)</x:f>
        <x:v>46254</x:v>
      </x:c>
      <x:c r="E29" s="164" t="n">
        <x:f>IF(A29="","",IF(B29="Decommissioning",INDEX('Raw Decommissioning'!$F$2:$F$1000,ROWS($A$5:A29)),INDEX('Raw Provisioning'!$F$2:$F$1000,ROWS($A$5:A29)-COUNTA('Raw Decommissioning'!$B$2:$B$1000))))</x:f>
        <x:v>46014.330027662036</x:v>
      </x:c>
      <x:c r="F29" s="164" t="n">
        <x:f>IF(A29="","",IF(B29="Decommissioning",INDEX('Raw Decommissioning'!$G$2:$G$1000,ROWS($A$5:A29)),INDEX('Raw Provisioning'!$H$2:$H$1000,ROWS($A$5:A29)-COUNTA('Raw Decommissioning'!$B$2:$B$1000))))</x:f>
        <x:v>46084.14960159722</x:v>
      </x:c>
      <x:c r="G29" s="165" t="str">
        <x:f>IF(A29="","",IF(B29="Decommissioning",INDEX('Raw Decommissioning'!$I$2:$I$1000,ROWS($A$5:A29)),INDEX('Raw Provisioning'!$J$2:$J$1000,ROWS($A$5:A29)-COUNTA('Raw Decommissioning'!$B$2:$B$1000))))</x:f>
        <x:v>Upstream Technology and Digital Innovation - UTDI Data Operations</x:v>
      </x:c>
      <x:c r="H29" s="165" t="str">
        <x:f>IF(A29="","",IF(B29="Decommissioning",INDEX('Raw Decommissioning'!$J$2:$J$1000,ROWS($A$5:A29)),INDEX('Raw Provisioning'!$L$2:$L$1000,ROWS($A$5:A29)-COUNTA('Raw Decommissioning'!$B$2:$B$1000))))</x:f>
        <x:v>2023 - DSG repurpose for UTDI Data Ops as instruction from upstream tribe
Provision of Cloud Services for Gabon Office - DSG West Europe</x:v>
      </x:c>
      <x:c r="I29" s="165" t="str">
        <x:f>IF(A29="","",IF(B29="Decommissioning",INDEX('Raw Decommissioning'!$AL$2:$AL$1000,ROWS($A$5:A29)),INDEX('Raw Provisioning'!$R$2:$R$1000,ROWS($A$5:A29)-COUNTA('Raw Decommissioning'!$B$2:$B$1000))))</x:f>
        <x:v>M</x:v>
      </x:c>
      <x:c r="J29" s="165" t="str">
        <x:f>IF(A29="","",IF(B29="Decommissioning",INDEX('Raw Decommissioning'!$AG$2:$AG$1000,ROWS($A$5:A29)),INDEX('Raw Provisioning'!$AI$2:$AI$1000,ROWS($A$5:A29)-COUNTA('Raw Decommissioning'!$B$2:$B$1000))))</x:f>
        <x:v>azlisham.md@petronas.com</x:v>
      </x:c>
      <x:c r="K29" s="166" t="str">
        <x:f>IF(A29="","",IFERROR(LOOKUP(2,1/('Assignment History'!$B$5:$B$204=A29),'Assignment History'!$D$5:$D$204),IFERROR(VLOOKUP(J29,Configuration!$L$5:$M$50,2,FALSE),J29)))</x:f>
        <x:v>azlisham.md@petronas.com</x:v>
      </x:c>
      <x:c r="L29" s="166" t="str">
        <x:f>IF(A29="","",IF(K29=IFERROR(VLOOKUP(J29,Configuration!$L$5:$M$50,2,FALSE),J29),"Snapshot PIC","Replacement PIC"))</x:f>
        <x:v>Snapshot PIC</x:v>
      </x:c>
      <x:c r="M29" s="167" t="n">
        <x:f>IF(A29="","",IFERROR(VLOOKUP(I29,Configuration!$O$5:$P$8,2,FALSE),Configuration!$S$6))</x:f>
        <x:v>2</x:v>
      </x:c>
      <x:c r="N29" s="167" t="str">
        <x:f>IF(A29="","",IFERROR(LOOKUP(2,1/('Scope Review'!$B$5:$B$204=A29),'Scope Review'!$G$5:$G$204),"Not Reviewed"))</x:f>
        <x:v>Not Reviewed</x:v>
      </x:c>
      <x:c r="O29" s="167" t="str">
        <x:f>IF(A29="","",IFERROR(LOOKUP(2,1/('Scope Review'!$B$5:$B$204=A29),'Scope Review'!$H$5:$H$204),""))</x:f>
      </x:c>
      <x:c r="P29" s="167" t="n">
        <x:f t="shared" si="0">IF(A29="","",IF(AND(C29="executing",N29&lt;&gt;"Confirmed OOS"),M29,0))</x:f>
        <x:v>0</x:v>
      </x:c>
      <x:c r="Q29" s="168" t="str">
        <x:f>IF(A29="","",IFERROR(LOOKUP(2,1/('Engineer Updates'!$B$5:$B$704=A29),'Engineer Updates'!$A$5:$A$704),""))</x:f>
      </x:c>
      <x:c r="R29" s="166" t="str">
        <x:f>IF(A29="","",IFERROR(LOOKUP(2,1/('Engineer Updates'!$B$5:$B$704=A29),'Engineer Updates'!$H$5:$H$704),""))</x:f>
      </x:c>
      <x:c r="S29" s="166" t="str">
        <x:f>IF(A29="","",IFERROR(LOOKUP(2,1/('Engineer Updates'!$B$5:$B$704=A29),'Engineer Updates'!$G$5:$G$704),""))</x:f>
      </x:c>
      <x:c r="T29" s="166" t="str">
        <x:f>IF(A29="","",IFERROR(LOOKUP(2,1/('Engineer Updates'!$B$5:$B$704=A29),'Engineer Updates'!$I$5:$I$704),""))</x:f>
      </x:c>
      <x:c r="U29" s="166" t="str">
        <x:f>IF(A29="","",IFERROR(LOOKUP(2,1/('Engineer Updates'!$B$5:$B$704=A29),'Engineer Updates'!$J$5:$J$704),""))</x:f>
      </x:c>
      <x:c r="V29" s="166" t="str">
        <x:f>IF(A29="","",IFERROR(LOOKUP(2,1/('Engineer Updates'!$B$5:$B$704=A29),'Engineer Updates'!$K$5:$K$704),""))</x:f>
      </x:c>
      <x:c r="W29" s="169" t="str">
        <x:f>IF(A29="","",IFERROR(LOOKUP(2,1/('Engineer Updates'!$B$5:$B$704=A29),'Engineer Updates'!$L$5:$L$704),""))</x:f>
      </x:c>
      <x:c r="X29" s="163" t="str">
        <x:f t="shared" si="1">IF(A29="","",IF(C29="completed","Completed in CSSP",IF(AND(C29="executing",ISERROR(SEARCH("@",K29))),"Executing without named engineer",IF(AND(N29="Confirmed OOS",C29="executing"),"Confirmed OOS still executing",""))))</x:f>
        <x:v>Completed in CSSP</x:v>
      </x:c>
      <x:c r="Y29" s="163" t="str">
        <x:f>IF(A29="","",IF(B29="Decommissioning","Raw Decommissioning","Raw Provisioning"))</x:f>
        <x:v>Raw Decommissioning</x:v>
      </x:c>
      <x:c r="Z29" s="170" t="str">
        <x:f>IF(A29="","",IF(OR(C29="executing",C29="processing"),"Yes","No"))</x:f>
        <x:v>No</x:v>
      </x:c>
    </x:row>
    <x:row r="30" ht="30">
      <x:c r="A30" s="163" t="str">
        <x:f>IF(ROWS($A$5:A30)&lt;=COUNTA('Raw Decommissioning'!$B$2:$B$1000),INDEX('Raw Decommissioning'!$B$2:$B$1000,ROWS($A$5:A30)),IF(ROWS($A$5:A30)-COUNTA('Raw Decommissioning'!$B$2:$B$1000)&lt;=COUNTA('Raw Provisioning'!$B$2:$B$1000),INDEX('Raw Provisioning'!$B$2:$B$1000,ROWS($A$5:A30)-COUNTA('Raw Decommissioning'!$B$2:$B$1000)),""))</x:f>
        <x:v>CSSP10985709</x:v>
      </x:c>
      <x:c r="B30" s="163" t="str">
        <x:f>IF(A30="","",IF(ROWS($A$5:A30)&lt;=COUNTA('Raw Decommissioning'!$B$2:$B$1000),"Decommissioning","Provisioning"))</x:f>
        <x:v>Decommissioning</x:v>
      </x:c>
      <x:c r="C30" s="163" t="str">
        <x:f>IF(A30="","",IF(B30="Decommissioning",IFERROR(INDEX('Raw Decommissioning'!$E$2:$E$1000,MATCH(A30,'Raw Decommissioning'!$B$2:$B$1000,0)),"Missing from latest raw"),IFERROR(INDEX('Raw Provisioning'!$E$2:$E$1000,MATCH(A30,'Raw Provisioning'!$B$2:$B$1000,0)),"Missing from latest raw")))</x:f>
        <x:v>completed</x:v>
      </x:c>
      <x:c r="D30" s="164" t="n">
        <x:f>IF(A30="","",'Refresh Control'!$B$4)</x:f>
        <x:v>46254</x:v>
      </x:c>
      <x:c r="E30" s="164" t="n">
        <x:f>IF(A30="","",IF(B30="Decommissioning",INDEX('Raw Decommissioning'!$F$2:$F$1000,ROWS($A$5:A30)),INDEX('Raw Provisioning'!$F$2:$F$1000,ROWS($A$5:A30)-COUNTA('Raw Decommissioning'!$B$2:$B$1000))))</x:f>
        <x:v>46014.361186180555</x:v>
      </x:c>
      <x:c r="F30" s="164" t="n">
        <x:f>IF(A30="","",IF(B30="Decommissioning",INDEX('Raw Decommissioning'!$G$2:$G$1000,ROWS($A$5:A30)),INDEX('Raw Provisioning'!$H$2:$H$1000,ROWS($A$5:A30)-COUNTA('Raw Decommissioning'!$B$2:$B$1000))))</x:f>
        <x:v>46028.33286449074</x:v>
      </x:c>
      <x:c r="G30" s="165" t="str">
        <x:f>IF(A30="","",IF(B30="Decommissioning",INDEX('Raw Decommissioning'!$I$2:$I$1000,ROWS($A$5:A30)),INDEX('Raw Provisioning'!$J$2:$J$1000,ROWS($A$5:A30)-COUNTA('Raw Decommissioning'!$B$2:$B$1000))))</x:f>
        <x:v>Business Intelligence Reporting and Analytic - BIRA</x:v>
      </x:c>
      <x:c r="H30" s="165" t="str">
        <x:f>IF(A30="","",IF(B30="Decommissioning",INDEX('Raw Decommissioning'!$J$2:$J$1000,ROWS($A$5:A30)),INDEX('Raw Provisioning'!$L$2:$L$1000,ROWS($A$5:A30)-COUNTA('Raw Decommissioning'!$B$2:$B$1000))))</x:f>
        <x:v>Cloud Migration- BIRA (Business Intelligence Reporting &amp; Analytic)</x:v>
      </x:c>
      <x:c r="I30" s="165" t="str">
        <x:f>IF(A30="","",IF(B30="Decommissioning",INDEX('Raw Decommissioning'!$AL$2:$AL$1000,ROWS($A$5:A30)),INDEX('Raw Provisioning'!$R$2:$R$1000,ROWS($A$5:A30)-COUNTA('Raw Decommissioning'!$B$2:$B$1000))))</x:f>
        <x:v>M</x:v>
      </x:c>
      <x:c r="J30" s="165" t="str">
        <x:f>IF(A30="","",IF(B30="Decommissioning",INDEX('Raw Decommissioning'!$AG$2:$AG$1000,ROWS($A$5:A30)),INDEX('Raw Provisioning'!$AI$2:$AI$1000,ROWS($A$5:A30)-COUNTA('Raw Decommissioning'!$B$2:$B$1000))))</x:f>
        <x:v>azlisham.md@petronas.com</x:v>
      </x:c>
      <x:c r="K30" s="166" t="str">
        <x:f>IF(A30="","",IFERROR(LOOKUP(2,1/('Assignment History'!$B$5:$B$204=A30),'Assignment History'!$D$5:$D$204),IFERROR(VLOOKUP(J30,Configuration!$L$5:$M$50,2,FALSE),J30)))</x:f>
        <x:v>azlisham.md@petronas.com</x:v>
      </x:c>
      <x:c r="L30" s="166" t="str">
        <x:f>IF(A30="","",IF(K30=IFERROR(VLOOKUP(J30,Configuration!$L$5:$M$50,2,FALSE),J30),"Snapshot PIC","Replacement PIC"))</x:f>
        <x:v>Snapshot PIC</x:v>
      </x:c>
      <x:c r="M30" s="167" t="n">
        <x:f>IF(A30="","",IFERROR(VLOOKUP(I30,Configuration!$O$5:$P$8,2,FALSE),Configuration!$S$6))</x:f>
        <x:v>2</x:v>
      </x:c>
      <x:c r="N30" s="167" t="str">
        <x:f>IF(A30="","",IFERROR(LOOKUP(2,1/('Scope Review'!$B$5:$B$204=A30),'Scope Review'!$G$5:$G$204),"Not Reviewed"))</x:f>
        <x:v>Not Reviewed</x:v>
      </x:c>
      <x:c r="O30" s="167" t="str">
        <x:f>IF(A30="","",IFERROR(LOOKUP(2,1/('Scope Review'!$B$5:$B$204=A30),'Scope Review'!$H$5:$H$204),""))</x:f>
      </x:c>
      <x:c r="P30" s="167" t="n">
        <x:f t="shared" si="0">IF(A30="","",IF(AND(C30="executing",N30&lt;&gt;"Confirmed OOS"),M30,0))</x:f>
        <x:v>0</x:v>
      </x:c>
      <x:c r="Q30" s="168" t="str">
        <x:f>IF(A30="","",IFERROR(LOOKUP(2,1/('Engineer Updates'!$B$5:$B$704=A30),'Engineer Updates'!$A$5:$A$704),""))</x:f>
      </x:c>
      <x:c r="R30" s="166" t="str">
        <x:f>IF(A30="","",IFERROR(LOOKUP(2,1/('Engineer Updates'!$B$5:$B$704=A30),'Engineer Updates'!$H$5:$H$704),""))</x:f>
      </x:c>
      <x:c r="S30" s="166" t="str">
        <x:f>IF(A30="","",IFERROR(LOOKUP(2,1/('Engineer Updates'!$B$5:$B$704=A30),'Engineer Updates'!$G$5:$G$704),""))</x:f>
      </x:c>
      <x:c r="T30" s="166" t="str">
        <x:f>IF(A30="","",IFERROR(LOOKUP(2,1/('Engineer Updates'!$B$5:$B$704=A30),'Engineer Updates'!$I$5:$I$704),""))</x:f>
      </x:c>
      <x:c r="U30" s="166" t="str">
        <x:f>IF(A30="","",IFERROR(LOOKUP(2,1/('Engineer Updates'!$B$5:$B$704=A30),'Engineer Updates'!$J$5:$J$704),""))</x:f>
      </x:c>
      <x:c r="V30" s="166" t="str">
        <x:f>IF(A30="","",IFERROR(LOOKUP(2,1/('Engineer Updates'!$B$5:$B$704=A30),'Engineer Updates'!$K$5:$K$704),""))</x:f>
      </x:c>
      <x:c r="W30" s="169" t="str">
        <x:f>IF(A30="","",IFERROR(LOOKUP(2,1/('Engineer Updates'!$B$5:$B$704=A30),'Engineer Updates'!$L$5:$L$704),""))</x:f>
      </x:c>
      <x:c r="X30" s="163" t="str">
        <x:f t="shared" si="1">IF(A30="","",IF(C30="completed","Completed in CSSP",IF(AND(C30="executing",ISERROR(SEARCH("@",K30))),"Executing without named engineer",IF(AND(N30="Confirmed OOS",C30="executing"),"Confirmed OOS still executing",""))))</x:f>
        <x:v>Completed in CSSP</x:v>
      </x:c>
      <x:c r="Y30" s="163" t="str">
        <x:f>IF(A30="","",IF(B30="Decommissioning","Raw Decommissioning","Raw Provisioning"))</x:f>
        <x:v>Raw Decommissioning</x:v>
      </x:c>
      <x:c r="Z30" s="170" t="str">
        <x:f>IF(A30="","",IF(OR(C30="executing",C30="processing"),"Yes","No"))</x:f>
        <x:v>No</x:v>
      </x:c>
    </x:row>
    <x:row r="31" ht="45">
      <x:c r="A31" s="163" t="str">
        <x:f>IF(ROWS($A$5:A31)&lt;=COUNTA('Raw Decommissioning'!$B$2:$B$1000),INDEX('Raw Decommissioning'!$B$2:$B$1000,ROWS($A$5:A31)),IF(ROWS($A$5:A31)-COUNTA('Raw Decommissioning'!$B$2:$B$1000)&lt;=COUNTA('Raw Provisioning'!$B$2:$B$1000),INDEX('Raw Provisioning'!$B$2:$B$1000,ROWS($A$5:A31)-COUNTA('Raw Decommissioning'!$B$2:$B$1000)),""))</x:f>
        <x:v>CSSP10217386</x:v>
      </x:c>
      <x:c r="B31" s="163" t="str">
        <x:f>IF(A31="","",IF(ROWS($A$5:A31)&lt;=COUNTA('Raw Decommissioning'!$B$2:$B$1000),"Decommissioning","Provisioning"))</x:f>
        <x:v>Decommissioning</x:v>
      </x:c>
      <x:c r="C31" s="163" t="str">
        <x:f>IF(A31="","",IF(B31="Decommissioning",IFERROR(INDEX('Raw Decommissioning'!$E$2:$E$1000,MATCH(A31,'Raw Decommissioning'!$B$2:$B$1000,0)),"Missing from latest raw"),IFERROR(INDEX('Raw Provisioning'!$E$2:$E$1000,MATCH(A31,'Raw Provisioning'!$B$2:$B$1000,0)),"Missing from latest raw")))</x:f>
        <x:v>completed</x:v>
      </x:c>
      <x:c r="D31" s="164" t="n">
        <x:f>IF(A31="","",'Refresh Control'!$B$4)</x:f>
        <x:v>46254</x:v>
      </x:c>
      <x:c r="E31" s="164" t="n">
        <x:f>IF(A31="","",IF(B31="Decommissioning",INDEX('Raw Decommissioning'!$F$2:$F$1000,ROWS($A$5:A31)),INDEX('Raw Provisioning'!$F$2:$F$1000,ROWS($A$5:A31)-COUNTA('Raw Decommissioning'!$B$2:$B$1000))))</x:f>
        <x:v>46015.07346467592</x:v>
      </x:c>
      <x:c r="F31" s="164" t="n">
        <x:f>IF(A31="","",IF(B31="Decommissioning",INDEX('Raw Decommissioning'!$G$2:$G$1000,ROWS($A$5:A31)),INDEX('Raw Provisioning'!$H$2:$H$1000,ROWS($A$5:A31)-COUNTA('Raw Decommissioning'!$B$2:$B$1000))))</x:f>
        <x:v>46031.08617920139</x:v>
      </x:c>
      <x:c r="G31" s="165" t="str">
        <x:f>IF(A31="","",IF(B31="Decommissioning",INDEX('Raw Decommissioning'!$I$2:$I$1000,ROWS($A$5:A31)),INDEX('Raw Provisioning'!$J$2:$J$1000,ROWS($A$5:A31)-COUNTA('Raw Decommissioning'!$B$2:$B$1000))))</x:f>
        <x:v>Visual Integrated Solution for Material - VISMA</x:v>
      </x:c>
      <x:c r="H31" s="165" t="str">
        <x:f>IF(A31="","",IF(B31="Decommissioning",INDEX('Raw Decommissioning'!$J$2:$J$1000,ROWS($A$5:A31)),INDEX('Raw Provisioning'!$L$2:$L$1000,ROWS($A$5:A31)-COUNTA('Raw Decommissioning'!$B$2:$B$1000))))</x:f>
        <x:v>VISUAL INTEGRATED SOLUTION for MATERIAL</x:v>
      </x:c>
      <x:c r="I31" s="165" t="str">
        <x:f>IF(A31="","",IF(B31="Decommissioning",INDEX('Raw Decommissioning'!$AL$2:$AL$1000,ROWS($A$5:A31)),INDEX('Raw Provisioning'!$R$2:$R$1000,ROWS($A$5:A31)-COUNTA('Raw Decommissioning'!$B$2:$B$1000))))</x:f>
        <x:v>S</x:v>
      </x:c>
      <x:c r="J31" s="165" t="str">
        <x:f>IF(A31="","",IF(B31="Decommissioning",INDEX('Raw Decommissioning'!$AG$2:$AG$1000,ROWS($A$5:A31)),INDEX('Raw Provisioning'!$AI$2:$AI$1000,ROWS($A$5:A31)-COUNTA('Raw Decommissioning'!$B$2:$B$1000))))</x:f>
        <x:v>azwan.badari@petronas.com</x:v>
      </x:c>
      <x:c r="K31" s="166" t="str">
        <x:f>IF(A31="","",IFERROR(LOOKUP(2,1/('Assignment History'!$B$5:$B$204=A31),'Assignment History'!$D$5:$D$204),IFERROR(VLOOKUP(J31,Configuration!$L$5:$M$50,2,FALSE),J31)))</x:f>
        <x:v>azwan.badari@petronas.com</x:v>
      </x:c>
      <x:c r="L31" s="166" t="str">
        <x:f>IF(A31="","",IF(K31=IFERROR(VLOOKUP(J31,Configuration!$L$5:$M$50,2,FALSE),J31),"Snapshot PIC","Replacement PIC"))</x:f>
        <x:v>Snapshot PIC</x:v>
      </x:c>
      <x:c r="M31" s="167" t="n">
        <x:f>IF(A31="","",IFERROR(VLOOKUP(I31,Configuration!$O$5:$P$8,2,FALSE),Configuration!$S$6))</x:f>
        <x:v>1</x:v>
      </x:c>
      <x:c r="N31" s="167" t="str">
        <x:f>IF(A31="","",IFERROR(LOOKUP(2,1/('Scope Review'!$B$5:$B$204=A31),'Scope Review'!$G$5:$G$204),"Not Reviewed"))</x:f>
        <x:v>Not Reviewed</x:v>
      </x:c>
      <x:c r="O31" s="167" t="str">
        <x:f>IF(A31="","",IFERROR(LOOKUP(2,1/('Scope Review'!$B$5:$B$204=A31),'Scope Review'!$H$5:$H$204),""))</x:f>
      </x:c>
      <x:c r="P31" s="167" t="n">
        <x:f t="shared" si="0">IF(A31="","",IF(AND(C31="executing",N31&lt;&gt;"Confirmed OOS"),M31,0))</x:f>
        <x:v>0</x:v>
      </x:c>
      <x:c r="Q31" s="168" t="str">
        <x:f>IF(A31="","",IFERROR(LOOKUP(2,1/('Engineer Updates'!$B$5:$B$704=A31),'Engineer Updates'!$A$5:$A$704),""))</x:f>
      </x:c>
      <x:c r="R31" s="166" t="str">
        <x:f>IF(A31="","",IFERROR(LOOKUP(2,1/('Engineer Updates'!$B$5:$B$704=A31),'Engineer Updates'!$H$5:$H$704),""))</x:f>
      </x:c>
      <x:c r="S31" s="166" t="str">
        <x:f>IF(A31="","",IFERROR(LOOKUP(2,1/('Engineer Updates'!$B$5:$B$704=A31),'Engineer Updates'!$G$5:$G$704),""))</x:f>
      </x:c>
      <x:c r="T31" s="166" t="str">
        <x:f>IF(A31="","",IFERROR(LOOKUP(2,1/('Engineer Updates'!$B$5:$B$704=A31),'Engineer Updates'!$I$5:$I$704),""))</x:f>
      </x:c>
      <x:c r="U31" s="166" t="str">
        <x:f>IF(A31="","",IFERROR(LOOKUP(2,1/('Engineer Updates'!$B$5:$B$704=A31),'Engineer Updates'!$J$5:$J$704),""))</x:f>
      </x:c>
      <x:c r="V31" s="166" t="str">
        <x:f>IF(A31="","",IFERROR(LOOKUP(2,1/('Engineer Updates'!$B$5:$B$704=A31),'Engineer Updates'!$K$5:$K$704),""))</x:f>
      </x:c>
      <x:c r="W31" s="169" t="str">
        <x:f>IF(A31="","",IFERROR(LOOKUP(2,1/('Engineer Updates'!$B$5:$B$704=A31),'Engineer Updates'!$L$5:$L$704),""))</x:f>
      </x:c>
      <x:c r="X31" s="163" t="str">
        <x:f t="shared" si="1">IF(A31="","",IF(C31="completed","Completed in CSSP",IF(AND(C31="executing",ISERROR(SEARCH("@",K31))),"Executing without named engineer",IF(AND(N31="Confirmed OOS",C31="executing"),"Confirmed OOS still executing",""))))</x:f>
        <x:v>Completed in CSSP</x:v>
      </x:c>
      <x:c r="Y31" s="163" t="str">
        <x:f>IF(A31="","",IF(B31="Decommissioning","Raw Decommissioning","Raw Provisioning"))</x:f>
        <x:v>Raw Decommissioning</x:v>
      </x:c>
      <x:c r="Z31" s="170" t="str">
        <x:f>IF(A31="","",IF(OR(C31="executing",C31="processing"),"Yes","No"))</x:f>
        <x:v>No</x:v>
      </x:c>
    </x:row>
    <x:row r="32">
      <x:c r="A32" s="163" t="str">
        <x:f>IF(ROWS($A$5:A32)&lt;=COUNTA('Raw Decommissioning'!$B$2:$B$1000),INDEX('Raw Decommissioning'!$B$2:$B$1000,ROWS($A$5:A32)),IF(ROWS($A$5:A32)-COUNTA('Raw Decommissioning'!$B$2:$B$1000)&lt;=COUNTA('Raw Provisioning'!$B$2:$B$1000),INDEX('Raw Provisioning'!$B$2:$B$1000,ROWS($A$5:A32)-COUNTA('Raw Decommissioning'!$B$2:$B$1000)),""))</x:f>
        <x:v>CSSP10442429</x:v>
      </x:c>
      <x:c r="B32" s="163" t="str">
        <x:f>IF(A32="","",IF(ROWS($A$5:A32)&lt;=COUNTA('Raw Decommissioning'!$B$2:$B$1000),"Decommissioning","Provisioning"))</x:f>
        <x:v>Decommissioning</x:v>
      </x:c>
      <x:c r="C32" s="163" t="str">
        <x:f>IF(A32="","",IF(B32="Decommissioning",IFERROR(INDEX('Raw Decommissioning'!$E$2:$E$1000,MATCH(A32,'Raw Decommissioning'!$B$2:$B$1000,0)),"Missing from latest raw"),IFERROR(INDEX('Raw Provisioning'!$E$2:$E$1000,MATCH(A32,'Raw Provisioning'!$B$2:$B$1000,0)),"Missing from latest raw")))</x:f>
        <x:v>completed</x:v>
      </x:c>
      <x:c r="D32" s="164" t="n">
        <x:f>IF(A32="","",'Refresh Control'!$B$4)</x:f>
        <x:v>46254</x:v>
      </x:c>
      <x:c r="E32" s="164" t="n">
        <x:f>IF(A32="","",IF(B32="Decommissioning",INDEX('Raw Decommissioning'!$F$2:$F$1000,ROWS($A$5:A32)),INDEX('Raw Provisioning'!$F$2:$F$1000,ROWS($A$5:A32)-COUNTA('Raw Decommissioning'!$B$2:$B$1000))))</x:f>
        <x:v>46015.17047128472</x:v>
      </x:c>
      <x:c r="F32" s="164" t="n">
        <x:f>IF(A32="","",IF(B32="Decommissioning",INDEX('Raw Decommissioning'!$G$2:$G$1000,ROWS($A$5:A32)),INDEX('Raw Provisioning'!$H$2:$H$1000,ROWS($A$5:A32)-COUNTA('Raw Decommissioning'!$B$2:$B$1000))))</x:f>
        <x:v>46049.13510611111</x:v>
      </x:c>
      <x:c r="G32" s="165" t="str">
        <x:f>IF(A32="","",IF(B32="Decommissioning",INDEX('Raw Decommissioning'!$I$2:$I$1000,ROWS($A$5:A32)),INDEX('Raw Provisioning'!$J$2:$J$1000,ROWS($A$5:A32)-COUNTA('Raw Decommissioning'!$B$2:$B$1000))))</x:f>
        <x:v>SMART / DPVA Upstream</x:v>
      </x:c>
      <x:c r="H32" s="165" t="str">
        <x:f>IF(A32="","",IF(B32="Decommissioning",INDEX('Raw Decommissioning'!$J$2:$J$1000,ROWS($A$5:A32)),INDEX('Raw Provisioning'!$L$2:$L$1000,ROWS($A$5:A32)-COUNTA('Raw Decommissioning'!$B$2:$B$1000))))</x:f>
        <x:v>Vessel Analytics (VA)</x:v>
      </x:c>
      <x:c r="I32" s="165" t="str">
        <x:f>IF(A32="","",IF(B32="Decommissioning",INDEX('Raw Decommissioning'!$AL$2:$AL$1000,ROWS($A$5:A32)),INDEX('Raw Provisioning'!$R$2:$R$1000,ROWS($A$5:A32)-COUNTA('Raw Decommissioning'!$B$2:$B$1000))))</x:f>
        <x:v>M</x:v>
      </x:c>
      <x:c r="J32" s="165" t="str">
        <x:f>IF(A32="","",IF(B32="Decommissioning",INDEX('Raw Decommissioning'!$AG$2:$AG$1000,ROWS($A$5:A32)),INDEX('Raw Provisioning'!$AI$2:$AI$1000,ROWS($A$5:A32)-COUNTA('Raw Decommissioning'!$B$2:$B$1000))))</x:f>
        <x:v>azlisham.md@petronas.com</x:v>
      </x:c>
      <x:c r="K32" s="166" t="str">
        <x:f>IF(A32="","",IFERROR(LOOKUP(2,1/('Assignment History'!$B$5:$B$204=A32),'Assignment History'!$D$5:$D$204),IFERROR(VLOOKUP(J32,Configuration!$L$5:$M$50,2,FALSE),J32)))</x:f>
        <x:v>azlisham.md@petronas.com</x:v>
      </x:c>
      <x:c r="L32" s="166" t="str">
        <x:f>IF(A32="","",IF(K32=IFERROR(VLOOKUP(J32,Configuration!$L$5:$M$50,2,FALSE),J32),"Snapshot PIC","Replacement PIC"))</x:f>
        <x:v>Snapshot PIC</x:v>
      </x:c>
      <x:c r="M32" s="167" t="n">
        <x:f>IF(A32="","",IFERROR(VLOOKUP(I32,Configuration!$O$5:$P$8,2,FALSE),Configuration!$S$6))</x:f>
        <x:v>2</x:v>
      </x:c>
      <x:c r="N32" s="167" t="str">
        <x:f>IF(A32="","",IFERROR(LOOKUP(2,1/('Scope Review'!$B$5:$B$204=A32),'Scope Review'!$G$5:$G$204),"Not Reviewed"))</x:f>
        <x:v>Not Reviewed</x:v>
      </x:c>
      <x:c r="O32" s="167" t="str">
        <x:f>IF(A32="","",IFERROR(LOOKUP(2,1/('Scope Review'!$B$5:$B$204=A32),'Scope Review'!$H$5:$H$204),""))</x:f>
      </x:c>
      <x:c r="P32" s="167" t="n">
        <x:f t="shared" si="0">IF(A32="","",IF(AND(C32="executing",N32&lt;&gt;"Confirmed OOS"),M32,0))</x:f>
        <x:v>0</x:v>
      </x:c>
      <x:c r="Q32" s="168" t="str">
        <x:f>IF(A32="","",IFERROR(LOOKUP(2,1/('Engineer Updates'!$B$5:$B$704=A32),'Engineer Updates'!$A$5:$A$704),""))</x:f>
      </x:c>
      <x:c r="R32" s="166" t="str">
        <x:f>IF(A32="","",IFERROR(LOOKUP(2,1/('Engineer Updates'!$B$5:$B$704=A32),'Engineer Updates'!$H$5:$H$704),""))</x:f>
      </x:c>
      <x:c r="S32" s="166" t="str">
        <x:f>IF(A32="","",IFERROR(LOOKUP(2,1/('Engineer Updates'!$B$5:$B$704=A32),'Engineer Updates'!$G$5:$G$704),""))</x:f>
      </x:c>
      <x:c r="T32" s="166" t="str">
        <x:f>IF(A32="","",IFERROR(LOOKUP(2,1/('Engineer Updates'!$B$5:$B$704=A32),'Engineer Updates'!$I$5:$I$704),""))</x:f>
      </x:c>
      <x:c r="U32" s="166" t="str">
        <x:f>IF(A32="","",IFERROR(LOOKUP(2,1/('Engineer Updates'!$B$5:$B$704=A32),'Engineer Updates'!$J$5:$J$704),""))</x:f>
      </x:c>
      <x:c r="V32" s="166" t="str">
        <x:f>IF(A32="","",IFERROR(LOOKUP(2,1/('Engineer Updates'!$B$5:$B$704=A32),'Engineer Updates'!$K$5:$K$704),""))</x:f>
      </x:c>
      <x:c r="W32" s="169" t="str">
        <x:f>IF(A32="","",IFERROR(LOOKUP(2,1/('Engineer Updates'!$B$5:$B$704=A32),'Engineer Updates'!$L$5:$L$704),""))</x:f>
      </x:c>
      <x:c r="X32" s="163" t="str">
        <x:f t="shared" si="1">IF(A32="","",IF(C32="completed","Completed in CSSP",IF(AND(C32="executing",ISERROR(SEARCH("@",K32))),"Executing without named engineer",IF(AND(N32="Confirmed OOS",C32="executing"),"Confirmed OOS still executing",""))))</x:f>
        <x:v>Completed in CSSP</x:v>
      </x:c>
      <x:c r="Y32" s="163" t="str">
        <x:f>IF(A32="","",IF(B32="Decommissioning","Raw Decommissioning","Raw Provisioning"))</x:f>
        <x:v>Raw Decommissioning</x:v>
      </x:c>
      <x:c r="Z32" s="170" t="str">
        <x:f>IF(A32="","",IF(OR(C32="executing",C32="processing"),"Yes","No"))</x:f>
        <x:v>No</x:v>
      </x:c>
    </x:row>
    <x:row r="33" ht="30">
      <x:c r="A33" s="163" t="str">
        <x:f>IF(ROWS($A$5:A33)&lt;=COUNTA('Raw Decommissioning'!$B$2:$B$1000),INDEX('Raw Decommissioning'!$B$2:$B$1000,ROWS($A$5:A33)),IF(ROWS($A$5:A33)-COUNTA('Raw Decommissioning'!$B$2:$B$1000)&lt;=COUNTA('Raw Provisioning'!$B$2:$B$1000),INDEX('Raw Provisioning'!$B$2:$B$1000,ROWS($A$5:A33)-COUNTA('Raw Decommissioning'!$B$2:$B$1000)),""))</x:f>
        <x:v>CSSP10818859</x:v>
      </x:c>
      <x:c r="B33" s="163" t="str">
        <x:f>IF(A33="","",IF(ROWS($A$5:A33)&lt;=COUNTA('Raw Decommissioning'!$B$2:$B$1000),"Decommissioning","Provisioning"))</x:f>
        <x:v>Decommissioning</x:v>
      </x:c>
      <x:c r="C33" s="163" t="str">
        <x:f>IF(A33="","",IF(B33="Decommissioning",IFERROR(INDEX('Raw Decommissioning'!$E$2:$E$1000,MATCH(A33,'Raw Decommissioning'!$B$2:$B$1000,0)),"Missing from latest raw"),IFERROR(INDEX('Raw Provisioning'!$E$2:$E$1000,MATCH(A33,'Raw Provisioning'!$B$2:$B$1000,0)),"Missing from latest raw")))</x:f>
        <x:v>completed</x:v>
      </x:c>
      <x:c r="D33" s="164" t="n">
        <x:f>IF(A33="","",'Refresh Control'!$B$4)</x:f>
        <x:v>46254</x:v>
      </x:c>
      <x:c r="E33" s="164" t="n">
        <x:f>IF(A33="","",IF(B33="Decommissioning",INDEX('Raw Decommissioning'!$F$2:$F$1000,ROWS($A$5:A33)),INDEX('Raw Provisioning'!$F$2:$F$1000,ROWS($A$5:A33)-COUNTA('Raw Decommissioning'!$B$2:$B$1000))))</x:f>
        <x:v>46020.18950961805</x:v>
      </x:c>
      <x:c r="F33" s="164" t="n">
        <x:f>IF(A33="","",IF(B33="Decommissioning",INDEX('Raw Decommissioning'!$G$2:$G$1000,ROWS($A$5:A33)),INDEX('Raw Provisioning'!$H$2:$H$1000,ROWS($A$5:A33)-COUNTA('Raw Decommissioning'!$B$2:$B$1000))))</x:f>
        <x:v>46030.28119804398</x:v>
      </x:c>
      <x:c r="G33" s="165" t="str">
        <x:f>IF(A33="","",IF(B33="Decommissioning",INDEX('Raw Decommissioning'!$I$2:$I$1000,ROWS($A$5:A33)),INDEX('Raw Provisioning'!$J$2:$J$1000,ROWS($A$5:A33)-COUNTA('Raw Decommissioning'!$B$2:$B$1000))))</x:f>
        <x:v>MyProcure</x:v>
      </x:c>
      <x:c r="H33" s="165" t="str">
        <x:f>IF(A33="","",IF(B33="Decommissioning",INDEX('Raw Decommissioning'!$J$2:$J$1000,ROWS($A$5:A33)),INDEX('Raw Provisioning'!$L$2:$L$1000,ROWS($A$5:A33)-COUNTA('Raw Decommissioning'!$B$2:$B$1000))))</x:f>
        <x:v>Procurement Innovation Through Automation And Procurement Marketplace</x:v>
      </x:c>
      <x:c r="I33" s="165" t="str">
        <x:f>IF(A33="","",IF(B33="Decommissioning",INDEX('Raw Decommissioning'!$AL$2:$AL$1000,ROWS($A$5:A33)),INDEX('Raw Provisioning'!$R$2:$R$1000,ROWS($A$5:A33)-COUNTA('Raw Decommissioning'!$B$2:$B$1000))))</x:f>
        <x:v>M</x:v>
      </x:c>
      <x:c r="J33" s="165" t="str">
        <x:f>IF(A33="","",IF(B33="Decommissioning",INDEX('Raw Decommissioning'!$AG$2:$AG$1000,ROWS($A$5:A33)),INDEX('Raw Provisioning'!$AI$2:$AI$1000,ROWS($A$5:A33)-COUNTA('Raw Decommissioning'!$B$2:$B$1000))))</x:f>
        <x:v>azlisham.md@petronas.com</x:v>
      </x:c>
      <x:c r="K33" s="166" t="str">
        <x:f>IF(A33="","",IFERROR(LOOKUP(2,1/('Assignment History'!$B$5:$B$204=A33),'Assignment History'!$D$5:$D$204),IFERROR(VLOOKUP(J33,Configuration!$L$5:$M$50,2,FALSE),J33)))</x:f>
        <x:v>azlisham.md@petronas.com</x:v>
      </x:c>
      <x:c r="L33" s="166" t="str">
        <x:f>IF(A33="","",IF(K33=IFERROR(VLOOKUP(J33,Configuration!$L$5:$M$50,2,FALSE),J33),"Snapshot PIC","Replacement PIC"))</x:f>
        <x:v>Snapshot PIC</x:v>
      </x:c>
      <x:c r="M33" s="167" t="n">
        <x:f>IF(A33="","",IFERROR(VLOOKUP(I33,Configuration!$O$5:$P$8,2,FALSE),Configuration!$S$6))</x:f>
        <x:v>2</x:v>
      </x:c>
      <x:c r="N33" s="167" t="str">
        <x:f>IF(A33="","",IFERROR(LOOKUP(2,1/('Scope Review'!$B$5:$B$204=A33),'Scope Review'!$G$5:$G$204),"Not Reviewed"))</x:f>
        <x:v>Not Reviewed</x:v>
      </x:c>
      <x:c r="O33" s="167" t="str">
        <x:f>IF(A33="","",IFERROR(LOOKUP(2,1/('Scope Review'!$B$5:$B$204=A33),'Scope Review'!$H$5:$H$204),""))</x:f>
      </x:c>
      <x:c r="P33" s="167" t="n">
        <x:f t="shared" si="0">IF(A33="","",IF(AND(C33="executing",N33&lt;&gt;"Confirmed OOS"),M33,0))</x:f>
        <x:v>0</x:v>
      </x:c>
      <x:c r="Q33" s="168" t="str">
        <x:f>IF(A33="","",IFERROR(LOOKUP(2,1/('Engineer Updates'!$B$5:$B$704=A33),'Engineer Updates'!$A$5:$A$704),""))</x:f>
      </x:c>
      <x:c r="R33" s="166" t="str">
        <x:f>IF(A33="","",IFERROR(LOOKUP(2,1/('Engineer Updates'!$B$5:$B$704=A33),'Engineer Updates'!$H$5:$H$704),""))</x:f>
      </x:c>
      <x:c r="S33" s="166" t="str">
        <x:f>IF(A33="","",IFERROR(LOOKUP(2,1/('Engineer Updates'!$B$5:$B$704=A33),'Engineer Updates'!$G$5:$G$704),""))</x:f>
      </x:c>
      <x:c r="T33" s="166" t="str">
        <x:f>IF(A33="","",IFERROR(LOOKUP(2,1/('Engineer Updates'!$B$5:$B$704=A33),'Engineer Updates'!$I$5:$I$704),""))</x:f>
      </x:c>
      <x:c r="U33" s="166" t="str">
        <x:f>IF(A33="","",IFERROR(LOOKUP(2,1/('Engineer Updates'!$B$5:$B$704=A33),'Engineer Updates'!$J$5:$J$704),""))</x:f>
      </x:c>
      <x:c r="V33" s="166" t="str">
        <x:f>IF(A33="","",IFERROR(LOOKUP(2,1/('Engineer Updates'!$B$5:$B$704=A33),'Engineer Updates'!$K$5:$K$704),""))</x:f>
      </x:c>
      <x:c r="W33" s="169" t="str">
        <x:f>IF(A33="","",IFERROR(LOOKUP(2,1/('Engineer Updates'!$B$5:$B$704=A33),'Engineer Updates'!$L$5:$L$704),""))</x:f>
      </x:c>
      <x:c r="X33" s="163" t="str">
        <x:f t="shared" si="1">IF(A33="","",IF(C33="completed","Completed in CSSP",IF(AND(C33="executing",ISERROR(SEARCH("@",K33))),"Executing without named engineer",IF(AND(N33="Confirmed OOS",C33="executing"),"Confirmed OOS still executing",""))))</x:f>
        <x:v>Completed in CSSP</x:v>
      </x:c>
      <x:c r="Y33" s="163" t="str">
        <x:f>IF(A33="","",IF(B33="Decommissioning","Raw Decommissioning","Raw Provisioning"))</x:f>
        <x:v>Raw Decommissioning</x:v>
      </x:c>
      <x:c r="Z33" s="170" t="str">
        <x:f>IF(A33="","",IF(OR(C33="executing",C33="processing"),"Yes","No"))</x:f>
        <x:v>No</x:v>
      </x:c>
    </x:row>
    <x:row r="34" ht="30">
      <x:c r="A34" s="163" t="str">
        <x:f>IF(ROWS($A$5:A34)&lt;=COUNTA('Raw Decommissioning'!$B$2:$B$1000),INDEX('Raw Decommissioning'!$B$2:$B$1000,ROWS($A$5:A34)),IF(ROWS($A$5:A34)-COUNTA('Raw Decommissioning'!$B$2:$B$1000)&lt;=COUNTA('Raw Provisioning'!$B$2:$B$1000),INDEX('Raw Provisioning'!$B$2:$B$1000,ROWS($A$5:A34)-COUNTA('Raw Decommissioning'!$B$2:$B$1000)),""))</x:f>
        <x:v>CSSP10371521</x:v>
      </x:c>
      <x:c r="B34" s="163" t="str">
        <x:f>IF(A34="","",IF(ROWS($A$5:A34)&lt;=COUNTA('Raw Decommissioning'!$B$2:$B$1000),"Decommissioning","Provisioning"))</x:f>
        <x:v>Decommissioning</x:v>
      </x:c>
      <x:c r="C34" s="163" t="str">
        <x:f>IF(A34="","",IF(B34="Decommissioning",IFERROR(INDEX('Raw Decommissioning'!$E$2:$E$1000,MATCH(A34,'Raw Decommissioning'!$B$2:$B$1000,0)),"Missing from latest raw"),IFERROR(INDEX('Raw Provisioning'!$E$2:$E$1000,MATCH(A34,'Raw Provisioning'!$B$2:$B$1000,0)),"Missing from latest raw")))</x:f>
        <x:v>completed</x:v>
      </x:c>
      <x:c r="D34" s="164" t="n">
        <x:f>IF(A34="","",'Refresh Control'!$B$4)</x:f>
        <x:v>46254</x:v>
      </x:c>
      <x:c r="E34" s="164" t="n">
        <x:f>IF(A34="","",IF(B34="Decommissioning",INDEX('Raw Decommissioning'!$F$2:$F$1000,ROWS($A$5:A34)),INDEX('Raw Provisioning'!$F$2:$F$1000,ROWS($A$5:A34)-COUNTA('Raw Decommissioning'!$B$2:$B$1000))))</x:f>
        <x:v>46021.15885364584</x:v>
      </x:c>
      <x:c r="F34" s="164" t="n">
        <x:f>IF(A34="","",IF(B34="Decommissioning",INDEX('Raw Decommissioning'!$G$2:$G$1000,ROWS($A$5:A34)),INDEX('Raw Provisioning'!$H$2:$H$1000,ROWS($A$5:A34)-COUNTA('Raw Decommissioning'!$B$2:$B$1000))))</x:f>
        <x:v>46035.39747679398</x:v>
      </x:c>
      <x:c r="G34" s="165" t="str">
        <x:f>IF(A34="","",IF(B34="Decommissioning",INDEX('Raw Decommissioning'!$I$2:$I$1000,ROWS($A$5:A34)),INDEX('Raw Provisioning'!$J$2:$J$1000,ROWS($A$5:A34)-COUNTA('Raw Decommissioning'!$B$2:$B$1000))))</x:f>
        <x:v>M365 SharePoint - SPO</x:v>
      </x:c>
      <x:c r="H34" s="165" t="str">
        <x:f>IF(A34="","",IF(B34="Decommissioning",INDEX('Raw Decommissioning'!$J$2:$J$1000,ROWS($A$5:A34)),INDEX('Raw Provisioning'!$L$2:$L$1000,ROWS($A$5:A34)-COUNTA('Raw Decommissioning'!$B$2:$B$1000))))</x:f>
        <x:v>Cloud Migration Program - Migration SharePoint 2013 to SharePoint 2019</x:v>
      </x:c>
      <x:c r="I34" s="165" t="str">
        <x:f>IF(A34="","",IF(B34="Decommissioning",INDEX('Raw Decommissioning'!$AL$2:$AL$1000,ROWS($A$5:A34)),INDEX('Raw Provisioning'!$R$2:$R$1000,ROWS($A$5:A34)-COUNTA('Raw Decommissioning'!$B$2:$B$1000))))</x:f>
        <x:v>L</x:v>
      </x:c>
      <x:c r="J34" s="165" t="str">
        <x:f>IF(A34="","",IF(B34="Decommissioning",INDEX('Raw Decommissioning'!$AG$2:$AG$1000,ROWS($A$5:A34)),INDEX('Raw Provisioning'!$AI$2:$AI$1000,ROWS($A$5:A34)-COUNTA('Raw Decommissioning'!$B$2:$B$1000))))</x:f>
        <x:v>azlisham.md@petronas.com</x:v>
      </x:c>
      <x:c r="K34" s="166" t="str">
        <x:f>IF(A34="","",IFERROR(LOOKUP(2,1/('Assignment History'!$B$5:$B$204=A34),'Assignment History'!$D$5:$D$204),IFERROR(VLOOKUP(J34,Configuration!$L$5:$M$50,2,FALSE),J34)))</x:f>
        <x:v>azlisham.md@petronas.com</x:v>
      </x:c>
      <x:c r="L34" s="166" t="str">
        <x:f>IF(A34="","",IF(K34=IFERROR(VLOOKUP(J34,Configuration!$L$5:$M$50,2,FALSE),J34),"Snapshot PIC","Replacement PIC"))</x:f>
        <x:v>Snapshot PIC</x:v>
      </x:c>
      <x:c r="M34" s="167" t="n">
        <x:f>IF(A34="","",IFERROR(VLOOKUP(I34,Configuration!$O$5:$P$8,2,FALSE),Configuration!$S$6))</x:f>
        <x:v>3</x:v>
      </x:c>
      <x:c r="N34" s="167" t="str">
        <x:f>IF(A34="","",IFERROR(LOOKUP(2,1/('Scope Review'!$B$5:$B$204=A34),'Scope Review'!$G$5:$G$204),"Not Reviewed"))</x:f>
        <x:v>Not Reviewed</x:v>
      </x:c>
      <x:c r="O34" s="167" t="str">
        <x:f>IF(A34="","",IFERROR(LOOKUP(2,1/('Scope Review'!$B$5:$B$204=A34),'Scope Review'!$H$5:$H$204),""))</x:f>
      </x:c>
      <x:c r="P34" s="167" t="n">
        <x:f t="shared" si="0">IF(A34="","",IF(AND(C34="executing",N34&lt;&gt;"Confirmed OOS"),M34,0))</x:f>
        <x:v>0</x:v>
      </x:c>
      <x:c r="Q34" s="168" t="str">
        <x:f>IF(A34="","",IFERROR(LOOKUP(2,1/('Engineer Updates'!$B$5:$B$704=A34),'Engineer Updates'!$A$5:$A$704),""))</x:f>
      </x:c>
      <x:c r="R34" s="166" t="str">
        <x:f>IF(A34="","",IFERROR(LOOKUP(2,1/('Engineer Updates'!$B$5:$B$704=A34),'Engineer Updates'!$H$5:$H$704),""))</x:f>
      </x:c>
      <x:c r="S34" s="166" t="str">
        <x:f>IF(A34="","",IFERROR(LOOKUP(2,1/('Engineer Updates'!$B$5:$B$704=A34),'Engineer Updates'!$G$5:$G$704),""))</x:f>
      </x:c>
      <x:c r="T34" s="166" t="str">
        <x:f>IF(A34="","",IFERROR(LOOKUP(2,1/('Engineer Updates'!$B$5:$B$704=A34),'Engineer Updates'!$I$5:$I$704),""))</x:f>
      </x:c>
      <x:c r="U34" s="166" t="str">
        <x:f>IF(A34="","",IFERROR(LOOKUP(2,1/('Engineer Updates'!$B$5:$B$704=A34),'Engineer Updates'!$J$5:$J$704),""))</x:f>
      </x:c>
      <x:c r="V34" s="166" t="str">
        <x:f>IF(A34="","",IFERROR(LOOKUP(2,1/('Engineer Updates'!$B$5:$B$704=A34),'Engineer Updates'!$K$5:$K$704),""))</x:f>
      </x:c>
      <x:c r="W34" s="169" t="str">
        <x:f>IF(A34="","",IFERROR(LOOKUP(2,1/('Engineer Updates'!$B$5:$B$704=A34),'Engineer Updates'!$L$5:$L$704),""))</x:f>
      </x:c>
      <x:c r="X34" s="163" t="str">
        <x:f t="shared" si="1">IF(A34="","",IF(C34="completed","Completed in CSSP",IF(AND(C34="executing",ISERROR(SEARCH("@",K34))),"Executing without named engineer",IF(AND(N34="Confirmed OOS",C34="executing"),"Confirmed OOS still executing",""))))</x:f>
        <x:v>Completed in CSSP</x:v>
      </x:c>
      <x:c r="Y34" s="163" t="str">
        <x:f>IF(A34="","",IF(B34="Decommissioning","Raw Decommissioning","Raw Provisioning"))</x:f>
        <x:v>Raw Decommissioning</x:v>
      </x:c>
      <x:c r="Z34" s="170" t="str">
        <x:f>IF(A34="","",IF(OR(C34="executing",C34="processing"),"Yes","No"))</x:f>
        <x:v>No</x:v>
      </x:c>
    </x:row>
    <x:row r="35" ht="30">
      <x:c r="A35" s="163" t="str">
        <x:f>IF(ROWS($A$5:A35)&lt;=COUNTA('Raw Decommissioning'!$B$2:$B$1000),INDEX('Raw Decommissioning'!$B$2:$B$1000,ROWS($A$5:A35)),IF(ROWS($A$5:A35)-COUNTA('Raw Decommissioning'!$B$2:$B$1000)&lt;=COUNTA('Raw Provisioning'!$B$2:$B$1000),INDEX('Raw Provisioning'!$B$2:$B$1000,ROWS($A$5:A35)-COUNTA('Raw Decommissioning'!$B$2:$B$1000)),""))</x:f>
        <x:v>CSSP10672556</x:v>
      </x:c>
      <x:c r="B35" s="163" t="str">
        <x:f>IF(A35="","",IF(ROWS($A$5:A35)&lt;=COUNTA('Raw Decommissioning'!$B$2:$B$1000),"Decommissioning","Provisioning"))</x:f>
        <x:v>Decommissioning</x:v>
      </x:c>
      <x:c r="C35" s="163" t="str">
        <x:f>IF(A35="","",IF(B35="Decommissioning",IFERROR(INDEX('Raw Decommissioning'!$E$2:$E$1000,MATCH(A35,'Raw Decommissioning'!$B$2:$B$1000,0)),"Missing from latest raw"),IFERROR(INDEX('Raw Provisioning'!$E$2:$E$1000,MATCH(A35,'Raw Provisioning'!$B$2:$B$1000,0)),"Missing from latest raw")))</x:f>
        <x:v>completed</x:v>
      </x:c>
      <x:c r="D35" s="164" t="n">
        <x:f>IF(A35="","",'Refresh Control'!$B$4)</x:f>
        <x:v>46254</x:v>
      </x:c>
      <x:c r="E35" s="164" t="n">
        <x:f>IF(A35="","",IF(B35="Decommissioning",INDEX('Raw Decommissioning'!$F$2:$F$1000,ROWS($A$5:A35)),INDEX('Raw Provisioning'!$F$2:$F$1000,ROWS($A$5:A35)-COUNTA('Raw Decommissioning'!$B$2:$B$1000))))</x:f>
        <x:v>46021.251309050924</x:v>
      </x:c>
      <x:c r="F35" s="164" t="n">
        <x:f>IF(A35="","",IF(B35="Decommissioning",INDEX('Raw Decommissioning'!$G$2:$G$1000,ROWS($A$5:A35)),INDEX('Raw Provisioning'!$H$2:$H$1000,ROWS($A$5:A35)-COUNTA('Raw Decommissioning'!$B$2:$B$1000))))</x:f>
        <x:v>46031.08607520833</x:v>
      </x:c>
      <x:c r="G35" s="165" t="str">
        <x:f>IF(A35="","",IF(B35="Decommissioning",INDEX('Raw Decommissioning'!$I$2:$I$1000,ROWS($A$5:A35)),INDEX('Raw Provisioning'!$J$2:$J$1000,ROWS($A$5:A35)-COUNTA('Raw Decommissioning'!$B$2:$B$1000))))</x:f>
        <x:v>Freight-X</x:v>
      </x:c>
      <x:c r="H35" s="165" t="str">
        <x:f>IF(A35="","",IF(B35="Decommissioning",INDEX('Raw Decommissioning'!$J$2:$J$1000,ROWS($A$5:A35)),INDEX('Raw Provisioning'!$L$2:$L$1000,ROWS($A$5:A35)-COUNTA('Raw Decommissioning'!$B$2:$B$1000))))</x:f>
        <x:v>Freight-X</x:v>
      </x:c>
      <x:c r="I35" s="165" t="str">
        <x:f>IF(A35="","",IF(B35="Decommissioning",INDEX('Raw Decommissioning'!$AL$2:$AL$1000,ROWS($A$5:A35)),INDEX('Raw Provisioning'!$R$2:$R$1000,ROWS($A$5:A35)-COUNTA('Raw Decommissioning'!$B$2:$B$1000))))</x:f>
        <x:v>S</x:v>
      </x:c>
      <x:c r="J35" s="165" t="str">
        <x:f>IF(A35="","",IF(B35="Decommissioning",INDEX('Raw Decommissioning'!$AG$2:$AG$1000,ROWS($A$5:A35)),INDEX('Raw Provisioning'!$AI$2:$AI$1000,ROWS($A$5:A35)-COUNTA('Raw Decommissioning'!$B$2:$B$1000))))</x:f>
        <x:v>azwan.badari@petronas.com</x:v>
      </x:c>
      <x:c r="K35" s="166" t="str">
        <x:f>IF(A35="","",IFERROR(LOOKUP(2,1/('Assignment History'!$B$5:$B$204=A35),'Assignment History'!$D$5:$D$204),IFERROR(VLOOKUP(J35,Configuration!$L$5:$M$50,2,FALSE),J35)))</x:f>
        <x:v>azwan.badari@petronas.com</x:v>
      </x:c>
      <x:c r="L35" s="166" t="str">
        <x:f>IF(A35="","",IF(K35=IFERROR(VLOOKUP(J35,Configuration!$L$5:$M$50,2,FALSE),J35),"Snapshot PIC","Replacement PIC"))</x:f>
        <x:v>Snapshot PIC</x:v>
      </x:c>
      <x:c r="M35" s="167" t="n">
        <x:f>IF(A35="","",IFERROR(VLOOKUP(I35,Configuration!$O$5:$P$8,2,FALSE),Configuration!$S$6))</x:f>
        <x:v>1</x:v>
      </x:c>
      <x:c r="N35" s="167" t="str">
        <x:f>IF(A35="","",IFERROR(LOOKUP(2,1/('Scope Review'!$B$5:$B$204=A35),'Scope Review'!$G$5:$G$204),"Not Reviewed"))</x:f>
        <x:v>Not Reviewed</x:v>
      </x:c>
      <x:c r="O35" s="167" t="str">
        <x:f>IF(A35="","",IFERROR(LOOKUP(2,1/('Scope Review'!$B$5:$B$204=A35),'Scope Review'!$H$5:$H$204),""))</x:f>
      </x:c>
      <x:c r="P35" s="167" t="n">
        <x:f t="shared" si="0">IF(A35="","",IF(AND(C35="executing",N35&lt;&gt;"Confirmed OOS"),M35,0))</x:f>
        <x:v>0</x:v>
      </x:c>
      <x:c r="Q35" s="168" t="str">
        <x:f>IF(A35="","",IFERROR(LOOKUP(2,1/('Engineer Updates'!$B$5:$B$704=A35),'Engineer Updates'!$A$5:$A$704),""))</x:f>
      </x:c>
      <x:c r="R35" s="166" t="str">
        <x:f>IF(A35="","",IFERROR(LOOKUP(2,1/('Engineer Updates'!$B$5:$B$704=A35),'Engineer Updates'!$H$5:$H$704),""))</x:f>
      </x:c>
      <x:c r="S35" s="166" t="str">
        <x:f>IF(A35="","",IFERROR(LOOKUP(2,1/('Engineer Updates'!$B$5:$B$704=A35),'Engineer Updates'!$G$5:$G$704),""))</x:f>
      </x:c>
      <x:c r="T35" s="166" t="str">
        <x:f>IF(A35="","",IFERROR(LOOKUP(2,1/('Engineer Updates'!$B$5:$B$704=A35),'Engineer Updates'!$I$5:$I$704),""))</x:f>
      </x:c>
      <x:c r="U35" s="166" t="str">
        <x:f>IF(A35="","",IFERROR(LOOKUP(2,1/('Engineer Updates'!$B$5:$B$704=A35),'Engineer Updates'!$J$5:$J$704),""))</x:f>
      </x:c>
      <x:c r="V35" s="166" t="str">
        <x:f>IF(A35="","",IFERROR(LOOKUP(2,1/('Engineer Updates'!$B$5:$B$704=A35),'Engineer Updates'!$K$5:$K$704),""))</x:f>
      </x:c>
      <x:c r="W35" s="169" t="str">
        <x:f>IF(A35="","",IFERROR(LOOKUP(2,1/('Engineer Updates'!$B$5:$B$704=A35),'Engineer Updates'!$L$5:$L$704),""))</x:f>
      </x:c>
      <x:c r="X35" s="163" t="str">
        <x:f t="shared" si="1">IF(A35="","",IF(C35="completed","Completed in CSSP",IF(AND(C35="executing",ISERROR(SEARCH("@",K35))),"Executing without named engineer",IF(AND(N35="Confirmed OOS",C35="executing"),"Confirmed OOS still executing",""))))</x:f>
        <x:v>Completed in CSSP</x:v>
      </x:c>
      <x:c r="Y35" s="163" t="str">
        <x:f>IF(A35="","",IF(B35="Decommissioning","Raw Decommissioning","Raw Provisioning"))</x:f>
        <x:v>Raw Decommissioning</x:v>
      </x:c>
      <x:c r="Z35" s="170" t="str">
        <x:f>IF(A35="","",IF(OR(C35="executing",C35="processing"),"Yes","No"))</x:f>
        <x:v>No</x:v>
      </x:c>
    </x:row>
    <x:row r="36" ht="30">
      <x:c r="A36" s="163" t="str">
        <x:f>IF(ROWS($A$5:A36)&lt;=COUNTA('Raw Decommissioning'!$B$2:$B$1000),INDEX('Raw Decommissioning'!$B$2:$B$1000,ROWS($A$5:A36)),IF(ROWS($A$5:A36)-COUNTA('Raw Decommissioning'!$B$2:$B$1000)&lt;=COUNTA('Raw Provisioning'!$B$2:$B$1000),INDEX('Raw Provisioning'!$B$2:$B$1000,ROWS($A$5:A36)-COUNTA('Raw Decommissioning'!$B$2:$B$1000)),""))</x:f>
        <x:v>CSSP10774226</x:v>
      </x:c>
      <x:c r="B36" s="163" t="str">
        <x:f>IF(A36="","",IF(ROWS($A$5:A36)&lt;=COUNTA('Raw Decommissioning'!$B$2:$B$1000),"Decommissioning","Provisioning"))</x:f>
        <x:v>Decommissioning</x:v>
      </x:c>
      <x:c r="C36" s="163" t="str">
        <x:f>IF(A36="","",IF(B36="Decommissioning",IFERROR(INDEX('Raw Decommissioning'!$E$2:$E$1000,MATCH(A36,'Raw Decommissioning'!$B$2:$B$1000,0)),"Missing from latest raw"),IFERROR(INDEX('Raw Provisioning'!$E$2:$E$1000,MATCH(A36,'Raw Provisioning'!$B$2:$B$1000,0)),"Missing from latest raw")))</x:f>
        <x:v>completed</x:v>
      </x:c>
      <x:c r="D36" s="164" t="n">
        <x:f>IF(A36="","",'Refresh Control'!$B$4)</x:f>
        <x:v>46254</x:v>
      </x:c>
      <x:c r="E36" s="164" t="n">
        <x:f>IF(A36="","",IF(B36="Decommissioning",INDEX('Raw Decommissioning'!$F$2:$F$1000,ROWS($A$5:A36)),INDEX('Raw Provisioning'!$F$2:$F$1000,ROWS($A$5:A36)-COUNTA('Raw Decommissioning'!$B$2:$B$1000))))</x:f>
        <x:v>46021.34533282407</x:v>
      </x:c>
      <x:c r="F36" s="164" t="n">
        <x:f>IF(A36="","",IF(B36="Decommissioning",INDEX('Raw Decommissioning'!$G$2:$G$1000,ROWS($A$5:A36)),INDEX('Raw Provisioning'!$H$2:$H$1000,ROWS($A$5:A36)-COUNTA('Raw Decommissioning'!$B$2:$B$1000))))</x:f>
        <x:v>46048.32267015046</x:v>
      </x:c>
      <x:c r="G36" s="165" t="str">
        <x:f>IF(A36="","",IF(B36="Decommissioning",INDEX('Raw Decommissioning'!$I$2:$I$1000,ROWS($A$5:A36)),INDEX('Raw Provisioning'!$J$2:$J$1000,ROWS($A$5:A36)-COUNTA('Raw Decommissioning'!$B$2:$B$1000))))</x:f>
        <x:v>Upstream Real Time Data Program - URTD</x:v>
      </x:c>
      <x:c r="H36" s="165" t="str">
        <x:f>IF(A36="","",IF(B36="Decommissioning",INDEX('Raw Decommissioning'!$J$2:$J$1000,ROWS($A$5:A36)),INDEX('Raw Provisioning'!$L$2:$L$1000,ROWS($A$5:A36)-COUNTA('Raw Decommissioning'!$B$2:$B$1000))))</x:f>
        <x:v>Installation of Upstream Real Time Data Program (URTD) for Centre of Excellence, PCSB</x:v>
      </x:c>
      <x:c r="I36" s="165" t="str">
        <x:f>IF(A36="","",IF(B36="Decommissioning",INDEX('Raw Decommissioning'!$AL$2:$AL$1000,ROWS($A$5:A36)),INDEX('Raw Provisioning'!$R$2:$R$1000,ROWS($A$5:A36)-COUNTA('Raw Decommissioning'!$B$2:$B$1000))))</x:f>
        <x:v>M</x:v>
      </x:c>
      <x:c r="J36" s="165" t="str">
        <x:f>IF(A36="","",IF(B36="Decommissioning",INDEX('Raw Decommissioning'!$AG$2:$AG$1000,ROWS($A$5:A36)),INDEX('Raw Provisioning'!$AI$2:$AI$1000,ROWS($A$5:A36)-COUNTA('Raw Decommissioning'!$B$2:$B$1000))))</x:f>
        <x:v>abdullah.haziq@petronas.com</x:v>
      </x:c>
      <x:c r="K36" s="166" t="str">
        <x:f>IF(A36="","",IFERROR(LOOKUP(2,1/('Assignment History'!$B$5:$B$204=A36),'Assignment History'!$D$5:$D$204),IFERROR(VLOOKUP(J36,Configuration!$L$5:$M$50,2,FALSE),J36)))</x:f>
        <x:v>abdullah.haziq@petronas.com</x:v>
      </x:c>
      <x:c r="L36" s="166" t="str">
        <x:f>IF(A36="","",IF(K36=IFERROR(VLOOKUP(J36,Configuration!$L$5:$M$50,2,FALSE),J36),"Snapshot PIC","Replacement PIC"))</x:f>
        <x:v>Snapshot PIC</x:v>
      </x:c>
      <x:c r="M36" s="167" t="n">
        <x:f>IF(A36="","",IFERROR(VLOOKUP(I36,Configuration!$O$5:$P$8,2,FALSE),Configuration!$S$6))</x:f>
        <x:v>2</x:v>
      </x:c>
      <x:c r="N36" s="167" t="str">
        <x:f>IF(A36="","",IFERROR(LOOKUP(2,1/('Scope Review'!$B$5:$B$204=A36),'Scope Review'!$G$5:$G$204),"Not Reviewed"))</x:f>
        <x:v>Not Reviewed</x:v>
      </x:c>
      <x:c r="O36" s="167" t="str">
        <x:f>IF(A36="","",IFERROR(LOOKUP(2,1/('Scope Review'!$B$5:$B$204=A36),'Scope Review'!$H$5:$H$204),""))</x:f>
      </x:c>
      <x:c r="P36" s="167" t="n">
        <x:f t="shared" si="0">IF(A36="","",IF(AND(C36="executing",N36&lt;&gt;"Confirmed OOS"),M36,0))</x:f>
        <x:v>0</x:v>
      </x:c>
      <x:c r="Q36" s="168" t="str">
        <x:f>IF(A36="","",IFERROR(LOOKUP(2,1/('Engineer Updates'!$B$5:$B$704=A36),'Engineer Updates'!$A$5:$A$704),""))</x:f>
      </x:c>
      <x:c r="R36" s="166" t="str">
        <x:f>IF(A36="","",IFERROR(LOOKUP(2,1/('Engineer Updates'!$B$5:$B$704=A36),'Engineer Updates'!$H$5:$H$704),""))</x:f>
      </x:c>
      <x:c r="S36" s="166" t="str">
        <x:f>IF(A36="","",IFERROR(LOOKUP(2,1/('Engineer Updates'!$B$5:$B$704=A36),'Engineer Updates'!$G$5:$G$704),""))</x:f>
      </x:c>
      <x:c r="T36" s="166" t="str">
        <x:f>IF(A36="","",IFERROR(LOOKUP(2,1/('Engineer Updates'!$B$5:$B$704=A36),'Engineer Updates'!$I$5:$I$704),""))</x:f>
      </x:c>
      <x:c r="U36" s="166" t="str">
        <x:f>IF(A36="","",IFERROR(LOOKUP(2,1/('Engineer Updates'!$B$5:$B$704=A36),'Engineer Updates'!$J$5:$J$704),""))</x:f>
      </x:c>
      <x:c r="V36" s="166" t="str">
        <x:f>IF(A36="","",IFERROR(LOOKUP(2,1/('Engineer Updates'!$B$5:$B$704=A36),'Engineer Updates'!$K$5:$K$704),""))</x:f>
      </x:c>
      <x:c r="W36" s="169" t="str">
        <x:f>IF(A36="","",IFERROR(LOOKUP(2,1/('Engineer Updates'!$B$5:$B$704=A36),'Engineer Updates'!$L$5:$L$704),""))</x:f>
      </x:c>
      <x:c r="X36" s="163" t="str">
        <x:f t="shared" si="1">IF(A36="","",IF(C36="completed","Completed in CSSP",IF(AND(C36="executing",ISERROR(SEARCH("@",K36))),"Executing without named engineer",IF(AND(N36="Confirmed OOS",C36="executing"),"Confirmed OOS still executing",""))))</x:f>
        <x:v>Completed in CSSP</x:v>
      </x:c>
      <x:c r="Y36" s="163" t="str">
        <x:f>IF(A36="","",IF(B36="Decommissioning","Raw Decommissioning","Raw Provisioning"))</x:f>
        <x:v>Raw Decommissioning</x:v>
      </x:c>
      <x:c r="Z36" s="170" t="str">
        <x:f>IF(A36="","",IF(OR(C36="executing",C36="processing"),"Yes","No"))</x:f>
        <x:v>No</x:v>
      </x:c>
    </x:row>
    <x:row r="37" ht="45">
      <x:c r="A37" s="163" t="str">
        <x:f>IF(ROWS($A$5:A37)&lt;=COUNTA('Raw Decommissioning'!$B$2:$B$1000),INDEX('Raw Decommissioning'!$B$2:$B$1000,ROWS($A$5:A37)),IF(ROWS($A$5:A37)-COUNTA('Raw Decommissioning'!$B$2:$B$1000)&lt;=COUNTA('Raw Provisioning'!$B$2:$B$1000),INDEX('Raw Provisioning'!$B$2:$B$1000,ROWS($A$5:A37)-COUNTA('Raw Decommissioning'!$B$2:$B$1000)),""))</x:f>
        <x:v>CSSP10719729</x:v>
      </x:c>
      <x:c r="B37" s="163" t="str">
        <x:f>IF(A37="","",IF(ROWS($A$5:A37)&lt;=COUNTA('Raw Decommissioning'!$B$2:$B$1000),"Decommissioning","Provisioning"))</x:f>
        <x:v>Decommissioning</x:v>
      </x:c>
      <x:c r="C37" s="163" t="str">
        <x:f>IF(A37="","",IF(B37="Decommissioning",IFERROR(INDEX('Raw Decommissioning'!$E$2:$E$1000,MATCH(A37,'Raw Decommissioning'!$B$2:$B$1000,0)),"Missing from latest raw"),IFERROR(INDEX('Raw Provisioning'!$E$2:$E$1000,MATCH(A37,'Raw Provisioning'!$B$2:$B$1000,0)),"Missing from latest raw")))</x:f>
        <x:v>completed</x:v>
      </x:c>
      <x:c r="D37" s="164" t="n">
        <x:f>IF(A37="","",'Refresh Control'!$B$4)</x:f>
        <x:v>46254</x:v>
      </x:c>
      <x:c r="E37" s="164" t="n">
        <x:f>IF(A37="","",IF(B37="Decommissioning",INDEX('Raw Decommissioning'!$F$2:$F$1000,ROWS($A$5:A37)),INDEX('Raw Provisioning'!$F$2:$F$1000,ROWS($A$5:A37)-COUNTA('Raw Decommissioning'!$B$2:$B$1000))))</x:f>
        <x:v>46021.35460304398</x:v>
      </x:c>
      <x:c r="F37" s="164" t="n">
        <x:f>IF(A37="","",IF(B37="Decommissioning",INDEX('Raw Decommissioning'!$G$2:$G$1000,ROWS($A$5:A37)),INDEX('Raw Provisioning'!$H$2:$H$1000,ROWS($A$5:A37)-COUNTA('Raw Decommissioning'!$B$2:$B$1000))))</x:f>
        <x:v>46031.32813864583</x:v>
      </x:c>
      <x:c r="G37" s="165" t="str">
        <x:f>IF(A37="","",IF(B37="Decommissioning",INDEX('Raw Decommissioning'!$I$2:$I$1000,ROWS($A$5:A37)),INDEX('Raw Provisioning'!$J$2:$J$1000,ROWS($A$5:A37)-COUNTA('Raw Decommissioning'!$B$2:$B$1000))))</x:f>
        <x:v>Decision Ready Data - DRD</x:v>
      </x:c>
      <x:c r="H37" s="165" t="str">
        <x:f>IF(A37="","",IF(B37="Decommissioning",INDEX('Raw Decommissioning'!$J$2:$J$1000,ROWS($A$5:A37)),INDEX('Raw Provisioning'!$L$2:$L$1000,ROWS($A$5:A37)-COUNTA('Raw Decommissioning'!$B$2:$B$1000))))</x:f>
        <x:v>Implementation of Decision Ready Data (DRD)</x:v>
      </x:c>
      <x:c r="I37" s="165" t="str">
        <x:f>IF(A37="","",IF(B37="Decommissioning",INDEX('Raw Decommissioning'!$AL$2:$AL$1000,ROWS($A$5:A37)),INDEX('Raw Provisioning'!$R$2:$R$1000,ROWS($A$5:A37)-COUNTA('Raw Decommissioning'!$B$2:$B$1000))))</x:f>
        <x:v>L</x:v>
      </x:c>
      <x:c r="J37" s="165" t="str">
        <x:f>IF(A37="","",IF(B37="Decommissioning",INDEX('Raw Decommissioning'!$AG$2:$AG$1000,ROWS($A$5:A37)),INDEX('Raw Provisioning'!$AI$2:$AI$1000,ROWS($A$5:A37)-COUNTA('Raw Decommissioning'!$B$2:$B$1000))))</x:f>
        <x:v>azwan.badari@petronas.com</x:v>
      </x:c>
      <x:c r="K37" s="166" t="str">
        <x:f>IF(A37="","",IFERROR(LOOKUP(2,1/('Assignment History'!$B$5:$B$204=A37),'Assignment History'!$D$5:$D$204),IFERROR(VLOOKUP(J37,Configuration!$L$5:$M$50,2,FALSE),J37)))</x:f>
        <x:v>azwan.badari@petronas.com</x:v>
      </x:c>
      <x:c r="L37" s="166" t="str">
        <x:f>IF(A37="","",IF(K37=IFERROR(VLOOKUP(J37,Configuration!$L$5:$M$50,2,FALSE),J37),"Snapshot PIC","Replacement PIC"))</x:f>
        <x:v>Snapshot PIC</x:v>
      </x:c>
      <x:c r="M37" s="167" t="n">
        <x:f>IF(A37="","",IFERROR(VLOOKUP(I37,Configuration!$O$5:$P$8,2,FALSE),Configuration!$S$6))</x:f>
        <x:v>3</x:v>
      </x:c>
      <x:c r="N37" s="167" t="str">
        <x:f>IF(A37="","",IFERROR(LOOKUP(2,1/('Scope Review'!$B$5:$B$204=A37),'Scope Review'!$G$5:$G$204),"Not Reviewed"))</x:f>
        <x:v>Not Reviewed</x:v>
      </x:c>
      <x:c r="O37" s="167" t="str">
        <x:f>IF(A37="","",IFERROR(LOOKUP(2,1/('Scope Review'!$B$5:$B$204=A37),'Scope Review'!$H$5:$H$204),""))</x:f>
      </x:c>
      <x:c r="P37" s="167" t="n">
        <x:f t="shared" ref="P37:P68" si="2">IF(A37="","",IF(AND(C37="executing",N37&lt;&gt;"Confirmed OOS"),M37,0))</x:f>
        <x:v>0</x:v>
      </x:c>
      <x:c r="Q37" s="168" t="str">
        <x:f>IF(A37="","",IFERROR(LOOKUP(2,1/('Engineer Updates'!$B$5:$B$704=A37),'Engineer Updates'!$A$5:$A$704),""))</x:f>
      </x:c>
      <x:c r="R37" s="166" t="str">
        <x:f>IF(A37="","",IFERROR(LOOKUP(2,1/('Engineer Updates'!$B$5:$B$704=A37),'Engineer Updates'!$H$5:$H$704),""))</x:f>
      </x:c>
      <x:c r="S37" s="166" t="str">
        <x:f>IF(A37="","",IFERROR(LOOKUP(2,1/('Engineer Updates'!$B$5:$B$704=A37),'Engineer Updates'!$G$5:$G$704),""))</x:f>
      </x:c>
      <x:c r="T37" s="166" t="str">
        <x:f>IF(A37="","",IFERROR(LOOKUP(2,1/('Engineer Updates'!$B$5:$B$704=A37),'Engineer Updates'!$I$5:$I$704),""))</x:f>
      </x:c>
      <x:c r="U37" s="166" t="str">
        <x:f>IF(A37="","",IFERROR(LOOKUP(2,1/('Engineer Updates'!$B$5:$B$704=A37),'Engineer Updates'!$J$5:$J$704),""))</x:f>
      </x:c>
      <x:c r="V37" s="166" t="str">
        <x:f>IF(A37="","",IFERROR(LOOKUP(2,1/('Engineer Updates'!$B$5:$B$704=A37),'Engineer Updates'!$K$5:$K$704),""))</x:f>
      </x:c>
      <x:c r="W37" s="169" t="str">
        <x:f>IF(A37="","",IFERROR(LOOKUP(2,1/('Engineer Updates'!$B$5:$B$704=A37),'Engineer Updates'!$L$5:$L$704),""))</x:f>
      </x:c>
      <x:c r="X37" s="163" t="str">
        <x:f t="shared" ref="X37:X68" si="3">IF(A37="","",IF(C37="completed","Completed in CSSP",IF(AND(C37="executing",ISERROR(SEARCH("@",K37))),"Executing without named engineer",IF(AND(N37="Confirmed OOS",C37="executing"),"Confirmed OOS still executing",""))))</x:f>
        <x:v>Completed in CSSP</x:v>
      </x:c>
      <x:c r="Y37" s="163" t="str">
        <x:f>IF(A37="","",IF(B37="Decommissioning","Raw Decommissioning","Raw Provisioning"))</x:f>
        <x:v>Raw Decommissioning</x:v>
      </x:c>
      <x:c r="Z37" s="170" t="str">
        <x:f>IF(A37="","",IF(OR(C37="executing",C37="processing"),"Yes","No"))</x:f>
        <x:v>No</x:v>
      </x:c>
    </x:row>
    <x:row r="38" ht="30">
      <x:c r="A38" s="163" t="str">
        <x:f>IF(ROWS($A$5:A38)&lt;=COUNTA('Raw Decommissioning'!$B$2:$B$1000),INDEX('Raw Decommissioning'!$B$2:$B$1000,ROWS($A$5:A38)),IF(ROWS($A$5:A38)-COUNTA('Raw Decommissioning'!$B$2:$B$1000)&lt;=COUNTA('Raw Provisioning'!$B$2:$B$1000),INDEX('Raw Provisioning'!$B$2:$B$1000,ROWS($A$5:A38)-COUNTA('Raw Decommissioning'!$B$2:$B$1000)),""))</x:f>
        <x:v>CSSP10932025</x:v>
      </x:c>
      <x:c r="B38" s="163" t="str">
        <x:f>IF(A38="","",IF(ROWS($A$5:A38)&lt;=COUNTA('Raw Decommissioning'!$B$2:$B$1000),"Decommissioning","Provisioning"))</x:f>
        <x:v>Decommissioning</x:v>
      </x:c>
      <x:c r="C38" s="163" t="str">
        <x:f>IF(A38="","",IF(B38="Decommissioning",IFERROR(INDEX('Raw Decommissioning'!$E$2:$E$1000,MATCH(A38,'Raw Decommissioning'!$B$2:$B$1000,0)),"Missing from latest raw"),IFERROR(INDEX('Raw Provisioning'!$E$2:$E$1000,MATCH(A38,'Raw Provisioning'!$B$2:$B$1000,0)),"Missing from latest raw")))</x:f>
        <x:v>completed</x:v>
      </x:c>
      <x:c r="D38" s="164" t="n">
        <x:f>IF(A38="","",'Refresh Control'!$B$4)</x:f>
        <x:v>46254</x:v>
      </x:c>
      <x:c r="E38" s="164" t="n">
        <x:f>IF(A38="","",IF(B38="Decommissioning",INDEX('Raw Decommissioning'!$F$2:$F$1000,ROWS($A$5:A38)),INDEX('Raw Provisioning'!$F$2:$F$1000,ROWS($A$5:A38)-COUNTA('Raw Decommissioning'!$B$2:$B$1000))))</x:f>
        <x:v>46027.26554569444</x:v>
      </x:c>
      <x:c r="F38" s="164" t="n">
        <x:f>IF(A38="","",IF(B38="Decommissioning",INDEX('Raw Decommissioning'!$G$2:$G$1000,ROWS($A$5:A38)),INDEX('Raw Provisioning'!$H$2:$H$1000,ROWS($A$5:A38)-COUNTA('Raw Decommissioning'!$B$2:$B$1000))))</x:f>
        <x:v>46052.20346646991</x:v>
      </x:c>
      <x:c r="G38" s="165" t="str">
        <x:f>IF(A38="","",IF(B38="Decommissioning",INDEX('Raw Decommissioning'!$I$2:$I$1000,ROWS($A$5:A38)),INDEX('Raw Provisioning'!$J$2:$J$1000,ROWS($A$5:A38)-COUNTA('Raw Decommissioning'!$B$2:$B$1000))))</x:f>
        <x:v>Asset Integrity Management Database - AIDA GPU</x:v>
      </x:c>
      <x:c r="H38" s="165" t="str">
        <x:f>IF(A38="","",IF(B38="Decommissioning",INDEX('Raw Decommissioning'!$J$2:$J$1000,ROWS($A$5:A38)),INDEX('Raw Provisioning'!$L$2:$L$1000,ROWS($A$5:A38)-COUNTA('Raw Decommissioning'!$B$2:$B$1000))))</x:f>
        <x:v>GPU Asset Integrity Management Database AIDA</x:v>
      </x:c>
      <x:c r="I38" s="165" t="str">
        <x:f>IF(A38="","",IF(B38="Decommissioning",INDEX('Raw Decommissioning'!$AL$2:$AL$1000,ROWS($A$5:A38)),INDEX('Raw Provisioning'!$R$2:$R$1000,ROWS($A$5:A38)-COUNTA('Raw Decommissioning'!$B$2:$B$1000))))</x:f>
        <x:v>M</x:v>
      </x:c>
      <x:c r="J38" s="165" t="str">
        <x:f>IF(A38="","",IF(B38="Decommissioning",INDEX('Raw Decommissioning'!$AG$2:$AG$1000,ROWS($A$5:A38)),INDEX('Raw Provisioning'!$AI$2:$AI$1000,ROWS($A$5:A38)-COUNTA('Raw Decommissioning'!$B$2:$B$1000))))</x:f>
        <x:v>azwan.badari@petronas.com</x:v>
      </x:c>
      <x:c r="K38" s="166" t="str">
        <x:f>IF(A38="","",IFERROR(LOOKUP(2,1/('Assignment History'!$B$5:$B$204=A38),'Assignment History'!$D$5:$D$204),IFERROR(VLOOKUP(J38,Configuration!$L$5:$M$50,2,FALSE),J38)))</x:f>
        <x:v>azwan.badari@petronas.com</x:v>
      </x:c>
      <x:c r="L38" s="166" t="str">
        <x:f>IF(A38="","",IF(K38=IFERROR(VLOOKUP(J38,Configuration!$L$5:$M$50,2,FALSE),J38),"Snapshot PIC","Replacement PIC"))</x:f>
        <x:v>Snapshot PIC</x:v>
      </x:c>
      <x:c r="M38" s="167" t="n">
        <x:f>IF(A38="","",IFERROR(VLOOKUP(I38,Configuration!$O$5:$P$8,2,FALSE),Configuration!$S$6))</x:f>
        <x:v>2</x:v>
      </x:c>
      <x:c r="N38" s="167" t="str">
        <x:f>IF(A38="","",IFERROR(LOOKUP(2,1/('Scope Review'!$B$5:$B$204=A38),'Scope Review'!$G$5:$G$204),"Not Reviewed"))</x:f>
        <x:v>Not Reviewed</x:v>
      </x:c>
      <x:c r="O38" s="167" t="str">
        <x:f>IF(A38="","",IFERROR(LOOKUP(2,1/('Scope Review'!$B$5:$B$204=A38),'Scope Review'!$H$5:$H$204),""))</x:f>
      </x:c>
      <x:c r="P38" s="167" t="n">
        <x:f t="shared" si="2">IF(A38="","",IF(AND(C38="executing",N38&lt;&gt;"Confirmed OOS"),M38,0))</x:f>
        <x:v>0</x:v>
      </x:c>
      <x:c r="Q38" s="168" t="str">
        <x:f>IF(A38="","",IFERROR(LOOKUP(2,1/('Engineer Updates'!$B$5:$B$704=A38),'Engineer Updates'!$A$5:$A$704),""))</x:f>
      </x:c>
      <x:c r="R38" s="166" t="str">
        <x:f>IF(A38="","",IFERROR(LOOKUP(2,1/('Engineer Updates'!$B$5:$B$704=A38),'Engineer Updates'!$H$5:$H$704),""))</x:f>
      </x:c>
      <x:c r="S38" s="166" t="str">
        <x:f>IF(A38="","",IFERROR(LOOKUP(2,1/('Engineer Updates'!$B$5:$B$704=A38),'Engineer Updates'!$G$5:$G$704),""))</x:f>
      </x:c>
      <x:c r="T38" s="166" t="str">
        <x:f>IF(A38="","",IFERROR(LOOKUP(2,1/('Engineer Updates'!$B$5:$B$704=A38),'Engineer Updates'!$I$5:$I$704),""))</x:f>
      </x:c>
      <x:c r="U38" s="166" t="str">
        <x:f>IF(A38="","",IFERROR(LOOKUP(2,1/('Engineer Updates'!$B$5:$B$704=A38),'Engineer Updates'!$J$5:$J$704),""))</x:f>
      </x:c>
      <x:c r="V38" s="166" t="str">
        <x:f>IF(A38="","",IFERROR(LOOKUP(2,1/('Engineer Updates'!$B$5:$B$704=A38),'Engineer Updates'!$K$5:$K$704),""))</x:f>
      </x:c>
      <x:c r="W38" s="169" t="str">
        <x:f>IF(A38="","",IFERROR(LOOKUP(2,1/('Engineer Updates'!$B$5:$B$704=A38),'Engineer Updates'!$L$5:$L$704),""))</x:f>
      </x:c>
      <x:c r="X38" s="163" t="str">
        <x:f t="shared" si="3">IF(A38="","",IF(C38="completed","Completed in CSSP",IF(AND(C38="executing",ISERROR(SEARCH("@",K38))),"Executing without named engineer",IF(AND(N38="Confirmed OOS",C38="executing"),"Confirmed OOS still executing",""))))</x:f>
        <x:v>Completed in CSSP</x:v>
      </x:c>
      <x:c r="Y38" s="163" t="str">
        <x:f>IF(A38="","",IF(B38="Decommissioning","Raw Decommissioning","Raw Provisioning"))</x:f>
        <x:v>Raw Decommissioning</x:v>
      </x:c>
      <x:c r="Z38" s="170" t="str">
        <x:f>IF(A38="","",IF(OR(C38="executing",C38="processing"),"Yes","No"))</x:f>
        <x:v>No</x:v>
      </x:c>
    </x:row>
    <x:row r="39" ht="45">
      <x:c r="A39" s="163" t="str">
        <x:f>IF(ROWS($A$5:A39)&lt;=COUNTA('Raw Decommissioning'!$B$2:$B$1000),INDEX('Raw Decommissioning'!$B$2:$B$1000,ROWS($A$5:A39)),IF(ROWS($A$5:A39)-COUNTA('Raw Decommissioning'!$B$2:$B$1000)&lt;=COUNTA('Raw Provisioning'!$B$2:$B$1000),INDEX('Raw Provisioning'!$B$2:$B$1000,ROWS($A$5:A39)-COUNTA('Raw Decommissioning'!$B$2:$B$1000)),""))</x:f>
        <x:v>CSSP10561989</x:v>
      </x:c>
      <x:c r="B39" s="163" t="str">
        <x:f>IF(A39="","",IF(ROWS($A$5:A39)&lt;=COUNTA('Raw Decommissioning'!$B$2:$B$1000),"Decommissioning","Provisioning"))</x:f>
        <x:v>Decommissioning</x:v>
      </x:c>
      <x:c r="C39" s="163" t="str">
        <x:f>IF(A39="","",IF(B39="Decommissioning",IFERROR(INDEX('Raw Decommissioning'!$E$2:$E$1000,MATCH(A39,'Raw Decommissioning'!$B$2:$B$1000,0)),"Missing from latest raw"),IFERROR(INDEX('Raw Provisioning'!$E$2:$E$1000,MATCH(A39,'Raw Provisioning'!$B$2:$B$1000,0)),"Missing from latest raw")))</x:f>
        <x:v>cancelled</x:v>
      </x:c>
      <x:c r="D39" s="164" t="n">
        <x:f>IF(A39="","",'Refresh Control'!$B$4)</x:f>
        <x:v>46254</x:v>
      </x:c>
      <x:c r="E39" s="164" t="n">
        <x:f>IF(A39="","",IF(B39="Decommissioning",INDEX('Raw Decommissioning'!$F$2:$F$1000,ROWS($A$5:A39)),INDEX('Raw Provisioning'!$F$2:$F$1000,ROWS($A$5:A39)-COUNTA('Raw Decommissioning'!$B$2:$B$1000))))</x:f>
        <x:v>46027.26609387731</x:v>
      </x:c>
      <x:c r="F39" s="164" t="n">
        <x:f>IF(A39="","",IF(B39="Decommissioning",INDEX('Raw Decommissioning'!$G$2:$G$1000,ROWS($A$5:A39)),INDEX('Raw Provisioning'!$H$2:$H$1000,ROWS($A$5:A39)-COUNTA('Raw Decommissioning'!$B$2:$B$1000))))</x:f>
        <x:v>46050.09466488426</x:v>
      </x:c>
      <x:c r="G39" s="165" t="str">
        <x:f>IF(A39="","",IF(B39="Decommissioning",INDEX('Raw Decommissioning'!$I$2:$I$1000,ROWS($A$5:A39)),INDEX('Raw Provisioning'!$J$2:$J$1000,ROWS($A$5:A39)-COUNTA('Raw Decommissioning'!$B$2:$B$1000))))</x:f>
        <x:v>MyProcure</x:v>
      </x:c>
      <x:c r="H39" s="165" t="str">
        <x:f>IF(A39="","",IF(B39="Decommissioning",INDEX('Raw Decommissioning'!$J$2:$J$1000,ROWS($A$5:A39)),INDEX('Raw Provisioning'!$L$2:$L$1000,ROWS($A$5:A39)-COUNTA('Raw Decommissioning'!$B$2:$B$1000))))</x:f>
        <x:v>Procurement Innovation Through Automation And Procurement Marketplace</x:v>
      </x:c>
      <x:c r="I39" s="165" t="str">
        <x:f>IF(A39="","",IF(B39="Decommissioning",INDEX('Raw Decommissioning'!$AL$2:$AL$1000,ROWS($A$5:A39)),INDEX('Raw Provisioning'!$R$2:$R$1000,ROWS($A$5:A39)-COUNTA('Raw Decommissioning'!$B$2:$B$1000))))</x:f>
      </x:c>
      <x:c r="J39" s="165" t="str">
        <x:f>IF(A39="","",IF(B39="Decommissioning",INDEX('Raw Decommissioning'!$AG$2:$AG$1000,ROWS($A$5:A39)),INDEX('Raw Provisioning'!$AI$2:$AI$1000,ROWS($A$5:A39)-COUNTA('Raw Decommissioning'!$B$2:$B$1000))))</x:f>
        <x:v>CCoE Operations</x:v>
      </x:c>
      <x:c r="K39" s="166" t="str">
        <x:f>IF(A39="","",IFERROR(LOOKUP(2,1/('Assignment History'!$B$5:$B$204=A39),'Assignment History'!$D$5:$D$204),IFERROR(VLOOKUP(J39,Configuration!$L$5:$M$50,2,FALSE),J39)))</x:f>
        <x:v>CCoE Operations</x:v>
      </x:c>
      <x:c r="L39" s="166" t="str">
        <x:f>IF(A39="","",IF(K39=IFERROR(VLOOKUP(J39,Configuration!$L$5:$M$50,2,FALSE),J39),"Snapshot PIC","Replacement PIC"))</x:f>
        <x:v>Snapshot PIC</x:v>
      </x:c>
      <x:c r="M39" s="167" t="n">
        <x:f>IF(A39="","",IFERROR(VLOOKUP(I39,Configuration!$O$5:$P$8,2,FALSE),Configuration!$S$6))</x:f>
        <x:v>2</x:v>
      </x:c>
      <x:c r="N39" s="167" t="str">
        <x:f>IF(A39="","",IFERROR(LOOKUP(2,1/('Scope Review'!$B$5:$B$204=A39),'Scope Review'!$G$5:$G$204),"Not Reviewed"))</x:f>
        <x:v>Not Reviewed</x:v>
      </x:c>
      <x:c r="O39" s="167" t="str">
        <x:f>IF(A39="","",IFERROR(LOOKUP(2,1/('Scope Review'!$B$5:$B$204=A39),'Scope Review'!$H$5:$H$204),""))</x:f>
      </x:c>
      <x:c r="P39" s="167" t="n">
        <x:f t="shared" si="2">IF(A39="","",IF(AND(C39="executing",N39&lt;&gt;"Confirmed OOS"),M39,0))</x:f>
        <x:v>0</x:v>
      </x:c>
      <x:c r="Q39" s="168" t="str">
        <x:f>IF(A39="","",IFERROR(LOOKUP(2,1/('Engineer Updates'!$B$5:$B$704=A39),'Engineer Updates'!$A$5:$A$704),""))</x:f>
      </x:c>
      <x:c r="R39" s="166" t="str">
        <x:f>IF(A39="","",IFERROR(LOOKUP(2,1/('Engineer Updates'!$B$5:$B$704=A39),'Engineer Updates'!$H$5:$H$704),""))</x:f>
      </x:c>
      <x:c r="S39" s="166" t="str">
        <x:f>IF(A39="","",IFERROR(LOOKUP(2,1/('Engineer Updates'!$B$5:$B$704=A39),'Engineer Updates'!$G$5:$G$704),""))</x:f>
      </x:c>
      <x:c r="T39" s="166" t="str">
        <x:f>IF(A39="","",IFERROR(LOOKUP(2,1/('Engineer Updates'!$B$5:$B$704=A39),'Engineer Updates'!$I$5:$I$704),""))</x:f>
      </x:c>
      <x:c r="U39" s="166" t="str">
        <x:f>IF(A39="","",IFERROR(LOOKUP(2,1/('Engineer Updates'!$B$5:$B$704=A39),'Engineer Updates'!$J$5:$J$704),""))</x:f>
      </x:c>
      <x:c r="V39" s="166" t="str">
        <x:f>IF(A39="","",IFERROR(LOOKUP(2,1/('Engineer Updates'!$B$5:$B$704=A39),'Engineer Updates'!$K$5:$K$704),""))</x:f>
      </x:c>
      <x:c r="W39" s="169" t="str">
        <x:f>IF(A39="","",IFERROR(LOOKUP(2,1/('Engineer Updates'!$B$5:$B$704=A39),'Engineer Updates'!$L$5:$L$704),""))</x:f>
      </x:c>
      <x:c r="X39" s="163" t="str">
        <x:f t="shared" si="3">IF(A39="","",IF(C39="completed","Completed in CSSP",IF(AND(C39="executing",ISERROR(SEARCH("@",K39))),"Executing without named engineer",IF(AND(N39="Confirmed OOS",C39="executing"),"Confirmed OOS still executing",""))))</x:f>
      </x:c>
      <x:c r="Y39" s="163" t="str">
        <x:f>IF(A39="","",IF(B39="Decommissioning","Raw Decommissioning","Raw Provisioning"))</x:f>
        <x:v>Raw Decommissioning</x:v>
      </x:c>
      <x:c r="Z39" s="170" t="str">
        <x:f>IF(A39="","",IF(OR(C39="executing",C39="processing"),"Yes","No"))</x:f>
        <x:v>No</x:v>
      </x:c>
    </x:row>
    <x:row r="40" ht="30">
      <x:c r="A40" s="163" t="str">
        <x:f>IF(ROWS($A$5:A40)&lt;=COUNTA('Raw Decommissioning'!$B$2:$B$1000),INDEX('Raw Decommissioning'!$B$2:$B$1000,ROWS($A$5:A40)),IF(ROWS($A$5:A40)-COUNTA('Raw Decommissioning'!$B$2:$B$1000)&lt;=COUNTA('Raw Provisioning'!$B$2:$B$1000),INDEX('Raw Provisioning'!$B$2:$B$1000,ROWS($A$5:A40)-COUNTA('Raw Decommissioning'!$B$2:$B$1000)),""))</x:f>
        <x:v>CSSP10474599</x:v>
      </x:c>
      <x:c r="B40" s="163" t="str">
        <x:f>IF(A40="","",IF(ROWS($A$5:A40)&lt;=COUNTA('Raw Decommissioning'!$B$2:$B$1000),"Decommissioning","Provisioning"))</x:f>
        <x:v>Decommissioning</x:v>
      </x:c>
      <x:c r="C40" s="163" t="str">
        <x:f>IF(A40="","",IF(B40="Decommissioning",IFERROR(INDEX('Raw Decommissioning'!$E$2:$E$1000,MATCH(A40,'Raw Decommissioning'!$B$2:$B$1000,0)),"Missing from latest raw"),IFERROR(INDEX('Raw Provisioning'!$E$2:$E$1000,MATCH(A40,'Raw Provisioning'!$B$2:$B$1000,0)),"Missing from latest raw")))</x:f>
        <x:v>cancelled</x:v>
      </x:c>
      <x:c r="D40" s="164" t="n">
        <x:f>IF(A40="","",'Refresh Control'!$B$4)</x:f>
        <x:v>46254</x:v>
      </x:c>
      <x:c r="E40" s="164" t="n">
        <x:f>IF(A40="","",IF(B40="Decommissioning",INDEX('Raw Decommissioning'!$F$2:$F$1000,ROWS($A$5:A40)),INDEX('Raw Provisioning'!$F$2:$F$1000,ROWS($A$5:A40)-COUNTA('Raw Decommissioning'!$B$2:$B$1000))))</x:f>
        <x:v>46027.33155769676</x:v>
      </x:c>
      <x:c r="F40" s="164" t="n">
        <x:f>IF(A40="","",IF(B40="Decommissioning",INDEX('Raw Decommissioning'!$G$2:$G$1000,ROWS($A$5:A40)),INDEX('Raw Provisioning'!$H$2:$H$1000,ROWS($A$5:A40)-COUNTA('Raw Decommissioning'!$B$2:$B$1000))))</x:f>
        <x:v>46057.28447568287</x:v>
      </x:c>
      <x:c r="G40" s="165" t="str">
        <x:f>IF(A40="","",IF(B40="Decommissioning",INDEX('Raw Decommissioning'!$I$2:$I$1000,ROWS($A$5:A40)),INDEX('Raw Provisioning'!$J$2:$J$1000,ROWS($A$5:A40)-COUNTA('Raw Decommissioning'!$B$2:$B$1000))))</x:f>
        <x:v>FORTS</x:v>
      </x:c>
      <x:c r="H40" s="165" t="str">
        <x:f>IF(A40="","",IF(B40="Decommissioning",INDEX('Raw Decommissioning'!$J$2:$J$1000,ROWS($A$5:A40)),INDEX('Raw Provisioning'!$L$2:$L$1000,ROWS($A$5:A40)-COUNTA('Raw Decommissioning'!$B$2:$B$1000))))</x:f>
        <x:v>AWS Cloud Migration - FORTS</x:v>
      </x:c>
      <x:c r="I40" s="165" t="str">
        <x:f>IF(A40="","",IF(B40="Decommissioning",INDEX('Raw Decommissioning'!$AL$2:$AL$1000,ROWS($A$5:A40)),INDEX('Raw Provisioning'!$R$2:$R$1000,ROWS($A$5:A40)-COUNTA('Raw Decommissioning'!$B$2:$B$1000))))</x:f>
      </x:c>
      <x:c r="J40" s="165" t="str">
        <x:f>IF(A40="","",IF(B40="Decommissioning",INDEX('Raw Decommissioning'!$AG$2:$AG$1000,ROWS($A$5:A40)),INDEX('Raw Provisioning'!$AI$2:$AI$1000,ROWS($A$5:A40)-COUNTA('Raw Decommissioning'!$B$2:$B$1000))))</x:f>
        <x:v>CCoE Operations</x:v>
      </x:c>
      <x:c r="K40" s="166" t="str">
        <x:f>IF(A40="","",IFERROR(LOOKUP(2,1/('Assignment History'!$B$5:$B$204=A40),'Assignment History'!$D$5:$D$204),IFERROR(VLOOKUP(J40,Configuration!$L$5:$M$50,2,FALSE),J40)))</x:f>
        <x:v>CCoE Operations</x:v>
      </x:c>
      <x:c r="L40" s="166" t="str">
        <x:f>IF(A40="","",IF(K40=IFERROR(VLOOKUP(J40,Configuration!$L$5:$M$50,2,FALSE),J40),"Snapshot PIC","Replacement PIC"))</x:f>
        <x:v>Snapshot PIC</x:v>
      </x:c>
      <x:c r="M40" s="167" t="n">
        <x:f>IF(A40="","",IFERROR(VLOOKUP(I40,Configuration!$O$5:$P$8,2,FALSE),Configuration!$S$6))</x:f>
        <x:v>2</x:v>
      </x:c>
      <x:c r="N40" s="167" t="str">
        <x:f>IF(A40="","",IFERROR(LOOKUP(2,1/('Scope Review'!$B$5:$B$204=A40),'Scope Review'!$G$5:$G$204),"Not Reviewed"))</x:f>
        <x:v>Not Reviewed</x:v>
      </x:c>
      <x:c r="O40" s="167" t="str">
        <x:f>IF(A40="","",IFERROR(LOOKUP(2,1/('Scope Review'!$B$5:$B$204=A40),'Scope Review'!$H$5:$H$204),""))</x:f>
      </x:c>
      <x:c r="P40" s="167" t="n">
        <x:f t="shared" si="2">IF(A40="","",IF(AND(C40="executing",N40&lt;&gt;"Confirmed OOS"),M40,0))</x:f>
        <x:v>0</x:v>
      </x:c>
      <x:c r="Q40" s="168" t="str">
        <x:f>IF(A40="","",IFERROR(LOOKUP(2,1/('Engineer Updates'!$B$5:$B$704=A40),'Engineer Updates'!$A$5:$A$704),""))</x:f>
      </x:c>
      <x:c r="R40" s="166" t="str">
        <x:f>IF(A40="","",IFERROR(LOOKUP(2,1/('Engineer Updates'!$B$5:$B$704=A40),'Engineer Updates'!$H$5:$H$704),""))</x:f>
      </x:c>
      <x:c r="S40" s="166" t="str">
        <x:f>IF(A40="","",IFERROR(LOOKUP(2,1/('Engineer Updates'!$B$5:$B$704=A40),'Engineer Updates'!$G$5:$G$704),""))</x:f>
      </x:c>
      <x:c r="T40" s="166" t="str">
        <x:f>IF(A40="","",IFERROR(LOOKUP(2,1/('Engineer Updates'!$B$5:$B$704=A40),'Engineer Updates'!$I$5:$I$704),""))</x:f>
      </x:c>
      <x:c r="U40" s="166" t="str">
        <x:f>IF(A40="","",IFERROR(LOOKUP(2,1/('Engineer Updates'!$B$5:$B$704=A40),'Engineer Updates'!$J$5:$J$704),""))</x:f>
      </x:c>
      <x:c r="V40" s="166" t="str">
        <x:f>IF(A40="","",IFERROR(LOOKUP(2,1/('Engineer Updates'!$B$5:$B$704=A40),'Engineer Updates'!$K$5:$K$704),""))</x:f>
      </x:c>
      <x:c r="W40" s="169" t="str">
        <x:f>IF(A40="","",IFERROR(LOOKUP(2,1/('Engineer Updates'!$B$5:$B$704=A40),'Engineer Updates'!$L$5:$L$704),""))</x:f>
      </x:c>
      <x:c r="X40" s="163" t="str">
        <x:f t="shared" si="3">IF(A40="","",IF(C40="completed","Completed in CSSP",IF(AND(C40="executing",ISERROR(SEARCH("@",K40))),"Executing without named engineer",IF(AND(N40="Confirmed OOS",C40="executing"),"Confirmed OOS still executing",""))))</x:f>
      </x:c>
      <x:c r="Y40" s="163" t="str">
        <x:f>IF(A40="","",IF(B40="Decommissioning","Raw Decommissioning","Raw Provisioning"))</x:f>
        <x:v>Raw Decommissioning</x:v>
      </x:c>
      <x:c r="Z40" s="170" t="str">
        <x:f>IF(A40="","",IF(OR(C40="executing",C40="processing"),"Yes","No"))</x:f>
        <x:v>No</x:v>
      </x:c>
    </x:row>
    <x:row r="41" ht="30">
      <x:c r="A41" s="163" t="str">
        <x:f>IF(ROWS($A$5:A41)&lt;=COUNTA('Raw Decommissioning'!$B$2:$B$1000),INDEX('Raw Decommissioning'!$B$2:$B$1000,ROWS($A$5:A41)),IF(ROWS($A$5:A41)-COUNTA('Raw Decommissioning'!$B$2:$B$1000)&lt;=COUNTA('Raw Provisioning'!$B$2:$B$1000),INDEX('Raw Provisioning'!$B$2:$B$1000,ROWS($A$5:A41)-COUNTA('Raw Decommissioning'!$B$2:$B$1000)),""))</x:f>
        <x:v>CSSP10578777</x:v>
      </x:c>
      <x:c r="B41" s="163" t="str">
        <x:f>IF(A41="","",IF(ROWS($A$5:A41)&lt;=COUNTA('Raw Decommissioning'!$B$2:$B$1000),"Decommissioning","Provisioning"))</x:f>
        <x:v>Decommissioning</x:v>
      </x:c>
      <x:c r="C41" s="163" t="str">
        <x:f>IF(A41="","",IF(B41="Decommissioning",IFERROR(INDEX('Raw Decommissioning'!$E$2:$E$1000,MATCH(A41,'Raw Decommissioning'!$B$2:$B$1000,0)),"Missing from latest raw"),IFERROR(INDEX('Raw Provisioning'!$E$2:$E$1000,MATCH(A41,'Raw Provisioning'!$B$2:$B$1000,0)),"Missing from latest raw")))</x:f>
        <x:v>completed</x:v>
      </x:c>
      <x:c r="D41" s="164" t="n">
        <x:f>IF(A41="","",'Refresh Control'!$B$4)</x:f>
        <x:v>46254</x:v>
      </x:c>
      <x:c r="E41" s="164" t="n">
        <x:f>IF(A41="","",IF(B41="Decommissioning",INDEX('Raw Decommissioning'!$F$2:$F$1000,ROWS($A$5:A41)),INDEX('Raw Provisioning'!$F$2:$F$1000,ROWS($A$5:A41)-COUNTA('Raw Decommissioning'!$B$2:$B$1000))))</x:f>
        <x:v>46028.119965798614</x:v>
      </x:c>
      <x:c r="F41" s="164" t="n">
        <x:f>IF(A41="","",IF(B41="Decommissioning",INDEX('Raw Decommissioning'!$G$2:$G$1000,ROWS($A$5:A41)),INDEX('Raw Provisioning'!$H$2:$H$1000,ROWS($A$5:A41)-COUNTA('Raw Decommissioning'!$B$2:$B$1000))))</x:f>
        <x:v>46043.16438711806</x:v>
      </x:c>
      <x:c r="G41" s="165" t="str">
        <x:f>IF(A41="","",IF(B41="Decommissioning",INDEX('Raw Decommissioning'!$I$2:$I$1000,ROWS($A$5:A41)),INDEX('Raw Provisioning'!$J$2:$J$1000,ROWS($A$5:A41)-COUNTA('Raw Decommissioning'!$B$2:$B$1000))))</x:f>
        <x:v>Plant Information - PI GTS</x:v>
      </x:c>
      <x:c r="H41" s="165" t="str">
        <x:f>IF(A41="","",IF(B41="Decommissioning",INDEX('Raw Decommissioning'!$J$2:$J$1000,ROWS($A$5:A41)),INDEX('Raw Provisioning'!$L$2:$L$1000,ROWS($A$5:A41)-COUNTA('Raw Decommissioning'!$B$2:$B$1000))))</x:f>
        <x:v>AWS-Cloud Migration - PI GTS</x:v>
      </x:c>
      <x:c r="I41" s="165" t="str">
        <x:f>IF(A41="","",IF(B41="Decommissioning",INDEX('Raw Decommissioning'!$AL$2:$AL$1000,ROWS($A$5:A41)),INDEX('Raw Provisioning'!$R$2:$R$1000,ROWS($A$5:A41)-COUNTA('Raw Decommissioning'!$B$2:$B$1000))))</x:f>
        <x:v>M</x:v>
      </x:c>
      <x:c r="J41" s="165" t="str">
        <x:f>IF(A41="","",IF(B41="Decommissioning",INDEX('Raw Decommissioning'!$AG$2:$AG$1000,ROWS($A$5:A41)),INDEX('Raw Provisioning'!$AI$2:$AI$1000,ROWS($A$5:A41)-COUNTA('Raw Decommissioning'!$B$2:$B$1000))))</x:f>
        <x:v>azwan.badari@petronas.com</x:v>
      </x:c>
      <x:c r="K41" s="166" t="str">
        <x:f>IF(A41="","",IFERROR(LOOKUP(2,1/('Assignment History'!$B$5:$B$204=A41),'Assignment History'!$D$5:$D$204),IFERROR(VLOOKUP(J41,Configuration!$L$5:$M$50,2,FALSE),J41)))</x:f>
        <x:v>azwan.badari@petronas.com</x:v>
      </x:c>
      <x:c r="L41" s="166" t="str">
        <x:f>IF(A41="","",IF(K41=IFERROR(VLOOKUP(J41,Configuration!$L$5:$M$50,2,FALSE),J41),"Snapshot PIC","Replacement PIC"))</x:f>
        <x:v>Snapshot PIC</x:v>
      </x:c>
      <x:c r="M41" s="167" t="n">
        <x:f>IF(A41="","",IFERROR(VLOOKUP(I41,Configuration!$O$5:$P$8,2,FALSE),Configuration!$S$6))</x:f>
        <x:v>2</x:v>
      </x:c>
      <x:c r="N41" s="167" t="str">
        <x:f>IF(A41="","",IFERROR(LOOKUP(2,1/('Scope Review'!$B$5:$B$204=A41),'Scope Review'!$G$5:$G$204),"Not Reviewed"))</x:f>
        <x:v>Not Reviewed</x:v>
      </x:c>
      <x:c r="O41" s="167" t="str">
        <x:f>IF(A41="","",IFERROR(LOOKUP(2,1/('Scope Review'!$B$5:$B$204=A41),'Scope Review'!$H$5:$H$204),""))</x:f>
      </x:c>
      <x:c r="P41" s="167" t="n">
        <x:f t="shared" si="2">IF(A41="","",IF(AND(C41="executing",N41&lt;&gt;"Confirmed OOS"),M41,0))</x:f>
        <x:v>0</x:v>
      </x:c>
      <x:c r="Q41" s="168" t="str">
        <x:f>IF(A41="","",IFERROR(LOOKUP(2,1/('Engineer Updates'!$B$5:$B$704=A41),'Engineer Updates'!$A$5:$A$704),""))</x:f>
      </x:c>
      <x:c r="R41" s="166" t="str">
        <x:f>IF(A41="","",IFERROR(LOOKUP(2,1/('Engineer Updates'!$B$5:$B$704=A41),'Engineer Updates'!$H$5:$H$704),""))</x:f>
      </x:c>
      <x:c r="S41" s="166" t="str">
        <x:f>IF(A41="","",IFERROR(LOOKUP(2,1/('Engineer Updates'!$B$5:$B$704=A41),'Engineer Updates'!$G$5:$G$704),""))</x:f>
      </x:c>
      <x:c r="T41" s="166" t="str">
        <x:f>IF(A41="","",IFERROR(LOOKUP(2,1/('Engineer Updates'!$B$5:$B$704=A41),'Engineer Updates'!$I$5:$I$704),""))</x:f>
      </x:c>
      <x:c r="U41" s="166" t="str">
        <x:f>IF(A41="","",IFERROR(LOOKUP(2,1/('Engineer Updates'!$B$5:$B$704=A41),'Engineer Updates'!$J$5:$J$704),""))</x:f>
      </x:c>
      <x:c r="V41" s="166" t="str">
        <x:f>IF(A41="","",IFERROR(LOOKUP(2,1/('Engineer Updates'!$B$5:$B$704=A41),'Engineer Updates'!$K$5:$K$704),""))</x:f>
      </x:c>
      <x:c r="W41" s="169" t="str">
        <x:f>IF(A41="","",IFERROR(LOOKUP(2,1/('Engineer Updates'!$B$5:$B$704=A41),'Engineer Updates'!$L$5:$L$704),""))</x:f>
      </x:c>
      <x:c r="X41" s="163" t="str">
        <x:f t="shared" si="3">IF(A41="","",IF(C41="completed","Completed in CSSP",IF(AND(C41="executing",ISERROR(SEARCH("@",K41))),"Executing without named engineer",IF(AND(N41="Confirmed OOS",C41="executing"),"Confirmed OOS still executing",""))))</x:f>
        <x:v>Completed in CSSP</x:v>
      </x:c>
      <x:c r="Y41" s="163" t="str">
        <x:f>IF(A41="","",IF(B41="Decommissioning","Raw Decommissioning","Raw Provisioning"))</x:f>
        <x:v>Raw Decommissioning</x:v>
      </x:c>
      <x:c r="Z41" s="170" t="str">
        <x:f>IF(A41="","",IF(OR(C41="executing",C41="processing"),"Yes","No"))</x:f>
        <x:v>No</x:v>
      </x:c>
    </x:row>
    <x:row r="42">
      <x:c r="A42" s="163" t="str">
        <x:f>IF(ROWS($A$5:A42)&lt;=COUNTA('Raw Decommissioning'!$B$2:$B$1000),INDEX('Raw Decommissioning'!$B$2:$B$1000,ROWS($A$5:A42)),IF(ROWS($A$5:A42)-COUNTA('Raw Decommissioning'!$B$2:$B$1000)&lt;=COUNTA('Raw Provisioning'!$B$2:$B$1000),INDEX('Raw Provisioning'!$B$2:$B$1000,ROWS($A$5:A42)-COUNTA('Raw Decommissioning'!$B$2:$B$1000)),""))</x:f>
        <x:v>CSSP10828102</x:v>
      </x:c>
      <x:c r="B42" s="163" t="str">
        <x:f>IF(A42="","",IF(ROWS($A$5:A42)&lt;=COUNTA('Raw Decommissioning'!$B$2:$B$1000),"Decommissioning","Provisioning"))</x:f>
        <x:v>Decommissioning</x:v>
      </x:c>
      <x:c r="C42" s="163" t="str">
        <x:f>IF(A42="","",IF(B42="Decommissioning",IFERROR(INDEX('Raw Decommissioning'!$E$2:$E$1000,MATCH(A42,'Raw Decommissioning'!$B$2:$B$1000,0)),"Missing from latest raw"),IFERROR(INDEX('Raw Provisioning'!$E$2:$E$1000,MATCH(A42,'Raw Provisioning'!$B$2:$B$1000,0)),"Missing from latest raw")))</x:f>
        <x:v>completed</x:v>
      </x:c>
      <x:c r="D42" s="164" t="n">
        <x:f>IF(A42="","",'Refresh Control'!$B$4)</x:f>
        <x:v>46254</x:v>
      </x:c>
      <x:c r="E42" s="164" t="n">
        <x:f>IF(A42="","",IF(B42="Decommissioning",INDEX('Raw Decommissioning'!$F$2:$F$1000,ROWS($A$5:A42)),INDEX('Raw Provisioning'!$F$2:$F$1000,ROWS($A$5:A42)-COUNTA('Raw Decommissioning'!$B$2:$B$1000))))</x:f>
        <x:v>46028.12039350694</x:v>
      </x:c>
      <x:c r="F42" s="164" t="n">
        <x:f>IF(A42="","",IF(B42="Decommissioning",INDEX('Raw Decommissioning'!$G$2:$G$1000,ROWS($A$5:A42)),INDEX('Raw Provisioning'!$H$2:$H$1000,ROWS($A$5:A42)-COUNTA('Raw Decommissioning'!$B$2:$B$1000))))</x:f>
        <x:v>46043.468110856484</x:v>
      </x:c>
      <x:c r="G42" s="165" t="str">
        <x:f>IF(A42="","",IF(B42="Decommissioning",INDEX('Raw Decommissioning'!$I$2:$I$1000,ROWS($A$5:A42)),INDEX('Raw Provisioning'!$J$2:$J$1000,ROWS($A$5:A42)-COUNTA('Raw Decommissioning'!$B$2:$B$1000))))</x:f>
        <x:v>Enterprise Decarbonization iCON - ED-iCON</x:v>
      </x:c>
      <x:c r="H42" s="165" t="str">
        <x:f>IF(A42="","",IF(B42="Decommissioning",INDEX('Raw Decommissioning'!$J$2:$J$1000,ROWS($A$5:A42)),INDEX('Raw Provisioning'!$L$2:$L$1000,ROWS($A$5:A42)-COUNTA('Raw Decommissioning'!$B$2:$B$1000))))</x:f>
        <x:v>Enterprise Decarbonization (ED) iCON</x:v>
      </x:c>
      <x:c r="I42" s="165" t="str">
        <x:f>IF(A42="","",IF(B42="Decommissioning",INDEX('Raw Decommissioning'!$AL$2:$AL$1000,ROWS($A$5:A42)),INDEX('Raw Provisioning'!$R$2:$R$1000,ROWS($A$5:A42)-COUNTA('Raw Decommissioning'!$B$2:$B$1000))))</x:f>
        <x:v>M</x:v>
      </x:c>
      <x:c r="J42" s="165" t="str">
        <x:f>IF(A42="","",IF(B42="Decommissioning",INDEX('Raw Decommissioning'!$AG$2:$AG$1000,ROWS($A$5:A42)),INDEX('Raw Provisioning'!$AI$2:$AI$1000,ROWS($A$5:A42)-COUNTA('Raw Decommissioning'!$B$2:$B$1000))))</x:f>
        <x:v>azwan.badari@petronas.com</x:v>
      </x:c>
      <x:c r="K42" s="166" t="str">
        <x:f>IF(A42="","",IFERROR(LOOKUP(2,1/('Assignment History'!$B$5:$B$204=A42),'Assignment History'!$D$5:$D$204),IFERROR(VLOOKUP(J42,Configuration!$L$5:$M$50,2,FALSE),J42)))</x:f>
        <x:v>azwan.badari@petronas.com</x:v>
      </x:c>
      <x:c r="L42" s="166" t="str">
        <x:f>IF(A42="","",IF(K42=IFERROR(VLOOKUP(J42,Configuration!$L$5:$M$50,2,FALSE),J42),"Snapshot PIC","Replacement PIC"))</x:f>
        <x:v>Snapshot PIC</x:v>
      </x:c>
      <x:c r="M42" s="167" t="n">
        <x:f>IF(A42="","",IFERROR(VLOOKUP(I42,Configuration!$O$5:$P$8,2,FALSE),Configuration!$S$6))</x:f>
        <x:v>2</x:v>
      </x:c>
      <x:c r="N42" s="167" t="str">
        <x:f>IF(A42="","",IFERROR(LOOKUP(2,1/('Scope Review'!$B$5:$B$204=A42),'Scope Review'!$G$5:$G$204),"Not Reviewed"))</x:f>
        <x:v>Not Reviewed</x:v>
      </x:c>
      <x:c r="O42" s="167" t="str">
        <x:f>IF(A42="","",IFERROR(LOOKUP(2,1/('Scope Review'!$B$5:$B$204=A42),'Scope Review'!$H$5:$H$204),""))</x:f>
      </x:c>
      <x:c r="P42" s="167" t="n">
        <x:f t="shared" si="2">IF(A42="","",IF(AND(C42="executing",N42&lt;&gt;"Confirmed OOS"),M42,0))</x:f>
        <x:v>0</x:v>
      </x:c>
      <x:c r="Q42" s="168" t="str">
        <x:f>IF(A42="","",IFERROR(LOOKUP(2,1/('Engineer Updates'!$B$5:$B$704=A42),'Engineer Updates'!$A$5:$A$704),""))</x:f>
      </x:c>
      <x:c r="R42" s="166" t="str">
        <x:f>IF(A42="","",IFERROR(LOOKUP(2,1/('Engineer Updates'!$B$5:$B$704=A42),'Engineer Updates'!$H$5:$H$704),""))</x:f>
      </x:c>
      <x:c r="S42" s="166" t="str">
        <x:f>IF(A42="","",IFERROR(LOOKUP(2,1/('Engineer Updates'!$B$5:$B$704=A42),'Engineer Updates'!$G$5:$G$704),""))</x:f>
      </x:c>
      <x:c r="T42" s="166" t="str">
        <x:f>IF(A42="","",IFERROR(LOOKUP(2,1/('Engineer Updates'!$B$5:$B$704=A42),'Engineer Updates'!$I$5:$I$704),""))</x:f>
      </x:c>
      <x:c r="U42" s="166" t="str">
        <x:f>IF(A42="","",IFERROR(LOOKUP(2,1/('Engineer Updates'!$B$5:$B$704=A42),'Engineer Updates'!$J$5:$J$704),""))</x:f>
      </x:c>
      <x:c r="V42" s="166" t="str">
        <x:f>IF(A42="","",IFERROR(LOOKUP(2,1/('Engineer Updates'!$B$5:$B$704=A42),'Engineer Updates'!$K$5:$K$704),""))</x:f>
      </x:c>
      <x:c r="W42" s="169" t="str">
        <x:f>IF(A42="","",IFERROR(LOOKUP(2,1/('Engineer Updates'!$B$5:$B$704=A42),'Engineer Updates'!$L$5:$L$704),""))</x:f>
      </x:c>
      <x:c r="X42" s="163" t="str">
        <x:f t="shared" si="3">IF(A42="","",IF(C42="completed","Completed in CSSP",IF(AND(C42="executing",ISERROR(SEARCH("@",K42))),"Executing without named engineer",IF(AND(N42="Confirmed OOS",C42="executing"),"Confirmed OOS still executing",""))))</x:f>
        <x:v>Completed in CSSP</x:v>
      </x:c>
      <x:c r="Y42" s="163" t="str">
        <x:f>IF(A42="","",IF(B42="Decommissioning","Raw Decommissioning","Raw Provisioning"))</x:f>
        <x:v>Raw Decommissioning</x:v>
      </x:c>
      <x:c r="Z42" s="170" t="str">
        <x:f>IF(A42="","",IF(OR(C42="executing",C42="processing"),"Yes","No"))</x:f>
        <x:v>No</x:v>
      </x:c>
    </x:row>
    <x:row r="43" ht="30">
      <x:c r="A43" s="163" t="str">
        <x:f>IF(ROWS($A$5:A43)&lt;=COUNTA('Raw Decommissioning'!$B$2:$B$1000),INDEX('Raw Decommissioning'!$B$2:$B$1000,ROWS($A$5:A43)),IF(ROWS($A$5:A43)-COUNTA('Raw Decommissioning'!$B$2:$B$1000)&lt;=COUNTA('Raw Provisioning'!$B$2:$B$1000),INDEX('Raw Provisioning'!$B$2:$B$1000,ROWS($A$5:A43)-COUNTA('Raw Decommissioning'!$B$2:$B$1000)),""))</x:f>
        <x:v>CSSP10960000</x:v>
      </x:c>
      <x:c r="B43" s="163" t="str">
        <x:f>IF(A43="","",IF(ROWS($A$5:A43)&lt;=COUNTA('Raw Decommissioning'!$B$2:$B$1000),"Decommissioning","Provisioning"))</x:f>
        <x:v>Decommissioning</x:v>
      </x:c>
      <x:c r="C43" s="163" t="str">
        <x:f>IF(A43="","",IF(B43="Decommissioning",IFERROR(INDEX('Raw Decommissioning'!$E$2:$E$1000,MATCH(A43,'Raw Decommissioning'!$B$2:$B$1000,0)),"Missing from latest raw"),IFERROR(INDEX('Raw Provisioning'!$E$2:$E$1000,MATCH(A43,'Raw Provisioning'!$B$2:$B$1000,0)),"Missing from latest raw")))</x:f>
        <x:v>completed</x:v>
      </x:c>
      <x:c r="D43" s="164" t="n">
        <x:f>IF(A43="","",'Refresh Control'!$B$4)</x:f>
        <x:v>46254</x:v>
      </x:c>
      <x:c r="E43" s="164" t="n">
        <x:f>IF(A43="","",IF(B43="Decommissioning",INDEX('Raw Decommissioning'!$F$2:$F$1000,ROWS($A$5:A43)),INDEX('Raw Provisioning'!$F$2:$F$1000,ROWS($A$5:A43)-COUNTA('Raw Decommissioning'!$B$2:$B$1000))))</x:f>
        <x:v>46030.26838638889</x:v>
      </x:c>
      <x:c r="F43" s="164" t="n">
        <x:f>IF(A43="","",IF(B43="Decommissioning",INDEX('Raw Decommissioning'!$G$2:$G$1000,ROWS($A$5:A43)),INDEX('Raw Provisioning'!$H$2:$H$1000,ROWS($A$5:A43)-COUNTA('Raw Decommissioning'!$B$2:$B$1000))))</x:f>
        <x:v>46037.12722962963</x:v>
      </x:c>
      <x:c r="G43" s="165" t="str">
        <x:f>IF(A43="","",IF(B43="Decommissioning",INDEX('Raw Decommissioning'!$I$2:$I$1000,ROWS($A$5:A43)),INDEX('Raw Provisioning'!$J$2:$J$1000,ROWS($A$5:A43)-COUNTA('Raw Decommissioning'!$B$2:$B$1000))))</x:f>
        <x:v>Azure Machine Learning - PC Derivatives</x:v>
      </x:c>
      <x:c r="H43" s="165" t="str">
        <x:f>IF(A43="","",IF(B43="Decommissioning",INDEX('Raw Decommissioning'!$J$2:$J$1000,ROWS($A$5:A43)),INDEX('Raw Provisioning'!$L$2:$L$1000,ROWS($A$5:A43)-COUNTA('Raw Decommissioning'!$B$2:$B$1000))))</x:f>
        <x:v>Run &amp; Maintain Citizen Analytics Use Case for Sales Gas Optimization for PC Derivatives Sdn Bhd</x:v>
      </x:c>
      <x:c r="I43" s="165" t="str">
        <x:f>IF(A43="","",IF(B43="Decommissioning",INDEX('Raw Decommissioning'!$AL$2:$AL$1000,ROWS($A$5:A43)),INDEX('Raw Provisioning'!$R$2:$R$1000,ROWS($A$5:A43)-COUNTA('Raw Decommissioning'!$B$2:$B$1000))))</x:f>
        <x:v>M</x:v>
      </x:c>
      <x:c r="J43" s="165" t="str">
        <x:f>IF(A43="","",IF(B43="Decommissioning",INDEX('Raw Decommissioning'!$AG$2:$AG$1000,ROWS($A$5:A43)),INDEX('Raw Provisioning'!$AI$2:$AI$1000,ROWS($A$5:A43)-COUNTA('Raw Decommissioning'!$B$2:$B$1000))))</x:f>
        <x:v>azlisham.md@petronas.com</x:v>
      </x:c>
      <x:c r="K43" s="166" t="str">
        <x:f>IF(A43="","",IFERROR(LOOKUP(2,1/('Assignment History'!$B$5:$B$204=A43),'Assignment History'!$D$5:$D$204),IFERROR(VLOOKUP(J43,Configuration!$L$5:$M$50,2,FALSE),J43)))</x:f>
        <x:v>azlisham.md@petronas.com</x:v>
      </x:c>
      <x:c r="L43" s="166" t="str">
        <x:f>IF(A43="","",IF(K43=IFERROR(VLOOKUP(J43,Configuration!$L$5:$M$50,2,FALSE),J43),"Snapshot PIC","Replacement PIC"))</x:f>
        <x:v>Snapshot PIC</x:v>
      </x:c>
      <x:c r="M43" s="167" t="n">
        <x:f>IF(A43="","",IFERROR(VLOOKUP(I43,Configuration!$O$5:$P$8,2,FALSE),Configuration!$S$6))</x:f>
        <x:v>2</x:v>
      </x:c>
      <x:c r="N43" s="167" t="str">
        <x:f>IF(A43="","",IFERROR(LOOKUP(2,1/('Scope Review'!$B$5:$B$204=A43),'Scope Review'!$G$5:$G$204),"Not Reviewed"))</x:f>
        <x:v>Not Reviewed</x:v>
      </x:c>
      <x:c r="O43" s="167" t="str">
        <x:f>IF(A43="","",IFERROR(LOOKUP(2,1/('Scope Review'!$B$5:$B$204=A43),'Scope Review'!$H$5:$H$204),""))</x:f>
      </x:c>
      <x:c r="P43" s="167" t="n">
        <x:f t="shared" si="2">IF(A43="","",IF(AND(C43="executing",N43&lt;&gt;"Confirmed OOS"),M43,0))</x:f>
        <x:v>0</x:v>
      </x:c>
      <x:c r="Q43" s="168" t="str">
        <x:f>IF(A43="","",IFERROR(LOOKUP(2,1/('Engineer Updates'!$B$5:$B$704=A43),'Engineer Updates'!$A$5:$A$704),""))</x:f>
      </x:c>
      <x:c r="R43" s="166" t="str">
        <x:f>IF(A43="","",IFERROR(LOOKUP(2,1/('Engineer Updates'!$B$5:$B$704=A43),'Engineer Updates'!$H$5:$H$704),""))</x:f>
      </x:c>
      <x:c r="S43" s="166" t="str">
        <x:f>IF(A43="","",IFERROR(LOOKUP(2,1/('Engineer Updates'!$B$5:$B$704=A43),'Engineer Updates'!$G$5:$G$704),""))</x:f>
      </x:c>
      <x:c r="T43" s="166" t="str">
        <x:f>IF(A43="","",IFERROR(LOOKUP(2,1/('Engineer Updates'!$B$5:$B$704=A43),'Engineer Updates'!$I$5:$I$704),""))</x:f>
      </x:c>
      <x:c r="U43" s="166" t="str">
        <x:f>IF(A43="","",IFERROR(LOOKUP(2,1/('Engineer Updates'!$B$5:$B$704=A43),'Engineer Updates'!$J$5:$J$704),""))</x:f>
      </x:c>
      <x:c r="V43" s="166" t="str">
        <x:f>IF(A43="","",IFERROR(LOOKUP(2,1/('Engineer Updates'!$B$5:$B$704=A43),'Engineer Updates'!$K$5:$K$704),""))</x:f>
      </x:c>
      <x:c r="W43" s="169" t="str">
        <x:f>IF(A43="","",IFERROR(LOOKUP(2,1/('Engineer Updates'!$B$5:$B$704=A43),'Engineer Updates'!$L$5:$L$704),""))</x:f>
      </x:c>
      <x:c r="X43" s="163" t="str">
        <x:f t="shared" si="3">IF(A43="","",IF(C43="completed","Completed in CSSP",IF(AND(C43="executing",ISERROR(SEARCH("@",K43))),"Executing without named engineer",IF(AND(N43="Confirmed OOS",C43="executing"),"Confirmed OOS still executing",""))))</x:f>
        <x:v>Completed in CSSP</x:v>
      </x:c>
      <x:c r="Y43" s="163" t="str">
        <x:f>IF(A43="","",IF(B43="Decommissioning","Raw Decommissioning","Raw Provisioning"))</x:f>
        <x:v>Raw Decommissioning</x:v>
      </x:c>
      <x:c r="Z43" s="170" t="str">
        <x:f>IF(A43="","",IF(OR(C43="executing",C43="processing"),"Yes","No"))</x:f>
        <x:v>No</x:v>
      </x:c>
    </x:row>
    <x:row r="44" ht="45">
      <x:c r="A44" s="163" t="str">
        <x:f>IF(ROWS($A$5:A44)&lt;=COUNTA('Raw Decommissioning'!$B$2:$B$1000),INDEX('Raw Decommissioning'!$B$2:$B$1000,ROWS($A$5:A44)),IF(ROWS($A$5:A44)-COUNTA('Raw Decommissioning'!$B$2:$B$1000)&lt;=COUNTA('Raw Provisioning'!$B$2:$B$1000),INDEX('Raw Provisioning'!$B$2:$B$1000,ROWS($A$5:A44)-COUNTA('Raw Decommissioning'!$B$2:$B$1000)),""))</x:f>
        <x:v>CSSP10159861</x:v>
      </x:c>
      <x:c r="B44" s="163" t="str">
        <x:f>IF(A44="","",IF(ROWS($A$5:A44)&lt;=COUNTA('Raw Decommissioning'!$B$2:$B$1000),"Decommissioning","Provisioning"))</x:f>
        <x:v>Decommissioning</x:v>
      </x:c>
      <x:c r="C44" s="163" t="str">
        <x:f>IF(A44="","",IF(B44="Decommissioning",IFERROR(INDEX('Raw Decommissioning'!$E$2:$E$1000,MATCH(A44,'Raw Decommissioning'!$B$2:$B$1000,0)),"Missing from latest raw"),IFERROR(INDEX('Raw Provisioning'!$E$2:$E$1000,MATCH(A44,'Raw Provisioning'!$B$2:$B$1000,0)),"Missing from latest raw")))</x:f>
        <x:v>cancelled</x:v>
      </x:c>
      <x:c r="D44" s="164" t="n">
        <x:f>IF(A44="","",'Refresh Control'!$B$4)</x:f>
        <x:v>46254</x:v>
      </x:c>
      <x:c r="E44" s="164" t="n">
        <x:f>IF(A44="","",IF(B44="Decommissioning",INDEX('Raw Decommissioning'!$F$2:$F$1000,ROWS($A$5:A44)),INDEX('Raw Provisioning'!$F$2:$F$1000,ROWS($A$5:A44)-COUNTA('Raw Decommissioning'!$B$2:$B$1000))))</x:f>
        <x:v>46031.08573958333</x:v>
      </x:c>
      <x:c r="F44" s="164" t="n">
        <x:f>IF(A44="","",IF(B44="Decommissioning",INDEX('Raw Decommissioning'!$G$2:$G$1000,ROWS($A$5:A44)),INDEX('Raw Provisioning'!$H$2:$H$1000,ROWS($A$5:A44)-COUNTA('Raw Decommissioning'!$B$2:$B$1000))))</x:f>
        <x:v>46031.086062118055</x:v>
      </x:c>
      <x:c r="G44" s="165" t="str">
        <x:f>IF(A44="","",IF(B44="Decommissioning",INDEX('Raw Decommissioning'!$I$2:$I$1000,ROWS($A$5:A44)),INDEX('Raw Provisioning'!$J$2:$J$1000,ROWS($A$5:A44)-COUNTA('Raw Decommissioning'!$B$2:$B$1000))))</x:f>
        <x:v>Enhancement of Enhanced Resource Monetization by Artificial Intelligence - ERMAI Phase 3 for Malaysia Petroleum Management - MPM</x:v>
      </x:c>
      <x:c r="H44" s="165" t="str">
        <x:f>IF(A44="","",IF(B44="Decommissioning",INDEX('Raw Decommissioning'!$J$2:$J$1000,ROWS($A$5:A44)),INDEX('Raw Provisioning'!$L$2:$L$1000,ROWS($A$5:A44)-COUNTA('Raw Decommissioning'!$B$2:$B$1000))))</x:f>
        <x:v>Implementation of Enhanced Resource Monetization Artificial Intelligence (ERMAI) for Malaysia Petroleum Management (MPM)</x:v>
      </x:c>
      <x:c r="I44" s="165" t="str">
        <x:f>IF(A44="","",IF(B44="Decommissioning",INDEX('Raw Decommissioning'!$AL$2:$AL$1000,ROWS($A$5:A44)),INDEX('Raw Provisioning'!$R$2:$R$1000,ROWS($A$5:A44)-COUNTA('Raw Decommissioning'!$B$2:$B$1000))))</x:f>
      </x:c>
      <x:c r="J44" s="165" t="str">
        <x:f>IF(A44="","",IF(B44="Decommissioning",INDEX('Raw Decommissioning'!$AG$2:$AG$1000,ROWS($A$5:A44)),INDEX('Raw Provisioning'!$AI$2:$AI$1000,ROWS($A$5:A44)-COUNTA('Raw Decommissioning'!$B$2:$B$1000))))</x:f>
        <x:v>CCoE Operations</x:v>
      </x:c>
      <x:c r="K44" s="166" t="str">
        <x:f>IF(A44="","",IFERROR(LOOKUP(2,1/('Assignment History'!$B$5:$B$204=A44),'Assignment History'!$D$5:$D$204),IFERROR(VLOOKUP(J44,Configuration!$L$5:$M$50,2,FALSE),J44)))</x:f>
        <x:v>CCoE Operations</x:v>
      </x:c>
      <x:c r="L44" s="166" t="str">
        <x:f>IF(A44="","",IF(K44=IFERROR(VLOOKUP(J44,Configuration!$L$5:$M$50,2,FALSE),J44),"Snapshot PIC","Replacement PIC"))</x:f>
        <x:v>Snapshot PIC</x:v>
      </x:c>
      <x:c r="M44" s="167" t="n">
        <x:f>IF(A44="","",IFERROR(VLOOKUP(I44,Configuration!$O$5:$P$8,2,FALSE),Configuration!$S$6))</x:f>
        <x:v>2</x:v>
      </x:c>
      <x:c r="N44" s="167" t="str">
        <x:f>IF(A44="","",IFERROR(LOOKUP(2,1/('Scope Review'!$B$5:$B$204=A44),'Scope Review'!$G$5:$G$204),"Not Reviewed"))</x:f>
        <x:v>Not Reviewed</x:v>
      </x:c>
      <x:c r="O44" s="167" t="str">
        <x:f>IF(A44="","",IFERROR(LOOKUP(2,1/('Scope Review'!$B$5:$B$204=A44),'Scope Review'!$H$5:$H$204),""))</x:f>
      </x:c>
      <x:c r="P44" s="167" t="n">
        <x:f t="shared" si="2">IF(A44="","",IF(AND(C44="executing",N44&lt;&gt;"Confirmed OOS"),M44,0))</x:f>
        <x:v>0</x:v>
      </x:c>
      <x:c r="Q44" s="168" t="str">
        <x:f>IF(A44="","",IFERROR(LOOKUP(2,1/('Engineer Updates'!$B$5:$B$704=A44),'Engineer Updates'!$A$5:$A$704),""))</x:f>
      </x:c>
      <x:c r="R44" s="166" t="str">
        <x:f>IF(A44="","",IFERROR(LOOKUP(2,1/('Engineer Updates'!$B$5:$B$704=A44),'Engineer Updates'!$H$5:$H$704),""))</x:f>
      </x:c>
      <x:c r="S44" s="166" t="str">
        <x:f>IF(A44="","",IFERROR(LOOKUP(2,1/('Engineer Updates'!$B$5:$B$704=A44),'Engineer Updates'!$G$5:$G$704),""))</x:f>
      </x:c>
      <x:c r="T44" s="166" t="str">
        <x:f>IF(A44="","",IFERROR(LOOKUP(2,1/('Engineer Updates'!$B$5:$B$704=A44),'Engineer Updates'!$I$5:$I$704),""))</x:f>
      </x:c>
      <x:c r="U44" s="166" t="str">
        <x:f>IF(A44="","",IFERROR(LOOKUP(2,1/('Engineer Updates'!$B$5:$B$704=A44),'Engineer Updates'!$J$5:$J$704),""))</x:f>
      </x:c>
      <x:c r="V44" s="166" t="str">
        <x:f>IF(A44="","",IFERROR(LOOKUP(2,1/('Engineer Updates'!$B$5:$B$704=A44),'Engineer Updates'!$K$5:$K$704),""))</x:f>
      </x:c>
      <x:c r="W44" s="169" t="str">
        <x:f>IF(A44="","",IFERROR(LOOKUP(2,1/('Engineer Updates'!$B$5:$B$704=A44),'Engineer Updates'!$L$5:$L$704),""))</x:f>
      </x:c>
      <x:c r="X44" s="163" t="str">
        <x:f t="shared" si="3">IF(A44="","",IF(C44="completed","Completed in CSSP",IF(AND(C44="executing",ISERROR(SEARCH("@",K44))),"Executing without named engineer",IF(AND(N44="Confirmed OOS",C44="executing"),"Confirmed OOS still executing",""))))</x:f>
      </x:c>
      <x:c r="Y44" s="163" t="str">
        <x:f>IF(A44="","",IF(B44="Decommissioning","Raw Decommissioning","Raw Provisioning"))</x:f>
        <x:v>Raw Decommissioning</x:v>
      </x:c>
      <x:c r="Z44" s="170" t="str">
        <x:f>IF(A44="","",IF(OR(C44="executing",C44="processing"),"Yes","No"))</x:f>
        <x:v>No</x:v>
      </x:c>
    </x:row>
    <x:row r="45" ht="30">
      <x:c r="A45" s="163" t="str">
        <x:f>IF(ROWS($A$5:A45)&lt;=COUNTA('Raw Decommissioning'!$B$2:$B$1000),INDEX('Raw Decommissioning'!$B$2:$B$1000,ROWS($A$5:A45)),IF(ROWS($A$5:A45)-COUNTA('Raw Decommissioning'!$B$2:$B$1000)&lt;=COUNTA('Raw Provisioning'!$B$2:$B$1000),INDEX('Raw Provisioning'!$B$2:$B$1000,ROWS($A$5:A45)-COUNTA('Raw Decommissioning'!$B$2:$B$1000)),""))</x:f>
        <x:v>CSSP10622149</x:v>
      </x:c>
      <x:c r="B45" s="163" t="str">
        <x:f>IF(A45="","",IF(ROWS($A$5:A45)&lt;=COUNTA('Raw Decommissioning'!$B$2:$B$1000),"Decommissioning","Provisioning"))</x:f>
        <x:v>Decommissioning</x:v>
      </x:c>
      <x:c r="C45" s="163" t="str">
        <x:f>IF(A45="","",IF(B45="Decommissioning",IFERROR(INDEX('Raw Decommissioning'!$E$2:$E$1000,MATCH(A45,'Raw Decommissioning'!$B$2:$B$1000,0)),"Missing from latest raw"),IFERROR(INDEX('Raw Provisioning'!$E$2:$E$1000,MATCH(A45,'Raw Provisioning'!$B$2:$B$1000,0)),"Missing from latest raw")))</x:f>
        <x:v>cancelled</x:v>
      </x:c>
      <x:c r="D45" s="164" t="n">
        <x:f>IF(A45="","",'Refresh Control'!$B$4)</x:f>
        <x:v>46254</x:v>
      </x:c>
      <x:c r="E45" s="164" t="n">
        <x:f>IF(A45="","",IF(B45="Decommissioning",INDEX('Raw Decommissioning'!$F$2:$F$1000,ROWS($A$5:A45)),INDEX('Raw Provisioning'!$F$2:$F$1000,ROWS($A$5:A45)-COUNTA('Raw Decommissioning'!$B$2:$B$1000))))</x:f>
        <x:v>46031.08751207176</x:v>
      </x:c>
      <x:c r="F45" s="164" t="n">
        <x:f>IF(A45="","",IF(B45="Decommissioning",INDEX('Raw Decommissioning'!$G$2:$G$1000,ROWS($A$5:A45)),INDEX('Raw Provisioning'!$H$2:$H$1000,ROWS($A$5:A45)-COUNTA('Raw Decommissioning'!$B$2:$B$1000))))</x:f>
        <x:v>46031.08769891204</x:v>
      </x:c>
      <x:c r="G45" s="165" t="str">
        <x:f>IF(A45="","",IF(B45="Decommissioning",INDEX('Raw Decommissioning'!$I$2:$I$1000,ROWS($A$5:A45)),INDEX('Raw Provisioning'!$J$2:$J$1000,ROWS($A$5:A45)-COUNTA('Raw Decommissioning'!$B$2:$B$1000))))</x:f>
        <x:v>Enhancement of Enhanced Resource Monetization by Artificial Intelligence - ERMAI Phase 3 for Malaysia Petroleum Management - MPM</x:v>
      </x:c>
      <x:c r="H45" s="165" t="str">
        <x:f>IF(A45="","",IF(B45="Decommissioning",INDEX('Raw Decommissioning'!$J$2:$J$1000,ROWS($A$5:A45)),INDEX('Raw Provisioning'!$L$2:$L$1000,ROWS($A$5:A45)-COUNTA('Raw Decommissioning'!$B$2:$B$1000))))</x:f>
        <x:v>Enhancement of Enhanced Resource Monetization by Artificial Intelligence (ERMAI) Phase 4</x:v>
      </x:c>
      <x:c r="I45" s="165" t="str">
        <x:f>IF(A45="","",IF(B45="Decommissioning",INDEX('Raw Decommissioning'!$AL$2:$AL$1000,ROWS($A$5:A45)),INDEX('Raw Provisioning'!$R$2:$R$1000,ROWS($A$5:A45)-COUNTA('Raw Decommissioning'!$B$2:$B$1000))))</x:f>
      </x:c>
      <x:c r="J45" s="165" t="str">
        <x:f>IF(A45="","",IF(B45="Decommissioning",INDEX('Raw Decommissioning'!$AG$2:$AG$1000,ROWS($A$5:A45)),INDEX('Raw Provisioning'!$AI$2:$AI$1000,ROWS($A$5:A45)-COUNTA('Raw Decommissioning'!$B$2:$B$1000))))</x:f>
        <x:v>CCoE Operations</x:v>
      </x:c>
      <x:c r="K45" s="166" t="str">
        <x:f>IF(A45="","",IFERROR(LOOKUP(2,1/('Assignment History'!$B$5:$B$204=A45),'Assignment History'!$D$5:$D$204),IFERROR(VLOOKUP(J45,Configuration!$L$5:$M$50,2,FALSE),J45)))</x:f>
        <x:v>CCoE Operations</x:v>
      </x:c>
      <x:c r="L45" s="166" t="str">
        <x:f>IF(A45="","",IF(K45=IFERROR(VLOOKUP(J45,Configuration!$L$5:$M$50,2,FALSE),J45),"Snapshot PIC","Replacement PIC"))</x:f>
        <x:v>Snapshot PIC</x:v>
      </x:c>
      <x:c r="M45" s="167" t="n">
        <x:f>IF(A45="","",IFERROR(VLOOKUP(I45,Configuration!$O$5:$P$8,2,FALSE),Configuration!$S$6))</x:f>
        <x:v>2</x:v>
      </x:c>
      <x:c r="N45" s="167" t="str">
        <x:f>IF(A45="","",IFERROR(LOOKUP(2,1/('Scope Review'!$B$5:$B$204=A45),'Scope Review'!$G$5:$G$204),"Not Reviewed"))</x:f>
        <x:v>Not Reviewed</x:v>
      </x:c>
      <x:c r="O45" s="167" t="str">
        <x:f>IF(A45="","",IFERROR(LOOKUP(2,1/('Scope Review'!$B$5:$B$204=A45),'Scope Review'!$H$5:$H$204),""))</x:f>
      </x:c>
      <x:c r="P45" s="167" t="n">
        <x:f t="shared" si="2">IF(A45="","",IF(AND(C45="executing",N45&lt;&gt;"Confirmed OOS"),M45,0))</x:f>
        <x:v>0</x:v>
      </x:c>
      <x:c r="Q45" s="168" t="str">
        <x:f>IF(A45="","",IFERROR(LOOKUP(2,1/('Engineer Updates'!$B$5:$B$704=A45),'Engineer Updates'!$A$5:$A$704),""))</x:f>
      </x:c>
      <x:c r="R45" s="166" t="str">
        <x:f>IF(A45="","",IFERROR(LOOKUP(2,1/('Engineer Updates'!$B$5:$B$704=A45),'Engineer Updates'!$H$5:$H$704),""))</x:f>
      </x:c>
      <x:c r="S45" s="166" t="str">
        <x:f>IF(A45="","",IFERROR(LOOKUP(2,1/('Engineer Updates'!$B$5:$B$704=A45),'Engineer Updates'!$G$5:$G$704),""))</x:f>
      </x:c>
      <x:c r="T45" s="166" t="str">
        <x:f>IF(A45="","",IFERROR(LOOKUP(2,1/('Engineer Updates'!$B$5:$B$704=A45),'Engineer Updates'!$I$5:$I$704),""))</x:f>
      </x:c>
      <x:c r="U45" s="166" t="str">
        <x:f>IF(A45="","",IFERROR(LOOKUP(2,1/('Engineer Updates'!$B$5:$B$704=A45),'Engineer Updates'!$J$5:$J$704),""))</x:f>
      </x:c>
      <x:c r="V45" s="166" t="str">
        <x:f>IF(A45="","",IFERROR(LOOKUP(2,1/('Engineer Updates'!$B$5:$B$704=A45),'Engineer Updates'!$K$5:$K$704),""))</x:f>
      </x:c>
      <x:c r="W45" s="169" t="str">
        <x:f>IF(A45="","",IFERROR(LOOKUP(2,1/('Engineer Updates'!$B$5:$B$704=A45),'Engineer Updates'!$L$5:$L$704),""))</x:f>
      </x:c>
      <x:c r="X45" s="163" t="str">
        <x:f t="shared" si="3">IF(A45="","",IF(C45="completed","Completed in CSSP",IF(AND(C45="executing",ISERROR(SEARCH("@",K45))),"Executing without named engineer",IF(AND(N45="Confirmed OOS",C45="executing"),"Confirmed OOS still executing",""))))</x:f>
      </x:c>
      <x:c r="Y45" s="163" t="str">
        <x:f>IF(A45="","",IF(B45="Decommissioning","Raw Decommissioning","Raw Provisioning"))</x:f>
        <x:v>Raw Decommissioning</x:v>
      </x:c>
      <x:c r="Z45" s="170" t="str">
        <x:f>IF(A45="","",IF(OR(C45="executing",C45="processing"),"Yes","No"))</x:f>
        <x:v>No</x:v>
      </x:c>
    </x:row>
    <x:row r="46" ht="30">
      <x:c r="A46" s="163" t="str">
        <x:f>IF(ROWS($A$5:A46)&lt;=COUNTA('Raw Decommissioning'!$B$2:$B$1000),INDEX('Raw Decommissioning'!$B$2:$B$1000,ROWS($A$5:A46)),IF(ROWS($A$5:A46)-COUNTA('Raw Decommissioning'!$B$2:$B$1000)&lt;=COUNTA('Raw Provisioning'!$B$2:$B$1000),INDEX('Raw Provisioning'!$B$2:$B$1000,ROWS($A$5:A46)-COUNTA('Raw Decommissioning'!$B$2:$B$1000)),""))</x:f>
        <x:v>CSSP10527994</x:v>
      </x:c>
      <x:c r="B46" s="163" t="str">
        <x:f>IF(A46="","",IF(ROWS($A$5:A46)&lt;=COUNTA('Raw Decommissioning'!$B$2:$B$1000),"Decommissioning","Provisioning"))</x:f>
        <x:v>Decommissioning</x:v>
      </x:c>
      <x:c r="C46" s="163" t="str">
        <x:f>IF(A46="","",IF(B46="Decommissioning",IFERROR(INDEX('Raw Decommissioning'!$E$2:$E$1000,MATCH(A46,'Raw Decommissioning'!$B$2:$B$1000,0)),"Missing from latest raw"),IFERROR(INDEX('Raw Provisioning'!$E$2:$E$1000,MATCH(A46,'Raw Provisioning'!$B$2:$B$1000,0)),"Missing from latest raw")))</x:f>
        <x:v>completed</x:v>
      </x:c>
      <x:c r="D46" s="164" t="n">
        <x:f>IF(A46="","",'Refresh Control'!$B$4)</x:f>
        <x:v>46254</x:v>
      </x:c>
      <x:c r="E46" s="164" t="n">
        <x:f>IF(A46="","",IF(B46="Decommissioning",INDEX('Raw Decommissioning'!$F$2:$F$1000,ROWS($A$5:A46)),INDEX('Raw Provisioning'!$F$2:$F$1000,ROWS($A$5:A46)-COUNTA('Raw Decommissioning'!$B$2:$B$1000))))</x:f>
        <x:v>46031.08856185185</x:v>
      </x:c>
      <x:c r="F46" s="164" t="n">
        <x:f>IF(A46="","",IF(B46="Decommissioning",INDEX('Raw Decommissioning'!$G$2:$G$1000,ROWS($A$5:A46)),INDEX('Raw Provisioning'!$H$2:$H$1000,ROWS($A$5:A46)-COUNTA('Raw Decommissioning'!$B$2:$B$1000))))</x:f>
        <x:v>46038.07838650463</x:v>
      </x:c>
      <x:c r="G46" s="165" t="str">
        <x:f>IF(A46="","",IF(B46="Decommissioning",INDEX('Raw Decommissioning'!$I$2:$I$1000,ROWS($A$5:A46)),INDEX('Raw Provisioning'!$J$2:$J$1000,ROWS($A$5:A46)-COUNTA('Raw Decommissioning'!$B$2:$B$1000))))</x:f>
        <x:v>Enhancement of Enhanced Resource Monetization by Artificial Intelligence - ERMAI Phase 3 for Malaysia Petroleum Management - MPM</x:v>
      </x:c>
      <x:c r="H46" s="165" t="str">
        <x:f>IF(A46="","",IF(B46="Decommissioning",INDEX('Raw Decommissioning'!$J$2:$J$1000,ROWS($A$5:A46)),INDEX('Raw Provisioning'!$L$2:$L$1000,ROWS($A$5:A46)-COUNTA('Raw Decommissioning'!$B$2:$B$1000))))</x:f>
        <x:v>Implementation of Enhanced Resource Monetization Artificial Intelligence (ERMAI) Malaysia Petroleum Management (MPM)</x:v>
      </x:c>
      <x:c r="I46" s="165" t="str">
        <x:f>IF(A46="","",IF(B46="Decommissioning",INDEX('Raw Decommissioning'!$AL$2:$AL$1000,ROWS($A$5:A46)),INDEX('Raw Provisioning'!$R$2:$R$1000,ROWS($A$5:A46)-COUNTA('Raw Decommissioning'!$B$2:$B$1000))))</x:f>
        <x:v>M</x:v>
      </x:c>
      <x:c r="J46" s="165" t="str">
        <x:f>IF(A46="","",IF(B46="Decommissioning",INDEX('Raw Decommissioning'!$AG$2:$AG$1000,ROWS($A$5:A46)),INDEX('Raw Provisioning'!$AI$2:$AI$1000,ROWS($A$5:A46)-COUNTA('Raw Decommissioning'!$B$2:$B$1000))))</x:f>
        <x:v>azwan.badari@petronas.com</x:v>
      </x:c>
      <x:c r="K46" s="166" t="str">
        <x:f>IF(A46="","",IFERROR(LOOKUP(2,1/('Assignment History'!$B$5:$B$204=A46),'Assignment History'!$D$5:$D$204),IFERROR(VLOOKUP(J46,Configuration!$L$5:$M$50,2,FALSE),J46)))</x:f>
        <x:v>azwan.badari@petronas.com</x:v>
      </x:c>
      <x:c r="L46" s="166" t="str">
        <x:f>IF(A46="","",IF(K46=IFERROR(VLOOKUP(J46,Configuration!$L$5:$M$50,2,FALSE),J46),"Snapshot PIC","Replacement PIC"))</x:f>
        <x:v>Snapshot PIC</x:v>
      </x:c>
      <x:c r="M46" s="167" t="n">
        <x:f>IF(A46="","",IFERROR(VLOOKUP(I46,Configuration!$O$5:$P$8,2,FALSE),Configuration!$S$6))</x:f>
        <x:v>2</x:v>
      </x:c>
      <x:c r="N46" s="167" t="str">
        <x:f>IF(A46="","",IFERROR(LOOKUP(2,1/('Scope Review'!$B$5:$B$204=A46),'Scope Review'!$G$5:$G$204),"Not Reviewed"))</x:f>
        <x:v>Not Reviewed</x:v>
      </x:c>
      <x:c r="O46" s="167" t="str">
        <x:f>IF(A46="","",IFERROR(LOOKUP(2,1/('Scope Review'!$B$5:$B$204=A46),'Scope Review'!$H$5:$H$204),""))</x:f>
      </x:c>
      <x:c r="P46" s="167" t="n">
        <x:f t="shared" si="2">IF(A46="","",IF(AND(C46="executing",N46&lt;&gt;"Confirmed OOS"),M46,0))</x:f>
        <x:v>0</x:v>
      </x:c>
      <x:c r="Q46" s="168" t="str">
        <x:f>IF(A46="","",IFERROR(LOOKUP(2,1/('Engineer Updates'!$B$5:$B$704=A46),'Engineer Updates'!$A$5:$A$704),""))</x:f>
      </x:c>
      <x:c r="R46" s="166" t="str">
        <x:f>IF(A46="","",IFERROR(LOOKUP(2,1/('Engineer Updates'!$B$5:$B$704=A46),'Engineer Updates'!$H$5:$H$704),""))</x:f>
      </x:c>
      <x:c r="S46" s="166" t="str">
        <x:f>IF(A46="","",IFERROR(LOOKUP(2,1/('Engineer Updates'!$B$5:$B$704=A46),'Engineer Updates'!$G$5:$G$704),""))</x:f>
      </x:c>
      <x:c r="T46" s="166" t="str">
        <x:f>IF(A46="","",IFERROR(LOOKUP(2,1/('Engineer Updates'!$B$5:$B$704=A46),'Engineer Updates'!$I$5:$I$704),""))</x:f>
      </x:c>
      <x:c r="U46" s="166" t="str">
        <x:f>IF(A46="","",IFERROR(LOOKUP(2,1/('Engineer Updates'!$B$5:$B$704=A46),'Engineer Updates'!$J$5:$J$704),""))</x:f>
      </x:c>
      <x:c r="V46" s="166" t="str">
        <x:f>IF(A46="","",IFERROR(LOOKUP(2,1/('Engineer Updates'!$B$5:$B$704=A46),'Engineer Updates'!$K$5:$K$704),""))</x:f>
      </x:c>
      <x:c r="W46" s="169" t="str">
        <x:f>IF(A46="","",IFERROR(LOOKUP(2,1/('Engineer Updates'!$B$5:$B$704=A46),'Engineer Updates'!$L$5:$L$704),""))</x:f>
      </x:c>
      <x:c r="X46" s="163" t="str">
        <x:f t="shared" si="3">IF(A46="","",IF(C46="completed","Completed in CSSP",IF(AND(C46="executing",ISERROR(SEARCH("@",K46))),"Executing without named engineer",IF(AND(N46="Confirmed OOS",C46="executing"),"Confirmed OOS still executing",""))))</x:f>
        <x:v>Completed in CSSP</x:v>
      </x:c>
      <x:c r="Y46" s="163" t="str">
        <x:f>IF(A46="","",IF(B46="Decommissioning","Raw Decommissioning","Raw Provisioning"))</x:f>
        <x:v>Raw Decommissioning</x:v>
      </x:c>
      <x:c r="Z46" s="170" t="str">
        <x:f>IF(A46="","",IF(OR(C46="executing",C46="processing"),"Yes","No"))</x:f>
        <x:v>No</x:v>
      </x:c>
    </x:row>
    <x:row r="47" ht="30">
      <x:c r="A47" s="163" t="str">
        <x:f>IF(ROWS($A$5:A47)&lt;=COUNTA('Raw Decommissioning'!$B$2:$B$1000),INDEX('Raw Decommissioning'!$B$2:$B$1000,ROWS($A$5:A47)),IF(ROWS($A$5:A47)-COUNTA('Raw Decommissioning'!$B$2:$B$1000)&lt;=COUNTA('Raw Provisioning'!$B$2:$B$1000),INDEX('Raw Provisioning'!$B$2:$B$1000,ROWS($A$5:A47)-COUNTA('Raw Decommissioning'!$B$2:$B$1000)),""))</x:f>
        <x:v>CSSP10175424</x:v>
      </x:c>
      <x:c r="B47" s="163" t="str">
        <x:f>IF(A47="","",IF(ROWS($A$5:A47)&lt;=COUNTA('Raw Decommissioning'!$B$2:$B$1000),"Decommissioning","Provisioning"))</x:f>
        <x:v>Decommissioning</x:v>
      </x:c>
      <x:c r="C47" s="163" t="str">
        <x:f>IF(A47="","",IF(B47="Decommissioning",IFERROR(INDEX('Raw Decommissioning'!$E$2:$E$1000,MATCH(A47,'Raw Decommissioning'!$B$2:$B$1000,0)),"Missing from latest raw"),IFERROR(INDEX('Raw Provisioning'!$E$2:$E$1000,MATCH(A47,'Raw Provisioning'!$B$2:$B$1000,0)),"Missing from latest raw")))</x:f>
        <x:v>cancelled</x:v>
      </x:c>
      <x:c r="D47" s="164" t="n">
        <x:f>IF(A47="","",'Refresh Control'!$B$4)</x:f>
        <x:v>46254</x:v>
      </x:c>
      <x:c r="E47" s="164" t="n">
        <x:f>IF(A47="","",IF(B47="Decommissioning",INDEX('Raw Decommissioning'!$F$2:$F$1000,ROWS($A$5:A47)),INDEX('Raw Provisioning'!$F$2:$F$1000,ROWS($A$5:A47)-COUNTA('Raw Decommissioning'!$B$2:$B$1000))))</x:f>
        <x:v>46031.138883680556</x:v>
      </x:c>
      <x:c r="F47" s="164" t="n">
        <x:f>IF(A47="","",IF(B47="Decommissioning",INDEX('Raw Decommissioning'!$G$2:$G$1000,ROWS($A$5:A47)),INDEX('Raw Provisioning'!$H$2:$H$1000,ROWS($A$5:A47)-COUNTA('Raw Decommissioning'!$B$2:$B$1000))))</x:f>
        <x:v>46031.14463625</x:v>
      </x:c>
      <x:c r="G47" s="165" t="str">
        <x:f>IF(A47="","",IF(B47="Decommissioning",INDEX('Raw Decommissioning'!$I$2:$I$1000,ROWS($A$5:A47)),INDEX('Raw Provisioning'!$J$2:$J$1000,ROWS($A$5:A47)-COUNTA('Raw Decommissioning'!$B$2:$B$1000))))</x:f>
        <x:v>Active Directory Domain Controller - ADDC KVDC</x:v>
      </x:c>
      <x:c r="H47" s="165" t="str">
        <x:f>IF(A47="","",IF(B47="Decommissioning",INDEX('Raw Decommissioning'!$J$2:$J$1000,ROWS($A$5:A47)),INDEX('Raw Provisioning'!$L$2:$L$1000,ROWS($A$5:A47)-COUNTA('Raw Decommissioning'!$B$2:$B$1000))))</x:f>
        <x:v>Active Directory Domain Controller - ADDC KVDC created for PRIVATECLOUD project record</x:v>
      </x:c>
      <x:c r="I47" s="165" t="str">
        <x:f>IF(A47="","",IF(B47="Decommissioning",INDEX('Raw Decommissioning'!$AL$2:$AL$1000,ROWS($A$5:A47)),INDEX('Raw Provisioning'!$R$2:$R$1000,ROWS($A$5:A47)-COUNTA('Raw Decommissioning'!$B$2:$B$1000))))</x:f>
      </x:c>
      <x:c r="J47" s="165" t="str">
        <x:f>IF(A47="","",IF(B47="Decommissioning",INDEX('Raw Decommissioning'!$AG$2:$AG$1000,ROWS($A$5:A47)),INDEX('Raw Provisioning'!$AI$2:$AI$1000,ROWS($A$5:A47)-COUNTA('Raw Decommissioning'!$B$2:$B$1000))))</x:f>
        <x:v>CCoE Operations</x:v>
      </x:c>
      <x:c r="K47" s="166" t="str">
        <x:f>IF(A47="","",IFERROR(LOOKUP(2,1/('Assignment History'!$B$5:$B$204=A47),'Assignment History'!$D$5:$D$204),IFERROR(VLOOKUP(J47,Configuration!$L$5:$M$50,2,FALSE),J47)))</x:f>
        <x:v>CCoE Operations</x:v>
      </x:c>
      <x:c r="L47" s="166" t="str">
        <x:f>IF(A47="","",IF(K47=IFERROR(VLOOKUP(J47,Configuration!$L$5:$M$50,2,FALSE),J47),"Snapshot PIC","Replacement PIC"))</x:f>
        <x:v>Snapshot PIC</x:v>
      </x:c>
      <x:c r="M47" s="167" t="n">
        <x:f>IF(A47="","",IFERROR(VLOOKUP(I47,Configuration!$O$5:$P$8,2,FALSE),Configuration!$S$6))</x:f>
        <x:v>2</x:v>
      </x:c>
      <x:c r="N47" s="167" t="str">
        <x:f>IF(A47="","",IFERROR(LOOKUP(2,1/('Scope Review'!$B$5:$B$204=A47),'Scope Review'!$G$5:$G$204),"Not Reviewed"))</x:f>
        <x:v>Not Reviewed</x:v>
      </x:c>
      <x:c r="O47" s="167" t="str">
        <x:f>IF(A47="","",IFERROR(LOOKUP(2,1/('Scope Review'!$B$5:$B$204=A47),'Scope Review'!$H$5:$H$204),""))</x:f>
      </x:c>
      <x:c r="P47" s="167" t="n">
        <x:f t="shared" si="2">IF(A47="","",IF(AND(C47="executing",N47&lt;&gt;"Confirmed OOS"),M47,0))</x:f>
        <x:v>0</x:v>
      </x:c>
      <x:c r="Q47" s="168" t="str">
        <x:f>IF(A47="","",IFERROR(LOOKUP(2,1/('Engineer Updates'!$B$5:$B$704=A47),'Engineer Updates'!$A$5:$A$704),""))</x:f>
      </x:c>
      <x:c r="R47" s="166" t="str">
        <x:f>IF(A47="","",IFERROR(LOOKUP(2,1/('Engineer Updates'!$B$5:$B$704=A47),'Engineer Updates'!$H$5:$H$704),""))</x:f>
      </x:c>
      <x:c r="S47" s="166" t="str">
        <x:f>IF(A47="","",IFERROR(LOOKUP(2,1/('Engineer Updates'!$B$5:$B$704=A47),'Engineer Updates'!$G$5:$G$704),""))</x:f>
      </x:c>
      <x:c r="T47" s="166" t="str">
        <x:f>IF(A47="","",IFERROR(LOOKUP(2,1/('Engineer Updates'!$B$5:$B$704=A47),'Engineer Updates'!$I$5:$I$704),""))</x:f>
      </x:c>
      <x:c r="U47" s="166" t="str">
        <x:f>IF(A47="","",IFERROR(LOOKUP(2,1/('Engineer Updates'!$B$5:$B$704=A47),'Engineer Updates'!$J$5:$J$704),""))</x:f>
      </x:c>
      <x:c r="V47" s="166" t="str">
        <x:f>IF(A47="","",IFERROR(LOOKUP(2,1/('Engineer Updates'!$B$5:$B$704=A47),'Engineer Updates'!$K$5:$K$704),""))</x:f>
      </x:c>
      <x:c r="W47" s="169" t="str">
        <x:f>IF(A47="","",IFERROR(LOOKUP(2,1/('Engineer Updates'!$B$5:$B$704=A47),'Engineer Updates'!$L$5:$L$704),""))</x:f>
      </x:c>
      <x:c r="X47" s="163" t="str">
        <x:f t="shared" si="3">IF(A47="","",IF(C47="completed","Completed in CSSP",IF(AND(C47="executing",ISERROR(SEARCH("@",K47))),"Executing without named engineer",IF(AND(N47="Confirmed OOS",C47="executing"),"Confirmed OOS still executing",""))))</x:f>
      </x:c>
      <x:c r="Y47" s="163" t="str">
        <x:f>IF(A47="","",IF(B47="Decommissioning","Raw Decommissioning","Raw Provisioning"))</x:f>
        <x:v>Raw Decommissioning</x:v>
      </x:c>
      <x:c r="Z47" s="170" t="str">
        <x:f>IF(A47="","",IF(OR(C47="executing",C47="processing"),"Yes","No"))</x:f>
        <x:v>No</x:v>
      </x:c>
    </x:row>
    <x:row r="48" ht="90">
      <x:c r="A48" s="163" t="str">
        <x:f>IF(ROWS($A$5:A48)&lt;=COUNTA('Raw Decommissioning'!$B$2:$B$1000),INDEX('Raw Decommissioning'!$B$2:$B$1000,ROWS($A$5:A48)),IF(ROWS($A$5:A48)-COUNTA('Raw Decommissioning'!$B$2:$B$1000)&lt;=COUNTA('Raw Provisioning'!$B$2:$B$1000),INDEX('Raw Provisioning'!$B$2:$B$1000,ROWS($A$5:A48)-COUNTA('Raw Decommissioning'!$B$2:$B$1000)),""))</x:f>
        <x:v>CSSP10240613</x:v>
      </x:c>
      <x:c r="B48" s="163" t="str">
        <x:f>IF(A48="","",IF(ROWS($A$5:A48)&lt;=COUNTA('Raw Decommissioning'!$B$2:$B$1000),"Decommissioning","Provisioning"))</x:f>
        <x:v>Decommissioning</x:v>
      </x:c>
      <x:c r="C48" s="163" t="str">
        <x:f>IF(A48="","",IF(B48="Decommissioning",IFERROR(INDEX('Raw Decommissioning'!$E$2:$E$1000,MATCH(A48,'Raw Decommissioning'!$B$2:$B$1000,0)),"Missing from latest raw"),IFERROR(INDEX('Raw Provisioning'!$E$2:$E$1000,MATCH(A48,'Raw Provisioning'!$B$2:$B$1000,0)),"Missing from latest raw")))</x:f>
        <x:v>cancelled</x:v>
      </x:c>
      <x:c r="D48" s="164" t="n">
        <x:f>IF(A48="","",'Refresh Control'!$B$4)</x:f>
        <x:v>46254</x:v>
      </x:c>
      <x:c r="E48" s="164" t="n">
        <x:f>IF(A48="","",IF(B48="Decommissioning",INDEX('Raw Decommissioning'!$F$2:$F$1000,ROWS($A$5:A48)),INDEX('Raw Provisioning'!$F$2:$F$1000,ROWS($A$5:A48)-COUNTA('Raw Decommissioning'!$B$2:$B$1000))))</x:f>
        <x:v>46031.15790505787</x:v>
      </x:c>
      <x:c r="F48" s="164" t="n">
        <x:f>IF(A48="","",IF(B48="Decommissioning",INDEX('Raw Decommissioning'!$G$2:$G$1000,ROWS($A$5:A48)),INDEX('Raw Provisioning'!$H$2:$H$1000,ROWS($A$5:A48)-COUNTA('Raw Decommissioning'!$B$2:$B$1000))))</x:f>
        <x:v>46031.15871037037</x:v>
      </x:c>
      <x:c r="G48" s="165" t="str">
        <x:f>IF(A48="","",IF(B48="Decommissioning",INDEX('Raw Decommissioning'!$I$2:$I$1000,ROWS($A$5:A48)),INDEX('Raw Provisioning'!$J$2:$J$1000,ROWS($A$5:A48)-COUNTA('Raw Decommissioning'!$B$2:$B$1000))))</x:f>
        <x:v>Common Active Directory - AD</x:v>
      </x:c>
      <x:c r="H48" s="165" t="str">
        <x:f>IF(A48="","",IF(B48="Decommissioning",INDEX('Raw Decommissioning'!$J$2:$J$1000,ROWS($A$5:A48)),INDEX('Raw Provisioning'!$L$2:$L$1000,ROWS($A$5:A48)-COUNTA('Raw Decommissioning'!$B$2:$B$1000))))</x:f>
        <x:v>Common infrastructure for COC dashboard, integration, ict2u, labs</x:v>
      </x:c>
      <x:c r="I48" s="165" t="str">
        <x:f>IF(A48="","",IF(B48="Decommissioning",INDEX('Raw Decommissioning'!$AL$2:$AL$1000,ROWS($A$5:A48)),INDEX('Raw Provisioning'!$R$2:$R$1000,ROWS($A$5:A48)-COUNTA('Raw Decommissioning'!$B$2:$B$1000))))</x:f>
      </x:c>
      <x:c r="J48" s="165" t="str">
        <x:f>IF(A48="","",IF(B48="Decommissioning",INDEX('Raw Decommissioning'!$AG$2:$AG$1000,ROWS($A$5:A48)),INDEX('Raw Provisioning'!$AI$2:$AI$1000,ROWS($A$5:A48)-COUNTA('Raw Decommissioning'!$B$2:$B$1000))))</x:f>
        <x:v>CCoE Operations</x:v>
      </x:c>
      <x:c r="K48" s="166" t="str">
        <x:f>IF(A48="","",IFERROR(LOOKUP(2,1/('Assignment History'!$B$5:$B$204=A48),'Assignment History'!$D$5:$D$204),IFERROR(VLOOKUP(J48,Configuration!$L$5:$M$50,2,FALSE),J48)))</x:f>
        <x:v>CCoE Operations</x:v>
      </x:c>
      <x:c r="L48" s="166" t="str">
        <x:f>IF(A48="","",IF(K48=IFERROR(VLOOKUP(J48,Configuration!$L$5:$M$50,2,FALSE),J48),"Snapshot PIC","Replacement PIC"))</x:f>
        <x:v>Snapshot PIC</x:v>
      </x:c>
      <x:c r="M48" s="167" t="n">
        <x:f>IF(A48="","",IFERROR(VLOOKUP(I48,Configuration!$O$5:$P$8,2,FALSE),Configuration!$S$6))</x:f>
        <x:v>2</x:v>
      </x:c>
      <x:c r="N48" s="167" t="str">
        <x:f>IF(A48="","",IFERROR(LOOKUP(2,1/('Scope Review'!$B$5:$B$204=A48),'Scope Review'!$G$5:$G$204),"Not Reviewed"))</x:f>
        <x:v>Not Reviewed</x:v>
      </x:c>
      <x:c r="O48" s="167" t="str">
        <x:f>IF(A48="","",IFERROR(LOOKUP(2,1/('Scope Review'!$B$5:$B$204=A48),'Scope Review'!$H$5:$H$204),""))</x:f>
      </x:c>
      <x:c r="P48" s="167" t="n">
        <x:f t="shared" si="2">IF(A48="","",IF(AND(C48="executing",N48&lt;&gt;"Confirmed OOS"),M48,0))</x:f>
        <x:v>0</x:v>
      </x:c>
      <x:c r="Q48" s="168" t="str">
        <x:f>IF(A48="","",IFERROR(LOOKUP(2,1/('Engineer Updates'!$B$5:$B$704=A48),'Engineer Updates'!$A$5:$A$704),""))</x:f>
      </x:c>
      <x:c r="R48" s="166" t="str">
        <x:f>IF(A48="","",IFERROR(LOOKUP(2,1/('Engineer Updates'!$B$5:$B$704=A48),'Engineer Updates'!$H$5:$H$704),""))</x:f>
      </x:c>
      <x:c r="S48" s="166" t="str">
        <x:f>IF(A48="","",IFERROR(LOOKUP(2,1/('Engineer Updates'!$B$5:$B$704=A48),'Engineer Updates'!$G$5:$G$704),""))</x:f>
      </x:c>
      <x:c r="T48" s="166" t="str">
        <x:f>IF(A48="","",IFERROR(LOOKUP(2,1/('Engineer Updates'!$B$5:$B$704=A48),'Engineer Updates'!$I$5:$I$704),""))</x:f>
      </x:c>
      <x:c r="U48" s="166" t="str">
        <x:f>IF(A48="","",IFERROR(LOOKUP(2,1/('Engineer Updates'!$B$5:$B$704=A48),'Engineer Updates'!$J$5:$J$704),""))</x:f>
      </x:c>
      <x:c r="V48" s="166" t="str">
        <x:f>IF(A48="","",IFERROR(LOOKUP(2,1/('Engineer Updates'!$B$5:$B$704=A48),'Engineer Updates'!$K$5:$K$704),""))</x:f>
      </x:c>
      <x:c r="W48" s="169" t="str">
        <x:f>IF(A48="","",IFERROR(LOOKUP(2,1/('Engineer Updates'!$B$5:$B$704=A48),'Engineer Updates'!$L$5:$L$704),""))</x:f>
      </x:c>
      <x:c r="X48" s="163" t="str">
        <x:f t="shared" si="3">IF(A48="","",IF(C48="completed","Completed in CSSP",IF(AND(C48="executing",ISERROR(SEARCH("@",K48))),"Executing without named engineer",IF(AND(N48="Confirmed OOS",C48="executing"),"Confirmed OOS still executing",""))))</x:f>
      </x:c>
      <x:c r="Y48" s="163" t="str">
        <x:f>IF(A48="","",IF(B48="Decommissioning","Raw Decommissioning","Raw Provisioning"))</x:f>
        <x:v>Raw Decommissioning</x:v>
      </x:c>
      <x:c r="Z48" s="170" t="str">
        <x:f>IF(A48="","",IF(OR(C48="executing",C48="processing"),"Yes","No"))</x:f>
        <x:v>No</x:v>
      </x:c>
    </x:row>
    <x:row r="49" ht="90">
      <x:c r="A49" s="163" t="str">
        <x:f>IF(ROWS($A$5:A49)&lt;=COUNTA('Raw Decommissioning'!$B$2:$B$1000),INDEX('Raw Decommissioning'!$B$2:$B$1000,ROWS($A$5:A49)),IF(ROWS($A$5:A49)-COUNTA('Raw Decommissioning'!$B$2:$B$1000)&lt;=COUNTA('Raw Provisioning'!$B$2:$B$1000),INDEX('Raw Provisioning'!$B$2:$B$1000,ROWS($A$5:A49)-COUNTA('Raw Decommissioning'!$B$2:$B$1000)),""))</x:f>
        <x:v>CSSP10262348</x:v>
      </x:c>
      <x:c r="B49" s="163" t="str">
        <x:f>IF(A49="","",IF(ROWS($A$5:A49)&lt;=COUNTA('Raw Decommissioning'!$B$2:$B$1000),"Decommissioning","Provisioning"))</x:f>
        <x:v>Decommissioning</x:v>
      </x:c>
      <x:c r="C49" s="163" t="str">
        <x:f>IF(A49="","",IF(B49="Decommissioning",IFERROR(INDEX('Raw Decommissioning'!$E$2:$E$1000,MATCH(A49,'Raw Decommissioning'!$B$2:$B$1000,0)),"Missing from latest raw"),IFERROR(INDEX('Raw Provisioning'!$E$2:$E$1000,MATCH(A49,'Raw Provisioning'!$B$2:$B$1000,0)),"Missing from latest raw")))</x:f>
        <x:v>completed</x:v>
      </x:c>
      <x:c r="D49" s="164" t="n">
        <x:f>IF(A49="","",'Refresh Control'!$B$4)</x:f>
        <x:v>46254</x:v>
      </x:c>
      <x:c r="E49" s="164" t="n">
        <x:f>IF(A49="","",IF(B49="Decommissioning",INDEX('Raw Decommissioning'!$F$2:$F$1000,ROWS($A$5:A49)),INDEX('Raw Provisioning'!$F$2:$F$1000,ROWS($A$5:A49)-COUNTA('Raw Decommissioning'!$B$2:$B$1000))))</x:f>
        <x:v>46031.17346643518</x:v>
      </x:c>
      <x:c r="F49" s="164" t="n">
        <x:f>IF(A49="","",IF(B49="Decommissioning",INDEX('Raw Decommissioning'!$G$2:$G$1000,ROWS($A$5:A49)),INDEX('Raw Provisioning'!$H$2:$H$1000,ROWS($A$5:A49)-COUNTA('Raw Decommissioning'!$B$2:$B$1000))))</x:f>
        <x:v>46041.14016837963</x:v>
      </x:c>
      <x:c r="G49" s="165" t="str">
        <x:f>IF(A49="","",IF(B49="Decommissioning",INDEX('Raw Decommissioning'!$I$2:$I$1000,ROWS($A$5:A49)),INDEX('Raw Provisioning'!$J$2:$J$1000,ROWS($A$5:A49)-COUNTA('Raw Decommissioning'!$B$2:$B$1000))))</x:f>
        <x:v>Common Active Directory - AD</x:v>
      </x:c>
      <x:c r="H49" s="165" t="str">
        <x:f>IF(A49="","",IF(B49="Decommissioning",INDEX('Raw Decommissioning'!$J$2:$J$1000,ROWS($A$5:A49)),INDEX('Raw Provisioning'!$L$2:$L$1000,ROWS($A$5:A49)-COUNTA('Raw Decommissioning'!$B$2:$B$1000))))</x:f>
        <x:v>Common infrastructure for COC dashboard, integration, ict2u, labs</x:v>
      </x:c>
      <x:c r="I49" s="165" t="str">
        <x:f>IF(A49="","",IF(B49="Decommissioning",INDEX('Raw Decommissioning'!$AL$2:$AL$1000,ROWS($A$5:A49)),INDEX('Raw Provisioning'!$R$2:$R$1000,ROWS($A$5:A49)-COUNTA('Raw Decommissioning'!$B$2:$B$1000))))</x:f>
        <x:v>M</x:v>
      </x:c>
      <x:c r="J49" s="165" t="str">
        <x:f>IF(A49="","",IF(B49="Decommissioning",INDEX('Raw Decommissioning'!$AG$2:$AG$1000,ROWS($A$5:A49)),INDEX('Raw Provisioning'!$AI$2:$AI$1000,ROWS($A$5:A49)-COUNTA('Raw Decommissioning'!$B$2:$B$1000))))</x:f>
        <x:v>azlisham.md@petronas.com</x:v>
      </x:c>
      <x:c r="K49" s="166" t="str">
        <x:f>IF(A49="","",IFERROR(LOOKUP(2,1/('Assignment History'!$B$5:$B$204=A49),'Assignment History'!$D$5:$D$204),IFERROR(VLOOKUP(J49,Configuration!$L$5:$M$50,2,FALSE),J49)))</x:f>
        <x:v>azlisham.md@petronas.com</x:v>
      </x:c>
      <x:c r="L49" s="166" t="str">
        <x:f>IF(A49="","",IF(K49=IFERROR(VLOOKUP(J49,Configuration!$L$5:$M$50,2,FALSE),J49),"Snapshot PIC","Replacement PIC"))</x:f>
        <x:v>Snapshot PIC</x:v>
      </x:c>
      <x:c r="M49" s="167" t="n">
        <x:f>IF(A49="","",IFERROR(VLOOKUP(I49,Configuration!$O$5:$P$8,2,FALSE),Configuration!$S$6))</x:f>
        <x:v>2</x:v>
      </x:c>
      <x:c r="N49" s="167" t="str">
        <x:f>IF(A49="","",IFERROR(LOOKUP(2,1/('Scope Review'!$B$5:$B$204=A49),'Scope Review'!$G$5:$G$204),"Not Reviewed"))</x:f>
        <x:v>Not Reviewed</x:v>
      </x:c>
      <x:c r="O49" s="167" t="str">
        <x:f>IF(A49="","",IFERROR(LOOKUP(2,1/('Scope Review'!$B$5:$B$204=A49),'Scope Review'!$H$5:$H$204),""))</x:f>
      </x:c>
      <x:c r="P49" s="167" t="n">
        <x:f t="shared" si="2">IF(A49="","",IF(AND(C49="executing",N49&lt;&gt;"Confirmed OOS"),M49,0))</x:f>
        <x:v>0</x:v>
      </x:c>
      <x:c r="Q49" s="168" t="str">
        <x:f>IF(A49="","",IFERROR(LOOKUP(2,1/('Engineer Updates'!$B$5:$B$704=A49),'Engineer Updates'!$A$5:$A$704),""))</x:f>
      </x:c>
      <x:c r="R49" s="166" t="str">
        <x:f>IF(A49="","",IFERROR(LOOKUP(2,1/('Engineer Updates'!$B$5:$B$704=A49),'Engineer Updates'!$H$5:$H$704),""))</x:f>
      </x:c>
      <x:c r="S49" s="166" t="str">
        <x:f>IF(A49="","",IFERROR(LOOKUP(2,1/('Engineer Updates'!$B$5:$B$704=A49),'Engineer Updates'!$G$5:$G$704),""))</x:f>
      </x:c>
      <x:c r="T49" s="166" t="str">
        <x:f>IF(A49="","",IFERROR(LOOKUP(2,1/('Engineer Updates'!$B$5:$B$704=A49),'Engineer Updates'!$I$5:$I$704),""))</x:f>
      </x:c>
      <x:c r="U49" s="166" t="str">
        <x:f>IF(A49="","",IFERROR(LOOKUP(2,1/('Engineer Updates'!$B$5:$B$704=A49),'Engineer Updates'!$J$5:$J$704),""))</x:f>
      </x:c>
      <x:c r="V49" s="166" t="str">
        <x:f>IF(A49="","",IFERROR(LOOKUP(2,1/('Engineer Updates'!$B$5:$B$704=A49),'Engineer Updates'!$K$5:$K$704),""))</x:f>
      </x:c>
      <x:c r="W49" s="169" t="str">
        <x:f>IF(A49="","",IFERROR(LOOKUP(2,1/('Engineer Updates'!$B$5:$B$704=A49),'Engineer Updates'!$L$5:$L$704),""))</x:f>
      </x:c>
      <x:c r="X49" s="163" t="str">
        <x:f t="shared" si="3">IF(A49="","",IF(C49="completed","Completed in CSSP",IF(AND(C49="executing",ISERROR(SEARCH("@",K49))),"Executing without named engineer",IF(AND(N49="Confirmed OOS",C49="executing"),"Confirmed OOS still executing",""))))</x:f>
        <x:v>Completed in CSSP</x:v>
      </x:c>
      <x:c r="Y49" s="163" t="str">
        <x:f>IF(A49="","",IF(B49="Decommissioning","Raw Decommissioning","Raw Provisioning"))</x:f>
        <x:v>Raw Decommissioning</x:v>
      </x:c>
      <x:c r="Z49" s="170" t="str">
        <x:f>IF(A49="","",IF(OR(C49="executing",C49="processing"),"Yes","No"))</x:f>
        <x:v>No</x:v>
      </x:c>
    </x:row>
    <x:row r="50">
      <x:c r="A50" s="163" t="str">
        <x:f>IF(ROWS($A$5:A50)&lt;=COUNTA('Raw Decommissioning'!$B$2:$B$1000),INDEX('Raw Decommissioning'!$B$2:$B$1000,ROWS($A$5:A50)),IF(ROWS($A$5:A50)-COUNTA('Raw Decommissioning'!$B$2:$B$1000)&lt;=COUNTA('Raw Provisioning'!$B$2:$B$1000),INDEX('Raw Provisioning'!$B$2:$B$1000,ROWS($A$5:A50)-COUNTA('Raw Decommissioning'!$B$2:$B$1000)),""))</x:f>
        <x:v>CSSP10861160</x:v>
      </x:c>
      <x:c r="B50" s="163" t="str">
        <x:f>IF(A50="","",IF(ROWS($A$5:A50)&lt;=COUNTA('Raw Decommissioning'!$B$2:$B$1000),"Decommissioning","Provisioning"))</x:f>
        <x:v>Decommissioning</x:v>
      </x:c>
      <x:c r="C50" s="163" t="str">
        <x:f>IF(A50="","",IF(B50="Decommissioning",IFERROR(INDEX('Raw Decommissioning'!$E$2:$E$1000,MATCH(A50,'Raw Decommissioning'!$B$2:$B$1000,0)),"Missing from latest raw"),IFERROR(INDEX('Raw Provisioning'!$E$2:$E$1000,MATCH(A50,'Raw Provisioning'!$B$2:$B$1000,0)),"Missing from latest raw")))</x:f>
        <x:v>cancelled</x:v>
      </x:c>
      <x:c r="D50" s="164" t="n">
        <x:f>IF(A50="","",'Refresh Control'!$B$4)</x:f>
        <x:v>46254</x:v>
      </x:c>
      <x:c r="E50" s="164" t="n">
        <x:f>IF(A50="","",IF(B50="Decommissioning",INDEX('Raw Decommissioning'!$F$2:$F$1000,ROWS($A$5:A50)),INDEX('Raw Provisioning'!$F$2:$F$1000,ROWS($A$5:A50)-COUNTA('Raw Decommissioning'!$B$2:$B$1000))))</x:f>
        <x:v>46031.299027650464</x:v>
      </x:c>
      <x:c r="F50" s="164" t="n">
        <x:f>IF(A50="","",IF(B50="Decommissioning",INDEX('Raw Decommissioning'!$G$2:$G$1000,ROWS($A$5:A50)),INDEX('Raw Provisioning'!$H$2:$H$1000,ROWS($A$5:A50)-COUNTA('Raw Decommissioning'!$B$2:$B$1000))))</x:f>
        <x:v>46051.19519085648</x:v>
      </x:c>
      <x:c r="G50" s="165" t="str">
        <x:f>IF(A50="","",IF(B50="Decommissioning",INDEX('Raw Decommissioning'!$I$2:$I$1000,ROWS($A$5:A50)),INDEX('Raw Provisioning'!$J$2:$J$1000,ROWS($A$5:A50)-COUNTA('Raw Decommissioning'!$B$2:$B$1000))))</x:f>
        <x:v>MyProcure</x:v>
      </x:c>
      <x:c r="H50" s="165" t="str">
        <x:f>IF(A50="","",IF(B50="Decommissioning",INDEX('Raw Decommissioning'!$J$2:$J$1000,ROWS($A$5:A50)),INDEX('Raw Provisioning'!$L$2:$L$1000,ROWS($A$5:A50)-COUNTA('Raw Decommissioning'!$B$2:$B$1000))))</x:f>
        <x:v>Procurement Innovation Through Automation And Procurement Marketplace</x:v>
      </x:c>
      <x:c r="I50" s="165" t="str">
        <x:f>IF(A50="","",IF(B50="Decommissioning",INDEX('Raw Decommissioning'!$AL$2:$AL$1000,ROWS($A$5:A50)),INDEX('Raw Provisioning'!$R$2:$R$1000,ROWS($A$5:A50)-COUNTA('Raw Decommissioning'!$B$2:$B$1000))))</x:f>
      </x:c>
      <x:c r="J50" s="165" t="str">
        <x:f>IF(A50="","",IF(B50="Decommissioning",INDEX('Raw Decommissioning'!$AG$2:$AG$1000,ROWS($A$5:A50)),INDEX('Raw Provisioning'!$AI$2:$AI$1000,ROWS($A$5:A50)-COUNTA('Raw Decommissioning'!$B$2:$B$1000))))</x:f>
        <x:v>CCoE Operations</x:v>
      </x:c>
      <x:c r="K50" s="166" t="str">
        <x:f>IF(A50="","",IFERROR(LOOKUP(2,1/('Assignment History'!$B$5:$B$204=A50),'Assignment History'!$D$5:$D$204),IFERROR(VLOOKUP(J50,Configuration!$L$5:$M$50,2,FALSE),J50)))</x:f>
        <x:v>CCoE Operations</x:v>
      </x:c>
      <x:c r="L50" s="166" t="str">
        <x:f>IF(A50="","",IF(K50=IFERROR(VLOOKUP(J50,Configuration!$L$5:$M$50,2,FALSE),J50),"Snapshot PIC","Replacement PIC"))</x:f>
        <x:v>Snapshot PIC</x:v>
      </x:c>
      <x:c r="M50" s="167" t="n">
        <x:f>IF(A50="","",IFERROR(VLOOKUP(I50,Configuration!$O$5:$P$8,2,FALSE),Configuration!$S$6))</x:f>
        <x:v>2</x:v>
      </x:c>
      <x:c r="N50" s="167" t="str">
        <x:f>IF(A50="","",IFERROR(LOOKUP(2,1/('Scope Review'!$B$5:$B$204=A50),'Scope Review'!$G$5:$G$204),"Not Reviewed"))</x:f>
        <x:v>Not Reviewed</x:v>
      </x:c>
      <x:c r="O50" s="167" t="str">
        <x:f>IF(A50="","",IFERROR(LOOKUP(2,1/('Scope Review'!$B$5:$B$204=A50),'Scope Review'!$H$5:$H$204),""))</x:f>
      </x:c>
      <x:c r="P50" s="167" t="n">
        <x:f t="shared" si="2">IF(A50="","",IF(AND(C50="executing",N50&lt;&gt;"Confirmed OOS"),M50,0))</x:f>
        <x:v>0</x:v>
      </x:c>
      <x:c r="Q50" s="168" t="str">
        <x:f>IF(A50="","",IFERROR(LOOKUP(2,1/('Engineer Updates'!$B$5:$B$704=A50),'Engineer Updates'!$A$5:$A$704),""))</x:f>
      </x:c>
      <x:c r="R50" s="166" t="str">
        <x:f>IF(A50="","",IFERROR(LOOKUP(2,1/('Engineer Updates'!$B$5:$B$704=A50),'Engineer Updates'!$H$5:$H$704),""))</x:f>
      </x:c>
      <x:c r="S50" s="166" t="str">
        <x:f>IF(A50="","",IFERROR(LOOKUP(2,1/('Engineer Updates'!$B$5:$B$704=A50),'Engineer Updates'!$G$5:$G$704),""))</x:f>
      </x:c>
      <x:c r="T50" s="166" t="str">
        <x:f>IF(A50="","",IFERROR(LOOKUP(2,1/('Engineer Updates'!$B$5:$B$704=A50),'Engineer Updates'!$I$5:$I$704),""))</x:f>
      </x:c>
      <x:c r="U50" s="166" t="str">
        <x:f>IF(A50="","",IFERROR(LOOKUP(2,1/('Engineer Updates'!$B$5:$B$704=A50),'Engineer Updates'!$J$5:$J$704),""))</x:f>
      </x:c>
      <x:c r="V50" s="166" t="str">
        <x:f>IF(A50="","",IFERROR(LOOKUP(2,1/('Engineer Updates'!$B$5:$B$704=A50),'Engineer Updates'!$K$5:$K$704),""))</x:f>
      </x:c>
      <x:c r="W50" s="169" t="str">
        <x:f>IF(A50="","",IFERROR(LOOKUP(2,1/('Engineer Updates'!$B$5:$B$704=A50),'Engineer Updates'!$L$5:$L$704),""))</x:f>
      </x:c>
      <x:c r="X50" s="163" t="str">
        <x:f t="shared" si="3">IF(A50="","",IF(C50="completed","Completed in CSSP",IF(AND(C50="executing",ISERROR(SEARCH("@",K50))),"Executing without named engineer",IF(AND(N50="Confirmed OOS",C50="executing"),"Confirmed OOS still executing",""))))</x:f>
      </x:c>
      <x:c r="Y50" s="163" t="str">
        <x:f>IF(A50="","",IF(B50="Decommissioning","Raw Decommissioning","Raw Provisioning"))</x:f>
        <x:v>Raw Decommissioning</x:v>
      </x:c>
      <x:c r="Z50" s="170" t="str">
        <x:f>IF(A50="","",IF(OR(C50="executing",C50="processing"),"Yes","No"))</x:f>
        <x:v>No</x:v>
      </x:c>
    </x:row>
    <x:row r="51" ht="45">
      <x:c r="A51" s="163" t="str">
        <x:f>IF(ROWS($A$5:A51)&lt;=COUNTA('Raw Decommissioning'!$B$2:$B$1000),INDEX('Raw Decommissioning'!$B$2:$B$1000,ROWS($A$5:A51)),IF(ROWS($A$5:A51)-COUNTA('Raw Decommissioning'!$B$2:$B$1000)&lt;=COUNTA('Raw Provisioning'!$B$2:$B$1000),INDEX('Raw Provisioning'!$B$2:$B$1000,ROWS($A$5:A51)-COUNTA('Raw Decommissioning'!$B$2:$B$1000)),""))</x:f>
        <x:v>CSSP10888172</x:v>
      </x:c>
      <x:c r="B51" s="163" t="str">
        <x:f>IF(A51="","",IF(ROWS($A$5:A51)&lt;=COUNTA('Raw Decommissioning'!$B$2:$B$1000),"Decommissioning","Provisioning"))</x:f>
        <x:v>Decommissioning</x:v>
      </x:c>
      <x:c r="C51" s="163" t="str">
        <x:f>IF(A51="","",IF(B51="Decommissioning",IFERROR(INDEX('Raw Decommissioning'!$E$2:$E$1000,MATCH(A51,'Raw Decommissioning'!$B$2:$B$1000,0)),"Missing from latest raw"),IFERROR(INDEX('Raw Provisioning'!$E$2:$E$1000,MATCH(A51,'Raw Provisioning'!$B$2:$B$1000,0)),"Missing from latest raw")))</x:f>
        <x:v>cancelled</x:v>
      </x:c>
      <x:c r="D51" s="164" t="n">
        <x:f>IF(A51="","",'Refresh Control'!$B$4)</x:f>
        <x:v>46254</x:v>
      </x:c>
      <x:c r="E51" s="164" t="n">
        <x:f>IF(A51="","",IF(B51="Decommissioning",INDEX('Raw Decommissioning'!$F$2:$F$1000,ROWS($A$5:A51)),INDEX('Raw Provisioning'!$F$2:$F$1000,ROWS($A$5:A51)-COUNTA('Raw Decommissioning'!$B$2:$B$1000))))</x:f>
        <x:v>46031.30166020833</x:v>
      </x:c>
      <x:c r="F51" s="164" t="n">
        <x:f>IF(A51="","",IF(B51="Decommissioning",INDEX('Raw Decommissioning'!$G$2:$G$1000,ROWS($A$5:A51)),INDEX('Raw Provisioning'!$H$2:$H$1000,ROWS($A$5:A51)-COUNTA('Raw Decommissioning'!$B$2:$B$1000))))</x:f>
        <x:v>46051.19508881945</x:v>
      </x:c>
      <x:c r="G51" s="165" t="str">
        <x:f>IF(A51="","",IF(B51="Decommissioning",INDEX('Raw Decommissioning'!$I$2:$I$1000,ROWS($A$5:A51)),INDEX('Raw Provisioning'!$J$2:$J$1000,ROWS($A$5:A51)-COUNTA('Raw Decommissioning'!$B$2:$B$1000))))</x:f>
        <x:v>MyProcure</x:v>
      </x:c>
      <x:c r="H51" s="165" t="str">
        <x:f>IF(A51="","",IF(B51="Decommissioning",INDEX('Raw Decommissioning'!$J$2:$J$1000,ROWS($A$5:A51)),INDEX('Raw Provisioning'!$L$2:$L$1000,ROWS($A$5:A51)-COUNTA('Raw Decommissioning'!$B$2:$B$1000))))</x:f>
        <x:v>Procurement Innovation Through Automation And Procurement Marketplace</x:v>
      </x:c>
      <x:c r="I51" s="165" t="str">
        <x:f>IF(A51="","",IF(B51="Decommissioning",INDEX('Raw Decommissioning'!$AL$2:$AL$1000,ROWS($A$5:A51)),INDEX('Raw Provisioning'!$R$2:$R$1000,ROWS($A$5:A51)-COUNTA('Raw Decommissioning'!$B$2:$B$1000))))</x:f>
      </x:c>
      <x:c r="J51" s="165" t="str">
        <x:f>IF(A51="","",IF(B51="Decommissioning",INDEX('Raw Decommissioning'!$AG$2:$AG$1000,ROWS($A$5:A51)),INDEX('Raw Provisioning'!$AI$2:$AI$1000,ROWS($A$5:A51)-COUNTA('Raw Decommissioning'!$B$2:$B$1000))))</x:f>
        <x:v>CCoE Operations</x:v>
      </x:c>
      <x:c r="K51" s="166" t="str">
        <x:f>IF(A51="","",IFERROR(LOOKUP(2,1/('Assignment History'!$B$5:$B$204=A51),'Assignment History'!$D$5:$D$204),IFERROR(VLOOKUP(J51,Configuration!$L$5:$M$50,2,FALSE),J51)))</x:f>
        <x:v>CCoE Operations</x:v>
      </x:c>
      <x:c r="L51" s="166" t="str">
        <x:f>IF(A51="","",IF(K51=IFERROR(VLOOKUP(J51,Configuration!$L$5:$M$50,2,FALSE),J51),"Snapshot PIC","Replacement PIC"))</x:f>
        <x:v>Snapshot PIC</x:v>
      </x:c>
      <x:c r="M51" s="167" t="n">
        <x:f>IF(A51="","",IFERROR(VLOOKUP(I51,Configuration!$O$5:$P$8,2,FALSE),Configuration!$S$6))</x:f>
        <x:v>2</x:v>
      </x:c>
      <x:c r="N51" s="167" t="str">
        <x:f>IF(A51="","",IFERROR(LOOKUP(2,1/('Scope Review'!$B$5:$B$204=A51),'Scope Review'!$G$5:$G$204),"Not Reviewed"))</x:f>
        <x:v>Not Reviewed</x:v>
      </x:c>
      <x:c r="O51" s="167" t="str">
        <x:f>IF(A51="","",IFERROR(LOOKUP(2,1/('Scope Review'!$B$5:$B$204=A51),'Scope Review'!$H$5:$H$204),""))</x:f>
      </x:c>
      <x:c r="P51" s="167" t="n">
        <x:f t="shared" si="2">IF(A51="","",IF(AND(C51="executing",N51&lt;&gt;"Confirmed OOS"),M51,0))</x:f>
        <x:v>0</x:v>
      </x:c>
      <x:c r="Q51" s="168" t="str">
        <x:f>IF(A51="","",IFERROR(LOOKUP(2,1/('Engineer Updates'!$B$5:$B$704=A51),'Engineer Updates'!$A$5:$A$704),""))</x:f>
      </x:c>
      <x:c r="R51" s="166" t="str">
        <x:f>IF(A51="","",IFERROR(LOOKUP(2,1/('Engineer Updates'!$B$5:$B$704=A51),'Engineer Updates'!$H$5:$H$704),""))</x:f>
      </x:c>
      <x:c r="S51" s="166" t="str">
        <x:f>IF(A51="","",IFERROR(LOOKUP(2,1/('Engineer Updates'!$B$5:$B$704=A51),'Engineer Updates'!$G$5:$G$704),""))</x:f>
      </x:c>
      <x:c r="T51" s="166" t="str">
        <x:f>IF(A51="","",IFERROR(LOOKUP(2,1/('Engineer Updates'!$B$5:$B$704=A51),'Engineer Updates'!$I$5:$I$704),""))</x:f>
      </x:c>
      <x:c r="U51" s="166" t="str">
        <x:f>IF(A51="","",IFERROR(LOOKUP(2,1/('Engineer Updates'!$B$5:$B$704=A51),'Engineer Updates'!$J$5:$J$704),""))</x:f>
      </x:c>
      <x:c r="V51" s="166" t="str">
        <x:f>IF(A51="","",IFERROR(LOOKUP(2,1/('Engineer Updates'!$B$5:$B$704=A51),'Engineer Updates'!$K$5:$K$704),""))</x:f>
      </x:c>
      <x:c r="W51" s="169" t="str">
        <x:f>IF(A51="","",IFERROR(LOOKUP(2,1/('Engineer Updates'!$B$5:$B$704=A51),'Engineer Updates'!$L$5:$L$704),""))</x:f>
      </x:c>
      <x:c r="X51" s="163" t="str">
        <x:f t="shared" si="3">IF(A51="","",IF(C51="completed","Completed in CSSP",IF(AND(C51="executing",ISERROR(SEARCH("@",K51))),"Executing without named engineer",IF(AND(N51="Confirmed OOS",C51="executing"),"Confirmed OOS still executing",""))))</x:f>
      </x:c>
      <x:c r="Y51" s="163" t="str">
        <x:f>IF(A51="","",IF(B51="Decommissioning","Raw Decommissioning","Raw Provisioning"))</x:f>
        <x:v>Raw Decommissioning</x:v>
      </x:c>
      <x:c r="Z51" s="170" t="str">
        <x:f>IF(A51="","",IF(OR(C51="executing",C51="processing"),"Yes","No"))</x:f>
        <x:v>No</x:v>
      </x:c>
    </x:row>
    <x:row r="52" ht="30">
      <x:c r="A52" s="163" t="str">
        <x:f>IF(ROWS($A$5:A52)&lt;=COUNTA('Raw Decommissioning'!$B$2:$B$1000),INDEX('Raw Decommissioning'!$B$2:$B$1000,ROWS($A$5:A52)),IF(ROWS($A$5:A52)-COUNTA('Raw Decommissioning'!$B$2:$B$1000)&lt;=COUNTA('Raw Provisioning'!$B$2:$B$1000),INDEX('Raw Provisioning'!$B$2:$B$1000,ROWS($A$5:A52)-COUNTA('Raw Decommissioning'!$B$2:$B$1000)),""))</x:f>
        <x:v>CSSP10280084</x:v>
      </x:c>
      <x:c r="B52" s="163" t="str">
        <x:f>IF(A52="","",IF(ROWS($A$5:A52)&lt;=COUNTA('Raw Decommissioning'!$B$2:$B$1000),"Decommissioning","Provisioning"))</x:f>
        <x:v>Decommissioning</x:v>
      </x:c>
      <x:c r="C52" s="163" t="str">
        <x:f>IF(A52="","",IF(B52="Decommissioning",IFERROR(INDEX('Raw Decommissioning'!$E$2:$E$1000,MATCH(A52,'Raw Decommissioning'!$B$2:$B$1000,0)),"Missing from latest raw"),IFERROR(INDEX('Raw Provisioning'!$E$2:$E$1000,MATCH(A52,'Raw Provisioning'!$B$2:$B$1000,0)),"Missing from latest raw")))</x:f>
        <x:v>cancelled</x:v>
      </x:c>
      <x:c r="D52" s="164" t="n">
        <x:f>IF(A52="","",'Refresh Control'!$B$4)</x:f>
        <x:v>46254</x:v>
      </x:c>
      <x:c r="E52" s="164" t="n">
        <x:f>IF(A52="","",IF(B52="Decommissioning",INDEX('Raw Decommissioning'!$F$2:$F$1000,ROWS($A$5:A52)),INDEX('Raw Provisioning'!$F$2:$F$1000,ROWS($A$5:A52)-COUNTA('Raw Decommissioning'!$B$2:$B$1000))))</x:f>
        <x:v>46031.30300150463</x:v>
      </x:c>
      <x:c r="F52" s="164" t="n">
        <x:f>IF(A52="","",IF(B52="Decommissioning",INDEX('Raw Decommissioning'!$G$2:$G$1000,ROWS($A$5:A52)),INDEX('Raw Provisioning'!$H$2:$H$1000,ROWS($A$5:A52)-COUNTA('Raw Decommissioning'!$B$2:$B$1000))))</x:f>
        <x:v>46051.19498824074</x:v>
      </x:c>
      <x:c r="G52" s="165" t="str">
        <x:f>IF(A52="","",IF(B52="Decommissioning",INDEX('Raw Decommissioning'!$I$2:$I$1000,ROWS($A$5:A52)),INDEX('Raw Provisioning'!$J$2:$J$1000,ROWS($A$5:A52)-COUNTA('Raw Decommissioning'!$B$2:$B$1000))))</x:f>
        <x:v>MyProcure</x:v>
      </x:c>
      <x:c r="H52" s="165" t="str">
        <x:f>IF(A52="","",IF(B52="Decommissioning",INDEX('Raw Decommissioning'!$J$2:$J$1000,ROWS($A$5:A52)),INDEX('Raw Provisioning'!$L$2:$L$1000,ROWS($A$5:A52)-COUNTA('Raw Decommissioning'!$B$2:$B$1000))))</x:f>
        <x:v>Procurement Innovation Through Automation And Procurement Marketplace</x:v>
      </x:c>
      <x:c r="I52" s="165" t="str">
        <x:f>IF(A52="","",IF(B52="Decommissioning",INDEX('Raw Decommissioning'!$AL$2:$AL$1000,ROWS($A$5:A52)),INDEX('Raw Provisioning'!$R$2:$R$1000,ROWS($A$5:A52)-COUNTA('Raw Decommissioning'!$B$2:$B$1000))))</x:f>
      </x:c>
      <x:c r="J52" s="165" t="str">
        <x:f>IF(A52="","",IF(B52="Decommissioning",INDEX('Raw Decommissioning'!$AG$2:$AG$1000,ROWS($A$5:A52)),INDEX('Raw Provisioning'!$AI$2:$AI$1000,ROWS($A$5:A52)-COUNTA('Raw Decommissioning'!$B$2:$B$1000))))</x:f>
        <x:v>CCoE Operations</x:v>
      </x:c>
      <x:c r="K52" s="166" t="str">
        <x:f>IF(A52="","",IFERROR(LOOKUP(2,1/('Assignment History'!$B$5:$B$204=A52),'Assignment History'!$D$5:$D$204),IFERROR(VLOOKUP(J52,Configuration!$L$5:$M$50,2,FALSE),J52)))</x:f>
        <x:v>CCoE Operations</x:v>
      </x:c>
      <x:c r="L52" s="166" t="str">
        <x:f>IF(A52="","",IF(K52=IFERROR(VLOOKUP(J52,Configuration!$L$5:$M$50,2,FALSE),J52),"Snapshot PIC","Replacement PIC"))</x:f>
        <x:v>Snapshot PIC</x:v>
      </x:c>
      <x:c r="M52" s="167" t="n">
        <x:f>IF(A52="","",IFERROR(VLOOKUP(I52,Configuration!$O$5:$P$8,2,FALSE),Configuration!$S$6))</x:f>
        <x:v>2</x:v>
      </x:c>
      <x:c r="N52" s="167" t="str">
        <x:f>IF(A52="","",IFERROR(LOOKUP(2,1/('Scope Review'!$B$5:$B$204=A52),'Scope Review'!$G$5:$G$204),"Not Reviewed"))</x:f>
        <x:v>Not Reviewed</x:v>
      </x:c>
      <x:c r="O52" s="167" t="str">
        <x:f>IF(A52="","",IFERROR(LOOKUP(2,1/('Scope Review'!$B$5:$B$204=A52),'Scope Review'!$H$5:$H$204),""))</x:f>
      </x:c>
      <x:c r="P52" s="167" t="n">
        <x:f t="shared" si="2">IF(A52="","",IF(AND(C52="executing",N52&lt;&gt;"Confirmed OOS"),M52,0))</x:f>
        <x:v>0</x:v>
      </x:c>
      <x:c r="Q52" s="168" t="str">
        <x:f>IF(A52="","",IFERROR(LOOKUP(2,1/('Engineer Updates'!$B$5:$B$704=A52),'Engineer Updates'!$A$5:$A$704),""))</x:f>
      </x:c>
      <x:c r="R52" s="166" t="str">
        <x:f>IF(A52="","",IFERROR(LOOKUP(2,1/('Engineer Updates'!$B$5:$B$704=A52),'Engineer Updates'!$H$5:$H$704),""))</x:f>
      </x:c>
      <x:c r="S52" s="166" t="str">
        <x:f>IF(A52="","",IFERROR(LOOKUP(2,1/('Engineer Updates'!$B$5:$B$704=A52),'Engineer Updates'!$G$5:$G$704),""))</x:f>
      </x:c>
      <x:c r="T52" s="166" t="str">
        <x:f>IF(A52="","",IFERROR(LOOKUP(2,1/('Engineer Updates'!$B$5:$B$704=A52),'Engineer Updates'!$I$5:$I$704),""))</x:f>
      </x:c>
      <x:c r="U52" s="166" t="str">
        <x:f>IF(A52="","",IFERROR(LOOKUP(2,1/('Engineer Updates'!$B$5:$B$704=A52),'Engineer Updates'!$J$5:$J$704),""))</x:f>
      </x:c>
      <x:c r="V52" s="166" t="str">
        <x:f>IF(A52="","",IFERROR(LOOKUP(2,1/('Engineer Updates'!$B$5:$B$704=A52),'Engineer Updates'!$K$5:$K$704),""))</x:f>
      </x:c>
      <x:c r="W52" s="169" t="str">
        <x:f>IF(A52="","",IFERROR(LOOKUP(2,1/('Engineer Updates'!$B$5:$B$704=A52),'Engineer Updates'!$L$5:$L$704),""))</x:f>
      </x:c>
      <x:c r="X52" s="163" t="str">
        <x:f t="shared" si="3">IF(A52="","",IF(C52="completed","Completed in CSSP",IF(AND(C52="executing",ISERROR(SEARCH("@",K52))),"Executing without named engineer",IF(AND(N52="Confirmed OOS",C52="executing"),"Confirmed OOS still executing",""))))</x:f>
      </x:c>
      <x:c r="Y52" s="163" t="str">
        <x:f>IF(A52="","",IF(B52="Decommissioning","Raw Decommissioning","Raw Provisioning"))</x:f>
        <x:v>Raw Decommissioning</x:v>
      </x:c>
      <x:c r="Z52" s="170" t="str">
        <x:f>IF(A52="","",IF(OR(C52="executing",C52="processing"),"Yes","No"))</x:f>
        <x:v>No</x:v>
      </x:c>
    </x:row>
    <x:row r="53">
      <x:c r="A53" s="163" t="str">
        <x:f>IF(ROWS($A$5:A53)&lt;=COUNTA('Raw Decommissioning'!$B$2:$B$1000),INDEX('Raw Decommissioning'!$B$2:$B$1000,ROWS($A$5:A53)),IF(ROWS($A$5:A53)-COUNTA('Raw Decommissioning'!$B$2:$B$1000)&lt;=COUNTA('Raw Provisioning'!$B$2:$B$1000),INDEX('Raw Provisioning'!$B$2:$B$1000,ROWS($A$5:A53)-COUNTA('Raw Decommissioning'!$B$2:$B$1000)),""))</x:f>
        <x:v>CSSP10575261</x:v>
      </x:c>
      <x:c r="B53" s="163" t="str">
        <x:f>IF(A53="","",IF(ROWS($A$5:A53)&lt;=COUNTA('Raw Decommissioning'!$B$2:$B$1000),"Decommissioning","Provisioning"))</x:f>
        <x:v>Decommissioning</x:v>
      </x:c>
      <x:c r="C53" s="163" t="str">
        <x:f>IF(A53="","",IF(B53="Decommissioning",IFERROR(INDEX('Raw Decommissioning'!$E$2:$E$1000,MATCH(A53,'Raw Decommissioning'!$B$2:$B$1000,0)),"Missing from latest raw"),IFERROR(INDEX('Raw Provisioning'!$E$2:$E$1000,MATCH(A53,'Raw Provisioning'!$B$2:$B$1000,0)),"Missing from latest raw")))</x:f>
        <x:v>cancelled</x:v>
      </x:c>
      <x:c r="D53" s="164" t="n">
        <x:f>IF(A53="","",'Refresh Control'!$B$4)</x:f>
        <x:v>46254</x:v>
      </x:c>
      <x:c r="E53" s="164" t="n">
        <x:f>IF(A53="","",IF(B53="Decommissioning",INDEX('Raw Decommissioning'!$F$2:$F$1000,ROWS($A$5:A53)),INDEX('Raw Provisioning'!$F$2:$F$1000,ROWS($A$5:A53)-COUNTA('Raw Decommissioning'!$B$2:$B$1000))))</x:f>
        <x:v>46031.305276770836</x:v>
      </x:c>
      <x:c r="F53" s="164" t="n">
        <x:f>IF(A53="","",IF(B53="Decommissioning",INDEX('Raw Decommissioning'!$G$2:$G$1000,ROWS($A$5:A53)),INDEX('Raw Provisioning'!$H$2:$H$1000,ROWS($A$5:A53)-COUNTA('Raw Decommissioning'!$B$2:$B$1000))))</x:f>
        <x:v>46219.259701875</x:v>
      </x:c>
      <x:c r="G53" s="165" t="str">
        <x:f>IF(A53="","",IF(B53="Decommissioning",INDEX('Raw Decommissioning'!$I$2:$I$1000,ROWS($A$5:A53)),INDEX('Raw Provisioning'!$J$2:$J$1000,ROWS($A$5:A53)-COUNTA('Raw Decommissioning'!$B$2:$B$1000))))</x:f>
        <x:v>MyProcure</x:v>
      </x:c>
      <x:c r="H53" s="165" t="str">
        <x:f>IF(A53="","",IF(B53="Decommissioning",INDEX('Raw Decommissioning'!$J$2:$J$1000,ROWS($A$5:A53)),INDEX('Raw Provisioning'!$L$2:$L$1000,ROWS($A$5:A53)-COUNTA('Raw Decommissioning'!$B$2:$B$1000))))</x:f>
        <x:v>Procurement Innovation Through Automation And Procurement Marketplace</x:v>
      </x:c>
      <x:c r="I53" s="165" t="str">
        <x:f>IF(A53="","",IF(B53="Decommissioning",INDEX('Raw Decommissioning'!$AL$2:$AL$1000,ROWS($A$5:A53)),INDEX('Raw Provisioning'!$R$2:$R$1000,ROWS($A$5:A53)-COUNTA('Raw Decommissioning'!$B$2:$B$1000))))</x:f>
      </x:c>
      <x:c r="J53" s="165" t="str">
        <x:f>IF(A53="","",IF(B53="Decommissioning",INDEX('Raw Decommissioning'!$AG$2:$AG$1000,ROWS($A$5:A53)),INDEX('Raw Provisioning'!$AI$2:$AI$1000,ROWS($A$5:A53)-COUNTA('Raw Decommissioning'!$B$2:$B$1000))))</x:f>
        <x:v>CCoE Operations</x:v>
      </x:c>
      <x:c r="K53" s="166" t="str">
        <x:f>IF(A53="","",IFERROR(LOOKUP(2,1/('Assignment History'!$B$5:$B$204=A53),'Assignment History'!$D$5:$D$204),IFERROR(VLOOKUP(J53,Configuration!$L$5:$M$50,2,FALSE),J53)))</x:f>
        <x:v>CCoE Operations</x:v>
      </x:c>
      <x:c r="L53" s="166" t="str">
        <x:f>IF(A53="","",IF(K53=IFERROR(VLOOKUP(J53,Configuration!$L$5:$M$50,2,FALSE),J53),"Snapshot PIC","Replacement PIC"))</x:f>
        <x:v>Snapshot PIC</x:v>
      </x:c>
      <x:c r="M53" s="167" t="n">
        <x:f>IF(A53="","",IFERROR(VLOOKUP(I53,Configuration!$O$5:$P$8,2,FALSE),Configuration!$S$6))</x:f>
        <x:v>2</x:v>
      </x:c>
      <x:c r="N53" s="167" t="str">
        <x:f>IF(A53="","",IFERROR(LOOKUP(2,1/('Scope Review'!$B$5:$B$204=A53),'Scope Review'!$G$5:$G$204),"Not Reviewed"))</x:f>
        <x:v>Not Reviewed</x:v>
      </x:c>
      <x:c r="O53" s="167" t="str">
        <x:f>IF(A53="","",IFERROR(LOOKUP(2,1/('Scope Review'!$B$5:$B$204=A53),'Scope Review'!$H$5:$H$204),""))</x:f>
      </x:c>
      <x:c r="P53" s="167" t="n">
        <x:f t="shared" si="2">IF(A53="","",IF(AND(C53="executing",N53&lt;&gt;"Confirmed OOS"),M53,0))</x:f>
        <x:v>0</x:v>
      </x:c>
      <x:c r="Q53" s="168" t="str">
        <x:f>IF(A53="","",IFERROR(LOOKUP(2,1/('Engineer Updates'!$B$5:$B$704=A53),'Engineer Updates'!$A$5:$A$704),""))</x:f>
      </x:c>
      <x:c r="R53" s="166" t="str">
        <x:f>IF(A53="","",IFERROR(LOOKUP(2,1/('Engineer Updates'!$B$5:$B$704=A53),'Engineer Updates'!$H$5:$H$704),""))</x:f>
      </x:c>
      <x:c r="S53" s="166" t="str">
        <x:f>IF(A53="","",IFERROR(LOOKUP(2,1/('Engineer Updates'!$B$5:$B$704=A53),'Engineer Updates'!$G$5:$G$704),""))</x:f>
      </x:c>
      <x:c r="T53" s="166" t="str">
        <x:f>IF(A53="","",IFERROR(LOOKUP(2,1/('Engineer Updates'!$B$5:$B$704=A53),'Engineer Updates'!$I$5:$I$704),""))</x:f>
      </x:c>
      <x:c r="U53" s="166" t="str">
        <x:f>IF(A53="","",IFERROR(LOOKUP(2,1/('Engineer Updates'!$B$5:$B$704=A53),'Engineer Updates'!$J$5:$J$704),""))</x:f>
      </x:c>
      <x:c r="V53" s="166" t="str">
        <x:f>IF(A53="","",IFERROR(LOOKUP(2,1/('Engineer Updates'!$B$5:$B$704=A53),'Engineer Updates'!$K$5:$K$704),""))</x:f>
      </x:c>
      <x:c r="W53" s="169" t="str">
        <x:f>IF(A53="","",IFERROR(LOOKUP(2,1/('Engineer Updates'!$B$5:$B$704=A53),'Engineer Updates'!$L$5:$L$704),""))</x:f>
      </x:c>
      <x:c r="X53" s="163" t="str">
        <x:f t="shared" si="3">IF(A53="","",IF(C53="completed","Completed in CSSP",IF(AND(C53="executing",ISERROR(SEARCH("@",K53))),"Executing without named engineer",IF(AND(N53="Confirmed OOS",C53="executing"),"Confirmed OOS still executing",""))))</x:f>
      </x:c>
      <x:c r="Y53" s="163" t="str">
        <x:f>IF(A53="","",IF(B53="Decommissioning","Raw Decommissioning","Raw Provisioning"))</x:f>
        <x:v>Raw Decommissioning</x:v>
      </x:c>
      <x:c r="Z53" s="170" t="str">
        <x:f>IF(A53="","",IF(OR(C53="executing",C53="processing"),"Yes","No"))</x:f>
        <x:v>No</x:v>
      </x:c>
    </x:row>
    <x:row r="54" ht="30">
      <x:c r="A54" s="163" t="str">
        <x:f>IF(ROWS($A$5:A54)&lt;=COUNTA('Raw Decommissioning'!$B$2:$B$1000),INDEX('Raw Decommissioning'!$B$2:$B$1000,ROWS($A$5:A54)),IF(ROWS($A$5:A54)-COUNTA('Raw Decommissioning'!$B$2:$B$1000)&lt;=COUNTA('Raw Provisioning'!$B$2:$B$1000),INDEX('Raw Provisioning'!$B$2:$B$1000,ROWS($A$5:A54)-COUNTA('Raw Decommissioning'!$B$2:$B$1000)),""))</x:f>
        <x:v>CSSP10692553</x:v>
      </x:c>
      <x:c r="B54" s="163" t="str">
        <x:f>IF(A54="","",IF(ROWS($A$5:A54)&lt;=COUNTA('Raw Decommissioning'!$B$2:$B$1000),"Decommissioning","Provisioning"))</x:f>
        <x:v>Decommissioning</x:v>
      </x:c>
      <x:c r="C54" s="163" t="str">
        <x:f>IF(A54="","",IF(B54="Decommissioning",IFERROR(INDEX('Raw Decommissioning'!$E$2:$E$1000,MATCH(A54,'Raw Decommissioning'!$B$2:$B$1000,0)),"Missing from latest raw"),IFERROR(INDEX('Raw Provisioning'!$E$2:$E$1000,MATCH(A54,'Raw Provisioning'!$B$2:$B$1000,0)),"Missing from latest raw")))</x:f>
        <x:v>cancelled</x:v>
      </x:c>
      <x:c r="D54" s="164" t="n">
        <x:f>IF(A54="","",'Refresh Control'!$B$4)</x:f>
        <x:v>46254</x:v>
      </x:c>
      <x:c r="E54" s="164" t="n">
        <x:f>IF(A54="","",IF(B54="Decommissioning",INDEX('Raw Decommissioning'!$F$2:$F$1000,ROWS($A$5:A54)),INDEX('Raw Provisioning'!$F$2:$F$1000,ROWS($A$5:A54)-COUNTA('Raw Decommissioning'!$B$2:$B$1000))))</x:f>
        <x:v>46031.31501050926</x:v>
      </x:c>
      <x:c r="F54" s="164" t="n">
        <x:f>IF(A54="","",IF(B54="Decommissioning",INDEX('Raw Decommissioning'!$G$2:$G$1000,ROWS($A$5:A54)),INDEX('Raw Provisioning'!$H$2:$H$1000,ROWS($A$5:A54)-COUNTA('Raw Decommissioning'!$B$2:$B$1000))))</x:f>
        <x:v>46057.28470877315</x:v>
      </x:c>
      <x:c r="G54" s="165" t="str">
        <x:f>IF(A54="","",IF(B54="Decommissioning",INDEX('Raw Decommissioning'!$I$2:$I$1000,ROWS($A$5:A54)),INDEX('Raw Provisioning'!$J$2:$J$1000,ROWS($A$5:A54)-COUNTA('Raw Decommissioning'!$B$2:$B$1000))))</x:f>
        <x:v>FORTS</x:v>
      </x:c>
      <x:c r="H54" s="165" t="str">
        <x:f>IF(A54="","",IF(B54="Decommissioning",INDEX('Raw Decommissioning'!$J$2:$J$1000,ROWS($A$5:A54)),INDEX('Raw Provisioning'!$L$2:$L$1000,ROWS($A$5:A54)-COUNTA('Raw Decommissioning'!$B$2:$B$1000))))</x:f>
        <x:v>AWS Cloud Migration - FORTS</x:v>
      </x:c>
      <x:c r="I54" s="165" t="str">
        <x:f>IF(A54="","",IF(B54="Decommissioning",INDEX('Raw Decommissioning'!$AL$2:$AL$1000,ROWS($A$5:A54)),INDEX('Raw Provisioning'!$R$2:$R$1000,ROWS($A$5:A54)-COUNTA('Raw Decommissioning'!$B$2:$B$1000))))</x:f>
      </x:c>
      <x:c r="J54" s="165" t="str">
        <x:f>IF(A54="","",IF(B54="Decommissioning",INDEX('Raw Decommissioning'!$AG$2:$AG$1000,ROWS($A$5:A54)),INDEX('Raw Provisioning'!$AI$2:$AI$1000,ROWS($A$5:A54)-COUNTA('Raw Decommissioning'!$B$2:$B$1000))))</x:f>
        <x:v>CCoE Operations</x:v>
      </x:c>
      <x:c r="K54" s="166" t="str">
        <x:f>IF(A54="","",IFERROR(LOOKUP(2,1/('Assignment History'!$B$5:$B$204=A54),'Assignment History'!$D$5:$D$204),IFERROR(VLOOKUP(J54,Configuration!$L$5:$M$50,2,FALSE),J54)))</x:f>
        <x:v>CCoE Operations</x:v>
      </x:c>
      <x:c r="L54" s="166" t="str">
        <x:f>IF(A54="","",IF(K54=IFERROR(VLOOKUP(J54,Configuration!$L$5:$M$50,2,FALSE),J54),"Snapshot PIC","Replacement PIC"))</x:f>
        <x:v>Snapshot PIC</x:v>
      </x:c>
      <x:c r="M54" s="167" t="n">
        <x:f>IF(A54="","",IFERROR(VLOOKUP(I54,Configuration!$O$5:$P$8,2,FALSE),Configuration!$S$6))</x:f>
        <x:v>2</x:v>
      </x:c>
      <x:c r="N54" s="167" t="str">
        <x:f>IF(A54="","",IFERROR(LOOKUP(2,1/('Scope Review'!$B$5:$B$204=A54),'Scope Review'!$G$5:$G$204),"Not Reviewed"))</x:f>
        <x:v>Not Reviewed</x:v>
      </x:c>
      <x:c r="O54" s="167" t="str">
        <x:f>IF(A54="","",IFERROR(LOOKUP(2,1/('Scope Review'!$B$5:$B$204=A54),'Scope Review'!$H$5:$H$204),""))</x:f>
      </x:c>
      <x:c r="P54" s="167" t="n">
        <x:f t="shared" si="2">IF(A54="","",IF(AND(C54="executing",N54&lt;&gt;"Confirmed OOS"),M54,0))</x:f>
        <x:v>0</x:v>
      </x:c>
      <x:c r="Q54" s="168" t="str">
        <x:f>IF(A54="","",IFERROR(LOOKUP(2,1/('Engineer Updates'!$B$5:$B$704=A54),'Engineer Updates'!$A$5:$A$704),""))</x:f>
      </x:c>
      <x:c r="R54" s="166" t="str">
        <x:f>IF(A54="","",IFERROR(LOOKUP(2,1/('Engineer Updates'!$B$5:$B$704=A54),'Engineer Updates'!$H$5:$H$704),""))</x:f>
      </x:c>
      <x:c r="S54" s="166" t="str">
        <x:f>IF(A54="","",IFERROR(LOOKUP(2,1/('Engineer Updates'!$B$5:$B$704=A54),'Engineer Updates'!$G$5:$G$704),""))</x:f>
      </x:c>
      <x:c r="T54" s="166" t="str">
        <x:f>IF(A54="","",IFERROR(LOOKUP(2,1/('Engineer Updates'!$B$5:$B$704=A54),'Engineer Updates'!$I$5:$I$704),""))</x:f>
      </x:c>
      <x:c r="U54" s="166" t="str">
        <x:f>IF(A54="","",IFERROR(LOOKUP(2,1/('Engineer Updates'!$B$5:$B$704=A54),'Engineer Updates'!$J$5:$J$704),""))</x:f>
      </x:c>
      <x:c r="V54" s="166" t="str">
        <x:f>IF(A54="","",IFERROR(LOOKUP(2,1/('Engineer Updates'!$B$5:$B$704=A54),'Engineer Updates'!$K$5:$K$704),""))</x:f>
      </x:c>
      <x:c r="W54" s="169" t="str">
        <x:f>IF(A54="","",IFERROR(LOOKUP(2,1/('Engineer Updates'!$B$5:$B$704=A54),'Engineer Updates'!$L$5:$L$704),""))</x:f>
      </x:c>
      <x:c r="X54" s="163" t="str">
        <x:f t="shared" si="3">IF(A54="","",IF(C54="completed","Completed in CSSP",IF(AND(C54="executing",ISERROR(SEARCH("@",K54))),"Executing without named engineer",IF(AND(N54="Confirmed OOS",C54="executing"),"Confirmed OOS still executing",""))))</x:f>
      </x:c>
      <x:c r="Y54" s="163" t="str">
        <x:f>IF(A54="","",IF(B54="Decommissioning","Raw Decommissioning","Raw Provisioning"))</x:f>
        <x:v>Raw Decommissioning</x:v>
      </x:c>
      <x:c r="Z54" s="170" t="str">
        <x:f>IF(A54="","",IF(OR(C54="executing",C54="processing"),"Yes","No"))</x:f>
        <x:v>No</x:v>
      </x:c>
    </x:row>
    <x:row r="55">
      <x:c r="A55" s="163" t="str">
        <x:f>IF(ROWS($A$5:A55)&lt;=COUNTA('Raw Decommissioning'!$B$2:$B$1000),INDEX('Raw Decommissioning'!$B$2:$B$1000,ROWS($A$5:A55)),IF(ROWS($A$5:A55)-COUNTA('Raw Decommissioning'!$B$2:$B$1000)&lt;=COUNTA('Raw Provisioning'!$B$2:$B$1000),INDEX('Raw Provisioning'!$B$2:$B$1000,ROWS($A$5:A55)-COUNTA('Raw Decommissioning'!$B$2:$B$1000)),""))</x:f>
        <x:v>CSSP10215372</x:v>
      </x:c>
      <x:c r="B55" s="163" t="str">
        <x:f>IF(A55="","",IF(ROWS($A$5:A55)&lt;=COUNTA('Raw Decommissioning'!$B$2:$B$1000),"Decommissioning","Provisioning"))</x:f>
        <x:v>Decommissioning</x:v>
      </x:c>
      <x:c r="C55" s="163" t="str">
        <x:f>IF(A55="","",IF(B55="Decommissioning",IFERROR(INDEX('Raw Decommissioning'!$E$2:$E$1000,MATCH(A55,'Raw Decommissioning'!$B$2:$B$1000,0)),"Missing from latest raw"),IFERROR(INDEX('Raw Provisioning'!$E$2:$E$1000,MATCH(A55,'Raw Provisioning'!$B$2:$B$1000,0)),"Missing from latest raw")))</x:f>
        <x:v>completed</x:v>
      </x:c>
      <x:c r="D55" s="164" t="n">
        <x:f>IF(A55="","",'Refresh Control'!$B$4)</x:f>
        <x:v>46254</x:v>
      </x:c>
      <x:c r="E55" s="164" t="n">
        <x:f>IF(A55="","",IF(B55="Decommissioning",INDEX('Raw Decommissioning'!$F$2:$F$1000,ROWS($A$5:A55)),INDEX('Raw Provisioning'!$F$2:$F$1000,ROWS($A$5:A55)-COUNTA('Raw Decommissioning'!$B$2:$B$1000))))</x:f>
        <x:v>46031.31586847222</x:v>
      </x:c>
      <x:c r="F55" s="164" t="n">
        <x:f>IF(A55="","",IF(B55="Decommissioning",INDEX('Raw Decommissioning'!$G$2:$G$1000,ROWS($A$5:A55)),INDEX('Raw Provisioning'!$H$2:$H$1000,ROWS($A$5:A55)-COUNTA('Raw Decommissioning'!$B$2:$B$1000))))</x:f>
        <x:v>46041.014904641204</x:v>
      </x:c>
      <x:c r="G55" s="165" t="str">
        <x:f>IF(A55="","",IF(B55="Decommissioning",INDEX('Raw Decommissioning'!$I$2:$I$1000,ROWS($A$5:A55)),INDEX('Raw Provisioning'!$J$2:$J$1000,ROWS($A$5:A55)-COUNTA('Raw Decommissioning'!$B$2:$B$1000))))</x:f>
        <x:v>FORTS</x:v>
      </x:c>
      <x:c r="H55" s="165" t="str">
        <x:f>IF(A55="","",IF(B55="Decommissioning",INDEX('Raw Decommissioning'!$J$2:$J$1000,ROWS($A$5:A55)),INDEX('Raw Provisioning'!$L$2:$L$1000,ROWS($A$5:A55)-COUNTA('Raw Decommissioning'!$B$2:$B$1000))))</x:f>
        <x:v>AWS Cloud Migration - FORTS</x:v>
      </x:c>
      <x:c r="I55" s="165" t="str">
        <x:f>IF(A55="","",IF(B55="Decommissioning",INDEX('Raw Decommissioning'!$AL$2:$AL$1000,ROWS($A$5:A55)),INDEX('Raw Provisioning'!$R$2:$R$1000,ROWS($A$5:A55)-COUNTA('Raw Decommissioning'!$B$2:$B$1000))))</x:f>
        <x:v>M</x:v>
      </x:c>
      <x:c r="J55" s="165" t="str">
        <x:f>IF(A55="","",IF(B55="Decommissioning",INDEX('Raw Decommissioning'!$AG$2:$AG$1000,ROWS($A$5:A55)),INDEX('Raw Provisioning'!$AI$2:$AI$1000,ROWS($A$5:A55)-COUNTA('Raw Decommissioning'!$B$2:$B$1000))))</x:f>
        <x:v>azwan.badari@petronas.com</x:v>
      </x:c>
      <x:c r="K55" s="166" t="str">
        <x:f>IF(A55="","",IFERROR(LOOKUP(2,1/('Assignment History'!$B$5:$B$204=A55),'Assignment History'!$D$5:$D$204),IFERROR(VLOOKUP(J55,Configuration!$L$5:$M$50,2,FALSE),J55)))</x:f>
        <x:v>azwan.badari@petronas.com</x:v>
      </x:c>
      <x:c r="L55" s="166" t="str">
        <x:f>IF(A55="","",IF(K55=IFERROR(VLOOKUP(J55,Configuration!$L$5:$M$50,2,FALSE),J55),"Snapshot PIC","Replacement PIC"))</x:f>
        <x:v>Snapshot PIC</x:v>
      </x:c>
      <x:c r="M55" s="167" t="n">
        <x:f>IF(A55="","",IFERROR(VLOOKUP(I55,Configuration!$O$5:$P$8,2,FALSE),Configuration!$S$6))</x:f>
        <x:v>2</x:v>
      </x:c>
      <x:c r="N55" s="167" t="str">
        <x:f>IF(A55="","",IFERROR(LOOKUP(2,1/('Scope Review'!$B$5:$B$204=A55),'Scope Review'!$G$5:$G$204),"Not Reviewed"))</x:f>
        <x:v>Not Reviewed</x:v>
      </x:c>
      <x:c r="O55" s="167" t="str">
        <x:f>IF(A55="","",IFERROR(LOOKUP(2,1/('Scope Review'!$B$5:$B$204=A55),'Scope Review'!$H$5:$H$204),""))</x:f>
      </x:c>
      <x:c r="P55" s="167" t="n">
        <x:f t="shared" si="2">IF(A55="","",IF(AND(C55="executing",N55&lt;&gt;"Confirmed OOS"),M55,0))</x:f>
        <x:v>0</x:v>
      </x:c>
      <x:c r="Q55" s="168" t="str">
        <x:f>IF(A55="","",IFERROR(LOOKUP(2,1/('Engineer Updates'!$B$5:$B$704=A55),'Engineer Updates'!$A$5:$A$704),""))</x:f>
      </x:c>
      <x:c r="R55" s="166" t="str">
        <x:f>IF(A55="","",IFERROR(LOOKUP(2,1/('Engineer Updates'!$B$5:$B$704=A55),'Engineer Updates'!$H$5:$H$704),""))</x:f>
      </x:c>
      <x:c r="S55" s="166" t="str">
        <x:f>IF(A55="","",IFERROR(LOOKUP(2,1/('Engineer Updates'!$B$5:$B$704=A55),'Engineer Updates'!$G$5:$G$704),""))</x:f>
      </x:c>
      <x:c r="T55" s="166" t="str">
        <x:f>IF(A55="","",IFERROR(LOOKUP(2,1/('Engineer Updates'!$B$5:$B$704=A55),'Engineer Updates'!$I$5:$I$704),""))</x:f>
      </x:c>
      <x:c r="U55" s="166" t="str">
        <x:f>IF(A55="","",IFERROR(LOOKUP(2,1/('Engineer Updates'!$B$5:$B$704=A55),'Engineer Updates'!$J$5:$J$704),""))</x:f>
      </x:c>
      <x:c r="V55" s="166" t="str">
        <x:f>IF(A55="","",IFERROR(LOOKUP(2,1/('Engineer Updates'!$B$5:$B$704=A55),'Engineer Updates'!$K$5:$K$704),""))</x:f>
      </x:c>
      <x:c r="W55" s="169" t="str">
        <x:f>IF(A55="","",IFERROR(LOOKUP(2,1/('Engineer Updates'!$B$5:$B$704=A55),'Engineer Updates'!$L$5:$L$704),""))</x:f>
      </x:c>
      <x:c r="X55" s="163" t="str">
        <x:f t="shared" si="3">IF(A55="","",IF(C55="completed","Completed in CSSP",IF(AND(C55="executing",ISERROR(SEARCH("@",K55))),"Executing without named engineer",IF(AND(N55="Confirmed OOS",C55="executing"),"Confirmed OOS still executing",""))))</x:f>
        <x:v>Completed in CSSP</x:v>
      </x:c>
      <x:c r="Y55" s="163" t="str">
        <x:f>IF(A55="","",IF(B55="Decommissioning","Raw Decommissioning","Raw Provisioning"))</x:f>
        <x:v>Raw Decommissioning</x:v>
      </x:c>
      <x:c r="Z55" s="170" t="str">
        <x:f>IF(A55="","",IF(OR(C55="executing",C55="processing"),"Yes","No"))</x:f>
        <x:v>No</x:v>
      </x:c>
    </x:row>
    <x:row r="56" ht="45">
      <x:c r="A56" s="163" t="str">
        <x:f>IF(ROWS($A$5:A56)&lt;=COUNTA('Raw Decommissioning'!$B$2:$B$1000),INDEX('Raw Decommissioning'!$B$2:$B$1000,ROWS($A$5:A56)),IF(ROWS($A$5:A56)-COUNTA('Raw Decommissioning'!$B$2:$B$1000)&lt;=COUNTA('Raw Provisioning'!$B$2:$B$1000),INDEX('Raw Provisioning'!$B$2:$B$1000,ROWS($A$5:A56)-COUNTA('Raw Decommissioning'!$B$2:$B$1000)),""))</x:f>
        <x:v>CSSP10783734</x:v>
      </x:c>
      <x:c r="B56" s="163" t="str">
        <x:f>IF(A56="","",IF(ROWS($A$5:A56)&lt;=COUNTA('Raw Decommissioning'!$B$2:$B$1000),"Decommissioning","Provisioning"))</x:f>
        <x:v>Decommissioning</x:v>
      </x:c>
      <x:c r="C56" s="163" t="str">
        <x:f>IF(A56="","",IF(B56="Decommissioning",IFERROR(INDEX('Raw Decommissioning'!$E$2:$E$1000,MATCH(A56,'Raw Decommissioning'!$B$2:$B$1000,0)),"Missing from latest raw"),IFERROR(INDEX('Raw Provisioning'!$E$2:$E$1000,MATCH(A56,'Raw Provisioning'!$B$2:$B$1000,0)),"Missing from latest raw")))</x:f>
        <x:v>cancelled</x:v>
      </x:c>
      <x:c r="D56" s="164" t="n">
        <x:f>IF(A56="","",'Refresh Control'!$B$4)</x:f>
        <x:v>46254</x:v>
      </x:c>
      <x:c r="E56" s="164" t="n">
        <x:f>IF(A56="","",IF(B56="Decommissioning",INDEX('Raw Decommissioning'!$F$2:$F$1000,ROWS($A$5:A56)),INDEX('Raw Provisioning'!$F$2:$F$1000,ROWS($A$5:A56)-COUNTA('Raw Decommissioning'!$B$2:$B$1000))))</x:f>
        <x:v>46031.32259686343</x:v>
      </x:c>
      <x:c r="F56" s="164" t="n">
        <x:f>IF(A56="","",IF(B56="Decommissioning",INDEX('Raw Decommissioning'!$G$2:$G$1000,ROWS($A$5:A56)),INDEX('Raw Provisioning'!$H$2:$H$1000,ROWS($A$5:A56)-COUNTA('Raw Decommissioning'!$B$2:$B$1000))))</x:f>
        <x:v>46051.19490336806</x:v>
      </x:c>
      <x:c r="G56" s="165" t="str">
        <x:f>IF(A56="","",IF(B56="Decommissioning",INDEX('Raw Decommissioning'!$I$2:$I$1000,ROWS($A$5:A56)),INDEX('Raw Provisioning'!$J$2:$J$1000,ROWS($A$5:A56)-COUNTA('Raw Decommissioning'!$B$2:$B$1000))))</x:f>
        <x:v>MyProcure</x:v>
      </x:c>
      <x:c r="H56" s="165" t="str">
        <x:f>IF(A56="","",IF(B56="Decommissioning",INDEX('Raw Decommissioning'!$J$2:$J$1000,ROWS($A$5:A56)),INDEX('Raw Provisioning'!$L$2:$L$1000,ROWS($A$5:A56)-COUNTA('Raw Decommissioning'!$B$2:$B$1000))))</x:f>
        <x:v>Procurement Innovation Through Automation And Procurement Marketplace</x:v>
      </x:c>
      <x:c r="I56" s="165" t="str">
        <x:f>IF(A56="","",IF(B56="Decommissioning",INDEX('Raw Decommissioning'!$AL$2:$AL$1000,ROWS($A$5:A56)),INDEX('Raw Provisioning'!$R$2:$R$1000,ROWS($A$5:A56)-COUNTA('Raw Decommissioning'!$B$2:$B$1000))))</x:f>
      </x:c>
      <x:c r="J56" s="165" t="str">
        <x:f>IF(A56="","",IF(B56="Decommissioning",INDEX('Raw Decommissioning'!$AG$2:$AG$1000,ROWS($A$5:A56)),INDEX('Raw Provisioning'!$AI$2:$AI$1000,ROWS($A$5:A56)-COUNTA('Raw Decommissioning'!$B$2:$B$1000))))</x:f>
        <x:v>CCoE Operations</x:v>
      </x:c>
      <x:c r="K56" s="166" t="str">
        <x:f>IF(A56="","",IFERROR(LOOKUP(2,1/('Assignment History'!$B$5:$B$204=A56),'Assignment History'!$D$5:$D$204),IFERROR(VLOOKUP(J56,Configuration!$L$5:$M$50,2,FALSE),J56)))</x:f>
        <x:v>CCoE Operations</x:v>
      </x:c>
      <x:c r="L56" s="166" t="str">
        <x:f>IF(A56="","",IF(K56=IFERROR(VLOOKUP(J56,Configuration!$L$5:$M$50,2,FALSE),J56),"Snapshot PIC","Replacement PIC"))</x:f>
        <x:v>Snapshot PIC</x:v>
      </x:c>
      <x:c r="M56" s="167" t="n">
        <x:f>IF(A56="","",IFERROR(VLOOKUP(I56,Configuration!$O$5:$P$8,2,FALSE),Configuration!$S$6))</x:f>
        <x:v>2</x:v>
      </x:c>
      <x:c r="N56" s="167" t="str">
        <x:f>IF(A56="","",IFERROR(LOOKUP(2,1/('Scope Review'!$B$5:$B$204=A56),'Scope Review'!$G$5:$G$204),"Not Reviewed"))</x:f>
        <x:v>Not Reviewed</x:v>
      </x:c>
      <x:c r="O56" s="167" t="str">
        <x:f>IF(A56="","",IFERROR(LOOKUP(2,1/('Scope Review'!$B$5:$B$204=A56),'Scope Review'!$H$5:$H$204),""))</x:f>
      </x:c>
      <x:c r="P56" s="167" t="n">
        <x:f t="shared" si="2">IF(A56="","",IF(AND(C56="executing",N56&lt;&gt;"Confirmed OOS"),M56,0))</x:f>
        <x:v>0</x:v>
      </x:c>
      <x:c r="Q56" s="168" t="str">
        <x:f>IF(A56="","",IFERROR(LOOKUP(2,1/('Engineer Updates'!$B$5:$B$704=A56),'Engineer Updates'!$A$5:$A$704),""))</x:f>
      </x:c>
      <x:c r="R56" s="166" t="str">
        <x:f>IF(A56="","",IFERROR(LOOKUP(2,1/('Engineer Updates'!$B$5:$B$704=A56),'Engineer Updates'!$H$5:$H$704),""))</x:f>
      </x:c>
      <x:c r="S56" s="166" t="str">
        <x:f>IF(A56="","",IFERROR(LOOKUP(2,1/('Engineer Updates'!$B$5:$B$704=A56),'Engineer Updates'!$G$5:$G$704),""))</x:f>
      </x:c>
      <x:c r="T56" s="166" t="str">
        <x:f>IF(A56="","",IFERROR(LOOKUP(2,1/('Engineer Updates'!$B$5:$B$704=A56),'Engineer Updates'!$I$5:$I$704),""))</x:f>
      </x:c>
      <x:c r="U56" s="166" t="str">
        <x:f>IF(A56="","",IFERROR(LOOKUP(2,1/('Engineer Updates'!$B$5:$B$704=A56),'Engineer Updates'!$J$5:$J$704),""))</x:f>
      </x:c>
      <x:c r="V56" s="166" t="str">
        <x:f>IF(A56="","",IFERROR(LOOKUP(2,1/('Engineer Updates'!$B$5:$B$704=A56),'Engineer Updates'!$K$5:$K$704),""))</x:f>
      </x:c>
      <x:c r="W56" s="169" t="str">
        <x:f>IF(A56="","",IFERROR(LOOKUP(2,1/('Engineer Updates'!$B$5:$B$704=A56),'Engineer Updates'!$L$5:$L$704),""))</x:f>
      </x:c>
      <x:c r="X56" s="163" t="str">
        <x:f t="shared" si="3">IF(A56="","",IF(C56="completed","Completed in CSSP",IF(AND(C56="executing",ISERROR(SEARCH("@",K56))),"Executing without named engineer",IF(AND(N56="Confirmed OOS",C56="executing"),"Confirmed OOS still executing",""))))</x:f>
      </x:c>
      <x:c r="Y56" s="163" t="str">
        <x:f>IF(A56="","",IF(B56="Decommissioning","Raw Decommissioning","Raw Provisioning"))</x:f>
        <x:v>Raw Decommissioning</x:v>
      </x:c>
      <x:c r="Z56" s="170" t="str">
        <x:f>IF(A56="","",IF(OR(C56="executing",C56="processing"),"Yes","No"))</x:f>
        <x:v>No</x:v>
      </x:c>
    </x:row>
    <x:row r="57" ht="30">
      <x:c r="A57" s="163" t="str">
        <x:f>IF(ROWS($A$5:A57)&lt;=COUNTA('Raw Decommissioning'!$B$2:$B$1000),INDEX('Raw Decommissioning'!$B$2:$B$1000,ROWS($A$5:A57)),IF(ROWS($A$5:A57)-COUNTA('Raw Decommissioning'!$B$2:$B$1000)&lt;=COUNTA('Raw Provisioning'!$B$2:$B$1000),INDEX('Raw Provisioning'!$B$2:$B$1000,ROWS($A$5:A57)-COUNTA('Raw Decommissioning'!$B$2:$B$1000)),""))</x:f>
        <x:v>CSSP10466320</x:v>
      </x:c>
      <x:c r="B57" s="163" t="str">
        <x:f>IF(A57="","",IF(ROWS($A$5:A57)&lt;=COUNTA('Raw Decommissioning'!$B$2:$B$1000),"Decommissioning","Provisioning"))</x:f>
        <x:v>Decommissioning</x:v>
      </x:c>
      <x:c r="C57" s="163" t="str">
        <x:f>IF(A57="","",IF(B57="Decommissioning",IFERROR(INDEX('Raw Decommissioning'!$E$2:$E$1000,MATCH(A57,'Raw Decommissioning'!$B$2:$B$1000,0)),"Missing from latest raw"),IFERROR(INDEX('Raw Provisioning'!$E$2:$E$1000,MATCH(A57,'Raw Provisioning'!$B$2:$B$1000,0)),"Missing from latest raw")))</x:f>
        <x:v>cancelled</x:v>
      </x:c>
      <x:c r="D57" s="164" t="n">
        <x:f>IF(A57="","",'Refresh Control'!$B$4)</x:f>
        <x:v>46254</x:v>
      </x:c>
      <x:c r="E57" s="164" t="n">
        <x:f>IF(A57="","",IF(B57="Decommissioning",INDEX('Raw Decommissioning'!$F$2:$F$1000,ROWS($A$5:A57)),INDEX('Raw Provisioning'!$F$2:$F$1000,ROWS($A$5:A57)-COUNTA('Raw Decommissioning'!$B$2:$B$1000))))</x:f>
        <x:v>46031.323940821756</x:v>
      </x:c>
      <x:c r="F57" s="164" t="n">
        <x:f>IF(A57="","",IF(B57="Decommissioning",INDEX('Raw Decommissioning'!$G$2:$G$1000,ROWS($A$5:A57)),INDEX('Raw Provisioning'!$H$2:$H$1000,ROWS($A$5:A57)-COUNTA('Raw Decommissioning'!$B$2:$B$1000))))</x:f>
        <x:v>46051.19483211805</x:v>
      </x:c>
      <x:c r="G57" s="165" t="str">
        <x:f>IF(A57="","",IF(B57="Decommissioning",INDEX('Raw Decommissioning'!$I$2:$I$1000,ROWS($A$5:A57)),INDEX('Raw Provisioning'!$J$2:$J$1000,ROWS($A$5:A57)-COUNTA('Raw Decommissioning'!$B$2:$B$1000))))</x:f>
        <x:v>MyProcure</x:v>
      </x:c>
      <x:c r="H57" s="165" t="str">
        <x:f>IF(A57="","",IF(B57="Decommissioning",INDEX('Raw Decommissioning'!$J$2:$J$1000,ROWS($A$5:A57)),INDEX('Raw Provisioning'!$L$2:$L$1000,ROWS($A$5:A57)-COUNTA('Raw Decommissioning'!$B$2:$B$1000))))</x:f>
        <x:v>Procurement Innovation Through Automation And Procurement Marketplace</x:v>
      </x:c>
      <x:c r="I57" s="165" t="str">
        <x:f>IF(A57="","",IF(B57="Decommissioning",INDEX('Raw Decommissioning'!$AL$2:$AL$1000,ROWS($A$5:A57)),INDEX('Raw Provisioning'!$R$2:$R$1000,ROWS($A$5:A57)-COUNTA('Raw Decommissioning'!$B$2:$B$1000))))</x:f>
      </x:c>
      <x:c r="J57" s="165" t="str">
        <x:f>IF(A57="","",IF(B57="Decommissioning",INDEX('Raw Decommissioning'!$AG$2:$AG$1000,ROWS($A$5:A57)),INDEX('Raw Provisioning'!$AI$2:$AI$1000,ROWS($A$5:A57)-COUNTA('Raw Decommissioning'!$B$2:$B$1000))))</x:f>
        <x:v>CCoE Operations</x:v>
      </x:c>
      <x:c r="K57" s="166" t="str">
        <x:f>IF(A57="","",IFERROR(LOOKUP(2,1/('Assignment History'!$B$5:$B$204=A57),'Assignment History'!$D$5:$D$204),IFERROR(VLOOKUP(J57,Configuration!$L$5:$M$50,2,FALSE),J57)))</x:f>
        <x:v>CCoE Operations</x:v>
      </x:c>
      <x:c r="L57" s="166" t="str">
        <x:f>IF(A57="","",IF(K57=IFERROR(VLOOKUP(J57,Configuration!$L$5:$M$50,2,FALSE),J57),"Snapshot PIC","Replacement PIC"))</x:f>
        <x:v>Snapshot PIC</x:v>
      </x:c>
      <x:c r="M57" s="167" t="n">
        <x:f>IF(A57="","",IFERROR(VLOOKUP(I57,Configuration!$O$5:$P$8,2,FALSE),Configuration!$S$6))</x:f>
        <x:v>2</x:v>
      </x:c>
      <x:c r="N57" s="167" t="str">
        <x:f>IF(A57="","",IFERROR(LOOKUP(2,1/('Scope Review'!$B$5:$B$204=A57),'Scope Review'!$G$5:$G$204),"Not Reviewed"))</x:f>
        <x:v>Not Reviewed</x:v>
      </x:c>
      <x:c r="O57" s="167" t="str">
        <x:f>IF(A57="","",IFERROR(LOOKUP(2,1/('Scope Review'!$B$5:$B$204=A57),'Scope Review'!$H$5:$H$204),""))</x:f>
      </x:c>
      <x:c r="P57" s="167" t="n">
        <x:f t="shared" si="2">IF(A57="","",IF(AND(C57="executing",N57&lt;&gt;"Confirmed OOS"),M57,0))</x:f>
        <x:v>0</x:v>
      </x:c>
      <x:c r="Q57" s="168" t="str">
        <x:f>IF(A57="","",IFERROR(LOOKUP(2,1/('Engineer Updates'!$B$5:$B$704=A57),'Engineer Updates'!$A$5:$A$704),""))</x:f>
      </x:c>
      <x:c r="R57" s="166" t="str">
        <x:f>IF(A57="","",IFERROR(LOOKUP(2,1/('Engineer Updates'!$B$5:$B$704=A57),'Engineer Updates'!$H$5:$H$704),""))</x:f>
      </x:c>
      <x:c r="S57" s="166" t="str">
        <x:f>IF(A57="","",IFERROR(LOOKUP(2,1/('Engineer Updates'!$B$5:$B$704=A57),'Engineer Updates'!$G$5:$G$704),""))</x:f>
      </x:c>
      <x:c r="T57" s="166" t="str">
        <x:f>IF(A57="","",IFERROR(LOOKUP(2,1/('Engineer Updates'!$B$5:$B$704=A57),'Engineer Updates'!$I$5:$I$704),""))</x:f>
      </x:c>
      <x:c r="U57" s="166" t="str">
        <x:f>IF(A57="","",IFERROR(LOOKUP(2,1/('Engineer Updates'!$B$5:$B$704=A57),'Engineer Updates'!$J$5:$J$704),""))</x:f>
      </x:c>
      <x:c r="V57" s="166" t="str">
        <x:f>IF(A57="","",IFERROR(LOOKUP(2,1/('Engineer Updates'!$B$5:$B$704=A57),'Engineer Updates'!$K$5:$K$704),""))</x:f>
      </x:c>
      <x:c r="W57" s="169" t="str">
        <x:f>IF(A57="","",IFERROR(LOOKUP(2,1/('Engineer Updates'!$B$5:$B$704=A57),'Engineer Updates'!$L$5:$L$704),""))</x:f>
      </x:c>
      <x:c r="X57" s="163" t="str">
        <x:f t="shared" si="3">IF(A57="","",IF(C57="completed","Completed in CSSP",IF(AND(C57="executing",ISERROR(SEARCH("@",K57))),"Executing without named engineer",IF(AND(N57="Confirmed OOS",C57="executing"),"Confirmed OOS still executing",""))))</x:f>
      </x:c>
      <x:c r="Y57" s="163" t="str">
        <x:f>IF(A57="","",IF(B57="Decommissioning","Raw Decommissioning","Raw Provisioning"))</x:f>
        <x:v>Raw Decommissioning</x:v>
      </x:c>
      <x:c r="Z57" s="170" t="str">
        <x:f>IF(A57="","",IF(OR(C57="executing",C57="processing"),"Yes","No"))</x:f>
        <x:v>No</x:v>
      </x:c>
    </x:row>
    <x:row r="58" ht="30">
      <x:c r="A58" s="163" t="str">
        <x:f>IF(ROWS($A$5:A58)&lt;=COUNTA('Raw Decommissioning'!$B$2:$B$1000),INDEX('Raw Decommissioning'!$B$2:$B$1000,ROWS($A$5:A58)),IF(ROWS($A$5:A58)-COUNTA('Raw Decommissioning'!$B$2:$B$1000)&lt;=COUNTA('Raw Provisioning'!$B$2:$B$1000),INDEX('Raw Provisioning'!$B$2:$B$1000,ROWS($A$5:A58)-COUNTA('Raw Decommissioning'!$B$2:$B$1000)),""))</x:f>
        <x:v>CSSP10764031</x:v>
      </x:c>
      <x:c r="B58" s="163" t="str">
        <x:f>IF(A58="","",IF(ROWS($A$5:A58)&lt;=COUNTA('Raw Decommissioning'!$B$2:$B$1000),"Decommissioning","Provisioning"))</x:f>
        <x:v>Decommissioning</x:v>
      </x:c>
      <x:c r="C58" s="163" t="str">
        <x:f>IF(A58="","",IF(B58="Decommissioning",IFERROR(INDEX('Raw Decommissioning'!$E$2:$E$1000,MATCH(A58,'Raw Decommissioning'!$B$2:$B$1000,0)),"Missing from latest raw"),IFERROR(INDEX('Raw Provisioning'!$E$2:$E$1000,MATCH(A58,'Raw Provisioning'!$B$2:$B$1000,0)),"Missing from latest raw")))</x:f>
        <x:v>cancelled</x:v>
      </x:c>
      <x:c r="D58" s="164" t="n">
        <x:f>IF(A58="","",'Refresh Control'!$B$4)</x:f>
        <x:v>46254</x:v>
      </x:c>
      <x:c r="E58" s="164" t="n">
        <x:f>IF(A58="","",IF(B58="Decommissioning",INDEX('Raw Decommissioning'!$F$2:$F$1000,ROWS($A$5:A58)),INDEX('Raw Provisioning'!$F$2:$F$1000,ROWS($A$5:A58)-COUNTA('Raw Decommissioning'!$B$2:$B$1000))))</x:f>
        <x:v>46031.32512898148</x:v>
      </x:c>
      <x:c r="F58" s="164" t="n">
        <x:f>IF(A58="","",IF(B58="Decommissioning",INDEX('Raw Decommissioning'!$G$2:$G$1000,ROWS($A$5:A58)),INDEX('Raw Provisioning'!$H$2:$H$1000,ROWS($A$5:A58)-COUNTA('Raw Decommissioning'!$B$2:$B$1000))))</x:f>
        <x:v>46219.25947127315</x:v>
      </x:c>
      <x:c r="G58" s="165" t="str">
        <x:f>IF(A58="","",IF(B58="Decommissioning",INDEX('Raw Decommissioning'!$I$2:$I$1000,ROWS($A$5:A58)),INDEX('Raw Provisioning'!$J$2:$J$1000,ROWS($A$5:A58)-COUNTA('Raw Decommissioning'!$B$2:$B$1000))))</x:f>
        <x:v>MyProcure</x:v>
      </x:c>
      <x:c r="H58" s="165" t="str">
        <x:f>IF(A58="","",IF(B58="Decommissioning",INDEX('Raw Decommissioning'!$J$2:$J$1000,ROWS($A$5:A58)),INDEX('Raw Provisioning'!$L$2:$L$1000,ROWS($A$5:A58)-COUNTA('Raw Decommissioning'!$B$2:$B$1000))))</x:f>
        <x:v>Procurement Innovation Through Automation And Procurement Marketplace</x:v>
      </x:c>
      <x:c r="I58" s="165" t="str">
        <x:f>IF(A58="","",IF(B58="Decommissioning",INDEX('Raw Decommissioning'!$AL$2:$AL$1000,ROWS($A$5:A58)),INDEX('Raw Provisioning'!$R$2:$R$1000,ROWS($A$5:A58)-COUNTA('Raw Decommissioning'!$B$2:$B$1000))))</x:f>
      </x:c>
      <x:c r="J58" s="165" t="str">
        <x:f>IF(A58="","",IF(B58="Decommissioning",INDEX('Raw Decommissioning'!$AG$2:$AG$1000,ROWS($A$5:A58)),INDEX('Raw Provisioning'!$AI$2:$AI$1000,ROWS($A$5:A58)-COUNTA('Raw Decommissioning'!$B$2:$B$1000))))</x:f>
        <x:v>CCoE Operations</x:v>
      </x:c>
      <x:c r="K58" s="166" t="str">
        <x:f>IF(A58="","",IFERROR(LOOKUP(2,1/('Assignment History'!$B$5:$B$204=A58),'Assignment History'!$D$5:$D$204),IFERROR(VLOOKUP(J58,Configuration!$L$5:$M$50,2,FALSE),J58)))</x:f>
        <x:v>CCoE Operations</x:v>
      </x:c>
      <x:c r="L58" s="166" t="str">
        <x:f>IF(A58="","",IF(K58=IFERROR(VLOOKUP(J58,Configuration!$L$5:$M$50,2,FALSE),J58),"Snapshot PIC","Replacement PIC"))</x:f>
        <x:v>Snapshot PIC</x:v>
      </x:c>
      <x:c r="M58" s="167" t="n">
        <x:f>IF(A58="","",IFERROR(VLOOKUP(I58,Configuration!$O$5:$P$8,2,FALSE),Configuration!$S$6))</x:f>
        <x:v>2</x:v>
      </x:c>
      <x:c r="N58" s="167" t="str">
        <x:f>IF(A58="","",IFERROR(LOOKUP(2,1/('Scope Review'!$B$5:$B$204=A58),'Scope Review'!$G$5:$G$204),"Not Reviewed"))</x:f>
        <x:v>Not Reviewed</x:v>
      </x:c>
      <x:c r="O58" s="167" t="str">
        <x:f>IF(A58="","",IFERROR(LOOKUP(2,1/('Scope Review'!$B$5:$B$204=A58),'Scope Review'!$H$5:$H$204),""))</x:f>
      </x:c>
      <x:c r="P58" s="167" t="n">
        <x:f t="shared" si="2">IF(A58="","",IF(AND(C58="executing",N58&lt;&gt;"Confirmed OOS"),M58,0))</x:f>
        <x:v>0</x:v>
      </x:c>
      <x:c r="Q58" s="168" t="str">
        <x:f>IF(A58="","",IFERROR(LOOKUP(2,1/('Engineer Updates'!$B$5:$B$704=A58),'Engineer Updates'!$A$5:$A$704),""))</x:f>
      </x:c>
      <x:c r="R58" s="166" t="str">
        <x:f>IF(A58="","",IFERROR(LOOKUP(2,1/('Engineer Updates'!$B$5:$B$704=A58),'Engineer Updates'!$H$5:$H$704),""))</x:f>
      </x:c>
      <x:c r="S58" s="166" t="str">
        <x:f>IF(A58="","",IFERROR(LOOKUP(2,1/('Engineer Updates'!$B$5:$B$704=A58),'Engineer Updates'!$G$5:$G$704),""))</x:f>
      </x:c>
      <x:c r="T58" s="166" t="str">
        <x:f>IF(A58="","",IFERROR(LOOKUP(2,1/('Engineer Updates'!$B$5:$B$704=A58),'Engineer Updates'!$I$5:$I$704),""))</x:f>
      </x:c>
      <x:c r="U58" s="166" t="str">
        <x:f>IF(A58="","",IFERROR(LOOKUP(2,1/('Engineer Updates'!$B$5:$B$704=A58),'Engineer Updates'!$J$5:$J$704),""))</x:f>
      </x:c>
      <x:c r="V58" s="166" t="str">
        <x:f>IF(A58="","",IFERROR(LOOKUP(2,1/('Engineer Updates'!$B$5:$B$704=A58),'Engineer Updates'!$K$5:$K$704),""))</x:f>
      </x:c>
      <x:c r="W58" s="169" t="str">
        <x:f>IF(A58="","",IFERROR(LOOKUP(2,1/('Engineer Updates'!$B$5:$B$704=A58),'Engineer Updates'!$L$5:$L$704),""))</x:f>
      </x:c>
      <x:c r="X58" s="163" t="str">
        <x:f t="shared" si="3">IF(A58="","",IF(C58="completed","Completed in CSSP",IF(AND(C58="executing",ISERROR(SEARCH("@",K58))),"Executing without named engineer",IF(AND(N58="Confirmed OOS",C58="executing"),"Confirmed OOS still executing",""))))</x:f>
      </x:c>
      <x:c r="Y58" s="163" t="str">
        <x:f>IF(A58="","",IF(B58="Decommissioning","Raw Decommissioning","Raw Provisioning"))</x:f>
        <x:v>Raw Decommissioning</x:v>
      </x:c>
      <x:c r="Z58" s="170" t="str">
        <x:f>IF(A58="","",IF(OR(C58="executing",C58="processing"),"Yes","No"))</x:f>
        <x:v>No</x:v>
      </x:c>
    </x:row>
    <x:row r="59" ht="30">
      <x:c r="A59" s="163" t="str">
        <x:f>IF(ROWS($A$5:A59)&lt;=COUNTA('Raw Decommissioning'!$B$2:$B$1000),INDEX('Raw Decommissioning'!$B$2:$B$1000,ROWS($A$5:A59)),IF(ROWS($A$5:A59)-COUNTA('Raw Decommissioning'!$B$2:$B$1000)&lt;=COUNTA('Raw Provisioning'!$B$2:$B$1000),INDEX('Raw Provisioning'!$B$2:$B$1000,ROWS($A$5:A59)-COUNTA('Raw Decommissioning'!$B$2:$B$1000)),""))</x:f>
        <x:v>CSSP10618851</x:v>
      </x:c>
      <x:c r="B59" s="163" t="str">
        <x:f>IF(A59="","",IF(ROWS($A$5:A59)&lt;=COUNTA('Raw Decommissioning'!$B$2:$B$1000),"Decommissioning","Provisioning"))</x:f>
        <x:v>Decommissioning</x:v>
      </x:c>
      <x:c r="C59" s="163" t="str">
        <x:f>IF(A59="","",IF(B59="Decommissioning",IFERROR(INDEX('Raw Decommissioning'!$E$2:$E$1000,MATCH(A59,'Raw Decommissioning'!$B$2:$B$1000,0)),"Missing from latest raw"),IFERROR(INDEX('Raw Provisioning'!$E$2:$E$1000,MATCH(A59,'Raw Provisioning'!$B$2:$B$1000,0)),"Missing from latest raw")))</x:f>
        <x:v>cancelled</x:v>
      </x:c>
      <x:c r="D59" s="164" t="n">
        <x:f>IF(A59="","",'Refresh Control'!$B$4)</x:f>
        <x:v>46254</x:v>
      </x:c>
      <x:c r="E59" s="164" t="n">
        <x:f>IF(A59="","",IF(B59="Decommissioning",INDEX('Raw Decommissioning'!$F$2:$F$1000,ROWS($A$5:A59)),INDEX('Raw Provisioning'!$F$2:$F$1000,ROWS($A$5:A59)-COUNTA('Raw Decommissioning'!$B$2:$B$1000))))</x:f>
        <x:v>46031.32594293982</x:v>
      </x:c>
      <x:c r="F59" s="164" t="n">
        <x:f>IF(A59="","",IF(B59="Decommissioning",INDEX('Raw Decommissioning'!$G$2:$G$1000,ROWS($A$5:A59)),INDEX('Raw Provisioning'!$H$2:$H$1000,ROWS($A$5:A59)-COUNTA('Raw Decommissioning'!$B$2:$B$1000))))</x:f>
        <x:v>46051.19474792824</x:v>
      </x:c>
      <x:c r="G59" s="165" t="str">
        <x:f>IF(A59="","",IF(B59="Decommissioning",INDEX('Raw Decommissioning'!$I$2:$I$1000,ROWS($A$5:A59)),INDEX('Raw Provisioning'!$J$2:$J$1000,ROWS($A$5:A59)-COUNTA('Raw Decommissioning'!$B$2:$B$1000))))</x:f>
        <x:v>MyProcure</x:v>
      </x:c>
      <x:c r="H59" s="165" t="str">
        <x:f>IF(A59="","",IF(B59="Decommissioning",INDEX('Raw Decommissioning'!$J$2:$J$1000,ROWS($A$5:A59)),INDEX('Raw Provisioning'!$L$2:$L$1000,ROWS($A$5:A59)-COUNTA('Raw Decommissioning'!$B$2:$B$1000))))</x:f>
        <x:v>Procurement Innovation Through Automation And Procurement Marketplace</x:v>
      </x:c>
      <x:c r="I59" s="165" t="str">
        <x:f>IF(A59="","",IF(B59="Decommissioning",INDEX('Raw Decommissioning'!$AL$2:$AL$1000,ROWS($A$5:A59)),INDEX('Raw Provisioning'!$R$2:$R$1000,ROWS($A$5:A59)-COUNTA('Raw Decommissioning'!$B$2:$B$1000))))</x:f>
      </x:c>
      <x:c r="J59" s="165" t="str">
        <x:f>IF(A59="","",IF(B59="Decommissioning",INDEX('Raw Decommissioning'!$AG$2:$AG$1000,ROWS($A$5:A59)),INDEX('Raw Provisioning'!$AI$2:$AI$1000,ROWS($A$5:A59)-COUNTA('Raw Decommissioning'!$B$2:$B$1000))))</x:f>
        <x:v>CCoE Operations</x:v>
      </x:c>
      <x:c r="K59" s="166" t="str">
        <x:f>IF(A59="","",IFERROR(LOOKUP(2,1/('Assignment History'!$B$5:$B$204=A59),'Assignment History'!$D$5:$D$204),IFERROR(VLOOKUP(J59,Configuration!$L$5:$M$50,2,FALSE),J59)))</x:f>
        <x:v>CCoE Operations</x:v>
      </x:c>
      <x:c r="L59" s="166" t="str">
        <x:f>IF(A59="","",IF(K59=IFERROR(VLOOKUP(J59,Configuration!$L$5:$M$50,2,FALSE),J59),"Snapshot PIC","Replacement PIC"))</x:f>
        <x:v>Snapshot PIC</x:v>
      </x:c>
      <x:c r="M59" s="167" t="n">
        <x:f>IF(A59="","",IFERROR(VLOOKUP(I59,Configuration!$O$5:$P$8,2,FALSE),Configuration!$S$6))</x:f>
        <x:v>2</x:v>
      </x:c>
      <x:c r="N59" s="167" t="str">
        <x:f>IF(A59="","",IFERROR(LOOKUP(2,1/('Scope Review'!$B$5:$B$204=A59),'Scope Review'!$G$5:$G$204),"Not Reviewed"))</x:f>
        <x:v>Not Reviewed</x:v>
      </x:c>
      <x:c r="O59" s="167" t="str">
        <x:f>IF(A59="","",IFERROR(LOOKUP(2,1/('Scope Review'!$B$5:$B$204=A59),'Scope Review'!$H$5:$H$204),""))</x:f>
      </x:c>
      <x:c r="P59" s="167" t="n">
        <x:f t="shared" si="2">IF(A59="","",IF(AND(C59="executing",N59&lt;&gt;"Confirmed OOS"),M59,0))</x:f>
        <x:v>0</x:v>
      </x:c>
      <x:c r="Q59" s="168" t="str">
        <x:f>IF(A59="","",IFERROR(LOOKUP(2,1/('Engineer Updates'!$B$5:$B$704=A59),'Engineer Updates'!$A$5:$A$704),""))</x:f>
      </x:c>
      <x:c r="R59" s="166" t="str">
        <x:f>IF(A59="","",IFERROR(LOOKUP(2,1/('Engineer Updates'!$B$5:$B$704=A59),'Engineer Updates'!$H$5:$H$704),""))</x:f>
      </x:c>
      <x:c r="S59" s="166" t="str">
        <x:f>IF(A59="","",IFERROR(LOOKUP(2,1/('Engineer Updates'!$B$5:$B$704=A59),'Engineer Updates'!$G$5:$G$704),""))</x:f>
      </x:c>
      <x:c r="T59" s="166" t="str">
        <x:f>IF(A59="","",IFERROR(LOOKUP(2,1/('Engineer Updates'!$B$5:$B$704=A59),'Engineer Updates'!$I$5:$I$704),""))</x:f>
      </x:c>
      <x:c r="U59" s="166" t="str">
        <x:f>IF(A59="","",IFERROR(LOOKUP(2,1/('Engineer Updates'!$B$5:$B$704=A59),'Engineer Updates'!$J$5:$J$704),""))</x:f>
      </x:c>
      <x:c r="V59" s="166" t="str">
        <x:f>IF(A59="","",IFERROR(LOOKUP(2,1/('Engineer Updates'!$B$5:$B$704=A59),'Engineer Updates'!$K$5:$K$704),""))</x:f>
      </x:c>
      <x:c r="W59" s="169" t="str">
        <x:f>IF(A59="","",IFERROR(LOOKUP(2,1/('Engineer Updates'!$B$5:$B$704=A59),'Engineer Updates'!$L$5:$L$704),""))</x:f>
      </x:c>
      <x:c r="X59" s="163" t="str">
        <x:f t="shared" si="3">IF(A59="","",IF(C59="completed","Completed in CSSP",IF(AND(C59="executing",ISERROR(SEARCH("@",K59))),"Executing without named engineer",IF(AND(N59="Confirmed OOS",C59="executing"),"Confirmed OOS still executing",""))))</x:f>
      </x:c>
      <x:c r="Y59" s="163" t="str">
        <x:f>IF(A59="","",IF(B59="Decommissioning","Raw Decommissioning","Raw Provisioning"))</x:f>
        <x:v>Raw Decommissioning</x:v>
      </x:c>
      <x:c r="Z59" s="170" t="str">
        <x:f>IF(A59="","",IF(OR(C59="executing",C59="processing"),"Yes","No"))</x:f>
        <x:v>No</x:v>
      </x:c>
    </x:row>
    <x:row r="60" ht="45">
      <x:c r="A60" s="163" t="str">
        <x:f>IF(ROWS($A$5:A60)&lt;=COUNTA('Raw Decommissioning'!$B$2:$B$1000),INDEX('Raw Decommissioning'!$B$2:$B$1000,ROWS($A$5:A60)),IF(ROWS($A$5:A60)-COUNTA('Raw Decommissioning'!$B$2:$B$1000)&lt;=COUNTA('Raw Provisioning'!$B$2:$B$1000),INDEX('Raw Provisioning'!$B$2:$B$1000,ROWS($A$5:A60)-COUNTA('Raw Decommissioning'!$B$2:$B$1000)),""))</x:f>
        <x:v>CSSP10913240</x:v>
      </x:c>
      <x:c r="B60" s="163" t="str">
        <x:f>IF(A60="","",IF(ROWS($A$5:A60)&lt;=COUNTA('Raw Decommissioning'!$B$2:$B$1000),"Decommissioning","Provisioning"))</x:f>
        <x:v>Decommissioning</x:v>
      </x:c>
      <x:c r="C60" s="163" t="str">
        <x:f>IF(A60="","",IF(B60="Decommissioning",IFERROR(INDEX('Raw Decommissioning'!$E$2:$E$1000,MATCH(A60,'Raw Decommissioning'!$B$2:$B$1000,0)),"Missing from latest raw"),IFERROR(INDEX('Raw Provisioning'!$E$2:$E$1000,MATCH(A60,'Raw Provisioning'!$B$2:$B$1000,0)),"Missing from latest raw")))</x:f>
        <x:v>completed</x:v>
      </x:c>
      <x:c r="D60" s="164" t="n">
        <x:f>IF(A60="","",'Refresh Control'!$B$4)</x:f>
        <x:v>46254</x:v>
      </x:c>
      <x:c r="E60" s="164" t="n">
        <x:f>IF(A60="","",IF(B60="Decommissioning",INDEX('Raw Decommissioning'!$F$2:$F$1000,ROWS($A$5:A60)),INDEX('Raw Provisioning'!$F$2:$F$1000,ROWS($A$5:A60)-COUNTA('Raw Decommissioning'!$B$2:$B$1000))))</x:f>
        <x:v>46031.327029548615</x:v>
      </x:c>
      <x:c r="F60" s="164" t="n">
        <x:f>IF(A60="","",IF(B60="Decommissioning",INDEX('Raw Decommissioning'!$G$2:$G$1000,ROWS($A$5:A60)),INDEX('Raw Provisioning'!$H$2:$H$1000,ROWS($A$5:A60)-COUNTA('Raw Decommissioning'!$B$2:$B$1000))))</x:f>
        <x:v>46047.731811516205</x:v>
      </x:c>
      <x:c r="G60" s="165" t="str">
        <x:f>IF(A60="","",IF(B60="Decommissioning",INDEX('Raw Decommissioning'!$I$2:$I$1000,ROWS($A$5:A60)),INDEX('Raw Provisioning'!$J$2:$J$1000,ROWS($A$5:A60)-COUNTA('Raw Decommissioning'!$B$2:$B$1000))))</x:f>
        <x:v>MyProcure</x:v>
      </x:c>
      <x:c r="H60" s="165" t="str">
        <x:f>IF(A60="","",IF(B60="Decommissioning",INDEX('Raw Decommissioning'!$J$2:$J$1000,ROWS($A$5:A60)),INDEX('Raw Provisioning'!$L$2:$L$1000,ROWS($A$5:A60)-COUNTA('Raw Decommissioning'!$B$2:$B$1000))))</x:f>
        <x:v>Procurement Innovation Through Automation And Procurement Marketplace</x:v>
      </x:c>
      <x:c r="I60" s="165" t="str">
        <x:f>IF(A60="","",IF(B60="Decommissioning",INDEX('Raw Decommissioning'!$AL$2:$AL$1000,ROWS($A$5:A60)),INDEX('Raw Provisioning'!$R$2:$R$1000,ROWS($A$5:A60)-COUNTA('Raw Decommissioning'!$B$2:$B$1000))))</x:f>
        <x:v>M</x:v>
      </x:c>
      <x:c r="J60" s="165" t="str">
        <x:f>IF(A60="","",IF(B60="Decommissioning",INDEX('Raw Decommissioning'!$AG$2:$AG$1000,ROWS($A$5:A60)),INDEX('Raw Provisioning'!$AI$2:$AI$1000,ROWS($A$5:A60)-COUNTA('Raw Decommissioning'!$B$2:$B$1000))))</x:f>
        <x:v>azwan.badari@petronas.com</x:v>
      </x:c>
      <x:c r="K60" s="166" t="str">
        <x:f>IF(A60="","",IFERROR(LOOKUP(2,1/('Assignment History'!$B$5:$B$204=A60),'Assignment History'!$D$5:$D$204),IFERROR(VLOOKUP(J60,Configuration!$L$5:$M$50,2,FALSE),J60)))</x:f>
        <x:v>azwan.badari@petronas.com</x:v>
      </x:c>
      <x:c r="L60" s="166" t="str">
        <x:f>IF(A60="","",IF(K60=IFERROR(VLOOKUP(J60,Configuration!$L$5:$M$50,2,FALSE),J60),"Snapshot PIC","Replacement PIC"))</x:f>
        <x:v>Snapshot PIC</x:v>
      </x:c>
      <x:c r="M60" s="167" t="n">
        <x:f>IF(A60="","",IFERROR(VLOOKUP(I60,Configuration!$O$5:$P$8,2,FALSE),Configuration!$S$6))</x:f>
        <x:v>2</x:v>
      </x:c>
      <x:c r="N60" s="167" t="str">
        <x:f>IF(A60="","",IFERROR(LOOKUP(2,1/('Scope Review'!$B$5:$B$204=A60),'Scope Review'!$G$5:$G$204),"Not Reviewed"))</x:f>
        <x:v>Not Reviewed</x:v>
      </x:c>
      <x:c r="O60" s="167" t="str">
        <x:f>IF(A60="","",IFERROR(LOOKUP(2,1/('Scope Review'!$B$5:$B$204=A60),'Scope Review'!$H$5:$H$204),""))</x:f>
      </x:c>
      <x:c r="P60" s="167" t="n">
        <x:f t="shared" si="2">IF(A60="","",IF(AND(C60="executing",N60&lt;&gt;"Confirmed OOS"),M60,0))</x:f>
        <x:v>0</x:v>
      </x:c>
      <x:c r="Q60" s="168" t="str">
        <x:f>IF(A60="","",IFERROR(LOOKUP(2,1/('Engineer Updates'!$B$5:$B$704=A60),'Engineer Updates'!$A$5:$A$704),""))</x:f>
      </x:c>
      <x:c r="R60" s="166" t="str">
        <x:f>IF(A60="","",IFERROR(LOOKUP(2,1/('Engineer Updates'!$B$5:$B$704=A60),'Engineer Updates'!$H$5:$H$704),""))</x:f>
      </x:c>
      <x:c r="S60" s="166" t="str">
        <x:f>IF(A60="","",IFERROR(LOOKUP(2,1/('Engineer Updates'!$B$5:$B$704=A60),'Engineer Updates'!$G$5:$G$704),""))</x:f>
      </x:c>
      <x:c r="T60" s="166" t="str">
        <x:f>IF(A60="","",IFERROR(LOOKUP(2,1/('Engineer Updates'!$B$5:$B$704=A60),'Engineer Updates'!$I$5:$I$704),""))</x:f>
      </x:c>
      <x:c r="U60" s="166" t="str">
        <x:f>IF(A60="","",IFERROR(LOOKUP(2,1/('Engineer Updates'!$B$5:$B$704=A60),'Engineer Updates'!$J$5:$J$704),""))</x:f>
      </x:c>
      <x:c r="V60" s="166" t="str">
        <x:f>IF(A60="","",IFERROR(LOOKUP(2,1/('Engineer Updates'!$B$5:$B$704=A60),'Engineer Updates'!$K$5:$K$704),""))</x:f>
      </x:c>
      <x:c r="W60" s="169" t="str">
        <x:f>IF(A60="","",IFERROR(LOOKUP(2,1/('Engineer Updates'!$B$5:$B$704=A60),'Engineer Updates'!$L$5:$L$704),""))</x:f>
      </x:c>
      <x:c r="X60" s="163" t="str">
        <x:f t="shared" si="3">IF(A60="","",IF(C60="completed","Completed in CSSP",IF(AND(C60="executing",ISERROR(SEARCH("@",K60))),"Executing without named engineer",IF(AND(N60="Confirmed OOS",C60="executing"),"Confirmed OOS still executing",""))))</x:f>
        <x:v>Completed in CSSP</x:v>
      </x:c>
      <x:c r="Y60" s="163" t="str">
        <x:f>IF(A60="","",IF(B60="Decommissioning","Raw Decommissioning","Raw Provisioning"))</x:f>
        <x:v>Raw Decommissioning</x:v>
      </x:c>
      <x:c r="Z60" s="170" t="str">
        <x:f>IF(A60="","",IF(OR(C60="executing",C60="processing"),"Yes","No"))</x:f>
        <x:v>No</x:v>
      </x:c>
    </x:row>
    <x:row r="61" ht="45">
      <x:c r="A61" s="163" t="str">
        <x:f>IF(ROWS($A$5:A61)&lt;=COUNTA('Raw Decommissioning'!$B$2:$B$1000),INDEX('Raw Decommissioning'!$B$2:$B$1000,ROWS($A$5:A61)),IF(ROWS($A$5:A61)-COUNTA('Raw Decommissioning'!$B$2:$B$1000)&lt;=COUNTA('Raw Provisioning'!$B$2:$B$1000),INDEX('Raw Provisioning'!$B$2:$B$1000,ROWS($A$5:A61)-COUNTA('Raw Decommissioning'!$B$2:$B$1000)),""))</x:f>
        <x:v>CSSP10212506</x:v>
      </x:c>
      <x:c r="B61" s="163" t="str">
        <x:f>IF(A61="","",IF(ROWS($A$5:A61)&lt;=COUNTA('Raw Decommissioning'!$B$2:$B$1000),"Decommissioning","Provisioning"))</x:f>
        <x:v>Decommissioning</x:v>
      </x:c>
      <x:c r="C61" s="163" t="str">
        <x:f>IF(A61="","",IF(B61="Decommissioning",IFERROR(INDEX('Raw Decommissioning'!$E$2:$E$1000,MATCH(A61,'Raw Decommissioning'!$B$2:$B$1000,0)),"Missing from latest raw"),IFERROR(INDEX('Raw Provisioning'!$E$2:$E$1000,MATCH(A61,'Raw Provisioning'!$B$2:$B$1000,0)),"Missing from latest raw")))</x:f>
        <x:v>completed</x:v>
      </x:c>
      <x:c r="D61" s="164" t="n">
        <x:f>IF(A61="","",'Refresh Control'!$B$4)</x:f>
        <x:v>46254</x:v>
      </x:c>
      <x:c r="E61" s="164" t="n">
        <x:f>IF(A61="","",IF(B61="Decommissioning",INDEX('Raw Decommissioning'!$F$2:$F$1000,ROWS($A$5:A61)),INDEX('Raw Provisioning'!$F$2:$F$1000,ROWS($A$5:A61)-COUNTA('Raw Decommissioning'!$B$2:$B$1000))))</x:f>
        <x:v>46034.14629664352</x:v>
      </x:c>
      <x:c r="F61" s="164" t="n">
        <x:f>IF(A61="","",IF(B61="Decommissioning",INDEX('Raw Decommissioning'!$G$2:$G$1000,ROWS($A$5:A61)),INDEX('Raw Provisioning'!$H$2:$H$1000,ROWS($A$5:A61)-COUNTA('Raw Decommissioning'!$B$2:$B$1000))))</x:f>
        <x:v>46042.076999467594</x:v>
      </x:c>
      <x:c r="G61" s="165" t="str">
        <x:f>IF(A61="","",IF(B61="Decommissioning",INDEX('Raw Decommissioning'!$I$2:$I$1000,ROWS($A$5:A61)),INDEX('Raw Provisioning'!$J$2:$J$1000,ROWS($A$5:A61)-COUNTA('Raw Decommissioning'!$B$2:$B$1000))))</x:f>
        <x:v>Upstream Real Time Data Program - URTD</x:v>
      </x:c>
      <x:c r="H61" s="165" t="str">
        <x:f>IF(A61="","",IF(B61="Decommissioning",INDEX('Raw Decommissioning'!$J$2:$J$1000,ROWS($A$5:A61)),INDEX('Raw Provisioning'!$L$2:$L$1000,ROWS($A$5:A61)-COUNTA('Raw Decommissioning'!$B$2:$B$1000))))</x:f>
        <x:v>Installation of Upstream Real Time Data Program (URTD) for Centre of Excellence, PCSB</x:v>
      </x:c>
      <x:c r="I61" s="165" t="str">
        <x:f>IF(A61="","",IF(B61="Decommissioning",INDEX('Raw Decommissioning'!$AL$2:$AL$1000,ROWS($A$5:A61)),INDEX('Raw Provisioning'!$R$2:$R$1000,ROWS($A$5:A61)-COUNTA('Raw Decommissioning'!$B$2:$B$1000))))</x:f>
        <x:v>S</x:v>
      </x:c>
      <x:c r="J61" s="165" t="str">
        <x:f>IF(A61="","",IF(B61="Decommissioning",INDEX('Raw Decommissioning'!$AG$2:$AG$1000,ROWS($A$5:A61)),INDEX('Raw Provisioning'!$AI$2:$AI$1000,ROWS($A$5:A61)-COUNTA('Raw Decommissioning'!$B$2:$B$1000))))</x:f>
        <x:v>azlisham.md@petronas.com</x:v>
      </x:c>
      <x:c r="K61" s="166" t="str">
        <x:f>IF(A61="","",IFERROR(LOOKUP(2,1/('Assignment History'!$B$5:$B$204=A61),'Assignment History'!$D$5:$D$204),IFERROR(VLOOKUP(J61,Configuration!$L$5:$M$50,2,FALSE),J61)))</x:f>
        <x:v>azlisham.md@petronas.com</x:v>
      </x:c>
      <x:c r="L61" s="166" t="str">
        <x:f>IF(A61="","",IF(K61=IFERROR(VLOOKUP(J61,Configuration!$L$5:$M$50,2,FALSE),J61),"Snapshot PIC","Replacement PIC"))</x:f>
        <x:v>Snapshot PIC</x:v>
      </x:c>
      <x:c r="M61" s="167" t="n">
        <x:f>IF(A61="","",IFERROR(VLOOKUP(I61,Configuration!$O$5:$P$8,2,FALSE),Configuration!$S$6))</x:f>
        <x:v>1</x:v>
      </x:c>
      <x:c r="N61" s="167" t="str">
        <x:f>IF(A61="","",IFERROR(LOOKUP(2,1/('Scope Review'!$B$5:$B$204=A61),'Scope Review'!$G$5:$G$204),"Not Reviewed"))</x:f>
        <x:v>Not Reviewed</x:v>
      </x:c>
      <x:c r="O61" s="167" t="str">
        <x:f>IF(A61="","",IFERROR(LOOKUP(2,1/('Scope Review'!$B$5:$B$204=A61),'Scope Review'!$H$5:$H$204),""))</x:f>
      </x:c>
      <x:c r="P61" s="167" t="n">
        <x:f t="shared" si="2">IF(A61="","",IF(AND(C61="executing",N61&lt;&gt;"Confirmed OOS"),M61,0))</x:f>
        <x:v>0</x:v>
      </x:c>
      <x:c r="Q61" s="168" t="str">
        <x:f>IF(A61="","",IFERROR(LOOKUP(2,1/('Engineer Updates'!$B$5:$B$704=A61),'Engineer Updates'!$A$5:$A$704),""))</x:f>
      </x:c>
      <x:c r="R61" s="166" t="str">
        <x:f>IF(A61="","",IFERROR(LOOKUP(2,1/('Engineer Updates'!$B$5:$B$704=A61),'Engineer Updates'!$H$5:$H$704),""))</x:f>
      </x:c>
      <x:c r="S61" s="166" t="str">
        <x:f>IF(A61="","",IFERROR(LOOKUP(2,1/('Engineer Updates'!$B$5:$B$704=A61),'Engineer Updates'!$G$5:$G$704),""))</x:f>
      </x:c>
      <x:c r="T61" s="166" t="str">
        <x:f>IF(A61="","",IFERROR(LOOKUP(2,1/('Engineer Updates'!$B$5:$B$704=A61),'Engineer Updates'!$I$5:$I$704),""))</x:f>
      </x:c>
      <x:c r="U61" s="166" t="str">
        <x:f>IF(A61="","",IFERROR(LOOKUP(2,1/('Engineer Updates'!$B$5:$B$704=A61),'Engineer Updates'!$J$5:$J$704),""))</x:f>
      </x:c>
      <x:c r="V61" s="166" t="str">
        <x:f>IF(A61="","",IFERROR(LOOKUP(2,1/('Engineer Updates'!$B$5:$B$704=A61),'Engineer Updates'!$K$5:$K$704),""))</x:f>
      </x:c>
      <x:c r="W61" s="169" t="str">
        <x:f>IF(A61="","",IFERROR(LOOKUP(2,1/('Engineer Updates'!$B$5:$B$704=A61),'Engineer Updates'!$L$5:$L$704),""))</x:f>
      </x:c>
      <x:c r="X61" s="163" t="str">
        <x:f t="shared" si="3">IF(A61="","",IF(C61="completed","Completed in CSSP",IF(AND(C61="executing",ISERROR(SEARCH("@",K61))),"Executing without named engineer",IF(AND(N61="Confirmed OOS",C61="executing"),"Confirmed OOS still executing",""))))</x:f>
        <x:v>Completed in CSSP</x:v>
      </x:c>
      <x:c r="Y61" s="163" t="str">
        <x:f>IF(A61="","",IF(B61="Decommissioning","Raw Decommissioning","Raw Provisioning"))</x:f>
        <x:v>Raw Decommissioning</x:v>
      </x:c>
      <x:c r="Z61" s="170" t="str">
        <x:f>IF(A61="","",IF(OR(C61="executing",C61="processing"),"Yes","No"))</x:f>
        <x:v>No</x:v>
      </x:c>
    </x:row>
    <x:row r="62" ht="45">
      <x:c r="A62" s="163" t="str">
        <x:f>IF(ROWS($A$5:A62)&lt;=COUNTA('Raw Decommissioning'!$B$2:$B$1000),INDEX('Raw Decommissioning'!$B$2:$B$1000,ROWS($A$5:A62)),IF(ROWS($A$5:A62)-COUNTA('Raw Decommissioning'!$B$2:$B$1000)&lt;=COUNTA('Raw Provisioning'!$B$2:$B$1000),INDEX('Raw Provisioning'!$B$2:$B$1000,ROWS($A$5:A62)-COUNTA('Raw Decommissioning'!$B$2:$B$1000)),""))</x:f>
        <x:v>CSSP10256227</x:v>
      </x:c>
      <x:c r="B62" s="163" t="str">
        <x:f>IF(A62="","",IF(ROWS($A$5:A62)&lt;=COUNTA('Raw Decommissioning'!$B$2:$B$1000),"Decommissioning","Provisioning"))</x:f>
        <x:v>Decommissioning</x:v>
      </x:c>
      <x:c r="C62" s="163" t="str">
        <x:f>IF(A62="","",IF(B62="Decommissioning",IFERROR(INDEX('Raw Decommissioning'!$E$2:$E$1000,MATCH(A62,'Raw Decommissioning'!$B$2:$B$1000,0)),"Missing from latest raw"),IFERROR(INDEX('Raw Provisioning'!$E$2:$E$1000,MATCH(A62,'Raw Provisioning'!$B$2:$B$1000,0)),"Missing from latest raw")))</x:f>
        <x:v>completed</x:v>
      </x:c>
      <x:c r="D62" s="164" t="n">
        <x:f>IF(A62="","",'Refresh Control'!$B$4)</x:f>
        <x:v>46254</x:v>
      </x:c>
      <x:c r="E62" s="164" t="n">
        <x:f>IF(A62="","",IF(B62="Decommissioning",INDEX('Raw Decommissioning'!$F$2:$F$1000,ROWS($A$5:A62)),INDEX('Raw Provisioning'!$F$2:$F$1000,ROWS($A$5:A62)-COUNTA('Raw Decommissioning'!$B$2:$B$1000))))</x:f>
        <x:v>46038.08449648148</x:v>
      </x:c>
      <x:c r="F62" s="164" t="n">
        <x:f>IF(A62="","",IF(B62="Decommissioning",INDEX('Raw Decommissioning'!$G$2:$G$1000,ROWS($A$5:A62)),INDEX('Raw Provisioning'!$H$2:$H$1000,ROWS($A$5:A62)-COUNTA('Raw Decommissioning'!$B$2:$B$1000))))</x:f>
        <x:v>46044.29190258102</x:v>
      </x:c>
      <x:c r="G62" s="165" t="str">
        <x:f>IF(A62="","",IF(B62="Decommissioning",INDEX('Raw Decommissioning'!$I$2:$I$1000,ROWS($A$5:A62)),INDEX('Raw Provisioning'!$J$2:$J$1000,ROWS($A$5:A62)-COUNTA('Raw Decommissioning'!$B$2:$B$1000))))</x:f>
        <x:v>Business Intelligence Reporting and Analytic - BIRA</x:v>
      </x:c>
      <x:c r="H62" s="165" t="str">
        <x:f>IF(A62="","",IF(B62="Decommissioning",INDEX('Raw Decommissioning'!$J$2:$J$1000,ROWS($A$5:A62)),INDEX('Raw Provisioning'!$L$2:$L$1000,ROWS($A$5:A62)-COUNTA('Raw Decommissioning'!$B$2:$B$1000))))</x:f>
        <x:v>Cloud Migration- BIRA (Business Intelligence Reporting &amp; Analytic)</x:v>
      </x:c>
      <x:c r="I62" s="165" t="str">
        <x:f>IF(A62="","",IF(B62="Decommissioning",INDEX('Raw Decommissioning'!$AL$2:$AL$1000,ROWS($A$5:A62)),INDEX('Raw Provisioning'!$R$2:$R$1000,ROWS($A$5:A62)-COUNTA('Raw Decommissioning'!$B$2:$B$1000))))</x:f>
        <x:v>M</x:v>
      </x:c>
      <x:c r="J62" s="165" t="str">
        <x:f>IF(A62="","",IF(B62="Decommissioning",INDEX('Raw Decommissioning'!$AG$2:$AG$1000,ROWS($A$5:A62)),INDEX('Raw Provisioning'!$AI$2:$AI$1000,ROWS($A$5:A62)-COUNTA('Raw Decommissioning'!$B$2:$B$1000))))</x:f>
        <x:v>badri.shaharudin@petronas.com</x:v>
      </x:c>
      <x:c r="K62" s="166" t="str">
        <x:f>IF(A62="","",IFERROR(LOOKUP(2,1/('Assignment History'!$B$5:$B$204=A62),'Assignment History'!$D$5:$D$204),IFERROR(VLOOKUP(J62,Configuration!$L$5:$M$50,2,FALSE),J62)))</x:f>
        <x:v>badri.shaharudin@petronas.com</x:v>
      </x:c>
      <x:c r="L62" s="166" t="str">
        <x:f>IF(A62="","",IF(K62=IFERROR(VLOOKUP(J62,Configuration!$L$5:$M$50,2,FALSE),J62),"Snapshot PIC","Replacement PIC"))</x:f>
        <x:v>Snapshot PIC</x:v>
      </x:c>
      <x:c r="M62" s="167" t="n">
        <x:f>IF(A62="","",IFERROR(VLOOKUP(I62,Configuration!$O$5:$P$8,2,FALSE),Configuration!$S$6))</x:f>
        <x:v>2</x:v>
      </x:c>
      <x:c r="N62" s="167" t="str">
        <x:f>IF(A62="","",IFERROR(LOOKUP(2,1/('Scope Review'!$B$5:$B$204=A62),'Scope Review'!$G$5:$G$204),"Not Reviewed"))</x:f>
        <x:v>Not Reviewed</x:v>
      </x:c>
      <x:c r="O62" s="167" t="str">
        <x:f>IF(A62="","",IFERROR(LOOKUP(2,1/('Scope Review'!$B$5:$B$204=A62),'Scope Review'!$H$5:$H$204),""))</x:f>
      </x:c>
      <x:c r="P62" s="167" t="n">
        <x:f t="shared" si="2">IF(A62="","",IF(AND(C62="executing",N62&lt;&gt;"Confirmed OOS"),M62,0))</x:f>
        <x:v>0</x:v>
      </x:c>
      <x:c r="Q62" s="168" t="str">
        <x:f>IF(A62="","",IFERROR(LOOKUP(2,1/('Engineer Updates'!$B$5:$B$704=A62),'Engineer Updates'!$A$5:$A$704),""))</x:f>
      </x:c>
      <x:c r="R62" s="166" t="str">
        <x:f>IF(A62="","",IFERROR(LOOKUP(2,1/('Engineer Updates'!$B$5:$B$704=A62),'Engineer Updates'!$H$5:$H$704),""))</x:f>
      </x:c>
      <x:c r="S62" s="166" t="str">
        <x:f>IF(A62="","",IFERROR(LOOKUP(2,1/('Engineer Updates'!$B$5:$B$704=A62),'Engineer Updates'!$G$5:$G$704),""))</x:f>
      </x:c>
      <x:c r="T62" s="166" t="str">
        <x:f>IF(A62="","",IFERROR(LOOKUP(2,1/('Engineer Updates'!$B$5:$B$704=A62),'Engineer Updates'!$I$5:$I$704),""))</x:f>
      </x:c>
      <x:c r="U62" s="166" t="str">
        <x:f>IF(A62="","",IFERROR(LOOKUP(2,1/('Engineer Updates'!$B$5:$B$704=A62),'Engineer Updates'!$J$5:$J$704),""))</x:f>
      </x:c>
      <x:c r="V62" s="166" t="str">
        <x:f>IF(A62="","",IFERROR(LOOKUP(2,1/('Engineer Updates'!$B$5:$B$704=A62),'Engineer Updates'!$K$5:$K$704),""))</x:f>
      </x:c>
      <x:c r="W62" s="169" t="str">
        <x:f>IF(A62="","",IFERROR(LOOKUP(2,1/('Engineer Updates'!$B$5:$B$704=A62),'Engineer Updates'!$L$5:$L$704),""))</x:f>
      </x:c>
      <x:c r="X62" s="163" t="str">
        <x:f t="shared" si="3">IF(A62="","",IF(C62="completed","Completed in CSSP",IF(AND(C62="executing",ISERROR(SEARCH("@",K62))),"Executing without named engineer",IF(AND(N62="Confirmed OOS",C62="executing"),"Confirmed OOS still executing",""))))</x:f>
        <x:v>Completed in CSSP</x:v>
      </x:c>
      <x:c r="Y62" s="163" t="str">
        <x:f>IF(A62="","",IF(B62="Decommissioning","Raw Decommissioning","Raw Provisioning"))</x:f>
        <x:v>Raw Decommissioning</x:v>
      </x:c>
      <x:c r="Z62" s="170" t="str">
        <x:f>IF(A62="","",IF(OR(C62="executing",C62="processing"),"Yes","No"))</x:f>
        <x:v>No</x:v>
      </x:c>
    </x:row>
    <x:row r="63" ht="45">
      <x:c r="A63" s="163" t="str">
        <x:f>IF(ROWS($A$5:A63)&lt;=COUNTA('Raw Decommissioning'!$B$2:$B$1000),INDEX('Raw Decommissioning'!$B$2:$B$1000,ROWS($A$5:A63)),IF(ROWS($A$5:A63)-COUNTA('Raw Decommissioning'!$B$2:$B$1000)&lt;=COUNTA('Raw Provisioning'!$B$2:$B$1000),INDEX('Raw Provisioning'!$B$2:$B$1000,ROWS($A$5:A63)-COUNTA('Raw Decommissioning'!$B$2:$B$1000)),""))</x:f>
        <x:v>CSSP10721535</x:v>
      </x:c>
      <x:c r="B63" s="163" t="str">
        <x:f>IF(A63="","",IF(ROWS($A$5:A63)&lt;=COUNTA('Raw Decommissioning'!$B$2:$B$1000),"Decommissioning","Provisioning"))</x:f>
        <x:v>Decommissioning</x:v>
      </x:c>
      <x:c r="C63" s="163" t="str">
        <x:f>IF(A63="","",IF(B63="Decommissioning",IFERROR(INDEX('Raw Decommissioning'!$E$2:$E$1000,MATCH(A63,'Raw Decommissioning'!$B$2:$B$1000,0)),"Missing from latest raw"),IFERROR(INDEX('Raw Provisioning'!$E$2:$E$1000,MATCH(A63,'Raw Provisioning'!$B$2:$B$1000,0)),"Missing from latest raw")))</x:f>
        <x:v>rejected</x:v>
      </x:c>
      <x:c r="D63" s="164" t="n">
        <x:f>IF(A63="","",'Refresh Control'!$B$4)</x:f>
        <x:v>46254</x:v>
      </x:c>
      <x:c r="E63" s="164" t="n">
        <x:f>IF(A63="","",IF(B63="Decommissioning",INDEX('Raw Decommissioning'!$F$2:$F$1000,ROWS($A$5:A63)),INDEX('Raw Provisioning'!$F$2:$F$1000,ROWS($A$5:A63)-COUNTA('Raw Decommissioning'!$B$2:$B$1000))))</x:f>
        <x:v>46041.1350996412</x:v>
      </x:c>
      <x:c r="F63" s="164" t="n">
        <x:f>IF(A63="","",IF(B63="Decommissioning",INDEX('Raw Decommissioning'!$G$2:$G$1000,ROWS($A$5:A63)),INDEX('Raw Provisioning'!$H$2:$H$1000,ROWS($A$5:A63)-COUNTA('Raw Decommissioning'!$B$2:$B$1000))))</x:f>
        <x:v>46050.382592835645</x:v>
      </x:c>
      <x:c r="G63" s="165" t="str">
        <x:f>IF(A63="","",IF(B63="Decommissioning",INDEX('Raw Decommissioning'!$I$2:$I$1000,ROWS($A$5:A63)),INDEX('Raw Provisioning'!$J$2:$J$1000,ROWS($A$5:A63)-COUNTA('Raw Decommissioning'!$B$2:$B$1000))))</x:f>
        <x:v>Sitecom / Real time Operation - RTO</x:v>
      </x:c>
      <x:c r="H63" s="165" t="str">
        <x:f>IF(A63="","",IF(B63="Decommissioning",INDEX('Raw Decommissioning'!$J$2:$J$1000,ROWS($A$5:A63)),INDEX('Raw Provisioning'!$L$2:$L$1000,ROWS($A$5:A63)-COUNTA('Raw Decommissioning'!$B$2:$B$1000))))</x:f>
        <x:v>SecOps of Development (Dev.) Chapter for Upstream Technology, Digital &amp; Innovation</x:v>
      </x:c>
      <x:c r="I63" s="165" t="str">
        <x:f>IF(A63="","",IF(B63="Decommissioning",INDEX('Raw Decommissioning'!$AL$2:$AL$1000,ROWS($A$5:A63)),INDEX('Raw Provisioning'!$R$2:$R$1000,ROWS($A$5:A63)-COUNTA('Raw Decommissioning'!$B$2:$B$1000))))</x:f>
      </x:c>
      <x:c r="J63" s="165" t="str">
        <x:f>IF(A63="","",IF(B63="Decommissioning",INDEX('Raw Decommissioning'!$AG$2:$AG$1000,ROWS($A$5:A63)),INDEX('Raw Provisioning'!$AI$2:$AI$1000,ROWS($A$5:A63)-COUNTA('Raw Decommissioning'!$B$2:$B$1000))))</x:f>
        <x:v>CCoE Operations</x:v>
      </x:c>
      <x:c r="K63" s="166" t="str">
        <x:f>IF(A63="","",IFERROR(LOOKUP(2,1/('Assignment History'!$B$5:$B$204=A63),'Assignment History'!$D$5:$D$204),IFERROR(VLOOKUP(J63,Configuration!$L$5:$M$50,2,FALSE),J63)))</x:f>
        <x:v>CCoE Operations</x:v>
      </x:c>
      <x:c r="L63" s="166" t="str">
        <x:f>IF(A63="","",IF(K63=IFERROR(VLOOKUP(J63,Configuration!$L$5:$M$50,2,FALSE),J63),"Snapshot PIC","Replacement PIC"))</x:f>
        <x:v>Snapshot PIC</x:v>
      </x:c>
      <x:c r="M63" s="167" t="n">
        <x:f>IF(A63="","",IFERROR(VLOOKUP(I63,Configuration!$O$5:$P$8,2,FALSE),Configuration!$S$6))</x:f>
        <x:v>2</x:v>
      </x:c>
      <x:c r="N63" s="167" t="str">
        <x:f>IF(A63="","",IFERROR(LOOKUP(2,1/('Scope Review'!$B$5:$B$204=A63),'Scope Review'!$G$5:$G$204),"Not Reviewed"))</x:f>
        <x:v>Not Reviewed</x:v>
      </x:c>
      <x:c r="O63" s="167" t="str">
        <x:f>IF(A63="","",IFERROR(LOOKUP(2,1/('Scope Review'!$B$5:$B$204=A63),'Scope Review'!$H$5:$H$204),""))</x:f>
      </x:c>
      <x:c r="P63" s="167" t="n">
        <x:f t="shared" si="2">IF(A63="","",IF(AND(C63="executing",N63&lt;&gt;"Confirmed OOS"),M63,0))</x:f>
        <x:v>0</x:v>
      </x:c>
      <x:c r="Q63" s="168" t="str">
        <x:f>IF(A63="","",IFERROR(LOOKUP(2,1/('Engineer Updates'!$B$5:$B$704=A63),'Engineer Updates'!$A$5:$A$704),""))</x:f>
      </x:c>
      <x:c r="R63" s="166" t="str">
        <x:f>IF(A63="","",IFERROR(LOOKUP(2,1/('Engineer Updates'!$B$5:$B$704=A63),'Engineer Updates'!$H$5:$H$704),""))</x:f>
      </x:c>
      <x:c r="S63" s="166" t="str">
        <x:f>IF(A63="","",IFERROR(LOOKUP(2,1/('Engineer Updates'!$B$5:$B$704=A63),'Engineer Updates'!$G$5:$G$704),""))</x:f>
      </x:c>
      <x:c r="T63" s="166" t="str">
        <x:f>IF(A63="","",IFERROR(LOOKUP(2,1/('Engineer Updates'!$B$5:$B$704=A63),'Engineer Updates'!$I$5:$I$704),""))</x:f>
      </x:c>
      <x:c r="U63" s="166" t="str">
        <x:f>IF(A63="","",IFERROR(LOOKUP(2,1/('Engineer Updates'!$B$5:$B$704=A63),'Engineer Updates'!$J$5:$J$704),""))</x:f>
      </x:c>
      <x:c r="V63" s="166" t="str">
        <x:f>IF(A63="","",IFERROR(LOOKUP(2,1/('Engineer Updates'!$B$5:$B$704=A63),'Engineer Updates'!$K$5:$K$704),""))</x:f>
      </x:c>
      <x:c r="W63" s="169" t="str">
        <x:f>IF(A63="","",IFERROR(LOOKUP(2,1/('Engineer Updates'!$B$5:$B$704=A63),'Engineer Updates'!$L$5:$L$704),""))</x:f>
      </x:c>
      <x:c r="X63" s="163" t="str">
        <x:f t="shared" si="3">IF(A63="","",IF(C63="completed","Completed in CSSP",IF(AND(C63="executing",ISERROR(SEARCH("@",K63))),"Executing without named engineer",IF(AND(N63="Confirmed OOS",C63="executing"),"Confirmed OOS still executing",""))))</x:f>
      </x:c>
      <x:c r="Y63" s="163" t="str">
        <x:f>IF(A63="","",IF(B63="Decommissioning","Raw Decommissioning","Raw Provisioning"))</x:f>
        <x:v>Raw Decommissioning</x:v>
      </x:c>
      <x:c r="Z63" s="170" t="str">
        <x:f>IF(A63="","",IF(OR(C63="executing",C63="processing"),"Yes","No"))</x:f>
        <x:v>No</x:v>
      </x:c>
    </x:row>
    <x:row r="64" ht="30">
      <x:c r="A64" s="163" t="str">
        <x:f>IF(ROWS($A$5:A64)&lt;=COUNTA('Raw Decommissioning'!$B$2:$B$1000),INDEX('Raw Decommissioning'!$B$2:$B$1000,ROWS($A$5:A64)),IF(ROWS($A$5:A64)-COUNTA('Raw Decommissioning'!$B$2:$B$1000)&lt;=COUNTA('Raw Provisioning'!$B$2:$B$1000),INDEX('Raw Provisioning'!$B$2:$B$1000,ROWS($A$5:A64)-COUNTA('Raw Decommissioning'!$B$2:$B$1000)),""))</x:f>
        <x:v>CSSP10715412</x:v>
      </x:c>
      <x:c r="B64" s="163" t="str">
        <x:f>IF(A64="","",IF(ROWS($A$5:A64)&lt;=COUNTA('Raw Decommissioning'!$B$2:$B$1000),"Decommissioning","Provisioning"))</x:f>
        <x:v>Decommissioning</x:v>
      </x:c>
      <x:c r="C64" s="163" t="str">
        <x:f>IF(A64="","",IF(B64="Decommissioning",IFERROR(INDEX('Raw Decommissioning'!$E$2:$E$1000,MATCH(A64,'Raw Decommissioning'!$B$2:$B$1000,0)),"Missing from latest raw"),IFERROR(INDEX('Raw Provisioning'!$E$2:$E$1000,MATCH(A64,'Raw Provisioning'!$B$2:$B$1000,0)),"Missing from latest raw")))</x:f>
        <x:v>cancelled</x:v>
      </x:c>
      <x:c r="D64" s="164" t="n">
        <x:f>IF(A64="","",'Refresh Control'!$B$4)</x:f>
        <x:v>46254</x:v>
      </x:c>
      <x:c r="E64" s="164" t="n">
        <x:f>IF(A64="","",IF(B64="Decommissioning",INDEX('Raw Decommissioning'!$F$2:$F$1000,ROWS($A$5:A64)),INDEX('Raw Provisioning'!$F$2:$F$1000,ROWS($A$5:A64)-COUNTA('Raw Decommissioning'!$B$2:$B$1000))))</x:f>
        <x:v>46041.175281111115</x:v>
      </x:c>
      <x:c r="F64" s="164" t="n">
        <x:f>IF(A64="","",IF(B64="Decommissioning",INDEX('Raw Decommissioning'!$G$2:$G$1000,ROWS($A$5:A64)),INDEX('Raw Provisioning'!$H$2:$H$1000,ROWS($A$5:A64)-COUNTA('Raw Decommissioning'!$B$2:$B$1000))))</x:f>
        <x:v>46042.253474386576</x:v>
      </x:c>
      <x:c r="G64" s="165" t="str">
        <x:f>IF(A64="","",IF(B64="Decommissioning",INDEX('Raw Decommissioning'!$I$2:$I$1000,ROWS($A$5:A64)),INDEX('Raw Provisioning'!$J$2:$J$1000,ROWS($A$5:A64)-COUNTA('Raw Decommissioning'!$B$2:$B$1000))))</x:f>
        <x:v>SiteCom and DrillScene Applications for Wells COE PETRON</x:v>
      </x:c>
      <x:c r="H64" s="165" t="str">
        <x:f>IF(A64="","",IF(B64="Decommissioning",INDEX('Raw Decommissioning'!$J$2:$J$1000,ROWS($A$5:A64)),INDEX('Raw Provisioning'!$L$2:$L$1000,ROWS($A$5:A64)-COUNTA('Raw Decommissioning'!$B$2:$B$1000))))</x:f>
        <x:v>SiteCom and DrillScene Applications for Wells COE PETRON created for PRIVATECLOUD project record</x:v>
      </x:c>
      <x:c r="I64" s="165" t="str">
        <x:f>IF(A64="","",IF(B64="Decommissioning",INDEX('Raw Decommissioning'!$AL$2:$AL$1000,ROWS($A$5:A64)),INDEX('Raw Provisioning'!$R$2:$R$1000,ROWS($A$5:A64)-COUNTA('Raw Decommissioning'!$B$2:$B$1000))))</x:f>
      </x:c>
      <x:c r="J64" s="165" t="str">
        <x:f>IF(A64="","",IF(B64="Decommissioning",INDEX('Raw Decommissioning'!$AG$2:$AG$1000,ROWS($A$5:A64)),INDEX('Raw Provisioning'!$AI$2:$AI$1000,ROWS($A$5:A64)-COUNTA('Raw Decommissioning'!$B$2:$B$1000))))</x:f>
        <x:v>CCoE Business</x:v>
      </x:c>
      <x:c r="K64" s="166" t="str">
        <x:f>IF(A64="","",IFERROR(LOOKUP(2,1/('Assignment History'!$B$5:$B$204=A64),'Assignment History'!$D$5:$D$204),IFERROR(VLOOKUP(J64,Configuration!$L$5:$M$50,2,FALSE),J64)))</x:f>
        <x:v>CCoE Business</x:v>
      </x:c>
      <x:c r="L64" s="166" t="str">
        <x:f>IF(A64="","",IF(K64=IFERROR(VLOOKUP(J64,Configuration!$L$5:$M$50,2,FALSE),J64),"Snapshot PIC","Replacement PIC"))</x:f>
        <x:v>Snapshot PIC</x:v>
      </x:c>
      <x:c r="M64" s="167" t="n">
        <x:f>IF(A64="","",IFERROR(VLOOKUP(I64,Configuration!$O$5:$P$8,2,FALSE),Configuration!$S$6))</x:f>
        <x:v>2</x:v>
      </x:c>
      <x:c r="N64" s="167" t="str">
        <x:f>IF(A64="","",IFERROR(LOOKUP(2,1/('Scope Review'!$B$5:$B$204=A64),'Scope Review'!$G$5:$G$204),"Not Reviewed"))</x:f>
        <x:v>Not Reviewed</x:v>
      </x:c>
      <x:c r="O64" s="167" t="str">
        <x:f>IF(A64="","",IFERROR(LOOKUP(2,1/('Scope Review'!$B$5:$B$204=A64),'Scope Review'!$H$5:$H$204),""))</x:f>
      </x:c>
      <x:c r="P64" s="167" t="n">
        <x:f t="shared" si="2">IF(A64="","",IF(AND(C64="executing",N64&lt;&gt;"Confirmed OOS"),M64,0))</x:f>
        <x:v>0</x:v>
      </x:c>
      <x:c r="Q64" s="168" t="str">
        <x:f>IF(A64="","",IFERROR(LOOKUP(2,1/('Engineer Updates'!$B$5:$B$704=A64),'Engineer Updates'!$A$5:$A$704),""))</x:f>
      </x:c>
      <x:c r="R64" s="166" t="str">
        <x:f>IF(A64="","",IFERROR(LOOKUP(2,1/('Engineer Updates'!$B$5:$B$704=A64),'Engineer Updates'!$H$5:$H$704),""))</x:f>
      </x:c>
      <x:c r="S64" s="166" t="str">
        <x:f>IF(A64="","",IFERROR(LOOKUP(2,1/('Engineer Updates'!$B$5:$B$704=A64),'Engineer Updates'!$G$5:$G$704),""))</x:f>
      </x:c>
      <x:c r="T64" s="166" t="str">
        <x:f>IF(A64="","",IFERROR(LOOKUP(2,1/('Engineer Updates'!$B$5:$B$704=A64),'Engineer Updates'!$I$5:$I$704),""))</x:f>
      </x:c>
      <x:c r="U64" s="166" t="str">
        <x:f>IF(A64="","",IFERROR(LOOKUP(2,1/('Engineer Updates'!$B$5:$B$704=A64),'Engineer Updates'!$J$5:$J$704),""))</x:f>
      </x:c>
      <x:c r="V64" s="166" t="str">
        <x:f>IF(A64="","",IFERROR(LOOKUP(2,1/('Engineer Updates'!$B$5:$B$704=A64),'Engineer Updates'!$K$5:$K$704),""))</x:f>
      </x:c>
      <x:c r="W64" s="169" t="str">
        <x:f>IF(A64="","",IFERROR(LOOKUP(2,1/('Engineer Updates'!$B$5:$B$704=A64),'Engineer Updates'!$L$5:$L$704),""))</x:f>
      </x:c>
      <x:c r="X64" s="163" t="str">
        <x:f t="shared" si="3">IF(A64="","",IF(C64="completed","Completed in CSSP",IF(AND(C64="executing",ISERROR(SEARCH("@",K64))),"Executing without named engineer",IF(AND(N64="Confirmed OOS",C64="executing"),"Confirmed OOS still executing",""))))</x:f>
      </x:c>
      <x:c r="Y64" s="163" t="str">
        <x:f>IF(A64="","",IF(B64="Decommissioning","Raw Decommissioning","Raw Provisioning"))</x:f>
        <x:v>Raw Decommissioning</x:v>
      </x:c>
      <x:c r="Z64" s="170" t="str">
        <x:f>IF(A64="","",IF(OR(C64="executing",C64="processing"),"Yes","No"))</x:f>
        <x:v>No</x:v>
      </x:c>
    </x:row>
    <x:row r="65" ht="45">
      <x:c r="A65" s="163" t="str">
        <x:f>IF(ROWS($A$5:A65)&lt;=COUNTA('Raw Decommissioning'!$B$2:$B$1000),INDEX('Raw Decommissioning'!$B$2:$B$1000,ROWS($A$5:A65)),IF(ROWS($A$5:A65)-COUNTA('Raw Decommissioning'!$B$2:$B$1000)&lt;=COUNTA('Raw Provisioning'!$B$2:$B$1000),INDEX('Raw Provisioning'!$B$2:$B$1000,ROWS($A$5:A65)-COUNTA('Raw Decommissioning'!$B$2:$B$1000)),""))</x:f>
        <x:v>CSSP10481206</x:v>
      </x:c>
      <x:c r="B65" s="163" t="str">
        <x:f>IF(A65="","",IF(ROWS($A$5:A65)&lt;=COUNTA('Raw Decommissioning'!$B$2:$B$1000),"Decommissioning","Provisioning"))</x:f>
        <x:v>Decommissioning</x:v>
      </x:c>
      <x:c r="C65" s="163" t="str">
        <x:f>IF(A65="","",IF(B65="Decommissioning",IFERROR(INDEX('Raw Decommissioning'!$E$2:$E$1000,MATCH(A65,'Raw Decommissioning'!$B$2:$B$1000,0)),"Missing from latest raw"),IFERROR(INDEX('Raw Provisioning'!$E$2:$E$1000,MATCH(A65,'Raw Provisioning'!$B$2:$B$1000,0)),"Missing from latest raw")))</x:f>
        <x:v>cancelled</x:v>
      </x:c>
      <x:c r="D65" s="164" t="n">
        <x:f>IF(A65="","",'Refresh Control'!$B$4)</x:f>
        <x:v>46254</x:v>
      </x:c>
      <x:c r="E65" s="164" t="n">
        <x:f>IF(A65="","",IF(B65="Decommissioning",INDEX('Raw Decommissioning'!$F$2:$F$1000,ROWS($A$5:A65)),INDEX('Raw Provisioning'!$F$2:$F$1000,ROWS($A$5:A65)-COUNTA('Raw Decommissioning'!$B$2:$B$1000))))</x:f>
        <x:v>46041.30737822917</x:v>
      </x:c>
      <x:c r="F65" s="164" t="n">
        <x:f>IF(A65="","",IF(B65="Decommissioning",INDEX('Raw Decommissioning'!$G$2:$G$1000,ROWS($A$5:A65)),INDEX('Raw Provisioning'!$H$2:$H$1000,ROWS($A$5:A65)-COUNTA('Raw Decommissioning'!$B$2:$B$1000))))</x:f>
        <x:v>46041.311425300926</x:v>
      </x:c>
      <x:c r="G65" s="165" t="str">
        <x:f>IF(A65="","",IF(B65="Decommissioning",INDEX('Raw Decommissioning'!$I$2:$I$1000,ROWS($A$5:A65)),INDEX('Raw Provisioning'!$J$2:$J$1000,ROWS($A$5:A65)-COUNTA('Raw Decommissioning'!$B$2:$B$1000))))</x:f>
        <x:v>Upstream Real Time Data Program - URTD</x:v>
      </x:c>
      <x:c r="H65" s="165" t="str">
        <x:f>IF(A65="","",IF(B65="Decommissioning",INDEX('Raw Decommissioning'!$J$2:$J$1000,ROWS($A$5:A65)),INDEX('Raw Provisioning'!$L$2:$L$1000,ROWS($A$5:A65)-COUNTA('Raw Decommissioning'!$B$2:$B$1000))))</x:f>
        <x:v>Installation of Upstream Real Time Data Program (URTD) for Centre of Excellence, PCSB</x:v>
      </x:c>
      <x:c r="I65" s="165" t="str">
        <x:f>IF(A65="","",IF(B65="Decommissioning",INDEX('Raw Decommissioning'!$AL$2:$AL$1000,ROWS($A$5:A65)),INDEX('Raw Provisioning'!$R$2:$R$1000,ROWS($A$5:A65)-COUNTA('Raw Decommissioning'!$B$2:$B$1000))))</x:f>
      </x:c>
      <x:c r="J65" s="165" t="str">
        <x:f>IF(A65="","",IF(B65="Decommissioning",INDEX('Raw Decommissioning'!$AG$2:$AG$1000,ROWS($A$5:A65)),INDEX('Raw Provisioning'!$AI$2:$AI$1000,ROWS($A$5:A65)-COUNTA('Raw Decommissioning'!$B$2:$B$1000))))</x:f>
        <x:v>CCoE Operations</x:v>
      </x:c>
      <x:c r="K65" s="166" t="str">
        <x:f>IF(A65="","",IFERROR(LOOKUP(2,1/('Assignment History'!$B$5:$B$204=A65),'Assignment History'!$D$5:$D$204),IFERROR(VLOOKUP(J65,Configuration!$L$5:$M$50,2,FALSE),J65)))</x:f>
        <x:v>CCoE Operations</x:v>
      </x:c>
      <x:c r="L65" s="166" t="str">
        <x:f>IF(A65="","",IF(K65=IFERROR(VLOOKUP(J65,Configuration!$L$5:$M$50,2,FALSE),J65),"Snapshot PIC","Replacement PIC"))</x:f>
        <x:v>Snapshot PIC</x:v>
      </x:c>
      <x:c r="M65" s="167" t="n">
        <x:f>IF(A65="","",IFERROR(VLOOKUP(I65,Configuration!$O$5:$P$8,2,FALSE),Configuration!$S$6))</x:f>
        <x:v>2</x:v>
      </x:c>
      <x:c r="N65" s="167" t="str">
        <x:f>IF(A65="","",IFERROR(LOOKUP(2,1/('Scope Review'!$B$5:$B$204=A65),'Scope Review'!$G$5:$G$204),"Not Reviewed"))</x:f>
        <x:v>Not Reviewed</x:v>
      </x:c>
      <x:c r="O65" s="167" t="str">
        <x:f>IF(A65="","",IFERROR(LOOKUP(2,1/('Scope Review'!$B$5:$B$204=A65),'Scope Review'!$H$5:$H$204),""))</x:f>
      </x:c>
      <x:c r="P65" s="167" t="n">
        <x:f t="shared" si="2">IF(A65="","",IF(AND(C65="executing",N65&lt;&gt;"Confirmed OOS"),M65,0))</x:f>
        <x:v>0</x:v>
      </x:c>
      <x:c r="Q65" s="168" t="str">
        <x:f>IF(A65="","",IFERROR(LOOKUP(2,1/('Engineer Updates'!$B$5:$B$704=A65),'Engineer Updates'!$A$5:$A$704),""))</x:f>
      </x:c>
      <x:c r="R65" s="166" t="str">
        <x:f>IF(A65="","",IFERROR(LOOKUP(2,1/('Engineer Updates'!$B$5:$B$704=A65),'Engineer Updates'!$H$5:$H$704),""))</x:f>
      </x:c>
      <x:c r="S65" s="166" t="str">
        <x:f>IF(A65="","",IFERROR(LOOKUP(2,1/('Engineer Updates'!$B$5:$B$704=A65),'Engineer Updates'!$G$5:$G$704),""))</x:f>
      </x:c>
      <x:c r="T65" s="166" t="str">
        <x:f>IF(A65="","",IFERROR(LOOKUP(2,1/('Engineer Updates'!$B$5:$B$704=A65),'Engineer Updates'!$I$5:$I$704),""))</x:f>
      </x:c>
      <x:c r="U65" s="166" t="str">
        <x:f>IF(A65="","",IFERROR(LOOKUP(2,1/('Engineer Updates'!$B$5:$B$704=A65),'Engineer Updates'!$J$5:$J$704),""))</x:f>
      </x:c>
      <x:c r="V65" s="166" t="str">
        <x:f>IF(A65="","",IFERROR(LOOKUP(2,1/('Engineer Updates'!$B$5:$B$704=A65),'Engineer Updates'!$K$5:$K$704),""))</x:f>
      </x:c>
      <x:c r="W65" s="169" t="str">
        <x:f>IF(A65="","",IFERROR(LOOKUP(2,1/('Engineer Updates'!$B$5:$B$704=A65),'Engineer Updates'!$L$5:$L$704),""))</x:f>
      </x:c>
      <x:c r="X65" s="163" t="str">
        <x:f t="shared" si="3">IF(A65="","",IF(C65="completed","Completed in CSSP",IF(AND(C65="executing",ISERROR(SEARCH("@",K65))),"Executing without named engineer",IF(AND(N65="Confirmed OOS",C65="executing"),"Confirmed OOS still executing",""))))</x:f>
      </x:c>
      <x:c r="Y65" s="163" t="str">
        <x:f>IF(A65="","",IF(B65="Decommissioning","Raw Decommissioning","Raw Provisioning"))</x:f>
        <x:v>Raw Decommissioning</x:v>
      </x:c>
      <x:c r="Z65" s="170" t="str">
        <x:f>IF(A65="","",IF(OR(C65="executing",C65="processing"),"Yes","No"))</x:f>
        <x:v>No</x:v>
      </x:c>
    </x:row>
    <x:row r="66" ht="30">
      <x:c r="A66" s="163" t="str">
        <x:f>IF(ROWS($A$5:A66)&lt;=COUNTA('Raw Decommissioning'!$B$2:$B$1000),INDEX('Raw Decommissioning'!$B$2:$B$1000,ROWS($A$5:A66)),IF(ROWS($A$5:A66)-COUNTA('Raw Decommissioning'!$B$2:$B$1000)&lt;=COUNTA('Raw Provisioning'!$B$2:$B$1000),INDEX('Raw Provisioning'!$B$2:$B$1000,ROWS($A$5:A66)-COUNTA('Raw Decommissioning'!$B$2:$B$1000)),""))</x:f>
        <x:v>CSSP10936679</x:v>
      </x:c>
      <x:c r="B66" s="163" t="str">
        <x:f>IF(A66="","",IF(ROWS($A$5:A66)&lt;=COUNTA('Raw Decommissioning'!$B$2:$B$1000),"Decommissioning","Provisioning"))</x:f>
        <x:v>Decommissioning</x:v>
      </x:c>
      <x:c r="C66" s="163" t="str">
        <x:f>IF(A66="","",IF(B66="Decommissioning",IFERROR(INDEX('Raw Decommissioning'!$E$2:$E$1000,MATCH(A66,'Raw Decommissioning'!$B$2:$B$1000,0)),"Missing from latest raw"),IFERROR(INDEX('Raw Provisioning'!$E$2:$E$1000,MATCH(A66,'Raw Provisioning'!$B$2:$B$1000,0)),"Missing from latest raw")))</x:f>
        <x:v>completed</x:v>
      </x:c>
      <x:c r="D66" s="164" t="n">
        <x:f>IF(A66="","",'Refresh Control'!$B$4)</x:f>
        <x:v>46254</x:v>
      </x:c>
      <x:c r="E66" s="164" t="n">
        <x:f>IF(A66="","",IF(B66="Decommissioning",INDEX('Raw Decommissioning'!$F$2:$F$1000,ROWS($A$5:A66)),INDEX('Raw Provisioning'!$F$2:$F$1000,ROWS($A$5:A66)-COUNTA('Raw Decommissioning'!$B$2:$B$1000))))</x:f>
        <x:v>46041.31401675926</x:v>
      </x:c>
      <x:c r="F66" s="164" t="n">
        <x:f>IF(A66="","",IF(B66="Decommissioning",INDEX('Raw Decommissioning'!$G$2:$G$1000,ROWS($A$5:A66)),INDEX('Raw Provisioning'!$H$2:$H$1000,ROWS($A$5:A66)-COUNTA('Raw Decommissioning'!$B$2:$B$1000))))</x:f>
        <x:v>46042.156522453704</x:v>
      </x:c>
      <x:c r="G66" s="165" t="str">
        <x:f>IF(A66="","",IF(B66="Decommissioning",INDEX('Raw Decommissioning'!$I$2:$I$1000,ROWS($A$5:A66)),INDEX('Raw Provisioning'!$J$2:$J$1000,ROWS($A$5:A66)-COUNTA('Raw Decommissioning'!$B$2:$B$1000))))</x:f>
        <x:v>Upstream Real Time Data Program - URTD</x:v>
      </x:c>
      <x:c r="H66" s="165" t="str">
        <x:f>IF(A66="","",IF(B66="Decommissioning",INDEX('Raw Decommissioning'!$J$2:$J$1000,ROWS($A$5:A66)),INDEX('Raw Provisioning'!$L$2:$L$1000,ROWS($A$5:A66)-COUNTA('Raw Decommissioning'!$B$2:$B$1000))))</x:f>
        <x:v>Installation of Upstream Real Time Data Program (URTD) for Centre of Excellence, PCSB</x:v>
      </x:c>
      <x:c r="I66" s="165" t="str">
        <x:f>IF(A66="","",IF(B66="Decommissioning",INDEX('Raw Decommissioning'!$AL$2:$AL$1000,ROWS($A$5:A66)),INDEX('Raw Provisioning'!$R$2:$R$1000,ROWS($A$5:A66)-COUNTA('Raw Decommissioning'!$B$2:$B$1000))))</x:f>
        <x:v>S</x:v>
      </x:c>
      <x:c r="J66" s="165" t="str">
        <x:f>IF(A66="","",IF(B66="Decommissioning",INDEX('Raw Decommissioning'!$AG$2:$AG$1000,ROWS($A$5:A66)),INDEX('Raw Provisioning'!$AI$2:$AI$1000,ROWS($A$5:A66)-COUNTA('Raw Decommissioning'!$B$2:$B$1000))))</x:f>
        <x:v>azlisham.md@petronas.com</x:v>
      </x:c>
      <x:c r="K66" s="166" t="str">
        <x:f>IF(A66="","",IFERROR(LOOKUP(2,1/('Assignment History'!$B$5:$B$204=A66),'Assignment History'!$D$5:$D$204),IFERROR(VLOOKUP(J66,Configuration!$L$5:$M$50,2,FALSE),J66)))</x:f>
        <x:v>azlisham.md@petronas.com</x:v>
      </x:c>
      <x:c r="L66" s="166" t="str">
        <x:f>IF(A66="","",IF(K66=IFERROR(VLOOKUP(J66,Configuration!$L$5:$M$50,2,FALSE),J66),"Snapshot PIC","Replacement PIC"))</x:f>
        <x:v>Snapshot PIC</x:v>
      </x:c>
      <x:c r="M66" s="167" t="n">
        <x:f>IF(A66="","",IFERROR(VLOOKUP(I66,Configuration!$O$5:$P$8,2,FALSE),Configuration!$S$6))</x:f>
        <x:v>1</x:v>
      </x:c>
      <x:c r="N66" s="167" t="str">
        <x:f>IF(A66="","",IFERROR(LOOKUP(2,1/('Scope Review'!$B$5:$B$204=A66),'Scope Review'!$G$5:$G$204),"Not Reviewed"))</x:f>
        <x:v>Not Reviewed</x:v>
      </x:c>
      <x:c r="O66" s="167" t="str">
        <x:f>IF(A66="","",IFERROR(LOOKUP(2,1/('Scope Review'!$B$5:$B$204=A66),'Scope Review'!$H$5:$H$204),""))</x:f>
      </x:c>
      <x:c r="P66" s="167" t="n">
        <x:f t="shared" si="2">IF(A66="","",IF(AND(C66="executing",N66&lt;&gt;"Confirmed OOS"),M66,0))</x:f>
        <x:v>0</x:v>
      </x:c>
      <x:c r="Q66" s="168" t="str">
        <x:f>IF(A66="","",IFERROR(LOOKUP(2,1/('Engineer Updates'!$B$5:$B$704=A66),'Engineer Updates'!$A$5:$A$704),""))</x:f>
      </x:c>
      <x:c r="R66" s="166" t="str">
        <x:f>IF(A66="","",IFERROR(LOOKUP(2,1/('Engineer Updates'!$B$5:$B$704=A66),'Engineer Updates'!$H$5:$H$704),""))</x:f>
      </x:c>
      <x:c r="S66" s="166" t="str">
        <x:f>IF(A66="","",IFERROR(LOOKUP(2,1/('Engineer Updates'!$B$5:$B$704=A66),'Engineer Updates'!$G$5:$G$704),""))</x:f>
      </x:c>
      <x:c r="T66" s="166" t="str">
        <x:f>IF(A66="","",IFERROR(LOOKUP(2,1/('Engineer Updates'!$B$5:$B$704=A66),'Engineer Updates'!$I$5:$I$704),""))</x:f>
      </x:c>
      <x:c r="U66" s="166" t="str">
        <x:f>IF(A66="","",IFERROR(LOOKUP(2,1/('Engineer Updates'!$B$5:$B$704=A66),'Engineer Updates'!$J$5:$J$704),""))</x:f>
      </x:c>
      <x:c r="V66" s="166" t="str">
        <x:f>IF(A66="","",IFERROR(LOOKUP(2,1/('Engineer Updates'!$B$5:$B$704=A66),'Engineer Updates'!$K$5:$K$704),""))</x:f>
      </x:c>
      <x:c r="W66" s="169" t="str">
        <x:f>IF(A66="","",IFERROR(LOOKUP(2,1/('Engineer Updates'!$B$5:$B$704=A66),'Engineer Updates'!$L$5:$L$704),""))</x:f>
      </x:c>
      <x:c r="X66" s="163" t="str">
        <x:f t="shared" si="3">IF(A66="","",IF(C66="completed","Completed in CSSP",IF(AND(C66="executing",ISERROR(SEARCH("@",K66))),"Executing without named engineer",IF(AND(N66="Confirmed OOS",C66="executing"),"Confirmed OOS still executing",""))))</x:f>
        <x:v>Completed in CSSP</x:v>
      </x:c>
      <x:c r="Y66" s="163" t="str">
        <x:f>IF(A66="","",IF(B66="Decommissioning","Raw Decommissioning","Raw Provisioning"))</x:f>
        <x:v>Raw Decommissioning</x:v>
      </x:c>
      <x:c r="Z66" s="170" t="str">
        <x:f>IF(A66="","",IF(OR(C66="executing",C66="processing"),"Yes","No"))</x:f>
        <x:v>No</x:v>
      </x:c>
    </x:row>
    <x:row r="67">
      <x:c r="A67" s="163" t="str">
        <x:f>IF(ROWS($A$5:A67)&lt;=COUNTA('Raw Decommissioning'!$B$2:$B$1000),INDEX('Raw Decommissioning'!$B$2:$B$1000,ROWS($A$5:A67)),IF(ROWS($A$5:A67)-COUNTA('Raw Decommissioning'!$B$2:$B$1000)&lt;=COUNTA('Raw Provisioning'!$B$2:$B$1000),INDEX('Raw Provisioning'!$B$2:$B$1000,ROWS($A$5:A67)-COUNTA('Raw Decommissioning'!$B$2:$B$1000)),""))</x:f>
        <x:v>CSSP10136110</x:v>
      </x:c>
      <x:c r="B67" s="163" t="str">
        <x:f>IF(A67="","",IF(ROWS($A$5:A67)&lt;=COUNTA('Raw Decommissioning'!$B$2:$B$1000),"Decommissioning","Provisioning"))</x:f>
        <x:v>Decommissioning</x:v>
      </x:c>
      <x:c r="C67" s="163" t="str">
        <x:f>IF(A67="","",IF(B67="Decommissioning",IFERROR(INDEX('Raw Decommissioning'!$E$2:$E$1000,MATCH(A67,'Raw Decommissioning'!$B$2:$B$1000,0)),"Missing from latest raw"),IFERROR(INDEX('Raw Provisioning'!$E$2:$E$1000,MATCH(A67,'Raw Provisioning'!$B$2:$B$1000,0)),"Missing from latest raw")))</x:f>
        <x:v>completed</x:v>
      </x:c>
      <x:c r="D67" s="164" t="n">
        <x:f>IF(A67="","",'Refresh Control'!$B$4)</x:f>
        <x:v>46254</x:v>
      </x:c>
      <x:c r="E67" s="164" t="n">
        <x:f>IF(A67="","",IF(B67="Decommissioning",INDEX('Raw Decommissioning'!$F$2:$F$1000,ROWS($A$5:A67)),INDEX('Raw Provisioning'!$F$2:$F$1000,ROWS($A$5:A67)-COUNTA('Raw Decommissioning'!$B$2:$B$1000))))</x:f>
        <x:v>46042.35484554398</x:v>
      </x:c>
      <x:c r="F67" s="164" t="n">
        <x:f>IF(A67="","",IF(B67="Decommissioning",INDEX('Raw Decommissioning'!$G$2:$G$1000,ROWS($A$5:A67)),INDEX('Raw Provisioning'!$H$2:$H$1000,ROWS($A$5:A67)-COUNTA('Raw Decommissioning'!$B$2:$B$1000))))</x:f>
        <x:v>46049.267289247684</x:v>
      </x:c>
      <x:c r="G67" s="165" t="str">
        <x:f>IF(A67="","",IF(B67="Decommissioning",INDEX('Raw Decommissioning'!$I$2:$I$1000,ROWS($A$5:A67)),INDEX('Raw Provisioning'!$J$2:$J$1000,ROWS($A$5:A67)-COUNTA('Raw Decommissioning'!$B$2:$B$1000))))</x:f>
        <x:v>ACFIN Website</x:v>
      </x:c>
      <x:c r="H67" s="165" t="str">
        <x:f>IF(A67="","",IF(B67="Decommissioning",INDEX('Raw Decommissioning'!$J$2:$J$1000,ROWS($A$5:A67)),INDEX('Raw Provisioning'!$L$2:$L$1000,ROWS($A$5:A67)-COUNTA('Raw Decommissioning'!$B$2:$B$1000))))</x:f>
        <x:v>ACFIN Website for PETRONAS Advisor Office</x:v>
      </x:c>
      <x:c r="I67" s="165" t="str">
        <x:f>IF(A67="","",IF(B67="Decommissioning",INDEX('Raw Decommissioning'!$AL$2:$AL$1000,ROWS($A$5:A67)),INDEX('Raw Provisioning'!$R$2:$R$1000,ROWS($A$5:A67)-COUNTA('Raw Decommissioning'!$B$2:$B$1000))))</x:f>
        <x:v>M</x:v>
      </x:c>
      <x:c r="J67" s="165" t="str">
        <x:f>IF(A67="","",IF(B67="Decommissioning",INDEX('Raw Decommissioning'!$AG$2:$AG$1000,ROWS($A$5:A67)),INDEX('Raw Provisioning'!$AI$2:$AI$1000,ROWS($A$5:A67)-COUNTA('Raw Decommissioning'!$B$2:$B$1000))))</x:f>
        <x:v>azwan.badari@petronas.com</x:v>
      </x:c>
      <x:c r="K67" s="166" t="str">
        <x:f>IF(A67="","",IFERROR(LOOKUP(2,1/('Assignment History'!$B$5:$B$204=A67),'Assignment History'!$D$5:$D$204),IFERROR(VLOOKUP(J67,Configuration!$L$5:$M$50,2,FALSE),J67)))</x:f>
        <x:v>azwan.badari@petronas.com</x:v>
      </x:c>
      <x:c r="L67" s="166" t="str">
        <x:f>IF(A67="","",IF(K67=IFERROR(VLOOKUP(J67,Configuration!$L$5:$M$50,2,FALSE),J67),"Snapshot PIC","Replacement PIC"))</x:f>
        <x:v>Snapshot PIC</x:v>
      </x:c>
      <x:c r="M67" s="167" t="n">
        <x:f>IF(A67="","",IFERROR(VLOOKUP(I67,Configuration!$O$5:$P$8,2,FALSE),Configuration!$S$6))</x:f>
        <x:v>2</x:v>
      </x:c>
      <x:c r="N67" s="167" t="str">
        <x:f>IF(A67="","",IFERROR(LOOKUP(2,1/('Scope Review'!$B$5:$B$204=A67),'Scope Review'!$G$5:$G$204),"Not Reviewed"))</x:f>
        <x:v>Not Reviewed</x:v>
      </x:c>
      <x:c r="O67" s="167" t="str">
        <x:f>IF(A67="","",IFERROR(LOOKUP(2,1/('Scope Review'!$B$5:$B$204=A67),'Scope Review'!$H$5:$H$204),""))</x:f>
      </x:c>
      <x:c r="P67" s="167" t="n">
        <x:f t="shared" si="2">IF(A67="","",IF(AND(C67="executing",N67&lt;&gt;"Confirmed OOS"),M67,0))</x:f>
        <x:v>0</x:v>
      </x:c>
      <x:c r="Q67" s="168" t="str">
        <x:f>IF(A67="","",IFERROR(LOOKUP(2,1/('Engineer Updates'!$B$5:$B$704=A67),'Engineer Updates'!$A$5:$A$704),""))</x:f>
      </x:c>
      <x:c r="R67" s="166" t="str">
        <x:f>IF(A67="","",IFERROR(LOOKUP(2,1/('Engineer Updates'!$B$5:$B$704=A67),'Engineer Updates'!$H$5:$H$704),""))</x:f>
      </x:c>
      <x:c r="S67" s="166" t="str">
        <x:f>IF(A67="","",IFERROR(LOOKUP(2,1/('Engineer Updates'!$B$5:$B$704=A67),'Engineer Updates'!$G$5:$G$704),""))</x:f>
      </x:c>
      <x:c r="T67" s="166" t="str">
        <x:f>IF(A67="","",IFERROR(LOOKUP(2,1/('Engineer Updates'!$B$5:$B$704=A67),'Engineer Updates'!$I$5:$I$704),""))</x:f>
      </x:c>
      <x:c r="U67" s="166" t="str">
        <x:f>IF(A67="","",IFERROR(LOOKUP(2,1/('Engineer Updates'!$B$5:$B$704=A67),'Engineer Updates'!$J$5:$J$704),""))</x:f>
      </x:c>
      <x:c r="V67" s="166" t="str">
        <x:f>IF(A67="","",IFERROR(LOOKUP(2,1/('Engineer Updates'!$B$5:$B$704=A67),'Engineer Updates'!$K$5:$K$704),""))</x:f>
      </x:c>
      <x:c r="W67" s="169" t="str">
        <x:f>IF(A67="","",IFERROR(LOOKUP(2,1/('Engineer Updates'!$B$5:$B$704=A67),'Engineer Updates'!$L$5:$L$704),""))</x:f>
      </x:c>
      <x:c r="X67" s="163" t="str">
        <x:f t="shared" si="3">IF(A67="","",IF(C67="completed","Completed in CSSP",IF(AND(C67="executing",ISERROR(SEARCH("@",K67))),"Executing without named engineer",IF(AND(N67="Confirmed OOS",C67="executing"),"Confirmed OOS still executing",""))))</x:f>
        <x:v>Completed in CSSP</x:v>
      </x:c>
      <x:c r="Y67" s="163" t="str">
        <x:f>IF(A67="","",IF(B67="Decommissioning","Raw Decommissioning","Raw Provisioning"))</x:f>
        <x:v>Raw Decommissioning</x:v>
      </x:c>
      <x:c r="Z67" s="170" t="str">
        <x:f>IF(A67="","",IF(OR(C67="executing",C67="processing"),"Yes","No"))</x:f>
        <x:v>No</x:v>
      </x:c>
    </x:row>
    <x:row r="68" ht="30">
      <x:c r="A68" s="163" t="str">
        <x:f>IF(ROWS($A$5:A68)&lt;=COUNTA('Raw Decommissioning'!$B$2:$B$1000),INDEX('Raw Decommissioning'!$B$2:$B$1000,ROWS($A$5:A68)),IF(ROWS($A$5:A68)-COUNTA('Raw Decommissioning'!$B$2:$B$1000)&lt;=COUNTA('Raw Provisioning'!$B$2:$B$1000),INDEX('Raw Provisioning'!$B$2:$B$1000,ROWS($A$5:A68)-COUNTA('Raw Decommissioning'!$B$2:$B$1000)),""))</x:f>
        <x:v>CSSP10956620</x:v>
      </x:c>
      <x:c r="B68" s="163" t="str">
        <x:f>IF(A68="","",IF(ROWS($A$5:A68)&lt;=COUNTA('Raw Decommissioning'!$B$2:$B$1000),"Decommissioning","Provisioning"))</x:f>
        <x:v>Decommissioning</x:v>
      </x:c>
      <x:c r="C68" s="163" t="str">
        <x:f>IF(A68="","",IF(B68="Decommissioning",IFERROR(INDEX('Raw Decommissioning'!$E$2:$E$1000,MATCH(A68,'Raw Decommissioning'!$B$2:$B$1000,0)),"Missing from latest raw"),IFERROR(INDEX('Raw Provisioning'!$E$2:$E$1000,MATCH(A68,'Raw Provisioning'!$B$2:$B$1000,0)),"Missing from latest raw")))</x:f>
        <x:v>completed</x:v>
      </x:c>
      <x:c r="D68" s="164" t="n">
        <x:f>IF(A68="","",'Refresh Control'!$B$4)</x:f>
        <x:v>46254</x:v>
      </x:c>
      <x:c r="E68" s="164" t="n">
        <x:f>IF(A68="","",IF(B68="Decommissioning",INDEX('Raw Decommissioning'!$F$2:$F$1000,ROWS($A$5:A68)),INDEX('Raw Provisioning'!$F$2:$F$1000,ROWS($A$5:A68)-COUNTA('Raw Decommissioning'!$B$2:$B$1000))))</x:f>
        <x:v>46042.40565572917</x:v>
      </x:c>
      <x:c r="F68" s="164" t="n">
        <x:f>IF(A68="","",IF(B68="Decommissioning",INDEX('Raw Decommissioning'!$G$2:$G$1000,ROWS($A$5:A68)),INDEX('Raw Provisioning'!$H$2:$H$1000,ROWS($A$5:A68)-COUNTA('Raw Decommissioning'!$B$2:$B$1000))))</x:f>
        <x:v>46057.18847627315</x:v>
      </x:c>
      <x:c r="G68" s="165" t="str">
        <x:f>IF(A68="","",IF(B68="Decommissioning",INDEX('Raw Decommissioning'!$I$2:$I$1000,ROWS($A$5:A68)),INDEX('Raw Provisioning'!$J$2:$J$1000,ROWS($A$5:A68)-COUNTA('Raw Decommissioning'!$B$2:$B$1000))))</x:f>
        <x:v>SiteCom and DrillScene Applications for Wells COE PETRON</x:v>
      </x:c>
      <x:c r="H68" s="165" t="str">
        <x:f>IF(A68="","",IF(B68="Decommissioning",INDEX('Raw Decommissioning'!$J$2:$J$1000,ROWS($A$5:A68)),INDEX('Raw Provisioning'!$L$2:$L$1000,ROWS($A$5:A68)-COUNTA('Raw Decommissioning'!$B$2:$B$1000))))</x:f>
        <x:v>SiteCom and DrillScene Applications for Wells COE PETRON created for PRIVATECLOUD project record</x:v>
      </x:c>
      <x:c r="I68" s="165" t="str">
        <x:f>IF(A68="","",IF(B68="Decommissioning",INDEX('Raw Decommissioning'!$AL$2:$AL$1000,ROWS($A$5:A68)),INDEX('Raw Provisioning'!$R$2:$R$1000,ROWS($A$5:A68)-COUNTA('Raw Decommissioning'!$B$2:$B$1000))))</x:f>
        <x:v>M</x:v>
      </x:c>
      <x:c r="J68" s="165" t="str">
        <x:f>IF(A68="","",IF(B68="Decommissioning",INDEX('Raw Decommissioning'!$AG$2:$AG$1000,ROWS($A$5:A68)),INDEX('Raw Provisioning'!$AI$2:$AI$1000,ROWS($A$5:A68)-COUNTA('Raw Decommissioning'!$B$2:$B$1000))))</x:f>
        <x:v>azlisham.md@petronas.com</x:v>
      </x:c>
      <x:c r="K68" s="166" t="str">
        <x:f>IF(A68="","",IFERROR(LOOKUP(2,1/('Assignment History'!$B$5:$B$204=A68),'Assignment History'!$D$5:$D$204),IFERROR(VLOOKUP(J68,Configuration!$L$5:$M$50,2,FALSE),J68)))</x:f>
        <x:v>azlisham.md@petronas.com</x:v>
      </x:c>
      <x:c r="L68" s="166" t="str">
        <x:f>IF(A68="","",IF(K68=IFERROR(VLOOKUP(J68,Configuration!$L$5:$M$50,2,FALSE),J68),"Snapshot PIC","Replacement PIC"))</x:f>
        <x:v>Snapshot PIC</x:v>
      </x:c>
      <x:c r="M68" s="167" t="n">
        <x:f>IF(A68="","",IFERROR(VLOOKUP(I68,Configuration!$O$5:$P$8,2,FALSE),Configuration!$S$6))</x:f>
        <x:v>2</x:v>
      </x:c>
      <x:c r="N68" s="167" t="str">
        <x:f>IF(A68="","",IFERROR(LOOKUP(2,1/('Scope Review'!$B$5:$B$204=A68),'Scope Review'!$G$5:$G$204),"Not Reviewed"))</x:f>
        <x:v>Not Reviewed</x:v>
      </x:c>
      <x:c r="O68" s="167" t="str">
        <x:f>IF(A68="","",IFERROR(LOOKUP(2,1/('Scope Review'!$B$5:$B$204=A68),'Scope Review'!$H$5:$H$204),""))</x:f>
      </x:c>
      <x:c r="P68" s="167" t="n">
        <x:f t="shared" si="2">IF(A68="","",IF(AND(C68="executing",N68&lt;&gt;"Confirmed OOS"),M68,0))</x:f>
        <x:v>0</x:v>
      </x:c>
      <x:c r="Q68" s="168" t="str">
        <x:f>IF(A68="","",IFERROR(LOOKUP(2,1/('Engineer Updates'!$B$5:$B$704=A68),'Engineer Updates'!$A$5:$A$704),""))</x:f>
      </x:c>
      <x:c r="R68" s="166" t="str">
        <x:f>IF(A68="","",IFERROR(LOOKUP(2,1/('Engineer Updates'!$B$5:$B$704=A68),'Engineer Updates'!$H$5:$H$704),""))</x:f>
      </x:c>
      <x:c r="S68" s="166" t="str">
        <x:f>IF(A68="","",IFERROR(LOOKUP(2,1/('Engineer Updates'!$B$5:$B$704=A68),'Engineer Updates'!$G$5:$G$704),""))</x:f>
      </x:c>
      <x:c r="T68" s="166" t="str">
        <x:f>IF(A68="","",IFERROR(LOOKUP(2,1/('Engineer Updates'!$B$5:$B$704=A68),'Engineer Updates'!$I$5:$I$704),""))</x:f>
      </x:c>
      <x:c r="U68" s="166" t="str">
        <x:f>IF(A68="","",IFERROR(LOOKUP(2,1/('Engineer Updates'!$B$5:$B$704=A68),'Engineer Updates'!$J$5:$J$704),""))</x:f>
      </x:c>
      <x:c r="V68" s="166" t="str">
        <x:f>IF(A68="","",IFERROR(LOOKUP(2,1/('Engineer Updates'!$B$5:$B$704=A68),'Engineer Updates'!$K$5:$K$704),""))</x:f>
      </x:c>
      <x:c r="W68" s="169" t="str">
        <x:f>IF(A68="","",IFERROR(LOOKUP(2,1/('Engineer Updates'!$B$5:$B$704=A68),'Engineer Updates'!$L$5:$L$704),""))</x:f>
      </x:c>
      <x:c r="X68" s="163" t="str">
        <x:f t="shared" si="3">IF(A68="","",IF(C68="completed","Completed in CSSP",IF(AND(C68="executing",ISERROR(SEARCH("@",K68))),"Executing without named engineer",IF(AND(N68="Confirmed OOS",C68="executing"),"Confirmed OOS still executing",""))))</x:f>
        <x:v>Completed in CSSP</x:v>
      </x:c>
      <x:c r="Y68" s="163" t="str">
        <x:f>IF(A68="","",IF(B68="Decommissioning","Raw Decommissioning","Raw Provisioning"))</x:f>
        <x:v>Raw Decommissioning</x:v>
      </x:c>
      <x:c r="Z68" s="170" t="str">
        <x:f>IF(A68="","",IF(OR(C68="executing",C68="processing"),"Yes","No"))</x:f>
        <x:v>No</x:v>
      </x:c>
    </x:row>
    <x:row r="69">
      <x:c r="A69" s="163" t="str">
        <x:f>IF(ROWS($A$5:A69)&lt;=COUNTA('Raw Decommissioning'!$B$2:$B$1000),INDEX('Raw Decommissioning'!$B$2:$B$1000,ROWS($A$5:A69)),IF(ROWS($A$5:A69)-COUNTA('Raw Decommissioning'!$B$2:$B$1000)&lt;=COUNTA('Raw Provisioning'!$B$2:$B$1000),INDEX('Raw Provisioning'!$B$2:$B$1000,ROWS($A$5:A69)-COUNTA('Raw Decommissioning'!$B$2:$B$1000)),""))</x:f>
        <x:v>CSSP10693653</x:v>
      </x:c>
      <x:c r="B69" s="163" t="str">
        <x:f>IF(A69="","",IF(ROWS($A$5:A69)&lt;=COUNTA('Raw Decommissioning'!$B$2:$B$1000),"Decommissioning","Provisioning"))</x:f>
        <x:v>Decommissioning</x:v>
      </x:c>
      <x:c r="C69" s="163" t="str">
        <x:f>IF(A69="","",IF(B69="Decommissioning",IFERROR(INDEX('Raw Decommissioning'!$E$2:$E$1000,MATCH(A69,'Raw Decommissioning'!$B$2:$B$1000,0)),"Missing from latest raw"),IFERROR(INDEX('Raw Provisioning'!$E$2:$E$1000,MATCH(A69,'Raw Provisioning'!$B$2:$B$1000,0)),"Missing from latest raw")))</x:f>
        <x:v>completed</x:v>
      </x:c>
      <x:c r="D69" s="164" t="n">
        <x:f>IF(A69="","",'Refresh Control'!$B$4)</x:f>
        <x:v>46254</x:v>
      </x:c>
      <x:c r="E69" s="164" t="n">
        <x:f>IF(A69="","",IF(B69="Decommissioning",INDEX('Raw Decommissioning'!$F$2:$F$1000,ROWS($A$5:A69)),INDEX('Raw Provisioning'!$F$2:$F$1000,ROWS($A$5:A69)-COUNTA('Raw Decommissioning'!$B$2:$B$1000))))</x:f>
        <x:v>46043.153167743054</x:v>
      </x:c>
      <x:c r="F69" s="164" t="n">
        <x:f>IF(A69="","",IF(B69="Decommissioning",INDEX('Raw Decommissioning'!$G$2:$G$1000,ROWS($A$5:A69)),INDEX('Raw Provisioning'!$H$2:$H$1000,ROWS($A$5:A69)-COUNTA('Raw Decommissioning'!$B$2:$B$1000))))</x:f>
        <x:v>46045.37386167824</x:v>
      </x:c>
      <x:c r="G69" s="165" t="str">
        <x:f>IF(A69="","",IF(B69="Decommissioning",INDEX('Raw Decommissioning'!$I$2:$I$1000,ROWS($A$5:A69)),INDEX('Raw Provisioning'!$J$2:$J$1000,ROWS($A$5:A69)-COUNTA('Raw Decommissioning'!$B$2:$B$1000))))</x:f>
        <x:v>Visual Inspection Corrosion Interface - VINCI</x:v>
      </x:c>
      <x:c r="H69" s="165" t="str">
        <x:f>IF(A69="","",IF(B69="Decommissioning",INDEX('Raw Decommissioning'!$J$2:$J$1000,ROWS($A$5:A69)),INDEX('Raw Provisioning'!$L$2:$L$1000,ROWS($A$5:A69)-COUNTA('Raw Decommissioning'!$B$2:$B$1000))))</x:f>
        <x:v>Enhancement Of Visual Inspection Corrosion Interface (VINCI) System For Operation Excellence (OE), PCSB</x:v>
      </x:c>
      <x:c r="I69" s="165" t="str">
        <x:f>IF(A69="","",IF(B69="Decommissioning",INDEX('Raw Decommissioning'!$AL$2:$AL$1000,ROWS($A$5:A69)),INDEX('Raw Provisioning'!$R$2:$R$1000,ROWS($A$5:A69)-COUNTA('Raw Decommissioning'!$B$2:$B$1000))))</x:f>
        <x:v>M</x:v>
      </x:c>
      <x:c r="J69" s="165" t="str">
        <x:f>IF(A69="","",IF(B69="Decommissioning",INDEX('Raw Decommissioning'!$AG$2:$AG$1000,ROWS($A$5:A69)),INDEX('Raw Provisioning'!$AI$2:$AI$1000,ROWS($A$5:A69)-COUNTA('Raw Decommissioning'!$B$2:$B$1000))))</x:f>
        <x:v>azlisham.md@petronas.com</x:v>
      </x:c>
      <x:c r="K69" s="166" t="str">
        <x:f>IF(A69="","",IFERROR(LOOKUP(2,1/('Assignment History'!$B$5:$B$204=A69),'Assignment History'!$D$5:$D$204),IFERROR(VLOOKUP(J69,Configuration!$L$5:$M$50,2,FALSE),J69)))</x:f>
        <x:v>azlisham.md@petronas.com</x:v>
      </x:c>
      <x:c r="L69" s="166" t="str">
        <x:f>IF(A69="","",IF(K69=IFERROR(VLOOKUP(J69,Configuration!$L$5:$M$50,2,FALSE),J69),"Snapshot PIC","Replacement PIC"))</x:f>
        <x:v>Snapshot PIC</x:v>
      </x:c>
      <x:c r="M69" s="167" t="n">
        <x:f>IF(A69="","",IFERROR(VLOOKUP(I69,Configuration!$O$5:$P$8,2,FALSE),Configuration!$S$6))</x:f>
        <x:v>2</x:v>
      </x:c>
      <x:c r="N69" s="167" t="str">
        <x:f>IF(A69="","",IFERROR(LOOKUP(2,1/('Scope Review'!$B$5:$B$204=A69),'Scope Review'!$G$5:$G$204),"Not Reviewed"))</x:f>
        <x:v>Not Reviewed</x:v>
      </x:c>
      <x:c r="O69" s="167" t="str">
        <x:f>IF(A69="","",IFERROR(LOOKUP(2,1/('Scope Review'!$B$5:$B$204=A69),'Scope Review'!$H$5:$H$204),""))</x:f>
      </x:c>
      <x:c r="P69" s="167" t="n">
        <x:f t="shared" ref="P69:P100" si="4">IF(A69="","",IF(AND(C69="executing",N69&lt;&gt;"Confirmed OOS"),M69,0))</x:f>
        <x:v>0</x:v>
      </x:c>
      <x:c r="Q69" s="168" t="str">
        <x:f>IF(A69="","",IFERROR(LOOKUP(2,1/('Engineer Updates'!$B$5:$B$704=A69),'Engineer Updates'!$A$5:$A$704),""))</x:f>
      </x:c>
      <x:c r="R69" s="166" t="str">
        <x:f>IF(A69="","",IFERROR(LOOKUP(2,1/('Engineer Updates'!$B$5:$B$704=A69),'Engineer Updates'!$H$5:$H$704),""))</x:f>
      </x:c>
      <x:c r="S69" s="166" t="str">
        <x:f>IF(A69="","",IFERROR(LOOKUP(2,1/('Engineer Updates'!$B$5:$B$704=A69),'Engineer Updates'!$G$5:$G$704),""))</x:f>
      </x:c>
      <x:c r="T69" s="166" t="str">
        <x:f>IF(A69="","",IFERROR(LOOKUP(2,1/('Engineer Updates'!$B$5:$B$704=A69),'Engineer Updates'!$I$5:$I$704),""))</x:f>
      </x:c>
      <x:c r="U69" s="166" t="str">
        <x:f>IF(A69="","",IFERROR(LOOKUP(2,1/('Engineer Updates'!$B$5:$B$704=A69),'Engineer Updates'!$J$5:$J$704),""))</x:f>
      </x:c>
      <x:c r="V69" s="166" t="str">
        <x:f>IF(A69="","",IFERROR(LOOKUP(2,1/('Engineer Updates'!$B$5:$B$704=A69),'Engineer Updates'!$K$5:$K$704),""))</x:f>
      </x:c>
      <x:c r="W69" s="169" t="str">
        <x:f>IF(A69="","",IFERROR(LOOKUP(2,1/('Engineer Updates'!$B$5:$B$704=A69),'Engineer Updates'!$L$5:$L$704),""))</x:f>
      </x:c>
      <x:c r="X69" s="163" t="str">
        <x:f t="shared" ref="X69:X100" si="5">IF(A69="","",IF(C69="completed","Completed in CSSP",IF(AND(C69="executing",ISERROR(SEARCH("@",K69))),"Executing without named engineer",IF(AND(N69="Confirmed OOS",C69="executing"),"Confirmed OOS still executing",""))))</x:f>
        <x:v>Completed in CSSP</x:v>
      </x:c>
      <x:c r="Y69" s="163" t="str">
        <x:f>IF(A69="","",IF(B69="Decommissioning","Raw Decommissioning","Raw Provisioning"))</x:f>
        <x:v>Raw Decommissioning</x:v>
      </x:c>
      <x:c r="Z69" s="170" t="str">
        <x:f>IF(A69="","",IF(OR(C69="executing",C69="processing"),"Yes","No"))</x:f>
        <x:v>No</x:v>
      </x:c>
    </x:row>
    <x:row r="70" ht="30">
      <x:c r="A70" s="163" t="str">
        <x:f>IF(ROWS($A$5:A70)&lt;=COUNTA('Raw Decommissioning'!$B$2:$B$1000),INDEX('Raw Decommissioning'!$B$2:$B$1000,ROWS($A$5:A70)),IF(ROWS($A$5:A70)-COUNTA('Raw Decommissioning'!$B$2:$B$1000)&lt;=COUNTA('Raw Provisioning'!$B$2:$B$1000),INDEX('Raw Provisioning'!$B$2:$B$1000,ROWS($A$5:A70)-COUNTA('Raw Decommissioning'!$B$2:$B$1000)),""))</x:f>
        <x:v>CSSP10361019</x:v>
      </x:c>
      <x:c r="B70" s="163" t="str">
        <x:f>IF(A70="","",IF(ROWS($A$5:A70)&lt;=COUNTA('Raw Decommissioning'!$B$2:$B$1000),"Decommissioning","Provisioning"))</x:f>
        <x:v>Decommissioning</x:v>
      </x:c>
      <x:c r="C70" s="163" t="str">
        <x:f>IF(A70="","",IF(B70="Decommissioning",IFERROR(INDEX('Raw Decommissioning'!$E$2:$E$1000,MATCH(A70,'Raw Decommissioning'!$B$2:$B$1000,0)),"Missing from latest raw"),IFERROR(INDEX('Raw Provisioning'!$E$2:$E$1000,MATCH(A70,'Raw Provisioning'!$B$2:$B$1000,0)),"Missing from latest raw")))</x:f>
        <x:v>completed</x:v>
      </x:c>
      <x:c r="D70" s="164" t="n">
        <x:f>IF(A70="","",'Refresh Control'!$B$4)</x:f>
        <x:v>46254</x:v>
      </x:c>
      <x:c r="E70" s="164" t="n">
        <x:f>IF(A70="","",IF(B70="Decommissioning",INDEX('Raw Decommissioning'!$F$2:$F$1000,ROWS($A$5:A70)),INDEX('Raw Provisioning'!$F$2:$F$1000,ROWS($A$5:A70)-COUNTA('Raw Decommissioning'!$B$2:$B$1000))))</x:f>
        <x:v>46043.350739409725</x:v>
      </x:c>
      <x:c r="F70" s="164" t="n">
        <x:f>IF(A70="","",IF(B70="Decommissioning",INDEX('Raw Decommissioning'!$G$2:$G$1000,ROWS($A$5:A70)),INDEX('Raw Provisioning'!$H$2:$H$1000,ROWS($A$5:A70)-COUNTA('Raw Decommissioning'!$B$2:$B$1000))))</x:f>
        <x:v>46093.29256314815</x:v>
      </x:c>
      <x:c r="G70" s="165" t="str">
        <x:f>IF(A70="","",IF(B70="Decommissioning",INDEX('Raw Decommissioning'!$I$2:$I$1000,ROWS($A$5:A70)),INDEX('Raw Provisioning'!$J$2:$J$1000,ROWS($A$5:A70)-COUNTA('Raw Decommissioning'!$B$2:$B$1000))))</x:f>
        <x:v>PIVOT Enterprise Knowledge Advisor Cerebro</x:v>
      </x:c>
      <x:c r="H70" s="165" t="str">
        <x:f>IF(A70="","",IF(B70="Decommissioning",INDEX('Raw Decommissioning'!$J$2:$J$1000,ROWS($A$5:A70)),INDEX('Raw Provisioning'!$L$2:$L$1000,ROWS($A$5:A70)-COUNTA('Raw Decommissioning'!$B$2:$B$1000))))</x:f>
        <x:v>OSR00154: Support and Maintenance for PIVOT Program for Group Digital – Enterprise Knowledge Advisor for Cerebro</x:v>
      </x:c>
      <x:c r="I70" s="165" t="str">
        <x:f>IF(A70="","",IF(B70="Decommissioning",INDEX('Raw Decommissioning'!$AL$2:$AL$1000,ROWS($A$5:A70)),INDEX('Raw Provisioning'!$R$2:$R$1000,ROWS($A$5:A70)-COUNTA('Raw Decommissioning'!$B$2:$B$1000))))</x:f>
        <x:v>M</x:v>
      </x:c>
      <x:c r="J70" s="165" t="str">
        <x:f>IF(A70="","",IF(B70="Decommissioning",INDEX('Raw Decommissioning'!$AG$2:$AG$1000,ROWS($A$5:A70)),INDEX('Raw Provisioning'!$AI$2:$AI$1000,ROWS($A$5:A70)-COUNTA('Raw Decommissioning'!$B$2:$B$1000))))</x:f>
        <x:v>azwan.badari@petronas.com</x:v>
      </x:c>
      <x:c r="K70" s="166" t="str">
        <x:f>IF(A70="","",IFERROR(LOOKUP(2,1/('Assignment History'!$B$5:$B$204=A70),'Assignment History'!$D$5:$D$204),IFERROR(VLOOKUP(J70,Configuration!$L$5:$M$50,2,FALSE),J70)))</x:f>
        <x:v>azwan.badari@petronas.com</x:v>
      </x:c>
      <x:c r="L70" s="166" t="str">
        <x:f>IF(A70="","",IF(K70=IFERROR(VLOOKUP(J70,Configuration!$L$5:$M$50,2,FALSE),J70),"Snapshot PIC","Replacement PIC"))</x:f>
        <x:v>Snapshot PIC</x:v>
      </x:c>
      <x:c r="M70" s="167" t="n">
        <x:f>IF(A70="","",IFERROR(VLOOKUP(I70,Configuration!$O$5:$P$8,2,FALSE),Configuration!$S$6))</x:f>
        <x:v>2</x:v>
      </x:c>
      <x:c r="N70" s="167" t="str">
        <x:f>IF(A70="","",IFERROR(LOOKUP(2,1/('Scope Review'!$B$5:$B$204=A70),'Scope Review'!$G$5:$G$204),"Not Reviewed"))</x:f>
        <x:v>Not Reviewed</x:v>
      </x:c>
      <x:c r="O70" s="167" t="str">
        <x:f>IF(A70="","",IFERROR(LOOKUP(2,1/('Scope Review'!$B$5:$B$204=A70),'Scope Review'!$H$5:$H$204),""))</x:f>
      </x:c>
      <x:c r="P70" s="167" t="n">
        <x:f t="shared" si="4">IF(A70="","",IF(AND(C70="executing",N70&lt;&gt;"Confirmed OOS"),M70,0))</x:f>
        <x:v>0</x:v>
      </x:c>
      <x:c r="Q70" s="168" t="str">
        <x:f>IF(A70="","",IFERROR(LOOKUP(2,1/('Engineer Updates'!$B$5:$B$704=A70),'Engineer Updates'!$A$5:$A$704),""))</x:f>
      </x:c>
      <x:c r="R70" s="166" t="str">
        <x:f>IF(A70="","",IFERROR(LOOKUP(2,1/('Engineer Updates'!$B$5:$B$704=A70),'Engineer Updates'!$H$5:$H$704),""))</x:f>
      </x:c>
      <x:c r="S70" s="166" t="str">
        <x:f>IF(A70="","",IFERROR(LOOKUP(2,1/('Engineer Updates'!$B$5:$B$704=A70),'Engineer Updates'!$G$5:$G$704),""))</x:f>
      </x:c>
      <x:c r="T70" s="166" t="str">
        <x:f>IF(A70="","",IFERROR(LOOKUP(2,1/('Engineer Updates'!$B$5:$B$704=A70),'Engineer Updates'!$I$5:$I$704),""))</x:f>
      </x:c>
      <x:c r="U70" s="166" t="str">
        <x:f>IF(A70="","",IFERROR(LOOKUP(2,1/('Engineer Updates'!$B$5:$B$704=A70),'Engineer Updates'!$J$5:$J$704),""))</x:f>
      </x:c>
      <x:c r="V70" s="166" t="str">
        <x:f>IF(A70="","",IFERROR(LOOKUP(2,1/('Engineer Updates'!$B$5:$B$704=A70),'Engineer Updates'!$K$5:$K$704),""))</x:f>
      </x:c>
      <x:c r="W70" s="169" t="str">
        <x:f>IF(A70="","",IFERROR(LOOKUP(2,1/('Engineer Updates'!$B$5:$B$704=A70),'Engineer Updates'!$L$5:$L$704),""))</x:f>
      </x:c>
      <x:c r="X70" s="163" t="str">
        <x:f t="shared" si="5">IF(A70="","",IF(C70="completed","Completed in CSSP",IF(AND(C70="executing",ISERROR(SEARCH("@",K70))),"Executing without named engineer",IF(AND(N70="Confirmed OOS",C70="executing"),"Confirmed OOS still executing",""))))</x:f>
        <x:v>Completed in CSSP</x:v>
      </x:c>
      <x:c r="Y70" s="163" t="str">
        <x:f>IF(A70="","",IF(B70="Decommissioning","Raw Decommissioning","Raw Provisioning"))</x:f>
        <x:v>Raw Decommissioning</x:v>
      </x:c>
      <x:c r="Z70" s="170" t="str">
        <x:f>IF(A70="","",IF(OR(C70="executing",C70="processing"),"Yes","No"))</x:f>
        <x:v>No</x:v>
      </x:c>
    </x:row>
    <x:row r="71" ht="45">
      <x:c r="A71" s="163" t="str">
        <x:f>IF(ROWS($A$5:A71)&lt;=COUNTA('Raw Decommissioning'!$B$2:$B$1000),INDEX('Raw Decommissioning'!$B$2:$B$1000,ROWS($A$5:A71)),IF(ROWS($A$5:A71)-COUNTA('Raw Decommissioning'!$B$2:$B$1000)&lt;=COUNTA('Raw Provisioning'!$B$2:$B$1000),INDEX('Raw Provisioning'!$B$2:$B$1000,ROWS($A$5:A71)-COUNTA('Raw Decommissioning'!$B$2:$B$1000)),""))</x:f>
        <x:v>CSSP10644672</x:v>
      </x:c>
      <x:c r="B71" s="163" t="str">
        <x:f>IF(A71="","",IF(ROWS($A$5:A71)&lt;=COUNTA('Raw Decommissioning'!$B$2:$B$1000),"Decommissioning","Provisioning"))</x:f>
        <x:v>Decommissioning</x:v>
      </x:c>
      <x:c r="C71" s="163" t="str">
        <x:f>IF(A71="","",IF(B71="Decommissioning",IFERROR(INDEX('Raw Decommissioning'!$E$2:$E$1000,MATCH(A71,'Raw Decommissioning'!$B$2:$B$1000,0)),"Missing from latest raw"),IFERROR(INDEX('Raw Provisioning'!$E$2:$E$1000,MATCH(A71,'Raw Provisioning'!$B$2:$B$1000,0)),"Missing from latest raw")))</x:f>
        <x:v>rejected</x:v>
      </x:c>
      <x:c r="D71" s="164" t="n">
        <x:f>IF(A71="","",'Refresh Control'!$B$4)</x:f>
        <x:v>46254</x:v>
      </x:c>
      <x:c r="E71" s="164" t="n">
        <x:f>IF(A71="","",IF(B71="Decommissioning",INDEX('Raw Decommissioning'!$F$2:$F$1000,ROWS($A$5:A71)),INDEX('Raw Provisioning'!$F$2:$F$1000,ROWS($A$5:A71)-COUNTA('Raw Decommissioning'!$B$2:$B$1000))))</x:f>
        <x:v>46044.072314652774</x:v>
      </x:c>
      <x:c r="F71" s="164" t="n">
        <x:f>IF(A71="","",IF(B71="Decommissioning",INDEX('Raw Decommissioning'!$G$2:$G$1000,ROWS($A$5:A71)),INDEX('Raw Provisioning'!$H$2:$H$1000,ROWS($A$5:A71)-COUNTA('Raw Decommissioning'!$B$2:$B$1000))))</x:f>
        <x:v>46044.301271006945</x:v>
      </x:c>
      <x:c r="G71" s="165" t="str">
        <x:f>IF(A71="","",IF(B71="Decommissioning",INDEX('Raw Decommissioning'!$I$2:$I$1000,ROWS($A$5:A71)),INDEX('Raw Provisioning'!$J$2:$J$1000,ROWS($A$5:A71)-COUNTA('Raw Decommissioning'!$B$2:$B$1000))))</x:f>
        <x:v>Upstream Real Time Data Program - URTD</x:v>
      </x:c>
      <x:c r="H71" s="165" t="str">
        <x:f>IF(A71="","",IF(B71="Decommissioning",INDEX('Raw Decommissioning'!$J$2:$J$1000,ROWS($A$5:A71)),INDEX('Raw Provisioning'!$L$2:$L$1000,ROWS($A$5:A71)-COUNTA('Raw Decommissioning'!$B$2:$B$1000))))</x:f>
        <x:v>Installation of Upstream Real Time Data Program (URTD) for Centre of Excellence, PCSB</x:v>
      </x:c>
      <x:c r="I71" s="165" t="str">
        <x:f>IF(A71="","",IF(B71="Decommissioning",INDEX('Raw Decommissioning'!$AL$2:$AL$1000,ROWS($A$5:A71)),INDEX('Raw Provisioning'!$R$2:$R$1000,ROWS($A$5:A71)-COUNTA('Raw Decommissioning'!$B$2:$B$1000))))</x:f>
      </x:c>
      <x:c r="J71" s="165" t="str">
        <x:f>IF(A71="","",IF(B71="Decommissioning",INDEX('Raw Decommissioning'!$AG$2:$AG$1000,ROWS($A$5:A71)),INDEX('Raw Provisioning'!$AI$2:$AI$1000,ROWS($A$5:A71)-COUNTA('Raw Decommissioning'!$B$2:$B$1000))))</x:f>
        <x:v>CCoE Operations</x:v>
      </x:c>
      <x:c r="K71" s="166" t="str">
        <x:f>IF(A71="","",IFERROR(LOOKUP(2,1/('Assignment History'!$B$5:$B$204=A71),'Assignment History'!$D$5:$D$204),IFERROR(VLOOKUP(J71,Configuration!$L$5:$M$50,2,FALSE),J71)))</x:f>
        <x:v>CCoE Operations</x:v>
      </x:c>
      <x:c r="L71" s="166" t="str">
        <x:f>IF(A71="","",IF(K71=IFERROR(VLOOKUP(J71,Configuration!$L$5:$M$50,2,FALSE),J71),"Snapshot PIC","Replacement PIC"))</x:f>
        <x:v>Snapshot PIC</x:v>
      </x:c>
      <x:c r="M71" s="167" t="n">
        <x:f>IF(A71="","",IFERROR(VLOOKUP(I71,Configuration!$O$5:$P$8,2,FALSE),Configuration!$S$6))</x:f>
        <x:v>2</x:v>
      </x:c>
      <x:c r="N71" s="167" t="str">
        <x:f>IF(A71="","",IFERROR(LOOKUP(2,1/('Scope Review'!$B$5:$B$204=A71),'Scope Review'!$G$5:$G$204),"Not Reviewed"))</x:f>
        <x:v>Not Reviewed</x:v>
      </x:c>
      <x:c r="O71" s="167" t="str">
        <x:f>IF(A71="","",IFERROR(LOOKUP(2,1/('Scope Review'!$B$5:$B$204=A71),'Scope Review'!$H$5:$H$204),""))</x:f>
      </x:c>
      <x:c r="P71" s="167" t="n">
        <x:f t="shared" si="4">IF(A71="","",IF(AND(C71="executing",N71&lt;&gt;"Confirmed OOS"),M71,0))</x:f>
        <x:v>0</x:v>
      </x:c>
      <x:c r="Q71" s="168" t="str">
        <x:f>IF(A71="","",IFERROR(LOOKUP(2,1/('Engineer Updates'!$B$5:$B$704=A71),'Engineer Updates'!$A$5:$A$704),""))</x:f>
      </x:c>
      <x:c r="R71" s="166" t="str">
        <x:f>IF(A71="","",IFERROR(LOOKUP(2,1/('Engineer Updates'!$B$5:$B$704=A71),'Engineer Updates'!$H$5:$H$704),""))</x:f>
      </x:c>
      <x:c r="S71" s="166" t="str">
        <x:f>IF(A71="","",IFERROR(LOOKUP(2,1/('Engineer Updates'!$B$5:$B$704=A71),'Engineer Updates'!$G$5:$G$704),""))</x:f>
      </x:c>
      <x:c r="T71" s="166" t="str">
        <x:f>IF(A71="","",IFERROR(LOOKUP(2,1/('Engineer Updates'!$B$5:$B$704=A71),'Engineer Updates'!$I$5:$I$704),""))</x:f>
      </x:c>
      <x:c r="U71" s="166" t="str">
        <x:f>IF(A71="","",IFERROR(LOOKUP(2,1/('Engineer Updates'!$B$5:$B$704=A71),'Engineer Updates'!$J$5:$J$704),""))</x:f>
      </x:c>
      <x:c r="V71" s="166" t="str">
        <x:f>IF(A71="","",IFERROR(LOOKUP(2,1/('Engineer Updates'!$B$5:$B$704=A71),'Engineer Updates'!$K$5:$K$704),""))</x:f>
      </x:c>
      <x:c r="W71" s="169" t="str">
        <x:f>IF(A71="","",IFERROR(LOOKUP(2,1/('Engineer Updates'!$B$5:$B$704=A71),'Engineer Updates'!$L$5:$L$704),""))</x:f>
      </x:c>
      <x:c r="X71" s="163" t="str">
        <x:f t="shared" si="5">IF(A71="","",IF(C71="completed","Completed in CSSP",IF(AND(C71="executing",ISERROR(SEARCH("@",K71))),"Executing without named engineer",IF(AND(N71="Confirmed OOS",C71="executing"),"Confirmed OOS still executing",""))))</x:f>
      </x:c>
      <x:c r="Y71" s="163" t="str">
        <x:f>IF(A71="","",IF(B71="Decommissioning","Raw Decommissioning","Raw Provisioning"))</x:f>
        <x:v>Raw Decommissioning</x:v>
      </x:c>
      <x:c r="Z71" s="170" t="str">
        <x:f>IF(A71="","",IF(OR(C71="executing",C71="processing"),"Yes","No"))</x:f>
        <x:v>No</x:v>
      </x:c>
    </x:row>
    <x:row r="72" ht="30">
      <x:c r="A72" s="163" t="str">
        <x:f>IF(ROWS($A$5:A72)&lt;=COUNTA('Raw Decommissioning'!$B$2:$B$1000),INDEX('Raw Decommissioning'!$B$2:$B$1000,ROWS($A$5:A72)),IF(ROWS($A$5:A72)-COUNTA('Raw Decommissioning'!$B$2:$B$1000)&lt;=COUNTA('Raw Provisioning'!$B$2:$B$1000),INDEX('Raw Provisioning'!$B$2:$B$1000,ROWS($A$5:A72)-COUNTA('Raw Decommissioning'!$B$2:$B$1000)),""))</x:f>
        <x:v>CSSP10177449</x:v>
      </x:c>
      <x:c r="B72" s="163" t="str">
        <x:f>IF(A72="","",IF(ROWS($A$5:A72)&lt;=COUNTA('Raw Decommissioning'!$B$2:$B$1000),"Decommissioning","Provisioning"))</x:f>
        <x:v>Decommissioning</x:v>
      </x:c>
      <x:c r="C72" s="163" t="str">
        <x:f>IF(A72="","",IF(B72="Decommissioning",IFERROR(INDEX('Raw Decommissioning'!$E$2:$E$1000,MATCH(A72,'Raw Decommissioning'!$B$2:$B$1000,0)),"Missing from latest raw"),IFERROR(INDEX('Raw Provisioning'!$E$2:$E$1000,MATCH(A72,'Raw Provisioning'!$B$2:$B$1000,0)),"Missing from latest raw")))</x:f>
        <x:v>completed</x:v>
      </x:c>
      <x:c r="D72" s="164" t="n">
        <x:f>IF(A72="","",'Refresh Control'!$B$4)</x:f>
        <x:v>46254</x:v>
      </x:c>
      <x:c r="E72" s="164" t="n">
        <x:f>IF(A72="","",IF(B72="Decommissioning",INDEX('Raw Decommissioning'!$F$2:$F$1000,ROWS($A$5:A72)),INDEX('Raw Provisioning'!$F$2:$F$1000,ROWS($A$5:A72)-COUNTA('Raw Decommissioning'!$B$2:$B$1000))))</x:f>
        <x:v>46045.056981354166</x:v>
      </x:c>
      <x:c r="F72" s="164" t="n">
        <x:f>IF(A72="","",IF(B72="Decommissioning",INDEX('Raw Decommissioning'!$G$2:$G$1000,ROWS($A$5:A72)),INDEX('Raw Provisioning'!$H$2:$H$1000,ROWS($A$5:A72)-COUNTA('Raw Decommissioning'!$B$2:$B$1000))))</x:f>
        <x:v>46086.08018722222</x:v>
      </x:c>
      <x:c r="G72" s="165" t="str">
        <x:f>IF(A72="","",IF(B72="Decommissioning",INDEX('Raw Decommissioning'!$I$2:$I$1000,ROWS($A$5:A72)),INDEX('Raw Provisioning'!$J$2:$J$1000,ROWS($A$5:A72)-COUNTA('Raw Decommissioning'!$B$2:$B$1000))))</x:f>
        <x:v>Winglue</x:v>
      </x:c>
      <x:c r="H72" s="165" t="str">
        <x:f>IF(A72="","",IF(B72="Decommissioning",INDEX('Raw Decommissioning'!$J$2:$J$1000,ROWS($A$5:A72)),INDEX('Raw Provisioning'!$L$2:$L$1000,ROWS($A$5:A72)-COUNTA('Raw Decommissioning'!$B$2:$B$1000))))</x:f>
        <x:v>OCI MIGRATION - WINGLUE</x:v>
      </x:c>
      <x:c r="I72" s="165" t="str">
        <x:f>IF(A72="","",IF(B72="Decommissioning",INDEX('Raw Decommissioning'!$AL$2:$AL$1000,ROWS($A$5:A72)),INDEX('Raw Provisioning'!$R$2:$R$1000,ROWS($A$5:A72)-COUNTA('Raw Decommissioning'!$B$2:$B$1000))))</x:f>
        <x:v>M</x:v>
      </x:c>
      <x:c r="J72" s="165" t="str">
        <x:f>IF(A72="","",IF(B72="Decommissioning",INDEX('Raw Decommissioning'!$AG$2:$AG$1000,ROWS($A$5:A72)),INDEX('Raw Provisioning'!$AI$2:$AI$1000,ROWS($A$5:A72)-COUNTA('Raw Decommissioning'!$B$2:$B$1000))))</x:f>
        <x:v>azlisham.md@petronas.com</x:v>
      </x:c>
      <x:c r="K72" s="166" t="str">
        <x:f>IF(A72="","",IFERROR(LOOKUP(2,1/('Assignment History'!$B$5:$B$204=A72),'Assignment History'!$D$5:$D$204),IFERROR(VLOOKUP(J72,Configuration!$L$5:$M$50,2,FALSE),J72)))</x:f>
        <x:v>azlisham.md@petronas.com</x:v>
      </x:c>
      <x:c r="L72" s="166" t="str">
        <x:f>IF(A72="","",IF(K72=IFERROR(VLOOKUP(J72,Configuration!$L$5:$M$50,2,FALSE),J72),"Snapshot PIC","Replacement PIC"))</x:f>
        <x:v>Snapshot PIC</x:v>
      </x:c>
      <x:c r="M72" s="167" t="n">
        <x:f>IF(A72="","",IFERROR(VLOOKUP(I72,Configuration!$O$5:$P$8,2,FALSE),Configuration!$S$6))</x:f>
        <x:v>2</x:v>
      </x:c>
      <x:c r="N72" s="167" t="str">
        <x:f>IF(A72="","",IFERROR(LOOKUP(2,1/('Scope Review'!$B$5:$B$204=A72),'Scope Review'!$G$5:$G$204),"Not Reviewed"))</x:f>
        <x:v>Not Reviewed</x:v>
      </x:c>
      <x:c r="O72" s="167" t="str">
        <x:f>IF(A72="","",IFERROR(LOOKUP(2,1/('Scope Review'!$B$5:$B$204=A72),'Scope Review'!$H$5:$H$204),""))</x:f>
      </x:c>
      <x:c r="P72" s="167" t="n">
        <x:f t="shared" si="4">IF(A72="","",IF(AND(C72="executing",N72&lt;&gt;"Confirmed OOS"),M72,0))</x:f>
        <x:v>0</x:v>
      </x:c>
      <x:c r="Q72" s="168" t="str">
        <x:f>IF(A72="","",IFERROR(LOOKUP(2,1/('Engineer Updates'!$B$5:$B$704=A72),'Engineer Updates'!$A$5:$A$704),""))</x:f>
      </x:c>
      <x:c r="R72" s="166" t="str">
        <x:f>IF(A72="","",IFERROR(LOOKUP(2,1/('Engineer Updates'!$B$5:$B$704=A72),'Engineer Updates'!$H$5:$H$704),""))</x:f>
      </x:c>
      <x:c r="S72" s="166" t="str">
        <x:f>IF(A72="","",IFERROR(LOOKUP(2,1/('Engineer Updates'!$B$5:$B$704=A72),'Engineer Updates'!$G$5:$G$704),""))</x:f>
      </x:c>
      <x:c r="T72" s="166" t="str">
        <x:f>IF(A72="","",IFERROR(LOOKUP(2,1/('Engineer Updates'!$B$5:$B$704=A72),'Engineer Updates'!$I$5:$I$704),""))</x:f>
      </x:c>
      <x:c r="U72" s="166" t="str">
        <x:f>IF(A72="","",IFERROR(LOOKUP(2,1/('Engineer Updates'!$B$5:$B$704=A72),'Engineer Updates'!$J$5:$J$704),""))</x:f>
      </x:c>
      <x:c r="V72" s="166" t="str">
        <x:f>IF(A72="","",IFERROR(LOOKUP(2,1/('Engineer Updates'!$B$5:$B$704=A72),'Engineer Updates'!$K$5:$K$704),""))</x:f>
      </x:c>
      <x:c r="W72" s="169" t="str">
        <x:f>IF(A72="","",IFERROR(LOOKUP(2,1/('Engineer Updates'!$B$5:$B$704=A72),'Engineer Updates'!$L$5:$L$704),""))</x:f>
      </x:c>
      <x:c r="X72" s="163" t="str">
        <x:f t="shared" si="5">IF(A72="","",IF(C72="completed","Completed in CSSP",IF(AND(C72="executing",ISERROR(SEARCH("@",K72))),"Executing without named engineer",IF(AND(N72="Confirmed OOS",C72="executing"),"Confirmed OOS still executing",""))))</x:f>
        <x:v>Completed in CSSP</x:v>
      </x:c>
      <x:c r="Y72" s="163" t="str">
        <x:f>IF(A72="","",IF(B72="Decommissioning","Raw Decommissioning","Raw Provisioning"))</x:f>
        <x:v>Raw Decommissioning</x:v>
      </x:c>
      <x:c r="Z72" s="170" t="str">
        <x:f>IF(A72="","",IF(OR(C72="executing",C72="processing"),"Yes","No"))</x:f>
        <x:v>No</x:v>
      </x:c>
    </x:row>
    <x:row r="73" ht="30">
      <x:c r="A73" s="163" t="str">
        <x:f>IF(ROWS($A$5:A73)&lt;=COUNTA('Raw Decommissioning'!$B$2:$B$1000),INDEX('Raw Decommissioning'!$B$2:$B$1000,ROWS($A$5:A73)),IF(ROWS($A$5:A73)-COUNTA('Raw Decommissioning'!$B$2:$B$1000)&lt;=COUNTA('Raw Provisioning'!$B$2:$B$1000),INDEX('Raw Provisioning'!$B$2:$B$1000,ROWS($A$5:A73)-COUNTA('Raw Decommissioning'!$B$2:$B$1000)),""))</x:f>
        <x:v>CSSP10521638</x:v>
      </x:c>
      <x:c r="B73" s="163" t="str">
        <x:f>IF(A73="","",IF(ROWS($A$5:A73)&lt;=COUNTA('Raw Decommissioning'!$B$2:$B$1000),"Decommissioning","Provisioning"))</x:f>
        <x:v>Decommissioning</x:v>
      </x:c>
      <x:c r="C73" s="163" t="str">
        <x:f>IF(A73="","",IF(B73="Decommissioning",IFERROR(INDEX('Raw Decommissioning'!$E$2:$E$1000,MATCH(A73,'Raw Decommissioning'!$B$2:$B$1000,0)),"Missing from latest raw"),IFERROR(INDEX('Raw Provisioning'!$E$2:$E$1000,MATCH(A73,'Raw Provisioning'!$B$2:$B$1000,0)),"Missing from latest raw")))</x:f>
        <x:v>rejected</x:v>
      </x:c>
      <x:c r="D73" s="164" t="n">
        <x:f>IF(A73="","",'Refresh Control'!$B$4)</x:f>
        <x:v>46254</x:v>
      </x:c>
      <x:c r="E73" s="164" t="n">
        <x:f>IF(A73="","",IF(B73="Decommissioning",INDEX('Raw Decommissioning'!$F$2:$F$1000,ROWS($A$5:A73)),INDEX('Raw Provisioning'!$F$2:$F$1000,ROWS($A$5:A73)-COUNTA('Raw Decommissioning'!$B$2:$B$1000))))</x:f>
        <x:v>46045.05726483796</x:v>
      </x:c>
      <x:c r="F73" s="164" t="n">
        <x:f>IF(A73="","",IF(B73="Decommissioning",INDEX('Raw Decommissioning'!$G$2:$G$1000,ROWS($A$5:A73)),INDEX('Raw Provisioning'!$H$2:$H$1000,ROWS($A$5:A73)-COUNTA('Raw Decommissioning'!$B$2:$B$1000))))</x:f>
        <x:v>46045.07939284722</x:v>
      </x:c>
      <x:c r="G73" s="165" t="str">
        <x:f>IF(A73="","",IF(B73="Decommissioning",INDEX('Raw Decommissioning'!$I$2:$I$1000,ROWS($A$5:A73)),INDEX('Raw Provisioning'!$J$2:$J$1000,ROWS($A$5:A73)-COUNTA('Raw Decommissioning'!$B$2:$B$1000))))</x:f>
        <x:v>IDAMS / WINCAIRS PMA</x:v>
      </x:c>
      <x:c r="H73" s="165" t="str">
        <x:f>IF(A73="","",IF(B73="Decommissioning",INDEX('Raw Decommissioning'!$J$2:$J$1000,ROWS($A$5:A73)),INDEX('Raw Provisioning'!$L$2:$L$1000,ROWS($A$5:A73)-COUNTA('Raw Decommissioning'!$B$2:$B$1000))))</x:f>
        <x:v>OCI MIGRATION - IDAMS (PMA)</x:v>
      </x:c>
      <x:c r="I73" s="165" t="str">
        <x:f>IF(A73="","",IF(B73="Decommissioning",INDEX('Raw Decommissioning'!$AL$2:$AL$1000,ROWS($A$5:A73)),INDEX('Raw Provisioning'!$R$2:$R$1000,ROWS($A$5:A73)-COUNTA('Raw Decommissioning'!$B$2:$B$1000))))</x:f>
      </x:c>
      <x:c r="J73" s="165" t="str">
        <x:f>IF(A73="","",IF(B73="Decommissioning",INDEX('Raw Decommissioning'!$AG$2:$AG$1000,ROWS($A$5:A73)),INDEX('Raw Provisioning'!$AI$2:$AI$1000,ROWS($A$5:A73)-COUNTA('Raw Decommissioning'!$B$2:$B$1000))))</x:f>
        <x:v>CCoE Business</x:v>
      </x:c>
      <x:c r="K73" s="166" t="str">
        <x:f>IF(A73="","",IFERROR(LOOKUP(2,1/('Assignment History'!$B$5:$B$204=A73),'Assignment History'!$D$5:$D$204),IFERROR(VLOOKUP(J73,Configuration!$L$5:$M$50,2,FALSE),J73)))</x:f>
        <x:v>CCoE Business</x:v>
      </x:c>
      <x:c r="L73" s="166" t="str">
        <x:f>IF(A73="","",IF(K73=IFERROR(VLOOKUP(J73,Configuration!$L$5:$M$50,2,FALSE),J73),"Snapshot PIC","Replacement PIC"))</x:f>
        <x:v>Snapshot PIC</x:v>
      </x:c>
      <x:c r="M73" s="167" t="n">
        <x:f>IF(A73="","",IFERROR(VLOOKUP(I73,Configuration!$O$5:$P$8,2,FALSE),Configuration!$S$6))</x:f>
        <x:v>2</x:v>
      </x:c>
      <x:c r="N73" s="167" t="str">
        <x:f>IF(A73="","",IFERROR(LOOKUP(2,1/('Scope Review'!$B$5:$B$204=A73),'Scope Review'!$G$5:$G$204),"Not Reviewed"))</x:f>
        <x:v>Not Reviewed</x:v>
      </x:c>
      <x:c r="O73" s="167" t="str">
        <x:f>IF(A73="","",IFERROR(LOOKUP(2,1/('Scope Review'!$B$5:$B$204=A73),'Scope Review'!$H$5:$H$204),""))</x:f>
      </x:c>
      <x:c r="P73" s="167" t="n">
        <x:f t="shared" si="4">IF(A73="","",IF(AND(C73="executing",N73&lt;&gt;"Confirmed OOS"),M73,0))</x:f>
        <x:v>0</x:v>
      </x:c>
      <x:c r="Q73" s="168" t="str">
        <x:f>IF(A73="","",IFERROR(LOOKUP(2,1/('Engineer Updates'!$B$5:$B$704=A73),'Engineer Updates'!$A$5:$A$704),""))</x:f>
      </x:c>
      <x:c r="R73" s="166" t="str">
        <x:f>IF(A73="","",IFERROR(LOOKUP(2,1/('Engineer Updates'!$B$5:$B$704=A73),'Engineer Updates'!$H$5:$H$704),""))</x:f>
      </x:c>
      <x:c r="S73" s="166" t="str">
        <x:f>IF(A73="","",IFERROR(LOOKUP(2,1/('Engineer Updates'!$B$5:$B$704=A73),'Engineer Updates'!$G$5:$G$704),""))</x:f>
      </x:c>
      <x:c r="T73" s="166" t="str">
        <x:f>IF(A73="","",IFERROR(LOOKUP(2,1/('Engineer Updates'!$B$5:$B$704=A73),'Engineer Updates'!$I$5:$I$704),""))</x:f>
      </x:c>
      <x:c r="U73" s="166" t="str">
        <x:f>IF(A73="","",IFERROR(LOOKUP(2,1/('Engineer Updates'!$B$5:$B$704=A73),'Engineer Updates'!$J$5:$J$704),""))</x:f>
      </x:c>
      <x:c r="V73" s="166" t="str">
        <x:f>IF(A73="","",IFERROR(LOOKUP(2,1/('Engineer Updates'!$B$5:$B$704=A73),'Engineer Updates'!$K$5:$K$704),""))</x:f>
      </x:c>
      <x:c r="W73" s="169" t="str">
        <x:f>IF(A73="","",IFERROR(LOOKUP(2,1/('Engineer Updates'!$B$5:$B$704=A73),'Engineer Updates'!$L$5:$L$704),""))</x:f>
      </x:c>
      <x:c r="X73" s="163" t="str">
        <x:f t="shared" si="5">IF(A73="","",IF(C73="completed","Completed in CSSP",IF(AND(C73="executing",ISERROR(SEARCH("@",K73))),"Executing without named engineer",IF(AND(N73="Confirmed OOS",C73="executing"),"Confirmed OOS still executing",""))))</x:f>
      </x:c>
      <x:c r="Y73" s="163" t="str">
        <x:f>IF(A73="","",IF(B73="Decommissioning","Raw Decommissioning","Raw Provisioning"))</x:f>
        <x:v>Raw Decommissioning</x:v>
      </x:c>
      <x:c r="Z73" s="170" t="str">
        <x:f>IF(A73="","",IF(OR(C73="executing",C73="processing"),"Yes","No"))</x:f>
        <x:v>No</x:v>
      </x:c>
    </x:row>
    <x:row r="74" ht="30">
      <x:c r="A74" s="163" t="str">
        <x:f>IF(ROWS($A$5:A74)&lt;=COUNTA('Raw Decommissioning'!$B$2:$B$1000),INDEX('Raw Decommissioning'!$B$2:$B$1000,ROWS($A$5:A74)),IF(ROWS($A$5:A74)-COUNTA('Raw Decommissioning'!$B$2:$B$1000)&lt;=COUNTA('Raw Provisioning'!$B$2:$B$1000),INDEX('Raw Provisioning'!$B$2:$B$1000,ROWS($A$5:A74)-COUNTA('Raw Decommissioning'!$B$2:$B$1000)),""))</x:f>
        <x:v>CSSP10603924</x:v>
      </x:c>
      <x:c r="B74" s="163" t="str">
        <x:f>IF(A74="","",IF(ROWS($A$5:A74)&lt;=COUNTA('Raw Decommissioning'!$B$2:$B$1000),"Decommissioning","Provisioning"))</x:f>
        <x:v>Decommissioning</x:v>
      </x:c>
      <x:c r="C74" s="163" t="str">
        <x:f>IF(A74="","",IF(B74="Decommissioning",IFERROR(INDEX('Raw Decommissioning'!$E$2:$E$1000,MATCH(A74,'Raw Decommissioning'!$B$2:$B$1000,0)),"Missing from latest raw"),IFERROR(INDEX('Raw Provisioning'!$E$2:$E$1000,MATCH(A74,'Raw Provisioning'!$B$2:$B$1000,0)),"Missing from latest raw")))</x:f>
        <x:v>completed</x:v>
      </x:c>
      <x:c r="D74" s="164" t="n">
        <x:f>IF(A74="","",'Refresh Control'!$B$4)</x:f>
        <x:v>46254</x:v>
      </x:c>
      <x:c r="E74" s="164" t="n">
        <x:f>IF(A74="","",IF(B74="Decommissioning",INDEX('Raw Decommissioning'!$F$2:$F$1000,ROWS($A$5:A74)),INDEX('Raw Provisioning'!$F$2:$F$1000,ROWS($A$5:A74)-COUNTA('Raw Decommissioning'!$B$2:$B$1000))))</x:f>
        <x:v>46045.05746077546</x:v>
      </x:c>
      <x:c r="F74" s="164" t="n">
        <x:f>IF(A74="","",IF(B74="Decommissioning",INDEX('Raw Decommissioning'!$G$2:$G$1000,ROWS($A$5:A74)),INDEX('Raw Provisioning'!$H$2:$H$1000,ROWS($A$5:A74)-COUNTA('Raw Decommissioning'!$B$2:$B$1000))))</x:f>
        <x:v>46051.16171277778</x:v>
      </x:c>
      <x:c r="G74" s="165" t="str">
        <x:f>IF(A74="","",IF(B74="Decommissioning",INDEX('Raw Decommissioning'!$I$2:$I$1000,ROWS($A$5:A74)),INDEX('Raw Provisioning'!$J$2:$J$1000,ROWS($A$5:A74)-COUNTA('Raw Decommissioning'!$B$2:$B$1000))))</x:f>
        <x:v>IDAMS / WINCAIRS SKO</x:v>
      </x:c>
      <x:c r="H74" s="165" t="str">
        <x:f>IF(A74="","",IF(B74="Decommissioning",INDEX('Raw Decommissioning'!$J$2:$J$1000,ROWS($A$5:A74)),INDEX('Raw Provisioning'!$L$2:$L$1000,ROWS($A$5:A74)-COUNTA('Raw Decommissioning'!$B$2:$B$1000))))</x:f>
        <x:v>OCI MIGRATION - IDAMS (SKO)</x:v>
      </x:c>
      <x:c r="I74" s="165" t="str">
        <x:f>IF(A74="","",IF(B74="Decommissioning",INDEX('Raw Decommissioning'!$AL$2:$AL$1000,ROWS($A$5:A74)),INDEX('Raw Provisioning'!$R$2:$R$1000,ROWS($A$5:A74)-COUNTA('Raw Decommissioning'!$B$2:$B$1000))))</x:f>
        <x:v>M</x:v>
      </x:c>
      <x:c r="J74" s="165" t="str">
        <x:f>IF(A74="","",IF(B74="Decommissioning",INDEX('Raw Decommissioning'!$AG$2:$AG$1000,ROWS($A$5:A74)),INDEX('Raw Provisioning'!$AI$2:$AI$1000,ROWS($A$5:A74)-COUNTA('Raw Decommissioning'!$B$2:$B$1000))))</x:f>
        <x:v>azwan.badari@petronas.com</x:v>
      </x:c>
      <x:c r="K74" s="166" t="str">
        <x:f>IF(A74="","",IFERROR(LOOKUP(2,1/('Assignment History'!$B$5:$B$204=A74),'Assignment History'!$D$5:$D$204),IFERROR(VLOOKUP(J74,Configuration!$L$5:$M$50,2,FALSE),J74)))</x:f>
        <x:v>azwan.badari@petronas.com</x:v>
      </x:c>
      <x:c r="L74" s="166" t="str">
        <x:f>IF(A74="","",IF(K74=IFERROR(VLOOKUP(J74,Configuration!$L$5:$M$50,2,FALSE),J74),"Snapshot PIC","Replacement PIC"))</x:f>
        <x:v>Snapshot PIC</x:v>
      </x:c>
      <x:c r="M74" s="167" t="n">
        <x:f>IF(A74="","",IFERROR(VLOOKUP(I74,Configuration!$O$5:$P$8,2,FALSE),Configuration!$S$6))</x:f>
        <x:v>2</x:v>
      </x:c>
      <x:c r="N74" s="167" t="str">
        <x:f>IF(A74="","",IFERROR(LOOKUP(2,1/('Scope Review'!$B$5:$B$204=A74),'Scope Review'!$G$5:$G$204),"Not Reviewed"))</x:f>
        <x:v>Not Reviewed</x:v>
      </x:c>
      <x:c r="O74" s="167" t="str">
        <x:f>IF(A74="","",IFERROR(LOOKUP(2,1/('Scope Review'!$B$5:$B$204=A74),'Scope Review'!$H$5:$H$204),""))</x:f>
      </x:c>
      <x:c r="P74" s="167" t="n">
        <x:f t="shared" si="4">IF(A74="","",IF(AND(C74="executing",N74&lt;&gt;"Confirmed OOS"),M74,0))</x:f>
        <x:v>0</x:v>
      </x:c>
      <x:c r="Q74" s="168" t="str">
        <x:f>IF(A74="","",IFERROR(LOOKUP(2,1/('Engineer Updates'!$B$5:$B$704=A74),'Engineer Updates'!$A$5:$A$704),""))</x:f>
      </x:c>
      <x:c r="R74" s="166" t="str">
        <x:f>IF(A74="","",IFERROR(LOOKUP(2,1/('Engineer Updates'!$B$5:$B$704=A74),'Engineer Updates'!$H$5:$H$704),""))</x:f>
      </x:c>
      <x:c r="S74" s="166" t="str">
        <x:f>IF(A74="","",IFERROR(LOOKUP(2,1/('Engineer Updates'!$B$5:$B$704=A74),'Engineer Updates'!$G$5:$G$704),""))</x:f>
      </x:c>
      <x:c r="T74" s="166" t="str">
        <x:f>IF(A74="","",IFERROR(LOOKUP(2,1/('Engineer Updates'!$B$5:$B$704=A74),'Engineer Updates'!$I$5:$I$704),""))</x:f>
      </x:c>
      <x:c r="U74" s="166" t="str">
        <x:f>IF(A74="","",IFERROR(LOOKUP(2,1/('Engineer Updates'!$B$5:$B$704=A74),'Engineer Updates'!$J$5:$J$704),""))</x:f>
      </x:c>
      <x:c r="V74" s="166" t="str">
        <x:f>IF(A74="","",IFERROR(LOOKUP(2,1/('Engineer Updates'!$B$5:$B$704=A74),'Engineer Updates'!$K$5:$K$704),""))</x:f>
      </x:c>
      <x:c r="W74" s="169" t="str">
        <x:f>IF(A74="","",IFERROR(LOOKUP(2,1/('Engineer Updates'!$B$5:$B$704=A74),'Engineer Updates'!$L$5:$L$704),""))</x:f>
      </x:c>
      <x:c r="X74" s="163" t="str">
        <x:f t="shared" si="5">IF(A74="","",IF(C74="completed","Completed in CSSP",IF(AND(C74="executing",ISERROR(SEARCH("@",K74))),"Executing without named engineer",IF(AND(N74="Confirmed OOS",C74="executing"),"Confirmed OOS still executing",""))))</x:f>
        <x:v>Completed in CSSP</x:v>
      </x:c>
      <x:c r="Y74" s="163" t="str">
        <x:f>IF(A74="","",IF(B74="Decommissioning","Raw Decommissioning","Raw Provisioning"))</x:f>
        <x:v>Raw Decommissioning</x:v>
      </x:c>
      <x:c r="Z74" s="170" t="str">
        <x:f>IF(A74="","",IF(OR(C74="executing",C74="processing"),"Yes","No"))</x:f>
        <x:v>No</x:v>
      </x:c>
    </x:row>
    <x:row r="75" ht="30">
      <x:c r="A75" s="163" t="str">
        <x:f>IF(ROWS($A$5:A75)&lt;=COUNTA('Raw Decommissioning'!$B$2:$B$1000),INDEX('Raw Decommissioning'!$B$2:$B$1000,ROWS($A$5:A75)),IF(ROWS($A$5:A75)-COUNTA('Raw Decommissioning'!$B$2:$B$1000)&lt;=COUNTA('Raw Provisioning'!$B$2:$B$1000),INDEX('Raw Provisioning'!$B$2:$B$1000,ROWS($A$5:A75)-COUNTA('Raw Decommissioning'!$B$2:$B$1000)),""))</x:f>
        <x:v>CSSP10705796</x:v>
      </x:c>
      <x:c r="B75" s="163" t="str">
        <x:f>IF(A75="","",IF(ROWS($A$5:A75)&lt;=COUNTA('Raw Decommissioning'!$B$2:$B$1000),"Decommissioning","Provisioning"))</x:f>
        <x:v>Decommissioning</x:v>
      </x:c>
      <x:c r="C75" s="163" t="str">
        <x:f>IF(A75="","",IF(B75="Decommissioning",IFERROR(INDEX('Raw Decommissioning'!$E$2:$E$1000,MATCH(A75,'Raw Decommissioning'!$B$2:$B$1000,0)),"Missing from latest raw"),IFERROR(INDEX('Raw Provisioning'!$E$2:$E$1000,MATCH(A75,'Raw Provisioning'!$B$2:$B$1000,0)),"Missing from latest raw")))</x:f>
        <x:v>completed</x:v>
      </x:c>
      <x:c r="D75" s="164" t="n">
        <x:f>IF(A75="","",'Refresh Control'!$B$4)</x:f>
        <x:v>46254</x:v>
      </x:c>
      <x:c r="E75" s="164" t="n">
        <x:f>IF(A75="","",IF(B75="Decommissioning",INDEX('Raw Decommissioning'!$F$2:$F$1000,ROWS($A$5:A75)),INDEX('Raw Provisioning'!$F$2:$F$1000,ROWS($A$5:A75)-COUNTA('Raw Decommissioning'!$B$2:$B$1000))))</x:f>
        <x:v>46045.05846983796</x:v>
      </x:c>
      <x:c r="F75" s="164" t="n">
        <x:f>IF(A75="","",IF(B75="Decommissioning",INDEX('Raw Decommissioning'!$G$2:$G$1000,ROWS($A$5:A75)),INDEX('Raw Provisioning'!$H$2:$H$1000,ROWS($A$5:A75)-COUNTA('Raw Decommissioning'!$B$2:$B$1000))))</x:f>
        <x:v>46051.161858113424</x:v>
      </x:c>
      <x:c r="G75" s="165" t="str">
        <x:f>IF(A75="","",IF(B75="Decommissioning",INDEX('Raw Decommissioning'!$I$2:$I$1000,ROWS($A$5:A75)),INDEX('Raw Provisioning'!$J$2:$J$1000,ROWS($A$5:A75)-COUNTA('Raw Decommissioning'!$B$2:$B$1000))))</x:f>
        <x:v>IDAMS / WINCAIRS SBO</x:v>
      </x:c>
      <x:c r="H75" s="165" t="str">
        <x:f>IF(A75="","",IF(B75="Decommissioning",INDEX('Raw Decommissioning'!$J$2:$J$1000,ROWS($A$5:A75)),INDEX('Raw Provisioning'!$L$2:$L$1000,ROWS($A$5:A75)-COUNTA('Raw Decommissioning'!$B$2:$B$1000))))</x:f>
        <x:v>OCI MIGRATION - IDAMS (SBO)</x:v>
      </x:c>
      <x:c r="I75" s="165" t="str">
        <x:f>IF(A75="","",IF(B75="Decommissioning",INDEX('Raw Decommissioning'!$AL$2:$AL$1000,ROWS($A$5:A75)),INDEX('Raw Provisioning'!$R$2:$R$1000,ROWS($A$5:A75)-COUNTA('Raw Decommissioning'!$B$2:$B$1000))))</x:f>
        <x:v>M</x:v>
      </x:c>
      <x:c r="J75" s="165" t="str">
        <x:f>IF(A75="","",IF(B75="Decommissioning",INDEX('Raw Decommissioning'!$AG$2:$AG$1000,ROWS($A$5:A75)),INDEX('Raw Provisioning'!$AI$2:$AI$1000,ROWS($A$5:A75)-COUNTA('Raw Decommissioning'!$B$2:$B$1000))))</x:f>
        <x:v>azwan.badari@petronas.com</x:v>
      </x:c>
      <x:c r="K75" s="166" t="str">
        <x:f>IF(A75="","",IFERROR(LOOKUP(2,1/('Assignment History'!$B$5:$B$204=A75),'Assignment History'!$D$5:$D$204),IFERROR(VLOOKUP(J75,Configuration!$L$5:$M$50,2,FALSE),J75)))</x:f>
        <x:v>azwan.badari@petronas.com</x:v>
      </x:c>
      <x:c r="L75" s="166" t="str">
        <x:f>IF(A75="","",IF(K75=IFERROR(VLOOKUP(J75,Configuration!$L$5:$M$50,2,FALSE),J75),"Snapshot PIC","Replacement PIC"))</x:f>
        <x:v>Snapshot PIC</x:v>
      </x:c>
      <x:c r="M75" s="167" t="n">
        <x:f>IF(A75="","",IFERROR(VLOOKUP(I75,Configuration!$O$5:$P$8,2,FALSE),Configuration!$S$6))</x:f>
        <x:v>2</x:v>
      </x:c>
      <x:c r="N75" s="167" t="str">
        <x:f>IF(A75="","",IFERROR(LOOKUP(2,1/('Scope Review'!$B$5:$B$204=A75),'Scope Review'!$G$5:$G$204),"Not Reviewed"))</x:f>
        <x:v>Not Reviewed</x:v>
      </x:c>
      <x:c r="O75" s="167" t="str">
        <x:f>IF(A75="","",IFERROR(LOOKUP(2,1/('Scope Review'!$B$5:$B$204=A75),'Scope Review'!$H$5:$H$204),""))</x:f>
      </x:c>
      <x:c r="P75" s="167" t="n">
        <x:f t="shared" si="4">IF(A75="","",IF(AND(C75="executing",N75&lt;&gt;"Confirmed OOS"),M75,0))</x:f>
        <x:v>0</x:v>
      </x:c>
      <x:c r="Q75" s="168" t="str">
        <x:f>IF(A75="","",IFERROR(LOOKUP(2,1/('Engineer Updates'!$B$5:$B$704=A75),'Engineer Updates'!$A$5:$A$704),""))</x:f>
      </x:c>
      <x:c r="R75" s="166" t="str">
        <x:f>IF(A75="","",IFERROR(LOOKUP(2,1/('Engineer Updates'!$B$5:$B$704=A75),'Engineer Updates'!$H$5:$H$704),""))</x:f>
      </x:c>
      <x:c r="S75" s="166" t="str">
        <x:f>IF(A75="","",IFERROR(LOOKUP(2,1/('Engineer Updates'!$B$5:$B$704=A75),'Engineer Updates'!$G$5:$G$704),""))</x:f>
      </x:c>
      <x:c r="T75" s="166" t="str">
        <x:f>IF(A75="","",IFERROR(LOOKUP(2,1/('Engineer Updates'!$B$5:$B$704=A75),'Engineer Updates'!$I$5:$I$704),""))</x:f>
      </x:c>
      <x:c r="U75" s="166" t="str">
        <x:f>IF(A75="","",IFERROR(LOOKUP(2,1/('Engineer Updates'!$B$5:$B$704=A75),'Engineer Updates'!$J$5:$J$704),""))</x:f>
      </x:c>
      <x:c r="V75" s="166" t="str">
        <x:f>IF(A75="","",IFERROR(LOOKUP(2,1/('Engineer Updates'!$B$5:$B$704=A75),'Engineer Updates'!$K$5:$K$704),""))</x:f>
      </x:c>
      <x:c r="W75" s="169" t="str">
        <x:f>IF(A75="","",IFERROR(LOOKUP(2,1/('Engineer Updates'!$B$5:$B$704=A75),'Engineer Updates'!$L$5:$L$704),""))</x:f>
      </x:c>
      <x:c r="X75" s="163" t="str">
        <x:f t="shared" si="5">IF(A75="","",IF(C75="completed","Completed in CSSP",IF(AND(C75="executing",ISERROR(SEARCH("@",K75))),"Executing without named engineer",IF(AND(N75="Confirmed OOS",C75="executing"),"Confirmed OOS still executing",""))))</x:f>
        <x:v>Completed in CSSP</x:v>
      </x:c>
      <x:c r="Y75" s="163" t="str">
        <x:f>IF(A75="","",IF(B75="Decommissioning","Raw Decommissioning","Raw Provisioning"))</x:f>
        <x:v>Raw Decommissioning</x:v>
      </x:c>
      <x:c r="Z75" s="170" t="str">
        <x:f>IF(A75="","",IF(OR(C75="executing",C75="processing"),"Yes","No"))</x:f>
        <x:v>No</x:v>
      </x:c>
    </x:row>
    <x:row r="76" ht="30">
      <x:c r="A76" s="163" t="str">
        <x:f>IF(ROWS($A$5:A76)&lt;=COUNTA('Raw Decommissioning'!$B$2:$B$1000),INDEX('Raw Decommissioning'!$B$2:$B$1000,ROWS($A$5:A76)),IF(ROWS($A$5:A76)-COUNTA('Raw Decommissioning'!$B$2:$B$1000)&lt;=COUNTA('Raw Provisioning'!$B$2:$B$1000),INDEX('Raw Provisioning'!$B$2:$B$1000,ROWS($A$5:A76)-COUNTA('Raw Decommissioning'!$B$2:$B$1000)),""))</x:f>
        <x:v>CSSP10334029</x:v>
      </x:c>
      <x:c r="B76" s="163" t="str">
        <x:f>IF(A76="","",IF(ROWS($A$5:A76)&lt;=COUNTA('Raw Decommissioning'!$B$2:$B$1000),"Decommissioning","Provisioning"))</x:f>
        <x:v>Decommissioning</x:v>
      </x:c>
      <x:c r="C76" s="163" t="str">
        <x:f>IF(A76="","",IF(B76="Decommissioning",IFERROR(INDEX('Raw Decommissioning'!$E$2:$E$1000,MATCH(A76,'Raw Decommissioning'!$B$2:$B$1000,0)),"Missing from latest raw"),IFERROR(INDEX('Raw Provisioning'!$E$2:$E$1000,MATCH(A76,'Raw Provisioning'!$B$2:$B$1000,0)),"Missing from latest raw")))</x:f>
        <x:v>completed</x:v>
      </x:c>
      <x:c r="D76" s="164" t="n">
        <x:f>IF(A76="","",'Refresh Control'!$B$4)</x:f>
        <x:v>46254</x:v>
      </x:c>
      <x:c r="E76" s="164" t="n">
        <x:f>IF(A76="","",IF(B76="Decommissioning",INDEX('Raw Decommissioning'!$F$2:$F$1000,ROWS($A$5:A76)),INDEX('Raw Provisioning'!$F$2:$F$1000,ROWS($A$5:A76)-COUNTA('Raw Decommissioning'!$B$2:$B$1000))))</x:f>
        <x:v>46045.10757586805</x:v>
      </x:c>
      <x:c r="F76" s="164" t="n">
        <x:f>IF(A76="","",IF(B76="Decommissioning",INDEX('Raw Decommissioning'!$G$2:$G$1000,ROWS($A$5:A76)),INDEX('Raw Provisioning'!$H$2:$H$1000,ROWS($A$5:A76)-COUNTA('Raw Decommissioning'!$B$2:$B$1000))))</x:f>
        <x:v>46051.16224954861</x:v>
      </x:c>
      <x:c r="G76" s="165" t="str">
        <x:f>IF(A76="","",IF(B76="Decommissioning",INDEX('Raw Decommissioning'!$I$2:$I$1000,ROWS($A$5:A76)),INDEX('Raw Provisioning'!$J$2:$J$1000,ROWS($A$5:A76)-COUNTA('Raw Decommissioning'!$B$2:$B$1000))))</x:f>
        <x:v>IDAMS / WINCAIRS PMA</x:v>
      </x:c>
      <x:c r="H76" s="165" t="str">
        <x:f>IF(A76="","",IF(B76="Decommissioning",INDEX('Raw Decommissioning'!$J$2:$J$1000,ROWS($A$5:A76)),INDEX('Raw Provisioning'!$L$2:$L$1000,ROWS($A$5:A76)-COUNTA('Raw Decommissioning'!$B$2:$B$1000))))</x:f>
        <x:v>OCI MIGRATION - IDAMS (PMA)</x:v>
      </x:c>
      <x:c r="I76" s="165" t="str">
        <x:f>IF(A76="","",IF(B76="Decommissioning",INDEX('Raw Decommissioning'!$AL$2:$AL$1000,ROWS($A$5:A76)),INDEX('Raw Provisioning'!$R$2:$R$1000,ROWS($A$5:A76)-COUNTA('Raw Decommissioning'!$B$2:$B$1000))))</x:f>
        <x:v>M</x:v>
      </x:c>
      <x:c r="J76" s="165" t="str">
        <x:f>IF(A76="","",IF(B76="Decommissioning",INDEX('Raw Decommissioning'!$AG$2:$AG$1000,ROWS($A$5:A76)),INDEX('Raw Provisioning'!$AI$2:$AI$1000,ROWS($A$5:A76)-COUNTA('Raw Decommissioning'!$B$2:$B$1000))))</x:f>
        <x:v>azwan.badari@petronas.com</x:v>
      </x:c>
      <x:c r="K76" s="166" t="str">
        <x:f>IF(A76="","",IFERROR(LOOKUP(2,1/('Assignment History'!$B$5:$B$204=A76),'Assignment History'!$D$5:$D$204),IFERROR(VLOOKUP(J76,Configuration!$L$5:$M$50,2,FALSE),J76)))</x:f>
        <x:v>azwan.badari@petronas.com</x:v>
      </x:c>
      <x:c r="L76" s="166" t="str">
        <x:f>IF(A76="","",IF(K76=IFERROR(VLOOKUP(J76,Configuration!$L$5:$M$50,2,FALSE),J76),"Snapshot PIC","Replacement PIC"))</x:f>
        <x:v>Snapshot PIC</x:v>
      </x:c>
      <x:c r="M76" s="167" t="n">
        <x:f>IF(A76="","",IFERROR(VLOOKUP(I76,Configuration!$O$5:$P$8,2,FALSE),Configuration!$S$6))</x:f>
        <x:v>2</x:v>
      </x:c>
      <x:c r="N76" s="167" t="str">
        <x:f>IF(A76="","",IFERROR(LOOKUP(2,1/('Scope Review'!$B$5:$B$204=A76),'Scope Review'!$G$5:$G$204),"Not Reviewed"))</x:f>
        <x:v>Not Reviewed</x:v>
      </x:c>
      <x:c r="O76" s="167" t="str">
        <x:f>IF(A76="","",IFERROR(LOOKUP(2,1/('Scope Review'!$B$5:$B$204=A76),'Scope Review'!$H$5:$H$204),""))</x:f>
      </x:c>
      <x:c r="P76" s="167" t="n">
        <x:f t="shared" si="4">IF(A76="","",IF(AND(C76="executing",N76&lt;&gt;"Confirmed OOS"),M76,0))</x:f>
        <x:v>0</x:v>
      </x:c>
      <x:c r="Q76" s="168" t="str">
        <x:f>IF(A76="","",IFERROR(LOOKUP(2,1/('Engineer Updates'!$B$5:$B$704=A76),'Engineer Updates'!$A$5:$A$704),""))</x:f>
      </x:c>
      <x:c r="R76" s="166" t="str">
        <x:f>IF(A76="","",IFERROR(LOOKUP(2,1/('Engineer Updates'!$B$5:$B$704=A76),'Engineer Updates'!$H$5:$H$704),""))</x:f>
      </x:c>
      <x:c r="S76" s="166" t="str">
        <x:f>IF(A76="","",IFERROR(LOOKUP(2,1/('Engineer Updates'!$B$5:$B$704=A76),'Engineer Updates'!$G$5:$G$704),""))</x:f>
      </x:c>
      <x:c r="T76" s="166" t="str">
        <x:f>IF(A76="","",IFERROR(LOOKUP(2,1/('Engineer Updates'!$B$5:$B$704=A76),'Engineer Updates'!$I$5:$I$704),""))</x:f>
      </x:c>
      <x:c r="U76" s="166" t="str">
        <x:f>IF(A76="","",IFERROR(LOOKUP(2,1/('Engineer Updates'!$B$5:$B$704=A76),'Engineer Updates'!$J$5:$J$704),""))</x:f>
      </x:c>
      <x:c r="V76" s="166" t="str">
        <x:f>IF(A76="","",IFERROR(LOOKUP(2,1/('Engineer Updates'!$B$5:$B$704=A76),'Engineer Updates'!$K$5:$K$704),""))</x:f>
      </x:c>
      <x:c r="W76" s="169" t="str">
        <x:f>IF(A76="","",IFERROR(LOOKUP(2,1/('Engineer Updates'!$B$5:$B$704=A76),'Engineer Updates'!$L$5:$L$704),""))</x:f>
      </x:c>
      <x:c r="X76" s="163" t="str">
        <x:f t="shared" si="5">IF(A76="","",IF(C76="completed","Completed in CSSP",IF(AND(C76="executing",ISERROR(SEARCH("@",K76))),"Executing without named engineer",IF(AND(N76="Confirmed OOS",C76="executing"),"Confirmed OOS still executing",""))))</x:f>
        <x:v>Completed in CSSP</x:v>
      </x:c>
      <x:c r="Y76" s="163" t="str">
        <x:f>IF(A76="","",IF(B76="Decommissioning","Raw Decommissioning","Raw Provisioning"))</x:f>
        <x:v>Raw Decommissioning</x:v>
      </x:c>
      <x:c r="Z76" s="170" t="str">
        <x:f>IF(A76="","",IF(OR(C76="executing",C76="processing"),"Yes","No"))</x:f>
        <x:v>No</x:v>
      </x:c>
    </x:row>
    <x:row r="77">
      <x:c r="A77" s="163" t="str">
        <x:f>IF(ROWS($A$5:A77)&lt;=COUNTA('Raw Decommissioning'!$B$2:$B$1000),INDEX('Raw Decommissioning'!$B$2:$B$1000,ROWS($A$5:A77)),IF(ROWS($A$5:A77)-COUNTA('Raw Decommissioning'!$B$2:$B$1000)&lt;=COUNTA('Raw Provisioning'!$B$2:$B$1000),INDEX('Raw Provisioning'!$B$2:$B$1000,ROWS($A$5:A77)-COUNTA('Raw Decommissioning'!$B$2:$B$1000)),""))</x:f>
        <x:v>CSSP10303191</x:v>
      </x:c>
      <x:c r="B77" s="163" t="str">
        <x:f>IF(A77="","",IF(ROWS($A$5:A77)&lt;=COUNTA('Raw Decommissioning'!$B$2:$B$1000),"Decommissioning","Provisioning"))</x:f>
        <x:v>Decommissioning</x:v>
      </x:c>
      <x:c r="C77" s="163" t="str">
        <x:f>IF(A77="","",IF(B77="Decommissioning",IFERROR(INDEX('Raw Decommissioning'!$E$2:$E$1000,MATCH(A77,'Raw Decommissioning'!$B$2:$B$1000,0)),"Missing from latest raw"),IFERROR(INDEX('Raw Provisioning'!$E$2:$E$1000,MATCH(A77,'Raw Provisioning'!$B$2:$B$1000,0)),"Missing from latest raw")))</x:f>
        <x:v>completed</x:v>
      </x:c>
      <x:c r="D77" s="164" t="n">
        <x:f>IF(A77="","",'Refresh Control'!$B$4)</x:f>
        <x:v>46254</x:v>
      </x:c>
      <x:c r="E77" s="164" t="n">
        <x:f>IF(A77="","",IF(B77="Decommissioning",INDEX('Raw Decommissioning'!$F$2:$F$1000,ROWS($A$5:A77)),INDEX('Raw Provisioning'!$F$2:$F$1000,ROWS($A$5:A77)-COUNTA('Raw Decommissioning'!$B$2:$B$1000))))</x:f>
        <x:v>46048.090024606485</x:v>
      </x:c>
      <x:c r="F77" s="164" t="n">
        <x:f>IF(A77="","",IF(B77="Decommissioning",INDEX('Raw Decommissioning'!$G$2:$G$1000,ROWS($A$5:A77)),INDEX('Raw Provisioning'!$H$2:$H$1000,ROWS($A$5:A77)-COUNTA('Raw Decommissioning'!$B$2:$B$1000))))</x:f>
        <x:v>46052.14945298611</x:v>
      </x:c>
      <x:c r="G77" s="165" t="str">
        <x:f>IF(A77="","",IF(B77="Decommissioning",INDEX('Raw Decommissioning'!$I$2:$I$1000,ROWS($A$5:A77)),INDEX('Raw Provisioning'!$J$2:$J$1000,ROWS($A$5:A77)-COUNTA('Raw Decommissioning'!$B$2:$B$1000))))</x:f>
        <x:v>Upstream Real Time Data Program - URTD</x:v>
      </x:c>
      <x:c r="H77" s="165" t="str">
        <x:f>IF(A77="","",IF(B77="Decommissioning",INDEX('Raw Decommissioning'!$J$2:$J$1000,ROWS($A$5:A77)),INDEX('Raw Provisioning'!$L$2:$L$1000,ROWS($A$5:A77)-COUNTA('Raw Decommissioning'!$B$2:$B$1000))))</x:f>
        <x:v>Installation of Upstream Real Time Data Program (URTD) for Centre of Excellence, PCSB</x:v>
      </x:c>
      <x:c r="I77" s="165" t="str">
        <x:f>IF(A77="","",IF(B77="Decommissioning",INDEX('Raw Decommissioning'!$AL$2:$AL$1000,ROWS($A$5:A77)),INDEX('Raw Provisioning'!$R$2:$R$1000,ROWS($A$5:A77)-COUNTA('Raw Decommissioning'!$B$2:$B$1000))))</x:f>
        <x:v>S</x:v>
      </x:c>
      <x:c r="J77" s="165" t="str">
        <x:f>IF(A77="","",IF(B77="Decommissioning",INDEX('Raw Decommissioning'!$AG$2:$AG$1000,ROWS($A$5:A77)),INDEX('Raw Provisioning'!$AI$2:$AI$1000,ROWS($A$5:A77)-COUNTA('Raw Decommissioning'!$B$2:$B$1000))))</x:f>
        <x:v>abdullah.haziq@petronas.com</x:v>
      </x:c>
      <x:c r="K77" s="166" t="str">
        <x:f>IF(A77="","",IFERROR(LOOKUP(2,1/('Assignment History'!$B$5:$B$204=A77),'Assignment History'!$D$5:$D$204),IFERROR(VLOOKUP(J77,Configuration!$L$5:$M$50,2,FALSE),J77)))</x:f>
        <x:v>abdullah.haziq@petronas.com</x:v>
      </x:c>
      <x:c r="L77" s="166" t="str">
        <x:f>IF(A77="","",IF(K77=IFERROR(VLOOKUP(J77,Configuration!$L$5:$M$50,2,FALSE),J77),"Snapshot PIC","Replacement PIC"))</x:f>
        <x:v>Snapshot PIC</x:v>
      </x:c>
      <x:c r="M77" s="167" t="n">
        <x:f>IF(A77="","",IFERROR(VLOOKUP(I77,Configuration!$O$5:$P$8,2,FALSE),Configuration!$S$6))</x:f>
        <x:v>1</x:v>
      </x:c>
      <x:c r="N77" s="167" t="str">
        <x:f>IF(A77="","",IFERROR(LOOKUP(2,1/('Scope Review'!$B$5:$B$204=A77),'Scope Review'!$G$5:$G$204),"Not Reviewed"))</x:f>
        <x:v>Not Reviewed</x:v>
      </x:c>
      <x:c r="O77" s="167" t="str">
        <x:f>IF(A77="","",IFERROR(LOOKUP(2,1/('Scope Review'!$B$5:$B$204=A77),'Scope Review'!$H$5:$H$204),""))</x:f>
      </x:c>
      <x:c r="P77" s="167" t="n">
        <x:f t="shared" si="4">IF(A77="","",IF(AND(C77="executing",N77&lt;&gt;"Confirmed OOS"),M77,0))</x:f>
        <x:v>0</x:v>
      </x:c>
      <x:c r="Q77" s="168" t="str">
        <x:f>IF(A77="","",IFERROR(LOOKUP(2,1/('Engineer Updates'!$B$5:$B$704=A77),'Engineer Updates'!$A$5:$A$704),""))</x:f>
      </x:c>
      <x:c r="R77" s="166" t="str">
        <x:f>IF(A77="","",IFERROR(LOOKUP(2,1/('Engineer Updates'!$B$5:$B$704=A77),'Engineer Updates'!$H$5:$H$704),""))</x:f>
      </x:c>
      <x:c r="S77" s="166" t="str">
        <x:f>IF(A77="","",IFERROR(LOOKUP(2,1/('Engineer Updates'!$B$5:$B$704=A77),'Engineer Updates'!$G$5:$G$704),""))</x:f>
      </x:c>
      <x:c r="T77" s="166" t="str">
        <x:f>IF(A77="","",IFERROR(LOOKUP(2,1/('Engineer Updates'!$B$5:$B$704=A77),'Engineer Updates'!$I$5:$I$704),""))</x:f>
      </x:c>
      <x:c r="U77" s="166" t="str">
        <x:f>IF(A77="","",IFERROR(LOOKUP(2,1/('Engineer Updates'!$B$5:$B$704=A77),'Engineer Updates'!$J$5:$J$704),""))</x:f>
      </x:c>
      <x:c r="V77" s="166" t="str">
        <x:f>IF(A77="","",IFERROR(LOOKUP(2,1/('Engineer Updates'!$B$5:$B$704=A77),'Engineer Updates'!$K$5:$K$704),""))</x:f>
      </x:c>
      <x:c r="W77" s="169" t="str">
        <x:f>IF(A77="","",IFERROR(LOOKUP(2,1/('Engineer Updates'!$B$5:$B$704=A77),'Engineer Updates'!$L$5:$L$704),""))</x:f>
      </x:c>
      <x:c r="X77" s="163" t="str">
        <x:f t="shared" si="5">IF(A77="","",IF(C77="completed","Completed in CSSP",IF(AND(C77="executing",ISERROR(SEARCH("@",K77))),"Executing without named engineer",IF(AND(N77="Confirmed OOS",C77="executing"),"Confirmed OOS still executing",""))))</x:f>
        <x:v>Completed in CSSP</x:v>
      </x:c>
      <x:c r="Y77" s="163" t="str">
        <x:f>IF(A77="","",IF(B77="Decommissioning","Raw Decommissioning","Raw Provisioning"))</x:f>
        <x:v>Raw Decommissioning</x:v>
      </x:c>
      <x:c r="Z77" s="170" t="str">
        <x:f>IF(A77="","",IF(OR(C77="executing",C77="processing"),"Yes","No"))</x:f>
        <x:v>No</x:v>
      </x:c>
    </x:row>
    <x:row r="78" ht="30">
      <x:c r="A78" s="163" t="str">
        <x:f>IF(ROWS($A$5:A78)&lt;=COUNTA('Raw Decommissioning'!$B$2:$B$1000),INDEX('Raw Decommissioning'!$B$2:$B$1000,ROWS($A$5:A78)),IF(ROWS($A$5:A78)-COUNTA('Raw Decommissioning'!$B$2:$B$1000)&lt;=COUNTA('Raw Provisioning'!$B$2:$B$1000),INDEX('Raw Provisioning'!$B$2:$B$1000,ROWS($A$5:A78)-COUNTA('Raw Decommissioning'!$B$2:$B$1000)),""))</x:f>
        <x:v>CSSP10810813</x:v>
      </x:c>
      <x:c r="B78" s="163" t="str">
        <x:f>IF(A78="","",IF(ROWS($A$5:A78)&lt;=COUNTA('Raw Decommissioning'!$B$2:$B$1000),"Decommissioning","Provisioning"))</x:f>
        <x:v>Decommissioning</x:v>
      </x:c>
      <x:c r="C78" s="163" t="str">
        <x:f>IF(A78="","",IF(B78="Decommissioning",IFERROR(INDEX('Raw Decommissioning'!$E$2:$E$1000,MATCH(A78,'Raw Decommissioning'!$B$2:$B$1000,0)),"Missing from latest raw"),IFERROR(INDEX('Raw Provisioning'!$E$2:$E$1000,MATCH(A78,'Raw Provisioning'!$B$2:$B$1000,0)),"Missing from latest raw")))</x:f>
        <x:v>completed</x:v>
      </x:c>
      <x:c r="D78" s="164" t="n">
        <x:f>IF(A78="","",'Refresh Control'!$B$4)</x:f>
        <x:v>46254</x:v>
      </x:c>
      <x:c r="E78" s="164" t="n">
        <x:f>IF(A78="","",IF(B78="Decommissioning",INDEX('Raw Decommissioning'!$F$2:$F$1000,ROWS($A$5:A78)),INDEX('Raw Provisioning'!$F$2:$F$1000,ROWS($A$5:A78)-COUNTA('Raw Decommissioning'!$B$2:$B$1000))))</x:f>
        <x:v>46048.29415862269</x:v>
      </x:c>
      <x:c r="F78" s="164" t="n">
        <x:f>IF(A78="","",IF(B78="Decommissioning",INDEX('Raw Decommissioning'!$G$2:$G$1000,ROWS($A$5:A78)),INDEX('Raw Provisioning'!$H$2:$H$1000,ROWS($A$5:A78)-COUNTA('Raw Decommissioning'!$B$2:$B$1000))))</x:f>
        <x:v>46066.29397096065</x:v>
      </x:c>
      <x:c r="G78" s="165" t="str">
        <x:f>IF(A78="","",IF(B78="Decommissioning",INDEX('Raw Decommissioning'!$I$2:$I$1000,ROWS($A$5:A78)),INDEX('Raw Provisioning'!$J$2:$J$1000,ROWS($A$5:A78)-COUNTA('Raw Decommissioning'!$B$2:$B$1000))))</x:f>
        <x:v>SAP 30 ECC6</x:v>
      </x:c>
      <x:c r="H78" s="165" t="str">
        <x:f>IF(A78="","",IF(B78="Decommissioning",INDEX('Raw Decommissioning'!$J$2:$J$1000,ROWS($A$5:A78)),INDEX('Raw Provisioning'!$L$2:$L$1000,ROWS($A$5:A78)-COUNTA('Raw Decommissioning'!$B$2:$B$1000))))</x:f>
        <x:v>ERP Transformation - Central Finance Implementation – Global Design (Remark : PETRONAS CFIN Source System Box MC1)(Y30)</x:v>
      </x:c>
      <x:c r="I78" s="165" t="str">
        <x:f>IF(A78="","",IF(B78="Decommissioning",INDEX('Raw Decommissioning'!$AL$2:$AL$1000,ROWS($A$5:A78)),INDEX('Raw Provisioning'!$R$2:$R$1000,ROWS($A$5:A78)-COUNTA('Raw Decommissioning'!$B$2:$B$1000))))</x:f>
        <x:v>M</x:v>
      </x:c>
      <x:c r="J78" s="165" t="str">
        <x:f>IF(A78="","",IF(B78="Decommissioning",INDEX('Raw Decommissioning'!$AG$2:$AG$1000,ROWS($A$5:A78)),INDEX('Raw Provisioning'!$AI$2:$AI$1000,ROWS($A$5:A78)-COUNTA('Raw Decommissioning'!$B$2:$B$1000))))</x:f>
        <x:v>azlisham.md@petronas.com</x:v>
      </x:c>
      <x:c r="K78" s="166" t="str">
        <x:f>IF(A78="","",IFERROR(LOOKUP(2,1/('Assignment History'!$B$5:$B$204=A78),'Assignment History'!$D$5:$D$204),IFERROR(VLOOKUP(J78,Configuration!$L$5:$M$50,2,FALSE),J78)))</x:f>
        <x:v>azlisham.md@petronas.com</x:v>
      </x:c>
      <x:c r="L78" s="166" t="str">
        <x:f>IF(A78="","",IF(K78=IFERROR(VLOOKUP(J78,Configuration!$L$5:$M$50,2,FALSE),J78),"Snapshot PIC","Replacement PIC"))</x:f>
        <x:v>Snapshot PIC</x:v>
      </x:c>
      <x:c r="M78" s="167" t="n">
        <x:f>IF(A78="","",IFERROR(VLOOKUP(I78,Configuration!$O$5:$P$8,2,FALSE),Configuration!$S$6))</x:f>
        <x:v>2</x:v>
      </x:c>
      <x:c r="N78" s="167" t="str">
        <x:f>IF(A78="","",IFERROR(LOOKUP(2,1/('Scope Review'!$B$5:$B$204=A78),'Scope Review'!$G$5:$G$204),"Not Reviewed"))</x:f>
        <x:v>Not Reviewed</x:v>
      </x:c>
      <x:c r="O78" s="167" t="str">
        <x:f>IF(A78="","",IFERROR(LOOKUP(2,1/('Scope Review'!$B$5:$B$204=A78),'Scope Review'!$H$5:$H$204),""))</x:f>
      </x:c>
      <x:c r="P78" s="167" t="n">
        <x:f t="shared" si="4">IF(A78="","",IF(AND(C78="executing",N78&lt;&gt;"Confirmed OOS"),M78,0))</x:f>
        <x:v>0</x:v>
      </x:c>
      <x:c r="Q78" s="168" t="str">
        <x:f>IF(A78="","",IFERROR(LOOKUP(2,1/('Engineer Updates'!$B$5:$B$704=A78),'Engineer Updates'!$A$5:$A$704),""))</x:f>
      </x:c>
      <x:c r="R78" s="166" t="str">
        <x:f>IF(A78="","",IFERROR(LOOKUP(2,1/('Engineer Updates'!$B$5:$B$704=A78),'Engineer Updates'!$H$5:$H$704),""))</x:f>
      </x:c>
      <x:c r="S78" s="166" t="str">
        <x:f>IF(A78="","",IFERROR(LOOKUP(2,1/('Engineer Updates'!$B$5:$B$704=A78),'Engineer Updates'!$G$5:$G$704),""))</x:f>
      </x:c>
      <x:c r="T78" s="166" t="str">
        <x:f>IF(A78="","",IFERROR(LOOKUP(2,1/('Engineer Updates'!$B$5:$B$704=A78),'Engineer Updates'!$I$5:$I$704),""))</x:f>
      </x:c>
      <x:c r="U78" s="166" t="str">
        <x:f>IF(A78="","",IFERROR(LOOKUP(2,1/('Engineer Updates'!$B$5:$B$704=A78),'Engineer Updates'!$J$5:$J$704),""))</x:f>
      </x:c>
      <x:c r="V78" s="166" t="str">
        <x:f>IF(A78="","",IFERROR(LOOKUP(2,1/('Engineer Updates'!$B$5:$B$704=A78),'Engineer Updates'!$K$5:$K$704),""))</x:f>
      </x:c>
      <x:c r="W78" s="169" t="str">
        <x:f>IF(A78="","",IFERROR(LOOKUP(2,1/('Engineer Updates'!$B$5:$B$704=A78),'Engineer Updates'!$L$5:$L$704),""))</x:f>
      </x:c>
      <x:c r="X78" s="163" t="str">
        <x:f t="shared" si="5">IF(A78="","",IF(C78="completed","Completed in CSSP",IF(AND(C78="executing",ISERROR(SEARCH("@",K78))),"Executing without named engineer",IF(AND(N78="Confirmed OOS",C78="executing"),"Confirmed OOS still executing",""))))</x:f>
        <x:v>Completed in CSSP</x:v>
      </x:c>
      <x:c r="Y78" s="163" t="str">
        <x:f>IF(A78="","",IF(B78="Decommissioning","Raw Decommissioning","Raw Provisioning"))</x:f>
        <x:v>Raw Decommissioning</x:v>
      </x:c>
      <x:c r="Z78" s="170" t="str">
        <x:f>IF(A78="","",IF(OR(C78="executing",C78="processing"),"Yes","No"))</x:f>
        <x:v>No</x:v>
      </x:c>
    </x:row>
    <x:row r="79">
      <x:c r="A79" s="163" t="str">
        <x:f>IF(ROWS($A$5:A79)&lt;=COUNTA('Raw Decommissioning'!$B$2:$B$1000),INDEX('Raw Decommissioning'!$B$2:$B$1000,ROWS($A$5:A79)),IF(ROWS($A$5:A79)-COUNTA('Raw Decommissioning'!$B$2:$B$1000)&lt;=COUNTA('Raw Provisioning'!$B$2:$B$1000),INDEX('Raw Provisioning'!$B$2:$B$1000,ROWS($A$5:A79)-COUNTA('Raw Decommissioning'!$B$2:$B$1000)),""))</x:f>
        <x:v>CSSP10900691</x:v>
      </x:c>
      <x:c r="B79" s="163" t="str">
        <x:f>IF(A79="","",IF(ROWS($A$5:A79)&lt;=COUNTA('Raw Decommissioning'!$B$2:$B$1000),"Decommissioning","Provisioning"))</x:f>
        <x:v>Decommissioning</x:v>
      </x:c>
      <x:c r="C79" s="163" t="str">
        <x:f>IF(A79="","",IF(B79="Decommissioning",IFERROR(INDEX('Raw Decommissioning'!$E$2:$E$1000,MATCH(A79,'Raw Decommissioning'!$B$2:$B$1000,0)),"Missing from latest raw"),IFERROR(INDEX('Raw Provisioning'!$E$2:$E$1000,MATCH(A79,'Raw Provisioning'!$B$2:$B$1000,0)),"Missing from latest raw")))</x:f>
        <x:v>completed</x:v>
      </x:c>
      <x:c r="D79" s="164" t="n">
        <x:f>IF(A79="","",'Refresh Control'!$B$4)</x:f>
        <x:v>46254</x:v>
      </x:c>
      <x:c r="E79" s="164" t="n">
        <x:f>IF(A79="","",IF(B79="Decommissioning",INDEX('Raw Decommissioning'!$F$2:$F$1000,ROWS($A$5:A79)),INDEX('Raw Provisioning'!$F$2:$F$1000,ROWS($A$5:A79)-COUNTA('Raw Decommissioning'!$B$2:$B$1000))))</x:f>
        <x:v>46048.321216412034</x:v>
      </x:c>
      <x:c r="F79" s="164" t="n">
        <x:f>IF(A79="","",IF(B79="Decommissioning",INDEX('Raw Decommissioning'!$G$2:$G$1000,ROWS($A$5:A79)),INDEX('Raw Provisioning'!$H$2:$H$1000,ROWS($A$5:A79)-COUNTA('Raw Decommissioning'!$B$2:$B$1000))))</x:f>
        <x:v>46050.13567537037</x:v>
      </x:c>
      <x:c r="G79" s="165" t="str">
        <x:f>IF(A79="","",IF(B79="Decommissioning",INDEX('Raw Decommissioning'!$I$2:$I$1000,ROWS($A$5:A79)),INDEX('Raw Provisioning'!$J$2:$J$1000,ROWS($A$5:A79)-COUNTA('Raw Decommissioning'!$B$2:$B$1000))))</x:f>
        <x:v>SAP 68 Central Finance - CFIN</x:v>
      </x:c>
      <x:c r="H79" s="165" t="str">
        <x:f>IF(A79="","",IF(B79="Decommissioning",INDEX('Raw Decommissioning'!$J$2:$J$1000,ROWS($A$5:A79)),INDEX('Raw Provisioning'!$L$2:$L$1000,ROWS($A$5:A79)-COUNTA('Raw Decommissioning'!$B$2:$B$1000))))</x:f>
        <x:v>ERP Transformation - Central Finance Implementation – Global Design (Remark : PETRONAS CFIN - MC1 - CFIN)(X68)</x:v>
      </x:c>
      <x:c r="I79" s="165" t="str">
        <x:f>IF(A79="","",IF(B79="Decommissioning",INDEX('Raw Decommissioning'!$AL$2:$AL$1000,ROWS($A$5:A79)),INDEX('Raw Provisioning'!$R$2:$R$1000,ROWS($A$5:A79)-COUNTA('Raw Decommissioning'!$B$2:$B$1000))))</x:f>
        <x:v>M</x:v>
      </x:c>
      <x:c r="J79" s="165" t="str">
        <x:f>IF(A79="","",IF(B79="Decommissioning",INDEX('Raw Decommissioning'!$AG$2:$AG$1000,ROWS($A$5:A79)),INDEX('Raw Provisioning'!$AI$2:$AI$1000,ROWS($A$5:A79)-COUNTA('Raw Decommissioning'!$B$2:$B$1000))))</x:f>
        <x:v>azlisham.md@petronas.com</x:v>
      </x:c>
      <x:c r="K79" s="166" t="str">
        <x:f>IF(A79="","",IFERROR(LOOKUP(2,1/('Assignment History'!$B$5:$B$204=A79),'Assignment History'!$D$5:$D$204),IFERROR(VLOOKUP(J79,Configuration!$L$5:$M$50,2,FALSE),J79)))</x:f>
        <x:v>azlisham.md@petronas.com</x:v>
      </x:c>
      <x:c r="L79" s="166" t="str">
        <x:f>IF(A79="","",IF(K79=IFERROR(VLOOKUP(J79,Configuration!$L$5:$M$50,2,FALSE),J79),"Snapshot PIC","Replacement PIC"))</x:f>
        <x:v>Snapshot PIC</x:v>
      </x:c>
      <x:c r="M79" s="167" t="n">
        <x:f>IF(A79="","",IFERROR(VLOOKUP(I79,Configuration!$O$5:$P$8,2,FALSE),Configuration!$S$6))</x:f>
        <x:v>2</x:v>
      </x:c>
      <x:c r="N79" s="167" t="str">
        <x:f>IF(A79="","",IFERROR(LOOKUP(2,1/('Scope Review'!$B$5:$B$204=A79),'Scope Review'!$G$5:$G$204),"Not Reviewed"))</x:f>
        <x:v>Not Reviewed</x:v>
      </x:c>
      <x:c r="O79" s="167" t="str">
        <x:f>IF(A79="","",IFERROR(LOOKUP(2,1/('Scope Review'!$B$5:$B$204=A79),'Scope Review'!$H$5:$H$204),""))</x:f>
      </x:c>
      <x:c r="P79" s="167" t="n">
        <x:f t="shared" si="4">IF(A79="","",IF(AND(C79="executing",N79&lt;&gt;"Confirmed OOS"),M79,0))</x:f>
        <x:v>0</x:v>
      </x:c>
      <x:c r="Q79" s="168" t="str">
        <x:f>IF(A79="","",IFERROR(LOOKUP(2,1/('Engineer Updates'!$B$5:$B$704=A79),'Engineer Updates'!$A$5:$A$704),""))</x:f>
      </x:c>
      <x:c r="R79" s="166" t="str">
        <x:f>IF(A79="","",IFERROR(LOOKUP(2,1/('Engineer Updates'!$B$5:$B$704=A79),'Engineer Updates'!$H$5:$H$704),""))</x:f>
      </x:c>
      <x:c r="S79" s="166" t="str">
        <x:f>IF(A79="","",IFERROR(LOOKUP(2,1/('Engineer Updates'!$B$5:$B$704=A79),'Engineer Updates'!$G$5:$G$704),""))</x:f>
      </x:c>
      <x:c r="T79" s="166" t="str">
        <x:f>IF(A79="","",IFERROR(LOOKUP(2,1/('Engineer Updates'!$B$5:$B$704=A79),'Engineer Updates'!$I$5:$I$704),""))</x:f>
      </x:c>
      <x:c r="U79" s="166" t="str">
        <x:f>IF(A79="","",IFERROR(LOOKUP(2,1/('Engineer Updates'!$B$5:$B$704=A79),'Engineer Updates'!$J$5:$J$704),""))</x:f>
      </x:c>
      <x:c r="V79" s="166" t="str">
        <x:f>IF(A79="","",IFERROR(LOOKUP(2,1/('Engineer Updates'!$B$5:$B$704=A79),'Engineer Updates'!$K$5:$K$704),""))</x:f>
      </x:c>
      <x:c r="W79" s="169" t="str">
        <x:f>IF(A79="","",IFERROR(LOOKUP(2,1/('Engineer Updates'!$B$5:$B$704=A79),'Engineer Updates'!$L$5:$L$704),""))</x:f>
      </x:c>
      <x:c r="X79" s="163" t="str">
        <x:f t="shared" si="5">IF(A79="","",IF(C79="completed","Completed in CSSP",IF(AND(C79="executing",ISERROR(SEARCH("@",K79))),"Executing without named engineer",IF(AND(N79="Confirmed OOS",C79="executing"),"Confirmed OOS still executing",""))))</x:f>
        <x:v>Completed in CSSP</x:v>
      </x:c>
      <x:c r="Y79" s="163" t="str">
        <x:f>IF(A79="","",IF(B79="Decommissioning","Raw Decommissioning","Raw Provisioning"))</x:f>
        <x:v>Raw Decommissioning</x:v>
      </x:c>
      <x:c r="Z79" s="170" t="str">
        <x:f>IF(A79="","",IF(OR(C79="executing",C79="processing"),"Yes","No"))</x:f>
        <x:v>No</x:v>
      </x:c>
    </x:row>
    <x:row r="80" ht="45">
      <x:c r="A80" s="163" t="str">
        <x:f>IF(ROWS($A$5:A80)&lt;=COUNTA('Raw Decommissioning'!$B$2:$B$1000),INDEX('Raw Decommissioning'!$B$2:$B$1000,ROWS($A$5:A80)),IF(ROWS($A$5:A80)-COUNTA('Raw Decommissioning'!$B$2:$B$1000)&lt;=COUNTA('Raw Provisioning'!$B$2:$B$1000),INDEX('Raw Provisioning'!$B$2:$B$1000,ROWS($A$5:A80)-COUNTA('Raw Decommissioning'!$B$2:$B$1000)),""))</x:f>
        <x:v>CSSP10853444</x:v>
      </x:c>
      <x:c r="B80" s="163" t="str">
        <x:f>IF(A80="","",IF(ROWS($A$5:A80)&lt;=COUNTA('Raw Decommissioning'!$B$2:$B$1000),"Decommissioning","Provisioning"))</x:f>
        <x:v>Decommissioning</x:v>
      </x:c>
      <x:c r="C80" s="163" t="str">
        <x:f>IF(A80="","",IF(B80="Decommissioning",IFERROR(INDEX('Raw Decommissioning'!$E$2:$E$1000,MATCH(A80,'Raw Decommissioning'!$B$2:$B$1000,0)),"Missing from latest raw"),IFERROR(INDEX('Raw Provisioning'!$E$2:$E$1000,MATCH(A80,'Raw Provisioning'!$B$2:$B$1000,0)),"Missing from latest raw")))</x:f>
        <x:v>completed</x:v>
      </x:c>
      <x:c r="D80" s="164" t="n">
        <x:f>IF(A80="","",'Refresh Control'!$B$4)</x:f>
        <x:v>46254</x:v>
      </x:c>
      <x:c r="E80" s="164" t="n">
        <x:f>IF(A80="","",IF(B80="Decommissioning",INDEX('Raw Decommissioning'!$F$2:$F$1000,ROWS($A$5:A80)),INDEX('Raw Provisioning'!$F$2:$F$1000,ROWS($A$5:A80)-COUNTA('Raw Decommissioning'!$B$2:$B$1000))))</x:f>
        <x:v>46048.37316362269</x:v>
      </x:c>
      <x:c r="F80" s="164" t="n">
        <x:f>IF(A80="","",IF(B80="Decommissioning",INDEX('Raw Decommissioning'!$G$2:$G$1000,ROWS($A$5:A80)),INDEX('Raw Provisioning'!$H$2:$H$1000,ROWS($A$5:A80)-COUNTA('Raw Decommissioning'!$B$2:$B$1000))))</x:f>
        <x:v>46076.16789613426</x:v>
      </x:c>
      <x:c r="G80" s="165" t="str">
        <x:f>IF(A80="","",IF(B80="Decommissioning",INDEX('Raw Decommissioning'!$I$2:$I$1000,ROWS($A$5:A80)),INDEX('Raw Provisioning'!$J$2:$J$1000,ROWS($A$5:A80)-COUNTA('Raw Decommissioning'!$B$2:$B$1000))))</x:f>
        <x:v>PETRONAS Unified Search and Personal Assistant - PUSPA for REAL</x:v>
      </x:c>
      <x:c r="H80" s="165" t="str">
        <x:f>IF(A80="","",IF(B80="Decommissioning",INDEX('Raw Decommissioning'!$J$2:$J$1000,ROWS($A$5:A80)),INDEX('Raw Provisioning'!$L$2:$L$1000,ROWS($A$5:A80)-COUNTA('Raw Decommissioning'!$B$2:$B$1000))))</x:f>
        <x:v>PETRONAS Unified Search and Personal Assistant (PUSPA) EPIC 1 and EPIC 2 Development</x:v>
      </x:c>
      <x:c r="I80" s="165" t="str">
        <x:f>IF(A80="","",IF(B80="Decommissioning",INDEX('Raw Decommissioning'!$AL$2:$AL$1000,ROWS($A$5:A80)),INDEX('Raw Provisioning'!$R$2:$R$1000,ROWS($A$5:A80)-COUNTA('Raw Decommissioning'!$B$2:$B$1000))))</x:f>
        <x:v>M</x:v>
      </x:c>
      <x:c r="J80" s="165" t="str">
        <x:f>IF(A80="","",IF(B80="Decommissioning",INDEX('Raw Decommissioning'!$AG$2:$AG$1000,ROWS($A$5:A80)),INDEX('Raw Provisioning'!$AI$2:$AI$1000,ROWS($A$5:A80)-COUNTA('Raw Decommissioning'!$B$2:$B$1000))))</x:f>
        <x:v>azlisham.md@petronas.com</x:v>
      </x:c>
      <x:c r="K80" s="166" t="str">
        <x:f>IF(A80="","",IFERROR(LOOKUP(2,1/('Assignment History'!$B$5:$B$204=A80),'Assignment History'!$D$5:$D$204),IFERROR(VLOOKUP(J80,Configuration!$L$5:$M$50,2,FALSE),J80)))</x:f>
        <x:v>azlisham.md@petronas.com</x:v>
      </x:c>
      <x:c r="L80" s="166" t="str">
        <x:f>IF(A80="","",IF(K80=IFERROR(VLOOKUP(J80,Configuration!$L$5:$M$50,2,FALSE),J80),"Snapshot PIC","Replacement PIC"))</x:f>
        <x:v>Snapshot PIC</x:v>
      </x:c>
      <x:c r="M80" s="167" t="n">
        <x:f>IF(A80="","",IFERROR(VLOOKUP(I80,Configuration!$O$5:$P$8,2,FALSE),Configuration!$S$6))</x:f>
        <x:v>2</x:v>
      </x:c>
      <x:c r="N80" s="167" t="str">
        <x:f>IF(A80="","",IFERROR(LOOKUP(2,1/('Scope Review'!$B$5:$B$204=A80),'Scope Review'!$G$5:$G$204),"Not Reviewed"))</x:f>
        <x:v>Not Reviewed</x:v>
      </x:c>
      <x:c r="O80" s="167" t="str">
        <x:f>IF(A80="","",IFERROR(LOOKUP(2,1/('Scope Review'!$B$5:$B$204=A80),'Scope Review'!$H$5:$H$204),""))</x:f>
      </x:c>
      <x:c r="P80" s="167" t="n">
        <x:f t="shared" si="4">IF(A80="","",IF(AND(C80="executing",N80&lt;&gt;"Confirmed OOS"),M80,0))</x:f>
        <x:v>0</x:v>
      </x:c>
      <x:c r="Q80" s="168" t="str">
        <x:f>IF(A80="","",IFERROR(LOOKUP(2,1/('Engineer Updates'!$B$5:$B$704=A80),'Engineer Updates'!$A$5:$A$704),""))</x:f>
      </x:c>
      <x:c r="R80" s="166" t="str">
        <x:f>IF(A80="","",IFERROR(LOOKUP(2,1/('Engineer Updates'!$B$5:$B$704=A80),'Engineer Updates'!$H$5:$H$704),""))</x:f>
      </x:c>
      <x:c r="S80" s="166" t="str">
        <x:f>IF(A80="","",IFERROR(LOOKUP(2,1/('Engineer Updates'!$B$5:$B$704=A80),'Engineer Updates'!$G$5:$G$704),""))</x:f>
      </x:c>
      <x:c r="T80" s="166" t="str">
        <x:f>IF(A80="","",IFERROR(LOOKUP(2,1/('Engineer Updates'!$B$5:$B$704=A80),'Engineer Updates'!$I$5:$I$704),""))</x:f>
      </x:c>
      <x:c r="U80" s="166" t="str">
        <x:f>IF(A80="","",IFERROR(LOOKUP(2,1/('Engineer Updates'!$B$5:$B$704=A80),'Engineer Updates'!$J$5:$J$704),""))</x:f>
      </x:c>
      <x:c r="V80" s="166" t="str">
        <x:f>IF(A80="","",IFERROR(LOOKUP(2,1/('Engineer Updates'!$B$5:$B$704=A80),'Engineer Updates'!$K$5:$K$704),""))</x:f>
      </x:c>
      <x:c r="W80" s="169" t="str">
        <x:f>IF(A80="","",IFERROR(LOOKUP(2,1/('Engineer Updates'!$B$5:$B$704=A80),'Engineer Updates'!$L$5:$L$704),""))</x:f>
      </x:c>
      <x:c r="X80" s="163" t="str">
        <x:f t="shared" si="5">IF(A80="","",IF(C80="completed","Completed in CSSP",IF(AND(C80="executing",ISERROR(SEARCH("@",K80))),"Executing without named engineer",IF(AND(N80="Confirmed OOS",C80="executing"),"Confirmed OOS still executing",""))))</x:f>
        <x:v>Completed in CSSP</x:v>
      </x:c>
      <x:c r="Y80" s="163" t="str">
        <x:f>IF(A80="","",IF(B80="Decommissioning","Raw Decommissioning","Raw Provisioning"))</x:f>
        <x:v>Raw Decommissioning</x:v>
      </x:c>
      <x:c r="Z80" s="170" t="str">
        <x:f>IF(A80="","",IF(OR(C80="executing",C80="processing"),"Yes","No"))</x:f>
        <x:v>No</x:v>
      </x:c>
    </x:row>
    <x:row r="81" ht="45">
      <x:c r="A81" s="163" t="str">
        <x:f>IF(ROWS($A$5:A81)&lt;=COUNTA('Raw Decommissioning'!$B$2:$B$1000),INDEX('Raw Decommissioning'!$B$2:$B$1000,ROWS($A$5:A81)),IF(ROWS($A$5:A81)-COUNTA('Raw Decommissioning'!$B$2:$B$1000)&lt;=COUNTA('Raw Provisioning'!$B$2:$B$1000),INDEX('Raw Provisioning'!$B$2:$B$1000,ROWS($A$5:A81)-COUNTA('Raw Decommissioning'!$B$2:$B$1000)),""))</x:f>
        <x:v>CSSP10790999</x:v>
      </x:c>
      <x:c r="B81" s="163" t="str">
        <x:f>IF(A81="","",IF(ROWS($A$5:A81)&lt;=COUNTA('Raw Decommissioning'!$B$2:$B$1000),"Decommissioning","Provisioning"))</x:f>
        <x:v>Decommissioning</x:v>
      </x:c>
      <x:c r="C81" s="163" t="str">
        <x:f>IF(A81="","",IF(B81="Decommissioning",IFERROR(INDEX('Raw Decommissioning'!$E$2:$E$1000,MATCH(A81,'Raw Decommissioning'!$B$2:$B$1000,0)),"Missing from latest raw"),IFERROR(INDEX('Raw Provisioning'!$E$2:$E$1000,MATCH(A81,'Raw Provisioning'!$B$2:$B$1000,0)),"Missing from latest raw")))</x:f>
        <x:v>completed</x:v>
      </x:c>
      <x:c r="D81" s="164" t="n">
        <x:f>IF(A81="","",'Refresh Control'!$B$4)</x:f>
        <x:v>46254</x:v>
      </x:c>
      <x:c r="E81" s="164" t="n">
        <x:f>IF(A81="","",IF(B81="Decommissioning",INDEX('Raw Decommissioning'!$F$2:$F$1000,ROWS($A$5:A81)),INDEX('Raw Provisioning'!$F$2:$F$1000,ROWS($A$5:A81)-COUNTA('Raw Decommissioning'!$B$2:$B$1000))))</x:f>
        <x:v>46049.19318569444</x:v>
      </x:c>
      <x:c r="F81" s="164" t="n">
        <x:f>IF(A81="","",IF(B81="Decommissioning",INDEX('Raw Decommissioning'!$G$2:$G$1000,ROWS($A$5:A81)),INDEX('Raw Provisioning'!$H$2:$H$1000,ROWS($A$5:A81)-COUNTA('Raw Decommissioning'!$B$2:$B$1000))))</x:f>
        <x:v>46059.16956327546</x:v>
      </x:c>
      <x:c r="G81" s="165" t="str">
        <x:f>IF(A81="","",IF(B81="Decommissioning",INDEX('Raw Decommissioning'!$I$2:$I$1000,ROWS($A$5:A81)),INDEX('Raw Provisioning'!$J$2:$J$1000,ROWS($A$5:A81)-COUNTA('Raw Decommissioning'!$B$2:$B$1000))))</x:f>
        <x:v>VMware vCenter PRPC RTOT</x:v>
      </x:c>
      <x:c r="H81" s="165" t="str">
        <x:f>IF(A81="","",IF(B81="Decommissioning",INDEX('Raw Decommissioning'!$J$2:$J$1000,ROWS($A$5:A81)),INDEX('Raw Provisioning'!$L$2:$L$1000,ROWS($A$5:A81)-COUNTA('Raw Decommissioning'!$B$2:$B$1000))))</x:f>
        <x:v>VMware vCenter PRPC RTOT created for PRIVATECLOUD project record</x:v>
      </x:c>
      <x:c r="I81" s="165" t="str">
        <x:f>IF(A81="","",IF(B81="Decommissioning",INDEX('Raw Decommissioning'!$AL$2:$AL$1000,ROWS($A$5:A81)),INDEX('Raw Provisioning'!$R$2:$R$1000,ROWS($A$5:A81)-COUNTA('Raw Decommissioning'!$B$2:$B$1000))))</x:f>
        <x:v>M</x:v>
      </x:c>
      <x:c r="J81" s="165" t="str">
        <x:f>IF(A81="","",IF(B81="Decommissioning",INDEX('Raw Decommissioning'!$AG$2:$AG$1000,ROWS($A$5:A81)),INDEX('Raw Provisioning'!$AI$2:$AI$1000,ROWS($A$5:A81)-COUNTA('Raw Decommissioning'!$B$2:$B$1000))))</x:f>
        <x:v>azlisham.md@petronas.com</x:v>
      </x:c>
      <x:c r="K81" s="166" t="str">
        <x:f>IF(A81="","",IFERROR(LOOKUP(2,1/('Assignment History'!$B$5:$B$204=A81),'Assignment History'!$D$5:$D$204),IFERROR(VLOOKUP(J81,Configuration!$L$5:$M$50,2,FALSE),J81)))</x:f>
        <x:v>azlisham.md@petronas.com</x:v>
      </x:c>
      <x:c r="L81" s="166" t="str">
        <x:f>IF(A81="","",IF(K81=IFERROR(VLOOKUP(J81,Configuration!$L$5:$M$50,2,FALSE),J81),"Snapshot PIC","Replacement PIC"))</x:f>
        <x:v>Snapshot PIC</x:v>
      </x:c>
      <x:c r="M81" s="167" t="n">
        <x:f>IF(A81="","",IFERROR(VLOOKUP(I81,Configuration!$O$5:$P$8,2,FALSE),Configuration!$S$6))</x:f>
        <x:v>2</x:v>
      </x:c>
      <x:c r="N81" s="167" t="str">
        <x:f>IF(A81="","",IFERROR(LOOKUP(2,1/('Scope Review'!$B$5:$B$204=A81),'Scope Review'!$G$5:$G$204),"Not Reviewed"))</x:f>
        <x:v>Not Reviewed</x:v>
      </x:c>
      <x:c r="O81" s="167" t="str">
        <x:f>IF(A81="","",IFERROR(LOOKUP(2,1/('Scope Review'!$B$5:$B$204=A81),'Scope Review'!$H$5:$H$204),""))</x:f>
      </x:c>
      <x:c r="P81" s="167" t="n">
        <x:f t="shared" si="4">IF(A81="","",IF(AND(C81="executing",N81&lt;&gt;"Confirmed OOS"),M81,0))</x:f>
        <x:v>0</x:v>
      </x:c>
      <x:c r="Q81" s="168" t="str">
        <x:f>IF(A81="","",IFERROR(LOOKUP(2,1/('Engineer Updates'!$B$5:$B$704=A81),'Engineer Updates'!$A$5:$A$704),""))</x:f>
      </x:c>
      <x:c r="R81" s="166" t="str">
        <x:f>IF(A81="","",IFERROR(LOOKUP(2,1/('Engineer Updates'!$B$5:$B$704=A81),'Engineer Updates'!$H$5:$H$704),""))</x:f>
      </x:c>
      <x:c r="S81" s="166" t="str">
        <x:f>IF(A81="","",IFERROR(LOOKUP(2,1/('Engineer Updates'!$B$5:$B$704=A81),'Engineer Updates'!$G$5:$G$704),""))</x:f>
      </x:c>
      <x:c r="T81" s="166" t="str">
        <x:f>IF(A81="","",IFERROR(LOOKUP(2,1/('Engineer Updates'!$B$5:$B$704=A81),'Engineer Updates'!$I$5:$I$704),""))</x:f>
      </x:c>
      <x:c r="U81" s="166" t="str">
        <x:f>IF(A81="","",IFERROR(LOOKUP(2,1/('Engineer Updates'!$B$5:$B$704=A81),'Engineer Updates'!$J$5:$J$704),""))</x:f>
      </x:c>
      <x:c r="V81" s="166" t="str">
        <x:f>IF(A81="","",IFERROR(LOOKUP(2,1/('Engineer Updates'!$B$5:$B$704=A81),'Engineer Updates'!$K$5:$K$704),""))</x:f>
      </x:c>
      <x:c r="W81" s="169" t="str">
        <x:f>IF(A81="","",IFERROR(LOOKUP(2,1/('Engineer Updates'!$B$5:$B$704=A81),'Engineer Updates'!$L$5:$L$704),""))</x:f>
      </x:c>
      <x:c r="X81" s="163" t="str">
        <x:f t="shared" si="5">IF(A81="","",IF(C81="completed","Completed in CSSP",IF(AND(C81="executing",ISERROR(SEARCH("@",K81))),"Executing without named engineer",IF(AND(N81="Confirmed OOS",C81="executing"),"Confirmed OOS still executing",""))))</x:f>
        <x:v>Completed in CSSP</x:v>
      </x:c>
      <x:c r="Y81" s="163" t="str">
        <x:f>IF(A81="","",IF(B81="Decommissioning","Raw Decommissioning","Raw Provisioning"))</x:f>
        <x:v>Raw Decommissioning</x:v>
      </x:c>
      <x:c r="Z81" s="170" t="str">
        <x:f>IF(A81="","",IF(OR(C81="executing",C81="processing"),"Yes","No"))</x:f>
        <x:v>No</x:v>
      </x:c>
    </x:row>
    <x:row r="82" ht="45">
      <x:c r="A82" s="163" t="str">
        <x:f>IF(ROWS($A$5:A82)&lt;=COUNTA('Raw Decommissioning'!$B$2:$B$1000),INDEX('Raw Decommissioning'!$B$2:$B$1000,ROWS($A$5:A82)),IF(ROWS($A$5:A82)-COUNTA('Raw Decommissioning'!$B$2:$B$1000)&lt;=COUNTA('Raw Provisioning'!$B$2:$B$1000),INDEX('Raw Provisioning'!$B$2:$B$1000,ROWS($A$5:A82)-COUNTA('Raw Decommissioning'!$B$2:$B$1000)),""))</x:f>
        <x:v>CSSP10214238</x:v>
      </x:c>
      <x:c r="B82" s="163" t="str">
        <x:f>IF(A82="","",IF(ROWS($A$5:A82)&lt;=COUNTA('Raw Decommissioning'!$B$2:$B$1000),"Decommissioning","Provisioning"))</x:f>
        <x:v>Decommissioning</x:v>
      </x:c>
      <x:c r="C82" s="163" t="str">
        <x:f>IF(A82="","",IF(B82="Decommissioning",IFERROR(INDEX('Raw Decommissioning'!$E$2:$E$1000,MATCH(A82,'Raw Decommissioning'!$B$2:$B$1000,0)),"Missing from latest raw"),IFERROR(INDEX('Raw Provisioning'!$E$2:$E$1000,MATCH(A82,'Raw Provisioning'!$B$2:$B$1000,0)),"Missing from latest raw")))</x:f>
        <x:v>completed</x:v>
      </x:c>
      <x:c r="D82" s="164" t="n">
        <x:f>IF(A82="","",'Refresh Control'!$B$4)</x:f>
        <x:v>46254</x:v>
      </x:c>
      <x:c r="E82" s="164" t="n">
        <x:f>IF(A82="","",IF(B82="Decommissioning",INDEX('Raw Decommissioning'!$F$2:$F$1000,ROWS($A$5:A82)),INDEX('Raw Provisioning'!$F$2:$F$1000,ROWS($A$5:A82)-COUNTA('Raw Decommissioning'!$B$2:$B$1000))))</x:f>
        <x:v>46049.29746436342</x:v>
      </x:c>
      <x:c r="F82" s="164" t="n">
        <x:f>IF(A82="","",IF(B82="Decommissioning",INDEX('Raw Decommissioning'!$G$2:$G$1000,ROWS($A$5:A82)),INDEX('Raw Provisioning'!$H$2:$H$1000,ROWS($A$5:A82)-COUNTA('Raw Decommissioning'!$B$2:$B$1000))))</x:f>
        <x:v>46098.17611399305</x:v>
      </x:c>
      <x:c r="G82" s="165" t="str">
        <x:f>IF(A82="","",IF(B82="Decommissioning",INDEX('Raw Decommissioning'!$I$2:$I$1000,ROWS($A$5:A82)),INDEX('Raw Provisioning'!$J$2:$J$1000,ROWS($A$5:A82)-COUNTA('Raw Decommissioning'!$B$2:$B$1000))))</x:f>
        <x:v>Plant Incident Reporting System - PIRS PCMTBE</x:v>
      </x:c>
      <x:c r="H82" s="165" t="str">
        <x:f>IF(A82="","",IF(B82="Decommissioning",INDEX('Raw Decommissioning'!$J$2:$J$1000,ROWS($A$5:A82)),INDEX('Raw Provisioning'!$L$2:$L$1000,ROWS($A$5:A82)-COUNTA('Raw Decommissioning'!$B$2:$B$1000))))</x:f>
        <x:v>Cloud Migration Programme - Plant Incident Report</x:v>
      </x:c>
      <x:c r="I82" s="165" t="str">
        <x:f>IF(A82="","",IF(B82="Decommissioning",INDEX('Raw Decommissioning'!$AL$2:$AL$1000,ROWS($A$5:A82)),INDEX('Raw Provisioning'!$R$2:$R$1000,ROWS($A$5:A82)-COUNTA('Raw Decommissioning'!$B$2:$B$1000))))</x:f>
        <x:v>S</x:v>
      </x:c>
      <x:c r="J82" s="165" t="str">
        <x:f>IF(A82="","",IF(B82="Decommissioning",INDEX('Raw Decommissioning'!$AG$2:$AG$1000,ROWS($A$5:A82)),INDEX('Raw Provisioning'!$AI$2:$AI$1000,ROWS($A$5:A82)-COUNTA('Raw Decommissioning'!$B$2:$B$1000))))</x:f>
        <x:v>azwan.badari@petronas.com</x:v>
      </x:c>
      <x:c r="K82" s="166" t="str">
        <x:f>IF(A82="","",IFERROR(LOOKUP(2,1/('Assignment History'!$B$5:$B$204=A82),'Assignment History'!$D$5:$D$204),IFERROR(VLOOKUP(J82,Configuration!$L$5:$M$50,2,FALSE),J82)))</x:f>
        <x:v>azwan.badari@petronas.com</x:v>
      </x:c>
      <x:c r="L82" s="166" t="str">
        <x:f>IF(A82="","",IF(K82=IFERROR(VLOOKUP(J82,Configuration!$L$5:$M$50,2,FALSE),J82),"Snapshot PIC","Replacement PIC"))</x:f>
        <x:v>Snapshot PIC</x:v>
      </x:c>
      <x:c r="M82" s="167" t="n">
        <x:f>IF(A82="","",IFERROR(VLOOKUP(I82,Configuration!$O$5:$P$8,2,FALSE),Configuration!$S$6))</x:f>
        <x:v>1</x:v>
      </x:c>
      <x:c r="N82" s="167" t="str">
        <x:f>IF(A82="","",IFERROR(LOOKUP(2,1/('Scope Review'!$B$5:$B$204=A82),'Scope Review'!$G$5:$G$204),"Not Reviewed"))</x:f>
        <x:v>Not Reviewed</x:v>
      </x:c>
      <x:c r="O82" s="167" t="str">
        <x:f>IF(A82="","",IFERROR(LOOKUP(2,1/('Scope Review'!$B$5:$B$204=A82),'Scope Review'!$H$5:$H$204),""))</x:f>
      </x:c>
      <x:c r="P82" s="167" t="n">
        <x:f t="shared" si="4">IF(A82="","",IF(AND(C82="executing",N82&lt;&gt;"Confirmed OOS"),M82,0))</x:f>
        <x:v>0</x:v>
      </x:c>
      <x:c r="Q82" s="168" t="str">
        <x:f>IF(A82="","",IFERROR(LOOKUP(2,1/('Engineer Updates'!$B$5:$B$704=A82),'Engineer Updates'!$A$5:$A$704),""))</x:f>
      </x:c>
      <x:c r="R82" s="166" t="str">
        <x:f>IF(A82="","",IFERROR(LOOKUP(2,1/('Engineer Updates'!$B$5:$B$704=A82),'Engineer Updates'!$H$5:$H$704),""))</x:f>
      </x:c>
      <x:c r="S82" s="166" t="str">
        <x:f>IF(A82="","",IFERROR(LOOKUP(2,1/('Engineer Updates'!$B$5:$B$704=A82),'Engineer Updates'!$G$5:$G$704),""))</x:f>
      </x:c>
      <x:c r="T82" s="166" t="str">
        <x:f>IF(A82="","",IFERROR(LOOKUP(2,1/('Engineer Updates'!$B$5:$B$704=A82),'Engineer Updates'!$I$5:$I$704),""))</x:f>
      </x:c>
      <x:c r="U82" s="166" t="str">
        <x:f>IF(A82="","",IFERROR(LOOKUP(2,1/('Engineer Updates'!$B$5:$B$704=A82),'Engineer Updates'!$J$5:$J$704),""))</x:f>
      </x:c>
      <x:c r="V82" s="166" t="str">
        <x:f>IF(A82="","",IFERROR(LOOKUP(2,1/('Engineer Updates'!$B$5:$B$704=A82),'Engineer Updates'!$K$5:$K$704),""))</x:f>
      </x:c>
      <x:c r="W82" s="169" t="str">
        <x:f>IF(A82="","",IFERROR(LOOKUP(2,1/('Engineer Updates'!$B$5:$B$704=A82),'Engineer Updates'!$L$5:$L$704),""))</x:f>
      </x:c>
      <x:c r="X82" s="163" t="str">
        <x:f t="shared" si="5">IF(A82="","",IF(C82="completed","Completed in CSSP",IF(AND(C82="executing",ISERROR(SEARCH("@",K82))),"Executing without named engineer",IF(AND(N82="Confirmed OOS",C82="executing"),"Confirmed OOS still executing",""))))</x:f>
        <x:v>Completed in CSSP</x:v>
      </x:c>
      <x:c r="Y82" s="163" t="str">
        <x:f>IF(A82="","",IF(B82="Decommissioning","Raw Decommissioning","Raw Provisioning"))</x:f>
        <x:v>Raw Decommissioning</x:v>
      </x:c>
      <x:c r="Z82" s="170" t="str">
        <x:f>IF(A82="","",IF(OR(C82="executing",C82="processing"),"Yes","No"))</x:f>
        <x:v>No</x:v>
      </x:c>
    </x:row>
    <x:row r="83">
      <x:c r="A83" s="163" t="str">
        <x:f>IF(ROWS($A$5:A83)&lt;=COUNTA('Raw Decommissioning'!$B$2:$B$1000),INDEX('Raw Decommissioning'!$B$2:$B$1000,ROWS($A$5:A83)),IF(ROWS($A$5:A83)-COUNTA('Raw Decommissioning'!$B$2:$B$1000)&lt;=COUNTA('Raw Provisioning'!$B$2:$B$1000),INDEX('Raw Provisioning'!$B$2:$B$1000,ROWS($A$5:A83)-COUNTA('Raw Decommissioning'!$B$2:$B$1000)),""))</x:f>
        <x:v>CSSP10289737</x:v>
      </x:c>
      <x:c r="B83" s="163" t="str">
        <x:f>IF(A83="","",IF(ROWS($A$5:A83)&lt;=COUNTA('Raw Decommissioning'!$B$2:$B$1000),"Decommissioning","Provisioning"))</x:f>
        <x:v>Decommissioning</x:v>
      </x:c>
      <x:c r="C83" s="163" t="str">
        <x:f>IF(A83="","",IF(B83="Decommissioning",IFERROR(INDEX('Raw Decommissioning'!$E$2:$E$1000,MATCH(A83,'Raw Decommissioning'!$B$2:$B$1000,0)),"Missing from latest raw"),IFERROR(INDEX('Raw Provisioning'!$E$2:$E$1000,MATCH(A83,'Raw Provisioning'!$B$2:$B$1000,0)),"Missing from latest raw")))</x:f>
        <x:v>pending</x:v>
      </x:c>
      <x:c r="D83" s="164" t="n">
        <x:f>IF(A83="","",'Refresh Control'!$B$4)</x:f>
        <x:v>46254</x:v>
      </x:c>
      <x:c r="E83" s="164" t="n">
        <x:f>IF(A83="","",IF(B83="Decommissioning",INDEX('Raw Decommissioning'!$F$2:$F$1000,ROWS($A$5:A83)),INDEX('Raw Provisioning'!$F$2:$F$1000,ROWS($A$5:A83)-COUNTA('Raw Decommissioning'!$B$2:$B$1000))))</x:f>
        <x:v>46050.01319706019</x:v>
      </x:c>
      <x:c r="F83" s="164" t="n">
        <x:f>IF(A83="","",IF(B83="Decommissioning",INDEX('Raw Decommissioning'!$G$2:$G$1000,ROWS($A$5:A83)),INDEX('Raw Provisioning'!$H$2:$H$1000,ROWS($A$5:A83)-COUNTA('Raw Decommissioning'!$B$2:$B$1000))))</x:f>
        <x:v>46050.01579672454</x:v>
      </x:c>
      <x:c r="G83" s="165" t="str">
        <x:f>IF(A83="","",IF(B83="Decommissioning",INDEX('Raw Decommissioning'!$I$2:$I$1000,ROWS($A$5:A83)),INDEX('Raw Provisioning'!$J$2:$J$1000,ROWS($A$5:A83)-COUNTA('Raw Decommissioning'!$B$2:$B$1000))))</x:f>
        <x:v>Cyber Security Mandiant Security Validation - MSV BFDC</x:v>
      </x:c>
      <x:c r="H83" s="165" t="str">
        <x:f>IF(A83="","",IF(B83="Decommissioning",INDEX('Raw Decommissioning'!$J$2:$J$1000,ROWS($A$5:A83)),INDEX('Raw Provisioning'!$L$2:$L$1000,ROWS($A$5:A83)-COUNTA('Raw Decommissioning'!$B$2:$B$1000))))</x:f>
        <x:v>Cyber Security Mandiant Security Validation - MSV BFDC created for PRIVATECLOUD project record</x:v>
      </x:c>
      <x:c r="I83" s="165" t="str">
        <x:f>IF(A83="","",IF(B83="Decommissioning",INDEX('Raw Decommissioning'!$AL$2:$AL$1000,ROWS($A$5:A83)),INDEX('Raw Provisioning'!$R$2:$R$1000,ROWS($A$5:A83)-COUNTA('Raw Decommissioning'!$B$2:$B$1000))))</x:f>
      </x:c>
      <x:c r="J83" s="165" t="str">
        <x:f>IF(A83="","",IF(B83="Decommissioning",INDEX('Raw Decommissioning'!$AG$2:$AG$1000,ROWS($A$5:A83)),INDEX('Raw Provisioning'!$AI$2:$AI$1000,ROWS($A$5:A83)-COUNTA('Raw Decommissioning'!$B$2:$B$1000))))</x:f>
        <x:v>CCoE Operations</x:v>
      </x:c>
      <x:c r="K83" s="166" t="str">
        <x:f>IF(A83="","",IFERROR(LOOKUP(2,1/('Assignment History'!$B$5:$B$204=A83),'Assignment History'!$D$5:$D$204),IFERROR(VLOOKUP(J83,Configuration!$L$5:$M$50,2,FALSE),J83)))</x:f>
        <x:v>CCoE Operations</x:v>
      </x:c>
      <x:c r="L83" s="166" t="str">
        <x:f>IF(A83="","",IF(K83=IFERROR(VLOOKUP(J83,Configuration!$L$5:$M$50,2,FALSE),J83),"Snapshot PIC","Replacement PIC"))</x:f>
        <x:v>Snapshot PIC</x:v>
      </x:c>
      <x:c r="M83" s="167" t="n">
        <x:f>IF(A83="","",IFERROR(VLOOKUP(I83,Configuration!$O$5:$P$8,2,FALSE),Configuration!$S$6))</x:f>
        <x:v>2</x:v>
      </x:c>
      <x:c r="N83" s="167" t="str">
        <x:f>IF(A83="","",IFERROR(LOOKUP(2,1/('Scope Review'!$B$5:$B$204=A83),'Scope Review'!$G$5:$G$204),"Not Reviewed"))</x:f>
        <x:v>Not Reviewed</x:v>
      </x:c>
      <x:c r="O83" s="167" t="str">
        <x:f>IF(A83="","",IFERROR(LOOKUP(2,1/('Scope Review'!$B$5:$B$204=A83),'Scope Review'!$H$5:$H$204),""))</x:f>
      </x:c>
      <x:c r="P83" s="167" t="n">
        <x:f t="shared" si="4">IF(A83="","",IF(AND(C83="executing",N83&lt;&gt;"Confirmed OOS"),M83,0))</x:f>
        <x:v>0</x:v>
      </x:c>
      <x:c r="Q83" s="168" t="str">
        <x:f>IF(A83="","",IFERROR(LOOKUP(2,1/('Engineer Updates'!$B$5:$B$704=A83),'Engineer Updates'!$A$5:$A$704),""))</x:f>
      </x:c>
      <x:c r="R83" s="166" t="str">
        <x:f>IF(A83="","",IFERROR(LOOKUP(2,1/('Engineer Updates'!$B$5:$B$704=A83),'Engineer Updates'!$H$5:$H$704),""))</x:f>
      </x:c>
      <x:c r="S83" s="166" t="str">
        <x:f>IF(A83="","",IFERROR(LOOKUP(2,1/('Engineer Updates'!$B$5:$B$704=A83),'Engineer Updates'!$G$5:$G$704),""))</x:f>
      </x:c>
      <x:c r="T83" s="166" t="str">
        <x:f>IF(A83="","",IFERROR(LOOKUP(2,1/('Engineer Updates'!$B$5:$B$704=A83),'Engineer Updates'!$I$5:$I$704),""))</x:f>
      </x:c>
      <x:c r="U83" s="166" t="str">
        <x:f>IF(A83="","",IFERROR(LOOKUP(2,1/('Engineer Updates'!$B$5:$B$704=A83),'Engineer Updates'!$J$5:$J$704),""))</x:f>
      </x:c>
      <x:c r="V83" s="166" t="str">
        <x:f>IF(A83="","",IFERROR(LOOKUP(2,1/('Engineer Updates'!$B$5:$B$704=A83),'Engineer Updates'!$K$5:$K$704),""))</x:f>
      </x:c>
      <x:c r="W83" s="169" t="str">
        <x:f>IF(A83="","",IFERROR(LOOKUP(2,1/('Engineer Updates'!$B$5:$B$704=A83),'Engineer Updates'!$L$5:$L$704),""))</x:f>
      </x:c>
      <x:c r="X83" s="163" t="str">
        <x:f t="shared" si="5">IF(A83="","",IF(C83="completed","Completed in CSSP",IF(AND(C83="executing",ISERROR(SEARCH("@",K83))),"Executing without named engineer",IF(AND(N83="Confirmed OOS",C83="executing"),"Confirmed OOS still executing",""))))</x:f>
      </x:c>
      <x:c r="Y83" s="163" t="str">
        <x:f>IF(A83="","",IF(B83="Decommissioning","Raw Decommissioning","Raw Provisioning"))</x:f>
        <x:v>Raw Decommissioning</x:v>
      </x:c>
      <x:c r="Z83" s="170" t="str">
        <x:f>IF(A83="","",IF(OR(C83="executing",C83="processing"),"Yes","No"))</x:f>
        <x:v>No</x:v>
      </x:c>
    </x:row>
    <x:row r="84" ht="45">
      <x:c r="A84" s="163" t="str">
        <x:f>IF(ROWS($A$5:A84)&lt;=COUNTA('Raw Decommissioning'!$B$2:$B$1000),INDEX('Raw Decommissioning'!$B$2:$B$1000,ROWS($A$5:A84)),IF(ROWS($A$5:A84)-COUNTA('Raw Decommissioning'!$B$2:$B$1000)&lt;=COUNTA('Raw Provisioning'!$B$2:$B$1000),INDEX('Raw Provisioning'!$B$2:$B$1000,ROWS($A$5:A84)-COUNTA('Raw Decommissioning'!$B$2:$B$1000)),""))</x:f>
        <x:v>CSSP10385911</x:v>
      </x:c>
      <x:c r="B84" s="163" t="str">
        <x:f>IF(A84="","",IF(ROWS($A$5:A84)&lt;=COUNTA('Raw Decommissioning'!$B$2:$B$1000),"Decommissioning","Provisioning"))</x:f>
        <x:v>Decommissioning</x:v>
      </x:c>
      <x:c r="C84" s="163" t="str">
        <x:f>IF(A84="","",IF(B84="Decommissioning",IFERROR(INDEX('Raw Decommissioning'!$E$2:$E$1000,MATCH(A84,'Raw Decommissioning'!$B$2:$B$1000,0)),"Missing from latest raw"),IFERROR(INDEX('Raw Provisioning'!$E$2:$E$1000,MATCH(A84,'Raw Provisioning'!$B$2:$B$1000,0)),"Missing from latest raw")))</x:f>
        <x:v>completed</x:v>
      </x:c>
      <x:c r="D84" s="164" t="n">
        <x:f>IF(A84="","",'Refresh Control'!$B$4)</x:f>
        <x:v>46254</x:v>
      </x:c>
      <x:c r="E84" s="164" t="n">
        <x:f>IF(A84="","",IF(B84="Decommissioning",INDEX('Raw Decommissioning'!$F$2:$F$1000,ROWS($A$5:A84)),INDEX('Raw Provisioning'!$F$2:$F$1000,ROWS($A$5:A84)-COUNTA('Raw Decommissioning'!$B$2:$B$1000))))</x:f>
        <x:v>46050.128076469904</x:v>
      </x:c>
      <x:c r="F84" s="164" t="n">
        <x:f>IF(A84="","",IF(B84="Decommissioning",INDEX('Raw Decommissioning'!$G$2:$G$1000,ROWS($A$5:A84)),INDEX('Raw Provisioning'!$H$2:$H$1000,ROWS($A$5:A84)-COUNTA('Raw Decommissioning'!$B$2:$B$1000))))</x:f>
        <x:v>46072.82528517361</x:v>
      </x:c>
      <x:c r="G84" s="165" t="str">
        <x:f>IF(A84="","",IF(B84="Decommissioning",INDEX('Raw Decommissioning'!$I$2:$I$1000,ROWS($A$5:A84)),INDEX('Raw Provisioning'!$J$2:$J$1000,ROWS($A$5:A84)-COUNTA('Raw Decommissioning'!$B$2:$B$1000))))</x:f>
        <x:v>RISER</x:v>
      </x:c>
      <x:c r="H84" s="165" t="str">
        <x:f>IF(A84="","",IF(B84="Decommissioning",INDEX('Raw Decommissioning'!$J$2:$J$1000,ROWS($A$5:A84)),INDEX('Raw Provisioning'!$L$2:$L$1000,ROWS($A$5:A84)-COUNTA('Raw Decommissioning'!$B$2:$B$1000))))</x:f>
        <x:v>RISER</x:v>
      </x:c>
      <x:c r="I84" s="165" t="str">
        <x:f>IF(A84="","",IF(B84="Decommissioning",INDEX('Raw Decommissioning'!$AL$2:$AL$1000,ROWS($A$5:A84)),INDEX('Raw Provisioning'!$R$2:$R$1000,ROWS($A$5:A84)-COUNTA('Raw Decommissioning'!$B$2:$B$1000))))</x:f>
        <x:v>M</x:v>
      </x:c>
      <x:c r="J84" s="165" t="str">
        <x:f>IF(A84="","",IF(B84="Decommissioning",INDEX('Raw Decommissioning'!$AG$2:$AG$1000,ROWS($A$5:A84)),INDEX('Raw Provisioning'!$AI$2:$AI$1000,ROWS($A$5:A84)-COUNTA('Raw Decommissioning'!$B$2:$B$1000))))</x:f>
        <x:v>azwan.badari@petronas.com</x:v>
      </x:c>
      <x:c r="K84" s="166" t="str">
        <x:f>IF(A84="","",IFERROR(LOOKUP(2,1/('Assignment History'!$B$5:$B$204=A84),'Assignment History'!$D$5:$D$204),IFERROR(VLOOKUP(J84,Configuration!$L$5:$M$50,2,FALSE),J84)))</x:f>
        <x:v>azwan.badari@petronas.com</x:v>
      </x:c>
      <x:c r="L84" s="166" t="str">
        <x:f>IF(A84="","",IF(K84=IFERROR(VLOOKUP(J84,Configuration!$L$5:$M$50,2,FALSE),J84),"Snapshot PIC","Replacement PIC"))</x:f>
        <x:v>Snapshot PIC</x:v>
      </x:c>
      <x:c r="M84" s="167" t="n">
        <x:f>IF(A84="","",IFERROR(VLOOKUP(I84,Configuration!$O$5:$P$8,2,FALSE),Configuration!$S$6))</x:f>
        <x:v>2</x:v>
      </x:c>
      <x:c r="N84" s="167" t="str">
        <x:f>IF(A84="","",IFERROR(LOOKUP(2,1/('Scope Review'!$B$5:$B$204=A84),'Scope Review'!$G$5:$G$204),"Not Reviewed"))</x:f>
        <x:v>Not Reviewed</x:v>
      </x:c>
      <x:c r="O84" s="167" t="str">
        <x:f>IF(A84="","",IFERROR(LOOKUP(2,1/('Scope Review'!$B$5:$B$204=A84),'Scope Review'!$H$5:$H$204),""))</x:f>
      </x:c>
      <x:c r="P84" s="167" t="n">
        <x:f t="shared" si="4">IF(A84="","",IF(AND(C84="executing",N84&lt;&gt;"Confirmed OOS"),M84,0))</x:f>
        <x:v>0</x:v>
      </x:c>
      <x:c r="Q84" s="168" t="str">
        <x:f>IF(A84="","",IFERROR(LOOKUP(2,1/('Engineer Updates'!$B$5:$B$704=A84),'Engineer Updates'!$A$5:$A$704),""))</x:f>
      </x:c>
      <x:c r="R84" s="166" t="str">
        <x:f>IF(A84="","",IFERROR(LOOKUP(2,1/('Engineer Updates'!$B$5:$B$704=A84),'Engineer Updates'!$H$5:$H$704),""))</x:f>
      </x:c>
      <x:c r="S84" s="166" t="str">
        <x:f>IF(A84="","",IFERROR(LOOKUP(2,1/('Engineer Updates'!$B$5:$B$704=A84),'Engineer Updates'!$G$5:$G$704),""))</x:f>
      </x:c>
      <x:c r="T84" s="166" t="str">
        <x:f>IF(A84="","",IFERROR(LOOKUP(2,1/('Engineer Updates'!$B$5:$B$704=A84),'Engineer Updates'!$I$5:$I$704),""))</x:f>
      </x:c>
      <x:c r="U84" s="166" t="str">
        <x:f>IF(A84="","",IFERROR(LOOKUP(2,1/('Engineer Updates'!$B$5:$B$704=A84),'Engineer Updates'!$J$5:$J$704),""))</x:f>
      </x:c>
      <x:c r="V84" s="166" t="str">
        <x:f>IF(A84="","",IFERROR(LOOKUP(2,1/('Engineer Updates'!$B$5:$B$704=A84),'Engineer Updates'!$K$5:$K$704),""))</x:f>
      </x:c>
      <x:c r="W84" s="169" t="str">
        <x:f>IF(A84="","",IFERROR(LOOKUP(2,1/('Engineer Updates'!$B$5:$B$704=A84),'Engineer Updates'!$L$5:$L$704),""))</x:f>
      </x:c>
      <x:c r="X84" s="163" t="str">
        <x:f t="shared" si="5">IF(A84="","",IF(C84="completed","Completed in CSSP",IF(AND(C84="executing",ISERROR(SEARCH("@",K84))),"Executing without named engineer",IF(AND(N84="Confirmed OOS",C84="executing"),"Confirmed OOS still executing",""))))</x:f>
        <x:v>Completed in CSSP</x:v>
      </x:c>
      <x:c r="Y84" s="163" t="str">
        <x:f>IF(A84="","",IF(B84="Decommissioning","Raw Decommissioning","Raw Provisioning"))</x:f>
        <x:v>Raw Decommissioning</x:v>
      </x:c>
      <x:c r="Z84" s="170" t="str">
        <x:f>IF(A84="","",IF(OR(C84="executing",C84="processing"),"Yes","No"))</x:f>
        <x:v>No</x:v>
      </x:c>
    </x:row>
    <x:row r="85" ht="30">
      <x:c r="A85" s="163" t="str">
        <x:f>IF(ROWS($A$5:A85)&lt;=COUNTA('Raw Decommissioning'!$B$2:$B$1000),INDEX('Raw Decommissioning'!$B$2:$B$1000,ROWS($A$5:A85)),IF(ROWS($A$5:A85)-COUNTA('Raw Decommissioning'!$B$2:$B$1000)&lt;=COUNTA('Raw Provisioning'!$B$2:$B$1000),INDEX('Raw Provisioning'!$B$2:$B$1000,ROWS($A$5:A85)-COUNTA('Raw Decommissioning'!$B$2:$B$1000)),""))</x:f>
        <x:v>CSSP10696569</x:v>
      </x:c>
      <x:c r="B85" s="163" t="str">
        <x:f>IF(A85="","",IF(ROWS($A$5:A85)&lt;=COUNTA('Raw Decommissioning'!$B$2:$B$1000),"Decommissioning","Provisioning"))</x:f>
        <x:v>Decommissioning</x:v>
      </x:c>
      <x:c r="C85" s="163" t="str">
        <x:f>IF(A85="","",IF(B85="Decommissioning",IFERROR(INDEX('Raw Decommissioning'!$E$2:$E$1000,MATCH(A85,'Raw Decommissioning'!$B$2:$B$1000,0)),"Missing from latest raw"),IFERROR(INDEX('Raw Provisioning'!$E$2:$E$1000,MATCH(A85,'Raw Provisioning'!$B$2:$B$1000,0)),"Missing from latest raw")))</x:f>
        <x:v>completed</x:v>
      </x:c>
      <x:c r="D85" s="164" t="n">
        <x:f>IF(A85="","",'Refresh Control'!$B$4)</x:f>
        <x:v>46254</x:v>
      </x:c>
      <x:c r="E85" s="164" t="n">
        <x:f>IF(A85="","",IF(B85="Decommissioning",INDEX('Raw Decommissioning'!$F$2:$F$1000,ROWS($A$5:A85)),INDEX('Raw Provisioning'!$F$2:$F$1000,ROWS($A$5:A85)-COUNTA('Raw Decommissioning'!$B$2:$B$1000))))</x:f>
        <x:v>46050.13738940972</x:v>
      </x:c>
      <x:c r="F85" s="164" t="n">
        <x:f>IF(A85="","",IF(B85="Decommissioning",INDEX('Raw Decommissioning'!$G$2:$G$1000,ROWS($A$5:A85)),INDEX('Raw Provisioning'!$H$2:$H$1000,ROWS($A$5:A85)-COUNTA('Raw Decommissioning'!$B$2:$B$1000))))</x:f>
        <x:v>46076.306974548614</x:v>
      </x:c>
      <x:c r="G85" s="165" t="str">
        <x:f>IF(A85="","",IF(B85="Decommissioning",INDEX('Raw Decommissioning'!$I$2:$I$1000,ROWS($A$5:A85)),INDEX('Raw Provisioning'!$J$2:$J$1000,ROWS($A$5:A85)-COUNTA('Raw Decommissioning'!$B$2:$B$1000))))</x:f>
        <x:v>M365 Teams Message Broadcast</x:v>
      </x:c>
      <x:c r="H85" s="165" t="str">
        <x:f>IF(A85="","",IF(B85="Decommissioning",INDEX('Raw Decommissioning'!$J$2:$J$1000,ROWS($A$5:A85)),INDEX('Raw Provisioning'!$L$2:$L$1000,ROWS($A$5:A85)-COUNTA('Raw Decommissioning'!$B$2:$B$1000))))</x:f>
        <x:v>MS Teams Message Broadcast (POC Environment) for Group Risk Demonstration</x:v>
      </x:c>
      <x:c r="I85" s="165" t="str">
        <x:f>IF(A85="","",IF(B85="Decommissioning",INDEX('Raw Decommissioning'!$AL$2:$AL$1000,ROWS($A$5:A85)),INDEX('Raw Provisioning'!$R$2:$R$1000,ROWS($A$5:A85)-COUNTA('Raw Decommissioning'!$B$2:$B$1000))))</x:f>
        <x:v>M</x:v>
      </x:c>
      <x:c r="J85" s="165" t="str">
        <x:f>IF(A85="","",IF(B85="Decommissioning",INDEX('Raw Decommissioning'!$AG$2:$AG$1000,ROWS($A$5:A85)),INDEX('Raw Provisioning'!$AI$2:$AI$1000,ROWS($A$5:A85)-COUNTA('Raw Decommissioning'!$B$2:$B$1000))))</x:f>
        <x:v>abdullah.haziq@petronas.com</x:v>
      </x:c>
      <x:c r="K85" s="166" t="str">
        <x:f>IF(A85="","",IFERROR(LOOKUP(2,1/('Assignment History'!$B$5:$B$204=A85),'Assignment History'!$D$5:$D$204),IFERROR(VLOOKUP(J85,Configuration!$L$5:$M$50,2,FALSE),J85)))</x:f>
        <x:v>abdullah.haziq@petronas.com</x:v>
      </x:c>
      <x:c r="L85" s="166" t="str">
        <x:f>IF(A85="","",IF(K85=IFERROR(VLOOKUP(J85,Configuration!$L$5:$M$50,2,FALSE),J85),"Snapshot PIC","Replacement PIC"))</x:f>
        <x:v>Snapshot PIC</x:v>
      </x:c>
      <x:c r="M85" s="167" t="n">
        <x:f>IF(A85="","",IFERROR(VLOOKUP(I85,Configuration!$O$5:$P$8,2,FALSE),Configuration!$S$6))</x:f>
        <x:v>2</x:v>
      </x:c>
      <x:c r="N85" s="167" t="str">
        <x:f>IF(A85="","",IFERROR(LOOKUP(2,1/('Scope Review'!$B$5:$B$204=A85),'Scope Review'!$G$5:$G$204),"Not Reviewed"))</x:f>
        <x:v>Not Reviewed</x:v>
      </x:c>
      <x:c r="O85" s="167" t="str">
        <x:f>IF(A85="","",IFERROR(LOOKUP(2,1/('Scope Review'!$B$5:$B$204=A85),'Scope Review'!$H$5:$H$204),""))</x:f>
      </x:c>
      <x:c r="P85" s="167" t="n">
        <x:f t="shared" si="4">IF(A85="","",IF(AND(C85="executing",N85&lt;&gt;"Confirmed OOS"),M85,0))</x:f>
        <x:v>0</x:v>
      </x:c>
      <x:c r="Q85" s="168" t="str">
        <x:f>IF(A85="","",IFERROR(LOOKUP(2,1/('Engineer Updates'!$B$5:$B$704=A85),'Engineer Updates'!$A$5:$A$704),""))</x:f>
      </x:c>
      <x:c r="R85" s="166" t="str">
        <x:f>IF(A85="","",IFERROR(LOOKUP(2,1/('Engineer Updates'!$B$5:$B$704=A85),'Engineer Updates'!$H$5:$H$704),""))</x:f>
      </x:c>
      <x:c r="S85" s="166" t="str">
        <x:f>IF(A85="","",IFERROR(LOOKUP(2,1/('Engineer Updates'!$B$5:$B$704=A85),'Engineer Updates'!$G$5:$G$704),""))</x:f>
      </x:c>
      <x:c r="T85" s="166" t="str">
        <x:f>IF(A85="","",IFERROR(LOOKUP(2,1/('Engineer Updates'!$B$5:$B$704=A85),'Engineer Updates'!$I$5:$I$704),""))</x:f>
      </x:c>
      <x:c r="U85" s="166" t="str">
        <x:f>IF(A85="","",IFERROR(LOOKUP(2,1/('Engineer Updates'!$B$5:$B$704=A85),'Engineer Updates'!$J$5:$J$704),""))</x:f>
      </x:c>
      <x:c r="V85" s="166" t="str">
        <x:f>IF(A85="","",IFERROR(LOOKUP(2,1/('Engineer Updates'!$B$5:$B$704=A85),'Engineer Updates'!$K$5:$K$704),""))</x:f>
      </x:c>
      <x:c r="W85" s="169" t="str">
        <x:f>IF(A85="","",IFERROR(LOOKUP(2,1/('Engineer Updates'!$B$5:$B$704=A85),'Engineer Updates'!$L$5:$L$704),""))</x:f>
      </x:c>
      <x:c r="X85" s="163" t="str">
        <x:f t="shared" si="5">IF(A85="","",IF(C85="completed","Completed in CSSP",IF(AND(C85="executing",ISERROR(SEARCH("@",K85))),"Executing without named engineer",IF(AND(N85="Confirmed OOS",C85="executing"),"Confirmed OOS still executing",""))))</x:f>
        <x:v>Completed in CSSP</x:v>
      </x:c>
      <x:c r="Y85" s="163" t="str">
        <x:f>IF(A85="","",IF(B85="Decommissioning","Raw Decommissioning","Raw Provisioning"))</x:f>
        <x:v>Raw Decommissioning</x:v>
      </x:c>
      <x:c r="Z85" s="170" t="str">
        <x:f>IF(A85="","",IF(OR(C85="executing",C85="processing"),"Yes","No"))</x:f>
        <x:v>No</x:v>
      </x:c>
    </x:row>
    <x:row r="86" ht="30">
      <x:c r="A86" s="163" t="str">
        <x:f>IF(ROWS($A$5:A86)&lt;=COUNTA('Raw Decommissioning'!$B$2:$B$1000),INDEX('Raw Decommissioning'!$B$2:$B$1000,ROWS($A$5:A86)),IF(ROWS($A$5:A86)-COUNTA('Raw Decommissioning'!$B$2:$B$1000)&lt;=COUNTA('Raw Provisioning'!$B$2:$B$1000),INDEX('Raw Provisioning'!$B$2:$B$1000,ROWS($A$5:A86)-COUNTA('Raw Decommissioning'!$B$2:$B$1000)),""))</x:f>
        <x:v>CSSP10342452</x:v>
      </x:c>
      <x:c r="B86" s="163" t="str">
        <x:f>IF(A86="","",IF(ROWS($A$5:A86)&lt;=COUNTA('Raw Decommissioning'!$B$2:$B$1000),"Decommissioning","Provisioning"))</x:f>
        <x:v>Decommissioning</x:v>
      </x:c>
      <x:c r="C86" s="163" t="str">
        <x:f>IF(A86="","",IF(B86="Decommissioning",IFERROR(INDEX('Raw Decommissioning'!$E$2:$E$1000,MATCH(A86,'Raw Decommissioning'!$B$2:$B$1000,0)),"Missing from latest raw"),IFERROR(INDEX('Raw Provisioning'!$E$2:$E$1000,MATCH(A86,'Raw Provisioning'!$B$2:$B$1000,0)),"Missing from latest raw")))</x:f>
        <x:v>completed</x:v>
      </x:c>
      <x:c r="D86" s="164" t="n">
        <x:f>IF(A86="","",'Refresh Control'!$B$4)</x:f>
        <x:v>46254</x:v>
      </x:c>
      <x:c r="E86" s="164" t="n">
        <x:f>IF(A86="","",IF(B86="Decommissioning",INDEX('Raw Decommissioning'!$F$2:$F$1000,ROWS($A$5:A86)),INDEX('Raw Provisioning'!$F$2:$F$1000,ROWS($A$5:A86)-COUNTA('Raw Decommissioning'!$B$2:$B$1000))))</x:f>
        <x:v>46050.15942528935</x:v>
      </x:c>
      <x:c r="F86" s="164" t="n">
        <x:f>IF(A86="","",IF(B86="Decommissioning",INDEX('Raw Decommissioning'!$G$2:$G$1000,ROWS($A$5:A86)),INDEX('Raw Provisioning'!$H$2:$H$1000,ROWS($A$5:A86)-COUNTA('Raw Decommissioning'!$B$2:$B$1000))))</x:f>
        <x:v>46076.29773550926</x:v>
      </x:c>
      <x:c r="G86" s="165" t="str">
        <x:f>IF(A86="","",IF(B86="Decommissioning",INDEX('Raw Decommissioning'!$I$2:$I$1000,ROWS($A$5:A86)),INDEX('Raw Provisioning'!$J$2:$J$1000,ROWS($A$5:A86)-COUNTA('Raw Decommissioning'!$B$2:$B$1000))))</x:f>
        <x:v>President Townhall</x:v>
      </x:c>
      <x:c r="H86" s="165" t="str">
        <x:f>IF(A86="","",IF(B86="Decommissioning",INDEX('Raw Decommissioning'!$J$2:$J$1000,ROWS($A$5:A86)),INDEX('Raw Provisioning'!$L$2:$L$1000,ROWS($A$5:A86)-COUNTA('Raw Decommissioning'!$B$2:$B$1000))))</x:f>
        <x:v>Subscription for Azure Media Services for President Townhall</x:v>
      </x:c>
      <x:c r="I86" s="165" t="str">
        <x:f>IF(A86="","",IF(B86="Decommissioning",INDEX('Raw Decommissioning'!$AL$2:$AL$1000,ROWS($A$5:A86)),INDEX('Raw Provisioning'!$R$2:$R$1000,ROWS($A$5:A86)-COUNTA('Raw Decommissioning'!$B$2:$B$1000))))</x:f>
        <x:v>M</x:v>
      </x:c>
      <x:c r="J86" s="165" t="str">
        <x:f>IF(A86="","",IF(B86="Decommissioning",INDEX('Raw Decommissioning'!$AG$2:$AG$1000,ROWS($A$5:A86)),INDEX('Raw Provisioning'!$AI$2:$AI$1000,ROWS($A$5:A86)-COUNTA('Raw Decommissioning'!$B$2:$B$1000))))</x:f>
        <x:v>abdullah.haziq@petronas.com</x:v>
      </x:c>
      <x:c r="K86" s="166" t="str">
        <x:f>IF(A86="","",IFERROR(LOOKUP(2,1/('Assignment History'!$B$5:$B$204=A86),'Assignment History'!$D$5:$D$204),IFERROR(VLOOKUP(J86,Configuration!$L$5:$M$50,2,FALSE),J86)))</x:f>
        <x:v>abdullah.haziq@petronas.com</x:v>
      </x:c>
      <x:c r="L86" s="166" t="str">
        <x:f>IF(A86="","",IF(K86=IFERROR(VLOOKUP(J86,Configuration!$L$5:$M$50,2,FALSE),J86),"Snapshot PIC","Replacement PIC"))</x:f>
        <x:v>Snapshot PIC</x:v>
      </x:c>
      <x:c r="M86" s="167" t="n">
        <x:f>IF(A86="","",IFERROR(VLOOKUP(I86,Configuration!$O$5:$P$8,2,FALSE),Configuration!$S$6))</x:f>
        <x:v>2</x:v>
      </x:c>
      <x:c r="N86" s="167" t="str">
        <x:f>IF(A86="","",IFERROR(LOOKUP(2,1/('Scope Review'!$B$5:$B$204=A86),'Scope Review'!$G$5:$G$204),"Not Reviewed"))</x:f>
        <x:v>Not Reviewed</x:v>
      </x:c>
      <x:c r="O86" s="167" t="str">
        <x:f>IF(A86="","",IFERROR(LOOKUP(2,1/('Scope Review'!$B$5:$B$204=A86),'Scope Review'!$H$5:$H$204),""))</x:f>
      </x:c>
      <x:c r="P86" s="167" t="n">
        <x:f t="shared" si="4">IF(A86="","",IF(AND(C86="executing",N86&lt;&gt;"Confirmed OOS"),M86,0))</x:f>
        <x:v>0</x:v>
      </x:c>
      <x:c r="Q86" s="168" t="str">
        <x:f>IF(A86="","",IFERROR(LOOKUP(2,1/('Engineer Updates'!$B$5:$B$704=A86),'Engineer Updates'!$A$5:$A$704),""))</x:f>
      </x:c>
      <x:c r="R86" s="166" t="str">
        <x:f>IF(A86="","",IFERROR(LOOKUP(2,1/('Engineer Updates'!$B$5:$B$704=A86),'Engineer Updates'!$H$5:$H$704),""))</x:f>
      </x:c>
      <x:c r="S86" s="166" t="str">
        <x:f>IF(A86="","",IFERROR(LOOKUP(2,1/('Engineer Updates'!$B$5:$B$704=A86),'Engineer Updates'!$G$5:$G$704),""))</x:f>
      </x:c>
      <x:c r="T86" s="166" t="str">
        <x:f>IF(A86="","",IFERROR(LOOKUP(2,1/('Engineer Updates'!$B$5:$B$704=A86),'Engineer Updates'!$I$5:$I$704),""))</x:f>
      </x:c>
      <x:c r="U86" s="166" t="str">
        <x:f>IF(A86="","",IFERROR(LOOKUP(2,1/('Engineer Updates'!$B$5:$B$704=A86),'Engineer Updates'!$J$5:$J$704),""))</x:f>
      </x:c>
      <x:c r="V86" s="166" t="str">
        <x:f>IF(A86="","",IFERROR(LOOKUP(2,1/('Engineer Updates'!$B$5:$B$704=A86),'Engineer Updates'!$K$5:$K$704),""))</x:f>
      </x:c>
      <x:c r="W86" s="169" t="str">
        <x:f>IF(A86="","",IFERROR(LOOKUP(2,1/('Engineer Updates'!$B$5:$B$704=A86),'Engineer Updates'!$L$5:$L$704),""))</x:f>
      </x:c>
      <x:c r="X86" s="163" t="str">
        <x:f t="shared" si="5">IF(A86="","",IF(C86="completed","Completed in CSSP",IF(AND(C86="executing",ISERROR(SEARCH("@",K86))),"Executing without named engineer",IF(AND(N86="Confirmed OOS",C86="executing"),"Confirmed OOS still executing",""))))</x:f>
        <x:v>Completed in CSSP</x:v>
      </x:c>
      <x:c r="Y86" s="163" t="str">
        <x:f>IF(A86="","",IF(B86="Decommissioning","Raw Decommissioning","Raw Provisioning"))</x:f>
        <x:v>Raw Decommissioning</x:v>
      </x:c>
      <x:c r="Z86" s="170" t="str">
        <x:f>IF(A86="","",IF(OR(C86="executing",C86="processing"),"Yes","No"))</x:f>
        <x:v>No</x:v>
      </x:c>
    </x:row>
    <x:row r="87" ht="30">
      <x:c r="A87" s="163" t="str">
        <x:f>IF(ROWS($A$5:A87)&lt;=COUNTA('Raw Decommissioning'!$B$2:$B$1000),INDEX('Raw Decommissioning'!$B$2:$B$1000,ROWS($A$5:A87)),IF(ROWS($A$5:A87)-COUNTA('Raw Decommissioning'!$B$2:$B$1000)&lt;=COUNTA('Raw Provisioning'!$B$2:$B$1000),INDEX('Raw Provisioning'!$B$2:$B$1000,ROWS($A$5:A87)-COUNTA('Raw Decommissioning'!$B$2:$B$1000)),""))</x:f>
        <x:v>CSSP10522577</x:v>
      </x:c>
      <x:c r="B87" s="163" t="str">
        <x:f>IF(A87="","",IF(ROWS($A$5:A87)&lt;=COUNTA('Raw Decommissioning'!$B$2:$B$1000),"Decommissioning","Provisioning"))</x:f>
        <x:v>Decommissioning</x:v>
      </x:c>
      <x:c r="C87" s="163" t="str">
        <x:f>IF(A87="","",IF(B87="Decommissioning",IFERROR(INDEX('Raw Decommissioning'!$E$2:$E$1000,MATCH(A87,'Raw Decommissioning'!$B$2:$B$1000,0)),"Missing from latest raw"),IFERROR(INDEX('Raw Provisioning'!$E$2:$E$1000,MATCH(A87,'Raw Provisioning'!$B$2:$B$1000,0)),"Missing from latest raw")))</x:f>
        <x:v>completed</x:v>
      </x:c>
      <x:c r="D87" s="164" t="n">
        <x:f>IF(A87="","",'Refresh Control'!$B$4)</x:f>
        <x:v>46254</x:v>
      </x:c>
      <x:c r="E87" s="164" t="n">
        <x:f>IF(A87="","",IF(B87="Decommissioning",INDEX('Raw Decommissioning'!$F$2:$F$1000,ROWS($A$5:A87)),INDEX('Raw Provisioning'!$F$2:$F$1000,ROWS($A$5:A87)-COUNTA('Raw Decommissioning'!$B$2:$B$1000))))</x:f>
        <x:v>46050.16435633102</x:v>
      </x:c>
      <x:c r="F87" s="164" t="n">
        <x:f>IF(A87="","",IF(B87="Decommissioning",INDEX('Raw Decommissioning'!$G$2:$G$1000,ROWS($A$5:A87)),INDEX('Raw Provisioning'!$H$2:$H$1000,ROWS($A$5:A87)-COUNTA('Raw Decommissioning'!$B$2:$B$1000))))</x:f>
        <x:v>46064.167046076385</x:v>
      </x:c>
      <x:c r="G87" s="165" t="str">
        <x:f>IF(A87="","",IF(B87="Decommissioning",INDEX('Raw Decommissioning'!$I$2:$I$1000,ROWS($A$5:A87)),INDEX('Raw Provisioning'!$J$2:$J$1000,ROWS($A$5:A87)-COUNTA('Raw Decommissioning'!$B$2:$B$1000))))</x:f>
        <x:v>ATG TotaLizer Automation System - ATLAS</x:v>
      </x:c>
      <x:c r="H87" s="165" t="str">
        <x:f>IF(A87="","",IF(B87="Decommissioning",INDEX('Raw Decommissioning'!$J$2:$J$1000,ROWS($A$5:A87)),INDEX('Raw Provisioning'!$L$2:$L$1000,ROWS($A$5:A87)-COUNTA('Raw Decommissioning'!$B$2:$B$1000))))</x:f>
        <x:v>Cloud Migration Program - ATLAS - ATG Tota(L)izer Automation System</x:v>
      </x:c>
      <x:c r="I87" s="165" t="str">
        <x:f>IF(A87="","",IF(B87="Decommissioning",INDEX('Raw Decommissioning'!$AL$2:$AL$1000,ROWS($A$5:A87)),INDEX('Raw Provisioning'!$R$2:$R$1000,ROWS($A$5:A87)-COUNTA('Raw Decommissioning'!$B$2:$B$1000))))</x:f>
        <x:v>L</x:v>
      </x:c>
      <x:c r="J87" s="165" t="str">
        <x:f>IF(A87="","",IF(B87="Decommissioning",INDEX('Raw Decommissioning'!$AG$2:$AG$1000,ROWS($A$5:A87)),INDEX('Raw Provisioning'!$AI$2:$AI$1000,ROWS($A$5:A87)-COUNTA('Raw Decommissioning'!$B$2:$B$1000))))</x:f>
        <x:v>azlisham.md@petronas.com</x:v>
      </x:c>
      <x:c r="K87" s="166" t="str">
        <x:f>IF(A87="","",IFERROR(LOOKUP(2,1/('Assignment History'!$B$5:$B$204=A87),'Assignment History'!$D$5:$D$204),IFERROR(VLOOKUP(J87,Configuration!$L$5:$M$50,2,FALSE),J87)))</x:f>
        <x:v>azlisham.md@petronas.com</x:v>
      </x:c>
      <x:c r="L87" s="166" t="str">
        <x:f>IF(A87="","",IF(K87=IFERROR(VLOOKUP(J87,Configuration!$L$5:$M$50,2,FALSE),J87),"Snapshot PIC","Replacement PIC"))</x:f>
        <x:v>Snapshot PIC</x:v>
      </x:c>
      <x:c r="M87" s="167" t="n">
        <x:f>IF(A87="","",IFERROR(VLOOKUP(I87,Configuration!$O$5:$P$8,2,FALSE),Configuration!$S$6))</x:f>
        <x:v>3</x:v>
      </x:c>
      <x:c r="N87" s="167" t="str">
        <x:f>IF(A87="","",IFERROR(LOOKUP(2,1/('Scope Review'!$B$5:$B$204=A87),'Scope Review'!$G$5:$G$204),"Not Reviewed"))</x:f>
        <x:v>Not Reviewed</x:v>
      </x:c>
      <x:c r="O87" s="167" t="str">
        <x:f>IF(A87="","",IFERROR(LOOKUP(2,1/('Scope Review'!$B$5:$B$204=A87),'Scope Review'!$H$5:$H$204),""))</x:f>
      </x:c>
      <x:c r="P87" s="167" t="n">
        <x:f t="shared" si="4">IF(A87="","",IF(AND(C87="executing",N87&lt;&gt;"Confirmed OOS"),M87,0))</x:f>
        <x:v>0</x:v>
      </x:c>
      <x:c r="Q87" s="168" t="str">
        <x:f>IF(A87="","",IFERROR(LOOKUP(2,1/('Engineer Updates'!$B$5:$B$704=A87),'Engineer Updates'!$A$5:$A$704),""))</x:f>
      </x:c>
      <x:c r="R87" s="166" t="str">
        <x:f>IF(A87="","",IFERROR(LOOKUP(2,1/('Engineer Updates'!$B$5:$B$704=A87),'Engineer Updates'!$H$5:$H$704),""))</x:f>
      </x:c>
      <x:c r="S87" s="166" t="str">
        <x:f>IF(A87="","",IFERROR(LOOKUP(2,1/('Engineer Updates'!$B$5:$B$704=A87),'Engineer Updates'!$G$5:$G$704),""))</x:f>
      </x:c>
      <x:c r="T87" s="166" t="str">
        <x:f>IF(A87="","",IFERROR(LOOKUP(2,1/('Engineer Updates'!$B$5:$B$704=A87),'Engineer Updates'!$I$5:$I$704),""))</x:f>
      </x:c>
      <x:c r="U87" s="166" t="str">
        <x:f>IF(A87="","",IFERROR(LOOKUP(2,1/('Engineer Updates'!$B$5:$B$704=A87),'Engineer Updates'!$J$5:$J$704),""))</x:f>
      </x:c>
      <x:c r="V87" s="166" t="str">
        <x:f>IF(A87="","",IFERROR(LOOKUP(2,1/('Engineer Updates'!$B$5:$B$704=A87),'Engineer Updates'!$K$5:$K$704),""))</x:f>
      </x:c>
      <x:c r="W87" s="169" t="str">
        <x:f>IF(A87="","",IFERROR(LOOKUP(2,1/('Engineer Updates'!$B$5:$B$704=A87),'Engineer Updates'!$L$5:$L$704),""))</x:f>
      </x:c>
      <x:c r="X87" s="163" t="str">
        <x:f t="shared" si="5">IF(A87="","",IF(C87="completed","Completed in CSSP",IF(AND(C87="executing",ISERROR(SEARCH("@",K87))),"Executing without named engineer",IF(AND(N87="Confirmed OOS",C87="executing"),"Confirmed OOS still executing",""))))</x:f>
        <x:v>Completed in CSSP</x:v>
      </x:c>
      <x:c r="Y87" s="163" t="str">
        <x:f>IF(A87="","",IF(B87="Decommissioning","Raw Decommissioning","Raw Provisioning"))</x:f>
        <x:v>Raw Decommissioning</x:v>
      </x:c>
      <x:c r="Z87" s="170" t="str">
        <x:f>IF(A87="","",IF(OR(C87="executing",C87="processing"),"Yes","No"))</x:f>
        <x:v>No</x:v>
      </x:c>
    </x:row>
    <x:row r="88">
      <x:c r="A88" s="163" t="str">
        <x:f>IF(ROWS($A$5:A88)&lt;=COUNTA('Raw Decommissioning'!$B$2:$B$1000),INDEX('Raw Decommissioning'!$B$2:$B$1000,ROWS($A$5:A88)),IF(ROWS($A$5:A88)-COUNTA('Raw Decommissioning'!$B$2:$B$1000)&lt;=COUNTA('Raw Provisioning'!$B$2:$B$1000),INDEX('Raw Provisioning'!$B$2:$B$1000,ROWS($A$5:A88)-COUNTA('Raw Decommissioning'!$B$2:$B$1000)),""))</x:f>
        <x:v>CSSP10577735</x:v>
      </x:c>
      <x:c r="B88" s="163" t="str">
        <x:f>IF(A88="","",IF(ROWS($A$5:A88)&lt;=COUNTA('Raw Decommissioning'!$B$2:$B$1000),"Decommissioning","Provisioning"))</x:f>
        <x:v>Decommissioning</x:v>
      </x:c>
      <x:c r="C88" s="163" t="str">
        <x:f>IF(A88="","",IF(B88="Decommissioning",IFERROR(INDEX('Raw Decommissioning'!$E$2:$E$1000,MATCH(A88,'Raw Decommissioning'!$B$2:$B$1000,0)),"Missing from latest raw"),IFERROR(INDEX('Raw Provisioning'!$E$2:$E$1000,MATCH(A88,'Raw Provisioning'!$B$2:$B$1000,0)),"Missing from latest raw")))</x:f>
        <x:v>completed</x:v>
      </x:c>
      <x:c r="D88" s="164" t="n">
        <x:f>IF(A88="","",'Refresh Control'!$B$4)</x:f>
        <x:v>46254</x:v>
      </x:c>
      <x:c r="E88" s="164" t="n">
        <x:f>IF(A88="","",IF(B88="Decommissioning",INDEX('Raw Decommissioning'!$F$2:$F$1000,ROWS($A$5:A88)),INDEX('Raw Provisioning'!$F$2:$F$1000,ROWS($A$5:A88)-COUNTA('Raw Decommissioning'!$B$2:$B$1000))))</x:f>
        <x:v>46050.25470893519</x:v>
      </x:c>
      <x:c r="F88" s="164" t="n">
        <x:f>IF(A88="","",IF(B88="Decommissioning",INDEX('Raw Decommissioning'!$G$2:$G$1000,ROWS($A$5:A88)),INDEX('Raw Provisioning'!$H$2:$H$1000,ROWS($A$5:A88)-COUNTA('Raw Decommissioning'!$B$2:$B$1000))))</x:f>
        <x:v>46076.32617826389</x:v>
      </x:c>
      <x:c r="G88" s="165" t="str">
        <x:f>IF(A88="","",IF(B88="Decommissioning",INDEX('Raw Decommissioning'!$I$2:$I$1000,ROWS($A$5:A88)),INDEX('Raw Provisioning'!$J$2:$J$1000,ROWS($A$5:A88)-COUNTA('Raw Decommissioning'!$B$2:$B$1000))))</x:f>
        <x:v>M365</x:v>
      </x:c>
      <x:c r="H88" s="165" t="str">
        <x:f>IF(A88="","",IF(B88="Decommissioning",INDEX('Raw Decommissioning'!$J$2:$J$1000,ROWS($A$5:A88)),INDEX('Raw Provisioning'!$L$2:$L$1000,ROWS($A$5:A88)-COUNTA('Raw Decommissioning'!$B$2:$B$1000))))</x:f>
        <x:v>Microsoft 365 (M365) Deployment for PETRONAS Groupwide.</x:v>
      </x:c>
      <x:c r="I88" s="165" t="str">
        <x:f>IF(A88="","",IF(B88="Decommissioning",INDEX('Raw Decommissioning'!$AL$2:$AL$1000,ROWS($A$5:A88)),INDEX('Raw Provisioning'!$R$2:$R$1000,ROWS($A$5:A88)-COUNTA('Raw Decommissioning'!$B$2:$B$1000))))</x:f>
        <x:v>M</x:v>
      </x:c>
      <x:c r="J88" s="165" t="str">
        <x:f>IF(A88="","",IF(B88="Decommissioning",INDEX('Raw Decommissioning'!$AG$2:$AG$1000,ROWS($A$5:A88)),INDEX('Raw Provisioning'!$AI$2:$AI$1000,ROWS($A$5:A88)-COUNTA('Raw Decommissioning'!$B$2:$B$1000))))</x:f>
        <x:v>abdullah.haziq@petronas.com</x:v>
      </x:c>
      <x:c r="K88" s="166" t="str">
        <x:f>IF(A88="","",IFERROR(LOOKUP(2,1/('Assignment History'!$B$5:$B$204=A88),'Assignment History'!$D$5:$D$204),IFERROR(VLOOKUP(J88,Configuration!$L$5:$M$50,2,FALSE),J88)))</x:f>
        <x:v>abdullah.haziq@petronas.com</x:v>
      </x:c>
      <x:c r="L88" s="166" t="str">
        <x:f>IF(A88="","",IF(K88=IFERROR(VLOOKUP(J88,Configuration!$L$5:$M$50,2,FALSE),J88),"Snapshot PIC","Replacement PIC"))</x:f>
        <x:v>Snapshot PIC</x:v>
      </x:c>
      <x:c r="M88" s="167" t="n">
        <x:f>IF(A88="","",IFERROR(VLOOKUP(I88,Configuration!$O$5:$P$8,2,FALSE),Configuration!$S$6))</x:f>
        <x:v>2</x:v>
      </x:c>
      <x:c r="N88" s="167" t="str">
        <x:f>IF(A88="","",IFERROR(LOOKUP(2,1/('Scope Review'!$B$5:$B$204=A88),'Scope Review'!$G$5:$G$204),"Not Reviewed"))</x:f>
        <x:v>Not Reviewed</x:v>
      </x:c>
      <x:c r="O88" s="167" t="str">
        <x:f>IF(A88="","",IFERROR(LOOKUP(2,1/('Scope Review'!$B$5:$B$204=A88),'Scope Review'!$H$5:$H$204),""))</x:f>
      </x:c>
      <x:c r="P88" s="167" t="n">
        <x:f t="shared" si="4">IF(A88="","",IF(AND(C88="executing",N88&lt;&gt;"Confirmed OOS"),M88,0))</x:f>
        <x:v>0</x:v>
      </x:c>
      <x:c r="Q88" s="168" t="str">
        <x:f>IF(A88="","",IFERROR(LOOKUP(2,1/('Engineer Updates'!$B$5:$B$704=A88),'Engineer Updates'!$A$5:$A$704),""))</x:f>
      </x:c>
      <x:c r="R88" s="166" t="str">
        <x:f>IF(A88="","",IFERROR(LOOKUP(2,1/('Engineer Updates'!$B$5:$B$704=A88),'Engineer Updates'!$H$5:$H$704),""))</x:f>
      </x:c>
      <x:c r="S88" s="166" t="str">
        <x:f>IF(A88="","",IFERROR(LOOKUP(2,1/('Engineer Updates'!$B$5:$B$704=A88),'Engineer Updates'!$G$5:$G$704),""))</x:f>
      </x:c>
      <x:c r="T88" s="166" t="str">
        <x:f>IF(A88="","",IFERROR(LOOKUP(2,1/('Engineer Updates'!$B$5:$B$704=A88),'Engineer Updates'!$I$5:$I$704),""))</x:f>
      </x:c>
      <x:c r="U88" s="166" t="str">
        <x:f>IF(A88="","",IFERROR(LOOKUP(2,1/('Engineer Updates'!$B$5:$B$704=A88),'Engineer Updates'!$J$5:$J$704),""))</x:f>
      </x:c>
      <x:c r="V88" s="166" t="str">
        <x:f>IF(A88="","",IFERROR(LOOKUP(2,1/('Engineer Updates'!$B$5:$B$704=A88),'Engineer Updates'!$K$5:$K$704),""))</x:f>
      </x:c>
      <x:c r="W88" s="169" t="str">
        <x:f>IF(A88="","",IFERROR(LOOKUP(2,1/('Engineer Updates'!$B$5:$B$704=A88),'Engineer Updates'!$L$5:$L$704),""))</x:f>
      </x:c>
      <x:c r="X88" s="163" t="str">
        <x:f t="shared" si="5">IF(A88="","",IF(C88="completed","Completed in CSSP",IF(AND(C88="executing",ISERROR(SEARCH("@",K88))),"Executing without named engineer",IF(AND(N88="Confirmed OOS",C88="executing"),"Confirmed OOS still executing",""))))</x:f>
        <x:v>Completed in CSSP</x:v>
      </x:c>
      <x:c r="Y88" s="163" t="str">
        <x:f>IF(A88="","",IF(B88="Decommissioning","Raw Decommissioning","Raw Provisioning"))</x:f>
        <x:v>Raw Decommissioning</x:v>
      </x:c>
      <x:c r="Z88" s="170" t="str">
        <x:f>IF(A88="","",IF(OR(C88="executing",C88="processing"),"Yes","No"))</x:f>
        <x:v>No</x:v>
      </x:c>
    </x:row>
    <x:row r="89">
      <x:c r="A89" s="163" t="str">
        <x:f>IF(ROWS($A$5:A89)&lt;=COUNTA('Raw Decommissioning'!$B$2:$B$1000),INDEX('Raw Decommissioning'!$B$2:$B$1000,ROWS($A$5:A89)),IF(ROWS($A$5:A89)-COUNTA('Raw Decommissioning'!$B$2:$B$1000)&lt;=COUNTA('Raw Provisioning'!$B$2:$B$1000),INDEX('Raw Provisioning'!$B$2:$B$1000,ROWS($A$5:A89)-COUNTA('Raw Decommissioning'!$B$2:$B$1000)),""))</x:f>
        <x:v>CSSP10999243</x:v>
      </x:c>
      <x:c r="B89" s="163" t="str">
        <x:f>IF(A89="","",IF(ROWS($A$5:A89)&lt;=COUNTA('Raw Decommissioning'!$B$2:$B$1000),"Decommissioning","Provisioning"))</x:f>
        <x:v>Decommissioning</x:v>
      </x:c>
      <x:c r="C89" s="163" t="str">
        <x:f>IF(A89="","",IF(B89="Decommissioning",IFERROR(INDEX('Raw Decommissioning'!$E$2:$E$1000,MATCH(A89,'Raw Decommissioning'!$B$2:$B$1000,0)),"Missing from latest raw"),IFERROR(INDEX('Raw Provisioning'!$E$2:$E$1000,MATCH(A89,'Raw Provisioning'!$B$2:$B$1000,0)),"Missing from latest raw")))</x:f>
        <x:v>completed</x:v>
      </x:c>
      <x:c r="D89" s="164" t="n">
        <x:f>IF(A89="","",'Refresh Control'!$B$4)</x:f>
        <x:v>46254</x:v>
      </x:c>
      <x:c r="E89" s="164" t="n">
        <x:f>IF(A89="","",IF(B89="Decommissioning",INDEX('Raw Decommissioning'!$F$2:$F$1000,ROWS($A$5:A89)),INDEX('Raw Provisioning'!$F$2:$F$1000,ROWS($A$5:A89)-COUNTA('Raw Decommissioning'!$B$2:$B$1000))))</x:f>
        <x:v>46050.273656840276</x:v>
      </x:c>
      <x:c r="F89" s="164" t="n">
        <x:f>IF(A89="","",IF(B89="Decommissioning",INDEX('Raw Decommissioning'!$G$2:$G$1000,ROWS($A$5:A89)),INDEX('Raw Provisioning'!$H$2:$H$1000,ROWS($A$5:A89)-COUNTA('Raw Decommissioning'!$B$2:$B$1000))))</x:f>
        <x:v>46052.20092318287</x:v>
      </x:c>
      <x:c r="G89" s="165" t="str">
        <x:f>IF(A89="","",IF(B89="Decommissioning",INDEX('Raw Decommissioning'!$I$2:$I$1000,ROWS($A$5:A89)),INDEX('Raw Provisioning'!$J$2:$J$1000,ROWS($A$5:A89)-COUNTA('Raw Decommissioning'!$B$2:$B$1000))))</x:f>
        <x:v>PETRONAS Pipeline Engineering Solution - P-PIES</x:v>
      </x:c>
      <x:c r="H89" s="165" t="str">
        <x:f>IF(A89="","",IF(B89="Decommissioning",INDEX('Raw Decommissioning'!$J$2:$J$1000,ROWS($A$5:A89)),INDEX('Raw Provisioning'!$L$2:$L$1000,ROWS($A$5:A89)-COUNTA('Raw Decommissioning'!$B$2:$B$1000))))</x:f>
        <x:v>Development of Phase 2 PETRONAS Pipeline Engineering Solution (P-PiES) System for GTS</x:v>
      </x:c>
      <x:c r="I89" s="165" t="str">
        <x:f>IF(A89="","",IF(B89="Decommissioning",INDEX('Raw Decommissioning'!$AL$2:$AL$1000,ROWS($A$5:A89)),INDEX('Raw Provisioning'!$R$2:$R$1000,ROWS($A$5:A89)-COUNTA('Raw Decommissioning'!$B$2:$B$1000))))</x:f>
        <x:v>M</x:v>
      </x:c>
      <x:c r="J89" s="165" t="str">
        <x:f>IF(A89="","",IF(B89="Decommissioning",INDEX('Raw Decommissioning'!$AG$2:$AG$1000,ROWS($A$5:A89)),INDEX('Raw Provisioning'!$AI$2:$AI$1000,ROWS($A$5:A89)-COUNTA('Raw Decommissioning'!$B$2:$B$1000))))</x:f>
        <x:v>azwan.badari@petronas.com</x:v>
      </x:c>
      <x:c r="K89" s="166" t="str">
        <x:f>IF(A89="","",IFERROR(LOOKUP(2,1/('Assignment History'!$B$5:$B$204=A89),'Assignment History'!$D$5:$D$204),IFERROR(VLOOKUP(J89,Configuration!$L$5:$M$50,2,FALSE),J89)))</x:f>
        <x:v>azwan.badari@petronas.com</x:v>
      </x:c>
      <x:c r="L89" s="166" t="str">
        <x:f>IF(A89="","",IF(K89=IFERROR(VLOOKUP(J89,Configuration!$L$5:$M$50,2,FALSE),J89),"Snapshot PIC","Replacement PIC"))</x:f>
        <x:v>Snapshot PIC</x:v>
      </x:c>
      <x:c r="M89" s="167" t="n">
        <x:f>IF(A89="","",IFERROR(VLOOKUP(I89,Configuration!$O$5:$P$8,2,FALSE),Configuration!$S$6))</x:f>
        <x:v>2</x:v>
      </x:c>
      <x:c r="N89" s="167" t="str">
        <x:f>IF(A89="","",IFERROR(LOOKUP(2,1/('Scope Review'!$B$5:$B$204=A89),'Scope Review'!$G$5:$G$204),"Not Reviewed"))</x:f>
        <x:v>Not Reviewed</x:v>
      </x:c>
      <x:c r="O89" s="167" t="str">
        <x:f>IF(A89="","",IFERROR(LOOKUP(2,1/('Scope Review'!$B$5:$B$204=A89),'Scope Review'!$H$5:$H$204),""))</x:f>
      </x:c>
      <x:c r="P89" s="167" t="n">
        <x:f t="shared" si="4">IF(A89="","",IF(AND(C89="executing",N89&lt;&gt;"Confirmed OOS"),M89,0))</x:f>
        <x:v>0</x:v>
      </x:c>
      <x:c r="Q89" s="168" t="str">
        <x:f>IF(A89="","",IFERROR(LOOKUP(2,1/('Engineer Updates'!$B$5:$B$704=A89),'Engineer Updates'!$A$5:$A$704),""))</x:f>
      </x:c>
      <x:c r="R89" s="166" t="str">
        <x:f>IF(A89="","",IFERROR(LOOKUP(2,1/('Engineer Updates'!$B$5:$B$704=A89),'Engineer Updates'!$H$5:$H$704),""))</x:f>
      </x:c>
      <x:c r="S89" s="166" t="str">
        <x:f>IF(A89="","",IFERROR(LOOKUP(2,1/('Engineer Updates'!$B$5:$B$704=A89),'Engineer Updates'!$G$5:$G$704),""))</x:f>
      </x:c>
      <x:c r="T89" s="166" t="str">
        <x:f>IF(A89="","",IFERROR(LOOKUP(2,1/('Engineer Updates'!$B$5:$B$704=A89),'Engineer Updates'!$I$5:$I$704),""))</x:f>
      </x:c>
      <x:c r="U89" s="166" t="str">
        <x:f>IF(A89="","",IFERROR(LOOKUP(2,1/('Engineer Updates'!$B$5:$B$704=A89),'Engineer Updates'!$J$5:$J$704),""))</x:f>
      </x:c>
      <x:c r="V89" s="166" t="str">
        <x:f>IF(A89="","",IFERROR(LOOKUP(2,1/('Engineer Updates'!$B$5:$B$704=A89),'Engineer Updates'!$K$5:$K$704),""))</x:f>
      </x:c>
      <x:c r="W89" s="169" t="str">
        <x:f>IF(A89="","",IFERROR(LOOKUP(2,1/('Engineer Updates'!$B$5:$B$704=A89),'Engineer Updates'!$L$5:$L$704),""))</x:f>
      </x:c>
      <x:c r="X89" s="163" t="str">
        <x:f t="shared" si="5">IF(A89="","",IF(C89="completed","Completed in CSSP",IF(AND(C89="executing",ISERROR(SEARCH("@",K89))),"Executing without named engineer",IF(AND(N89="Confirmed OOS",C89="executing"),"Confirmed OOS still executing",""))))</x:f>
        <x:v>Completed in CSSP</x:v>
      </x:c>
      <x:c r="Y89" s="163" t="str">
        <x:f>IF(A89="","",IF(B89="Decommissioning","Raw Decommissioning","Raw Provisioning"))</x:f>
        <x:v>Raw Decommissioning</x:v>
      </x:c>
      <x:c r="Z89" s="170" t="str">
        <x:f>IF(A89="","",IF(OR(C89="executing",C89="processing"),"Yes","No"))</x:f>
        <x:v>No</x:v>
      </x:c>
    </x:row>
    <x:row r="90" ht="30">
      <x:c r="A90" s="163" t="str">
        <x:f>IF(ROWS($A$5:A90)&lt;=COUNTA('Raw Decommissioning'!$B$2:$B$1000),INDEX('Raw Decommissioning'!$B$2:$B$1000,ROWS($A$5:A90)),IF(ROWS($A$5:A90)-COUNTA('Raw Decommissioning'!$B$2:$B$1000)&lt;=COUNTA('Raw Provisioning'!$B$2:$B$1000),INDEX('Raw Provisioning'!$B$2:$B$1000,ROWS($A$5:A90)-COUNTA('Raw Decommissioning'!$B$2:$B$1000)),""))</x:f>
        <x:v>CSSP10175519</x:v>
      </x:c>
      <x:c r="B90" s="163" t="str">
        <x:f>IF(A90="","",IF(ROWS($A$5:A90)&lt;=COUNTA('Raw Decommissioning'!$B$2:$B$1000),"Decommissioning","Provisioning"))</x:f>
        <x:v>Decommissioning</x:v>
      </x:c>
      <x:c r="C90" s="163" t="str">
        <x:f>IF(A90="","",IF(B90="Decommissioning",IFERROR(INDEX('Raw Decommissioning'!$E$2:$E$1000,MATCH(A90,'Raw Decommissioning'!$B$2:$B$1000,0)),"Missing from latest raw"),IFERROR(INDEX('Raw Provisioning'!$E$2:$E$1000,MATCH(A90,'Raw Provisioning'!$B$2:$B$1000,0)),"Missing from latest raw")))</x:f>
        <x:v>completed</x:v>
      </x:c>
      <x:c r="D90" s="164" t="n">
        <x:f>IF(A90="","",'Refresh Control'!$B$4)</x:f>
        <x:v>46254</x:v>
      </x:c>
      <x:c r="E90" s="164" t="n">
        <x:f>IF(A90="","",IF(B90="Decommissioning",INDEX('Raw Decommissioning'!$F$2:$F$1000,ROWS($A$5:A90)),INDEX('Raw Provisioning'!$F$2:$F$1000,ROWS($A$5:A90)-COUNTA('Raw Decommissioning'!$B$2:$B$1000))))</x:f>
        <x:v>46050.33061923611</x:v>
      </x:c>
      <x:c r="F90" s="164" t="n">
        <x:f>IF(A90="","",IF(B90="Decommissioning",INDEX('Raw Decommissioning'!$G$2:$G$1000,ROWS($A$5:A90)),INDEX('Raw Provisioning'!$H$2:$H$1000,ROWS($A$5:A90)-COUNTA('Raw Decommissioning'!$B$2:$B$1000))))</x:f>
        <x:v>46052.156467719906</x:v>
      </x:c>
      <x:c r="G90" s="165" t="str">
        <x:f>IF(A90="","",IF(B90="Decommissioning",INDEX('Raw Decommissioning'!$I$2:$I$1000,ROWS($A$5:A90)),INDEX('Raw Provisioning'!$J$2:$J$1000,ROWS($A$5:A90)-COUNTA('Raw Decommissioning'!$B$2:$B$1000))))</x:f>
        <x:v>Authorization For Expenditure Management System - AFEMS PCSB</x:v>
      </x:c>
      <x:c r="H90" s="165" t="str">
        <x:f>IF(A90="","",IF(B90="Decommissioning",INDEX('Raw Decommissioning'!$J$2:$J$1000,ROWS($A$5:A90)),INDEX('Raw Provisioning'!$L$2:$L$1000,ROWS($A$5:A90)-COUNTA('Raw Decommissioning'!$B$2:$B$1000))))</x:f>
        <x:v>Cloud Migration Program - Authorization For Expenditure Management System (AFEMS) 4.0</x:v>
      </x:c>
      <x:c r="I90" s="165" t="str">
        <x:f>IF(A90="","",IF(B90="Decommissioning",INDEX('Raw Decommissioning'!$AL$2:$AL$1000,ROWS($A$5:A90)),INDEX('Raw Provisioning'!$R$2:$R$1000,ROWS($A$5:A90)-COUNTA('Raw Decommissioning'!$B$2:$B$1000))))</x:f>
        <x:v>M</x:v>
      </x:c>
      <x:c r="J90" s="165" t="str">
        <x:f>IF(A90="","",IF(B90="Decommissioning",INDEX('Raw Decommissioning'!$AG$2:$AG$1000,ROWS($A$5:A90)),INDEX('Raw Provisioning'!$AI$2:$AI$1000,ROWS($A$5:A90)-COUNTA('Raw Decommissioning'!$B$2:$B$1000))))</x:f>
        <x:v>azwan.badari@petronas.com</x:v>
      </x:c>
      <x:c r="K90" s="166" t="str">
        <x:f>IF(A90="","",IFERROR(LOOKUP(2,1/('Assignment History'!$B$5:$B$204=A90),'Assignment History'!$D$5:$D$204),IFERROR(VLOOKUP(J90,Configuration!$L$5:$M$50,2,FALSE),J90)))</x:f>
        <x:v>azwan.badari@petronas.com</x:v>
      </x:c>
      <x:c r="L90" s="166" t="str">
        <x:f>IF(A90="","",IF(K90=IFERROR(VLOOKUP(J90,Configuration!$L$5:$M$50,2,FALSE),J90),"Snapshot PIC","Replacement PIC"))</x:f>
        <x:v>Snapshot PIC</x:v>
      </x:c>
      <x:c r="M90" s="167" t="n">
        <x:f>IF(A90="","",IFERROR(VLOOKUP(I90,Configuration!$O$5:$P$8,2,FALSE),Configuration!$S$6))</x:f>
        <x:v>2</x:v>
      </x:c>
      <x:c r="N90" s="167" t="str">
        <x:f>IF(A90="","",IFERROR(LOOKUP(2,1/('Scope Review'!$B$5:$B$204=A90),'Scope Review'!$G$5:$G$204),"Not Reviewed"))</x:f>
        <x:v>Not Reviewed</x:v>
      </x:c>
      <x:c r="O90" s="167" t="str">
        <x:f>IF(A90="","",IFERROR(LOOKUP(2,1/('Scope Review'!$B$5:$B$204=A90),'Scope Review'!$H$5:$H$204),""))</x:f>
      </x:c>
      <x:c r="P90" s="167" t="n">
        <x:f t="shared" si="4">IF(A90="","",IF(AND(C90="executing",N90&lt;&gt;"Confirmed OOS"),M90,0))</x:f>
        <x:v>0</x:v>
      </x:c>
      <x:c r="Q90" s="168" t="str">
        <x:f>IF(A90="","",IFERROR(LOOKUP(2,1/('Engineer Updates'!$B$5:$B$704=A90),'Engineer Updates'!$A$5:$A$704),""))</x:f>
      </x:c>
      <x:c r="R90" s="166" t="str">
        <x:f>IF(A90="","",IFERROR(LOOKUP(2,1/('Engineer Updates'!$B$5:$B$704=A90),'Engineer Updates'!$H$5:$H$704),""))</x:f>
      </x:c>
      <x:c r="S90" s="166" t="str">
        <x:f>IF(A90="","",IFERROR(LOOKUP(2,1/('Engineer Updates'!$B$5:$B$704=A90),'Engineer Updates'!$G$5:$G$704),""))</x:f>
      </x:c>
      <x:c r="T90" s="166" t="str">
        <x:f>IF(A90="","",IFERROR(LOOKUP(2,1/('Engineer Updates'!$B$5:$B$704=A90),'Engineer Updates'!$I$5:$I$704),""))</x:f>
      </x:c>
      <x:c r="U90" s="166" t="str">
        <x:f>IF(A90="","",IFERROR(LOOKUP(2,1/('Engineer Updates'!$B$5:$B$704=A90),'Engineer Updates'!$J$5:$J$704),""))</x:f>
      </x:c>
      <x:c r="V90" s="166" t="str">
        <x:f>IF(A90="","",IFERROR(LOOKUP(2,1/('Engineer Updates'!$B$5:$B$704=A90),'Engineer Updates'!$K$5:$K$704),""))</x:f>
      </x:c>
      <x:c r="W90" s="169" t="str">
        <x:f>IF(A90="","",IFERROR(LOOKUP(2,1/('Engineer Updates'!$B$5:$B$704=A90),'Engineer Updates'!$L$5:$L$704),""))</x:f>
      </x:c>
      <x:c r="X90" s="163" t="str">
        <x:f t="shared" si="5">IF(A90="","",IF(C90="completed","Completed in CSSP",IF(AND(C90="executing",ISERROR(SEARCH("@",K90))),"Executing without named engineer",IF(AND(N90="Confirmed OOS",C90="executing"),"Confirmed OOS still executing",""))))</x:f>
        <x:v>Completed in CSSP</x:v>
      </x:c>
      <x:c r="Y90" s="163" t="str">
        <x:f>IF(A90="","",IF(B90="Decommissioning","Raw Decommissioning","Raw Provisioning"))</x:f>
        <x:v>Raw Decommissioning</x:v>
      </x:c>
      <x:c r="Z90" s="170" t="str">
        <x:f>IF(A90="","",IF(OR(C90="executing",C90="processing"),"Yes","No"))</x:f>
        <x:v>No</x:v>
      </x:c>
    </x:row>
    <x:row r="91" ht="60">
      <x:c r="A91" s="163" t="str">
        <x:f>IF(ROWS($A$5:A91)&lt;=COUNTA('Raw Decommissioning'!$B$2:$B$1000),INDEX('Raw Decommissioning'!$B$2:$B$1000,ROWS($A$5:A91)),IF(ROWS($A$5:A91)-COUNTA('Raw Decommissioning'!$B$2:$B$1000)&lt;=COUNTA('Raw Provisioning'!$B$2:$B$1000),INDEX('Raw Provisioning'!$B$2:$B$1000,ROWS($A$5:A91)-COUNTA('Raw Decommissioning'!$B$2:$B$1000)),""))</x:f>
        <x:v>CSSP10454461</x:v>
      </x:c>
      <x:c r="B91" s="163" t="str">
        <x:f>IF(A91="","",IF(ROWS($A$5:A91)&lt;=COUNTA('Raw Decommissioning'!$B$2:$B$1000),"Decommissioning","Provisioning"))</x:f>
        <x:v>Decommissioning</x:v>
      </x:c>
      <x:c r="C91" s="163" t="str">
        <x:f>IF(A91="","",IF(B91="Decommissioning",IFERROR(INDEX('Raw Decommissioning'!$E$2:$E$1000,MATCH(A91,'Raw Decommissioning'!$B$2:$B$1000,0)),"Missing from latest raw"),IFERROR(INDEX('Raw Provisioning'!$E$2:$E$1000,MATCH(A91,'Raw Provisioning'!$B$2:$B$1000,0)),"Missing from latest raw")))</x:f>
        <x:v>completed</x:v>
      </x:c>
      <x:c r="D91" s="164" t="n">
        <x:f>IF(A91="","",'Refresh Control'!$B$4)</x:f>
        <x:v>46254</x:v>
      </x:c>
      <x:c r="E91" s="164" t="n">
        <x:f>IF(A91="","",IF(B91="Decommissioning",INDEX('Raw Decommissioning'!$F$2:$F$1000,ROWS($A$5:A91)),INDEX('Raw Provisioning'!$F$2:$F$1000,ROWS($A$5:A91)-COUNTA('Raw Decommissioning'!$B$2:$B$1000))))</x:f>
        <x:v>46050.36744322917</x:v>
      </x:c>
      <x:c r="F91" s="164" t="n">
        <x:f>IF(A91="","",IF(B91="Decommissioning",INDEX('Raw Decommissioning'!$G$2:$G$1000,ROWS($A$5:A91)),INDEX('Raw Provisioning'!$H$2:$H$1000,ROWS($A$5:A91)-COUNTA('Raw Decommissioning'!$B$2:$B$1000))))</x:f>
        <x:v>46058.0780556713</x:v>
      </x:c>
      <x:c r="G91" s="165" t="str">
        <x:f>IF(A91="","",IF(B91="Decommissioning",INDEX('Raw Decommissioning'!$I$2:$I$1000,ROWS($A$5:A91)),INDEX('Raw Provisioning'!$J$2:$J$1000,ROWS($A$5:A91)-COUNTA('Raw Decommissioning'!$B$2:$B$1000))))</x:f>
        <x:v>Asset Ageing Life Extension System - ALES</x:v>
      </x:c>
      <x:c r="H91" s="165" t="str">
        <x:f>IF(A91="","",IF(B91="Decommissioning",INDEX('Raw Decommissioning'!$J$2:$J$1000,ROWS($A$5:A91)),INDEX('Raw Provisioning'!$L$2:$L$1000,ROWS($A$5:A91)-COUNTA('Raw Decommissioning'!$B$2:$B$1000))))</x:f>
        <x:v>ALES for MPM</x:v>
      </x:c>
      <x:c r="I91" s="165" t="str">
        <x:f>IF(A91="","",IF(B91="Decommissioning",INDEX('Raw Decommissioning'!$AL$2:$AL$1000,ROWS($A$5:A91)),INDEX('Raw Provisioning'!$R$2:$R$1000,ROWS($A$5:A91)-COUNTA('Raw Decommissioning'!$B$2:$B$1000))))</x:f>
        <x:v>S</x:v>
      </x:c>
      <x:c r="J91" s="165" t="str">
        <x:f>IF(A91="","",IF(B91="Decommissioning",INDEX('Raw Decommissioning'!$AG$2:$AG$1000,ROWS($A$5:A91)),INDEX('Raw Provisioning'!$AI$2:$AI$1000,ROWS($A$5:A91)-COUNTA('Raw Decommissioning'!$B$2:$B$1000))))</x:f>
        <x:v>saniza.ismail@petronas.com</x:v>
      </x:c>
      <x:c r="K91" s="166" t="str">
        <x:f>IF(A91="","",IFERROR(LOOKUP(2,1/('Assignment History'!$B$5:$B$204=A91),'Assignment History'!$D$5:$D$204),IFERROR(VLOOKUP(J91,Configuration!$L$5:$M$50,2,FALSE),J91)))</x:f>
        <x:v>saniza.ismail@petronas.com</x:v>
      </x:c>
      <x:c r="L91" s="166" t="str">
        <x:f>IF(A91="","",IF(K91=IFERROR(VLOOKUP(J91,Configuration!$L$5:$M$50,2,FALSE),J91),"Snapshot PIC","Replacement PIC"))</x:f>
        <x:v>Snapshot PIC</x:v>
      </x:c>
      <x:c r="M91" s="167" t="n">
        <x:f>IF(A91="","",IFERROR(VLOOKUP(I91,Configuration!$O$5:$P$8,2,FALSE),Configuration!$S$6))</x:f>
        <x:v>1</x:v>
      </x:c>
      <x:c r="N91" s="167" t="str">
        <x:f>IF(A91="","",IFERROR(LOOKUP(2,1/('Scope Review'!$B$5:$B$204=A91),'Scope Review'!$G$5:$G$204),"Not Reviewed"))</x:f>
        <x:v>Not Reviewed</x:v>
      </x:c>
      <x:c r="O91" s="167" t="str">
        <x:f>IF(A91="","",IFERROR(LOOKUP(2,1/('Scope Review'!$B$5:$B$204=A91),'Scope Review'!$H$5:$H$204),""))</x:f>
      </x:c>
      <x:c r="P91" s="167" t="n">
        <x:f t="shared" si="4">IF(A91="","",IF(AND(C91="executing",N91&lt;&gt;"Confirmed OOS"),M91,0))</x:f>
        <x:v>0</x:v>
      </x:c>
      <x:c r="Q91" s="168" t="str">
        <x:f>IF(A91="","",IFERROR(LOOKUP(2,1/('Engineer Updates'!$B$5:$B$704=A91),'Engineer Updates'!$A$5:$A$704),""))</x:f>
      </x:c>
      <x:c r="R91" s="166" t="str">
        <x:f>IF(A91="","",IFERROR(LOOKUP(2,1/('Engineer Updates'!$B$5:$B$704=A91),'Engineer Updates'!$H$5:$H$704),""))</x:f>
      </x:c>
      <x:c r="S91" s="166" t="str">
        <x:f>IF(A91="","",IFERROR(LOOKUP(2,1/('Engineer Updates'!$B$5:$B$704=A91),'Engineer Updates'!$G$5:$G$704),""))</x:f>
      </x:c>
      <x:c r="T91" s="166" t="str">
        <x:f>IF(A91="","",IFERROR(LOOKUP(2,1/('Engineer Updates'!$B$5:$B$704=A91),'Engineer Updates'!$I$5:$I$704),""))</x:f>
      </x:c>
      <x:c r="U91" s="166" t="str">
        <x:f>IF(A91="","",IFERROR(LOOKUP(2,1/('Engineer Updates'!$B$5:$B$704=A91),'Engineer Updates'!$J$5:$J$704),""))</x:f>
      </x:c>
      <x:c r="V91" s="166" t="str">
        <x:f>IF(A91="","",IFERROR(LOOKUP(2,1/('Engineer Updates'!$B$5:$B$704=A91),'Engineer Updates'!$K$5:$K$704),""))</x:f>
      </x:c>
      <x:c r="W91" s="169" t="str">
        <x:f>IF(A91="","",IFERROR(LOOKUP(2,1/('Engineer Updates'!$B$5:$B$704=A91),'Engineer Updates'!$L$5:$L$704),""))</x:f>
      </x:c>
      <x:c r="X91" s="163" t="str">
        <x:f t="shared" si="5">IF(A91="","",IF(C91="completed","Completed in CSSP",IF(AND(C91="executing",ISERROR(SEARCH("@",K91))),"Executing without named engineer",IF(AND(N91="Confirmed OOS",C91="executing"),"Confirmed OOS still executing",""))))</x:f>
        <x:v>Completed in CSSP</x:v>
      </x:c>
      <x:c r="Y91" s="163" t="str">
        <x:f>IF(A91="","",IF(B91="Decommissioning","Raw Decommissioning","Raw Provisioning"))</x:f>
        <x:v>Raw Decommissioning</x:v>
      </x:c>
      <x:c r="Z91" s="170" t="str">
        <x:f>IF(A91="","",IF(OR(C91="executing",C91="processing"),"Yes","No"))</x:f>
        <x:v>No</x:v>
      </x:c>
    </x:row>
    <x:row r="92" ht="30">
      <x:c r="A92" s="163" t="str">
        <x:f>IF(ROWS($A$5:A92)&lt;=COUNTA('Raw Decommissioning'!$B$2:$B$1000),INDEX('Raw Decommissioning'!$B$2:$B$1000,ROWS($A$5:A92)),IF(ROWS($A$5:A92)-COUNTA('Raw Decommissioning'!$B$2:$B$1000)&lt;=COUNTA('Raw Provisioning'!$B$2:$B$1000),INDEX('Raw Provisioning'!$B$2:$B$1000,ROWS($A$5:A92)-COUNTA('Raw Decommissioning'!$B$2:$B$1000)),""))</x:f>
        <x:v>CSSP10783990</x:v>
      </x:c>
      <x:c r="B92" s="163" t="str">
        <x:f>IF(A92="","",IF(ROWS($A$5:A92)&lt;=COUNTA('Raw Decommissioning'!$B$2:$B$1000),"Decommissioning","Provisioning"))</x:f>
        <x:v>Decommissioning</x:v>
      </x:c>
      <x:c r="C92" s="163" t="str">
        <x:f>IF(A92="","",IF(B92="Decommissioning",IFERROR(INDEX('Raw Decommissioning'!$E$2:$E$1000,MATCH(A92,'Raw Decommissioning'!$B$2:$B$1000,0)),"Missing from latest raw"),IFERROR(INDEX('Raw Provisioning'!$E$2:$E$1000,MATCH(A92,'Raw Provisioning'!$B$2:$B$1000,0)),"Missing from latest raw")))</x:f>
        <x:v>cancelled</x:v>
      </x:c>
      <x:c r="D92" s="164" t="n">
        <x:f>IF(A92="","",'Refresh Control'!$B$4)</x:f>
        <x:v>46254</x:v>
      </x:c>
      <x:c r="E92" s="164" t="n">
        <x:f>IF(A92="","",IF(B92="Decommissioning",INDEX('Raw Decommissioning'!$F$2:$F$1000,ROWS($A$5:A92)),INDEX('Raw Provisioning'!$F$2:$F$1000,ROWS($A$5:A92)-COUNTA('Raw Decommissioning'!$B$2:$B$1000))))</x:f>
        <x:v>46051.076688877314</x:v>
      </x:c>
      <x:c r="F92" s="164" t="n">
        <x:f>IF(A92="","",IF(B92="Decommissioning",INDEX('Raw Decommissioning'!$G$2:$G$1000,ROWS($A$5:A92)),INDEX('Raw Provisioning'!$H$2:$H$1000,ROWS($A$5:A92)-COUNTA('Raw Decommissioning'!$B$2:$B$1000))))</x:f>
        <x:v>46051.077641909724</x:v>
      </x:c>
      <x:c r="G92" s="165" t="str">
        <x:f>IF(A92="","",IF(B92="Decommissioning",INDEX('Raw Decommissioning'!$I$2:$I$1000,ROWS($A$5:A92)),INDEX('Raw Provisioning'!$J$2:$J$1000,ROWS($A$5:A92)-COUNTA('Raw Decommissioning'!$B$2:$B$1000))))</x:f>
        <x:v>Enterprise Application Integration - EAI WebMethod</x:v>
      </x:c>
      <x:c r="H92" s="165" t="str">
        <x:f>IF(A92="","",IF(B92="Decommissioning",INDEX('Raw Decommissioning'!$J$2:$J$1000,ROWS($A$5:A92)),INDEX('Raw Provisioning'!$L$2:$L$1000,ROWS($A$5:A92)-COUNTA('Raw Decommissioning'!$B$2:$B$1000))))</x:f>
        <x:v>EAI WebMethod Integration Platform Cloud Migration and Upgrade</x:v>
      </x:c>
      <x:c r="I92" s="165" t="str">
        <x:f>IF(A92="","",IF(B92="Decommissioning",INDEX('Raw Decommissioning'!$AL$2:$AL$1000,ROWS($A$5:A92)),INDEX('Raw Provisioning'!$R$2:$R$1000,ROWS($A$5:A92)-COUNTA('Raw Decommissioning'!$B$2:$B$1000))))</x:f>
      </x:c>
      <x:c r="J92" s="165" t="str">
        <x:f>IF(A92="","",IF(B92="Decommissioning",INDEX('Raw Decommissioning'!$AG$2:$AG$1000,ROWS($A$5:A92)),INDEX('Raw Provisioning'!$AI$2:$AI$1000,ROWS($A$5:A92)-COUNTA('Raw Decommissioning'!$B$2:$B$1000))))</x:f>
        <x:v>CCoE Operations</x:v>
      </x:c>
      <x:c r="K92" s="166" t="str">
        <x:f>IF(A92="","",IFERROR(LOOKUP(2,1/('Assignment History'!$B$5:$B$204=A92),'Assignment History'!$D$5:$D$204),IFERROR(VLOOKUP(J92,Configuration!$L$5:$M$50,2,FALSE),J92)))</x:f>
        <x:v>CCoE Operations</x:v>
      </x:c>
      <x:c r="L92" s="166" t="str">
        <x:f>IF(A92="","",IF(K92=IFERROR(VLOOKUP(J92,Configuration!$L$5:$M$50,2,FALSE),J92),"Snapshot PIC","Replacement PIC"))</x:f>
        <x:v>Snapshot PIC</x:v>
      </x:c>
      <x:c r="M92" s="167" t="n">
        <x:f>IF(A92="","",IFERROR(VLOOKUP(I92,Configuration!$O$5:$P$8,2,FALSE),Configuration!$S$6))</x:f>
        <x:v>2</x:v>
      </x:c>
      <x:c r="N92" s="167" t="str">
        <x:f>IF(A92="","",IFERROR(LOOKUP(2,1/('Scope Review'!$B$5:$B$204=A92),'Scope Review'!$G$5:$G$204),"Not Reviewed"))</x:f>
        <x:v>Not Reviewed</x:v>
      </x:c>
      <x:c r="O92" s="167" t="str">
        <x:f>IF(A92="","",IFERROR(LOOKUP(2,1/('Scope Review'!$B$5:$B$204=A92),'Scope Review'!$H$5:$H$204),""))</x:f>
      </x:c>
      <x:c r="P92" s="167" t="n">
        <x:f t="shared" si="4">IF(A92="","",IF(AND(C92="executing",N92&lt;&gt;"Confirmed OOS"),M92,0))</x:f>
        <x:v>0</x:v>
      </x:c>
      <x:c r="Q92" s="168" t="str">
        <x:f>IF(A92="","",IFERROR(LOOKUP(2,1/('Engineer Updates'!$B$5:$B$704=A92),'Engineer Updates'!$A$5:$A$704),""))</x:f>
      </x:c>
      <x:c r="R92" s="166" t="str">
        <x:f>IF(A92="","",IFERROR(LOOKUP(2,1/('Engineer Updates'!$B$5:$B$704=A92),'Engineer Updates'!$H$5:$H$704),""))</x:f>
      </x:c>
      <x:c r="S92" s="166" t="str">
        <x:f>IF(A92="","",IFERROR(LOOKUP(2,1/('Engineer Updates'!$B$5:$B$704=A92),'Engineer Updates'!$G$5:$G$704),""))</x:f>
      </x:c>
      <x:c r="T92" s="166" t="str">
        <x:f>IF(A92="","",IFERROR(LOOKUP(2,1/('Engineer Updates'!$B$5:$B$704=A92),'Engineer Updates'!$I$5:$I$704),""))</x:f>
      </x:c>
      <x:c r="U92" s="166" t="str">
        <x:f>IF(A92="","",IFERROR(LOOKUP(2,1/('Engineer Updates'!$B$5:$B$704=A92),'Engineer Updates'!$J$5:$J$704),""))</x:f>
      </x:c>
      <x:c r="V92" s="166" t="str">
        <x:f>IF(A92="","",IFERROR(LOOKUP(2,1/('Engineer Updates'!$B$5:$B$704=A92),'Engineer Updates'!$K$5:$K$704),""))</x:f>
      </x:c>
      <x:c r="W92" s="169" t="str">
        <x:f>IF(A92="","",IFERROR(LOOKUP(2,1/('Engineer Updates'!$B$5:$B$704=A92),'Engineer Updates'!$L$5:$L$704),""))</x:f>
      </x:c>
      <x:c r="X92" s="163" t="str">
        <x:f t="shared" si="5">IF(A92="","",IF(C92="completed","Completed in CSSP",IF(AND(C92="executing",ISERROR(SEARCH("@",K92))),"Executing without named engineer",IF(AND(N92="Confirmed OOS",C92="executing"),"Confirmed OOS still executing",""))))</x:f>
      </x:c>
      <x:c r="Y92" s="163" t="str">
        <x:f>IF(A92="","",IF(B92="Decommissioning","Raw Decommissioning","Raw Provisioning"))</x:f>
        <x:v>Raw Decommissioning</x:v>
      </x:c>
      <x:c r="Z92" s="170" t="str">
        <x:f>IF(A92="","",IF(OR(C92="executing",C92="processing"),"Yes","No"))</x:f>
        <x:v>No</x:v>
      </x:c>
    </x:row>
    <x:row r="93" ht="60">
      <x:c r="A93" s="163" t="str">
        <x:f>IF(ROWS($A$5:A93)&lt;=COUNTA('Raw Decommissioning'!$B$2:$B$1000),INDEX('Raw Decommissioning'!$B$2:$B$1000,ROWS($A$5:A93)),IF(ROWS($A$5:A93)-COUNTA('Raw Decommissioning'!$B$2:$B$1000)&lt;=COUNTA('Raw Provisioning'!$B$2:$B$1000),INDEX('Raw Provisioning'!$B$2:$B$1000,ROWS($A$5:A93)-COUNTA('Raw Decommissioning'!$B$2:$B$1000)),""))</x:f>
        <x:v>CSSP10238871</x:v>
      </x:c>
      <x:c r="B93" s="163" t="str">
        <x:f>IF(A93="","",IF(ROWS($A$5:A93)&lt;=COUNTA('Raw Decommissioning'!$B$2:$B$1000),"Decommissioning","Provisioning"))</x:f>
        <x:v>Decommissioning</x:v>
      </x:c>
      <x:c r="C93" s="163" t="str">
        <x:f>IF(A93="","",IF(B93="Decommissioning",IFERROR(INDEX('Raw Decommissioning'!$E$2:$E$1000,MATCH(A93,'Raw Decommissioning'!$B$2:$B$1000,0)),"Missing from latest raw"),IFERROR(INDEX('Raw Provisioning'!$E$2:$E$1000,MATCH(A93,'Raw Provisioning'!$B$2:$B$1000,0)),"Missing from latest raw")))</x:f>
        <x:v>completed</x:v>
      </x:c>
      <x:c r="D93" s="164" t="n">
        <x:f>IF(A93="","",'Refresh Control'!$B$4)</x:f>
        <x:v>46254</x:v>
      </x:c>
      <x:c r="E93" s="164" t="n">
        <x:f>IF(A93="","",IF(B93="Decommissioning",INDEX('Raw Decommissioning'!$F$2:$F$1000,ROWS($A$5:A93)),INDEX('Raw Provisioning'!$F$2:$F$1000,ROWS($A$5:A93)-COUNTA('Raw Decommissioning'!$B$2:$B$1000))))</x:f>
        <x:v>46051.14567229167</x:v>
      </x:c>
      <x:c r="F93" s="164" t="n">
        <x:f>IF(A93="","",IF(B93="Decommissioning",INDEX('Raw Decommissioning'!$G$2:$G$1000,ROWS($A$5:A93)),INDEX('Raw Provisioning'!$H$2:$H$1000,ROWS($A$5:A93)-COUNTA('Raw Decommissioning'!$B$2:$B$1000))))</x:f>
        <x:v>46064.311223715275</x:v>
      </x:c>
      <x:c r="G93" s="165" t="str">
        <x:f>IF(A93="","",IF(B93="Decommissioning",INDEX('Raw Decommissioning'!$I$2:$I$1000,ROWS($A$5:A93)),INDEX('Raw Provisioning'!$J$2:$J$1000,ROWS($A$5:A93)-COUNTA('Raw Decommissioning'!$B$2:$B$1000))))</x:f>
        <x:v>Enterprise Application Integration - EAI WebMethod</x:v>
      </x:c>
      <x:c r="H93" s="165" t="str">
        <x:f>IF(A93="","",IF(B93="Decommissioning",INDEX('Raw Decommissioning'!$J$2:$J$1000,ROWS($A$5:A93)),INDEX('Raw Provisioning'!$L$2:$L$1000,ROWS($A$5:A93)-COUNTA('Raw Decommissioning'!$B$2:$B$1000))))</x:f>
        <x:v>EAI WebMethod Integration Platform Cloud Migration and Upgrade</x:v>
      </x:c>
      <x:c r="I93" s="165" t="str">
        <x:f>IF(A93="","",IF(B93="Decommissioning",INDEX('Raw Decommissioning'!$AL$2:$AL$1000,ROWS($A$5:A93)),INDEX('Raw Provisioning'!$R$2:$R$1000,ROWS($A$5:A93)-COUNTA('Raw Decommissioning'!$B$2:$B$1000))))</x:f>
        <x:v>S</x:v>
      </x:c>
      <x:c r="J93" s="165" t="str">
        <x:f>IF(A93="","",IF(B93="Decommissioning",INDEX('Raw Decommissioning'!$AG$2:$AG$1000,ROWS($A$5:A93)),INDEX('Raw Provisioning'!$AI$2:$AI$1000,ROWS($A$5:A93)-COUNTA('Raw Decommissioning'!$B$2:$B$1000))))</x:f>
        <x:v>saniza.ismail@petronas.com</x:v>
      </x:c>
      <x:c r="K93" s="166" t="str">
        <x:f>IF(A93="","",IFERROR(LOOKUP(2,1/('Assignment History'!$B$5:$B$204=A93),'Assignment History'!$D$5:$D$204),IFERROR(VLOOKUP(J93,Configuration!$L$5:$M$50,2,FALSE),J93)))</x:f>
        <x:v>saniza.ismail@petronas.com</x:v>
      </x:c>
      <x:c r="L93" s="166" t="str">
        <x:f>IF(A93="","",IF(K93=IFERROR(VLOOKUP(J93,Configuration!$L$5:$M$50,2,FALSE),J93),"Snapshot PIC","Replacement PIC"))</x:f>
        <x:v>Snapshot PIC</x:v>
      </x:c>
      <x:c r="M93" s="167" t="n">
        <x:f>IF(A93="","",IFERROR(VLOOKUP(I93,Configuration!$O$5:$P$8,2,FALSE),Configuration!$S$6))</x:f>
        <x:v>1</x:v>
      </x:c>
      <x:c r="N93" s="167" t="str">
        <x:f>IF(A93="","",IFERROR(LOOKUP(2,1/('Scope Review'!$B$5:$B$204=A93),'Scope Review'!$G$5:$G$204),"Not Reviewed"))</x:f>
        <x:v>Not Reviewed</x:v>
      </x:c>
      <x:c r="O93" s="167" t="str">
        <x:f>IF(A93="","",IFERROR(LOOKUP(2,1/('Scope Review'!$B$5:$B$204=A93),'Scope Review'!$H$5:$H$204),""))</x:f>
      </x:c>
      <x:c r="P93" s="167" t="n">
        <x:f t="shared" si="4">IF(A93="","",IF(AND(C93="executing",N93&lt;&gt;"Confirmed OOS"),M93,0))</x:f>
        <x:v>0</x:v>
      </x:c>
      <x:c r="Q93" s="168" t="str">
        <x:f>IF(A93="","",IFERROR(LOOKUP(2,1/('Engineer Updates'!$B$5:$B$704=A93),'Engineer Updates'!$A$5:$A$704),""))</x:f>
      </x:c>
      <x:c r="R93" s="166" t="str">
        <x:f>IF(A93="","",IFERROR(LOOKUP(2,1/('Engineer Updates'!$B$5:$B$704=A93),'Engineer Updates'!$H$5:$H$704),""))</x:f>
      </x:c>
      <x:c r="S93" s="166" t="str">
        <x:f>IF(A93="","",IFERROR(LOOKUP(2,1/('Engineer Updates'!$B$5:$B$704=A93),'Engineer Updates'!$G$5:$G$704),""))</x:f>
      </x:c>
      <x:c r="T93" s="166" t="str">
        <x:f>IF(A93="","",IFERROR(LOOKUP(2,1/('Engineer Updates'!$B$5:$B$704=A93),'Engineer Updates'!$I$5:$I$704),""))</x:f>
      </x:c>
      <x:c r="U93" s="166" t="str">
        <x:f>IF(A93="","",IFERROR(LOOKUP(2,1/('Engineer Updates'!$B$5:$B$704=A93),'Engineer Updates'!$J$5:$J$704),""))</x:f>
      </x:c>
      <x:c r="V93" s="166" t="str">
        <x:f>IF(A93="","",IFERROR(LOOKUP(2,1/('Engineer Updates'!$B$5:$B$704=A93),'Engineer Updates'!$K$5:$K$704),""))</x:f>
      </x:c>
      <x:c r="W93" s="169" t="str">
        <x:f>IF(A93="","",IFERROR(LOOKUP(2,1/('Engineer Updates'!$B$5:$B$704=A93),'Engineer Updates'!$L$5:$L$704),""))</x:f>
      </x:c>
      <x:c r="X93" s="163" t="str">
        <x:f t="shared" si="5">IF(A93="","",IF(C93="completed","Completed in CSSP",IF(AND(C93="executing",ISERROR(SEARCH("@",K93))),"Executing without named engineer",IF(AND(N93="Confirmed OOS",C93="executing"),"Confirmed OOS still executing",""))))</x:f>
        <x:v>Completed in CSSP</x:v>
      </x:c>
      <x:c r="Y93" s="163" t="str">
        <x:f>IF(A93="","",IF(B93="Decommissioning","Raw Decommissioning","Raw Provisioning"))</x:f>
        <x:v>Raw Decommissioning</x:v>
      </x:c>
      <x:c r="Z93" s="170" t="str">
        <x:f>IF(A93="","",IF(OR(C93="executing",C93="processing"),"Yes","No"))</x:f>
        <x:v>No</x:v>
      </x:c>
    </x:row>
    <x:row r="94" ht="45">
      <x:c r="A94" s="163" t="str">
        <x:f>IF(ROWS($A$5:A94)&lt;=COUNTA('Raw Decommissioning'!$B$2:$B$1000),INDEX('Raw Decommissioning'!$B$2:$B$1000,ROWS($A$5:A94)),IF(ROWS($A$5:A94)-COUNTA('Raw Decommissioning'!$B$2:$B$1000)&lt;=COUNTA('Raw Provisioning'!$B$2:$B$1000),INDEX('Raw Provisioning'!$B$2:$B$1000,ROWS($A$5:A94)-COUNTA('Raw Decommissioning'!$B$2:$B$1000)),""))</x:f>
        <x:v>CSSP10654103</x:v>
      </x:c>
      <x:c r="B94" s="163" t="str">
        <x:f>IF(A94="","",IF(ROWS($A$5:A94)&lt;=COUNTA('Raw Decommissioning'!$B$2:$B$1000),"Decommissioning","Provisioning"))</x:f>
        <x:v>Decommissioning</x:v>
      </x:c>
      <x:c r="C94" s="163" t="str">
        <x:f>IF(A94="","",IF(B94="Decommissioning",IFERROR(INDEX('Raw Decommissioning'!$E$2:$E$1000,MATCH(A94,'Raw Decommissioning'!$B$2:$B$1000,0)),"Missing from latest raw"),IFERROR(INDEX('Raw Provisioning'!$E$2:$E$1000,MATCH(A94,'Raw Provisioning'!$B$2:$B$1000,0)),"Missing from latest raw")))</x:f>
        <x:v>completed</x:v>
      </x:c>
      <x:c r="D94" s="164" t="n">
        <x:f>IF(A94="","",'Refresh Control'!$B$4)</x:f>
        <x:v>46254</x:v>
      </x:c>
      <x:c r="E94" s="164" t="n">
        <x:f>IF(A94="","",IF(B94="Decommissioning",INDEX('Raw Decommissioning'!$F$2:$F$1000,ROWS($A$5:A94)),INDEX('Raw Provisioning'!$F$2:$F$1000,ROWS($A$5:A94)-COUNTA('Raw Decommissioning'!$B$2:$B$1000))))</x:f>
        <x:v>46051.290883298614</x:v>
      </x:c>
      <x:c r="F94" s="164" t="n">
        <x:f>IF(A94="","",IF(B94="Decommissioning",INDEX('Raw Decommissioning'!$G$2:$G$1000,ROWS($A$5:A94)),INDEX('Raw Provisioning'!$H$2:$H$1000,ROWS($A$5:A94)-COUNTA('Raw Decommissioning'!$B$2:$B$1000))))</x:f>
        <x:v>46053.176320694445</x:v>
      </x:c>
      <x:c r="G94" s="165" t="str">
        <x:f>IF(A94="","",IF(B94="Decommissioning",INDEX('Raw Decommissioning'!$I$2:$I$1000,ROWS($A$5:A94)),INDEX('Raw Provisioning'!$J$2:$J$1000,ROWS($A$5:A94)-COUNTA('Raw Decommissioning'!$B$2:$B$1000))))</x:f>
        <x:v>GoAnywhere MFT</x:v>
      </x:c>
      <x:c r="H94" s="165" t="str">
        <x:f>IF(A94="","",IF(B94="Decommissioning",INDEX('Raw Decommissioning'!$J$2:$J$1000,ROWS($A$5:A94)),INDEX('Raw Provisioning'!$L$2:$L$1000,ROWS($A$5:A94)-COUNTA('Raw Decommissioning'!$B$2:$B$1000))))</x:f>
        <x:v>Provision of Hosting Infrastructure-as-a-Service (IaaS) for GoAnywhere MFT for PETRONAS Group</x:v>
      </x:c>
      <x:c r="I94" s="165" t="str">
        <x:f>IF(A94="","",IF(B94="Decommissioning",INDEX('Raw Decommissioning'!$AL$2:$AL$1000,ROWS($A$5:A94)),INDEX('Raw Provisioning'!$R$2:$R$1000,ROWS($A$5:A94)-COUNTA('Raw Decommissioning'!$B$2:$B$1000))))</x:f>
        <x:v>M</x:v>
      </x:c>
      <x:c r="J94" s="165" t="str">
        <x:f>IF(A94="","",IF(B94="Decommissioning",INDEX('Raw Decommissioning'!$AG$2:$AG$1000,ROWS($A$5:A94)),INDEX('Raw Provisioning'!$AI$2:$AI$1000,ROWS($A$5:A94)-COUNTA('Raw Decommissioning'!$B$2:$B$1000))))</x:f>
        <x:v>azwan.badari@petronas.com</x:v>
      </x:c>
      <x:c r="K94" s="166" t="str">
        <x:f>IF(A94="","",IFERROR(LOOKUP(2,1/('Assignment History'!$B$5:$B$204=A94),'Assignment History'!$D$5:$D$204),IFERROR(VLOOKUP(J94,Configuration!$L$5:$M$50,2,FALSE),J94)))</x:f>
        <x:v>azwan.badari@petronas.com</x:v>
      </x:c>
      <x:c r="L94" s="166" t="str">
        <x:f>IF(A94="","",IF(K94=IFERROR(VLOOKUP(J94,Configuration!$L$5:$M$50,2,FALSE),J94),"Snapshot PIC","Replacement PIC"))</x:f>
        <x:v>Snapshot PIC</x:v>
      </x:c>
      <x:c r="M94" s="167" t="n">
        <x:f>IF(A94="","",IFERROR(VLOOKUP(I94,Configuration!$O$5:$P$8,2,FALSE),Configuration!$S$6))</x:f>
        <x:v>2</x:v>
      </x:c>
      <x:c r="N94" s="167" t="str">
        <x:f>IF(A94="","",IFERROR(LOOKUP(2,1/('Scope Review'!$B$5:$B$204=A94),'Scope Review'!$G$5:$G$204),"Not Reviewed"))</x:f>
        <x:v>Not Reviewed</x:v>
      </x:c>
      <x:c r="O94" s="167" t="str">
        <x:f>IF(A94="","",IFERROR(LOOKUP(2,1/('Scope Review'!$B$5:$B$204=A94),'Scope Review'!$H$5:$H$204),""))</x:f>
      </x:c>
      <x:c r="P94" s="167" t="n">
        <x:f t="shared" si="4">IF(A94="","",IF(AND(C94="executing",N94&lt;&gt;"Confirmed OOS"),M94,0))</x:f>
        <x:v>0</x:v>
      </x:c>
      <x:c r="Q94" s="168" t="str">
        <x:f>IF(A94="","",IFERROR(LOOKUP(2,1/('Engineer Updates'!$B$5:$B$704=A94),'Engineer Updates'!$A$5:$A$704),""))</x:f>
      </x:c>
      <x:c r="R94" s="166" t="str">
        <x:f>IF(A94="","",IFERROR(LOOKUP(2,1/('Engineer Updates'!$B$5:$B$704=A94),'Engineer Updates'!$H$5:$H$704),""))</x:f>
      </x:c>
      <x:c r="S94" s="166" t="str">
        <x:f>IF(A94="","",IFERROR(LOOKUP(2,1/('Engineer Updates'!$B$5:$B$704=A94),'Engineer Updates'!$G$5:$G$704),""))</x:f>
      </x:c>
      <x:c r="T94" s="166" t="str">
        <x:f>IF(A94="","",IFERROR(LOOKUP(2,1/('Engineer Updates'!$B$5:$B$704=A94),'Engineer Updates'!$I$5:$I$704),""))</x:f>
      </x:c>
      <x:c r="U94" s="166" t="str">
        <x:f>IF(A94="","",IFERROR(LOOKUP(2,1/('Engineer Updates'!$B$5:$B$704=A94),'Engineer Updates'!$J$5:$J$704),""))</x:f>
      </x:c>
      <x:c r="V94" s="166" t="str">
        <x:f>IF(A94="","",IFERROR(LOOKUP(2,1/('Engineer Updates'!$B$5:$B$704=A94),'Engineer Updates'!$K$5:$K$704),""))</x:f>
      </x:c>
      <x:c r="W94" s="169" t="str">
        <x:f>IF(A94="","",IFERROR(LOOKUP(2,1/('Engineer Updates'!$B$5:$B$704=A94),'Engineer Updates'!$L$5:$L$704),""))</x:f>
      </x:c>
      <x:c r="X94" s="163" t="str">
        <x:f t="shared" si="5">IF(A94="","",IF(C94="completed","Completed in CSSP",IF(AND(C94="executing",ISERROR(SEARCH("@",K94))),"Executing without named engineer",IF(AND(N94="Confirmed OOS",C94="executing"),"Confirmed OOS still executing",""))))</x:f>
        <x:v>Completed in CSSP</x:v>
      </x:c>
      <x:c r="Y94" s="163" t="str">
        <x:f>IF(A94="","",IF(B94="Decommissioning","Raw Decommissioning","Raw Provisioning"))</x:f>
        <x:v>Raw Decommissioning</x:v>
      </x:c>
      <x:c r="Z94" s="170" t="str">
        <x:f>IF(A94="","",IF(OR(C94="executing",C94="processing"),"Yes","No"))</x:f>
        <x:v>No</x:v>
      </x:c>
    </x:row>
    <x:row r="95" ht="30">
      <x:c r="A95" s="163" t="str">
        <x:f>IF(ROWS($A$5:A95)&lt;=COUNTA('Raw Decommissioning'!$B$2:$B$1000),INDEX('Raw Decommissioning'!$B$2:$B$1000,ROWS($A$5:A95)),IF(ROWS($A$5:A95)-COUNTA('Raw Decommissioning'!$B$2:$B$1000)&lt;=COUNTA('Raw Provisioning'!$B$2:$B$1000),INDEX('Raw Provisioning'!$B$2:$B$1000,ROWS($A$5:A95)-COUNTA('Raw Decommissioning'!$B$2:$B$1000)),""))</x:f>
        <x:v>CSSP10892983</x:v>
      </x:c>
      <x:c r="B95" s="163" t="str">
        <x:f>IF(A95="","",IF(ROWS($A$5:A95)&lt;=COUNTA('Raw Decommissioning'!$B$2:$B$1000),"Decommissioning","Provisioning"))</x:f>
        <x:v>Decommissioning</x:v>
      </x:c>
      <x:c r="C95" s="163" t="str">
        <x:f>IF(A95="","",IF(B95="Decommissioning",IFERROR(INDEX('Raw Decommissioning'!$E$2:$E$1000,MATCH(A95,'Raw Decommissioning'!$B$2:$B$1000,0)),"Missing from latest raw"),IFERROR(INDEX('Raw Provisioning'!$E$2:$E$1000,MATCH(A95,'Raw Provisioning'!$B$2:$B$1000,0)),"Missing from latest raw")))</x:f>
        <x:v>completed</x:v>
      </x:c>
      <x:c r="D95" s="164" t="n">
        <x:f>IF(A95="","",'Refresh Control'!$B$4)</x:f>
        <x:v>46254</x:v>
      </x:c>
      <x:c r="E95" s="164" t="n">
        <x:f>IF(A95="","",IF(B95="Decommissioning",INDEX('Raw Decommissioning'!$F$2:$F$1000,ROWS($A$5:A95)),INDEX('Raw Provisioning'!$F$2:$F$1000,ROWS($A$5:A95)-COUNTA('Raw Decommissioning'!$B$2:$B$1000))))</x:f>
        <x:v>46052.06957261574</x:v>
      </x:c>
      <x:c r="F95" s="164" t="n">
        <x:f>IF(A95="","",IF(B95="Decommissioning",INDEX('Raw Decommissioning'!$G$2:$G$1000,ROWS($A$5:A95)),INDEX('Raw Provisioning'!$H$2:$H$1000,ROWS($A$5:A95)-COUNTA('Raw Decommissioning'!$B$2:$B$1000))))</x:f>
        <x:v>46058.291024398146</x:v>
      </x:c>
      <x:c r="G95" s="165" t="str">
        <x:f>IF(A95="","",IF(B95="Decommissioning",INDEX('Raw Decommissioning'!$I$2:$I$1000,ROWS($A$5:A95)),INDEX('Raw Provisioning'!$J$2:$J$1000,ROWS($A$5:A95)-COUNTA('Raw Decommissioning'!$B$2:$B$1000))))</x:f>
        <x:v>Malaysian Financial Reporting Standards - MFRS</x:v>
      </x:c>
      <x:c r="H95" s="165" t="str">
        <x:f>IF(A95="","",IF(B95="Decommissioning",INDEX('Raw Decommissioning'!$J$2:$J$1000,ROWS($A$5:A95)),INDEX('Raw Provisioning'!$L$2:$L$1000,ROWS($A$5:A95)-COUNTA('Raw Decommissioning'!$B$2:$B$1000))))</x:f>
        <x:v>Implementation Malaysian Financial Reporting Standards (MFRS) Statutory Reporting (MFRS16) for PETRONAS Group of Companies</x:v>
      </x:c>
      <x:c r="I95" s="165" t="str">
        <x:f>IF(A95="","",IF(B95="Decommissioning",INDEX('Raw Decommissioning'!$AL$2:$AL$1000,ROWS($A$5:A95)),INDEX('Raw Provisioning'!$R$2:$R$1000,ROWS($A$5:A95)-COUNTA('Raw Decommissioning'!$B$2:$B$1000))))</x:f>
        <x:v>M</x:v>
      </x:c>
      <x:c r="J95" s="165" t="str">
        <x:f>IF(A95="","",IF(B95="Decommissioning",INDEX('Raw Decommissioning'!$AG$2:$AG$1000,ROWS($A$5:A95)),INDEX('Raw Provisioning'!$AI$2:$AI$1000,ROWS($A$5:A95)-COUNTA('Raw Decommissioning'!$B$2:$B$1000))))</x:f>
        <x:v>azlisham.md@petronas.com</x:v>
      </x:c>
      <x:c r="K95" s="166" t="str">
        <x:f>IF(A95="","",IFERROR(LOOKUP(2,1/('Assignment History'!$B$5:$B$204=A95),'Assignment History'!$D$5:$D$204),IFERROR(VLOOKUP(J95,Configuration!$L$5:$M$50,2,FALSE),J95)))</x:f>
        <x:v>azlisham.md@petronas.com</x:v>
      </x:c>
      <x:c r="L95" s="166" t="str">
        <x:f>IF(A95="","",IF(K95=IFERROR(VLOOKUP(J95,Configuration!$L$5:$M$50,2,FALSE),J95),"Snapshot PIC","Replacement PIC"))</x:f>
        <x:v>Snapshot PIC</x:v>
      </x:c>
      <x:c r="M95" s="167" t="n">
        <x:f>IF(A95="","",IFERROR(VLOOKUP(I95,Configuration!$O$5:$P$8,2,FALSE),Configuration!$S$6))</x:f>
        <x:v>2</x:v>
      </x:c>
      <x:c r="N95" s="167" t="str">
        <x:f>IF(A95="","",IFERROR(LOOKUP(2,1/('Scope Review'!$B$5:$B$204=A95),'Scope Review'!$G$5:$G$204),"Not Reviewed"))</x:f>
        <x:v>Not Reviewed</x:v>
      </x:c>
      <x:c r="O95" s="167" t="str">
        <x:f>IF(A95="","",IFERROR(LOOKUP(2,1/('Scope Review'!$B$5:$B$204=A95),'Scope Review'!$H$5:$H$204),""))</x:f>
      </x:c>
      <x:c r="P95" s="167" t="n">
        <x:f t="shared" si="4">IF(A95="","",IF(AND(C95="executing",N95&lt;&gt;"Confirmed OOS"),M95,0))</x:f>
        <x:v>0</x:v>
      </x:c>
      <x:c r="Q95" s="168" t="str">
        <x:f>IF(A95="","",IFERROR(LOOKUP(2,1/('Engineer Updates'!$B$5:$B$704=A95),'Engineer Updates'!$A$5:$A$704),""))</x:f>
      </x:c>
      <x:c r="R95" s="166" t="str">
        <x:f>IF(A95="","",IFERROR(LOOKUP(2,1/('Engineer Updates'!$B$5:$B$704=A95),'Engineer Updates'!$H$5:$H$704),""))</x:f>
      </x:c>
      <x:c r="S95" s="166" t="str">
        <x:f>IF(A95="","",IFERROR(LOOKUP(2,1/('Engineer Updates'!$B$5:$B$704=A95),'Engineer Updates'!$G$5:$G$704),""))</x:f>
      </x:c>
      <x:c r="T95" s="166" t="str">
        <x:f>IF(A95="","",IFERROR(LOOKUP(2,1/('Engineer Updates'!$B$5:$B$704=A95),'Engineer Updates'!$I$5:$I$704),""))</x:f>
      </x:c>
      <x:c r="U95" s="166" t="str">
        <x:f>IF(A95="","",IFERROR(LOOKUP(2,1/('Engineer Updates'!$B$5:$B$704=A95),'Engineer Updates'!$J$5:$J$704),""))</x:f>
      </x:c>
      <x:c r="V95" s="166" t="str">
        <x:f>IF(A95="","",IFERROR(LOOKUP(2,1/('Engineer Updates'!$B$5:$B$704=A95),'Engineer Updates'!$K$5:$K$704),""))</x:f>
      </x:c>
      <x:c r="W95" s="169" t="str">
        <x:f>IF(A95="","",IFERROR(LOOKUP(2,1/('Engineer Updates'!$B$5:$B$704=A95),'Engineer Updates'!$L$5:$L$704),""))</x:f>
      </x:c>
      <x:c r="X95" s="163" t="str">
        <x:f t="shared" si="5">IF(A95="","",IF(C95="completed","Completed in CSSP",IF(AND(C95="executing",ISERROR(SEARCH("@",K95))),"Executing without named engineer",IF(AND(N95="Confirmed OOS",C95="executing"),"Confirmed OOS still executing",""))))</x:f>
        <x:v>Completed in CSSP</x:v>
      </x:c>
      <x:c r="Y95" s="163" t="str">
        <x:f>IF(A95="","",IF(B95="Decommissioning","Raw Decommissioning","Raw Provisioning"))</x:f>
        <x:v>Raw Decommissioning</x:v>
      </x:c>
      <x:c r="Z95" s="170" t="str">
        <x:f>IF(A95="","",IF(OR(C95="executing",C95="processing"),"Yes","No"))</x:f>
        <x:v>No</x:v>
      </x:c>
    </x:row>
    <x:row r="96" ht="30">
      <x:c r="A96" s="163" t="str">
        <x:f>IF(ROWS($A$5:A96)&lt;=COUNTA('Raw Decommissioning'!$B$2:$B$1000),INDEX('Raw Decommissioning'!$B$2:$B$1000,ROWS($A$5:A96)),IF(ROWS($A$5:A96)-COUNTA('Raw Decommissioning'!$B$2:$B$1000)&lt;=COUNTA('Raw Provisioning'!$B$2:$B$1000),INDEX('Raw Provisioning'!$B$2:$B$1000,ROWS($A$5:A96)-COUNTA('Raw Decommissioning'!$B$2:$B$1000)),""))</x:f>
        <x:v>CSSP10245126</x:v>
      </x:c>
      <x:c r="B96" s="163" t="str">
        <x:f>IF(A96="","",IF(ROWS($A$5:A96)&lt;=COUNTA('Raw Decommissioning'!$B$2:$B$1000),"Decommissioning","Provisioning"))</x:f>
        <x:v>Decommissioning</x:v>
      </x:c>
      <x:c r="C96" s="163" t="str">
        <x:f>IF(A96="","",IF(B96="Decommissioning",IFERROR(INDEX('Raw Decommissioning'!$E$2:$E$1000,MATCH(A96,'Raw Decommissioning'!$B$2:$B$1000,0)),"Missing from latest raw"),IFERROR(INDEX('Raw Provisioning'!$E$2:$E$1000,MATCH(A96,'Raw Provisioning'!$B$2:$B$1000,0)),"Missing from latest raw")))</x:f>
        <x:v>completed</x:v>
      </x:c>
      <x:c r="D96" s="164" t="n">
        <x:f>IF(A96="","",'Refresh Control'!$B$4)</x:f>
        <x:v>46254</x:v>
      </x:c>
      <x:c r="E96" s="164" t="n">
        <x:f>IF(A96="","",IF(B96="Decommissioning",INDEX('Raw Decommissioning'!$F$2:$F$1000,ROWS($A$5:A96)),INDEX('Raw Provisioning'!$F$2:$F$1000,ROWS($A$5:A96)-COUNTA('Raw Decommissioning'!$B$2:$B$1000))))</x:f>
        <x:v>46052.5995028125</x:v>
      </x:c>
      <x:c r="F96" s="164" t="n">
        <x:f>IF(A96="","",IF(B96="Decommissioning",INDEX('Raw Decommissioning'!$G$2:$G$1000,ROWS($A$5:A96)),INDEX('Raw Provisioning'!$H$2:$H$1000,ROWS($A$5:A96)-COUNTA('Raw Decommissioning'!$B$2:$B$1000))))</x:f>
        <x:v>46066.10319702546</x:v>
      </x:c>
      <x:c r="G96" s="165" t="str">
        <x:f>IF(A96="","",IF(B96="Decommissioning",INDEX('Raw Decommissioning'!$I$2:$I$1000,ROWS($A$5:A96)),INDEX('Raw Provisioning'!$J$2:$J$1000,ROWS($A$5:A96)-COUNTA('Raw Decommissioning'!$B$2:$B$1000))))</x:f>
        <x:v>SAP 40 BPC</x:v>
      </x:c>
      <x:c r="H96" s="165" t="str">
        <x:f>IF(A96="","",IF(B96="Decommissioning",INDEX('Raw Decommissioning'!$J$2:$J$1000,ROWS($A$5:A96)),INDEX('Raw Provisioning'!$L$2:$L$1000,ROWS($A$5:A96)-COUNTA('Raw Decommissioning'!$B$2:$B$1000))))</x:f>
        <x:v>Migration and Optimization of SAP P40 to BPC 10.1 using HANA Database for Group Financial Control (GFC)</x:v>
      </x:c>
      <x:c r="I96" s="165" t="str">
        <x:f>IF(A96="","",IF(B96="Decommissioning",INDEX('Raw Decommissioning'!$AL$2:$AL$1000,ROWS($A$5:A96)),INDEX('Raw Provisioning'!$R$2:$R$1000,ROWS($A$5:A96)-COUNTA('Raw Decommissioning'!$B$2:$B$1000))))</x:f>
        <x:v>M</x:v>
      </x:c>
      <x:c r="J96" s="165" t="str">
        <x:f>IF(A96="","",IF(B96="Decommissioning",INDEX('Raw Decommissioning'!$AG$2:$AG$1000,ROWS($A$5:A96)),INDEX('Raw Provisioning'!$AI$2:$AI$1000,ROWS($A$5:A96)-COUNTA('Raw Decommissioning'!$B$2:$B$1000))))</x:f>
        <x:v>azlisham.md@petronas.com</x:v>
      </x:c>
      <x:c r="K96" s="166" t="str">
        <x:f>IF(A96="","",IFERROR(LOOKUP(2,1/('Assignment History'!$B$5:$B$204=A96),'Assignment History'!$D$5:$D$204),IFERROR(VLOOKUP(J96,Configuration!$L$5:$M$50,2,FALSE),J96)))</x:f>
        <x:v>azlisham.md@petronas.com</x:v>
      </x:c>
      <x:c r="L96" s="166" t="str">
        <x:f>IF(A96="","",IF(K96=IFERROR(VLOOKUP(J96,Configuration!$L$5:$M$50,2,FALSE),J96),"Snapshot PIC","Replacement PIC"))</x:f>
        <x:v>Snapshot PIC</x:v>
      </x:c>
      <x:c r="M96" s="167" t="n">
        <x:f>IF(A96="","",IFERROR(VLOOKUP(I96,Configuration!$O$5:$P$8,2,FALSE),Configuration!$S$6))</x:f>
        <x:v>2</x:v>
      </x:c>
      <x:c r="N96" s="167" t="str">
        <x:f>IF(A96="","",IFERROR(LOOKUP(2,1/('Scope Review'!$B$5:$B$204=A96),'Scope Review'!$G$5:$G$204),"Not Reviewed"))</x:f>
        <x:v>Not Reviewed</x:v>
      </x:c>
      <x:c r="O96" s="167" t="str">
        <x:f>IF(A96="","",IFERROR(LOOKUP(2,1/('Scope Review'!$B$5:$B$204=A96),'Scope Review'!$H$5:$H$204),""))</x:f>
      </x:c>
      <x:c r="P96" s="167" t="n">
        <x:f t="shared" si="4">IF(A96="","",IF(AND(C96="executing",N96&lt;&gt;"Confirmed OOS"),M96,0))</x:f>
        <x:v>0</x:v>
      </x:c>
      <x:c r="Q96" s="168" t="str">
        <x:f>IF(A96="","",IFERROR(LOOKUP(2,1/('Engineer Updates'!$B$5:$B$704=A96),'Engineer Updates'!$A$5:$A$704),""))</x:f>
      </x:c>
      <x:c r="R96" s="166" t="str">
        <x:f>IF(A96="","",IFERROR(LOOKUP(2,1/('Engineer Updates'!$B$5:$B$704=A96),'Engineer Updates'!$H$5:$H$704),""))</x:f>
      </x:c>
      <x:c r="S96" s="166" t="str">
        <x:f>IF(A96="","",IFERROR(LOOKUP(2,1/('Engineer Updates'!$B$5:$B$704=A96),'Engineer Updates'!$G$5:$G$704),""))</x:f>
      </x:c>
      <x:c r="T96" s="166" t="str">
        <x:f>IF(A96="","",IFERROR(LOOKUP(2,1/('Engineer Updates'!$B$5:$B$704=A96),'Engineer Updates'!$I$5:$I$704),""))</x:f>
      </x:c>
      <x:c r="U96" s="166" t="str">
        <x:f>IF(A96="","",IFERROR(LOOKUP(2,1/('Engineer Updates'!$B$5:$B$704=A96),'Engineer Updates'!$J$5:$J$704),""))</x:f>
      </x:c>
      <x:c r="V96" s="166" t="str">
        <x:f>IF(A96="","",IFERROR(LOOKUP(2,1/('Engineer Updates'!$B$5:$B$704=A96),'Engineer Updates'!$K$5:$K$704),""))</x:f>
      </x:c>
      <x:c r="W96" s="169" t="str">
        <x:f>IF(A96="","",IFERROR(LOOKUP(2,1/('Engineer Updates'!$B$5:$B$704=A96),'Engineer Updates'!$L$5:$L$704),""))</x:f>
      </x:c>
      <x:c r="X96" s="163" t="str">
        <x:f t="shared" si="5">IF(A96="","",IF(C96="completed","Completed in CSSP",IF(AND(C96="executing",ISERROR(SEARCH("@",K96))),"Executing without named engineer",IF(AND(N96="Confirmed OOS",C96="executing"),"Confirmed OOS still executing",""))))</x:f>
        <x:v>Completed in CSSP</x:v>
      </x:c>
      <x:c r="Y96" s="163" t="str">
        <x:f>IF(A96="","",IF(B96="Decommissioning","Raw Decommissioning","Raw Provisioning"))</x:f>
        <x:v>Raw Decommissioning</x:v>
      </x:c>
      <x:c r="Z96" s="170" t="str">
        <x:f>IF(A96="","",IF(OR(C96="executing",C96="processing"),"Yes","No"))</x:f>
        <x:v>No</x:v>
      </x:c>
    </x:row>
    <x:row r="97" ht="45">
      <x:c r="A97" s="163" t="str">
        <x:f>IF(ROWS($A$5:A97)&lt;=COUNTA('Raw Decommissioning'!$B$2:$B$1000),INDEX('Raw Decommissioning'!$B$2:$B$1000,ROWS($A$5:A97)),IF(ROWS($A$5:A97)-COUNTA('Raw Decommissioning'!$B$2:$B$1000)&lt;=COUNTA('Raw Provisioning'!$B$2:$B$1000),INDEX('Raw Provisioning'!$B$2:$B$1000,ROWS($A$5:A97)-COUNTA('Raw Decommissioning'!$B$2:$B$1000)),""))</x:f>
        <x:v>CSSP10431985</x:v>
      </x:c>
      <x:c r="B97" s="163" t="str">
        <x:f>IF(A97="","",IF(ROWS($A$5:A97)&lt;=COUNTA('Raw Decommissioning'!$B$2:$B$1000),"Decommissioning","Provisioning"))</x:f>
        <x:v>Decommissioning</x:v>
      </x:c>
      <x:c r="C97" s="163" t="str">
        <x:f>IF(A97="","",IF(B97="Decommissioning",IFERROR(INDEX('Raw Decommissioning'!$E$2:$E$1000,MATCH(A97,'Raw Decommissioning'!$B$2:$B$1000,0)),"Missing from latest raw"),IFERROR(INDEX('Raw Provisioning'!$E$2:$E$1000,MATCH(A97,'Raw Provisioning'!$B$2:$B$1000,0)),"Missing from latest raw")))</x:f>
        <x:v>rejected</x:v>
      </x:c>
      <x:c r="D97" s="164" t="n">
        <x:f>IF(A97="","",'Refresh Control'!$B$4)</x:f>
        <x:v>46254</x:v>
      </x:c>
      <x:c r="E97" s="164" t="n">
        <x:f>IF(A97="","",IF(B97="Decommissioning",INDEX('Raw Decommissioning'!$F$2:$F$1000,ROWS($A$5:A97)),INDEX('Raw Provisioning'!$F$2:$F$1000,ROWS($A$5:A97)-COUNTA('Raw Decommissioning'!$B$2:$B$1000))))</x:f>
        <x:v>46057.03354863426</x:v>
      </x:c>
      <x:c r="F97" s="164" t="n">
        <x:f>IF(A97="","",IF(B97="Decommissioning",INDEX('Raw Decommissioning'!$G$2:$G$1000,ROWS($A$5:A97)),INDEX('Raw Provisioning'!$H$2:$H$1000,ROWS($A$5:A97)-COUNTA('Raw Decommissioning'!$B$2:$B$1000))))</x:f>
        <x:v>46132.3543505787</x:v>
      </x:c>
      <x:c r="G97" s="165" t="str">
        <x:f>IF(A97="","",IF(B97="Decommissioning",INDEX('Raw Decommissioning'!$I$2:$I$1000,ROWS($A$5:A97)),INDEX('Raw Provisioning'!$J$2:$J$1000,ROWS($A$5:A97)-COUNTA('Raw Decommissioning'!$B$2:$B$1000))))</x:f>
        <x:v>Talent Analytics - TA</x:v>
      </x:c>
      <x:c r="H97" s="165" t="str">
        <x:f>IF(A97="","",IF(B97="Decommissioning",INDEX('Raw Decommissioning'!$J$2:$J$1000,ROWS($A$5:A97)),INDEX('Raw Provisioning'!$L$2:$L$1000,ROWS($A$5:A97)-COUNTA('Raw Decommissioning'!$B$2:$B$1000))))</x:f>
        <x:v>VM for Talent Analytics POC</x:v>
      </x:c>
      <x:c r="I97" s="165" t="str">
        <x:f>IF(A97="","",IF(B97="Decommissioning",INDEX('Raw Decommissioning'!$AL$2:$AL$1000,ROWS($A$5:A97)),INDEX('Raw Provisioning'!$R$2:$R$1000,ROWS($A$5:A97)-COUNTA('Raw Decommissioning'!$B$2:$B$1000))))</x:f>
      </x:c>
      <x:c r="J97" s="165" t="str">
        <x:f>IF(A97="","",IF(B97="Decommissioning",INDEX('Raw Decommissioning'!$AG$2:$AG$1000,ROWS($A$5:A97)),INDEX('Raw Provisioning'!$AI$2:$AI$1000,ROWS($A$5:A97)-COUNTA('Raw Decommissioning'!$B$2:$B$1000))))</x:f>
        <x:v>CCoE Operations</x:v>
      </x:c>
      <x:c r="K97" s="166" t="str">
        <x:f>IF(A97="","",IFERROR(LOOKUP(2,1/('Assignment History'!$B$5:$B$204=A97),'Assignment History'!$D$5:$D$204),IFERROR(VLOOKUP(J97,Configuration!$L$5:$M$50,2,FALSE),J97)))</x:f>
        <x:v>CCoE Operations</x:v>
      </x:c>
      <x:c r="L97" s="166" t="str">
        <x:f>IF(A97="","",IF(K97=IFERROR(VLOOKUP(J97,Configuration!$L$5:$M$50,2,FALSE),J97),"Snapshot PIC","Replacement PIC"))</x:f>
        <x:v>Snapshot PIC</x:v>
      </x:c>
      <x:c r="M97" s="167" t="n">
        <x:f>IF(A97="","",IFERROR(VLOOKUP(I97,Configuration!$O$5:$P$8,2,FALSE),Configuration!$S$6))</x:f>
        <x:v>2</x:v>
      </x:c>
      <x:c r="N97" s="167" t="str">
        <x:f>IF(A97="","",IFERROR(LOOKUP(2,1/('Scope Review'!$B$5:$B$204=A97),'Scope Review'!$G$5:$G$204),"Not Reviewed"))</x:f>
        <x:v>Not Reviewed</x:v>
      </x:c>
      <x:c r="O97" s="167" t="str">
        <x:f>IF(A97="","",IFERROR(LOOKUP(2,1/('Scope Review'!$B$5:$B$204=A97),'Scope Review'!$H$5:$H$204),""))</x:f>
      </x:c>
      <x:c r="P97" s="167" t="n">
        <x:f t="shared" si="4">IF(A97="","",IF(AND(C97="executing",N97&lt;&gt;"Confirmed OOS"),M97,0))</x:f>
        <x:v>0</x:v>
      </x:c>
      <x:c r="Q97" s="168" t="str">
        <x:f>IF(A97="","",IFERROR(LOOKUP(2,1/('Engineer Updates'!$B$5:$B$704=A97),'Engineer Updates'!$A$5:$A$704),""))</x:f>
      </x:c>
      <x:c r="R97" s="166" t="str">
        <x:f>IF(A97="","",IFERROR(LOOKUP(2,1/('Engineer Updates'!$B$5:$B$704=A97),'Engineer Updates'!$H$5:$H$704),""))</x:f>
      </x:c>
      <x:c r="S97" s="166" t="str">
        <x:f>IF(A97="","",IFERROR(LOOKUP(2,1/('Engineer Updates'!$B$5:$B$704=A97),'Engineer Updates'!$G$5:$G$704),""))</x:f>
      </x:c>
      <x:c r="T97" s="166" t="str">
        <x:f>IF(A97="","",IFERROR(LOOKUP(2,1/('Engineer Updates'!$B$5:$B$704=A97),'Engineer Updates'!$I$5:$I$704),""))</x:f>
      </x:c>
      <x:c r="U97" s="166" t="str">
        <x:f>IF(A97="","",IFERROR(LOOKUP(2,1/('Engineer Updates'!$B$5:$B$704=A97),'Engineer Updates'!$J$5:$J$704),""))</x:f>
      </x:c>
      <x:c r="V97" s="166" t="str">
        <x:f>IF(A97="","",IFERROR(LOOKUP(2,1/('Engineer Updates'!$B$5:$B$704=A97),'Engineer Updates'!$K$5:$K$704),""))</x:f>
      </x:c>
      <x:c r="W97" s="169" t="str">
        <x:f>IF(A97="","",IFERROR(LOOKUP(2,1/('Engineer Updates'!$B$5:$B$704=A97),'Engineer Updates'!$L$5:$L$704),""))</x:f>
      </x:c>
      <x:c r="X97" s="163" t="str">
        <x:f t="shared" si="5">IF(A97="","",IF(C97="completed","Completed in CSSP",IF(AND(C97="executing",ISERROR(SEARCH("@",K97))),"Executing without named engineer",IF(AND(N97="Confirmed OOS",C97="executing"),"Confirmed OOS still executing",""))))</x:f>
      </x:c>
      <x:c r="Y97" s="163" t="str">
        <x:f>IF(A97="","",IF(B97="Decommissioning","Raw Decommissioning","Raw Provisioning"))</x:f>
        <x:v>Raw Decommissioning</x:v>
      </x:c>
      <x:c r="Z97" s="170" t="str">
        <x:f>IF(A97="","",IF(OR(C97="executing",C97="processing"),"Yes","No"))</x:f>
        <x:v>No</x:v>
      </x:c>
    </x:row>
    <x:row r="98">
      <x:c r="A98" s="163" t="str">
        <x:f>IF(ROWS($A$5:A98)&lt;=COUNTA('Raw Decommissioning'!$B$2:$B$1000),INDEX('Raw Decommissioning'!$B$2:$B$1000,ROWS($A$5:A98)),IF(ROWS($A$5:A98)-COUNTA('Raw Decommissioning'!$B$2:$B$1000)&lt;=COUNTA('Raw Provisioning'!$B$2:$B$1000),INDEX('Raw Provisioning'!$B$2:$B$1000,ROWS($A$5:A98)-COUNTA('Raw Decommissioning'!$B$2:$B$1000)),""))</x:f>
        <x:v>CSSP10348510</x:v>
      </x:c>
      <x:c r="B98" s="163" t="str">
        <x:f>IF(A98="","",IF(ROWS($A$5:A98)&lt;=COUNTA('Raw Decommissioning'!$B$2:$B$1000),"Decommissioning","Provisioning"))</x:f>
        <x:v>Decommissioning</x:v>
      </x:c>
      <x:c r="C98" s="163" t="str">
        <x:f>IF(A98="","",IF(B98="Decommissioning",IFERROR(INDEX('Raw Decommissioning'!$E$2:$E$1000,MATCH(A98,'Raw Decommissioning'!$B$2:$B$1000,0)),"Missing from latest raw"),IFERROR(INDEX('Raw Provisioning'!$E$2:$E$1000,MATCH(A98,'Raw Provisioning'!$B$2:$B$1000,0)),"Missing from latest raw")))</x:f>
        <x:v>completed</x:v>
      </x:c>
      <x:c r="D98" s="164" t="n">
        <x:f>IF(A98="","",'Refresh Control'!$B$4)</x:f>
        <x:v>46254</x:v>
      </x:c>
      <x:c r="E98" s="164" t="n">
        <x:f>IF(A98="","",IF(B98="Decommissioning",INDEX('Raw Decommissioning'!$F$2:$F$1000,ROWS($A$5:A98)),INDEX('Raw Provisioning'!$F$2:$F$1000,ROWS($A$5:A98)-COUNTA('Raw Decommissioning'!$B$2:$B$1000))))</x:f>
        <x:v>46057.04398732639</x:v>
      </x:c>
      <x:c r="F98" s="164" t="n">
        <x:f>IF(A98="","",IF(B98="Decommissioning",INDEX('Raw Decommissioning'!$G$2:$G$1000,ROWS($A$5:A98)),INDEX('Raw Provisioning'!$H$2:$H$1000,ROWS($A$5:A98)-COUNTA('Raw Decommissioning'!$B$2:$B$1000))))</x:f>
        <x:v>46078.24838221065</x:v>
      </x:c>
      <x:c r="G98" s="165" t="str">
        <x:f>IF(A98="","",IF(B98="Decommissioning",INDEX('Raw Decommissioning'!$I$2:$I$1000,ROWS($A$5:A98)),INDEX('Raw Provisioning'!$J$2:$J$1000,ROWS($A$5:A98)-COUNTA('Raw Decommissioning'!$B$2:$B$1000))))</x:f>
        <x:v>Plant Information - PI Enterprise</x:v>
      </x:c>
      <x:c r="H98" s="165" t="str">
        <x:f>IF(A98="","",IF(B98="Decommissioning",INDEX('Raw Decommissioning'!$J$2:$J$1000,ROWS($A$5:A98)),INDEX('Raw Provisioning'!$L$2:$L$1000,ROWS($A$5:A98)-COUNTA('Raw Decommissioning'!$B$2:$B$1000))))</x:f>
        <x:v>CTP Old to New LZ - PI Enterprise</x:v>
      </x:c>
      <x:c r="I98" s="165" t="str">
        <x:f>IF(A98="","",IF(B98="Decommissioning",INDEX('Raw Decommissioning'!$AL$2:$AL$1000,ROWS($A$5:A98)),INDEX('Raw Provisioning'!$R$2:$R$1000,ROWS($A$5:A98)-COUNTA('Raw Decommissioning'!$B$2:$B$1000))))</x:f>
        <x:v>M</x:v>
      </x:c>
      <x:c r="J98" s="165" t="str">
        <x:f>IF(A98="","",IF(B98="Decommissioning",INDEX('Raw Decommissioning'!$AG$2:$AG$1000,ROWS($A$5:A98)),INDEX('Raw Provisioning'!$AI$2:$AI$1000,ROWS($A$5:A98)-COUNTA('Raw Decommissioning'!$B$2:$B$1000))))</x:f>
        <x:v>azlisham.md@petronas.com</x:v>
      </x:c>
      <x:c r="K98" s="166" t="str">
        <x:f>IF(A98="","",IFERROR(LOOKUP(2,1/('Assignment History'!$B$5:$B$204=A98),'Assignment History'!$D$5:$D$204),IFERROR(VLOOKUP(J98,Configuration!$L$5:$M$50,2,FALSE),J98)))</x:f>
        <x:v>azlisham.md@petronas.com</x:v>
      </x:c>
      <x:c r="L98" s="166" t="str">
        <x:f>IF(A98="","",IF(K98=IFERROR(VLOOKUP(J98,Configuration!$L$5:$M$50,2,FALSE),J98),"Snapshot PIC","Replacement PIC"))</x:f>
        <x:v>Snapshot PIC</x:v>
      </x:c>
      <x:c r="M98" s="167" t="n">
        <x:f>IF(A98="","",IFERROR(VLOOKUP(I98,Configuration!$O$5:$P$8,2,FALSE),Configuration!$S$6))</x:f>
        <x:v>2</x:v>
      </x:c>
      <x:c r="N98" s="167" t="str">
        <x:f>IF(A98="","",IFERROR(LOOKUP(2,1/('Scope Review'!$B$5:$B$204=A98),'Scope Review'!$G$5:$G$204),"Not Reviewed"))</x:f>
        <x:v>Not Reviewed</x:v>
      </x:c>
      <x:c r="O98" s="167" t="str">
        <x:f>IF(A98="","",IFERROR(LOOKUP(2,1/('Scope Review'!$B$5:$B$204=A98),'Scope Review'!$H$5:$H$204),""))</x:f>
      </x:c>
      <x:c r="P98" s="167" t="n">
        <x:f t="shared" si="4">IF(A98="","",IF(AND(C98="executing",N98&lt;&gt;"Confirmed OOS"),M98,0))</x:f>
        <x:v>0</x:v>
      </x:c>
      <x:c r="Q98" s="168" t="str">
        <x:f>IF(A98="","",IFERROR(LOOKUP(2,1/('Engineer Updates'!$B$5:$B$704=A98),'Engineer Updates'!$A$5:$A$704),""))</x:f>
      </x:c>
      <x:c r="R98" s="166" t="str">
        <x:f>IF(A98="","",IFERROR(LOOKUP(2,1/('Engineer Updates'!$B$5:$B$704=A98),'Engineer Updates'!$H$5:$H$704),""))</x:f>
      </x:c>
      <x:c r="S98" s="166" t="str">
        <x:f>IF(A98="","",IFERROR(LOOKUP(2,1/('Engineer Updates'!$B$5:$B$704=A98),'Engineer Updates'!$G$5:$G$704),""))</x:f>
      </x:c>
      <x:c r="T98" s="166" t="str">
        <x:f>IF(A98="","",IFERROR(LOOKUP(2,1/('Engineer Updates'!$B$5:$B$704=A98),'Engineer Updates'!$I$5:$I$704),""))</x:f>
      </x:c>
      <x:c r="U98" s="166" t="str">
        <x:f>IF(A98="","",IFERROR(LOOKUP(2,1/('Engineer Updates'!$B$5:$B$704=A98),'Engineer Updates'!$J$5:$J$704),""))</x:f>
      </x:c>
      <x:c r="V98" s="166" t="str">
        <x:f>IF(A98="","",IFERROR(LOOKUP(2,1/('Engineer Updates'!$B$5:$B$704=A98),'Engineer Updates'!$K$5:$K$704),""))</x:f>
      </x:c>
      <x:c r="W98" s="169" t="str">
        <x:f>IF(A98="","",IFERROR(LOOKUP(2,1/('Engineer Updates'!$B$5:$B$704=A98),'Engineer Updates'!$L$5:$L$704),""))</x:f>
      </x:c>
      <x:c r="X98" s="163" t="str">
        <x:f t="shared" si="5">IF(A98="","",IF(C98="completed","Completed in CSSP",IF(AND(C98="executing",ISERROR(SEARCH("@",K98))),"Executing without named engineer",IF(AND(N98="Confirmed OOS",C98="executing"),"Confirmed OOS still executing",""))))</x:f>
        <x:v>Completed in CSSP</x:v>
      </x:c>
      <x:c r="Y98" s="163" t="str">
        <x:f>IF(A98="","",IF(B98="Decommissioning","Raw Decommissioning","Raw Provisioning"))</x:f>
        <x:v>Raw Decommissioning</x:v>
      </x:c>
      <x:c r="Z98" s="170" t="str">
        <x:f>IF(A98="","",IF(OR(C98="executing",C98="processing"),"Yes","No"))</x:f>
        <x:v>No</x:v>
      </x:c>
    </x:row>
    <x:row r="99" ht="30">
      <x:c r="A99" s="163" t="str">
        <x:f>IF(ROWS($A$5:A99)&lt;=COUNTA('Raw Decommissioning'!$B$2:$B$1000),INDEX('Raw Decommissioning'!$B$2:$B$1000,ROWS($A$5:A99)),IF(ROWS($A$5:A99)-COUNTA('Raw Decommissioning'!$B$2:$B$1000)&lt;=COUNTA('Raw Provisioning'!$B$2:$B$1000),INDEX('Raw Provisioning'!$B$2:$B$1000,ROWS($A$5:A99)-COUNTA('Raw Decommissioning'!$B$2:$B$1000)),""))</x:f>
        <x:v>CSSP10650004</x:v>
      </x:c>
      <x:c r="B99" s="163" t="str">
        <x:f>IF(A99="","",IF(ROWS($A$5:A99)&lt;=COUNTA('Raw Decommissioning'!$B$2:$B$1000),"Decommissioning","Provisioning"))</x:f>
        <x:v>Decommissioning</x:v>
      </x:c>
      <x:c r="C99" s="163" t="str">
        <x:f>IF(A99="","",IF(B99="Decommissioning",IFERROR(INDEX('Raw Decommissioning'!$E$2:$E$1000,MATCH(A99,'Raw Decommissioning'!$B$2:$B$1000,0)),"Missing from latest raw"),IFERROR(INDEX('Raw Provisioning'!$E$2:$E$1000,MATCH(A99,'Raw Provisioning'!$B$2:$B$1000,0)),"Missing from latest raw")))</x:f>
        <x:v>completed</x:v>
      </x:c>
      <x:c r="D99" s="164" t="n">
        <x:f>IF(A99="","",'Refresh Control'!$B$4)</x:f>
        <x:v>46254</x:v>
      </x:c>
      <x:c r="E99" s="164" t="n">
        <x:f>IF(A99="","",IF(B99="Decommissioning",INDEX('Raw Decommissioning'!$F$2:$F$1000,ROWS($A$5:A99)),INDEX('Raw Provisioning'!$F$2:$F$1000,ROWS($A$5:A99)-COUNTA('Raw Decommissioning'!$B$2:$B$1000))))</x:f>
        <x:v>46057.18969716435</x:v>
      </x:c>
      <x:c r="F99" s="164" t="n">
        <x:f>IF(A99="","",IF(B99="Decommissioning",INDEX('Raw Decommissioning'!$G$2:$G$1000,ROWS($A$5:A99)),INDEX('Raw Provisioning'!$H$2:$H$1000,ROWS($A$5:A99)-COUNTA('Raw Decommissioning'!$B$2:$B$1000))))</x:f>
        <x:v>46092.40004934028</x:v>
      </x:c>
      <x:c r="G99" s="165" t="str">
        <x:f>IF(A99="","",IF(B99="Decommissioning",INDEX('Raw Decommissioning'!$I$2:$I$1000,ROWS($A$5:A99)),INDEX('Raw Provisioning'!$J$2:$J$1000,ROWS($A$5:A99)-COUNTA('Raw Decommissioning'!$B$2:$B$1000))))</x:f>
        <x:v>SharePoint - SPO ShareGate Desktop</x:v>
      </x:c>
      <x:c r="H99" s="165" t="str">
        <x:f>IF(A99="","",IF(B99="Decommissioning",INDEX('Raw Decommissioning'!$J$2:$J$1000,ROWS($A$5:A99)),INDEX('Raw Provisioning'!$L$2:$L$1000,ROWS($A$5:A99)-COUNTA('Raw Decommissioning'!$B$2:$B$1000))))</x:f>
        <x:v>Cloud Migration Program - Sharepoint ShareGate Desktop Migration</x:v>
      </x:c>
      <x:c r="I99" s="165" t="str">
        <x:f>IF(A99="","",IF(B99="Decommissioning",INDEX('Raw Decommissioning'!$AL$2:$AL$1000,ROWS($A$5:A99)),INDEX('Raw Provisioning'!$R$2:$R$1000,ROWS($A$5:A99)-COUNTA('Raw Decommissioning'!$B$2:$B$1000))))</x:f>
        <x:v>S</x:v>
      </x:c>
      <x:c r="J99" s="165" t="str">
        <x:f>IF(A99="","",IF(B99="Decommissioning",INDEX('Raw Decommissioning'!$AG$2:$AG$1000,ROWS($A$5:A99)),INDEX('Raw Provisioning'!$AI$2:$AI$1000,ROWS($A$5:A99)-COUNTA('Raw Decommissioning'!$B$2:$B$1000))))</x:f>
        <x:v>abdullah.haziq@petronas.com</x:v>
      </x:c>
      <x:c r="K99" s="166" t="str">
        <x:f>IF(A99="","",IFERROR(LOOKUP(2,1/('Assignment History'!$B$5:$B$204=A99),'Assignment History'!$D$5:$D$204),IFERROR(VLOOKUP(J99,Configuration!$L$5:$M$50,2,FALSE),J99)))</x:f>
        <x:v>abdullah.haziq@petronas.com</x:v>
      </x:c>
      <x:c r="L99" s="166" t="str">
        <x:f>IF(A99="","",IF(K99=IFERROR(VLOOKUP(J99,Configuration!$L$5:$M$50,2,FALSE),J99),"Snapshot PIC","Replacement PIC"))</x:f>
        <x:v>Snapshot PIC</x:v>
      </x:c>
      <x:c r="M99" s="167" t="n">
        <x:f>IF(A99="","",IFERROR(VLOOKUP(I99,Configuration!$O$5:$P$8,2,FALSE),Configuration!$S$6))</x:f>
        <x:v>1</x:v>
      </x:c>
      <x:c r="N99" s="167" t="str">
        <x:f>IF(A99="","",IFERROR(LOOKUP(2,1/('Scope Review'!$B$5:$B$204=A99),'Scope Review'!$G$5:$G$204),"Not Reviewed"))</x:f>
        <x:v>Not Reviewed</x:v>
      </x:c>
      <x:c r="O99" s="167" t="str">
        <x:f>IF(A99="","",IFERROR(LOOKUP(2,1/('Scope Review'!$B$5:$B$204=A99),'Scope Review'!$H$5:$H$204),""))</x:f>
      </x:c>
      <x:c r="P99" s="167" t="n">
        <x:f t="shared" si="4">IF(A99="","",IF(AND(C99="executing",N99&lt;&gt;"Confirmed OOS"),M99,0))</x:f>
        <x:v>0</x:v>
      </x:c>
      <x:c r="Q99" s="168" t="str">
        <x:f>IF(A99="","",IFERROR(LOOKUP(2,1/('Engineer Updates'!$B$5:$B$704=A99),'Engineer Updates'!$A$5:$A$704),""))</x:f>
      </x:c>
      <x:c r="R99" s="166" t="str">
        <x:f>IF(A99="","",IFERROR(LOOKUP(2,1/('Engineer Updates'!$B$5:$B$704=A99),'Engineer Updates'!$H$5:$H$704),""))</x:f>
      </x:c>
      <x:c r="S99" s="166" t="str">
        <x:f>IF(A99="","",IFERROR(LOOKUP(2,1/('Engineer Updates'!$B$5:$B$704=A99),'Engineer Updates'!$G$5:$G$704),""))</x:f>
      </x:c>
      <x:c r="T99" s="166" t="str">
        <x:f>IF(A99="","",IFERROR(LOOKUP(2,1/('Engineer Updates'!$B$5:$B$704=A99),'Engineer Updates'!$I$5:$I$704),""))</x:f>
      </x:c>
      <x:c r="U99" s="166" t="str">
        <x:f>IF(A99="","",IFERROR(LOOKUP(2,1/('Engineer Updates'!$B$5:$B$704=A99),'Engineer Updates'!$J$5:$J$704),""))</x:f>
      </x:c>
      <x:c r="V99" s="166" t="str">
        <x:f>IF(A99="","",IFERROR(LOOKUP(2,1/('Engineer Updates'!$B$5:$B$704=A99),'Engineer Updates'!$K$5:$K$704),""))</x:f>
      </x:c>
      <x:c r="W99" s="169" t="str">
        <x:f>IF(A99="","",IFERROR(LOOKUP(2,1/('Engineer Updates'!$B$5:$B$704=A99),'Engineer Updates'!$L$5:$L$704),""))</x:f>
      </x:c>
      <x:c r="X99" s="163" t="str">
        <x:f t="shared" si="5">IF(A99="","",IF(C99="completed","Completed in CSSP",IF(AND(C99="executing",ISERROR(SEARCH("@",K99))),"Executing without named engineer",IF(AND(N99="Confirmed OOS",C99="executing"),"Confirmed OOS still executing",""))))</x:f>
        <x:v>Completed in CSSP</x:v>
      </x:c>
      <x:c r="Y99" s="163" t="str">
        <x:f>IF(A99="","",IF(B99="Decommissioning","Raw Decommissioning","Raw Provisioning"))</x:f>
        <x:v>Raw Decommissioning</x:v>
      </x:c>
      <x:c r="Z99" s="170" t="str">
        <x:f>IF(A99="","",IF(OR(C99="executing",C99="processing"),"Yes","No"))</x:f>
        <x:v>No</x:v>
      </x:c>
    </x:row>
    <x:row r="100" ht="45">
      <x:c r="A100" s="163" t="str">
        <x:f>IF(ROWS($A$5:A100)&lt;=COUNTA('Raw Decommissioning'!$B$2:$B$1000),INDEX('Raw Decommissioning'!$B$2:$B$1000,ROWS($A$5:A100)),IF(ROWS($A$5:A100)-COUNTA('Raw Decommissioning'!$B$2:$B$1000)&lt;=COUNTA('Raw Provisioning'!$B$2:$B$1000),INDEX('Raw Provisioning'!$B$2:$B$1000,ROWS($A$5:A100)-COUNTA('Raw Decommissioning'!$B$2:$B$1000)),""))</x:f>
        <x:v>CSSP10132385</x:v>
      </x:c>
      <x:c r="B100" s="163" t="str">
        <x:f>IF(A100="","",IF(ROWS($A$5:A100)&lt;=COUNTA('Raw Decommissioning'!$B$2:$B$1000),"Decommissioning","Provisioning"))</x:f>
        <x:v>Decommissioning</x:v>
      </x:c>
      <x:c r="C100" s="163" t="str">
        <x:f>IF(A100="","",IF(B100="Decommissioning",IFERROR(INDEX('Raw Decommissioning'!$E$2:$E$1000,MATCH(A100,'Raw Decommissioning'!$B$2:$B$1000,0)),"Missing from latest raw"),IFERROR(INDEX('Raw Provisioning'!$E$2:$E$1000,MATCH(A100,'Raw Provisioning'!$B$2:$B$1000,0)),"Missing from latest raw")))</x:f>
        <x:v>completed</x:v>
      </x:c>
      <x:c r="D100" s="164" t="n">
        <x:f>IF(A100="","",'Refresh Control'!$B$4)</x:f>
        <x:v>46254</x:v>
      </x:c>
      <x:c r="E100" s="164" t="n">
        <x:f>IF(A100="","",IF(B100="Decommissioning",INDEX('Raw Decommissioning'!$F$2:$F$1000,ROWS($A$5:A100)),INDEX('Raw Provisioning'!$F$2:$F$1000,ROWS($A$5:A100)-COUNTA('Raw Decommissioning'!$B$2:$B$1000))))</x:f>
        <x:v>46057.28393950232</x:v>
      </x:c>
      <x:c r="F100" s="164" t="n">
        <x:f>IF(A100="","",IF(B100="Decommissioning",INDEX('Raw Decommissioning'!$G$2:$G$1000,ROWS($A$5:A100)),INDEX('Raw Provisioning'!$H$2:$H$1000,ROWS($A$5:A100)-COUNTA('Raw Decommissioning'!$B$2:$B$1000))))</x:f>
        <x:v>46063.16590309028</x:v>
      </x:c>
      <x:c r="G100" s="165" t="str">
        <x:f>IF(A100="","",IF(B100="Decommissioning",INDEX('Raw Decommissioning'!$I$2:$I$1000,ROWS($A$5:A100)),INDEX('Raw Provisioning'!$J$2:$J$1000,ROWS($A$5:A100)-COUNTA('Raw Decommissioning'!$B$2:$B$1000))))</x:f>
        <x:v>Lab Information Management System - LIMS PDB</x:v>
      </x:c>
      <x:c r="H100" s="165" t="str">
        <x:f>IF(A100="","",IF(B100="Decommissioning",INDEX('Raw Decommissioning'!$J$2:$J$1000,ROWS($A$5:A100)),INDEX('Raw Provisioning'!$L$2:$L$1000,ROWS($A$5:A100)-COUNTA('Raw Decommissioning'!$B$2:$B$1000))))</x:f>
        <x:v>OCI MIGRATION - LIMS PDB</x:v>
      </x:c>
      <x:c r="I100" s="165" t="str">
        <x:f>IF(A100="","",IF(B100="Decommissioning",INDEX('Raw Decommissioning'!$AL$2:$AL$1000,ROWS($A$5:A100)),INDEX('Raw Provisioning'!$R$2:$R$1000,ROWS($A$5:A100)-COUNTA('Raw Decommissioning'!$B$2:$B$1000))))</x:f>
        <x:v>M</x:v>
      </x:c>
      <x:c r="J100" s="165" t="str">
        <x:f>IF(A100="","",IF(B100="Decommissioning",INDEX('Raw Decommissioning'!$AG$2:$AG$1000,ROWS($A$5:A100)),INDEX('Raw Provisioning'!$AI$2:$AI$1000,ROWS($A$5:A100)-COUNTA('Raw Decommissioning'!$B$2:$B$1000))))</x:f>
        <x:v>azwan.badari@petronas.com</x:v>
      </x:c>
      <x:c r="K100" s="166" t="str">
        <x:f>IF(A100="","",IFERROR(LOOKUP(2,1/('Assignment History'!$B$5:$B$204=A100),'Assignment History'!$D$5:$D$204),IFERROR(VLOOKUP(J100,Configuration!$L$5:$M$50,2,FALSE),J100)))</x:f>
        <x:v>azwan.badari@petronas.com</x:v>
      </x:c>
      <x:c r="L100" s="166" t="str">
        <x:f>IF(A100="","",IF(K100=IFERROR(VLOOKUP(J100,Configuration!$L$5:$M$50,2,FALSE),J100),"Snapshot PIC","Replacement PIC"))</x:f>
        <x:v>Snapshot PIC</x:v>
      </x:c>
      <x:c r="M100" s="167" t="n">
        <x:f>IF(A100="","",IFERROR(VLOOKUP(I100,Configuration!$O$5:$P$8,2,FALSE),Configuration!$S$6))</x:f>
        <x:v>2</x:v>
      </x:c>
      <x:c r="N100" s="167" t="str">
        <x:f>IF(A100="","",IFERROR(LOOKUP(2,1/('Scope Review'!$B$5:$B$204=A100),'Scope Review'!$G$5:$G$204),"Not Reviewed"))</x:f>
        <x:v>Not Reviewed</x:v>
      </x:c>
      <x:c r="O100" s="167" t="str">
        <x:f>IF(A100="","",IFERROR(LOOKUP(2,1/('Scope Review'!$B$5:$B$204=A100),'Scope Review'!$H$5:$H$204),""))</x:f>
      </x:c>
      <x:c r="P100" s="167" t="n">
        <x:f t="shared" si="4">IF(A100="","",IF(AND(C100="executing",N100&lt;&gt;"Confirmed OOS"),M100,0))</x:f>
        <x:v>0</x:v>
      </x:c>
      <x:c r="Q100" s="168" t="str">
        <x:f>IF(A100="","",IFERROR(LOOKUP(2,1/('Engineer Updates'!$B$5:$B$704=A100),'Engineer Updates'!$A$5:$A$704),""))</x:f>
      </x:c>
      <x:c r="R100" s="166" t="str">
        <x:f>IF(A100="","",IFERROR(LOOKUP(2,1/('Engineer Updates'!$B$5:$B$704=A100),'Engineer Updates'!$H$5:$H$704),""))</x:f>
      </x:c>
      <x:c r="S100" s="166" t="str">
        <x:f>IF(A100="","",IFERROR(LOOKUP(2,1/('Engineer Updates'!$B$5:$B$704=A100),'Engineer Updates'!$G$5:$G$704),""))</x:f>
      </x:c>
      <x:c r="T100" s="166" t="str">
        <x:f>IF(A100="","",IFERROR(LOOKUP(2,1/('Engineer Updates'!$B$5:$B$704=A100),'Engineer Updates'!$I$5:$I$704),""))</x:f>
      </x:c>
      <x:c r="U100" s="166" t="str">
        <x:f>IF(A100="","",IFERROR(LOOKUP(2,1/('Engineer Updates'!$B$5:$B$704=A100),'Engineer Updates'!$J$5:$J$704),""))</x:f>
      </x:c>
      <x:c r="V100" s="166" t="str">
        <x:f>IF(A100="","",IFERROR(LOOKUP(2,1/('Engineer Updates'!$B$5:$B$704=A100),'Engineer Updates'!$K$5:$K$704),""))</x:f>
      </x:c>
      <x:c r="W100" s="169" t="str">
        <x:f>IF(A100="","",IFERROR(LOOKUP(2,1/('Engineer Updates'!$B$5:$B$704=A100),'Engineer Updates'!$L$5:$L$704),""))</x:f>
      </x:c>
      <x:c r="X100" s="163" t="str">
        <x:f t="shared" si="5">IF(A100="","",IF(C100="completed","Completed in CSSP",IF(AND(C100="executing",ISERROR(SEARCH("@",K100))),"Executing without named engineer",IF(AND(N100="Confirmed OOS",C100="executing"),"Confirmed OOS still executing",""))))</x:f>
        <x:v>Completed in CSSP</x:v>
      </x:c>
      <x:c r="Y100" s="163" t="str">
        <x:f>IF(A100="","",IF(B100="Decommissioning","Raw Decommissioning","Raw Provisioning"))</x:f>
        <x:v>Raw Decommissioning</x:v>
      </x:c>
      <x:c r="Z100" s="170" t="str">
        <x:f>IF(A100="","",IF(OR(C100="executing",C100="processing"),"Yes","No"))</x:f>
        <x:v>No</x:v>
      </x:c>
    </x:row>
    <x:row r="101">
      <x:c r="A101" s="170" t="str">
        <x:f>IF(ROWS($A$5:A101)&lt;=COUNTA('Raw Decommissioning'!$B$2:$B$1000),INDEX('Raw Decommissioning'!$B$2:$B$1000,ROWS($A$5:A101)),IF(ROWS($A$5:A101)-COUNTA('Raw Decommissioning'!$B$2:$B$1000)&lt;=COUNTA('Raw Provisioning'!$B$2:$B$1000),INDEX('Raw Provisioning'!$B$2:$B$1000,ROWS($A$5:A101)-COUNTA('Raw Decommissioning'!$B$2:$B$1000)),""))</x:f>
        <x:v>CSSP10359052</x:v>
      </x:c>
      <x:c r="B101" s="170" t="str">
        <x:f>IF(A101="","",IF(ROWS($A$5:A101)&lt;=COUNTA('Raw Decommissioning'!$B$2:$B$1000),"Decommissioning","Provisioning"))</x:f>
        <x:v>Decommissioning</x:v>
      </x:c>
      <x:c r="C101" s="170" t="str">
        <x:f>IF(A101="","",IF(B101="Decommissioning",IFERROR(INDEX('Raw Decommissioning'!$E$2:$E$1000,MATCH(A101,'Raw Decommissioning'!$B$2:$B$1000,0)),"Missing from latest raw"),IFERROR(INDEX('Raw Provisioning'!$E$2:$E$1000,MATCH(A101,'Raw Provisioning'!$B$2:$B$1000,0)),"Missing from latest raw")))</x:f>
        <x:v>pending</x:v>
      </x:c>
      <x:c r="D101" s="171" t="n">
        <x:f>IF(A101="","",'Refresh Control'!$B$4)</x:f>
        <x:v>46254</x:v>
      </x:c>
      <x:c r="E101" s="171" t="n">
        <x:f>IF(A101="","",IF(B101="Decommissioning",INDEX('Raw Decommissioning'!$F$2:$F$1000,ROWS($A$5:A101)),INDEX('Raw Provisioning'!$F$2:$F$1000,ROWS($A$5:A101)-COUNTA('Raw Decommissioning'!$B$2:$B$1000))))</x:f>
        <x:v>46057.2896978125</x:v>
      </x:c>
      <x:c r="F101" s="171" t="n">
        <x:f>IF(A101="","",IF(B101="Decommissioning",INDEX('Raw Decommissioning'!$G$2:$G$1000,ROWS($A$5:A101)),INDEX('Raw Provisioning'!$H$2:$H$1000,ROWS($A$5:A101)-COUNTA('Raw Decommissioning'!$B$2:$B$1000))))</x:f>
        <x:v>46219.262821331016</x:v>
      </x:c>
      <x:c r="G101" s="170" t="str">
        <x:f>IF(A101="","",IF(B101="Decommissioning",INDEX('Raw Decommissioning'!$I$2:$I$1000,ROWS($A$5:A101)),INDEX('Raw Provisioning'!$J$2:$J$1000,ROWS($A$5:A101)-COUNTA('Raw Decommissioning'!$B$2:$B$1000))))</x:f>
        <x:v>Lab Information Management System - LIMS PDB</x:v>
      </x:c>
      <x:c r="H101" s="170" t="str">
        <x:f>IF(A101="","",IF(B101="Decommissioning",INDEX('Raw Decommissioning'!$J$2:$J$1000,ROWS($A$5:A101)),INDEX('Raw Provisioning'!$L$2:$L$1000,ROWS($A$5:A101)-COUNTA('Raw Decommissioning'!$B$2:$B$1000))))</x:f>
        <x:v>OCI MIGRATION - Integrated Lab Information System (PDB)</x:v>
      </x:c>
      <x:c r="I101" s="170" t="str">
        <x:f>IF(A101="","",IF(B101="Decommissioning",INDEX('Raw Decommissioning'!$AL$2:$AL$1000,ROWS($A$5:A101)),INDEX('Raw Provisioning'!$R$2:$R$1000,ROWS($A$5:A101)-COUNTA('Raw Decommissioning'!$B$2:$B$1000))))</x:f>
      </x:c>
      <x:c r="J101" s="170" t="str">
        <x:f>IF(A101="","",IF(B101="Decommissioning",INDEX('Raw Decommissioning'!$AG$2:$AG$1000,ROWS($A$5:A101)),INDEX('Raw Provisioning'!$AI$2:$AI$1000,ROWS($A$5:A101)-COUNTA('Raw Decommissioning'!$B$2:$B$1000))))</x:f>
        <x:v>CCoE Operations</x:v>
      </x:c>
      <x:c r="K101" s="172" t="str">
        <x:f>IF(A101="","",IFERROR(LOOKUP(2,1/('Assignment History'!$B$5:$B$204=A101),'Assignment History'!$D$5:$D$204),IFERROR(VLOOKUP(J101,Configuration!$L$5:$M$50,2,FALSE),J101)))</x:f>
        <x:v>CCoE Operations</x:v>
      </x:c>
      <x:c r="L101" s="172" t="str">
        <x:f>IF(A101="","",IF(K101=IFERROR(VLOOKUP(J101,Configuration!$L$5:$M$50,2,FALSE),J101),"Snapshot PIC","Replacement PIC"))</x:f>
        <x:v>Snapshot PIC</x:v>
      </x:c>
      <x:c r="M101" s="172" t="n">
        <x:f>IF(A101="","",IFERROR(VLOOKUP(I101,Configuration!$O$5:$P$8,2,FALSE),Configuration!$S$6))</x:f>
        <x:v>2</x:v>
      </x:c>
      <x:c r="N101" s="172" t="str">
        <x:f>IF(A101="","",IFERROR(LOOKUP(2,1/('Scope Review'!$B$5:$B$204=A101),'Scope Review'!$G$5:$G$204),"Not Reviewed"))</x:f>
        <x:v>Not Reviewed</x:v>
      </x:c>
      <x:c r="O101" s="172" t="str">
        <x:f>IF(A101="","",IFERROR(LOOKUP(2,1/('Scope Review'!$B$5:$B$204=A101),'Scope Review'!$H$5:$H$204),""))</x:f>
      </x:c>
      <x:c r="P101" s="172" t="n">
        <x:f>IF(A101="","",IF(AND(C101="executing",N101&lt;&gt;"Confirmed OOS"),M101,0))</x:f>
        <x:v>0</x:v>
      </x:c>
      <x:c r="Q101" s="173" t="str">
        <x:f>IF(A101="","",IFERROR(LOOKUP(2,1/('Engineer Updates'!$B$5:$B$704=A101),'Engineer Updates'!$A$5:$A$704),""))</x:f>
      </x:c>
      <x:c r="R101" s="172" t="str">
        <x:f>IF(A101="","",IFERROR(LOOKUP(2,1/('Engineer Updates'!$B$5:$B$704=A101),'Engineer Updates'!$H$5:$H$704),""))</x:f>
      </x:c>
      <x:c r="S101" s="172" t="str">
        <x:f>IF(A101="","",IFERROR(LOOKUP(2,1/('Engineer Updates'!$B$5:$B$704=A101),'Engineer Updates'!$G$5:$G$704),""))</x:f>
      </x:c>
      <x:c r="T101" s="172" t="str">
        <x:f>IF(A101="","",IFERROR(LOOKUP(2,1/('Engineer Updates'!$B$5:$B$704=A101),'Engineer Updates'!$I$5:$I$704),""))</x:f>
      </x:c>
      <x:c r="U101" s="172" t="str">
        <x:f>IF(A101="","",IFERROR(LOOKUP(2,1/('Engineer Updates'!$B$5:$B$704=A101),'Engineer Updates'!$J$5:$J$704),""))</x:f>
      </x:c>
      <x:c r="V101" s="172" t="str">
        <x:f>IF(A101="","",IFERROR(LOOKUP(2,1/('Engineer Updates'!$B$5:$B$704=A101),'Engineer Updates'!$K$5:$K$704),""))</x:f>
      </x:c>
      <x:c r="W101" s="174" t="str">
        <x:f>IF(A101="","",IFERROR(LOOKUP(2,1/('Engineer Updates'!$B$5:$B$704=A101),'Engineer Updates'!$L$5:$L$704),""))</x:f>
      </x:c>
      <x:c r="X101" s="170" t="str">
        <x:f>IF(A101="","",IF(C101="completed","Completed in CSSP",IF(AND(C101="executing",ISERROR(SEARCH("@",K101))),"Executing without named engineer",IF(AND(N101="Confirmed OOS",C101="executing"),"Confirmed OOS still executing",""))))</x:f>
      </x:c>
      <x:c r="Y101" s="170" t="str">
        <x:f>IF(A101="","",IF(B101="Decommissioning","Raw Decommissioning","Raw Provisioning"))</x:f>
        <x:v>Raw Decommissioning</x:v>
      </x:c>
      <x:c r="Z101" s="170" t="str">
        <x:f>IF(A101="","",IF(OR(C101="executing",C101="processing"),"Yes","No"))</x:f>
        <x:v>No</x:v>
      </x:c>
    </x:row>
    <x:row r="102">
      <x:c r="A102" s="170" t="str">
        <x:f>IF(ROWS($A$5:A102)&lt;=COUNTA('Raw Decommissioning'!$B$2:$B$1000),INDEX('Raw Decommissioning'!$B$2:$B$1000,ROWS($A$5:A102)),IF(ROWS($A$5:A102)-COUNTA('Raw Decommissioning'!$B$2:$B$1000)&lt;=COUNTA('Raw Provisioning'!$B$2:$B$1000),INDEX('Raw Provisioning'!$B$2:$B$1000,ROWS($A$5:A102)-COUNTA('Raw Decommissioning'!$B$2:$B$1000)),""))</x:f>
        <x:v>CSSP10117120</x:v>
      </x:c>
      <x:c r="B102" s="170" t="str">
        <x:f>IF(A102="","",IF(ROWS($A$5:A102)&lt;=COUNTA('Raw Decommissioning'!$B$2:$B$1000),"Decommissioning","Provisioning"))</x:f>
        <x:v>Decommissioning</x:v>
      </x:c>
      <x:c r="C102" s="170" t="str">
        <x:f>IF(A102="","",IF(B102="Decommissioning",IFERROR(INDEX('Raw Decommissioning'!$E$2:$E$1000,MATCH(A102,'Raw Decommissioning'!$B$2:$B$1000,0)),"Missing from latest raw"),IFERROR(INDEX('Raw Provisioning'!$E$2:$E$1000,MATCH(A102,'Raw Provisioning'!$B$2:$B$1000,0)),"Missing from latest raw")))</x:f>
        <x:v>completed</x:v>
      </x:c>
      <x:c r="D102" s="171" t="n">
        <x:f>IF(A102="","",'Refresh Control'!$B$4)</x:f>
        <x:v>46254</x:v>
      </x:c>
      <x:c r="E102" s="171" t="n">
        <x:f>IF(A102="","",IF(B102="Decommissioning",INDEX('Raw Decommissioning'!$F$2:$F$1000,ROWS($A$5:A102)),INDEX('Raw Provisioning'!$F$2:$F$1000,ROWS($A$5:A102)-COUNTA('Raw Decommissioning'!$B$2:$B$1000))))</x:f>
        <x:v>46057.31085957176</x:v>
      </x:c>
      <x:c r="F102" s="171" t="n">
        <x:f>IF(A102="","",IF(B102="Decommissioning",INDEX('Raw Decommissioning'!$G$2:$G$1000,ROWS($A$5:A102)),INDEX('Raw Provisioning'!$H$2:$H$1000,ROWS($A$5:A102)-COUNTA('Raw Decommissioning'!$B$2:$B$1000))))</x:f>
        <x:v>46063.10813641204</x:v>
      </x:c>
      <x:c r="G102" s="170" t="str">
        <x:f>IF(A102="","",IF(B102="Decommissioning",INDEX('Raw Decommissioning'!$I$2:$I$1000,ROWS($A$5:A102)),INDEX('Raw Provisioning'!$J$2:$J$1000,ROWS($A$5:A102)-COUNTA('Raw Decommissioning'!$B$2:$B$1000))))</x:f>
        <x:v>INCOTDA</x:v>
      </x:c>
      <x:c r="H102" s="170" t="str">
        <x:f>IF(A102="","",IF(B102="Decommissioning",INDEX('Raw Decommissioning'!$J$2:$J$1000,ROWS($A$5:A102)),INDEX('Raw Provisioning'!$L$2:$L$1000,ROWS($A$5:A102)-COUNTA('Raw Decommissioning'!$B$2:$B$1000))))</x:f>
        <x:v>Provision of INCOTDA DevSecOps Programme Continuation for DFE</x:v>
      </x:c>
      <x:c r="I102" s="170" t="str">
        <x:f>IF(A102="","",IF(B102="Decommissioning",INDEX('Raw Decommissioning'!$AL$2:$AL$1000,ROWS($A$5:A102)),INDEX('Raw Provisioning'!$R$2:$R$1000,ROWS($A$5:A102)-COUNTA('Raw Decommissioning'!$B$2:$B$1000))))</x:f>
        <x:v>M</x:v>
      </x:c>
      <x:c r="J102" s="170" t="str">
        <x:f>IF(A102="","",IF(B102="Decommissioning",INDEX('Raw Decommissioning'!$AG$2:$AG$1000,ROWS($A$5:A102)),INDEX('Raw Provisioning'!$AI$2:$AI$1000,ROWS($A$5:A102)-COUNTA('Raw Decommissioning'!$B$2:$B$1000))))</x:f>
        <x:v>azwan.badari@petronas.com</x:v>
      </x:c>
      <x:c r="K102" s="172" t="str">
        <x:f>IF(A102="","",IFERROR(LOOKUP(2,1/('Assignment History'!$B$5:$B$204=A102),'Assignment History'!$D$5:$D$204),IFERROR(VLOOKUP(J102,Configuration!$L$5:$M$50,2,FALSE),J102)))</x:f>
        <x:v>azwan.badari@petronas.com</x:v>
      </x:c>
      <x:c r="L102" s="172" t="str">
        <x:f>IF(A102="","",IF(K102=IFERROR(VLOOKUP(J102,Configuration!$L$5:$M$50,2,FALSE),J102),"Snapshot PIC","Replacement PIC"))</x:f>
        <x:v>Snapshot PIC</x:v>
      </x:c>
      <x:c r="M102" s="172" t="n">
        <x:f>IF(A102="","",IFERROR(VLOOKUP(I102,Configuration!$O$5:$P$8,2,FALSE),Configuration!$S$6))</x:f>
        <x:v>2</x:v>
      </x:c>
      <x:c r="N102" s="172" t="str">
        <x:f>IF(A102="","",IFERROR(LOOKUP(2,1/('Scope Review'!$B$5:$B$204=A102),'Scope Review'!$G$5:$G$204),"Not Reviewed"))</x:f>
        <x:v>Not Reviewed</x:v>
      </x:c>
      <x:c r="O102" s="172" t="str">
        <x:f>IF(A102="","",IFERROR(LOOKUP(2,1/('Scope Review'!$B$5:$B$204=A102),'Scope Review'!$H$5:$H$204),""))</x:f>
      </x:c>
      <x:c r="P102" s="172" t="n">
        <x:f>IF(A102="","",IF(AND(C102="executing",N102&lt;&gt;"Confirmed OOS"),M102,0))</x:f>
        <x:v>0</x:v>
      </x:c>
      <x:c r="Q102" s="173" t="str">
        <x:f>IF(A102="","",IFERROR(LOOKUP(2,1/('Engineer Updates'!$B$5:$B$704=A102),'Engineer Updates'!$A$5:$A$704),""))</x:f>
      </x:c>
      <x:c r="R102" s="172" t="str">
        <x:f>IF(A102="","",IFERROR(LOOKUP(2,1/('Engineer Updates'!$B$5:$B$704=A102),'Engineer Updates'!$H$5:$H$704),""))</x:f>
      </x:c>
      <x:c r="S102" s="172" t="str">
        <x:f>IF(A102="","",IFERROR(LOOKUP(2,1/('Engineer Updates'!$B$5:$B$704=A102),'Engineer Updates'!$G$5:$G$704),""))</x:f>
      </x:c>
      <x:c r="T102" s="172" t="str">
        <x:f>IF(A102="","",IFERROR(LOOKUP(2,1/('Engineer Updates'!$B$5:$B$704=A102),'Engineer Updates'!$I$5:$I$704),""))</x:f>
      </x:c>
      <x:c r="U102" s="172" t="str">
        <x:f>IF(A102="","",IFERROR(LOOKUP(2,1/('Engineer Updates'!$B$5:$B$704=A102),'Engineer Updates'!$J$5:$J$704),""))</x:f>
      </x:c>
      <x:c r="V102" s="172" t="str">
        <x:f>IF(A102="","",IFERROR(LOOKUP(2,1/('Engineer Updates'!$B$5:$B$704=A102),'Engineer Updates'!$K$5:$K$704),""))</x:f>
      </x:c>
      <x:c r="W102" s="174" t="str">
        <x:f>IF(A102="","",IFERROR(LOOKUP(2,1/('Engineer Updates'!$B$5:$B$704=A102),'Engineer Updates'!$L$5:$L$704),""))</x:f>
      </x:c>
      <x:c r="X102" s="170" t="str">
        <x:f>IF(A102="","",IF(C102="completed","Completed in CSSP",IF(AND(C102="executing",ISERROR(SEARCH("@",K102))),"Executing without named engineer",IF(AND(N102="Confirmed OOS",C102="executing"),"Confirmed OOS still executing",""))))</x:f>
        <x:v>Completed in CSSP</x:v>
      </x:c>
      <x:c r="Y102" s="170" t="str">
        <x:f>IF(A102="","",IF(B102="Decommissioning","Raw Decommissioning","Raw Provisioning"))</x:f>
        <x:v>Raw Decommissioning</x:v>
      </x:c>
      <x:c r="Z102" s="170" t="str">
        <x:f>IF(A102="","",IF(OR(C102="executing",C102="processing"),"Yes","No"))</x:f>
        <x:v>No</x:v>
      </x:c>
    </x:row>
    <x:row r="103">
      <x:c r="A103" s="170" t="str">
        <x:f>IF(ROWS($A$5:A103)&lt;=COUNTA('Raw Decommissioning'!$B$2:$B$1000),INDEX('Raw Decommissioning'!$B$2:$B$1000,ROWS($A$5:A103)),IF(ROWS($A$5:A103)-COUNTA('Raw Decommissioning'!$B$2:$B$1000)&lt;=COUNTA('Raw Provisioning'!$B$2:$B$1000),INDEX('Raw Provisioning'!$B$2:$B$1000,ROWS($A$5:A103)-COUNTA('Raw Decommissioning'!$B$2:$B$1000)),""))</x:f>
        <x:v>CSSP10845786</x:v>
      </x:c>
      <x:c r="B103" s="170" t="str">
        <x:f>IF(A103="","",IF(ROWS($A$5:A103)&lt;=COUNTA('Raw Decommissioning'!$B$2:$B$1000),"Decommissioning","Provisioning"))</x:f>
        <x:v>Decommissioning</x:v>
      </x:c>
      <x:c r="C103" s="170" t="str">
        <x:f>IF(A103="","",IF(B103="Decommissioning",IFERROR(INDEX('Raw Decommissioning'!$E$2:$E$1000,MATCH(A103,'Raw Decommissioning'!$B$2:$B$1000,0)),"Missing from latest raw"),IFERROR(INDEX('Raw Provisioning'!$E$2:$E$1000,MATCH(A103,'Raw Provisioning'!$B$2:$B$1000,0)),"Missing from latest raw")))</x:f>
        <x:v>rejected</x:v>
      </x:c>
      <x:c r="D103" s="171" t="n">
        <x:f>IF(A103="","",'Refresh Control'!$B$4)</x:f>
        <x:v>46254</x:v>
      </x:c>
      <x:c r="E103" s="171" t="n">
        <x:f>IF(A103="","",IF(B103="Decommissioning",INDEX('Raw Decommissioning'!$F$2:$F$1000,ROWS($A$5:A103)),INDEX('Raw Provisioning'!$F$2:$F$1000,ROWS($A$5:A103)-COUNTA('Raw Decommissioning'!$B$2:$B$1000))))</x:f>
        <x:v>46058.35969225694</x:v>
      </x:c>
      <x:c r="F103" s="171" t="n">
        <x:f>IF(A103="","",IF(B103="Decommissioning",INDEX('Raw Decommissioning'!$G$2:$G$1000,ROWS($A$5:A103)),INDEX('Raw Provisioning'!$H$2:$H$1000,ROWS($A$5:A103)-COUNTA('Raw Decommissioning'!$B$2:$B$1000))))</x:f>
        <x:v>46062.15727766204</x:v>
      </x:c>
      <x:c r="G103" s="170" t="str">
        <x:f>IF(A103="","",IF(B103="Decommissioning",INDEX('Raw Decommissioning'!$I$2:$I$1000,ROWS($A$5:A103)),INDEX('Raw Provisioning'!$J$2:$J$1000,ROWS($A$5:A103)-COUNTA('Raw Decommissioning'!$B$2:$B$1000))))</x:f>
        <x:v>Upstream Mobile Application</x:v>
      </x:c>
      <x:c r="H103" s="170" t="str">
        <x:f>IF(A103="","",IF(B103="Decommissioning",INDEX('Raw Decommissioning'!$J$2:$J$1000,ROWS($A$5:A103)),INDEX('Raw Provisioning'!$L$2:$L$1000,ROWS($A$5:A103)-COUNTA('Raw Decommissioning'!$B$2:$B$1000))))</x:f>
        <x:v>Provision of Hosting Services for UP Mobile for Upstream Digital, PCSB</x:v>
      </x:c>
      <x:c r="I103" s="170" t="str">
        <x:f>IF(A103="","",IF(B103="Decommissioning",INDEX('Raw Decommissioning'!$AL$2:$AL$1000,ROWS($A$5:A103)),INDEX('Raw Provisioning'!$R$2:$R$1000,ROWS($A$5:A103)-COUNTA('Raw Decommissioning'!$B$2:$B$1000))))</x:f>
      </x:c>
      <x:c r="J103" s="170" t="str">
        <x:f>IF(A103="","",IF(B103="Decommissioning",INDEX('Raw Decommissioning'!$AG$2:$AG$1000,ROWS($A$5:A103)),INDEX('Raw Provisioning'!$AI$2:$AI$1000,ROWS($A$5:A103)-COUNTA('Raw Decommissioning'!$B$2:$B$1000))))</x:f>
        <x:v>CCoE Operations</x:v>
      </x:c>
      <x:c r="K103" s="172" t="str">
        <x:f>IF(A103="","",IFERROR(LOOKUP(2,1/('Assignment History'!$B$5:$B$204=A103),'Assignment History'!$D$5:$D$204),IFERROR(VLOOKUP(J103,Configuration!$L$5:$M$50,2,FALSE),J103)))</x:f>
        <x:v>CCoE Operations</x:v>
      </x:c>
      <x:c r="L103" s="172" t="str">
        <x:f>IF(A103="","",IF(K103=IFERROR(VLOOKUP(J103,Configuration!$L$5:$M$50,2,FALSE),J103),"Snapshot PIC","Replacement PIC"))</x:f>
        <x:v>Snapshot PIC</x:v>
      </x:c>
      <x:c r="M103" s="172" t="n">
        <x:f>IF(A103="","",IFERROR(VLOOKUP(I103,Configuration!$O$5:$P$8,2,FALSE),Configuration!$S$6))</x:f>
        <x:v>2</x:v>
      </x:c>
      <x:c r="N103" s="172" t="str">
        <x:f>IF(A103="","",IFERROR(LOOKUP(2,1/('Scope Review'!$B$5:$B$204=A103),'Scope Review'!$G$5:$G$204),"Not Reviewed"))</x:f>
        <x:v>Not Reviewed</x:v>
      </x:c>
      <x:c r="O103" s="172" t="str">
        <x:f>IF(A103="","",IFERROR(LOOKUP(2,1/('Scope Review'!$B$5:$B$204=A103),'Scope Review'!$H$5:$H$204),""))</x:f>
      </x:c>
      <x:c r="P103" s="172" t="n">
        <x:f>IF(A103="","",IF(AND(C103="executing",N103&lt;&gt;"Confirmed OOS"),M103,0))</x:f>
        <x:v>0</x:v>
      </x:c>
      <x:c r="Q103" s="173" t="str">
        <x:f>IF(A103="","",IFERROR(LOOKUP(2,1/('Engineer Updates'!$B$5:$B$704=A103),'Engineer Updates'!$A$5:$A$704),""))</x:f>
      </x:c>
      <x:c r="R103" s="172" t="str">
        <x:f>IF(A103="","",IFERROR(LOOKUP(2,1/('Engineer Updates'!$B$5:$B$704=A103),'Engineer Updates'!$H$5:$H$704),""))</x:f>
      </x:c>
      <x:c r="S103" s="172" t="str">
        <x:f>IF(A103="","",IFERROR(LOOKUP(2,1/('Engineer Updates'!$B$5:$B$704=A103),'Engineer Updates'!$G$5:$G$704),""))</x:f>
      </x:c>
      <x:c r="T103" s="172" t="str">
        <x:f>IF(A103="","",IFERROR(LOOKUP(2,1/('Engineer Updates'!$B$5:$B$704=A103),'Engineer Updates'!$I$5:$I$704),""))</x:f>
      </x:c>
      <x:c r="U103" s="172" t="str">
        <x:f>IF(A103="","",IFERROR(LOOKUP(2,1/('Engineer Updates'!$B$5:$B$704=A103),'Engineer Updates'!$J$5:$J$704),""))</x:f>
      </x:c>
      <x:c r="V103" s="172" t="str">
        <x:f>IF(A103="","",IFERROR(LOOKUP(2,1/('Engineer Updates'!$B$5:$B$704=A103),'Engineer Updates'!$K$5:$K$704),""))</x:f>
      </x:c>
      <x:c r="W103" s="174" t="str">
        <x:f>IF(A103="","",IFERROR(LOOKUP(2,1/('Engineer Updates'!$B$5:$B$704=A103),'Engineer Updates'!$L$5:$L$704),""))</x:f>
      </x:c>
      <x:c r="X103" s="170" t="str">
        <x:f>IF(A103="","",IF(C103="completed","Completed in CSSP",IF(AND(C103="executing",ISERROR(SEARCH("@",K103))),"Executing without named engineer",IF(AND(N103="Confirmed OOS",C103="executing"),"Confirmed OOS still executing",""))))</x:f>
      </x:c>
      <x:c r="Y103" s="170" t="str">
        <x:f>IF(A103="","",IF(B103="Decommissioning","Raw Decommissioning","Raw Provisioning"))</x:f>
        <x:v>Raw Decommissioning</x:v>
      </x:c>
      <x:c r="Z103" s="170" t="str">
        <x:f>IF(A103="","",IF(OR(C103="executing",C103="processing"),"Yes","No"))</x:f>
        <x:v>No</x:v>
      </x:c>
    </x:row>
    <x:row r="104">
      <x:c r="A104" s="170" t="str">
        <x:f>IF(ROWS($A$5:A104)&lt;=COUNTA('Raw Decommissioning'!$B$2:$B$1000),INDEX('Raw Decommissioning'!$B$2:$B$1000,ROWS($A$5:A104)),IF(ROWS($A$5:A104)-COUNTA('Raw Decommissioning'!$B$2:$B$1000)&lt;=COUNTA('Raw Provisioning'!$B$2:$B$1000),INDEX('Raw Provisioning'!$B$2:$B$1000,ROWS($A$5:A104)-COUNTA('Raw Decommissioning'!$B$2:$B$1000)),""))</x:f>
        <x:v>CSSP10957330</x:v>
      </x:c>
      <x:c r="B104" s="170" t="str">
        <x:f>IF(A104="","",IF(ROWS($A$5:A104)&lt;=COUNTA('Raw Decommissioning'!$B$2:$B$1000),"Decommissioning","Provisioning"))</x:f>
        <x:v>Decommissioning</x:v>
      </x:c>
      <x:c r="C104" s="170" t="str">
        <x:f>IF(A104="","",IF(B104="Decommissioning",IFERROR(INDEX('Raw Decommissioning'!$E$2:$E$1000,MATCH(A104,'Raw Decommissioning'!$B$2:$B$1000,0)),"Missing from latest raw"),IFERROR(INDEX('Raw Provisioning'!$E$2:$E$1000,MATCH(A104,'Raw Provisioning'!$B$2:$B$1000,0)),"Missing from latest raw")))</x:f>
        <x:v>rejected</x:v>
      </x:c>
      <x:c r="D104" s="171" t="n">
        <x:f>IF(A104="","",'Refresh Control'!$B$4)</x:f>
        <x:v>46254</x:v>
      </x:c>
      <x:c r="E104" s="171" t="n">
        <x:f>IF(A104="","",IF(B104="Decommissioning",INDEX('Raw Decommissioning'!$F$2:$F$1000,ROWS($A$5:A104)),INDEX('Raw Provisioning'!$F$2:$F$1000,ROWS($A$5:A104)-COUNTA('Raw Decommissioning'!$B$2:$B$1000))))</x:f>
        <x:v>46058.36844184028</x:v>
      </x:c>
      <x:c r="F104" s="171" t="n">
        <x:f>IF(A104="","",IF(B104="Decommissioning",INDEX('Raw Decommissioning'!$G$2:$G$1000,ROWS($A$5:A104)),INDEX('Raw Provisioning'!$H$2:$H$1000,ROWS($A$5:A104)-COUNTA('Raw Decommissioning'!$B$2:$B$1000))))</x:f>
        <x:v>46062.157018136575</x:v>
      </x:c>
      <x:c r="G104" s="170" t="str">
        <x:f>IF(A104="","",IF(B104="Decommissioning",INDEX('Raw Decommissioning'!$I$2:$I$1000,ROWS($A$5:A104)),INDEX('Raw Provisioning'!$J$2:$J$1000,ROWS($A$5:A104)-COUNTA('Raw Decommissioning'!$B$2:$B$1000))))</x:f>
        <x:v>Upstream Mobile Application</x:v>
      </x:c>
      <x:c r="H104" s="170" t="str">
        <x:f>IF(A104="","",IF(B104="Decommissioning",INDEX('Raw Decommissioning'!$J$2:$J$1000,ROWS($A$5:A104)),INDEX('Raw Provisioning'!$L$2:$L$1000,ROWS($A$5:A104)-COUNTA('Raw Decommissioning'!$B$2:$B$1000))))</x:f>
        <x:v>Provision of Hosting Services for UP Mobile for Upstream Digital, PCSB</x:v>
      </x:c>
      <x:c r="I104" s="170" t="str">
        <x:f>IF(A104="","",IF(B104="Decommissioning",INDEX('Raw Decommissioning'!$AL$2:$AL$1000,ROWS($A$5:A104)),INDEX('Raw Provisioning'!$R$2:$R$1000,ROWS($A$5:A104)-COUNTA('Raw Decommissioning'!$B$2:$B$1000))))</x:f>
      </x:c>
      <x:c r="J104" s="170" t="str">
        <x:f>IF(A104="","",IF(B104="Decommissioning",INDEX('Raw Decommissioning'!$AG$2:$AG$1000,ROWS($A$5:A104)),INDEX('Raw Provisioning'!$AI$2:$AI$1000,ROWS($A$5:A104)-COUNTA('Raw Decommissioning'!$B$2:$B$1000))))</x:f>
        <x:v>CCoE Operations</x:v>
      </x:c>
      <x:c r="K104" s="172" t="str">
        <x:f>IF(A104="","",IFERROR(LOOKUP(2,1/('Assignment History'!$B$5:$B$204=A104),'Assignment History'!$D$5:$D$204),IFERROR(VLOOKUP(J104,Configuration!$L$5:$M$50,2,FALSE),J104)))</x:f>
        <x:v>CCoE Operations</x:v>
      </x:c>
      <x:c r="L104" s="172" t="str">
        <x:f>IF(A104="","",IF(K104=IFERROR(VLOOKUP(J104,Configuration!$L$5:$M$50,2,FALSE),J104),"Snapshot PIC","Replacement PIC"))</x:f>
        <x:v>Snapshot PIC</x:v>
      </x:c>
      <x:c r="M104" s="172" t="n">
        <x:f>IF(A104="","",IFERROR(VLOOKUP(I104,Configuration!$O$5:$P$8,2,FALSE),Configuration!$S$6))</x:f>
        <x:v>2</x:v>
      </x:c>
      <x:c r="N104" s="172" t="str">
        <x:f>IF(A104="","",IFERROR(LOOKUP(2,1/('Scope Review'!$B$5:$B$204=A104),'Scope Review'!$G$5:$G$204),"Not Reviewed"))</x:f>
        <x:v>Not Reviewed</x:v>
      </x:c>
      <x:c r="O104" s="172" t="str">
        <x:f>IF(A104="","",IFERROR(LOOKUP(2,1/('Scope Review'!$B$5:$B$204=A104),'Scope Review'!$H$5:$H$204),""))</x:f>
      </x:c>
      <x:c r="P104" s="172" t="n">
        <x:f>IF(A104="","",IF(AND(C104="executing",N104&lt;&gt;"Confirmed OOS"),M104,0))</x:f>
        <x:v>0</x:v>
      </x:c>
      <x:c r="Q104" s="173" t="str">
        <x:f>IF(A104="","",IFERROR(LOOKUP(2,1/('Engineer Updates'!$B$5:$B$704=A104),'Engineer Updates'!$A$5:$A$704),""))</x:f>
      </x:c>
      <x:c r="R104" s="172" t="str">
        <x:f>IF(A104="","",IFERROR(LOOKUP(2,1/('Engineer Updates'!$B$5:$B$704=A104),'Engineer Updates'!$H$5:$H$704),""))</x:f>
      </x:c>
      <x:c r="S104" s="172" t="str">
        <x:f>IF(A104="","",IFERROR(LOOKUP(2,1/('Engineer Updates'!$B$5:$B$704=A104),'Engineer Updates'!$G$5:$G$704),""))</x:f>
      </x:c>
      <x:c r="T104" s="172" t="str">
        <x:f>IF(A104="","",IFERROR(LOOKUP(2,1/('Engineer Updates'!$B$5:$B$704=A104),'Engineer Updates'!$I$5:$I$704),""))</x:f>
      </x:c>
      <x:c r="U104" s="172" t="str">
        <x:f>IF(A104="","",IFERROR(LOOKUP(2,1/('Engineer Updates'!$B$5:$B$704=A104),'Engineer Updates'!$J$5:$J$704),""))</x:f>
      </x:c>
      <x:c r="V104" s="172" t="str">
        <x:f>IF(A104="","",IFERROR(LOOKUP(2,1/('Engineer Updates'!$B$5:$B$704=A104),'Engineer Updates'!$K$5:$K$704),""))</x:f>
      </x:c>
      <x:c r="W104" s="174" t="str">
        <x:f>IF(A104="","",IFERROR(LOOKUP(2,1/('Engineer Updates'!$B$5:$B$704=A104),'Engineer Updates'!$L$5:$L$704),""))</x:f>
      </x:c>
      <x:c r="X104" s="170" t="str">
        <x:f>IF(A104="","",IF(C104="completed","Completed in CSSP",IF(AND(C104="executing",ISERROR(SEARCH("@",K104))),"Executing without named engineer",IF(AND(N104="Confirmed OOS",C104="executing"),"Confirmed OOS still executing",""))))</x:f>
      </x:c>
      <x:c r="Y104" s="170" t="str">
        <x:f>IF(A104="","",IF(B104="Decommissioning","Raw Decommissioning","Raw Provisioning"))</x:f>
        <x:v>Raw Decommissioning</x:v>
      </x:c>
      <x:c r="Z104" s="170" t="str">
        <x:f>IF(A104="","",IF(OR(C104="executing",C104="processing"),"Yes","No"))</x:f>
        <x:v>No</x:v>
      </x:c>
    </x:row>
    <x:row r="105">
      <x:c r="A105" s="170" t="str">
        <x:f>IF(ROWS($A$5:A105)&lt;=COUNTA('Raw Decommissioning'!$B$2:$B$1000),INDEX('Raw Decommissioning'!$B$2:$B$1000,ROWS($A$5:A105)),IF(ROWS($A$5:A105)-COUNTA('Raw Decommissioning'!$B$2:$B$1000)&lt;=COUNTA('Raw Provisioning'!$B$2:$B$1000),INDEX('Raw Provisioning'!$B$2:$B$1000,ROWS($A$5:A105)-COUNTA('Raw Decommissioning'!$B$2:$B$1000)),""))</x:f>
        <x:v>CSSP10249306</x:v>
      </x:c>
      <x:c r="B105" s="170" t="str">
        <x:f>IF(A105="","",IF(ROWS($A$5:A105)&lt;=COUNTA('Raw Decommissioning'!$B$2:$B$1000),"Decommissioning","Provisioning"))</x:f>
        <x:v>Decommissioning</x:v>
      </x:c>
      <x:c r="C105" s="170" t="str">
        <x:f>IF(A105="","",IF(B105="Decommissioning",IFERROR(INDEX('Raw Decommissioning'!$E$2:$E$1000,MATCH(A105,'Raw Decommissioning'!$B$2:$B$1000,0)),"Missing from latest raw"),IFERROR(INDEX('Raw Provisioning'!$E$2:$E$1000,MATCH(A105,'Raw Provisioning'!$B$2:$B$1000,0)),"Missing from latest raw")))</x:f>
        <x:v>completed</x:v>
      </x:c>
      <x:c r="D105" s="171" t="n">
        <x:f>IF(A105="","",'Refresh Control'!$B$4)</x:f>
        <x:v>46254</x:v>
      </x:c>
      <x:c r="E105" s="171" t="n">
        <x:f>IF(A105="","",IF(B105="Decommissioning",INDEX('Raw Decommissioning'!$F$2:$F$1000,ROWS($A$5:A105)),INDEX('Raw Provisioning'!$F$2:$F$1000,ROWS($A$5:A105)-COUNTA('Raw Decommissioning'!$B$2:$B$1000))))</x:f>
        <x:v>46058.37582083333</x:v>
      </x:c>
      <x:c r="F105" s="171" t="n">
        <x:f>IF(A105="","",IF(B105="Decommissioning",INDEX('Raw Decommissioning'!$G$2:$G$1000,ROWS($A$5:A105)),INDEX('Raw Provisioning'!$H$2:$H$1000,ROWS($A$5:A105)-COUNTA('Raw Decommissioning'!$B$2:$B$1000))))</x:f>
        <x:v>46065.15117547454</x:v>
      </x:c>
      <x:c r="G105" s="170" t="str">
        <x:f>IF(A105="","",IF(B105="Decommissioning",INDEX('Raw Decommissioning'!$I$2:$I$1000,ROWS($A$5:A105)),INDEX('Raw Provisioning'!$J$2:$J$1000,ROWS($A$5:A105)-COUNTA('Raw Decommissioning'!$B$2:$B$1000))))</x:f>
        <x:v>Upstream Mobile Application</x:v>
      </x:c>
      <x:c r="H105" s="170" t="str">
        <x:f>IF(A105="","",IF(B105="Decommissioning",INDEX('Raw Decommissioning'!$J$2:$J$1000,ROWS($A$5:A105)),INDEX('Raw Provisioning'!$L$2:$L$1000,ROWS($A$5:A105)-COUNTA('Raw Decommissioning'!$B$2:$B$1000))))</x:f>
        <x:v>Provision of Production Environment (Microsoft Azure Cloud Services) Hosting for Upstream Mobile Application for Operational Excellence (OE), PCSB - PCSB Integrated Operations (IO) Up-Mobile Infrastructure (Mobile App) - Production</x:v>
      </x:c>
      <x:c r="I105" s="170" t="str">
        <x:f>IF(A105="","",IF(B105="Decommissioning",INDEX('Raw Decommissioning'!$AL$2:$AL$1000,ROWS($A$5:A105)),INDEX('Raw Provisioning'!$R$2:$R$1000,ROWS($A$5:A105)-COUNTA('Raw Decommissioning'!$B$2:$B$1000))))</x:f>
        <x:v>M</x:v>
      </x:c>
      <x:c r="J105" s="170" t="str">
        <x:f>IF(A105="","",IF(B105="Decommissioning",INDEX('Raw Decommissioning'!$AG$2:$AG$1000,ROWS($A$5:A105)),INDEX('Raw Provisioning'!$AI$2:$AI$1000,ROWS($A$5:A105)-COUNTA('Raw Decommissioning'!$B$2:$B$1000))))</x:f>
        <x:v>azlisham.md@petronas.com</x:v>
      </x:c>
      <x:c r="K105" s="172" t="str">
        <x:f>IF(A105="","",IFERROR(LOOKUP(2,1/('Assignment History'!$B$5:$B$204=A105),'Assignment History'!$D$5:$D$204),IFERROR(VLOOKUP(J105,Configuration!$L$5:$M$50,2,FALSE),J105)))</x:f>
        <x:v>azlisham.md@petronas.com</x:v>
      </x:c>
      <x:c r="L105" s="172" t="str">
        <x:f>IF(A105="","",IF(K105=IFERROR(VLOOKUP(J105,Configuration!$L$5:$M$50,2,FALSE),J105),"Snapshot PIC","Replacement PIC"))</x:f>
        <x:v>Snapshot PIC</x:v>
      </x:c>
      <x:c r="M105" s="172" t="n">
        <x:f>IF(A105="","",IFERROR(VLOOKUP(I105,Configuration!$O$5:$P$8,2,FALSE),Configuration!$S$6))</x:f>
        <x:v>2</x:v>
      </x:c>
      <x:c r="N105" s="172" t="str">
        <x:f>IF(A105="","",IFERROR(LOOKUP(2,1/('Scope Review'!$B$5:$B$204=A105),'Scope Review'!$G$5:$G$204),"Not Reviewed"))</x:f>
        <x:v>Not Reviewed</x:v>
      </x:c>
      <x:c r="O105" s="172" t="str">
        <x:f>IF(A105="","",IFERROR(LOOKUP(2,1/('Scope Review'!$B$5:$B$204=A105),'Scope Review'!$H$5:$H$204),""))</x:f>
      </x:c>
      <x:c r="P105" s="172" t="n">
        <x:f>IF(A105="","",IF(AND(C105="executing",N105&lt;&gt;"Confirmed OOS"),M105,0))</x:f>
        <x:v>0</x:v>
      </x:c>
      <x:c r="Q105" s="173" t="str">
        <x:f>IF(A105="","",IFERROR(LOOKUP(2,1/('Engineer Updates'!$B$5:$B$704=A105),'Engineer Updates'!$A$5:$A$704),""))</x:f>
      </x:c>
      <x:c r="R105" s="172" t="str">
        <x:f>IF(A105="","",IFERROR(LOOKUP(2,1/('Engineer Updates'!$B$5:$B$704=A105),'Engineer Updates'!$H$5:$H$704),""))</x:f>
      </x:c>
      <x:c r="S105" s="172" t="str">
        <x:f>IF(A105="","",IFERROR(LOOKUP(2,1/('Engineer Updates'!$B$5:$B$704=A105),'Engineer Updates'!$G$5:$G$704),""))</x:f>
      </x:c>
      <x:c r="T105" s="172" t="str">
        <x:f>IF(A105="","",IFERROR(LOOKUP(2,1/('Engineer Updates'!$B$5:$B$704=A105),'Engineer Updates'!$I$5:$I$704),""))</x:f>
      </x:c>
      <x:c r="U105" s="172" t="str">
        <x:f>IF(A105="","",IFERROR(LOOKUP(2,1/('Engineer Updates'!$B$5:$B$704=A105),'Engineer Updates'!$J$5:$J$704),""))</x:f>
      </x:c>
      <x:c r="V105" s="172" t="str">
        <x:f>IF(A105="","",IFERROR(LOOKUP(2,1/('Engineer Updates'!$B$5:$B$704=A105),'Engineer Updates'!$K$5:$K$704),""))</x:f>
      </x:c>
      <x:c r="W105" s="174" t="str">
        <x:f>IF(A105="","",IFERROR(LOOKUP(2,1/('Engineer Updates'!$B$5:$B$704=A105),'Engineer Updates'!$L$5:$L$704),""))</x:f>
      </x:c>
      <x:c r="X105" s="170" t="str">
        <x:f>IF(A105="","",IF(C105="completed","Completed in CSSP",IF(AND(C105="executing",ISERROR(SEARCH("@",K105))),"Executing without named engineer",IF(AND(N105="Confirmed OOS",C105="executing"),"Confirmed OOS still executing",""))))</x:f>
        <x:v>Completed in CSSP</x:v>
      </x:c>
      <x:c r="Y105" s="170" t="str">
        <x:f>IF(A105="","",IF(B105="Decommissioning","Raw Decommissioning","Raw Provisioning"))</x:f>
        <x:v>Raw Decommissioning</x:v>
      </x:c>
      <x:c r="Z105" s="170" t="str">
        <x:f>IF(A105="","",IF(OR(C105="executing",C105="processing"),"Yes","No"))</x:f>
        <x:v>No</x:v>
      </x:c>
    </x:row>
    <x:row r="106">
      <x:c r="A106" s="170" t="str">
        <x:f>IF(ROWS($A$5:A106)&lt;=COUNTA('Raw Decommissioning'!$B$2:$B$1000),INDEX('Raw Decommissioning'!$B$2:$B$1000,ROWS($A$5:A106)),IF(ROWS($A$5:A106)-COUNTA('Raw Decommissioning'!$B$2:$B$1000)&lt;=COUNTA('Raw Provisioning'!$B$2:$B$1000),INDEX('Raw Provisioning'!$B$2:$B$1000,ROWS($A$5:A106)-COUNTA('Raw Decommissioning'!$B$2:$B$1000)),""))</x:f>
        <x:v>CSSP10921166</x:v>
      </x:c>
      <x:c r="B106" s="170" t="str">
        <x:f>IF(A106="","",IF(ROWS($A$5:A106)&lt;=COUNTA('Raw Decommissioning'!$B$2:$B$1000),"Decommissioning","Provisioning"))</x:f>
        <x:v>Decommissioning</x:v>
      </x:c>
      <x:c r="C106" s="170" t="str">
        <x:f>IF(A106="","",IF(B106="Decommissioning",IFERROR(INDEX('Raw Decommissioning'!$E$2:$E$1000,MATCH(A106,'Raw Decommissioning'!$B$2:$B$1000,0)),"Missing from latest raw"),IFERROR(INDEX('Raw Provisioning'!$E$2:$E$1000,MATCH(A106,'Raw Provisioning'!$B$2:$B$1000,0)),"Missing from latest raw")))</x:f>
        <x:v>completed</x:v>
      </x:c>
      <x:c r="D106" s="171" t="n">
        <x:f>IF(A106="","",'Refresh Control'!$B$4)</x:f>
        <x:v>46254</x:v>
      </x:c>
      <x:c r="E106" s="171" t="n">
        <x:f>IF(A106="","",IF(B106="Decommissioning",INDEX('Raw Decommissioning'!$F$2:$F$1000,ROWS($A$5:A106)),INDEX('Raw Provisioning'!$F$2:$F$1000,ROWS($A$5:A106)-COUNTA('Raw Decommissioning'!$B$2:$B$1000))))</x:f>
        <x:v>46059.55295952546</x:v>
      </x:c>
      <x:c r="F106" s="171" t="n">
        <x:f>IF(A106="","",IF(B106="Decommissioning",INDEX('Raw Decommissioning'!$G$2:$G$1000,ROWS($A$5:A106)),INDEX('Raw Provisioning'!$H$2:$H$1000,ROWS($A$5:A106)-COUNTA('Raw Decommissioning'!$B$2:$B$1000))))</x:f>
        <x:v>46065.131144074076</x:v>
      </x:c>
      <x:c r="G106" s="170" t="str">
        <x:f>IF(A106="","",IF(B106="Decommissioning",INDEX('Raw Decommissioning'!$I$2:$I$1000,ROWS($A$5:A106)),INDEX('Raw Provisioning'!$J$2:$J$1000,ROWS($A$5:A106)-COUNTA('Raw Decommissioning'!$B$2:$B$1000))))</x:f>
        <x:v>GPU Technical Centre (GTC) and Barrier Management Tools</x:v>
      </x:c>
      <x:c r="H106" s="170" t="str">
        <x:f>IF(A106="","",IF(B106="Decommissioning",INDEX('Raw Decommissioning'!$J$2:$J$1000,ROWS($A$5:A106)),INDEX('Raw Provisioning'!$L$2:$L$1000,ROWS($A$5:A106)-COUNTA('Raw Decommissioning'!$B$2:$B$1000))))</x:f>
        <x:v>GPU Technical Centre (GTC) and Barrier Management Tools</x:v>
      </x:c>
      <x:c r="I106" s="170" t="str">
        <x:f>IF(A106="","",IF(B106="Decommissioning",INDEX('Raw Decommissioning'!$AL$2:$AL$1000,ROWS($A$5:A106)),INDEX('Raw Provisioning'!$R$2:$R$1000,ROWS($A$5:A106)-COUNTA('Raw Decommissioning'!$B$2:$B$1000))))</x:f>
        <x:v>L</x:v>
      </x:c>
      <x:c r="J106" s="170" t="str">
        <x:f>IF(A106="","",IF(B106="Decommissioning",INDEX('Raw Decommissioning'!$AG$2:$AG$1000,ROWS($A$5:A106)),INDEX('Raw Provisioning'!$AI$2:$AI$1000,ROWS($A$5:A106)-COUNTA('Raw Decommissioning'!$B$2:$B$1000))))</x:f>
        <x:v>azlisham.md@petronas.com</x:v>
      </x:c>
      <x:c r="K106" s="172" t="str">
        <x:f>IF(A106="","",IFERROR(LOOKUP(2,1/('Assignment History'!$B$5:$B$204=A106),'Assignment History'!$D$5:$D$204),IFERROR(VLOOKUP(J106,Configuration!$L$5:$M$50,2,FALSE),J106)))</x:f>
        <x:v>azlisham.md@petronas.com</x:v>
      </x:c>
      <x:c r="L106" s="172" t="str">
        <x:f>IF(A106="","",IF(K106=IFERROR(VLOOKUP(J106,Configuration!$L$5:$M$50,2,FALSE),J106),"Snapshot PIC","Replacement PIC"))</x:f>
        <x:v>Snapshot PIC</x:v>
      </x:c>
      <x:c r="M106" s="172" t="n">
        <x:f>IF(A106="","",IFERROR(VLOOKUP(I106,Configuration!$O$5:$P$8,2,FALSE),Configuration!$S$6))</x:f>
        <x:v>3</x:v>
      </x:c>
      <x:c r="N106" s="172" t="str">
        <x:f>IF(A106="","",IFERROR(LOOKUP(2,1/('Scope Review'!$B$5:$B$204=A106),'Scope Review'!$G$5:$G$204),"Not Reviewed"))</x:f>
        <x:v>Not Reviewed</x:v>
      </x:c>
      <x:c r="O106" s="172" t="str">
        <x:f>IF(A106="","",IFERROR(LOOKUP(2,1/('Scope Review'!$B$5:$B$204=A106),'Scope Review'!$H$5:$H$204),""))</x:f>
      </x:c>
      <x:c r="P106" s="172" t="n">
        <x:f>IF(A106="","",IF(AND(C106="executing",N106&lt;&gt;"Confirmed OOS"),M106,0))</x:f>
        <x:v>0</x:v>
      </x:c>
      <x:c r="Q106" s="173" t="str">
        <x:f>IF(A106="","",IFERROR(LOOKUP(2,1/('Engineer Updates'!$B$5:$B$704=A106),'Engineer Updates'!$A$5:$A$704),""))</x:f>
      </x:c>
      <x:c r="R106" s="172" t="str">
        <x:f>IF(A106="","",IFERROR(LOOKUP(2,1/('Engineer Updates'!$B$5:$B$704=A106),'Engineer Updates'!$H$5:$H$704),""))</x:f>
      </x:c>
      <x:c r="S106" s="172" t="str">
        <x:f>IF(A106="","",IFERROR(LOOKUP(2,1/('Engineer Updates'!$B$5:$B$704=A106),'Engineer Updates'!$G$5:$G$704),""))</x:f>
      </x:c>
      <x:c r="T106" s="172" t="str">
        <x:f>IF(A106="","",IFERROR(LOOKUP(2,1/('Engineer Updates'!$B$5:$B$704=A106),'Engineer Updates'!$I$5:$I$704),""))</x:f>
      </x:c>
      <x:c r="U106" s="172" t="str">
        <x:f>IF(A106="","",IFERROR(LOOKUP(2,1/('Engineer Updates'!$B$5:$B$704=A106),'Engineer Updates'!$J$5:$J$704),""))</x:f>
      </x:c>
      <x:c r="V106" s="172" t="str">
        <x:f>IF(A106="","",IFERROR(LOOKUP(2,1/('Engineer Updates'!$B$5:$B$704=A106),'Engineer Updates'!$K$5:$K$704),""))</x:f>
      </x:c>
      <x:c r="W106" s="174" t="str">
        <x:f>IF(A106="","",IFERROR(LOOKUP(2,1/('Engineer Updates'!$B$5:$B$704=A106),'Engineer Updates'!$L$5:$L$704),""))</x:f>
      </x:c>
      <x:c r="X106" s="170" t="str">
        <x:f>IF(A106="","",IF(C106="completed","Completed in CSSP",IF(AND(C106="executing",ISERROR(SEARCH("@",K106))),"Executing without named engineer",IF(AND(N106="Confirmed OOS",C106="executing"),"Confirmed OOS still executing",""))))</x:f>
        <x:v>Completed in CSSP</x:v>
      </x:c>
      <x:c r="Y106" s="170" t="str">
        <x:f>IF(A106="","",IF(B106="Decommissioning","Raw Decommissioning","Raw Provisioning"))</x:f>
        <x:v>Raw Decommissioning</x:v>
      </x:c>
      <x:c r="Z106" s="170" t="str">
        <x:f>IF(A106="","",IF(OR(C106="executing",C106="processing"),"Yes","No"))</x:f>
        <x:v>No</x:v>
      </x:c>
    </x:row>
    <x:row r="107">
      <x:c r="A107" s="170" t="str">
        <x:f>IF(ROWS($A$5:A107)&lt;=COUNTA('Raw Decommissioning'!$B$2:$B$1000),INDEX('Raw Decommissioning'!$B$2:$B$1000,ROWS($A$5:A107)),IF(ROWS($A$5:A107)-COUNTA('Raw Decommissioning'!$B$2:$B$1000)&lt;=COUNTA('Raw Provisioning'!$B$2:$B$1000),INDEX('Raw Provisioning'!$B$2:$B$1000,ROWS($A$5:A107)-COUNTA('Raw Decommissioning'!$B$2:$B$1000)),""))</x:f>
        <x:v>CSSP10827404</x:v>
      </x:c>
      <x:c r="B107" s="170" t="str">
        <x:f>IF(A107="","",IF(ROWS($A$5:A107)&lt;=COUNTA('Raw Decommissioning'!$B$2:$B$1000),"Decommissioning","Provisioning"))</x:f>
        <x:v>Decommissioning</x:v>
      </x:c>
      <x:c r="C107" s="170" t="str">
        <x:f>IF(A107="","",IF(B107="Decommissioning",IFERROR(INDEX('Raw Decommissioning'!$E$2:$E$1000,MATCH(A107,'Raw Decommissioning'!$B$2:$B$1000,0)),"Missing from latest raw"),IFERROR(INDEX('Raw Provisioning'!$E$2:$E$1000,MATCH(A107,'Raw Provisioning'!$B$2:$B$1000,0)),"Missing from latest raw")))</x:f>
        <x:v>completed</x:v>
      </x:c>
      <x:c r="D107" s="171" t="n">
        <x:f>IF(A107="","",'Refresh Control'!$B$4)</x:f>
        <x:v>46254</x:v>
      </x:c>
      <x:c r="E107" s="171" t="n">
        <x:f>IF(A107="","",IF(B107="Decommissioning",INDEX('Raw Decommissioning'!$F$2:$F$1000,ROWS($A$5:A107)),INDEX('Raw Provisioning'!$F$2:$F$1000,ROWS($A$5:A107)-COUNTA('Raw Decommissioning'!$B$2:$B$1000))))</x:f>
        <x:v>46062.04841793981</x:v>
      </x:c>
      <x:c r="F107" s="171" t="n">
        <x:f>IF(A107="","",IF(B107="Decommissioning",INDEX('Raw Decommissioning'!$G$2:$G$1000,ROWS($A$5:A107)),INDEX('Raw Provisioning'!$H$2:$H$1000,ROWS($A$5:A107)-COUNTA('Raw Decommissioning'!$B$2:$B$1000))))</x:f>
        <x:v>46069.36041013889</x:v>
      </x:c>
      <x:c r="G107" s="170" t="str">
        <x:f>IF(A107="","",IF(B107="Decommissioning",INDEX('Raw Decommissioning'!$I$2:$I$1000,ROWS($A$5:A107)),INDEX('Raw Provisioning'!$J$2:$J$1000,ROWS($A$5:A107)-COUNTA('Raw Decommissioning'!$B$2:$B$1000))))</x:f>
        <x:v>Wells DROID</x:v>
      </x:c>
      <x:c r="H107" s="170" t="str">
        <x:f>IF(A107="","",IF(B107="Decommissioning",INDEX('Raw Decommissioning'!$J$2:$J$1000,ROWS($A$5:A107)),INDEX('Raw Provisioning'!$L$2:$L$1000,ROWS($A$5:A107)-COUNTA('Raw Decommissioning'!$B$2:$B$1000))))</x:f>
        <x:v>Cloud Migration - Wells Droid 2.0</x:v>
      </x:c>
      <x:c r="I107" s="170" t="str">
        <x:f>IF(A107="","",IF(B107="Decommissioning",INDEX('Raw Decommissioning'!$AL$2:$AL$1000,ROWS($A$5:A107)),INDEX('Raw Provisioning'!$R$2:$R$1000,ROWS($A$5:A107)-COUNTA('Raw Decommissioning'!$B$2:$B$1000))))</x:f>
        <x:v>M</x:v>
      </x:c>
      <x:c r="J107" s="170" t="str">
        <x:f>IF(A107="","",IF(B107="Decommissioning",INDEX('Raw Decommissioning'!$AG$2:$AG$1000,ROWS($A$5:A107)),INDEX('Raw Provisioning'!$AI$2:$AI$1000,ROWS($A$5:A107)-COUNTA('Raw Decommissioning'!$B$2:$B$1000))))</x:f>
        <x:v>azwan.badari@petronas.com</x:v>
      </x:c>
      <x:c r="K107" s="172" t="str">
        <x:f>IF(A107="","",IFERROR(LOOKUP(2,1/('Assignment History'!$B$5:$B$204=A107),'Assignment History'!$D$5:$D$204),IFERROR(VLOOKUP(J107,Configuration!$L$5:$M$50,2,FALSE),J107)))</x:f>
        <x:v>azwan.badari@petronas.com</x:v>
      </x:c>
      <x:c r="L107" s="172" t="str">
        <x:f>IF(A107="","",IF(K107=IFERROR(VLOOKUP(J107,Configuration!$L$5:$M$50,2,FALSE),J107),"Snapshot PIC","Replacement PIC"))</x:f>
        <x:v>Snapshot PIC</x:v>
      </x:c>
      <x:c r="M107" s="172" t="n">
        <x:f>IF(A107="","",IFERROR(VLOOKUP(I107,Configuration!$O$5:$P$8,2,FALSE),Configuration!$S$6))</x:f>
        <x:v>2</x:v>
      </x:c>
      <x:c r="N107" s="172" t="str">
        <x:f>IF(A107="","",IFERROR(LOOKUP(2,1/('Scope Review'!$B$5:$B$204=A107),'Scope Review'!$G$5:$G$204),"Not Reviewed"))</x:f>
        <x:v>Not Reviewed</x:v>
      </x:c>
      <x:c r="O107" s="172" t="str">
        <x:f>IF(A107="","",IFERROR(LOOKUP(2,1/('Scope Review'!$B$5:$B$204=A107),'Scope Review'!$H$5:$H$204),""))</x:f>
      </x:c>
      <x:c r="P107" s="172" t="n">
        <x:f>IF(A107="","",IF(AND(C107="executing",N107&lt;&gt;"Confirmed OOS"),M107,0))</x:f>
        <x:v>0</x:v>
      </x:c>
      <x:c r="Q107" s="173" t="str">
        <x:f>IF(A107="","",IFERROR(LOOKUP(2,1/('Engineer Updates'!$B$5:$B$704=A107),'Engineer Updates'!$A$5:$A$704),""))</x:f>
      </x:c>
      <x:c r="R107" s="172" t="str">
        <x:f>IF(A107="","",IFERROR(LOOKUP(2,1/('Engineer Updates'!$B$5:$B$704=A107),'Engineer Updates'!$H$5:$H$704),""))</x:f>
      </x:c>
      <x:c r="S107" s="172" t="str">
        <x:f>IF(A107="","",IFERROR(LOOKUP(2,1/('Engineer Updates'!$B$5:$B$704=A107),'Engineer Updates'!$G$5:$G$704),""))</x:f>
      </x:c>
      <x:c r="T107" s="172" t="str">
        <x:f>IF(A107="","",IFERROR(LOOKUP(2,1/('Engineer Updates'!$B$5:$B$704=A107),'Engineer Updates'!$I$5:$I$704),""))</x:f>
      </x:c>
      <x:c r="U107" s="172" t="str">
        <x:f>IF(A107="","",IFERROR(LOOKUP(2,1/('Engineer Updates'!$B$5:$B$704=A107),'Engineer Updates'!$J$5:$J$704),""))</x:f>
      </x:c>
      <x:c r="V107" s="172" t="str">
        <x:f>IF(A107="","",IFERROR(LOOKUP(2,1/('Engineer Updates'!$B$5:$B$704=A107),'Engineer Updates'!$K$5:$K$704),""))</x:f>
      </x:c>
      <x:c r="W107" s="174" t="str">
        <x:f>IF(A107="","",IFERROR(LOOKUP(2,1/('Engineer Updates'!$B$5:$B$704=A107),'Engineer Updates'!$L$5:$L$704),""))</x:f>
      </x:c>
      <x:c r="X107" s="170" t="str">
        <x:f>IF(A107="","",IF(C107="completed","Completed in CSSP",IF(AND(C107="executing",ISERROR(SEARCH("@",K107))),"Executing without named engineer",IF(AND(N107="Confirmed OOS",C107="executing"),"Confirmed OOS still executing",""))))</x:f>
        <x:v>Completed in CSSP</x:v>
      </x:c>
      <x:c r="Y107" s="170" t="str">
        <x:f>IF(A107="","",IF(B107="Decommissioning","Raw Decommissioning","Raw Provisioning"))</x:f>
        <x:v>Raw Decommissioning</x:v>
      </x:c>
      <x:c r="Z107" s="170" t="str">
        <x:f>IF(A107="","",IF(OR(C107="executing",C107="processing"),"Yes","No"))</x:f>
        <x:v>No</x:v>
      </x:c>
    </x:row>
    <x:row r="108">
      <x:c r="A108" s="170" t="str">
        <x:f>IF(ROWS($A$5:A108)&lt;=COUNTA('Raw Decommissioning'!$B$2:$B$1000),INDEX('Raw Decommissioning'!$B$2:$B$1000,ROWS($A$5:A108)),IF(ROWS($A$5:A108)-COUNTA('Raw Decommissioning'!$B$2:$B$1000)&lt;=COUNTA('Raw Provisioning'!$B$2:$B$1000),INDEX('Raw Provisioning'!$B$2:$B$1000,ROWS($A$5:A108)-COUNTA('Raw Decommissioning'!$B$2:$B$1000)),""))</x:f>
        <x:v>CSSP10431237</x:v>
      </x:c>
      <x:c r="B108" s="170" t="str">
        <x:f>IF(A108="","",IF(ROWS($A$5:A108)&lt;=COUNTA('Raw Decommissioning'!$B$2:$B$1000),"Decommissioning","Provisioning"))</x:f>
        <x:v>Decommissioning</x:v>
      </x:c>
      <x:c r="C108" s="170" t="str">
        <x:f>IF(A108="","",IF(B108="Decommissioning",IFERROR(INDEX('Raw Decommissioning'!$E$2:$E$1000,MATCH(A108,'Raw Decommissioning'!$B$2:$B$1000,0)),"Missing from latest raw"),IFERROR(INDEX('Raw Provisioning'!$E$2:$E$1000,MATCH(A108,'Raw Provisioning'!$B$2:$B$1000,0)),"Missing from latest raw")))</x:f>
        <x:v>completed</x:v>
      </x:c>
      <x:c r="D108" s="171" t="n">
        <x:f>IF(A108="","",'Refresh Control'!$B$4)</x:f>
        <x:v>46254</x:v>
      </x:c>
      <x:c r="E108" s="171" t="n">
        <x:f>IF(A108="","",IF(B108="Decommissioning",INDEX('Raw Decommissioning'!$F$2:$F$1000,ROWS($A$5:A108)),INDEX('Raw Provisioning'!$F$2:$F$1000,ROWS($A$5:A108)-COUNTA('Raw Decommissioning'!$B$2:$B$1000))))</x:f>
        <x:v>46062.086416736114</x:v>
      </x:c>
      <x:c r="F108" s="171" t="n">
        <x:f>IF(A108="","",IF(B108="Decommissioning",INDEX('Raw Decommissioning'!$G$2:$G$1000,ROWS($A$5:A108)),INDEX('Raw Provisioning'!$H$2:$H$1000,ROWS($A$5:A108)-COUNTA('Raw Decommissioning'!$B$2:$B$1000))))</x:f>
        <x:v>46069.36910383102</x:v>
      </x:c>
      <x:c r="G108" s="170" t="str">
        <x:f>IF(A108="","",IF(B108="Decommissioning",INDEX('Raw Decommissioning'!$I$2:$I$1000,ROWS($A$5:A108)),INDEX('Raw Provisioning'!$J$2:$J$1000,ROWS($A$5:A108)-COUNTA('Raw Decommissioning'!$B$2:$B$1000))))</x:f>
        <x:v>Quality Practitioner Registration Scheme - QPRS</x:v>
      </x:c>
      <x:c r="H108" s="170" t="str">
        <x:f>IF(A108="","",IF(B108="Decommissioning",INDEX('Raw Decommissioning'!$J$2:$J$1000,ROWS($A$5:A108)),INDEX('Raw Provisioning'!$L$2:$L$1000,ROWS($A$5:A108)-COUNTA('Raw Decommissioning'!$B$2:$B$1000))))</x:f>
        <x:v>[PMOF] Development of Quality Practitioner Registration Scheme (QPRS) for GPD</x:v>
      </x:c>
      <x:c r="I108" s="170" t="str">
        <x:f>IF(A108="","",IF(B108="Decommissioning",INDEX('Raw Decommissioning'!$AL$2:$AL$1000,ROWS($A$5:A108)),INDEX('Raw Provisioning'!$R$2:$R$1000,ROWS($A$5:A108)-COUNTA('Raw Decommissioning'!$B$2:$B$1000))))</x:f>
        <x:v>M</x:v>
      </x:c>
      <x:c r="J108" s="170" t="str">
        <x:f>IF(A108="","",IF(B108="Decommissioning",INDEX('Raw Decommissioning'!$AG$2:$AG$1000,ROWS($A$5:A108)),INDEX('Raw Provisioning'!$AI$2:$AI$1000,ROWS($A$5:A108)-COUNTA('Raw Decommissioning'!$B$2:$B$1000))))</x:f>
        <x:v>azwan.badari@petronas.com</x:v>
      </x:c>
      <x:c r="K108" s="172" t="str">
        <x:f>IF(A108="","",IFERROR(LOOKUP(2,1/('Assignment History'!$B$5:$B$204=A108),'Assignment History'!$D$5:$D$204),IFERROR(VLOOKUP(J108,Configuration!$L$5:$M$50,2,FALSE),J108)))</x:f>
        <x:v>azwan.badari@petronas.com</x:v>
      </x:c>
      <x:c r="L108" s="172" t="str">
        <x:f>IF(A108="","",IF(K108=IFERROR(VLOOKUP(J108,Configuration!$L$5:$M$50,2,FALSE),J108),"Snapshot PIC","Replacement PIC"))</x:f>
        <x:v>Snapshot PIC</x:v>
      </x:c>
      <x:c r="M108" s="172" t="n">
        <x:f>IF(A108="","",IFERROR(VLOOKUP(I108,Configuration!$O$5:$P$8,2,FALSE),Configuration!$S$6))</x:f>
        <x:v>2</x:v>
      </x:c>
      <x:c r="N108" s="172" t="str">
        <x:f>IF(A108="","",IFERROR(LOOKUP(2,1/('Scope Review'!$B$5:$B$204=A108),'Scope Review'!$G$5:$G$204),"Not Reviewed"))</x:f>
        <x:v>Not Reviewed</x:v>
      </x:c>
      <x:c r="O108" s="172" t="str">
        <x:f>IF(A108="","",IFERROR(LOOKUP(2,1/('Scope Review'!$B$5:$B$204=A108),'Scope Review'!$H$5:$H$204),""))</x:f>
      </x:c>
      <x:c r="P108" s="172" t="n">
        <x:f>IF(A108="","",IF(AND(C108="executing",N108&lt;&gt;"Confirmed OOS"),M108,0))</x:f>
        <x:v>0</x:v>
      </x:c>
      <x:c r="Q108" s="173" t="str">
        <x:f>IF(A108="","",IFERROR(LOOKUP(2,1/('Engineer Updates'!$B$5:$B$704=A108),'Engineer Updates'!$A$5:$A$704),""))</x:f>
      </x:c>
      <x:c r="R108" s="172" t="str">
        <x:f>IF(A108="","",IFERROR(LOOKUP(2,1/('Engineer Updates'!$B$5:$B$704=A108),'Engineer Updates'!$H$5:$H$704),""))</x:f>
      </x:c>
      <x:c r="S108" s="172" t="str">
        <x:f>IF(A108="","",IFERROR(LOOKUP(2,1/('Engineer Updates'!$B$5:$B$704=A108),'Engineer Updates'!$G$5:$G$704),""))</x:f>
      </x:c>
      <x:c r="T108" s="172" t="str">
        <x:f>IF(A108="","",IFERROR(LOOKUP(2,1/('Engineer Updates'!$B$5:$B$704=A108),'Engineer Updates'!$I$5:$I$704),""))</x:f>
      </x:c>
      <x:c r="U108" s="172" t="str">
        <x:f>IF(A108="","",IFERROR(LOOKUP(2,1/('Engineer Updates'!$B$5:$B$704=A108),'Engineer Updates'!$J$5:$J$704),""))</x:f>
      </x:c>
      <x:c r="V108" s="172" t="str">
        <x:f>IF(A108="","",IFERROR(LOOKUP(2,1/('Engineer Updates'!$B$5:$B$704=A108),'Engineer Updates'!$K$5:$K$704),""))</x:f>
      </x:c>
      <x:c r="W108" s="174" t="str">
        <x:f>IF(A108="","",IFERROR(LOOKUP(2,1/('Engineer Updates'!$B$5:$B$704=A108),'Engineer Updates'!$L$5:$L$704),""))</x:f>
      </x:c>
      <x:c r="X108" s="170" t="str">
        <x:f>IF(A108="","",IF(C108="completed","Completed in CSSP",IF(AND(C108="executing",ISERROR(SEARCH("@",K108))),"Executing without named engineer",IF(AND(N108="Confirmed OOS",C108="executing"),"Confirmed OOS still executing",""))))</x:f>
        <x:v>Completed in CSSP</x:v>
      </x:c>
      <x:c r="Y108" s="170" t="str">
        <x:f>IF(A108="","",IF(B108="Decommissioning","Raw Decommissioning","Raw Provisioning"))</x:f>
        <x:v>Raw Decommissioning</x:v>
      </x:c>
      <x:c r="Z108" s="170" t="str">
        <x:f>IF(A108="","",IF(OR(C108="executing",C108="processing"),"Yes","No"))</x:f>
        <x:v>No</x:v>
      </x:c>
    </x:row>
    <x:row r="109">
      <x:c r="A109" s="170" t="str">
        <x:f>IF(ROWS($A$5:A109)&lt;=COUNTA('Raw Decommissioning'!$B$2:$B$1000),INDEX('Raw Decommissioning'!$B$2:$B$1000,ROWS($A$5:A109)),IF(ROWS($A$5:A109)-COUNTA('Raw Decommissioning'!$B$2:$B$1000)&lt;=COUNTA('Raw Provisioning'!$B$2:$B$1000),INDEX('Raw Provisioning'!$B$2:$B$1000,ROWS($A$5:A109)-COUNTA('Raw Decommissioning'!$B$2:$B$1000)),""))</x:f>
        <x:v>CSSP10192804</x:v>
      </x:c>
      <x:c r="B109" s="170" t="str">
        <x:f>IF(A109="","",IF(ROWS($A$5:A109)&lt;=COUNTA('Raw Decommissioning'!$B$2:$B$1000),"Decommissioning","Provisioning"))</x:f>
        <x:v>Decommissioning</x:v>
      </x:c>
      <x:c r="C109" s="170" t="str">
        <x:f>IF(A109="","",IF(B109="Decommissioning",IFERROR(INDEX('Raw Decommissioning'!$E$2:$E$1000,MATCH(A109,'Raw Decommissioning'!$B$2:$B$1000,0)),"Missing from latest raw"),IFERROR(INDEX('Raw Provisioning'!$E$2:$E$1000,MATCH(A109,'Raw Provisioning'!$B$2:$B$1000,0)),"Missing from latest raw")))</x:f>
        <x:v>completed</x:v>
      </x:c>
      <x:c r="D109" s="171" t="n">
        <x:f>IF(A109="","",'Refresh Control'!$B$4)</x:f>
        <x:v>46254</x:v>
      </x:c>
      <x:c r="E109" s="171" t="n">
        <x:f>IF(A109="","",IF(B109="Decommissioning",INDEX('Raw Decommissioning'!$F$2:$F$1000,ROWS($A$5:A109)),INDEX('Raw Provisioning'!$F$2:$F$1000,ROWS($A$5:A109)-COUNTA('Raw Decommissioning'!$B$2:$B$1000))))</x:f>
        <x:v>46062.41405493055</x:v>
      </x:c>
      <x:c r="F109" s="171" t="n">
        <x:f>IF(A109="","",IF(B109="Decommissioning",INDEX('Raw Decommissioning'!$G$2:$G$1000,ROWS($A$5:A109)),INDEX('Raw Provisioning'!$H$2:$H$1000,ROWS($A$5:A109)-COUNTA('Raw Decommissioning'!$B$2:$B$1000))))</x:f>
        <x:v>46076.093769722225</x:v>
      </x:c>
      <x:c r="G109" s="170" t="str">
        <x:f>IF(A109="","",IF(B109="Decommissioning",INDEX('Raw Decommissioning'!$I$2:$I$1000,ROWS($A$5:A109)),INDEX('Raw Provisioning'!$J$2:$J$1000,ROWS($A$5:A109)-COUNTA('Raw Decommissioning'!$B$2:$B$1000))))</x:f>
        <x:v>Daily Staff Self Check-In</x:v>
      </x:c>
      <x:c r="H109" s="170" t="str">
        <x:f>IF(A109="","",IF(B109="Decommissioning",INDEX('Raw Decommissioning'!$J$2:$J$1000,ROWS($A$5:A109)),INDEX('Raw Provisioning'!$L$2:$L$1000,ROWS($A$5:A109)-COUNTA('Raw Decommissioning'!$B$2:$B$1000))))</x:f>
        <x:v>Implementation of Daily Staff Self Check-in Function for PD&amp;T</x:v>
      </x:c>
      <x:c r="I109" s="170" t="str">
        <x:f>IF(A109="","",IF(B109="Decommissioning",INDEX('Raw Decommissioning'!$AL$2:$AL$1000,ROWS($A$5:A109)),INDEX('Raw Provisioning'!$R$2:$R$1000,ROWS($A$5:A109)-COUNTA('Raw Decommissioning'!$B$2:$B$1000))))</x:f>
        <x:v>M</x:v>
      </x:c>
      <x:c r="J109" s="170" t="str">
        <x:f>IF(A109="","",IF(B109="Decommissioning",INDEX('Raw Decommissioning'!$AG$2:$AG$1000,ROWS($A$5:A109)),INDEX('Raw Provisioning'!$AI$2:$AI$1000,ROWS($A$5:A109)-COUNTA('Raw Decommissioning'!$B$2:$B$1000))))</x:f>
        <x:v>azlisham.md@petronas.com</x:v>
      </x:c>
      <x:c r="K109" s="172" t="str">
        <x:f>IF(A109="","",IFERROR(LOOKUP(2,1/('Assignment History'!$B$5:$B$204=A109),'Assignment History'!$D$5:$D$204),IFERROR(VLOOKUP(J109,Configuration!$L$5:$M$50,2,FALSE),J109)))</x:f>
        <x:v>azlisham.md@petronas.com</x:v>
      </x:c>
      <x:c r="L109" s="172" t="str">
        <x:f>IF(A109="","",IF(K109=IFERROR(VLOOKUP(J109,Configuration!$L$5:$M$50,2,FALSE),J109),"Snapshot PIC","Replacement PIC"))</x:f>
        <x:v>Snapshot PIC</x:v>
      </x:c>
      <x:c r="M109" s="172" t="n">
        <x:f>IF(A109="","",IFERROR(VLOOKUP(I109,Configuration!$O$5:$P$8,2,FALSE),Configuration!$S$6))</x:f>
        <x:v>2</x:v>
      </x:c>
      <x:c r="N109" s="172" t="str">
        <x:f>IF(A109="","",IFERROR(LOOKUP(2,1/('Scope Review'!$B$5:$B$204=A109),'Scope Review'!$G$5:$G$204),"Not Reviewed"))</x:f>
        <x:v>Not Reviewed</x:v>
      </x:c>
      <x:c r="O109" s="172" t="str">
        <x:f>IF(A109="","",IFERROR(LOOKUP(2,1/('Scope Review'!$B$5:$B$204=A109),'Scope Review'!$H$5:$H$204),""))</x:f>
      </x:c>
      <x:c r="P109" s="172" t="n">
        <x:f>IF(A109="","",IF(AND(C109="executing",N109&lt;&gt;"Confirmed OOS"),M109,0))</x:f>
        <x:v>0</x:v>
      </x:c>
      <x:c r="Q109" s="173" t="str">
        <x:f>IF(A109="","",IFERROR(LOOKUP(2,1/('Engineer Updates'!$B$5:$B$704=A109),'Engineer Updates'!$A$5:$A$704),""))</x:f>
      </x:c>
      <x:c r="R109" s="172" t="str">
        <x:f>IF(A109="","",IFERROR(LOOKUP(2,1/('Engineer Updates'!$B$5:$B$704=A109),'Engineer Updates'!$H$5:$H$704),""))</x:f>
      </x:c>
      <x:c r="S109" s="172" t="str">
        <x:f>IF(A109="","",IFERROR(LOOKUP(2,1/('Engineer Updates'!$B$5:$B$704=A109),'Engineer Updates'!$G$5:$G$704),""))</x:f>
      </x:c>
      <x:c r="T109" s="172" t="str">
        <x:f>IF(A109="","",IFERROR(LOOKUP(2,1/('Engineer Updates'!$B$5:$B$704=A109),'Engineer Updates'!$I$5:$I$704),""))</x:f>
      </x:c>
      <x:c r="U109" s="172" t="str">
        <x:f>IF(A109="","",IFERROR(LOOKUP(2,1/('Engineer Updates'!$B$5:$B$704=A109),'Engineer Updates'!$J$5:$J$704),""))</x:f>
      </x:c>
      <x:c r="V109" s="172" t="str">
        <x:f>IF(A109="","",IFERROR(LOOKUP(2,1/('Engineer Updates'!$B$5:$B$704=A109),'Engineer Updates'!$K$5:$K$704),""))</x:f>
      </x:c>
      <x:c r="W109" s="174" t="str">
        <x:f>IF(A109="","",IFERROR(LOOKUP(2,1/('Engineer Updates'!$B$5:$B$704=A109),'Engineer Updates'!$L$5:$L$704),""))</x:f>
      </x:c>
      <x:c r="X109" s="170" t="str">
        <x:f>IF(A109="","",IF(C109="completed","Completed in CSSP",IF(AND(C109="executing",ISERROR(SEARCH("@",K109))),"Executing without named engineer",IF(AND(N109="Confirmed OOS",C109="executing"),"Confirmed OOS still executing",""))))</x:f>
        <x:v>Completed in CSSP</x:v>
      </x:c>
      <x:c r="Y109" s="170" t="str">
        <x:f>IF(A109="","",IF(B109="Decommissioning","Raw Decommissioning","Raw Provisioning"))</x:f>
        <x:v>Raw Decommissioning</x:v>
      </x:c>
      <x:c r="Z109" s="170" t="str">
        <x:f>IF(A109="","",IF(OR(C109="executing",C109="processing"),"Yes","No"))</x:f>
        <x:v>No</x:v>
      </x:c>
    </x:row>
    <x:row r="110">
      <x:c r="A110" s="170" t="str">
        <x:f>IF(ROWS($A$5:A110)&lt;=COUNTA('Raw Decommissioning'!$B$2:$B$1000),INDEX('Raw Decommissioning'!$B$2:$B$1000,ROWS($A$5:A110)),IF(ROWS($A$5:A110)-COUNTA('Raw Decommissioning'!$B$2:$B$1000)&lt;=COUNTA('Raw Provisioning'!$B$2:$B$1000),INDEX('Raw Provisioning'!$B$2:$B$1000,ROWS($A$5:A110)-COUNTA('Raw Decommissioning'!$B$2:$B$1000)),""))</x:f>
        <x:v>CSSP10232771</x:v>
      </x:c>
      <x:c r="B110" s="170" t="str">
        <x:f>IF(A110="","",IF(ROWS($A$5:A110)&lt;=COUNTA('Raw Decommissioning'!$B$2:$B$1000),"Decommissioning","Provisioning"))</x:f>
        <x:v>Decommissioning</x:v>
      </x:c>
      <x:c r="C110" s="170" t="str">
        <x:f>IF(A110="","",IF(B110="Decommissioning",IFERROR(INDEX('Raw Decommissioning'!$E$2:$E$1000,MATCH(A110,'Raw Decommissioning'!$B$2:$B$1000,0)),"Missing from latest raw"),IFERROR(INDEX('Raw Provisioning'!$E$2:$E$1000,MATCH(A110,'Raw Provisioning'!$B$2:$B$1000,0)),"Missing from latest raw")))</x:f>
        <x:v>completed</x:v>
      </x:c>
      <x:c r="D110" s="171" t="n">
        <x:f>IF(A110="","",'Refresh Control'!$B$4)</x:f>
        <x:v>46254</x:v>
      </x:c>
      <x:c r="E110" s="171" t="n">
        <x:f>IF(A110="","",IF(B110="Decommissioning",INDEX('Raw Decommissioning'!$F$2:$F$1000,ROWS($A$5:A110)),INDEX('Raw Provisioning'!$F$2:$F$1000,ROWS($A$5:A110)-COUNTA('Raw Decommissioning'!$B$2:$B$1000))))</x:f>
        <x:v>46063.070962708334</x:v>
      </x:c>
      <x:c r="F110" s="171" t="n">
        <x:f>IF(A110="","",IF(B110="Decommissioning",INDEX('Raw Decommissioning'!$G$2:$G$1000,ROWS($A$5:A110)),INDEX('Raw Provisioning'!$H$2:$H$1000,ROWS($A$5:A110)-COUNTA('Raw Decommissioning'!$B$2:$B$1000))))</x:f>
        <x:v>46073.11500913194</x:v>
      </x:c>
      <x:c r="G110" s="170" t="str">
        <x:f>IF(A110="","",IF(B110="Decommissioning",INDEX('Raw Decommissioning'!$I$2:$I$1000,ROWS($A$5:A110)),INDEX('Raw Provisioning'!$J$2:$J$1000,ROWS($A$5:A110)-COUNTA('Raw Decommissioning'!$B$2:$B$1000))))</x:f>
        <x:v>PETRONAS Unified Search and Personal Assistant - PUSPA for REAL</x:v>
      </x:c>
      <x:c r="H110" s="170" t="str">
        <x:f>IF(A110="","",IF(B110="Decommissioning",INDEX('Raw Decommissioning'!$J$2:$J$1000,ROWS($A$5:A110)),INDEX('Raw Provisioning'!$L$2:$L$1000,ROWS($A$5:A110)-COUNTA('Raw Decommissioning'!$B$2:$B$1000))))</x:f>
        <x:v>PETRONAS Unified Search and Personal Assistant (PUSPA) EPIC 1 and EPIC 2 Development</x:v>
      </x:c>
      <x:c r="I110" s="170" t="str">
        <x:f>IF(A110="","",IF(B110="Decommissioning",INDEX('Raw Decommissioning'!$AL$2:$AL$1000,ROWS($A$5:A110)),INDEX('Raw Provisioning'!$R$2:$R$1000,ROWS($A$5:A110)-COUNTA('Raw Decommissioning'!$B$2:$B$1000))))</x:f>
        <x:v>M</x:v>
      </x:c>
      <x:c r="J110" s="170" t="str">
        <x:f>IF(A110="","",IF(B110="Decommissioning",INDEX('Raw Decommissioning'!$AG$2:$AG$1000,ROWS($A$5:A110)),INDEX('Raw Provisioning'!$AI$2:$AI$1000,ROWS($A$5:A110)-COUNTA('Raw Decommissioning'!$B$2:$B$1000))))</x:f>
        <x:v>azlisham.md@petronas.com</x:v>
      </x:c>
      <x:c r="K110" s="172" t="str">
        <x:f>IF(A110="","",IFERROR(LOOKUP(2,1/('Assignment History'!$B$5:$B$204=A110),'Assignment History'!$D$5:$D$204),IFERROR(VLOOKUP(J110,Configuration!$L$5:$M$50,2,FALSE),J110)))</x:f>
        <x:v>azlisham.md@petronas.com</x:v>
      </x:c>
      <x:c r="L110" s="172" t="str">
        <x:f>IF(A110="","",IF(K110=IFERROR(VLOOKUP(J110,Configuration!$L$5:$M$50,2,FALSE),J110),"Snapshot PIC","Replacement PIC"))</x:f>
        <x:v>Snapshot PIC</x:v>
      </x:c>
      <x:c r="M110" s="172" t="n">
        <x:f>IF(A110="","",IFERROR(VLOOKUP(I110,Configuration!$O$5:$P$8,2,FALSE),Configuration!$S$6))</x:f>
        <x:v>2</x:v>
      </x:c>
      <x:c r="N110" s="172" t="str">
        <x:f>IF(A110="","",IFERROR(LOOKUP(2,1/('Scope Review'!$B$5:$B$204=A110),'Scope Review'!$G$5:$G$204),"Not Reviewed"))</x:f>
        <x:v>Not Reviewed</x:v>
      </x:c>
      <x:c r="O110" s="172" t="str">
        <x:f>IF(A110="","",IFERROR(LOOKUP(2,1/('Scope Review'!$B$5:$B$204=A110),'Scope Review'!$H$5:$H$204),""))</x:f>
      </x:c>
      <x:c r="P110" s="172" t="n">
        <x:f>IF(A110="","",IF(AND(C110="executing",N110&lt;&gt;"Confirmed OOS"),M110,0))</x:f>
        <x:v>0</x:v>
      </x:c>
      <x:c r="Q110" s="173" t="str">
        <x:f>IF(A110="","",IFERROR(LOOKUP(2,1/('Engineer Updates'!$B$5:$B$704=A110),'Engineer Updates'!$A$5:$A$704),""))</x:f>
      </x:c>
      <x:c r="R110" s="172" t="str">
        <x:f>IF(A110="","",IFERROR(LOOKUP(2,1/('Engineer Updates'!$B$5:$B$704=A110),'Engineer Updates'!$H$5:$H$704),""))</x:f>
      </x:c>
      <x:c r="S110" s="172" t="str">
        <x:f>IF(A110="","",IFERROR(LOOKUP(2,1/('Engineer Updates'!$B$5:$B$704=A110),'Engineer Updates'!$G$5:$G$704),""))</x:f>
      </x:c>
      <x:c r="T110" s="172" t="str">
        <x:f>IF(A110="","",IFERROR(LOOKUP(2,1/('Engineer Updates'!$B$5:$B$704=A110),'Engineer Updates'!$I$5:$I$704),""))</x:f>
      </x:c>
      <x:c r="U110" s="172" t="str">
        <x:f>IF(A110="","",IFERROR(LOOKUP(2,1/('Engineer Updates'!$B$5:$B$704=A110),'Engineer Updates'!$J$5:$J$704),""))</x:f>
      </x:c>
      <x:c r="V110" s="172" t="str">
        <x:f>IF(A110="","",IFERROR(LOOKUP(2,1/('Engineer Updates'!$B$5:$B$704=A110),'Engineer Updates'!$K$5:$K$704),""))</x:f>
      </x:c>
      <x:c r="W110" s="174" t="str">
        <x:f>IF(A110="","",IFERROR(LOOKUP(2,1/('Engineer Updates'!$B$5:$B$704=A110),'Engineer Updates'!$L$5:$L$704),""))</x:f>
      </x:c>
      <x:c r="X110" s="170" t="str">
        <x:f>IF(A110="","",IF(C110="completed","Completed in CSSP",IF(AND(C110="executing",ISERROR(SEARCH("@",K110))),"Executing without named engineer",IF(AND(N110="Confirmed OOS",C110="executing"),"Confirmed OOS still executing",""))))</x:f>
        <x:v>Completed in CSSP</x:v>
      </x:c>
      <x:c r="Y110" s="170" t="str">
        <x:f>IF(A110="","",IF(B110="Decommissioning","Raw Decommissioning","Raw Provisioning"))</x:f>
        <x:v>Raw Decommissioning</x:v>
      </x:c>
      <x:c r="Z110" s="170" t="str">
        <x:f>IF(A110="","",IF(OR(C110="executing",C110="processing"),"Yes","No"))</x:f>
        <x:v>No</x:v>
      </x:c>
    </x:row>
    <x:row r="111">
      <x:c r="A111" s="170" t="str">
        <x:f>IF(ROWS($A$5:A111)&lt;=COUNTA('Raw Decommissioning'!$B$2:$B$1000),INDEX('Raw Decommissioning'!$B$2:$B$1000,ROWS($A$5:A111)),IF(ROWS($A$5:A111)-COUNTA('Raw Decommissioning'!$B$2:$B$1000)&lt;=COUNTA('Raw Provisioning'!$B$2:$B$1000),INDEX('Raw Provisioning'!$B$2:$B$1000,ROWS($A$5:A111)-COUNTA('Raw Decommissioning'!$B$2:$B$1000)),""))</x:f>
        <x:v>CSSP10454800</x:v>
      </x:c>
      <x:c r="B111" s="170" t="str">
        <x:f>IF(A111="","",IF(ROWS($A$5:A111)&lt;=COUNTA('Raw Decommissioning'!$B$2:$B$1000),"Decommissioning","Provisioning"))</x:f>
        <x:v>Decommissioning</x:v>
      </x:c>
      <x:c r="C111" s="170" t="str">
        <x:f>IF(A111="","",IF(B111="Decommissioning",IFERROR(INDEX('Raw Decommissioning'!$E$2:$E$1000,MATCH(A111,'Raw Decommissioning'!$B$2:$B$1000,0)),"Missing from latest raw"),IFERROR(INDEX('Raw Provisioning'!$E$2:$E$1000,MATCH(A111,'Raw Provisioning'!$B$2:$B$1000,0)),"Missing from latest raw")))</x:f>
        <x:v>rejected</x:v>
      </x:c>
      <x:c r="D111" s="171" t="n">
        <x:f>IF(A111="","",'Refresh Control'!$B$4)</x:f>
        <x:v>46254</x:v>
      </x:c>
      <x:c r="E111" s="171" t="n">
        <x:f>IF(A111="","",IF(B111="Decommissioning",INDEX('Raw Decommissioning'!$F$2:$F$1000,ROWS($A$5:A111)),INDEX('Raw Provisioning'!$F$2:$F$1000,ROWS($A$5:A111)-COUNTA('Raw Decommissioning'!$B$2:$B$1000))))</x:f>
        <x:v>46063.12165032407</x:v>
      </x:c>
      <x:c r="F111" s="171" t="n">
        <x:f>IF(A111="","",IF(B111="Decommissioning",INDEX('Raw Decommissioning'!$G$2:$G$1000,ROWS($A$5:A111)),INDEX('Raw Provisioning'!$H$2:$H$1000,ROWS($A$5:A111)-COUNTA('Raw Decommissioning'!$B$2:$B$1000))))</x:f>
        <x:v>46063.30405385417</x:v>
      </x:c>
      <x:c r="G111" s="170" t="str">
        <x:f>IF(A111="","",IF(B111="Decommissioning",INDEX('Raw Decommissioning'!$I$2:$I$1000,ROWS($A$5:A111)),INDEX('Raw Provisioning'!$J$2:$J$1000,ROWS($A$5:A111)-COUNTA('Raw Decommissioning'!$B$2:$B$1000))))</x:f>
        <x:v>Facial Recognition - FR</x:v>
      </x:c>
      <x:c r="H111" s="170" t="str">
        <x:f>IF(A111="","",IF(B111="Decommissioning",INDEX('Raw Decommissioning'!$J$2:$J$1000,ROWS($A$5:A111)),INDEX('Raw Provisioning'!$L$2:$L$1000,ROWS($A$5:A111)-COUNTA('Raw Decommissioning'!$B$2:$B$1000))))</x:f>
        <x:v>Implementation of Facial Recognition (FR) for PETRONAS LNG Complex for Group Security, GHSSE</x:v>
      </x:c>
      <x:c r="I111" s="170" t="str">
        <x:f>IF(A111="","",IF(B111="Decommissioning",INDEX('Raw Decommissioning'!$AL$2:$AL$1000,ROWS($A$5:A111)),INDEX('Raw Provisioning'!$R$2:$R$1000,ROWS($A$5:A111)-COUNTA('Raw Decommissioning'!$B$2:$B$1000))))</x:f>
      </x:c>
      <x:c r="J111" s="170" t="str">
        <x:f>IF(A111="","",IF(B111="Decommissioning",INDEX('Raw Decommissioning'!$AG$2:$AG$1000,ROWS($A$5:A111)),INDEX('Raw Provisioning'!$AI$2:$AI$1000,ROWS($A$5:A111)-COUNTA('Raw Decommissioning'!$B$2:$B$1000))))</x:f>
        <x:v>CCoE Business</x:v>
      </x:c>
      <x:c r="K111" s="172" t="str">
        <x:f>IF(A111="","",IFERROR(LOOKUP(2,1/('Assignment History'!$B$5:$B$204=A111),'Assignment History'!$D$5:$D$204),IFERROR(VLOOKUP(J111,Configuration!$L$5:$M$50,2,FALSE),J111)))</x:f>
        <x:v>CCoE Business</x:v>
      </x:c>
      <x:c r="L111" s="172" t="str">
        <x:f>IF(A111="","",IF(K111=IFERROR(VLOOKUP(J111,Configuration!$L$5:$M$50,2,FALSE),J111),"Snapshot PIC","Replacement PIC"))</x:f>
        <x:v>Snapshot PIC</x:v>
      </x:c>
      <x:c r="M111" s="172" t="n">
        <x:f>IF(A111="","",IFERROR(VLOOKUP(I111,Configuration!$O$5:$P$8,2,FALSE),Configuration!$S$6))</x:f>
        <x:v>2</x:v>
      </x:c>
      <x:c r="N111" s="172" t="str">
        <x:f>IF(A111="","",IFERROR(LOOKUP(2,1/('Scope Review'!$B$5:$B$204=A111),'Scope Review'!$G$5:$G$204),"Not Reviewed"))</x:f>
        <x:v>Not Reviewed</x:v>
      </x:c>
      <x:c r="O111" s="172" t="str">
        <x:f>IF(A111="","",IFERROR(LOOKUP(2,1/('Scope Review'!$B$5:$B$204=A111),'Scope Review'!$H$5:$H$204),""))</x:f>
      </x:c>
      <x:c r="P111" s="172" t="n">
        <x:f>IF(A111="","",IF(AND(C111="executing",N111&lt;&gt;"Confirmed OOS"),M111,0))</x:f>
        <x:v>0</x:v>
      </x:c>
      <x:c r="Q111" s="173" t="str">
        <x:f>IF(A111="","",IFERROR(LOOKUP(2,1/('Engineer Updates'!$B$5:$B$704=A111),'Engineer Updates'!$A$5:$A$704),""))</x:f>
      </x:c>
      <x:c r="R111" s="172" t="str">
        <x:f>IF(A111="","",IFERROR(LOOKUP(2,1/('Engineer Updates'!$B$5:$B$704=A111),'Engineer Updates'!$H$5:$H$704),""))</x:f>
      </x:c>
      <x:c r="S111" s="172" t="str">
        <x:f>IF(A111="","",IFERROR(LOOKUP(2,1/('Engineer Updates'!$B$5:$B$704=A111),'Engineer Updates'!$G$5:$G$704),""))</x:f>
      </x:c>
      <x:c r="T111" s="172" t="str">
        <x:f>IF(A111="","",IFERROR(LOOKUP(2,1/('Engineer Updates'!$B$5:$B$704=A111),'Engineer Updates'!$I$5:$I$704),""))</x:f>
      </x:c>
      <x:c r="U111" s="172" t="str">
        <x:f>IF(A111="","",IFERROR(LOOKUP(2,1/('Engineer Updates'!$B$5:$B$704=A111),'Engineer Updates'!$J$5:$J$704),""))</x:f>
      </x:c>
      <x:c r="V111" s="172" t="str">
        <x:f>IF(A111="","",IFERROR(LOOKUP(2,1/('Engineer Updates'!$B$5:$B$704=A111),'Engineer Updates'!$K$5:$K$704),""))</x:f>
      </x:c>
      <x:c r="W111" s="174" t="str">
        <x:f>IF(A111="","",IFERROR(LOOKUP(2,1/('Engineer Updates'!$B$5:$B$704=A111),'Engineer Updates'!$L$5:$L$704),""))</x:f>
      </x:c>
      <x:c r="X111" s="170" t="str">
        <x:f>IF(A111="","",IF(C111="completed","Completed in CSSP",IF(AND(C111="executing",ISERROR(SEARCH("@",K111))),"Executing without named engineer",IF(AND(N111="Confirmed OOS",C111="executing"),"Confirmed OOS still executing",""))))</x:f>
      </x:c>
      <x:c r="Y111" s="170" t="str">
        <x:f>IF(A111="","",IF(B111="Decommissioning","Raw Decommissioning","Raw Provisioning"))</x:f>
        <x:v>Raw Decommissioning</x:v>
      </x:c>
      <x:c r="Z111" s="170" t="str">
        <x:f>IF(A111="","",IF(OR(C111="executing",C111="processing"),"Yes","No"))</x:f>
        <x:v>No</x:v>
      </x:c>
    </x:row>
    <x:row r="112">
      <x:c r="A112" s="170" t="str">
        <x:f>IF(ROWS($A$5:A112)&lt;=COUNTA('Raw Decommissioning'!$B$2:$B$1000),INDEX('Raw Decommissioning'!$B$2:$B$1000,ROWS($A$5:A112)),IF(ROWS($A$5:A112)-COUNTA('Raw Decommissioning'!$B$2:$B$1000)&lt;=COUNTA('Raw Provisioning'!$B$2:$B$1000),INDEX('Raw Provisioning'!$B$2:$B$1000,ROWS($A$5:A112)-COUNTA('Raw Decommissioning'!$B$2:$B$1000)),""))</x:f>
        <x:v>CSSP10652416</x:v>
      </x:c>
      <x:c r="B112" s="170" t="str">
        <x:f>IF(A112="","",IF(ROWS($A$5:A112)&lt;=COUNTA('Raw Decommissioning'!$B$2:$B$1000),"Decommissioning","Provisioning"))</x:f>
        <x:v>Decommissioning</x:v>
      </x:c>
      <x:c r="C112" s="170" t="str">
        <x:f>IF(A112="","",IF(B112="Decommissioning",IFERROR(INDEX('Raw Decommissioning'!$E$2:$E$1000,MATCH(A112,'Raw Decommissioning'!$B$2:$B$1000,0)),"Missing from latest raw"),IFERROR(INDEX('Raw Provisioning'!$E$2:$E$1000,MATCH(A112,'Raw Provisioning'!$B$2:$B$1000,0)),"Missing from latest raw")))</x:f>
        <x:v>rejected</x:v>
      </x:c>
      <x:c r="D112" s="171" t="n">
        <x:f>IF(A112="","",'Refresh Control'!$B$4)</x:f>
        <x:v>46254</x:v>
      </x:c>
      <x:c r="E112" s="171" t="n">
        <x:f>IF(A112="","",IF(B112="Decommissioning",INDEX('Raw Decommissioning'!$F$2:$F$1000,ROWS($A$5:A112)),INDEX('Raw Provisioning'!$F$2:$F$1000,ROWS($A$5:A112)-COUNTA('Raw Decommissioning'!$B$2:$B$1000))))</x:f>
        <x:v>46063.12353199074</x:v>
      </x:c>
      <x:c r="F112" s="171" t="n">
        <x:f>IF(A112="","",IF(B112="Decommissioning",INDEX('Raw Decommissioning'!$G$2:$G$1000,ROWS($A$5:A112)),INDEX('Raw Provisioning'!$H$2:$H$1000,ROWS($A$5:A112)-COUNTA('Raw Decommissioning'!$B$2:$B$1000))))</x:f>
        <x:v>46063.303990960645</x:v>
      </x:c>
      <x:c r="G112" s="170" t="str">
        <x:f>IF(A112="","",IF(B112="Decommissioning",INDEX('Raw Decommissioning'!$I$2:$I$1000,ROWS($A$5:A112)),INDEX('Raw Provisioning'!$J$2:$J$1000,ROWS($A$5:A112)-COUNTA('Raw Decommissioning'!$B$2:$B$1000))))</x:f>
        <x:v>Facial Recognition - FR</x:v>
      </x:c>
      <x:c r="H112" s="170" t="str">
        <x:f>IF(A112="","",IF(B112="Decommissioning",INDEX('Raw Decommissioning'!$J$2:$J$1000,ROWS($A$5:A112)),INDEX('Raw Provisioning'!$L$2:$L$1000,ROWS($A$5:A112)-COUNTA('Raw Decommissioning'!$B$2:$B$1000))))</x:f>
        <x:v>REAL Implementation of Facial Recognition Centralize Cloud Server for PETRONAS</x:v>
      </x:c>
      <x:c r="I112" s="170" t="str">
        <x:f>IF(A112="","",IF(B112="Decommissioning",INDEX('Raw Decommissioning'!$AL$2:$AL$1000,ROWS($A$5:A112)),INDEX('Raw Provisioning'!$R$2:$R$1000,ROWS($A$5:A112)-COUNTA('Raw Decommissioning'!$B$2:$B$1000))))</x:f>
      </x:c>
      <x:c r="J112" s="170" t="str">
        <x:f>IF(A112="","",IF(B112="Decommissioning",INDEX('Raw Decommissioning'!$AG$2:$AG$1000,ROWS($A$5:A112)),INDEX('Raw Provisioning'!$AI$2:$AI$1000,ROWS($A$5:A112)-COUNTA('Raw Decommissioning'!$B$2:$B$1000))))</x:f>
        <x:v>CCoE Business</x:v>
      </x:c>
      <x:c r="K112" s="172" t="str">
        <x:f>IF(A112="","",IFERROR(LOOKUP(2,1/('Assignment History'!$B$5:$B$204=A112),'Assignment History'!$D$5:$D$204),IFERROR(VLOOKUP(J112,Configuration!$L$5:$M$50,2,FALSE),J112)))</x:f>
        <x:v>CCoE Business</x:v>
      </x:c>
      <x:c r="L112" s="172" t="str">
        <x:f>IF(A112="","",IF(K112=IFERROR(VLOOKUP(J112,Configuration!$L$5:$M$50,2,FALSE),J112),"Snapshot PIC","Replacement PIC"))</x:f>
        <x:v>Snapshot PIC</x:v>
      </x:c>
      <x:c r="M112" s="172" t="n">
        <x:f>IF(A112="","",IFERROR(VLOOKUP(I112,Configuration!$O$5:$P$8,2,FALSE),Configuration!$S$6))</x:f>
        <x:v>2</x:v>
      </x:c>
      <x:c r="N112" s="172" t="str">
        <x:f>IF(A112="","",IFERROR(LOOKUP(2,1/('Scope Review'!$B$5:$B$204=A112),'Scope Review'!$G$5:$G$204),"Not Reviewed"))</x:f>
        <x:v>Not Reviewed</x:v>
      </x:c>
      <x:c r="O112" s="172" t="str">
        <x:f>IF(A112="","",IFERROR(LOOKUP(2,1/('Scope Review'!$B$5:$B$204=A112),'Scope Review'!$H$5:$H$204),""))</x:f>
      </x:c>
      <x:c r="P112" s="172" t="n">
        <x:f>IF(A112="","",IF(AND(C112="executing",N112&lt;&gt;"Confirmed OOS"),M112,0))</x:f>
        <x:v>0</x:v>
      </x:c>
      <x:c r="Q112" s="173" t="str">
        <x:f>IF(A112="","",IFERROR(LOOKUP(2,1/('Engineer Updates'!$B$5:$B$704=A112),'Engineer Updates'!$A$5:$A$704),""))</x:f>
      </x:c>
      <x:c r="R112" s="172" t="str">
        <x:f>IF(A112="","",IFERROR(LOOKUP(2,1/('Engineer Updates'!$B$5:$B$704=A112),'Engineer Updates'!$H$5:$H$704),""))</x:f>
      </x:c>
      <x:c r="S112" s="172" t="str">
        <x:f>IF(A112="","",IFERROR(LOOKUP(2,1/('Engineer Updates'!$B$5:$B$704=A112),'Engineer Updates'!$G$5:$G$704),""))</x:f>
      </x:c>
      <x:c r="T112" s="172" t="str">
        <x:f>IF(A112="","",IFERROR(LOOKUP(2,1/('Engineer Updates'!$B$5:$B$704=A112),'Engineer Updates'!$I$5:$I$704),""))</x:f>
      </x:c>
      <x:c r="U112" s="172" t="str">
        <x:f>IF(A112="","",IFERROR(LOOKUP(2,1/('Engineer Updates'!$B$5:$B$704=A112),'Engineer Updates'!$J$5:$J$704),""))</x:f>
      </x:c>
      <x:c r="V112" s="172" t="str">
        <x:f>IF(A112="","",IFERROR(LOOKUP(2,1/('Engineer Updates'!$B$5:$B$704=A112),'Engineer Updates'!$K$5:$K$704),""))</x:f>
      </x:c>
      <x:c r="W112" s="174" t="str">
        <x:f>IF(A112="","",IFERROR(LOOKUP(2,1/('Engineer Updates'!$B$5:$B$704=A112),'Engineer Updates'!$L$5:$L$704),""))</x:f>
      </x:c>
      <x:c r="X112" s="170" t="str">
        <x:f>IF(A112="","",IF(C112="completed","Completed in CSSP",IF(AND(C112="executing",ISERROR(SEARCH("@",K112))),"Executing without named engineer",IF(AND(N112="Confirmed OOS",C112="executing"),"Confirmed OOS still executing",""))))</x:f>
      </x:c>
      <x:c r="Y112" s="170" t="str">
        <x:f>IF(A112="","",IF(B112="Decommissioning","Raw Decommissioning","Raw Provisioning"))</x:f>
        <x:v>Raw Decommissioning</x:v>
      </x:c>
      <x:c r="Z112" s="170" t="str">
        <x:f>IF(A112="","",IF(OR(C112="executing",C112="processing"),"Yes","No"))</x:f>
        <x:v>No</x:v>
      </x:c>
    </x:row>
    <x:row r="113">
      <x:c r="A113" s="170" t="str">
        <x:f>IF(ROWS($A$5:A113)&lt;=COUNTA('Raw Decommissioning'!$B$2:$B$1000),INDEX('Raw Decommissioning'!$B$2:$B$1000,ROWS($A$5:A113)),IF(ROWS($A$5:A113)-COUNTA('Raw Decommissioning'!$B$2:$B$1000)&lt;=COUNTA('Raw Provisioning'!$B$2:$B$1000),INDEX('Raw Provisioning'!$B$2:$B$1000,ROWS($A$5:A113)-COUNTA('Raw Decommissioning'!$B$2:$B$1000)),""))</x:f>
        <x:v>CSSP10352771</x:v>
      </x:c>
      <x:c r="B113" s="170" t="str">
        <x:f>IF(A113="","",IF(ROWS($A$5:A113)&lt;=COUNTA('Raw Decommissioning'!$B$2:$B$1000),"Decommissioning","Provisioning"))</x:f>
        <x:v>Decommissioning</x:v>
      </x:c>
      <x:c r="C113" s="170" t="str">
        <x:f>IF(A113="","",IF(B113="Decommissioning",IFERROR(INDEX('Raw Decommissioning'!$E$2:$E$1000,MATCH(A113,'Raw Decommissioning'!$B$2:$B$1000,0)),"Missing from latest raw"),IFERROR(INDEX('Raw Provisioning'!$E$2:$E$1000,MATCH(A113,'Raw Provisioning'!$B$2:$B$1000,0)),"Missing from latest raw")))</x:f>
        <x:v>completed</x:v>
      </x:c>
      <x:c r="D113" s="171" t="n">
        <x:f>IF(A113="","",'Refresh Control'!$B$4)</x:f>
        <x:v>46254</x:v>
      </x:c>
      <x:c r="E113" s="171" t="n">
        <x:f>IF(A113="","",IF(B113="Decommissioning",INDEX('Raw Decommissioning'!$F$2:$F$1000,ROWS($A$5:A113)),INDEX('Raw Provisioning'!$F$2:$F$1000,ROWS($A$5:A113)-COUNTA('Raw Decommissioning'!$B$2:$B$1000))))</x:f>
        <x:v>46063.14253813658</x:v>
      </x:c>
      <x:c r="F113" s="171" t="n">
        <x:f>IF(A113="","",IF(B113="Decommissioning",INDEX('Raw Decommissioning'!$G$2:$G$1000,ROWS($A$5:A113)),INDEX('Raw Provisioning'!$H$2:$H$1000,ROWS($A$5:A113)-COUNTA('Raw Decommissioning'!$B$2:$B$1000))))</x:f>
        <x:v>46072.22617755787</x:v>
      </x:c>
      <x:c r="G113" s="170" t="str">
        <x:f>IF(A113="","",IF(B113="Decommissioning",INDEX('Raw Decommissioning'!$I$2:$I$1000,ROWS($A$5:A113)),INDEX('Raw Provisioning'!$J$2:$J$1000,ROWS($A$5:A113)-COUNTA('Raw Decommissioning'!$B$2:$B$1000))))</x:f>
        <x:v>Enterprise Data Hub - EDH</x:v>
      </x:c>
      <x:c r="H113" s="170" t="str">
        <x:f>IF(A113="","",IF(B113="Decommissioning",INDEX('Raw Decommissioning'!$J$2:$J$1000,ROWS($A$5:A113)),INDEX('Raw Provisioning'!$L$2:$L$1000,ROWS($A$5:A113)-COUNTA('Raw Decommissioning'!$B$2:$B$1000))))</x:f>
        <x:v>PETRONAS Enterprise Data Hub</x:v>
      </x:c>
      <x:c r="I113" s="170" t="str">
        <x:f>IF(A113="","",IF(B113="Decommissioning",INDEX('Raw Decommissioning'!$AL$2:$AL$1000,ROWS($A$5:A113)),INDEX('Raw Provisioning'!$R$2:$R$1000,ROWS($A$5:A113)-COUNTA('Raw Decommissioning'!$B$2:$B$1000))))</x:f>
        <x:v>M</x:v>
      </x:c>
      <x:c r="J113" s="170" t="str">
        <x:f>IF(A113="","",IF(B113="Decommissioning",INDEX('Raw Decommissioning'!$AG$2:$AG$1000,ROWS($A$5:A113)),INDEX('Raw Provisioning'!$AI$2:$AI$1000,ROWS($A$5:A113)-COUNTA('Raw Decommissioning'!$B$2:$B$1000))))</x:f>
        <x:v>azlisham.md@petronas.com</x:v>
      </x:c>
      <x:c r="K113" s="172" t="str">
        <x:f>IF(A113="","",IFERROR(LOOKUP(2,1/('Assignment History'!$B$5:$B$204=A113),'Assignment History'!$D$5:$D$204),IFERROR(VLOOKUP(J113,Configuration!$L$5:$M$50,2,FALSE),J113)))</x:f>
        <x:v>azlisham.md@petronas.com</x:v>
      </x:c>
      <x:c r="L113" s="172" t="str">
        <x:f>IF(A113="","",IF(K113=IFERROR(VLOOKUP(J113,Configuration!$L$5:$M$50,2,FALSE),J113),"Snapshot PIC","Replacement PIC"))</x:f>
        <x:v>Snapshot PIC</x:v>
      </x:c>
      <x:c r="M113" s="172" t="n">
        <x:f>IF(A113="","",IFERROR(VLOOKUP(I113,Configuration!$O$5:$P$8,2,FALSE),Configuration!$S$6))</x:f>
        <x:v>2</x:v>
      </x:c>
      <x:c r="N113" s="172" t="str">
        <x:f>IF(A113="","",IFERROR(LOOKUP(2,1/('Scope Review'!$B$5:$B$204=A113),'Scope Review'!$G$5:$G$204),"Not Reviewed"))</x:f>
        <x:v>Not Reviewed</x:v>
      </x:c>
      <x:c r="O113" s="172" t="str">
        <x:f>IF(A113="","",IFERROR(LOOKUP(2,1/('Scope Review'!$B$5:$B$204=A113),'Scope Review'!$H$5:$H$204),""))</x:f>
      </x:c>
      <x:c r="P113" s="172" t="n">
        <x:f>IF(A113="","",IF(AND(C113="executing",N113&lt;&gt;"Confirmed OOS"),M113,0))</x:f>
        <x:v>0</x:v>
      </x:c>
      <x:c r="Q113" s="173" t="str">
        <x:f>IF(A113="","",IFERROR(LOOKUP(2,1/('Engineer Updates'!$B$5:$B$704=A113),'Engineer Updates'!$A$5:$A$704),""))</x:f>
      </x:c>
      <x:c r="R113" s="172" t="str">
        <x:f>IF(A113="","",IFERROR(LOOKUP(2,1/('Engineer Updates'!$B$5:$B$704=A113),'Engineer Updates'!$H$5:$H$704),""))</x:f>
      </x:c>
      <x:c r="S113" s="172" t="str">
        <x:f>IF(A113="","",IFERROR(LOOKUP(2,1/('Engineer Updates'!$B$5:$B$704=A113),'Engineer Updates'!$G$5:$G$704),""))</x:f>
      </x:c>
      <x:c r="T113" s="172" t="str">
        <x:f>IF(A113="","",IFERROR(LOOKUP(2,1/('Engineer Updates'!$B$5:$B$704=A113),'Engineer Updates'!$I$5:$I$704),""))</x:f>
      </x:c>
      <x:c r="U113" s="172" t="str">
        <x:f>IF(A113="","",IFERROR(LOOKUP(2,1/('Engineer Updates'!$B$5:$B$704=A113),'Engineer Updates'!$J$5:$J$704),""))</x:f>
      </x:c>
      <x:c r="V113" s="172" t="str">
        <x:f>IF(A113="","",IFERROR(LOOKUP(2,1/('Engineer Updates'!$B$5:$B$704=A113),'Engineer Updates'!$K$5:$K$704),""))</x:f>
      </x:c>
      <x:c r="W113" s="174" t="str">
        <x:f>IF(A113="","",IFERROR(LOOKUP(2,1/('Engineer Updates'!$B$5:$B$704=A113),'Engineer Updates'!$L$5:$L$704),""))</x:f>
      </x:c>
      <x:c r="X113" s="170" t="str">
        <x:f>IF(A113="","",IF(C113="completed","Completed in CSSP",IF(AND(C113="executing",ISERROR(SEARCH("@",K113))),"Executing without named engineer",IF(AND(N113="Confirmed OOS",C113="executing"),"Confirmed OOS still executing",""))))</x:f>
        <x:v>Completed in CSSP</x:v>
      </x:c>
      <x:c r="Y113" s="170" t="str">
        <x:f>IF(A113="","",IF(B113="Decommissioning","Raw Decommissioning","Raw Provisioning"))</x:f>
        <x:v>Raw Decommissioning</x:v>
      </x:c>
      <x:c r="Z113" s="170" t="str">
        <x:f>IF(A113="","",IF(OR(C113="executing",C113="processing"),"Yes","No"))</x:f>
        <x:v>No</x:v>
      </x:c>
    </x:row>
    <x:row r="114">
      <x:c r="A114" s="170" t="str">
        <x:f>IF(ROWS($A$5:A114)&lt;=COUNTA('Raw Decommissioning'!$B$2:$B$1000),INDEX('Raw Decommissioning'!$B$2:$B$1000,ROWS($A$5:A114)),IF(ROWS($A$5:A114)-COUNTA('Raw Decommissioning'!$B$2:$B$1000)&lt;=COUNTA('Raw Provisioning'!$B$2:$B$1000),INDEX('Raw Provisioning'!$B$2:$B$1000,ROWS($A$5:A114)-COUNTA('Raw Decommissioning'!$B$2:$B$1000)),""))</x:f>
        <x:v>CSSP10985343</x:v>
      </x:c>
      <x:c r="B114" s="170" t="str">
        <x:f>IF(A114="","",IF(ROWS($A$5:A114)&lt;=COUNTA('Raw Decommissioning'!$B$2:$B$1000),"Decommissioning","Provisioning"))</x:f>
        <x:v>Decommissioning</x:v>
      </x:c>
      <x:c r="C114" s="170" t="str">
        <x:f>IF(A114="","",IF(B114="Decommissioning",IFERROR(INDEX('Raw Decommissioning'!$E$2:$E$1000,MATCH(A114,'Raw Decommissioning'!$B$2:$B$1000,0)),"Missing from latest raw"),IFERROR(INDEX('Raw Provisioning'!$E$2:$E$1000,MATCH(A114,'Raw Provisioning'!$B$2:$B$1000,0)),"Missing from latest raw")))</x:f>
        <x:v>completed</x:v>
      </x:c>
      <x:c r="D114" s="171" t="n">
        <x:f>IF(A114="","",'Refresh Control'!$B$4)</x:f>
        <x:v>46254</x:v>
      </x:c>
      <x:c r="E114" s="171" t="n">
        <x:f>IF(A114="","",IF(B114="Decommissioning",INDEX('Raw Decommissioning'!$F$2:$F$1000,ROWS($A$5:A114)),INDEX('Raw Provisioning'!$F$2:$F$1000,ROWS($A$5:A114)-COUNTA('Raw Decommissioning'!$B$2:$B$1000))))</x:f>
        <x:v>46063.14367128472</x:v>
      </x:c>
      <x:c r="F114" s="171" t="n">
        <x:f>IF(A114="","",IF(B114="Decommissioning",INDEX('Raw Decommissioning'!$G$2:$G$1000,ROWS($A$5:A114)),INDEX('Raw Provisioning'!$H$2:$H$1000,ROWS($A$5:A114)-COUNTA('Raw Decommissioning'!$B$2:$B$1000))))</x:f>
        <x:v>46069.35513512731</x:v>
      </x:c>
      <x:c r="G114" s="170" t="str">
        <x:f>IF(A114="","",IF(B114="Decommissioning",INDEX('Raw Decommissioning'!$I$2:$I$1000,ROWS($A$5:A114)),INDEX('Raw Provisioning'!$J$2:$J$1000,ROWS($A$5:A114)-COUNTA('Raw Decommissioning'!$B$2:$B$1000))))</x:f>
        <x:v>CRAFT</x:v>
      </x:c>
      <x:c r="H114" s="170" t="str">
        <x:f>IF(A114="","",IF(B114="Decommissioning",INDEX('Raw Decommissioning'!$J$2:$J$1000,ROWS($A$5:A114)),INDEX('Raw Provisioning'!$L$2:$L$1000,ROWS($A$5:A114)-COUNTA('Raw Decommissioning'!$B$2:$B$1000))))</x:f>
        <x:v>CRAFT</x:v>
      </x:c>
      <x:c r="I114" s="170" t="str">
        <x:f>IF(A114="","",IF(B114="Decommissioning",INDEX('Raw Decommissioning'!$AL$2:$AL$1000,ROWS($A$5:A114)),INDEX('Raw Provisioning'!$R$2:$R$1000,ROWS($A$5:A114)-COUNTA('Raw Decommissioning'!$B$2:$B$1000))))</x:f>
        <x:v>M</x:v>
      </x:c>
      <x:c r="J114" s="170" t="str">
        <x:f>IF(A114="","",IF(B114="Decommissioning",INDEX('Raw Decommissioning'!$AG$2:$AG$1000,ROWS($A$5:A114)),INDEX('Raw Provisioning'!$AI$2:$AI$1000,ROWS($A$5:A114)-COUNTA('Raw Decommissioning'!$B$2:$B$1000))))</x:f>
        <x:v>azwan.badari@petronas.com</x:v>
      </x:c>
      <x:c r="K114" s="172" t="str">
        <x:f>IF(A114="","",IFERROR(LOOKUP(2,1/('Assignment History'!$B$5:$B$204=A114),'Assignment History'!$D$5:$D$204),IFERROR(VLOOKUP(J114,Configuration!$L$5:$M$50,2,FALSE),J114)))</x:f>
        <x:v>azwan.badari@petronas.com</x:v>
      </x:c>
      <x:c r="L114" s="172" t="str">
        <x:f>IF(A114="","",IF(K114=IFERROR(VLOOKUP(J114,Configuration!$L$5:$M$50,2,FALSE),J114),"Snapshot PIC","Replacement PIC"))</x:f>
        <x:v>Snapshot PIC</x:v>
      </x:c>
      <x:c r="M114" s="172" t="n">
        <x:f>IF(A114="","",IFERROR(VLOOKUP(I114,Configuration!$O$5:$P$8,2,FALSE),Configuration!$S$6))</x:f>
        <x:v>2</x:v>
      </x:c>
      <x:c r="N114" s="172" t="str">
        <x:f>IF(A114="","",IFERROR(LOOKUP(2,1/('Scope Review'!$B$5:$B$204=A114),'Scope Review'!$G$5:$G$204),"Not Reviewed"))</x:f>
        <x:v>Not Reviewed</x:v>
      </x:c>
      <x:c r="O114" s="172" t="str">
        <x:f>IF(A114="","",IFERROR(LOOKUP(2,1/('Scope Review'!$B$5:$B$204=A114),'Scope Review'!$H$5:$H$204),""))</x:f>
      </x:c>
      <x:c r="P114" s="172" t="n">
        <x:f>IF(A114="","",IF(AND(C114="executing",N114&lt;&gt;"Confirmed OOS"),M114,0))</x:f>
        <x:v>0</x:v>
      </x:c>
      <x:c r="Q114" s="173" t="str">
        <x:f>IF(A114="","",IFERROR(LOOKUP(2,1/('Engineer Updates'!$B$5:$B$704=A114),'Engineer Updates'!$A$5:$A$704),""))</x:f>
      </x:c>
      <x:c r="R114" s="172" t="str">
        <x:f>IF(A114="","",IFERROR(LOOKUP(2,1/('Engineer Updates'!$B$5:$B$704=A114),'Engineer Updates'!$H$5:$H$704),""))</x:f>
      </x:c>
      <x:c r="S114" s="172" t="str">
        <x:f>IF(A114="","",IFERROR(LOOKUP(2,1/('Engineer Updates'!$B$5:$B$704=A114),'Engineer Updates'!$G$5:$G$704),""))</x:f>
      </x:c>
      <x:c r="T114" s="172" t="str">
        <x:f>IF(A114="","",IFERROR(LOOKUP(2,1/('Engineer Updates'!$B$5:$B$704=A114),'Engineer Updates'!$I$5:$I$704),""))</x:f>
      </x:c>
      <x:c r="U114" s="172" t="str">
        <x:f>IF(A114="","",IFERROR(LOOKUP(2,1/('Engineer Updates'!$B$5:$B$704=A114),'Engineer Updates'!$J$5:$J$704),""))</x:f>
      </x:c>
      <x:c r="V114" s="172" t="str">
        <x:f>IF(A114="","",IFERROR(LOOKUP(2,1/('Engineer Updates'!$B$5:$B$704=A114),'Engineer Updates'!$K$5:$K$704),""))</x:f>
      </x:c>
      <x:c r="W114" s="174" t="str">
        <x:f>IF(A114="","",IFERROR(LOOKUP(2,1/('Engineer Updates'!$B$5:$B$704=A114),'Engineer Updates'!$L$5:$L$704),""))</x:f>
      </x:c>
      <x:c r="X114" s="170" t="str">
        <x:f>IF(A114="","",IF(C114="completed","Completed in CSSP",IF(AND(C114="executing",ISERROR(SEARCH("@",K114))),"Executing without named engineer",IF(AND(N114="Confirmed OOS",C114="executing"),"Confirmed OOS still executing",""))))</x:f>
        <x:v>Completed in CSSP</x:v>
      </x:c>
      <x:c r="Y114" s="170" t="str">
        <x:f>IF(A114="","",IF(B114="Decommissioning","Raw Decommissioning","Raw Provisioning"))</x:f>
        <x:v>Raw Decommissioning</x:v>
      </x:c>
      <x:c r="Z114" s="170" t="str">
        <x:f>IF(A114="","",IF(OR(C114="executing",C114="processing"),"Yes","No"))</x:f>
        <x:v>No</x:v>
      </x:c>
    </x:row>
    <x:row r="115">
      <x:c r="A115" s="170" t="str">
        <x:f>IF(ROWS($A$5:A115)&lt;=COUNTA('Raw Decommissioning'!$B$2:$B$1000),INDEX('Raw Decommissioning'!$B$2:$B$1000,ROWS($A$5:A115)),IF(ROWS($A$5:A115)-COUNTA('Raw Decommissioning'!$B$2:$B$1000)&lt;=COUNTA('Raw Provisioning'!$B$2:$B$1000),INDEX('Raw Provisioning'!$B$2:$B$1000,ROWS($A$5:A115)-COUNTA('Raw Decommissioning'!$B$2:$B$1000)),""))</x:f>
        <x:v>CSSP10360167</x:v>
      </x:c>
      <x:c r="B115" s="170" t="str">
        <x:f>IF(A115="","",IF(ROWS($A$5:A115)&lt;=COUNTA('Raw Decommissioning'!$B$2:$B$1000),"Decommissioning","Provisioning"))</x:f>
        <x:v>Decommissioning</x:v>
      </x:c>
      <x:c r="C115" s="170" t="str">
        <x:f>IF(A115="","",IF(B115="Decommissioning",IFERROR(INDEX('Raw Decommissioning'!$E$2:$E$1000,MATCH(A115,'Raw Decommissioning'!$B$2:$B$1000,0)),"Missing from latest raw"),IFERROR(INDEX('Raw Provisioning'!$E$2:$E$1000,MATCH(A115,'Raw Provisioning'!$B$2:$B$1000,0)),"Missing from latest raw")))</x:f>
        <x:v>completed</x:v>
      </x:c>
      <x:c r="D115" s="171" t="n">
        <x:f>IF(A115="","",'Refresh Control'!$B$4)</x:f>
        <x:v>46254</x:v>
      </x:c>
      <x:c r="E115" s="171" t="n">
        <x:f>IF(A115="","",IF(B115="Decommissioning",INDEX('Raw Decommissioning'!$F$2:$F$1000,ROWS($A$5:A115)),INDEX('Raw Provisioning'!$F$2:$F$1000,ROWS($A$5:A115)-COUNTA('Raw Decommissioning'!$B$2:$B$1000))))</x:f>
        <x:v>46063.272692025464</x:v>
      </x:c>
      <x:c r="F115" s="171" t="n">
        <x:f>IF(A115="","",IF(B115="Decommissioning",INDEX('Raw Decommissioning'!$G$2:$G$1000,ROWS($A$5:A115)),INDEX('Raw Provisioning'!$H$2:$H$1000,ROWS($A$5:A115)-COUNTA('Raw Decommissioning'!$B$2:$B$1000))))</x:f>
        <x:v>46072.20979756944</x:v>
      </x:c>
      <x:c r="G115" s="170" t="str">
        <x:f>IF(A115="","",IF(B115="Decommissioning",INDEX('Raw Decommissioning'!$I$2:$I$1000,ROWS($A$5:A115)),INDEX('Raw Provisioning'!$J$2:$J$1000,ROWS($A$5:A115)-COUNTA('Raw Decommissioning'!$B$2:$B$1000))))</x:f>
        <x:v>Enterprise Data Hub - EDH</x:v>
      </x:c>
      <x:c r="H115" s="170" t="str">
        <x:f>IF(A115="","",IF(B115="Decommissioning",INDEX('Raw Decommissioning'!$J$2:$J$1000,ROWS($A$5:A115)),INDEX('Raw Provisioning'!$L$2:$L$1000,ROWS($A$5:A115)-COUNTA('Raw Decommissioning'!$B$2:$B$1000))))</x:f>
        <x:v>PETRONAS Enterprise Data Hub</x:v>
      </x:c>
      <x:c r="I115" s="170" t="str">
        <x:f>IF(A115="","",IF(B115="Decommissioning",INDEX('Raw Decommissioning'!$AL$2:$AL$1000,ROWS($A$5:A115)),INDEX('Raw Provisioning'!$R$2:$R$1000,ROWS($A$5:A115)-COUNTA('Raw Decommissioning'!$B$2:$B$1000))))</x:f>
        <x:v>M</x:v>
      </x:c>
      <x:c r="J115" s="170" t="str">
        <x:f>IF(A115="","",IF(B115="Decommissioning",INDEX('Raw Decommissioning'!$AG$2:$AG$1000,ROWS($A$5:A115)),INDEX('Raw Provisioning'!$AI$2:$AI$1000,ROWS($A$5:A115)-COUNTA('Raw Decommissioning'!$B$2:$B$1000))))</x:f>
        <x:v>azlisham.md@petronas.com</x:v>
      </x:c>
      <x:c r="K115" s="172" t="str">
        <x:f>IF(A115="","",IFERROR(LOOKUP(2,1/('Assignment History'!$B$5:$B$204=A115),'Assignment History'!$D$5:$D$204),IFERROR(VLOOKUP(J115,Configuration!$L$5:$M$50,2,FALSE),J115)))</x:f>
        <x:v>azlisham.md@petronas.com</x:v>
      </x:c>
      <x:c r="L115" s="172" t="str">
        <x:f>IF(A115="","",IF(K115=IFERROR(VLOOKUP(J115,Configuration!$L$5:$M$50,2,FALSE),J115),"Snapshot PIC","Replacement PIC"))</x:f>
        <x:v>Snapshot PIC</x:v>
      </x:c>
      <x:c r="M115" s="172" t="n">
        <x:f>IF(A115="","",IFERROR(VLOOKUP(I115,Configuration!$O$5:$P$8,2,FALSE),Configuration!$S$6))</x:f>
        <x:v>2</x:v>
      </x:c>
      <x:c r="N115" s="172" t="str">
        <x:f>IF(A115="","",IFERROR(LOOKUP(2,1/('Scope Review'!$B$5:$B$204=A115),'Scope Review'!$G$5:$G$204),"Not Reviewed"))</x:f>
        <x:v>Not Reviewed</x:v>
      </x:c>
      <x:c r="O115" s="172" t="str">
        <x:f>IF(A115="","",IFERROR(LOOKUP(2,1/('Scope Review'!$B$5:$B$204=A115),'Scope Review'!$H$5:$H$204),""))</x:f>
      </x:c>
      <x:c r="P115" s="172" t="n">
        <x:f>IF(A115="","",IF(AND(C115="executing",N115&lt;&gt;"Confirmed OOS"),M115,0))</x:f>
        <x:v>0</x:v>
      </x:c>
      <x:c r="Q115" s="173" t="str">
        <x:f>IF(A115="","",IFERROR(LOOKUP(2,1/('Engineer Updates'!$B$5:$B$704=A115),'Engineer Updates'!$A$5:$A$704),""))</x:f>
      </x:c>
      <x:c r="R115" s="172" t="str">
        <x:f>IF(A115="","",IFERROR(LOOKUP(2,1/('Engineer Updates'!$B$5:$B$704=A115),'Engineer Updates'!$H$5:$H$704),""))</x:f>
      </x:c>
      <x:c r="S115" s="172" t="str">
        <x:f>IF(A115="","",IFERROR(LOOKUP(2,1/('Engineer Updates'!$B$5:$B$704=A115),'Engineer Updates'!$G$5:$G$704),""))</x:f>
      </x:c>
      <x:c r="T115" s="172" t="str">
        <x:f>IF(A115="","",IFERROR(LOOKUP(2,1/('Engineer Updates'!$B$5:$B$704=A115),'Engineer Updates'!$I$5:$I$704),""))</x:f>
      </x:c>
      <x:c r="U115" s="172" t="str">
        <x:f>IF(A115="","",IFERROR(LOOKUP(2,1/('Engineer Updates'!$B$5:$B$704=A115),'Engineer Updates'!$J$5:$J$704),""))</x:f>
      </x:c>
      <x:c r="V115" s="172" t="str">
        <x:f>IF(A115="","",IFERROR(LOOKUP(2,1/('Engineer Updates'!$B$5:$B$704=A115),'Engineer Updates'!$K$5:$K$704),""))</x:f>
      </x:c>
      <x:c r="W115" s="174" t="str">
        <x:f>IF(A115="","",IFERROR(LOOKUP(2,1/('Engineer Updates'!$B$5:$B$704=A115),'Engineer Updates'!$L$5:$L$704),""))</x:f>
      </x:c>
      <x:c r="X115" s="170" t="str">
        <x:f>IF(A115="","",IF(C115="completed","Completed in CSSP",IF(AND(C115="executing",ISERROR(SEARCH("@",K115))),"Executing without named engineer",IF(AND(N115="Confirmed OOS",C115="executing"),"Confirmed OOS still executing",""))))</x:f>
        <x:v>Completed in CSSP</x:v>
      </x:c>
      <x:c r="Y115" s="170" t="str">
        <x:f>IF(A115="","",IF(B115="Decommissioning","Raw Decommissioning","Raw Provisioning"))</x:f>
        <x:v>Raw Decommissioning</x:v>
      </x:c>
      <x:c r="Z115" s="170" t="str">
        <x:f>IF(A115="","",IF(OR(C115="executing",C115="processing"),"Yes","No"))</x:f>
        <x:v>No</x:v>
      </x:c>
    </x:row>
    <x:row r="116">
      <x:c r="A116" s="170" t="str">
        <x:f>IF(ROWS($A$5:A116)&lt;=COUNTA('Raw Decommissioning'!$B$2:$B$1000),INDEX('Raw Decommissioning'!$B$2:$B$1000,ROWS($A$5:A116)),IF(ROWS($A$5:A116)-COUNTA('Raw Decommissioning'!$B$2:$B$1000)&lt;=COUNTA('Raw Provisioning'!$B$2:$B$1000),INDEX('Raw Provisioning'!$B$2:$B$1000,ROWS($A$5:A116)-COUNTA('Raw Decommissioning'!$B$2:$B$1000)),""))</x:f>
        <x:v>CSSP10566358</x:v>
      </x:c>
      <x:c r="B116" s="170" t="str">
        <x:f>IF(A116="","",IF(ROWS($A$5:A116)&lt;=COUNTA('Raw Decommissioning'!$B$2:$B$1000),"Decommissioning","Provisioning"))</x:f>
        <x:v>Decommissioning</x:v>
      </x:c>
      <x:c r="C116" s="170" t="str">
        <x:f>IF(A116="","",IF(B116="Decommissioning",IFERROR(INDEX('Raw Decommissioning'!$E$2:$E$1000,MATCH(A116,'Raw Decommissioning'!$B$2:$B$1000,0)),"Missing from latest raw"),IFERROR(INDEX('Raw Provisioning'!$E$2:$E$1000,MATCH(A116,'Raw Provisioning'!$B$2:$B$1000,0)),"Missing from latest raw")))</x:f>
        <x:v>pending</x:v>
      </x:c>
      <x:c r="D116" s="171" t="n">
        <x:f>IF(A116="","",'Refresh Control'!$B$4)</x:f>
        <x:v>46254</x:v>
      </x:c>
      <x:c r="E116" s="171" t="n">
        <x:f>IF(A116="","",IF(B116="Decommissioning",INDEX('Raw Decommissioning'!$F$2:$F$1000,ROWS($A$5:A116)),INDEX('Raw Provisioning'!$F$2:$F$1000,ROWS($A$5:A116)-COUNTA('Raw Decommissioning'!$B$2:$B$1000))))</x:f>
        <x:v>46064.06702991898</x:v>
      </x:c>
      <x:c r="F116" s="171" t="n">
        <x:f>IF(A116="","",IF(B116="Decommissioning",INDEX('Raw Decommissioning'!$G$2:$G$1000,ROWS($A$5:A116)),INDEX('Raw Provisioning'!$H$2:$H$1000,ROWS($A$5:A116)-COUNTA('Raw Decommissioning'!$B$2:$B$1000))))</x:f>
        <x:v>46064.10876396991</x:v>
      </x:c>
      <x:c r="G116" s="170" t="str">
        <x:f>IF(A116="","",IF(B116="Decommissioning",INDEX('Raw Decommissioning'!$I$2:$I$1000,ROWS($A$5:A116)),INDEX('Raw Provisioning'!$J$2:$J$1000,ROWS($A$5:A116)-COUNTA('Raw Decommissioning'!$B$2:$B$1000))))</x:f>
        <x:v>Raphael R4 - Development of Analytics on GasLNG Products Forecast</x:v>
      </x:c>
      <x:c r="H116" s="170" t="str">
        <x:f>IF(A116="","",IF(B116="Decommissioning",INDEX('Raw Decommissioning'!$J$2:$J$1000,ROWS($A$5:A116)),INDEX('Raw Provisioning'!$L$2:$L$1000,ROWS($A$5:A116)-COUNTA('Raw Decommissioning'!$B$2:$B$1000))))</x:f>
        <x:v>Project Raphael R4 - Analytics on Gas/LNG Products Forecast</x:v>
      </x:c>
      <x:c r="I116" s="170" t="str">
        <x:f>IF(A116="","",IF(B116="Decommissioning",INDEX('Raw Decommissioning'!$AL$2:$AL$1000,ROWS($A$5:A116)),INDEX('Raw Provisioning'!$R$2:$R$1000,ROWS($A$5:A116)-COUNTA('Raw Decommissioning'!$B$2:$B$1000))))</x:f>
      </x:c>
      <x:c r="J116" s="170" t="str">
        <x:f>IF(A116="","",IF(B116="Decommissioning",INDEX('Raw Decommissioning'!$AG$2:$AG$1000,ROWS($A$5:A116)),INDEX('Raw Provisioning'!$AI$2:$AI$1000,ROWS($A$5:A116)-COUNTA('Raw Decommissioning'!$B$2:$B$1000))))</x:f>
        <x:v>CCoE Business</x:v>
      </x:c>
      <x:c r="K116" s="172" t="str">
        <x:f>IF(A116="","",IFERROR(LOOKUP(2,1/('Assignment History'!$B$5:$B$204=A116),'Assignment History'!$D$5:$D$204),IFERROR(VLOOKUP(J116,Configuration!$L$5:$M$50,2,FALSE),J116)))</x:f>
        <x:v>CCoE Business</x:v>
      </x:c>
      <x:c r="L116" s="172" t="str">
        <x:f>IF(A116="","",IF(K116=IFERROR(VLOOKUP(J116,Configuration!$L$5:$M$50,2,FALSE),J116),"Snapshot PIC","Replacement PIC"))</x:f>
        <x:v>Snapshot PIC</x:v>
      </x:c>
      <x:c r="M116" s="172" t="n">
        <x:f>IF(A116="","",IFERROR(VLOOKUP(I116,Configuration!$O$5:$P$8,2,FALSE),Configuration!$S$6))</x:f>
        <x:v>2</x:v>
      </x:c>
      <x:c r="N116" s="172" t="str">
        <x:f>IF(A116="","",IFERROR(LOOKUP(2,1/('Scope Review'!$B$5:$B$204=A116),'Scope Review'!$G$5:$G$204),"Not Reviewed"))</x:f>
        <x:v>Not Reviewed</x:v>
      </x:c>
      <x:c r="O116" s="172" t="str">
        <x:f>IF(A116="","",IFERROR(LOOKUP(2,1/('Scope Review'!$B$5:$B$204=A116),'Scope Review'!$H$5:$H$204),""))</x:f>
      </x:c>
      <x:c r="P116" s="172" t="n">
        <x:f>IF(A116="","",IF(AND(C116="executing",N116&lt;&gt;"Confirmed OOS"),M116,0))</x:f>
        <x:v>0</x:v>
      </x:c>
      <x:c r="Q116" s="173" t="str">
        <x:f>IF(A116="","",IFERROR(LOOKUP(2,1/('Engineer Updates'!$B$5:$B$704=A116),'Engineer Updates'!$A$5:$A$704),""))</x:f>
      </x:c>
      <x:c r="R116" s="172" t="str">
        <x:f>IF(A116="","",IFERROR(LOOKUP(2,1/('Engineer Updates'!$B$5:$B$704=A116),'Engineer Updates'!$H$5:$H$704),""))</x:f>
      </x:c>
      <x:c r="S116" s="172" t="str">
        <x:f>IF(A116="","",IFERROR(LOOKUP(2,1/('Engineer Updates'!$B$5:$B$704=A116),'Engineer Updates'!$G$5:$G$704),""))</x:f>
      </x:c>
      <x:c r="T116" s="172" t="str">
        <x:f>IF(A116="","",IFERROR(LOOKUP(2,1/('Engineer Updates'!$B$5:$B$704=A116),'Engineer Updates'!$I$5:$I$704),""))</x:f>
      </x:c>
      <x:c r="U116" s="172" t="str">
        <x:f>IF(A116="","",IFERROR(LOOKUP(2,1/('Engineer Updates'!$B$5:$B$704=A116),'Engineer Updates'!$J$5:$J$704),""))</x:f>
      </x:c>
      <x:c r="V116" s="172" t="str">
        <x:f>IF(A116="","",IFERROR(LOOKUP(2,1/('Engineer Updates'!$B$5:$B$704=A116),'Engineer Updates'!$K$5:$K$704),""))</x:f>
      </x:c>
      <x:c r="W116" s="174" t="str">
        <x:f>IF(A116="","",IFERROR(LOOKUP(2,1/('Engineer Updates'!$B$5:$B$704=A116),'Engineer Updates'!$L$5:$L$704),""))</x:f>
      </x:c>
      <x:c r="X116" s="170" t="str">
        <x:f>IF(A116="","",IF(C116="completed","Completed in CSSP",IF(AND(C116="executing",ISERROR(SEARCH("@",K116))),"Executing without named engineer",IF(AND(N116="Confirmed OOS",C116="executing"),"Confirmed OOS still executing",""))))</x:f>
      </x:c>
      <x:c r="Y116" s="170" t="str">
        <x:f>IF(A116="","",IF(B116="Decommissioning","Raw Decommissioning","Raw Provisioning"))</x:f>
        <x:v>Raw Decommissioning</x:v>
      </x:c>
      <x:c r="Z116" s="170" t="str">
        <x:f>IF(A116="","",IF(OR(C116="executing",C116="processing"),"Yes","No"))</x:f>
        <x:v>No</x:v>
      </x:c>
    </x:row>
    <x:row r="117">
      <x:c r="A117" s="170" t="str">
        <x:f>IF(ROWS($A$5:A117)&lt;=COUNTA('Raw Decommissioning'!$B$2:$B$1000),INDEX('Raw Decommissioning'!$B$2:$B$1000,ROWS($A$5:A117)),IF(ROWS($A$5:A117)-COUNTA('Raw Decommissioning'!$B$2:$B$1000)&lt;=COUNTA('Raw Provisioning'!$B$2:$B$1000),INDEX('Raw Provisioning'!$B$2:$B$1000,ROWS($A$5:A117)-COUNTA('Raw Decommissioning'!$B$2:$B$1000)),""))</x:f>
        <x:v>CSSP10445227</x:v>
      </x:c>
      <x:c r="B117" s="170" t="str">
        <x:f>IF(A117="","",IF(ROWS($A$5:A117)&lt;=COUNTA('Raw Decommissioning'!$B$2:$B$1000),"Decommissioning","Provisioning"))</x:f>
        <x:v>Decommissioning</x:v>
      </x:c>
      <x:c r="C117" s="170" t="str">
        <x:f>IF(A117="","",IF(B117="Decommissioning",IFERROR(INDEX('Raw Decommissioning'!$E$2:$E$1000,MATCH(A117,'Raw Decommissioning'!$B$2:$B$1000,0)),"Missing from latest raw"),IFERROR(INDEX('Raw Provisioning'!$E$2:$E$1000,MATCH(A117,'Raw Provisioning'!$B$2:$B$1000,0)),"Missing from latest raw")))</x:f>
        <x:v>cancelled</x:v>
      </x:c>
      <x:c r="D117" s="171" t="n">
        <x:f>IF(A117="","",'Refresh Control'!$B$4)</x:f>
        <x:v>46254</x:v>
      </x:c>
      <x:c r="E117" s="171" t="n">
        <x:f>IF(A117="","",IF(B117="Decommissioning",INDEX('Raw Decommissioning'!$F$2:$F$1000,ROWS($A$5:A117)),INDEX('Raw Provisioning'!$F$2:$F$1000,ROWS($A$5:A117)-COUNTA('Raw Decommissioning'!$B$2:$B$1000))))</x:f>
        <x:v>46065.26859399305</x:v>
      </x:c>
      <x:c r="F117" s="171" t="n">
        <x:f>IF(A117="","",IF(B117="Decommissioning",INDEX('Raw Decommissioning'!$G$2:$G$1000,ROWS($A$5:A117)),INDEX('Raw Provisioning'!$H$2:$H$1000,ROWS($A$5:A117)-COUNTA('Raw Decommissioning'!$B$2:$B$1000))))</x:f>
        <x:v>46066.16237266204</x:v>
      </x:c>
      <x:c r="G117" s="170" t="str">
        <x:f>IF(A117="","",IF(B117="Decommissioning",INDEX('Raw Decommissioning'!$I$2:$I$1000,ROWS($A$5:A117)),INDEX('Raw Provisioning'!$J$2:$J$1000,ROWS($A$5:A117)-COUNTA('Raw Decommissioning'!$B$2:$B$1000))))</x:f>
        <x:v>Raphael R4 - Development of Analytics on GasLNG Products Forecast</x:v>
      </x:c>
      <x:c r="H117" s="170" t="str">
        <x:f>IF(A117="","",IF(B117="Decommissioning",INDEX('Raw Decommissioning'!$J$2:$J$1000,ROWS($A$5:A117)),INDEX('Raw Provisioning'!$L$2:$L$1000,ROWS($A$5:A117)-COUNTA('Raw Decommissioning'!$B$2:$B$1000))))</x:f>
        <x:v>Project Raphael R4 - Analytics on Gas/LNG Products Forecast</x:v>
      </x:c>
      <x:c r="I117" s="170" t="str">
        <x:f>IF(A117="","",IF(B117="Decommissioning",INDEX('Raw Decommissioning'!$AL$2:$AL$1000,ROWS($A$5:A117)),INDEX('Raw Provisioning'!$R$2:$R$1000,ROWS($A$5:A117)-COUNTA('Raw Decommissioning'!$B$2:$B$1000))))</x:f>
      </x:c>
      <x:c r="J117" s="170" t="str">
        <x:f>IF(A117="","",IF(B117="Decommissioning",INDEX('Raw Decommissioning'!$AG$2:$AG$1000,ROWS($A$5:A117)),INDEX('Raw Provisioning'!$AI$2:$AI$1000,ROWS($A$5:A117)-COUNTA('Raw Decommissioning'!$B$2:$B$1000))))</x:f>
        <x:v>CCoE Business</x:v>
      </x:c>
      <x:c r="K117" s="172" t="str">
        <x:f>IF(A117="","",IFERROR(LOOKUP(2,1/('Assignment History'!$B$5:$B$204=A117),'Assignment History'!$D$5:$D$204),IFERROR(VLOOKUP(J117,Configuration!$L$5:$M$50,2,FALSE),J117)))</x:f>
        <x:v>CCoE Business</x:v>
      </x:c>
      <x:c r="L117" s="172" t="str">
        <x:f>IF(A117="","",IF(K117=IFERROR(VLOOKUP(J117,Configuration!$L$5:$M$50,2,FALSE),J117),"Snapshot PIC","Replacement PIC"))</x:f>
        <x:v>Snapshot PIC</x:v>
      </x:c>
      <x:c r="M117" s="172" t="n">
        <x:f>IF(A117="","",IFERROR(VLOOKUP(I117,Configuration!$O$5:$P$8,2,FALSE),Configuration!$S$6))</x:f>
        <x:v>2</x:v>
      </x:c>
      <x:c r="N117" s="172" t="str">
        <x:f>IF(A117="","",IFERROR(LOOKUP(2,1/('Scope Review'!$B$5:$B$204=A117),'Scope Review'!$G$5:$G$204),"Not Reviewed"))</x:f>
        <x:v>Not Reviewed</x:v>
      </x:c>
      <x:c r="O117" s="172" t="str">
        <x:f>IF(A117="","",IFERROR(LOOKUP(2,1/('Scope Review'!$B$5:$B$204=A117),'Scope Review'!$H$5:$H$204),""))</x:f>
      </x:c>
      <x:c r="P117" s="172" t="n">
        <x:f>IF(A117="","",IF(AND(C117="executing",N117&lt;&gt;"Confirmed OOS"),M117,0))</x:f>
        <x:v>0</x:v>
      </x:c>
      <x:c r="Q117" s="173" t="str">
        <x:f>IF(A117="","",IFERROR(LOOKUP(2,1/('Engineer Updates'!$B$5:$B$704=A117),'Engineer Updates'!$A$5:$A$704),""))</x:f>
      </x:c>
      <x:c r="R117" s="172" t="str">
        <x:f>IF(A117="","",IFERROR(LOOKUP(2,1/('Engineer Updates'!$B$5:$B$704=A117),'Engineer Updates'!$H$5:$H$704),""))</x:f>
      </x:c>
      <x:c r="S117" s="172" t="str">
        <x:f>IF(A117="","",IFERROR(LOOKUP(2,1/('Engineer Updates'!$B$5:$B$704=A117),'Engineer Updates'!$G$5:$G$704),""))</x:f>
      </x:c>
      <x:c r="T117" s="172" t="str">
        <x:f>IF(A117="","",IFERROR(LOOKUP(2,1/('Engineer Updates'!$B$5:$B$704=A117),'Engineer Updates'!$I$5:$I$704),""))</x:f>
      </x:c>
      <x:c r="U117" s="172" t="str">
        <x:f>IF(A117="","",IFERROR(LOOKUP(2,1/('Engineer Updates'!$B$5:$B$704=A117),'Engineer Updates'!$J$5:$J$704),""))</x:f>
      </x:c>
      <x:c r="V117" s="172" t="str">
        <x:f>IF(A117="","",IFERROR(LOOKUP(2,1/('Engineer Updates'!$B$5:$B$704=A117),'Engineer Updates'!$K$5:$K$704),""))</x:f>
      </x:c>
      <x:c r="W117" s="174" t="str">
        <x:f>IF(A117="","",IFERROR(LOOKUP(2,1/('Engineer Updates'!$B$5:$B$704=A117),'Engineer Updates'!$L$5:$L$704),""))</x:f>
      </x:c>
      <x:c r="X117" s="170" t="str">
        <x:f>IF(A117="","",IF(C117="completed","Completed in CSSP",IF(AND(C117="executing",ISERROR(SEARCH("@",K117))),"Executing without named engineer",IF(AND(N117="Confirmed OOS",C117="executing"),"Confirmed OOS still executing",""))))</x:f>
      </x:c>
      <x:c r="Y117" s="170" t="str">
        <x:f>IF(A117="","",IF(B117="Decommissioning","Raw Decommissioning","Raw Provisioning"))</x:f>
        <x:v>Raw Decommissioning</x:v>
      </x:c>
      <x:c r="Z117" s="170" t="str">
        <x:f>IF(A117="","",IF(OR(C117="executing",C117="processing"),"Yes","No"))</x:f>
        <x:v>No</x:v>
      </x:c>
    </x:row>
    <x:row r="118">
      <x:c r="A118" s="170" t="str">
        <x:f>IF(ROWS($A$5:A118)&lt;=COUNTA('Raw Decommissioning'!$B$2:$B$1000),INDEX('Raw Decommissioning'!$B$2:$B$1000,ROWS($A$5:A118)),IF(ROWS($A$5:A118)-COUNTA('Raw Decommissioning'!$B$2:$B$1000)&lt;=COUNTA('Raw Provisioning'!$B$2:$B$1000),INDEX('Raw Provisioning'!$B$2:$B$1000,ROWS($A$5:A118)-COUNTA('Raw Decommissioning'!$B$2:$B$1000)),""))</x:f>
        <x:v>CSSP10401822</x:v>
      </x:c>
      <x:c r="B118" s="170" t="str">
        <x:f>IF(A118="","",IF(ROWS($A$5:A118)&lt;=COUNTA('Raw Decommissioning'!$B$2:$B$1000),"Decommissioning","Provisioning"))</x:f>
        <x:v>Decommissioning</x:v>
      </x:c>
      <x:c r="C118" s="170" t="str">
        <x:f>IF(A118="","",IF(B118="Decommissioning",IFERROR(INDEX('Raw Decommissioning'!$E$2:$E$1000,MATCH(A118,'Raw Decommissioning'!$B$2:$B$1000,0)),"Missing from latest raw"),IFERROR(INDEX('Raw Provisioning'!$E$2:$E$1000,MATCH(A118,'Raw Provisioning'!$B$2:$B$1000,0)),"Missing from latest raw")))</x:f>
        <x:v>cancelled</x:v>
      </x:c>
      <x:c r="D118" s="171" t="n">
        <x:f>IF(A118="","",'Refresh Control'!$B$4)</x:f>
        <x:v>46254</x:v>
      </x:c>
      <x:c r="E118" s="171" t="n">
        <x:f>IF(A118="","",IF(B118="Decommissioning",INDEX('Raw Decommissioning'!$F$2:$F$1000,ROWS($A$5:A118)),INDEX('Raw Provisioning'!$F$2:$F$1000,ROWS($A$5:A118)-COUNTA('Raw Decommissioning'!$B$2:$B$1000))))</x:f>
        <x:v>46065.32301298611</x:v>
      </x:c>
      <x:c r="F118" s="171" t="n">
        <x:f>IF(A118="","",IF(B118="Decommissioning",INDEX('Raw Decommissioning'!$G$2:$G$1000,ROWS($A$5:A118)),INDEX('Raw Provisioning'!$H$2:$H$1000,ROWS($A$5:A118)-COUNTA('Raw Decommissioning'!$B$2:$B$1000))))</x:f>
        <x:v>46113.12259532407</x:v>
      </x:c>
      <x:c r="G118" s="170" t="str">
        <x:f>IF(A118="","",IF(B118="Decommissioning",INDEX('Raw Decommissioning'!$I$2:$I$1000,ROWS($A$5:A118)),INDEX('Raw Provisioning'!$J$2:$J$1000,ROWS($A$5:A118)-COUNTA('Raw Decommissioning'!$B$2:$B$1000))))</x:f>
        <x:v>Drillbench and Engineering Desktop - EDT</x:v>
      </x:c>
      <x:c r="H118" s="170" t="str">
        <x:f>IF(A118="","",IF(B118="Decommissioning",INDEX('Raw Decommissioning'!$J$2:$J$1000,ROWS($A$5:A118)),INDEX('Raw Provisioning'!$L$2:$L$1000,ROWS($A$5:A118)-COUNTA('Raw Decommissioning'!$B$2:$B$1000))))</x:f>
        <x:v>Cloud Migration- Drillbench &amp;EDM (EDT)</x:v>
      </x:c>
      <x:c r="I118" s="170" t="str">
        <x:f>IF(A118="","",IF(B118="Decommissioning",INDEX('Raw Decommissioning'!$AL$2:$AL$1000,ROWS($A$5:A118)),INDEX('Raw Provisioning'!$R$2:$R$1000,ROWS($A$5:A118)-COUNTA('Raw Decommissioning'!$B$2:$B$1000))))</x:f>
      </x:c>
      <x:c r="J118" s="170" t="str">
        <x:f>IF(A118="","",IF(B118="Decommissioning",INDEX('Raw Decommissioning'!$AG$2:$AG$1000,ROWS($A$5:A118)),INDEX('Raw Provisioning'!$AI$2:$AI$1000,ROWS($A$5:A118)-COUNTA('Raw Decommissioning'!$B$2:$B$1000))))</x:f>
        <x:v>CCoE Operations</x:v>
      </x:c>
      <x:c r="K118" s="172" t="str">
        <x:f>IF(A118="","",IFERROR(LOOKUP(2,1/('Assignment History'!$B$5:$B$204=A118),'Assignment History'!$D$5:$D$204),IFERROR(VLOOKUP(J118,Configuration!$L$5:$M$50,2,FALSE),J118)))</x:f>
        <x:v>CCoE Operations</x:v>
      </x:c>
      <x:c r="L118" s="172" t="str">
        <x:f>IF(A118="","",IF(K118=IFERROR(VLOOKUP(J118,Configuration!$L$5:$M$50,2,FALSE),J118),"Snapshot PIC","Replacement PIC"))</x:f>
        <x:v>Snapshot PIC</x:v>
      </x:c>
      <x:c r="M118" s="172" t="n">
        <x:f>IF(A118="","",IFERROR(VLOOKUP(I118,Configuration!$O$5:$P$8,2,FALSE),Configuration!$S$6))</x:f>
        <x:v>2</x:v>
      </x:c>
      <x:c r="N118" s="172" t="str">
        <x:f>IF(A118="","",IFERROR(LOOKUP(2,1/('Scope Review'!$B$5:$B$204=A118),'Scope Review'!$G$5:$G$204),"Not Reviewed"))</x:f>
        <x:v>Not Reviewed</x:v>
      </x:c>
      <x:c r="O118" s="172" t="str">
        <x:f>IF(A118="","",IFERROR(LOOKUP(2,1/('Scope Review'!$B$5:$B$204=A118),'Scope Review'!$H$5:$H$204),""))</x:f>
      </x:c>
      <x:c r="P118" s="172" t="n">
        <x:f>IF(A118="","",IF(AND(C118="executing",N118&lt;&gt;"Confirmed OOS"),M118,0))</x:f>
        <x:v>0</x:v>
      </x:c>
      <x:c r="Q118" s="173" t="str">
        <x:f>IF(A118="","",IFERROR(LOOKUP(2,1/('Engineer Updates'!$B$5:$B$704=A118),'Engineer Updates'!$A$5:$A$704),""))</x:f>
      </x:c>
      <x:c r="R118" s="172" t="str">
        <x:f>IF(A118="","",IFERROR(LOOKUP(2,1/('Engineer Updates'!$B$5:$B$704=A118),'Engineer Updates'!$H$5:$H$704),""))</x:f>
      </x:c>
      <x:c r="S118" s="172" t="str">
        <x:f>IF(A118="","",IFERROR(LOOKUP(2,1/('Engineer Updates'!$B$5:$B$704=A118),'Engineer Updates'!$G$5:$G$704),""))</x:f>
      </x:c>
      <x:c r="T118" s="172" t="str">
        <x:f>IF(A118="","",IFERROR(LOOKUP(2,1/('Engineer Updates'!$B$5:$B$704=A118),'Engineer Updates'!$I$5:$I$704),""))</x:f>
      </x:c>
      <x:c r="U118" s="172" t="str">
        <x:f>IF(A118="","",IFERROR(LOOKUP(2,1/('Engineer Updates'!$B$5:$B$704=A118),'Engineer Updates'!$J$5:$J$704),""))</x:f>
      </x:c>
      <x:c r="V118" s="172" t="str">
        <x:f>IF(A118="","",IFERROR(LOOKUP(2,1/('Engineer Updates'!$B$5:$B$704=A118),'Engineer Updates'!$K$5:$K$704),""))</x:f>
      </x:c>
      <x:c r="W118" s="174" t="str">
        <x:f>IF(A118="","",IFERROR(LOOKUP(2,1/('Engineer Updates'!$B$5:$B$704=A118),'Engineer Updates'!$L$5:$L$704),""))</x:f>
      </x:c>
      <x:c r="X118" s="170" t="str">
        <x:f>IF(A118="","",IF(C118="completed","Completed in CSSP",IF(AND(C118="executing",ISERROR(SEARCH("@",K118))),"Executing without named engineer",IF(AND(N118="Confirmed OOS",C118="executing"),"Confirmed OOS still executing",""))))</x:f>
      </x:c>
      <x:c r="Y118" s="170" t="str">
        <x:f>IF(A118="","",IF(B118="Decommissioning","Raw Decommissioning","Raw Provisioning"))</x:f>
        <x:v>Raw Decommissioning</x:v>
      </x:c>
      <x:c r="Z118" s="170" t="str">
        <x:f>IF(A118="","",IF(OR(C118="executing",C118="processing"),"Yes","No"))</x:f>
        <x:v>No</x:v>
      </x:c>
    </x:row>
    <x:row r="119">
      <x:c r="A119" s="170" t="str">
        <x:f>IF(ROWS($A$5:A119)&lt;=COUNTA('Raw Decommissioning'!$B$2:$B$1000),INDEX('Raw Decommissioning'!$B$2:$B$1000,ROWS($A$5:A119)),IF(ROWS($A$5:A119)-COUNTA('Raw Decommissioning'!$B$2:$B$1000)&lt;=COUNTA('Raw Provisioning'!$B$2:$B$1000),INDEX('Raw Provisioning'!$B$2:$B$1000,ROWS($A$5:A119)-COUNTA('Raw Decommissioning'!$B$2:$B$1000)),""))</x:f>
        <x:v>CSSP10873376</x:v>
      </x:c>
      <x:c r="B119" s="170" t="str">
        <x:f>IF(A119="","",IF(ROWS($A$5:A119)&lt;=COUNTA('Raw Decommissioning'!$B$2:$B$1000),"Decommissioning","Provisioning"))</x:f>
        <x:v>Decommissioning</x:v>
      </x:c>
      <x:c r="C119" s="170" t="str">
        <x:f>IF(A119="","",IF(B119="Decommissioning",IFERROR(INDEX('Raw Decommissioning'!$E$2:$E$1000,MATCH(A119,'Raw Decommissioning'!$B$2:$B$1000,0)),"Missing from latest raw"),IFERROR(INDEX('Raw Provisioning'!$E$2:$E$1000,MATCH(A119,'Raw Provisioning'!$B$2:$B$1000,0)),"Missing from latest raw")))</x:f>
        <x:v>completed</x:v>
      </x:c>
      <x:c r="D119" s="171" t="n">
        <x:f>IF(A119="","",'Refresh Control'!$B$4)</x:f>
        <x:v>46254</x:v>
      </x:c>
      <x:c r="E119" s="171" t="n">
        <x:f>IF(A119="","",IF(B119="Decommissioning",INDEX('Raw Decommissioning'!$F$2:$F$1000,ROWS($A$5:A119)),INDEX('Raw Provisioning'!$F$2:$F$1000,ROWS($A$5:A119)-COUNTA('Raw Decommissioning'!$B$2:$B$1000))))</x:f>
        <x:v>46066.16336332176</x:v>
      </x:c>
      <x:c r="F119" s="171" t="n">
        <x:f>IF(A119="","",IF(B119="Decommissioning",INDEX('Raw Decommissioning'!$G$2:$G$1000,ROWS($A$5:A119)),INDEX('Raw Provisioning'!$H$2:$H$1000,ROWS($A$5:A119)-COUNTA('Raw Decommissioning'!$B$2:$B$1000))))</x:f>
        <x:v>46084.32780146991</x:v>
      </x:c>
      <x:c r="G119" s="170" t="str">
        <x:f>IF(A119="","",IF(B119="Decommissioning",INDEX('Raw Decommissioning'!$I$2:$I$1000,ROWS($A$5:A119)),INDEX('Raw Provisioning'!$J$2:$J$1000,ROWS($A$5:A119)-COUNTA('Raw Decommissioning'!$B$2:$B$1000))))</x:f>
        <x:v>Raphael R4 - Development of Analytics on GasLNG Products Forecast</x:v>
      </x:c>
      <x:c r="H119" s="170" t="str">
        <x:f>IF(A119="","",IF(B119="Decommissioning",INDEX('Raw Decommissioning'!$J$2:$J$1000,ROWS($A$5:A119)),INDEX('Raw Provisioning'!$L$2:$L$1000,ROWS($A$5:A119)-COUNTA('Raw Decommissioning'!$B$2:$B$1000))))</x:f>
        <x:v>Project Raphael R4 - Analytics on Gas/LNG Products Forecast</x:v>
      </x:c>
      <x:c r="I119" s="170" t="str">
        <x:f>IF(A119="","",IF(B119="Decommissioning",INDEX('Raw Decommissioning'!$AL$2:$AL$1000,ROWS($A$5:A119)),INDEX('Raw Provisioning'!$R$2:$R$1000,ROWS($A$5:A119)-COUNTA('Raw Decommissioning'!$B$2:$B$1000))))</x:f>
        <x:v>L</x:v>
      </x:c>
      <x:c r="J119" s="170" t="str">
        <x:f>IF(A119="","",IF(B119="Decommissioning",INDEX('Raw Decommissioning'!$AG$2:$AG$1000,ROWS($A$5:A119)),INDEX('Raw Provisioning'!$AI$2:$AI$1000,ROWS($A$5:A119)-COUNTA('Raw Decommissioning'!$B$2:$B$1000))))</x:f>
        <x:v>azwan.badari@petronas.com</x:v>
      </x:c>
      <x:c r="K119" s="172" t="str">
        <x:f>IF(A119="","",IFERROR(LOOKUP(2,1/('Assignment History'!$B$5:$B$204=A119),'Assignment History'!$D$5:$D$204),IFERROR(VLOOKUP(J119,Configuration!$L$5:$M$50,2,FALSE),J119)))</x:f>
        <x:v>azwan.badari@petronas.com</x:v>
      </x:c>
      <x:c r="L119" s="172" t="str">
        <x:f>IF(A119="","",IF(K119=IFERROR(VLOOKUP(J119,Configuration!$L$5:$M$50,2,FALSE),J119),"Snapshot PIC","Replacement PIC"))</x:f>
        <x:v>Snapshot PIC</x:v>
      </x:c>
      <x:c r="M119" s="172" t="n">
        <x:f>IF(A119="","",IFERROR(VLOOKUP(I119,Configuration!$O$5:$P$8,2,FALSE),Configuration!$S$6))</x:f>
        <x:v>3</x:v>
      </x:c>
      <x:c r="N119" s="172" t="str">
        <x:f>IF(A119="","",IFERROR(LOOKUP(2,1/('Scope Review'!$B$5:$B$204=A119),'Scope Review'!$G$5:$G$204),"Not Reviewed"))</x:f>
        <x:v>Not Reviewed</x:v>
      </x:c>
      <x:c r="O119" s="172" t="str">
        <x:f>IF(A119="","",IFERROR(LOOKUP(2,1/('Scope Review'!$B$5:$B$204=A119),'Scope Review'!$H$5:$H$204),""))</x:f>
      </x:c>
      <x:c r="P119" s="172" t="n">
        <x:f>IF(A119="","",IF(AND(C119="executing",N119&lt;&gt;"Confirmed OOS"),M119,0))</x:f>
        <x:v>0</x:v>
      </x:c>
      <x:c r="Q119" s="173" t="str">
        <x:f>IF(A119="","",IFERROR(LOOKUP(2,1/('Engineer Updates'!$B$5:$B$704=A119),'Engineer Updates'!$A$5:$A$704),""))</x:f>
      </x:c>
      <x:c r="R119" s="172" t="str">
        <x:f>IF(A119="","",IFERROR(LOOKUP(2,1/('Engineer Updates'!$B$5:$B$704=A119),'Engineer Updates'!$H$5:$H$704),""))</x:f>
      </x:c>
      <x:c r="S119" s="172" t="str">
        <x:f>IF(A119="","",IFERROR(LOOKUP(2,1/('Engineer Updates'!$B$5:$B$704=A119),'Engineer Updates'!$G$5:$G$704),""))</x:f>
      </x:c>
      <x:c r="T119" s="172" t="str">
        <x:f>IF(A119="","",IFERROR(LOOKUP(2,1/('Engineer Updates'!$B$5:$B$704=A119),'Engineer Updates'!$I$5:$I$704),""))</x:f>
      </x:c>
      <x:c r="U119" s="172" t="str">
        <x:f>IF(A119="","",IFERROR(LOOKUP(2,1/('Engineer Updates'!$B$5:$B$704=A119),'Engineer Updates'!$J$5:$J$704),""))</x:f>
      </x:c>
      <x:c r="V119" s="172" t="str">
        <x:f>IF(A119="","",IFERROR(LOOKUP(2,1/('Engineer Updates'!$B$5:$B$704=A119),'Engineer Updates'!$K$5:$K$704),""))</x:f>
      </x:c>
      <x:c r="W119" s="174" t="str">
        <x:f>IF(A119="","",IFERROR(LOOKUP(2,1/('Engineer Updates'!$B$5:$B$704=A119),'Engineer Updates'!$L$5:$L$704),""))</x:f>
      </x:c>
      <x:c r="X119" s="170" t="str">
        <x:f>IF(A119="","",IF(C119="completed","Completed in CSSP",IF(AND(C119="executing",ISERROR(SEARCH("@",K119))),"Executing without named engineer",IF(AND(N119="Confirmed OOS",C119="executing"),"Confirmed OOS still executing",""))))</x:f>
        <x:v>Completed in CSSP</x:v>
      </x:c>
      <x:c r="Y119" s="170" t="str">
        <x:f>IF(A119="","",IF(B119="Decommissioning","Raw Decommissioning","Raw Provisioning"))</x:f>
        <x:v>Raw Decommissioning</x:v>
      </x:c>
      <x:c r="Z119" s="170" t="str">
        <x:f>IF(A119="","",IF(OR(C119="executing",C119="processing"),"Yes","No"))</x:f>
        <x:v>No</x:v>
      </x:c>
    </x:row>
    <x:row r="120">
      <x:c r="A120" s="170" t="str">
        <x:f>IF(ROWS($A$5:A120)&lt;=COUNTA('Raw Decommissioning'!$B$2:$B$1000),INDEX('Raw Decommissioning'!$B$2:$B$1000,ROWS($A$5:A120)),IF(ROWS($A$5:A120)-COUNTA('Raw Decommissioning'!$B$2:$B$1000)&lt;=COUNTA('Raw Provisioning'!$B$2:$B$1000),INDEX('Raw Provisioning'!$B$2:$B$1000,ROWS($A$5:A120)-COUNTA('Raw Decommissioning'!$B$2:$B$1000)),""))</x:f>
        <x:v>CSSP10248892</x:v>
      </x:c>
      <x:c r="B120" s="170" t="str">
        <x:f>IF(A120="","",IF(ROWS($A$5:A120)&lt;=COUNTA('Raw Decommissioning'!$B$2:$B$1000),"Decommissioning","Provisioning"))</x:f>
        <x:v>Decommissioning</x:v>
      </x:c>
      <x:c r="C120" s="170" t="str">
        <x:f>IF(A120="","",IF(B120="Decommissioning",IFERROR(INDEX('Raw Decommissioning'!$E$2:$E$1000,MATCH(A120,'Raw Decommissioning'!$B$2:$B$1000,0)),"Missing from latest raw"),IFERROR(INDEX('Raw Provisioning'!$E$2:$E$1000,MATCH(A120,'Raw Provisioning'!$B$2:$B$1000,0)),"Missing from latest raw")))</x:f>
        <x:v>completed</x:v>
      </x:c>
      <x:c r="D120" s="171" t="n">
        <x:f>IF(A120="","",'Refresh Control'!$B$4)</x:f>
        <x:v>46254</x:v>
      </x:c>
      <x:c r="E120" s="171" t="n">
        <x:f>IF(A120="","",IF(B120="Decommissioning",INDEX('Raw Decommissioning'!$F$2:$F$1000,ROWS($A$5:A120)),INDEX('Raw Provisioning'!$F$2:$F$1000,ROWS($A$5:A120)-COUNTA('Raw Decommissioning'!$B$2:$B$1000))))</x:f>
        <x:v>46072.023874004626</x:v>
      </x:c>
      <x:c r="F120" s="171" t="n">
        <x:f>IF(A120="","",IF(B120="Decommissioning",INDEX('Raw Decommissioning'!$G$2:$G$1000,ROWS($A$5:A120)),INDEX('Raw Provisioning'!$H$2:$H$1000,ROWS($A$5:A120)-COUNTA('Raw Decommissioning'!$B$2:$B$1000))))</x:f>
        <x:v>46093.12991672454</x:v>
      </x:c>
      <x:c r="G120" s="170" t="str">
        <x:f>IF(A120="","",IF(B120="Decommissioning",INDEX('Raw Decommissioning'!$I$2:$I$1000,ROWS($A$5:A120)),INDEX('Raw Provisioning'!$J$2:$J$1000,ROWS($A$5:A120)-COUNTA('Raw Decommissioning'!$B$2:$B$1000))))</x:f>
        <x:v>Electronic Permit To Work - ePTW KPOC</x:v>
      </x:c>
      <x:c r="H120" s="170" t="str">
        <x:f>IF(A120="","",IF(B120="Decommissioning",INDEX('Raw Decommissioning'!$J$2:$J$1000,ROWS($A$5:A120)),INDEX('Raw Provisioning'!$L$2:$L$1000,ROWS($A$5:A120)-COUNTA('Raw Decommissioning'!$B$2:$B$1000))))</x:f>
        <x:v>Implementation of ePTW system and Support &amp; Maintenance for Kebabangan Petroleum Operating Company Sdn. Bhd (KPOC) for Virtus IP Sdn Bhd - ePTW Commercial (Production) (Formelrly known as: ePTW (KPOC))</x:v>
      </x:c>
      <x:c r="I120" s="170" t="str">
        <x:f>IF(A120="","",IF(B120="Decommissioning",INDEX('Raw Decommissioning'!$AL$2:$AL$1000,ROWS($A$5:A120)),INDEX('Raw Provisioning'!$R$2:$R$1000,ROWS($A$5:A120)-COUNTA('Raw Decommissioning'!$B$2:$B$1000))))</x:f>
        <x:v>M</x:v>
      </x:c>
      <x:c r="J120" s="170" t="str">
        <x:f>IF(A120="","",IF(B120="Decommissioning",INDEX('Raw Decommissioning'!$AG$2:$AG$1000,ROWS($A$5:A120)),INDEX('Raw Provisioning'!$AI$2:$AI$1000,ROWS($A$5:A120)-COUNTA('Raw Decommissioning'!$B$2:$B$1000))))</x:f>
        <x:v>ismail.azman@petronas.com</x:v>
      </x:c>
      <x:c r="K120" s="172" t="str">
        <x:f>IF(A120="","",IFERROR(LOOKUP(2,1/('Assignment History'!$B$5:$B$204=A120),'Assignment History'!$D$5:$D$204),IFERROR(VLOOKUP(J120,Configuration!$L$5:$M$50,2,FALSE),J120)))</x:f>
        <x:v>ismail.azman@petronas.com</x:v>
      </x:c>
      <x:c r="L120" s="172" t="str">
        <x:f>IF(A120="","",IF(K120=IFERROR(VLOOKUP(J120,Configuration!$L$5:$M$50,2,FALSE),J120),"Snapshot PIC","Replacement PIC"))</x:f>
        <x:v>Snapshot PIC</x:v>
      </x:c>
      <x:c r="M120" s="172" t="n">
        <x:f>IF(A120="","",IFERROR(VLOOKUP(I120,Configuration!$O$5:$P$8,2,FALSE),Configuration!$S$6))</x:f>
        <x:v>2</x:v>
      </x:c>
      <x:c r="N120" s="172" t="str">
        <x:f>IF(A120="","",IFERROR(LOOKUP(2,1/('Scope Review'!$B$5:$B$204=A120),'Scope Review'!$G$5:$G$204),"Not Reviewed"))</x:f>
        <x:v>Not Reviewed</x:v>
      </x:c>
      <x:c r="O120" s="172" t="str">
        <x:f>IF(A120="","",IFERROR(LOOKUP(2,1/('Scope Review'!$B$5:$B$204=A120),'Scope Review'!$H$5:$H$204),""))</x:f>
      </x:c>
      <x:c r="P120" s="172" t="n">
        <x:f>IF(A120="","",IF(AND(C120="executing",N120&lt;&gt;"Confirmed OOS"),M120,0))</x:f>
        <x:v>0</x:v>
      </x:c>
      <x:c r="Q120" s="173" t="str">
        <x:f>IF(A120="","",IFERROR(LOOKUP(2,1/('Engineer Updates'!$B$5:$B$704=A120),'Engineer Updates'!$A$5:$A$704),""))</x:f>
      </x:c>
      <x:c r="R120" s="172" t="str">
        <x:f>IF(A120="","",IFERROR(LOOKUP(2,1/('Engineer Updates'!$B$5:$B$704=A120),'Engineer Updates'!$H$5:$H$704),""))</x:f>
      </x:c>
      <x:c r="S120" s="172" t="str">
        <x:f>IF(A120="","",IFERROR(LOOKUP(2,1/('Engineer Updates'!$B$5:$B$704=A120),'Engineer Updates'!$G$5:$G$704),""))</x:f>
      </x:c>
      <x:c r="T120" s="172" t="str">
        <x:f>IF(A120="","",IFERROR(LOOKUP(2,1/('Engineer Updates'!$B$5:$B$704=A120),'Engineer Updates'!$I$5:$I$704),""))</x:f>
      </x:c>
      <x:c r="U120" s="172" t="str">
        <x:f>IF(A120="","",IFERROR(LOOKUP(2,1/('Engineer Updates'!$B$5:$B$704=A120),'Engineer Updates'!$J$5:$J$704),""))</x:f>
      </x:c>
      <x:c r="V120" s="172" t="str">
        <x:f>IF(A120="","",IFERROR(LOOKUP(2,1/('Engineer Updates'!$B$5:$B$704=A120),'Engineer Updates'!$K$5:$K$704),""))</x:f>
      </x:c>
      <x:c r="W120" s="174" t="str">
        <x:f>IF(A120="","",IFERROR(LOOKUP(2,1/('Engineer Updates'!$B$5:$B$704=A120),'Engineer Updates'!$L$5:$L$704),""))</x:f>
      </x:c>
      <x:c r="X120" s="170" t="str">
        <x:f>IF(A120="","",IF(C120="completed","Completed in CSSP",IF(AND(C120="executing",ISERROR(SEARCH("@",K120))),"Executing without named engineer",IF(AND(N120="Confirmed OOS",C120="executing"),"Confirmed OOS still executing",""))))</x:f>
        <x:v>Completed in CSSP</x:v>
      </x:c>
      <x:c r="Y120" s="170" t="str">
        <x:f>IF(A120="","",IF(B120="Decommissioning","Raw Decommissioning","Raw Provisioning"))</x:f>
        <x:v>Raw Decommissioning</x:v>
      </x:c>
      <x:c r="Z120" s="170" t="str">
        <x:f>IF(A120="","",IF(OR(C120="executing",C120="processing"),"Yes","No"))</x:f>
        <x:v>No</x:v>
      </x:c>
    </x:row>
    <x:row r="121">
      <x:c r="A121" s="170" t="str">
        <x:f>IF(ROWS($A$5:A121)&lt;=COUNTA('Raw Decommissioning'!$B$2:$B$1000),INDEX('Raw Decommissioning'!$B$2:$B$1000,ROWS($A$5:A121)),IF(ROWS($A$5:A121)-COUNTA('Raw Decommissioning'!$B$2:$B$1000)&lt;=COUNTA('Raw Provisioning'!$B$2:$B$1000),INDEX('Raw Provisioning'!$B$2:$B$1000,ROWS($A$5:A121)-COUNTA('Raw Decommissioning'!$B$2:$B$1000)),""))</x:f>
        <x:v>CSSP10609067</x:v>
      </x:c>
      <x:c r="B121" s="170" t="str">
        <x:f>IF(A121="","",IF(ROWS($A$5:A121)&lt;=COUNTA('Raw Decommissioning'!$B$2:$B$1000),"Decommissioning","Provisioning"))</x:f>
        <x:v>Decommissioning</x:v>
      </x:c>
      <x:c r="C121" s="170" t="str">
        <x:f>IF(A121="","",IF(B121="Decommissioning",IFERROR(INDEX('Raw Decommissioning'!$E$2:$E$1000,MATCH(A121,'Raw Decommissioning'!$B$2:$B$1000,0)),"Missing from latest raw"),IFERROR(INDEX('Raw Provisioning'!$E$2:$E$1000,MATCH(A121,'Raw Provisioning'!$B$2:$B$1000,0)),"Missing from latest raw")))</x:f>
        <x:v>cancelled</x:v>
      </x:c>
      <x:c r="D121" s="171" t="n">
        <x:f>IF(A121="","",'Refresh Control'!$B$4)</x:f>
        <x:v>46254</x:v>
      </x:c>
      <x:c r="E121" s="171" t="n">
        <x:f>IF(A121="","",IF(B121="Decommissioning",INDEX('Raw Decommissioning'!$F$2:$F$1000,ROWS($A$5:A121)),INDEX('Raw Provisioning'!$F$2:$F$1000,ROWS($A$5:A121)-COUNTA('Raw Decommissioning'!$B$2:$B$1000))))</x:f>
        <x:v>46072.026405868055</x:v>
      </x:c>
      <x:c r="F121" s="171" t="n">
        <x:f>IF(A121="","",IF(B121="Decommissioning",INDEX('Raw Decommissioning'!$G$2:$G$1000,ROWS($A$5:A121)),INDEX('Raw Provisioning'!$H$2:$H$1000,ROWS($A$5:A121)-COUNTA('Raw Decommissioning'!$B$2:$B$1000))))</x:f>
        <x:v>46072.02796009259</x:v>
      </x:c>
      <x:c r="G121" s="170" t="str">
        <x:f>IF(A121="","",IF(B121="Decommissioning",INDEX('Raw Decommissioning'!$I$2:$I$1000,ROWS($A$5:A121)),INDEX('Raw Provisioning'!$J$2:$J$1000,ROWS($A$5:A121)-COUNTA('Raw Decommissioning'!$B$2:$B$1000))))</x:f>
        <x:v>Cyber Security Microsoft Defender</x:v>
      </x:c>
      <x:c r="H121" s="170" t="str">
        <x:f>IF(A121="","",IF(B121="Decommissioning",INDEX('Raw Decommissioning'!$J$2:$J$1000,ROWS($A$5:A121)),INDEX('Raw Provisioning'!$L$2:$L$1000,ROWS($A$5:A121)-COUNTA('Raw Decommissioning'!$B$2:$B$1000))))</x:f>
        <x:v>OSR00165: Procurement and Infrastructure Deployment for Cyber Defense (Pilot Phase) - Subscription for CyberSec of Microsoft Defender ATP (MDATP)</x:v>
      </x:c>
      <x:c r="I121" s="170" t="str">
        <x:f>IF(A121="","",IF(B121="Decommissioning",INDEX('Raw Decommissioning'!$AL$2:$AL$1000,ROWS($A$5:A121)),INDEX('Raw Provisioning'!$R$2:$R$1000,ROWS($A$5:A121)-COUNTA('Raw Decommissioning'!$B$2:$B$1000))))</x:f>
      </x:c>
      <x:c r="J121" s="170" t="str">
        <x:f>IF(A121="","",IF(B121="Decommissioning",INDEX('Raw Decommissioning'!$AG$2:$AG$1000,ROWS($A$5:A121)),INDEX('Raw Provisioning'!$AI$2:$AI$1000,ROWS($A$5:A121)-COUNTA('Raw Decommissioning'!$B$2:$B$1000))))</x:f>
        <x:v>CCoE Operations</x:v>
      </x:c>
      <x:c r="K121" s="172" t="str">
        <x:f>IF(A121="","",IFERROR(LOOKUP(2,1/('Assignment History'!$B$5:$B$204=A121),'Assignment History'!$D$5:$D$204),IFERROR(VLOOKUP(J121,Configuration!$L$5:$M$50,2,FALSE),J121)))</x:f>
        <x:v>CCoE Operations</x:v>
      </x:c>
      <x:c r="L121" s="172" t="str">
        <x:f>IF(A121="","",IF(K121=IFERROR(VLOOKUP(J121,Configuration!$L$5:$M$50,2,FALSE),J121),"Snapshot PIC","Replacement PIC"))</x:f>
        <x:v>Snapshot PIC</x:v>
      </x:c>
      <x:c r="M121" s="172" t="n">
        <x:f>IF(A121="","",IFERROR(VLOOKUP(I121,Configuration!$O$5:$P$8,2,FALSE),Configuration!$S$6))</x:f>
        <x:v>2</x:v>
      </x:c>
      <x:c r="N121" s="172" t="str">
        <x:f>IF(A121="","",IFERROR(LOOKUP(2,1/('Scope Review'!$B$5:$B$204=A121),'Scope Review'!$G$5:$G$204),"Not Reviewed"))</x:f>
        <x:v>Not Reviewed</x:v>
      </x:c>
      <x:c r="O121" s="172" t="str">
        <x:f>IF(A121="","",IFERROR(LOOKUP(2,1/('Scope Review'!$B$5:$B$204=A121),'Scope Review'!$H$5:$H$204),""))</x:f>
      </x:c>
      <x:c r="P121" s="172" t="n">
        <x:f>IF(A121="","",IF(AND(C121="executing",N121&lt;&gt;"Confirmed OOS"),M121,0))</x:f>
        <x:v>0</x:v>
      </x:c>
      <x:c r="Q121" s="173" t="str">
        <x:f>IF(A121="","",IFERROR(LOOKUP(2,1/('Engineer Updates'!$B$5:$B$704=A121),'Engineer Updates'!$A$5:$A$704),""))</x:f>
      </x:c>
      <x:c r="R121" s="172" t="str">
        <x:f>IF(A121="","",IFERROR(LOOKUP(2,1/('Engineer Updates'!$B$5:$B$704=A121),'Engineer Updates'!$H$5:$H$704),""))</x:f>
      </x:c>
      <x:c r="S121" s="172" t="str">
        <x:f>IF(A121="","",IFERROR(LOOKUP(2,1/('Engineer Updates'!$B$5:$B$704=A121),'Engineer Updates'!$G$5:$G$704),""))</x:f>
      </x:c>
      <x:c r="T121" s="172" t="str">
        <x:f>IF(A121="","",IFERROR(LOOKUP(2,1/('Engineer Updates'!$B$5:$B$704=A121),'Engineer Updates'!$I$5:$I$704),""))</x:f>
      </x:c>
      <x:c r="U121" s="172" t="str">
        <x:f>IF(A121="","",IFERROR(LOOKUP(2,1/('Engineer Updates'!$B$5:$B$704=A121),'Engineer Updates'!$J$5:$J$704),""))</x:f>
      </x:c>
      <x:c r="V121" s="172" t="str">
        <x:f>IF(A121="","",IFERROR(LOOKUP(2,1/('Engineer Updates'!$B$5:$B$704=A121),'Engineer Updates'!$K$5:$K$704),""))</x:f>
      </x:c>
      <x:c r="W121" s="174" t="str">
        <x:f>IF(A121="","",IFERROR(LOOKUP(2,1/('Engineer Updates'!$B$5:$B$704=A121),'Engineer Updates'!$L$5:$L$704),""))</x:f>
      </x:c>
      <x:c r="X121" s="170" t="str">
        <x:f>IF(A121="","",IF(C121="completed","Completed in CSSP",IF(AND(C121="executing",ISERROR(SEARCH("@",K121))),"Executing without named engineer",IF(AND(N121="Confirmed OOS",C121="executing"),"Confirmed OOS still executing",""))))</x:f>
      </x:c>
      <x:c r="Y121" s="170" t="str">
        <x:f>IF(A121="","",IF(B121="Decommissioning","Raw Decommissioning","Raw Provisioning"))</x:f>
        <x:v>Raw Decommissioning</x:v>
      </x:c>
      <x:c r="Z121" s="170" t="str">
        <x:f>IF(A121="","",IF(OR(C121="executing",C121="processing"),"Yes","No"))</x:f>
        <x:v>No</x:v>
      </x:c>
    </x:row>
    <x:row r="122">
      <x:c r="A122" s="170" t="str">
        <x:f>IF(ROWS($A$5:A122)&lt;=COUNTA('Raw Decommissioning'!$B$2:$B$1000),INDEX('Raw Decommissioning'!$B$2:$B$1000,ROWS($A$5:A122)),IF(ROWS($A$5:A122)-COUNTA('Raw Decommissioning'!$B$2:$B$1000)&lt;=COUNTA('Raw Provisioning'!$B$2:$B$1000),INDEX('Raw Provisioning'!$B$2:$B$1000,ROWS($A$5:A122)-COUNTA('Raw Decommissioning'!$B$2:$B$1000)),""))</x:f>
        <x:v>CSSP10597742</x:v>
      </x:c>
      <x:c r="B122" s="170" t="str">
        <x:f>IF(A122="","",IF(ROWS($A$5:A122)&lt;=COUNTA('Raw Decommissioning'!$B$2:$B$1000),"Decommissioning","Provisioning"))</x:f>
        <x:v>Decommissioning</x:v>
      </x:c>
      <x:c r="C122" s="170" t="str">
        <x:f>IF(A122="","",IF(B122="Decommissioning",IFERROR(INDEX('Raw Decommissioning'!$E$2:$E$1000,MATCH(A122,'Raw Decommissioning'!$B$2:$B$1000,0)),"Missing from latest raw"),IFERROR(INDEX('Raw Provisioning'!$E$2:$E$1000,MATCH(A122,'Raw Provisioning'!$B$2:$B$1000,0)),"Missing from latest raw")))</x:f>
        <x:v>completed</x:v>
      </x:c>
      <x:c r="D122" s="171" t="n">
        <x:f>IF(A122="","",'Refresh Control'!$B$4)</x:f>
        <x:v>46254</x:v>
      </x:c>
      <x:c r="E122" s="171" t="n">
        <x:f>IF(A122="","",IF(B122="Decommissioning",INDEX('Raw Decommissioning'!$F$2:$F$1000,ROWS($A$5:A122)),INDEX('Raw Provisioning'!$F$2:$F$1000,ROWS($A$5:A122)-COUNTA('Raw Decommissioning'!$B$2:$B$1000))))</x:f>
        <x:v>46073.33310186343</x:v>
      </x:c>
      <x:c r="F122" s="171" t="n">
        <x:f>IF(A122="","",IF(B122="Decommissioning",INDEX('Raw Decommissioning'!$G$2:$G$1000,ROWS($A$5:A122)),INDEX('Raw Provisioning'!$H$2:$H$1000,ROWS($A$5:A122)-COUNTA('Raw Decommissioning'!$B$2:$B$1000))))</x:f>
        <x:v>46090.08864342592</x:v>
      </x:c>
      <x:c r="G122" s="170" t="str">
        <x:f>IF(A122="","",IF(B122="Decommissioning",INDEX('Raw Decommissioning'!$I$2:$I$1000,ROWS($A$5:A122)),INDEX('Raw Provisioning'!$J$2:$J$1000,ROWS($A$5:A122)-COUNTA('Raw Decommissioning'!$B$2:$B$1000))))</x:f>
        <x:v>PERFECT</x:v>
      </x:c>
      <x:c r="H122" s="170" t="str">
        <x:f>IF(A122="","",IF(B122="Decommissioning",INDEX('Raw Decommissioning'!$J$2:$J$1000,ROWS($A$5:A122)),INDEX('Raw Provisioning'!$L$2:$L$1000,ROWS($A$5:A122)-COUNTA('Raw Decommissioning'!$B$2:$B$1000))))</x:f>
        <x:v>[Elec. Monitoring] Enhancements Support and Maintenance of PERFECT for GTS</x:v>
      </x:c>
      <x:c r="I122" s="170" t="str">
        <x:f>IF(A122="","",IF(B122="Decommissioning",INDEX('Raw Decommissioning'!$AL$2:$AL$1000,ROWS($A$5:A122)),INDEX('Raw Provisioning'!$R$2:$R$1000,ROWS($A$5:A122)-COUNTA('Raw Decommissioning'!$B$2:$B$1000))))</x:f>
        <x:v>M</x:v>
      </x:c>
      <x:c r="J122" s="170" t="str">
        <x:f>IF(A122="","",IF(B122="Decommissioning",INDEX('Raw Decommissioning'!$AG$2:$AG$1000,ROWS($A$5:A122)),INDEX('Raw Provisioning'!$AI$2:$AI$1000,ROWS($A$5:A122)-COUNTA('Raw Decommissioning'!$B$2:$B$1000))))</x:f>
        <x:v>azlisham.md@petronas.com</x:v>
      </x:c>
      <x:c r="K122" s="172" t="str">
        <x:f>IF(A122="","",IFERROR(LOOKUP(2,1/('Assignment History'!$B$5:$B$204=A122),'Assignment History'!$D$5:$D$204),IFERROR(VLOOKUP(J122,Configuration!$L$5:$M$50,2,FALSE),J122)))</x:f>
        <x:v>azlisham.md@petronas.com</x:v>
      </x:c>
      <x:c r="L122" s="172" t="str">
        <x:f>IF(A122="","",IF(K122=IFERROR(VLOOKUP(J122,Configuration!$L$5:$M$50,2,FALSE),J122),"Snapshot PIC","Replacement PIC"))</x:f>
        <x:v>Snapshot PIC</x:v>
      </x:c>
      <x:c r="M122" s="172" t="n">
        <x:f>IF(A122="","",IFERROR(VLOOKUP(I122,Configuration!$O$5:$P$8,2,FALSE),Configuration!$S$6))</x:f>
        <x:v>2</x:v>
      </x:c>
      <x:c r="N122" s="172" t="str">
        <x:f>IF(A122="","",IFERROR(LOOKUP(2,1/('Scope Review'!$B$5:$B$204=A122),'Scope Review'!$G$5:$G$204),"Not Reviewed"))</x:f>
        <x:v>Not Reviewed</x:v>
      </x:c>
      <x:c r="O122" s="172" t="str">
        <x:f>IF(A122="","",IFERROR(LOOKUP(2,1/('Scope Review'!$B$5:$B$204=A122),'Scope Review'!$H$5:$H$204),""))</x:f>
      </x:c>
      <x:c r="P122" s="172" t="n">
        <x:f>IF(A122="","",IF(AND(C122="executing",N122&lt;&gt;"Confirmed OOS"),M122,0))</x:f>
        <x:v>0</x:v>
      </x:c>
      <x:c r="Q122" s="173" t="str">
        <x:f>IF(A122="","",IFERROR(LOOKUP(2,1/('Engineer Updates'!$B$5:$B$704=A122),'Engineer Updates'!$A$5:$A$704),""))</x:f>
      </x:c>
      <x:c r="R122" s="172" t="str">
        <x:f>IF(A122="","",IFERROR(LOOKUP(2,1/('Engineer Updates'!$B$5:$B$704=A122),'Engineer Updates'!$H$5:$H$704),""))</x:f>
      </x:c>
      <x:c r="S122" s="172" t="str">
        <x:f>IF(A122="","",IFERROR(LOOKUP(2,1/('Engineer Updates'!$B$5:$B$704=A122),'Engineer Updates'!$G$5:$G$704),""))</x:f>
      </x:c>
      <x:c r="T122" s="172" t="str">
        <x:f>IF(A122="","",IFERROR(LOOKUP(2,1/('Engineer Updates'!$B$5:$B$704=A122),'Engineer Updates'!$I$5:$I$704),""))</x:f>
      </x:c>
      <x:c r="U122" s="172" t="str">
        <x:f>IF(A122="","",IFERROR(LOOKUP(2,1/('Engineer Updates'!$B$5:$B$704=A122),'Engineer Updates'!$J$5:$J$704),""))</x:f>
      </x:c>
      <x:c r="V122" s="172" t="str">
        <x:f>IF(A122="","",IFERROR(LOOKUP(2,1/('Engineer Updates'!$B$5:$B$704=A122),'Engineer Updates'!$K$5:$K$704),""))</x:f>
      </x:c>
      <x:c r="W122" s="174" t="str">
        <x:f>IF(A122="","",IFERROR(LOOKUP(2,1/('Engineer Updates'!$B$5:$B$704=A122),'Engineer Updates'!$L$5:$L$704),""))</x:f>
      </x:c>
      <x:c r="X122" s="170" t="str">
        <x:f>IF(A122="","",IF(C122="completed","Completed in CSSP",IF(AND(C122="executing",ISERROR(SEARCH("@",K122))),"Executing without named engineer",IF(AND(N122="Confirmed OOS",C122="executing"),"Confirmed OOS still executing",""))))</x:f>
        <x:v>Completed in CSSP</x:v>
      </x:c>
      <x:c r="Y122" s="170" t="str">
        <x:f>IF(A122="","",IF(B122="Decommissioning","Raw Decommissioning","Raw Provisioning"))</x:f>
        <x:v>Raw Decommissioning</x:v>
      </x:c>
      <x:c r="Z122" s="170" t="str">
        <x:f>IF(A122="","",IF(OR(C122="executing",C122="processing"),"Yes","No"))</x:f>
        <x:v>No</x:v>
      </x:c>
    </x:row>
    <x:row r="123">
      <x:c r="A123" s="170" t="str">
        <x:f>IF(ROWS($A$5:A123)&lt;=COUNTA('Raw Decommissioning'!$B$2:$B$1000),INDEX('Raw Decommissioning'!$B$2:$B$1000,ROWS($A$5:A123)),IF(ROWS($A$5:A123)-COUNTA('Raw Decommissioning'!$B$2:$B$1000)&lt;=COUNTA('Raw Provisioning'!$B$2:$B$1000),INDEX('Raw Provisioning'!$B$2:$B$1000,ROWS($A$5:A123)-COUNTA('Raw Decommissioning'!$B$2:$B$1000)),""))</x:f>
        <x:v>CSSP10898265</x:v>
      </x:c>
      <x:c r="B123" s="170" t="str">
        <x:f>IF(A123="","",IF(ROWS($A$5:A123)&lt;=COUNTA('Raw Decommissioning'!$B$2:$B$1000),"Decommissioning","Provisioning"))</x:f>
        <x:v>Decommissioning</x:v>
      </x:c>
      <x:c r="C123" s="170" t="str">
        <x:f>IF(A123="","",IF(B123="Decommissioning",IFERROR(INDEX('Raw Decommissioning'!$E$2:$E$1000,MATCH(A123,'Raw Decommissioning'!$B$2:$B$1000,0)),"Missing from latest raw"),IFERROR(INDEX('Raw Provisioning'!$E$2:$E$1000,MATCH(A123,'Raw Provisioning'!$B$2:$B$1000,0)),"Missing from latest raw")))</x:f>
        <x:v>rejected</x:v>
      </x:c>
      <x:c r="D123" s="171" t="n">
        <x:f>IF(A123="","",'Refresh Control'!$B$4)</x:f>
        <x:v>46254</x:v>
      </x:c>
      <x:c r="E123" s="171" t="n">
        <x:f>IF(A123="","",IF(B123="Decommissioning",INDEX('Raw Decommissioning'!$F$2:$F$1000,ROWS($A$5:A123)),INDEX('Raw Provisioning'!$F$2:$F$1000,ROWS($A$5:A123)-COUNTA('Raw Decommissioning'!$B$2:$B$1000))))</x:f>
        <x:v>46076.297517453706</x:v>
      </x:c>
      <x:c r="F123" s="171" t="n">
        <x:f>IF(A123="","",IF(B123="Decommissioning",INDEX('Raw Decommissioning'!$G$2:$G$1000,ROWS($A$5:A123)),INDEX('Raw Provisioning'!$H$2:$H$1000,ROWS($A$5:A123)-COUNTA('Raw Decommissioning'!$B$2:$B$1000))))</x:f>
        <x:v>46140.13396640046</x:v>
      </x:c>
      <x:c r="G123" s="170" t="str">
        <x:f>IF(A123="","",IF(B123="Decommissioning",INDEX('Raw Decommissioning'!$I$2:$I$1000,ROWS($A$5:A123)),INDEX('Raw Provisioning'!$J$2:$J$1000,ROWS($A$5:A123)-COUNTA('Raw Decommissioning'!$B$2:$B$1000))))</x:f>
        <x:v>Alpha LNG</x:v>
      </x:c>
      <x:c r="H123" s="170" t="str">
        <x:f>IF(A123="","",IF(B123="Decommissioning",INDEX('Raw Decommissioning'!$J$2:$J$1000,ROWS($A$5:A123)),INDEX('Raw Provisioning'!$L$2:$L$1000,ROWS($A$5:A123)-COUNTA('Raw Decommissioning'!$B$2:$B$1000))))</x:f>
        <x:v>Alpha LNG Tech Refactoring and Modernization (TEV)</x:v>
      </x:c>
      <x:c r="I123" s="170" t="str">
        <x:f>IF(A123="","",IF(B123="Decommissioning",INDEX('Raw Decommissioning'!$AL$2:$AL$1000,ROWS($A$5:A123)),INDEX('Raw Provisioning'!$R$2:$R$1000,ROWS($A$5:A123)-COUNTA('Raw Decommissioning'!$B$2:$B$1000))))</x:f>
        <x:v>M</x:v>
      </x:c>
      <x:c r="J123" s="170" t="str">
        <x:f>IF(A123="","",IF(B123="Decommissioning",INDEX('Raw Decommissioning'!$AG$2:$AG$1000,ROWS($A$5:A123)),INDEX('Raw Provisioning'!$AI$2:$AI$1000,ROWS($A$5:A123)-COUNTA('Raw Decommissioning'!$B$2:$B$1000))))</x:f>
        <x:v>azwan.badari@petronas.com</x:v>
      </x:c>
      <x:c r="K123" s="172" t="str">
        <x:f>IF(A123="","",IFERROR(LOOKUP(2,1/('Assignment History'!$B$5:$B$204=A123),'Assignment History'!$D$5:$D$204),IFERROR(VLOOKUP(J123,Configuration!$L$5:$M$50,2,FALSE),J123)))</x:f>
        <x:v>azwan.badari@petronas.com</x:v>
      </x:c>
      <x:c r="L123" s="172" t="str">
        <x:f>IF(A123="","",IF(K123=IFERROR(VLOOKUP(J123,Configuration!$L$5:$M$50,2,FALSE),J123),"Snapshot PIC","Replacement PIC"))</x:f>
        <x:v>Snapshot PIC</x:v>
      </x:c>
      <x:c r="M123" s="172" t="n">
        <x:f>IF(A123="","",IFERROR(VLOOKUP(I123,Configuration!$O$5:$P$8,2,FALSE),Configuration!$S$6))</x:f>
        <x:v>2</x:v>
      </x:c>
      <x:c r="N123" s="172" t="str">
        <x:f>IF(A123="","",IFERROR(LOOKUP(2,1/('Scope Review'!$B$5:$B$204=A123),'Scope Review'!$G$5:$G$204),"Not Reviewed"))</x:f>
        <x:v>Not Reviewed</x:v>
      </x:c>
      <x:c r="O123" s="172" t="str">
        <x:f>IF(A123="","",IFERROR(LOOKUP(2,1/('Scope Review'!$B$5:$B$204=A123),'Scope Review'!$H$5:$H$204),""))</x:f>
      </x:c>
      <x:c r="P123" s="172" t="n">
        <x:f>IF(A123="","",IF(AND(C123="executing",N123&lt;&gt;"Confirmed OOS"),M123,0))</x:f>
        <x:v>0</x:v>
      </x:c>
      <x:c r="Q123" s="173" t="str">
        <x:f>IF(A123="","",IFERROR(LOOKUP(2,1/('Engineer Updates'!$B$5:$B$704=A123),'Engineer Updates'!$A$5:$A$704),""))</x:f>
      </x:c>
      <x:c r="R123" s="172" t="str">
        <x:f>IF(A123="","",IFERROR(LOOKUP(2,1/('Engineer Updates'!$B$5:$B$704=A123),'Engineer Updates'!$H$5:$H$704),""))</x:f>
      </x:c>
      <x:c r="S123" s="172" t="str">
        <x:f>IF(A123="","",IFERROR(LOOKUP(2,1/('Engineer Updates'!$B$5:$B$704=A123),'Engineer Updates'!$G$5:$G$704),""))</x:f>
      </x:c>
      <x:c r="T123" s="172" t="str">
        <x:f>IF(A123="","",IFERROR(LOOKUP(2,1/('Engineer Updates'!$B$5:$B$704=A123),'Engineer Updates'!$I$5:$I$704),""))</x:f>
      </x:c>
      <x:c r="U123" s="172" t="str">
        <x:f>IF(A123="","",IFERROR(LOOKUP(2,1/('Engineer Updates'!$B$5:$B$704=A123),'Engineer Updates'!$J$5:$J$704),""))</x:f>
      </x:c>
      <x:c r="V123" s="172" t="str">
        <x:f>IF(A123="","",IFERROR(LOOKUP(2,1/('Engineer Updates'!$B$5:$B$704=A123),'Engineer Updates'!$K$5:$K$704),""))</x:f>
      </x:c>
      <x:c r="W123" s="174" t="str">
        <x:f>IF(A123="","",IFERROR(LOOKUP(2,1/('Engineer Updates'!$B$5:$B$704=A123),'Engineer Updates'!$L$5:$L$704),""))</x:f>
      </x:c>
      <x:c r="X123" s="170" t="str">
        <x:f>IF(A123="","",IF(C123="completed","Completed in CSSP",IF(AND(C123="executing",ISERROR(SEARCH("@",K123))),"Executing without named engineer",IF(AND(N123="Confirmed OOS",C123="executing"),"Confirmed OOS still executing",""))))</x:f>
      </x:c>
      <x:c r="Y123" s="170" t="str">
        <x:f>IF(A123="","",IF(B123="Decommissioning","Raw Decommissioning","Raw Provisioning"))</x:f>
        <x:v>Raw Decommissioning</x:v>
      </x:c>
      <x:c r="Z123" s="170" t="str">
        <x:f>IF(A123="","",IF(OR(C123="executing",C123="processing"),"Yes","No"))</x:f>
        <x:v>No</x:v>
      </x:c>
    </x:row>
    <x:row r="124">
      <x:c r="A124" s="170" t="str">
        <x:f>IF(ROWS($A$5:A124)&lt;=COUNTA('Raw Decommissioning'!$B$2:$B$1000),INDEX('Raw Decommissioning'!$B$2:$B$1000,ROWS($A$5:A124)),IF(ROWS($A$5:A124)-COUNTA('Raw Decommissioning'!$B$2:$B$1000)&lt;=COUNTA('Raw Provisioning'!$B$2:$B$1000),INDEX('Raw Provisioning'!$B$2:$B$1000,ROWS($A$5:A124)-COUNTA('Raw Decommissioning'!$B$2:$B$1000)),""))</x:f>
        <x:v>CSSP10682082</x:v>
      </x:c>
      <x:c r="B124" s="170" t="str">
        <x:f>IF(A124="","",IF(ROWS($A$5:A124)&lt;=COUNTA('Raw Decommissioning'!$B$2:$B$1000),"Decommissioning","Provisioning"))</x:f>
        <x:v>Decommissioning</x:v>
      </x:c>
      <x:c r="C124" s="170" t="str">
        <x:f>IF(A124="","",IF(B124="Decommissioning",IFERROR(INDEX('Raw Decommissioning'!$E$2:$E$1000,MATCH(A124,'Raw Decommissioning'!$B$2:$B$1000,0)),"Missing from latest raw"),IFERROR(INDEX('Raw Provisioning'!$E$2:$E$1000,MATCH(A124,'Raw Provisioning'!$B$2:$B$1000,0)),"Missing from latest raw")))</x:f>
        <x:v>completed</x:v>
      </x:c>
      <x:c r="D124" s="171" t="n">
        <x:f>IF(A124="","",'Refresh Control'!$B$4)</x:f>
        <x:v>46254</x:v>
      </x:c>
      <x:c r="E124" s="171" t="n">
        <x:f>IF(A124="","",IF(B124="Decommissioning",INDEX('Raw Decommissioning'!$F$2:$F$1000,ROWS($A$5:A124)),INDEX('Raw Provisioning'!$F$2:$F$1000,ROWS($A$5:A124)-COUNTA('Raw Decommissioning'!$B$2:$B$1000))))</x:f>
        <x:v>46077.013224965274</x:v>
      </x:c>
      <x:c r="F124" s="171" t="n">
        <x:f>IF(A124="","",IF(B124="Decommissioning",INDEX('Raw Decommissioning'!$G$2:$G$1000,ROWS($A$5:A124)),INDEX('Raw Provisioning'!$H$2:$H$1000,ROWS($A$5:A124)-COUNTA('Raw Decommissioning'!$B$2:$B$1000))))</x:f>
        <x:v>46079.22044795139</x:v>
      </x:c>
      <x:c r="G124" s="170" t="str">
        <x:f>IF(A124="","",IF(B124="Decommissioning",INDEX('Raw Decommissioning'!$I$2:$I$1000,ROWS($A$5:A124)),INDEX('Raw Provisioning'!$J$2:$J$1000,ROWS($A$5:A124)-COUNTA('Raw Decommissioning'!$B$2:$B$1000))))</x:f>
        <x:v>Lab Information Management System - LIMS MRCSB</x:v>
      </x:c>
      <x:c r="H124" s="170" t="str">
        <x:f>IF(A124="","",IF(B124="Decommissioning",INDEX('Raw Decommissioning'!$J$2:$J$1000,ROWS($A$5:A124)),INDEX('Raw Provisioning'!$L$2:$L$1000,ROWS($A$5:A124)-COUNTA('Raw Decommissioning'!$B$2:$B$1000))))</x:f>
        <x:v>OCI MIGRATION - Lab Information Management System (LIMS) for MRCSB</x:v>
      </x:c>
      <x:c r="I124" s="170" t="str">
        <x:f>IF(A124="","",IF(B124="Decommissioning",INDEX('Raw Decommissioning'!$AL$2:$AL$1000,ROWS($A$5:A124)),INDEX('Raw Provisioning'!$R$2:$R$1000,ROWS($A$5:A124)-COUNTA('Raw Decommissioning'!$B$2:$B$1000))))</x:f>
        <x:v>M</x:v>
      </x:c>
      <x:c r="J124" s="170" t="str">
        <x:f>IF(A124="","",IF(B124="Decommissioning",INDEX('Raw Decommissioning'!$AG$2:$AG$1000,ROWS($A$5:A124)),INDEX('Raw Provisioning'!$AI$2:$AI$1000,ROWS($A$5:A124)-COUNTA('Raw Decommissioning'!$B$2:$B$1000))))</x:f>
        <x:v>azwan.badari@petronas.com</x:v>
      </x:c>
      <x:c r="K124" s="172" t="str">
        <x:f>IF(A124="","",IFERROR(LOOKUP(2,1/('Assignment History'!$B$5:$B$204=A124),'Assignment History'!$D$5:$D$204),IFERROR(VLOOKUP(J124,Configuration!$L$5:$M$50,2,FALSE),J124)))</x:f>
        <x:v>azwan.badari@petronas.com</x:v>
      </x:c>
      <x:c r="L124" s="172" t="str">
        <x:f>IF(A124="","",IF(K124=IFERROR(VLOOKUP(J124,Configuration!$L$5:$M$50,2,FALSE),J124),"Snapshot PIC","Replacement PIC"))</x:f>
        <x:v>Snapshot PIC</x:v>
      </x:c>
      <x:c r="M124" s="172" t="n">
        <x:f>IF(A124="","",IFERROR(VLOOKUP(I124,Configuration!$O$5:$P$8,2,FALSE),Configuration!$S$6))</x:f>
        <x:v>2</x:v>
      </x:c>
      <x:c r="N124" s="172" t="str">
        <x:f>IF(A124="","",IFERROR(LOOKUP(2,1/('Scope Review'!$B$5:$B$204=A124),'Scope Review'!$G$5:$G$204),"Not Reviewed"))</x:f>
        <x:v>Not Reviewed</x:v>
      </x:c>
      <x:c r="O124" s="172" t="str">
        <x:f>IF(A124="","",IFERROR(LOOKUP(2,1/('Scope Review'!$B$5:$B$204=A124),'Scope Review'!$H$5:$H$204),""))</x:f>
      </x:c>
      <x:c r="P124" s="172" t="n">
        <x:f>IF(A124="","",IF(AND(C124="executing",N124&lt;&gt;"Confirmed OOS"),M124,0))</x:f>
        <x:v>0</x:v>
      </x:c>
      <x:c r="Q124" s="173" t="str">
        <x:f>IF(A124="","",IFERROR(LOOKUP(2,1/('Engineer Updates'!$B$5:$B$704=A124),'Engineer Updates'!$A$5:$A$704),""))</x:f>
      </x:c>
      <x:c r="R124" s="172" t="str">
        <x:f>IF(A124="","",IFERROR(LOOKUP(2,1/('Engineer Updates'!$B$5:$B$704=A124),'Engineer Updates'!$H$5:$H$704),""))</x:f>
      </x:c>
      <x:c r="S124" s="172" t="str">
        <x:f>IF(A124="","",IFERROR(LOOKUP(2,1/('Engineer Updates'!$B$5:$B$704=A124),'Engineer Updates'!$G$5:$G$704),""))</x:f>
      </x:c>
      <x:c r="T124" s="172" t="str">
        <x:f>IF(A124="","",IFERROR(LOOKUP(2,1/('Engineer Updates'!$B$5:$B$704=A124),'Engineer Updates'!$I$5:$I$704),""))</x:f>
      </x:c>
      <x:c r="U124" s="172" t="str">
        <x:f>IF(A124="","",IFERROR(LOOKUP(2,1/('Engineer Updates'!$B$5:$B$704=A124),'Engineer Updates'!$J$5:$J$704),""))</x:f>
      </x:c>
      <x:c r="V124" s="172" t="str">
        <x:f>IF(A124="","",IFERROR(LOOKUP(2,1/('Engineer Updates'!$B$5:$B$704=A124),'Engineer Updates'!$K$5:$K$704),""))</x:f>
      </x:c>
      <x:c r="W124" s="174" t="str">
        <x:f>IF(A124="","",IFERROR(LOOKUP(2,1/('Engineer Updates'!$B$5:$B$704=A124),'Engineer Updates'!$L$5:$L$704),""))</x:f>
      </x:c>
      <x:c r="X124" s="170" t="str">
        <x:f>IF(A124="","",IF(C124="completed","Completed in CSSP",IF(AND(C124="executing",ISERROR(SEARCH("@",K124))),"Executing without named engineer",IF(AND(N124="Confirmed OOS",C124="executing"),"Confirmed OOS still executing",""))))</x:f>
        <x:v>Completed in CSSP</x:v>
      </x:c>
      <x:c r="Y124" s="170" t="str">
        <x:f>IF(A124="","",IF(B124="Decommissioning","Raw Decommissioning","Raw Provisioning"))</x:f>
        <x:v>Raw Decommissioning</x:v>
      </x:c>
      <x:c r="Z124" s="170" t="str">
        <x:f>IF(A124="","",IF(OR(C124="executing",C124="processing"),"Yes","No"))</x:f>
        <x:v>No</x:v>
      </x:c>
    </x:row>
    <x:row r="125">
      <x:c r="A125" s="170" t="str">
        <x:f>IF(ROWS($A$5:A125)&lt;=COUNTA('Raw Decommissioning'!$B$2:$B$1000),INDEX('Raw Decommissioning'!$B$2:$B$1000,ROWS($A$5:A125)),IF(ROWS($A$5:A125)-COUNTA('Raw Decommissioning'!$B$2:$B$1000)&lt;=COUNTA('Raw Provisioning'!$B$2:$B$1000),INDEX('Raw Provisioning'!$B$2:$B$1000,ROWS($A$5:A125)-COUNTA('Raw Decommissioning'!$B$2:$B$1000)),""))</x:f>
        <x:v>CSSP10223994</x:v>
      </x:c>
      <x:c r="B125" s="170" t="str">
        <x:f>IF(A125="","",IF(ROWS($A$5:A125)&lt;=COUNTA('Raw Decommissioning'!$B$2:$B$1000),"Decommissioning","Provisioning"))</x:f>
        <x:v>Decommissioning</x:v>
      </x:c>
      <x:c r="C125" s="170" t="str">
        <x:f>IF(A125="","",IF(B125="Decommissioning",IFERROR(INDEX('Raw Decommissioning'!$E$2:$E$1000,MATCH(A125,'Raw Decommissioning'!$B$2:$B$1000,0)),"Missing from latest raw"),IFERROR(INDEX('Raw Provisioning'!$E$2:$E$1000,MATCH(A125,'Raw Provisioning'!$B$2:$B$1000,0)),"Missing from latest raw")))</x:f>
        <x:v>completed</x:v>
      </x:c>
      <x:c r="D125" s="171" t="n">
        <x:f>IF(A125="","",'Refresh Control'!$B$4)</x:f>
        <x:v>46254</x:v>
      </x:c>
      <x:c r="E125" s="171" t="n">
        <x:f>IF(A125="","",IF(B125="Decommissioning",INDEX('Raw Decommissioning'!$F$2:$F$1000,ROWS($A$5:A125)),INDEX('Raw Provisioning'!$F$2:$F$1000,ROWS($A$5:A125)-COUNTA('Raw Decommissioning'!$B$2:$B$1000))))</x:f>
        <x:v>46077.01539961805</x:v>
      </x:c>
      <x:c r="F125" s="171" t="n">
        <x:f>IF(A125="","",IF(B125="Decommissioning",INDEX('Raw Decommissioning'!$G$2:$G$1000,ROWS($A$5:A125)),INDEX('Raw Provisioning'!$H$2:$H$1000,ROWS($A$5:A125)-COUNTA('Raw Decommissioning'!$B$2:$B$1000))))</x:f>
        <x:v>46079.220871481484</x:v>
      </x:c>
      <x:c r="G125" s="170" t="str">
        <x:f>IF(A125="","",IF(B125="Decommissioning",INDEX('Raw Decommissioning'!$I$2:$I$1000,ROWS($A$5:A125)),INDEX('Raw Provisioning'!$J$2:$J$1000,ROWS($A$5:A125)-COUNTA('Raw Decommissioning'!$B$2:$B$1000))))</x:f>
        <x:v>Lab Information Management System - LIMS MRCSB</x:v>
      </x:c>
      <x:c r="H125" s="170" t="str">
        <x:f>IF(A125="","",IF(B125="Decommissioning",INDEX('Raw Decommissioning'!$J$2:$J$1000,ROWS($A$5:A125)),INDEX('Raw Provisioning'!$L$2:$L$1000,ROWS($A$5:A125)-COUNTA('Raw Decommissioning'!$B$2:$B$1000))))</x:f>
        <x:v>OCI MIGRATION - Integrated Lab Information System (MRCSB)</x:v>
      </x:c>
      <x:c r="I125" s="170" t="str">
        <x:f>IF(A125="","",IF(B125="Decommissioning",INDEX('Raw Decommissioning'!$AL$2:$AL$1000,ROWS($A$5:A125)),INDEX('Raw Provisioning'!$R$2:$R$1000,ROWS($A$5:A125)-COUNTA('Raw Decommissioning'!$B$2:$B$1000))))</x:f>
        <x:v>M</x:v>
      </x:c>
      <x:c r="J125" s="170" t="str">
        <x:f>IF(A125="","",IF(B125="Decommissioning",INDEX('Raw Decommissioning'!$AG$2:$AG$1000,ROWS($A$5:A125)),INDEX('Raw Provisioning'!$AI$2:$AI$1000,ROWS($A$5:A125)-COUNTA('Raw Decommissioning'!$B$2:$B$1000))))</x:f>
        <x:v>azwan.badari@petronas.com</x:v>
      </x:c>
      <x:c r="K125" s="172" t="str">
        <x:f>IF(A125="","",IFERROR(LOOKUP(2,1/('Assignment History'!$B$5:$B$204=A125),'Assignment History'!$D$5:$D$204),IFERROR(VLOOKUP(J125,Configuration!$L$5:$M$50,2,FALSE),J125)))</x:f>
        <x:v>azwan.badari@petronas.com</x:v>
      </x:c>
      <x:c r="L125" s="172" t="str">
        <x:f>IF(A125="","",IF(K125=IFERROR(VLOOKUP(J125,Configuration!$L$5:$M$50,2,FALSE),J125),"Snapshot PIC","Replacement PIC"))</x:f>
        <x:v>Snapshot PIC</x:v>
      </x:c>
      <x:c r="M125" s="172" t="n">
        <x:f>IF(A125="","",IFERROR(VLOOKUP(I125,Configuration!$O$5:$P$8,2,FALSE),Configuration!$S$6))</x:f>
        <x:v>2</x:v>
      </x:c>
      <x:c r="N125" s="172" t="str">
        <x:f>IF(A125="","",IFERROR(LOOKUP(2,1/('Scope Review'!$B$5:$B$204=A125),'Scope Review'!$G$5:$G$204),"Not Reviewed"))</x:f>
        <x:v>Not Reviewed</x:v>
      </x:c>
      <x:c r="O125" s="172" t="str">
        <x:f>IF(A125="","",IFERROR(LOOKUP(2,1/('Scope Review'!$B$5:$B$204=A125),'Scope Review'!$H$5:$H$204),""))</x:f>
      </x:c>
      <x:c r="P125" s="172" t="n">
        <x:f>IF(A125="","",IF(AND(C125="executing",N125&lt;&gt;"Confirmed OOS"),M125,0))</x:f>
        <x:v>0</x:v>
      </x:c>
      <x:c r="Q125" s="173" t="str">
        <x:f>IF(A125="","",IFERROR(LOOKUP(2,1/('Engineer Updates'!$B$5:$B$704=A125),'Engineer Updates'!$A$5:$A$704),""))</x:f>
      </x:c>
      <x:c r="R125" s="172" t="str">
        <x:f>IF(A125="","",IFERROR(LOOKUP(2,1/('Engineer Updates'!$B$5:$B$704=A125),'Engineer Updates'!$H$5:$H$704),""))</x:f>
      </x:c>
      <x:c r="S125" s="172" t="str">
        <x:f>IF(A125="","",IFERROR(LOOKUP(2,1/('Engineer Updates'!$B$5:$B$704=A125),'Engineer Updates'!$G$5:$G$704),""))</x:f>
      </x:c>
      <x:c r="T125" s="172" t="str">
        <x:f>IF(A125="","",IFERROR(LOOKUP(2,1/('Engineer Updates'!$B$5:$B$704=A125),'Engineer Updates'!$I$5:$I$704),""))</x:f>
      </x:c>
      <x:c r="U125" s="172" t="str">
        <x:f>IF(A125="","",IFERROR(LOOKUP(2,1/('Engineer Updates'!$B$5:$B$704=A125),'Engineer Updates'!$J$5:$J$704),""))</x:f>
      </x:c>
      <x:c r="V125" s="172" t="str">
        <x:f>IF(A125="","",IFERROR(LOOKUP(2,1/('Engineer Updates'!$B$5:$B$704=A125),'Engineer Updates'!$K$5:$K$704),""))</x:f>
      </x:c>
      <x:c r="W125" s="174" t="str">
        <x:f>IF(A125="","",IFERROR(LOOKUP(2,1/('Engineer Updates'!$B$5:$B$704=A125),'Engineer Updates'!$L$5:$L$704),""))</x:f>
      </x:c>
      <x:c r="X125" s="170" t="str">
        <x:f>IF(A125="","",IF(C125="completed","Completed in CSSP",IF(AND(C125="executing",ISERROR(SEARCH("@",K125))),"Executing without named engineer",IF(AND(N125="Confirmed OOS",C125="executing"),"Confirmed OOS still executing",""))))</x:f>
        <x:v>Completed in CSSP</x:v>
      </x:c>
      <x:c r="Y125" s="170" t="str">
        <x:f>IF(A125="","",IF(B125="Decommissioning","Raw Decommissioning","Raw Provisioning"))</x:f>
        <x:v>Raw Decommissioning</x:v>
      </x:c>
      <x:c r="Z125" s="170" t="str">
        <x:f>IF(A125="","",IF(OR(C125="executing",C125="processing"),"Yes","No"))</x:f>
        <x:v>No</x:v>
      </x:c>
    </x:row>
    <x:row r="126">
      <x:c r="A126" s="170" t="str">
        <x:f>IF(ROWS($A$5:A126)&lt;=COUNTA('Raw Decommissioning'!$B$2:$B$1000),INDEX('Raw Decommissioning'!$B$2:$B$1000,ROWS($A$5:A126)),IF(ROWS($A$5:A126)-COUNTA('Raw Decommissioning'!$B$2:$B$1000)&lt;=COUNTA('Raw Provisioning'!$B$2:$B$1000),INDEX('Raw Provisioning'!$B$2:$B$1000,ROWS($A$5:A126)-COUNTA('Raw Decommissioning'!$B$2:$B$1000)),""))</x:f>
        <x:v>CSSP10451863</x:v>
      </x:c>
      <x:c r="B126" s="170" t="str">
        <x:f>IF(A126="","",IF(ROWS($A$5:A126)&lt;=COUNTA('Raw Decommissioning'!$B$2:$B$1000),"Decommissioning","Provisioning"))</x:f>
        <x:v>Decommissioning</x:v>
      </x:c>
      <x:c r="C126" s="170" t="str">
        <x:f>IF(A126="","",IF(B126="Decommissioning",IFERROR(INDEX('Raw Decommissioning'!$E$2:$E$1000,MATCH(A126,'Raw Decommissioning'!$B$2:$B$1000,0)),"Missing from latest raw"),IFERROR(INDEX('Raw Provisioning'!$E$2:$E$1000,MATCH(A126,'Raw Provisioning'!$B$2:$B$1000,0)),"Missing from latest raw")))</x:f>
        <x:v>completed</x:v>
      </x:c>
      <x:c r="D126" s="171" t="n">
        <x:f>IF(A126="","",'Refresh Control'!$B$4)</x:f>
        <x:v>46254</x:v>
      </x:c>
      <x:c r="E126" s="171" t="n">
        <x:f>IF(A126="","",IF(B126="Decommissioning",INDEX('Raw Decommissioning'!$F$2:$F$1000,ROWS($A$5:A126)),INDEX('Raw Provisioning'!$F$2:$F$1000,ROWS($A$5:A126)-COUNTA('Raw Decommissioning'!$B$2:$B$1000))))</x:f>
        <x:v>46077.032693506946</x:v>
      </x:c>
      <x:c r="F126" s="171" t="n">
        <x:f>IF(A126="","",IF(B126="Decommissioning",INDEX('Raw Decommissioning'!$G$2:$G$1000,ROWS($A$5:A126)),INDEX('Raw Provisioning'!$H$2:$H$1000,ROWS($A$5:A126)-COUNTA('Raw Decommissioning'!$B$2:$B$1000))))</x:f>
        <x:v>46080.060581261576</x:v>
      </x:c>
      <x:c r="G126" s="170" t="str">
        <x:f>IF(A126="","",IF(B126="Decommissioning",INDEX('Raw Decommissioning'!$I$2:$I$1000,ROWS($A$5:A126)),INDEX('Raw Provisioning'!$J$2:$J$1000,ROWS($A$5:A126)-COUNTA('Raw Decommissioning'!$B$2:$B$1000))))</x:f>
        <x:v>Lab Information Management System - LIMS PRSB</x:v>
      </x:c>
      <x:c r="H126" s="170" t="str">
        <x:f>IF(A126="","",IF(B126="Decommissioning",INDEX('Raw Decommissioning'!$J$2:$J$1000,ROWS($A$5:A126)),INDEX('Raw Provisioning'!$L$2:$L$1000,ROWS($A$5:A126)-COUNTA('Raw Decommissioning'!$B$2:$B$1000))))</x:f>
        <x:v>OCI MIGRATION - Lab Information Management System (LIMS) for PRSB</x:v>
      </x:c>
      <x:c r="I126" s="170" t="str">
        <x:f>IF(A126="","",IF(B126="Decommissioning",INDEX('Raw Decommissioning'!$AL$2:$AL$1000,ROWS($A$5:A126)),INDEX('Raw Provisioning'!$R$2:$R$1000,ROWS($A$5:A126)-COUNTA('Raw Decommissioning'!$B$2:$B$1000))))</x:f>
        <x:v>M</x:v>
      </x:c>
      <x:c r="J126" s="170" t="str">
        <x:f>IF(A126="","",IF(B126="Decommissioning",INDEX('Raw Decommissioning'!$AG$2:$AG$1000,ROWS($A$5:A126)),INDEX('Raw Provisioning'!$AI$2:$AI$1000,ROWS($A$5:A126)-COUNTA('Raw Decommissioning'!$B$2:$B$1000))))</x:f>
        <x:v>azwan.badari@petronas.com</x:v>
      </x:c>
      <x:c r="K126" s="172" t="str">
        <x:f>IF(A126="","",IFERROR(LOOKUP(2,1/('Assignment History'!$B$5:$B$204=A126),'Assignment History'!$D$5:$D$204),IFERROR(VLOOKUP(J126,Configuration!$L$5:$M$50,2,FALSE),J126)))</x:f>
        <x:v>azwan.badari@petronas.com</x:v>
      </x:c>
      <x:c r="L126" s="172" t="str">
        <x:f>IF(A126="","",IF(K126=IFERROR(VLOOKUP(J126,Configuration!$L$5:$M$50,2,FALSE),J126),"Snapshot PIC","Replacement PIC"))</x:f>
        <x:v>Snapshot PIC</x:v>
      </x:c>
      <x:c r="M126" s="172" t="n">
        <x:f>IF(A126="","",IFERROR(VLOOKUP(I126,Configuration!$O$5:$P$8,2,FALSE),Configuration!$S$6))</x:f>
        <x:v>2</x:v>
      </x:c>
      <x:c r="N126" s="172" t="str">
        <x:f>IF(A126="","",IFERROR(LOOKUP(2,1/('Scope Review'!$B$5:$B$204=A126),'Scope Review'!$G$5:$G$204),"Not Reviewed"))</x:f>
        <x:v>Not Reviewed</x:v>
      </x:c>
      <x:c r="O126" s="172" t="str">
        <x:f>IF(A126="","",IFERROR(LOOKUP(2,1/('Scope Review'!$B$5:$B$204=A126),'Scope Review'!$H$5:$H$204),""))</x:f>
      </x:c>
      <x:c r="P126" s="172" t="n">
        <x:f>IF(A126="","",IF(AND(C126="executing",N126&lt;&gt;"Confirmed OOS"),M126,0))</x:f>
        <x:v>0</x:v>
      </x:c>
      <x:c r="Q126" s="173" t="str">
        <x:f>IF(A126="","",IFERROR(LOOKUP(2,1/('Engineer Updates'!$B$5:$B$704=A126),'Engineer Updates'!$A$5:$A$704),""))</x:f>
      </x:c>
      <x:c r="R126" s="172" t="str">
        <x:f>IF(A126="","",IFERROR(LOOKUP(2,1/('Engineer Updates'!$B$5:$B$704=A126),'Engineer Updates'!$H$5:$H$704),""))</x:f>
      </x:c>
      <x:c r="S126" s="172" t="str">
        <x:f>IF(A126="","",IFERROR(LOOKUP(2,1/('Engineer Updates'!$B$5:$B$704=A126),'Engineer Updates'!$G$5:$G$704),""))</x:f>
      </x:c>
      <x:c r="T126" s="172" t="str">
        <x:f>IF(A126="","",IFERROR(LOOKUP(2,1/('Engineer Updates'!$B$5:$B$704=A126),'Engineer Updates'!$I$5:$I$704),""))</x:f>
      </x:c>
      <x:c r="U126" s="172" t="str">
        <x:f>IF(A126="","",IFERROR(LOOKUP(2,1/('Engineer Updates'!$B$5:$B$704=A126),'Engineer Updates'!$J$5:$J$704),""))</x:f>
      </x:c>
      <x:c r="V126" s="172" t="str">
        <x:f>IF(A126="","",IFERROR(LOOKUP(2,1/('Engineer Updates'!$B$5:$B$704=A126),'Engineer Updates'!$K$5:$K$704),""))</x:f>
      </x:c>
      <x:c r="W126" s="174" t="str">
        <x:f>IF(A126="","",IFERROR(LOOKUP(2,1/('Engineer Updates'!$B$5:$B$704=A126),'Engineer Updates'!$L$5:$L$704),""))</x:f>
      </x:c>
      <x:c r="X126" s="170" t="str">
        <x:f>IF(A126="","",IF(C126="completed","Completed in CSSP",IF(AND(C126="executing",ISERROR(SEARCH("@",K126))),"Executing without named engineer",IF(AND(N126="Confirmed OOS",C126="executing"),"Confirmed OOS still executing",""))))</x:f>
        <x:v>Completed in CSSP</x:v>
      </x:c>
      <x:c r="Y126" s="170" t="str">
        <x:f>IF(A126="","",IF(B126="Decommissioning","Raw Decommissioning","Raw Provisioning"))</x:f>
        <x:v>Raw Decommissioning</x:v>
      </x:c>
      <x:c r="Z126" s="170" t="str">
        <x:f>IF(A126="","",IF(OR(C126="executing",C126="processing"),"Yes","No"))</x:f>
        <x:v>No</x:v>
      </x:c>
    </x:row>
    <x:row r="127">
      <x:c r="A127" s="170" t="str">
        <x:f>IF(ROWS($A$5:A127)&lt;=COUNTA('Raw Decommissioning'!$B$2:$B$1000),INDEX('Raw Decommissioning'!$B$2:$B$1000,ROWS($A$5:A127)),IF(ROWS($A$5:A127)-COUNTA('Raw Decommissioning'!$B$2:$B$1000)&lt;=COUNTA('Raw Provisioning'!$B$2:$B$1000),INDEX('Raw Provisioning'!$B$2:$B$1000,ROWS($A$5:A127)-COUNTA('Raw Decommissioning'!$B$2:$B$1000)),""))</x:f>
        <x:v>CSSP10452749</x:v>
      </x:c>
      <x:c r="B127" s="170" t="str">
        <x:f>IF(A127="","",IF(ROWS($A$5:A127)&lt;=COUNTA('Raw Decommissioning'!$B$2:$B$1000),"Decommissioning","Provisioning"))</x:f>
        <x:v>Decommissioning</x:v>
      </x:c>
      <x:c r="C127" s="170" t="str">
        <x:f>IF(A127="","",IF(B127="Decommissioning",IFERROR(INDEX('Raw Decommissioning'!$E$2:$E$1000,MATCH(A127,'Raw Decommissioning'!$B$2:$B$1000,0)),"Missing from latest raw"),IFERROR(INDEX('Raw Provisioning'!$E$2:$E$1000,MATCH(A127,'Raw Provisioning'!$B$2:$B$1000,0)),"Missing from latest raw")))</x:f>
        <x:v>completed</x:v>
      </x:c>
      <x:c r="D127" s="171" t="n">
        <x:f>IF(A127="","",'Refresh Control'!$B$4)</x:f>
        <x:v>46254</x:v>
      </x:c>
      <x:c r="E127" s="171" t="n">
        <x:f>IF(A127="","",IF(B127="Decommissioning",INDEX('Raw Decommissioning'!$F$2:$F$1000,ROWS($A$5:A127)),INDEX('Raw Provisioning'!$F$2:$F$1000,ROWS($A$5:A127)-COUNTA('Raw Decommissioning'!$B$2:$B$1000))))</x:f>
        <x:v>46077.03655548611</x:v>
      </x:c>
      <x:c r="F127" s="171" t="n">
        <x:f>IF(A127="","",IF(B127="Decommissioning",INDEX('Raw Decommissioning'!$G$2:$G$1000,ROWS($A$5:A127)),INDEX('Raw Provisioning'!$H$2:$H$1000,ROWS($A$5:A127)-COUNTA('Raw Decommissioning'!$B$2:$B$1000))))</x:f>
        <x:v>46080.0604246875</x:v>
      </x:c>
      <x:c r="G127" s="170" t="str">
        <x:f>IF(A127="","",IF(B127="Decommissioning",INDEX('Raw Decommissioning'!$I$2:$I$1000,ROWS($A$5:A127)),INDEX('Raw Provisioning'!$J$2:$J$1000,ROWS($A$5:A127)-COUNTA('Raw Decommissioning'!$B$2:$B$1000))))</x:f>
        <x:v>Lab Information Management System - LIMS PRSB</x:v>
      </x:c>
      <x:c r="H127" s="170" t="str">
        <x:f>IF(A127="","",IF(B127="Decommissioning",INDEX('Raw Decommissioning'!$J$2:$J$1000,ROWS($A$5:A127)),INDEX('Raw Provisioning'!$L$2:$L$1000,ROWS($A$5:A127)-COUNTA('Raw Decommissioning'!$B$2:$B$1000))))</x:f>
        <x:v>OCI MIGRATION - Lab Information Management System (LIMS) for PRSB</x:v>
      </x:c>
      <x:c r="I127" s="170" t="str">
        <x:f>IF(A127="","",IF(B127="Decommissioning",INDEX('Raw Decommissioning'!$AL$2:$AL$1000,ROWS($A$5:A127)),INDEX('Raw Provisioning'!$R$2:$R$1000,ROWS($A$5:A127)-COUNTA('Raw Decommissioning'!$B$2:$B$1000))))</x:f>
        <x:v>M</x:v>
      </x:c>
      <x:c r="J127" s="170" t="str">
        <x:f>IF(A127="","",IF(B127="Decommissioning",INDEX('Raw Decommissioning'!$AG$2:$AG$1000,ROWS($A$5:A127)),INDEX('Raw Provisioning'!$AI$2:$AI$1000,ROWS($A$5:A127)-COUNTA('Raw Decommissioning'!$B$2:$B$1000))))</x:f>
        <x:v>azwan.badari@petronas.com</x:v>
      </x:c>
      <x:c r="K127" s="172" t="str">
        <x:f>IF(A127="","",IFERROR(LOOKUP(2,1/('Assignment History'!$B$5:$B$204=A127),'Assignment History'!$D$5:$D$204),IFERROR(VLOOKUP(J127,Configuration!$L$5:$M$50,2,FALSE),J127)))</x:f>
        <x:v>azwan.badari@petronas.com</x:v>
      </x:c>
      <x:c r="L127" s="172" t="str">
        <x:f>IF(A127="","",IF(K127=IFERROR(VLOOKUP(J127,Configuration!$L$5:$M$50,2,FALSE),J127),"Snapshot PIC","Replacement PIC"))</x:f>
        <x:v>Snapshot PIC</x:v>
      </x:c>
      <x:c r="M127" s="172" t="n">
        <x:f>IF(A127="","",IFERROR(VLOOKUP(I127,Configuration!$O$5:$P$8,2,FALSE),Configuration!$S$6))</x:f>
        <x:v>2</x:v>
      </x:c>
      <x:c r="N127" s="172" t="str">
        <x:f>IF(A127="","",IFERROR(LOOKUP(2,1/('Scope Review'!$B$5:$B$204=A127),'Scope Review'!$G$5:$G$204),"Not Reviewed"))</x:f>
        <x:v>Not Reviewed</x:v>
      </x:c>
      <x:c r="O127" s="172" t="str">
        <x:f>IF(A127="","",IFERROR(LOOKUP(2,1/('Scope Review'!$B$5:$B$204=A127),'Scope Review'!$H$5:$H$204),""))</x:f>
      </x:c>
      <x:c r="P127" s="172" t="n">
        <x:f>IF(A127="","",IF(AND(C127="executing",N127&lt;&gt;"Confirmed OOS"),M127,0))</x:f>
        <x:v>0</x:v>
      </x:c>
      <x:c r="Q127" s="173" t="str">
        <x:f>IF(A127="","",IFERROR(LOOKUP(2,1/('Engineer Updates'!$B$5:$B$704=A127),'Engineer Updates'!$A$5:$A$704),""))</x:f>
      </x:c>
      <x:c r="R127" s="172" t="str">
        <x:f>IF(A127="","",IFERROR(LOOKUP(2,1/('Engineer Updates'!$B$5:$B$704=A127),'Engineer Updates'!$H$5:$H$704),""))</x:f>
      </x:c>
      <x:c r="S127" s="172" t="str">
        <x:f>IF(A127="","",IFERROR(LOOKUP(2,1/('Engineer Updates'!$B$5:$B$704=A127),'Engineer Updates'!$G$5:$G$704),""))</x:f>
      </x:c>
      <x:c r="T127" s="172" t="str">
        <x:f>IF(A127="","",IFERROR(LOOKUP(2,1/('Engineer Updates'!$B$5:$B$704=A127),'Engineer Updates'!$I$5:$I$704),""))</x:f>
      </x:c>
      <x:c r="U127" s="172" t="str">
        <x:f>IF(A127="","",IFERROR(LOOKUP(2,1/('Engineer Updates'!$B$5:$B$704=A127),'Engineer Updates'!$J$5:$J$704),""))</x:f>
      </x:c>
      <x:c r="V127" s="172" t="str">
        <x:f>IF(A127="","",IFERROR(LOOKUP(2,1/('Engineer Updates'!$B$5:$B$704=A127),'Engineer Updates'!$K$5:$K$704),""))</x:f>
      </x:c>
      <x:c r="W127" s="174" t="str">
        <x:f>IF(A127="","",IFERROR(LOOKUP(2,1/('Engineer Updates'!$B$5:$B$704=A127),'Engineer Updates'!$L$5:$L$704),""))</x:f>
      </x:c>
      <x:c r="X127" s="170" t="str">
        <x:f>IF(A127="","",IF(C127="completed","Completed in CSSP",IF(AND(C127="executing",ISERROR(SEARCH("@",K127))),"Executing without named engineer",IF(AND(N127="Confirmed OOS",C127="executing"),"Confirmed OOS still executing",""))))</x:f>
        <x:v>Completed in CSSP</x:v>
      </x:c>
      <x:c r="Y127" s="170" t="str">
        <x:f>IF(A127="","",IF(B127="Decommissioning","Raw Decommissioning","Raw Provisioning"))</x:f>
        <x:v>Raw Decommissioning</x:v>
      </x:c>
      <x:c r="Z127" s="170" t="str">
        <x:f>IF(A127="","",IF(OR(C127="executing",C127="processing"),"Yes","No"))</x:f>
        <x:v>No</x:v>
      </x:c>
    </x:row>
    <x:row r="128">
      <x:c r="A128" s="170" t="str">
        <x:f>IF(ROWS($A$5:A128)&lt;=COUNTA('Raw Decommissioning'!$B$2:$B$1000),INDEX('Raw Decommissioning'!$B$2:$B$1000,ROWS($A$5:A128)),IF(ROWS($A$5:A128)-COUNTA('Raw Decommissioning'!$B$2:$B$1000)&lt;=COUNTA('Raw Provisioning'!$B$2:$B$1000),INDEX('Raw Provisioning'!$B$2:$B$1000,ROWS($A$5:A128)-COUNTA('Raw Decommissioning'!$B$2:$B$1000)),""))</x:f>
        <x:v>CSSP10542876</x:v>
      </x:c>
      <x:c r="B128" s="170" t="str">
        <x:f>IF(A128="","",IF(ROWS($A$5:A128)&lt;=COUNTA('Raw Decommissioning'!$B$2:$B$1000),"Decommissioning","Provisioning"))</x:f>
        <x:v>Decommissioning</x:v>
      </x:c>
      <x:c r="C128" s="170" t="str">
        <x:f>IF(A128="","",IF(B128="Decommissioning",IFERROR(INDEX('Raw Decommissioning'!$E$2:$E$1000,MATCH(A128,'Raw Decommissioning'!$B$2:$B$1000,0)),"Missing from latest raw"),IFERROR(INDEX('Raw Provisioning'!$E$2:$E$1000,MATCH(A128,'Raw Provisioning'!$B$2:$B$1000,0)),"Missing from latest raw")))</x:f>
        <x:v>completed</x:v>
      </x:c>
      <x:c r="D128" s="171" t="n">
        <x:f>IF(A128="","",'Refresh Control'!$B$4)</x:f>
        <x:v>46254</x:v>
      </x:c>
      <x:c r="E128" s="171" t="n">
        <x:f>IF(A128="","",IF(B128="Decommissioning",INDEX('Raw Decommissioning'!$F$2:$F$1000,ROWS($A$5:A128)),INDEX('Raw Provisioning'!$F$2:$F$1000,ROWS($A$5:A128)-COUNTA('Raw Decommissioning'!$B$2:$B$1000))))</x:f>
        <x:v>46077.05710268518</x:v>
      </x:c>
      <x:c r="F128" s="171" t="n">
        <x:f>IF(A128="","",IF(B128="Decommissioning",INDEX('Raw Decommissioning'!$G$2:$G$1000,ROWS($A$5:A128)),INDEX('Raw Provisioning'!$H$2:$H$1000,ROWS($A$5:A128)-COUNTA('Raw Decommissioning'!$B$2:$B$1000))))</x:f>
        <x:v>46083.1337212037</x:v>
      </x:c>
      <x:c r="G128" s="170" t="str">
        <x:f>IF(A128="","",IF(B128="Decommissioning",INDEX('Raw Decommissioning'!$I$2:$I$1000,ROWS($A$5:A128)),INDEX('Raw Provisioning'!$J$2:$J$1000,ROWS($A$5:A128)-COUNTA('Raw Decommissioning'!$B$2:$B$1000))))</x:f>
        <x:v>Regas Management System - RMS</x:v>
      </x:c>
      <x:c r="H128" s="170" t="str">
        <x:f>IF(A128="","",IF(B128="Decommissioning",INDEX('Raw Decommissioning'!$J$2:$J$1000,ROWS($A$5:A128)),INDEX('Raw Provisioning'!$L$2:$L$1000,ROWS($A$5:A128)-COUNTA('Raw Decommissioning'!$B$2:$B$1000))))</x:f>
        <x:v>Regas Management System (RMS) 2.0 for RGTSU</x:v>
      </x:c>
      <x:c r="I128" s="170" t="str">
        <x:f>IF(A128="","",IF(B128="Decommissioning",INDEX('Raw Decommissioning'!$AL$2:$AL$1000,ROWS($A$5:A128)),INDEX('Raw Provisioning'!$R$2:$R$1000,ROWS($A$5:A128)-COUNTA('Raw Decommissioning'!$B$2:$B$1000))))</x:f>
        <x:v>M</x:v>
      </x:c>
      <x:c r="J128" s="170" t="str">
        <x:f>IF(A128="","",IF(B128="Decommissioning",INDEX('Raw Decommissioning'!$AG$2:$AG$1000,ROWS($A$5:A128)),INDEX('Raw Provisioning'!$AI$2:$AI$1000,ROWS($A$5:A128)-COUNTA('Raw Decommissioning'!$B$2:$B$1000))))</x:f>
        <x:v>azwan.badari@petronas.com</x:v>
      </x:c>
      <x:c r="K128" s="172" t="str">
        <x:f>IF(A128="","",IFERROR(LOOKUP(2,1/('Assignment History'!$B$5:$B$204=A128),'Assignment History'!$D$5:$D$204),IFERROR(VLOOKUP(J128,Configuration!$L$5:$M$50,2,FALSE),J128)))</x:f>
        <x:v>azwan.badari@petronas.com</x:v>
      </x:c>
      <x:c r="L128" s="172" t="str">
        <x:f>IF(A128="","",IF(K128=IFERROR(VLOOKUP(J128,Configuration!$L$5:$M$50,2,FALSE),J128),"Snapshot PIC","Replacement PIC"))</x:f>
        <x:v>Snapshot PIC</x:v>
      </x:c>
      <x:c r="M128" s="172" t="n">
        <x:f>IF(A128="","",IFERROR(VLOOKUP(I128,Configuration!$O$5:$P$8,2,FALSE),Configuration!$S$6))</x:f>
        <x:v>2</x:v>
      </x:c>
      <x:c r="N128" s="172" t="str">
        <x:f>IF(A128="","",IFERROR(LOOKUP(2,1/('Scope Review'!$B$5:$B$204=A128),'Scope Review'!$G$5:$G$204),"Not Reviewed"))</x:f>
        <x:v>Not Reviewed</x:v>
      </x:c>
      <x:c r="O128" s="172" t="str">
        <x:f>IF(A128="","",IFERROR(LOOKUP(2,1/('Scope Review'!$B$5:$B$204=A128),'Scope Review'!$H$5:$H$204),""))</x:f>
      </x:c>
      <x:c r="P128" s="172" t="n">
        <x:f>IF(A128="","",IF(AND(C128="executing",N128&lt;&gt;"Confirmed OOS"),M128,0))</x:f>
        <x:v>0</x:v>
      </x:c>
      <x:c r="Q128" s="173" t="str">
        <x:f>IF(A128="","",IFERROR(LOOKUP(2,1/('Engineer Updates'!$B$5:$B$704=A128),'Engineer Updates'!$A$5:$A$704),""))</x:f>
      </x:c>
      <x:c r="R128" s="172" t="str">
        <x:f>IF(A128="","",IFERROR(LOOKUP(2,1/('Engineer Updates'!$B$5:$B$704=A128),'Engineer Updates'!$H$5:$H$704),""))</x:f>
      </x:c>
      <x:c r="S128" s="172" t="str">
        <x:f>IF(A128="","",IFERROR(LOOKUP(2,1/('Engineer Updates'!$B$5:$B$704=A128),'Engineer Updates'!$G$5:$G$704),""))</x:f>
      </x:c>
      <x:c r="T128" s="172" t="str">
        <x:f>IF(A128="","",IFERROR(LOOKUP(2,1/('Engineer Updates'!$B$5:$B$704=A128),'Engineer Updates'!$I$5:$I$704),""))</x:f>
      </x:c>
      <x:c r="U128" s="172" t="str">
        <x:f>IF(A128="","",IFERROR(LOOKUP(2,1/('Engineer Updates'!$B$5:$B$704=A128),'Engineer Updates'!$J$5:$J$704),""))</x:f>
      </x:c>
      <x:c r="V128" s="172" t="str">
        <x:f>IF(A128="","",IFERROR(LOOKUP(2,1/('Engineer Updates'!$B$5:$B$704=A128),'Engineer Updates'!$K$5:$K$704),""))</x:f>
      </x:c>
      <x:c r="W128" s="174" t="str">
        <x:f>IF(A128="","",IFERROR(LOOKUP(2,1/('Engineer Updates'!$B$5:$B$704=A128),'Engineer Updates'!$L$5:$L$704),""))</x:f>
      </x:c>
      <x:c r="X128" s="170" t="str">
        <x:f>IF(A128="","",IF(C128="completed","Completed in CSSP",IF(AND(C128="executing",ISERROR(SEARCH("@",K128))),"Executing without named engineer",IF(AND(N128="Confirmed OOS",C128="executing"),"Confirmed OOS still executing",""))))</x:f>
        <x:v>Completed in CSSP</x:v>
      </x:c>
      <x:c r="Y128" s="170" t="str">
        <x:f>IF(A128="","",IF(B128="Decommissioning","Raw Decommissioning","Raw Provisioning"))</x:f>
        <x:v>Raw Decommissioning</x:v>
      </x:c>
      <x:c r="Z128" s="170" t="str">
        <x:f>IF(A128="","",IF(OR(C128="executing",C128="processing"),"Yes","No"))</x:f>
        <x:v>No</x:v>
      </x:c>
    </x:row>
    <x:row r="129">
      <x:c r="A129" s="170" t="str">
        <x:f>IF(ROWS($A$5:A129)&lt;=COUNTA('Raw Decommissioning'!$B$2:$B$1000),INDEX('Raw Decommissioning'!$B$2:$B$1000,ROWS($A$5:A129)),IF(ROWS($A$5:A129)-COUNTA('Raw Decommissioning'!$B$2:$B$1000)&lt;=COUNTA('Raw Provisioning'!$B$2:$B$1000),INDEX('Raw Provisioning'!$B$2:$B$1000,ROWS($A$5:A129)-COUNTA('Raw Decommissioning'!$B$2:$B$1000)),""))</x:f>
        <x:v>CSSP10301277</x:v>
      </x:c>
      <x:c r="B129" s="170" t="str">
        <x:f>IF(A129="","",IF(ROWS($A$5:A129)&lt;=COUNTA('Raw Decommissioning'!$B$2:$B$1000),"Decommissioning","Provisioning"))</x:f>
        <x:v>Decommissioning</x:v>
      </x:c>
      <x:c r="C129" s="170" t="str">
        <x:f>IF(A129="","",IF(B129="Decommissioning",IFERROR(INDEX('Raw Decommissioning'!$E$2:$E$1000,MATCH(A129,'Raw Decommissioning'!$B$2:$B$1000,0)),"Missing from latest raw"),IFERROR(INDEX('Raw Provisioning'!$E$2:$E$1000,MATCH(A129,'Raw Provisioning'!$B$2:$B$1000,0)),"Missing from latest raw")))</x:f>
        <x:v>completed</x:v>
      </x:c>
      <x:c r="D129" s="171" t="n">
        <x:f>IF(A129="","",'Refresh Control'!$B$4)</x:f>
        <x:v>46254</x:v>
      </x:c>
      <x:c r="E129" s="171" t="n">
        <x:f>IF(A129="","",IF(B129="Decommissioning",INDEX('Raw Decommissioning'!$F$2:$F$1000,ROWS($A$5:A129)),INDEX('Raw Provisioning'!$F$2:$F$1000,ROWS($A$5:A129)-COUNTA('Raw Decommissioning'!$B$2:$B$1000))))</x:f>
        <x:v>46077.05950728009</x:v>
      </x:c>
      <x:c r="F129" s="171" t="n">
        <x:f>IF(A129="","",IF(B129="Decommissioning",INDEX('Raw Decommissioning'!$G$2:$G$1000,ROWS($A$5:A129)),INDEX('Raw Provisioning'!$H$2:$H$1000,ROWS($A$5:A129)-COUNTA('Raw Decommissioning'!$B$2:$B$1000))))</x:f>
        <x:v>46079.13513849537</x:v>
      </x:c>
      <x:c r="G129" s="170" t="str">
        <x:f>IF(A129="","",IF(B129="Decommissioning",INDEX('Raw Decommissioning'!$I$2:$I$1000,ROWS($A$5:A129)),INDEX('Raw Provisioning'!$J$2:$J$1000,ROWS($A$5:A129)-COUNTA('Raw Decommissioning'!$B$2:$B$1000))))</x:f>
        <x:v>Corrective Action Key to No Accident - iCAKNA</x:v>
      </x:c>
      <x:c r="H129" s="170" t="str">
        <x:f>IF(A129="","",IF(B129="Decommissioning",INDEX('Raw Decommissioning'!$J$2:$J$1000,ROWS($A$5:A129)),INDEX('Raw Provisioning'!$L$2:$L$1000,ROWS($A$5:A129)-COUNTA('Raw Decommissioning'!$B$2:$B$1000))))</x:f>
        <x:v>OCI MIGRATION - ICAKNA</x:v>
      </x:c>
      <x:c r="I129" s="170" t="str">
        <x:f>IF(A129="","",IF(B129="Decommissioning",INDEX('Raw Decommissioning'!$AL$2:$AL$1000,ROWS($A$5:A129)),INDEX('Raw Provisioning'!$R$2:$R$1000,ROWS($A$5:A129)-COUNTA('Raw Decommissioning'!$B$2:$B$1000))))</x:f>
        <x:v>M</x:v>
      </x:c>
      <x:c r="J129" s="170" t="str">
        <x:f>IF(A129="","",IF(B129="Decommissioning",INDEX('Raw Decommissioning'!$AG$2:$AG$1000,ROWS($A$5:A129)),INDEX('Raw Provisioning'!$AI$2:$AI$1000,ROWS($A$5:A129)-COUNTA('Raw Decommissioning'!$B$2:$B$1000))))</x:f>
        <x:v>azwan.badari@petronas.com</x:v>
      </x:c>
      <x:c r="K129" s="172" t="str">
        <x:f>IF(A129="","",IFERROR(LOOKUP(2,1/('Assignment History'!$B$5:$B$204=A129),'Assignment History'!$D$5:$D$204),IFERROR(VLOOKUP(J129,Configuration!$L$5:$M$50,2,FALSE),J129)))</x:f>
        <x:v>azwan.badari@petronas.com</x:v>
      </x:c>
      <x:c r="L129" s="172" t="str">
        <x:f>IF(A129="","",IF(K129=IFERROR(VLOOKUP(J129,Configuration!$L$5:$M$50,2,FALSE),J129),"Snapshot PIC","Replacement PIC"))</x:f>
        <x:v>Snapshot PIC</x:v>
      </x:c>
      <x:c r="M129" s="172" t="n">
        <x:f>IF(A129="","",IFERROR(VLOOKUP(I129,Configuration!$O$5:$P$8,2,FALSE),Configuration!$S$6))</x:f>
        <x:v>2</x:v>
      </x:c>
      <x:c r="N129" s="172" t="str">
        <x:f>IF(A129="","",IFERROR(LOOKUP(2,1/('Scope Review'!$B$5:$B$204=A129),'Scope Review'!$G$5:$G$204),"Not Reviewed"))</x:f>
        <x:v>Not Reviewed</x:v>
      </x:c>
      <x:c r="O129" s="172" t="str">
        <x:f>IF(A129="","",IFERROR(LOOKUP(2,1/('Scope Review'!$B$5:$B$204=A129),'Scope Review'!$H$5:$H$204),""))</x:f>
      </x:c>
      <x:c r="P129" s="172" t="n">
        <x:f>IF(A129="","",IF(AND(C129="executing",N129&lt;&gt;"Confirmed OOS"),M129,0))</x:f>
        <x:v>0</x:v>
      </x:c>
      <x:c r="Q129" s="173" t="str">
        <x:f>IF(A129="","",IFERROR(LOOKUP(2,1/('Engineer Updates'!$B$5:$B$704=A129),'Engineer Updates'!$A$5:$A$704),""))</x:f>
      </x:c>
      <x:c r="R129" s="172" t="str">
        <x:f>IF(A129="","",IFERROR(LOOKUP(2,1/('Engineer Updates'!$B$5:$B$704=A129),'Engineer Updates'!$H$5:$H$704),""))</x:f>
      </x:c>
      <x:c r="S129" s="172" t="str">
        <x:f>IF(A129="","",IFERROR(LOOKUP(2,1/('Engineer Updates'!$B$5:$B$704=A129),'Engineer Updates'!$G$5:$G$704),""))</x:f>
      </x:c>
      <x:c r="T129" s="172" t="str">
        <x:f>IF(A129="","",IFERROR(LOOKUP(2,1/('Engineer Updates'!$B$5:$B$704=A129),'Engineer Updates'!$I$5:$I$704),""))</x:f>
      </x:c>
      <x:c r="U129" s="172" t="str">
        <x:f>IF(A129="","",IFERROR(LOOKUP(2,1/('Engineer Updates'!$B$5:$B$704=A129),'Engineer Updates'!$J$5:$J$704),""))</x:f>
      </x:c>
      <x:c r="V129" s="172" t="str">
        <x:f>IF(A129="","",IFERROR(LOOKUP(2,1/('Engineer Updates'!$B$5:$B$704=A129),'Engineer Updates'!$K$5:$K$704),""))</x:f>
      </x:c>
      <x:c r="W129" s="174" t="str">
        <x:f>IF(A129="","",IFERROR(LOOKUP(2,1/('Engineer Updates'!$B$5:$B$704=A129),'Engineer Updates'!$L$5:$L$704),""))</x:f>
      </x:c>
      <x:c r="X129" s="170" t="str">
        <x:f>IF(A129="","",IF(C129="completed","Completed in CSSP",IF(AND(C129="executing",ISERROR(SEARCH("@",K129))),"Executing without named engineer",IF(AND(N129="Confirmed OOS",C129="executing"),"Confirmed OOS still executing",""))))</x:f>
        <x:v>Completed in CSSP</x:v>
      </x:c>
      <x:c r="Y129" s="170" t="str">
        <x:f>IF(A129="","",IF(B129="Decommissioning","Raw Decommissioning","Raw Provisioning"))</x:f>
        <x:v>Raw Decommissioning</x:v>
      </x:c>
      <x:c r="Z129" s="170" t="str">
        <x:f>IF(A129="","",IF(OR(C129="executing",C129="processing"),"Yes","No"))</x:f>
        <x:v>No</x:v>
      </x:c>
    </x:row>
    <x:row r="130">
      <x:c r="A130" s="170" t="str">
        <x:f>IF(ROWS($A$5:A130)&lt;=COUNTA('Raw Decommissioning'!$B$2:$B$1000),INDEX('Raw Decommissioning'!$B$2:$B$1000,ROWS($A$5:A130)),IF(ROWS($A$5:A130)-COUNTA('Raw Decommissioning'!$B$2:$B$1000)&lt;=COUNTA('Raw Provisioning'!$B$2:$B$1000),INDEX('Raw Provisioning'!$B$2:$B$1000,ROWS($A$5:A130)-COUNTA('Raw Decommissioning'!$B$2:$B$1000)),""))</x:f>
        <x:v>CSSP10953444</x:v>
      </x:c>
      <x:c r="B130" s="170" t="str">
        <x:f>IF(A130="","",IF(ROWS($A$5:A130)&lt;=COUNTA('Raw Decommissioning'!$B$2:$B$1000),"Decommissioning","Provisioning"))</x:f>
        <x:v>Decommissioning</x:v>
      </x:c>
      <x:c r="C130" s="170" t="str">
        <x:f>IF(A130="","",IF(B130="Decommissioning",IFERROR(INDEX('Raw Decommissioning'!$E$2:$E$1000,MATCH(A130,'Raw Decommissioning'!$B$2:$B$1000,0)),"Missing from latest raw"),IFERROR(INDEX('Raw Provisioning'!$E$2:$E$1000,MATCH(A130,'Raw Provisioning'!$B$2:$B$1000,0)),"Missing from latest raw")))</x:f>
        <x:v>completed</x:v>
      </x:c>
      <x:c r="D130" s="171" t="n">
        <x:f>IF(A130="","",'Refresh Control'!$B$4)</x:f>
        <x:v>46254</x:v>
      </x:c>
      <x:c r="E130" s="171" t="n">
        <x:f>IF(A130="","",IF(B130="Decommissioning",INDEX('Raw Decommissioning'!$F$2:$F$1000,ROWS($A$5:A130)),INDEX('Raw Provisioning'!$F$2:$F$1000,ROWS($A$5:A130)-COUNTA('Raw Decommissioning'!$B$2:$B$1000))))</x:f>
        <x:v>46078.056057905094</x:v>
      </x:c>
      <x:c r="F130" s="171" t="n">
        <x:f>IF(A130="","",IF(B130="Decommissioning",INDEX('Raw Decommissioning'!$G$2:$G$1000,ROWS($A$5:A130)),INDEX('Raw Provisioning'!$H$2:$H$1000,ROWS($A$5:A130)-COUNTA('Raw Decommissioning'!$B$2:$B$1000))))</x:f>
        <x:v>46083.37464863426</x:v>
      </x:c>
      <x:c r="G130" s="170" t="str">
        <x:f>IF(A130="","",IF(B130="Decommissioning",INDEX('Raw Decommissioning'!$I$2:$I$1000,ROWS($A$5:A130)),INDEX('Raw Provisioning'!$J$2:$J$1000,ROWS($A$5:A130)-COUNTA('Raw Decommissioning'!$B$2:$B$1000))))</x:f>
        <x:v>M365 SharePoint - SPO</x:v>
      </x:c>
      <x:c r="H130" s="170" t="str">
        <x:f>IF(A130="","",IF(B130="Decommissioning",INDEX('Raw Decommissioning'!$J$2:$J$1000,ROWS($A$5:A130)),INDEX('Raw Provisioning'!$L$2:$L$1000,ROWS($A$5:A130)-COUNTA('Raw Decommissioning'!$B$2:$B$1000))))</x:f>
        <x:v>Cloud Migration Program - Migration SharePoint 2013 to SharePoint 2019</x:v>
      </x:c>
      <x:c r="I130" s="170" t="str">
        <x:f>IF(A130="","",IF(B130="Decommissioning",INDEX('Raw Decommissioning'!$AL$2:$AL$1000,ROWS($A$5:A130)),INDEX('Raw Provisioning'!$R$2:$R$1000,ROWS($A$5:A130)-COUNTA('Raw Decommissioning'!$B$2:$B$1000))))</x:f>
        <x:v>L</x:v>
      </x:c>
      <x:c r="J130" s="170" t="str">
        <x:f>IF(A130="","",IF(B130="Decommissioning",INDEX('Raw Decommissioning'!$AG$2:$AG$1000,ROWS($A$5:A130)),INDEX('Raw Provisioning'!$AI$2:$AI$1000,ROWS($A$5:A130)-COUNTA('Raw Decommissioning'!$B$2:$B$1000))))</x:f>
        <x:v>azlisham.md@petronas.com</x:v>
      </x:c>
      <x:c r="K130" s="172" t="str">
        <x:f>IF(A130="","",IFERROR(LOOKUP(2,1/('Assignment History'!$B$5:$B$204=A130),'Assignment History'!$D$5:$D$204),IFERROR(VLOOKUP(J130,Configuration!$L$5:$M$50,2,FALSE),J130)))</x:f>
        <x:v>azlisham.md@petronas.com</x:v>
      </x:c>
      <x:c r="L130" s="172" t="str">
        <x:f>IF(A130="","",IF(K130=IFERROR(VLOOKUP(J130,Configuration!$L$5:$M$50,2,FALSE),J130),"Snapshot PIC","Replacement PIC"))</x:f>
        <x:v>Snapshot PIC</x:v>
      </x:c>
      <x:c r="M130" s="172" t="n">
        <x:f>IF(A130="","",IFERROR(VLOOKUP(I130,Configuration!$O$5:$P$8,2,FALSE),Configuration!$S$6))</x:f>
        <x:v>3</x:v>
      </x:c>
      <x:c r="N130" s="172" t="str">
        <x:f>IF(A130="","",IFERROR(LOOKUP(2,1/('Scope Review'!$B$5:$B$204=A130),'Scope Review'!$G$5:$G$204),"Not Reviewed"))</x:f>
        <x:v>Not Reviewed</x:v>
      </x:c>
      <x:c r="O130" s="172" t="str">
        <x:f>IF(A130="","",IFERROR(LOOKUP(2,1/('Scope Review'!$B$5:$B$204=A130),'Scope Review'!$H$5:$H$204),""))</x:f>
      </x:c>
      <x:c r="P130" s="172" t="n">
        <x:f>IF(A130="","",IF(AND(C130="executing",N130&lt;&gt;"Confirmed OOS"),M130,0))</x:f>
        <x:v>0</x:v>
      </x:c>
      <x:c r="Q130" s="173" t="str">
        <x:f>IF(A130="","",IFERROR(LOOKUP(2,1/('Engineer Updates'!$B$5:$B$704=A130),'Engineer Updates'!$A$5:$A$704),""))</x:f>
      </x:c>
      <x:c r="R130" s="172" t="str">
        <x:f>IF(A130="","",IFERROR(LOOKUP(2,1/('Engineer Updates'!$B$5:$B$704=A130),'Engineer Updates'!$H$5:$H$704),""))</x:f>
      </x:c>
      <x:c r="S130" s="172" t="str">
        <x:f>IF(A130="","",IFERROR(LOOKUP(2,1/('Engineer Updates'!$B$5:$B$704=A130),'Engineer Updates'!$G$5:$G$704),""))</x:f>
      </x:c>
      <x:c r="T130" s="172" t="str">
        <x:f>IF(A130="","",IFERROR(LOOKUP(2,1/('Engineer Updates'!$B$5:$B$704=A130),'Engineer Updates'!$I$5:$I$704),""))</x:f>
      </x:c>
      <x:c r="U130" s="172" t="str">
        <x:f>IF(A130="","",IFERROR(LOOKUP(2,1/('Engineer Updates'!$B$5:$B$704=A130),'Engineer Updates'!$J$5:$J$704),""))</x:f>
      </x:c>
      <x:c r="V130" s="172" t="str">
        <x:f>IF(A130="","",IFERROR(LOOKUP(2,1/('Engineer Updates'!$B$5:$B$704=A130),'Engineer Updates'!$K$5:$K$704),""))</x:f>
      </x:c>
      <x:c r="W130" s="174" t="str">
        <x:f>IF(A130="","",IFERROR(LOOKUP(2,1/('Engineer Updates'!$B$5:$B$704=A130),'Engineer Updates'!$L$5:$L$704),""))</x:f>
      </x:c>
      <x:c r="X130" s="170" t="str">
        <x:f>IF(A130="","",IF(C130="completed","Completed in CSSP",IF(AND(C130="executing",ISERROR(SEARCH("@",K130))),"Executing without named engineer",IF(AND(N130="Confirmed OOS",C130="executing"),"Confirmed OOS still executing",""))))</x:f>
        <x:v>Completed in CSSP</x:v>
      </x:c>
      <x:c r="Y130" s="170" t="str">
        <x:f>IF(A130="","",IF(B130="Decommissioning","Raw Decommissioning","Raw Provisioning"))</x:f>
        <x:v>Raw Decommissioning</x:v>
      </x:c>
      <x:c r="Z130" s="170" t="str">
        <x:f>IF(A130="","",IF(OR(C130="executing",C130="processing"),"Yes","No"))</x:f>
        <x:v>No</x:v>
      </x:c>
    </x:row>
    <x:row r="131">
      <x:c r="A131" s="170" t="str">
        <x:f>IF(ROWS($A$5:A131)&lt;=COUNTA('Raw Decommissioning'!$B$2:$B$1000),INDEX('Raw Decommissioning'!$B$2:$B$1000,ROWS($A$5:A131)),IF(ROWS($A$5:A131)-COUNTA('Raw Decommissioning'!$B$2:$B$1000)&lt;=COUNTA('Raw Provisioning'!$B$2:$B$1000),INDEX('Raw Provisioning'!$B$2:$B$1000,ROWS($A$5:A131)-COUNTA('Raw Decommissioning'!$B$2:$B$1000)),""))</x:f>
        <x:v>CSSP10460886</x:v>
      </x:c>
      <x:c r="B131" s="170" t="str">
        <x:f>IF(A131="","",IF(ROWS($A$5:A131)&lt;=COUNTA('Raw Decommissioning'!$B$2:$B$1000),"Decommissioning","Provisioning"))</x:f>
        <x:v>Decommissioning</x:v>
      </x:c>
      <x:c r="C131" s="170" t="str">
        <x:f>IF(A131="","",IF(B131="Decommissioning",IFERROR(INDEX('Raw Decommissioning'!$E$2:$E$1000,MATCH(A131,'Raw Decommissioning'!$B$2:$B$1000,0)),"Missing from latest raw"),IFERROR(INDEX('Raw Provisioning'!$E$2:$E$1000,MATCH(A131,'Raw Provisioning'!$B$2:$B$1000,0)),"Missing from latest raw")))</x:f>
        <x:v>completed</x:v>
      </x:c>
      <x:c r="D131" s="171" t="n">
        <x:f>IF(A131="","",'Refresh Control'!$B$4)</x:f>
        <x:v>46254</x:v>
      </x:c>
      <x:c r="E131" s="171" t="n">
        <x:f>IF(A131="","",IF(B131="Decommissioning",INDEX('Raw Decommissioning'!$F$2:$F$1000,ROWS($A$5:A131)),INDEX('Raw Provisioning'!$F$2:$F$1000,ROWS($A$5:A131)-COUNTA('Raw Decommissioning'!$B$2:$B$1000))))</x:f>
        <x:v>46078.057535625</x:v>
      </x:c>
      <x:c r="F131" s="171" t="n">
        <x:f>IF(A131="","",IF(B131="Decommissioning",INDEX('Raw Decommissioning'!$G$2:$G$1000,ROWS($A$5:A131)),INDEX('Raw Provisioning'!$H$2:$H$1000,ROWS($A$5:A131)-COUNTA('Raw Decommissioning'!$B$2:$B$1000))))</x:f>
        <x:v>46092.39996355324</x:v>
      </x:c>
      <x:c r="G131" s="170" t="str">
        <x:f>IF(A131="","",IF(B131="Decommissioning",INDEX('Raw Decommissioning'!$I$2:$I$1000,ROWS($A$5:A131)),INDEX('Raw Provisioning'!$J$2:$J$1000,ROWS($A$5:A131)-COUNTA('Raw Decommissioning'!$B$2:$B$1000))))</x:f>
        <x:v>Eticketing system</x:v>
      </x:c>
      <x:c r="H131" s="170" t="str">
        <x:f>IF(A131="","",IF(B131="Decommissioning",INDEX('Raw Decommissioning'!$J$2:$J$1000,ROWS($A$5:A131)),INDEX('Raw Provisioning'!$L$2:$L$1000,ROWS($A$5:A131)-COUNTA('Raw Decommissioning'!$B$2:$B$1000))))</x:f>
        <x:v>Cloud Migration Program - eticketing system</x:v>
      </x:c>
      <x:c r="I131" s="170" t="str">
        <x:f>IF(A131="","",IF(B131="Decommissioning",INDEX('Raw Decommissioning'!$AL$2:$AL$1000,ROWS($A$5:A131)),INDEX('Raw Provisioning'!$R$2:$R$1000,ROWS($A$5:A131)-COUNTA('Raw Decommissioning'!$B$2:$B$1000))))</x:f>
        <x:v>S</x:v>
      </x:c>
      <x:c r="J131" s="170" t="str">
        <x:f>IF(A131="","",IF(B131="Decommissioning",INDEX('Raw Decommissioning'!$AG$2:$AG$1000,ROWS($A$5:A131)),INDEX('Raw Provisioning'!$AI$2:$AI$1000,ROWS($A$5:A131)-COUNTA('Raw Decommissioning'!$B$2:$B$1000))))</x:f>
        <x:v>abdullah.haziq@petronas.com</x:v>
      </x:c>
      <x:c r="K131" s="172" t="str">
        <x:f>IF(A131="","",IFERROR(LOOKUP(2,1/('Assignment History'!$B$5:$B$204=A131),'Assignment History'!$D$5:$D$204),IFERROR(VLOOKUP(J131,Configuration!$L$5:$M$50,2,FALSE),J131)))</x:f>
        <x:v>abdullah.haziq@petronas.com</x:v>
      </x:c>
      <x:c r="L131" s="172" t="str">
        <x:f>IF(A131="","",IF(K131=IFERROR(VLOOKUP(J131,Configuration!$L$5:$M$50,2,FALSE),J131),"Snapshot PIC","Replacement PIC"))</x:f>
        <x:v>Snapshot PIC</x:v>
      </x:c>
      <x:c r="M131" s="172" t="n">
        <x:f>IF(A131="","",IFERROR(VLOOKUP(I131,Configuration!$O$5:$P$8,2,FALSE),Configuration!$S$6))</x:f>
        <x:v>1</x:v>
      </x:c>
      <x:c r="N131" s="172" t="str">
        <x:f>IF(A131="","",IFERROR(LOOKUP(2,1/('Scope Review'!$B$5:$B$204=A131),'Scope Review'!$G$5:$G$204),"Not Reviewed"))</x:f>
        <x:v>Not Reviewed</x:v>
      </x:c>
      <x:c r="O131" s="172" t="str">
        <x:f>IF(A131="","",IFERROR(LOOKUP(2,1/('Scope Review'!$B$5:$B$204=A131),'Scope Review'!$H$5:$H$204),""))</x:f>
      </x:c>
      <x:c r="P131" s="172" t="n">
        <x:f>IF(A131="","",IF(AND(C131="executing",N131&lt;&gt;"Confirmed OOS"),M131,0))</x:f>
        <x:v>0</x:v>
      </x:c>
      <x:c r="Q131" s="173" t="str">
        <x:f>IF(A131="","",IFERROR(LOOKUP(2,1/('Engineer Updates'!$B$5:$B$704=A131),'Engineer Updates'!$A$5:$A$704),""))</x:f>
      </x:c>
      <x:c r="R131" s="172" t="str">
        <x:f>IF(A131="","",IFERROR(LOOKUP(2,1/('Engineer Updates'!$B$5:$B$704=A131),'Engineer Updates'!$H$5:$H$704),""))</x:f>
      </x:c>
      <x:c r="S131" s="172" t="str">
        <x:f>IF(A131="","",IFERROR(LOOKUP(2,1/('Engineer Updates'!$B$5:$B$704=A131),'Engineer Updates'!$G$5:$G$704),""))</x:f>
      </x:c>
      <x:c r="T131" s="172" t="str">
        <x:f>IF(A131="","",IFERROR(LOOKUP(2,1/('Engineer Updates'!$B$5:$B$704=A131),'Engineer Updates'!$I$5:$I$704),""))</x:f>
      </x:c>
      <x:c r="U131" s="172" t="str">
        <x:f>IF(A131="","",IFERROR(LOOKUP(2,1/('Engineer Updates'!$B$5:$B$704=A131),'Engineer Updates'!$J$5:$J$704),""))</x:f>
      </x:c>
      <x:c r="V131" s="172" t="str">
        <x:f>IF(A131="","",IFERROR(LOOKUP(2,1/('Engineer Updates'!$B$5:$B$704=A131),'Engineer Updates'!$K$5:$K$704),""))</x:f>
      </x:c>
      <x:c r="W131" s="174" t="str">
        <x:f>IF(A131="","",IFERROR(LOOKUP(2,1/('Engineer Updates'!$B$5:$B$704=A131),'Engineer Updates'!$L$5:$L$704),""))</x:f>
      </x:c>
      <x:c r="X131" s="170" t="str">
        <x:f>IF(A131="","",IF(C131="completed","Completed in CSSP",IF(AND(C131="executing",ISERROR(SEARCH("@",K131))),"Executing without named engineer",IF(AND(N131="Confirmed OOS",C131="executing"),"Confirmed OOS still executing",""))))</x:f>
        <x:v>Completed in CSSP</x:v>
      </x:c>
      <x:c r="Y131" s="170" t="str">
        <x:f>IF(A131="","",IF(B131="Decommissioning","Raw Decommissioning","Raw Provisioning"))</x:f>
        <x:v>Raw Decommissioning</x:v>
      </x:c>
      <x:c r="Z131" s="170" t="str">
        <x:f>IF(A131="","",IF(OR(C131="executing",C131="processing"),"Yes","No"))</x:f>
        <x:v>No</x:v>
      </x:c>
    </x:row>
    <x:row r="132">
      <x:c r="A132" s="170" t="str">
        <x:f>IF(ROWS($A$5:A132)&lt;=COUNTA('Raw Decommissioning'!$B$2:$B$1000),INDEX('Raw Decommissioning'!$B$2:$B$1000,ROWS($A$5:A132)),IF(ROWS($A$5:A132)-COUNTA('Raw Decommissioning'!$B$2:$B$1000)&lt;=COUNTA('Raw Provisioning'!$B$2:$B$1000),INDEX('Raw Provisioning'!$B$2:$B$1000,ROWS($A$5:A132)-COUNTA('Raw Decommissioning'!$B$2:$B$1000)),""))</x:f>
        <x:v>CSSP10743566</x:v>
      </x:c>
      <x:c r="B132" s="170" t="str">
        <x:f>IF(A132="","",IF(ROWS($A$5:A132)&lt;=COUNTA('Raw Decommissioning'!$B$2:$B$1000),"Decommissioning","Provisioning"))</x:f>
        <x:v>Decommissioning</x:v>
      </x:c>
      <x:c r="C132" s="170" t="str">
        <x:f>IF(A132="","",IF(B132="Decommissioning",IFERROR(INDEX('Raw Decommissioning'!$E$2:$E$1000,MATCH(A132,'Raw Decommissioning'!$B$2:$B$1000,0)),"Missing from latest raw"),IFERROR(INDEX('Raw Provisioning'!$E$2:$E$1000,MATCH(A132,'Raw Provisioning'!$B$2:$B$1000,0)),"Missing from latest raw")))</x:f>
        <x:v>completed</x:v>
      </x:c>
      <x:c r="D132" s="171" t="n">
        <x:f>IF(A132="","",'Refresh Control'!$B$4)</x:f>
        <x:v>46254</x:v>
      </x:c>
      <x:c r="E132" s="171" t="n">
        <x:f>IF(A132="","",IF(B132="Decommissioning",INDEX('Raw Decommissioning'!$F$2:$F$1000,ROWS($A$5:A132)),INDEX('Raw Provisioning'!$F$2:$F$1000,ROWS($A$5:A132)-COUNTA('Raw Decommissioning'!$B$2:$B$1000))))</x:f>
        <x:v>46078.16580927083</x:v>
      </x:c>
      <x:c r="F132" s="171" t="n">
        <x:f>IF(A132="","",IF(B132="Decommissioning",INDEX('Raw Decommissioning'!$G$2:$G$1000,ROWS($A$5:A132)),INDEX('Raw Provisioning'!$H$2:$H$1000,ROWS($A$5:A132)-COUNTA('Raw Decommissioning'!$B$2:$B$1000))))</x:f>
        <x:v>46092.40060891204</x:v>
      </x:c>
      <x:c r="G132" s="170" t="str">
        <x:f>IF(A132="","",IF(B132="Decommissioning",INDEX('Raw Decommissioning'!$I$2:$I$1000,ROWS($A$5:A132)),INDEX('Raw Provisioning'!$J$2:$J$1000,ROWS($A$5:A132)-COUNTA('Raw Decommissioning'!$B$2:$B$1000))))</x:f>
        <x:v>M365 Provisioning Engine - PE</x:v>
      </x:c>
      <x:c r="H132" s="170" t="str">
        <x:f>IF(A132="","",IF(B132="Decommissioning",INDEX('Raw Decommissioning'!$J$2:$J$1000,ROWS($A$5:A132)),INDEX('Raw Provisioning'!$L$2:$L$1000,ROWS($A$5:A132)-COUNTA('Raw Decommissioning'!$B$2:$B$1000))))</x:f>
        <x:v>M365 - WS7- Connect Workplace: Self Provisioning (Modern Workplace Provisioning Engine)</x:v>
      </x:c>
      <x:c r="I132" s="170" t="str">
        <x:f>IF(A132="","",IF(B132="Decommissioning",INDEX('Raw Decommissioning'!$AL$2:$AL$1000,ROWS($A$5:A132)),INDEX('Raw Provisioning'!$R$2:$R$1000,ROWS($A$5:A132)-COUNTA('Raw Decommissioning'!$B$2:$B$1000))))</x:f>
        <x:v>M</x:v>
      </x:c>
      <x:c r="J132" s="170" t="str">
        <x:f>IF(A132="","",IF(B132="Decommissioning",INDEX('Raw Decommissioning'!$AG$2:$AG$1000,ROWS($A$5:A132)),INDEX('Raw Provisioning'!$AI$2:$AI$1000,ROWS($A$5:A132)-COUNTA('Raw Decommissioning'!$B$2:$B$1000))))</x:f>
        <x:v>abdullah.haziq@petronas.com</x:v>
      </x:c>
      <x:c r="K132" s="172" t="str">
        <x:f>IF(A132="","",IFERROR(LOOKUP(2,1/('Assignment History'!$B$5:$B$204=A132),'Assignment History'!$D$5:$D$204),IFERROR(VLOOKUP(J132,Configuration!$L$5:$M$50,2,FALSE),J132)))</x:f>
        <x:v>abdullah.haziq@petronas.com</x:v>
      </x:c>
      <x:c r="L132" s="172" t="str">
        <x:f>IF(A132="","",IF(K132=IFERROR(VLOOKUP(J132,Configuration!$L$5:$M$50,2,FALSE),J132),"Snapshot PIC","Replacement PIC"))</x:f>
        <x:v>Snapshot PIC</x:v>
      </x:c>
      <x:c r="M132" s="172" t="n">
        <x:f>IF(A132="","",IFERROR(VLOOKUP(I132,Configuration!$O$5:$P$8,2,FALSE),Configuration!$S$6))</x:f>
        <x:v>2</x:v>
      </x:c>
      <x:c r="N132" s="172" t="str">
        <x:f>IF(A132="","",IFERROR(LOOKUP(2,1/('Scope Review'!$B$5:$B$204=A132),'Scope Review'!$G$5:$G$204),"Not Reviewed"))</x:f>
        <x:v>Not Reviewed</x:v>
      </x:c>
      <x:c r="O132" s="172" t="str">
        <x:f>IF(A132="","",IFERROR(LOOKUP(2,1/('Scope Review'!$B$5:$B$204=A132),'Scope Review'!$H$5:$H$204),""))</x:f>
      </x:c>
      <x:c r="P132" s="172" t="n">
        <x:f>IF(A132="","",IF(AND(C132="executing",N132&lt;&gt;"Confirmed OOS"),M132,0))</x:f>
        <x:v>0</x:v>
      </x:c>
      <x:c r="Q132" s="173" t="str">
        <x:f>IF(A132="","",IFERROR(LOOKUP(2,1/('Engineer Updates'!$B$5:$B$704=A132),'Engineer Updates'!$A$5:$A$704),""))</x:f>
      </x:c>
      <x:c r="R132" s="172" t="str">
        <x:f>IF(A132="","",IFERROR(LOOKUP(2,1/('Engineer Updates'!$B$5:$B$704=A132),'Engineer Updates'!$H$5:$H$704),""))</x:f>
      </x:c>
      <x:c r="S132" s="172" t="str">
        <x:f>IF(A132="","",IFERROR(LOOKUP(2,1/('Engineer Updates'!$B$5:$B$704=A132),'Engineer Updates'!$G$5:$G$704),""))</x:f>
      </x:c>
      <x:c r="T132" s="172" t="str">
        <x:f>IF(A132="","",IFERROR(LOOKUP(2,1/('Engineer Updates'!$B$5:$B$704=A132),'Engineer Updates'!$I$5:$I$704),""))</x:f>
      </x:c>
      <x:c r="U132" s="172" t="str">
        <x:f>IF(A132="","",IFERROR(LOOKUP(2,1/('Engineer Updates'!$B$5:$B$704=A132),'Engineer Updates'!$J$5:$J$704),""))</x:f>
      </x:c>
      <x:c r="V132" s="172" t="str">
        <x:f>IF(A132="","",IFERROR(LOOKUP(2,1/('Engineer Updates'!$B$5:$B$704=A132),'Engineer Updates'!$K$5:$K$704),""))</x:f>
      </x:c>
      <x:c r="W132" s="174" t="str">
        <x:f>IF(A132="","",IFERROR(LOOKUP(2,1/('Engineer Updates'!$B$5:$B$704=A132),'Engineer Updates'!$L$5:$L$704),""))</x:f>
      </x:c>
      <x:c r="X132" s="170" t="str">
        <x:f>IF(A132="","",IF(C132="completed","Completed in CSSP",IF(AND(C132="executing",ISERROR(SEARCH("@",K132))),"Executing without named engineer",IF(AND(N132="Confirmed OOS",C132="executing"),"Confirmed OOS still executing",""))))</x:f>
        <x:v>Completed in CSSP</x:v>
      </x:c>
      <x:c r="Y132" s="170" t="str">
        <x:f>IF(A132="","",IF(B132="Decommissioning","Raw Decommissioning","Raw Provisioning"))</x:f>
        <x:v>Raw Decommissioning</x:v>
      </x:c>
      <x:c r="Z132" s="170" t="str">
        <x:f>IF(A132="","",IF(OR(C132="executing",C132="processing"),"Yes","No"))</x:f>
        <x:v>No</x:v>
      </x:c>
    </x:row>
    <x:row r="133">
      <x:c r="A133" s="170" t="str">
        <x:f>IF(ROWS($A$5:A133)&lt;=COUNTA('Raw Decommissioning'!$B$2:$B$1000),INDEX('Raw Decommissioning'!$B$2:$B$1000,ROWS($A$5:A133)),IF(ROWS($A$5:A133)-COUNTA('Raw Decommissioning'!$B$2:$B$1000)&lt;=COUNTA('Raw Provisioning'!$B$2:$B$1000),INDEX('Raw Provisioning'!$B$2:$B$1000,ROWS($A$5:A133)-COUNTA('Raw Decommissioning'!$B$2:$B$1000)),""))</x:f>
        <x:v>CSSP10700193</x:v>
      </x:c>
      <x:c r="B133" s="170" t="str">
        <x:f>IF(A133="","",IF(ROWS($A$5:A133)&lt;=COUNTA('Raw Decommissioning'!$B$2:$B$1000),"Decommissioning","Provisioning"))</x:f>
        <x:v>Decommissioning</x:v>
      </x:c>
      <x:c r="C133" s="170" t="str">
        <x:f>IF(A133="","",IF(B133="Decommissioning",IFERROR(INDEX('Raw Decommissioning'!$E$2:$E$1000,MATCH(A133,'Raw Decommissioning'!$B$2:$B$1000,0)),"Missing from latest raw"),IFERROR(INDEX('Raw Provisioning'!$E$2:$E$1000,MATCH(A133,'Raw Provisioning'!$B$2:$B$1000,0)),"Missing from latest raw")))</x:f>
        <x:v>completed</x:v>
      </x:c>
      <x:c r="D133" s="171" t="n">
        <x:f>IF(A133="","",'Refresh Control'!$B$4)</x:f>
        <x:v>46254</x:v>
      </x:c>
      <x:c r="E133" s="171" t="n">
        <x:f>IF(A133="","",IF(B133="Decommissioning",INDEX('Raw Decommissioning'!$F$2:$F$1000,ROWS($A$5:A133)),INDEX('Raw Provisioning'!$F$2:$F$1000,ROWS($A$5:A133)-COUNTA('Raw Decommissioning'!$B$2:$B$1000))))</x:f>
        <x:v>46079.34474086806</x:v>
      </x:c>
      <x:c r="F133" s="171" t="n">
        <x:f>IF(A133="","",IF(B133="Decommissioning",INDEX('Raw Decommissioning'!$G$2:$G$1000,ROWS($A$5:A133)),INDEX('Raw Provisioning'!$H$2:$H$1000,ROWS($A$5:A133)-COUNTA('Raw Decommissioning'!$B$2:$B$1000))))</x:f>
        <x:v>46093.271410127316</x:v>
      </x:c>
      <x:c r="G133" s="170" t="str">
        <x:f>IF(A133="","",IF(B133="Decommissioning",INDEX('Raw Decommissioning'!$I$2:$I$1000,ROWS($A$5:A133)),INDEX('Raw Provisioning'!$J$2:$J$1000,ROWS($A$5:A133)-COUNTA('Raw Decommissioning'!$B$2:$B$1000))))</x:f>
        <x:v>Enterprise Service Management - ESM</x:v>
      </x:c>
      <x:c r="H133" s="170" t="str">
        <x:f>IF(A133="","",IF(B133="Decommissioning",INDEX('Raw Decommissioning'!$J$2:$J$1000,ROWS($A$5:A133)),INDEX('Raw Provisioning'!$L$2:$L$1000,ROWS($A$5:A133)-COUNTA('Raw Decommissioning'!$B$2:$B$1000))))</x:f>
        <x:v>Cloud Migration Program - Enterprise Service Management</x:v>
      </x:c>
      <x:c r="I133" s="170" t="str">
        <x:f>IF(A133="","",IF(B133="Decommissioning",INDEX('Raw Decommissioning'!$AL$2:$AL$1000,ROWS($A$5:A133)),INDEX('Raw Provisioning'!$R$2:$R$1000,ROWS($A$5:A133)-COUNTA('Raw Decommissioning'!$B$2:$B$1000))))</x:f>
        <x:v>L</x:v>
      </x:c>
      <x:c r="J133" s="170" t="str">
        <x:f>IF(A133="","",IF(B133="Decommissioning",INDEX('Raw Decommissioning'!$AG$2:$AG$1000,ROWS($A$5:A133)),INDEX('Raw Provisioning'!$AI$2:$AI$1000,ROWS($A$5:A133)-COUNTA('Raw Decommissioning'!$B$2:$B$1000))))</x:f>
        <x:v>azwan.badari@petronas.com</x:v>
      </x:c>
      <x:c r="K133" s="172" t="str">
        <x:f>IF(A133="","",IFERROR(LOOKUP(2,1/('Assignment History'!$B$5:$B$204=A133),'Assignment History'!$D$5:$D$204),IFERROR(VLOOKUP(J133,Configuration!$L$5:$M$50,2,FALSE),J133)))</x:f>
        <x:v>azwan.badari@petronas.com</x:v>
      </x:c>
      <x:c r="L133" s="172" t="str">
        <x:f>IF(A133="","",IF(K133=IFERROR(VLOOKUP(J133,Configuration!$L$5:$M$50,2,FALSE),J133),"Snapshot PIC","Replacement PIC"))</x:f>
        <x:v>Snapshot PIC</x:v>
      </x:c>
      <x:c r="M133" s="172" t="n">
        <x:f>IF(A133="","",IFERROR(VLOOKUP(I133,Configuration!$O$5:$P$8,2,FALSE),Configuration!$S$6))</x:f>
        <x:v>3</x:v>
      </x:c>
      <x:c r="N133" s="172" t="str">
        <x:f>IF(A133="","",IFERROR(LOOKUP(2,1/('Scope Review'!$B$5:$B$204=A133),'Scope Review'!$G$5:$G$204),"Not Reviewed"))</x:f>
        <x:v>Not Reviewed</x:v>
      </x:c>
      <x:c r="O133" s="172" t="str">
        <x:f>IF(A133="","",IFERROR(LOOKUP(2,1/('Scope Review'!$B$5:$B$204=A133),'Scope Review'!$H$5:$H$204),""))</x:f>
      </x:c>
      <x:c r="P133" s="172" t="n">
        <x:f>IF(A133="","",IF(AND(C133="executing",N133&lt;&gt;"Confirmed OOS"),M133,0))</x:f>
        <x:v>0</x:v>
      </x:c>
      <x:c r="Q133" s="173" t="str">
        <x:f>IF(A133="","",IFERROR(LOOKUP(2,1/('Engineer Updates'!$B$5:$B$704=A133),'Engineer Updates'!$A$5:$A$704),""))</x:f>
      </x:c>
      <x:c r="R133" s="172" t="str">
        <x:f>IF(A133="","",IFERROR(LOOKUP(2,1/('Engineer Updates'!$B$5:$B$704=A133),'Engineer Updates'!$H$5:$H$704),""))</x:f>
      </x:c>
      <x:c r="S133" s="172" t="str">
        <x:f>IF(A133="","",IFERROR(LOOKUP(2,1/('Engineer Updates'!$B$5:$B$704=A133),'Engineer Updates'!$G$5:$G$704),""))</x:f>
      </x:c>
      <x:c r="T133" s="172" t="str">
        <x:f>IF(A133="","",IFERROR(LOOKUP(2,1/('Engineer Updates'!$B$5:$B$704=A133),'Engineer Updates'!$I$5:$I$704),""))</x:f>
      </x:c>
      <x:c r="U133" s="172" t="str">
        <x:f>IF(A133="","",IFERROR(LOOKUP(2,1/('Engineer Updates'!$B$5:$B$704=A133),'Engineer Updates'!$J$5:$J$704),""))</x:f>
      </x:c>
      <x:c r="V133" s="172" t="str">
        <x:f>IF(A133="","",IFERROR(LOOKUP(2,1/('Engineer Updates'!$B$5:$B$704=A133),'Engineer Updates'!$K$5:$K$704),""))</x:f>
      </x:c>
      <x:c r="W133" s="174" t="str">
        <x:f>IF(A133="","",IFERROR(LOOKUP(2,1/('Engineer Updates'!$B$5:$B$704=A133),'Engineer Updates'!$L$5:$L$704),""))</x:f>
      </x:c>
      <x:c r="X133" s="170" t="str">
        <x:f>IF(A133="","",IF(C133="completed","Completed in CSSP",IF(AND(C133="executing",ISERROR(SEARCH("@",K133))),"Executing without named engineer",IF(AND(N133="Confirmed OOS",C133="executing"),"Confirmed OOS still executing",""))))</x:f>
        <x:v>Completed in CSSP</x:v>
      </x:c>
      <x:c r="Y133" s="170" t="str">
        <x:f>IF(A133="","",IF(B133="Decommissioning","Raw Decommissioning","Raw Provisioning"))</x:f>
        <x:v>Raw Decommissioning</x:v>
      </x:c>
      <x:c r="Z133" s="170" t="str">
        <x:f>IF(A133="","",IF(OR(C133="executing",C133="processing"),"Yes","No"))</x:f>
        <x:v>No</x:v>
      </x:c>
    </x:row>
    <x:row r="134">
      <x:c r="A134" s="170" t="str">
        <x:f>IF(ROWS($A$5:A134)&lt;=COUNTA('Raw Decommissioning'!$B$2:$B$1000),INDEX('Raw Decommissioning'!$B$2:$B$1000,ROWS($A$5:A134)),IF(ROWS($A$5:A134)-COUNTA('Raw Decommissioning'!$B$2:$B$1000)&lt;=COUNTA('Raw Provisioning'!$B$2:$B$1000),INDEX('Raw Provisioning'!$B$2:$B$1000,ROWS($A$5:A134)-COUNTA('Raw Decommissioning'!$B$2:$B$1000)),""))</x:f>
        <x:v>CSSP10667841</x:v>
      </x:c>
      <x:c r="B134" s="170" t="str">
        <x:f>IF(A134="","",IF(ROWS($A$5:A134)&lt;=COUNTA('Raw Decommissioning'!$B$2:$B$1000),"Decommissioning","Provisioning"))</x:f>
        <x:v>Decommissioning</x:v>
      </x:c>
      <x:c r="C134" s="170" t="str">
        <x:f>IF(A134="","",IF(B134="Decommissioning",IFERROR(INDEX('Raw Decommissioning'!$E$2:$E$1000,MATCH(A134,'Raw Decommissioning'!$B$2:$B$1000,0)),"Missing from latest raw"),IFERROR(INDEX('Raw Provisioning'!$E$2:$E$1000,MATCH(A134,'Raw Provisioning'!$B$2:$B$1000,0)),"Missing from latest raw")))</x:f>
        <x:v>completed</x:v>
      </x:c>
      <x:c r="D134" s="171" t="n">
        <x:f>IF(A134="","",'Refresh Control'!$B$4)</x:f>
        <x:v>46254</x:v>
      </x:c>
      <x:c r="E134" s="171" t="n">
        <x:f>IF(A134="","",IF(B134="Decommissioning",INDEX('Raw Decommissioning'!$F$2:$F$1000,ROWS($A$5:A134)),INDEX('Raw Provisioning'!$F$2:$F$1000,ROWS($A$5:A134)-COUNTA('Raw Decommissioning'!$B$2:$B$1000))))</x:f>
        <x:v>46080.17327709491</x:v>
      </x:c>
      <x:c r="F134" s="171" t="n">
        <x:f>IF(A134="","",IF(B134="Decommissioning",INDEX('Raw Decommissioning'!$G$2:$G$1000,ROWS($A$5:A134)),INDEX('Raw Provisioning'!$H$2:$H$1000,ROWS($A$5:A134)-COUNTA('Raw Decommissioning'!$B$2:$B$1000))))</x:f>
        <x:v>46092.20641709491</x:v>
      </x:c>
      <x:c r="G134" s="170" t="str">
        <x:f>IF(A134="","",IF(B134="Decommissioning",INDEX('Raw Decommissioning'!$I$2:$I$1000,ROWS($A$5:A134)),INDEX('Raw Provisioning'!$J$2:$J$1000,ROWS($A$5:A134)-COUNTA('Raw Decommissioning'!$B$2:$B$1000))))</x:f>
        <x:v>Danger Dodgers</x:v>
      </x:c>
      <x:c r="H134" s="170" t="str">
        <x:f>IF(A134="","",IF(B134="Decommissioning",INDEX('Raw Decommissioning'!$J$2:$J$1000,ROWS($A$5:A134)),INDEX('Raw Provisioning'!$L$2:$L$1000,ROWS($A$5:A134)-COUNTA('Raw Decommissioning'!$B$2:$B$1000))))</x:f>
        <x:v>Pilot Deployment of Danger Dodgers at PCFK</x:v>
      </x:c>
      <x:c r="I134" s="170" t="str">
        <x:f>IF(A134="","",IF(B134="Decommissioning",INDEX('Raw Decommissioning'!$AL$2:$AL$1000,ROWS($A$5:A134)),INDEX('Raw Provisioning'!$R$2:$R$1000,ROWS($A$5:A134)-COUNTA('Raw Decommissioning'!$B$2:$B$1000))))</x:f>
        <x:v>M</x:v>
      </x:c>
      <x:c r="J134" s="170" t="str">
        <x:f>IF(A134="","",IF(B134="Decommissioning",INDEX('Raw Decommissioning'!$AG$2:$AG$1000,ROWS($A$5:A134)),INDEX('Raw Provisioning'!$AI$2:$AI$1000,ROWS($A$5:A134)-COUNTA('Raw Decommissioning'!$B$2:$B$1000))))</x:f>
        <x:v>azwan.badari@petronas.com</x:v>
      </x:c>
      <x:c r="K134" s="172" t="str">
        <x:f>IF(A134="","",IFERROR(LOOKUP(2,1/('Assignment History'!$B$5:$B$204=A134),'Assignment History'!$D$5:$D$204),IFERROR(VLOOKUP(J134,Configuration!$L$5:$M$50,2,FALSE),J134)))</x:f>
        <x:v>azwan.badari@petronas.com</x:v>
      </x:c>
      <x:c r="L134" s="172" t="str">
        <x:f>IF(A134="","",IF(K134=IFERROR(VLOOKUP(J134,Configuration!$L$5:$M$50,2,FALSE),J134),"Snapshot PIC","Replacement PIC"))</x:f>
        <x:v>Snapshot PIC</x:v>
      </x:c>
      <x:c r="M134" s="172" t="n">
        <x:f>IF(A134="","",IFERROR(VLOOKUP(I134,Configuration!$O$5:$P$8,2,FALSE),Configuration!$S$6))</x:f>
        <x:v>2</x:v>
      </x:c>
      <x:c r="N134" s="172" t="str">
        <x:f>IF(A134="","",IFERROR(LOOKUP(2,1/('Scope Review'!$B$5:$B$204=A134),'Scope Review'!$G$5:$G$204),"Not Reviewed"))</x:f>
        <x:v>Not Reviewed</x:v>
      </x:c>
      <x:c r="O134" s="172" t="str">
        <x:f>IF(A134="","",IFERROR(LOOKUP(2,1/('Scope Review'!$B$5:$B$204=A134),'Scope Review'!$H$5:$H$204),""))</x:f>
      </x:c>
      <x:c r="P134" s="172" t="n">
        <x:f>IF(A134="","",IF(AND(C134="executing",N134&lt;&gt;"Confirmed OOS"),M134,0))</x:f>
        <x:v>0</x:v>
      </x:c>
      <x:c r="Q134" s="173" t="str">
        <x:f>IF(A134="","",IFERROR(LOOKUP(2,1/('Engineer Updates'!$B$5:$B$704=A134),'Engineer Updates'!$A$5:$A$704),""))</x:f>
      </x:c>
      <x:c r="R134" s="172" t="str">
        <x:f>IF(A134="","",IFERROR(LOOKUP(2,1/('Engineer Updates'!$B$5:$B$704=A134),'Engineer Updates'!$H$5:$H$704),""))</x:f>
      </x:c>
      <x:c r="S134" s="172" t="str">
        <x:f>IF(A134="","",IFERROR(LOOKUP(2,1/('Engineer Updates'!$B$5:$B$704=A134),'Engineer Updates'!$G$5:$G$704),""))</x:f>
      </x:c>
      <x:c r="T134" s="172" t="str">
        <x:f>IF(A134="","",IFERROR(LOOKUP(2,1/('Engineer Updates'!$B$5:$B$704=A134),'Engineer Updates'!$I$5:$I$704),""))</x:f>
      </x:c>
      <x:c r="U134" s="172" t="str">
        <x:f>IF(A134="","",IFERROR(LOOKUP(2,1/('Engineer Updates'!$B$5:$B$704=A134),'Engineer Updates'!$J$5:$J$704),""))</x:f>
      </x:c>
      <x:c r="V134" s="172" t="str">
        <x:f>IF(A134="","",IFERROR(LOOKUP(2,1/('Engineer Updates'!$B$5:$B$704=A134),'Engineer Updates'!$K$5:$K$704),""))</x:f>
      </x:c>
      <x:c r="W134" s="174" t="str">
        <x:f>IF(A134="","",IFERROR(LOOKUP(2,1/('Engineer Updates'!$B$5:$B$704=A134),'Engineer Updates'!$L$5:$L$704),""))</x:f>
      </x:c>
      <x:c r="X134" s="170" t="str">
        <x:f>IF(A134="","",IF(C134="completed","Completed in CSSP",IF(AND(C134="executing",ISERROR(SEARCH("@",K134))),"Executing without named engineer",IF(AND(N134="Confirmed OOS",C134="executing"),"Confirmed OOS still executing",""))))</x:f>
        <x:v>Completed in CSSP</x:v>
      </x:c>
      <x:c r="Y134" s="170" t="str">
        <x:f>IF(A134="","",IF(B134="Decommissioning","Raw Decommissioning","Raw Provisioning"))</x:f>
        <x:v>Raw Decommissioning</x:v>
      </x:c>
      <x:c r="Z134" s="170" t="str">
        <x:f>IF(A134="","",IF(OR(C134="executing",C134="processing"),"Yes","No"))</x:f>
        <x:v>No</x:v>
      </x:c>
    </x:row>
    <x:row r="135">
      <x:c r="A135" s="170" t="str">
        <x:f>IF(ROWS($A$5:A135)&lt;=COUNTA('Raw Decommissioning'!$B$2:$B$1000),INDEX('Raw Decommissioning'!$B$2:$B$1000,ROWS($A$5:A135)),IF(ROWS($A$5:A135)-COUNTA('Raw Decommissioning'!$B$2:$B$1000)&lt;=COUNTA('Raw Provisioning'!$B$2:$B$1000),INDEX('Raw Provisioning'!$B$2:$B$1000,ROWS($A$5:A135)-COUNTA('Raw Decommissioning'!$B$2:$B$1000)),""))</x:f>
        <x:v>CSSP10315344</x:v>
      </x:c>
      <x:c r="B135" s="170" t="str">
        <x:f>IF(A135="","",IF(ROWS($A$5:A135)&lt;=COUNTA('Raw Decommissioning'!$B$2:$B$1000),"Decommissioning","Provisioning"))</x:f>
        <x:v>Decommissioning</x:v>
      </x:c>
      <x:c r="C135" s="170" t="str">
        <x:f>IF(A135="","",IF(B135="Decommissioning",IFERROR(INDEX('Raw Decommissioning'!$E$2:$E$1000,MATCH(A135,'Raw Decommissioning'!$B$2:$B$1000,0)),"Missing from latest raw"),IFERROR(INDEX('Raw Provisioning'!$E$2:$E$1000,MATCH(A135,'Raw Provisioning'!$B$2:$B$1000,0)),"Missing from latest raw")))</x:f>
        <x:v>cancelled</x:v>
      </x:c>
      <x:c r="D135" s="171" t="n">
        <x:f>IF(A135="","",'Refresh Control'!$B$4)</x:f>
        <x:v>46254</x:v>
      </x:c>
      <x:c r="E135" s="171" t="n">
        <x:f>IF(A135="","",IF(B135="Decommissioning",INDEX('Raw Decommissioning'!$F$2:$F$1000,ROWS($A$5:A135)),INDEX('Raw Provisioning'!$F$2:$F$1000,ROWS($A$5:A135)-COUNTA('Raw Decommissioning'!$B$2:$B$1000))))</x:f>
        <x:v>46080.27799765046</x:v>
      </x:c>
      <x:c r="F135" s="171" t="n">
        <x:f>IF(A135="","",IF(B135="Decommissioning",INDEX('Raw Decommissioning'!$G$2:$G$1000,ROWS($A$5:A135)),INDEX('Raw Provisioning'!$H$2:$H$1000,ROWS($A$5:A135)-COUNTA('Raw Decommissioning'!$B$2:$B$1000))))</x:f>
        <x:v>46080.28176908565</x:v>
      </x:c>
      <x:c r="G135" s="170" t="str">
        <x:f>IF(A135="","",IF(B135="Decommissioning",INDEX('Raw Decommissioning'!$I$2:$I$1000,ROWS($A$5:A135)),INDEX('Raw Provisioning'!$J$2:$J$1000,ROWS($A$5:A135)-COUNTA('Raw Decommissioning'!$B$2:$B$1000))))</x:f>
        <x:v>Facial Recognition - FR</x:v>
      </x:c>
      <x:c r="H135" s="170" t="str">
        <x:f>IF(A135="","",IF(B135="Decommissioning",INDEX('Raw Decommissioning'!$J$2:$J$1000,ROWS($A$5:A135)),INDEX('Raw Provisioning'!$L$2:$L$1000,ROWS($A$5:A135)-COUNTA('Raw Decommissioning'!$B$2:$B$1000))))</x:f>
        <x:v>Implementation of Facial Recognition (FR) for PETRONAS LNG Complex for Group Security, GHSSE</x:v>
      </x:c>
      <x:c r="I135" s="170" t="str">
        <x:f>IF(A135="","",IF(B135="Decommissioning",INDEX('Raw Decommissioning'!$AL$2:$AL$1000,ROWS($A$5:A135)),INDEX('Raw Provisioning'!$R$2:$R$1000,ROWS($A$5:A135)-COUNTA('Raw Decommissioning'!$B$2:$B$1000))))</x:f>
      </x:c>
      <x:c r="J135" s="170" t="str">
        <x:f>IF(A135="","",IF(B135="Decommissioning",INDEX('Raw Decommissioning'!$AG$2:$AG$1000,ROWS($A$5:A135)),INDEX('Raw Provisioning'!$AI$2:$AI$1000,ROWS($A$5:A135)-COUNTA('Raw Decommissioning'!$B$2:$B$1000))))</x:f>
        <x:v>CCoE Operations</x:v>
      </x:c>
      <x:c r="K135" s="172" t="str">
        <x:f>IF(A135="","",IFERROR(LOOKUP(2,1/('Assignment History'!$B$5:$B$204=A135),'Assignment History'!$D$5:$D$204),IFERROR(VLOOKUP(J135,Configuration!$L$5:$M$50,2,FALSE),J135)))</x:f>
        <x:v>CCoE Operations</x:v>
      </x:c>
      <x:c r="L135" s="172" t="str">
        <x:f>IF(A135="","",IF(K135=IFERROR(VLOOKUP(J135,Configuration!$L$5:$M$50,2,FALSE),J135),"Snapshot PIC","Replacement PIC"))</x:f>
        <x:v>Snapshot PIC</x:v>
      </x:c>
      <x:c r="M135" s="172" t="n">
        <x:f>IF(A135="","",IFERROR(VLOOKUP(I135,Configuration!$O$5:$P$8,2,FALSE),Configuration!$S$6))</x:f>
        <x:v>2</x:v>
      </x:c>
      <x:c r="N135" s="172" t="str">
        <x:f>IF(A135="","",IFERROR(LOOKUP(2,1/('Scope Review'!$B$5:$B$204=A135),'Scope Review'!$G$5:$G$204),"Not Reviewed"))</x:f>
        <x:v>Not Reviewed</x:v>
      </x:c>
      <x:c r="O135" s="172" t="str">
        <x:f>IF(A135="","",IFERROR(LOOKUP(2,1/('Scope Review'!$B$5:$B$204=A135),'Scope Review'!$H$5:$H$204),""))</x:f>
      </x:c>
      <x:c r="P135" s="172" t="n">
        <x:f>IF(A135="","",IF(AND(C135="executing",N135&lt;&gt;"Confirmed OOS"),M135,0))</x:f>
        <x:v>0</x:v>
      </x:c>
      <x:c r="Q135" s="173" t="str">
        <x:f>IF(A135="","",IFERROR(LOOKUP(2,1/('Engineer Updates'!$B$5:$B$704=A135),'Engineer Updates'!$A$5:$A$704),""))</x:f>
      </x:c>
      <x:c r="R135" s="172" t="str">
        <x:f>IF(A135="","",IFERROR(LOOKUP(2,1/('Engineer Updates'!$B$5:$B$704=A135),'Engineer Updates'!$H$5:$H$704),""))</x:f>
      </x:c>
      <x:c r="S135" s="172" t="str">
        <x:f>IF(A135="","",IFERROR(LOOKUP(2,1/('Engineer Updates'!$B$5:$B$704=A135),'Engineer Updates'!$G$5:$G$704),""))</x:f>
      </x:c>
      <x:c r="T135" s="172" t="str">
        <x:f>IF(A135="","",IFERROR(LOOKUP(2,1/('Engineer Updates'!$B$5:$B$704=A135),'Engineer Updates'!$I$5:$I$704),""))</x:f>
      </x:c>
      <x:c r="U135" s="172" t="str">
        <x:f>IF(A135="","",IFERROR(LOOKUP(2,1/('Engineer Updates'!$B$5:$B$704=A135),'Engineer Updates'!$J$5:$J$704),""))</x:f>
      </x:c>
      <x:c r="V135" s="172" t="str">
        <x:f>IF(A135="","",IFERROR(LOOKUP(2,1/('Engineer Updates'!$B$5:$B$704=A135),'Engineer Updates'!$K$5:$K$704),""))</x:f>
      </x:c>
      <x:c r="W135" s="174" t="str">
        <x:f>IF(A135="","",IFERROR(LOOKUP(2,1/('Engineer Updates'!$B$5:$B$704=A135),'Engineer Updates'!$L$5:$L$704),""))</x:f>
      </x:c>
      <x:c r="X135" s="170" t="str">
        <x:f>IF(A135="","",IF(C135="completed","Completed in CSSP",IF(AND(C135="executing",ISERROR(SEARCH("@",K135))),"Executing without named engineer",IF(AND(N135="Confirmed OOS",C135="executing"),"Confirmed OOS still executing",""))))</x:f>
      </x:c>
      <x:c r="Y135" s="170" t="str">
        <x:f>IF(A135="","",IF(B135="Decommissioning","Raw Decommissioning","Raw Provisioning"))</x:f>
        <x:v>Raw Decommissioning</x:v>
      </x:c>
      <x:c r="Z135" s="170" t="str">
        <x:f>IF(A135="","",IF(OR(C135="executing",C135="processing"),"Yes","No"))</x:f>
        <x:v>No</x:v>
      </x:c>
    </x:row>
    <x:row r="136">
      <x:c r="A136" s="170" t="str">
        <x:f>IF(ROWS($A$5:A136)&lt;=COUNTA('Raw Decommissioning'!$B$2:$B$1000),INDEX('Raw Decommissioning'!$B$2:$B$1000,ROWS($A$5:A136)),IF(ROWS($A$5:A136)-COUNTA('Raw Decommissioning'!$B$2:$B$1000)&lt;=COUNTA('Raw Provisioning'!$B$2:$B$1000),INDEX('Raw Provisioning'!$B$2:$B$1000,ROWS($A$5:A136)-COUNTA('Raw Decommissioning'!$B$2:$B$1000)),""))</x:f>
        <x:v>CSSP10620367</x:v>
      </x:c>
      <x:c r="B136" s="170" t="str">
        <x:f>IF(A136="","",IF(ROWS($A$5:A136)&lt;=COUNTA('Raw Decommissioning'!$B$2:$B$1000),"Decommissioning","Provisioning"))</x:f>
        <x:v>Decommissioning</x:v>
      </x:c>
      <x:c r="C136" s="170" t="str">
        <x:f>IF(A136="","",IF(B136="Decommissioning",IFERROR(INDEX('Raw Decommissioning'!$E$2:$E$1000,MATCH(A136,'Raw Decommissioning'!$B$2:$B$1000,0)),"Missing from latest raw"),IFERROR(INDEX('Raw Provisioning'!$E$2:$E$1000,MATCH(A136,'Raw Provisioning'!$B$2:$B$1000,0)),"Missing from latest raw")))</x:f>
        <x:v>pending</x:v>
      </x:c>
      <x:c r="D136" s="171" t="n">
        <x:f>IF(A136="","",'Refresh Control'!$B$4)</x:f>
        <x:v>46254</x:v>
      </x:c>
      <x:c r="E136" s="171" t="n">
        <x:f>IF(A136="","",IF(B136="Decommissioning",INDEX('Raw Decommissioning'!$F$2:$F$1000,ROWS($A$5:A136)),INDEX('Raw Provisioning'!$F$2:$F$1000,ROWS($A$5:A136)-COUNTA('Raw Decommissioning'!$B$2:$B$1000))))</x:f>
        <x:v>46080.28805756944</x:v>
      </x:c>
      <x:c r="F136" s="171" t="n">
        <x:f>IF(A136="","",IF(B136="Decommissioning",INDEX('Raw Decommissioning'!$G$2:$G$1000,ROWS($A$5:A136)),INDEX('Raw Provisioning'!$H$2:$H$1000,ROWS($A$5:A136)-COUNTA('Raw Decommissioning'!$B$2:$B$1000))))</x:f>
        <x:v>46080.28838196759</x:v>
      </x:c>
      <x:c r="G136" s="170" t="str">
        <x:f>IF(A136="","",IF(B136="Decommissioning",INDEX('Raw Decommissioning'!$I$2:$I$1000,ROWS($A$5:A136)),INDEX('Raw Provisioning'!$J$2:$J$1000,ROWS($A$5:A136)-COUNTA('Raw Decommissioning'!$B$2:$B$1000))))</x:f>
        <x:v>Facial Recognition - FR</x:v>
      </x:c>
      <x:c r="H136" s="170" t="str">
        <x:f>IF(A136="","",IF(B136="Decommissioning",INDEX('Raw Decommissioning'!$J$2:$J$1000,ROWS($A$5:A136)),INDEX('Raw Provisioning'!$L$2:$L$1000,ROWS($A$5:A136)-COUNTA('Raw Decommissioning'!$B$2:$B$1000))))</x:f>
        <x:v>Implementation of Facial Recognition (FR) for PETRONAS LNG Complex for Group Security, GHSSE</x:v>
      </x:c>
      <x:c r="I136" s="170" t="str">
        <x:f>IF(A136="","",IF(B136="Decommissioning",INDEX('Raw Decommissioning'!$AL$2:$AL$1000,ROWS($A$5:A136)),INDEX('Raw Provisioning'!$R$2:$R$1000,ROWS($A$5:A136)-COUNTA('Raw Decommissioning'!$B$2:$B$1000))))</x:f>
      </x:c>
      <x:c r="J136" s="170" t="str">
        <x:f>IF(A136="","",IF(B136="Decommissioning",INDEX('Raw Decommissioning'!$AG$2:$AG$1000,ROWS($A$5:A136)),INDEX('Raw Provisioning'!$AI$2:$AI$1000,ROWS($A$5:A136)-COUNTA('Raw Decommissioning'!$B$2:$B$1000))))</x:f>
        <x:v>CCoE Operations</x:v>
      </x:c>
      <x:c r="K136" s="172" t="str">
        <x:f>IF(A136="","",IFERROR(LOOKUP(2,1/('Assignment History'!$B$5:$B$204=A136),'Assignment History'!$D$5:$D$204),IFERROR(VLOOKUP(J136,Configuration!$L$5:$M$50,2,FALSE),J136)))</x:f>
        <x:v>CCoE Operations</x:v>
      </x:c>
      <x:c r="L136" s="172" t="str">
        <x:f>IF(A136="","",IF(K136=IFERROR(VLOOKUP(J136,Configuration!$L$5:$M$50,2,FALSE),J136),"Snapshot PIC","Replacement PIC"))</x:f>
        <x:v>Snapshot PIC</x:v>
      </x:c>
      <x:c r="M136" s="172" t="n">
        <x:f>IF(A136="","",IFERROR(VLOOKUP(I136,Configuration!$O$5:$P$8,2,FALSE),Configuration!$S$6))</x:f>
        <x:v>2</x:v>
      </x:c>
      <x:c r="N136" s="172" t="str">
        <x:f>IF(A136="","",IFERROR(LOOKUP(2,1/('Scope Review'!$B$5:$B$204=A136),'Scope Review'!$G$5:$G$204),"Not Reviewed"))</x:f>
        <x:v>Not Reviewed</x:v>
      </x:c>
      <x:c r="O136" s="172" t="str">
        <x:f>IF(A136="","",IFERROR(LOOKUP(2,1/('Scope Review'!$B$5:$B$204=A136),'Scope Review'!$H$5:$H$204),""))</x:f>
      </x:c>
      <x:c r="P136" s="172" t="n">
        <x:f>IF(A136="","",IF(AND(C136="executing",N136&lt;&gt;"Confirmed OOS"),M136,0))</x:f>
        <x:v>0</x:v>
      </x:c>
      <x:c r="Q136" s="173" t="str">
        <x:f>IF(A136="","",IFERROR(LOOKUP(2,1/('Engineer Updates'!$B$5:$B$704=A136),'Engineer Updates'!$A$5:$A$704),""))</x:f>
      </x:c>
      <x:c r="R136" s="172" t="str">
        <x:f>IF(A136="","",IFERROR(LOOKUP(2,1/('Engineer Updates'!$B$5:$B$704=A136),'Engineer Updates'!$H$5:$H$704),""))</x:f>
      </x:c>
      <x:c r="S136" s="172" t="str">
        <x:f>IF(A136="","",IFERROR(LOOKUP(2,1/('Engineer Updates'!$B$5:$B$704=A136),'Engineer Updates'!$G$5:$G$704),""))</x:f>
      </x:c>
      <x:c r="T136" s="172" t="str">
        <x:f>IF(A136="","",IFERROR(LOOKUP(2,1/('Engineer Updates'!$B$5:$B$704=A136),'Engineer Updates'!$I$5:$I$704),""))</x:f>
      </x:c>
      <x:c r="U136" s="172" t="str">
        <x:f>IF(A136="","",IFERROR(LOOKUP(2,1/('Engineer Updates'!$B$5:$B$704=A136),'Engineer Updates'!$J$5:$J$704),""))</x:f>
      </x:c>
      <x:c r="V136" s="172" t="str">
        <x:f>IF(A136="","",IFERROR(LOOKUP(2,1/('Engineer Updates'!$B$5:$B$704=A136),'Engineer Updates'!$K$5:$K$704),""))</x:f>
      </x:c>
      <x:c r="W136" s="174" t="str">
        <x:f>IF(A136="","",IFERROR(LOOKUP(2,1/('Engineer Updates'!$B$5:$B$704=A136),'Engineer Updates'!$L$5:$L$704),""))</x:f>
      </x:c>
      <x:c r="X136" s="170" t="str">
        <x:f>IF(A136="","",IF(C136="completed","Completed in CSSP",IF(AND(C136="executing",ISERROR(SEARCH("@",K136))),"Executing without named engineer",IF(AND(N136="Confirmed OOS",C136="executing"),"Confirmed OOS still executing",""))))</x:f>
      </x:c>
      <x:c r="Y136" s="170" t="str">
        <x:f>IF(A136="","",IF(B136="Decommissioning","Raw Decommissioning","Raw Provisioning"))</x:f>
        <x:v>Raw Decommissioning</x:v>
      </x:c>
      <x:c r="Z136" s="170" t="str">
        <x:f>IF(A136="","",IF(OR(C136="executing",C136="processing"),"Yes","No"))</x:f>
        <x:v>No</x:v>
      </x:c>
    </x:row>
    <x:row r="137">
      <x:c r="A137" s="170" t="str">
        <x:f>IF(ROWS($A$5:A137)&lt;=COUNTA('Raw Decommissioning'!$B$2:$B$1000),INDEX('Raw Decommissioning'!$B$2:$B$1000,ROWS($A$5:A137)),IF(ROWS($A$5:A137)-COUNTA('Raw Decommissioning'!$B$2:$B$1000)&lt;=COUNTA('Raw Provisioning'!$B$2:$B$1000),INDEX('Raw Provisioning'!$B$2:$B$1000,ROWS($A$5:A137)-COUNTA('Raw Decommissioning'!$B$2:$B$1000)),""))</x:f>
        <x:v>CSSP10126661</x:v>
      </x:c>
      <x:c r="B137" s="170" t="str">
        <x:f>IF(A137="","",IF(ROWS($A$5:A137)&lt;=COUNTA('Raw Decommissioning'!$B$2:$B$1000),"Decommissioning","Provisioning"))</x:f>
        <x:v>Decommissioning</x:v>
      </x:c>
      <x:c r="C137" s="170" t="str">
        <x:f>IF(A137="","",IF(B137="Decommissioning",IFERROR(INDEX('Raw Decommissioning'!$E$2:$E$1000,MATCH(A137,'Raw Decommissioning'!$B$2:$B$1000,0)),"Missing from latest raw"),IFERROR(INDEX('Raw Provisioning'!$E$2:$E$1000,MATCH(A137,'Raw Provisioning'!$B$2:$B$1000,0)),"Missing from latest raw")))</x:f>
        <x:v>completed</x:v>
      </x:c>
      <x:c r="D137" s="171" t="n">
        <x:f>IF(A137="","",'Refresh Control'!$B$4)</x:f>
        <x:v>46254</x:v>
      </x:c>
      <x:c r="E137" s="171" t="n">
        <x:f>IF(A137="","",IF(B137="Decommissioning",INDEX('Raw Decommissioning'!$F$2:$F$1000,ROWS($A$5:A137)),INDEX('Raw Provisioning'!$F$2:$F$1000,ROWS($A$5:A137)-COUNTA('Raw Decommissioning'!$B$2:$B$1000))))</x:f>
        <x:v>46080.38420162037</x:v>
      </x:c>
      <x:c r="F137" s="171" t="n">
        <x:f>IF(A137="","",IF(B137="Decommissioning",INDEX('Raw Decommissioning'!$G$2:$G$1000,ROWS($A$5:A137)),INDEX('Raw Provisioning'!$H$2:$H$1000,ROWS($A$5:A137)-COUNTA('Raw Decommissioning'!$B$2:$B$1000))))</x:f>
        <x:v>46092.08383030093</x:v>
      </x:c>
      <x:c r="G137" s="170" t="str">
        <x:f>IF(A137="","",IF(B137="Decommissioning",INDEX('Raw Decommissioning'!$I$2:$I$1000,ROWS($A$5:A137)),INDEX('Raw Provisioning'!$J$2:$J$1000,ROWS($A$5:A137)-COUNTA('Raw Decommissioning'!$B$2:$B$1000))))</x:f>
        <x:v>MyINSIGHTS</x:v>
      </x:c>
      <x:c r="H137" s="170" t="str">
        <x:f>IF(A137="","",IF(B137="Decommissioning",INDEX('Raw Decommissioning'!$J$2:$J$1000,ROWS($A$5:A137)),INDEX('Raw Provisioning'!$L$2:$L$1000,ROWS($A$5:A137)-COUNTA('Raw Decommissioning'!$B$2:$B$1000))))</x:f>
        <x:v>myINSIGHTS</x:v>
      </x:c>
      <x:c r="I137" s="170" t="str">
        <x:f>IF(A137="","",IF(B137="Decommissioning",INDEX('Raw Decommissioning'!$AL$2:$AL$1000,ROWS($A$5:A137)),INDEX('Raw Provisioning'!$R$2:$R$1000,ROWS($A$5:A137)-COUNTA('Raw Decommissioning'!$B$2:$B$1000))))</x:f>
        <x:v>M</x:v>
      </x:c>
      <x:c r="J137" s="170" t="str">
        <x:f>IF(A137="","",IF(B137="Decommissioning",INDEX('Raw Decommissioning'!$AG$2:$AG$1000,ROWS($A$5:A137)),INDEX('Raw Provisioning'!$AI$2:$AI$1000,ROWS($A$5:A137)-COUNTA('Raw Decommissioning'!$B$2:$B$1000))))</x:f>
        <x:v>azwan.badari@petronas.com</x:v>
      </x:c>
      <x:c r="K137" s="172" t="str">
        <x:f>IF(A137="","",IFERROR(LOOKUP(2,1/('Assignment History'!$B$5:$B$204=A137),'Assignment History'!$D$5:$D$204),IFERROR(VLOOKUP(J137,Configuration!$L$5:$M$50,2,FALSE),J137)))</x:f>
        <x:v>azwan.badari@petronas.com</x:v>
      </x:c>
      <x:c r="L137" s="172" t="str">
        <x:f>IF(A137="","",IF(K137=IFERROR(VLOOKUP(J137,Configuration!$L$5:$M$50,2,FALSE),J137),"Snapshot PIC","Replacement PIC"))</x:f>
        <x:v>Snapshot PIC</x:v>
      </x:c>
      <x:c r="M137" s="172" t="n">
        <x:f>IF(A137="","",IFERROR(VLOOKUP(I137,Configuration!$O$5:$P$8,2,FALSE),Configuration!$S$6))</x:f>
        <x:v>2</x:v>
      </x:c>
      <x:c r="N137" s="172" t="str">
        <x:f>IF(A137="","",IFERROR(LOOKUP(2,1/('Scope Review'!$B$5:$B$204=A137),'Scope Review'!$G$5:$G$204),"Not Reviewed"))</x:f>
        <x:v>Not Reviewed</x:v>
      </x:c>
      <x:c r="O137" s="172" t="str">
        <x:f>IF(A137="","",IFERROR(LOOKUP(2,1/('Scope Review'!$B$5:$B$204=A137),'Scope Review'!$H$5:$H$204),""))</x:f>
      </x:c>
      <x:c r="P137" s="172" t="n">
        <x:f>IF(A137="","",IF(AND(C137="executing",N137&lt;&gt;"Confirmed OOS"),M137,0))</x:f>
        <x:v>0</x:v>
      </x:c>
      <x:c r="Q137" s="173" t="str">
        <x:f>IF(A137="","",IFERROR(LOOKUP(2,1/('Engineer Updates'!$B$5:$B$704=A137),'Engineer Updates'!$A$5:$A$704),""))</x:f>
      </x:c>
      <x:c r="R137" s="172" t="str">
        <x:f>IF(A137="","",IFERROR(LOOKUP(2,1/('Engineer Updates'!$B$5:$B$704=A137),'Engineer Updates'!$H$5:$H$704),""))</x:f>
      </x:c>
      <x:c r="S137" s="172" t="str">
        <x:f>IF(A137="","",IFERROR(LOOKUP(2,1/('Engineer Updates'!$B$5:$B$704=A137),'Engineer Updates'!$G$5:$G$704),""))</x:f>
      </x:c>
      <x:c r="T137" s="172" t="str">
        <x:f>IF(A137="","",IFERROR(LOOKUP(2,1/('Engineer Updates'!$B$5:$B$704=A137),'Engineer Updates'!$I$5:$I$704),""))</x:f>
      </x:c>
      <x:c r="U137" s="172" t="str">
        <x:f>IF(A137="","",IFERROR(LOOKUP(2,1/('Engineer Updates'!$B$5:$B$704=A137),'Engineer Updates'!$J$5:$J$704),""))</x:f>
      </x:c>
      <x:c r="V137" s="172" t="str">
        <x:f>IF(A137="","",IFERROR(LOOKUP(2,1/('Engineer Updates'!$B$5:$B$704=A137),'Engineer Updates'!$K$5:$K$704),""))</x:f>
      </x:c>
      <x:c r="W137" s="174" t="str">
        <x:f>IF(A137="","",IFERROR(LOOKUP(2,1/('Engineer Updates'!$B$5:$B$704=A137),'Engineer Updates'!$L$5:$L$704),""))</x:f>
      </x:c>
      <x:c r="X137" s="170" t="str">
        <x:f>IF(A137="","",IF(C137="completed","Completed in CSSP",IF(AND(C137="executing",ISERROR(SEARCH("@",K137))),"Executing without named engineer",IF(AND(N137="Confirmed OOS",C137="executing"),"Confirmed OOS still executing",""))))</x:f>
        <x:v>Completed in CSSP</x:v>
      </x:c>
      <x:c r="Y137" s="170" t="str">
        <x:f>IF(A137="","",IF(B137="Decommissioning","Raw Decommissioning","Raw Provisioning"))</x:f>
        <x:v>Raw Decommissioning</x:v>
      </x:c>
      <x:c r="Z137" s="170" t="str">
        <x:f>IF(A137="","",IF(OR(C137="executing",C137="processing"),"Yes","No"))</x:f>
        <x:v>No</x:v>
      </x:c>
    </x:row>
    <x:row r="138">
      <x:c r="A138" s="170" t="str">
        <x:f>IF(ROWS($A$5:A138)&lt;=COUNTA('Raw Decommissioning'!$B$2:$B$1000),INDEX('Raw Decommissioning'!$B$2:$B$1000,ROWS($A$5:A138)),IF(ROWS($A$5:A138)-COUNTA('Raw Decommissioning'!$B$2:$B$1000)&lt;=COUNTA('Raw Provisioning'!$B$2:$B$1000),INDEX('Raw Provisioning'!$B$2:$B$1000,ROWS($A$5:A138)-COUNTA('Raw Decommissioning'!$B$2:$B$1000)),""))</x:f>
        <x:v>CSSP10562704</x:v>
      </x:c>
      <x:c r="B138" s="170" t="str">
        <x:f>IF(A138="","",IF(ROWS($A$5:A138)&lt;=COUNTA('Raw Decommissioning'!$B$2:$B$1000),"Decommissioning","Provisioning"))</x:f>
        <x:v>Decommissioning</x:v>
      </x:c>
      <x:c r="C138" s="170" t="str">
        <x:f>IF(A138="","",IF(B138="Decommissioning",IFERROR(INDEX('Raw Decommissioning'!$E$2:$E$1000,MATCH(A138,'Raw Decommissioning'!$B$2:$B$1000,0)),"Missing from latest raw"),IFERROR(INDEX('Raw Provisioning'!$E$2:$E$1000,MATCH(A138,'Raw Provisioning'!$B$2:$B$1000,0)),"Missing from latest raw")))</x:f>
        <x:v>completed</x:v>
      </x:c>
      <x:c r="D138" s="171" t="n">
        <x:f>IF(A138="","",'Refresh Control'!$B$4)</x:f>
        <x:v>46254</x:v>
      </x:c>
      <x:c r="E138" s="171" t="n">
        <x:f>IF(A138="","",IF(B138="Decommissioning",INDEX('Raw Decommissioning'!$F$2:$F$1000,ROWS($A$5:A138)),INDEX('Raw Provisioning'!$F$2:$F$1000,ROWS($A$5:A138)-COUNTA('Raw Decommissioning'!$B$2:$B$1000))))</x:f>
        <x:v>46083.07548494213</x:v>
      </x:c>
      <x:c r="F138" s="171" t="n">
        <x:f>IF(A138="","",IF(B138="Decommissioning",INDEX('Raw Decommissioning'!$G$2:$G$1000,ROWS($A$5:A138)),INDEX('Raw Provisioning'!$H$2:$H$1000,ROWS($A$5:A138)-COUNTA('Raw Decommissioning'!$B$2:$B$1000))))</x:f>
        <x:v>46093.30448304398</x:v>
      </x:c>
      <x:c r="G138" s="170" t="str">
        <x:f>IF(A138="","",IF(B138="Decommissioning",INDEX('Raw Decommissioning'!$I$2:$I$1000,ROWS($A$5:A138)),INDEX('Raw Provisioning'!$J$2:$J$1000,ROWS($A$5:A138)-COUNTA('Raw Decommissioning'!$B$2:$B$1000))))</x:f>
        <x:v>Go Dashboard - GGO</x:v>
      </x:c>
      <x:c r="H138" s="170" t="str">
        <x:f>IF(A138="","",IF(B138="Decommissioning",INDEX('Raw Decommissioning'!$J$2:$J$1000,ROWS($A$5:A138)),INDEX('Raw Provisioning'!$L$2:$L$1000,ROWS($A$5:A138)-COUNTA('Raw Decommissioning'!$B$2:$B$1000))))</x:f>
        <x:v>GO Dashboard DevOps 2025</x:v>
      </x:c>
      <x:c r="I138" s="170" t="str">
        <x:f>IF(A138="","",IF(B138="Decommissioning",INDEX('Raw Decommissioning'!$AL$2:$AL$1000,ROWS($A$5:A138)),INDEX('Raw Provisioning'!$R$2:$R$1000,ROWS($A$5:A138)-COUNTA('Raw Decommissioning'!$B$2:$B$1000))))</x:f>
        <x:v>M</x:v>
      </x:c>
      <x:c r="J138" s="170" t="str">
        <x:f>IF(A138="","",IF(B138="Decommissioning",INDEX('Raw Decommissioning'!$AG$2:$AG$1000,ROWS($A$5:A138)),INDEX('Raw Provisioning'!$AI$2:$AI$1000,ROWS($A$5:A138)-COUNTA('Raw Decommissioning'!$B$2:$B$1000))))</x:f>
        <x:v>azwan.badari@petronas.com</x:v>
      </x:c>
      <x:c r="K138" s="172" t="str">
        <x:f>IF(A138="","",IFERROR(LOOKUP(2,1/('Assignment History'!$B$5:$B$204=A138),'Assignment History'!$D$5:$D$204),IFERROR(VLOOKUP(J138,Configuration!$L$5:$M$50,2,FALSE),J138)))</x:f>
        <x:v>azwan.badari@petronas.com</x:v>
      </x:c>
      <x:c r="L138" s="172" t="str">
        <x:f>IF(A138="","",IF(K138=IFERROR(VLOOKUP(J138,Configuration!$L$5:$M$50,2,FALSE),J138),"Snapshot PIC","Replacement PIC"))</x:f>
        <x:v>Snapshot PIC</x:v>
      </x:c>
      <x:c r="M138" s="172" t="n">
        <x:f>IF(A138="","",IFERROR(VLOOKUP(I138,Configuration!$O$5:$P$8,2,FALSE),Configuration!$S$6))</x:f>
        <x:v>2</x:v>
      </x:c>
      <x:c r="N138" s="172" t="str">
        <x:f>IF(A138="","",IFERROR(LOOKUP(2,1/('Scope Review'!$B$5:$B$204=A138),'Scope Review'!$G$5:$G$204),"Not Reviewed"))</x:f>
        <x:v>Not Reviewed</x:v>
      </x:c>
      <x:c r="O138" s="172" t="str">
        <x:f>IF(A138="","",IFERROR(LOOKUP(2,1/('Scope Review'!$B$5:$B$204=A138),'Scope Review'!$H$5:$H$204),""))</x:f>
      </x:c>
      <x:c r="P138" s="172" t="n">
        <x:f>IF(A138="","",IF(AND(C138="executing",N138&lt;&gt;"Confirmed OOS"),M138,0))</x:f>
        <x:v>0</x:v>
      </x:c>
      <x:c r="Q138" s="173" t="str">
        <x:f>IF(A138="","",IFERROR(LOOKUP(2,1/('Engineer Updates'!$B$5:$B$704=A138),'Engineer Updates'!$A$5:$A$704),""))</x:f>
      </x:c>
      <x:c r="R138" s="172" t="str">
        <x:f>IF(A138="","",IFERROR(LOOKUP(2,1/('Engineer Updates'!$B$5:$B$704=A138),'Engineer Updates'!$H$5:$H$704),""))</x:f>
      </x:c>
      <x:c r="S138" s="172" t="str">
        <x:f>IF(A138="","",IFERROR(LOOKUP(2,1/('Engineer Updates'!$B$5:$B$704=A138),'Engineer Updates'!$G$5:$G$704),""))</x:f>
      </x:c>
      <x:c r="T138" s="172" t="str">
        <x:f>IF(A138="","",IFERROR(LOOKUP(2,1/('Engineer Updates'!$B$5:$B$704=A138),'Engineer Updates'!$I$5:$I$704),""))</x:f>
      </x:c>
      <x:c r="U138" s="172" t="str">
        <x:f>IF(A138="","",IFERROR(LOOKUP(2,1/('Engineer Updates'!$B$5:$B$704=A138),'Engineer Updates'!$J$5:$J$704),""))</x:f>
      </x:c>
      <x:c r="V138" s="172" t="str">
        <x:f>IF(A138="","",IFERROR(LOOKUP(2,1/('Engineer Updates'!$B$5:$B$704=A138),'Engineer Updates'!$K$5:$K$704),""))</x:f>
      </x:c>
      <x:c r="W138" s="174" t="str">
        <x:f>IF(A138="","",IFERROR(LOOKUP(2,1/('Engineer Updates'!$B$5:$B$704=A138),'Engineer Updates'!$L$5:$L$704),""))</x:f>
      </x:c>
      <x:c r="X138" s="170" t="str">
        <x:f>IF(A138="","",IF(C138="completed","Completed in CSSP",IF(AND(C138="executing",ISERROR(SEARCH("@",K138))),"Executing without named engineer",IF(AND(N138="Confirmed OOS",C138="executing"),"Confirmed OOS still executing",""))))</x:f>
        <x:v>Completed in CSSP</x:v>
      </x:c>
      <x:c r="Y138" s="170" t="str">
        <x:f>IF(A138="","",IF(B138="Decommissioning","Raw Decommissioning","Raw Provisioning"))</x:f>
        <x:v>Raw Decommissioning</x:v>
      </x:c>
      <x:c r="Z138" s="170" t="str">
        <x:f>IF(A138="","",IF(OR(C138="executing",C138="processing"),"Yes","No"))</x:f>
        <x:v>No</x:v>
      </x:c>
    </x:row>
    <x:row r="139">
      <x:c r="A139" s="170" t="str">
        <x:f>IF(ROWS($A$5:A139)&lt;=COUNTA('Raw Decommissioning'!$B$2:$B$1000),INDEX('Raw Decommissioning'!$B$2:$B$1000,ROWS($A$5:A139)),IF(ROWS($A$5:A139)-COUNTA('Raw Decommissioning'!$B$2:$B$1000)&lt;=COUNTA('Raw Provisioning'!$B$2:$B$1000),INDEX('Raw Provisioning'!$B$2:$B$1000,ROWS($A$5:A139)-COUNTA('Raw Decommissioning'!$B$2:$B$1000)),""))</x:f>
        <x:v>CSSP10634478</x:v>
      </x:c>
      <x:c r="B139" s="170" t="str">
        <x:f>IF(A139="","",IF(ROWS($A$5:A139)&lt;=COUNTA('Raw Decommissioning'!$B$2:$B$1000),"Decommissioning","Provisioning"))</x:f>
        <x:v>Decommissioning</x:v>
      </x:c>
      <x:c r="C139" s="170" t="str">
        <x:f>IF(A139="","",IF(B139="Decommissioning",IFERROR(INDEX('Raw Decommissioning'!$E$2:$E$1000,MATCH(A139,'Raw Decommissioning'!$B$2:$B$1000,0)),"Missing from latest raw"),IFERROR(INDEX('Raw Provisioning'!$E$2:$E$1000,MATCH(A139,'Raw Provisioning'!$B$2:$B$1000,0)),"Missing from latest raw")))</x:f>
        <x:v>completed</x:v>
      </x:c>
      <x:c r="D139" s="171" t="n">
        <x:f>IF(A139="","",'Refresh Control'!$B$4)</x:f>
        <x:v>46254</x:v>
      </x:c>
      <x:c r="E139" s="171" t="n">
        <x:f>IF(A139="","",IF(B139="Decommissioning",INDEX('Raw Decommissioning'!$F$2:$F$1000,ROWS($A$5:A139)),INDEX('Raw Provisioning'!$F$2:$F$1000,ROWS($A$5:A139)-COUNTA('Raw Decommissioning'!$B$2:$B$1000))))</x:f>
        <x:v>46083.3020699537</x:v>
      </x:c>
      <x:c r="F139" s="171" t="n">
        <x:f>IF(A139="","",IF(B139="Decommissioning",INDEX('Raw Decommissioning'!$G$2:$G$1000,ROWS($A$5:A139)),INDEX('Raw Provisioning'!$H$2:$H$1000,ROWS($A$5:A139)-COUNTA('Raw Decommissioning'!$B$2:$B$1000))))</x:f>
        <x:v>46092.12302525463</x:v>
      </x:c>
      <x:c r="G139" s="170" t="str">
        <x:f>IF(A139="","",IF(B139="Decommissioning",INDEX('Raw Decommissioning'!$I$2:$I$1000,ROWS($A$5:A139)),INDEX('Raw Provisioning'!$J$2:$J$1000,ROWS($A$5:A139)-COUNTA('Raw Decommissioning'!$B$2:$B$1000))))</x:f>
        <x:v>Wells DROID</x:v>
      </x:c>
      <x:c r="H139" s="170" t="str">
        <x:f>IF(A139="","",IF(B139="Decommissioning",INDEX('Raw Decommissioning'!$J$2:$J$1000,ROWS($A$5:A139)),INDEX('Raw Provisioning'!$L$2:$L$1000,ROWS($A$5:A139)-COUNTA('Raw Decommissioning'!$B$2:$B$1000))))</x:f>
        <x:v>Cloud Migration - Wells Droid 2.0</x:v>
      </x:c>
      <x:c r="I139" s="170" t="str">
        <x:f>IF(A139="","",IF(B139="Decommissioning",INDEX('Raw Decommissioning'!$AL$2:$AL$1000,ROWS($A$5:A139)),INDEX('Raw Provisioning'!$R$2:$R$1000,ROWS($A$5:A139)-COUNTA('Raw Decommissioning'!$B$2:$B$1000))))</x:f>
        <x:v>M</x:v>
      </x:c>
      <x:c r="J139" s="170" t="str">
        <x:f>IF(A139="","",IF(B139="Decommissioning",INDEX('Raw Decommissioning'!$AG$2:$AG$1000,ROWS($A$5:A139)),INDEX('Raw Provisioning'!$AI$2:$AI$1000,ROWS($A$5:A139)-COUNTA('Raw Decommissioning'!$B$2:$B$1000))))</x:f>
        <x:v>azwan.badari@petronas.com</x:v>
      </x:c>
      <x:c r="K139" s="172" t="str">
        <x:f>IF(A139="","",IFERROR(LOOKUP(2,1/('Assignment History'!$B$5:$B$204=A139),'Assignment History'!$D$5:$D$204),IFERROR(VLOOKUP(J139,Configuration!$L$5:$M$50,2,FALSE),J139)))</x:f>
        <x:v>azwan.badari@petronas.com</x:v>
      </x:c>
      <x:c r="L139" s="172" t="str">
        <x:f>IF(A139="","",IF(K139=IFERROR(VLOOKUP(J139,Configuration!$L$5:$M$50,2,FALSE),J139),"Snapshot PIC","Replacement PIC"))</x:f>
        <x:v>Snapshot PIC</x:v>
      </x:c>
      <x:c r="M139" s="172" t="n">
        <x:f>IF(A139="","",IFERROR(VLOOKUP(I139,Configuration!$O$5:$P$8,2,FALSE),Configuration!$S$6))</x:f>
        <x:v>2</x:v>
      </x:c>
      <x:c r="N139" s="172" t="str">
        <x:f>IF(A139="","",IFERROR(LOOKUP(2,1/('Scope Review'!$B$5:$B$204=A139),'Scope Review'!$G$5:$G$204),"Not Reviewed"))</x:f>
        <x:v>Not Reviewed</x:v>
      </x:c>
      <x:c r="O139" s="172" t="str">
        <x:f>IF(A139="","",IFERROR(LOOKUP(2,1/('Scope Review'!$B$5:$B$204=A139),'Scope Review'!$H$5:$H$204),""))</x:f>
      </x:c>
      <x:c r="P139" s="172" t="n">
        <x:f>IF(A139="","",IF(AND(C139="executing",N139&lt;&gt;"Confirmed OOS"),M139,0))</x:f>
        <x:v>0</x:v>
      </x:c>
      <x:c r="Q139" s="173" t="str">
        <x:f>IF(A139="","",IFERROR(LOOKUP(2,1/('Engineer Updates'!$B$5:$B$704=A139),'Engineer Updates'!$A$5:$A$704),""))</x:f>
      </x:c>
      <x:c r="R139" s="172" t="str">
        <x:f>IF(A139="","",IFERROR(LOOKUP(2,1/('Engineer Updates'!$B$5:$B$704=A139),'Engineer Updates'!$H$5:$H$704),""))</x:f>
      </x:c>
      <x:c r="S139" s="172" t="str">
        <x:f>IF(A139="","",IFERROR(LOOKUP(2,1/('Engineer Updates'!$B$5:$B$704=A139),'Engineer Updates'!$G$5:$G$704),""))</x:f>
      </x:c>
      <x:c r="T139" s="172" t="str">
        <x:f>IF(A139="","",IFERROR(LOOKUP(2,1/('Engineer Updates'!$B$5:$B$704=A139),'Engineer Updates'!$I$5:$I$704),""))</x:f>
      </x:c>
      <x:c r="U139" s="172" t="str">
        <x:f>IF(A139="","",IFERROR(LOOKUP(2,1/('Engineer Updates'!$B$5:$B$704=A139),'Engineer Updates'!$J$5:$J$704),""))</x:f>
      </x:c>
      <x:c r="V139" s="172" t="str">
        <x:f>IF(A139="","",IFERROR(LOOKUP(2,1/('Engineer Updates'!$B$5:$B$704=A139),'Engineer Updates'!$K$5:$K$704),""))</x:f>
      </x:c>
      <x:c r="W139" s="174" t="str">
        <x:f>IF(A139="","",IFERROR(LOOKUP(2,1/('Engineer Updates'!$B$5:$B$704=A139),'Engineer Updates'!$L$5:$L$704),""))</x:f>
      </x:c>
      <x:c r="X139" s="170" t="str">
        <x:f>IF(A139="","",IF(C139="completed","Completed in CSSP",IF(AND(C139="executing",ISERROR(SEARCH("@",K139))),"Executing without named engineer",IF(AND(N139="Confirmed OOS",C139="executing"),"Confirmed OOS still executing",""))))</x:f>
        <x:v>Completed in CSSP</x:v>
      </x:c>
      <x:c r="Y139" s="170" t="str">
        <x:f>IF(A139="","",IF(B139="Decommissioning","Raw Decommissioning","Raw Provisioning"))</x:f>
        <x:v>Raw Decommissioning</x:v>
      </x:c>
      <x:c r="Z139" s="170" t="str">
        <x:f>IF(A139="","",IF(OR(C139="executing",C139="processing"),"Yes","No"))</x:f>
        <x:v>No</x:v>
      </x:c>
    </x:row>
    <x:row r="140">
      <x:c r="A140" s="170" t="str">
        <x:f>IF(ROWS($A$5:A140)&lt;=COUNTA('Raw Decommissioning'!$B$2:$B$1000),INDEX('Raw Decommissioning'!$B$2:$B$1000,ROWS($A$5:A140)),IF(ROWS($A$5:A140)-COUNTA('Raw Decommissioning'!$B$2:$B$1000)&lt;=COUNTA('Raw Provisioning'!$B$2:$B$1000),INDEX('Raw Provisioning'!$B$2:$B$1000,ROWS($A$5:A140)-COUNTA('Raw Decommissioning'!$B$2:$B$1000)),""))</x:f>
        <x:v>CSSP10435001</x:v>
      </x:c>
      <x:c r="B140" s="170" t="str">
        <x:f>IF(A140="","",IF(ROWS($A$5:A140)&lt;=COUNTA('Raw Decommissioning'!$B$2:$B$1000),"Decommissioning","Provisioning"))</x:f>
        <x:v>Decommissioning</x:v>
      </x:c>
      <x:c r="C140" s="170" t="str">
        <x:f>IF(A140="","",IF(B140="Decommissioning",IFERROR(INDEX('Raw Decommissioning'!$E$2:$E$1000,MATCH(A140,'Raw Decommissioning'!$B$2:$B$1000,0)),"Missing from latest raw"),IFERROR(INDEX('Raw Provisioning'!$E$2:$E$1000,MATCH(A140,'Raw Provisioning'!$B$2:$B$1000,0)),"Missing from latest raw")))</x:f>
        <x:v>cancelled</x:v>
      </x:c>
      <x:c r="D140" s="171" t="n">
        <x:f>IF(A140="","",'Refresh Control'!$B$4)</x:f>
        <x:v>46254</x:v>
      </x:c>
      <x:c r="E140" s="171" t="n">
        <x:f>IF(A140="","",IF(B140="Decommissioning",INDEX('Raw Decommissioning'!$F$2:$F$1000,ROWS($A$5:A140)),INDEX('Raw Provisioning'!$F$2:$F$1000,ROWS($A$5:A140)-COUNTA('Raw Decommissioning'!$B$2:$B$1000))))</x:f>
        <x:v>46083.33635280093</x:v>
      </x:c>
      <x:c r="F140" s="171" t="n">
        <x:f>IF(A140="","",IF(B140="Decommissioning",INDEX('Raw Decommissioning'!$G$2:$G$1000,ROWS($A$5:A140)),INDEX('Raw Provisioning'!$H$2:$H$1000,ROWS($A$5:A140)-COUNTA('Raw Decommissioning'!$B$2:$B$1000))))</x:f>
        <x:v>46083.33691375</x:v>
      </x:c>
      <x:c r="G140" s="170" t="str">
        <x:f>IF(A140="","",IF(B140="Decommissioning",INDEX('Raw Decommissioning'!$I$2:$I$1000,ROWS($A$5:A140)),INDEX('Raw Provisioning'!$J$2:$J$1000,ROWS($A$5:A140)-COUNTA('Raw Decommissioning'!$B$2:$B$1000))))</x:f>
        <x:v>PETRONAS Electrical Safety and Operability Review - P-ELSOR</x:v>
      </x:c>
      <x:c r="H140" s="170" t="str">
        <x:f>IF(A140="","",IF(B140="Decommissioning",INDEX('Raw Decommissioning'!$J$2:$J$1000,ROWS($A$5:A140)),INDEX('Raw Provisioning'!$L$2:$L$1000,ROWS($A$5:A140)-COUNTA('Raw Decommissioning'!$B$2:$B$1000))))</x:f>
        <x:v>P-ELSOR 3.0</x:v>
      </x:c>
      <x:c r="I140" s="170" t="str">
        <x:f>IF(A140="","",IF(B140="Decommissioning",INDEX('Raw Decommissioning'!$AL$2:$AL$1000,ROWS($A$5:A140)),INDEX('Raw Provisioning'!$R$2:$R$1000,ROWS($A$5:A140)-COUNTA('Raw Decommissioning'!$B$2:$B$1000))))</x:f>
      </x:c>
      <x:c r="J140" s="170" t="str">
        <x:f>IF(A140="","",IF(B140="Decommissioning",INDEX('Raw Decommissioning'!$AG$2:$AG$1000,ROWS($A$5:A140)),INDEX('Raw Provisioning'!$AI$2:$AI$1000,ROWS($A$5:A140)-COUNTA('Raw Decommissioning'!$B$2:$B$1000))))</x:f>
        <x:v>CCoE Operations</x:v>
      </x:c>
      <x:c r="K140" s="172" t="str">
        <x:f>IF(A140="","",IFERROR(LOOKUP(2,1/('Assignment History'!$B$5:$B$204=A140),'Assignment History'!$D$5:$D$204),IFERROR(VLOOKUP(J140,Configuration!$L$5:$M$50,2,FALSE),J140)))</x:f>
        <x:v>CCoE Operations</x:v>
      </x:c>
      <x:c r="L140" s="172" t="str">
        <x:f>IF(A140="","",IF(K140=IFERROR(VLOOKUP(J140,Configuration!$L$5:$M$50,2,FALSE),J140),"Snapshot PIC","Replacement PIC"))</x:f>
        <x:v>Snapshot PIC</x:v>
      </x:c>
      <x:c r="M140" s="172" t="n">
        <x:f>IF(A140="","",IFERROR(VLOOKUP(I140,Configuration!$O$5:$P$8,2,FALSE),Configuration!$S$6))</x:f>
        <x:v>2</x:v>
      </x:c>
      <x:c r="N140" s="172" t="str">
        <x:f>IF(A140="","",IFERROR(LOOKUP(2,1/('Scope Review'!$B$5:$B$204=A140),'Scope Review'!$G$5:$G$204),"Not Reviewed"))</x:f>
        <x:v>Not Reviewed</x:v>
      </x:c>
      <x:c r="O140" s="172" t="str">
        <x:f>IF(A140="","",IFERROR(LOOKUP(2,1/('Scope Review'!$B$5:$B$204=A140),'Scope Review'!$H$5:$H$204),""))</x:f>
      </x:c>
      <x:c r="P140" s="172" t="n">
        <x:f>IF(A140="","",IF(AND(C140="executing",N140&lt;&gt;"Confirmed OOS"),M140,0))</x:f>
        <x:v>0</x:v>
      </x:c>
      <x:c r="Q140" s="173" t="str">
        <x:f>IF(A140="","",IFERROR(LOOKUP(2,1/('Engineer Updates'!$B$5:$B$704=A140),'Engineer Updates'!$A$5:$A$704),""))</x:f>
      </x:c>
      <x:c r="R140" s="172" t="str">
        <x:f>IF(A140="","",IFERROR(LOOKUP(2,1/('Engineer Updates'!$B$5:$B$704=A140),'Engineer Updates'!$H$5:$H$704),""))</x:f>
      </x:c>
      <x:c r="S140" s="172" t="str">
        <x:f>IF(A140="","",IFERROR(LOOKUP(2,1/('Engineer Updates'!$B$5:$B$704=A140),'Engineer Updates'!$G$5:$G$704),""))</x:f>
      </x:c>
      <x:c r="T140" s="172" t="str">
        <x:f>IF(A140="","",IFERROR(LOOKUP(2,1/('Engineer Updates'!$B$5:$B$704=A140),'Engineer Updates'!$I$5:$I$704),""))</x:f>
      </x:c>
      <x:c r="U140" s="172" t="str">
        <x:f>IF(A140="","",IFERROR(LOOKUP(2,1/('Engineer Updates'!$B$5:$B$704=A140),'Engineer Updates'!$J$5:$J$704),""))</x:f>
      </x:c>
      <x:c r="V140" s="172" t="str">
        <x:f>IF(A140="","",IFERROR(LOOKUP(2,1/('Engineer Updates'!$B$5:$B$704=A140),'Engineer Updates'!$K$5:$K$704),""))</x:f>
      </x:c>
      <x:c r="W140" s="174" t="str">
        <x:f>IF(A140="","",IFERROR(LOOKUP(2,1/('Engineer Updates'!$B$5:$B$704=A140),'Engineer Updates'!$L$5:$L$704),""))</x:f>
      </x:c>
      <x:c r="X140" s="170" t="str">
        <x:f>IF(A140="","",IF(C140="completed","Completed in CSSP",IF(AND(C140="executing",ISERROR(SEARCH("@",K140))),"Executing without named engineer",IF(AND(N140="Confirmed OOS",C140="executing"),"Confirmed OOS still executing",""))))</x:f>
      </x:c>
      <x:c r="Y140" s="170" t="str">
        <x:f>IF(A140="","",IF(B140="Decommissioning","Raw Decommissioning","Raw Provisioning"))</x:f>
        <x:v>Raw Decommissioning</x:v>
      </x:c>
      <x:c r="Z140" s="170" t="str">
        <x:f>IF(A140="","",IF(OR(C140="executing",C140="processing"),"Yes","No"))</x:f>
        <x:v>No</x:v>
      </x:c>
    </x:row>
    <x:row r="141">
      <x:c r="A141" s="170" t="str">
        <x:f>IF(ROWS($A$5:A141)&lt;=COUNTA('Raw Decommissioning'!$B$2:$B$1000),INDEX('Raw Decommissioning'!$B$2:$B$1000,ROWS($A$5:A141)),IF(ROWS($A$5:A141)-COUNTA('Raw Decommissioning'!$B$2:$B$1000)&lt;=COUNTA('Raw Provisioning'!$B$2:$B$1000),INDEX('Raw Provisioning'!$B$2:$B$1000,ROWS($A$5:A141)-COUNTA('Raw Decommissioning'!$B$2:$B$1000)),""))</x:f>
        <x:v>CSSP10290355</x:v>
      </x:c>
      <x:c r="B141" s="170" t="str">
        <x:f>IF(A141="","",IF(ROWS($A$5:A141)&lt;=COUNTA('Raw Decommissioning'!$B$2:$B$1000),"Decommissioning","Provisioning"))</x:f>
        <x:v>Decommissioning</x:v>
      </x:c>
      <x:c r="C141" s="170" t="str">
        <x:f>IF(A141="","",IF(B141="Decommissioning",IFERROR(INDEX('Raw Decommissioning'!$E$2:$E$1000,MATCH(A141,'Raw Decommissioning'!$B$2:$B$1000,0)),"Missing from latest raw"),IFERROR(INDEX('Raw Provisioning'!$E$2:$E$1000,MATCH(A141,'Raw Provisioning'!$B$2:$B$1000,0)),"Missing from latest raw")))</x:f>
        <x:v>cancelled</x:v>
      </x:c>
      <x:c r="D141" s="171" t="n">
        <x:f>IF(A141="","",'Refresh Control'!$B$4)</x:f>
        <x:v>46254</x:v>
      </x:c>
      <x:c r="E141" s="171" t="n">
        <x:f>IF(A141="","",IF(B141="Decommissioning",INDEX('Raw Decommissioning'!$F$2:$F$1000,ROWS($A$5:A141)),INDEX('Raw Provisioning'!$F$2:$F$1000,ROWS($A$5:A141)-COUNTA('Raw Decommissioning'!$B$2:$B$1000))))</x:f>
        <x:v>46085.00597019676</x:v>
      </x:c>
      <x:c r="F141" s="171" t="n">
        <x:f>IF(A141="","",IF(B141="Decommissioning",INDEX('Raw Decommissioning'!$G$2:$G$1000,ROWS($A$5:A141)),INDEX('Raw Provisioning'!$H$2:$H$1000,ROWS($A$5:A141)-COUNTA('Raw Decommissioning'!$B$2:$B$1000))))</x:f>
        <x:v>46085.011772337966</x:v>
      </x:c>
      <x:c r="G141" s="170" t="str">
        <x:f>IF(A141="","",IF(B141="Decommissioning",INDEX('Raw Decommissioning'!$I$2:$I$1000,ROWS($A$5:A141)),INDEX('Raw Provisioning'!$J$2:$J$1000,ROWS($A$5:A141)-COUNTA('Raw Decommissioning'!$B$2:$B$1000))))</x:f>
        <x:v>Electronic Permit To Work Plus - ePTW+</x:v>
      </x:c>
      <x:c r="H141" s="170" t="str">
        <x:f>IF(A141="","",IF(B141="Decommissioning",INDEX('Raw Decommissioning'!$J$2:$J$1000,ROWS($A$5:A141)),INDEX('Raw Provisioning'!$L$2:$L$1000,ROWS($A$5:A141)-COUNTA('Raw Decommissioning'!$B$2:$B$1000))))</x:f>
        <x:v>Implementation of Disaster Recovery for ePTW+</x:v>
      </x:c>
      <x:c r="I141" s="170" t="str">
        <x:f>IF(A141="","",IF(B141="Decommissioning",INDEX('Raw Decommissioning'!$AL$2:$AL$1000,ROWS($A$5:A141)),INDEX('Raw Provisioning'!$R$2:$R$1000,ROWS($A$5:A141)-COUNTA('Raw Decommissioning'!$B$2:$B$1000))))</x:f>
      </x:c>
      <x:c r="J141" s="170" t="str">
        <x:f>IF(A141="","",IF(B141="Decommissioning",INDEX('Raw Decommissioning'!$AG$2:$AG$1000,ROWS($A$5:A141)),INDEX('Raw Provisioning'!$AI$2:$AI$1000,ROWS($A$5:A141)-COUNTA('Raw Decommissioning'!$B$2:$B$1000))))</x:f>
        <x:v>CCoE Business</x:v>
      </x:c>
      <x:c r="K141" s="172" t="str">
        <x:f>IF(A141="","",IFERROR(LOOKUP(2,1/('Assignment History'!$B$5:$B$204=A141),'Assignment History'!$D$5:$D$204),IFERROR(VLOOKUP(J141,Configuration!$L$5:$M$50,2,FALSE),J141)))</x:f>
        <x:v>CCoE Business</x:v>
      </x:c>
      <x:c r="L141" s="172" t="str">
        <x:f>IF(A141="","",IF(K141=IFERROR(VLOOKUP(J141,Configuration!$L$5:$M$50,2,FALSE),J141),"Snapshot PIC","Replacement PIC"))</x:f>
        <x:v>Snapshot PIC</x:v>
      </x:c>
      <x:c r="M141" s="172" t="n">
        <x:f>IF(A141="","",IFERROR(VLOOKUP(I141,Configuration!$O$5:$P$8,2,FALSE),Configuration!$S$6))</x:f>
        <x:v>2</x:v>
      </x:c>
      <x:c r="N141" s="172" t="str">
        <x:f>IF(A141="","",IFERROR(LOOKUP(2,1/('Scope Review'!$B$5:$B$204=A141),'Scope Review'!$G$5:$G$204),"Not Reviewed"))</x:f>
        <x:v>Not Reviewed</x:v>
      </x:c>
      <x:c r="O141" s="172" t="str">
        <x:f>IF(A141="","",IFERROR(LOOKUP(2,1/('Scope Review'!$B$5:$B$204=A141),'Scope Review'!$H$5:$H$204),""))</x:f>
      </x:c>
      <x:c r="P141" s="172" t="n">
        <x:f>IF(A141="","",IF(AND(C141="executing",N141&lt;&gt;"Confirmed OOS"),M141,0))</x:f>
        <x:v>0</x:v>
      </x:c>
      <x:c r="Q141" s="173" t="str">
        <x:f>IF(A141="","",IFERROR(LOOKUP(2,1/('Engineer Updates'!$B$5:$B$704=A141),'Engineer Updates'!$A$5:$A$704),""))</x:f>
      </x:c>
      <x:c r="R141" s="172" t="str">
        <x:f>IF(A141="","",IFERROR(LOOKUP(2,1/('Engineer Updates'!$B$5:$B$704=A141),'Engineer Updates'!$H$5:$H$704),""))</x:f>
      </x:c>
      <x:c r="S141" s="172" t="str">
        <x:f>IF(A141="","",IFERROR(LOOKUP(2,1/('Engineer Updates'!$B$5:$B$704=A141),'Engineer Updates'!$G$5:$G$704),""))</x:f>
      </x:c>
      <x:c r="T141" s="172" t="str">
        <x:f>IF(A141="","",IFERROR(LOOKUP(2,1/('Engineer Updates'!$B$5:$B$704=A141),'Engineer Updates'!$I$5:$I$704),""))</x:f>
      </x:c>
      <x:c r="U141" s="172" t="str">
        <x:f>IF(A141="","",IFERROR(LOOKUP(2,1/('Engineer Updates'!$B$5:$B$704=A141),'Engineer Updates'!$J$5:$J$704),""))</x:f>
      </x:c>
      <x:c r="V141" s="172" t="str">
        <x:f>IF(A141="","",IFERROR(LOOKUP(2,1/('Engineer Updates'!$B$5:$B$704=A141),'Engineer Updates'!$K$5:$K$704),""))</x:f>
      </x:c>
      <x:c r="W141" s="174" t="str">
        <x:f>IF(A141="","",IFERROR(LOOKUP(2,1/('Engineer Updates'!$B$5:$B$704=A141),'Engineer Updates'!$L$5:$L$704),""))</x:f>
      </x:c>
      <x:c r="X141" s="170" t="str">
        <x:f>IF(A141="","",IF(C141="completed","Completed in CSSP",IF(AND(C141="executing",ISERROR(SEARCH("@",K141))),"Executing without named engineer",IF(AND(N141="Confirmed OOS",C141="executing"),"Confirmed OOS still executing",""))))</x:f>
      </x:c>
      <x:c r="Y141" s="170" t="str">
        <x:f>IF(A141="","",IF(B141="Decommissioning","Raw Decommissioning","Raw Provisioning"))</x:f>
        <x:v>Raw Decommissioning</x:v>
      </x:c>
      <x:c r="Z141" s="170" t="str">
        <x:f>IF(A141="","",IF(OR(C141="executing",C141="processing"),"Yes","No"))</x:f>
        <x:v>No</x:v>
      </x:c>
    </x:row>
    <x:row r="142">
      <x:c r="A142" s="170" t="str">
        <x:f>IF(ROWS($A$5:A142)&lt;=COUNTA('Raw Decommissioning'!$B$2:$B$1000),INDEX('Raw Decommissioning'!$B$2:$B$1000,ROWS($A$5:A142)),IF(ROWS($A$5:A142)-COUNTA('Raw Decommissioning'!$B$2:$B$1000)&lt;=COUNTA('Raw Provisioning'!$B$2:$B$1000),INDEX('Raw Provisioning'!$B$2:$B$1000,ROWS($A$5:A142)-COUNTA('Raw Decommissioning'!$B$2:$B$1000)),""))</x:f>
        <x:v>CSSP10480747</x:v>
      </x:c>
      <x:c r="B142" s="170" t="str">
        <x:f>IF(A142="","",IF(ROWS($A$5:A142)&lt;=COUNTA('Raw Decommissioning'!$B$2:$B$1000),"Decommissioning","Provisioning"))</x:f>
        <x:v>Decommissioning</x:v>
      </x:c>
      <x:c r="C142" s="170" t="str">
        <x:f>IF(A142="","",IF(B142="Decommissioning",IFERROR(INDEX('Raw Decommissioning'!$E$2:$E$1000,MATCH(A142,'Raw Decommissioning'!$B$2:$B$1000,0)),"Missing from latest raw"),IFERROR(INDEX('Raw Provisioning'!$E$2:$E$1000,MATCH(A142,'Raw Provisioning'!$B$2:$B$1000,0)),"Missing from latest raw")))</x:f>
        <x:v>completed</x:v>
      </x:c>
      <x:c r="D142" s="171" t="n">
        <x:f>IF(A142="","",'Refresh Control'!$B$4)</x:f>
        <x:v>46254</x:v>
      </x:c>
      <x:c r="E142" s="171" t="n">
        <x:f>IF(A142="","",IF(B142="Decommissioning",INDEX('Raw Decommissioning'!$F$2:$F$1000,ROWS($A$5:A142)),INDEX('Raw Provisioning'!$F$2:$F$1000,ROWS($A$5:A142)-COUNTA('Raw Decommissioning'!$B$2:$B$1000))))</x:f>
        <x:v>46085.01319346065</x:v>
      </x:c>
      <x:c r="F142" s="171" t="n">
        <x:f>IF(A142="","",IF(B142="Decommissioning",INDEX('Raw Decommissioning'!$G$2:$G$1000,ROWS($A$5:A142)),INDEX('Raw Provisioning'!$H$2:$H$1000,ROWS($A$5:A142)-COUNTA('Raw Decommissioning'!$B$2:$B$1000))))</x:f>
        <x:v>46091.06811756945</x:v>
      </x:c>
      <x:c r="G142" s="170" t="str">
        <x:f>IF(A142="","",IF(B142="Decommissioning",INDEX('Raw Decommissioning'!$I$2:$I$1000,ROWS($A$5:A142)),INDEX('Raw Provisioning'!$J$2:$J$1000,ROWS($A$5:A142)-COUNTA('Raw Decommissioning'!$B$2:$B$1000))))</x:f>
        <x:v>Electronic Permit To Work - ePTW MLNG</x:v>
      </x:c>
      <x:c r="H142" s="170" t="str">
        <x:f>IF(A142="","",IF(B142="Decommissioning",INDEX('Raw Decommissioning'!$J$2:$J$1000,ROWS($A$5:A142)),INDEX('Raw Provisioning'!$L$2:$L$1000,ROWS($A$5:A142)-COUNTA('Raw Decommissioning'!$B$2:$B$1000))))</x:f>
        <x:v>Application Development Of New Modules and Function for ePTW/ePTW TA Web and ePTW+ Mobile Application For Malaysia LNG Sdn Bhd</x:v>
      </x:c>
      <x:c r="I142" s="170" t="str">
        <x:f>IF(A142="","",IF(B142="Decommissioning",INDEX('Raw Decommissioning'!$AL$2:$AL$1000,ROWS($A$5:A142)),INDEX('Raw Provisioning'!$R$2:$R$1000,ROWS($A$5:A142)-COUNTA('Raw Decommissioning'!$B$2:$B$1000))))</x:f>
        <x:v>M</x:v>
      </x:c>
      <x:c r="J142" s="170" t="str">
        <x:f>IF(A142="","",IF(B142="Decommissioning",INDEX('Raw Decommissioning'!$AG$2:$AG$1000,ROWS($A$5:A142)),INDEX('Raw Provisioning'!$AI$2:$AI$1000,ROWS($A$5:A142)-COUNTA('Raw Decommissioning'!$B$2:$B$1000))))</x:f>
        <x:v>azlisham.md@petronas.com</x:v>
      </x:c>
      <x:c r="K142" s="172" t="str">
        <x:f>IF(A142="","",IFERROR(LOOKUP(2,1/('Assignment History'!$B$5:$B$204=A142),'Assignment History'!$D$5:$D$204),IFERROR(VLOOKUP(J142,Configuration!$L$5:$M$50,2,FALSE),J142)))</x:f>
        <x:v>azlisham.md@petronas.com</x:v>
      </x:c>
      <x:c r="L142" s="172" t="str">
        <x:f>IF(A142="","",IF(K142=IFERROR(VLOOKUP(J142,Configuration!$L$5:$M$50,2,FALSE),J142),"Snapshot PIC","Replacement PIC"))</x:f>
        <x:v>Snapshot PIC</x:v>
      </x:c>
      <x:c r="M142" s="172" t="n">
        <x:f>IF(A142="","",IFERROR(VLOOKUP(I142,Configuration!$O$5:$P$8,2,FALSE),Configuration!$S$6))</x:f>
        <x:v>2</x:v>
      </x:c>
      <x:c r="N142" s="172" t="str">
        <x:f>IF(A142="","",IFERROR(LOOKUP(2,1/('Scope Review'!$B$5:$B$204=A142),'Scope Review'!$G$5:$G$204),"Not Reviewed"))</x:f>
        <x:v>Not Reviewed</x:v>
      </x:c>
      <x:c r="O142" s="172" t="str">
        <x:f>IF(A142="","",IFERROR(LOOKUP(2,1/('Scope Review'!$B$5:$B$204=A142),'Scope Review'!$H$5:$H$204),""))</x:f>
      </x:c>
      <x:c r="P142" s="172" t="n">
        <x:f>IF(A142="","",IF(AND(C142="executing",N142&lt;&gt;"Confirmed OOS"),M142,0))</x:f>
        <x:v>0</x:v>
      </x:c>
      <x:c r="Q142" s="173" t="str">
        <x:f>IF(A142="","",IFERROR(LOOKUP(2,1/('Engineer Updates'!$B$5:$B$704=A142),'Engineer Updates'!$A$5:$A$704),""))</x:f>
      </x:c>
      <x:c r="R142" s="172" t="str">
        <x:f>IF(A142="","",IFERROR(LOOKUP(2,1/('Engineer Updates'!$B$5:$B$704=A142),'Engineer Updates'!$H$5:$H$704),""))</x:f>
      </x:c>
      <x:c r="S142" s="172" t="str">
        <x:f>IF(A142="","",IFERROR(LOOKUP(2,1/('Engineer Updates'!$B$5:$B$704=A142),'Engineer Updates'!$G$5:$G$704),""))</x:f>
      </x:c>
      <x:c r="T142" s="172" t="str">
        <x:f>IF(A142="","",IFERROR(LOOKUP(2,1/('Engineer Updates'!$B$5:$B$704=A142),'Engineer Updates'!$I$5:$I$704),""))</x:f>
      </x:c>
      <x:c r="U142" s="172" t="str">
        <x:f>IF(A142="","",IFERROR(LOOKUP(2,1/('Engineer Updates'!$B$5:$B$704=A142),'Engineer Updates'!$J$5:$J$704),""))</x:f>
      </x:c>
      <x:c r="V142" s="172" t="str">
        <x:f>IF(A142="","",IFERROR(LOOKUP(2,1/('Engineer Updates'!$B$5:$B$704=A142),'Engineer Updates'!$K$5:$K$704),""))</x:f>
      </x:c>
      <x:c r="W142" s="174" t="str">
        <x:f>IF(A142="","",IFERROR(LOOKUP(2,1/('Engineer Updates'!$B$5:$B$704=A142),'Engineer Updates'!$L$5:$L$704),""))</x:f>
      </x:c>
      <x:c r="X142" s="170" t="str">
        <x:f>IF(A142="","",IF(C142="completed","Completed in CSSP",IF(AND(C142="executing",ISERROR(SEARCH("@",K142))),"Executing without named engineer",IF(AND(N142="Confirmed OOS",C142="executing"),"Confirmed OOS still executing",""))))</x:f>
        <x:v>Completed in CSSP</x:v>
      </x:c>
      <x:c r="Y142" s="170" t="str">
        <x:f>IF(A142="","",IF(B142="Decommissioning","Raw Decommissioning","Raw Provisioning"))</x:f>
        <x:v>Raw Decommissioning</x:v>
      </x:c>
      <x:c r="Z142" s="170" t="str">
        <x:f>IF(A142="","",IF(OR(C142="executing",C142="processing"),"Yes","No"))</x:f>
        <x:v>No</x:v>
      </x:c>
    </x:row>
    <x:row r="143">
      <x:c r="A143" s="170" t="str">
        <x:f>IF(ROWS($A$5:A143)&lt;=COUNTA('Raw Decommissioning'!$B$2:$B$1000),INDEX('Raw Decommissioning'!$B$2:$B$1000,ROWS($A$5:A143)),IF(ROWS($A$5:A143)-COUNTA('Raw Decommissioning'!$B$2:$B$1000)&lt;=COUNTA('Raw Provisioning'!$B$2:$B$1000),INDEX('Raw Provisioning'!$B$2:$B$1000,ROWS($A$5:A143)-COUNTA('Raw Decommissioning'!$B$2:$B$1000)),""))</x:f>
        <x:v>CSSP10240447</x:v>
      </x:c>
      <x:c r="B143" s="170" t="str">
        <x:f>IF(A143="","",IF(ROWS($A$5:A143)&lt;=COUNTA('Raw Decommissioning'!$B$2:$B$1000),"Decommissioning","Provisioning"))</x:f>
        <x:v>Decommissioning</x:v>
      </x:c>
      <x:c r="C143" s="170" t="str">
        <x:f>IF(A143="","",IF(B143="Decommissioning",IFERROR(INDEX('Raw Decommissioning'!$E$2:$E$1000,MATCH(A143,'Raw Decommissioning'!$B$2:$B$1000,0)),"Missing from latest raw"),IFERROR(INDEX('Raw Provisioning'!$E$2:$E$1000,MATCH(A143,'Raw Provisioning'!$B$2:$B$1000,0)),"Missing from latest raw")))</x:f>
        <x:v>completed</x:v>
      </x:c>
      <x:c r="D143" s="171" t="n">
        <x:f>IF(A143="","",'Refresh Control'!$B$4)</x:f>
        <x:v>46254</x:v>
      </x:c>
      <x:c r="E143" s="171" t="n">
        <x:f>IF(A143="","",IF(B143="Decommissioning",INDEX('Raw Decommissioning'!$F$2:$F$1000,ROWS($A$5:A143)),INDEX('Raw Provisioning'!$F$2:$F$1000,ROWS($A$5:A143)-COUNTA('Raw Decommissioning'!$B$2:$B$1000))))</x:f>
        <x:v>46085.05178738426</x:v>
      </x:c>
      <x:c r="F143" s="171" t="n">
        <x:f>IF(A143="","",IF(B143="Decommissioning",INDEX('Raw Decommissioning'!$G$2:$G$1000,ROWS($A$5:A143)),INDEX('Raw Provisioning'!$H$2:$H$1000,ROWS($A$5:A143)-COUNTA('Raw Decommissioning'!$B$2:$B$1000))))</x:f>
        <x:v>46093.32801385417</x:v>
      </x:c>
      <x:c r="G143" s="170" t="str">
        <x:f>IF(A143="","",IF(B143="Decommissioning",INDEX('Raw Decommissioning'!$I$2:$I$1000,ROWS($A$5:A143)),INDEX('Raw Provisioning'!$J$2:$J$1000,ROWS($A$5:A143)-COUNTA('Raw Decommissioning'!$B$2:$B$1000))))</x:f>
        <x:v>Drillbench and Engineering Desktop - EDT</x:v>
      </x:c>
      <x:c r="H143" s="170" t="str">
        <x:f>IF(A143="","",IF(B143="Decommissioning",INDEX('Raw Decommissioning'!$J$2:$J$1000,ROWS($A$5:A143)),INDEX('Raw Provisioning'!$L$2:$L$1000,ROWS($A$5:A143)-COUNTA('Raw Decommissioning'!$B$2:$B$1000))))</x:f>
        <x:v>Cloud Migration- Drillbench &amp;EDM (EDT)</x:v>
      </x:c>
      <x:c r="I143" s="170" t="str">
        <x:f>IF(A143="","",IF(B143="Decommissioning",INDEX('Raw Decommissioning'!$AL$2:$AL$1000,ROWS($A$5:A143)),INDEX('Raw Provisioning'!$R$2:$R$1000,ROWS($A$5:A143)-COUNTA('Raw Decommissioning'!$B$2:$B$1000))))</x:f>
        <x:v>M</x:v>
      </x:c>
      <x:c r="J143" s="170" t="str">
        <x:f>IF(A143="","",IF(B143="Decommissioning",INDEX('Raw Decommissioning'!$AG$2:$AG$1000,ROWS($A$5:A143)),INDEX('Raw Provisioning'!$AI$2:$AI$1000,ROWS($A$5:A143)-COUNTA('Raw Decommissioning'!$B$2:$B$1000))))</x:f>
        <x:v>azlisham.md@petronas.com</x:v>
      </x:c>
      <x:c r="K143" s="172" t="str">
        <x:f>IF(A143="","",IFERROR(LOOKUP(2,1/('Assignment History'!$B$5:$B$204=A143),'Assignment History'!$D$5:$D$204),IFERROR(VLOOKUP(J143,Configuration!$L$5:$M$50,2,FALSE),J143)))</x:f>
        <x:v>azlisham.md@petronas.com</x:v>
      </x:c>
      <x:c r="L143" s="172" t="str">
        <x:f>IF(A143="","",IF(K143=IFERROR(VLOOKUP(J143,Configuration!$L$5:$M$50,2,FALSE),J143),"Snapshot PIC","Replacement PIC"))</x:f>
        <x:v>Snapshot PIC</x:v>
      </x:c>
      <x:c r="M143" s="172" t="n">
        <x:f>IF(A143="","",IFERROR(VLOOKUP(I143,Configuration!$O$5:$P$8,2,FALSE),Configuration!$S$6))</x:f>
        <x:v>2</x:v>
      </x:c>
      <x:c r="N143" s="172" t="str">
        <x:f>IF(A143="","",IFERROR(LOOKUP(2,1/('Scope Review'!$B$5:$B$204=A143),'Scope Review'!$G$5:$G$204),"Not Reviewed"))</x:f>
        <x:v>Not Reviewed</x:v>
      </x:c>
      <x:c r="O143" s="172" t="str">
        <x:f>IF(A143="","",IFERROR(LOOKUP(2,1/('Scope Review'!$B$5:$B$204=A143),'Scope Review'!$H$5:$H$204),""))</x:f>
      </x:c>
      <x:c r="P143" s="172" t="n">
        <x:f>IF(A143="","",IF(AND(C143="executing",N143&lt;&gt;"Confirmed OOS"),M143,0))</x:f>
        <x:v>0</x:v>
      </x:c>
      <x:c r="Q143" s="173" t="str">
        <x:f>IF(A143="","",IFERROR(LOOKUP(2,1/('Engineer Updates'!$B$5:$B$704=A143),'Engineer Updates'!$A$5:$A$704),""))</x:f>
      </x:c>
      <x:c r="R143" s="172" t="str">
        <x:f>IF(A143="","",IFERROR(LOOKUP(2,1/('Engineer Updates'!$B$5:$B$704=A143),'Engineer Updates'!$H$5:$H$704),""))</x:f>
      </x:c>
      <x:c r="S143" s="172" t="str">
        <x:f>IF(A143="","",IFERROR(LOOKUP(2,1/('Engineer Updates'!$B$5:$B$704=A143),'Engineer Updates'!$G$5:$G$704),""))</x:f>
      </x:c>
      <x:c r="T143" s="172" t="str">
        <x:f>IF(A143="","",IFERROR(LOOKUP(2,1/('Engineer Updates'!$B$5:$B$704=A143),'Engineer Updates'!$I$5:$I$704),""))</x:f>
      </x:c>
      <x:c r="U143" s="172" t="str">
        <x:f>IF(A143="","",IFERROR(LOOKUP(2,1/('Engineer Updates'!$B$5:$B$704=A143),'Engineer Updates'!$J$5:$J$704),""))</x:f>
      </x:c>
      <x:c r="V143" s="172" t="str">
        <x:f>IF(A143="","",IFERROR(LOOKUP(2,1/('Engineer Updates'!$B$5:$B$704=A143),'Engineer Updates'!$K$5:$K$704),""))</x:f>
      </x:c>
      <x:c r="W143" s="174" t="str">
        <x:f>IF(A143="","",IFERROR(LOOKUP(2,1/('Engineer Updates'!$B$5:$B$704=A143),'Engineer Updates'!$L$5:$L$704),""))</x:f>
      </x:c>
      <x:c r="X143" s="170" t="str">
        <x:f>IF(A143="","",IF(C143="completed","Completed in CSSP",IF(AND(C143="executing",ISERROR(SEARCH("@",K143))),"Executing without named engineer",IF(AND(N143="Confirmed OOS",C143="executing"),"Confirmed OOS still executing",""))))</x:f>
        <x:v>Completed in CSSP</x:v>
      </x:c>
      <x:c r="Y143" s="170" t="str">
        <x:f>IF(A143="","",IF(B143="Decommissioning","Raw Decommissioning","Raw Provisioning"))</x:f>
        <x:v>Raw Decommissioning</x:v>
      </x:c>
      <x:c r="Z143" s="170" t="str">
        <x:f>IF(A143="","",IF(OR(C143="executing",C143="processing"),"Yes","No"))</x:f>
        <x:v>No</x:v>
      </x:c>
    </x:row>
    <x:row r="144">
      <x:c r="A144" s="170" t="str">
        <x:f>IF(ROWS($A$5:A144)&lt;=COUNTA('Raw Decommissioning'!$B$2:$B$1000),INDEX('Raw Decommissioning'!$B$2:$B$1000,ROWS($A$5:A144)),IF(ROWS($A$5:A144)-COUNTA('Raw Decommissioning'!$B$2:$B$1000)&lt;=COUNTA('Raw Provisioning'!$B$2:$B$1000),INDEX('Raw Provisioning'!$B$2:$B$1000,ROWS($A$5:A144)-COUNTA('Raw Decommissioning'!$B$2:$B$1000)),""))</x:f>
        <x:v>CSSP10932890</x:v>
      </x:c>
      <x:c r="B144" s="170" t="str">
        <x:f>IF(A144="","",IF(ROWS($A$5:A144)&lt;=COUNTA('Raw Decommissioning'!$B$2:$B$1000),"Decommissioning","Provisioning"))</x:f>
        <x:v>Decommissioning</x:v>
      </x:c>
      <x:c r="C144" s="170" t="str">
        <x:f>IF(A144="","",IF(B144="Decommissioning",IFERROR(INDEX('Raw Decommissioning'!$E$2:$E$1000,MATCH(A144,'Raw Decommissioning'!$B$2:$B$1000,0)),"Missing from latest raw"),IFERROR(INDEX('Raw Provisioning'!$E$2:$E$1000,MATCH(A144,'Raw Provisioning'!$B$2:$B$1000,0)),"Missing from latest raw")))</x:f>
        <x:v>completed</x:v>
      </x:c>
      <x:c r="D144" s="171" t="n">
        <x:f>IF(A144="","",'Refresh Control'!$B$4)</x:f>
        <x:v>46254</x:v>
      </x:c>
      <x:c r="E144" s="171" t="n">
        <x:f>IF(A144="","",IF(B144="Decommissioning",INDEX('Raw Decommissioning'!$F$2:$F$1000,ROWS($A$5:A144)),INDEX('Raw Provisioning'!$F$2:$F$1000,ROWS($A$5:A144)-COUNTA('Raw Decommissioning'!$B$2:$B$1000))))</x:f>
        <x:v>46085.289279826386</x:v>
      </x:c>
      <x:c r="F144" s="171" t="n">
        <x:f>IF(A144="","",IF(B144="Decommissioning",INDEX('Raw Decommissioning'!$G$2:$G$1000,ROWS($A$5:A144)),INDEX('Raw Provisioning'!$H$2:$H$1000,ROWS($A$5:A144)-COUNTA('Raw Decommissioning'!$B$2:$B$1000))))</x:f>
        <x:v>46170.05359957176</x:v>
      </x:c>
      <x:c r="G144" s="170" t="str">
        <x:f>IF(A144="","",IF(B144="Decommissioning",INDEX('Raw Decommissioning'!$I$2:$I$1000,ROWS($A$5:A144)),INDEX('Raw Provisioning'!$J$2:$J$1000,ROWS($A$5:A144)-COUNTA('Raw Decommissioning'!$B$2:$B$1000))))</x:f>
        <x:v>COMPASS</x:v>
      </x:c>
      <x:c r="H144" s="170" t="str">
        <x:f>IF(A144="","",IF(B144="Decommissioning",INDEX('Raw Decommissioning'!$J$2:$J$1000,ROWS($A$5:A144)),INDEX('Raw Provisioning'!$L$2:$L$1000,ROWS($A$5:A144)-COUNTA('Raw Decommissioning'!$B$2:$B$1000))))</x:f>
        <x:v>COMPASS Phase 2</x:v>
      </x:c>
      <x:c r="I144" s="170" t="str">
        <x:f>IF(A144="","",IF(B144="Decommissioning",INDEX('Raw Decommissioning'!$AL$2:$AL$1000,ROWS($A$5:A144)),INDEX('Raw Provisioning'!$R$2:$R$1000,ROWS($A$5:A144)-COUNTA('Raw Decommissioning'!$B$2:$B$1000))))</x:f>
        <x:v>M</x:v>
      </x:c>
      <x:c r="J144" s="170" t="str">
        <x:f>IF(A144="","",IF(B144="Decommissioning",INDEX('Raw Decommissioning'!$AG$2:$AG$1000,ROWS($A$5:A144)),INDEX('Raw Provisioning'!$AI$2:$AI$1000,ROWS($A$5:A144)-COUNTA('Raw Decommissioning'!$B$2:$B$1000))))</x:f>
        <x:v>azlisham.md@petronas.com</x:v>
      </x:c>
      <x:c r="K144" s="172" t="str">
        <x:f>IF(A144="","",IFERROR(LOOKUP(2,1/('Assignment History'!$B$5:$B$204=A144),'Assignment History'!$D$5:$D$204),IFERROR(VLOOKUP(J144,Configuration!$L$5:$M$50,2,FALSE),J144)))</x:f>
        <x:v>azlisham.md@petronas.com</x:v>
      </x:c>
      <x:c r="L144" s="172" t="str">
        <x:f>IF(A144="","",IF(K144=IFERROR(VLOOKUP(J144,Configuration!$L$5:$M$50,2,FALSE),J144),"Snapshot PIC","Replacement PIC"))</x:f>
        <x:v>Snapshot PIC</x:v>
      </x:c>
      <x:c r="M144" s="172" t="n">
        <x:f>IF(A144="","",IFERROR(VLOOKUP(I144,Configuration!$O$5:$P$8,2,FALSE),Configuration!$S$6))</x:f>
        <x:v>2</x:v>
      </x:c>
      <x:c r="N144" s="172" t="str">
        <x:f>IF(A144="","",IFERROR(LOOKUP(2,1/('Scope Review'!$B$5:$B$204=A144),'Scope Review'!$G$5:$G$204),"Not Reviewed"))</x:f>
        <x:v>Not Reviewed</x:v>
      </x:c>
      <x:c r="O144" s="172" t="str">
        <x:f>IF(A144="","",IFERROR(LOOKUP(2,1/('Scope Review'!$B$5:$B$204=A144),'Scope Review'!$H$5:$H$204),""))</x:f>
      </x:c>
      <x:c r="P144" s="172" t="n">
        <x:f>IF(A144="","",IF(AND(C144="executing",N144&lt;&gt;"Confirmed OOS"),M144,0))</x:f>
        <x:v>0</x:v>
      </x:c>
      <x:c r="Q144" s="173" t="str">
        <x:f>IF(A144="","",IFERROR(LOOKUP(2,1/('Engineer Updates'!$B$5:$B$704=A144),'Engineer Updates'!$A$5:$A$704),""))</x:f>
      </x:c>
      <x:c r="R144" s="172" t="str">
        <x:f>IF(A144="","",IFERROR(LOOKUP(2,1/('Engineer Updates'!$B$5:$B$704=A144),'Engineer Updates'!$H$5:$H$704),""))</x:f>
      </x:c>
      <x:c r="S144" s="172" t="str">
        <x:f>IF(A144="","",IFERROR(LOOKUP(2,1/('Engineer Updates'!$B$5:$B$704=A144),'Engineer Updates'!$G$5:$G$704),""))</x:f>
      </x:c>
      <x:c r="T144" s="172" t="str">
        <x:f>IF(A144="","",IFERROR(LOOKUP(2,1/('Engineer Updates'!$B$5:$B$704=A144),'Engineer Updates'!$I$5:$I$704),""))</x:f>
      </x:c>
      <x:c r="U144" s="172" t="str">
        <x:f>IF(A144="","",IFERROR(LOOKUP(2,1/('Engineer Updates'!$B$5:$B$704=A144),'Engineer Updates'!$J$5:$J$704),""))</x:f>
      </x:c>
      <x:c r="V144" s="172" t="str">
        <x:f>IF(A144="","",IFERROR(LOOKUP(2,1/('Engineer Updates'!$B$5:$B$704=A144),'Engineer Updates'!$K$5:$K$704),""))</x:f>
      </x:c>
      <x:c r="W144" s="174" t="str">
        <x:f>IF(A144="","",IFERROR(LOOKUP(2,1/('Engineer Updates'!$B$5:$B$704=A144),'Engineer Updates'!$L$5:$L$704),""))</x:f>
      </x:c>
      <x:c r="X144" s="170" t="str">
        <x:f>IF(A144="","",IF(C144="completed","Completed in CSSP",IF(AND(C144="executing",ISERROR(SEARCH("@",K144))),"Executing without named engineer",IF(AND(N144="Confirmed OOS",C144="executing"),"Confirmed OOS still executing",""))))</x:f>
        <x:v>Completed in CSSP</x:v>
      </x:c>
      <x:c r="Y144" s="170" t="str">
        <x:f>IF(A144="","",IF(B144="Decommissioning","Raw Decommissioning","Raw Provisioning"))</x:f>
        <x:v>Raw Decommissioning</x:v>
      </x:c>
      <x:c r="Z144" s="170" t="str">
        <x:f>IF(A144="","",IF(OR(C144="executing",C144="processing"),"Yes","No"))</x:f>
        <x:v>No</x:v>
      </x:c>
    </x:row>
    <x:row r="145">
      <x:c r="A145" s="170" t="str">
        <x:f>IF(ROWS($A$5:A145)&lt;=COUNTA('Raw Decommissioning'!$B$2:$B$1000),INDEX('Raw Decommissioning'!$B$2:$B$1000,ROWS($A$5:A145)),IF(ROWS($A$5:A145)-COUNTA('Raw Decommissioning'!$B$2:$B$1000)&lt;=COUNTA('Raw Provisioning'!$B$2:$B$1000),INDEX('Raw Provisioning'!$B$2:$B$1000,ROWS($A$5:A145)-COUNTA('Raw Decommissioning'!$B$2:$B$1000)),""))</x:f>
        <x:v>CSSP10278874</x:v>
      </x:c>
      <x:c r="B145" s="170" t="str">
        <x:f>IF(A145="","",IF(ROWS($A$5:A145)&lt;=COUNTA('Raw Decommissioning'!$B$2:$B$1000),"Decommissioning","Provisioning"))</x:f>
        <x:v>Decommissioning</x:v>
      </x:c>
      <x:c r="C145" s="170" t="str">
        <x:f>IF(A145="","",IF(B145="Decommissioning",IFERROR(INDEX('Raw Decommissioning'!$E$2:$E$1000,MATCH(A145,'Raw Decommissioning'!$B$2:$B$1000,0)),"Missing from latest raw"),IFERROR(INDEX('Raw Provisioning'!$E$2:$E$1000,MATCH(A145,'Raw Provisioning'!$B$2:$B$1000,0)),"Missing from latest raw")))</x:f>
        <x:v>completed</x:v>
      </x:c>
      <x:c r="D145" s="171" t="n">
        <x:f>IF(A145="","",'Refresh Control'!$B$4)</x:f>
        <x:v>46254</x:v>
      </x:c>
      <x:c r="E145" s="171" t="n">
        <x:f>IF(A145="","",IF(B145="Decommissioning",INDEX('Raw Decommissioning'!$F$2:$F$1000,ROWS($A$5:A145)),INDEX('Raw Provisioning'!$F$2:$F$1000,ROWS($A$5:A145)-COUNTA('Raw Decommissioning'!$B$2:$B$1000))))</x:f>
        <x:v>46086.615896180556</x:v>
      </x:c>
      <x:c r="F145" s="171" t="n">
        <x:f>IF(A145="","",IF(B145="Decommissioning",INDEX('Raw Decommissioning'!$G$2:$G$1000,ROWS($A$5:A145)),INDEX('Raw Provisioning'!$H$2:$H$1000,ROWS($A$5:A145)-COUNTA('Raw Decommissioning'!$B$2:$B$1000))))</x:f>
        <x:v>46093.16797584491</x:v>
      </x:c>
      <x:c r="G145" s="170" t="str">
        <x:f>IF(A145="","",IF(B145="Decommissioning",INDEX('Raw Decommissioning'!$I$2:$I$1000,ROWS($A$5:A145)),INDEX('Raw Provisioning'!$J$2:$J$1000,ROWS($A$5:A145)-COUNTA('Raw Decommissioning'!$B$2:$B$1000))))</x:f>
        <x:v>Enterprise Application Integration - EAI WebMethod</x:v>
      </x:c>
      <x:c r="H145" s="170" t="str">
        <x:f>IF(A145="","",IF(B145="Decommissioning",INDEX('Raw Decommissioning'!$J$2:$J$1000,ROWS($A$5:A145)),INDEX('Raw Provisioning'!$L$2:$L$1000,ROWS($A$5:A145)-COUNTA('Raw Decommissioning'!$B$2:$B$1000))))</x:f>
        <x:v>EAI WebMethod Integration Platform Cloud Migration and Upgrade</x:v>
      </x:c>
      <x:c r="I145" s="170" t="str">
        <x:f>IF(A145="","",IF(B145="Decommissioning",INDEX('Raw Decommissioning'!$AL$2:$AL$1000,ROWS($A$5:A145)),INDEX('Raw Provisioning'!$R$2:$R$1000,ROWS($A$5:A145)-COUNTA('Raw Decommissioning'!$B$2:$B$1000))))</x:f>
        <x:v>L</x:v>
      </x:c>
      <x:c r="J145" s="170" t="str">
        <x:f>IF(A145="","",IF(B145="Decommissioning",INDEX('Raw Decommissioning'!$AG$2:$AG$1000,ROWS($A$5:A145)),INDEX('Raw Provisioning'!$AI$2:$AI$1000,ROWS($A$5:A145)-COUNTA('Raw Decommissioning'!$B$2:$B$1000))))</x:f>
        <x:v>azlisham.md@petronas.com</x:v>
      </x:c>
      <x:c r="K145" s="172" t="str">
        <x:f>IF(A145="","",IFERROR(LOOKUP(2,1/('Assignment History'!$B$5:$B$204=A145),'Assignment History'!$D$5:$D$204),IFERROR(VLOOKUP(J145,Configuration!$L$5:$M$50,2,FALSE),J145)))</x:f>
        <x:v>azlisham.md@petronas.com</x:v>
      </x:c>
      <x:c r="L145" s="172" t="str">
        <x:f>IF(A145="","",IF(K145=IFERROR(VLOOKUP(J145,Configuration!$L$5:$M$50,2,FALSE),J145),"Snapshot PIC","Replacement PIC"))</x:f>
        <x:v>Snapshot PIC</x:v>
      </x:c>
      <x:c r="M145" s="172" t="n">
        <x:f>IF(A145="","",IFERROR(VLOOKUP(I145,Configuration!$O$5:$P$8,2,FALSE),Configuration!$S$6))</x:f>
        <x:v>3</x:v>
      </x:c>
      <x:c r="N145" s="172" t="str">
        <x:f>IF(A145="","",IFERROR(LOOKUP(2,1/('Scope Review'!$B$5:$B$204=A145),'Scope Review'!$G$5:$G$204),"Not Reviewed"))</x:f>
        <x:v>Not Reviewed</x:v>
      </x:c>
      <x:c r="O145" s="172" t="str">
        <x:f>IF(A145="","",IFERROR(LOOKUP(2,1/('Scope Review'!$B$5:$B$204=A145),'Scope Review'!$H$5:$H$204),""))</x:f>
      </x:c>
      <x:c r="P145" s="172" t="n">
        <x:f>IF(A145="","",IF(AND(C145="executing",N145&lt;&gt;"Confirmed OOS"),M145,0))</x:f>
        <x:v>0</x:v>
      </x:c>
      <x:c r="Q145" s="173" t="str">
        <x:f>IF(A145="","",IFERROR(LOOKUP(2,1/('Engineer Updates'!$B$5:$B$704=A145),'Engineer Updates'!$A$5:$A$704),""))</x:f>
      </x:c>
      <x:c r="R145" s="172" t="str">
        <x:f>IF(A145="","",IFERROR(LOOKUP(2,1/('Engineer Updates'!$B$5:$B$704=A145),'Engineer Updates'!$H$5:$H$704),""))</x:f>
      </x:c>
      <x:c r="S145" s="172" t="str">
        <x:f>IF(A145="","",IFERROR(LOOKUP(2,1/('Engineer Updates'!$B$5:$B$704=A145),'Engineer Updates'!$G$5:$G$704),""))</x:f>
      </x:c>
      <x:c r="T145" s="172" t="str">
        <x:f>IF(A145="","",IFERROR(LOOKUP(2,1/('Engineer Updates'!$B$5:$B$704=A145),'Engineer Updates'!$I$5:$I$704),""))</x:f>
      </x:c>
      <x:c r="U145" s="172" t="str">
        <x:f>IF(A145="","",IFERROR(LOOKUP(2,1/('Engineer Updates'!$B$5:$B$704=A145),'Engineer Updates'!$J$5:$J$704),""))</x:f>
      </x:c>
      <x:c r="V145" s="172" t="str">
        <x:f>IF(A145="","",IFERROR(LOOKUP(2,1/('Engineer Updates'!$B$5:$B$704=A145),'Engineer Updates'!$K$5:$K$704),""))</x:f>
      </x:c>
      <x:c r="W145" s="174" t="str">
        <x:f>IF(A145="","",IFERROR(LOOKUP(2,1/('Engineer Updates'!$B$5:$B$704=A145),'Engineer Updates'!$L$5:$L$704),""))</x:f>
      </x:c>
      <x:c r="X145" s="170" t="str">
        <x:f>IF(A145="","",IF(C145="completed","Completed in CSSP",IF(AND(C145="executing",ISERROR(SEARCH("@",K145))),"Executing without named engineer",IF(AND(N145="Confirmed OOS",C145="executing"),"Confirmed OOS still executing",""))))</x:f>
        <x:v>Completed in CSSP</x:v>
      </x:c>
      <x:c r="Y145" s="170" t="str">
        <x:f>IF(A145="","",IF(B145="Decommissioning","Raw Decommissioning","Raw Provisioning"))</x:f>
        <x:v>Raw Decommissioning</x:v>
      </x:c>
      <x:c r="Z145" s="170" t="str">
        <x:f>IF(A145="","",IF(OR(C145="executing",C145="processing"),"Yes","No"))</x:f>
        <x:v>No</x:v>
      </x:c>
    </x:row>
    <x:row r="146">
      <x:c r="A146" s="170" t="str">
        <x:f>IF(ROWS($A$5:A146)&lt;=COUNTA('Raw Decommissioning'!$B$2:$B$1000),INDEX('Raw Decommissioning'!$B$2:$B$1000,ROWS($A$5:A146)),IF(ROWS($A$5:A146)-COUNTA('Raw Decommissioning'!$B$2:$B$1000)&lt;=COUNTA('Raw Provisioning'!$B$2:$B$1000),INDEX('Raw Provisioning'!$B$2:$B$1000,ROWS($A$5:A146)-COUNTA('Raw Decommissioning'!$B$2:$B$1000)),""))</x:f>
        <x:v>CSSP10656783</x:v>
      </x:c>
      <x:c r="B146" s="170" t="str">
        <x:f>IF(A146="","",IF(ROWS($A$5:A146)&lt;=COUNTA('Raw Decommissioning'!$B$2:$B$1000),"Decommissioning","Provisioning"))</x:f>
        <x:v>Decommissioning</x:v>
      </x:c>
      <x:c r="C146" s="170" t="str">
        <x:f>IF(A146="","",IF(B146="Decommissioning",IFERROR(INDEX('Raw Decommissioning'!$E$2:$E$1000,MATCH(A146,'Raw Decommissioning'!$B$2:$B$1000,0)),"Missing from latest raw"),IFERROR(INDEX('Raw Provisioning'!$E$2:$E$1000,MATCH(A146,'Raw Provisioning'!$B$2:$B$1000,0)),"Missing from latest raw")))</x:f>
        <x:v>completed</x:v>
      </x:c>
      <x:c r="D146" s="171" t="n">
        <x:f>IF(A146="","",'Refresh Control'!$B$4)</x:f>
        <x:v>46254</x:v>
      </x:c>
      <x:c r="E146" s="171" t="n">
        <x:f>IF(A146="","",IF(B146="Decommissioning",INDEX('Raw Decommissioning'!$F$2:$F$1000,ROWS($A$5:A146)),INDEX('Raw Provisioning'!$F$2:$F$1000,ROWS($A$5:A146)-COUNTA('Raw Decommissioning'!$B$2:$B$1000))))</x:f>
        <x:v>46090.095560092595</x:v>
      </x:c>
      <x:c r="F146" s="171" t="n">
        <x:f>IF(A146="","",IF(B146="Decommissioning",INDEX('Raw Decommissioning'!$G$2:$G$1000,ROWS($A$5:A146)),INDEX('Raw Provisioning'!$H$2:$H$1000,ROWS($A$5:A146)-COUNTA('Raw Decommissioning'!$B$2:$B$1000))))</x:f>
        <x:v>46111.290794305554</x:v>
      </x:c>
      <x:c r="G146" s="170" t="str">
        <x:f>IF(A146="","",IF(B146="Decommissioning",INDEX('Raw Decommissioning'!$I$2:$I$1000,ROWS($A$5:A146)),INDEX('Raw Provisioning'!$J$2:$J$1000,ROWS($A$5:A146)-COUNTA('Raw Decommissioning'!$B$2:$B$1000))))</x:f>
        <x:v>Orion MLNG</x:v>
      </x:c>
      <x:c r="H146" s="170" t="str">
        <x:f>IF(A146="","",IF(B146="Decommissioning",INDEX('Raw Decommissioning'!$J$2:$J$1000,ROWS($A$5:A146)),INDEX('Raw Provisioning'!$L$2:$L$1000,ROWS($A$5:A146)-COUNTA('Raw Decommissioning'!$B$2:$B$1000))))</x:f>
        <x:v>Full-Fledge Deployment of ORION Engine and Front-End Development</x:v>
      </x:c>
      <x:c r="I146" s="170" t="str">
        <x:f>IF(A146="","",IF(B146="Decommissioning",INDEX('Raw Decommissioning'!$AL$2:$AL$1000,ROWS($A$5:A146)),INDEX('Raw Provisioning'!$R$2:$R$1000,ROWS($A$5:A146)-COUNTA('Raw Decommissioning'!$B$2:$B$1000))))</x:f>
        <x:v>M</x:v>
      </x:c>
      <x:c r="J146" s="170" t="str">
        <x:f>IF(A146="","",IF(B146="Decommissioning",INDEX('Raw Decommissioning'!$AG$2:$AG$1000,ROWS($A$5:A146)),INDEX('Raw Provisioning'!$AI$2:$AI$1000,ROWS($A$5:A146)-COUNTA('Raw Decommissioning'!$B$2:$B$1000))))</x:f>
        <x:v>azwan.badari@petronas.com</x:v>
      </x:c>
      <x:c r="K146" s="172" t="str">
        <x:f>IF(A146="","",IFERROR(LOOKUP(2,1/('Assignment History'!$B$5:$B$204=A146),'Assignment History'!$D$5:$D$204),IFERROR(VLOOKUP(J146,Configuration!$L$5:$M$50,2,FALSE),J146)))</x:f>
        <x:v>azwan.badari@petronas.com</x:v>
      </x:c>
      <x:c r="L146" s="172" t="str">
        <x:f>IF(A146="","",IF(K146=IFERROR(VLOOKUP(J146,Configuration!$L$5:$M$50,2,FALSE),J146),"Snapshot PIC","Replacement PIC"))</x:f>
        <x:v>Snapshot PIC</x:v>
      </x:c>
      <x:c r="M146" s="172" t="n">
        <x:f>IF(A146="","",IFERROR(VLOOKUP(I146,Configuration!$O$5:$P$8,2,FALSE),Configuration!$S$6))</x:f>
        <x:v>2</x:v>
      </x:c>
      <x:c r="N146" s="172" t="str">
        <x:f>IF(A146="","",IFERROR(LOOKUP(2,1/('Scope Review'!$B$5:$B$204=A146),'Scope Review'!$G$5:$G$204),"Not Reviewed"))</x:f>
        <x:v>Not Reviewed</x:v>
      </x:c>
      <x:c r="O146" s="172" t="str">
        <x:f>IF(A146="","",IFERROR(LOOKUP(2,1/('Scope Review'!$B$5:$B$204=A146),'Scope Review'!$H$5:$H$204),""))</x:f>
      </x:c>
      <x:c r="P146" s="172" t="n">
        <x:f>IF(A146="","",IF(AND(C146="executing",N146&lt;&gt;"Confirmed OOS"),M146,0))</x:f>
        <x:v>0</x:v>
      </x:c>
      <x:c r="Q146" s="173" t="str">
        <x:f>IF(A146="","",IFERROR(LOOKUP(2,1/('Engineer Updates'!$B$5:$B$704=A146),'Engineer Updates'!$A$5:$A$704),""))</x:f>
      </x:c>
      <x:c r="R146" s="172" t="str">
        <x:f>IF(A146="","",IFERROR(LOOKUP(2,1/('Engineer Updates'!$B$5:$B$704=A146),'Engineer Updates'!$H$5:$H$704),""))</x:f>
      </x:c>
      <x:c r="S146" s="172" t="str">
        <x:f>IF(A146="","",IFERROR(LOOKUP(2,1/('Engineer Updates'!$B$5:$B$704=A146),'Engineer Updates'!$G$5:$G$704),""))</x:f>
      </x:c>
      <x:c r="T146" s="172" t="str">
        <x:f>IF(A146="","",IFERROR(LOOKUP(2,1/('Engineer Updates'!$B$5:$B$704=A146),'Engineer Updates'!$I$5:$I$704),""))</x:f>
      </x:c>
      <x:c r="U146" s="172" t="str">
        <x:f>IF(A146="","",IFERROR(LOOKUP(2,1/('Engineer Updates'!$B$5:$B$704=A146),'Engineer Updates'!$J$5:$J$704),""))</x:f>
      </x:c>
      <x:c r="V146" s="172" t="str">
        <x:f>IF(A146="","",IFERROR(LOOKUP(2,1/('Engineer Updates'!$B$5:$B$704=A146),'Engineer Updates'!$K$5:$K$704),""))</x:f>
      </x:c>
      <x:c r="W146" s="174" t="str">
        <x:f>IF(A146="","",IFERROR(LOOKUP(2,1/('Engineer Updates'!$B$5:$B$704=A146),'Engineer Updates'!$L$5:$L$704),""))</x:f>
      </x:c>
      <x:c r="X146" s="170" t="str">
        <x:f>IF(A146="","",IF(C146="completed","Completed in CSSP",IF(AND(C146="executing",ISERROR(SEARCH("@",K146))),"Executing without named engineer",IF(AND(N146="Confirmed OOS",C146="executing"),"Confirmed OOS still executing",""))))</x:f>
        <x:v>Completed in CSSP</x:v>
      </x:c>
      <x:c r="Y146" s="170" t="str">
        <x:f>IF(A146="","",IF(B146="Decommissioning","Raw Decommissioning","Raw Provisioning"))</x:f>
        <x:v>Raw Decommissioning</x:v>
      </x:c>
      <x:c r="Z146" s="170" t="str">
        <x:f>IF(A146="","",IF(OR(C146="executing",C146="processing"),"Yes","No"))</x:f>
        <x:v>No</x:v>
      </x:c>
    </x:row>
    <x:row r="147">
      <x:c r="A147" s="170" t="str">
        <x:f>IF(ROWS($A$5:A147)&lt;=COUNTA('Raw Decommissioning'!$B$2:$B$1000),INDEX('Raw Decommissioning'!$B$2:$B$1000,ROWS($A$5:A147)),IF(ROWS($A$5:A147)-COUNTA('Raw Decommissioning'!$B$2:$B$1000)&lt;=COUNTA('Raw Provisioning'!$B$2:$B$1000),INDEX('Raw Provisioning'!$B$2:$B$1000,ROWS($A$5:A147)-COUNTA('Raw Decommissioning'!$B$2:$B$1000)),""))</x:f>
        <x:v>CSSP10768875</x:v>
      </x:c>
      <x:c r="B147" s="170" t="str">
        <x:f>IF(A147="","",IF(ROWS($A$5:A147)&lt;=COUNTA('Raw Decommissioning'!$B$2:$B$1000),"Decommissioning","Provisioning"))</x:f>
        <x:v>Decommissioning</x:v>
      </x:c>
      <x:c r="C147" s="170" t="str">
        <x:f>IF(A147="","",IF(B147="Decommissioning",IFERROR(INDEX('Raw Decommissioning'!$E$2:$E$1000,MATCH(A147,'Raw Decommissioning'!$B$2:$B$1000,0)),"Missing from latest raw"),IFERROR(INDEX('Raw Provisioning'!$E$2:$E$1000,MATCH(A147,'Raw Provisioning'!$B$2:$B$1000,0)),"Missing from latest raw")))</x:f>
        <x:v>completed</x:v>
      </x:c>
      <x:c r="D147" s="171" t="n">
        <x:f>IF(A147="","",'Refresh Control'!$B$4)</x:f>
        <x:v>46254</x:v>
      </x:c>
      <x:c r="E147" s="171" t="n">
        <x:f>IF(A147="","",IF(B147="Decommissioning",INDEX('Raw Decommissioning'!$F$2:$F$1000,ROWS($A$5:A147)),INDEX('Raw Provisioning'!$F$2:$F$1000,ROWS($A$5:A147)-COUNTA('Raw Decommissioning'!$B$2:$B$1000))))</x:f>
        <x:v>46090.31270055556</x:v>
      </x:c>
      <x:c r="F147" s="171" t="n">
        <x:f>IF(A147="","",IF(B147="Decommissioning",INDEX('Raw Decommissioning'!$G$2:$G$1000,ROWS($A$5:A147)),INDEX('Raw Provisioning'!$H$2:$H$1000,ROWS($A$5:A147)-COUNTA('Raw Decommissioning'!$B$2:$B$1000))))</x:f>
        <x:v>46094.34097380787</x:v>
      </x:c>
      <x:c r="G147" s="170" t="str">
        <x:f>IF(A147="","",IF(B147="Decommissioning",INDEX('Raw Decommissioning'!$I$2:$I$1000,ROWS($A$5:A147)),INDEX('Raw Provisioning'!$J$2:$J$1000,ROWS($A$5:A147)-COUNTA('Raw Decommissioning'!$B$2:$B$1000))))</x:f>
        <x:v>SmartSignal</x:v>
      </x:c>
      <x:c r="H147" s="170" t="str">
        <x:f>IF(A147="","",IF(B147="Decommissioning",INDEX('Raw Decommissioning'!$J$2:$J$1000,ROWS($A$5:A147)),INDEX('Raw Provisioning'!$L$2:$L$1000,ROWS($A$5:A147)-COUNTA('Raw Decommissioning'!$B$2:$B$1000))))</x:f>
        <x:v>CTP Old to New LZ - GE Smart Signal for GTS</x:v>
      </x:c>
      <x:c r="I147" s="170" t="str">
        <x:f>IF(A147="","",IF(B147="Decommissioning",INDEX('Raw Decommissioning'!$AL$2:$AL$1000,ROWS($A$5:A147)),INDEX('Raw Provisioning'!$R$2:$R$1000,ROWS($A$5:A147)-COUNTA('Raw Decommissioning'!$B$2:$B$1000))))</x:f>
        <x:v>M</x:v>
      </x:c>
      <x:c r="J147" s="170" t="str">
        <x:f>IF(A147="","",IF(B147="Decommissioning",INDEX('Raw Decommissioning'!$AG$2:$AG$1000,ROWS($A$5:A147)),INDEX('Raw Provisioning'!$AI$2:$AI$1000,ROWS($A$5:A147)-COUNTA('Raw Decommissioning'!$B$2:$B$1000))))</x:f>
        <x:v>azwan.badari@petronas.com</x:v>
      </x:c>
      <x:c r="K147" s="172" t="str">
        <x:f>IF(A147="","",IFERROR(LOOKUP(2,1/('Assignment History'!$B$5:$B$204=A147),'Assignment History'!$D$5:$D$204),IFERROR(VLOOKUP(J147,Configuration!$L$5:$M$50,2,FALSE),J147)))</x:f>
        <x:v>azwan.badari@petronas.com</x:v>
      </x:c>
      <x:c r="L147" s="172" t="str">
        <x:f>IF(A147="","",IF(K147=IFERROR(VLOOKUP(J147,Configuration!$L$5:$M$50,2,FALSE),J147),"Snapshot PIC","Replacement PIC"))</x:f>
        <x:v>Snapshot PIC</x:v>
      </x:c>
      <x:c r="M147" s="172" t="n">
        <x:f>IF(A147="","",IFERROR(VLOOKUP(I147,Configuration!$O$5:$P$8,2,FALSE),Configuration!$S$6))</x:f>
        <x:v>2</x:v>
      </x:c>
      <x:c r="N147" s="172" t="str">
        <x:f>IF(A147="","",IFERROR(LOOKUP(2,1/('Scope Review'!$B$5:$B$204=A147),'Scope Review'!$G$5:$G$204),"Not Reviewed"))</x:f>
        <x:v>Not Reviewed</x:v>
      </x:c>
      <x:c r="O147" s="172" t="str">
        <x:f>IF(A147="","",IFERROR(LOOKUP(2,1/('Scope Review'!$B$5:$B$204=A147),'Scope Review'!$H$5:$H$204),""))</x:f>
      </x:c>
      <x:c r="P147" s="172" t="n">
        <x:f>IF(A147="","",IF(AND(C147="executing",N147&lt;&gt;"Confirmed OOS"),M147,0))</x:f>
        <x:v>0</x:v>
      </x:c>
      <x:c r="Q147" s="173" t="str">
        <x:f>IF(A147="","",IFERROR(LOOKUP(2,1/('Engineer Updates'!$B$5:$B$704=A147),'Engineer Updates'!$A$5:$A$704),""))</x:f>
      </x:c>
      <x:c r="R147" s="172" t="str">
        <x:f>IF(A147="","",IFERROR(LOOKUP(2,1/('Engineer Updates'!$B$5:$B$704=A147),'Engineer Updates'!$H$5:$H$704),""))</x:f>
      </x:c>
      <x:c r="S147" s="172" t="str">
        <x:f>IF(A147="","",IFERROR(LOOKUP(2,1/('Engineer Updates'!$B$5:$B$704=A147),'Engineer Updates'!$G$5:$G$704),""))</x:f>
      </x:c>
      <x:c r="T147" s="172" t="str">
        <x:f>IF(A147="","",IFERROR(LOOKUP(2,1/('Engineer Updates'!$B$5:$B$704=A147),'Engineer Updates'!$I$5:$I$704),""))</x:f>
      </x:c>
      <x:c r="U147" s="172" t="str">
        <x:f>IF(A147="","",IFERROR(LOOKUP(2,1/('Engineer Updates'!$B$5:$B$704=A147),'Engineer Updates'!$J$5:$J$704),""))</x:f>
      </x:c>
      <x:c r="V147" s="172" t="str">
        <x:f>IF(A147="","",IFERROR(LOOKUP(2,1/('Engineer Updates'!$B$5:$B$704=A147),'Engineer Updates'!$K$5:$K$704),""))</x:f>
      </x:c>
      <x:c r="W147" s="174" t="str">
        <x:f>IF(A147="","",IFERROR(LOOKUP(2,1/('Engineer Updates'!$B$5:$B$704=A147),'Engineer Updates'!$L$5:$L$704),""))</x:f>
      </x:c>
      <x:c r="X147" s="170" t="str">
        <x:f>IF(A147="","",IF(C147="completed","Completed in CSSP",IF(AND(C147="executing",ISERROR(SEARCH("@",K147))),"Executing without named engineer",IF(AND(N147="Confirmed OOS",C147="executing"),"Confirmed OOS still executing",""))))</x:f>
        <x:v>Completed in CSSP</x:v>
      </x:c>
      <x:c r="Y147" s="170" t="str">
        <x:f>IF(A147="","",IF(B147="Decommissioning","Raw Decommissioning","Raw Provisioning"))</x:f>
        <x:v>Raw Decommissioning</x:v>
      </x:c>
      <x:c r="Z147" s="170" t="str">
        <x:f>IF(A147="","",IF(OR(C147="executing",C147="processing"),"Yes","No"))</x:f>
        <x:v>No</x:v>
      </x:c>
    </x:row>
    <x:row r="148">
      <x:c r="A148" s="170" t="str">
        <x:f>IF(ROWS($A$5:A148)&lt;=COUNTA('Raw Decommissioning'!$B$2:$B$1000),INDEX('Raw Decommissioning'!$B$2:$B$1000,ROWS($A$5:A148)),IF(ROWS($A$5:A148)-COUNTA('Raw Decommissioning'!$B$2:$B$1000)&lt;=COUNTA('Raw Provisioning'!$B$2:$B$1000),INDEX('Raw Provisioning'!$B$2:$B$1000,ROWS($A$5:A148)-COUNTA('Raw Decommissioning'!$B$2:$B$1000)),""))</x:f>
        <x:v>CSSP10412234</x:v>
      </x:c>
      <x:c r="B148" s="170" t="str">
        <x:f>IF(A148="","",IF(ROWS($A$5:A148)&lt;=COUNTA('Raw Decommissioning'!$B$2:$B$1000),"Decommissioning","Provisioning"))</x:f>
        <x:v>Decommissioning</x:v>
      </x:c>
      <x:c r="C148" s="170" t="str">
        <x:f>IF(A148="","",IF(B148="Decommissioning",IFERROR(INDEX('Raw Decommissioning'!$E$2:$E$1000,MATCH(A148,'Raw Decommissioning'!$B$2:$B$1000,0)),"Missing from latest raw"),IFERROR(INDEX('Raw Provisioning'!$E$2:$E$1000,MATCH(A148,'Raw Provisioning'!$B$2:$B$1000,0)),"Missing from latest raw")))</x:f>
        <x:v>cancelled</x:v>
      </x:c>
      <x:c r="D148" s="171" t="n">
        <x:f>IF(A148="","",'Refresh Control'!$B$4)</x:f>
        <x:v>46254</x:v>
      </x:c>
      <x:c r="E148" s="171" t="n">
        <x:f>IF(A148="","",IF(B148="Decommissioning",INDEX('Raw Decommissioning'!$F$2:$F$1000,ROWS($A$5:A148)),INDEX('Raw Provisioning'!$F$2:$F$1000,ROWS($A$5:A148)-COUNTA('Raw Decommissioning'!$B$2:$B$1000))))</x:f>
        <x:v>46091.41399354167</x:v>
      </x:c>
      <x:c r="F148" s="171" t="n">
        <x:f>IF(A148="","",IF(B148="Decommissioning",INDEX('Raw Decommissioning'!$G$2:$G$1000,ROWS($A$5:A148)),INDEX('Raw Provisioning'!$H$2:$H$1000,ROWS($A$5:A148)-COUNTA('Raw Decommissioning'!$B$2:$B$1000))))</x:f>
        <x:v>46091.4155815162</x:v>
      </x:c>
      <x:c r="G148" s="170" t="str">
        <x:f>IF(A148="","",IF(B148="Decommissioning",INDEX('Raw Decommissioning'!$I$2:$I$1000,ROWS($A$5:A148)),INDEX('Raw Provisioning'!$J$2:$J$1000,ROWS($A$5:A148)-COUNTA('Raw Decommissioning'!$B$2:$B$1000))))</x:f>
        <x:v>Static Equipment Analytic Library - SEAL</x:v>
      </x:c>
      <x:c r="H148" s="170" t="str">
        <x:f>IF(A148="","",IF(B148="Decommissioning",INDEX('Raw Decommissioning'!$J$2:$J$1000,ROWS($A$5:A148)),INDEX('Raw Provisioning'!$L$2:$L$1000,ROWS($A$5:A148)-COUNTA('Raw Decommissioning'!$B$2:$B$1000))))</x:f>
        <x:v>Static Equipment Analytic Library (SEAL) as Upstream Static Equipment Advanced Analytical Tools for Upstream COE</x:v>
      </x:c>
      <x:c r="I148" s="170" t="str">
        <x:f>IF(A148="","",IF(B148="Decommissioning",INDEX('Raw Decommissioning'!$AL$2:$AL$1000,ROWS($A$5:A148)),INDEX('Raw Provisioning'!$R$2:$R$1000,ROWS($A$5:A148)-COUNTA('Raw Decommissioning'!$B$2:$B$1000))))</x:f>
      </x:c>
      <x:c r="J148" s="170" t="str">
        <x:f>IF(A148="","",IF(B148="Decommissioning",INDEX('Raw Decommissioning'!$AG$2:$AG$1000,ROWS($A$5:A148)),INDEX('Raw Provisioning'!$AI$2:$AI$1000,ROWS($A$5:A148)-COUNTA('Raw Decommissioning'!$B$2:$B$1000))))</x:f>
        <x:v>CCoE Operations</x:v>
      </x:c>
      <x:c r="K148" s="172" t="str">
        <x:f>IF(A148="","",IFERROR(LOOKUP(2,1/('Assignment History'!$B$5:$B$204=A148),'Assignment History'!$D$5:$D$204),IFERROR(VLOOKUP(J148,Configuration!$L$5:$M$50,2,FALSE),J148)))</x:f>
        <x:v>CCoE Operations</x:v>
      </x:c>
      <x:c r="L148" s="172" t="str">
        <x:f>IF(A148="","",IF(K148=IFERROR(VLOOKUP(J148,Configuration!$L$5:$M$50,2,FALSE),J148),"Snapshot PIC","Replacement PIC"))</x:f>
        <x:v>Snapshot PIC</x:v>
      </x:c>
      <x:c r="M148" s="172" t="n">
        <x:f>IF(A148="","",IFERROR(VLOOKUP(I148,Configuration!$O$5:$P$8,2,FALSE),Configuration!$S$6))</x:f>
        <x:v>2</x:v>
      </x:c>
      <x:c r="N148" s="172" t="str">
        <x:f>IF(A148="","",IFERROR(LOOKUP(2,1/('Scope Review'!$B$5:$B$204=A148),'Scope Review'!$G$5:$G$204),"Not Reviewed"))</x:f>
        <x:v>Not Reviewed</x:v>
      </x:c>
      <x:c r="O148" s="172" t="str">
        <x:f>IF(A148="","",IFERROR(LOOKUP(2,1/('Scope Review'!$B$5:$B$204=A148),'Scope Review'!$H$5:$H$204),""))</x:f>
      </x:c>
      <x:c r="P148" s="172" t="n">
        <x:f>IF(A148="","",IF(AND(C148="executing",N148&lt;&gt;"Confirmed OOS"),M148,0))</x:f>
        <x:v>0</x:v>
      </x:c>
      <x:c r="Q148" s="173" t="str">
        <x:f>IF(A148="","",IFERROR(LOOKUP(2,1/('Engineer Updates'!$B$5:$B$704=A148),'Engineer Updates'!$A$5:$A$704),""))</x:f>
      </x:c>
      <x:c r="R148" s="172" t="str">
        <x:f>IF(A148="","",IFERROR(LOOKUP(2,1/('Engineer Updates'!$B$5:$B$704=A148),'Engineer Updates'!$H$5:$H$704),""))</x:f>
      </x:c>
      <x:c r="S148" s="172" t="str">
        <x:f>IF(A148="","",IFERROR(LOOKUP(2,1/('Engineer Updates'!$B$5:$B$704=A148),'Engineer Updates'!$G$5:$G$704),""))</x:f>
      </x:c>
      <x:c r="T148" s="172" t="str">
        <x:f>IF(A148="","",IFERROR(LOOKUP(2,1/('Engineer Updates'!$B$5:$B$704=A148),'Engineer Updates'!$I$5:$I$704),""))</x:f>
      </x:c>
      <x:c r="U148" s="172" t="str">
        <x:f>IF(A148="","",IFERROR(LOOKUP(2,1/('Engineer Updates'!$B$5:$B$704=A148),'Engineer Updates'!$J$5:$J$704),""))</x:f>
      </x:c>
      <x:c r="V148" s="172" t="str">
        <x:f>IF(A148="","",IFERROR(LOOKUP(2,1/('Engineer Updates'!$B$5:$B$704=A148),'Engineer Updates'!$K$5:$K$704),""))</x:f>
      </x:c>
      <x:c r="W148" s="174" t="str">
        <x:f>IF(A148="","",IFERROR(LOOKUP(2,1/('Engineer Updates'!$B$5:$B$704=A148),'Engineer Updates'!$L$5:$L$704),""))</x:f>
      </x:c>
      <x:c r="X148" s="170" t="str">
        <x:f>IF(A148="","",IF(C148="completed","Completed in CSSP",IF(AND(C148="executing",ISERROR(SEARCH("@",K148))),"Executing without named engineer",IF(AND(N148="Confirmed OOS",C148="executing"),"Confirmed OOS still executing",""))))</x:f>
      </x:c>
      <x:c r="Y148" s="170" t="str">
        <x:f>IF(A148="","",IF(B148="Decommissioning","Raw Decommissioning","Raw Provisioning"))</x:f>
        <x:v>Raw Decommissioning</x:v>
      </x:c>
      <x:c r="Z148" s="170" t="str">
        <x:f>IF(A148="","",IF(OR(C148="executing",C148="processing"),"Yes","No"))</x:f>
        <x:v>No</x:v>
      </x:c>
    </x:row>
    <x:row r="149">
      <x:c r="A149" s="170" t="str">
        <x:f>IF(ROWS($A$5:A149)&lt;=COUNTA('Raw Decommissioning'!$B$2:$B$1000),INDEX('Raw Decommissioning'!$B$2:$B$1000,ROWS($A$5:A149)),IF(ROWS($A$5:A149)-COUNTA('Raw Decommissioning'!$B$2:$B$1000)&lt;=COUNTA('Raw Provisioning'!$B$2:$B$1000),INDEX('Raw Provisioning'!$B$2:$B$1000,ROWS($A$5:A149)-COUNTA('Raw Decommissioning'!$B$2:$B$1000)),""))</x:f>
        <x:v>CSSP10850861</x:v>
      </x:c>
      <x:c r="B149" s="170" t="str">
        <x:f>IF(A149="","",IF(ROWS($A$5:A149)&lt;=COUNTA('Raw Decommissioning'!$B$2:$B$1000),"Decommissioning","Provisioning"))</x:f>
        <x:v>Decommissioning</x:v>
      </x:c>
      <x:c r="C149" s="170" t="str">
        <x:f>IF(A149="","",IF(B149="Decommissioning",IFERROR(INDEX('Raw Decommissioning'!$E$2:$E$1000,MATCH(A149,'Raw Decommissioning'!$B$2:$B$1000,0)),"Missing from latest raw"),IFERROR(INDEX('Raw Provisioning'!$E$2:$E$1000,MATCH(A149,'Raw Provisioning'!$B$2:$B$1000,0)),"Missing from latest raw")))</x:f>
        <x:v>cancelled</x:v>
      </x:c>
      <x:c r="D149" s="171" t="n">
        <x:f>IF(A149="","",'Refresh Control'!$B$4)</x:f>
        <x:v>46254</x:v>
      </x:c>
      <x:c r="E149" s="171" t="n">
        <x:f>IF(A149="","",IF(B149="Decommissioning",INDEX('Raw Decommissioning'!$F$2:$F$1000,ROWS($A$5:A149)),INDEX('Raw Provisioning'!$F$2:$F$1000,ROWS($A$5:A149)-COUNTA('Raw Decommissioning'!$B$2:$B$1000))))</x:f>
        <x:v>46092.34172646991</x:v>
      </x:c>
      <x:c r="F149" s="171" t="n">
        <x:f>IF(A149="","",IF(B149="Decommissioning",INDEX('Raw Decommissioning'!$G$2:$G$1000,ROWS($A$5:A149)),INDEX('Raw Provisioning'!$H$2:$H$1000,ROWS($A$5:A149)-COUNTA('Raw Decommissioning'!$B$2:$B$1000))))</x:f>
        <x:v>46092.36049976852</x:v>
      </x:c>
      <x:c r="G149" s="170" t="str">
        <x:f>IF(A149="","",IF(B149="Decommissioning",INDEX('Raw Decommissioning'!$I$2:$I$1000,ROWS($A$5:A149)),INDEX('Raw Provisioning'!$J$2:$J$1000,ROWS($A$5:A149)-COUNTA('Raw Decommissioning'!$B$2:$B$1000))))</x:f>
        <x:v>Wells DROID</x:v>
      </x:c>
      <x:c r="H149" s="170" t="str">
        <x:f>IF(A149="","",IF(B149="Decommissioning",INDEX('Raw Decommissioning'!$J$2:$J$1000,ROWS($A$5:A149)),INDEX('Raw Provisioning'!$L$2:$L$1000,ROWS($A$5:A149)-COUNTA('Raw Decommissioning'!$B$2:$B$1000))))</x:f>
        <x:v>Cloud Migration - Wells Droid 2.0</x:v>
      </x:c>
      <x:c r="I149" s="170" t="str">
        <x:f>IF(A149="","",IF(B149="Decommissioning",INDEX('Raw Decommissioning'!$AL$2:$AL$1000,ROWS($A$5:A149)),INDEX('Raw Provisioning'!$R$2:$R$1000,ROWS($A$5:A149)-COUNTA('Raw Decommissioning'!$B$2:$B$1000))))</x:f>
      </x:c>
      <x:c r="J149" s="170" t="str">
        <x:f>IF(A149="","",IF(B149="Decommissioning",INDEX('Raw Decommissioning'!$AG$2:$AG$1000,ROWS($A$5:A149)),INDEX('Raw Provisioning'!$AI$2:$AI$1000,ROWS($A$5:A149)-COUNTA('Raw Decommissioning'!$B$2:$B$1000))))</x:f>
        <x:v>CCoE Operations</x:v>
      </x:c>
      <x:c r="K149" s="172" t="str">
        <x:f>IF(A149="","",IFERROR(LOOKUP(2,1/('Assignment History'!$B$5:$B$204=A149),'Assignment History'!$D$5:$D$204),IFERROR(VLOOKUP(J149,Configuration!$L$5:$M$50,2,FALSE),J149)))</x:f>
        <x:v>CCoE Operations</x:v>
      </x:c>
      <x:c r="L149" s="172" t="str">
        <x:f>IF(A149="","",IF(K149=IFERROR(VLOOKUP(J149,Configuration!$L$5:$M$50,2,FALSE),J149),"Snapshot PIC","Replacement PIC"))</x:f>
        <x:v>Snapshot PIC</x:v>
      </x:c>
      <x:c r="M149" s="172" t="n">
        <x:f>IF(A149="","",IFERROR(VLOOKUP(I149,Configuration!$O$5:$P$8,2,FALSE),Configuration!$S$6))</x:f>
        <x:v>2</x:v>
      </x:c>
      <x:c r="N149" s="172" t="str">
        <x:f>IF(A149="","",IFERROR(LOOKUP(2,1/('Scope Review'!$B$5:$B$204=A149),'Scope Review'!$G$5:$G$204),"Not Reviewed"))</x:f>
        <x:v>Not Reviewed</x:v>
      </x:c>
      <x:c r="O149" s="172" t="str">
        <x:f>IF(A149="","",IFERROR(LOOKUP(2,1/('Scope Review'!$B$5:$B$204=A149),'Scope Review'!$H$5:$H$204),""))</x:f>
      </x:c>
      <x:c r="P149" s="172" t="n">
        <x:f>IF(A149="","",IF(AND(C149="executing",N149&lt;&gt;"Confirmed OOS"),M149,0))</x:f>
        <x:v>0</x:v>
      </x:c>
      <x:c r="Q149" s="173" t="str">
        <x:f>IF(A149="","",IFERROR(LOOKUP(2,1/('Engineer Updates'!$B$5:$B$704=A149),'Engineer Updates'!$A$5:$A$704),""))</x:f>
      </x:c>
      <x:c r="R149" s="172" t="str">
        <x:f>IF(A149="","",IFERROR(LOOKUP(2,1/('Engineer Updates'!$B$5:$B$704=A149),'Engineer Updates'!$H$5:$H$704),""))</x:f>
      </x:c>
      <x:c r="S149" s="172" t="str">
        <x:f>IF(A149="","",IFERROR(LOOKUP(2,1/('Engineer Updates'!$B$5:$B$704=A149),'Engineer Updates'!$G$5:$G$704),""))</x:f>
      </x:c>
      <x:c r="T149" s="172" t="str">
        <x:f>IF(A149="","",IFERROR(LOOKUP(2,1/('Engineer Updates'!$B$5:$B$704=A149),'Engineer Updates'!$I$5:$I$704),""))</x:f>
      </x:c>
      <x:c r="U149" s="172" t="str">
        <x:f>IF(A149="","",IFERROR(LOOKUP(2,1/('Engineer Updates'!$B$5:$B$704=A149),'Engineer Updates'!$J$5:$J$704),""))</x:f>
      </x:c>
      <x:c r="V149" s="172" t="str">
        <x:f>IF(A149="","",IFERROR(LOOKUP(2,1/('Engineer Updates'!$B$5:$B$704=A149),'Engineer Updates'!$K$5:$K$704),""))</x:f>
      </x:c>
      <x:c r="W149" s="174" t="str">
        <x:f>IF(A149="","",IFERROR(LOOKUP(2,1/('Engineer Updates'!$B$5:$B$704=A149),'Engineer Updates'!$L$5:$L$704),""))</x:f>
      </x:c>
      <x:c r="X149" s="170" t="str">
        <x:f>IF(A149="","",IF(C149="completed","Completed in CSSP",IF(AND(C149="executing",ISERROR(SEARCH("@",K149))),"Executing without named engineer",IF(AND(N149="Confirmed OOS",C149="executing"),"Confirmed OOS still executing",""))))</x:f>
      </x:c>
      <x:c r="Y149" s="170" t="str">
        <x:f>IF(A149="","",IF(B149="Decommissioning","Raw Decommissioning","Raw Provisioning"))</x:f>
        <x:v>Raw Decommissioning</x:v>
      </x:c>
      <x:c r="Z149" s="170" t="str">
        <x:f>IF(A149="","",IF(OR(C149="executing",C149="processing"),"Yes","No"))</x:f>
        <x:v>No</x:v>
      </x:c>
    </x:row>
    <x:row r="150">
      <x:c r="A150" s="170" t="str">
        <x:f>IF(ROWS($A$5:A150)&lt;=COUNTA('Raw Decommissioning'!$B$2:$B$1000),INDEX('Raw Decommissioning'!$B$2:$B$1000,ROWS($A$5:A150)),IF(ROWS($A$5:A150)-COUNTA('Raw Decommissioning'!$B$2:$B$1000)&lt;=COUNTA('Raw Provisioning'!$B$2:$B$1000),INDEX('Raw Provisioning'!$B$2:$B$1000,ROWS($A$5:A150)-COUNTA('Raw Decommissioning'!$B$2:$B$1000)),""))</x:f>
        <x:v>CSSP10128136</x:v>
      </x:c>
      <x:c r="B150" s="170" t="str">
        <x:f>IF(A150="","",IF(ROWS($A$5:A150)&lt;=COUNTA('Raw Decommissioning'!$B$2:$B$1000),"Decommissioning","Provisioning"))</x:f>
        <x:v>Decommissioning</x:v>
      </x:c>
      <x:c r="C150" s="170" t="str">
        <x:f>IF(A150="","",IF(B150="Decommissioning",IFERROR(INDEX('Raw Decommissioning'!$E$2:$E$1000,MATCH(A150,'Raw Decommissioning'!$B$2:$B$1000,0)),"Missing from latest raw"),IFERROR(INDEX('Raw Provisioning'!$E$2:$E$1000,MATCH(A150,'Raw Provisioning'!$B$2:$B$1000,0)),"Missing from latest raw")))</x:f>
        <x:v>completed</x:v>
      </x:c>
      <x:c r="D150" s="171" t="n">
        <x:f>IF(A150="","",'Refresh Control'!$B$4)</x:f>
        <x:v>46254</x:v>
      </x:c>
      <x:c r="E150" s="171" t="n">
        <x:f>IF(A150="","",IF(B150="Decommissioning",INDEX('Raw Decommissioning'!$F$2:$F$1000,ROWS($A$5:A150)),INDEX('Raw Provisioning'!$F$2:$F$1000,ROWS($A$5:A150)-COUNTA('Raw Decommissioning'!$B$2:$B$1000))))</x:f>
        <x:v>46097.22667715278</x:v>
      </x:c>
      <x:c r="F150" s="171" t="n">
        <x:f>IF(A150="","",IF(B150="Decommissioning",INDEX('Raw Decommissioning'!$G$2:$G$1000,ROWS($A$5:A150)),INDEX('Raw Provisioning'!$H$2:$H$1000,ROWS($A$5:A150)-COUNTA('Raw Decommissioning'!$B$2:$B$1000))))</x:f>
        <x:v>46114.378272256945</x:v>
      </x:c>
      <x:c r="G150" s="170" t="str">
        <x:f>IF(A150="","",IF(B150="Decommissioning",INDEX('Raw Decommissioning'!$I$2:$I$1000,ROWS($A$5:A150)),INDEX('Raw Provisioning'!$J$2:$J$1000,ROWS($A$5:A150)-COUNTA('Raw Decommissioning'!$B$2:$B$1000))))</x:f>
        <x:v>Operations Planning-RGT2 - OPP</x:v>
      </x:c>
      <x:c r="H150" s="170" t="str">
        <x:f>IF(A150="","",IF(B150="Decommissioning",INDEX('Raw Decommissioning'!$J$2:$J$1000,ROWS($A$5:A150)),INDEX('Raw Provisioning'!$L$2:$L$1000,ROWS($A$5:A150)-COUNTA('Raw Decommissioning'!$B$2:$B$1000))))</x:f>
        <x:v>OCI MIGRATION - OPP RGT2 PRPC</x:v>
      </x:c>
      <x:c r="I150" s="170" t="str">
        <x:f>IF(A150="","",IF(B150="Decommissioning",INDEX('Raw Decommissioning'!$AL$2:$AL$1000,ROWS($A$5:A150)),INDEX('Raw Provisioning'!$R$2:$R$1000,ROWS($A$5:A150)-COUNTA('Raw Decommissioning'!$B$2:$B$1000))))</x:f>
        <x:v>M</x:v>
      </x:c>
      <x:c r="J150" s="170" t="str">
        <x:f>IF(A150="","",IF(B150="Decommissioning",INDEX('Raw Decommissioning'!$AG$2:$AG$1000,ROWS($A$5:A150)),INDEX('Raw Provisioning'!$AI$2:$AI$1000,ROWS($A$5:A150)-COUNTA('Raw Decommissioning'!$B$2:$B$1000))))</x:f>
        <x:v>azlisham.md@petronas.com</x:v>
      </x:c>
      <x:c r="K150" s="172" t="str">
        <x:f>IF(A150="","",IFERROR(LOOKUP(2,1/('Assignment History'!$B$5:$B$204=A150),'Assignment History'!$D$5:$D$204),IFERROR(VLOOKUP(J150,Configuration!$L$5:$M$50,2,FALSE),J150)))</x:f>
        <x:v>azlisham.md@petronas.com</x:v>
      </x:c>
      <x:c r="L150" s="172" t="str">
        <x:f>IF(A150="","",IF(K150=IFERROR(VLOOKUP(J150,Configuration!$L$5:$M$50,2,FALSE),J150),"Snapshot PIC","Replacement PIC"))</x:f>
        <x:v>Snapshot PIC</x:v>
      </x:c>
      <x:c r="M150" s="172" t="n">
        <x:f>IF(A150="","",IFERROR(VLOOKUP(I150,Configuration!$O$5:$P$8,2,FALSE),Configuration!$S$6))</x:f>
        <x:v>2</x:v>
      </x:c>
      <x:c r="N150" s="172" t="str">
        <x:f>IF(A150="","",IFERROR(LOOKUP(2,1/('Scope Review'!$B$5:$B$204=A150),'Scope Review'!$G$5:$G$204),"Not Reviewed"))</x:f>
        <x:v>Not Reviewed</x:v>
      </x:c>
      <x:c r="O150" s="172" t="str">
        <x:f>IF(A150="","",IFERROR(LOOKUP(2,1/('Scope Review'!$B$5:$B$204=A150),'Scope Review'!$H$5:$H$204),""))</x:f>
      </x:c>
      <x:c r="P150" s="172" t="n">
        <x:f>IF(A150="","",IF(AND(C150="executing",N150&lt;&gt;"Confirmed OOS"),M150,0))</x:f>
        <x:v>0</x:v>
      </x:c>
      <x:c r="Q150" s="173" t="str">
        <x:f>IF(A150="","",IFERROR(LOOKUP(2,1/('Engineer Updates'!$B$5:$B$704=A150),'Engineer Updates'!$A$5:$A$704),""))</x:f>
      </x:c>
      <x:c r="R150" s="172" t="str">
        <x:f>IF(A150="","",IFERROR(LOOKUP(2,1/('Engineer Updates'!$B$5:$B$704=A150),'Engineer Updates'!$H$5:$H$704),""))</x:f>
      </x:c>
      <x:c r="S150" s="172" t="str">
        <x:f>IF(A150="","",IFERROR(LOOKUP(2,1/('Engineer Updates'!$B$5:$B$704=A150),'Engineer Updates'!$G$5:$G$704),""))</x:f>
      </x:c>
      <x:c r="T150" s="172" t="str">
        <x:f>IF(A150="","",IFERROR(LOOKUP(2,1/('Engineer Updates'!$B$5:$B$704=A150),'Engineer Updates'!$I$5:$I$704),""))</x:f>
      </x:c>
      <x:c r="U150" s="172" t="str">
        <x:f>IF(A150="","",IFERROR(LOOKUP(2,1/('Engineer Updates'!$B$5:$B$704=A150),'Engineer Updates'!$J$5:$J$704),""))</x:f>
      </x:c>
      <x:c r="V150" s="172" t="str">
        <x:f>IF(A150="","",IFERROR(LOOKUP(2,1/('Engineer Updates'!$B$5:$B$704=A150),'Engineer Updates'!$K$5:$K$704),""))</x:f>
      </x:c>
      <x:c r="W150" s="174" t="str">
        <x:f>IF(A150="","",IFERROR(LOOKUP(2,1/('Engineer Updates'!$B$5:$B$704=A150),'Engineer Updates'!$L$5:$L$704),""))</x:f>
      </x:c>
      <x:c r="X150" s="170" t="str">
        <x:f>IF(A150="","",IF(C150="completed","Completed in CSSP",IF(AND(C150="executing",ISERROR(SEARCH("@",K150))),"Executing without named engineer",IF(AND(N150="Confirmed OOS",C150="executing"),"Confirmed OOS still executing",""))))</x:f>
        <x:v>Completed in CSSP</x:v>
      </x:c>
      <x:c r="Y150" s="170" t="str">
        <x:f>IF(A150="","",IF(B150="Decommissioning","Raw Decommissioning","Raw Provisioning"))</x:f>
        <x:v>Raw Decommissioning</x:v>
      </x:c>
      <x:c r="Z150" s="170" t="str">
        <x:f>IF(A150="","",IF(OR(C150="executing",C150="processing"),"Yes","No"))</x:f>
        <x:v>No</x:v>
      </x:c>
    </x:row>
    <x:row r="151">
      <x:c r="A151" s="170" t="str">
        <x:f>IF(ROWS($A$5:A151)&lt;=COUNTA('Raw Decommissioning'!$B$2:$B$1000),INDEX('Raw Decommissioning'!$B$2:$B$1000,ROWS($A$5:A151)),IF(ROWS($A$5:A151)-COUNTA('Raw Decommissioning'!$B$2:$B$1000)&lt;=COUNTA('Raw Provisioning'!$B$2:$B$1000),INDEX('Raw Provisioning'!$B$2:$B$1000,ROWS($A$5:A151)-COUNTA('Raw Decommissioning'!$B$2:$B$1000)),""))</x:f>
        <x:v>CSSP10778403</x:v>
      </x:c>
      <x:c r="B151" s="170" t="str">
        <x:f>IF(A151="","",IF(ROWS($A$5:A151)&lt;=COUNTA('Raw Decommissioning'!$B$2:$B$1000),"Decommissioning","Provisioning"))</x:f>
        <x:v>Decommissioning</x:v>
      </x:c>
      <x:c r="C151" s="170" t="str">
        <x:f>IF(A151="","",IF(B151="Decommissioning",IFERROR(INDEX('Raw Decommissioning'!$E$2:$E$1000,MATCH(A151,'Raw Decommissioning'!$B$2:$B$1000,0)),"Missing from latest raw"),IFERROR(INDEX('Raw Provisioning'!$E$2:$E$1000,MATCH(A151,'Raw Provisioning'!$B$2:$B$1000,0)),"Missing from latest raw")))</x:f>
        <x:v>completed</x:v>
      </x:c>
      <x:c r="D151" s="171" t="n">
        <x:f>IF(A151="","",'Refresh Control'!$B$4)</x:f>
        <x:v>46254</x:v>
      </x:c>
      <x:c r="E151" s="171" t="n">
        <x:f>IF(A151="","",IF(B151="Decommissioning",INDEX('Raw Decommissioning'!$F$2:$F$1000,ROWS($A$5:A151)),INDEX('Raw Provisioning'!$F$2:$F$1000,ROWS($A$5:A151)-COUNTA('Raw Decommissioning'!$B$2:$B$1000))))</x:f>
        <x:v>46097.32502586806</x:v>
      </x:c>
      <x:c r="F151" s="171" t="n">
        <x:f>IF(A151="","",IF(B151="Decommissioning",INDEX('Raw Decommissioning'!$G$2:$G$1000,ROWS($A$5:A151)),INDEX('Raw Provisioning'!$H$2:$H$1000,ROWS($A$5:A151)-COUNTA('Raw Decommissioning'!$B$2:$B$1000))))</x:f>
        <x:v>46111.1324958912</x:v>
      </x:c>
      <x:c r="G151" s="170" t="str">
        <x:f>IF(A151="","",IF(B151="Decommissioning",INDEX('Raw Decommissioning'!$I$2:$I$1000,ROWS($A$5:A151)),INDEX('Raw Provisioning'!$J$2:$J$1000,ROWS($A$5:A151)-COUNTA('Raw Decommissioning'!$B$2:$B$1000))))</x:f>
        <x:v>ArBiTra PTLCL</x:v>
      </x:c>
      <x:c r="H151" s="170" t="str">
        <x:f>IF(A151="","",IF(B151="Decommissioning",INDEX('Raw Decommissioning'!$J$2:$J$1000,ROWS($A$5:A151)),INDEX('Raw Provisioning'!$L$2:$L$1000,ROWS($A$5:A151)-COUNTA('Raw Decommissioning'!$B$2:$B$1000))))</x:f>
        <x:v>Professional Service, Software License and Infra for ArBiTra to PTLCL 2022-2023</x:v>
      </x:c>
      <x:c r="I151" s="170" t="str">
        <x:f>IF(A151="","",IF(B151="Decommissioning",INDEX('Raw Decommissioning'!$AL$2:$AL$1000,ROWS($A$5:A151)),INDEX('Raw Provisioning'!$R$2:$R$1000,ROWS($A$5:A151)-COUNTA('Raw Decommissioning'!$B$2:$B$1000))))</x:f>
        <x:v>S</x:v>
      </x:c>
      <x:c r="J151" s="170" t="str">
        <x:f>IF(A151="","",IF(B151="Decommissioning",INDEX('Raw Decommissioning'!$AG$2:$AG$1000,ROWS($A$5:A151)),INDEX('Raw Provisioning'!$AI$2:$AI$1000,ROWS($A$5:A151)-COUNTA('Raw Decommissioning'!$B$2:$B$1000))))</x:f>
        <x:v>azwan.badari@petronas.com</x:v>
      </x:c>
      <x:c r="K151" s="172" t="str">
        <x:f>IF(A151="","",IFERROR(LOOKUP(2,1/('Assignment History'!$B$5:$B$204=A151),'Assignment History'!$D$5:$D$204),IFERROR(VLOOKUP(J151,Configuration!$L$5:$M$50,2,FALSE),J151)))</x:f>
        <x:v>azwan.badari@petronas.com</x:v>
      </x:c>
      <x:c r="L151" s="172" t="str">
        <x:f>IF(A151="","",IF(K151=IFERROR(VLOOKUP(J151,Configuration!$L$5:$M$50,2,FALSE),J151),"Snapshot PIC","Replacement PIC"))</x:f>
        <x:v>Snapshot PIC</x:v>
      </x:c>
      <x:c r="M151" s="172" t="n">
        <x:f>IF(A151="","",IFERROR(VLOOKUP(I151,Configuration!$O$5:$P$8,2,FALSE),Configuration!$S$6))</x:f>
        <x:v>1</x:v>
      </x:c>
      <x:c r="N151" s="172" t="str">
        <x:f>IF(A151="","",IFERROR(LOOKUP(2,1/('Scope Review'!$B$5:$B$204=A151),'Scope Review'!$G$5:$G$204),"Not Reviewed"))</x:f>
        <x:v>Not Reviewed</x:v>
      </x:c>
      <x:c r="O151" s="172" t="str">
        <x:f>IF(A151="","",IFERROR(LOOKUP(2,1/('Scope Review'!$B$5:$B$204=A151),'Scope Review'!$H$5:$H$204),""))</x:f>
      </x:c>
      <x:c r="P151" s="172" t="n">
        <x:f>IF(A151="","",IF(AND(C151="executing",N151&lt;&gt;"Confirmed OOS"),M151,0))</x:f>
        <x:v>0</x:v>
      </x:c>
      <x:c r="Q151" s="173" t="str">
        <x:f>IF(A151="","",IFERROR(LOOKUP(2,1/('Engineer Updates'!$B$5:$B$704=A151),'Engineer Updates'!$A$5:$A$704),""))</x:f>
      </x:c>
      <x:c r="R151" s="172" t="str">
        <x:f>IF(A151="","",IFERROR(LOOKUP(2,1/('Engineer Updates'!$B$5:$B$704=A151),'Engineer Updates'!$H$5:$H$704),""))</x:f>
      </x:c>
      <x:c r="S151" s="172" t="str">
        <x:f>IF(A151="","",IFERROR(LOOKUP(2,1/('Engineer Updates'!$B$5:$B$704=A151),'Engineer Updates'!$G$5:$G$704),""))</x:f>
      </x:c>
      <x:c r="T151" s="172" t="str">
        <x:f>IF(A151="","",IFERROR(LOOKUP(2,1/('Engineer Updates'!$B$5:$B$704=A151),'Engineer Updates'!$I$5:$I$704),""))</x:f>
      </x:c>
      <x:c r="U151" s="172" t="str">
        <x:f>IF(A151="","",IFERROR(LOOKUP(2,1/('Engineer Updates'!$B$5:$B$704=A151),'Engineer Updates'!$J$5:$J$704),""))</x:f>
      </x:c>
      <x:c r="V151" s="172" t="str">
        <x:f>IF(A151="","",IFERROR(LOOKUP(2,1/('Engineer Updates'!$B$5:$B$704=A151),'Engineer Updates'!$K$5:$K$704),""))</x:f>
      </x:c>
      <x:c r="W151" s="174" t="str">
        <x:f>IF(A151="","",IFERROR(LOOKUP(2,1/('Engineer Updates'!$B$5:$B$704=A151),'Engineer Updates'!$L$5:$L$704),""))</x:f>
      </x:c>
      <x:c r="X151" s="170" t="str">
        <x:f>IF(A151="","",IF(C151="completed","Completed in CSSP",IF(AND(C151="executing",ISERROR(SEARCH("@",K151))),"Executing without named engineer",IF(AND(N151="Confirmed OOS",C151="executing"),"Confirmed OOS still executing",""))))</x:f>
        <x:v>Completed in CSSP</x:v>
      </x:c>
      <x:c r="Y151" s="170" t="str">
        <x:f>IF(A151="","",IF(B151="Decommissioning","Raw Decommissioning","Raw Provisioning"))</x:f>
        <x:v>Raw Decommissioning</x:v>
      </x:c>
      <x:c r="Z151" s="170" t="str">
        <x:f>IF(A151="","",IF(OR(C151="executing",C151="processing"),"Yes","No"))</x:f>
        <x:v>No</x:v>
      </x:c>
    </x:row>
    <x:row r="152">
      <x:c r="A152" s="170" t="str">
        <x:f>IF(ROWS($A$5:A152)&lt;=COUNTA('Raw Decommissioning'!$B$2:$B$1000),INDEX('Raw Decommissioning'!$B$2:$B$1000,ROWS($A$5:A152)),IF(ROWS($A$5:A152)-COUNTA('Raw Decommissioning'!$B$2:$B$1000)&lt;=COUNTA('Raw Provisioning'!$B$2:$B$1000),INDEX('Raw Provisioning'!$B$2:$B$1000,ROWS($A$5:A152)-COUNTA('Raw Decommissioning'!$B$2:$B$1000)),""))</x:f>
        <x:v>CSSP10179535</x:v>
      </x:c>
      <x:c r="B152" s="170" t="str">
        <x:f>IF(A152="","",IF(ROWS($A$5:A152)&lt;=COUNTA('Raw Decommissioning'!$B$2:$B$1000),"Decommissioning","Provisioning"))</x:f>
        <x:v>Decommissioning</x:v>
      </x:c>
      <x:c r="C152" s="170" t="str">
        <x:f>IF(A152="","",IF(B152="Decommissioning",IFERROR(INDEX('Raw Decommissioning'!$E$2:$E$1000,MATCH(A152,'Raw Decommissioning'!$B$2:$B$1000,0)),"Missing from latest raw"),IFERROR(INDEX('Raw Provisioning'!$E$2:$E$1000,MATCH(A152,'Raw Provisioning'!$B$2:$B$1000,0)),"Missing from latest raw")))</x:f>
        <x:v>completed</x:v>
      </x:c>
      <x:c r="D152" s="171" t="n">
        <x:f>IF(A152="","",'Refresh Control'!$B$4)</x:f>
        <x:v>46254</x:v>
      </x:c>
      <x:c r="E152" s="171" t="n">
        <x:f>IF(A152="","",IF(B152="Decommissioning",INDEX('Raw Decommissioning'!$F$2:$F$1000,ROWS($A$5:A152)),INDEX('Raw Provisioning'!$F$2:$F$1000,ROWS($A$5:A152)-COUNTA('Raw Decommissioning'!$B$2:$B$1000))))</x:f>
        <x:v>46098.104137256945</x:v>
      </x:c>
      <x:c r="F152" s="171" t="n">
        <x:f>IF(A152="","",IF(B152="Decommissioning",INDEX('Raw Decommissioning'!$G$2:$G$1000,ROWS($A$5:A152)),INDEX('Raw Provisioning'!$H$2:$H$1000,ROWS($A$5:A152)-COUNTA('Raw Decommissioning'!$B$2:$B$1000))))</x:f>
        <x:v>46136.780996180554</x:v>
      </x:c>
      <x:c r="G152" s="170" t="str">
        <x:f>IF(A152="","",IF(B152="Decommissioning",INDEX('Raw Decommissioning'!$I$2:$I$1000,ROWS($A$5:A152)),INDEX('Raw Provisioning'!$J$2:$J$1000,ROWS($A$5:A152)-COUNTA('Raw Decommissioning'!$B$2:$B$1000))))</x:f>
        <x:v>Upstream HSE - UHSE Online</x:v>
      </x:c>
      <x:c r="H152" s="170" t="str">
        <x:f>IF(A152="","",IF(B152="Decommissioning",INDEX('Raw Decommissioning'!$J$2:$J$1000,ROWS($A$5:A152)),INDEX('Raw Provisioning'!$L$2:$L$1000,ROWS($A$5:A152)-COUNTA('Raw Decommissioning'!$B$2:$B$1000))))</x:f>
        <x:v>Cloud Migration Program - UHSE Online Apps</x:v>
      </x:c>
      <x:c r="I152" s="170" t="str">
        <x:f>IF(A152="","",IF(B152="Decommissioning",INDEX('Raw Decommissioning'!$AL$2:$AL$1000,ROWS($A$5:A152)),INDEX('Raw Provisioning'!$R$2:$R$1000,ROWS($A$5:A152)-COUNTA('Raw Decommissioning'!$B$2:$B$1000))))</x:f>
        <x:v>M</x:v>
      </x:c>
      <x:c r="J152" s="170" t="str">
        <x:f>IF(A152="","",IF(B152="Decommissioning",INDEX('Raw Decommissioning'!$AG$2:$AG$1000,ROWS($A$5:A152)),INDEX('Raw Provisioning'!$AI$2:$AI$1000,ROWS($A$5:A152)-COUNTA('Raw Decommissioning'!$B$2:$B$1000))))</x:f>
        <x:v>azlisham.md@petronas.com</x:v>
      </x:c>
      <x:c r="K152" s="172" t="str">
        <x:f>IF(A152="","",IFERROR(LOOKUP(2,1/('Assignment History'!$B$5:$B$204=A152),'Assignment History'!$D$5:$D$204),IFERROR(VLOOKUP(J152,Configuration!$L$5:$M$50,2,FALSE),J152)))</x:f>
        <x:v>azlisham.md@petronas.com</x:v>
      </x:c>
      <x:c r="L152" s="172" t="str">
        <x:f>IF(A152="","",IF(K152=IFERROR(VLOOKUP(J152,Configuration!$L$5:$M$50,2,FALSE),J152),"Snapshot PIC","Replacement PIC"))</x:f>
        <x:v>Snapshot PIC</x:v>
      </x:c>
      <x:c r="M152" s="172" t="n">
        <x:f>IF(A152="","",IFERROR(VLOOKUP(I152,Configuration!$O$5:$P$8,2,FALSE),Configuration!$S$6))</x:f>
        <x:v>2</x:v>
      </x:c>
      <x:c r="N152" s="172" t="str">
        <x:f>IF(A152="","",IFERROR(LOOKUP(2,1/('Scope Review'!$B$5:$B$204=A152),'Scope Review'!$G$5:$G$204),"Not Reviewed"))</x:f>
        <x:v>Not Reviewed</x:v>
      </x:c>
      <x:c r="O152" s="172" t="str">
        <x:f>IF(A152="","",IFERROR(LOOKUP(2,1/('Scope Review'!$B$5:$B$204=A152),'Scope Review'!$H$5:$H$204),""))</x:f>
      </x:c>
      <x:c r="P152" s="172" t="n">
        <x:f>IF(A152="","",IF(AND(C152="executing",N152&lt;&gt;"Confirmed OOS"),M152,0))</x:f>
        <x:v>0</x:v>
      </x:c>
      <x:c r="Q152" s="173" t="str">
        <x:f>IF(A152="","",IFERROR(LOOKUP(2,1/('Engineer Updates'!$B$5:$B$704=A152),'Engineer Updates'!$A$5:$A$704),""))</x:f>
      </x:c>
      <x:c r="R152" s="172" t="str">
        <x:f>IF(A152="","",IFERROR(LOOKUP(2,1/('Engineer Updates'!$B$5:$B$704=A152),'Engineer Updates'!$H$5:$H$704),""))</x:f>
      </x:c>
      <x:c r="S152" s="172" t="str">
        <x:f>IF(A152="","",IFERROR(LOOKUP(2,1/('Engineer Updates'!$B$5:$B$704=A152),'Engineer Updates'!$G$5:$G$704),""))</x:f>
      </x:c>
      <x:c r="T152" s="172" t="str">
        <x:f>IF(A152="","",IFERROR(LOOKUP(2,1/('Engineer Updates'!$B$5:$B$704=A152),'Engineer Updates'!$I$5:$I$704),""))</x:f>
      </x:c>
      <x:c r="U152" s="172" t="str">
        <x:f>IF(A152="","",IFERROR(LOOKUP(2,1/('Engineer Updates'!$B$5:$B$704=A152),'Engineer Updates'!$J$5:$J$704),""))</x:f>
      </x:c>
      <x:c r="V152" s="172" t="str">
        <x:f>IF(A152="","",IFERROR(LOOKUP(2,1/('Engineer Updates'!$B$5:$B$704=A152),'Engineer Updates'!$K$5:$K$704),""))</x:f>
      </x:c>
      <x:c r="W152" s="174" t="str">
        <x:f>IF(A152="","",IFERROR(LOOKUP(2,1/('Engineer Updates'!$B$5:$B$704=A152),'Engineer Updates'!$L$5:$L$704),""))</x:f>
      </x:c>
      <x:c r="X152" s="170" t="str">
        <x:f>IF(A152="","",IF(C152="completed","Completed in CSSP",IF(AND(C152="executing",ISERROR(SEARCH("@",K152))),"Executing without named engineer",IF(AND(N152="Confirmed OOS",C152="executing"),"Confirmed OOS still executing",""))))</x:f>
        <x:v>Completed in CSSP</x:v>
      </x:c>
      <x:c r="Y152" s="170" t="str">
        <x:f>IF(A152="","",IF(B152="Decommissioning","Raw Decommissioning","Raw Provisioning"))</x:f>
        <x:v>Raw Decommissioning</x:v>
      </x:c>
      <x:c r="Z152" s="170" t="str">
        <x:f>IF(A152="","",IF(OR(C152="executing",C152="processing"),"Yes","No"))</x:f>
        <x:v>No</x:v>
      </x:c>
    </x:row>
    <x:row r="153">
      <x:c r="A153" s="170" t="str">
        <x:f>IF(ROWS($A$5:A153)&lt;=COUNTA('Raw Decommissioning'!$B$2:$B$1000),INDEX('Raw Decommissioning'!$B$2:$B$1000,ROWS($A$5:A153)),IF(ROWS($A$5:A153)-COUNTA('Raw Decommissioning'!$B$2:$B$1000)&lt;=COUNTA('Raw Provisioning'!$B$2:$B$1000),INDEX('Raw Provisioning'!$B$2:$B$1000,ROWS($A$5:A153)-COUNTA('Raw Decommissioning'!$B$2:$B$1000)),""))</x:f>
        <x:v>CSSP10552164</x:v>
      </x:c>
      <x:c r="B153" s="170" t="str">
        <x:f>IF(A153="","",IF(ROWS($A$5:A153)&lt;=COUNTA('Raw Decommissioning'!$B$2:$B$1000),"Decommissioning","Provisioning"))</x:f>
        <x:v>Decommissioning</x:v>
      </x:c>
      <x:c r="C153" s="170" t="str">
        <x:f>IF(A153="","",IF(B153="Decommissioning",IFERROR(INDEX('Raw Decommissioning'!$E$2:$E$1000,MATCH(A153,'Raw Decommissioning'!$B$2:$B$1000,0)),"Missing from latest raw"),IFERROR(INDEX('Raw Provisioning'!$E$2:$E$1000,MATCH(A153,'Raw Provisioning'!$B$2:$B$1000,0)),"Missing from latest raw")))</x:f>
        <x:v>completed</x:v>
      </x:c>
      <x:c r="D153" s="171" t="n">
        <x:f>IF(A153="","",'Refresh Control'!$B$4)</x:f>
        <x:v>46254</x:v>
      </x:c>
      <x:c r="E153" s="171" t="n">
        <x:f>IF(A153="","",IF(B153="Decommissioning",INDEX('Raw Decommissioning'!$F$2:$F$1000,ROWS($A$5:A153)),INDEX('Raw Provisioning'!$F$2:$F$1000,ROWS($A$5:A153)-COUNTA('Raw Decommissioning'!$B$2:$B$1000))))</x:f>
        <x:v>46099.3277591088</x:v>
      </x:c>
      <x:c r="F153" s="171" t="n">
        <x:f>IF(A153="","",IF(B153="Decommissioning",INDEX('Raw Decommissioning'!$G$2:$G$1000,ROWS($A$5:A153)),INDEX('Raw Provisioning'!$H$2:$H$1000,ROWS($A$5:A153)-COUNTA('Raw Decommissioning'!$B$2:$B$1000))))</x:f>
        <x:v>46108.002864155096</x:v>
      </x:c>
      <x:c r="G153" s="170" t="str">
        <x:f>IF(A153="","",IF(B153="Decommissioning",INDEX('Raw Decommissioning'!$I$2:$I$1000,ROWS($A$5:A153)),INDEX('Raw Provisioning'!$J$2:$J$1000,ROWS($A$5:A153)-COUNTA('Raw Decommissioning'!$B$2:$B$1000))))</x:f>
        <x:v>UAUC HSSE</x:v>
      </x:c>
      <x:c r="H153" s="170" t="str">
        <x:f>IF(A153="","",IF(B153="Decommissioning",INDEX('Raw Decommissioning'!$J$2:$J$1000,ROWS($A$5:A153)),INDEX('Raw Provisioning'!$L$2:$L$1000,ROWS($A$5:A153)-COUNTA('Raw Decommissioning'!$B$2:$B$1000))))</x:f>
        <x:v>Implementation of PETRONAS HSSE UAUC Module for GHSSE</x:v>
      </x:c>
      <x:c r="I153" s="170" t="str">
        <x:f>IF(A153="","",IF(B153="Decommissioning",INDEX('Raw Decommissioning'!$AL$2:$AL$1000,ROWS($A$5:A153)),INDEX('Raw Provisioning'!$R$2:$R$1000,ROWS($A$5:A153)-COUNTA('Raw Decommissioning'!$B$2:$B$1000))))</x:f>
        <x:v>S</x:v>
      </x:c>
      <x:c r="J153" s="170" t="str">
        <x:f>IF(A153="","",IF(B153="Decommissioning",INDEX('Raw Decommissioning'!$AG$2:$AG$1000,ROWS($A$5:A153)),INDEX('Raw Provisioning'!$AI$2:$AI$1000,ROWS($A$5:A153)-COUNTA('Raw Decommissioning'!$B$2:$B$1000))))</x:f>
        <x:v>azlisham.md@petronas.com</x:v>
      </x:c>
      <x:c r="K153" s="172" t="str">
        <x:f>IF(A153="","",IFERROR(LOOKUP(2,1/('Assignment History'!$B$5:$B$204=A153),'Assignment History'!$D$5:$D$204),IFERROR(VLOOKUP(J153,Configuration!$L$5:$M$50,2,FALSE),J153)))</x:f>
        <x:v>azlisham.md@petronas.com</x:v>
      </x:c>
      <x:c r="L153" s="172" t="str">
        <x:f>IF(A153="","",IF(K153=IFERROR(VLOOKUP(J153,Configuration!$L$5:$M$50,2,FALSE),J153),"Snapshot PIC","Replacement PIC"))</x:f>
        <x:v>Snapshot PIC</x:v>
      </x:c>
      <x:c r="M153" s="172" t="n">
        <x:f>IF(A153="","",IFERROR(VLOOKUP(I153,Configuration!$O$5:$P$8,2,FALSE),Configuration!$S$6))</x:f>
        <x:v>1</x:v>
      </x:c>
      <x:c r="N153" s="172" t="str">
        <x:f>IF(A153="","",IFERROR(LOOKUP(2,1/('Scope Review'!$B$5:$B$204=A153),'Scope Review'!$G$5:$G$204),"Not Reviewed"))</x:f>
        <x:v>Not Reviewed</x:v>
      </x:c>
      <x:c r="O153" s="172" t="str">
        <x:f>IF(A153="","",IFERROR(LOOKUP(2,1/('Scope Review'!$B$5:$B$204=A153),'Scope Review'!$H$5:$H$204),""))</x:f>
      </x:c>
      <x:c r="P153" s="172" t="n">
        <x:f>IF(A153="","",IF(AND(C153="executing",N153&lt;&gt;"Confirmed OOS"),M153,0))</x:f>
        <x:v>0</x:v>
      </x:c>
      <x:c r="Q153" s="173" t="str">
        <x:f>IF(A153="","",IFERROR(LOOKUP(2,1/('Engineer Updates'!$B$5:$B$704=A153),'Engineer Updates'!$A$5:$A$704),""))</x:f>
      </x:c>
      <x:c r="R153" s="172" t="str">
        <x:f>IF(A153="","",IFERROR(LOOKUP(2,1/('Engineer Updates'!$B$5:$B$704=A153),'Engineer Updates'!$H$5:$H$704),""))</x:f>
      </x:c>
      <x:c r="S153" s="172" t="str">
        <x:f>IF(A153="","",IFERROR(LOOKUP(2,1/('Engineer Updates'!$B$5:$B$704=A153),'Engineer Updates'!$G$5:$G$704),""))</x:f>
      </x:c>
      <x:c r="T153" s="172" t="str">
        <x:f>IF(A153="","",IFERROR(LOOKUP(2,1/('Engineer Updates'!$B$5:$B$704=A153),'Engineer Updates'!$I$5:$I$704),""))</x:f>
      </x:c>
      <x:c r="U153" s="172" t="str">
        <x:f>IF(A153="","",IFERROR(LOOKUP(2,1/('Engineer Updates'!$B$5:$B$704=A153),'Engineer Updates'!$J$5:$J$704),""))</x:f>
      </x:c>
      <x:c r="V153" s="172" t="str">
        <x:f>IF(A153="","",IFERROR(LOOKUP(2,1/('Engineer Updates'!$B$5:$B$704=A153),'Engineer Updates'!$K$5:$K$704),""))</x:f>
      </x:c>
      <x:c r="W153" s="174" t="str">
        <x:f>IF(A153="","",IFERROR(LOOKUP(2,1/('Engineer Updates'!$B$5:$B$704=A153),'Engineer Updates'!$L$5:$L$704),""))</x:f>
      </x:c>
      <x:c r="X153" s="170" t="str">
        <x:f>IF(A153="","",IF(C153="completed","Completed in CSSP",IF(AND(C153="executing",ISERROR(SEARCH("@",K153))),"Executing without named engineer",IF(AND(N153="Confirmed OOS",C153="executing"),"Confirmed OOS still executing",""))))</x:f>
        <x:v>Completed in CSSP</x:v>
      </x:c>
      <x:c r="Y153" s="170" t="str">
        <x:f>IF(A153="","",IF(B153="Decommissioning","Raw Decommissioning","Raw Provisioning"))</x:f>
        <x:v>Raw Decommissioning</x:v>
      </x:c>
      <x:c r="Z153" s="170" t="str">
        <x:f>IF(A153="","",IF(OR(C153="executing",C153="processing"),"Yes","No"))</x:f>
        <x:v>No</x:v>
      </x:c>
    </x:row>
    <x:row r="154">
      <x:c r="A154" s="170" t="str">
        <x:f>IF(ROWS($A$5:A154)&lt;=COUNTA('Raw Decommissioning'!$B$2:$B$1000),INDEX('Raw Decommissioning'!$B$2:$B$1000,ROWS($A$5:A154)),IF(ROWS($A$5:A154)-COUNTA('Raw Decommissioning'!$B$2:$B$1000)&lt;=COUNTA('Raw Provisioning'!$B$2:$B$1000),INDEX('Raw Provisioning'!$B$2:$B$1000,ROWS($A$5:A154)-COUNTA('Raw Decommissioning'!$B$2:$B$1000)),""))</x:f>
        <x:v>CSSP10825013</x:v>
      </x:c>
      <x:c r="B154" s="170" t="str">
        <x:f>IF(A154="","",IF(ROWS($A$5:A154)&lt;=COUNTA('Raw Decommissioning'!$B$2:$B$1000),"Decommissioning","Provisioning"))</x:f>
        <x:v>Decommissioning</x:v>
      </x:c>
      <x:c r="C154" s="170" t="str">
        <x:f>IF(A154="","",IF(B154="Decommissioning",IFERROR(INDEX('Raw Decommissioning'!$E$2:$E$1000,MATCH(A154,'Raw Decommissioning'!$B$2:$B$1000,0)),"Missing from latest raw"),IFERROR(INDEX('Raw Provisioning'!$E$2:$E$1000,MATCH(A154,'Raw Provisioning'!$B$2:$B$1000,0)),"Missing from latest raw")))</x:f>
        <x:v>completed</x:v>
      </x:c>
      <x:c r="D154" s="171" t="n">
        <x:f>IF(A154="","",'Refresh Control'!$B$4)</x:f>
        <x:v>46254</x:v>
      </x:c>
      <x:c r="E154" s="171" t="n">
        <x:f>IF(A154="","",IF(B154="Decommissioning",INDEX('Raw Decommissioning'!$F$2:$F$1000,ROWS($A$5:A154)),INDEX('Raw Provisioning'!$F$2:$F$1000,ROWS($A$5:A154)-COUNTA('Raw Decommissioning'!$B$2:$B$1000))))</x:f>
        <x:v>46107.05720952546</x:v>
      </x:c>
      <x:c r="F154" s="171" t="n">
        <x:f>IF(A154="","",IF(B154="Decommissioning",INDEX('Raw Decommissioning'!$G$2:$G$1000,ROWS($A$5:A154)),INDEX('Raw Provisioning'!$H$2:$H$1000,ROWS($A$5:A154)-COUNTA('Raw Decommissioning'!$B$2:$B$1000))))</x:f>
        <x:v>46112.111678472225</x:v>
      </x:c>
      <x:c r="G154" s="170" t="str">
        <x:f>IF(A154="","",IF(B154="Decommissioning",INDEX('Raw Decommissioning'!$I$2:$I$1000,ROWS($A$5:A154)),INDEX('Raw Provisioning'!$J$2:$J$1000,ROWS($A$5:A154)-COUNTA('Raw Decommissioning'!$B$2:$B$1000))))</x:f>
        <x:v>Quality Plus</x:v>
      </x:c>
      <x:c r="H154" s="170" t="str">
        <x:f>IF(A154="","",IF(B154="Decommissioning",INDEX('Raw Decommissioning'!$J$2:$J$1000,ROWS($A$5:A154)),INDEX('Raw Provisioning'!$L$2:$L$1000,ROWS($A$5:A154)-COUNTA('Raw Decommissioning'!$B$2:$B$1000))))</x:f>
        <x:v>Development of Quality+ for GPD</x:v>
      </x:c>
      <x:c r="I154" s="170" t="str">
        <x:f>IF(A154="","",IF(B154="Decommissioning",INDEX('Raw Decommissioning'!$AL$2:$AL$1000,ROWS($A$5:A154)),INDEX('Raw Provisioning'!$R$2:$R$1000,ROWS($A$5:A154)-COUNTA('Raw Decommissioning'!$B$2:$B$1000))))</x:f>
        <x:v>M</x:v>
      </x:c>
      <x:c r="J154" s="170" t="str">
        <x:f>IF(A154="","",IF(B154="Decommissioning",INDEX('Raw Decommissioning'!$AG$2:$AG$1000,ROWS($A$5:A154)),INDEX('Raw Provisioning'!$AI$2:$AI$1000,ROWS($A$5:A154)-COUNTA('Raw Decommissioning'!$B$2:$B$1000))))</x:f>
        <x:v>azwan.badari@petronas.com</x:v>
      </x:c>
      <x:c r="K154" s="172" t="str">
        <x:f>IF(A154="","",IFERROR(LOOKUP(2,1/('Assignment History'!$B$5:$B$204=A154),'Assignment History'!$D$5:$D$204),IFERROR(VLOOKUP(J154,Configuration!$L$5:$M$50,2,FALSE),J154)))</x:f>
        <x:v>azwan.badari@petronas.com</x:v>
      </x:c>
      <x:c r="L154" s="172" t="str">
        <x:f>IF(A154="","",IF(K154=IFERROR(VLOOKUP(J154,Configuration!$L$5:$M$50,2,FALSE),J154),"Snapshot PIC","Replacement PIC"))</x:f>
        <x:v>Snapshot PIC</x:v>
      </x:c>
      <x:c r="M154" s="172" t="n">
        <x:f>IF(A154="","",IFERROR(VLOOKUP(I154,Configuration!$O$5:$P$8,2,FALSE),Configuration!$S$6))</x:f>
        <x:v>2</x:v>
      </x:c>
      <x:c r="N154" s="172" t="str">
        <x:f>IF(A154="","",IFERROR(LOOKUP(2,1/('Scope Review'!$B$5:$B$204=A154),'Scope Review'!$G$5:$G$204),"Not Reviewed"))</x:f>
        <x:v>Not Reviewed</x:v>
      </x:c>
      <x:c r="O154" s="172" t="str">
        <x:f>IF(A154="","",IFERROR(LOOKUP(2,1/('Scope Review'!$B$5:$B$204=A154),'Scope Review'!$H$5:$H$204),""))</x:f>
      </x:c>
      <x:c r="P154" s="172" t="n">
        <x:f>IF(A154="","",IF(AND(C154="executing",N154&lt;&gt;"Confirmed OOS"),M154,0))</x:f>
        <x:v>0</x:v>
      </x:c>
      <x:c r="Q154" s="173" t="str">
        <x:f>IF(A154="","",IFERROR(LOOKUP(2,1/('Engineer Updates'!$B$5:$B$704=A154),'Engineer Updates'!$A$5:$A$704),""))</x:f>
      </x:c>
      <x:c r="R154" s="172" t="str">
        <x:f>IF(A154="","",IFERROR(LOOKUP(2,1/('Engineer Updates'!$B$5:$B$704=A154),'Engineer Updates'!$H$5:$H$704),""))</x:f>
      </x:c>
      <x:c r="S154" s="172" t="str">
        <x:f>IF(A154="","",IFERROR(LOOKUP(2,1/('Engineer Updates'!$B$5:$B$704=A154),'Engineer Updates'!$G$5:$G$704),""))</x:f>
      </x:c>
      <x:c r="T154" s="172" t="str">
        <x:f>IF(A154="","",IFERROR(LOOKUP(2,1/('Engineer Updates'!$B$5:$B$704=A154),'Engineer Updates'!$I$5:$I$704),""))</x:f>
      </x:c>
      <x:c r="U154" s="172" t="str">
        <x:f>IF(A154="","",IFERROR(LOOKUP(2,1/('Engineer Updates'!$B$5:$B$704=A154),'Engineer Updates'!$J$5:$J$704),""))</x:f>
      </x:c>
      <x:c r="V154" s="172" t="str">
        <x:f>IF(A154="","",IFERROR(LOOKUP(2,1/('Engineer Updates'!$B$5:$B$704=A154),'Engineer Updates'!$K$5:$K$704),""))</x:f>
      </x:c>
      <x:c r="W154" s="174" t="str">
        <x:f>IF(A154="","",IFERROR(LOOKUP(2,1/('Engineer Updates'!$B$5:$B$704=A154),'Engineer Updates'!$L$5:$L$704),""))</x:f>
      </x:c>
      <x:c r="X154" s="170" t="str">
        <x:f>IF(A154="","",IF(C154="completed","Completed in CSSP",IF(AND(C154="executing",ISERROR(SEARCH("@",K154))),"Executing without named engineer",IF(AND(N154="Confirmed OOS",C154="executing"),"Confirmed OOS still executing",""))))</x:f>
        <x:v>Completed in CSSP</x:v>
      </x:c>
      <x:c r="Y154" s="170" t="str">
        <x:f>IF(A154="","",IF(B154="Decommissioning","Raw Decommissioning","Raw Provisioning"))</x:f>
        <x:v>Raw Decommissioning</x:v>
      </x:c>
      <x:c r="Z154" s="170" t="str">
        <x:f>IF(A154="","",IF(OR(C154="executing",C154="processing"),"Yes","No"))</x:f>
        <x:v>No</x:v>
      </x:c>
    </x:row>
    <x:row r="155">
      <x:c r="A155" s="170" t="str">
        <x:f>IF(ROWS($A$5:A155)&lt;=COUNTA('Raw Decommissioning'!$B$2:$B$1000),INDEX('Raw Decommissioning'!$B$2:$B$1000,ROWS($A$5:A155)),IF(ROWS($A$5:A155)-COUNTA('Raw Decommissioning'!$B$2:$B$1000)&lt;=COUNTA('Raw Provisioning'!$B$2:$B$1000),INDEX('Raw Provisioning'!$B$2:$B$1000,ROWS($A$5:A155)-COUNTA('Raw Decommissioning'!$B$2:$B$1000)),""))</x:f>
        <x:v>CSSP10195466</x:v>
      </x:c>
      <x:c r="B155" s="170" t="str">
        <x:f>IF(A155="","",IF(ROWS($A$5:A155)&lt;=COUNTA('Raw Decommissioning'!$B$2:$B$1000),"Decommissioning","Provisioning"))</x:f>
        <x:v>Decommissioning</x:v>
      </x:c>
      <x:c r="C155" s="170" t="str">
        <x:f>IF(A155="","",IF(B155="Decommissioning",IFERROR(INDEX('Raw Decommissioning'!$E$2:$E$1000,MATCH(A155,'Raw Decommissioning'!$B$2:$B$1000,0)),"Missing from latest raw"),IFERROR(INDEX('Raw Provisioning'!$E$2:$E$1000,MATCH(A155,'Raw Provisioning'!$B$2:$B$1000,0)),"Missing from latest raw")))</x:f>
        <x:v>completed</x:v>
      </x:c>
      <x:c r="D155" s="171" t="n">
        <x:f>IF(A155="","",'Refresh Control'!$B$4)</x:f>
        <x:v>46254</x:v>
      </x:c>
      <x:c r="E155" s="171" t="n">
        <x:f>IF(A155="","",IF(B155="Decommissioning",INDEX('Raw Decommissioning'!$F$2:$F$1000,ROWS($A$5:A155)),INDEX('Raw Provisioning'!$F$2:$F$1000,ROWS($A$5:A155)-COUNTA('Raw Decommissioning'!$B$2:$B$1000))))</x:f>
        <x:v>46107.08323460648</x:v>
      </x:c>
      <x:c r="F155" s="171" t="n">
        <x:f>IF(A155="","",IF(B155="Decommissioning",INDEX('Raw Decommissioning'!$G$2:$G$1000,ROWS($A$5:A155)),INDEX('Raw Provisioning'!$H$2:$H$1000,ROWS($A$5:A155)-COUNTA('Raw Decommissioning'!$B$2:$B$1000))))</x:f>
        <x:v>46112.34570052083</x:v>
      </x:c>
      <x:c r="G155" s="170" t="str">
        <x:f>IF(A155="","",IF(B155="Decommissioning",INDEX('Raw Decommissioning'!$I$2:$I$1000,ROWS($A$5:A155)),INDEX('Raw Provisioning'!$J$2:$J$1000,ROWS($A$5:A155)-COUNTA('Raw Decommissioning'!$B$2:$B$1000))))</x:f>
        <x:v>.NET Shared Infra</x:v>
      </x:c>
      <x:c r="H155" s="170" t="str">
        <x:f>IF(A155="","",IF(B155="Decommissioning",INDEX('Raw Decommissioning'!$J$2:$J$1000,ROWS($A$5:A155)),INDEX('Raw Provisioning'!$L$2:$L$1000,ROWS($A$5:A155)-COUNTA('Raw Decommissioning'!$B$2:$B$1000))))</x:f>
        <x:v>Cloud Migration Program - .NET Shared Infra (SWE Dot Net)</x:v>
      </x:c>
      <x:c r="I155" s="170" t="str">
        <x:f>IF(A155="","",IF(B155="Decommissioning",INDEX('Raw Decommissioning'!$AL$2:$AL$1000,ROWS($A$5:A155)),INDEX('Raw Provisioning'!$R$2:$R$1000,ROWS($A$5:A155)-COUNTA('Raw Decommissioning'!$B$2:$B$1000))))</x:f>
        <x:v>M</x:v>
      </x:c>
      <x:c r="J155" s="170" t="str">
        <x:f>IF(A155="","",IF(B155="Decommissioning",INDEX('Raw Decommissioning'!$AG$2:$AG$1000,ROWS($A$5:A155)),INDEX('Raw Provisioning'!$AI$2:$AI$1000,ROWS($A$5:A155)-COUNTA('Raw Decommissioning'!$B$2:$B$1000))))</x:f>
        <x:v>azlisham.md@petronas.com</x:v>
      </x:c>
      <x:c r="K155" s="172" t="str">
        <x:f>IF(A155="","",IFERROR(LOOKUP(2,1/('Assignment History'!$B$5:$B$204=A155),'Assignment History'!$D$5:$D$204),IFERROR(VLOOKUP(J155,Configuration!$L$5:$M$50,2,FALSE),J155)))</x:f>
        <x:v>azlisham.md@petronas.com</x:v>
      </x:c>
      <x:c r="L155" s="172" t="str">
        <x:f>IF(A155="","",IF(K155=IFERROR(VLOOKUP(J155,Configuration!$L$5:$M$50,2,FALSE),J155),"Snapshot PIC","Replacement PIC"))</x:f>
        <x:v>Snapshot PIC</x:v>
      </x:c>
      <x:c r="M155" s="172" t="n">
        <x:f>IF(A155="","",IFERROR(VLOOKUP(I155,Configuration!$O$5:$P$8,2,FALSE),Configuration!$S$6))</x:f>
        <x:v>2</x:v>
      </x:c>
      <x:c r="N155" s="172" t="str">
        <x:f>IF(A155="","",IFERROR(LOOKUP(2,1/('Scope Review'!$B$5:$B$204=A155),'Scope Review'!$G$5:$G$204),"Not Reviewed"))</x:f>
        <x:v>Not Reviewed</x:v>
      </x:c>
      <x:c r="O155" s="172" t="str">
        <x:f>IF(A155="","",IFERROR(LOOKUP(2,1/('Scope Review'!$B$5:$B$204=A155),'Scope Review'!$H$5:$H$204),""))</x:f>
      </x:c>
      <x:c r="P155" s="172" t="n">
        <x:f>IF(A155="","",IF(AND(C155="executing",N155&lt;&gt;"Confirmed OOS"),M155,0))</x:f>
        <x:v>0</x:v>
      </x:c>
      <x:c r="Q155" s="173" t="str">
        <x:f>IF(A155="","",IFERROR(LOOKUP(2,1/('Engineer Updates'!$B$5:$B$704=A155),'Engineer Updates'!$A$5:$A$704),""))</x:f>
      </x:c>
      <x:c r="R155" s="172" t="str">
        <x:f>IF(A155="","",IFERROR(LOOKUP(2,1/('Engineer Updates'!$B$5:$B$704=A155),'Engineer Updates'!$H$5:$H$704),""))</x:f>
      </x:c>
      <x:c r="S155" s="172" t="str">
        <x:f>IF(A155="","",IFERROR(LOOKUP(2,1/('Engineer Updates'!$B$5:$B$704=A155),'Engineer Updates'!$G$5:$G$704),""))</x:f>
      </x:c>
      <x:c r="T155" s="172" t="str">
        <x:f>IF(A155="","",IFERROR(LOOKUP(2,1/('Engineer Updates'!$B$5:$B$704=A155),'Engineer Updates'!$I$5:$I$704),""))</x:f>
      </x:c>
      <x:c r="U155" s="172" t="str">
        <x:f>IF(A155="","",IFERROR(LOOKUP(2,1/('Engineer Updates'!$B$5:$B$704=A155),'Engineer Updates'!$J$5:$J$704),""))</x:f>
      </x:c>
      <x:c r="V155" s="172" t="str">
        <x:f>IF(A155="","",IFERROR(LOOKUP(2,1/('Engineer Updates'!$B$5:$B$704=A155),'Engineer Updates'!$K$5:$K$704),""))</x:f>
      </x:c>
      <x:c r="W155" s="174" t="str">
        <x:f>IF(A155="","",IFERROR(LOOKUP(2,1/('Engineer Updates'!$B$5:$B$704=A155),'Engineer Updates'!$L$5:$L$704),""))</x:f>
      </x:c>
      <x:c r="X155" s="170" t="str">
        <x:f>IF(A155="","",IF(C155="completed","Completed in CSSP",IF(AND(C155="executing",ISERROR(SEARCH("@",K155))),"Executing without named engineer",IF(AND(N155="Confirmed OOS",C155="executing"),"Confirmed OOS still executing",""))))</x:f>
        <x:v>Completed in CSSP</x:v>
      </x:c>
      <x:c r="Y155" s="170" t="str">
        <x:f>IF(A155="","",IF(B155="Decommissioning","Raw Decommissioning","Raw Provisioning"))</x:f>
        <x:v>Raw Decommissioning</x:v>
      </x:c>
      <x:c r="Z155" s="170" t="str">
        <x:f>IF(A155="","",IF(OR(C155="executing",C155="processing"),"Yes","No"))</x:f>
        <x:v>No</x:v>
      </x:c>
    </x:row>
    <x:row r="156">
      <x:c r="A156" s="170" t="str">
        <x:f>IF(ROWS($A$5:A156)&lt;=COUNTA('Raw Decommissioning'!$B$2:$B$1000),INDEX('Raw Decommissioning'!$B$2:$B$1000,ROWS($A$5:A156)),IF(ROWS($A$5:A156)-COUNTA('Raw Decommissioning'!$B$2:$B$1000)&lt;=COUNTA('Raw Provisioning'!$B$2:$B$1000),INDEX('Raw Provisioning'!$B$2:$B$1000,ROWS($A$5:A156)-COUNTA('Raw Decommissioning'!$B$2:$B$1000)),""))</x:f>
        <x:v>CSSP10850015</x:v>
      </x:c>
      <x:c r="B156" s="170" t="str">
        <x:f>IF(A156="","",IF(ROWS($A$5:A156)&lt;=COUNTA('Raw Decommissioning'!$B$2:$B$1000),"Decommissioning","Provisioning"))</x:f>
        <x:v>Decommissioning</x:v>
      </x:c>
      <x:c r="C156" s="170" t="str">
        <x:f>IF(A156="","",IF(B156="Decommissioning",IFERROR(INDEX('Raw Decommissioning'!$E$2:$E$1000,MATCH(A156,'Raw Decommissioning'!$B$2:$B$1000,0)),"Missing from latest raw"),IFERROR(INDEX('Raw Provisioning'!$E$2:$E$1000,MATCH(A156,'Raw Provisioning'!$B$2:$B$1000,0)),"Missing from latest raw")))</x:f>
        <x:v>completed</x:v>
      </x:c>
      <x:c r="D156" s="171" t="n">
        <x:f>IF(A156="","",'Refresh Control'!$B$4)</x:f>
        <x:v>46254</x:v>
      </x:c>
      <x:c r="E156" s="171" t="n">
        <x:f>IF(A156="","",IF(B156="Decommissioning",INDEX('Raw Decommissioning'!$F$2:$F$1000,ROWS($A$5:A156)),INDEX('Raw Provisioning'!$F$2:$F$1000,ROWS($A$5:A156)-COUNTA('Raw Decommissioning'!$B$2:$B$1000))))</x:f>
        <x:v>46108.11135622685</x:v>
      </x:c>
      <x:c r="F156" s="171" t="n">
        <x:f>IF(A156="","",IF(B156="Decommissioning",INDEX('Raw Decommissioning'!$G$2:$G$1000,ROWS($A$5:A156)),INDEX('Raw Provisioning'!$H$2:$H$1000,ROWS($A$5:A156)-COUNTA('Raw Decommissioning'!$B$2:$B$1000))))</x:f>
        <x:v>46112.090667743054</x:v>
      </x:c>
      <x:c r="G156" s="170" t="str">
        <x:f>IF(A156="","",IF(B156="Decommissioning",INDEX('Raw Decommissioning'!$I$2:$I$1000,ROWS($A$5:A156)),INDEX('Raw Provisioning'!$J$2:$J$1000,ROWS($A$5:A156)-COUNTA('Raw Decommissioning'!$B$2:$B$1000))))</x:f>
        <x:v>MMPD ICON</x:v>
      </x:c>
      <x:c r="H156" s="170" t="str">
        <x:f>IF(A156="","",IF(B156="Decommissioning",INDEX('Raw Decommissioning'!$J$2:$J$1000,ROWS($A$5:A156)),INDEX('Raw Provisioning'!$L$2:$L$1000,ROWS($A$5:A156)-COUNTA('Raw Decommissioning'!$B$2:$B$1000))))</x:f>
        <x:v>ICON</x:v>
      </x:c>
      <x:c r="I156" s="170" t="str">
        <x:f>IF(A156="","",IF(B156="Decommissioning",INDEX('Raw Decommissioning'!$AL$2:$AL$1000,ROWS($A$5:A156)),INDEX('Raw Provisioning'!$R$2:$R$1000,ROWS($A$5:A156)-COUNTA('Raw Decommissioning'!$B$2:$B$1000))))</x:f>
        <x:v>M</x:v>
      </x:c>
      <x:c r="J156" s="170" t="str">
        <x:f>IF(A156="","",IF(B156="Decommissioning",INDEX('Raw Decommissioning'!$AG$2:$AG$1000,ROWS($A$5:A156)),INDEX('Raw Provisioning'!$AI$2:$AI$1000,ROWS($A$5:A156)-COUNTA('Raw Decommissioning'!$B$2:$B$1000))))</x:f>
        <x:v>azwan.badari@petronas.com</x:v>
      </x:c>
      <x:c r="K156" s="172" t="str">
        <x:f>IF(A156="","",IFERROR(LOOKUP(2,1/('Assignment History'!$B$5:$B$204=A156),'Assignment History'!$D$5:$D$204),IFERROR(VLOOKUP(J156,Configuration!$L$5:$M$50,2,FALSE),J156)))</x:f>
        <x:v>azwan.badari@petronas.com</x:v>
      </x:c>
      <x:c r="L156" s="172" t="str">
        <x:f>IF(A156="","",IF(K156=IFERROR(VLOOKUP(J156,Configuration!$L$5:$M$50,2,FALSE),J156),"Snapshot PIC","Replacement PIC"))</x:f>
        <x:v>Snapshot PIC</x:v>
      </x:c>
      <x:c r="M156" s="172" t="n">
        <x:f>IF(A156="","",IFERROR(VLOOKUP(I156,Configuration!$O$5:$P$8,2,FALSE),Configuration!$S$6))</x:f>
        <x:v>2</x:v>
      </x:c>
      <x:c r="N156" s="172" t="str">
        <x:f>IF(A156="","",IFERROR(LOOKUP(2,1/('Scope Review'!$B$5:$B$204=A156),'Scope Review'!$G$5:$G$204),"Not Reviewed"))</x:f>
        <x:v>Not Reviewed</x:v>
      </x:c>
      <x:c r="O156" s="172" t="str">
        <x:f>IF(A156="","",IFERROR(LOOKUP(2,1/('Scope Review'!$B$5:$B$204=A156),'Scope Review'!$H$5:$H$204),""))</x:f>
      </x:c>
      <x:c r="P156" s="172" t="n">
        <x:f>IF(A156="","",IF(AND(C156="executing",N156&lt;&gt;"Confirmed OOS"),M156,0))</x:f>
        <x:v>0</x:v>
      </x:c>
      <x:c r="Q156" s="173" t="str">
        <x:f>IF(A156="","",IFERROR(LOOKUP(2,1/('Engineer Updates'!$B$5:$B$704=A156),'Engineer Updates'!$A$5:$A$704),""))</x:f>
      </x:c>
      <x:c r="R156" s="172" t="str">
        <x:f>IF(A156="","",IFERROR(LOOKUP(2,1/('Engineer Updates'!$B$5:$B$704=A156),'Engineer Updates'!$H$5:$H$704),""))</x:f>
      </x:c>
      <x:c r="S156" s="172" t="str">
        <x:f>IF(A156="","",IFERROR(LOOKUP(2,1/('Engineer Updates'!$B$5:$B$704=A156),'Engineer Updates'!$G$5:$G$704),""))</x:f>
      </x:c>
      <x:c r="T156" s="172" t="str">
        <x:f>IF(A156="","",IFERROR(LOOKUP(2,1/('Engineer Updates'!$B$5:$B$704=A156),'Engineer Updates'!$I$5:$I$704),""))</x:f>
      </x:c>
      <x:c r="U156" s="172" t="str">
        <x:f>IF(A156="","",IFERROR(LOOKUP(2,1/('Engineer Updates'!$B$5:$B$704=A156),'Engineer Updates'!$J$5:$J$704),""))</x:f>
      </x:c>
      <x:c r="V156" s="172" t="str">
        <x:f>IF(A156="","",IFERROR(LOOKUP(2,1/('Engineer Updates'!$B$5:$B$704=A156),'Engineer Updates'!$K$5:$K$704),""))</x:f>
      </x:c>
      <x:c r="W156" s="174" t="str">
        <x:f>IF(A156="","",IFERROR(LOOKUP(2,1/('Engineer Updates'!$B$5:$B$704=A156),'Engineer Updates'!$L$5:$L$704),""))</x:f>
      </x:c>
      <x:c r="X156" s="170" t="str">
        <x:f>IF(A156="","",IF(C156="completed","Completed in CSSP",IF(AND(C156="executing",ISERROR(SEARCH("@",K156))),"Executing without named engineer",IF(AND(N156="Confirmed OOS",C156="executing"),"Confirmed OOS still executing",""))))</x:f>
        <x:v>Completed in CSSP</x:v>
      </x:c>
      <x:c r="Y156" s="170" t="str">
        <x:f>IF(A156="","",IF(B156="Decommissioning","Raw Decommissioning","Raw Provisioning"))</x:f>
        <x:v>Raw Decommissioning</x:v>
      </x:c>
      <x:c r="Z156" s="170" t="str">
        <x:f>IF(A156="","",IF(OR(C156="executing",C156="processing"),"Yes","No"))</x:f>
        <x:v>No</x:v>
      </x:c>
    </x:row>
    <x:row r="157">
      <x:c r="A157" s="170" t="str">
        <x:f>IF(ROWS($A$5:A157)&lt;=COUNTA('Raw Decommissioning'!$B$2:$B$1000),INDEX('Raw Decommissioning'!$B$2:$B$1000,ROWS($A$5:A157)),IF(ROWS($A$5:A157)-COUNTA('Raw Decommissioning'!$B$2:$B$1000)&lt;=COUNTA('Raw Provisioning'!$B$2:$B$1000),INDEX('Raw Provisioning'!$B$2:$B$1000,ROWS($A$5:A157)-COUNTA('Raw Decommissioning'!$B$2:$B$1000)),""))</x:f>
        <x:v>CSSP10212993</x:v>
      </x:c>
      <x:c r="B157" s="170" t="str">
        <x:f>IF(A157="","",IF(ROWS($A$5:A157)&lt;=COUNTA('Raw Decommissioning'!$B$2:$B$1000),"Decommissioning","Provisioning"))</x:f>
        <x:v>Decommissioning</x:v>
      </x:c>
      <x:c r="C157" s="170" t="str">
        <x:f>IF(A157="","",IF(B157="Decommissioning",IFERROR(INDEX('Raw Decommissioning'!$E$2:$E$1000,MATCH(A157,'Raw Decommissioning'!$B$2:$B$1000,0)),"Missing from latest raw"),IFERROR(INDEX('Raw Provisioning'!$E$2:$E$1000,MATCH(A157,'Raw Provisioning'!$B$2:$B$1000,0)),"Missing from latest raw")))</x:f>
        <x:v>cancelled</x:v>
      </x:c>
      <x:c r="D157" s="171" t="n">
        <x:f>IF(A157="","",'Refresh Control'!$B$4)</x:f>
        <x:v>46254</x:v>
      </x:c>
      <x:c r="E157" s="171" t="n">
        <x:f>IF(A157="","",IF(B157="Decommissioning",INDEX('Raw Decommissioning'!$F$2:$F$1000,ROWS($A$5:A157)),INDEX('Raw Provisioning'!$F$2:$F$1000,ROWS($A$5:A157)-COUNTA('Raw Decommissioning'!$B$2:$B$1000))))</x:f>
        <x:v>46108.17340528935</x:v>
      </x:c>
      <x:c r="F157" s="171" t="n">
        <x:f>IF(A157="","",IF(B157="Decommissioning",INDEX('Raw Decommissioning'!$G$2:$G$1000,ROWS($A$5:A157)),INDEX('Raw Provisioning'!$H$2:$H$1000,ROWS($A$5:A157)-COUNTA('Raw Decommissioning'!$B$2:$B$1000))))</x:f>
        <x:v>46119.31295025463</x:v>
      </x:c>
      <x:c r="G157" s="170" t="str">
        <x:f>IF(A157="","",IF(B157="Decommissioning",INDEX('Raw Decommissioning'!$I$2:$I$1000,ROWS($A$5:A157)),INDEX('Raw Provisioning'!$J$2:$J$1000,ROWS($A$5:A157)-COUNTA('Raw Decommissioning'!$B$2:$B$1000))))</x:f>
        <x:v>Static Equipment Analytic Library - SEAL</x:v>
      </x:c>
      <x:c r="H157" s="170" t="str">
        <x:f>IF(A157="","",IF(B157="Decommissioning",INDEX('Raw Decommissioning'!$J$2:$J$1000,ROWS($A$5:A157)),INDEX('Raw Provisioning'!$L$2:$L$1000,ROWS($A$5:A157)-COUNTA('Raw Decommissioning'!$B$2:$B$1000))))</x:f>
        <x:v>Static Equipment Analytic Library (SEAL) as Upstream Static Equipment Advanced Analytical Tools for Upstream COE</x:v>
      </x:c>
      <x:c r="I157" s="170" t="str">
        <x:f>IF(A157="","",IF(B157="Decommissioning",INDEX('Raw Decommissioning'!$AL$2:$AL$1000,ROWS($A$5:A157)),INDEX('Raw Provisioning'!$R$2:$R$1000,ROWS($A$5:A157)-COUNTA('Raw Decommissioning'!$B$2:$B$1000))))</x:f>
      </x:c>
      <x:c r="J157" s="170" t="str">
        <x:f>IF(A157="","",IF(B157="Decommissioning",INDEX('Raw Decommissioning'!$AG$2:$AG$1000,ROWS($A$5:A157)),INDEX('Raw Provisioning'!$AI$2:$AI$1000,ROWS($A$5:A157)-COUNTA('Raw Decommissioning'!$B$2:$B$1000))))</x:f>
        <x:v>CCoE Operations</x:v>
      </x:c>
      <x:c r="K157" s="172" t="str">
        <x:f>IF(A157="","",IFERROR(LOOKUP(2,1/('Assignment History'!$B$5:$B$204=A157),'Assignment History'!$D$5:$D$204),IFERROR(VLOOKUP(J157,Configuration!$L$5:$M$50,2,FALSE),J157)))</x:f>
        <x:v>CCoE Operations</x:v>
      </x:c>
      <x:c r="L157" s="172" t="str">
        <x:f>IF(A157="","",IF(K157=IFERROR(VLOOKUP(J157,Configuration!$L$5:$M$50,2,FALSE),J157),"Snapshot PIC","Replacement PIC"))</x:f>
        <x:v>Snapshot PIC</x:v>
      </x:c>
      <x:c r="M157" s="172" t="n">
        <x:f>IF(A157="","",IFERROR(VLOOKUP(I157,Configuration!$O$5:$P$8,2,FALSE),Configuration!$S$6))</x:f>
        <x:v>2</x:v>
      </x:c>
      <x:c r="N157" s="172" t="str">
        <x:f>IF(A157="","",IFERROR(LOOKUP(2,1/('Scope Review'!$B$5:$B$204=A157),'Scope Review'!$G$5:$G$204),"Not Reviewed"))</x:f>
        <x:v>Not Reviewed</x:v>
      </x:c>
      <x:c r="O157" s="172" t="str">
        <x:f>IF(A157="","",IFERROR(LOOKUP(2,1/('Scope Review'!$B$5:$B$204=A157),'Scope Review'!$H$5:$H$204),""))</x:f>
      </x:c>
      <x:c r="P157" s="172" t="n">
        <x:f>IF(A157="","",IF(AND(C157="executing",N157&lt;&gt;"Confirmed OOS"),M157,0))</x:f>
        <x:v>0</x:v>
      </x:c>
      <x:c r="Q157" s="173" t="str">
        <x:f>IF(A157="","",IFERROR(LOOKUP(2,1/('Engineer Updates'!$B$5:$B$704=A157),'Engineer Updates'!$A$5:$A$704),""))</x:f>
      </x:c>
      <x:c r="R157" s="172" t="str">
        <x:f>IF(A157="","",IFERROR(LOOKUP(2,1/('Engineer Updates'!$B$5:$B$704=A157),'Engineer Updates'!$H$5:$H$704),""))</x:f>
      </x:c>
      <x:c r="S157" s="172" t="str">
        <x:f>IF(A157="","",IFERROR(LOOKUP(2,1/('Engineer Updates'!$B$5:$B$704=A157),'Engineer Updates'!$G$5:$G$704),""))</x:f>
      </x:c>
      <x:c r="T157" s="172" t="str">
        <x:f>IF(A157="","",IFERROR(LOOKUP(2,1/('Engineer Updates'!$B$5:$B$704=A157),'Engineer Updates'!$I$5:$I$704),""))</x:f>
      </x:c>
      <x:c r="U157" s="172" t="str">
        <x:f>IF(A157="","",IFERROR(LOOKUP(2,1/('Engineer Updates'!$B$5:$B$704=A157),'Engineer Updates'!$J$5:$J$704),""))</x:f>
      </x:c>
      <x:c r="V157" s="172" t="str">
        <x:f>IF(A157="","",IFERROR(LOOKUP(2,1/('Engineer Updates'!$B$5:$B$704=A157),'Engineer Updates'!$K$5:$K$704),""))</x:f>
      </x:c>
      <x:c r="W157" s="174" t="str">
        <x:f>IF(A157="","",IFERROR(LOOKUP(2,1/('Engineer Updates'!$B$5:$B$704=A157),'Engineer Updates'!$L$5:$L$704),""))</x:f>
      </x:c>
      <x:c r="X157" s="170" t="str">
        <x:f>IF(A157="","",IF(C157="completed","Completed in CSSP",IF(AND(C157="executing",ISERROR(SEARCH("@",K157))),"Executing without named engineer",IF(AND(N157="Confirmed OOS",C157="executing"),"Confirmed OOS still executing",""))))</x:f>
      </x:c>
      <x:c r="Y157" s="170" t="str">
        <x:f>IF(A157="","",IF(B157="Decommissioning","Raw Decommissioning","Raw Provisioning"))</x:f>
        <x:v>Raw Decommissioning</x:v>
      </x:c>
      <x:c r="Z157" s="170" t="str">
        <x:f>IF(A157="","",IF(OR(C157="executing",C157="processing"),"Yes","No"))</x:f>
        <x:v>No</x:v>
      </x:c>
    </x:row>
    <x:row r="158">
      <x:c r="A158" s="170" t="str">
        <x:f>IF(ROWS($A$5:A158)&lt;=COUNTA('Raw Decommissioning'!$B$2:$B$1000),INDEX('Raw Decommissioning'!$B$2:$B$1000,ROWS($A$5:A158)),IF(ROWS($A$5:A158)-COUNTA('Raw Decommissioning'!$B$2:$B$1000)&lt;=COUNTA('Raw Provisioning'!$B$2:$B$1000),INDEX('Raw Provisioning'!$B$2:$B$1000,ROWS($A$5:A158)-COUNTA('Raw Decommissioning'!$B$2:$B$1000)),""))</x:f>
        <x:v>CSSP10545760</x:v>
      </x:c>
      <x:c r="B158" s="170" t="str">
        <x:f>IF(A158="","",IF(ROWS($A$5:A158)&lt;=COUNTA('Raw Decommissioning'!$B$2:$B$1000),"Decommissioning","Provisioning"))</x:f>
        <x:v>Decommissioning</x:v>
      </x:c>
      <x:c r="C158" s="170" t="str">
        <x:f>IF(A158="","",IF(B158="Decommissioning",IFERROR(INDEX('Raw Decommissioning'!$E$2:$E$1000,MATCH(A158,'Raw Decommissioning'!$B$2:$B$1000,0)),"Missing from latest raw"),IFERROR(INDEX('Raw Provisioning'!$E$2:$E$1000,MATCH(A158,'Raw Provisioning'!$B$2:$B$1000,0)),"Missing from latest raw")))</x:f>
        <x:v>completed</x:v>
      </x:c>
      <x:c r="D158" s="171" t="n">
        <x:f>IF(A158="","",'Refresh Control'!$B$4)</x:f>
        <x:v>46254</x:v>
      </x:c>
      <x:c r="E158" s="171" t="n">
        <x:f>IF(A158="","",IF(B158="Decommissioning",INDEX('Raw Decommissioning'!$F$2:$F$1000,ROWS($A$5:A158)),INDEX('Raw Provisioning'!$F$2:$F$1000,ROWS($A$5:A158)-COUNTA('Raw Decommissioning'!$B$2:$B$1000))))</x:f>
        <x:v>46112.10200351852</x:v>
      </x:c>
      <x:c r="F158" s="171" t="n">
        <x:f>IF(A158="","",IF(B158="Decommissioning",INDEX('Raw Decommissioning'!$G$2:$G$1000,ROWS($A$5:A158)),INDEX('Raw Provisioning'!$H$2:$H$1000,ROWS($A$5:A158)-COUNTA('Raw Decommissioning'!$B$2:$B$1000))))</x:f>
        <x:v>46133.1277541088</x:v>
      </x:c>
      <x:c r="G158" s="170" t="str">
        <x:f>IF(A158="","",IF(B158="Decommissioning",INDEX('Raw Decommissioning'!$I$2:$I$1000,ROWS($A$5:A158)),INDEX('Raw Provisioning'!$J$2:$J$1000,ROWS($A$5:A158)-COUNTA('Raw Decommissioning'!$B$2:$B$1000))))</x:f>
        <x:v>P360 DQ Database</x:v>
      </x:c>
      <x:c r="H158" s="170" t="str">
        <x:f>IF(A158="","",IF(B158="Decommissioning",INDEX('Raw Decommissioning'!$J$2:$J$1000,ROWS($A$5:A158)),INDEX('Raw Provisioning'!$L$2:$L$1000,ROWS($A$5:A158)-COUNTA('Raw Decommissioning'!$B$2:$B$1000))))</x:f>
        <x:v>Enhancement Data Quality Management of PETRONAS360 for DCO</x:v>
      </x:c>
      <x:c r="I158" s="170" t="str">
        <x:f>IF(A158="","",IF(B158="Decommissioning",INDEX('Raw Decommissioning'!$AL$2:$AL$1000,ROWS($A$5:A158)),INDEX('Raw Provisioning'!$R$2:$R$1000,ROWS($A$5:A158)-COUNTA('Raw Decommissioning'!$B$2:$B$1000))))</x:f>
        <x:v>M</x:v>
      </x:c>
      <x:c r="J158" s="170" t="str">
        <x:f>IF(A158="","",IF(B158="Decommissioning",INDEX('Raw Decommissioning'!$AG$2:$AG$1000,ROWS($A$5:A158)),INDEX('Raw Provisioning'!$AI$2:$AI$1000,ROWS($A$5:A158)-COUNTA('Raw Decommissioning'!$B$2:$B$1000))))</x:f>
        <x:v>azwan.badari@petronas.com</x:v>
      </x:c>
      <x:c r="K158" s="172" t="str">
        <x:f>IF(A158="","",IFERROR(LOOKUP(2,1/('Assignment History'!$B$5:$B$204=A158),'Assignment History'!$D$5:$D$204),IFERROR(VLOOKUP(J158,Configuration!$L$5:$M$50,2,FALSE),J158)))</x:f>
        <x:v>azwan.badari@petronas.com</x:v>
      </x:c>
      <x:c r="L158" s="172" t="str">
        <x:f>IF(A158="","",IF(K158=IFERROR(VLOOKUP(J158,Configuration!$L$5:$M$50,2,FALSE),J158),"Snapshot PIC","Replacement PIC"))</x:f>
        <x:v>Snapshot PIC</x:v>
      </x:c>
      <x:c r="M158" s="172" t="n">
        <x:f>IF(A158="","",IFERROR(VLOOKUP(I158,Configuration!$O$5:$P$8,2,FALSE),Configuration!$S$6))</x:f>
        <x:v>2</x:v>
      </x:c>
      <x:c r="N158" s="172" t="str">
        <x:f>IF(A158="","",IFERROR(LOOKUP(2,1/('Scope Review'!$B$5:$B$204=A158),'Scope Review'!$G$5:$G$204),"Not Reviewed"))</x:f>
        <x:v>Not Reviewed</x:v>
      </x:c>
      <x:c r="O158" s="172" t="str">
        <x:f>IF(A158="","",IFERROR(LOOKUP(2,1/('Scope Review'!$B$5:$B$204=A158),'Scope Review'!$H$5:$H$204),""))</x:f>
      </x:c>
      <x:c r="P158" s="172" t="n">
        <x:f>IF(A158="","",IF(AND(C158="executing",N158&lt;&gt;"Confirmed OOS"),M158,0))</x:f>
        <x:v>0</x:v>
      </x:c>
      <x:c r="Q158" s="173" t="str">
        <x:f>IF(A158="","",IFERROR(LOOKUP(2,1/('Engineer Updates'!$B$5:$B$704=A158),'Engineer Updates'!$A$5:$A$704),""))</x:f>
      </x:c>
      <x:c r="R158" s="172" t="str">
        <x:f>IF(A158="","",IFERROR(LOOKUP(2,1/('Engineer Updates'!$B$5:$B$704=A158),'Engineer Updates'!$H$5:$H$704),""))</x:f>
      </x:c>
      <x:c r="S158" s="172" t="str">
        <x:f>IF(A158="","",IFERROR(LOOKUP(2,1/('Engineer Updates'!$B$5:$B$704=A158),'Engineer Updates'!$G$5:$G$704),""))</x:f>
      </x:c>
      <x:c r="T158" s="172" t="str">
        <x:f>IF(A158="","",IFERROR(LOOKUP(2,1/('Engineer Updates'!$B$5:$B$704=A158),'Engineer Updates'!$I$5:$I$704),""))</x:f>
      </x:c>
      <x:c r="U158" s="172" t="str">
        <x:f>IF(A158="","",IFERROR(LOOKUP(2,1/('Engineer Updates'!$B$5:$B$704=A158),'Engineer Updates'!$J$5:$J$704),""))</x:f>
      </x:c>
      <x:c r="V158" s="172" t="str">
        <x:f>IF(A158="","",IFERROR(LOOKUP(2,1/('Engineer Updates'!$B$5:$B$704=A158),'Engineer Updates'!$K$5:$K$704),""))</x:f>
      </x:c>
      <x:c r="W158" s="174" t="str">
        <x:f>IF(A158="","",IFERROR(LOOKUP(2,1/('Engineer Updates'!$B$5:$B$704=A158),'Engineer Updates'!$L$5:$L$704),""))</x:f>
      </x:c>
      <x:c r="X158" s="170" t="str">
        <x:f>IF(A158="","",IF(C158="completed","Completed in CSSP",IF(AND(C158="executing",ISERROR(SEARCH("@",K158))),"Executing without named engineer",IF(AND(N158="Confirmed OOS",C158="executing"),"Confirmed OOS still executing",""))))</x:f>
        <x:v>Completed in CSSP</x:v>
      </x:c>
      <x:c r="Y158" s="170" t="str">
        <x:f>IF(A158="","",IF(B158="Decommissioning","Raw Decommissioning","Raw Provisioning"))</x:f>
        <x:v>Raw Decommissioning</x:v>
      </x:c>
      <x:c r="Z158" s="170" t="str">
        <x:f>IF(A158="","",IF(OR(C158="executing",C158="processing"),"Yes","No"))</x:f>
        <x:v>No</x:v>
      </x:c>
    </x:row>
    <x:row r="159">
      <x:c r="A159" s="170" t="str">
        <x:f>IF(ROWS($A$5:A159)&lt;=COUNTA('Raw Decommissioning'!$B$2:$B$1000),INDEX('Raw Decommissioning'!$B$2:$B$1000,ROWS($A$5:A159)),IF(ROWS($A$5:A159)-COUNTA('Raw Decommissioning'!$B$2:$B$1000)&lt;=COUNTA('Raw Provisioning'!$B$2:$B$1000),INDEX('Raw Provisioning'!$B$2:$B$1000,ROWS($A$5:A159)-COUNTA('Raw Decommissioning'!$B$2:$B$1000)),""))</x:f>
        <x:v>CSSP10733147</x:v>
      </x:c>
      <x:c r="B159" s="170" t="str">
        <x:f>IF(A159="","",IF(ROWS($A$5:A159)&lt;=COUNTA('Raw Decommissioning'!$B$2:$B$1000),"Decommissioning","Provisioning"))</x:f>
        <x:v>Decommissioning</x:v>
      </x:c>
      <x:c r="C159" s="170" t="str">
        <x:f>IF(A159="","",IF(B159="Decommissioning",IFERROR(INDEX('Raw Decommissioning'!$E$2:$E$1000,MATCH(A159,'Raw Decommissioning'!$B$2:$B$1000,0)),"Missing from latest raw"),IFERROR(INDEX('Raw Provisioning'!$E$2:$E$1000,MATCH(A159,'Raw Provisioning'!$B$2:$B$1000,0)),"Missing from latest raw")))</x:f>
        <x:v>cancelled</x:v>
      </x:c>
      <x:c r="D159" s="171" t="n">
        <x:f>IF(A159="","",'Refresh Control'!$B$4)</x:f>
        <x:v>46254</x:v>
      </x:c>
      <x:c r="E159" s="171" t="n">
        <x:f>IF(A159="","",IF(B159="Decommissioning",INDEX('Raw Decommissioning'!$F$2:$F$1000,ROWS($A$5:A159)),INDEX('Raw Provisioning'!$F$2:$F$1000,ROWS($A$5:A159)-COUNTA('Raw Decommissioning'!$B$2:$B$1000))))</x:f>
        <x:v>46112.404651689816</x:v>
      </x:c>
      <x:c r="F159" s="171" t="n">
        <x:f>IF(A159="","",IF(B159="Decommissioning",INDEX('Raw Decommissioning'!$G$2:$G$1000,ROWS($A$5:A159)),INDEX('Raw Provisioning'!$H$2:$H$1000,ROWS($A$5:A159)-COUNTA('Raw Decommissioning'!$B$2:$B$1000))))</x:f>
        <x:v>46119.31324778935</x:v>
      </x:c>
      <x:c r="G159" s="170" t="str">
        <x:f>IF(A159="","",IF(B159="Decommissioning",INDEX('Raw Decommissioning'!$I$2:$I$1000,ROWS($A$5:A159)),INDEX('Raw Provisioning'!$J$2:$J$1000,ROWS($A$5:A159)-COUNTA('Raw Decommissioning'!$B$2:$B$1000))))</x:f>
        <x:v>HSSEMARS</x:v>
      </x:c>
      <x:c r="H159" s="170" t="str">
        <x:f>IF(A159="","",IF(B159="Decommissioning",INDEX('Raw Decommissioning'!$J$2:$J$1000,ROWS($A$5:A159)),INDEX('Raw Provisioning'!$L$2:$L$1000,ROWS($A$5:A159)-COUNTA('Raw Decommissioning'!$B$2:$B$1000))))</x:f>
        <x:v>MARS 6.0 Enhancement Plan</x:v>
      </x:c>
      <x:c r="I159" s="170" t="str">
        <x:f>IF(A159="","",IF(B159="Decommissioning",INDEX('Raw Decommissioning'!$AL$2:$AL$1000,ROWS($A$5:A159)),INDEX('Raw Provisioning'!$R$2:$R$1000,ROWS($A$5:A159)-COUNTA('Raw Decommissioning'!$B$2:$B$1000))))</x:f>
      </x:c>
      <x:c r="J159" s="170" t="str">
        <x:f>IF(A159="","",IF(B159="Decommissioning",INDEX('Raw Decommissioning'!$AG$2:$AG$1000,ROWS($A$5:A159)),INDEX('Raw Provisioning'!$AI$2:$AI$1000,ROWS($A$5:A159)-COUNTA('Raw Decommissioning'!$B$2:$B$1000))))</x:f>
        <x:v>CCoE Operations</x:v>
      </x:c>
      <x:c r="K159" s="172" t="str">
        <x:f>IF(A159="","",IFERROR(LOOKUP(2,1/('Assignment History'!$B$5:$B$204=A159),'Assignment History'!$D$5:$D$204),IFERROR(VLOOKUP(J159,Configuration!$L$5:$M$50,2,FALSE),J159)))</x:f>
        <x:v>CCoE Operations</x:v>
      </x:c>
      <x:c r="L159" s="172" t="str">
        <x:f>IF(A159="","",IF(K159=IFERROR(VLOOKUP(J159,Configuration!$L$5:$M$50,2,FALSE),J159),"Snapshot PIC","Replacement PIC"))</x:f>
        <x:v>Snapshot PIC</x:v>
      </x:c>
      <x:c r="M159" s="172" t="n">
        <x:f>IF(A159="","",IFERROR(VLOOKUP(I159,Configuration!$O$5:$P$8,2,FALSE),Configuration!$S$6))</x:f>
        <x:v>2</x:v>
      </x:c>
      <x:c r="N159" s="172" t="str">
        <x:f>IF(A159="","",IFERROR(LOOKUP(2,1/('Scope Review'!$B$5:$B$204=A159),'Scope Review'!$G$5:$G$204),"Not Reviewed"))</x:f>
        <x:v>Not Reviewed</x:v>
      </x:c>
      <x:c r="O159" s="172" t="str">
        <x:f>IF(A159="","",IFERROR(LOOKUP(2,1/('Scope Review'!$B$5:$B$204=A159),'Scope Review'!$H$5:$H$204),""))</x:f>
      </x:c>
      <x:c r="P159" s="172" t="n">
        <x:f>IF(A159="","",IF(AND(C159="executing",N159&lt;&gt;"Confirmed OOS"),M159,0))</x:f>
        <x:v>0</x:v>
      </x:c>
      <x:c r="Q159" s="173" t="str">
        <x:f>IF(A159="","",IFERROR(LOOKUP(2,1/('Engineer Updates'!$B$5:$B$704=A159),'Engineer Updates'!$A$5:$A$704),""))</x:f>
      </x:c>
      <x:c r="R159" s="172" t="str">
        <x:f>IF(A159="","",IFERROR(LOOKUP(2,1/('Engineer Updates'!$B$5:$B$704=A159),'Engineer Updates'!$H$5:$H$704),""))</x:f>
      </x:c>
      <x:c r="S159" s="172" t="str">
        <x:f>IF(A159="","",IFERROR(LOOKUP(2,1/('Engineer Updates'!$B$5:$B$704=A159),'Engineer Updates'!$G$5:$G$704),""))</x:f>
      </x:c>
      <x:c r="T159" s="172" t="str">
        <x:f>IF(A159="","",IFERROR(LOOKUP(2,1/('Engineer Updates'!$B$5:$B$704=A159),'Engineer Updates'!$I$5:$I$704),""))</x:f>
      </x:c>
      <x:c r="U159" s="172" t="str">
        <x:f>IF(A159="","",IFERROR(LOOKUP(2,1/('Engineer Updates'!$B$5:$B$704=A159),'Engineer Updates'!$J$5:$J$704),""))</x:f>
      </x:c>
      <x:c r="V159" s="172" t="str">
        <x:f>IF(A159="","",IFERROR(LOOKUP(2,1/('Engineer Updates'!$B$5:$B$704=A159),'Engineer Updates'!$K$5:$K$704),""))</x:f>
      </x:c>
      <x:c r="W159" s="174" t="str">
        <x:f>IF(A159="","",IFERROR(LOOKUP(2,1/('Engineer Updates'!$B$5:$B$704=A159),'Engineer Updates'!$L$5:$L$704),""))</x:f>
      </x:c>
      <x:c r="X159" s="170" t="str">
        <x:f>IF(A159="","",IF(C159="completed","Completed in CSSP",IF(AND(C159="executing",ISERROR(SEARCH("@",K159))),"Executing without named engineer",IF(AND(N159="Confirmed OOS",C159="executing"),"Confirmed OOS still executing",""))))</x:f>
      </x:c>
      <x:c r="Y159" s="170" t="str">
        <x:f>IF(A159="","",IF(B159="Decommissioning","Raw Decommissioning","Raw Provisioning"))</x:f>
        <x:v>Raw Decommissioning</x:v>
      </x:c>
      <x:c r="Z159" s="170" t="str">
        <x:f>IF(A159="","",IF(OR(C159="executing",C159="processing"),"Yes","No"))</x:f>
        <x:v>No</x:v>
      </x:c>
    </x:row>
    <x:row r="160">
      <x:c r="A160" s="170" t="str">
        <x:f>IF(ROWS($A$5:A160)&lt;=COUNTA('Raw Decommissioning'!$B$2:$B$1000),INDEX('Raw Decommissioning'!$B$2:$B$1000,ROWS($A$5:A160)),IF(ROWS($A$5:A160)-COUNTA('Raw Decommissioning'!$B$2:$B$1000)&lt;=COUNTA('Raw Provisioning'!$B$2:$B$1000),INDEX('Raw Provisioning'!$B$2:$B$1000,ROWS($A$5:A160)-COUNTA('Raw Decommissioning'!$B$2:$B$1000)),""))</x:f>
        <x:v>CSSP10531664</x:v>
      </x:c>
      <x:c r="B160" s="170" t="str">
        <x:f>IF(A160="","",IF(ROWS($A$5:A160)&lt;=COUNTA('Raw Decommissioning'!$B$2:$B$1000),"Decommissioning","Provisioning"))</x:f>
        <x:v>Decommissioning</x:v>
      </x:c>
      <x:c r="C160" s="170" t="str">
        <x:f>IF(A160="","",IF(B160="Decommissioning",IFERROR(INDEX('Raw Decommissioning'!$E$2:$E$1000,MATCH(A160,'Raw Decommissioning'!$B$2:$B$1000,0)),"Missing from latest raw"),IFERROR(INDEX('Raw Provisioning'!$E$2:$E$1000,MATCH(A160,'Raw Provisioning'!$B$2:$B$1000,0)),"Missing from latest raw")))</x:f>
        <x:v>completed</x:v>
      </x:c>
      <x:c r="D160" s="171" t="n">
        <x:f>IF(A160="","",'Refresh Control'!$B$4)</x:f>
        <x:v>46254</x:v>
      </x:c>
      <x:c r="E160" s="171" t="n">
        <x:f>IF(A160="","",IF(B160="Decommissioning",INDEX('Raw Decommissioning'!$F$2:$F$1000,ROWS($A$5:A160)),INDEX('Raw Provisioning'!$F$2:$F$1000,ROWS($A$5:A160)-COUNTA('Raw Decommissioning'!$B$2:$B$1000))))</x:f>
        <x:v>46113.11938070602</x:v>
      </x:c>
      <x:c r="F160" s="171" t="n">
        <x:f>IF(A160="","",IF(B160="Decommissioning",INDEX('Raw Decommissioning'!$G$2:$G$1000,ROWS($A$5:A160)),INDEX('Raw Provisioning'!$H$2:$H$1000,ROWS($A$5:A160)-COUNTA('Raw Decommissioning'!$B$2:$B$1000))))</x:f>
        <x:v>46125.16558631945</x:v>
      </x:c>
      <x:c r="G160" s="170" t="str">
        <x:f>IF(A160="","",IF(B160="Decommissioning",INDEX('Raw Decommissioning'!$I$2:$I$1000,ROWS($A$5:A160)),INDEX('Raw Provisioning'!$J$2:$J$1000,ROWS($A$5:A160)-COUNTA('Raw Decommissioning'!$B$2:$B$1000))))</x:f>
        <x:v>Lab Information Management System - LIMS PCGB</x:v>
      </x:c>
      <x:c r="H160" s="170" t="str">
        <x:f>IF(A160="","",IF(B160="Decommissioning",INDEX('Raw Decommissioning'!$J$2:$J$1000,ROWS($A$5:A160)),INDEX('Raw Provisioning'!$L$2:$L$1000,ROWS($A$5:A160)-COUNTA('Raw Decommissioning'!$B$2:$B$1000))))</x:f>
        <x:v>Cloud Migration - Integrated Laboratory Information Management System (iLIMS) for PCGB Dev</x:v>
      </x:c>
      <x:c r="I160" s="170" t="str">
        <x:f>IF(A160="","",IF(B160="Decommissioning",INDEX('Raw Decommissioning'!$AL$2:$AL$1000,ROWS($A$5:A160)),INDEX('Raw Provisioning'!$R$2:$R$1000,ROWS($A$5:A160)-COUNTA('Raw Decommissioning'!$B$2:$B$1000))))</x:f>
        <x:v>M</x:v>
      </x:c>
      <x:c r="J160" s="170" t="str">
        <x:f>IF(A160="","",IF(B160="Decommissioning",INDEX('Raw Decommissioning'!$AG$2:$AG$1000,ROWS($A$5:A160)),INDEX('Raw Provisioning'!$AI$2:$AI$1000,ROWS($A$5:A160)-COUNTA('Raw Decommissioning'!$B$2:$B$1000))))</x:f>
        <x:v>azwan.badari@petronas.com</x:v>
      </x:c>
      <x:c r="K160" s="172" t="str">
        <x:f>IF(A160="","",IFERROR(LOOKUP(2,1/('Assignment History'!$B$5:$B$204=A160),'Assignment History'!$D$5:$D$204),IFERROR(VLOOKUP(J160,Configuration!$L$5:$M$50,2,FALSE),J160)))</x:f>
        <x:v>azwan.badari@petronas.com</x:v>
      </x:c>
      <x:c r="L160" s="172" t="str">
        <x:f>IF(A160="","",IF(K160=IFERROR(VLOOKUP(J160,Configuration!$L$5:$M$50,2,FALSE),J160),"Snapshot PIC","Replacement PIC"))</x:f>
        <x:v>Snapshot PIC</x:v>
      </x:c>
      <x:c r="M160" s="172" t="n">
        <x:f>IF(A160="","",IFERROR(VLOOKUP(I160,Configuration!$O$5:$P$8,2,FALSE),Configuration!$S$6))</x:f>
        <x:v>2</x:v>
      </x:c>
      <x:c r="N160" s="172" t="str">
        <x:f>IF(A160="","",IFERROR(LOOKUP(2,1/('Scope Review'!$B$5:$B$204=A160),'Scope Review'!$G$5:$G$204),"Not Reviewed"))</x:f>
        <x:v>Not Reviewed</x:v>
      </x:c>
      <x:c r="O160" s="172" t="str">
        <x:f>IF(A160="","",IFERROR(LOOKUP(2,1/('Scope Review'!$B$5:$B$204=A160),'Scope Review'!$H$5:$H$204),""))</x:f>
      </x:c>
      <x:c r="P160" s="172" t="n">
        <x:f>IF(A160="","",IF(AND(C160="executing",N160&lt;&gt;"Confirmed OOS"),M160,0))</x:f>
        <x:v>0</x:v>
      </x:c>
      <x:c r="Q160" s="173" t="str">
        <x:f>IF(A160="","",IFERROR(LOOKUP(2,1/('Engineer Updates'!$B$5:$B$704=A160),'Engineer Updates'!$A$5:$A$704),""))</x:f>
      </x:c>
      <x:c r="R160" s="172" t="str">
        <x:f>IF(A160="","",IFERROR(LOOKUP(2,1/('Engineer Updates'!$B$5:$B$704=A160),'Engineer Updates'!$H$5:$H$704),""))</x:f>
      </x:c>
      <x:c r="S160" s="172" t="str">
        <x:f>IF(A160="","",IFERROR(LOOKUP(2,1/('Engineer Updates'!$B$5:$B$704=A160),'Engineer Updates'!$G$5:$G$704),""))</x:f>
      </x:c>
      <x:c r="T160" s="172" t="str">
        <x:f>IF(A160="","",IFERROR(LOOKUP(2,1/('Engineer Updates'!$B$5:$B$704=A160),'Engineer Updates'!$I$5:$I$704),""))</x:f>
      </x:c>
      <x:c r="U160" s="172" t="str">
        <x:f>IF(A160="","",IFERROR(LOOKUP(2,1/('Engineer Updates'!$B$5:$B$704=A160),'Engineer Updates'!$J$5:$J$704),""))</x:f>
      </x:c>
      <x:c r="V160" s="172" t="str">
        <x:f>IF(A160="","",IFERROR(LOOKUP(2,1/('Engineer Updates'!$B$5:$B$704=A160),'Engineer Updates'!$K$5:$K$704),""))</x:f>
      </x:c>
      <x:c r="W160" s="174" t="str">
        <x:f>IF(A160="","",IFERROR(LOOKUP(2,1/('Engineer Updates'!$B$5:$B$704=A160),'Engineer Updates'!$L$5:$L$704),""))</x:f>
      </x:c>
      <x:c r="X160" s="170" t="str">
        <x:f>IF(A160="","",IF(C160="completed","Completed in CSSP",IF(AND(C160="executing",ISERROR(SEARCH("@",K160))),"Executing without named engineer",IF(AND(N160="Confirmed OOS",C160="executing"),"Confirmed OOS still executing",""))))</x:f>
        <x:v>Completed in CSSP</x:v>
      </x:c>
      <x:c r="Y160" s="170" t="str">
        <x:f>IF(A160="","",IF(B160="Decommissioning","Raw Decommissioning","Raw Provisioning"))</x:f>
        <x:v>Raw Decommissioning</x:v>
      </x:c>
      <x:c r="Z160" s="170" t="str">
        <x:f>IF(A160="","",IF(OR(C160="executing",C160="processing"),"Yes","No"))</x:f>
        <x:v>No</x:v>
      </x:c>
    </x:row>
    <x:row r="161">
      <x:c r="A161" s="170" t="str">
        <x:f>IF(ROWS($A$5:A161)&lt;=COUNTA('Raw Decommissioning'!$B$2:$B$1000),INDEX('Raw Decommissioning'!$B$2:$B$1000,ROWS($A$5:A161)),IF(ROWS($A$5:A161)-COUNTA('Raw Decommissioning'!$B$2:$B$1000)&lt;=COUNTA('Raw Provisioning'!$B$2:$B$1000),INDEX('Raw Provisioning'!$B$2:$B$1000,ROWS($A$5:A161)-COUNTA('Raw Decommissioning'!$B$2:$B$1000)),""))</x:f>
        <x:v>CSSP10451318</x:v>
      </x:c>
      <x:c r="B161" s="170" t="str">
        <x:f>IF(A161="","",IF(ROWS($A$5:A161)&lt;=COUNTA('Raw Decommissioning'!$B$2:$B$1000),"Decommissioning","Provisioning"))</x:f>
        <x:v>Decommissioning</x:v>
      </x:c>
      <x:c r="C161" s="170" t="str">
        <x:f>IF(A161="","",IF(B161="Decommissioning",IFERROR(INDEX('Raw Decommissioning'!$E$2:$E$1000,MATCH(A161,'Raw Decommissioning'!$B$2:$B$1000,0)),"Missing from latest raw"),IFERROR(INDEX('Raw Provisioning'!$E$2:$E$1000,MATCH(A161,'Raw Provisioning'!$B$2:$B$1000,0)),"Missing from latest raw")))</x:f>
        <x:v>cancelled</x:v>
      </x:c>
      <x:c r="D161" s="171" t="n">
        <x:f>IF(A161="","",'Refresh Control'!$B$4)</x:f>
        <x:v>46254</x:v>
      </x:c>
      <x:c r="E161" s="171" t="n">
        <x:f>IF(A161="","",IF(B161="Decommissioning",INDEX('Raw Decommissioning'!$F$2:$F$1000,ROWS($A$5:A161)),INDEX('Raw Provisioning'!$F$2:$F$1000,ROWS($A$5:A161)-COUNTA('Raw Decommissioning'!$B$2:$B$1000))))</x:f>
        <x:v>46113.12278239583</x:v>
      </x:c>
      <x:c r="F161" s="171" t="n">
        <x:f>IF(A161="","",IF(B161="Decommissioning",INDEX('Raw Decommissioning'!$G$2:$G$1000,ROWS($A$5:A161)),INDEX('Raw Provisioning'!$H$2:$H$1000,ROWS($A$5:A161)-COUNTA('Raw Decommissioning'!$B$2:$B$1000))))</x:f>
        <x:v>46113.122962939815</x:v>
      </x:c>
      <x:c r="G161" s="170" t="str">
        <x:f>IF(A161="","",IF(B161="Decommissioning",INDEX('Raw Decommissioning'!$I$2:$I$1000,ROWS($A$5:A161)),INDEX('Raw Provisioning'!$J$2:$J$1000,ROWS($A$5:A161)-COUNTA('Raw Decommissioning'!$B$2:$B$1000))))</x:f>
        <x:v>Lab Information Management System - LIMS PCGB</x:v>
      </x:c>
      <x:c r="H161" s="170" t="str">
        <x:f>IF(A161="","",IF(B161="Decommissioning",INDEX('Raw Decommissioning'!$J$2:$J$1000,ROWS($A$5:A161)),INDEX('Raw Provisioning'!$L$2:$L$1000,ROWS($A$5:A161)-COUNTA('Raw Decommissioning'!$B$2:$B$1000))))</x:f>
        <x:v>Provisioning of Virtual Machine for LIMS with ELN for STAR+ Project for PCGB</x:v>
      </x:c>
      <x:c r="I161" s="170" t="str">
        <x:f>IF(A161="","",IF(B161="Decommissioning",INDEX('Raw Decommissioning'!$AL$2:$AL$1000,ROWS($A$5:A161)),INDEX('Raw Provisioning'!$R$2:$R$1000,ROWS($A$5:A161)-COUNTA('Raw Decommissioning'!$B$2:$B$1000))))</x:f>
      </x:c>
      <x:c r="J161" s="170" t="str">
        <x:f>IF(A161="","",IF(B161="Decommissioning",INDEX('Raw Decommissioning'!$AG$2:$AG$1000,ROWS($A$5:A161)),INDEX('Raw Provisioning'!$AI$2:$AI$1000,ROWS($A$5:A161)-COUNTA('Raw Decommissioning'!$B$2:$B$1000))))</x:f>
        <x:v>CCoE Operations</x:v>
      </x:c>
      <x:c r="K161" s="172" t="str">
        <x:f>IF(A161="","",IFERROR(LOOKUP(2,1/('Assignment History'!$B$5:$B$204=A161),'Assignment History'!$D$5:$D$204),IFERROR(VLOOKUP(J161,Configuration!$L$5:$M$50,2,FALSE),J161)))</x:f>
        <x:v>CCoE Operations</x:v>
      </x:c>
      <x:c r="L161" s="172" t="str">
        <x:f>IF(A161="","",IF(K161=IFERROR(VLOOKUP(J161,Configuration!$L$5:$M$50,2,FALSE),J161),"Snapshot PIC","Replacement PIC"))</x:f>
        <x:v>Snapshot PIC</x:v>
      </x:c>
      <x:c r="M161" s="172" t="n">
        <x:f>IF(A161="","",IFERROR(VLOOKUP(I161,Configuration!$O$5:$P$8,2,FALSE),Configuration!$S$6))</x:f>
        <x:v>2</x:v>
      </x:c>
      <x:c r="N161" s="172" t="str">
        <x:f>IF(A161="","",IFERROR(LOOKUP(2,1/('Scope Review'!$B$5:$B$204=A161),'Scope Review'!$G$5:$G$204),"Not Reviewed"))</x:f>
        <x:v>Not Reviewed</x:v>
      </x:c>
      <x:c r="O161" s="172" t="str">
        <x:f>IF(A161="","",IFERROR(LOOKUP(2,1/('Scope Review'!$B$5:$B$204=A161),'Scope Review'!$H$5:$H$204),""))</x:f>
      </x:c>
      <x:c r="P161" s="172" t="n">
        <x:f>IF(A161="","",IF(AND(C161="executing",N161&lt;&gt;"Confirmed OOS"),M161,0))</x:f>
        <x:v>0</x:v>
      </x:c>
      <x:c r="Q161" s="173" t="str">
        <x:f>IF(A161="","",IFERROR(LOOKUP(2,1/('Engineer Updates'!$B$5:$B$704=A161),'Engineer Updates'!$A$5:$A$704),""))</x:f>
      </x:c>
      <x:c r="R161" s="172" t="str">
        <x:f>IF(A161="","",IFERROR(LOOKUP(2,1/('Engineer Updates'!$B$5:$B$704=A161),'Engineer Updates'!$H$5:$H$704),""))</x:f>
      </x:c>
      <x:c r="S161" s="172" t="str">
        <x:f>IF(A161="","",IFERROR(LOOKUP(2,1/('Engineer Updates'!$B$5:$B$704=A161),'Engineer Updates'!$G$5:$G$704),""))</x:f>
      </x:c>
      <x:c r="T161" s="172" t="str">
        <x:f>IF(A161="","",IFERROR(LOOKUP(2,1/('Engineer Updates'!$B$5:$B$704=A161),'Engineer Updates'!$I$5:$I$704),""))</x:f>
      </x:c>
      <x:c r="U161" s="172" t="str">
        <x:f>IF(A161="","",IFERROR(LOOKUP(2,1/('Engineer Updates'!$B$5:$B$704=A161),'Engineer Updates'!$J$5:$J$704),""))</x:f>
      </x:c>
      <x:c r="V161" s="172" t="str">
        <x:f>IF(A161="","",IFERROR(LOOKUP(2,1/('Engineer Updates'!$B$5:$B$704=A161),'Engineer Updates'!$K$5:$K$704),""))</x:f>
      </x:c>
      <x:c r="W161" s="174" t="str">
        <x:f>IF(A161="","",IFERROR(LOOKUP(2,1/('Engineer Updates'!$B$5:$B$704=A161),'Engineer Updates'!$L$5:$L$704),""))</x:f>
      </x:c>
      <x:c r="X161" s="170" t="str">
        <x:f>IF(A161="","",IF(C161="completed","Completed in CSSP",IF(AND(C161="executing",ISERROR(SEARCH("@",K161))),"Executing without named engineer",IF(AND(N161="Confirmed OOS",C161="executing"),"Confirmed OOS still executing",""))))</x:f>
      </x:c>
      <x:c r="Y161" s="170" t="str">
        <x:f>IF(A161="","",IF(B161="Decommissioning","Raw Decommissioning","Raw Provisioning"))</x:f>
        <x:v>Raw Decommissioning</x:v>
      </x:c>
      <x:c r="Z161" s="170" t="str">
        <x:f>IF(A161="","",IF(OR(C161="executing",C161="processing"),"Yes","No"))</x:f>
        <x:v>No</x:v>
      </x:c>
    </x:row>
    <x:row r="162">
      <x:c r="A162" s="170" t="str">
        <x:f>IF(ROWS($A$5:A162)&lt;=COUNTA('Raw Decommissioning'!$B$2:$B$1000),INDEX('Raw Decommissioning'!$B$2:$B$1000,ROWS($A$5:A162)),IF(ROWS($A$5:A162)-COUNTA('Raw Decommissioning'!$B$2:$B$1000)&lt;=COUNTA('Raw Provisioning'!$B$2:$B$1000),INDEX('Raw Provisioning'!$B$2:$B$1000,ROWS($A$5:A162)-COUNTA('Raw Decommissioning'!$B$2:$B$1000)),""))</x:f>
        <x:v>CSSP10463624</x:v>
      </x:c>
      <x:c r="B162" s="170" t="str">
        <x:f>IF(A162="","",IF(ROWS($A$5:A162)&lt;=COUNTA('Raw Decommissioning'!$B$2:$B$1000),"Decommissioning","Provisioning"))</x:f>
        <x:v>Decommissioning</x:v>
      </x:c>
      <x:c r="C162" s="170" t="str">
        <x:f>IF(A162="","",IF(B162="Decommissioning",IFERROR(INDEX('Raw Decommissioning'!$E$2:$E$1000,MATCH(A162,'Raw Decommissioning'!$B$2:$B$1000,0)),"Missing from latest raw"),IFERROR(INDEX('Raw Provisioning'!$E$2:$E$1000,MATCH(A162,'Raw Provisioning'!$B$2:$B$1000,0)),"Missing from latest raw")))</x:f>
        <x:v>completed</x:v>
      </x:c>
      <x:c r="D162" s="171" t="n">
        <x:f>IF(A162="","",'Refresh Control'!$B$4)</x:f>
        <x:v>46254</x:v>
      </x:c>
      <x:c r="E162" s="171" t="n">
        <x:f>IF(A162="","",IF(B162="Decommissioning",INDEX('Raw Decommissioning'!$F$2:$F$1000,ROWS($A$5:A162)),INDEX('Raw Provisioning'!$F$2:$F$1000,ROWS($A$5:A162)-COUNTA('Raw Decommissioning'!$B$2:$B$1000))))</x:f>
        <x:v>46113.12338174768</x:v>
      </x:c>
      <x:c r="F162" s="171" t="n">
        <x:f>IF(A162="","",IF(B162="Decommissioning",INDEX('Raw Decommissioning'!$G$2:$G$1000,ROWS($A$5:A162)),INDEX('Raw Provisioning'!$H$2:$H$1000,ROWS($A$5:A162)-COUNTA('Raw Decommissioning'!$B$2:$B$1000))))</x:f>
        <x:v>46124.45970811343</x:v>
      </x:c>
      <x:c r="G162" s="170" t="str">
        <x:f>IF(A162="","",IF(B162="Decommissioning",INDEX('Raw Decommissioning'!$I$2:$I$1000,ROWS($A$5:A162)),INDEX('Raw Provisioning'!$J$2:$J$1000,ROWS($A$5:A162)-COUNTA('Raw Decommissioning'!$B$2:$B$1000))))</x:f>
        <x:v>Lab Information Management System - LIMS PCGB</x:v>
      </x:c>
      <x:c r="H162" s="170" t="str">
        <x:f>IF(A162="","",IF(B162="Decommissioning",INDEX('Raw Decommissioning'!$J$2:$J$1000,ROWS($A$5:A162)),INDEX('Raw Provisioning'!$L$2:$L$1000,ROWS($A$5:A162)-COUNTA('Raw Decommissioning'!$B$2:$B$1000))))</x:f>
        <x:v>OCI MIGRATION - Integrated Laboratory Information Management System (iLIMS) for PCGB Dev</x:v>
      </x:c>
      <x:c r="I162" s="170" t="str">
        <x:f>IF(A162="","",IF(B162="Decommissioning",INDEX('Raw Decommissioning'!$AL$2:$AL$1000,ROWS($A$5:A162)),INDEX('Raw Provisioning'!$R$2:$R$1000,ROWS($A$5:A162)-COUNTA('Raw Decommissioning'!$B$2:$B$1000))))</x:f>
        <x:v>M</x:v>
      </x:c>
      <x:c r="J162" s="170" t="str">
        <x:f>IF(A162="","",IF(B162="Decommissioning",INDEX('Raw Decommissioning'!$AG$2:$AG$1000,ROWS($A$5:A162)),INDEX('Raw Provisioning'!$AI$2:$AI$1000,ROWS($A$5:A162)-COUNTA('Raw Decommissioning'!$B$2:$B$1000))))</x:f>
        <x:v>azwan.badari@petronas.com</x:v>
      </x:c>
      <x:c r="K162" s="172" t="str">
        <x:f>IF(A162="","",IFERROR(LOOKUP(2,1/('Assignment History'!$B$5:$B$204=A162),'Assignment History'!$D$5:$D$204),IFERROR(VLOOKUP(J162,Configuration!$L$5:$M$50,2,FALSE),J162)))</x:f>
        <x:v>azwan.badari@petronas.com</x:v>
      </x:c>
      <x:c r="L162" s="172" t="str">
        <x:f>IF(A162="","",IF(K162=IFERROR(VLOOKUP(J162,Configuration!$L$5:$M$50,2,FALSE),J162),"Snapshot PIC","Replacement PIC"))</x:f>
        <x:v>Snapshot PIC</x:v>
      </x:c>
      <x:c r="M162" s="172" t="n">
        <x:f>IF(A162="","",IFERROR(VLOOKUP(I162,Configuration!$O$5:$P$8,2,FALSE),Configuration!$S$6))</x:f>
        <x:v>2</x:v>
      </x:c>
      <x:c r="N162" s="172" t="str">
        <x:f>IF(A162="","",IFERROR(LOOKUP(2,1/('Scope Review'!$B$5:$B$204=A162),'Scope Review'!$G$5:$G$204),"Not Reviewed"))</x:f>
        <x:v>Not Reviewed</x:v>
      </x:c>
      <x:c r="O162" s="172" t="str">
        <x:f>IF(A162="","",IFERROR(LOOKUP(2,1/('Scope Review'!$B$5:$B$204=A162),'Scope Review'!$H$5:$H$204),""))</x:f>
      </x:c>
      <x:c r="P162" s="172" t="n">
        <x:f>IF(A162="","",IF(AND(C162="executing",N162&lt;&gt;"Confirmed OOS"),M162,0))</x:f>
        <x:v>0</x:v>
      </x:c>
      <x:c r="Q162" s="173" t="str">
        <x:f>IF(A162="","",IFERROR(LOOKUP(2,1/('Engineer Updates'!$B$5:$B$704=A162),'Engineer Updates'!$A$5:$A$704),""))</x:f>
      </x:c>
      <x:c r="R162" s="172" t="str">
        <x:f>IF(A162="","",IFERROR(LOOKUP(2,1/('Engineer Updates'!$B$5:$B$704=A162),'Engineer Updates'!$H$5:$H$704),""))</x:f>
      </x:c>
      <x:c r="S162" s="172" t="str">
        <x:f>IF(A162="","",IFERROR(LOOKUP(2,1/('Engineer Updates'!$B$5:$B$704=A162),'Engineer Updates'!$G$5:$G$704),""))</x:f>
      </x:c>
      <x:c r="T162" s="172" t="str">
        <x:f>IF(A162="","",IFERROR(LOOKUP(2,1/('Engineer Updates'!$B$5:$B$704=A162),'Engineer Updates'!$I$5:$I$704),""))</x:f>
      </x:c>
      <x:c r="U162" s="172" t="str">
        <x:f>IF(A162="","",IFERROR(LOOKUP(2,1/('Engineer Updates'!$B$5:$B$704=A162),'Engineer Updates'!$J$5:$J$704),""))</x:f>
      </x:c>
      <x:c r="V162" s="172" t="str">
        <x:f>IF(A162="","",IFERROR(LOOKUP(2,1/('Engineer Updates'!$B$5:$B$704=A162),'Engineer Updates'!$K$5:$K$704),""))</x:f>
      </x:c>
      <x:c r="W162" s="174" t="str">
        <x:f>IF(A162="","",IFERROR(LOOKUP(2,1/('Engineer Updates'!$B$5:$B$704=A162),'Engineer Updates'!$L$5:$L$704),""))</x:f>
      </x:c>
      <x:c r="X162" s="170" t="str">
        <x:f>IF(A162="","",IF(C162="completed","Completed in CSSP",IF(AND(C162="executing",ISERROR(SEARCH("@",K162))),"Executing without named engineer",IF(AND(N162="Confirmed OOS",C162="executing"),"Confirmed OOS still executing",""))))</x:f>
        <x:v>Completed in CSSP</x:v>
      </x:c>
      <x:c r="Y162" s="170" t="str">
        <x:f>IF(A162="","",IF(B162="Decommissioning","Raw Decommissioning","Raw Provisioning"))</x:f>
        <x:v>Raw Decommissioning</x:v>
      </x:c>
      <x:c r="Z162" s="170" t="str">
        <x:f>IF(A162="","",IF(OR(C162="executing",C162="processing"),"Yes","No"))</x:f>
        <x:v>No</x:v>
      </x:c>
    </x:row>
    <x:row r="163">
      <x:c r="A163" s="170" t="str">
        <x:f>IF(ROWS($A$5:A163)&lt;=COUNTA('Raw Decommissioning'!$B$2:$B$1000),INDEX('Raw Decommissioning'!$B$2:$B$1000,ROWS($A$5:A163)),IF(ROWS($A$5:A163)-COUNTA('Raw Decommissioning'!$B$2:$B$1000)&lt;=COUNTA('Raw Provisioning'!$B$2:$B$1000),INDEX('Raw Provisioning'!$B$2:$B$1000,ROWS($A$5:A163)-COUNTA('Raw Decommissioning'!$B$2:$B$1000)),""))</x:f>
        <x:v>CSSP10772569</x:v>
      </x:c>
      <x:c r="B163" s="170" t="str">
        <x:f>IF(A163="","",IF(ROWS($A$5:A163)&lt;=COUNTA('Raw Decommissioning'!$B$2:$B$1000),"Decommissioning","Provisioning"))</x:f>
        <x:v>Decommissioning</x:v>
      </x:c>
      <x:c r="C163" s="170" t="str">
        <x:f>IF(A163="","",IF(B163="Decommissioning",IFERROR(INDEX('Raw Decommissioning'!$E$2:$E$1000,MATCH(A163,'Raw Decommissioning'!$B$2:$B$1000,0)),"Missing from latest raw"),IFERROR(INDEX('Raw Provisioning'!$E$2:$E$1000,MATCH(A163,'Raw Provisioning'!$B$2:$B$1000,0)),"Missing from latest raw")))</x:f>
        <x:v>completed</x:v>
      </x:c>
      <x:c r="D163" s="171" t="n">
        <x:f>IF(A163="","",'Refresh Control'!$B$4)</x:f>
        <x:v>46254</x:v>
      </x:c>
      <x:c r="E163" s="171" t="n">
        <x:f>IF(A163="","",IF(B163="Decommissioning",INDEX('Raw Decommissioning'!$F$2:$F$1000,ROWS($A$5:A163)),INDEX('Raw Provisioning'!$F$2:$F$1000,ROWS($A$5:A163)-COUNTA('Raw Decommissioning'!$B$2:$B$1000))))</x:f>
        <x:v>46113.12485665509</x:v>
      </x:c>
      <x:c r="F163" s="171" t="n">
        <x:f>IF(A163="","",IF(B163="Decommissioning",INDEX('Raw Decommissioning'!$G$2:$G$1000,ROWS($A$5:A163)),INDEX('Raw Provisioning'!$H$2:$H$1000,ROWS($A$5:A163)-COUNTA('Raw Decommissioning'!$B$2:$B$1000))))</x:f>
        <x:v>46120.16560127315</x:v>
      </x:c>
      <x:c r="G163" s="170" t="str">
        <x:f>IF(A163="","",IF(B163="Decommissioning",INDEX('Raw Decommissioning'!$I$2:$I$1000,ROWS($A$5:A163)),INDEX('Raw Provisioning'!$J$2:$J$1000,ROWS($A$5:A163)-COUNTA('Raw Decommissioning'!$B$2:$B$1000))))</x:f>
        <x:v>Lab Information Management System - LIMS PCGB</x:v>
      </x:c>
      <x:c r="H163" s="170" t="str">
        <x:f>IF(A163="","",IF(B163="Decommissioning",INDEX('Raw Decommissioning'!$J$2:$J$1000,ROWS($A$5:A163)),INDEX('Raw Provisioning'!$L$2:$L$1000,ROWS($A$5:A163)-COUNTA('Raw Decommissioning'!$B$2:$B$1000))))</x:f>
        <x:v>OCI MIGRATION - Integrated Lab Information System (PCG)</x:v>
      </x:c>
      <x:c r="I163" s="170" t="str">
        <x:f>IF(A163="","",IF(B163="Decommissioning",INDEX('Raw Decommissioning'!$AL$2:$AL$1000,ROWS($A$5:A163)),INDEX('Raw Provisioning'!$R$2:$R$1000,ROWS($A$5:A163)-COUNTA('Raw Decommissioning'!$B$2:$B$1000))))</x:f>
        <x:v>M</x:v>
      </x:c>
      <x:c r="J163" s="170" t="str">
        <x:f>IF(A163="","",IF(B163="Decommissioning",INDEX('Raw Decommissioning'!$AG$2:$AG$1000,ROWS($A$5:A163)),INDEX('Raw Provisioning'!$AI$2:$AI$1000,ROWS($A$5:A163)-COUNTA('Raw Decommissioning'!$B$2:$B$1000))))</x:f>
        <x:v>azwan.badari@petronas.com</x:v>
      </x:c>
      <x:c r="K163" s="172" t="str">
        <x:f>IF(A163="","",IFERROR(LOOKUP(2,1/('Assignment History'!$B$5:$B$204=A163),'Assignment History'!$D$5:$D$204),IFERROR(VLOOKUP(J163,Configuration!$L$5:$M$50,2,FALSE),J163)))</x:f>
        <x:v>azwan.badari@petronas.com</x:v>
      </x:c>
      <x:c r="L163" s="172" t="str">
        <x:f>IF(A163="","",IF(K163=IFERROR(VLOOKUP(J163,Configuration!$L$5:$M$50,2,FALSE),J163),"Snapshot PIC","Replacement PIC"))</x:f>
        <x:v>Snapshot PIC</x:v>
      </x:c>
      <x:c r="M163" s="172" t="n">
        <x:f>IF(A163="","",IFERROR(VLOOKUP(I163,Configuration!$O$5:$P$8,2,FALSE),Configuration!$S$6))</x:f>
        <x:v>2</x:v>
      </x:c>
      <x:c r="N163" s="172" t="str">
        <x:f>IF(A163="","",IFERROR(LOOKUP(2,1/('Scope Review'!$B$5:$B$204=A163),'Scope Review'!$G$5:$G$204),"Not Reviewed"))</x:f>
        <x:v>Not Reviewed</x:v>
      </x:c>
      <x:c r="O163" s="172" t="str">
        <x:f>IF(A163="","",IFERROR(LOOKUP(2,1/('Scope Review'!$B$5:$B$204=A163),'Scope Review'!$H$5:$H$204),""))</x:f>
      </x:c>
      <x:c r="P163" s="172" t="n">
        <x:f>IF(A163="","",IF(AND(C163="executing",N163&lt;&gt;"Confirmed OOS"),M163,0))</x:f>
        <x:v>0</x:v>
      </x:c>
      <x:c r="Q163" s="173" t="str">
        <x:f>IF(A163="","",IFERROR(LOOKUP(2,1/('Engineer Updates'!$B$5:$B$704=A163),'Engineer Updates'!$A$5:$A$704),""))</x:f>
      </x:c>
      <x:c r="R163" s="172" t="str">
        <x:f>IF(A163="","",IFERROR(LOOKUP(2,1/('Engineer Updates'!$B$5:$B$704=A163),'Engineer Updates'!$H$5:$H$704),""))</x:f>
      </x:c>
      <x:c r="S163" s="172" t="str">
        <x:f>IF(A163="","",IFERROR(LOOKUP(2,1/('Engineer Updates'!$B$5:$B$704=A163),'Engineer Updates'!$G$5:$G$704),""))</x:f>
      </x:c>
      <x:c r="T163" s="172" t="str">
        <x:f>IF(A163="","",IFERROR(LOOKUP(2,1/('Engineer Updates'!$B$5:$B$704=A163),'Engineer Updates'!$I$5:$I$704),""))</x:f>
      </x:c>
      <x:c r="U163" s="172" t="str">
        <x:f>IF(A163="","",IFERROR(LOOKUP(2,1/('Engineer Updates'!$B$5:$B$704=A163),'Engineer Updates'!$J$5:$J$704),""))</x:f>
      </x:c>
      <x:c r="V163" s="172" t="str">
        <x:f>IF(A163="","",IFERROR(LOOKUP(2,1/('Engineer Updates'!$B$5:$B$704=A163),'Engineer Updates'!$K$5:$K$704),""))</x:f>
      </x:c>
      <x:c r="W163" s="174" t="str">
        <x:f>IF(A163="","",IFERROR(LOOKUP(2,1/('Engineer Updates'!$B$5:$B$704=A163),'Engineer Updates'!$L$5:$L$704),""))</x:f>
      </x:c>
      <x:c r="X163" s="170" t="str">
        <x:f>IF(A163="","",IF(C163="completed","Completed in CSSP",IF(AND(C163="executing",ISERROR(SEARCH("@",K163))),"Executing without named engineer",IF(AND(N163="Confirmed OOS",C163="executing"),"Confirmed OOS still executing",""))))</x:f>
        <x:v>Completed in CSSP</x:v>
      </x:c>
      <x:c r="Y163" s="170" t="str">
        <x:f>IF(A163="","",IF(B163="Decommissioning","Raw Decommissioning","Raw Provisioning"))</x:f>
        <x:v>Raw Decommissioning</x:v>
      </x:c>
      <x:c r="Z163" s="170" t="str">
        <x:f>IF(A163="","",IF(OR(C163="executing",C163="processing"),"Yes","No"))</x:f>
        <x:v>No</x:v>
      </x:c>
    </x:row>
    <x:row r="164">
      <x:c r="A164" s="170" t="str">
        <x:f>IF(ROWS($A$5:A164)&lt;=COUNTA('Raw Decommissioning'!$B$2:$B$1000),INDEX('Raw Decommissioning'!$B$2:$B$1000,ROWS($A$5:A164)),IF(ROWS($A$5:A164)-COUNTA('Raw Decommissioning'!$B$2:$B$1000)&lt;=COUNTA('Raw Provisioning'!$B$2:$B$1000),INDEX('Raw Provisioning'!$B$2:$B$1000,ROWS($A$5:A164)-COUNTA('Raw Decommissioning'!$B$2:$B$1000)),""))</x:f>
        <x:v>CSSP10423338</x:v>
      </x:c>
      <x:c r="B164" s="170" t="str">
        <x:f>IF(A164="","",IF(ROWS($A$5:A164)&lt;=COUNTA('Raw Decommissioning'!$B$2:$B$1000),"Decommissioning","Provisioning"))</x:f>
        <x:v>Decommissioning</x:v>
      </x:c>
      <x:c r="C164" s="170" t="str">
        <x:f>IF(A164="","",IF(B164="Decommissioning",IFERROR(INDEX('Raw Decommissioning'!$E$2:$E$1000,MATCH(A164,'Raw Decommissioning'!$B$2:$B$1000,0)),"Missing from latest raw"),IFERROR(INDEX('Raw Provisioning'!$E$2:$E$1000,MATCH(A164,'Raw Provisioning'!$B$2:$B$1000,0)),"Missing from latest raw")))</x:f>
        <x:v>completed</x:v>
      </x:c>
      <x:c r="D164" s="171" t="n">
        <x:f>IF(A164="","",'Refresh Control'!$B$4)</x:f>
        <x:v>46254</x:v>
      </x:c>
      <x:c r="E164" s="171" t="n">
        <x:f>IF(A164="","",IF(B164="Decommissioning",INDEX('Raw Decommissioning'!$F$2:$F$1000,ROWS($A$5:A164)),INDEX('Raw Provisioning'!$F$2:$F$1000,ROWS($A$5:A164)-COUNTA('Raw Decommissioning'!$B$2:$B$1000))))</x:f>
        <x:v>46113.13437923611</x:v>
      </x:c>
      <x:c r="F164" s="171" t="n">
        <x:f>IF(A164="","",IF(B164="Decommissioning",INDEX('Raw Decommissioning'!$G$2:$G$1000,ROWS($A$5:A164)),INDEX('Raw Provisioning'!$H$2:$H$1000,ROWS($A$5:A164)-COUNTA('Raw Decommissioning'!$B$2:$B$1000))))</x:f>
        <x:v>46122.44377572917</x:v>
      </x:c>
      <x:c r="G164" s="170" t="str">
        <x:f>IF(A164="","",IF(B164="Decommissioning",INDEX('Raw Decommissioning'!$I$2:$I$1000,ROWS($A$5:A164)),INDEX('Raw Provisioning'!$J$2:$J$1000,ROWS($A$5:A164)-COUNTA('Raw Decommissioning'!$B$2:$B$1000))))</x:f>
        <x:v>PETRONAS Drone Command Centre - P-DCC</x:v>
      </x:c>
      <x:c r="H164" s="170" t="str">
        <x:f>IF(A164="","",IF(B164="Decommissioning",INDEX('Raw Decommissioning'!$J$2:$J$1000,ROWS($A$5:A164)),INDEX('Raw Provisioning'!$L$2:$L$1000,ROWS($A$5:A164)-COUNTA('Raw Decommissioning'!$B$2:$B$1000))))</x:f>
        <x:v>Drone Centre Cloud Storage for Drone Operations Across OPUs – Contract &amp; Collaboration Works</x:v>
      </x:c>
      <x:c r="I164" s="170" t="str">
        <x:f>IF(A164="","",IF(B164="Decommissioning",INDEX('Raw Decommissioning'!$AL$2:$AL$1000,ROWS($A$5:A164)),INDEX('Raw Provisioning'!$R$2:$R$1000,ROWS($A$5:A164)-COUNTA('Raw Decommissioning'!$B$2:$B$1000))))</x:f>
        <x:v>S</x:v>
      </x:c>
      <x:c r="J164" s="170" t="str">
        <x:f>IF(A164="","",IF(B164="Decommissioning",INDEX('Raw Decommissioning'!$AG$2:$AG$1000,ROWS($A$5:A164)),INDEX('Raw Provisioning'!$AI$2:$AI$1000,ROWS($A$5:A164)-COUNTA('Raw Decommissioning'!$B$2:$B$1000))))</x:f>
        <x:v>azwan.badari@petronas.com</x:v>
      </x:c>
      <x:c r="K164" s="172" t="str">
        <x:f>IF(A164="","",IFERROR(LOOKUP(2,1/('Assignment History'!$B$5:$B$204=A164),'Assignment History'!$D$5:$D$204),IFERROR(VLOOKUP(J164,Configuration!$L$5:$M$50,2,FALSE),J164)))</x:f>
        <x:v>azwan.badari@petronas.com</x:v>
      </x:c>
      <x:c r="L164" s="172" t="str">
        <x:f>IF(A164="","",IF(K164=IFERROR(VLOOKUP(J164,Configuration!$L$5:$M$50,2,FALSE),J164),"Snapshot PIC","Replacement PIC"))</x:f>
        <x:v>Snapshot PIC</x:v>
      </x:c>
      <x:c r="M164" s="172" t="n">
        <x:f>IF(A164="","",IFERROR(VLOOKUP(I164,Configuration!$O$5:$P$8,2,FALSE),Configuration!$S$6))</x:f>
        <x:v>1</x:v>
      </x:c>
      <x:c r="N164" s="172" t="str">
        <x:f>IF(A164="","",IFERROR(LOOKUP(2,1/('Scope Review'!$B$5:$B$204=A164),'Scope Review'!$G$5:$G$204),"Not Reviewed"))</x:f>
        <x:v>Not Reviewed</x:v>
      </x:c>
      <x:c r="O164" s="172" t="str">
        <x:f>IF(A164="","",IFERROR(LOOKUP(2,1/('Scope Review'!$B$5:$B$204=A164),'Scope Review'!$H$5:$H$204),""))</x:f>
      </x:c>
      <x:c r="P164" s="172" t="n">
        <x:f>IF(A164="","",IF(AND(C164="executing",N164&lt;&gt;"Confirmed OOS"),M164,0))</x:f>
        <x:v>0</x:v>
      </x:c>
      <x:c r="Q164" s="173" t="str">
        <x:f>IF(A164="","",IFERROR(LOOKUP(2,1/('Engineer Updates'!$B$5:$B$704=A164),'Engineer Updates'!$A$5:$A$704),""))</x:f>
      </x:c>
      <x:c r="R164" s="172" t="str">
        <x:f>IF(A164="","",IFERROR(LOOKUP(2,1/('Engineer Updates'!$B$5:$B$704=A164),'Engineer Updates'!$H$5:$H$704),""))</x:f>
      </x:c>
      <x:c r="S164" s="172" t="str">
        <x:f>IF(A164="","",IFERROR(LOOKUP(2,1/('Engineer Updates'!$B$5:$B$704=A164),'Engineer Updates'!$G$5:$G$704),""))</x:f>
      </x:c>
      <x:c r="T164" s="172" t="str">
        <x:f>IF(A164="","",IFERROR(LOOKUP(2,1/('Engineer Updates'!$B$5:$B$704=A164),'Engineer Updates'!$I$5:$I$704),""))</x:f>
      </x:c>
      <x:c r="U164" s="172" t="str">
        <x:f>IF(A164="","",IFERROR(LOOKUP(2,1/('Engineer Updates'!$B$5:$B$704=A164),'Engineer Updates'!$J$5:$J$704),""))</x:f>
      </x:c>
      <x:c r="V164" s="172" t="str">
        <x:f>IF(A164="","",IFERROR(LOOKUP(2,1/('Engineer Updates'!$B$5:$B$704=A164),'Engineer Updates'!$K$5:$K$704),""))</x:f>
      </x:c>
      <x:c r="W164" s="174" t="str">
        <x:f>IF(A164="","",IFERROR(LOOKUP(2,1/('Engineer Updates'!$B$5:$B$704=A164),'Engineer Updates'!$L$5:$L$704),""))</x:f>
      </x:c>
      <x:c r="X164" s="170" t="str">
        <x:f>IF(A164="","",IF(C164="completed","Completed in CSSP",IF(AND(C164="executing",ISERROR(SEARCH("@",K164))),"Executing without named engineer",IF(AND(N164="Confirmed OOS",C164="executing"),"Confirmed OOS still executing",""))))</x:f>
        <x:v>Completed in CSSP</x:v>
      </x:c>
      <x:c r="Y164" s="170" t="str">
        <x:f>IF(A164="","",IF(B164="Decommissioning","Raw Decommissioning","Raw Provisioning"))</x:f>
        <x:v>Raw Decommissioning</x:v>
      </x:c>
      <x:c r="Z164" s="170" t="str">
        <x:f>IF(A164="","",IF(OR(C164="executing",C164="processing"),"Yes","No"))</x:f>
        <x:v>No</x:v>
      </x:c>
    </x:row>
    <x:row r="165">
      <x:c r="A165" s="170" t="str">
        <x:f>IF(ROWS($A$5:A165)&lt;=COUNTA('Raw Decommissioning'!$B$2:$B$1000),INDEX('Raw Decommissioning'!$B$2:$B$1000,ROWS($A$5:A165)),IF(ROWS($A$5:A165)-COUNTA('Raw Decommissioning'!$B$2:$B$1000)&lt;=COUNTA('Raw Provisioning'!$B$2:$B$1000),INDEX('Raw Provisioning'!$B$2:$B$1000,ROWS($A$5:A165)-COUNTA('Raw Decommissioning'!$B$2:$B$1000)),""))</x:f>
        <x:v>CSSP10895487</x:v>
      </x:c>
      <x:c r="B165" s="170" t="str">
        <x:f>IF(A165="","",IF(ROWS($A$5:A165)&lt;=COUNTA('Raw Decommissioning'!$B$2:$B$1000),"Decommissioning","Provisioning"))</x:f>
        <x:v>Decommissioning</x:v>
      </x:c>
      <x:c r="C165" s="170" t="str">
        <x:f>IF(A165="","",IF(B165="Decommissioning",IFERROR(INDEX('Raw Decommissioning'!$E$2:$E$1000,MATCH(A165,'Raw Decommissioning'!$B$2:$B$1000,0)),"Missing from latest raw"),IFERROR(INDEX('Raw Provisioning'!$E$2:$E$1000,MATCH(A165,'Raw Provisioning'!$B$2:$B$1000,0)),"Missing from latest raw")))</x:f>
        <x:v>completed</x:v>
      </x:c>
      <x:c r="D165" s="171" t="n">
        <x:f>IF(A165="","",'Refresh Control'!$B$4)</x:f>
        <x:v>46254</x:v>
      </x:c>
      <x:c r="E165" s="171" t="n">
        <x:f>IF(A165="","",IF(B165="Decommissioning",INDEX('Raw Decommissioning'!$F$2:$F$1000,ROWS($A$5:A165)),INDEX('Raw Provisioning'!$F$2:$F$1000,ROWS($A$5:A165)-COUNTA('Raw Decommissioning'!$B$2:$B$1000))))</x:f>
        <x:v>46115.30886550926</x:v>
      </x:c>
      <x:c r="F165" s="171" t="n">
        <x:f>IF(A165="","",IF(B165="Decommissioning",INDEX('Raw Decommissioning'!$G$2:$G$1000,ROWS($A$5:A165)),INDEX('Raw Provisioning'!$H$2:$H$1000,ROWS($A$5:A165)-COUNTA('Raw Decommissioning'!$B$2:$B$1000))))</x:f>
        <x:v>46125.21172386574</x:v>
      </x:c>
      <x:c r="G165" s="170" t="str">
        <x:f>IF(A165="","",IF(B165="Decommissioning",INDEX('Raw Decommissioning'!$I$2:$I$1000,ROWS($A$5:A165)),INDEX('Raw Provisioning'!$J$2:$J$1000,ROWS($A$5:A165)-COUNTA('Raw Decommissioning'!$B$2:$B$1000))))</x:f>
        <x:v>Product Stewardship - PDST</x:v>
      </x:c>
      <x:c r="H165" s="170" t="str">
        <x:f>IF(A165="","",IF(B165="Decommissioning",INDEX('Raw Decommissioning'!$J$2:$J$1000,ROWS($A$5:A165)),INDEX('Raw Provisioning'!$L$2:$L$1000,ROWS($A$5:A165)-COUNTA('Raw Decommissioning'!$B$2:$B$1000))))</x:f>
        <x:v>Product Stewardship - PDST created for PRIVATECLOUD project record</x:v>
      </x:c>
      <x:c r="I165" s="170" t="str">
        <x:f>IF(A165="","",IF(B165="Decommissioning",INDEX('Raw Decommissioning'!$AL$2:$AL$1000,ROWS($A$5:A165)),INDEX('Raw Provisioning'!$R$2:$R$1000,ROWS($A$5:A165)-COUNTA('Raw Decommissioning'!$B$2:$B$1000))))</x:f>
        <x:v>M</x:v>
      </x:c>
      <x:c r="J165" s="170" t="str">
        <x:f>IF(A165="","",IF(B165="Decommissioning",INDEX('Raw Decommissioning'!$AG$2:$AG$1000,ROWS($A$5:A165)),INDEX('Raw Provisioning'!$AI$2:$AI$1000,ROWS($A$5:A165)-COUNTA('Raw Decommissioning'!$B$2:$B$1000))))</x:f>
        <x:v>azlisham.md@petronas.com</x:v>
      </x:c>
      <x:c r="K165" s="172" t="str">
        <x:f>IF(A165="","",IFERROR(LOOKUP(2,1/('Assignment History'!$B$5:$B$204=A165),'Assignment History'!$D$5:$D$204),IFERROR(VLOOKUP(J165,Configuration!$L$5:$M$50,2,FALSE),J165)))</x:f>
        <x:v>azlisham.md@petronas.com</x:v>
      </x:c>
      <x:c r="L165" s="172" t="str">
        <x:f>IF(A165="","",IF(K165=IFERROR(VLOOKUP(J165,Configuration!$L$5:$M$50,2,FALSE),J165),"Snapshot PIC","Replacement PIC"))</x:f>
        <x:v>Snapshot PIC</x:v>
      </x:c>
      <x:c r="M165" s="172" t="n">
        <x:f>IF(A165="","",IFERROR(VLOOKUP(I165,Configuration!$O$5:$P$8,2,FALSE),Configuration!$S$6))</x:f>
        <x:v>2</x:v>
      </x:c>
      <x:c r="N165" s="172" t="str">
        <x:f>IF(A165="","",IFERROR(LOOKUP(2,1/('Scope Review'!$B$5:$B$204=A165),'Scope Review'!$G$5:$G$204),"Not Reviewed"))</x:f>
        <x:v>Not Reviewed</x:v>
      </x:c>
      <x:c r="O165" s="172" t="str">
        <x:f>IF(A165="","",IFERROR(LOOKUP(2,1/('Scope Review'!$B$5:$B$204=A165),'Scope Review'!$H$5:$H$204),""))</x:f>
      </x:c>
      <x:c r="P165" s="172" t="n">
        <x:f>IF(A165="","",IF(AND(C165="executing",N165&lt;&gt;"Confirmed OOS"),M165,0))</x:f>
        <x:v>0</x:v>
      </x:c>
      <x:c r="Q165" s="173" t="str">
        <x:f>IF(A165="","",IFERROR(LOOKUP(2,1/('Engineer Updates'!$B$5:$B$704=A165),'Engineer Updates'!$A$5:$A$704),""))</x:f>
      </x:c>
      <x:c r="R165" s="172" t="str">
        <x:f>IF(A165="","",IFERROR(LOOKUP(2,1/('Engineer Updates'!$B$5:$B$704=A165),'Engineer Updates'!$H$5:$H$704),""))</x:f>
      </x:c>
      <x:c r="S165" s="172" t="str">
        <x:f>IF(A165="","",IFERROR(LOOKUP(2,1/('Engineer Updates'!$B$5:$B$704=A165),'Engineer Updates'!$G$5:$G$704),""))</x:f>
      </x:c>
      <x:c r="T165" s="172" t="str">
        <x:f>IF(A165="","",IFERROR(LOOKUP(2,1/('Engineer Updates'!$B$5:$B$704=A165),'Engineer Updates'!$I$5:$I$704),""))</x:f>
      </x:c>
      <x:c r="U165" s="172" t="str">
        <x:f>IF(A165="","",IFERROR(LOOKUP(2,1/('Engineer Updates'!$B$5:$B$704=A165),'Engineer Updates'!$J$5:$J$704),""))</x:f>
      </x:c>
      <x:c r="V165" s="172" t="str">
        <x:f>IF(A165="","",IFERROR(LOOKUP(2,1/('Engineer Updates'!$B$5:$B$704=A165),'Engineer Updates'!$K$5:$K$704),""))</x:f>
      </x:c>
      <x:c r="W165" s="174" t="str">
        <x:f>IF(A165="","",IFERROR(LOOKUP(2,1/('Engineer Updates'!$B$5:$B$704=A165),'Engineer Updates'!$L$5:$L$704),""))</x:f>
      </x:c>
      <x:c r="X165" s="170" t="str">
        <x:f>IF(A165="","",IF(C165="completed","Completed in CSSP",IF(AND(C165="executing",ISERROR(SEARCH("@",K165))),"Executing without named engineer",IF(AND(N165="Confirmed OOS",C165="executing"),"Confirmed OOS still executing",""))))</x:f>
        <x:v>Completed in CSSP</x:v>
      </x:c>
      <x:c r="Y165" s="170" t="str">
        <x:f>IF(A165="","",IF(B165="Decommissioning","Raw Decommissioning","Raw Provisioning"))</x:f>
        <x:v>Raw Decommissioning</x:v>
      </x:c>
      <x:c r="Z165" s="170" t="str">
        <x:f>IF(A165="","",IF(OR(C165="executing",C165="processing"),"Yes","No"))</x:f>
        <x:v>No</x:v>
      </x:c>
    </x:row>
    <x:row r="166">
      <x:c r="A166" s="170" t="str">
        <x:f>IF(ROWS($A$5:A166)&lt;=COUNTA('Raw Decommissioning'!$B$2:$B$1000),INDEX('Raw Decommissioning'!$B$2:$B$1000,ROWS($A$5:A166)),IF(ROWS($A$5:A166)-COUNTA('Raw Decommissioning'!$B$2:$B$1000)&lt;=COUNTA('Raw Provisioning'!$B$2:$B$1000),INDEX('Raw Provisioning'!$B$2:$B$1000,ROWS($A$5:A166)-COUNTA('Raw Decommissioning'!$B$2:$B$1000)),""))</x:f>
        <x:v>CSSP10309494</x:v>
      </x:c>
      <x:c r="B166" s="170" t="str">
        <x:f>IF(A166="","",IF(ROWS($A$5:A166)&lt;=COUNTA('Raw Decommissioning'!$B$2:$B$1000),"Decommissioning","Provisioning"))</x:f>
        <x:v>Decommissioning</x:v>
      </x:c>
      <x:c r="C166" s="170" t="str">
        <x:f>IF(A166="","",IF(B166="Decommissioning",IFERROR(INDEX('Raw Decommissioning'!$E$2:$E$1000,MATCH(A166,'Raw Decommissioning'!$B$2:$B$1000,0)),"Missing from latest raw"),IFERROR(INDEX('Raw Provisioning'!$E$2:$E$1000,MATCH(A166,'Raw Provisioning'!$B$2:$B$1000,0)),"Missing from latest raw")))</x:f>
        <x:v>completed</x:v>
      </x:c>
      <x:c r="D166" s="171" t="n">
        <x:f>IF(A166="","",'Refresh Control'!$B$4)</x:f>
        <x:v>46254</x:v>
      </x:c>
      <x:c r="E166" s="171" t="n">
        <x:f>IF(A166="","",IF(B166="Decommissioning",INDEX('Raw Decommissioning'!$F$2:$F$1000,ROWS($A$5:A166)),INDEX('Raw Provisioning'!$F$2:$F$1000,ROWS($A$5:A166)-COUNTA('Raw Decommissioning'!$B$2:$B$1000))))</x:f>
        <x:v>46118.04706525463</x:v>
      </x:c>
      <x:c r="F166" s="171" t="n">
        <x:f>IF(A166="","",IF(B166="Decommissioning",INDEX('Raw Decommissioning'!$G$2:$G$1000,ROWS($A$5:A166)),INDEX('Raw Provisioning'!$H$2:$H$1000,ROWS($A$5:A166)-COUNTA('Raw Decommissioning'!$B$2:$B$1000))))</x:f>
        <x:v>46122.09333408565</x:v>
      </x:c>
      <x:c r="G166" s="170" t="str">
        <x:f>IF(A166="","",IF(B166="Decommissioning",INDEX('Raw Decommissioning'!$I$2:$I$1000,ROWS($A$5:A166)),INDEX('Raw Provisioning'!$J$2:$J$1000,ROWS($A$5:A166)-COUNTA('Raw Decommissioning'!$B$2:$B$1000))))</x:f>
        <x:v>Offline Data Management - ODM ABF</x:v>
      </x:c>
      <x:c r="H166" s="170" t="str">
        <x:f>IF(A166="","",IF(B166="Decommissioning",INDEX('Raw Decommissioning'!$J$2:$J$1000,ROWS($A$5:A166)),INDEX('Raw Provisioning'!$L$2:$L$1000,ROWS($A$5:A166)-COUNTA('Raw Decommissioning'!$B$2:$B$1000))))</x:f>
        <x:v>Cloud Migration Program - Offline Data Management (ODM) ABF</x:v>
      </x:c>
      <x:c r="I166" s="170" t="str">
        <x:f>IF(A166="","",IF(B166="Decommissioning",INDEX('Raw Decommissioning'!$AL$2:$AL$1000,ROWS($A$5:A166)),INDEX('Raw Provisioning'!$R$2:$R$1000,ROWS($A$5:A166)-COUNTA('Raw Decommissioning'!$B$2:$B$1000))))</x:f>
        <x:v>M</x:v>
      </x:c>
      <x:c r="J166" s="170" t="str">
        <x:f>IF(A166="","",IF(B166="Decommissioning",INDEX('Raw Decommissioning'!$AG$2:$AG$1000,ROWS($A$5:A166)),INDEX('Raw Provisioning'!$AI$2:$AI$1000,ROWS($A$5:A166)-COUNTA('Raw Decommissioning'!$B$2:$B$1000))))</x:f>
        <x:v>azlisham.md@petronas.com</x:v>
      </x:c>
      <x:c r="K166" s="172" t="str">
        <x:f>IF(A166="","",IFERROR(LOOKUP(2,1/('Assignment History'!$B$5:$B$204=A166),'Assignment History'!$D$5:$D$204),IFERROR(VLOOKUP(J166,Configuration!$L$5:$M$50,2,FALSE),J166)))</x:f>
        <x:v>azlisham.md@petronas.com</x:v>
      </x:c>
      <x:c r="L166" s="172" t="str">
        <x:f>IF(A166="","",IF(K166=IFERROR(VLOOKUP(J166,Configuration!$L$5:$M$50,2,FALSE),J166),"Snapshot PIC","Replacement PIC"))</x:f>
        <x:v>Snapshot PIC</x:v>
      </x:c>
      <x:c r="M166" s="172" t="n">
        <x:f>IF(A166="","",IFERROR(VLOOKUP(I166,Configuration!$O$5:$P$8,2,FALSE),Configuration!$S$6))</x:f>
        <x:v>2</x:v>
      </x:c>
      <x:c r="N166" s="172" t="str">
        <x:f>IF(A166="","",IFERROR(LOOKUP(2,1/('Scope Review'!$B$5:$B$204=A166),'Scope Review'!$G$5:$G$204),"Not Reviewed"))</x:f>
        <x:v>Not Reviewed</x:v>
      </x:c>
      <x:c r="O166" s="172" t="str">
        <x:f>IF(A166="","",IFERROR(LOOKUP(2,1/('Scope Review'!$B$5:$B$204=A166),'Scope Review'!$H$5:$H$204),""))</x:f>
      </x:c>
      <x:c r="P166" s="172" t="n">
        <x:f>IF(A166="","",IF(AND(C166="executing",N166&lt;&gt;"Confirmed OOS"),M166,0))</x:f>
        <x:v>0</x:v>
      </x:c>
      <x:c r="Q166" s="173" t="str">
        <x:f>IF(A166="","",IFERROR(LOOKUP(2,1/('Engineer Updates'!$B$5:$B$704=A166),'Engineer Updates'!$A$5:$A$704),""))</x:f>
      </x:c>
      <x:c r="R166" s="172" t="str">
        <x:f>IF(A166="","",IFERROR(LOOKUP(2,1/('Engineer Updates'!$B$5:$B$704=A166),'Engineer Updates'!$H$5:$H$704),""))</x:f>
      </x:c>
      <x:c r="S166" s="172" t="str">
        <x:f>IF(A166="","",IFERROR(LOOKUP(2,1/('Engineer Updates'!$B$5:$B$704=A166),'Engineer Updates'!$G$5:$G$704),""))</x:f>
      </x:c>
      <x:c r="T166" s="172" t="str">
        <x:f>IF(A166="","",IFERROR(LOOKUP(2,1/('Engineer Updates'!$B$5:$B$704=A166),'Engineer Updates'!$I$5:$I$704),""))</x:f>
      </x:c>
      <x:c r="U166" s="172" t="str">
        <x:f>IF(A166="","",IFERROR(LOOKUP(2,1/('Engineer Updates'!$B$5:$B$704=A166),'Engineer Updates'!$J$5:$J$704),""))</x:f>
      </x:c>
      <x:c r="V166" s="172" t="str">
        <x:f>IF(A166="","",IFERROR(LOOKUP(2,1/('Engineer Updates'!$B$5:$B$704=A166),'Engineer Updates'!$K$5:$K$704),""))</x:f>
      </x:c>
      <x:c r="W166" s="174" t="str">
        <x:f>IF(A166="","",IFERROR(LOOKUP(2,1/('Engineer Updates'!$B$5:$B$704=A166),'Engineer Updates'!$L$5:$L$704),""))</x:f>
      </x:c>
      <x:c r="X166" s="170" t="str">
        <x:f>IF(A166="","",IF(C166="completed","Completed in CSSP",IF(AND(C166="executing",ISERROR(SEARCH("@",K166))),"Executing without named engineer",IF(AND(N166="Confirmed OOS",C166="executing"),"Confirmed OOS still executing",""))))</x:f>
        <x:v>Completed in CSSP</x:v>
      </x:c>
      <x:c r="Y166" s="170" t="str">
        <x:f>IF(A166="","",IF(B166="Decommissioning","Raw Decommissioning","Raw Provisioning"))</x:f>
        <x:v>Raw Decommissioning</x:v>
      </x:c>
      <x:c r="Z166" s="170" t="str">
        <x:f>IF(A166="","",IF(OR(C166="executing",C166="processing"),"Yes","No"))</x:f>
        <x:v>No</x:v>
      </x:c>
    </x:row>
    <x:row r="167">
      <x:c r="A167" s="170" t="str">
        <x:f>IF(ROWS($A$5:A167)&lt;=COUNTA('Raw Decommissioning'!$B$2:$B$1000),INDEX('Raw Decommissioning'!$B$2:$B$1000,ROWS($A$5:A167)),IF(ROWS($A$5:A167)-COUNTA('Raw Decommissioning'!$B$2:$B$1000)&lt;=COUNTA('Raw Provisioning'!$B$2:$B$1000),INDEX('Raw Provisioning'!$B$2:$B$1000,ROWS($A$5:A167)-COUNTA('Raw Decommissioning'!$B$2:$B$1000)),""))</x:f>
        <x:v>CSSP10971886</x:v>
      </x:c>
      <x:c r="B167" s="170" t="str">
        <x:f>IF(A167="","",IF(ROWS($A$5:A167)&lt;=COUNTA('Raw Decommissioning'!$B$2:$B$1000),"Decommissioning","Provisioning"))</x:f>
        <x:v>Decommissioning</x:v>
      </x:c>
      <x:c r="C167" s="170" t="str">
        <x:f>IF(A167="","",IF(B167="Decommissioning",IFERROR(INDEX('Raw Decommissioning'!$E$2:$E$1000,MATCH(A167,'Raw Decommissioning'!$B$2:$B$1000,0)),"Missing from latest raw"),IFERROR(INDEX('Raw Provisioning'!$E$2:$E$1000,MATCH(A167,'Raw Provisioning'!$B$2:$B$1000,0)),"Missing from latest raw")))</x:f>
        <x:v>cancelled</x:v>
      </x:c>
      <x:c r="D167" s="171" t="n">
        <x:f>IF(A167="","",'Refresh Control'!$B$4)</x:f>
        <x:v>46254</x:v>
      </x:c>
      <x:c r="E167" s="171" t="n">
        <x:f>IF(A167="","",IF(B167="Decommissioning",INDEX('Raw Decommissioning'!$F$2:$F$1000,ROWS($A$5:A167)),INDEX('Raw Provisioning'!$F$2:$F$1000,ROWS($A$5:A167)-COUNTA('Raw Decommissioning'!$B$2:$B$1000))))</x:f>
        <x:v>46118.084872025465</x:v>
      </x:c>
      <x:c r="F167" s="171" t="n">
        <x:f>IF(A167="","",IF(B167="Decommissioning",INDEX('Raw Decommissioning'!$G$2:$G$1000,ROWS($A$5:A167)),INDEX('Raw Provisioning'!$H$2:$H$1000,ROWS($A$5:A167)-COUNTA('Raw Decommissioning'!$B$2:$B$1000))))</x:f>
        <x:v>46118.08506960648</x:v>
      </x:c>
      <x:c r="G167" s="170" t="str">
        <x:f>IF(A167="","",IF(B167="Decommissioning",INDEX('Raw Decommissioning'!$I$2:$I$1000,ROWS($A$5:A167)),INDEX('Raw Provisioning'!$J$2:$J$1000,ROWS($A$5:A167)-COUNTA('Raw Decommissioning'!$B$2:$B$1000))))</x:f>
        <x:v>Project Management Workbench Plus - PMW+</x:v>
      </x:c>
      <x:c r="H167" s="170" t="str">
        <x:f>IF(A167="","",IF(B167="Decommissioning",INDEX('Raw Decommissioning'!$J$2:$J$1000,ROWS($A$5:A167)),INDEX('Raw Provisioning'!$L$2:$L$1000,ROWS($A$5:A167)-COUNTA('Raw Decommissioning'!$B$2:$B$1000))))</x:f>
        <x:v>PMW Plus</x:v>
      </x:c>
      <x:c r="I167" s="170" t="str">
        <x:f>IF(A167="","",IF(B167="Decommissioning",INDEX('Raw Decommissioning'!$AL$2:$AL$1000,ROWS($A$5:A167)),INDEX('Raw Provisioning'!$R$2:$R$1000,ROWS($A$5:A167)-COUNTA('Raw Decommissioning'!$B$2:$B$1000))))</x:f>
      </x:c>
      <x:c r="J167" s="170" t="str">
        <x:f>IF(A167="","",IF(B167="Decommissioning",INDEX('Raw Decommissioning'!$AG$2:$AG$1000,ROWS($A$5:A167)),INDEX('Raw Provisioning'!$AI$2:$AI$1000,ROWS($A$5:A167)-COUNTA('Raw Decommissioning'!$B$2:$B$1000))))</x:f>
        <x:v>CCoE Operations</x:v>
      </x:c>
      <x:c r="K167" s="172" t="str">
        <x:f>IF(A167="","",IFERROR(LOOKUP(2,1/('Assignment History'!$B$5:$B$204=A167),'Assignment History'!$D$5:$D$204),IFERROR(VLOOKUP(J167,Configuration!$L$5:$M$50,2,FALSE),J167)))</x:f>
        <x:v>CCoE Operations</x:v>
      </x:c>
      <x:c r="L167" s="172" t="str">
        <x:f>IF(A167="","",IF(K167=IFERROR(VLOOKUP(J167,Configuration!$L$5:$M$50,2,FALSE),J167),"Snapshot PIC","Replacement PIC"))</x:f>
        <x:v>Snapshot PIC</x:v>
      </x:c>
      <x:c r="M167" s="172" t="n">
        <x:f>IF(A167="","",IFERROR(VLOOKUP(I167,Configuration!$O$5:$P$8,2,FALSE),Configuration!$S$6))</x:f>
        <x:v>2</x:v>
      </x:c>
      <x:c r="N167" s="172" t="str">
        <x:f>IF(A167="","",IFERROR(LOOKUP(2,1/('Scope Review'!$B$5:$B$204=A167),'Scope Review'!$G$5:$G$204),"Not Reviewed"))</x:f>
        <x:v>Not Reviewed</x:v>
      </x:c>
      <x:c r="O167" s="172" t="str">
        <x:f>IF(A167="","",IFERROR(LOOKUP(2,1/('Scope Review'!$B$5:$B$204=A167),'Scope Review'!$H$5:$H$204),""))</x:f>
      </x:c>
      <x:c r="P167" s="172" t="n">
        <x:f>IF(A167="","",IF(AND(C167="executing",N167&lt;&gt;"Confirmed OOS"),M167,0))</x:f>
        <x:v>0</x:v>
      </x:c>
      <x:c r="Q167" s="173" t="str">
        <x:f>IF(A167="","",IFERROR(LOOKUP(2,1/('Engineer Updates'!$B$5:$B$704=A167),'Engineer Updates'!$A$5:$A$704),""))</x:f>
      </x:c>
      <x:c r="R167" s="172" t="str">
        <x:f>IF(A167="","",IFERROR(LOOKUP(2,1/('Engineer Updates'!$B$5:$B$704=A167),'Engineer Updates'!$H$5:$H$704),""))</x:f>
      </x:c>
      <x:c r="S167" s="172" t="str">
        <x:f>IF(A167="","",IFERROR(LOOKUP(2,1/('Engineer Updates'!$B$5:$B$704=A167),'Engineer Updates'!$G$5:$G$704),""))</x:f>
      </x:c>
      <x:c r="T167" s="172" t="str">
        <x:f>IF(A167="","",IFERROR(LOOKUP(2,1/('Engineer Updates'!$B$5:$B$704=A167),'Engineer Updates'!$I$5:$I$704),""))</x:f>
      </x:c>
      <x:c r="U167" s="172" t="str">
        <x:f>IF(A167="","",IFERROR(LOOKUP(2,1/('Engineer Updates'!$B$5:$B$704=A167),'Engineer Updates'!$J$5:$J$704),""))</x:f>
      </x:c>
      <x:c r="V167" s="172" t="str">
        <x:f>IF(A167="","",IFERROR(LOOKUP(2,1/('Engineer Updates'!$B$5:$B$704=A167),'Engineer Updates'!$K$5:$K$704),""))</x:f>
      </x:c>
      <x:c r="W167" s="174" t="str">
        <x:f>IF(A167="","",IFERROR(LOOKUP(2,1/('Engineer Updates'!$B$5:$B$704=A167),'Engineer Updates'!$L$5:$L$704),""))</x:f>
      </x:c>
      <x:c r="X167" s="170" t="str">
        <x:f>IF(A167="","",IF(C167="completed","Completed in CSSP",IF(AND(C167="executing",ISERROR(SEARCH("@",K167))),"Executing without named engineer",IF(AND(N167="Confirmed OOS",C167="executing"),"Confirmed OOS still executing",""))))</x:f>
      </x:c>
      <x:c r="Y167" s="170" t="str">
        <x:f>IF(A167="","",IF(B167="Decommissioning","Raw Decommissioning","Raw Provisioning"))</x:f>
        <x:v>Raw Decommissioning</x:v>
      </x:c>
      <x:c r="Z167" s="170" t="str">
        <x:f>IF(A167="","",IF(OR(C167="executing",C167="processing"),"Yes","No"))</x:f>
        <x:v>No</x:v>
      </x:c>
    </x:row>
    <x:row r="168">
      <x:c r="A168" s="170" t="str">
        <x:f>IF(ROWS($A$5:A168)&lt;=COUNTA('Raw Decommissioning'!$B$2:$B$1000),INDEX('Raw Decommissioning'!$B$2:$B$1000,ROWS($A$5:A168)),IF(ROWS($A$5:A168)-COUNTA('Raw Decommissioning'!$B$2:$B$1000)&lt;=COUNTA('Raw Provisioning'!$B$2:$B$1000),INDEX('Raw Provisioning'!$B$2:$B$1000,ROWS($A$5:A168)-COUNTA('Raw Decommissioning'!$B$2:$B$1000)),""))</x:f>
        <x:v>CSSP10112184</x:v>
      </x:c>
      <x:c r="B168" s="170" t="str">
        <x:f>IF(A168="","",IF(ROWS($A$5:A168)&lt;=COUNTA('Raw Decommissioning'!$B$2:$B$1000),"Decommissioning","Provisioning"))</x:f>
        <x:v>Decommissioning</x:v>
      </x:c>
      <x:c r="C168" s="170" t="str">
        <x:f>IF(A168="","",IF(B168="Decommissioning",IFERROR(INDEX('Raw Decommissioning'!$E$2:$E$1000,MATCH(A168,'Raw Decommissioning'!$B$2:$B$1000,0)),"Missing from latest raw"),IFERROR(INDEX('Raw Provisioning'!$E$2:$E$1000,MATCH(A168,'Raw Provisioning'!$B$2:$B$1000,0)),"Missing from latest raw")))</x:f>
        <x:v>completed</x:v>
      </x:c>
      <x:c r="D168" s="171" t="n">
        <x:f>IF(A168="","",'Refresh Control'!$B$4)</x:f>
        <x:v>46254</x:v>
      </x:c>
      <x:c r="E168" s="171" t="n">
        <x:f>IF(A168="","",IF(B168="Decommissioning",INDEX('Raw Decommissioning'!$F$2:$F$1000,ROWS($A$5:A168)),INDEX('Raw Provisioning'!$F$2:$F$1000,ROWS($A$5:A168)-COUNTA('Raw Decommissioning'!$B$2:$B$1000))))</x:f>
        <x:v>46118.0862278125</x:v>
      </x:c>
      <x:c r="F168" s="171" t="n">
        <x:f>IF(A168="","",IF(B168="Decommissioning",INDEX('Raw Decommissioning'!$G$2:$G$1000,ROWS($A$5:A168)),INDEX('Raw Provisioning'!$H$2:$H$1000,ROWS($A$5:A168)-COUNTA('Raw Decommissioning'!$B$2:$B$1000))))</x:f>
        <x:v>46199.31525619213</x:v>
      </x:c>
      <x:c r="G168" s="170" t="str">
        <x:f>IF(A168="","",IF(B168="Decommissioning",INDEX('Raw Decommissioning'!$I$2:$I$1000,ROWS($A$5:A168)),INDEX('Raw Provisioning'!$J$2:$J$1000,ROWS($A$5:A168)-COUNTA('Raw Decommissioning'!$B$2:$B$1000))))</x:f>
        <x:v>Project Management Workbench Plus - PMW+</x:v>
      </x:c>
      <x:c r="H168" s="170" t="str">
        <x:f>IF(A168="","",IF(B168="Decommissioning",INDEX('Raw Decommissioning'!$J$2:$J$1000,ROWS($A$5:A168)),INDEX('Raw Provisioning'!$L$2:$L$1000,ROWS($A$5:A168)-COUNTA('Raw Decommissioning'!$B$2:$B$1000))))</x:f>
        <x:v>PMW Plus</x:v>
      </x:c>
      <x:c r="I168" s="170" t="str">
        <x:f>IF(A168="","",IF(B168="Decommissioning",INDEX('Raw Decommissioning'!$AL$2:$AL$1000,ROWS($A$5:A168)),INDEX('Raw Provisioning'!$R$2:$R$1000,ROWS($A$5:A168)-COUNTA('Raw Decommissioning'!$B$2:$B$1000))))</x:f>
        <x:v>M</x:v>
      </x:c>
      <x:c r="J168" s="170" t="str">
        <x:f>IF(A168="","",IF(B168="Decommissioning",INDEX('Raw Decommissioning'!$AG$2:$AG$1000,ROWS($A$5:A168)),INDEX('Raw Provisioning'!$AI$2:$AI$1000,ROWS($A$5:A168)-COUNTA('Raw Decommissioning'!$B$2:$B$1000))))</x:f>
        <x:v>azwan.badari@petronas.com</x:v>
      </x:c>
      <x:c r="K168" s="172" t="str">
        <x:f>IF(A168="","",IFERROR(LOOKUP(2,1/('Assignment History'!$B$5:$B$204=A168),'Assignment History'!$D$5:$D$204),IFERROR(VLOOKUP(J168,Configuration!$L$5:$M$50,2,FALSE),J168)))</x:f>
        <x:v>azwan.badari@petronas.com</x:v>
      </x:c>
      <x:c r="L168" s="172" t="str">
        <x:f>IF(A168="","",IF(K168=IFERROR(VLOOKUP(J168,Configuration!$L$5:$M$50,2,FALSE),J168),"Snapshot PIC","Replacement PIC"))</x:f>
        <x:v>Snapshot PIC</x:v>
      </x:c>
      <x:c r="M168" s="172" t="n">
        <x:f>IF(A168="","",IFERROR(VLOOKUP(I168,Configuration!$O$5:$P$8,2,FALSE),Configuration!$S$6))</x:f>
        <x:v>2</x:v>
      </x:c>
      <x:c r="N168" s="172" t="str">
        <x:f>IF(A168="","",IFERROR(LOOKUP(2,1/('Scope Review'!$B$5:$B$204=A168),'Scope Review'!$G$5:$G$204),"Not Reviewed"))</x:f>
        <x:v>Not Reviewed</x:v>
      </x:c>
      <x:c r="O168" s="172" t="str">
        <x:f>IF(A168="","",IFERROR(LOOKUP(2,1/('Scope Review'!$B$5:$B$204=A168),'Scope Review'!$H$5:$H$204),""))</x:f>
      </x:c>
      <x:c r="P168" s="172" t="n">
        <x:f>IF(A168="","",IF(AND(C168="executing",N168&lt;&gt;"Confirmed OOS"),M168,0))</x:f>
        <x:v>0</x:v>
      </x:c>
      <x:c r="Q168" s="173" t="str">
        <x:f>IF(A168="","",IFERROR(LOOKUP(2,1/('Engineer Updates'!$B$5:$B$704=A168),'Engineer Updates'!$A$5:$A$704),""))</x:f>
      </x:c>
      <x:c r="R168" s="172" t="str">
        <x:f>IF(A168="","",IFERROR(LOOKUP(2,1/('Engineer Updates'!$B$5:$B$704=A168),'Engineer Updates'!$H$5:$H$704),""))</x:f>
      </x:c>
      <x:c r="S168" s="172" t="str">
        <x:f>IF(A168="","",IFERROR(LOOKUP(2,1/('Engineer Updates'!$B$5:$B$704=A168),'Engineer Updates'!$G$5:$G$704),""))</x:f>
      </x:c>
      <x:c r="T168" s="172" t="str">
        <x:f>IF(A168="","",IFERROR(LOOKUP(2,1/('Engineer Updates'!$B$5:$B$704=A168),'Engineer Updates'!$I$5:$I$704),""))</x:f>
      </x:c>
      <x:c r="U168" s="172" t="str">
        <x:f>IF(A168="","",IFERROR(LOOKUP(2,1/('Engineer Updates'!$B$5:$B$704=A168),'Engineer Updates'!$J$5:$J$704),""))</x:f>
      </x:c>
      <x:c r="V168" s="172" t="str">
        <x:f>IF(A168="","",IFERROR(LOOKUP(2,1/('Engineer Updates'!$B$5:$B$704=A168),'Engineer Updates'!$K$5:$K$704),""))</x:f>
      </x:c>
      <x:c r="W168" s="174" t="str">
        <x:f>IF(A168="","",IFERROR(LOOKUP(2,1/('Engineer Updates'!$B$5:$B$704=A168),'Engineer Updates'!$L$5:$L$704),""))</x:f>
      </x:c>
      <x:c r="X168" s="170" t="str">
        <x:f>IF(A168="","",IF(C168="completed","Completed in CSSP",IF(AND(C168="executing",ISERROR(SEARCH("@",K168))),"Executing without named engineer",IF(AND(N168="Confirmed OOS",C168="executing"),"Confirmed OOS still executing",""))))</x:f>
        <x:v>Completed in CSSP</x:v>
      </x:c>
      <x:c r="Y168" s="170" t="str">
        <x:f>IF(A168="","",IF(B168="Decommissioning","Raw Decommissioning","Raw Provisioning"))</x:f>
        <x:v>Raw Decommissioning</x:v>
      </x:c>
      <x:c r="Z168" s="170" t="str">
        <x:f>IF(A168="","",IF(OR(C168="executing",C168="processing"),"Yes","No"))</x:f>
        <x:v>No</x:v>
      </x:c>
    </x:row>
    <x:row r="169">
      <x:c r="A169" s="170" t="str">
        <x:f>IF(ROWS($A$5:A169)&lt;=COUNTA('Raw Decommissioning'!$B$2:$B$1000),INDEX('Raw Decommissioning'!$B$2:$B$1000,ROWS($A$5:A169)),IF(ROWS($A$5:A169)-COUNTA('Raw Decommissioning'!$B$2:$B$1000)&lt;=COUNTA('Raw Provisioning'!$B$2:$B$1000),INDEX('Raw Provisioning'!$B$2:$B$1000,ROWS($A$5:A169)-COUNTA('Raw Decommissioning'!$B$2:$B$1000)),""))</x:f>
        <x:v>CSSP10436840</x:v>
      </x:c>
      <x:c r="B169" s="170" t="str">
        <x:f>IF(A169="","",IF(ROWS($A$5:A169)&lt;=COUNTA('Raw Decommissioning'!$B$2:$B$1000),"Decommissioning","Provisioning"))</x:f>
        <x:v>Decommissioning</x:v>
      </x:c>
      <x:c r="C169" s="170" t="str">
        <x:f>IF(A169="","",IF(B169="Decommissioning",IFERROR(INDEX('Raw Decommissioning'!$E$2:$E$1000,MATCH(A169,'Raw Decommissioning'!$B$2:$B$1000,0)),"Missing from latest raw"),IFERROR(INDEX('Raw Provisioning'!$E$2:$E$1000,MATCH(A169,'Raw Provisioning'!$B$2:$B$1000,0)),"Missing from latest raw")))</x:f>
        <x:v>completed</x:v>
      </x:c>
      <x:c r="D169" s="171" t="n">
        <x:f>IF(A169="","",'Refresh Control'!$B$4)</x:f>
        <x:v>46254</x:v>
      </x:c>
      <x:c r="E169" s="171" t="n">
        <x:f>IF(A169="","",IF(B169="Decommissioning",INDEX('Raw Decommissioning'!$F$2:$F$1000,ROWS($A$5:A169)),INDEX('Raw Provisioning'!$F$2:$F$1000,ROWS($A$5:A169)-COUNTA('Raw Decommissioning'!$B$2:$B$1000))))</x:f>
        <x:v>46119.31901806713</x:v>
      </x:c>
      <x:c r="F169" s="171" t="n">
        <x:f>IF(A169="","",IF(B169="Decommissioning",INDEX('Raw Decommissioning'!$G$2:$G$1000,ROWS($A$5:A169)),INDEX('Raw Provisioning'!$H$2:$H$1000,ROWS($A$5:A169)-COUNTA('Raw Decommissioning'!$B$2:$B$1000))))</x:f>
        <x:v>46124.433784340275</x:v>
      </x:c>
      <x:c r="G169" s="170" t="str">
        <x:f>IF(A169="","",IF(B169="Decommissioning",INDEX('Raw Decommissioning'!$I$2:$I$1000,ROWS($A$5:A169)),INDEX('Raw Provisioning'!$J$2:$J$1000,ROWS($A$5:A169)-COUNTA('Raw Decommissioning'!$B$2:$B$1000))))</x:f>
        <x:v>Static Equipment Analytic Library - SEAL</x:v>
      </x:c>
      <x:c r="H169" s="170" t="str">
        <x:f>IF(A169="","",IF(B169="Decommissioning",INDEX('Raw Decommissioning'!$J$2:$J$1000,ROWS($A$5:A169)),INDEX('Raw Provisioning'!$L$2:$L$1000,ROWS($A$5:A169)-COUNTA('Raw Decommissioning'!$B$2:$B$1000))))</x:f>
        <x:v>Static Equipment Analytic Library (SEAL) as Upstream Static Equipment Advanced Analytical Tools for Upstream COE</x:v>
      </x:c>
      <x:c r="I169" s="170" t="str">
        <x:f>IF(A169="","",IF(B169="Decommissioning",INDEX('Raw Decommissioning'!$AL$2:$AL$1000,ROWS($A$5:A169)),INDEX('Raw Provisioning'!$R$2:$R$1000,ROWS($A$5:A169)-COUNTA('Raw Decommissioning'!$B$2:$B$1000))))</x:f>
        <x:v>M</x:v>
      </x:c>
      <x:c r="J169" s="170" t="str">
        <x:f>IF(A169="","",IF(B169="Decommissioning",INDEX('Raw Decommissioning'!$AG$2:$AG$1000,ROWS($A$5:A169)),INDEX('Raw Provisioning'!$AI$2:$AI$1000,ROWS($A$5:A169)-COUNTA('Raw Decommissioning'!$B$2:$B$1000))))</x:f>
        <x:v>azwan.badari@petronas.com</x:v>
      </x:c>
      <x:c r="K169" s="172" t="str">
        <x:f>IF(A169="","",IFERROR(LOOKUP(2,1/('Assignment History'!$B$5:$B$204=A169),'Assignment History'!$D$5:$D$204),IFERROR(VLOOKUP(J169,Configuration!$L$5:$M$50,2,FALSE),J169)))</x:f>
        <x:v>azwan.badari@petronas.com</x:v>
      </x:c>
      <x:c r="L169" s="172" t="str">
        <x:f>IF(A169="","",IF(K169=IFERROR(VLOOKUP(J169,Configuration!$L$5:$M$50,2,FALSE),J169),"Snapshot PIC","Replacement PIC"))</x:f>
        <x:v>Snapshot PIC</x:v>
      </x:c>
      <x:c r="M169" s="172" t="n">
        <x:f>IF(A169="","",IFERROR(VLOOKUP(I169,Configuration!$O$5:$P$8,2,FALSE),Configuration!$S$6))</x:f>
        <x:v>2</x:v>
      </x:c>
      <x:c r="N169" s="172" t="str">
        <x:f>IF(A169="","",IFERROR(LOOKUP(2,1/('Scope Review'!$B$5:$B$204=A169),'Scope Review'!$G$5:$G$204),"Not Reviewed"))</x:f>
        <x:v>Not Reviewed</x:v>
      </x:c>
      <x:c r="O169" s="172" t="str">
        <x:f>IF(A169="","",IFERROR(LOOKUP(2,1/('Scope Review'!$B$5:$B$204=A169),'Scope Review'!$H$5:$H$204),""))</x:f>
      </x:c>
      <x:c r="P169" s="172" t="n">
        <x:f>IF(A169="","",IF(AND(C169="executing",N169&lt;&gt;"Confirmed OOS"),M169,0))</x:f>
        <x:v>0</x:v>
      </x:c>
      <x:c r="Q169" s="173" t="str">
        <x:f>IF(A169="","",IFERROR(LOOKUP(2,1/('Engineer Updates'!$B$5:$B$704=A169),'Engineer Updates'!$A$5:$A$704),""))</x:f>
      </x:c>
      <x:c r="R169" s="172" t="str">
        <x:f>IF(A169="","",IFERROR(LOOKUP(2,1/('Engineer Updates'!$B$5:$B$704=A169),'Engineer Updates'!$H$5:$H$704),""))</x:f>
      </x:c>
      <x:c r="S169" s="172" t="str">
        <x:f>IF(A169="","",IFERROR(LOOKUP(2,1/('Engineer Updates'!$B$5:$B$704=A169),'Engineer Updates'!$G$5:$G$704),""))</x:f>
      </x:c>
      <x:c r="T169" s="172" t="str">
        <x:f>IF(A169="","",IFERROR(LOOKUP(2,1/('Engineer Updates'!$B$5:$B$704=A169),'Engineer Updates'!$I$5:$I$704),""))</x:f>
      </x:c>
      <x:c r="U169" s="172" t="str">
        <x:f>IF(A169="","",IFERROR(LOOKUP(2,1/('Engineer Updates'!$B$5:$B$704=A169),'Engineer Updates'!$J$5:$J$704),""))</x:f>
      </x:c>
      <x:c r="V169" s="172" t="str">
        <x:f>IF(A169="","",IFERROR(LOOKUP(2,1/('Engineer Updates'!$B$5:$B$704=A169),'Engineer Updates'!$K$5:$K$704),""))</x:f>
      </x:c>
      <x:c r="W169" s="174" t="str">
        <x:f>IF(A169="","",IFERROR(LOOKUP(2,1/('Engineer Updates'!$B$5:$B$704=A169),'Engineer Updates'!$L$5:$L$704),""))</x:f>
      </x:c>
      <x:c r="X169" s="170" t="str">
        <x:f>IF(A169="","",IF(C169="completed","Completed in CSSP",IF(AND(C169="executing",ISERROR(SEARCH("@",K169))),"Executing without named engineer",IF(AND(N169="Confirmed OOS",C169="executing"),"Confirmed OOS still executing",""))))</x:f>
        <x:v>Completed in CSSP</x:v>
      </x:c>
      <x:c r="Y169" s="170" t="str">
        <x:f>IF(A169="","",IF(B169="Decommissioning","Raw Decommissioning","Raw Provisioning"))</x:f>
        <x:v>Raw Decommissioning</x:v>
      </x:c>
      <x:c r="Z169" s="170" t="str">
        <x:f>IF(A169="","",IF(OR(C169="executing",C169="processing"),"Yes","No"))</x:f>
        <x:v>No</x:v>
      </x:c>
    </x:row>
    <x:row r="170">
      <x:c r="A170" s="170" t="str">
        <x:f>IF(ROWS($A$5:A170)&lt;=COUNTA('Raw Decommissioning'!$B$2:$B$1000),INDEX('Raw Decommissioning'!$B$2:$B$1000,ROWS($A$5:A170)),IF(ROWS($A$5:A170)-COUNTA('Raw Decommissioning'!$B$2:$B$1000)&lt;=COUNTA('Raw Provisioning'!$B$2:$B$1000),INDEX('Raw Provisioning'!$B$2:$B$1000,ROWS($A$5:A170)-COUNTA('Raw Decommissioning'!$B$2:$B$1000)),""))</x:f>
        <x:v>CSSP10433701</x:v>
      </x:c>
      <x:c r="B170" s="170" t="str">
        <x:f>IF(A170="","",IF(ROWS($A$5:A170)&lt;=COUNTA('Raw Decommissioning'!$B$2:$B$1000),"Decommissioning","Provisioning"))</x:f>
        <x:v>Decommissioning</x:v>
      </x:c>
      <x:c r="C170" s="170" t="str">
        <x:f>IF(A170="","",IF(B170="Decommissioning",IFERROR(INDEX('Raw Decommissioning'!$E$2:$E$1000,MATCH(A170,'Raw Decommissioning'!$B$2:$B$1000,0)),"Missing from latest raw"),IFERROR(INDEX('Raw Provisioning'!$E$2:$E$1000,MATCH(A170,'Raw Provisioning'!$B$2:$B$1000,0)),"Missing from latest raw")))</x:f>
        <x:v>completed</x:v>
      </x:c>
      <x:c r="D170" s="171" t="n">
        <x:f>IF(A170="","",'Refresh Control'!$B$4)</x:f>
        <x:v>46254</x:v>
      </x:c>
      <x:c r="E170" s="171" t="n">
        <x:f>IF(A170="","",IF(B170="Decommissioning",INDEX('Raw Decommissioning'!$F$2:$F$1000,ROWS($A$5:A170)),INDEX('Raw Provisioning'!$F$2:$F$1000,ROWS($A$5:A170)-COUNTA('Raw Decommissioning'!$B$2:$B$1000))))</x:f>
        <x:v>46119.36506984954</x:v>
      </x:c>
      <x:c r="F170" s="171" t="n">
        <x:f>IF(A170="","",IF(B170="Decommissioning",INDEX('Raw Decommissioning'!$G$2:$G$1000,ROWS($A$5:A170)),INDEX('Raw Provisioning'!$H$2:$H$1000,ROWS($A$5:A170)-COUNTA('Raw Decommissioning'!$B$2:$B$1000))))</x:f>
        <x:v>46134.313210775465</x:v>
      </x:c>
      <x:c r="G170" s="170" t="str">
        <x:f>IF(A170="","",IF(B170="Decommissioning",INDEX('Raw Decommissioning'!$I$2:$I$1000,ROWS($A$5:A170)),INDEX('Raw Provisioning'!$J$2:$J$1000,ROWS($A$5:A170)-COUNTA('Raw Decommissioning'!$B$2:$B$1000))))</x:f>
        <x:v>NextGEN</x:v>
      </x:c>
      <x:c r="H170" s="170" t="str">
        <x:f>IF(A170="","",IF(B170="Decommissioning",INDEX('Raw Decommissioning'!$J$2:$J$1000,ROWS($A$5:A170)),INDEX('Raw Provisioning'!$L$2:$L$1000,ROWS($A$5:A170)-COUNTA('Raw Decommissioning'!$B$2:$B$1000))))</x:f>
        <x:v>Deployment of NextGEN Geoscience &amp; Geology Data Discovery Platform for Upstream Exploration</x:v>
      </x:c>
      <x:c r="I170" s="170" t="str">
        <x:f>IF(A170="","",IF(B170="Decommissioning",INDEX('Raw Decommissioning'!$AL$2:$AL$1000,ROWS($A$5:A170)),INDEX('Raw Provisioning'!$R$2:$R$1000,ROWS($A$5:A170)-COUNTA('Raw Decommissioning'!$B$2:$B$1000))))</x:f>
        <x:v>L</x:v>
      </x:c>
      <x:c r="J170" s="170" t="str">
        <x:f>IF(A170="","",IF(B170="Decommissioning",INDEX('Raw Decommissioning'!$AG$2:$AG$1000,ROWS($A$5:A170)),INDEX('Raw Provisioning'!$AI$2:$AI$1000,ROWS($A$5:A170)-COUNTA('Raw Decommissioning'!$B$2:$B$1000))))</x:f>
        <x:v>azlisham.md@petronas.com</x:v>
      </x:c>
      <x:c r="K170" s="172" t="str">
        <x:f>IF(A170="","",IFERROR(LOOKUP(2,1/('Assignment History'!$B$5:$B$204=A170),'Assignment History'!$D$5:$D$204),IFERROR(VLOOKUP(J170,Configuration!$L$5:$M$50,2,FALSE),J170)))</x:f>
        <x:v>azlisham.md@petronas.com</x:v>
      </x:c>
      <x:c r="L170" s="172" t="str">
        <x:f>IF(A170="","",IF(K170=IFERROR(VLOOKUP(J170,Configuration!$L$5:$M$50,2,FALSE),J170),"Snapshot PIC","Replacement PIC"))</x:f>
        <x:v>Snapshot PIC</x:v>
      </x:c>
      <x:c r="M170" s="172" t="n">
        <x:f>IF(A170="","",IFERROR(VLOOKUP(I170,Configuration!$O$5:$P$8,2,FALSE),Configuration!$S$6))</x:f>
        <x:v>3</x:v>
      </x:c>
      <x:c r="N170" s="172" t="str">
        <x:f>IF(A170="","",IFERROR(LOOKUP(2,1/('Scope Review'!$B$5:$B$204=A170),'Scope Review'!$G$5:$G$204),"Not Reviewed"))</x:f>
        <x:v>Not Reviewed</x:v>
      </x:c>
      <x:c r="O170" s="172" t="str">
        <x:f>IF(A170="","",IFERROR(LOOKUP(2,1/('Scope Review'!$B$5:$B$204=A170),'Scope Review'!$H$5:$H$204),""))</x:f>
      </x:c>
      <x:c r="P170" s="172" t="n">
        <x:f>IF(A170="","",IF(AND(C170="executing",N170&lt;&gt;"Confirmed OOS"),M170,0))</x:f>
        <x:v>0</x:v>
      </x:c>
      <x:c r="Q170" s="173" t="str">
        <x:f>IF(A170="","",IFERROR(LOOKUP(2,1/('Engineer Updates'!$B$5:$B$704=A170),'Engineer Updates'!$A$5:$A$704),""))</x:f>
      </x:c>
      <x:c r="R170" s="172" t="str">
        <x:f>IF(A170="","",IFERROR(LOOKUP(2,1/('Engineer Updates'!$B$5:$B$704=A170),'Engineer Updates'!$H$5:$H$704),""))</x:f>
      </x:c>
      <x:c r="S170" s="172" t="str">
        <x:f>IF(A170="","",IFERROR(LOOKUP(2,1/('Engineer Updates'!$B$5:$B$704=A170),'Engineer Updates'!$G$5:$G$704),""))</x:f>
      </x:c>
      <x:c r="T170" s="172" t="str">
        <x:f>IF(A170="","",IFERROR(LOOKUP(2,1/('Engineer Updates'!$B$5:$B$704=A170),'Engineer Updates'!$I$5:$I$704),""))</x:f>
      </x:c>
      <x:c r="U170" s="172" t="str">
        <x:f>IF(A170="","",IFERROR(LOOKUP(2,1/('Engineer Updates'!$B$5:$B$704=A170),'Engineer Updates'!$J$5:$J$704),""))</x:f>
      </x:c>
      <x:c r="V170" s="172" t="str">
        <x:f>IF(A170="","",IFERROR(LOOKUP(2,1/('Engineer Updates'!$B$5:$B$704=A170),'Engineer Updates'!$K$5:$K$704),""))</x:f>
      </x:c>
      <x:c r="W170" s="174" t="str">
        <x:f>IF(A170="","",IFERROR(LOOKUP(2,1/('Engineer Updates'!$B$5:$B$704=A170),'Engineer Updates'!$L$5:$L$704),""))</x:f>
      </x:c>
      <x:c r="X170" s="170" t="str">
        <x:f>IF(A170="","",IF(C170="completed","Completed in CSSP",IF(AND(C170="executing",ISERROR(SEARCH("@",K170))),"Executing without named engineer",IF(AND(N170="Confirmed OOS",C170="executing"),"Confirmed OOS still executing",""))))</x:f>
        <x:v>Completed in CSSP</x:v>
      </x:c>
      <x:c r="Y170" s="170" t="str">
        <x:f>IF(A170="","",IF(B170="Decommissioning","Raw Decommissioning","Raw Provisioning"))</x:f>
        <x:v>Raw Decommissioning</x:v>
      </x:c>
      <x:c r="Z170" s="170" t="str">
        <x:f>IF(A170="","",IF(OR(C170="executing",C170="processing"),"Yes","No"))</x:f>
        <x:v>No</x:v>
      </x:c>
    </x:row>
    <x:row r="171">
      <x:c r="A171" s="170" t="str">
        <x:f>IF(ROWS($A$5:A171)&lt;=COUNTA('Raw Decommissioning'!$B$2:$B$1000),INDEX('Raw Decommissioning'!$B$2:$B$1000,ROWS($A$5:A171)),IF(ROWS($A$5:A171)-COUNTA('Raw Decommissioning'!$B$2:$B$1000)&lt;=COUNTA('Raw Provisioning'!$B$2:$B$1000),INDEX('Raw Provisioning'!$B$2:$B$1000,ROWS($A$5:A171)-COUNTA('Raw Decommissioning'!$B$2:$B$1000)),""))</x:f>
        <x:v>CSSP10575380</x:v>
      </x:c>
      <x:c r="B171" s="170" t="str">
        <x:f>IF(A171="","",IF(ROWS($A$5:A171)&lt;=COUNTA('Raw Decommissioning'!$B$2:$B$1000),"Decommissioning","Provisioning"))</x:f>
        <x:v>Decommissioning</x:v>
      </x:c>
      <x:c r="C171" s="170" t="str">
        <x:f>IF(A171="","",IF(B171="Decommissioning",IFERROR(INDEX('Raw Decommissioning'!$E$2:$E$1000,MATCH(A171,'Raw Decommissioning'!$B$2:$B$1000,0)),"Missing from latest raw"),IFERROR(INDEX('Raw Provisioning'!$E$2:$E$1000,MATCH(A171,'Raw Provisioning'!$B$2:$B$1000,0)),"Missing from latest raw")))</x:f>
        <x:v>completed</x:v>
      </x:c>
      <x:c r="D171" s="171" t="n">
        <x:f>IF(A171="","",'Refresh Control'!$B$4)</x:f>
        <x:v>46254</x:v>
      </x:c>
      <x:c r="E171" s="171" t="n">
        <x:f>IF(A171="","",IF(B171="Decommissioning",INDEX('Raw Decommissioning'!$F$2:$F$1000,ROWS($A$5:A171)),INDEX('Raw Provisioning'!$F$2:$F$1000,ROWS($A$5:A171)-COUNTA('Raw Decommissioning'!$B$2:$B$1000))))</x:f>
        <x:v>46120.12451217593</x:v>
      </x:c>
      <x:c r="F171" s="171" t="n">
        <x:f>IF(A171="","",IF(B171="Decommissioning",INDEX('Raw Decommissioning'!$G$2:$G$1000,ROWS($A$5:A171)),INDEX('Raw Provisioning'!$H$2:$H$1000,ROWS($A$5:A171)-COUNTA('Raw Decommissioning'!$B$2:$B$1000))))</x:f>
        <x:v>46121.17389239583</x:v>
      </x:c>
      <x:c r="G171" s="170" t="str">
        <x:f>IF(A171="","",IF(B171="Decommissioning",INDEX('Raw Decommissioning'!$I$2:$I$1000,ROWS($A$5:A171)),INDEX('Raw Provisioning'!$J$2:$J$1000,ROWS($A$5:A171)-COUNTA('Raw Decommissioning'!$B$2:$B$1000))))</x:f>
        <x:v>Model Catalogue - MC</x:v>
      </x:c>
      <x:c r="H171" s="170" t="str">
        <x:f>IF(A171="","",IF(B171="Decommissioning",INDEX('Raw Decommissioning'!$J$2:$J$1000,ROWS($A$5:A171)),INDEX('Raw Provisioning'!$L$2:$L$1000,ROWS($A$5:A171)-COUNTA('Raw Decommissioning'!$B$2:$B$1000))))</x:f>
        <x:v>Implementation of Upstream Model Integration Solution for Upstream Technology, Digital Innovation</x:v>
      </x:c>
      <x:c r="I171" s="170" t="str">
        <x:f>IF(A171="","",IF(B171="Decommissioning",INDEX('Raw Decommissioning'!$AL$2:$AL$1000,ROWS($A$5:A171)),INDEX('Raw Provisioning'!$R$2:$R$1000,ROWS($A$5:A171)-COUNTA('Raw Decommissioning'!$B$2:$B$1000))))</x:f>
        <x:v>S</x:v>
      </x:c>
      <x:c r="J171" s="170" t="str">
        <x:f>IF(A171="","",IF(B171="Decommissioning",INDEX('Raw Decommissioning'!$AG$2:$AG$1000,ROWS($A$5:A171)),INDEX('Raw Provisioning'!$AI$2:$AI$1000,ROWS($A$5:A171)-COUNTA('Raw Decommissioning'!$B$2:$B$1000))))</x:f>
        <x:v>azlisham.md@petronas.com</x:v>
      </x:c>
      <x:c r="K171" s="172" t="str">
        <x:f>IF(A171="","",IFERROR(LOOKUP(2,1/('Assignment History'!$B$5:$B$204=A171),'Assignment History'!$D$5:$D$204),IFERROR(VLOOKUP(J171,Configuration!$L$5:$M$50,2,FALSE),J171)))</x:f>
        <x:v>azlisham.md@petronas.com</x:v>
      </x:c>
      <x:c r="L171" s="172" t="str">
        <x:f>IF(A171="","",IF(K171=IFERROR(VLOOKUP(J171,Configuration!$L$5:$M$50,2,FALSE),J171),"Snapshot PIC","Replacement PIC"))</x:f>
        <x:v>Snapshot PIC</x:v>
      </x:c>
      <x:c r="M171" s="172" t="n">
        <x:f>IF(A171="","",IFERROR(VLOOKUP(I171,Configuration!$O$5:$P$8,2,FALSE),Configuration!$S$6))</x:f>
        <x:v>1</x:v>
      </x:c>
      <x:c r="N171" s="172" t="str">
        <x:f>IF(A171="","",IFERROR(LOOKUP(2,1/('Scope Review'!$B$5:$B$204=A171),'Scope Review'!$G$5:$G$204),"Not Reviewed"))</x:f>
        <x:v>Not Reviewed</x:v>
      </x:c>
      <x:c r="O171" s="172" t="str">
        <x:f>IF(A171="","",IFERROR(LOOKUP(2,1/('Scope Review'!$B$5:$B$204=A171),'Scope Review'!$H$5:$H$204),""))</x:f>
      </x:c>
      <x:c r="P171" s="172" t="n">
        <x:f>IF(A171="","",IF(AND(C171="executing",N171&lt;&gt;"Confirmed OOS"),M171,0))</x:f>
        <x:v>0</x:v>
      </x:c>
      <x:c r="Q171" s="173" t="str">
        <x:f>IF(A171="","",IFERROR(LOOKUP(2,1/('Engineer Updates'!$B$5:$B$704=A171),'Engineer Updates'!$A$5:$A$704),""))</x:f>
      </x:c>
      <x:c r="R171" s="172" t="str">
        <x:f>IF(A171="","",IFERROR(LOOKUP(2,1/('Engineer Updates'!$B$5:$B$704=A171),'Engineer Updates'!$H$5:$H$704),""))</x:f>
      </x:c>
      <x:c r="S171" s="172" t="str">
        <x:f>IF(A171="","",IFERROR(LOOKUP(2,1/('Engineer Updates'!$B$5:$B$704=A171),'Engineer Updates'!$G$5:$G$704),""))</x:f>
      </x:c>
      <x:c r="T171" s="172" t="str">
        <x:f>IF(A171="","",IFERROR(LOOKUP(2,1/('Engineer Updates'!$B$5:$B$704=A171),'Engineer Updates'!$I$5:$I$704),""))</x:f>
      </x:c>
      <x:c r="U171" s="172" t="str">
        <x:f>IF(A171="","",IFERROR(LOOKUP(2,1/('Engineer Updates'!$B$5:$B$704=A171),'Engineer Updates'!$J$5:$J$704),""))</x:f>
      </x:c>
      <x:c r="V171" s="172" t="str">
        <x:f>IF(A171="","",IFERROR(LOOKUP(2,1/('Engineer Updates'!$B$5:$B$704=A171),'Engineer Updates'!$K$5:$K$704),""))</x:f>
      </x:c>
      <x:c r="W171" s="174" t="str">
        <x:f>IF(A171="","",IFERROR(LOOKUP(2,1/('Engineer Updates'!$B$5:$B$704=A171),'Engineer Updates'!$L$5:$L$704),""))</x:f>
      </x:c>
      <x:c r="X171" s="170" t="str">
        <x:f>IF(A171="","",IF(C171="completed","Completed in CSSP",IF(AND(C171="executing",ISERROR(SEARCH("@",K171))),"Executing without named engineer",IF(AND(N171="Confirmed OOS",C171="executing"),"Confirmed OOS still executing",""))))</x:f>
        <x:v>Completed in CSSP</x:v>
      </x:c>
      <x:c r="Y171" s="170" t="str">
        <x:f>IF(A171="","",IF(B171="Decommissioning","Raw Decommissioning","Raw Provisioning"))</x:f>
        <x:v>Raw Decommissioning</x:v>
      </x:c>
      <x:c r="Z171" s="170" t="str">
        <x:f>IF(A171="","",IF(OR(C171="executing",C171="processing"),"Yes","No"))</x:f>
        <x:v>No</x:v>
      </x:c>
    </x:row>
    <x:row r="172">
      <x:c r="A172" s="170" t="str">
        <x:f>IF(ROWS($A$5:A172)&lt;=COUNTA('Raw Decommissioning'!$B$2:$B$1000),INDEX('Raw Decommissioning'!$B$2:$B$1000,ROWS($A$5:A172)),IF(ROWS($A$5:A172)-COUNTA('Raw Decommissioning'!$B$2:$B$1000)&lt;=COUNTA('Raw Provisioning'!$B$2:$B$1000),INDEX('Raw Provisioning'!$B$2:$B$1000,ROWS($A$5:A172)-COUNTA('Raw Decommissioning'!$B$2:$B$1000)),""))</x:f>
        <x:v>CSSP10958726</x:v>
      </x:c>
      <x:c r="B172" s="170" t="str">
        <x:f>IF(A172="","",IF(ROWS($A$5:A172)&lt;=COUNTA('Raw Decommissioning'!$B$2:$B$1000),"Decommissioning","Provisioning"))</x:f>
        <x:v>Decommissioning</x:v>
      </x:c>
      <x:c r="C172" s="170" t="str">
        <x:f>IF(A172="","",IF(B172="Decommissioning",IFERROR(INDEX('Raw Decommissioning'!$E$2:$E$1000,MATCH(A172,'Raw Decommissioning'!$B$2:$B$1000,0)),"Missing from latest raw"),IFERROR(INDEX('Raw Provisioning'!$E$2:$E$1000,MATCH(A172,'Raw Provisioning'!$B$2:$B$1000,0)),"Missing from latest raw")))</x:f>
        <x:v>completed</x:v>
      </x:c>
      <x:c r="D172" s="171" t="n">
        <x:f>IF(A172="","",'Refresh Control'!$B$4)</x:f>
        <x:v>46254</x:v>
      </x:c>
      <x:c r="E172" s="171" t="n">
        <x:f>IF(A172="","",IF(B172="Decommissioning",INDEX('Raw Decommissioning'!$F$2:$F$1000,ROWS($A$5:A172)),INDEX('Raw Provisioning'!$F$2:$F$1000,ROWS($A$5:A172)-COUNTA('Raw Decommissioning'!$B$2:$B$1000))))</x:f>
        <x:v>46122.316942060184</x:v>
      </x:c>
      <x:c r="F172" s="171" t="n">
        <x:f>IF(A172="","",IF(B172="Decommissioning",INDEX('Raw Decommissioning'!$G$2:$G$1000,ROWS($A$5:A172)),INDEX('Raw Provisioning'!$H$2:$H$1000,ROWS($A$5:A172)-COUNTA('Raw Decommissioning'!$B$2:$B$1000))))</x:f>
        <x:v>46132.00035971065</x:v>
      </x:c>
      <x:c r="G172" s="170" t="str">
        <x:f>IF(A172="","",IF(B172="Decommissioning",INDEX('Raw Decommissioning'!$I$2:$I$1000,ROWS($A$5:A172)),INDEX('Raw Provisioning'!$J$2:$J$1000,ROWS($A$5:A172)-COUNTA('Raw Decommissioning'!$B$2:$B$1000))))</x:f>
        <x:v>Data Science Advanced Analytics</x:v>
      </x:c>
      <x:c r="H172" s="170" t="str">
        <x:f>IF(A172="","",IF(B172="Decommissioning",INDEX('Raw Decommissioning'!$J$2:$J$1000,ROWS($A$5:A172)),INDEX('Raw Provisioning'!$L$2:$L$1000,ROWS($A$5:A172)-COUNTA('Raw Decommissioning'!$B$2:$B$1000))))</x:f>
        <x:v>Provisioning Dedicated Advanced Analytics subscription (Terraform-enabled Azure Cloud Infrastructure) for Data Science Department</x:v>
      </x:c>
      <x:c r="I172" s="170" t="str">
        <x:f>IF(A172="","",IF(B172="Decommissioning",INDEX('Raw Decommissioning'!$AL$2:$AL$1000,ROWS($A$5:A172)),INDEX('Raw Provisioning'!$R$2:$R$1000,ROWS($A$5:A172)-COUNTA('Raw Decommissioning'!$B$2:$B$1000))))</x:f>
        <x:v>S</x:v>
      </x:c>
      <x:c r="J172" s="170" t="str">
        <x:f>IF(A172="","",IF(B172="Decommissioning",INDEX('Raw Decommissioning'!$AG$2:$AG$1000,ROWS($A$5:A172)),INDEX('Raw Provisioning'!$AI$2:$AI$1000,ROWS($A$5:A172)-COUNTA('Raw Decommissioning'!$B$2:$B$1000))))</x:f>
        <x:v>azwan.badari@petronas.com</x:v>
      </x:c>
      <x:c r="K172" s="172" t="str">
        <x:f>IF(A172="","",IFERROR(LOOKUP(2,1/('Assignment History'!$B$5:$B$204=A172),'Assignment History'!$D$5:$D$204),IFERROR(VLOOKUP(J172,Configuration!$L$5:$M$50,2,FALSE),J172)))</x:f>
        <x:v>azwan.badari@petronas.com</x:v>
      </x:c>
      <x:c r="L172" s="172" t="str">
        <x:f>IF(A172="","",IF(K172=IFERROR(VLOOKUP(J172,Configuration!$L$5:$M$50,2,FALSE),J172),"Snapshot PIC","Replacement PIC"))</x:f>
        <x:v>Snapshot PIC</x:v>
      </x:c>
      <x:c r="M172" s="172" t="n">
        <x:f>IF(A172="","",IFERROR(VLOOKUP(I172,Configuration!$O$5:$P$8,2,FALSE),Configuration!$S$6))</x:f>
        <x:v>1</x:v>
      </x:c>
      <x:c r="N172" s="172" t="str">
        <x:f>IF(A172="","",IFERROR(LOOKUP(2,1/('Scope Review'!$B$5:$B$204=A172),'Scope Review'!$G$5:$G$204),"Not Reviewed"))</x:f>
        <x:v>Not Reviewed</x:v>
      </x:c>
      <x:c r="O172" s="172" t="str">
        <x:f>IF(A172="","",IFERROR(LOOKUP(2,1/('Scope Review'!$B$5:$B$204=A172),'Scope Review'!$H$5:$H$204),""))</x:f>
      </x:c>
      <x:c r="P172" s="172" t="n">
        <x:f>IF(A172="","",IF(AND(C172="executing",N172&lt;&gt;"Confirmed OOS"),M172,0))</x:f>
        <x:v>0</x:v>
      </x:c>
      <x:c r="Q172" s="173" t="str">
        <x:f>IF(A172="","",IFERROR(LOOKUP(2,1/('Engineer Updates'!$B$5:$B$704=A172),'Engineer Updates'!$A$5:$A$704),""))</x:f>
      </x:c>
      <x:c r="R172" s="172" t="str">
        <x:f>IF(A172="","",IFERROR(LOOKUP(2,1/('Engineer Updates'!$B$5:$B$704=A172),'Engineer Updates'!$H$5:$H$704),""))</x:f>
      </x:c>
      <x:c r="S172" s="172" t="str">
        <x:f>IF(A172="","",IFERROR(LOOKUP(2,1/('Engineer Updates'!$B$5:$B$704=A172),'Engineer Updates'!$G$5:$G$704),""))</x:f>
      </x:c>
      <x:c r="T172" s="172" t="str">
        <x:f>IF(A172="","",IFERROR(LOOKUP(2,1/('Engineer Updates'!$B$5:$B$704=A172),'Engineer Updates'!$I$5:$I$704),""))</x:f>
      </x:c>
      <x:c r="U172" s="172" t="str">
        <x:f>IF(A172="","",IFERROR(LOOKUP(2,1/('Engineer Updates'!$B$5:$B$704=A172),'Engineer Updates'!$J$5:$J$704),""))</x:f>
      </x:c>
      <x:c r="V172" s="172" t="str">
        <x:f>IF(A172="","",IFERROR(LOOKUP(2,1/('Engineer Updates'!$B$5:$B$704=A172),'Engineer Updates'!$K$5:$K$704),""))</x:f>
      </x:c>
      <x:c r="W172" s="174" t="str">
        <x:f>IF(A172="","",IFERROR(LOOKUP(2,1/('Engineer Updates'!$B$5:$B$704=A172),'Engineer Updates'!$L$5:$L$704),""))</x:f>
      </x:c>
      <x:c r="X172" s="170" t="str">
        <x:f>IF(A172="","",IF(C172="completed","Completed in CSSP",IF(AND(C172="executing",ISERROR(SEARCH("@",K172))),"Executing without named engineer",IF(AND(N172="Confirmed OOS",C172="executing"),"Confirmed OOS still executing",""))))</x:f>
        <x:v>Completed in CSSP</x:v>
      </x:c>
      <x:c r="Y172" s="170" t="str">
        <x:f>IF(A172="","",IF(B172="Decommissioning","Raw Decommissioning","Raw Provisioning"))</x:f>
        <x:v>Raw Decommissioning</x:v>
      </x:c>
      <x:c r="Z172" s="170" t="str">
        <x:f>IF(A172="","",IF(OR(C172="executing",C172="processing"),"Yes","No"))</x:f>
        <x:v>No</x:v>
      </x:c>
    </x:row>
    <x:row r="173">
      <x:c r="A173" s="170" t="str">
        <x:f>IF(ROWS($A$5:A173)&lt;=COUNTA('Raw Decommissioning'!$B$2:$B$1000),INDEX('Raw Decommissioning'!$B$2:$B$1000,ROWS($A$5:A173)),IF(ROWS($A$5:A173)-COUNTA('Raw Decommissioning'!$B$2:$B$1000)&lt;=COUNTA('Raw Provisioning'!$B$2:$B$1000),INDEX('Raw Provisioning'!$B$2:$B$1000,ROWS($A$5:A173)-COUNTA('Raw Decommissioning'!$B$2:$B$1000)),""))</x:f>
        <x:v>CSSP10746801</x:v>
      </x:c>
      <x:c r="B173" s="170" t="str">
        <x:f>IF(A173="","",IF(ROWS($A$5:A173)&lt;=COUNTA('Raw Decommissioning'!$B$2:$B$1000),"Decommissioning","Provisioning"))</x:f>
        <x:v>Decommissioning</x:v>
      </x:c>
      <x:c r="C173" s="170" t="str">
        <x:f>IF(A173="","",IF(B173="Decommissioning",IFERROR(INDEX('Raw Decommissioning'!$E$2:$E$1000,MATCH(A173,'Raw Decommissioning'!$B$2:$B$1000,0)),"Missing from latest raw"),IFERROR(INDEX('Raw Provisioning'!$E$2:$E$1000,MATCH(A173,'Raw Provisioning'!$B$2:$B$1000,0)),"Missing from latest raw")))</x:f>
        <x:v>cancelled</x:v>
      </x:c>
      <x:c r="D173" s="171" t="n">
        <x:f>IF(A173="","",'Refresh Control'!$B$4)</x:f>
        <x:v>46254</x:v>
      </x:c>
      <x:c r="E173" s="171" t="n">
        <x:f>IF(A173="","",IF(B173="Decommissioning",INDEX('Raw Decommissioning'!$F$2:$F$1000,ROWS($A$5:A173)),INDEX('Raw Provisioning'!$F$2:$F$1000,ROWS($A$5:A173)-COUNTA('Raw Decommissioning'!$B$2:$B$1000))))</x:f>
        <x:v>46122.33547861111</x:v>
      </x:c>
      <x:c r="F173" s="171" t="n">
        <x:f>IF(A173="","",IF(B173="Decommissioning",INDEX('Raw Decommissioning'!$G$2:$G$1000,ROWS($A$5:A173)),INDEX('Raw Provisioning'!$H$2:$H$1000,ROWS($A$5:A173)-COUNTA('Raw Decommissioning'!$B$2:$B$1000))))</x:f>
        <x:v>46122.339215127315</x:v>
      </x:c>
      <x:c r="G173" s="170" t="str">
        <x:f>IF(A173="","",IF(B173="Decommissioning",INDEX('Raw Decommissioning'!$I$2:$I$1000,ROWS($A$5:A173)),INDEX('Raw Provisioning'!$J$2:$J$1000,ROWS($A$5:A173)-COUNTA('Raw Decommissioning'!$B$2:$B$1000))))</x:f>
        <x:v>Enterprise Data Hub - EDH</x:v>
      </x:c>
      <x:c r="H173" s="170" t="str">
        <x:f>IF(A173="","",IF(B173="Decommissioning",INDEX('Raw Decommissioning'!$J$2:$J$1000,ROWS($A$5:A173)),INDEX('Raw Provisioning'!$L$2:$L$1000,ROWS($A$5:A173)-COUNTA('Raw Decommissioning'!$B$2:$B$1000))))</x:f>
        <x:v>PETRONAS Enterprise Data Hub</x:v>
      </x:c>
      <x:c r="I173" s="170" t="str">
        <x:f>IF(A173="","",IF(B173="Decommissioning",INDEX('Raw Decommissioning'!$AL$2:$AL$1000,ROWS($A$5:A173)),INDEX('Raw Provisioning'!$R$2:$R$1000,ROWS($A$5:A173)-COUNTA('Raw Decommissioning'!$B$2:$B$1000))))</x:f>
      </x:c>
      <x:c r="J173" s="170" t="str">
        <x:f>IF(A173="","",IF(B173="Decommissioning",INDEX('Raw Decommissioning'!$AG$2:$AG$1000,ROWS($A$5:A173)),INDEX('Raw Provisioning'!$AI$2:$AI$1000,ROWS($A$5:A173)-COUNTA('Raw Decommissioning'!$B$2:$B$1000))))</x:f>
        <x:v>CCoE Operations</x:v>
      </x:c>
      <x:c r="K173" s="172" t="str">
        <x:f>IF(A173="","",IFERROR(LOOKUP(2,1/('Assignment History'!$B$5:$B$204=A173),'Assignment History'!$D$5:$D$204),IFERROR(VLOOKUP(J173,Configuration!$L$5:$M$50,2,FALSE),J173)))</x:f>
        <x:v>CCoE Operations</x:v>
      </x:c>
      <x:c r="L173" s="172" t="str">
        <x:f>IF(A173="","",IF(K173=IFERROR(VLOOKUP(J173,Configuration!$L$5:$M$50,2,FALSE),J173),"Snapshot PIC","Replacement PIC"))</x:f>
        <x:v>Snapshot PIC</x:v>
      </x:c>
      <x:c r="M173" s="172" t="n">
        <x:f>IF(A173="","",IFERROR(VLOOKUP(I173,Configuration!$O$5:$P$8,2,FALSE),Configuration!$S$6))</x:f>
        <x:v>2</x:v>
      </x:c>
      <x:c r="N173" s="172" t="str">
        <x:f>IF(A173="","",IFERROR(LOOKUP(2,1/('Scope Review'!$B$5:$B$204=A173),'Scope Review'!$G$5:$G$204),"Not Reviewed"))</x:f>
        <x:v>Not Reviewed</x:v>
      </x:c>
      <x:c r="O173" s="172" t="str">
        <x:f>IF(A173="","",IFERROR(LOOKUP(2,1/('Scope Review'!$B$5:$B$204=A173),'Scope Review'!$H$5:$H$204),""))</x:f>
      </x:c>
      <x:c r="P173" s="172" t="n">
        <x:f>IF(A173="","",IF(AND(C173="executing",N173&lt;&gt;"Confirmed OOS"),M173,0))</x:f>
        <x:v>0</x:v>
      </x:c>
      <x:c r="Q173" s="173" t="str">
        <x:f>IF(A173="","",IFERROR(LOOKUP(2,1/('Engineer Updates'!$B$5:$B$704=A173),'Engineer Updates'!$A$5:$A$704),""))</x:f>
      </x:c>
      <x:c r="R173" s="172" t="str">
        <x:f>IF(A173="","",IFERROR(LOOKUP(2,1/('Engineer Updates'!$B$5:$B$704=A173),'Engineer Updates'!$H$5:$H$704),""))</x:f>
      </x:c>
      <x:c r="S173" s="172" t="str">
        <x:f>IF(A173="","",IFERROR(LOOKUP(2,1/('Engineer Updates'!$B$5:$B$704=A173),'Engineer Updates'!$G$5:$G$704),""))</x:f>
      </x:c>
      <x:c r="T173" s="172" t="str">
        <x:f>IF(A173="","",IFERROR(LOOKUP(2,1/('Engineer Updates'!$B$5:$B$704=A173),'Engineer Updates'!$I$5:$I$704),""))</x:f>
      </x:c>
      <x:c r="U173" s="172" t="str">
        <x:f>IF(A173="","",IFERROR(LOOKUP(2,1/('Engineer Updates'!$B$5:$B$704=A173),'Engineer Updates'!$J$5:$J$704),""))</x:f>
      </x:c>
      <x:c r="V173" s="172" t="str">
        <x:f>IF(A173="","",IFERROR(LOOKUP(2,1/('Engineer Updates'!$B$5:$B$704=A173),'Engineer Updates'!$K$5:$K$704),""))</x:f>
      </x:c>
      <x:c r="W173" s="174" t="str">
        <x:f>IF(A173="","",IFERROR(LOOKUP(2,1/('Engineer Updates'!$B$5:$B$704=A173),'Engineer Updates'!$L$5:$L$704),""))</x:f>
      </x:c>
      <x:c r="X173" s="170" t="str">
        <x:f>IF(A173="","",IF(C173="completed","Completed in CSSP",IF(AND(C173="executing",ISERROR(SEARCH("@",K173))),"Executing without named engineer",IF(AND(N173="Confirmed OOS",C173="executing"),"Confirmed OOS still executing",""))))</x:f>
      </x:c>
      <x:c r="Y173" s="170" t="str">
        <x:f>IF(A173="","",IF(B173="Decommissioning","Raw Decommissioning","Raw Provisioning"))</x:f>
        <x:v>Raw Decommissioning</x:v>
      </x:c>
      <x:c r="Z173" s="170" t="str">
        <x:f>IF(A173="","",IF(OR(C173="executing",C173="processing"),"Yes","No"))</x:f>
        <x:v>No</x:v>
      </x:c>
    </x:row>
    <x:row r="174">
      <x:c r="A174" s="170" t="str">
        <x:f>IF(ROWS($A$5:A174)&lt;=COUNTA('Raw Decommissioning'!$B$2:$B$1000),INDEX('Raw Decommissioning'!$B$2:$B$1000,ROWS($A$5:A174)),IF(ROWS($A$5:A174)-COUNTA('Raw Decommissioning'!$B$2:$B$1000)&lt;=COUNTA('Raw Provisioning'!$B$2:$B$1000),INDEX('Raw Provisioning'!$B$2:$B$1000,ROWS($A$5:A174)-COUNTA('Raw Decommissioning'!$B$2:$B$1000)),""))</x:f>
        <x:v>CSSP10657684</x:v>
      </x:c>
      <x:c r="B174" s="170" t="str">
        <x:f>IF(A174="","",IF(ROWS($A$5:A174)&lt;=COUNTA('Raw Decommissioning'!$B$2:$B$1000),"Decommissioning","Provisioning"))</x:f>
        <x:v>Decommissioning</x:v>
      </x:c>
      <x:c r="C174" s="170" t="str">
        <x:f>IF(A174="","",IF(B174="Decommissioning",IFERROR(INDEX('Raw Decommissioning'!$E$2:$E$1000,MATCH(A174,'Raw Decommissioning'!$B$2:$B$1000,0)),"Missing from latest raw"),IFERROR(INDEX('Raw Provisioning'!$E$2:$E$1000,MATCH(A174,'Raw Provisioning'!$B$2:$B$1000,0)),"Missing from latest raw")))</x:f>
        <x:v>completed</x:v>
      </x:c>
      <x:c r="D174" s="171" t="n">
        <x:f>IF(A174="","",'Refresh Control'!$B$4)</x:f>
        <x:v>46254</x:v>
      </x:c>
      <x:c r="E174" s="171" t="n">
        <x:f>IF(A174="","",IF(B174="Decommissioning",INDEX('Raw Decommissioning'!$F$2:$F$1000,ROWS($A$5:A174)),INDEX('Raw Provisioning'!$F$2:$F$1000,ROWS($A$5:A174)-COUNTA('Raw Decommissioning'!$B$2:$B$1000))))</x:f>
        <x:v>46125.289070810184</x:v>
      </x:c>
      <x:c r="F174" s="171" t="n">
        <x:f>IF(A174="","",IF(B174="Decommissioning",INDEX('Raw Decommissioning'!$G$2:$G$1000,ROWS($A$5:A174)),INDEX('Raw Provisioning'!$H$2:$H$1000,ROWS($A$5:A174)-COUNTA('Raw Decommissioning'!$B$2:$B$1000))))</x:f>
        <x:v>46128.38945298611</x:v>
      </x:c>
      <x:c r="G174" s="170" t="str">
        <x:f>IF(A174="","",IF(B174="Decommissioning",INDEX('Raw Decommissioning'!$I$2:$I$1000,ROWS($A$5:A174)),INDEX('Raw Provisioning'!$J$2:$J$1000,ROWS($A$5:A174)-COUNTA('Raw Decommissioning'!$B$2:$B$1000))))</x:f>
        <x:v>Enterprise Data Hub - EDH Common Talend</x:v>
      </x:c>
      <x:c r="H174" s="170" t="str">
        <x:f>IF(A174="","",IF(B174="Decommissioning",INDEX('Raw Decommissioning'!$J$2:$J$1000,ROWS($A$5:A174)),INDEX('Raw Provisioning'!$L$2:$L$1000,ROWS($A$5:A174)-COUNTA('Raw Decommissioning'!$B$2:$B$1000))))</x:f>
        <x:v>Enterprise Data Hub - Common Talend Infrastructure</x:v>
      </x:c>
      <x:c r="I174" s="170" t="str">
        <x:f>IF(A174="","",IF(B174="Decommissioning",INDEX('Raw Decommissioning'!$AL$2:$AL$1000,ROWS($A$5:A174)),INDEX('Raw Provisioning'!$R$2:$R$1000,ROWS($A$5:A174)-COUNTA('Raw Decommissioning'!$B$2:$B$1000))))</x:f>
        <x:v>S</x:v>
      </x:c>
      <x:c r="J174" s="170" t="str">
        <x:f>IF(A174="","",IF(B174="Decommissioning",INDEX('Raw Decommissioning'!$AG$2:$AG$1000,ROWS($A$5:A174)),INDEX('Raw Provisioning'!$AI$2:$AI$1000,ROWS($A$5:A174)-COUNTA('Raw Decommissioning'!$B$2:$B$1000))))</x:f>
        <x:v>azlisham.md@petronas.com</x:v>
      </x:c>
      <x:c r="K174" s="172" t="str">
        <x:f>IF(A174="","",IFERROR(LOOKUP(2,1/('Assignment History'!$B$5:$B$204=A174),'Assignment History'!$D$5:$D$204),IFERROR(VLOOKUP(J174,Configuration!$L$5:$M$50,2,FALSE),J174)))</x:f>
        <x:v>azlisham.md@petronas.com</x:v>
      </x:c>
      <x:c r="L174" s="172" t="str">
        <x:f>IF(A174="","",IF(K174=IFERROR(VLOOKUP(J174,Configuration!$L$5:$M$50,2,FALSE),J174),"Snapshot PIC","Replacement PIC"))</x:f>
        <x:v>Snapshot PIC</x:v>
      </x:c>
      <x:c r="M174" s="172" t="n">
        <x:f>IF(A174="","",IFERROR(VLOOKUP(I174,Configuration!$O$5:$P$8,2,FALSE),Configuration!$S$6))</x:f>
        <x:v>1</x:v>
      </x:c>
      <x:c r="N174" s="172" t="str">
        <x:f>IF(A174="","",IFERROR(LOOKUP(2,1/('Scope Review'!$B$5:$B$204=A174),'Scope Review'!$G$5:$G$204),"Not Reviewed"))</x:f>
        <x:v>Not Reviewed</x:v>
      </x:c>
      <x:c r="O174" s="172" t="str">
        <x:f>IF(A174="","",IFERROR(LOOKUP(2,1/('Scope Review'!$B$5:$B$204=A174),'Scope Review'!$H$5:$H$204),""))</x:f>
      </x:c>
      <x:c r="P174" s="172" t="n">
        <x:f>IF(A174="","",IF(AND(C174="executing",N174&lt;&gt;"Confirmed OOS"),M174,0))</x:f>
        <x:v>0</x:v>
      </x:c>
      <x:c r="Q174" s="173" t="str">
        <x:f>IF(A174="","",IFERROR(LOOKUP(2,1/('Engineer Updates'!$B$5:$B$704=A174),'Engineer Updates'!$A$5:$A$704),""))</x:f>
      </x:c>
      <x:c r="R174" s="172" t="str">
        <x:f>IF(A174="","",IFERROR(LOOKUP(2,1/('Engineer Updates'!$B$5:$B$704=A174),'Engineer Updates'!$H$5:$H$704),""))</x:f>
      </x:c>
      <x:c r="S174" s="172" t="str">
        <x:f>IF(A174="","",IFERROR(LOOKUP(2,1/('Engineer Updates'!$B$5:$B$704=A174),'Engineer Updates'!$G$5:$G$704),""))</x:f>
      </x:c>
      <x:c r="T174" s="172" t="str">
        <x:f>IF(A174="","",IFERROR(LOOKUP(2,1/('Engineer Updates'!$B$5:$B$704=A174),'Engineer Updates'!$I$5:$I$704),""))</x:f>
      </x:c>
      <x:c r="U174" s="172" t="str">
        <x:f>IF(A174="","",IFERROR(LOOKUP(2,1/('Engineer Updates'!$B$5:$B$704=A174),'Engineer Updates'!$J$5:$J$704),""))</x:f>
      </x:c>
      <x:c r="V174" s="172" t="str">
        <x:f>IF(A174="","",IFERROR(LOOKUP(2,1/('Engineer Updates'!$B$5:$B$704=A174),'Engineer Updates'!$K$5:$K$704),""))</x:f>
      </x:c>
      <x:c r="W174" s="174" t="str">
        <x:f>IF(A174="","",IFERROR(LOOKUP(2,1/('Engineer Updates'!$B$5:$B$704=A174),'Engineer Updates'!$L$5:$L$704),""))</x:f>
      </x:c>
      <x:c r="X174" s="170" t="str">
        <x:f>IF(A174="","",IF(C174="completed","Completed in CSSP",IF(AND(C174="executing",ISERROR(SEARCH("@",K174))),"Executing without named engineer",IF(AND(N174="Confirmed OOS",C174="executing"),"Confirmed OOS still executing",""))))</x:f>
        <x:v>Completed in CSSP</x:v>
      </x:c>
      <x:c r="Y174" s="170" t="str">
        <x:f>IF(A174="","",IF(B174="Decommissioning","Raw Decommissioning","Raw Provisioning"))</x:f>
        <x:v>Raw Decommissioning</x:v>
      </x:c>
      <x:c r="Z174" s="170" t="str">
        <x:f>IF(A174="","",IF(OR(C174="executing",C174="processing"),"Yes","No"))</x:f>
        <x:v>No</x:v>
      </x:c>
    </x:row>
    <x:row r="175">
      <x:c r="A175" s="170" t="str">
        <x:f>IF(ROWS($A$5:A175)&lt;=COUNTA('Raw Decommissioning'!$B$2:$B$1000),INDEX('Raw Decommissioning'!$B$2:$B$1000,ROWS($A$5:A175)),IF(ROWS($A$5:A175)-COUNTA('Raw Decommissioning'!$B$2:$B$1000)&lt;=COUNTA('Raw Provisioning'!$B$2:$B$1000),INDEX('Raw Provisioning'!$B$2:$B$1000,ROWS($A$5:A175)-COUNTA('Raw Decommissioning'!$B$2:$B$1000)),""))</x:f>
        <x:v>CSSP10182189</x:v>
      </x:c>
      <x:c r="B175" s="170" t="str">
        <x:f>IF(A175="","",IF(ROWS($A$5:A175)&lt;=COUNTA('Raw Decommissioning'!$B$2:$B$1000),"Decommissioning","Provisioning"))</x:f>
        <x:v>Decommissioning</x:v>
      </x:c>
      <x:c r="C175" s="170" t="str">
        <x:f>IF(A175="","",IF(B175="Decommissioning",IFERROR(INDEX('Raw Decommissioning'!$E$2:$E$1000,MATCH(A175,'Raw Decommissioning'!$B$2:$B$1000,0)),"Missing from latest raw"),IFERROR(INDEX('Raw Provisioning'!$E$2:$E$1000,MATCH(A175,'Raw Provisioning'!$B$2:$B$1000,0)),"Missing from latest raw")))</x:f>
        <x:v>cancelled</x:v>
      </x:c>
      <x:c r="D175" s="171" t="n">
        <x:f>IF(A175="","",'Refresh Control'!$B$4)</x:f>
        <x:v>46254</x:v>
      </x:c>
      <x:c r="E175" s="171" t="n">
        <x:f>IF(A175="","",IF(B175="Decommissioning",INDEX('Raw Decommissioning'!$F$2:$F$1000,ROWS($A$5:A175)),INDEX('Raw Provisioning'!$F$2:$F$1000,ROWS($A$5:A175)-COUNTA('Raw Decommissioning'!$B$2:$B$1000))))</x:f>
        <x:v>46127.07766633102</x:v>
      </x:c>
      <x:c r="F175" s="171" t="n">
        <x:f>IF(A175="","",IF(B175="Decommissioning",INDEX('Raw Decommissioning'!$G$2:$G$1000,ROWS($A$5:A175)),INDEX('Raw Provisioning'!$H$2:$H$1000,ROWS($A$5:A175)-COUNTA('Raw Decommissioning'!$B$2:$B$1000))))</x:f>
        <x:v>46220.056889340274</x:v>
      </x:c>
      <x:c r="G175" s="170" t="str">
        <x:f>IF(A175="","",IF(B175="Decommissioning",INDEX('Raw Decommissioning'!$I$2:$I$1000,ROWS($A$5:A175)),INDEX('Raw Provisioning'!$J$2:$J$1000,ROWS($A$5:A175)-COUNTA('Raw Decommissioning'!$B$2:$B$1000))))</x:f>
        <x:v>Palisade</x:v>
      </x:c>
      <x:c r="H175" s="170" t="str">
        <x:f>IF(A175="","",IF(B175="Decommissioning",INDEX('Raw Decommissioning'!$J$2:$J$1000,ROWS($A$5:A175)),INDEX('Raw Provisioning'!$L$2:$L$1000,ROWS($A$5:A175)-COUNTA('Raw Decommissioning'!$B$2:$B$1000))))</x:f>
        <x:v>PDU SecOps of Business Excellence (BE) and Development (Dev.) Chapter's for Upstream Digital &amp; Technology</x:v>
      </x:c>
      <x:c r="I175" s="170" t="str">
        <x:f>IF(A175="","",IF(B175="Decommissioning",INDEX('Raw Decommissioning'!$AL$2:$AL$1000,ROWS($A$5:A175)),INDEX('Raw Provisioning'!$R$2:$R$1000,ROWS($A$5:A175)-COUNTA('Raw Decommissioning'!$B$2:$B$1000))))</x:f>
      </x:c>
      <x:c r="J175" s="170" t="str">
        <x:f>IF(A175="","",IF(B175="Decommissioning",INDEX('Raw Decommissioning'!$AG$2:$AG$1000,ROWS($A$5:A175)),INDEX('Raw Provisioning'!$AI$2:$AI$1000,ROWS($A$5:A175)-COUNTA('Raw Decommissioning'!$B$2:$B$1000))))</x:f>
        <x:v>CCoE Operations</x:v>
      </x:c>
      <x:c r="K175" s="172" t="str">
        <x:f>IF(A175="","",IFERROR(LOOKUP(2,1/('Assignment History'!$B$5:$B$204=A175),'Assignment History'!$D$5:$D$204),IFERROR(VLOOKUP(J175,Configuration!$L$5:$M$50,2,FALSE),J175)))</x:f>
        <x:v>CCoE Operations</x:v>
      </x:c>
      <x:c r="L175" s="172" t="str">
        <x:f>IF(A175="","",IF(K175=IFERROR(VLOOKUP(J175,Configuration!$L$5:$M$50,2,FALSE),J175),"Snapshot PIC","Replacement PIC"))</x:f>
        <x:v>Snapshot PIC</x:v>
      </x:c>
      <x:c r="M175" s="172" t="n">
        <x:f>IF(A175="","",IFERROR(VLOOKUP(I175,Configuration!$O$5:$P$8,2,FALSE),Configuration!$S$6))</x:f>
        <x:v>2</x:v>
      </x:c>
      <x:c r="N175" s="172" t="str">
        <x:f>IF(A175="","",IFERROR(LOOKUP(2,1/('Scope Review'!$B$5:$B$204=A175),'Scope Review'!$G$5:$G$204),"Not Reviewed"))</x:f>
        <x:v>Not Reviewed</x:v>
      </x:c>
      <x:c r="O175" s="172" t="str">
        <x:f>IF(A175="","",IFERROR(LOOKUP(2,1/('Scope Review'!$B$5:$B$204=A175),'Scope Review'!$H$5:$H$204),""))</x:f>
      </x:c>
      <x:c r="P175" s="172" t="n">
        <x:f>IF(A175="","",IF(AND(C175="executing",N175&lt;&gt;"Confirmed OOS"),M175,0))</x:f>
        <x:v>0</x:v>
      </x:c>
      <x:c r="Q175" s="173" t="str">
        <x:f>IF(A175="","",IFERROR(LOOKUP(2,1/('Engineer Updates'!$B$5:$B$704=A175),'Engineer Updates'!$A$5:$A$704),""))</x:f>
      </x:c>
      <x:c r="R175" s="172" t="str">
        <x:f>IF(A175="","",IFERROR(LOOKUP(2,1/('Engineer Updates'!$B$5:$B$704=A175),'Engineer Updates'!$H$5:$H$704),""))</x:f>
      </x:c>
      <x:c r="S175" s="172" t="str">
        <x:f>IF(A175="","",IFERROR(LOOKUP(2,1/('Engineer Updates'!$B$5:$B$704=A175),'Engineer Updates'!$G$5:$G$704),""))</x:f>
      </x:c>
      <x:c r="T175" s="172" t="str">
        <x:f>IF(A175="","",IFERROR(LOOKUP(2,1/('Engineer Updates'!$B$5:$B$704=A175),'Engineer Updates'!$I$5:$I$704),""))</x:f>
      </x:c>
      <x:c r="U175" s="172" t="str">
        <x:f>IF(A175="","",IFERROR(LOOKUP(2,1/('Engineer Updates'!$B$5:$B$704=A175),'Engineer Updates'!$J$5:$J$704),""))</x:f>
      </x:c>
      <x:c r="V175" s="172" t="str">
        <x:f>IF(A175="","",IFERROR(LOOKUP(2,1/('Engineer Updates'!$B$5:$B$704=A175),'Engineer Updates'!$K$5:$K$704),""))</x:f>
      </x:c>
      <x:c r="W175" s="174" t="str">
        <x:f>IF(A175="","",IFERROR(LOOKUP(2,1/('Engineer Updates'!$B$5:$B$704=A175),'Engineer Updates'!$L$5:$L$704),""))</x:f>
      </x:c>
      <x:c r="X175" s="170" t="str">
        <x:f>IF(A175="","",IF(C175="completed","Completed in CSSP",IF(AND(C175="executing",ISERROR(SEARCH("@",K175))),"Executing without named engineer",IF(AND(N175="Confirmed OOS",C175="executing"),"Confirmed OOS still executing",""))))</x:f>
      </x:c>
      <x:c r="Y175" s="170" t="str">
        <x:f>IF(A175="","",IF(B175="Decommissioning","Raw Decommissioning","Raw Provisioning"))</x:f>
        <x:v>Raw Decommissioning</x:v>
      </x:c>
      <x:c r="Z175" s="170" t="str">
        <x:f>IF(A175="","",IF(OR(C175="executing",C175="processing"),"Yes","No"))</x:f>
        <x:v>No</x:v>
      </x:c>
    </x:row>
    <x:row r="176">
      <x:c r="A176" s="170" t="str">
        <x:f>IF(ROWS($A$5:A176)&lt;=COUNTA('Raw Decommissioning'!$B$2:$B$1000),INDEX('Raw Decommissioning'!$B$2:$B$1000,ROWS($A$5:A176)),IF(ROWS($A$5:A176)-COUNTA('Raw Decommissioning'!$B$2:$B$1000)&lt;=COUNTA('Raw Provisioning'!$B$2:$B$1000),INDEX('Raw Provisioning'!$B$2:$B$1000,ROWS($A$5:A176)-COUNTA('Raw Decommissioning'!$B$2:$B$1000)),""))</x:f>
        <x:v>CSSP10162067</x:v>
      </x:c>
      <x:c r="B176" s="170" t="str">
        <x:f>IF(A176="","",IF(ROWS($A$5:A176)&lt;=COUNTA('Raw Decommissioning'!$B$2:$B$1000),"Decommissioning","Provisioning"))</x:f>
        <x:v>Decommissioning</x:v>
      </x:c>
      <x:c r="C176" s="170" t="str">
        <x:f>IF(A176="","",IF(B176="Decommissioning",IFERROR(INDEX('Raw Decommissioning'!$E$2:$E$1000,MATCH(A176,'Raw Decommissioning'!$B$2:$B$1000,0)),"Missing from latest raw"),IFERROR(INDEX('Raw Provisioning'!$E$2:$E$1000,MATCH(A176,'Raw Provisioning'!$B$2:$B$1000,0)),"Missing from latest raw")))</x:f>
        <x:v>pending</x:v>
      </x:c>
      <x:c r="D176" s="171" t="n">
        <x:f>IF(A176="","",'Refresh Control'!$B$4)</x:f>
        <x:v>46254</x:v>
      </x:c>
      <x:c r="E176" s="171" t="n">
        <x:f>IF(A176="","",IF(B176="Decommissioning",INDEX('Raw Decommissioning'!$F$2:$F$1000,ROWS($A$5:A176)),INDEX('Raw Provisioning'!$F$2:$F$1000,ROWS($A$5:A176)-COUNTA('Raw Decommissioning'!$B$2:$B$1000))))</x:f>
        <x:v>46129.05779442129</x:v>
      </x:c>
      <x:c r="F176" s="171" t="n">
        <x:f>IF(A176="","",IF(B176="Decommissioning",INDEX('Raw Decommissioning'!$G$2:$G$1000,ROWS($A$5:A176)),INDEX('Raw Provisioning'!$H$2:$H$1000,ROWS($A$5:A176)-COUNTA('Raw Decommissioning'!$B$2:$B$1000))))</x:f>
        <x:v>46129.05779442129</x:v>
      </x:c>
      <x:c r="G176" s="170" t="str">
        <x:f>IF(A176="","",IF(B176="Decommissioning",INDEX('Raw Decommissioning'!$I$2:$I$1000,ROWS($A$5:A176)),INDEX('Raw Provisioning'!$J$2:$J$1000,ROWS($A$5:A176)-COUNTA('Raw Decommissioning'!$B$2:$B$1000))))</x:f>
        <x:v>Palisade</x:v>
      </x:c>
      <x:c r="H176" s="170" t="str">
        <x:f>IF(A176="","",IF(B176="Decommissioning",INDEX('Raw Decommissioning'!$J$2:$J$1000,ROWS($A$5:A176)),INDEX('Raw Provisioning'!$L$2:$L$1000,ROWS($A$5:A176)-COUNTA('Raw Decommissioning'!$B$2:$B$1000))))</x:f>
        <x:v>PDU SecOps of Business Excellence (BE) and Development (Dev.) Chapter's for Upstream Digital &amp; Technology</x:v>
      </x:c>
      <x:c r="I176" s="170" t="str">
        <x:f>IF(A176="","",IF(B176="Decommissioning",INDEX('Raw Decommissioning'!$AL$2:$AL$1000,ROWS($A$5:A176)),INDEX('Raw Provisioning'!$R$2:$R$1000,ROWS($A$5:A176)-COUNTA('Raw Decommissioning'!$B$2:$B$1000))))</x:f>
      </x:c>
      <x:c r="J176" s="170" t="str">
        <x:f>IF(A176="","",IF(B176="Decommissioning",INDEX('Raw Decommissioning'!$AG$2:$AG$1000,ROWS($A$5:A176)),INDEX('Raw Provisioning'!$AI$2:$AI$1000,ROWS($A$5:A176)-COUNTA('Raw Decommissioning'!$B$2:$B$1000))))</x:f>
        <x:v>CCoE Operations</x:v>
      </x:c>
      <x:c r="K176" s="172" t="str">
        <x:f>IF(A176="","",IFERROR(LOOKUP(2,1/('Assignment History'!$B$5:$B$204=A176),'Assignment History'!$D$5:$D$204),IFERROR(VLOOKUP(J176,Configuration!$L$5:$M$50,2,FALSE),J176)))</x:f>
        <x:v>CCoE Operations</x:v>
      </x:c>
      <x:c r="L176" s="172" t="str">
        <x:f>IF(A176="","",IF(K176=IFERROR(VLOOKUP(J176,Configuration!$L$5:$M$50,2,FALSE),J176),"Snapshot PIC","Replacement PIC"))</x:f>
        <x:v>Snapshot PIC</x:v>
      </x:c>
      <x:c r="M176" s="172" t="n">
        <x:f>IF(A176="","",IFERROR(VLOOKUP(I176,Configuration!$O$5:$P$8,2,FALSE),Configuration!$S$6))</x:f>
        <x:v>2</x:v>
      </x:c>
      <x:c r="N176" s="172" t="str">
        <x:f>IF(A176="","",IFERROR(LOOKUP(2,1/('Scope Review'!$B$5:$B$204=A176),'Scope Review'!$G$5:$G$204),"Not Reviewed"))</x:f>
        <x:v>Not Reviewed</x:v>
      </x:c>
      <x:c r="O176" s="172" t="str">
        <x:f>IF(A176="","",IFERROR(LOOKUP(2,1/('Scope Review'!$B$5:$B$204=A176),'Scope Review'!$H$5:$H$204),""))</x:f>
      </x:c>
      <x:c r="P176" s="172" t="n">
        <x:f>IF(A176="","",IF(AND(C176="executing",N176&lt;&gt;"Confirmed OOS"),M176,0))</x:f>
        <x:v>0</x:v>
      </x:c>
      <x:c r="Q176" s="173" t="str">
        <x:f>IF(A176="","",IFERROR(LOOKUP(2,1/('Engineer Updates'!$B$5:$B$704=A176),'Engineer Updates'!$A$5:$A$704),""))</x:f>
      </x:c>
      <x:c r="R176" s="172" t="str">
        <x:f>IF(A176="","",IFERROR(LOOKUP(2,1/('Engineer Updates'!$B$5:$B$704=A176),'Engineer Updates'!$H$5:$H$704),""))</x:f>
      </x:c>
      <x:c r="S176" s="172" t="str">
        <x:f>IF(A176="","",IFERROR(LOOKUP(2,1/('Engineer Updates'!$B$5:$B$704=A176),'Engineer Updates'!$G$5:$G$704),""))</x:f>
      </x:c>
      <x:c r="T176" s="172" t="str">
        <x:f>IF(A176="","",IFERROR(LOOKUP(2,1/('Engineer Updates'!$B$5:$B$704=A176),'Engineer Updates'!$I$5:$I$704),""))</x:f>
      </x:c>
      <x:c r="U176" s="172" t="str">
        <x:f>IF(A176="","",IFERROR(LOOKUP(2,1/('Engineer Updates'!$B$5:$B$704=A176),'Engineer Updates'!$J$5:$J$704),""))</x:f>
      </x:c>
      <x:c r="V176" s="172" t="str">
        <x:f>IF(A176="","",IFERROR(LOOKUP(2,1/('Engineer Updates'!$B$5:$B$704=A176),'Engineer Updates'!$K$5:$K$704),""))</x:f>
      </x:c>
      <x:c r="W176" s="174" t="str">
        <x:f>IF(A176="","",IFERROR(LOOKUP(2,1/('Engineer Updates'!$B$5:$B$704=A176),'Engineer Updates'!$L$5:$L$704),""))</x:f>
      </x:c>
      <x:c r="X176" s="170" t="str">
        <x:f>IF(A176="","",IF(C176="completed","Completed in CSSP",IF(AND(C176="executing",ISERROR(SEARCH("@",K176))),"Executing without named engineer",IF(AND(N176="Confirmed OOS",C176="executing"),"Confirmed OOS still executing",""))))</x:f>
      </x:c>
      <x:c r="Y176" s="170" t="str">
        <x:f>IF(A176="","",IF(B176="Decommissioning","Raw Decommissioning","Raw Provisioning"))</x:f>
        <x:v>Raw Decommissioning</x:v>
      </x:c>
      <x:c r="Z176" s="170" t="str">
        <x:f>IF(A176="","",IF(OR(C176="executing",C176="processing"),"Yes","No"))</x:f>
        <x:v>No</x:v>
      </x:c>
    </x:row>
    <x:row r="177">
      <x:c r="A177" s="170" t="str">
        <x:f>IF(ROWS($A$5:A177)&lt;=COUNTA('Raw Decommissioning'!$B$2:$B$1000),INDEX('Raw Decommissioning'!$B$2:$B$1000,ROWS($A$5:A177)),IF(ROWS($A$5:A177)-COUNTA('Raw Decommissioning'!$B$2:$B$1000)&lt;=COUNTA('Raw Provisioning'!$B$2:$B$1000),INDEX('Raw Provisioning'!$B$2:$B$1000,ROWS($A$5:A177)-COUNTA('Raw Decommissioning'!$B$2:$B$1000)),""))</x:f>
        <x:v>CSSP10861911</x:v>
      </x:c>
      <x:c r="B177" s="170" t="str">
        <x:f>IF(A177="","",IF(ROWS($A$5:A177)&lt;=COUNTA('Raw Decommissioning'!$B$2:$B$1000),"Decommissioning","Provisioning"))</x:f>
        <x:v>Decommissioning</x:v>
      </x:c>
      <x:c r="C177" s="170" t="str">
        <x:f>IF(A177="","",IF(B177="Decommissioning",IFERROR(INDEX('Raw Decommissioning'!$E$2:$E$1000,MATCH(A177,'Raw Decommissioning'!$B$2:$B$1000,0)),"Missing from latest raw"),IFERROR(INDEX('Raw Provisioning'!$E$2:$E$1000,MATCH(A177,'Raw Provisioning'!$B$2:$B$1000,0)),"Missing from latest raw")))</x:f>
        <x:v>rejected</x:v>
      </x:c>
      <x:c r="D177" s="171" t="n">
        <x:f>IF(A177="","",'Refresh Control'!$B$4)</x:f>
        <x:v>46254</x:v>
      </x:c>
      <x:c r="E177" s="171" t="n">
        <x:f>IF(A177="","",IF(B177="Decommissioning",INDEX('Raw Decommissioning'!$F$2:$F$1000,ROWS($A$5:A177)),INDEX('Raw Provisioning'!$F$2:$F$1000,ROWS($A$5:A177)-COUNTA('Raw Decommissioning'!$B$2:$B$1000))))</x:f>
        <x:v>46129.06113125</x:v>
      </x:c>
      <x:c r="F177" s="171" t="n">
        <x:f>IF(A177="","",IF(B177="Decommissioning",INDEX('Raw Decommissioning'!$G$2:$G$1000,ROWS($A$5:A177)),INDEX('Raw Provisioning'!$H$2:$H$1000,ROWS($A$5:A177)-COUNTA('Raw Decommissioning'!$B$2:$B$1000))))</x:f>
        <x:v>46140.246479918984</x:v>
      </x:c>
      <x:c r="G177" s="170" t="str">
        <x:f>IF(A177="","",IF(B177="Decommissioning",INDEX('Raw Decommissioning'!$I$2:$I$1000,ROWS($A$5:A177)),INDEX('Raw Provisioning'!$J$2:$J$1000,ROWS($A$5:A177)-COUNTA('Raw Decommissioning'!$B$2:$B$1000))))</x:f>
        <x:v>Talent Engine</x:v>
      </x:c>
      <x:c r="H177" s="170" t="str">
        <x:f>IF(A177="","",IF(B177="Decommissioning",INDEX('Raw Decommissioning'!$J$2:$J$1000,ROWS($A$5:A177)),INDEX('Raw Provisioning'!$L$2:$L$1000,ROWS($A$5:A177)-COUNTA('Raw Decommissioning'!$B$2:$B$1000))))</x:f>
        <x:v>Cloud Migration - Talent Engine 2.0</x:v>
      </x:c>
      <x:c r="I177" s="170" t="str">
        <x:f>IF(A177="","",IF(B177="Decommissioning",INDEX('Raw Decommissioning'!$AL$2:$AL$1000,ROWS($A$5:A177)),INDEX('Raw Provisioning'!$R$2:$R$1000,ROWS($A$5:A177)-COUNTA('Raw Decommissioning'!$B$2:$B$1000))))</x:f>
      </x:c>
      <x:c r="J177" s="170" t="str">
        <x:f>IF(A177="","",IF(B177="Decommissioning",INDEX('Raw Decommissioning'!$AG$2:$AG$1000,ROWS($A$5:A177)),INDEX('Raw Provisioning'!$AI$2:$AI$1000,ROWS($A$5:A177)-COUNTA('Raw Decommissioning'!$B$2:$B$1000))))</x:f>
        <x:v>CCoE Operations</x:v>
      </x:c>
      <x:c r="K177" s="172" t="str">
        <x:f>IF(A177="","",IFERROR(LOOKUP(2,1/('Assignment History'!$B$5:$B$204=A177),'Assignment History'!$D$5:$D$204),IFERROR(VLOOKUP(J177,Configuration!$L$5:$M$50,2,FALSE),J177)))</x:f>
        <x:v>CCoE Operations</x:v>
      </x:c>
      <x:c r="L177" s="172" t="str">
        <x:f>IF(A177="","",IF(K177=IFERROR(VLOOKUP(J177,Configuration!$L$5:$M$50,2,FALSE),J177),"Snapshot PIC","Replacement PIC"))</x:f>
        <x:v>Snapshot PIC</x:v>
      </x:c>
      <x:c r="M177" s="172" t="n">
        <x:f>IF(A177="","",IFERROR(VLOOKUP(I177,Configuration!$O$5:$P$8,2,FALSE),Configuration!$S$6))</x:f>
        <x:v>2</x:v>
      </x:c>
      <x:c r="N177" s="172" t="str">
        <x:f>IF(A177="","",IFERROR(LOOKUP(2,1/('Scope Review'!$B$5:$B$204=A177),'Scope Review'!$G$5:$G$204),"Not Reviewed"))</x:f>
        <x:v>Not Reviewed</x:v>
      </x:c>
      <x:c r="O177" s="172" t="str">
        <x:f>IF(A177="","",IFERROR(LOOKUP(2,1/('Scope Review'!$B$5:$B$204=A177),'Scope Review'!$H$5:$H$204),""))</x:f>
      </x:c>
      <x:c r="P177" s="172" t="n">
        <x:f>IF(A177="","",IF(AND(C177="executing",N177&lt;&gt;"Confirmed OOS"),M177,0))</x:f>
        <x:v>0</x:v>
      </x:c>
      <x:c r="Q177" s="173" t="str">
        <x:f>IF(A177="","",IFERROR(LOOKUP(2,1/('Engineer Updates'!$B$5:$B$704=A177),'Engineer Updates'!$A$5:$A$704),""))</x:f>
      </x:c>
      <x:c r="R177" s="172" t="str">
        <x:f>IF(A177="","",IFERROR(LOOKUP(2,1/('Engineer Updates'!$B$5:$B$704=A177),'Engineer Updates'!$H$5:$H$704),""))</x:f>
      </x:c>
      <x:c r="S177" s="172" t="str">
        <x:f>IF(A177="","",IFERROR(LOOKUP(2,1/('Engineer Updates'!$B$5:$B$704=A177),'Engineer Updates'!$G$5:$G$704),""))</x:f>
      </x:c>
      <x:c r="T177" s="172" t="str">
        <x:f>IF(A177="","",IFERROR(LOOKUP(2,1/('Engineer Updates'!$B$5:$B$704=A177),'Engineer Updates'!$I$5:$I$704),""))</x:f>
      </x:c>
      <x:c r="U177" s="172" t="str">
        <x:f>IF(A177="","",IFERROR(LOOKUP(2,1/('Engineer Updates'!$B$5:$B$704=A177),'Engineer Updates'!$J$5:$J$704),""))</x:f>
      </x:c>
      <x:c r="V177" s="172" t="str">
        <x:f>IF(A177="","",IFERROR(LOOKUP(2,1/('Engineer Updates'!$B$5:$B$704=A177),'Engineer Updates'!$K$5:$K$704),""))</x:f>
      </x:c>
      <x:c r="W177" s="174" t="str">
        <x:f>IF(A177="","",IFERROR(LOOKUP(2,1/('Engineer Updates'!$B$5:$B$704=A177),'Engineer Updates'!$L$5:$L$704),""))</x:f>
      </x:c>
      <x:c r="X177" s="170" t="str">
        <x:f>IF(A177="","",IF(C177="completed","Completed in CSSP",IF(AND(C177="executing",ISERROR(SEARCH("@",K177))),"Executing without named engineer",IF(AND(N177="Confirmed OOS",C177="executing"),"Confirmed OOS still executing",""))))</x:f>
      </x:c>
      <x:c r="Y177" s="170" t="str">
        <x:f>IF(A177="","",IF(B177="Decommissioning","Raw Decommissioning","Raw Provisioning"))</x:f>
        <x:v>Raw Decommissioning</x:v>
      </x:c>
      <x:c r="Z177" s="170" t="str">
        <x:f>IF(A177="","",IF(OR(C177="executing",C177="processing"),"Yes","No"))</x:f>
        <x:v>No</x:v>
      </x:c>
    </x:row>
    <x:row r="178">
      <x:c r="A178" s="170" t="str">
        <x:f>IF(ROWS($A$5:A178)&lt;=COUNTA('Raw Decommissioning'!$B$2:$B$1000),INDEX('Raw Decommissioning'!$B$2:$B$1000,ROWS($A$5:A178)),IF(ROWS($A$5:A178)-COUNTA('Raw Decommissioning'!$B$2:$B$1000)&lt;=COUNTA('Raw Provisioning'!$B$2:$B$1000),INDEX('Raw Provisioning'!$B$2:$B$1000,ROWS($A$5:A178)-COUNTA('Raw Decommissioning'!$B$2:$B$1000)),""))</x:f>
        <x:v>CSSP10780664</x:v>
      </x:c>
      <x:c r="B178" s="170" t="str">
        <x:f>IF(A178="","",IF(ROWS($A$5:A178)&lt;=COUNTA('Raw Decommissioning'!$B$2:$B$1000),"Decommissioning","Provisioning"))</x:f>
        <x:v>Decommissioning</x:v>
      </x:c>
      <x:c r="C178" s="170" t="str">
        <x:f>IF(A178="","",IF(B178="Decommissioning",IFERROR(INDEX('Raw Decommissioning'!$E$2:$E$1000,MATCH(A178,'Raw Decommissioning'!$B$2:$B$1000,0)),"Missing from latest raw"),IFERROR(INDEX('Raw Provisioning'!$E$2:$E$1000,MATCH(A178,'Raw Provisioning'!$B$2:$B$1000,0)),"Missing from latest raw")))</x:f>
        <x:v>cancelled</x:v>
      </x:c>
      <x:c r="D178" s="171" t="n">
        <x:f>IF(A178="","",'Refresh Control'!$B$4)</x:f>
        <x:v>46254</x:v>
      </x:c>
      <x:c r="E178" s="171" t="n">
        <x:f>IF(A178="","",IF(B178="Decommissioning",INDEX('Raw Decommissioning'!$F$2:$F$1000,ROWS($A$5:A178)),INDEX('Raw Provisioning'!$F$2:$F$1000,ROWS($A$5:A178)-COUNTA('Raw Decommissioning'!$B$2:$B$1000))))</x:f>
        <x:v>46132.11869681713</x:v>
      </x:c>
      <x:c r="F178" s="171" t="n">
        <x:f>IF(A178="","",IF(B178="Decommissioning",INDEX('Raw Decommissioning'!$G$2:$G$1000,ROWS($A$5:A178)),INDEX('Raw Provisioning'!$H$2:$H$1000,ROWS($A$5:A178)-COUNTA('Raw Decommissioning'!$B$2:$B$1000))))</x:f>
        <x:v>46134.34008523148</x:v>
      </x:c>
      <x:c r="G178" s="170" t="str">
        <x:f>IF(A178="","",IF(B178="Decommissioning",INDEX('Raw Decommissioning'!$I$2:$I$1000,ROWS($A$5:A178)),INDEX('Raw Provisioning'!$J$2:$J$1000,ROWS($A$5:A178)-COUNTA('Raw Decommissioning'!$B$2:$B$1000))))</x:f>
        <x:v>TO.PRODIGI - Centralised Database and Analytics</x:v>
      </x:c>
      <x:c r="H178" s="170" t="str">
        <x:f>IF(A178="","",IF(B178="Decommissioning",INDEX('Raw Decommissioning'!$J$2:$J$1000,ROWS($A$5:A178)),INDEX('Raw Provisioning'!$L$2:$L$1000,ROWS($A$5:A178)-COUNTA('Raw Decommissioning'!$B$2:$B$1000))))</x:f>
        <x:v>DevOps services of Centralized Database &amp; Analytics for Turkmenistan Operation</x:v>
      </x:c>
      <x:c r="I178" s="170" t="str">
        <x:f>IF(A178="","",IF(B178="Decommissioning",INDEX('Raw Decommissioning'!$AL$2:$AL$1000,ROWS($A$5:A178)),INDEX('Raw Provisioning'!$R$2:$R$1000,ROWS($A$5:A178)-COUNTA('Raw Decommissioning'!$B$2:$B$1000))))</x:f>
      </x:c>
      <x:c r="J178" s="170" t="str">
        <x:f>IF(A178="","",IF(B178="Decommissioning",INDEX('Raw Decommissioning'!$AG$2:$AG$1000,ROWS($A$5:A178)),INDEX('Raw Provisioning'!$AI$2:$AI$1000,ROWS($A$5:A178)-COUNTA('Raw Decommissioning'!$B$2:$B$1000))))</x:f>
        <x:v>CCoE Business</x:v>
      </x:c>
      <x:c r="K178" s="172" t="str">
        <x:f>IF(A178="","",IFERROR(LOOKUP(2,1/('Assignment History'!$B$5:$B$204=A178),'Assignment History'!$D$5:$D$204),IFERROR(VLOOKUP(J178,Configuration!$L$5:$M$50,2,FALSE),J178)))</x:f>
        <x:v>CCoE Business</x:v>
      </x:c>
      <x:c r="L178" s="172" t="str">
        <x:f>IF(A178="","",IF(K178=IFERROR(VLOOKUP(J178,Configuration!$L$5:$M$50,2,FALSE),J178),"Snapshot PIC","Replacement PIC"))</x:f>
        <x:v>Snapshot PIC</x:v>
      </x:c>
      <x:c r="M178" s="172" t="n">
        <x:f>IF(A178="","",IFERROR(VLOOKUP(I178,Configuration!$O$5:$P$8,2,FALSE),Configuration!$S$6))</x:f>
        <x:v>2</x:v>
      </x:c>
      <x:c r="N178" s="172" t="str">
        <x:f>IF(A178="","",IFERROR(LOOKUP(2,1/('Scope Review'!$B$5:$B$204=A178),'Scope Review'!$G$5:$G$204),"Not Reviewed"))</x:f>
        <x:v>Not Reviewed</x:v>
      </x:c>
      <x:c r="O178" s="172" t="str">
        <x:f>IF(A178="","",IFERROR(LOOKUP(2,1/('Scope Review'!$B$5:$B$204=A178),'Scope Review'!$H$5:$H$204),""))</x:f>
      </x:c>
      <x:c r="P178" s="172" t="n">
        <x:f>IF(A178="","",IF(AND(C178="executing",N178&lt;&gt;"Confirmed OOS"),M178,0))</x:f>
        <x:v>0</x:v>
      </x:c>
      <x:c r="Q178" s="173" t="str">
        <x:f>IF(A178="","",IFERROR(LOOKUP(2,1/('Engineer Updates'!$B$5:$B$704=A178),'Engineer Updates'!$A$5:$A$704),""))</x:f>
      </x:c>
      <x:c r="R178" s="172" t="str">
        <x:f>IF(A178="","",IFERROR(LOOKUP(2,1/('Engineer Updates'!$B$5:$B$704=A178),'Engineer Updates'!$H$5:$H$704),""))</x:f>
      </x:c>
      <x:c r="S178" s="172" t="str">
        <x:f>IF(A178="","",IFERROR(LOOKUP(2,1/('Engineer Updates'!$B$5:$B$704=A178),'Engineer Updates'!$G$5:$G$704),""))</x:f>
      </x:c>
      <x:c r="T178" s="172" t="str">
        <x:f>IF(A178="","",IFERROR(LOOKUP(2,1/('Engineer Updates'!$B$5:$B$704=A178),'Engineer Updates'!$I$5:$I$704),""))</x:f>
      </x:c>
      <x:c r="U178" s="172" t="str">
        <x:f>IF(A178="","",IFERROR(LOOKUP(2,1/('Engineer Updates'!$B$5:$B$704=A178),'Engineer Updates'!$J$5:$J$704),""))</x:f>
      </x:c>
      <x:c r="V178" s="172" t="str">
        <x:f>IF(A178="","",IFERROR(LOOKUP(2,1/('Engineer Updates'!$B$5:$B$704=A178),'Engineer Updates'!$K$5:$K$704),""))</x:f>
      </x:c>
      <x:c r="W178" s="174" t="str">
        <x:f>IF(A178="","",IFERROR(LOOKUP(2,1/('Engineer Updates'!$B$5:$B$704=A178),'Engineer Updates'!$L$5:$L$704),""))</x:f>
      </x:c>
      <x:c r="X178" s="170" t="str">
        <x:f>IF(A178="","",IF(C178="completed","Completed in CSSP",IF(AND(C178="executing",ISERROR(SEARCH("@",K178))),"Executing without named engineer",IF(AND(N178="Confirmed OOS",C178="executing"),"Confirmed OOS still executing",""))))</x:f>
      </x:c>
      <x:c r="Y178" s="170" t="str">
        <x:f>IF(A178="","",IF(B178="Decommissioning","Raw Decommissioning","Raw Provisioning"))</x:f>
        <x:v>Raw Decommissioning</x:v>
      </x:c>
      <x:c r="Z178" s="170" t="str">
        <x:f>IF(A178="","",IF(OR(C178="executing",C178="processing"),"Yes","No"))</x:f>
        <x:v>No</x:v>
      </x:c>
    </x:row>
    <x:row r="179">
      <x:c r="A179" s="170" t="str">
        <x:f>IF(ROWS($A$5:A179)&lt;=COUNTA('Raw Decommissioning'!$B$2:$B$1000),INDEX('Raw Decommissioning'!$B$2:$B$1000,ROWS($A$5:A179)),IF(ROWS($A$5:A179)-COUNTA('Raw Decommissioning'!$B$2:$B$1000)&lt;=COUNTA('Raw Provisioning'!$B$2:$B$1000),INDEX('Raw Provisioning'!$B$2:$B$1000,ROWS($A$5:A179)-COUNTA('Raw Decommissioning'!$B$2:$B$1000)),""))</x:f>
        <x:v>CSSP10741939</x:v>
      </x:c>
      <x:c r="B179" s="170" t="str">
        <x:f>IF(A179="","",IF(ROWS($A$5:A179)&lt;=COUNTA('Raw Decommissioning'!$B$2:$B$1000),"Decommissioning","Provisioning"))</x:f>
        <x:v>Decommissioning</x:v>
      </x:c>
      <x:c r="C179" s="170" t="str">
        <x:f>IF(A179="","",IF(B179="Decommissioning",IFERROR(INDEX('Raw Decommissioning'!$E$2:$E$1000,MATCH(A179,'Raw Decommissioning'!$B$2:$B$1000,0)),"Missing from latest raw"),IFERROR(INDEX('Raw Provisioning'!$E$2:$E$1000,MATCH(A179,'Raw Provisioning'!$B$2:$B$1000,0)),"Missing from latest raw")))</x:f>
        <x:v>completed</x:v>
      </x:c>
      <x:c r="D179" s="171" t="n">
        <x:f>IF(A179="","",'Refresh Control'!$B$4)</x:f>
        <x:v>46254</x:v>
      </x:c>
      <x:c r="E179" s="171" t="n">
        <x:f>IF(A179="","",IF(B179="Decommissioning",INDEX('Raw Decommissioning'!$F$2:$F$1000,ROWS($A$5:A179)),INDEX('Raw Provisioning'!$F$2:$F$1000,ROWS($A$5:A179)-COUNTA('Raw Decommissioning'!$B$2:$B$1000))))</x:f>
        <x:v>46132.139100960645</x:v>
      </x:c>
      <x:c r="F179" s="171" t="n">
        <x:f>IF(A179="","",IF(B179="Decommissioning",INDEX('Raw Decommissioning'!$G$2:$G$1000,ROWS($A$5:A179)),INDEX('Raw Provisioning'!$H$2:$H$1000,ROWS($A$5:A179)-COUNTA('Raw Decommissioning'!$B$2:$B$1000))))</x:f>
        <x:v>46136.0835984838</x:v>
      </x:c>
      <x:c r="G179" s="170" t="str">
        <x:f>IF(A179="","",IF(B179="Decommissioning",INDEX('Raw Decommissioning'!$I$2:$I$1000,ROWS($A$5:A179)),INDEX('Raw Provisioning'!$J$2:$J$1000,ROWS($A$5:A179)-COUNTA('Raw Decommissioning'!$B$2:$B$1000))))</x:f>
        <x:v>Decision Ready Data - DRD NervCentre</x:v>
      </x:c>
      <x:c r="H179" s="170" t="str">
        <x:f>IF(A179="","",IF(B179="Decommissioning",INDEX('Raw Decommissioning'!$J$2:$J$1000,ROWS($A$5:A179)),INDEX('Raw Provisioning'!$L$2:$L$1000,ROWS($A$5:A179)-COUNTA('Raw Decommissioning'!$B$2:$B$1000))))</x:f>
        <x:v>Implementation of Decision Ready Data (DRD) for NervCentre</x:v>
      </x:c>
      <x:c r="I179" s="170" t="str">
        <x:f>IF(A179="","",IF(B179="Decommissioning",INDEX('Raw Decommissioning'!$AL$2:$AL$1000,ROWS($A$5:A179)),INDEX('Raw Provisioning'!$R$2:$R$1000,ROWS($A$5:A179)-COUNTA('Raw Decommissioning'!$B$2:$B$1000))))</x:f>
        <x:v>L</x:v>
      </x:c>
      <x:c r="J179" s="170" t="str">
        <x:f>IF(A179="","",IF(B179="Decommissioning",INDEX('Raw Decommissioning'!$AG$2:$AG$1000,ROWS($A$5:A179)),INDEX('Raw Provisioning'!$AI$2:$AI$1000,ROWS($A$5:A179)-COUNTA('Raw Decommissioning'!$B$2:$B$1000))))</x:f>
        <x:v>azwan.badari@petronas.com</x:v>
      </x:c>
      <x:c r="K179" s="172" t="str">
        <x:f>IF(A179="","",IFERROR(LOOKUP(2,1/('Assignment History'!$B$5:$B$204=A179),'Assignment History'!$D$5:$D$204),IFERROR(VLOOKUP(J179,Configuration!$L$5:$M$50,2,FALSE),J179)))</x:f>
        <x:v>azwan.badari@petronas.com</x:v>
      </x:c>
      <x:c r="L179" s="172" t="str">
        <x:f>IF(A179="","",IF(K179=IFERROR(VLOOKUP(J179,Configuration!$L$5:$M$50,2,FALSE),J179),"Snapshot PIC","Replacement PIC"))</x:f>
        <x:v>Snapshot PIC</x:v>
      </x:c>
      <x:c r="M179" s="172" t="n">
        <x:f>IF(A179="","",IFERROR(VLOOKUP(I179,Configuration!$O$5:$P$8,2,FALSE),Configuration!$S$6))</x:f>
        <x:v>3</x:v>
      </x:c>
      <x:c r="N179" s="172" t="str">
        <x:f>IF(A179="","",IFERROR(LOOKUP(2,1/('Scope Review'!$B$5:$B$204=A179),'Scope Review'!$G$5:$G$204),"Not Reviewed"))</x:f>
        <x:v>Not Reviewed</x:v>
      </x:c>
      <x:c r="O179" s="172" t="str">
        <x:f>IF(A179="","",IFERROR(LOOKUP(2,1/('Scope Review'!$B$5:$B$204=A179),'Scope Review'!$H$5:$H$204),""))</x:f>
      </x:c>
      <x:c r="P179" s="172" t="n">
        <x:f>IF(A179="","",IF(AND(C179="executing",N179&lt;&gt;"Confirmed OOS"),M179,0))</x:f>
        <x:v>0</x:v>
      </x:c>
      <x:c r="Q179" s="173" t="str">
        <x:f>IF(A179="","",IFERROR(LOOKUP(2,1/('Engineer Updates'!$B$5:$B$704=A179),'Engineer Updates'!$A$5:$A$704),""))</x:f>
      </x:c>
      <x:c r="R179" s="172" t="str">
        <x:f>IF(A179="","",IFERROR(LOOKUP(2,1/('Engineer Updates'!$B$5:$B$704=A179),'Engineer Updates'!$H$5:$H$704),""))</x:f>
      </x:c>
      <x:c r="S179" s="172" t="str">
        <x:f>IF(A179="","",IFERROR(LOOKUP(2,1/('Engineer Updates'!$B$5:$B$704=A179),'Engineer Updates'!$G$5:$G$704),""))</x:f>
      </x:c>
      <x:c r="T179" s="172" t="str">
        <x:f>IF(A179="","",IFERROR(LOOKUP(2,1/('Engineer Updates'!$B$5:$B$704=A179),'Engineer Updates'!$I$5:$I$704),""))</x:f>
      </x:c>
      <x:c r="U179" s="172" t="str">
        <x:f>IF(A179="","",IFERROR(LOOKUP(2,1/('Engineer Updates'!$B$5:$B$704=A179),'Engineer Updates'!$J$5:$J$704),""))</x:f>
      </x:c>
      <x:c r="V179" s="172" t="str">
        <x:f>IF(A179="","",IFERROR(LOOKUP(2,1/('Engineer Updates'!$B$5:$B$704=A179),'Engineer Updates'!$K$5:$K$704),""))</x:f>
      </x:c>
      <x:c r="W179" s="174" t="str">
        <x:f>IF(A179="","",IFERROR(LOOKUP(2,1/('Engineer Updates'!$B$5:$B$704=A179),'Engineer Updates'!$L$5:$L$704),""))</x:f>
      </x:c>
      <x:c r="X179" s="170" t="str">
        <x:f>IF(A179="","",IF(C179="completed","Completed in CSSP",IF(AND(C179="executing",ISERROR(SEARCH("@",K179))),"Executing without named engineer",IF(AND(N179="Confirmed OOS",C179="executing"),"Confirmed OOS still executing",""))))</x:f>
        <x:v>Completed in CSSP</x:v>
      </x:c>
      <x:c r="Y179" s="170" t="str">
        <x:f>IF(A179="","",IF(B179="Decommissioning","Raw Decommissioning","Raw Provisioning"))</x:f>
        <x:v>Raw Decommissioning</x:v>
      </x:c>
      <x:c r="Z179" s="170" t="str">
        <x:f>IF(A179="","",IF(OR(C179="executing",C179="processing"),"Yes","No"))</x:f>
        <x:v>No</x:v>
      </x:c>
    </x:row>
    <x:row r="180">
      <x:c r="A180" s="170" t="str">
        <x:f>IF(ROWS($A$5:A180)&lt;=COUNTA('Raw Decommissioning'!$B$2:$B$1000),INDEX('Raw Decommissioning'!$B$2:$B$1000,ROWS($A$5:A180)),IF(ROWS($A$5:A180)-COUNTA('Raw Decommissioning'!$B$2:$B$1000)&lt;=COUNTA('Raw Provisioning'!$B$2:$B$1000),INDEX('Raw Provisioning'!$B$2:$B$1000,ROWS($A$5:A180)-COUNTA('Raw Decommissioning'!$B$2:$B$1000)),""))</x:f>
        <x:v>CSSP10524135</x:v>
      </x:c>
      <x:c r="B180" s="170" t="str">
        <x:f>IF(A180="","",IF(ROWS($A$5:A180)&lt;=COUNTA('Raw Decommissioning'!$B$2:$B$1000),"Decommissioning","Provisioning"))</x:f>
        <x:v>Decommissioning</x:v>
      </x:c>
      <x:c r="C180" s="170" t="str">
        <x:f>IF(A180="","",IF(B180="Decommissioning",IFERROR(INDEX('Raw Decommissioning'!$E$2:$E$1000,MATCH(A180,'Raw Decommissioning'!$B$2:$B$1000,0)),"Missing from latest raw"),IFERROR(INDEX('Raw Provisioning'!$E$2:$E$1000,MATCH(A180,'Raw Provisioning'!$B$2:$B$1000,0)),"Missing from latest raw")))</x:f>
        <x:v>cancelled</x:v>
      </x:c>
      <x:c r="D180" s="171" t="n">
        <x:f>IF(A180="","",'Refresh Control'!$B$4)</x:f>
        <x:v>46254</x:v>
      </x:c>
      <x:c r="E180" s="171" t="n">
        <x:f>IF(A180="","",IF(B180="Decommissioning",INDEX('Raw Decommissioning'!$F$2:$F$1000,ROWS($A$5:A180)),INDEX('Raw Provisioning'!$F$2:$F$1000,ROWS($A$5:A180)-COUNTA('Raw Decommissioning'!$B$2:$B$1000))))</x:f>
        <x:v>46133.103149664355</x:v>
      </x:c>
      <x:c r="F180" s="171" t="n">
        <x:f>IF(A180="","",IF(B180="Decommissioning",INDEX('Raw Decommissioning'!$G$2:$G$1000,ROWS($A$5:A180)),INDEX('Raw Provisioning'!$H$2:$H$1000,ROWS($A$5:A180)-COUNTA('Raw Decommissioning'!$B$2:$B$1000))))</x:f>
        <x:v>46133.103778136574</x:v>
      </x:c>
      <x:c r="G180" s="170" t="str">
        <x:f>IF(A180="","",IF(B180="Decommissioning",INDEX('Raw Decommissioning'!$I$2:$I$1000,ROWS($A$5:A180)),INDEX('Raw Provisioning'!$J$2:$J$1000,ROWS($A$5:A180)-COUNTA('Raw Decommissioning'!$B$2:$B$1000))))</x:f>
        <x:v>TO.PRODIGI - Centralised Database and Analytics</x:v>
      </x:c>
      <x:c r="H180" s="170" t="str">
        <x:f>IF(A180="","",IF(B180="Decommissioning",INDEX('Raw Decommissioning'!$J$2:$J$1000,ROWS($A$5:A180)),INDEX('Raw Provisioning'!$L$2:$L$1000,ROWS($A$5:A180)-COUNTA('Raw Decommissioning'!$B$2:$B$1000))))</x:f>
        <x:v>DevOps services of Centralized Database &amp; Analytics for Turkmenistan Operation</x:v>
      </x:c>
      <x:c r="I180" s="170" t="str">
        <x:f>IF(A180="","",IF(B180="Decommissioning",INDEX('Raw Decommissioning'!$AL$2:$AL$1000,ROWS($A$5:A180)),INDEX('Raw Provisioning'!$R$2:$R$1000,ROWS($A$5:A180)-COUNTA('Raw Decommissioning'!$B$2:$B$1000))))</x:f>
      </x:c>
      <x:c r="J180" s="170" t="str">
        <x:f>IF(A180="","",IF(B180="Decommissioning",INDEX('Raw Decommissioning'!$AG$2:$AG$1000,ROWS($A$5:A180)),INDEX('Raw Provisioning'!$AI$2:$AI$1000,ROWS($A$5:A180)-COUNTA('Raw Decommissioning'!$B$2:$B$1000))))</x:f>
        <x:v>CCoE Operations</x:v>
      </x:c>
      <x:c r="K180" s="172" t="str">
        <x:f>IF(A180="","",IFERROR(LOOKUP(2,1/('Assignment History'!$B$5:$B$204=A180),'Assignment History'!$D$5:$D$204),IFERROR(VLOOKUP(J180,Configuration!$L$5:$M$50,2,FALSE),J180)))</x:f>
        <x:v>CCoE Operations</x:v>
      </x:c>
      <x:c r="L180" s="172" t="str">
        <x:f>IF(A180="","",IF(K180=IFERROR(VLOOKUP(J180,Configuration!$L$5:$M$50,2,FALSE),J180),"Snapshot PIC","Replacement PIC"))</x:f>
        <x:v>Snapshot PIC</x:v>
      </x:c>
      <x:c r="M180" s="172" t="n">
        <x:f>IF(A180="","",IFERROR(VLOOKUP(I180,Configuration!$O$5:$P$8,2,FALSE),Configuration!$S$6))</x:f>
        <x:v>2</x:v>
      </x:c>
      <x:c r="N180" s="172" t="str">
        <x:f>IF(A180="","",IFERROR(LOOKUP(2,1/('Scope Review'!$B$5:$B$204=A180),'Scope Review'!$G$5:$G$204),"Not Reviewed"))</x:f>
        <x:v>Not Reviewed</x:v>
      </x:c>
      <x:c r="O180" s="172" t="str">
        <x:f>IF(A180="","",IFERROR(LOOKUP(2,1/('Scope Review'!$B$5:$B$204=A180),'Scope Review'!$H$5:$H$204),""))</x:f>
      </x:c>
      <x:c r="P180" s="172" t="n">
        <x:f>IF(A180="","",IF(AND(C180="executing",N180&lt;&gt;"Confirmed OOS"),M180,0))</x:f>
        <x:v>0</x:v>
      </x:c>
      <x:c r="Q180" s="173" t="str">
        <x:f>IF(A180="","",IFERROR(LOOKUP(2,1/('Engineer Updates'!$B$5:$B$704=A180),'Engineer Updates'!$A$5:$A$704),""))</x:f>
      </x:c>
      <x:c r="R180" s="172" t="str">
        <x:f>IF(A180="","",IFERROR(LOOKUP(2,1/('Engineer Updates'!$B$5:$B$704=A180),'Engineer Updates'!$H$5:$H$704),""))</x:f>
      </x:c>
      <x:c r="S180" s="172" t="str">
        <x:f>IF(A180="","",IFERROR(LOOKUP(2,1/('Engineer Updates'!$B$5:$B$704=A180),'Engineer Updates'!$G$5:$G$704),""))</x:f>
      </x:c>
      <x:c r="T180" s="172" t="str">
        <x:f>IF(A180="","",IFERROR(LOOKUP(2,1/('Engineer Updates'!$B$5:$B$704=A180),'Engineer Updates'!$I$5:$I$704),""))</x:f>
      </x:c>
      <x:c r="U180" s="172" t="str">
        <x:f>IF(A180="","",IFERROR(LOOKUP(2,1/('Engineer Updates'!$B$5:$B$704=A180),'Engineer Updates'!$J$5:$J$704),""))</x:f>
      </x:c>
      <x:c r="V180" s="172" t="str">
        <x:f>IF(A180="","",IFERROR(LOOKUP(2,1/('Engineer Updates'!$B$5:$B$704=A180),'Engineer Updates'!$K$5:$K$704),""))</x:f>
      </x:c>
      <x:c r="W180" s="174" t="str">
        <x:f>IF(A180="","",IFERROR(LOOKUP(2,1/('Engineer Updates'!$B$5:$B$704=A180),'Engineer Updates'!$L$5:$L$704),""))</x:f>
      </x:c>
      <x:c r="X180" s="170" t="str">
        <x:f>IF(A180="","",IF(C180="completed","Completed in CSSP",IF(AND(C180="executing",ISERROR(SEARCH("@",K180))),"Executing without named engineer",IF(AND(N180="Confirmed OOS",C180="executing"),"Confirmed OOS still executing",""))))</x:f>
      </x:c>
      <x:c r="Y180" s="170" t="str">
        <x:f>IF(A180="","",IF(B180="Decommissioning","Raw Decommissioning","Raw Provisioning"))</x:f>
        <x:v>Raw Decommissioning</x:v>
      </x:c>
      <x:c r="Z180" s="170" t="str">
        <x:f>IF(A180="","",IF(OR(C180="executing",C180="processing"),"Yes","No"))</x:f>
        <x:v>No</x:v>
      </x:c>
    </x:row>
    <x:row r="181">
      <x:c r="A181" s="170" t="str">
        <x:f>IF(ROWS($A$5:A181)&lt;=COUNTA('Raw Decommissioning'!$B$2:$B$1000),INDEX('Raw Decommissioning'!$B$2:$B$1000,ROWS($A$5:A181)),IF(ROWS($A$5:A181)-COUNTA('Raw Decommissioning'!$B$2:$B$1000)&lt;=COUNTA('Raw Provisioning'!$B$2:$B$1000),INDEX('Raw Provisioning'!$B$2:$B$1000,ROWS($A$5:A181)-COUNTA('Raw Decommissioning'!$B$2:$B$1000)),""))</x:f>
        <x:v>CSSP10880692</x:v>
      </x:c>
      <x:c r="B181" s="170" t="str">
        <x:f>IF(A181="","",IF(ROWS($A$5:A181)&lt;=COUNTA('Raw Decommissioning'!$B$2:$B$1000),"Decommissioning","Provisioning"))</x:f>
        <x:v>Decommissioning</x:v>
      </x:c>
      <x:c r="C181" s="170" t="str">
        <x:f>IF(A181="","",IF(B181="Decommissioning",IFERROR(INDEX('Raw Decommissioning'!$E$2:$E$1000,MATCH(A181,'Raw Decommissioning'!$B$2:$B$1000,0)),"Missing from latest raw"),IFERROR(INDEX('Raw Provisioning'!$E$2:$E$1000,MATCH(A181,'Raw Provisioning'!$B$2:$B$1000,0)),"Missing from latest raw")))</x:f>
        <x:v>rejected</x:v>
      </x:c>
      <x:c r="D181" s="171" t="n">
        <x:f>IF(A181="","",'Refresh Control'!$B$4)</x:f>
        <x:v>46254</x:v>
      </x:c>
      <x:c r="E181" s="171" t="n">
        <x:f>IF(A181="","",IF(B181="Decommissioning",INDEX('Raw Decommissioning'!$F$2:$F$1000,ROWS($A$5:A181)),INDEX('Raw Provisioning'!$F$2:$F$1000,ROWS($A$5:A181)-COUNTA('Raw Decommissioning'!$B$2:$B$1000))))</x:f>
        <x:v>46134.33761825231</x:v>
      </x:c>
      <x:c r="F181" s="171" t="n">
        <x:f>IF(A181="","",IF(B181="Decommissioning",INDEX('Raw Decommissioning'!$G$2:$G$1000,ROWS($A$5:A181)),INDEX('Raw Provisioning'!$H$2:$H$1000,ROWS($A$5:A181)-COUNTA('Raw Decommissioning'!$B$2:$B$1000))))</x:f>
        <x:v>46134.36321886574</x:v>
      </x:c>
      <x:c r="G181" s="170" t="str">
        <x:f>IF(A181="","",IF(B181="Decommissioning",INDEX('Raw Decommissioning'!$I$2:$I$1000,ROWS($A$5:A181)),INDEX('Raw Provisioning'!$J$2:$J$1000,ROWS($A$5:A181)-COUNTA('Raw Decommissioning'!$B$2:$B$1000))))</x:f>
        <x:v>TO.PRODIGI - Centralised Database and Analytics</x:v>
      </x:c>
      <x:c r="H181" s="170" t="str">
        <x:f>IF(A181="","",IF(B181="Decommissioning",INDEX('Raw Decommissioning'!$J$2:$J$1000,ROWS($A$5:A181)),INDEX('Raw Provisioning'!$L$2:$L$1000,ROWS($A$5:A181)-COUNTA('Raw Decommissioning'!$B$2:$B$1000))))</x:f>
        <x:v>DevOps services of Centralized Database &amp; Analytics for Turkmenistan Operation</x:v>
      </x:c>
      <x:c r="I181" s="170" t="str">
        <x:f>IF(A181="","",IF(B181="Decommissioning",INDEX('Raw Decommissioning'!$AL$2:$AL$1000,ROWS($A$5:A181)),INDEX('Raw Provisioning'!$R$2:$R$1000,ROWS($A$5:A181)-COUNTA('Raw Decommissioning'!$B$2:$B$1000))))</x:f>
      </x:c>
      <x:c r="J181" s="170" t="str">
        <x:f>IF(A181="","",IF(B181="Decommissioning",INDEX('Raw Decommissioning'!$AG$2:$AG$1000,ROWS($A$5:A181)),INDEX('Raw Provisioning'!$AI$2:$AI$1000,ROWS($A$5:A181)-COUNTA('Raw Decommissioning'!$B$2:$B$1000))))</x:f>
        <x:v>CCoE Operations</x:v>
      </x:c>
      <x:c r="K181" s="172" t="str">
        <x:f>IF(A181="","",IFERROR(LOOKUP(2,1/('Assignment History'!$B$5:$B$204=A181),'Assignment History'!$D$5:$D$204),IFERROR(VLOOKUP(J181,Configuration!$L$5:$M$50,2,FALSE),J181)))</x:f>
        <x:v>CCoE Operations</x:v>
      </x:c>
      <x:c r="L181" s="172" t="str">
        <x:f>IF(A181="","",IF(K181=IFERROR(VLOOKUP(J181,Configuration!$L$5:$M$50,2,FALSE),J181),"Snapshot PIC","Replacement PIC"))</x:f>
        <x:v>Snapshot PIC</x:v>
      </x:c>
      <x:c r="M181" s="172" t="n">
        <x:f>IF(A181="","",IFERROR(VLOOKUP(I181,Configuration!$O$5:$P$8,2,FALSE),Configuration!$S$6))</x:f>
        <x:v>2</x:v>
      </x:c>
      <x:c r="N181" s="172" t="str">
        <x:f>IF(A181="","",IFERROR(LOOKUP(2,1/('Scope Review'!$B$5:$B$204=A181),'Scope Review'!$G$5:$G$204),"Not Reviewed"))</x:f>
        <x:v>Not Reviewed</x:v>
      </x:c>
      <x:c r="O181" s="172" t="str">
        <x:f>IF(A181="","",IFERROR(LOOKUP(2,1/('Scope Review'!$B$5:$B$204=A181),'Scope Review'!$H$5:$H$204),""))</x:f>
      </x:c>
      <x:c r="P181" s="172" t="n">
        <x:f>IF(A181="","",IF(AND(C181="executing",N181&lt;&gt;"Confirmed OOS"),M181,0))</x:f>
        <x:v>0</x:v>
      </x:c>
      <x:c r="Q181" s="173" t="str">
        <x:f>IF(A181="","",IFERROR(LOOKUP(2,1/('Engineer Updates'!$B$5:$B$704=A181),'Engineer Updates'!$A$5:$A$704),""))</x:f>
      </x:c>
      <x:c r="R181" s="172" t="str">
        <x:f>IF(A181="","",IFERROR(LOOKUP(2,1/('Engineer Updates'!$B$5:$B$704=A181),'Engineer Updates'!$H$5:$H$704),""))</x:f>
      </x:c>
      <x:c r="S181" s="172" t="str">
        <x:f>IF(A181="","",IFERROR(LOOKUP(2,1/('Engineer Updates'!$B$5:$B$704=A181),'Engineer Updates'!$G$5:$G$704),""))</x:f>
      </x:c>
      <x:c r="T181" s="172" t="str">
        <x:f>IF(A181="","",IFERROR(LOOKUP(2,1/('Engineer Updates'!$B$5:$B$704=A181),'Engineer Updates'!$I$5:$I$704),""))</x:f>
      </x:c>
      <x:c r="U181" s="172" t="str">
        <x:f>IF(A181="","",IFERROR(LOOKUP(2,1/('Engineer Updates'!$B$5:$B$704=A181),'Engineer Updates'!$J$5:$J$704),""))</x:f>
      </x:c>
      <x:c r="V181" s="172" t="str">
        <x:f>IF(A181="","",IFERROR(LOOKUP(2,1/('Engineer Updates'!$B$5:$B$704=A181),'Engineer Updates'!$K$5:$K$704),""))</x:f>
      </x:c>
      <x:c r="W181" s="174" t="str">
        <x:f>IF(A181="","",IFERROR(LOOKUP(2,1/('Engineer Updates'!$B$5:$B$704=A181),'Engineer Updates'!$L$5:$L$704),""))</x:f>
      </x:c>
      <x:c r="X181" s="170" t="str">
        <x:f>IF(A181="","",IF(C181="completed","Completed in CSSP",IF(AND(C181="executing",ISERROR(SEARCH("@",K181))),"Executing without named engineer",IF(AND(N181="Confirmed OOS",C181="executing"),"Confirmed OOS still executing",""))))</x:f>
      </x:c>
      <x:c r="Y181" s="170" t="str">
        <x:f>IF(A181="","",IF(B181="Decommissioning","Raw Decommissioning","Raw Provisioning"))</x:f>
        <x:v>Raw Decommissioning</x:v>
      </x:c>
      <x:c r="Z181" s="170" t="str">
        <x:f>IF(A181="","",IF(OR(C181="executing",C181="processing"),"Yes","No"))</x:f>
        <x:v>No</x:v>
      </x:c>
    </x:row>
    <x:row r="182">
      <x:c r="A182" s="170" t="str">
        <x:f>IF(ROWS($A$5:A182)&lt;=COUNTA('Raw Decommissioning'!$B$2:$B$1000),INDEX('Raw Decommissioning'!$B$2:$B$1000,ROWS($A$5:A182)),IF(ROWS($A$5:A182)-COUNTA('Raw Decommissioning'!$B$2:$B$1000)&lt;=COUNTA('Raw Provisioning'!$B$2:$B$1000),INDEX('Raw Provisioning'!$B$2:$B$1000,ROWS($A$5:A182)-COUNTA('Raw Decommissioning'!$B$2:$B$1000)),""))</x:f>
        <x:v>CSSP10621142</x:v>
      </x:c>
      <x:c r="B182" s="170" t="str">
        <x:f>IF(A182="","",IF(ROWS($A$5:A182)&lt;=COUNTA('Raw Decommissioning'!$B$2:$B$1000),"Decommissioning","Provisioning"))</x:f>
        <x:v>Decommissioning</x:v>
      </x:c>
      <x:c r="C182" s="170" t="str">
        <x:f>IF(A182="","",IF(B182="Decommissioning",IFERROR(INDEX('Raw Decommissioning'!$E$2:$E$1000,MATCH(A182,'Raw Decommissioning'!$B$2:$B$1000,0)),"Missing from latest raw"),IFERROR(INDEX('Raw Provisioning'!$E$2:$E$1000,MATCH(A182,'Raw Provisioning'!$B$2:$B$1000,0)),"Missing from latest raw")))</x:f>
        <x:v>completed</x:v>
      </x:c>
      <x:c r="D182" s="171" t="n">
        <x:f>IF(A182="","",'Refresh Control'!$B$4)</x:f>
        <x:v>46254</x:v>
      </x:c>
      <x:c r="E182" s="171" t="n">
        <x:f>IF(A182="","",IF(B182="Decommissioning",INDEX('Raw Decommissioning'!$F$2:$F$1000,ROWS($A$5:A182)),INDEX('Raw Provisioning'!$F$2:$F$1000,ROWS($A$5:A182)-COUNTA('Raw Decommissioning'!$B$2:$B$1000))))</x:f>
        <x:v>46134.37320844908</x:v>
      </x:c>
      <x:c r="F182" s="171" t="n">
        <x:f>IF(A182="","",IF(B182="Decommissioning",INDEX('Raw Decommissioning'!$G$2:$G$1000,ROWS($A$5:A182)),INDEX('Raw Provisioning'!$H$2:$H$1000,ROWS($A$5:A182)-COUNTA('Raw Decommissioning'!$B$2:$B$1000))))</x:f>
        <x:v>46139.091910358795</x:v>
      </x:c>
      <x:c r="G182" s="170" t="str">
        <x:f>IF(A182="","",IF(B182="Decommissioning",INDEX('Raw Decommissioning'!$I$2:$I$1000,ROWS($A$5:A182)),INDEX('Raw Provisioning'!$J$2:$J$1000,ROWS($A$5:A182)-COUNTA('Raw Decommissioning'!$B$2:$B$1000))))</x:f>
        <x:v>TO.PRODIGI - Centralised Database and Analytics</x:v>
      </x:c>
      <x:c r="H182" s="170" t="str">
        <x:f>IF(A182="","",IF(B182="Decommissioning",INDEX('Raw Decommissioning'!$J$2:$J$1000,ROWS($A$5:A182)),INDEX('Raw Provisioning'!$L$2:$L$1000,ROWS($A$5:A182)-COUNTA('Raw Decommissioning'!$B$2:$B$1000))))</x:f>
        <x:v>DevOps services of Centralized Database &amp; Analytics for Turkmenistan Operation</x:v>
      </x:c>
      <x:c r="I182" s="170" t="str">
        <x:f>IF(A182="","",IF(B182="Decommissioning",INDEX('Raw Decommissioning'!$AL$2:$AL$1000,ROWS($A$5:A182)),INDEX('Raw Provisioning'!$R$2:$R$1000,ROWS($A$5:A182)-COUNTA('Raw Decommissioning'!$B$2:$B$1000))))</x:f>
        <x:v>M</x:v>
      </x:c>
      <x:c r="J182" s="170" t="str">
        <x:f>IF(A182="","",IF(B182="Decommissioning",INDEX('Raw Decommissioning'!$AG$2:$AG$1000,ROWS($A$5:A182)),INDEX('Raw Provisioning'!$AI$2:$AI$1000,ROWS($A$5:A182)-COUNTA('Raw Decommissioning'!$B$2:$B$1000))))</x:f>
        <x:v>azwan.badari@petronas.com</x:v>
      </x:c>
      <x:c r="K182" s="172" t="str">
        <x:f>IF(A182="","",IFERROR(LOOKUP(2,1/('Assignment History'!$B$5:$B$204=A182),'Assignment History'!$D$5:$D$204),IFERROR(VLOOKUP(J182,Configuration!$L$5:$M$50,2,FALSE),J182)))</x:f>
        <x:v>azwan.badari@petronas.com</x:v>
      </x:c>
      <x:c r="L182" s="172" t="str">
        <x:f>IF(A182="","",IF(K182=IFERROR(VLOOKUP(J182,Configuration!$L$5:$M$50,2,FALSE),J182),"Snapshot PIC","Replacement PIC"))</x:f>
        <x:v>Snapshot PIC</x:v>
      </x:c>
      <x:c r="M182" s="172" t="n">
        <x:f>IF(A182="","",IFERROR(VLOOKUP(I182,Configuration!$O$5:$P$8,2,FALSE),Configuration!$S$6))</x:f>
        <x:v>2</x:v>
      </x:c>
      <x:c r="N182" s="172" t="str">
        <x:f>IF(A182="","",IFERROR(LOOKUP(2,1/('Scope Review'!$B$5:$B$204=A182),'Scope Review'!$G$5:$G$204),"Not Reviewed"))</x:f>
        <x:v>Not Reviewed</x:v>
      </x:c>
      <x:c r="O182" s="172" t="str">
        <x:f>IF(A182="","",IFERROR(LOOKUP(2,1/('Scope Review'!$B$5:$B$204=A182),'Scope Review'!$H$5:$H$204),""))</x:f>
      </x:c>
      <x:c r="P182" s="172" t="n">
        <x:f>IF(A182="","",IF(AND(C182="executing",N182&lt;&gt;"Confirmed OOS"),M182,0))</x:f>
        <x:v>0</x:v>
      </x:c>
      <x:c r="Q182" s="173" t="str">
        <x:f>IF(A182="","",IFERROR(LOOKUP(2,1/('Engineer Updates'!$B$5:$B$704=A182),'Engineer Updates'!$A$5:$A$704),""))</x:f>
      </x:c>
      <x:c r="R182" s="172" t="str">
        <x:f>IF(A182="","",IFERROR(LOOKUP(2,1/('Engineer Updates'!$B$5:$B$704=A182),'Engineer Updates'!$H$5:$H$704),""))</x:f>
      </x:c>
      <x:c r="S182" s="172" t="str">
        <x:f>IF(A182="","",IFERROR(LOOKUP(2,1/('Engineer Updates'!$B$5:$B$704=A182),'Engineer Updates'!$G$5:$G$704),""))</x:f>
      </x:c>
      <x:c r="T182" s="172" t="str">
        <x:f>IF(A182="","",IFERROR(LOOKUP(2,1/('Engineer Updates'!$B$5:$B$704=A182),'Engineer Updates'!$I$5:$I$704),""))</x:f>
      </x:c>
      <x:c r="U182" s="172" t="str">
        <x:f>IF(A182="","",IFERROR(LOOKUP(2,1/('Engineer Updates'!$B$5:$B$704=A182),'Engineer Updates'!$J$5:$J$704),""))</x:f>
      </x:c>
      <x:c r="V182" s="172" t="str">
        <x:f>IF(A182="","",IFERROR(LOOKUP(2,1/('Engineer Updates'!$B$5:$B$704=A182),'Engineer Updates'!$K$5:$K$704),""))</x:f>
      </x:c>
      <x:c r="W182" s="174" t="str">
        <x:f>IF(A182="","",IFERROR(LOOKUP(2,1/('Engineer Updates'!$B$5:$B$704=A182),'Engineer Updates'!$L$5:$L$704),""))</x:f>
      </x:c>
      <x:c r="X182" s="170" t="str">
        <x:f>IF(A182="","",IF(C182="completed","Completed in CSSP",IF(AND(C182="executing",ISERROR(SEARCH("@",K182))),"Executing without named engineer",IF(AND(N182="Confirmed OOS",C182="executing"),"Confirmed OOS still executing",""))))</x:f>
        <x:v>Completed in CSSP</x:v>
      </x:c>
      <x:c r="Y182" s="170" t="str">
        <x:f>IF(A182="","",IF(B182="Decommissioning","Raw Decommissioning","Raw Provisioning"))</x:f>
        <x:v>Raw Decommissioning</x:v>
      </x:c>
      <x:c r="Z182" s="170" t="str">
        <x:f>IF(A182="","",IF(OR(C182="executing",C182="processing"),"Yes","No"))</x:f>
        <x:v>No</x:v>
      </x:c>
    </x:row>
    <x:row r="183">
      <x:c r="A183" s="170" t="str">
        <x:f>IF(ROWS($A$5:A183)&lt;=COUNTA('Raw Decommissioning'!$B$2:$B$1000),INDEX('Raw Decommissioning'!$B$2:$B$1000,ROWS($A$5:A183)),IF(ROWS($A$5:A183)-COUNTA('Raw Decommissioning'!$B$2:$B$1000)&lt;=COUNTA('Raw Provisioning'!$B$2:$B$1000),INDEX('Raw Provisioning'!$B$2:$B$1000,ROWS($A$5:A183)-COUNTA('Raw Decommissioning'!$B$2:$B$1000)),""))</x:f>
        <x:v>CSSP10567623</x:v>
      </x:c>
      <x:c r="B183" s="170" t="str">
        <x:f>IF(A183="","",IF(ROWS($A$5:A183)&lt;=COUNTA('Raw Decommissioning'!$B$2:$B$1000),"Decommissioning","Provisioning"))</x:f>
        <x:v>Decommissioning</x:v>
      </x:c>
      <x:c r="C183" s="170" t="str">
        <x:f>IF(A183="","",IF(B183="Decommissioning",IFERROR(INDEX('Raw Decommissioning'!$E$2:$E$1000,MATCH(A183,'Raw Decommissioning'!$B$2:$B$1000,0)),"Missing from latest raw"),IFERROR(INDEX('Raw Provisioning'!$E$2:$E$1000,MATCH(A183,'Raw Provisioning'!$B$2:$B$1000,0)),"Missing from latest raw")))</x:f>
        <x:v>completed</x:v>
      </x:c>
      <x:c r="D183" s="171" t="n">
        <x:f>IF(A183="","",'Refresh Control'!$B$4)</x:f>
        <x:v>46254</x:v>
      </x:c>
      <x:c r="E183" s="171" t="n">
        <x:f>IF(A183="","",IF(B183="Decommissioning",INDEX('Raw Decommissioning'!$F$2:$F$1000,ROWS($A$5:A183)),INDEX('Raw Provisioning'!$F$2:$F$1000,ROWS($A$5:A183)-COUNTA('Raw Decommissioning'!$B$2:$B$1000))))</x:f>
        <x:v>46134.389299386574</x:v>
      </x:c>
      <x:c r="F183" s="171" t="n">
        <x:f>IF(A183="","",IF(B183="Decommissioning",INDEX('Raw Decommissioning'!$G$2:$G$1000,ROWS($A$5:A183)),INDEX('Raw Provisioning'!$H$2:$H$1000,ROWS($A$5:A183)-COUNTA('Raw Decommissioning'!$B$2:$B$1000))))</x:f>
        <x:v>46142.33770739583</x:v>
      </x:c>
      <x:c r="G183" s="170" t="str">
        <x:f>IF(A183="","",IF(B183="Decommissioning",INDEX('Raw Decommissioning'!$I$2:$I$1000,ROWS($A$5:A183)),INDEX('Raw Provisioning'!$J$2:$J$1000,ROWS($A$5:A183)-COUNTA('Raw Decommissioning'!$B$2:$B$1000))))</x:f>
        <x:v>PETRONAS Continuous Emission System - PCEMS</x:v>
      </x:c>
      <x:c r="H183" s="170" t="str">
        <x:f>IF(A183="","",IF(B183="Decommissioning",INDEX('Raw Decommissioning'!$J$2:$J$1000,ROWS($A$5:A183)),INDEX('Raw Provisioning'!$L$2:$L$1000,ROWS($A$5:A183)-COUNTA('Raw Decommissioning'!$B$2:$B$1000))))</x:f>
        <x:v>Cloud Migration - Implementation of Continuous Emission Monitoring System (CEMS) DIS for PC Methanol Sdn Bhd</x:v>
      </x:c>
      <x:c r="I183" s="170" t="str">
        <x:f>IF(A183="","",IF(B183="Decommissioning",INDEX('Raw Decommissioning'!$AL$2:$AL$1000,ROWS($A$5:A183)),INDEX('Raw Provisioning'!$R$2:$R$1000,ROWS($A$5:A183)-COUNTA('Raw Decommissioning'!$B$2:$B$1000))))</x:f>
        <x:v>S</x:v>
      </x:c>
      <x:c r="J183" s="170" t="str">
        <x:f>IF(A183="","",IF(B183="Decommissioning",INDEX('Raw Decommissioning'!$AG$2:$AG$1000,ROWS($A$5:A183)),INDEX('Raw Provisioning'!$AI$2:$AI$1000,ROWS($A$5:A183)-COUNTA('Raw Decommissioning'!$B$2:$B$1000))))</x:f>
        <x:v>azwan.badari@petronas.com</x:v>
      </x:c>
      <x:c r="K183" s="172" t="str">
        <x:f>IF(A183="","",IFERROR(LOOKUP(2,1/('Assignment History'!$B$5:$B$204=A183),'Assignment History'!$D$5:$D$204),IFERROR(VLOOKUP(J183,Configuration!$L$5:$M$50,2,FALSE),J183)))</x:f>
        <x:v>azwan.badari@petronas.com</x:v>
      </x:c>
      <x:c r="L183" s="172" t="str">
        <x:f>IF(A183="","",IF(K183=IFERROR(VLOOKUP(J183,Configuration!$L$5:$M$50,2,FALSE),J183),"Snapshot PIC","Replacement PIC"))</x:f>
        <x:v>Snapshot PIC</x:v>
      </x:c>
      <x:c r="M183" s="172" t="n">
        <x:f>IF(A183="","",IFERROR(VLOOKUP(I183,Configuration!$O$5:$P$8,2,FALSE),Configuration!$S$6))</x:f>
        <x:v>1</x:v>
      </x:c>
      <x:c r="N183" s="172" t="str">
        <x:f>IF(A183="","",IFERROR(LOOKUP(2,1/('Scope Review'!$B$5:$B$204=A183),'Scope Review'!$G$5:$G$204),"Not Reviewed"))</x:f>
        <x:v>Not Reviewed</x:v>
      </x:c>
      <x:c r="O183" s="172" t="str">
        <x:f>IF(A183="","",IFERROR(LOOKUP(2,1/('Scope Review'!$B$5:$B$204=A183),'Scope Review'!$H$5:$H$204),""))</x:f>
      </x:c>
      <x:c r="P183" s="172" t="n">
        <x:f>IF(A183="","",IF(AND(C183="executing",N183&lt;&gt;"Confirmed OOS"),M183,0))</x:f>
        <x:v>0</x:v>
      </x:c>
      <x:c r="Q183" s="173" t="str">
        <x:f>IF(A183="","",IFERROR(LOOKUP(2,1/('Engineer Updates'!$B$5:$B$704=A183),'Engineer Updates'!$A$5:$A$704),""))</x:f>
      </x:c>
      <x:c r="R183" s="172" t="str">
        <x:f>IF(A183="","",IFERROR(LOOKUP(2,1/('Engineer Updates'!$B$5:$B$704=A183),'Engineer Updates'!$H$5:$H$704),""))</x:f>
      </x:c>
      <x:c r="S183" s="172" t="str">
        <x:f>IF(A183="","",IFERROR(LOOKUP(2,1/('Engineer Updates'!$B$5:$B$704=A183),'Engineer Updates'!$G$5:$G$704),""))</x:f>
      </x:c>
      <x:c r="T183" s="172" t="str">
        <x:f>IF(A183="","",IFERROR(LOOKUP(2,1/('Engineer Updates'!$B$5:$B$704=A183),'Engineer Updates'!$I$5:$I$704),""))</x:f>
      </x:c>
      <x:c r="U183" s="172" t="str">
        <x:f>IF(A183="","",IFERROR(LOOKUP(2,1/('Engineer Updates'!$B$5:$B$704=A183),'Engineer Updates'!$J$5:$J$704),""))</x:f>
      </x:c>
      <x:c r="V183" s="172" t="str">
        <x:f>IF(A183="","",IFERROR(LOOKUP(2,1/('Engineer Updates'!$B$5:$B$704=A183),'Engineer Updates'!$K$5:$K$704),""))</x:f>
      </x:c>
      <x:c r="W183" s="174" t="str">
        <x:f>IF(A183="","",IFERROR(LOOKUP(2,1/('Engineer Updates'!$B$5:$B$704=A183),'Engineer Updates'!$L$5:$L$704),""))</x:f>
      </x:c>
      <x:c r="X183" s="170" t="str">
        <x:f>IF(A183="","",IF(C183="completed","Completed in CSSP",IF(AND(C183="executing",ISERROR(SEARCH("@",K183))),"Executing without named engineer",IF(AND(N183="Confirmed OOS",C183="executing"),"Confirmed OOS still executing",""))))</x:f>
        <x:v>Completed in CSSP</x:v>
      </x:c>
      <x:c r="Y183" s="170" t="str">
        <x:f>IF(A183="","",IF(B183="Decommissioning","Raw Decommissioning","Raw Provisioning"))</x:f>
        <x:v>Raw Decommissioning</x:v>
      </x:c>
      <x:c r="Z183" s="170" t="str">
        <x:f>IF(A183="","",IF(OR(C183="executing",C183="processing"),"Yes","No"))</x:f>
        <x:v>No</x:v>
      </x:c>
    </x:row>
    <x:row r="184">
      <x:c r="A184" s="170" t="str">
        <x:f>IF(ROWS($A$5:A184)&lt;=COUNTA('Raw Decommissioning'!$B$2:$B$1000),INDEX('Raw Decommissioning'!$B$2:$B$1000,ROWS($A$5:A184)),IF(ROWS($A$5:A184)-COUNTA('Raw Decommissioning'!$B$2:$B$1000)&lt;=COUNTA('Raw Provisioning'!$B$2:$B$1000),INDEX('Raw Provisioning'!$B$2:$B$1000,ROWS($A$5:A184)-COUNTA('Raw Decommissioning'!$B$2:$B$1000)),""))</x:f>
        <x:v>CSSP10305446</x:v>
      </x:c>
      <x:c r="B184" s="170" t="str">
        <x:f>IF(A184="","",IF(ROWS($A$5:A184)&lt;=COUNTA('Raw Decommissioning'!$B$2:$B$1000),"Decommissioning","Provisioning"))</x:f>
        <x:v>Decommissioning</x:v>
      </x:c>
      <x:c r="C184" s="170" t="str">
        <x:f>IF(A184="","",IF(B184="Decommissioning",IFERROR(INDEX('Raw Decommissioning'!$E$2:$E$1000,MATCH(A184,'Raw Decommissioning'!$B$2:$B$1000,0)),"Missing from latest raw"),IFERROR(INDEX('Raw Provisioning'!$E$2:$E$1000,MATCH(A184,'Raw Provisioning'!$B$2:$B$1000,0)),"Missing from latest raw")))</x:f>
        <x:v>completed</x:v>
      </x:c>
      <x:c r="D184" s="171" t="n">
        <x:f>IF(A184="","",'Refresh Control'!$B$4)</x:f>
        <x:v>46254</x:v>
      </x:c>
      <x:c r="E184" s="171" t="n">
        <x:f>IF(A184="","",IF(B184="Decommissioning",INDEX('Raw Decommissioning'!$F$2:$F$1000,ROWS($A$5:A184)),INDEX('Raw Provisioning'!$F$2:$F$1000,ROWS($A$5:A184)-COUNTA('Raw Decommissioning'!$B$2:$B$1000))))</x:f>
        <x:v>46139.22066888889</x:v>
      </x:c>
      <x:c r="F184" s="171" t="n">
        <x:f>IF(A184="","",IF(B184="Decommissioning",INDEX('Raw Decommissioning'!$G$2:$G$1000,ROWS($A$5:A184)),INDEX('Raw Provisioning'!$H$2:$H$1000,ROWS($A$5:A184)-COUNTA('Raw Decommissioning'!$B$2:$B$1000))))</x:f>
        <x:v>46148.11320392361</x:v>
      </x:c>
      <x:c r="G184" s="170" t="str">
        <x:f>IF(A184="","",IF(B184="Decommissioning",INDEX('Raw Decommissioning'!$I$2:$I$1000,ROWS($A$5:A184)),INDEX('Raw Provisioning'!$J$2:$J$1000,ROWS($A$5:A184)-COUNTA('Raw Decommissioning'!$B$2:$B$1000))))</x:f>
        <x:v>Palisade</x:v>
      </x:c>
      <x:c r="H184" s="170" t="str">
        <x:f>IF(A184="","",IF(B184="Decommissioning",INDEX('Raw Decommissioning'!$J$2:$J$1000,ROWS($A$5:A184)),INDEX('Raw Provisioning'!$L$2:$L$1000,ROWS($A$5:A184)-COUNTA('Raw Decommissioning'!$B$2:$B$1000))))</x:f>
        <x:v>PDU SecOps of Business Excellence (BE) and Development (Dev.) Chapter's for Upstream Digital &amp; Technology</x:v>
      </x:c>
      <x:c r="I184" s="170" t="str">
        <x:f>IF(A184="","",IF(B184="Decommissioning",INDEX('Raw Decommissioning'!$AL$2:$AL$1000,ROWS($A$5:A184)),INDEX('Raw Provisioning'!$R$2:$R$1000,ROWS($A$5:A184)-COUNTA('Raw Decommissioning'!$B$2:$B$1000))))</x:f>
        <x:v>S</x:v>
      </x:c>
      <x:c r="J184" s="170" t="str">
        <x:f>IF(A184="","",IF(B184="Decommissioning",INDEX('Raw Decommissioning'!$AG$2:$AG$1000,ROWS($A$5:A184)),INDEX('Raw Provisioning'!$AI$2:$AI$1000,ROWS($A$5:A184)-COUNTA('Raw Decommissioning'!$B$2:$B$1000))))</x:f>
        <x:v>azwan.badari@petronas.com</x:v>
      </x:c>
      <x:c r="K184" s="172" t="str">
        <x:f>IF(A184="","",IFERROR(LOOKUP(2,1/('Assignment History'!$B$5:$B$204=A184),'Assignment History'!$D$5:$D$204),IFERROR(VLOOKUP(J184,Configuration!$L$5:$M$50,2,FALSE),J184)))</x:f>
        <x:v>azwan.badari@petronas.com</x:v>
      </x:c>
      <x:c r="L184" s="172" t="str">
        <x:f>IF(A184="","",IF(K184=IFERROR(VLOOKUP(J184,Configuration!$L$5:$M$50,2,FALSE),J184),"Snapshot PIC","Replacement PIC"))</x:f>
        <x:v>Snapshot PIC</x:v>
      </x:c>
      <x:c r="M184" s="172" t="n">
        <x:f>IF(A184="","",IFERROR(VLOOKUP(I184,Configuration!$O$5:$P$8,2,FALSE),Configuration!$S$6))</x:f>
        <x:v>1</x:v>
      </x:c>
      <x:c r="N184" s="172" t="str">
        <x:f>IF(A184="","",IFERROR(LOOKUP(2,1/('Scope Review'!$B$5:$B$204=A184),'Scope Review'!$G$5:$G$204),"Not Reviewed"))</x:f>
        <x:v>Not Reviewed</x:v>
      </x:c>
      <x:c r="O184" s="172" t="str">
        <x:f>IF(A184="","",IFERROR(LOOKUP(2,1/('Scope Review'!$B$5:$B$204=A184),'Scope Review'!$H$5:$H$204),""))</x:f>
      </x:c>
      <x:c r="P184" s="172" t="n">
        <x:f>IF(A184="","",IF(AND(C184="executing",N184&lt;&gt;"Confirmed OOS"),M184,0))</x:f>
        <x:v>0</x:v>
      </x:c>
      <x:c r="Q184" s="173" t="str">
        <x:f>IF(A184="","",IFERROR(LOOKUP(2,1/('Engineer Updates'!$B$5:$B$704=A184),'Engineer Updates'!$A$5:$A$704),""))</x:f>
      </x:c>
      <x:c r="R184" s="172" t="str">
        <x:f>IF(A184="","",IFERROR(LOOKUP(2,1/('Engineer Updates'!$B$5:$B$704=A184),'Engineer Updates'!$H$5:$H$704),""))</x:f>
      </x:c>
      <x:c r="S184" s="172" t="str">
        <x:f>IF(A184="","",IFERROR(LOOKUP(2,1/('Engineer Updates'!$B$5:$B$704=A184),'Engineer Updates'!$G$5:$G$704),""))</x:f>
      </x:c>
      <x:c r="T184" s="172" t="str">
        <x:f>IF(A184="","",IFERROR(LOOKUP(2,1/('Engineer Updates'!$B$5:$B$704=A184),'Engineer Updates'!$I$5:$I$704),""))</x:f>
      </x:c>
      <x:c r="U184" s="172" t="str">
        <x:f>IF(A184="","",IFERROR(LOOKUP(2,1/('Engineer Updates'!$B$5:$B$704=A184),'Engineer Updates'!$J$5:$J$704),""))</x:f>
      </x:c>
      <x:c r="V184" s="172" t="str">
        <x:f>IF(A184="","",IFERROR(LOOKUP(2,1/('Engineer Updates'!$B$5:$B$704=A184),'Engineer Updates'!$K$5:$K$704),""))</x:f>
      </x:c>
      <x:c r="W184" s="174" t="str">
        <x:f>IF(A184="","",IFERROR(LOOKUP(2,1/('Engineer Updates'!$B$5:$B$704=A184),'Engineer Updates'!$L$5:$L$704),""))</x:f>
      </x:c>
      <x:c r="X184" s="170" t="str">
        <x:f>IF(A184="","",IF(C184="completed","Completed in CSSP",IF(AND(C184="executing",ISERROR(SEARCH("@",K184))),"Executing without named engineer",IF(AND(N184="Confirmed OOS",C184="executing"),"Confirmed OOS still executing",""))))</x:f>
        <x:v>Completed in CSSP</x:v>
      </x:c>
      <x:c r="Y184" s="170" t="str">
        <x:f>IF(A184="","",IF(B184="Decommissioning","Raw Decommissioning","Raw Provisioning"))</x:f>
        <x:v>Raw Decommissioning</x:v>
      </x:c>
      <x:c r="Z184" s="170" t="str">
        <x:f>IF(A184="","",IF(OR(C184="executing",C184="processing"),"Yes","No"))</x:f>
        <x:v>No</x:v>
      </x:c>
    </x:row>
    <x:row r="185">
      <x:c r="A185" s="170" t="str">
        <x:f>IF(ROWS($A$5:A185)&lt;=COUNTA('Raw Decommissioning'!$B$2:$B$1000),INDEX('Raw Decommissioning'!$B$2:$B$1000,ROWS($A$5:A185)),IF(ROWS($A$5:A185)-COUNTA('Raw Decommissioning'!$B$2:$B$1000)&lt;=COUNTA('Raw Provisioning'!$B$2:$B$1000),INDEX('Raw Provisioning'!$B$2:$B$1000,ROWS($A$5:A185)-COUNTA('Raw Decommissioning'!$B$2:$B$1000)),""))</x:f>
        <x:v>CSSP10599920</x:v>
      </x:c>
      <x:c r="B185" s="170" t="str">
        <x:f>IF(A185="","",IF(ROWS($A$5:A185)&lt;=COUNTA('Raw Decommissioning'!$B$2:$B$1000),"Decommissioning","Provisioning"))</x:f>
        <x:v>Decommissioning</x:v>
      </x:c>
      <x:c r="C185" s="170" t="str">
        <x:f>IF(A185="","",IF(B185="Decommissioning",IFERROR(INDEX('Raw Decommissioning'!$E$2:$E$1000,MATCH(A185,'Raw Decommissioning'!$B$2:$B$1000,0)),"Missing from latest raw"),IFERROR(INDEX('Raw Provisioning'!$E$2:$E$1000,MATCH(A185,'Raw Provisioning'!$B$2:$B$1000,0)),"Missing from latest raw")))</x:f>
        <x:v>cancelled</x:v>
      </x:c>
      <x:c r="D185" s="171" t="n">
        <x:f>IF(A185="","",'Refresh Control'!$B$4)</x:f>
        <x:v>46254</x:v>
      </x:c>
      <x:c r="E185" s="171" t="n">
        <x:f>IF(A185="","",IF(B185="Decommissioning",INDEX('Raw Decommissioning'!$F$2:$F$1000,ROWS($A$5:A185)),INDEX('Raw Provisioning'!$F$2:$F$1000,ROWS($A$5:A185)-COUNTA('Raw Decommissioning'!$B$2:$B$1000))))</x:f>
        <x:v>46139.24312200231</x:v>
      </x:c>
      <x:c r="F185" s="171" t="n">
        <x:f>IF(A185="","",IF(B185="Decommissioning",INDEX('Raw Decommissioning'!$G$2:$G$1000,ROWS($A$5:A185)),INDEX('Raw Provisioning'!$H$2:$H$1000,ROWS($A$5:A185)-COUNTA('Raw Decommissioning'!$B$2:$B$1000))))</x:f>
        <x:v>46139.24354594907</x:v>
      </x:c>
      <x:c r="G185" s="170" t="str">
        <x:f>IF(A185="","",IF(B185="Decommissioning",INDEX('Raw Decommissioning'!$I$2:$I$1000,ROWS($A$5:A185)),INDEX('Raw Provisioning'!$J$2:$J$1000,ROWS($A$5:A185)-COUNTA('Raw Decommissioning'!$B$2:$B$1000))))</x:f>
        <x:v>Real Time Analytics for Motor - REALM</x:v>
      </x:c>
      <x:c r="H185" s="170" t="str">
        <x:f>IF(A185="","",IF(B185="Decommissioning",INDEX('Raw Decommissioning'!$J$2:$J$1000,ROWS($A$5:A185)),INDEX('Raw Provisioning'!$L$2:$L$1000,ROWS($A$5:A185)-COUNTA('Raw Decommissioning'!$B$2:$B$1000))))</x:f>
        <x:v>Development of Real Time Analytics for Motor (REALM) for GTS</x:v>
      </x:c>
      <x:c r="I185" s="170" t="str">
        <x:f>IF(A185="","",IF(B185="Decommissioning",INDEX('Raw Decommissioning'!$AL$2:$AL$1000,ROWS($A$5:A185)),INDEX('Raw Provisioning'!$R$2:$R$1000,ROWS($A$5:A185)-COUNTA('Raw Decommissioning'!$B$2:$B$1000))))</x:f>
      </x:c>
      <x:c r="J185" s="170" t="str">
        <x:f>IF(A185="","",IF(B185="Decommissioning",INDEX('Raw Decommissioning'!$AG$2:$AG$1000,ROWS($A$5:A185)),INDEX('Raw Provisioning'!$AI$2:$AI$1000,ROWS($A$5:A185)-COUNTA('Raw Decommissioning'!$B$2:$B$1000))))</x:f>
        <x:v>CCoE Operations</x:v>
      </x:c>
      <x:c r="K185" s="172" t="str">
        <x:f>IF(A185="","",IFERROR(LOOKUP(2,1/('Assignment History'!$B$5:$B$204=A185),'Assignment History'!$D$5:$D$204),IFERROR(VLOOKUP(J185,Configuration!$L$5:$M$50,2,FALSE),J185)))</x:f>
        <x:v>CCoE Operations</x:v>
      </x:c>
      <x:c r="L185" s="172" t="str">
        <x:f>IF(A185="","",IF(K185=IFERROR(VLOOKUP(J185,Configuration!$L$5:$M$50,2,FALSE),J185),"Snapshot PIC","Replacement PIC"))</x:f>
        <x:v>Snapshot PIC</x:v>
      </x:c>
      <x:c r="M185" s="172" t="n">
        <x:f>IF(A185="","",IFERROR(VLOOKUP(I185,Configuration!$O$5:$P$8,2,FALSE),Configuration!$S$6))</x:f>
        <x:v>2</x:v>
      </x:c>
      <x:c r="N185" s="172" t="str">
        <x:f>IF(A185="","",IFERROR(LOOKUP(2,1/('Scope Review'!$B$5:$B$204=A185),'Scope Review'!$G$5:$G$204),"Not Reviewed"))</x:f>
        <x:v>Not Reviewed</x:v>
      </x:c>
      <x:c r="O185" s="172" t="str">
        <x:f>IF(A185="","",IFERROR(LOOKUP(2,1/('Scope Review'!$B$5:$B$204=A185),'Scope Review'!$H$5:$H$204),""))</x:f>
      </x:c>
      <x:c r="P185" s="172" t="n">
        <x:f>IF(A185="","",IF(AND(C185="executing",N185&lt;&gt;"Confirmed OOS"),M185,0))</x:f>
        <x:v>0</x:v>
      </x:c>
      <x:c r="Q185" s="173" t="str">
        <x:f>IF(A185="","",IFERROR(LOOKUP(2,1/('Engineer Updates'!$B$5:$B$704=A185),'Engineer Updates'!$A$5:$A$704),""))</x:f>
      </x:c>
      <x:c r="R185" s="172" t="str">
        <x:f>IF(A185="","",IFERROR(LOOKUP(2,1/('Engineer Updates'!$B$5:$B$704=A185),'Engineer Updates'!$H$5:$H$704),""))</x:f>
      </x:c>
      <x:c r="S185" s="172" t="str">
        <x:f>IF(A185="","",IFERROR(LOOKUP(2,1/('Engineer Updates'!$B$5:$B$704=A185),'Engineer Updates'!$G$5:$G$704),""))</x:f>
      </x:c>
      <x:c r="T185" s="172" t="str">
        <x:f>IF(A185="","",IFERROR(LOOKUP(2,1/('Engineer Updates'!$B$5:$B$704=A185),'Engineer Updates'!$I$5:$I$704),""))</x:f>
      </x:c>
      <x:c r="U185" s="172" t="str">
        <x:f>IF(A185="","",IFERROR(LOOKUP(2,1/('Engineer Updates'!$B$5:$B$704=A185),'Engineer Updates'!$J$5:$J$704),""))</x:f>
      </x:c>
      <x:c r="V185" s="172" t="str">
        <x:f>IF(A185="","",IFERROR(LOOKUP(2,1/('Engineer Updates'!$B$5:$B$704=A185),'Engineer Updates'!$K$5:$K$704),""))</x:f>
      </x:c>
      <x:c r="W185" s="174" t="str">
        <x:f>IF(A185="","",IFERROR(LOOKUP(2,1/('Engineer Updates'!$B$5:$B$704=A185),'Engineer Updates'!$L$5:$L$704),""))</x:f>
      </x:c>
      <x:c r="X185" s="170" t="str">
        <x:f>IF(A185="","",IF(C185="completed","Completed in CSSP",IF(AND(C185="executing",ISERROR(SEARCH("@",K185))),"Executing without named engineer",IF(AND(N185="Confirmed OOS",C185="executing"),"Confirmed OOS still executing",""))))</x:f>
      </x:c>
      <x:c r="Y185" s="170" t="str">
        <x:f>IF(A185="","",IF(B185="Decommissioning","Raw Decommissioning","Raw Provisioning"))</x:f>
        <x:v>Raw Decommissioning</x:v>
      </x:c>
      <x:c r="Z185" s="170" t="str">
        <x:f>IF(A185="","",IF(OR(C185="executing",C185="processing"),"Yes","No"))</x:f>
        <x:v>No</x:v>
      </x:c>
    </x:row>
    <x:row r="186">
      <x:c r="A186" s="170" t="str">
        <x:f>IF(ROWS($A$5:A186)&lt;=COUNTA('Raw Decommissioning'!$B$2:$B$1000),INDEX('Raw Decommissioning'!$B$2:$B$1000,ROWS($A$5:A186)),IF(ROWS($A$5:A186)-COUNTA('Raw Decommissioning'!$B$2:$B$1000)&lt;=COUNTA('Raw Provisioning'!$B$2:$B$1000),INDEX('Raw Provisioning'!$B$2:$B$1000,ROWS($A$5:A186)-COUNTA('Raw Decommissioning'!$B$2:$B$1000)),""))</x:f>
        <x:v>CSSP10614931</x:v>
      </x:c>
      <x:c r="B186" s="170" t="str">
        <x:f>IF(A186="","",IF(ROWS($A$5:A186)&lt;=COUNTA('Raw Decommissioning'!$B$2:$B$1000),"Decommissioning","Provisioning"))</x:f>
        <x:v>Decommissioning</x:v>
      </x:c>
      <x:c r="C186" s="170" t="str">
        <x:f>IF(A186="","",IF(B186="Decommissioning",IFERROR(INDEX('Raw Decommissioning'!$E$2:$E$1000,MATCH(A186,'Raw Decommissioning'!$B$2:$B$1000,0)),"Missing from latest raw"),IFERROR(INDEX('Raw Provisioning'!$E$2:$E$1000,MATCH(A186,'Raw Provisioning'!$B$2:$B$1000,0)),"Missing from latest raw")))</x:f>
        <x:v>completed</x:v>
      </x:c>
      <x:c r="D186" s="171" t="n">
        <x:f>IF(A186="","",'Refresh Control'!$B$4)</x:f>
        <x:v>46254</x:v>
      </x:c>
      <x:c r="E186" s="171" t="n">
        <x:f>IF(A186="","",IF(B186="Decommissioning",INDEX('Raw Decommissioning'!$F$2:$F$1000,ROWS($A$5:A186)),INDEX('Raw Provisioning'!$F$2:$F$1000,ROWS($A$5:A186)-COUNTA('Raw Decommissioning'!$B$2:$B$1000))))</x:f>
        <x:v>46139.24849592592</x:v>
      </x:c>
      <x:c r="F186" s="171" t="n">
        <x:f>IF(A186="","",IF(B186="Decommissioning",INDEX('Raw Decommissioning'!$G$2:$G$1000,ROWS($A$5:A186)),INDEX('Raw Provisioning'!$H$2:$H$1000,ROWS($A$5:A186)-COUNTA('Raw Decommissioning'!$B$2:$B$1000))))</x:f>
        <x:v>46142.312653877314</x:v>
      </x:c>
      <x:c r="G186" s="170" t="str">
        <x:f>IF(A186="","",IF(B186="Decommissioning",INDEX('Raw Decommissioning'!$I$2:$I$1000,ROWS($A$5:A186)),INDEX('Raw Provisioning'!$J$2:$J$1000,ROWS($A$5:A186)-COUNTA('Raw Decommissioning'!$B$2:$B$1000))))</x:f>
        <x:v>Real Time Analytics for Motor - REALM</x:v>
      </x:c>
      <x:c r="H186" s="170" t="str">
        <x:f>IF(A186="","",IF(B186="Decommissioning",INDEX('Raw Decommissioning'!$J$2:$J$1000,ROWS($A$5:A186)),INDEX('Raw Provisioning'!$L$2:$L$1000,ROWS($A$5:A186)-COUNTA('Raw Decommissioning'!$B$2:$B$1000))))</x:f>
        <x:v>Development of Real Time Analytics for Motor (REALM) for GTS</x:v>
      </x:c>
      <x:c r="I186" s="170" t="str">
        <x:f>IF(A186="","",IF(B186="Decommissioning",INDEX('Raw Decommissioning'!$AL$2:$AL$1000,ROWS($A$5:A186)),INDEX('Raw Provisioning'!$R$2:$R$1000,ROWS($A$5:A186)-COUNTA('Raw Decommissioning'!$B$2:$B$1000))))</x:f>
        <x:v>S</x:v>
      </x:c>
      <x:c r="J186" s="170" t="str">
        <x:f>IF(A186="","",IF(B186="Decommissioning",INDEX('Raw Decommissioning'!$AG$2:$AG$1000,ROWS($A$5:A186)),INDEX('Raw Provisioning'!$AI$2:$AI$1000,ROWS($A$5:A186)-COUNTA('Raw Decommissioning'!$B$2:$B$1000))))</x:f>
        <x:v>azwan.badari@petronas.com</x:v>
      </x:c>
      <x:c r="K186" s="172" t="str">
        <x:f>IF(A186="","",IFERROR(LOOKUP(2,1/('Assignment History'!$B$5:$B$204=A186),'Assignment History'!$D$5:$D$204),IFERROR(VLOOKUP(J186,Configuration!$L$5:$M$50,2,FALSE),J186)))</x:f>
        <x:v>azwan.badari@petronas.com</x:v>
      </x:c>
      <x:c r="L186" s="172" t="str">
        <x:f>IF(A186="","",IF(K186=IFERROR(VLOOKUP(J186,Configuration!$L$5:$M$50,2,FALSE),J186),"Snapshot PIC","Replacement PIC"))</x:f>
        <x:v>Snapshot PIC</x:v>
      </x:c>
      <x:c r="M186" s="172" t="n">
        <x:f>IF(A186="","",IFERROR(VLOOKUP(I186,Configuration!$O$5:$P$8,2,FALSE),Configuration!$S$6))</x:f>
        <x:v>1</x:v>
      </x:c>
      <x:c r="N186" s="172" t="str">
        <x:f>IF(A186="","",IFERROR(LOOKUP(2,1/('Scope Review'!$B$5:$B$204=A186),'Scope Review'!$G$5:$G$204),"Not Reviewed"))</x:f>
        <x:v>Not Reviewed</x:v>
      </x:c>
      <x:c r="O186" s="172" t="str">
        <x:f>IF(A186="","",IFERROR(LOOKUP(2,1/('Scope Review'!$B$5:$B$204=A186),'Scope Review'!$H$5:$H$204),""))</x:f>
      </x:c>
      <x:c r="P186" s="172" t="n">
        <x:f>IF(A186="","",IF(AND(C186="executing",N186&lt;&gt;"Confirmed OOS"),M186,0))</x:f>
        <x:v>0</x:v>
      </x:c>
      <x:c r="Q186" s="173" t="str">
        <x:f>IF(A186="","",IFERROR(LOOKUP(2,1/('Engineer Updates'!$B$5:$B$704=A186),'Engineer Updates'!$A$5:$A$704),""))</x:f>
      </x:c>
      <x:c r="R186" s="172" t="str">
        <x:f>IF(A186="","",IFERROR(LOOKUP(2,1/('Engineer Updates'!$B$5:$B$704=A186),'Engineer Updates'!$H$5:$H$704),""))</x:f>
      </x:c>
      <x:c r="S186" s="172" t="str">
        <x:f>IF(A186="","",IFERROR(LOOKUP(2,1/('Engineer Updates'!$B$5:$B$704=A186),'Engineer Updates'!$G$5:$G$704),""))</x:f>
      </x:c>
      <x:c r="T186" s="172" t="str">
        <x:f>IF(A186="","",IFERROR(LOOKUP(2,1/('Engineer Updates'!$B$5:$B$704=A186),'Engineer Updates'!$I$5:$I$704),""))</x:f>
      </x:c>
      <x:c r="U186" s="172" t="str">
        <x:f>IF(A186="","",IFERROR(LOOKUP(2,1/('Engineer Updates'!$B$5:$B$704=A186),'Engineer Updates'!$J$5:$J$704),""))</x:f>
      </x:c>
      <x:c r="V186" s="172" t="str">
        <x:f>IF(A186="","",IFERROR(LOOKUP(2,1/('Engineer Updates'!$B$5:$B$704=A186),'Engineer Updates'!$K$5:$K$704),""))</x:f>
      </x:c>
      <x:c r="W186" s="174" t="str">
        <x:f>IF(A186="","",IFERROR(LOOKUP(2,1/('Engineer Updates'!$B$5:$B$704=A186),'Engineer Updates'!$L$5:$L$704),""))</x:f>
      </x:c>
      <x:c r="X186" s="170" t="str">
        <x:f>IF(A186="","",IF(C186="completed","Completed in CSSP",IF(AND(C186="executing",ISERROR(SEARCH("@",K186))),"Executing without named engineer",IF(AND(N186="Confirmed OOS",C186="executing"),"Confirmed OOS still executing",""))))</x:f>
        <x:v>Completed in CSSP</x:v>
      </x:c>
      <x:c r="Y186" s="170" t="str">
        <x:f>IF(A186="","",IF(B186="Decommissioning","Raw Decommissioning","Raw Provisioning"))</x:f>
        <x:v>Raw Decommissioning</x:v>
      </x:c>
      <x:c r="Z186" s="170" t="str">
        <x:f>IF(A186="","",IF(OR(C186="executing",C186="processing"),"Yes","No"))</x:f>
        <x:v>No</x:v>
      </x:c>
    </x:row>
    <x:row r="187">
      <x:c r="A187" s="170" t="str">
        <x:f>IF(ROWS($A$5:A187)&lt;=COUNTA('Raw Decommissioning'!$B$2:$B$1000),INDEX('Raw Decommissioning'!$B$2:$B$1000,ROWS($A$5:A187)),IF(ROWS($A$5:A187)-COUNTA('Raw Decommissioning'!$B$2:$B$1000)&lt;=COUNTA('Raw Provisioning'!$B$2:$B$1000),INDEX('Raw Provisioning'!$B$2:$B$1000,ROWS($A$5:A187)-COUNTA('Raw Decommissioning'!$B$2:$B$1000)),""))</x:f>
        <x:v>CSSP10378006</x:v>
      </x:c>
      <x:c r="B187" s="170" t="str">
        <x:f>IF(A187="","",IF(ROWS($A$5:A187)&lt;=COUNTA('Raw Decommissioning'!$B$2:$B$1000),"Decommissioning","Provisioning"))</x:f>
        <x:v>Decommissioning</x:v>
      </x:c>
      <x:c r="C187" s="170" t="str">
        <x:f>IF(A187="","",IF(B187="Decommissioning",IFERROR(INDEX('Raw Decommissioning'!$E$2:$E$1000,MATCH(A187,'Raw Decommissioning'!$B$2:$B$1000,0)),"Missing from latest raw"),IFERROR(INDEX('Raw Provisioning'!$E$2:$E$1000,MATCH(A187,'Raw Provisioning'!$B$2:$B$1000,0)),"Missing from latest raw")))</x:f>
        <x:v>completed</x:v>
      </x:c>
      <x:c r="D187" s="171" t="n">
        <x:f>IF(A187="","",'Refresh Control'!$B$4)</x:f>
        <x:v>46254</x:v>
      </x:c>
      <x:c r="E187" s="171" t="n">
        <x:f>IF(A187="","",IF(B187="Decommissioning",INDEX('Raw Decommissioning'!$F$2:$F$1000,ROWS($A$5:A187)),INDEX('Raw Provisioning'!$F$2:$F$1000,ROWS($A$5:A187)-COUNTA('Raw Decommissioning'!$B$2:$B$1000))))</x:f>
        <x:v>46140.05925644676</x:v>
      </x:c>
      <x:c r="F187" s="171" t="n">
        <x:f>IF(A187="","",IF(B187="Decommissioning",INDEX('Raw Decommissioning'!$G$2:$G$1000,ROWS($A$5:A187)),INDEX('Raw Provisioning'!$H$2:$H$1000,ROWS($A$5:A187)-COUNTA('Raw Decommissioning'!$B$2:$B$1000))))</x:f>
        <x:v>46142.33874247685</x:v>
      </x:c>
      <x:c r="G187" s="170" t="str">
        <x:f>IF(A187="","",IF(B187="Decommissioning",INDEX('Raw Decommissioning'!$I$2:$I$1000,ROWS($A$5:A187)),INDEX('Raw Provisioning'!$J$2:$J$1000,ROWS($A$5:A187)-COUNTA('Raw Decommissioning'!$B$2:$B$1000))))</x:f>
        <x:v>Talent Engine</x:v>
      </x:c>
      <x:c r="H187" s="170" t="str">
        <x:f>IF(A187="","",IF(B187="Decommissioning",INDEX('Raw Decommissioning'!$J$2:$J$1000,ROWS($A$5:A187)),INDEX('Raw Provisioning'!$L$2:$L$1000,ROWS($A$5:A187)-COUNTA('Raw Decommissioning'!$B$2:$B$1000))))</x:f>
        <x:v>Cloud Migration - Talent Engine 2.0</x:v>
      </x:c>
      <x:c r="I187" s="170" t="str">
        <x:f>IF(A187="","",IF(B187="Decommissioning",INDEX('Raw Decommissioning'!$AL$2:$AL$1000,ROWS($A$5:A187)),INDEX('Raw Provisioning'!$R$2:$R$1000,ROWS($A$5:A187)-COUNTA('Raw Decommissioning'!$B$2:$B$1000))))</x:f>
        <x:v>L</x:v>
      </x:c>
      <x:c r="J187" s="170" t="str">
        <x:f>IF(A187="","",IF(B187="Decommissioning",INDEX('Raw Decommissioning'!$AG$2:$AG$1000,ROWS($A$5:A187)),INDEX('Raw Provisioning'!$AI$2:$AI$1000,ROWS($A$5:A187)-COUNTA('Raw Decommissioning'!$B$2:$B$1000))))</x:f>
        <x:v>azwan.badari@petronas.com</x:v>
      </x:c>
      <x:c r="K187" s="172" t="str">
        <x:f>IF(A187="","",IFERROR(LOOKUP(2,1/('Assignment History'!$B$5:$B$204=A187),'Assignment History'!$D$5:$D$204),IFERROR(VLOOKUP(J187,Configuration!$L$5:$M$50,2,FALSE),J187)))</x:f>
        <x:v>azwan.badari@petronas.com</x:v>
      </x:c>
      <x:c r="L187" s="172" t="str">
        <x:f>IF(A187="","",IF(K187=IFERROR(VLOOKUP(J187,Configuration!$L$5:$M$50,2,FALSE),J187),"Snapshot PIC","Replacement PIC"))</x:f>
        <x:v>Snapshot PIC</x:v>
      </x:c>
      <x:c r="M187" s="172" t="n">
        <x:f>IF(A187="","",IFERROR(VLOOKUP(I187,Configuration!$O$5:$P$8,2,FALSE),Configuration!$S$6))</x:f>
        <x:v>3</x:v>
      </x:c>
      <x:c r="N187" s="172" t="str">
        <x:f>IF(A187="","",IFERROR(LOOKUP(2,1/('Scope Review'!$B$5:$B$204=A187),'Scope Review'!$G$5:$G$204),"Not Reviewed"))</x:f>
        <x:v>Not Reviewed</x:v>
      </x:c>
      <x:c r="O187" s="172" t="str">
        <x:f>IF(A187="","",IFERROR(LOOKUP(2,1/('Scope Review'!$B$5:$B$204=A187),'Scope Review'!$H$5:$H$204),""))</x:f>
      </x:c>
      <x:c r="P187" s="172" t="n">
        <x:f>IF(A187="","",IF(AND(C187="executing",N187&lt;&gt;"Confirmed OOS"),M187,0))</x:f>
        <x:v>0</x:v>
      </x:c>
      <x:c r="Q187" s="173" t="str">
        <x:f>IF(A187="","",IFERROR(LOOKUP(2,1/('Engineer Updates'!$B$5:$B$704=A187),'Engineer Updates'!$A$5:$A$704),""))</x:f>
      </x:c>
      <x:c r="R187" s="172" t="str">
        <x:f>IF(A187="","",IFERROR(LOOKUP(2,1/('Engineer Updates'!$B$5:$B$704=A187),'Engineer Updates'!$H$5:$H$704),""))</x:f>
      </x:c>
      <x:c r="S187" s="172" t="str">
        <x:f>IF(A187="","",IFERROR(LOOKUP(2,1/('Engineer Updates'!$B$5:$B$704=A187),'Engineer Updates'!$G$5:$G$704),""))</x:f>
      </x:c>
      <x:c r="T187" s="172" t="str">
        <x:f>IF(A187="","",IFERROR(LOOKUP(2,1/('Engineer Updates'!$B$5:$B$704=A187),'Engineer Updates'!$I$5:$I$704),""))</x:f>
      </x:c>
      <x:c r="U187" s="172" t="str">
        <x:f>IF(A187="","",IFERROR(LOOKUP(2,1/('Engineer Updates'!$B$5:$B$704=A187),'Engineer Updates'!$J$5:$J$704),""))</x:f>
      </x:c>
      <x:c r="V187" s="172" t="str">
        <x:f>IF(A187="","",IFERROR(LOOKUP(2,1/('Engineer Updates'!$B$5:$B$704=A187),'Engineer Updates'!$K$5:$K$704),""))</x:f>
      </x:c>
      <x:c r="W187" s="174" t="str">
        <x:f>IF(A187="","",IFERROR(LOOKUP(2,1/('Engineer Updates'!$B$5:$B$704=A187),'Engineer Updates'!$L$5:$L$704),""))</x:f>
      </x:c>
      <x:c r="X187" s="170" t="str">
        <x:f>IF(A187="","",IF(C187="completed","Completed in CSSP",IF(AND(C187="executing",ISERROR(SEARCH("@",K187))),"Executing without named engineer",IF(AND(N187="Confirmed OOS",C187="executing"),"Confirmed OOS still executing",""))))</x:f>
        <x:v>Completed in CSSP</x:v>
      </x:c>
      <x:c r="Y187" s="170" t="str">
        <x:f>IF(A187="","",IF(B187="Decommissioning","Raw Decommissioning","Raw Provisioning"))</x:f>
        <x:v>Raw Decommissioning</x:v>
      </x:c>
      <x:c r="Z187" s="170" t="str">
        <x:f>IF(A187="","",IF(OR(C187="executing",C187="processing"),"Yes","No"))</x:f>
        <x:v>No</x:v>
      </x:c>
    </x:row>
    <x:row r="188">
      <x:c r="A188" s="170" t="str">
        <x:f>IF(ROWS($A$5:A188)&lt;=COUNTA('Raw Decommissioning'!$B$2:$B$1000),INDEX('Raw Decommissioning'!$B$2:$B$1000,ROWS($A$5:A188)),IF(ROWS($A$5:A188)-COUNTA('Raw Decommissioning'!$B$2:$B$1000)&lt;=COUNTA('Raw Provisioning'!$B$2:$B$1000),INDEX('Raw Provisioning'!$B$2:$B$1000,ROWS($A$5:A188)-COUNTA('Raw Decommissioning'!$B$2:$B$1000)),""))</x:f>
        <x:v>CSSP10763156</x:v>
      </x:c>
      <x:c r="B188" s="170" t="str">
        <x:f>IF(A188="","",IF(ROWS($A$5:A188)&lt;=COUNTA('Raw Decommissioning'!$B$2:$B$1000),"Decommissioning","Provisioning"))</x:f>
        <x:v>Decommissioning</x:v>
      </x:c>
      <x:c r="C188" s="170" t="str">
        <x:f>IF(A188="","",IF(B188="Decommissioning",IFERROR(INDEX('Raw Decommissioning'!$E$2:$E$1000,MATCH(A188,'Raw Decommissioning'!$B$2:$B$1000,0)),"Missing from latest raw"),IFERROR(INDEX('Raw Provisioning'!$E$2:$E$1000,MATCH(A188,'Raw Provisioning'!$B$2:$B$1000,0)),"Missing from latest raw")))</x:f>
        <x:v>completed</x:v>
      </x:c>
      <x:c r="D188" s="171" t="n">
        <x:f>IF(A188="","",'Refresh Control'!$B$4)</x:f>
        <x:v>46254</x:v>
      </x:c>
      <x:c r="E188" s="171" t="n">
        <x:f>IF(A188="","",IF(B188="Decommissioning",INDEX('Raw Decommissioning'!$F$2:$F$1000,ROWS($A$5:A188)),INDEX('Raw Provisioning'!$F$2:$F$1000,ROWS($A$5:A188)-COUNTA('Raw Decommissioning'!$B$2:$B$1000))))</x:f>
        <x:v>46140.06829726852</x:v>
      </x:c>
      <x:c r="F188" s="171" t="n">
        <x:f>IF(A188="","",IF(B188="Decommissioning",INDEX('Raw Decommissioning'!$G$2:$G$1000,ROWS($A$5:A188)),INDEX('Raw Provisioning'!$H$2:$H$1000,ROWS($A$5:A188)-COUNTA('Raw Decommissioning'!$B$2:$B$1000))))</x:f>
        <x:v>46199.30449136574</x:v>
      </x:c>
      <x:c r="G188" s="170" t="str">
        <x:f>IF(A188="","",IF(B188="Decommissioning",INDEX('Raw Decommissioning'!$I$2:$I$1000,ROWS($A$5:A188)),INDEX('Raw Provisioning'!$J$2:$J$1000,ROWS($A$5:A188)-COUNTA('Raw Decommissioning'!$B$2:$B$1000))))</x:f>
        <x:v>OE Tracking System PGB</x:v>
      </x:c>
      <x:c r="H188" s="170" t="str">
        <x:f>IF(A188="","",IF(B188="Decommissioning",INDEX('Raw Decommissioning'!$J$2:$J$1000,ROWS($A$5:A188)),INDEX('Raw Provisioning'!$L$2:$L$1000,ROWS($A$5:A188)-COUNTA('Raw Decommissioning'!$B$2:$B$1000))))</x:f>
        <x:v>CTP Old to New LZ - PGB OE</x:v>
      </x:c>
      <x:c r="I188" s="170" t="str">
        <x:f>IF(A188="","",IF(B188="Decommissioning",INDEX('Raw Decommissioning'!$AL$2:$AL$1000,ROWS($A$5:A188)),INDEX('Raw Provisioning'!$R$2:$R$1000,ROWS($A$5:A188)-COUNTA('Raw Decommissioning'!$B$2:$B$1000))))</x:f>
        <x:v>M</x:v>
      </x:c>
      <x:c r="J188" s="170" t="str">
        <x:f>IF(A188="","",IF(B188="Decommissioning",INDEX('Raw Decommissioning'!$AG$2:$AG$1000,ROWS($A$5:A188)),INDEX('Raw Provisioning'!$AI$2:$AI$1000,ROWS($A$5:A188)-COUNTA('Raw Decommissioning'!$B$2:$B$1000))))</x:f>
        <x:v>azwan.badari@petronas.com</x:v>
      </x:c>
      <x:c r="K188" s="172" t="str">
        <x:f>IF(A188="","",IFERROR(LOOKUP(2,1/('Assignment History'!$B$5:$B$204=A188),'Assignment History'!$D$5:$D$204),IFERROR(VLOOKUP(J188,Configuration!$L$5:$M$50,2,FALSE),J188)))</x:f>
        <x:v>azwan.badari@petronas.com</x:v>
      </x:c>
      <x:c r="L188" s="172" t="str">
        <x:f>IF(A188="","",IF(K188=IFERROR(VLOOKUP(J188,Configuration!$L$5:$M$50,2,FALSE),J188),"Snapshot PIC","Replacement PIC"))</x:f>
        <x:v>Snapshot PIC</x:v>
      </x:c>
      <x:c r="M188" s="172" t="n">
        <x:f>IF(A188="","",IFERROR(VLOOKUP(I188,Configuration!$O$5:$P$8,2,FALSE),Configuration!$S$6))</x:f>
        <x:v>2</x:v>
      </x:c>
      <x:c r="N188" s="172" t="str">
        <x:f>IF(A188="","",IFERROR(LOOKUP(2,1/('Scope Review'!$B$5:$B$204=A188),'Scope Review'!$G$5:$G$204),"Not Reviewed"))</x:f>
        <x:v>Not Reviewed</x:v>
      </x:c>
      <x:c r="O188" s="172" t="str">
        <x:f>IF(A188="","",IFERROR(LOOKUP(2,1/('Scope Review'!$B$5:$B$204=A188),'Scope Review'!$H$5:$H$204),""))</x:f>
      </x:c>
      <x:c r="P188" s="172" t="n">
        <x:f>IF(A188="","",IF(AND(C188="executing",N188&lt;&gt;"Confirmed OOS"),M188,0))</x:f>
        <x:v>0</x:v>
      </x:c>
      <x:c r="Q188" s="173" t="str">
        <x:f>IF(A188="","",IFERROR(LOOKUP(2,1/('Engineer Updates'!$B$5:$B$704=A188),'Engineer Updates'!$A$5:$A$704),""))</x:f>
      </x:c>
      <x:c r="R188" s="172" t="str">
        <x:f>IF(A188="","",IFERROR(LOOKUP(2,1/('Engineer Updates'!$B$5:$B$704=A188),'Engineer Updates'!$H$5:$H$704),""))</x:f>
      </x:c>
      <x:c r="S188" s="172" t="str">
        <x:f>IF(A188="","",IFERROR(LOOKUP(2,1/('Engineer Updates'!$B$5:$B$704=A188),'Engineer Updates'!$G$5:$G$704),""))</x:f>
      </x:c>
      <x:c r="T188" s="172" t="str">
        <x:f>IF(A188="","",IFERROR(LOOKUP(2,1/('Engineer Updates'!$B$5:$B$704=A188),'Engineer Updates'!$I$5:$I$704),""))</x:f>
      </x:c>
      <x:c r="U188" s="172" t="str">
        <x:f>IF(A188="","",IFERROR(LOOKUP(2,1/('Engineer Updates'!$B$5:$B$704=A188),'Engineer Updates'!$J$5:$J$704),""))</x:f>
      </x:c>
      <x:c r="V188" s="172" t="str">
        <x:f>IF(A188="","",IFERROR(LOOKUP(2,1/('Engineer Updates'!$B$5:$B$704=A188),'Engineer Updates'!$K$5:$K$704),""))</x:f>
      </x:c>
      <x:c r="W188" s="174" t="str">
        <x:f>IF(A188="","",IFERROR(LOOKUP(2,1/('Engineer Updates'!$B$5:$B$704=A188),'Engineer Updates'!$L$5:$L$704),""))</x:f>
      </x:c>
      <x:c r="X188" s="170" t="str">
        <x:f>IF(A188="","",IF(C188="completed","Completed in CSSP",IF(AND(C188="executing",ISERROR(SEARCH("@",K188))),"Executing without named engineer",IF(AND(N188="Confirmed OOS",C188="executing"),"Confirmed OOS still executing",""))))</x:f>
        <x:v>Completed in CSSP</x:v>
      </x:c>
      <x:c r="Y188" s="170" t="str">
        <x:f>IF(A188="","",IF(B188="Decommissioning","Raw Decommissioning","Raw Provisioning"))</x:f>
        <x:v>Raw Decommissioning</x:v>
      </x:c>
      <x:c r="Z188" s="170" t="str">
        <x:f>IF(A188="","",IF(OR(C188="executing",C188="processing"),"Yes","No"))</x:f>
        <x:v>No</x:v>
      </x:c>
    </x:row>
    <x:row r="189">
      <x:c r="A189" s="170" t="str">
        <x:f>IF(ROWS($A$5:A189)&lt;=COUNTA('Raw Decommissioning'!$B$2:$B$1000),INDEX('Raw Decommissioning'!$B$2:$B$1000,ROWS($A$5:A189)),IF(ROWS($A$5:A189)-COUNTA('Raw Decommissioning'!$B$2:$B$1000)&lt;=COUNTA('Raw Provisioning'!$B$2:$B$1000),INDEX('Raw Provisioning'!$B$2:$B$1000,ROWS($A$5:A189)-COUNTA('Raw Decommissioning'!$B$2:$B$1000)),""))</x:f>
        <x:v>CSSP10348826</x:v>
      </x:c>
      <x:c r="B189" s="170" t="str">
        <x:f>IF(A189="","",IF(ROWS($A$5:A189)&lt;=COUNTA('Raw Decommissioning'!$B$2:$B$1000),"Decommissioning","Provisioning"))</x:f>
        <x:v>Decommissioning</x:v>
      </x:c>
      <x:c r="C189" s="170" t="str">
        <x:f>IF(A189="","",IF(B189="Decommissioning",IFERROR(INDEX('Raw Decommissioning'!$E$2:$E$1000,MATCH(A189,'Raw Decommissioning'!$B$2:$B$1000,0)),"Missing from latest raw"),IFERROR(INDEX('Raw Provisioning'!$E$2:$E$1000,MATCH(A189,'Raw Provisioning'!$B$2:$B$1000,0)),"Missing from latest raw")))</x:f>
        <x:v>cancelled</x:v>
      </x:c>
      <x:c r="D189" s="171" t="n">
        <x:f>IF(A189="","",'Refresh Control'!$B$4)</x:f>
        <x:v>46254</x:v>
      </x:c>
      <x:c r="E189" s="171" t="n">
        <x:f>IF(A189="","",IF(B189="Decommissioning",INDEX('Raw Decommissioning'!$F$2:$F$1000,ROWS($A$5:A189)),INDEX('Raw Provisioning'!$F$2:$F$1000,ROWS($A$5:A189)-COUNTA('Raw Decommissioning'!$B$2:$B$1000))))</x:f>
        <x:v>46147.27477614583</x:v>
      </x:c>
      <x:c r="F189" s="171" t="n">
        <x:f>IF(A189="","",IF(B189="Decommissioning",INDEX('Raw Decommissioning'!$G$2:$G$1000,ROWS($A$5:A189)),INDEX('Raw Provisioning'!$H$2:$H$1000,ROWS($A$5:A189)-COUNTA('Raw Decommissioning'!$B$2:$B$1000))))</x:f>
        <x:v>46147.275956122685</x:v>
      </x:c>
      <x:c r="G189" s="170" t="str">
        <x:f>IF(A189="","",IF(B189="Decommissioning",INDEX('Raw Decommissioning'!$I$2:$I$1000,ROWS($A$5:A189)),INDEX('Raw Provisioning'!$J$2:$J$1000,ROWS($A$5:A189)-COUNTA('Raw Decommissioning'!$B$2:$B$1000))))</x:f>
        <x:v>Predictive Rotating Equipment Analytics - PROTEAN</x:v>
      </x:c>
      <x:c r="H189" s="170" t="str">
        <x:f>IF(A189="","",IF(B189="Decommissioning",INDEX('Raw Decommissioning'!$J$2:$J$1000,ROWS($A$5:A189)),INDEX('Raw Provisioning'!$L$2:$L$1000,ROWS($A$5:A189)-COUNTA('Raw Decommissioning'!$B$2:$B$1000))))</x:f>
        <x:v>Development of Predictive Analytics for PETRONAS Rotating Equipment Analytics (PROTEAN) for Upstream Center of Excellence</x:v>
      </x:c>
      <x:c r="I189" s="170" t="str">
        <x:f>IF(A189="","",IF(B189="Decommissioning",INDEX('Raw Decommissioning'!$AL$2:$AL$1000,ROWS($A$5:A189)),INDEX('Raw Provisioning'!$R$2:$R$1000,ROWS($A$5:A189)-COUNTA('Raw Decommissioning'!$B$2:$B$1000))))</x:f>
      </x:c>
      <x:c r="J189" s="170" t="str">
        <x:f>IF(A189="","",IF(B189="Decommissioning",INDEX('Raw Decommissioning'!$AG$2:$AG$1000,ROWS($A$5:A189)),INDEX('Raw Provisioning'!$AI$2:$AI$1000,ROWS($A$5:A189)-COUNTA('Raw Decommissioning'!$B$2:$B$1000))))</x:f>
        <x:v>CCoE Operations</x:v>
      </x:c>
      <x:c r="K189" s="172" t="str">
        <x:f>IF(A189="","",IFERROR(LOOKUP(2,1/('Assignment History'!$B$5:$B$204=A189),'Assignment History'!$D$5:$D$204),IFERROR(VLOOKUP(J189,Configuration!$L$5:$M$50,2,FALSE),J189)))</x:f>
        <x:v>CCoE Operations</x:v>
      </x:c>
      <x:c r="L189" s="172" t="str">
        <x:f>IF(A189="","",IF(K189=IFERROR(VLOOKUP(J189,Configuration!$L$5:$M$50,2,FALSE),J189),"Snapshot PIC","Replacement PIC"))</x:f>
        <x:v>Snapshot PIC</x:v>
      </x:c>
      <x:c r="M189" s="172" t="n">
        <x:f>IF(A189="","",IFERROR(VLOOKUP(I189,Configuration!$O$5:$P$8,2,FALSE),Configuration!$S$6))</x:f>
        <x:v>2</x:v>
      </x:c>
      <x:c r="N189" s="172" t="str">
        <x:f>IF(A189="","",IFERROR(LOOKUP(2,1/('Scope Review'!$B$5:$B$204=A189),'Scope Review'!$G$5:$G$204),"Not Reviewed"))</x:f>
        <x:v>Not Reviewed</x:v>
      </x:c>
      <x:c r="O189" s="172" t="str">
        <x:f>IF(A189="","",IFERROR(LOOKUP(2,1/('Scope Review'!$B$5:$B$204=A189),'Scope Review'!$H$5:$H$204),""))</x:f>
      </x:c>
      <x:c r="P189" s="172" t="n">
        <x:f>IF(A189="","",IF(AND(C189="executing",N189&lt;&gt;"Confirmed OOS"),M189,0))</x:f>
        <x:v>0</x:v>
      </x:c>
      <x:c r="Q189" s="173" t="str">
        <x:f>IF(A189="","",IFERROR(LOOKUP(2,1/('Engineer Updates'!$B$5:$B$704=A189),'Engineer Updates'!$A$5:$A$704),""))</x:f>
      </x:c>
      <x:c r="R189" s="172" t="str">
        <x:f>IF(A189="","",IFERROR(LOOKUP(2,1/('Engineer Updates'!$B$5:$B$704=A189),'Engineer Updates'!$H$5:$H$704),""))</x:f>
      </x:c>
      <x:c r="S189" s="172" t="str">
        <x:f>IF(A189="","",IFERROR(LOOKUP(2,1/('Engineer Updates'!$B$5:$B$704=A189),'Engineer Updates'!$G$5:$G$704),""))</x:f>
      </x:c>
      <x:c r="T189" s="172" t="str">
        <x:f>IF(A189="","",IFERROR(LOOKUP(2,1/('Engineer Updates'!$B$5:$B$704=A189),'Engineer Updates'!$I$5:$I$704),""))</x:f>
      </x:c>
      <x:c r="U189" s="172" t="str">
        <x:f>IF(A189="","",IFERROR(LOOKUP(2,1/('Engineer Updates'!$B$5:$B$704=A189),'Engineer Updates'!$J$5:$J$704),""))</x:f>
      </x:c>
      <x:c r="V189" s="172" t="str">
        <x:f>IF(A189="","",IFERROR(LOOKUP(2,1/('Engineer Updates'!$B$5:$B$704=A189),'Engineer Updates'!$K$5:$K$704),""))</x:f>
      </x:c>
      <x:c r="W189" s="174" t="str">
        <x:f>IF(A189="","",IFERROR(LOOKUP(2,1/('Engineer Updates'!$B$5:$B$704=A189),'Engineer Updates'!$L$5:$L$704),""))</x:f>
      </x:c>
      <x:c r="X189" s="170" t="str">
        <x:f>IF(A189="","",IF(C189="completed","Completed in CSSP",IF(AND(C189="executing",ISERROR(SEARCH("@",K189))),"Executing without named engineer",IF(AND(N189="Confirmed OOS",C189="executing"),"Confirmed OOS still executing",""))))</x:f>
      </x:c>
      <x:c r="Y189" s="170" t="str">
        <x:f>IF(A189="","",IF(B189="Decommissioning","Raw Decommissioning","Raw Provisioning"))</x:f>
        <x:v>Raw Decommissioning</x:v>
      </x:c>
      <x:c r="Z189" s="170" t="str">
        <x:f>IF(A189="","",IF(OR(C189="executing",C189="processing"),"Yes","No"))</x:f>
        <x:v>No</x:v>
      </x:c>
    </x:row>
    <x:row r="190">
      <x:c r="A190" s="170" t="str">
        <x:f>IF(ROWS($A$5:A190)&lt;=COUNTA('Raw Decommissioning'!$B$2:$B$1000),INDEX('Raw Decommissioning'!$B$2:$B$1000,ROWS($A$5:A190)),IF(ROWS($A$5:A190)-COUNTA('Raw Decommissioning'!$B$2:$B$1000)&lt;=COUNTA('Raw Provisioning'!$B$2:$B$1000),INDEX('Raw Provisioning'!$B$2:$B$1000,ROWS($A$5:A190)-COUNTA('Raw Decommissioning'!$B$2:$B$1000)),""))</x:f>
        <x:v>CSSP10793668</x:v>
      </x:c>
      <x:c r="B190" s="170" t="str">
        <x:f>IF(A190="","",IF(ROWS($A$5:A190)&lt;=COUNTA('Raw Decommissioning'!$B$2:$B$1000),"Decommissioning","Provisioning"))</x:f>
        <x:v>Decommissioning</x:v>
      </x:c>
      <x:c r="C190" s="170" t="str">
        <x:f>IF(A190="","",IF(B190="Decommissioning",IFERROR(INDEX('Raw Decommissioning'!$E$2:$E$1000,MATCH(A190,'Raw Decommissioning'!$B$2:$B$1000,0)),"Missing from latest raw"),IFERROR(INDEX('Raw Provisioning'!$E$2:$E$1000,MATCH(A190,'Raw Provisioning'!$B$2:$B$1000,0)),"Missing from latest raw")))</x:f>
        <x:v>cancelled</x:v>
      </x:c>
      <x:c r="D190" s="171" t="n">
        <x:f>IF(A190="","",'Refresh Control'!$B$4)</x:f>
        <x:v>46254</x:v>
      </x:c>
      <x:c r="E190" s="171" t="n">
        <x:f>IF(A190="","",IF(B190="Decommissioning",INDEX('Raw Decommissioning'!$F$2:$F$1000,ROWS($A$5:A190)),INDEX('Raw Provisioning'!$F$2:$F$1000,ROWS($A$5:A190)-COUNTA('Raw Decommissioning'!$B$2:$B$1000))))</x:f>
        <x:v>46147.27752340278</x:v>
      </x:c>
      <x:c r="F190" s="171" t="n">
        <x:f>IF(A190="","",IF(B190="Decommissioning",INDEX('Raw Decommissioning'!$G$2:$G$1000,ROWS($A$5:A190)),INDEX('Raw Provisioning'!$H$2:$H$1000,ROWS($A$5:A190)-COUNTA('Raw Decommissioning'!$B$2:$B$1000))))</x:f>
        <x:v>46147.278167777775</x:v>
      </x:c>
      <x:c r="G190" s="170" t="str">
        <x:f>IF(A190="","",IF(B190="Decommissioning",INDEX('Raw Decommissioning'!$I$2:$I$1000,ROWS($A$5:A190)),INDEX('Raw Provisioning'!$J$2:$J$1000,ROWS($A$5:A190)-COUNTA('Raw Decommissioning'!$B$2:$B$1000))))</x:f>
        <x:v>Predictive Rotating Equipment Analytics - PROTEAN</x:v>
      </x:c>
      <x:c r="H190" s="170" t="str">
        <x:f>IF(A190="","",IF(B190="Decommissioning",INDEX('Raw Decommissioning'!$J$2:$J$1000,ROWS($A$5:A190)),INDEX('Raw Provisioning'!$L$2:$L$1000,ROWS($A$5:A190)-COUNTA('Raw Decommissioning'!$B$2:$B$1000))))</x:f>
        <x:v>Enhancement of Predictive Analytics for PETRONAS Rotating Equipment Analytics (PROTEAN) for Upstream Center of Excellence</x:v>
      </x:c>
      <x:c r="I190" s="170" t="str">
        <x:f>IF(A190="","",IF(B190="Decommissioning",INDEX('Raw Decommissioning'!$AL$2:$AL$1000,ROWS($A$5:A190)),INDEX('Raw Provisioning'!$R$2:$R$1000,ROWS($A$5:A190)-COUNTA('Raw Decommissioning'!$B$2:$B$1000))))</x:f>
      </x:c>
      <x:c r="J190" s="170" t="str">
        <x:f>IF(A190="","",IF(B190="Decommissioning",INDEX('Raw Decommissioning'!$AG$2:$AG$1000,ROWS($A$5:A190)),INDEX('Raw Provisioning'!$AI$2:$AI$1000,ROWS($A$5:A190)-COUNTA('Raw Decommissioning'!$B$2:$B$1000))))</x:f>
        <x:v>CCoE Operations</x:v>
      </x:c>
      <x:c r="K190" s="172" t="str">
        <x:f>IF(A190="","",IFERROR(LOOKUP(2,1/('Assignment History'!$B$5:$B$204=A190),'Assignment History'!$D$5:$D$204),IFERROR(VLOOKUP(J190,Configuration!$L$5:$M$50,2,FALSE),J190)))</x:f>
        <x:v>CCoE Operations</x:v>
      </x:c>
      <x:c r="L190" s="172" t="str">
        <x:f>IF(A190="","",IF(K190=IFERROR(VLOOKUP(J190,Configuration!$L$5:$M$50,2,FALSE),J190),"Snapshot PIC","Replacement PIC"))</x:f>
        <x:v>Snapshot PIC</x:v>
      </x:c>
      <x:c r="M190" s="172" t="n">
        <x:f>IF(A190="","",IFERROR(VLOOKUP(I190,Configuration!$O$5:$P$8,2,FALSE),Configuration!$S$6))</x:f>
        <x:v>2</x:v>
      </x:c>
      <x:c r="N190" s="172" t="str">
        <x:f>IF(A190="","",IFERROR(LOOKUP(2,1/('Scope Review'!$B$5:$B$204=A190),'Scope Review'!$G$5:$G$204),"Not Reviewed"))</x:f>
        <x:v>Not Reviewed</x:v>
      </x:c>
      <x:c r="O190" s="172" t="str">
        <x:f>IF(A190="","",IFERROR(LOOKUP(2,1/('Scope Review'!$B$5:$B$204=A190),'Scope Review'!$H$5:$H$204),""))</x:f>
      </x:c>
      <x:c r="P190" s="172" t="n">
        <x:f>IF(A190="","",IF(AND(C190="executing",N190&lt;&gt;"Confirmed OOS"),M190,0))</x:f>
        <x:v>0</x:v>
      </x:c>
      <x:c r="Q190" s="173" t="str">
        <x:f>IF(A190="","",IFERROR(LOOKUP(2,1/('Engineer Updates'!$B$5:$B$704=A190),'Engineer Updates'!$A$5:$A$704),""))</x:f>
      </x:c>
      <x:c r="R190" s="172" t="str">
        <x:f>IF(A190="","",IFERROR(LOOKUP(2,1/('Engineer Updates'!$B$5:$B$704=A190),'Engineer Updates'!$H$5:$H$704),""))</x:f>
      </x:c>
      <x:c r="S190" s="172" t="str">
        <x:f>IF(A190="","",IFERROR(LOOKUP(2,1/('Engineer Updates'!$B$5:$B$704=A190),'Engineer Updates'!$G$5:$G$704),""))</x:f>
      </x:c>
      <x:c r="T190" s="172" t="str">
        <x:f>IF(A190="","",IFERROR(LOOKUP(2,1/('Engineer Updates'!$B$5:$B$704=A190),'Engineer Updates'!$I$5:$I$704),""))</x:f>
      </x:c>
      <x:c r="U190" s="172" t="str">
        <x:f>IF(A190="","",IFERROR(LOOKUP(2,1/('Engineer Updates'!$B$5:$B$704=A190),'Engineer Updates'!$J$5:$J$704),""))</x:f>
      </x:c>
      <x:c r="V190" s="172" t="str">
        <x:f>IF(A190="","",IFERROR(LOOKUP(2,1/('Engineer Updates'!$B$5:$B$704=A190),'Engineer Updates'!$K$5:$K$704),""))</x:f>
      </x:c>
      <x:c r="W190" s="174" t="str">
        <x:f>IF(A190="","",IFERROR(LOOKUP(2,1/('Engineer Updates'!$B$5:$B$704=A190),'Engineer Updates'!$L$5:$L$704),""))</x:f>
      </x:c>
      <x:c r="X190" s="170" t="str">
        <x:f>IF(A190="","",IF(C190="completed","Completed in CSSP",IF(AND(C190="executing",ISERROR(SEARCH("@",K190))),"Executing without named engineer",IF(AND(N190="Confirmed OOS",C190="executing"),"Confirmed OOS still executing",""))))</x:f>
      </x:c>
      <x:c r="Y190" s="170" t="str">
        <x:f>IF(A190="","",IF(B190="Decommissioning","Raw Decommissioning","Raw Provisioning"))</x:f>
        <x:v>Raw Decommissioning</x:v>
      </x:c>
      <x:c r="Z190" s="170" t="str">
        <x:f>IF(A190="","",IF(OR(C190="executing",C190="processing"),"Yes","No"))</x:f>
        <x:v>No</x:v>
      </x:c>
    </x:row>
    <x:row r="191">
      <x:c r="A191" s="170" t="str">
        <x:f>IF(ROWS($A$5:A191)&lt;=COUNTA('Raw Decommissioning'!$B$2:$B$1000),INDEX('Raw Decommissioning'!$B$2:$B$1000,ROWS($A$5:A191)),IF(ROWS($A$5:A191)-COUNTA('Raw Decommissioning'!$B$2:$B$1000)&lt;=COUNTA('Raw Provisioning'!$B$2:$B$1000),INDEX('Raw Provisioning'!$B$2:$B$1000,ROWS($A$5:A191)-COUNTA('Raw Decommissioning'!$B$2:$B$1000)),""))</x:f>
        <x:v>CSSP10368977</x:v>
      </x:c>
      <x:c r="B191" s="170" t="str">
        <x:f>IF(A191="","",IF(ROWS($A$5:A191)&lt;=COUNTA('Raw Decommissioning'!$B$2:$B$1000),"Decommissioning","Provisioning"))</x:f>
        <x:v>Decommissioning</x:v>
      </x:c>
      <x:c r="C191" s="170" t="str">
        <x:f>IF(A191="","",IF(B191="Decommissioning",IFERROR(INDEX('Raw Decommissioning'!$E$2:$E$1000,MATCH(A191,'Raw Decommissioning'!$B$2:$B$1000,0)),"Missing from latest raw"),IFERROR(INDEX('Raw Provisioning'!$E$2:$E$1000,MATCH(A191,'Raw Provisioning'!$B$2:$B$1000,0)),"Missing from latest raw")))</x:f>
        <x:v>cancelled</x:v>
      </x:c>
      <x:c r="D191" s="171" t="n">
        <x:f>IF(A191="","",'Refresh Control'!$B$4)</x:f>
        <x:v>46254</x:v>
      </x:c>
      <x:c r="E191" s="171" t="n">
        <x:f>IF(A191="","",IF(B191="Decommissioning",INDEX('Raw Decommissioning'!$F$2:$F$1000,ROWS($A$5:A191)),INDEX('Raw Provisioning'!$F$2:$F$1000,ROWS($A$5:A191)-COUNTA('Raw Decommissioning'!$B$2:$B$1000))))</x:f>
        <x:v>46147.284422523146</x:v>
      </x:c>
      <x:c r="F191" s="171" t="n">
        <x:f>IF(A191="","",IF(B191="Decommissioning",INDEX('Raw Decommissioning'!$G$2:$G$1000,ROWS($A$5:A191)),INDEX('Raw Provisioning'!$H$2:$H$1000,ROWS($A$5:A191)-COUNTA('Raw Decommissioning'!$B$2:$B$1000))))</x:f>
        <x:v>46147.28607765046</x:v>
      </x:c>
      <x:c r="G191" s="170" t="str">
        <x:f>IF(A191="","",IF(B191="Decommissioning",INDEX('Raw Decommissioning'!$I$2:$I$1000,ROWS($A$5:A191)),INDEX('Raw Provisioning'!$J$2:$J$1000,ROWS($A$5:A191)-COUNTA('Raw Decommissioning'!$B$2:$B$1000))))</x:f>
        <x:v>Predictive Rotating Equipment Analytics - PROTEAN</x:v>
      </x:c>
      <x:c r="H191" s="170" t="str">
        <x:f>IF(A191="","",IF(B191="Decommissioning",INDEX('Raw Decommissioning'!$J$2:$J$1000,ROWS($A$5:A191)),INDEX('Raw Provisioning'!$L$2:$L$1000,ROWS($A$5:A191)-COUNTA('Raw Decommissioning'!$B$2:$B$1000))))</x:f>
        <x:v>Cloud Migration Program - PROTEAN (PETRONAS Rotating Equipment Analytics)</x:v>
      </x:c>
      <x:c r="I191" s="170" t="str">
        <x:f>IF(A191="","",IF(B191="Decommissioning",INDEX('Raw Decommissioning'!$AL$2:$AL$1000,ROWS($A$5:A191)),INDEX('Raw Provisioning'!$R$2:$R$1000,ROWS($A$5:A191)-COUNTA('Raw Decommissioning'!$B$2:$B$1000))))</x:f>
      </x:c>
      <x:c r="J191" s="170" t="str">
        <x:f>IF(A191="","",IF(B191="Decommissioning",INDEX('Raw Decommissioning'!$AG$2:$AG$1000,ROWS($A$5:A191)),INDEX('Raw Provisioning'!$AI$2:$AI$1000,ROWS($A$5:A191)-COUNTA('Raw Decommissioning'!$B$2:$B$1000))))</x:f>
        <x:v>CCoE Operations</x:v>
      </x:c>
      <x:c r="K191" s="172" t="str">
        <x:f>IF(A191="","",IFERROR(LOOKUP(2,1/('Assignment History'!$B$5:$B$204=A191),'Assignment History'!$D$5:$D$204),IFERROR(VLOOKUP(J191,Configuration!$L$5:$M$50,2,FALSE),J191)))</x:f>
        <x:v>CCoE Operations</x:v>
      </x:c>
      <x:c r="L191" s="172" t="str">
        <x:f>IF(A191="","",IF(K191=IFERROR(VLOOKUP(J191,Configuration!$L$5:$M$50,2,FALSE),J191),"Snapshot PIC","Replacement PIC"))</x:f>
        <x:v>Snapshot PIC</x:v>
      </x:c>
      <x:c r="M191" s="172" t="n">
        <x:f>IF(A191="","",IFERROR(VLOOKUP(I191,Configuration!$O$5:$P$8,2,FALSE),Configuration!$S$6))</x:f>
        <x:v>2</x:v>
      </x:c>
      <x:c r="N191" s="172" t="str">
        <x:f>IF(A191="","",IFERROR(LOOKUP(2,1/('Scope Review'!$B$5:$B$204=A191),'Scope Review'!$G$5:$G$204),"Not Reviewed"))</x:f>
        <x:v>Not Reviewed</x:v>
      </x:c>
      <x:c r="O191" s="172" t="str">
        <x:f>IF(A191="","",IFERROR(LOOKUP(2,1/('Scope Review'!$B$5:$B$204=A191),'Scope Review'!$H$5:$H$204),""))</x:f>
      </x:c>
      <x:c r="P191" s="172" t="n">
        <x:f>IF(A191="","",IF(AND(C191="executing",N191&lt;&gt;"Confirmed OOS"),M191,0))</x:f>
        <x:v>0</x:v>
      </x:c>
      <x:c r="Q191" s="173" t="str">
        <x:f>IF(A191="","",IFERROR(LOOKUP(2,1/('Engineer Updates'!$B$5:$B$704=A191),'Engineer Updates'!$A$5:$A$704),""))</x:f>
      </x:c>
      <x:c r="R191" s="172" t="str">
        <x:f>IF(A191="","",IFERROR(LOOKUP(2,1/('Engineer Updates'!$B$5:$B$704=A191),'Engineer Updates'!$H$5:$H$704),""))</x:f>
      </x:c>
      <x:c r="S191" s="172" t="str">
        <x:f>IF(A191="","",IFERROR(LOOKUP(2,1/('Engineer Updates'!$B$5:$B$704=A191),'Engineer Updates'!$G$5:$G$704),""))</x:f>
      </x:c>
      <x:c r="T191" s="172" t="str">
        <x:f>IF(A191="","",IFERROR(LOOKUP(2,1/('Engineer Updates'!$B$5:$B$704=A191),'Engineer Updates'!$I$5:$I$704),""))</x:f>
      </x:c>
      <x:c r="U191" s="172" t="str">
        <x:f>IF(A191="","",IFERROR(LOOKUP(2,1/('Engineer Updates'!$B$5:$B$704=A191),'Engineer Updates'!$J$5:$J$704),""))</x:f>
      </x:c>
      <x:c r="V191" s="172" t="str">
        <x:f>IF(A191="","",IFERROR(LOOKUP(2,1/('Engineer Updates'!$B$5:$B$704=A191),'Engineer Updates'!$K$5:$K$704),""))</x:f>
      </x:c>
      <x:c r="W191" s="174" t="str">
        <x:f>IF(A191="","",IFERROR(LOOKUP(2,1/('Engineer Updates'!$B$5:$B$704=A191),'Engineer Updates'!$L$5:$L$704),""))</x:f>
      </x:c>
      <x:c r="X191" s="170" t="str">
        <x:f>IF(A191="","",IF(C191="completed","Completed in CSSP",IF(AND(C191="executing",ISERROR(SEARCH("@",K191))),"Executing without named engineer",IF(AND(N191="Confirmed OOS",C191="executing"),"Confirmed OOS still executing",""))))</x:f>
      </x:c>
      <x:c r="Y191" s="170" t="str">
        <x:f>IF(A191="","",IF(B191="Decommissioning","Raw Decommissioning","Raw Provisioning"))</x:f>
        <x:v>Raw Decommissioning</x:v>
      </x:c>
      <x:c r="Z191" s="170" t="str">
        <x:f>IF(A191="","",IF(OR(C191="executing",C191="processing"),"Yes","No"))</x:f>
        <x:v>No</x:v>
      </x:c>
    </x:row>
    <x:row r="192">
      <x:c r="A192" s="170" t="str">
        <x:f>IF(ROWS($A$5:A192)&lt;=COUNTA('Raw Decommissioning'!$B$2:$B$1000),INDEX('Raw Decommissioning'!$B$2:$B$1000,ROWS($A$5:A192)),IF(ROWS($A$5:A192)-COUNTA('Raw Decommissioning'!$B$2:$B$1000)&lt;=COUNTA('Raw Provisioning'!$B$2:$B$1000),INDEX('Raw Provisioning'!$B$2:$B$1000,ROWS($A$5:A192)-COUNTA('Raw Decommissioning'!$B$2:$B$1000)),""))</x:f>
        <x:v>CSSP10893834</x:v>
      </x:c>
      <x:c r="B192" s="170" t="str">
        <x:f>IF(A192="","",IF(ROWS($A$5:A192)&lt;=COUNTA('Raw Decommissioning'!$B$2:$B$1000),"Decommissioning","Provisioning"))</x:f>
        <x:v>Decommissioning</x:v>
      </x:c>
      <x:c r="C192" s="170" t="str">
        <x:f>IF(A192="","",IF(B192="Decommissioning",IFERROR(INDEX('Raw Decommissioning'!$E$2:$E$1000,MATCH(A192,'Raw Decommissioning'!$B$2:$B$1000,0)),"Missing from latest raw"),IFERROR(INDEX('Raw Provisioning'!$E$2:$E$1000,MATCH(A192,'Raw Provisioning'!$B$2:$B$1000,0)),"Missing from latest raw")))</x:f>
        <x:v>cancelled</x:v>
      </x:c>
      <x:c r="D192" s="171" t="n">
        <x:f>IF(A192="","",'Refresh Control'!$B$4)</x:f>
        <x:v>46254</x:v>
      </x:c>
      <x:c r="E192" s="171" t="n">
        <x:f>IF(A192="","",IF(B192="Decommissioning",INDEX('Raw Decommissioning'!$F$2:$F$1000,ROWS($A$5:A192)),INDEX('Raw Provisioning'!$F$2:$F$1000,ROWS($A$5:A192)-COUNTA('Raw Decommissioning'!$B$2:$B$1000))))</x:f>
        <x:v>46147.28675936343</x:v>
      </x:c>
      <x:c r="F192" s="171" t="n">
        <x:f>IF(A192="","",IF(B192="Decommissioning",INDEX('Raw Decommissioning'!$G$2:$G$1000,ROWS($A$5:A192)),INDEX('Raw Provisioning'!$H$2:$H$1000,ROWS($A$5:A192)-COUNTA('Raw Decommissioning'!$B$2:$B$1000))))</x:f>
        <x:v>46147.28765233796</x:v>
      </x:c>
      <x:c r="G192" s="170" t="str">
        <x:f>IF(A192="","",IF(B192="Decommissioning",INDEX('Raw Decommissioning'!$I$2:$I$1000,ROWS($A$5:A192)),INDEX('Raw Provisioning'!$J$2:$J$1000,ROWS($A$5:A192)-COUNTA('Raw Decommissioning'!$B$2:$B$1000))))</x:f>
        <x:v>Predictive Rotating Equipment Analytics - PROTEAN</x:v>
      </x:c>
      <x:c r="H192" s="170" t="str">
        <x:f>IF(A192="","",IF(B192="Decommissioning",INDEX('Raw Decommissioning'!$J$2:$J$1000,ROWS($A$5:A192)),INDEX('Raw Provisioning'!$L$2:$L$1000,ROWS($A$5:A192)-COUNTA('Raw Decommissioning'!$B$2:$B$1000))))</x:f>
        <x:v>Implementation of PETRONAS Rotating Equipment Analytics (PROTEAN) at MLNG</x:v>
      </x:c>
      <x:c r="I192" s="170" t="str">
        <x:f>IF(A192="","",IF(B192="Decommissioning",INDEX('Raw Decommissioning'!$AL$2:$AL$1000,ROWS($A$5:A192)),INDEX('Raw Provisioning'!$R$2:$R$1000,ROWS($A$5:A192)-COUNTA('Raw Decommissioning'!$B$2:$B$1000))))</x:f>
      </x:c>
      <x:c r="J192" s="170" t="str">
        <x:f>IF(A192="","",IF(B192="Decommissioning",INDEX('Raw Decommissioning'!$AG$2:$AG$1000,ROWS($A$5:A192)),INDEX('Raw Provisioning'!$AI$2:$AI$1000,ROWS($A$5:A192)-COUNTA('Raw Decommissioning'!$B$2:$B$1000))))</x:f>
        <x:v>CCoE Operations</x:v>
      </x:c>
      <x:c r="K192" s="172" t="str">
        <x:f>IF(A192="","",IFERROR(LOOKUP(2,1/('Assignment History'!$B$5:$B$204=A192),'Assignment History'!$D$5:$D$204),IFERROR(VLOOKUP(J192,Configuration!$L$5:$M$50,2,FALSE),J192)))</x:f>
        <x:v>CCoE Operations</x:v>
      </x:c>
      <x:c r="L192" s="172" t="str">
        <x:f>IF(A192="","",IF(K192=IFERROR(VLOOKUP(J192,Configuration!$L$5:$M$50,2,FALSE),J192),"Snapshot PIC","Replacement PIC"))</x:f>
        <x:v>Snapshot PIC</x:v>
      </x:c>
      <x:c r="M192" s="172" t="n">
        <x:f>IF(A192="","",IFERROR(VLOOKUP(I192,Configuration!$O$5:$P$8,2,FALSE),Configuration!$S$6))</x:f>
        <x:v>2</x:v>
      </x:c>
      <x:c r="N192" s="172" t="str">
        <x:f>IF(A192="","",IFERROR(LOOKUP(2,1/('Scope Review'!$B$5:$B$204=A192),'Scope Review'!$G$5:$G$204),"Not Reviewed"))</x:f>
        <x:v>Not Reviewed</x:v>
      </x:c>
      <x:c r="O192" s="172" t="str">
        <x:f>IF(A192="","",IFERROR(LOOKUP(2,1/('Scope Review'!$B$5:$B$204=A192),'Scope Review'!$H$5:$H$204),""))</x:f>
      </x:c>
      <x:c r="P192" s="172" t="n">
        <x:f>IF(A192="","",IF(AND(C192="executing",N192&lt;&gt;"Confirmed OOS"),M192,0))</x:f>
        <x:v>0</x:v>
      </x:c>
      <x:c r="Q192" s="173" t="str">
        <x:f>IF(A192="","",IFERROR(LOOKUP(2,1/('Engineer Updates'!$B$5:$B$704=A192),'Engineer Updates'!$A$5:$A$704),""))</x:f>
      </x:c>
      <x:c r="R192" s="172" t="str">
        <x:f>IF(A192="","",IFERROR(LOOKUP(2,1/('Engineer Updates'!$B$5:$B$704=A192),'Engineer Updates'!$H$5:$H$704),""))</x:f>
      </x:c>
      <x:c r="S192" s="172" t="str">
        <x:f>IF(A192="","",IFERROR(LOOKUP(2,1/('Engineer Updates'!$B$5:$B$704=A192),'Engineer Updates'!$G$5:$G$704),""))</x:f>
      </x:c>
      <x:c r="T192" s="172" t="str">
        <x:f>IF(A192="","",IFERROR(LOOKUP(2,1/('Engineer Updates'!$B$5:$B$704=A192),'Engineer Updates'!$I$5:$I$704),""))</x:f>
      </x:c>
      <x:c r="U192" s="172" t="str">
        <x:f>IF(A192="","",IFERROR(LOOKUP(2,1/('Engineer Updates'!$B$5:$B$704=A192),'Engineer Updates'!$J$5:$J$704),""))</x:f>
      </x:c>
      <x:c r="V192" s="172" t="str">
        <x:f>IF(A192="","",IFERROR(LOOKUP(2,1/('Engineer Updates'!$B$5:$B$704=A192),'Engineer Updates'!$K$5:$K$704),""))</x:f>
      </x:c>
      <x:c r="W192" s="174" t="str">
        <x:f>IF(A192="","",IFERROR(LOOKUP(2,1/('Engineer Updates'!$B$5:$B$704=A192),'Engineer Updates'!$L$5:$L$704),""))</x:f>
      </x:c>
      <x:c r="X192" s="170" t="str">
        <x:f>IF(A192="","",IF(C192="completed","Completed in CSSP",IF(AND(C192="executing",ISERROR(SEARCH("@",K192))),"Executing without named engineer",IF(AND(N192="Confirmed OOS",C192="executing"),"Confirmed OOS still executing",""))))</x:f>
      </x:c>
      <x:c r="Y192" s="170" t="str">
        <x:f>IF(A192="","",IF(B192="Decommissioning","Raw Decommissioning","Raw Provisioning"))</x:f>
        <x:v>Raw Decommissioning</x:v>
      </x:c>
      <x:c r="Z192" s="170" t="str">
        <x:f>IF(A192="","",IF(OR(C192="executing",C192="processing"),"Yes","No"))</x:f>
        <x:v>No</x:v>
      </x:c>
    </x:row>
    <x:row r="193">
      <x:c r="A193" s="170" t="str">
        <x:f>IF(ROWS($A$5:A193)&lt;=COUNTA('Raw Decommissioning'!$B$2:$B$1000),INDEX('Raw Decommissioning'!$B$2:$B$1000,ROWS($A$5:A193)),IF(ROWS($A$5:A193)-COUNTA('Raw Decommissioning'!$B$2:$B$1000)&lt;=COUNTA('Raw Provisioning'!$B$2:$B$1000),INDEX('Raw Provisioning'!$B$2:$B$1000,ROWS($A$5:A193)-COUNTA('Raw Decommissioning'!$B$2:$B$1000)),""))</x:f>
        <x:v>CSSP10815603</x:v>
      </x:c>
      <x:c r="B193" s="170" t="str">
        <x:f>IF(A193="","",IF(ROWS($A$5:A193)&lt;=COUNTA('Raw Decommissioning'!$B$2:$B$1000),"Decommissioning","Provisioning"))</x:f>
        <x:v>Decommissioning</x:v>
      </x:c>
      <x:c r="C193" s="170" t="str">
        <x:f>IF(A193="","",IF(B193="Decommissioning",IFERROR(INDEX('Raw Decommissioning'!$E$2:$E$1000,MATCH(A193,'Raw Decommissioning'!$B$2:$B$1000,0)),"Missing from latest raw"),IFERROR(INDEX('Raw Provisioning'!$E$2:$E$1000,MATCH(A193,'Raw Provisioning'!$B$2:$B$1000,0)),"Missing from latest raw")))</x:f>
        <x:v>cancelled</x:v>
      </x:c>
      <x:c r="D193" s="171" t="n">
        <x:f>IF(A193="","",'Refresh Control'!$B$4)</x:f>
        <x:v>46254</x:v>
      </x:c>
      <x:c r="E193" s="171" t="n">
        <x:f>IF(A193="","",IF(B193="Decommissioning",INDEX('Raw Decommissioning'!$F$2:$F$1000,ROWS($A$5:A193)),INDEX('Raw Provisioning'!$F$2:$F$1000,ROWS($A$5:A193)-COUNTA('Raw Decommissioning'!$B$2:$B$1000))))</x:f>
        <x:v>46148.09781258102</x:v>
      </x:c>
      <x:c r="F193" s="171" t="n">
        <x:f>IF(A193="","",IF(B193="Decommissioning",INDEX('Raw Decommissioning'!$G$2:$G$1000,ROWS($A$5:A193)),INDEX('Raw Provisioning'!$H$2:$H$1000,ROWS($A$5:A193)-COUNTA('Raw Decommissioning'!$B$2:$B$1000))))</x:f>
        <x:v>46148.194012604166</x:v>
      </x:c>
      <x:c r="G193" s="170" t="str">
        <x:f>IF(A193="","",IF(B193="Decommissioning",INDEX('Raw Decommissioning'!$I$2:$I$1000,ROWS($A$5:A193)),INDEX('Raw Provisioning'!$J$2:$J$1000,ROWS($A$5:A193)-COUNTA('Raw Decommissioning'!$B$2:$B$1000))))</x:f>
        <x:v>Integrated Computing and Security - ICS MRCSB</x:v>
      </x:c>
      <x:c r="H193" s="170" t="str">
        <x:f>IF(A193="","",IF(B193="Decommissioning",INDEX('Raw Decommissioning'!$J$2:$J$1000,ROWS($A$5:A193)),INDEX('Raw Provisioning'!$L$2:$L$1000,ROWS($A$5:A193)-COUNTA('Raw Decommissioning'!$B$2:$B$1000))))</x:f>
        <x:v>OCI MIGRATION - ICSPROD: ACS Time Attendance System, HeadCount System, HSE Training Management System (HTMS), MANTRACKS, Meeting Room Booking System, Occupational Health Management System (OHMS)</x:v>
      </x:c>
      <x:c r="I193" s="170" t="str">
        <x:f>IF(A193="","",IF(B193="Decommissioning",INDEX('Raw Decommissioning'!$AL$2:$AL$1000,ROWS($A$5:A193)),INDEX('Raw Provisioning'!$R$2:$R$1000,ROWS($A$5:A193)-COUNTA('Raw Decommissioning'!$B$2:$B$1000))))</x:f>
      </x:c>
      <x:c r="J193" s="170" t="str">
        <x:f>IF(A193="","",IF(B193="Decommissioning",INDEX('Raw Decommissioning'!$AG$2:$AG$1000,ROWS($A$5:A193)),INDEX('Raw Provisioning'!$AI$2:$AI$1000,ROWS($A$5:A193)-COUNTA('Raw Decommissioning'!$B$2:$B$1000))))</x:f>
        <x:v>CCoE Operations</x:v>
      </x:c>
      <x:c r="K193" s="172" t="str">
        <x:f>IF(A193="","",IFERROR(LOOKUP(2,1/('Assignment History'!$B$5:$B$204=A193),'Assignment History'!$D$5:$D$204),IFERROR(VLOOKUP(J193,Configuration!$L$5:$M$50,2,FALSE),J193)))</x:f>
        <x:v>CCoE Operations</x:v>
      </x:c>
      <x:c r="L193" s="172" t="str">
        <x:f>IF(A193="","",IF(K193=IFERROR(VLOOKUP(J193,Configuration!$L$5:$M$50,2,FALSE),J193),"Snapshot PIC","Replacement PIC"))</x:f>
        <x:v>Snapshot PIC</x:v>
      </x:c>
      <x:c r="M193" s="172" t="n">
        <x:f>IF(A193="","",IFERROR(VLOOKUP(I193,Configuration!$O$5:$P$8,2,FALSE),Configuration!$S$6))</x:f>
        <x:v>2</x:v>
      </x:c>
      <x:c r="N193" s="172" t="str">
        <x:f>IF(A193="","",IFERROR(LOOKUP(2,1/('Scope Review'!$B$5:$B$204=A193),'Scope Review'!$G$5:$G$204),"Not Reviewed"))</x:f>
        <x:v>Not Reviewed</x:v>
      </x:c>
      <x:c r="O193" s="172" t="str">
        <x:f>IF(A193="","",IFERROR(LOOKUP(2,1/('Scope Review'!$B$5:$B$204=A193),'Scope Review'!$H$5:$H$204),""))</x:f>
      </x:c>
      <x:c r="P193" s="172" t="n">
        <x:f>IF(A193="","",IF(AND(C193="executing",N193&lt;&gt;"Confirmed OOS"),M193,0))</x:f>
        <x:v>0</x:v>
      </x:c>
      <x:c r="Q193" s="173" t="str">
        <x:f>IF(A193="","",IFERROR(LOOKUP(2,1/('Engineer Updates'!$B$5:$B$704=A193),'Engineer Updates'!$A$5:$A$704),""))</x:f>
      </x:c>
      <x:c r="R193" s="172" t="str">
        <x:f>IF(A193="","",IFERROR(LOOKUP(2,1/('Engineer Updates'!$B$5:$B$704=A193),'Engineer Updates'!$H$5:$H$704),""))</x:f>
      </x:c>
      <x:c r="S193" s="172" t="str">
        <x:f>IF(A193="","",IFERROR(LOOKUP(2,1/('Engineer Updates'!$B$5:$B$704=A193),'Engineer Updates'!$G$5:$G$704),""))</x:f>
      </x:c>
      <x:c r="T193" s="172" t="str">
        <x:f>IF(A193="","",IFERROR(LOOKUP(2,1/('Engineer Updates'!$B$5:$B$704=A193),'Engineer Updates'!$I$5:$I$704),""))</x:f>
      </x:c>
      <x:c r="U193" s="172" t="str">
        <x:f>IF(A193="","",IFERROR(LOOKUP(2,1/('Engineer Updates'!$B$5:$B$704=A193),'Engineer Updates'!$J$5:$J$704),""))</x:f>
      </x:c>
      <x:c r="V193" s="172" t="str">
        <x:f>IF(A193="","",IFERROR(LOOKUP(2,1/('Engineer Updates'!$B$5:$B$704=A193),'Engineer Updates'!$K$5:$K$704),""))</x:f>
      </x:c>
      <x:c r="W193" s="174" t="str">
        <x:f>IF(A193="","",IFERROR(LOOKUP(2,1/('Engineer Updates'!$B$5:$B$704=A193),'Engineer Updates'!$L$5:$L$704),""))</x:f>
      </x:c>
      <x:c r="X193" s="170" t="str">
        <x:f>IF(A193="","",IF(C193="completed","Completed in CSSP",IF(AND(C193="executing",ISERROR(SEARCH("@",K193))),"Executing without named engineer",IF(AND(N193="Confirmed OOS",C193="executing"),"Confirmed OOS still executing",""))))</x:f>
      </x:c>
      <x:c r="Y193" s="170" t="str">
        <x:f>IF(A193="","",IF(B193="Decommissioning","Raw Decommissioning","Raw Provisioning"))</x:f>
        <x:v>Raw Decommissioning</x:v>
      </x:c>
      <x:c r="Z193" s="170" t="str">
        <x:f>IF(A193="","",IF(OR(C193="executing",C193="processing"),"Yes","No"))</x:f>
        <x:v>No</x:v>
      </x:c>
    </x:row>
    <x:row r="194">
      <x:c r="A194" s="170" t="str">
        <x:f>IF(ROWS($A$5:A194)&lt;=COUNTA('Raw Decommissioning'!$B$2:$B$1000),INDEX('Raw Decommissioning'!$B$2:$B$1000,ROWS($A$5:A194)),IF(ROWS($A$5:A194)-COUNTA('Raw Decommissioning'!$B$2:$B$1000)&lt;=COUNTA('Raw Provisioning'!$B$2:$B$1000),INDEX('Raw Provisioning'!$B$2:$B$1000,ROWS($A$5:A194)-COUNTA('Raw Decommissioning'!$B$2:$B$1000)),""))</x:f>
        <x:v>CSSP10209084</x:v>
      </x:c>
      <x:c r="B194" s="170" t="str">
        <x:f>IF(A194="","",IF(ROWS($A$5:A194)&lt;=COUNTA('Raw Decommissioning'!$B$2:$B$1000),"Decommissioning","Provisioning"))</x:f>
        <x:v>Decommissioning</x:v>
      </x:c>
      <x:c r="C194" s="170" t="str">
        <x:f>IF(A194="","",IF(B194="Decommissioning",IFERROR(INDEX('Raw Decommissioning'!$E$2:$E$1000,MATCH(A194,'Raw Decommissioning'!$B$2:$B$1000,0)),"Missing from latest raw"),IFERROR(INDEX('Raw Provisioning'!$E$2:$E$1000,MATCH(A194,'Raw Provisioning'!$B$2:$B$1000,0)),"Missing from latest raw")))</x:f>
        <x:v>completed</x:v>
      </x:c>
      <x:c r="D194" s="171" t="n">
        <x:f>IF(A194="","",'Refresh Control'!$B$4)</x:f>
        <x:v>46254</x:v>
      </x:c>
      <x:c r="E194" s="171" t="n">
        <x:f>IF(A194="","",IF(B194="Decommissioning",INDEX('Raw Decommissioning'!$F$2:$F$1000,ROWS($A$5:A194)),INDEX('Raw Provisioning'!$F$2:$F$1000,ROWS($A$5:A194)-COUNTA('Raw Decommissioning'!$B$2:$B$1000))))</x:f>
        <x:v>46148.16625650463</x:v>
      </x:c>
      <x:c r="F194" s="171" t="n">
        <x:f>IF(A194="","",IF(B194="Decommissioning",INDEX('Raw Decommissioning'!$G$2:$G$1000,ROWS($A$5:A194)),INDEX('Raw Provisioning'!$H$2:$H$1000,ROWS($A$5:A194)-COUNTA('Raw Decommissioning'!$B$2:$B$1000))))</x:f>
        <x:v>46161.33211163194</x:v>
      </x:c>
      <x:c r="G194" s="170" t="str">
        <x:f>IF(A194="","",IF(B194="Decommissioning",INDEX('Raw Decommissioning'!$I$2:$I$1000,ROWS($A$5:A194)),INDEX('Raw Provisioning'!$J$2:$J$1000,ROWS($A$5:A194)-COUNTA('Raw Decommissioning'!$B$2:$B$1000))))</x:f>
        <x:v>Video Analytics - VA</x:v>
      </x:c>
      <x:c r="H194" s="170" t="str">
        <x:f>IF(A194="","",IF(B194="Decommissioning",INDEX('Raw Decommissioning'!$J$2:$J$1000,ROWS($A$5:A194)),INDEX('Raw Provisioning'!$L$2:$L$1000,ROWS($A$5:A194)-COUNTA('Raw Decommissioning'!$B$2:$B$1000))))</x:f>
        <x:v>Video Analytics Pilot Implementation for PeTT Tower 1</x:v>
      </x:c>
      <x:c r="I194" s="170" t="str">
        <x:f>IF(A194="","",IF(B194="Decommissioning",INDEX('Raw Decommissioning'!$AL$2:$AL$1000,ROWS($A$5:A194)),INDEX('Raw Provisioning'!$R$2:$R$1000,ROWS($A$5:A194)-COUNTA('Raw Decommissioning'!$B$2:$B$1000))))</x:f>
        <x:v>L</x:v>
      </x:c>
      <x:c r="J194" s="170" t="str">
        <x:f>IF(A194="","",IF(B194="Decommissioning",INDEX('Raw Decommissioning'!$AG$2:$AG$1000,ROWS($A$5:A194)),INDEX('Raw Provisioning'!$AI$2:$AI$1000,ROWS($A$5:A194)-COUNTA('Raw Decommissioning'!$B$2:$B$1000))))</x:f>
        <x:v>azlisham.md@petronas.com</x:v>
      </x:c>
      <x:c r="K194" s="172" t="str">
        <x:f>IF(A194="","",IFERROR(LOOKUP(2,1/('Assignment History'!$B$5:$B$204=A194),'Assignment History'!$D$5:$D$204),IFERROR(VLOOKUP(J194,Configuration!$L$5:$M$50,2,FALSE),J194)))</x:f>
        <x:v>azlisham.md@petronas.com</x:v>
      </x:c>
      <x:c r="L194" s="172" t="str">
        <x:f>IF(A194="","",IF(K194=IFERROR(VLOOKUP(J194,Configuration!$L$5:$M$50,2,FALSE),J194),"Snapshot PIC","Replacement PIC"))</x:f>
        <x:v>Snapshot PIC</x:v>
      </x:c>
      <x:c r="M194" s="172" t="n">
        <x:f>IF(A194="","",IFERROR(VLOOKUP(I194,Configuration!$O$5:$P$8,2,FALSE),Configuration!$S$6))</x:f>
        <x:v>3</x:v>
      </x:c>
      <x:c r="N194" s="172" t="str">
        <x:f>IF(A194="","",IFERROR(LOOKUP(2,1/('Scope Review'!$B$5:$B$204=A194),'Scope Review'!$G$5:$G$204),"Not Reviewed"))</x:f>
        <x:v>Not Reviewed</x:v>
      </x:c>
      <x:c r="O194" s="172" t="str">
        <x:f>IF(A194="","",IFERROR(LOOKUP(2,1/('Scope Review'!$B$5:$B$204=A194),'Scope Review'!$H$5:$H$204),""))</x:f>
      </x:c>
      <x:c r="P194" s="172" t="n">
        <x:f>IF(A194="","",IF(AND(C194="executing",N194&lt;&gt;"Confirmed OOS"),M194,0))</x:f>
        <x:v>0</x:v>
      </x:c>
      <x:c r="Q194" s="173" t="str">
        <x:f>IF(A194="","",IFERROR(LOOKUP(2,1/('Engineer Updates'!$B$5:$B$704=A194),'Engineer Updates'!$A$5:$A$704),""))</x:f>
      </x:c>
      <x:c r="R194" s="172" t="str">
        <x:f>IF(A194="","",IFERROR(LOOKUP(2,1/('Engineer Updates'!$B$5:$B$704=A194),'Engineer Updates'!$H$5:$H$704),""))</x:f>
      </x:c>
      <x:c r="S194" s="172" t="str">
        <x:f>IF(A194="","",IFERROR(LOOKUP(2,1/('Engineer Updates'!$B$5:$B$704=A194),'Engineer Updates'!$G$5:$G$704),""))</x:f>
      </x:c>
      <x:c r="T194" s="172" t="str">
        <x:f>IF(A194="","",IFERROR(LOOKUP(2,1/('Engineer Updates'!$B$5:$B$704=A194),'Engineer Updates'!$I$5:$I$704),""))</x:f>
      </x:c>
      <x:c r="U194" s="172" t="str">
        <x:f>IF(A194="","",IFERROR(LOOKUP(2,1/('Engineer Updates'!$B$5:$B$704=A194),'Engineer Updates'!$J$5:$J$704),""))</x:f>
      </x:c>
      <x:c r="V194" s="172" t="str">
        <x:f>IF(A194="","",IFERROR(LOOKUP(2,1/('Engineer Updates'!$B$5:$B$704=A194),'Engineer Updates'!$K$5:$K$704),""))</x:f>
      </x:c>
      <x:c r="W194" s="174" t="str">
        <x:f>IF(A194="","",IFERROR(LOOKUP(2,1/('Engineer Updates'!$B$5:$B$704=A194),'Engineer Updates'!$L$5:$L$704),""))</x:f>
      </x:c>
      <x:c r="X194" s="170" t="str">
        <x:f>IF(A194="","",IF(C194="completed","Completed in CSSP",IF(AND(C194="executing",ISERROR(SEARCH("@",K194))),"Executing without named engineer",IF(AND(N194="Confirmed OOS",C194="executing"),"Confirmed OOS still executing",""))))</x:f>
        <x:v>Completed in CSSP</x:v>
      </x:c>
      <x:c r="Y194" s="170" t="str">
        <x:f>IF(A194="","",IF(B194="Decommissioning","Raw Decommissioning","Raw Provisioning"))</x:f>
        <x:v>Raw Decommissioning</x:v>
      </x:c>
      <x:c r="Z194" s="170" t="str">
        <x:f>IF(A194="","",IF(OR(C194="executing",C194="processing"),"Yes","No"))</x:f>
        <x:v>No</x:v>
      </x:c>
    </x:row>
    <x:row r="195">
      <x:c r="A195" s="170" t="str">
        <x:f>IF(ROWS($A$5:A195)&lt;=COUNTA('Raw Decommissioning'!$B$2:$B$1000),INDEX('Raw Decommissioning'!$B$2:$B$1000,ROWS($A$5:A195)),IF(ROWS($A$5:A195)-COUNTA('Raw Decommissioning'!$B$2:$B$1000)&lt;=COUNTA('Raw Provisioning'!$B$2:$B$1000),INDEX('Raw Provisioning'!$B$2:$B$1000,ROWS($A$5:A195)-COUNTA('Raw Decommissioning'!$B$2:$B$1000)),""))</x:f>
        <x:v>CSSP10207194</x:v>
      </x:c>
      <x:c r="B195" s="170" t="str">
        <x:f>IF(A195="","",IF(ROWS($A$5:A195)&lt;=COUNTA('Raw Decommissioning'!$B$2:$B$1000),"Decommissioning","Provisioning"))</x:f>
        <x:v>Decommissioning</x:v>
      </x:c>
      <x:c r="C195" s="170" t="str">
        <x:f>IF(A195="","",IF(B195="Decommissioning",IFERROR(INDEX('Raw Decommissioning'!$E$2:$E$1000,MATCH(A195,'Raw Decommissioning'!$B$2:$B$1000,0)),"Missing from latest raw"),IFERROR(INDEX('Raw Provisioning'!$E$2:$E$1000,MATCH(A195,'Raw Provisioning'!$B$2:$B$1000,0)),"Missing from latest raw")))</x:f>
        <x:v>cancelled</x:v>
      </x:c>
      <x:c r="D195" s="171" t="n">
        <x:f>IF(A195="","",'Refresh Control'!$B$4)</x:f>
        <x:v>46254</x:v>
      </x:c>
      <x:c r="E195" s="171" t="n">
        <x:f>IF(A195="","",IF(B195="Decommissioning",INDEX('Raw Decommissioning'!$F$2:$F$1000,ROWS($A$5:A195)),INDEX('Raw Provisioning'!$F$2:$F$1000,ROWS($A$5:A195)-COUNTA('Raw Decommissioning'!$B$2:$B$1000))))</x:f>
        <x:v>46148.19542685185</x:v>
      </x:c>
      <x:c r="F195" s="171" t="n">
        <x:f>IF(A195="","",IF(B195="Decommissioning",INDEX('Raw Decommissioning'!$G$2:$G$1000,ROWS($A$5:A195)),INDEX('Raw Provisioning'!$H$2:$H$1000,ROWS($A$5:A195)-COUNTA('Raw Decommissioning'!$B$2:$B$1000))))</x:f>
        <x:v>46156.0700465162</x:v>
      </x:c>
      <x:c r="G195" s="170" t="str">
        <x:f>IF(A195="","",IF(B195="Decommissioning",INDEX('Raw Decommissioning'!$I$2:$I$1000,ROWS($A$5:A195)),INDEX('Raw Provisioning'!$J$2:$J$1000,ROWS($A$5:A195)-COUNTA('Raw Decommissioning'!$B$2:$B$1000))))</x:f>
        <x:v>Integrated Computing and Security - ICS MRCSB</x:v>
      </x:c>
      <x:c r="H195" s="170" t="str">
        <x:f>IF(A195="","",IF(B195="Decommissioning",INDEX('Raw Decommissioning'!$J$2:$J$1000,ROWS($A$5:A195)),INDEX('Raw Provisioning'!$L$2:$L$1000,ROWS($A$5:A195)-COUNTA('Raw Decommissioning'!$B$2:$B$1000))))</x:f>
        <x:v>OCI MIGRATION - ACS Time Attendance System, HeadCount System, HSE Training Management System (HTMS), MANTRACKS, Meeting Room Booking System, Occupational Health Management System (OHMS)</x:v>
      </x:c>
      <x:c r="I195" s="170" t="str">
        <x:f>IF(A195="","",IF(B195="Decommissioning",INDEX('Raw Decommissioning'!$AL$2:$AL$1000,ROWS($A$5:A195)),INDEX('Raw Provisioning'!$R$2:$R$1000,ROWS($A$5:A195)-COUNTA('Raw Decommissioning'!$B$2:$B$1000))))</x:f>
      </x:c>
      <x:c r="J195" s="170" t="str">
        <x:f>IF(A195="","",IF(B195="Decommissioning",INDEX('Raw Decommissioning'!$AG$2:$AG$1000,ROWS($A$5:A195)),INDEX('Raw Provisioning'!$AI$2:$AI$1000,ROWS($A$5:A195)-COUNTA('Raw Decommissioning'!$B$2:$B$1000))))</x:f>
        <x:v>CCoE Operations</x:v>
      </x:c>
      <x:c r="K195" s="172" t="str">
        <x:f>IF(A195="","",IFERROR(LOOKUP(2,1/('Assignment History'!$B$5:$B$204=A195),'Assignment History'!$D$5:$D$204),IFERROR(VLOOKUP(J195,Configuration!$L$5:$M$50,2,FALSE),J195)))</x:f>
        <x:v>CCoE Operations</x:v>
      </x:c>
      <x:c r="L195" s="172" t="str">
        <x:f>IF(A195="","",IF(K195=IFERROR(VLOOKUP(J195,Configuration!$L$5:$M$50,2,FALSE),J195),"Snapshot PIC","Replacement PIC"))</x:f>
        <x:v>Snapshot PIC</x:v>
      </x:c>
      <x:c r="M195" s="172" t="n">
        <x:f>IF(A195="","",IFERROR(VLOOKUP(I195,Configuration!$O$5:$P$8,2,FALSE),Configuration!$S$6))</x:f>
        <x:v>2</x:v>
      </x:c>
      <x:c r="N195" s="172" t="str">
        <x:f>IF(A195="","",IFERROR(LOOKUP(2,1/('Scope Review'!$B$5:$B$204=A195),'Scope Review'!$G$5:$G$204),"Not Reviewed"))</x:f>
        <x:v>Not Reviewed</x:v>
      </x:c>
      <x:c r="O195" s="172" t="str">
        <x:f>IF(A195="","",IFERROR(LOOKUP(2,1/('Scope Review'!$B$5:$B$204=A195),'Scope Review'!$H$5:$H$204),""))</x:f>
      </x:c>
      <x:c r="P195" s="172" t="n">
        <x:f>IF(A195="","",IF(AND(C195="executing",N195&lt;&gt;"Confirmed OOS"),M195,0))</x:f>
        <x:v>0</x:v>
      </x:c>
      <x:c r="Q195" s="173" t="str">
        <x:f>IF(A195="","",IFERROR(LOOKUP(2,1/('Engineer Updates'!$B$5:$B$704=A195),'Engineer Updates'!$A$5:$A$704),""))</x:f>
      </x:c>
      <x:c r="R195" s="172" t="str">
        <x:f>IF(A195="","",IFERROR(LOOKUP(2,1/('Engineer Updates'!$B$5:$B$704=A195),'Engineer Updates'!$H$5:$H$704),""))</x:f>
      </x:c>
      <x:c r="S195" s="172" t="str">
        <x:f>IF(A195="","",IFERROR(LOOKUP(2,1/('Engineer Updates'!$B$5:$B$704=A195),'Engineer Updates'!$G$5:$G$704),""))</x:f>
      </x:c>
      <x:c r="T195" s="172" t="str">
        <x:f>IF(A195="","",IFERROR(LOOKUP(2,1/('Engineer Updates'!$B$5:$B$704=A195),'Engineer Updates'!$I$5:$I$704),""))</x:f>
      </x:c>
      <x:c r="U195" s="172" t="str">
        <x:f>IF(A195="","",IFERROR(LOOKUP(2,1/('Engineer Updates'!$B$5:$B$704=A195),'Engineer Updates'!$J$5:$J$704),""))</x:f>
      </x:c>
      <x:c r="V195" s="172" t="str">
        <x:f>IF(A195="","",IFERROR(LOOKUP(2,1/('Engineer Updates'!$B$5:$B$704=A195),'Engineer Updates'!$K$5:$K$704),""))</x:f>
      </x:c>
      <x:c r="W195" s="174" t="str">
        <x:f>IF(A195="","",IFERROR(LOOKUP(2,1/('Engineer Updates'!$B$5:$B$704=A195),'Engineer Updates'!$L$5:$L$704),""))</x:f>
      </x:c>
      <x:c r="X195" s="170" t="str">
        <x:f>IF(A195="","",IF(C195="completed","Completed in CSSP",IF(AND(C195="executing",ISERROR(SEARCH("@",K195))),"Executing without named engineer",IF(AND(N195="Confirmed OOS",C195="executing"),"Confirmed OOS still executing",""))))</x:f>
      </x:c>
      <x:c r="Y195" s="170" t="str">
        <x:f>IF(A195="","",IF(B195="Decommissioning","Raw Decommissioning","Raw Provisioning"))</x:f>
        <x:v>Raw Decommissioning</x:v>
      </x:c>
      <x:c r="Z195" s="170" t="str">
        <x:f>IF(A195="","",IF(OR(C195="executing",C195="processing"),"Yes","No"))</x:f>
        <x:v>No</x:v>
      </x:c>
    </x:row>
    <x:row r="196">
      <x:c r="A196" s="170" t="str">
        <x:f>IF(ROWS($A$5:A196)&lt;=COUNTA('Raw Decommissioning'!$B$2:$B$1000),INDEX('Raw Decommissioning'!$B$2:$B$1000,ROWS($A$5:A196)),IF(ROWS($A$5:A196)-COUNTA('Raw Decommissioning'!$B$2:$B$1000)&lt;=COUNTA('Raw Provisioning'!$B$2:$B$1000),INDEX('Raw Provisioning'!$B$2:$B$1000,ROWS($A$5:A196)-COUNTA('Raw Decommissioning'!$B$2:$B$1000)),""))</x:f>
        <x:v>CSSP10420125</x:v>
      </x:c>
      <x:c r="B196" s="170" t="str">
        <x:f>IF(A196="","",IF(ROWS($A$5:A196)&lt;=COUNTA('Raw Decommissioning'!$B$2:$B$1000),"Decommissioning","Provisioning"))</x:f>
        <x:v>Decommissioning</x:v>
      </x:c>
      <x:c r="C196" s="170" t="str">
        <x:f>IF(A196="","",IF(B196="Decommissioning",IFERROR(INDEX('Raw Decommissioning'!$E$2:$E$1000,MATCH(A196,'Raw Decommissioning'!$B$2:$B$1000,0)),"Missing from latest raw"),IFERROR(INDEX('Raw Provisioning'!$E$2:$E$1000,MATCH(A196,'Raw Provisioning'!$B$2:$B$1000,0)),"Missing from latest raw")))</x:f>
        <x:v>executing</x:v>
      </x:c>
      <x:c r="D196" s="171" t="n">
        <x:f>IF(A196="","",'Refresh Control'!$B$4)</x:f>
        <x:v>46254</x:v>
      </x:c>
      <x:c r="E196" s="171" t="n">
        <x:f>IF(A196="","",IF(B196="Decommissioning",INDEX('Raw Decommissioning'!$F$2:$F$1000,ROWS($A$5:A196)),INDEX('Raw Provisioning'!$F$2:$F$1000,ROWS($A$5:A196)-COUNTA('Raw Decommissioning'!$B$2:$B$1000))))</x:f>
        <x:v>46154.10718013889</x:v>
      </x:c>
      <x:c r="F196" s="171" t="n">
        <x:f>IF(A196="","",IF(B196="Decommissioning",INDEX('Raw Decommissioning'!$G$2:$G$1000,ROWS($A$5:A196)),INDEX('Raw Provisioning'!$H$2:$H$1000,ROWS($A$5:A196)-COUNTA('Raw Decommissioning'!$B$2:$B$1000))))</x:f>
        <x:v>46237.27009903935</x:v>
      </x:c>
      <x:c r="G196" s="170" t="str">
        <x:f>IF(A196="","",IF(B196="Decommissioning",INDEX('Raw Decommissioning'!$I$2:$I$1000,ROWS($A$5:A196)),INDEX('Raw Provisioning'!$J$2:$J$1000,ROWS($A$5:A196)-COUNTA('Raw Decommissioning'!$B$2:$B$1000))))</x:f>
        <x:v>PIVOT Predict RT</x:v>
      </x:c>
      <x:c r="H196" s="170" t="str">
        <x:f>IF(A196="","",IF(B196="Decommissioning",INDEX('Raw Decommissioning'!$J$2:$J$1000,ROWS($A$5:A196)),INDEX('Raw Provisioning'!$L$2:$L$1000,ROWS($A$5:A196)-COUNTA('Raw Decommissioning'!$B$2:$B$1000))))</x:f>
        <x:v>OSR00154: Support and Maintenance for PIVOT Program for Group Digital – CAPEX – PIVOT Predict RT</x:v>
      </x:c>
      <x:c r="I196" s="170" t="str">
        <x:f>IF(A196="","",IF(B196="Decommissioning",INDEX('Raw Decommissioning'!$AL$2:$AL$1000,ROWS($A$5:A196)),INDEX('Raw Provisioning'!$R$2:$R$1000,ROWS($A$5:A196)-COUNTA('Raw Decommissioning'!$B$2:$B$1000))))</x:f>
        <x:v>M</x:v>
      </x:c>
      <x:c r="J196" s="170" t="str">
        <x:f>IF(A196="","",IF(B196="Decommissioning",INDEX('Raw Decommissioning'!$AG$2:$AG$1000,ROWS($A$5:A196)),INDEX('Raw Provisioning'!$AI$2:$AI$1000,ROWS($A$5:A196)-COUNTA('Raw Decommissioning'!$B$2:$B$1000))))</x:f>
        <x:v>swaminadh.chirakala@petronas.com</x:v>
      </x:c>
      <x:c r="K196" s="172" t="str">
        <x:f>IF(A196="","",IFERROR(LOOKUP(2,1/('Assignment History'!$B$5:$B$204=A196),'Assignment History'!$D$5:$D$204),IFERROR(VLOOKUP(J196,Configuration!$L$5:$M$50,2,FALSE),J196)))</x:f>
        <x:v>swaminadh.chirakala@petronas.com</x:v>
      </x:c>
      <x:c r="L196" s="172" t="str">
        <x:f>IF(A196="","",IF(K196=IFERROR(VLOOKUP(J196,Configuration!$L$5:$M$50,2,FALSE),J196),"Snapshot PIC","Replacement PIC"))</x:f>
        <x:v>Snapshot PIC</x:v>
      </x:c>
      <x:c r="M196" s="172" t="n">
        <x:f>IF(A196="","",IFERROR(VLOOKUP(I196,Configuration!$O$5:$P$8,2,FALSE),Configuration!$S$6))</x:f>
        <x:v>2</x:v>
      </x:c>
      <x:c r="N196" s="172" t="str">
        <x:f>IF(A196="","",IFERROR(LOOKUP(2,1/('Scope Review'!$B$5:$B$204=A196),'Scope Review'!$G$5:$G$204),"Not Reviewed"))</x:f>
        <x:v>Not Reviewed</x:v>
      </x:c>
      <x:c r="O196" s="172" t="str">
        <x:f>IF(A196="","",IFERROR(LOOKUP(2,1/('Scope Review'!$B$5:$B$204=A196),'Scope Review'!$H$5:$H$204),""))</x:f>
      </x:c>
      <x:c r="P196" s="172" t="n">
        <x:f>IF(A196="","",IF(AND(C196="executing",N196&lt;&gt;"Confirmed OOS"),M196,0))</x:f>
        <x:v>2</x:v>
      </x:c>
      <x:c r="Q196" s="173" t="n">
        <x:f>IF(A196="","",IFERROR(LOOKUP(2,1/('Engineer Updates'!$B$5:$B$704=A196),'Engineer Updates'!$A$5:$A$704),""))</x:f>
        <x:v>46251</x:v>
      </x:c>
      <x:c r="R196" s="172" t="str">
        <x:f>IF(A196="","",IFERROR(LOOKUP(2,1/('Engineer Updates'!$B$5:$B$704=A196),'Engineer Updates'!$H$5:$H$704),""))</x:f>
        <x:v>Not Started</x:v>
      </x:c>
      <x:c r="S196" s="172" t="str">
        <x:f>IF(A196="","",IFERROR(LOOKUP(2,1/('Engineer Updates'!$B$5:$B$704=A196),'Engineer Updates'!$G$5:$G$704),""))</x:f>
      </x:c>
      <x:c r="T196" s="172" t="str">
        <x:f>IF(A196="","",IFERROR(LOOKUP(2,1/('Engineer Updates'!$B$5:$B$704=A196),'Engineer Updates'!$I$5:$I$704),""))</x:f>
      </x:c>
      <x:c r="U196" s="172" t="str">
        <x:f>IF(A196="","",IFERROR(LOOKUP(2,1/('Engineer Updates'!$B$5:$B$704=A196),'Engineer Updates'!$J$5:$J$704),""))</x:f>
      </x:c>
      <x:c r="V196" s="172" t="str">
        <x:f>IF(A196="","",IFERROR(LOOKUP(2,1/('Engineer Updates'!$B$5:$B$704=A196),'Engineer Updates'!$K$5:$K$704),""))</x:f>
      </x:c>
      <x:c r="W196" s="174" t="str">
        <x:f>IF(A196="","",IFERROR(LOOKUP(2,1/('Engineer Updates'!$B$5:$B$704=A196),'Engineer Updates'!$L$5:$L$704),""))</x:f>
      </x:c>
      <x:c r="X196" s="170" t="str">
        <x:f>IF(A196="","",IF(C196="completed","Completed in CSSP",IF(AND(C196="executing",ISERROR(SEARCH("@",K196))),"Executing without named engineer",IF(AND(N196="Confirmed OOS",C196="executing"),"Confirmed OOS still executing",""))))</x:f>
      </x:c>
      <x:c r="Y196" s="170" t="str">
        <x:f>IF(A196="","",IF(B196="Decommissioning","Raw Decommissioning","Raw Provisioning"))</x:f>
        <x:v>Raw Decommissioning</x:v>
      </x:c>
      <x:c r="Z196" s="170" t="str">
        <x:f>IF(A196="","",IF(OR(C196="executing",C196="processing"),"Yes","No"))</x:f>
        <x:v>Yes</x:v>
      </x:c>
    </x:row>
    <x:row r="197">
      <x:c r="A197" s="170" t="str">
        <x:f>IF(ROWS($A$5:A197)&lt;=COUNTA('Raw Decommissioning'!$B$2:$B$1000),INDEX('Raw Decommissioning'!$B$2:$B$1000,ROWS($A$5:A197)),IF(ROWS($A$5:A197)-COUNTA('Raw Decommissioning'!$B$2:$B$1000)&lt;=COUNTA('Raw Provisioning'!$B$2:$B$1000),INDEX('Raw Provisioning'!$B$2:$B$1000,ROWS($A$5:A197)-COUNTA('Raw Decommissioning'!$B$2:$B$1000)),""))</x:f>
        <x:v>CSSP10179613</x:v>
      </x:c>
      <x:c r="B197" s="170" t="str">
        <x:f>IF(A197="","",IF(ROWS($A$5:A197)&lt;=COUNTA('Raw Decommissioning'!$B$2:$B$1000),"Decommissioning","Provisioning"))</x:f>
        <x:v>Decommissioning</x:v>
      </x:c>
      <x:c r="C197" s="170" t="str">
        <x:f>IF(A197="","",IF(B197="Decommissioning",IFERROR(INDEX('Raw Decommissioning'!$E$2:$E$1000,MATCH(A197,'Raw Decommissioning'!$B$2:$B$1000,0)),"Missing from latest raw"),IFERROR(INDEX('Raw Provisioning'!$E$2:$E$1000,MATCH(A197,'Raw Provisioning'!$B$2:$B$1000,0)),"Missing from latest raw")))</x:f>
        <x:v>completed</x:v>
      </x:c>
      <x:c r="D197" s="171" t="n">
        <x:f>IF(A197="","",'Refresh Control'!$B$4)</x:f>
        <x:v>46254</x:v>
      </x:c>
      <x:c r="E197" s="171" t="n">
        <x:f>IF(A197="","",IF(B197="Decommissioning",INDEX('Raw Decommissioning'!$F$2:$F$1000,ROWS($A$5:A197)),INDEX('Raw Provisioning'!$F$2:$F$1000,ROWS($A$5:A197)-COUNTA('Raw Decommissioning'!$B$2:$B$1000))))</x:f>
        <x:v>46154.130463217596</x:v>
      </x:c>
      <x:c r="F197" s="171" t="n">
        <x:f>IF(A197="","",IF(B197="Decommissioning",INDEX('Raw Decommissioning'!$G$2:$G$1000,ROWS($A$5:A197)),INDEX('Raw Provisioning'!$H$2:$H$1000,ROWS($A$5:A197)-COUNTA('Raw Decommissioning'!$B$2:$B$1000))))</x:f>
        <x:v>46209.08926409722</x:v>
      </x:c>
      <x:c r="G197" s="170" t="str">
        <x:f>IF(A197="","",IF(B197="Decommissioning",INDEX('Raw Decommissioning'!$I$2:$I$1000,ROWS($A$5:A197)),INDEX('Raw Provisioning'!$J$2:$J$1000,ROWS($A$5:A197)-COUNTA('Raw Decommissioning'!$B$2:$B$1000))))</x:f>
        <x:v>Integrated Computing and Security - ICS MRCSB</x:v>
      </x:c>
      <x:c r="H197" s="170" t="str">
        <x:f>IF(A197="","",IF(B197="Decommissioning",INDEX('Raw Decommissioning'!$J$2:$J$1000,ROWS($A$5:A197)),INDEX('Raw Provisioning'!$L$2:$L$1000,ROWS($A$5:A197)-COUNTA('Raw Decommissioning'!$B$2:$B$1000))))</x:f>
        <x:v>OCI MIGRATION - ICSPROD: ACS Time Attendance System, HeadCount System, HSE Training Management System (HTMS), MANTRACKS, Meeting Room Booking System, Occupational Health Management System (OHMS)</x:v>
      </x:c>
      <x:c r="I197" s="170" t="str">
        <x:f>IF(A197="","",IF(B197="Decommissioning",INDEX('Raw Decommissioning'!$AL$2:$AL$1000,ROWS($A$5:A197)),INDEX('Raw Provisioning'!$R$2:$R$1000,ROWS($A$5:A197)-COUNTA('Raw Decommissioning'!$B$2:$B$1000))))</x:f>
        <x:v>M</x:v>
      </x:c>
      <x:c r="J197" s="170" t="str">
        <x:f>IF(A197="","",IF(B197="Decommissioning",INDEX('Raw Decommissioning'!$AG$2:$AG$1000,ROWS($A$5:A197)),INDEX('Raw Provisioning'!$AI$2:$AI$1000,ROWS($A$5:A197)-COUNTA('Raw Decommissioning'!$B$2:$B$1000))))</x:f>
        <x:v>azlisham.md@petronas.com</x:v>
      </x:c>
      <x:c r="K197" s="172" t="str">
        <x:f>IF(A197="","",IFERROR(LOOKUP(2,1/('Assignment History'!$B$5:$B$204=A197),'Assignment History'!$D$5:$D$204),IFERROR(VLOOKUP(J197,Configuration!$L$5:$M$50,2,FALSE),J197)))</x:f>
        <x:v>azlisham.md@petronas.com</x:v>
      </x:c>
      <x:c r="L197" s="172" t="str">
        <x:f>IF(A197="","",IF(K197=IFERROR(VLOOKUP(J197,Configuration!$L$5:$M$50,2,FALSE),J197),"Snapshot PIC","Replacement PIC"))</x:f>
        <x:v>Snapshot PIC</x:v>
      </x:c>
      <x:c r="M197" s="172" t="n">
        <x:f>IF(A197="","",IFERROR(VLOOKUP(I197,Configuration!$O$5:$P$8,2,FALSE),Configuration!$S$6))</x:f>
        <x:v>2</x:v>
      </x:c>
      <x:c r="N197" s="172" t="str">
        <x:f>IF(A197="","",IFERROR(LOOKUP(2,1/('Scope Review'!$B$5:$B$204=A197),'Scope Review'!$G$5:$G$204),"Not Reviewed"))</x:f>
        <x:v>Not Reviewed</x:v>
      </x:c>
      <x:c r="O197" s="172" t="str">
        <x:f>IF(A197="","",IFERROR(LOOKUP(2,1/('Scope Review'!$B$5:$B$204=A197),'Scope Review'!$H$5:$H$204),""))</x:f>
      </x:c>
      <x:c r="P197" s="172" t="n">
        <x:f>IF(A197="","",IF(AND(C197="executing",N197&lt;&gt;"Confirmed OOS"),M197,0))</x:f>
        <x:v>0</x:v>
      </x:c>
      <x:c r="Q197" s="173" t="str">
        <x:f>IF(A197="","",IFERROR(LOOKUP(2,1/('Engineer Updates'!$B$5:$B$704=A197),'Engineer Updates'!$A$5:$A$704),""))</x:f>
      </x:c>
      <x:c r="R197" s="172" t="str">
        <x:f>IF(A197="","",IFERROR(LOOKUP(2,1/('Engineer Updates'!$B$5:$B$704=A197),'Engineer Updates'!$H$5:$H$704),""))</x:f>
      </x:c>
      <x:c r="S197" s="172" t="str">
        <x:f>IF(A197="","",IFERROR(LOOKUP(2,1/('Engineer Updates'!$B$5:$B$704=A197),'Engineer Updates'!$G$5:$G$704),""))</x:f>
      </x:c>
      <x:c r="T197" s="172" t="str">
        <x:f>IF(A197="","",IFERROR(LOOKUP(2,1/('Engineer Updates'!$B$5:$B$704=A197),'Engineer Updates'!$I$5:$I$704),""))</x:f>
      </x:c>
      <x:c r="U197" s="172" t="str">
        <x:f>IF(A197="","",IFERROR(LOOKUP(2,1/('Engineer Updates'!$B$5:$B$704=A197),'Engineer Updates'!$J$5:$J$704),""))</x:f>
      </x:c>
      <x:c r="V197" s="172" t="str">
        <x:f>IF(A197="","",IFERROR(LOOKUP(2,1/('Engineer Updates'!$B$5:$B$704=A197),'Engineer Updates'!$K$5:$K$704),""))</x:f>
      </x:c>
      <x:c r="W197" s="174" t="str">
        <x:f>IF(A197="","",IFERROR(LOOKUP(2,1/('Engineer Updates'!$B$5:$B$704=A197),'Engineer Updates'!$L$5:$L$704),""))</x:f>
      </x:c>
      <x:c r="X197" s="170" t="str">
        <x:f>IF(A197="","",IF(C197="completed","Completed in CSSP",IF(AND(C197="executing",ISERROR(SEARCH("@",K197))),"Executing without named engineer",IF(AND(N197="Confirmed OOS",C197="executing"),"Confirmed OOS still executing",""))))</x:f>
        <x:v>Completed in CSSP</x:v>
      </x:c>
      <x:c r="Y197" s="170" t="str">
        <x:f>IF(A197="","",IF(B197="Decommissioning","Raw Decommissioning","Raw Provisioning"))</x:f>
        <x:v>Raw Decommissioning</x:v>
      </x:c>
      <x:c r="Z197" s="170" t="str">
        <x:f>IF(A197="","",IF(OR(C197="executing",C197="processing"),"Yes","No"))</x:f>
        <x:v>No</x:v>
      </x:c>
    </x:row>
    <x:row r="198">
      <x:c r="A198" s="170" t="str">
        <x:f>IF(ROWS($A$5:A198)&lt;=COUNTA('Raw Decommissioning'!$B$2:$B$1000),INDEX('Raw Decommissioning'!$B$2:$B$1000,ROWS($A$5:A198)),IF(ROWS($A$5:A198)-COUNTA('Raw Decommissioning'!$B$2:$B$1000)&lt;=COUNTA('Raw Provisioning'!$B$2:$B$1000),INDEX('Raw Provisioning'!$B$2:$B$1000,ROWS($A$5:A198)-COUNTA('Raw Decommissioning'!$B$2:$B$1000)),""))</x:f>
        <x:v>CSSP10587615</x:v>
      </x:c>
      <x:c r="B198" s="170" t="str">
        <x:f>IF(A198="","",IF(ROWS($A$5:A198)&lt;=COUNTA('Raw Decommissioning'!$B$2:$B$1000),"Decommissioning","Provisioning"))</x:f>
        <x:v>Decommissioning</x:v>
      </x:c>
      <x:c r="C198" s="170" t="str">
        <x:f>IF(A198="","",IF(B198="Decommissioning",IFERROR(INDEX('Raw Decommissioning'!$E$2:$E$1000,MATCH(A198,'Raw Decommissioning'!$B$2:$B$1000,0)),"Missing from latest raw"),IFERROR(INDEX('Raw Provisioning'!$E$2:$E$1000,MATCH(A198,'Raw Provisioning'!$B$2:$B$1000,0)),"Missing from latest raw")))</x:f>
        <x:v>completed</x:v>
      </x:c>
      <x:c r="D198" s="171" t="n">
        <x:f>IF(A198="","",'Refresh Control'!$B$4)</x:f>
        <x:v>46254</x:v>
      </x:c>
      <x:c r="E198" s="171" t="n">
        <x:f>IF(A198="","",IF(B198="Decommissioning",INDEX('Raw Decommissioning'!$F$2:$F$1000,ROWS($A$5:A198)),INDEX('Raw Provisioning'!$F$2:$F$1000,ROWS($A$5:A198)-COUNTA('Raw Decommissioning'!$B$2:$B$1000))))</x:f>
        <x:v>46154.131949490744</x:v>
      </x:c>
      <x:c r="F198" s="171" t="n">
        <x:f>IF(A198="","",IF(B198="Decommissioning",INDEX('Raw Decommissioning'!$G$2:$G$1000,ROWS($A$5:A198)),INDEX('Raw Provisioning'!$H$2:$H$1000,ROWS($A$5:A198)-COUNTA('Raw Decommissioning'!$B$2:$B$1000))))</x:f>
        <x:v>46204.35559331018</x:v>
      </x:c>
      <x:c r="G198" s="170" t="str">
        <x:f>IF(A198="","",IF(B198="Decommissioning",INDEX('Raw Decommissioning'!$I$2:$I$1000,ROWS($A$5:A198)),INDEX('Raw Provisioning'!$J$2:$J$1000,ROWS($A$5:A198)-COUNTA('Raw Decommissioning'!$B$2:$B$1000))))</x:f>
        <x:v>Integrated Computing and Security - ICS MRCSB</x:v>
      </x:c>
      <x:c r="H198" s="170" t="str">
        <x:f>IF(A198="","",IF(B198="Decommissioning",INDEX('Raw Decommissioning'!$J$2:$J$1000,ROWS($A$5:A198)),INDEX('Raw Provisioning'!$L$2:$L$1000,ROWS($A$5:A198)-COUNTA('Raw Decommissioning'!$B$2:$B$1000))))</x:f>
        <x:v>OCI MIGRATION - ACS Time Attendance System, HeadCount System, HSE Training Management System (HTMS), MANTRACKS, Meeting Room Booking System, Occupational Health Management System (OHMS)</x:v>
      </x:c>
      <x:c r="I198" s="170" t="str">
        <x:f>IF(A198="","",IF(B198="Decommissioning",INDEX('Raw Decommissioning'!$AL$2:$AL$1000,ROWS($A$5:A198)),INDEX('Raw Provisioning'!$R$2:$R$1000,ROWS($A$5:A198)-COUNTA('Raw Decommissioning'!$B$2:$B$1000))))</x:f>
        <x:v>M</x:v>
      </x:c>
      <x:c r="J198" s="170" t="str">
        <x:f>IF(A198="","",IF(B198="Decommissioning",INDEX('Raw Decommissioning'!$AG$2:$AG$1000,ROWS($A$5:A198)),INDEX('Raw Provisioning'!$AI$2:$AI$1000,ROWS($A$5:A198)-COUNTA('Raw Decommissioning'!$B$2:$B$1000))))</x:f>
        <x:v>azlisham.md@petronas.com</x:v>
      </x:c>
      <x:c r="K198" s="172" t="str">
        <x:f>IF(A198="","",IFERROR(LOOKUP(2,1/('Assignment History'!$B$5:$B$204=A198),'Assignment History'!$D$5:$D$204),IFERROR(VLOOKUP(J198,Configuration!$L$5:$M$50,2,FALSE),J198)))</x:f>
        <x:v>azlisham.md@petronas.com</x:v>
      </x:c>
      <x:c r="L198" s="172" t="str">
        <x:f>IF(A198="","",IF(K198=IFERROR(VLOOKUP(J198,Configuration!$L$5:$M$50,2,FALSE),J198),"Snapshot PIC","Replacement PIC"))</x:f>
        <x:v>Snapshot PIC</x:v>
      </x:c>
      <x:c r="M198" s="172" t="n">
        <x:f>IF(A198="","",IFERROR(VLOOKUP(I198,Configuration!$O$5:$P$8,2,FALSE),Configuration!$S$6))</x:f>
        <x:v>2</x:v>
      </x:c>
      <x:c r="N198" s="172" t="str">
        <x:f>IF(A198="","",IFERROR(LOOKUP(2,1/('Scope Review'!$B$5:$B$204=A198),'Scope Review'!$G$5:$G$204),"Not Reviewed"))</x:f>
        <x:v>Not Reviewed</x:v>
      </x:c>
      <x:c r="O198" s="172" t="str">
        <x:f>IF(A198="","",IFERROR(LOOKUP(2,1/('Scope Review'!$B$5:$B$204=A198),'Scope Review'!$H$5:$H$204),""))</x:f>
      </x:c>
      <x:c r="P198" s="172" t="n">
        <x:f>IF(A198="","",IF(AND(C198="executing",N198&lt;&gt;"Confirmed OOS"),M198,0))</x:f>
        <x:v>0</x:v>
      </x:c>
      <x:c r="Q198" s="173" t="str">
        <x:f>IF(A198="","",IFERROR(LOOKUP(2,1/('Engineer Updates'!$B$5:$B$704=A198),'Engineer Updates'!$A$5:$A$704),""))</x:f>
      </x:c>
      <x:c r="R198" s="172" t="str">
        <x:f>IF(A198="","",IFERROR(LOOKUP(2,1/('Engineer Updates'!$B$5:$B$704=A198),'Engineer Updates'!$H$5:$H$704),""))</x:f>
      </x:c>
      <x:c r="S198" s="172" t="str">
        <x:f>IF(A198="","",IFERROR(LOOKUP(2,1/('Engineer Updates'!$B$5:$B$704=A198),'Engineer Updates'!$G$5:$G$704),""))</x:f>
      </x:c>
      <x:c r="T198" s="172" t="str">
        <x:f>IF(A198="","",IFERROR(LOOKUP(2,1/('Engineer Updates'!$B$5:$B$704=A198),'Engineer Updates'!$I$5:$I$704),""))</x:f>
      </x:c>
      <x:c r="U198" s="172" t="str">
        <x:f>IF(A198="","",IFERROR(LOOKUP(2,1/('Engineer Updates'!$B$5:$B$704=A198),'Engineer Updates'!$J$5:$J$704),""))</x:f>
      </x:c>
      <x:c r="V198" s="172" t="str">
        <x:f>IF(A198="","",IFERROR(LOOKUP(2,1/('Engineer Updates'!$B$5:$B$704=A198),'Engineer Updates'!$K$5:$K$704),""))</x:f>
      </x:c>
      <x:c r="W198" s="174" t="str">
        <x:f>IF(A198="","",IFERROR(LOOKUP(2,1/('Engineer Updates'!$B$5:$B$704=A198),'Engineer Updates'!$L$5:$L$704),""))</x:f>
      </x:c>
      <x:c r="X198" s="170" t="str">
        <x:f>IF(A198="","",IF(C198="completed","Completed in CSSP",IF(AND(C198="executing",ISERROR(SEARCH("@",K198))),"Executing without named engineer",IF(AND(N198="Confirmed OOS",C198="executing"),"Confirmed OOS still executing",""))))</x:f>
        <x:v>Completed in CSSP</x:v>
      </x:c>
      <x:c r="Y198" s="170" t="str">
        <x:f>IF(A198="","",IF(B198="Decommissioning","Raw Decommissioning","Raw Provisioning"))</x:f>
        <x:v>Raw Decommissioning</x:v>
      </x:c>
      <x:c r="Z198" s="170" t="str">
        <x:f>IF(A198="","",IF(OR(C198="executing",C198="processing"),"Yes","No"))</x:f>
        <x:v>No</x:v>
      </x:c>
    </x:row>
    <x:row r="199">
      <x:c r="A199" s="170" t="str">
        <x:f>IF(ROWS($A$5:A199)&lt;=COUNTA('Raw Decommissioning'!$B$2:$B$1000),INDEX('Raw Decommissioning'!$B$2:$B$1000,ROWS($A$5:A199)),IF(ROWS($A$5:A199)-COUNTA('Raw Decommissioning'!$B$2:$B$1000)&lt;=COUNTA('Raw Provisioning'!$B$2:$B$1000),INDEX('Raw Provisioning'!$B$2:$B$1000,ROWS($A$5:A199)-COUNTA('Raw Decommissioning'!$B$2:$B$1000)),""))</x:f>
        <x:v>CSSP10257750</x:v>
      </x:c>
      <x:c r="B199" s="170" t="str">
        <x:f>IF(A199="","",IF(ROWS($A$5:A199)&lt;=COUNTA('Raw Decommissioning'!$B$2:$B$1000),"Decommissioning","Provisioning"))</x:f>
        <x:v>Decommissioning</x:v>
      </x:c>
      <x:c r="C199" s="170" t="str">
        <x:f>IF(A199="","",IF(B199="Decommissioning",IFERROR(INDEX('Raw Decommissioning'!$E$2:$E$1000,MATCH(A199,'Raw Decommissioning'!$B$2:$B$1000,0)),"Missing from latest raw"),IFERROR(INDEX('Raw Provisioning'!$E$2:$E$1000,MATCH(A199,'Raw Provisioning'!$B$2:$B$1000,0)),"Missing from latest raw")))</x:f>
        <x:v>completed</x:v>
      </x:c>
      <x:c r="D199" s="171" t="n">
        <x:f>IF(A199="","",'Refresh Control'!$B$4)</x:f>
        <x:v>46254</x:v>
      </x:c>
      <x:c r="E199" s="171" t="n">
        <x:f>IF(A199="","",IF(B199="Decommissioning",INDEX('Raw Decommissioning'!$F$2:$F$1000,ROWS($A$5:A199)),INDEX('Raw Provisioning'!$F$2:$F$1000,ROWS($A$5:A199)-COUNTA('Raw Decommissioning'!$B$2:$B$1000))))</x:f>
        <x:v>46154.33913465278</x:v>
      </x:c>
      <x:c r="F199" s="171" t="n">
        <x:f>IF(A199="","",IF(B199="Decommissioning",INDEX('Raw Decommissioning'!$G$2:$G$1000,ROWS($A$5:A199)),INDEX('Raw Provisioning'!$H$2:$H$1000,ROWS($A$5:A199)-COUNTA('Raw Decommissioning'!$B$2:$B$1000))))</x:f>
        <x:v>46203.37496537037</x:v>
      </x:c>
      <x:c r="G199" s="170" t="str">
        <x:f>IF(A199="","",IF(B199="Decommissioning",INDEX('Raw Decommissioning'!$I$2:$I$1000,ROWS($A$5:A199)),INDEX('Raw Provisioning'!$J$2:$J$1000,ROWS($A$5:A199)-COUNTA('Raw Decommissioning'!$B$2:$B$1000))))</x:f>
        <x:v>Offshore/Onshore Safety Integrated System - OSIS</x:v>
      </x:c>
      <x:c r="H199" s="170" t="str">
        <x:f>IF(A199="","",IF(B199="Decommissioning",INDEX('Raw Decommissioning'!$J$2:$J$1000,ROWS($A$5:A199)),INDEX('Raw Provisioning'!$L$2:$L$1000,ROWS($A$5:A199)-COUNTA('Raw Decommissioning'!$B$2:$B$1000))))</x:f>
        <x:v>Development of Offshore/Onshore Safety Integrated System (OSIS) for Upstream HSE</x:v>
      </x:c>
      <x:c r="I199" s="170" t="str">
        <x:f>IF(A199="","",IF(B199="Decommissioning",INDEX('Raw Decommissioning'!$AL$2:$AL$1000,ROWS($A$5:A199)),INDEX('Raw Provisioning'!$R$2:$R$1000,ROWS($A$5:A199)-COUNTA('Raw Decommissioning'!$B$2:$B$1000))))</x:f>
        <x:v>M</x:v>
      </x:c>
      <x:c r="J199" s="170" t="str">
        <x:f>IF(A199="","",IF(B199="Decommissioning",INDEX('Raw Decommissioning'!$AG$2:$AG$1000,ROWS($A$5:A199)),INDEX('Raw Provisioning'!$AI$2:$AI$1000,ROWS($A$5:A199)-COUNTA('Raw Decommissioning'!$B$2:$B$1000))))</x:f>
        <x:v>azlisham.md@petronas.com</x:v>
      </x:c>
      <x:c r="K199" s="172" t="str">
        <x:f>IF(A199="","",IFERROR(LOOKUP(2,1/('Assignment History'!$B$5:$B$204=A199),'Assignment History'!$D$5:$D$204),IFERROR(VLOOKUP(J199,Configuration!$L$5:$M$50,2,FALSE),J199)))</x:f>
        <x:v>azlisham.md@petronas.com</x:v>
      </x:c>
      <x:c r="L199" s="172" t="str">
        <x:f>IF(A199="","",IF(K199=IFERROR(VLOOKUP(J199,Configuration!$L$5:$M$50,2,FALSE),J199),"Snapshot PIC","Replacement PIC"))</x:f>
        <x:v>Snapshot PIC</x:v>
      </x:c>
      <x:c r="M199" s="172" t="n">
        <x:f>IF(A199="","",IFERROR(VLOOKUP(I199,Configuration!$O$5:$P$8,2,FALSE),Configuration!$S$6))</x:f>
        <x:v>2</x:v>
      </x:c>
      <x:c r="N199" s="172" t="str">
        <x:f>IF(A199="","",IFERROR(LOOKUP(2,1/('Scope Review'!$B$5:$B$204=A199),'Scope Review'!$G$5:$G$204),"Not Reviewed"))</x:f>
        <x:v>Not Reviewed</x:v>
      </x:c>
      <x:c r="O199" s="172" t="str">
        <x:f>IF(A199="","",IFERROR(LOOKUP(2,1/('Scope Review'!$B$5:$B$204=A199),'Scope Review'!$H$5:$H$204),""))</x:f>
      </x:c>
      <x:c r="P199" s="172" t="n">
        <x:f>IF(A199="","",IF(AND(C199="executing",N199&lt;&gt;"Confirmed OOS"),M199,0))</x:f>
        <x:v>0</x:v>
      </x:c>
      <x:c r="Q199" s="173" t="str">
        <x:f>IF(A199="","",IFERROR(LOOKUP(2,1/('Engineer Updates'!$B$5:$B$704=A199),'Engineer Updates'!$A$5:$A$704),""))</x:f>
      </x:c>
      <x:c r="R199" s="172" t="str">
        <x:f>IF(A199="","",IFERROR(LOOKUP(2,1/('Engineer Updates'!$B$5:$B$704=A199),'Engineer Updates'!$H$5:$H$704),""))</x:f>
      </x:c>
      <x:c r="S199" s="172" t="str">
        <x:f>IF(A199="","",IFERROR(LOOKUP(2,1/('Engineer Updates'!$B$5:$B$704=A199),'Engineer Updates'!$G$5:$G$704),""))</x:f>
      </x:c>
      <x:c r="T199" s="172" t="str">
        <x:f>IF(A199="","",IFERROR(LOOKUP(2,1/('Engineer Updates'!$B$5:$B$704=A199),'Engineer Updates'!$I$5:$I$704),""))</x:f>
      </x:c>
      <x:c r="U199" s="172" t="str">
        <x:f>IF(A199="","",IFERROR(LOOKUP(2,1/('Engineer Updates'!$B$5:$B$704=A199),'Engineer Updates'!$J$5:$J$704),""))</x:f>
      </x:c>
      <x:c r="V199" s="172" t="str">
        <x:f>IF(A199="","",IFERROR(LOOKUP(2,1/('Engineer Updates'!$B$5:$B$704=A199),'Engineer Updates'!$K$5:$K$704),""))</x:f>
      </x:c>
      <x:c r="W199" s="174" t="str">
        <x:f>IF(A199="","",IFERROR(LOOKUP(2,1/('Engineer Updates'!$B$5:$B$704=A199),'Engineer Updates'!$L$5:$L$704),""))</x:f>
      </x:c>
      <x:c r="X199" s="170" t="str">
        <x:f>IF(A199="","",IF(C199="completed","Completed in CSSP",IF(AND(C199="executing",ISERROR(SEARCH("@",K199))),"Executing without named engineer",IF(AND(N199="Confirmed OOS",C199="executing"),"Confirmed OOS still executing",""))))</x:f>
        <x:v>Completed in CSSP</x:v>
      </x:c>
      <x:c r="Y199" s="170" t="str">
        <x:f>IF(A199="","",IF(B199="Decommissioning","Raw Decommissioning","Raw Provisioning"))</x:f>
        <x:v>Raw Decommissioning</x:v>
      </x:c>
      <x:c r="Z199" s="170" t="str">
        <x:f>IF(A199="","",IF(OR(C199="executing",C199="processing"),"Yes","No"))</x:f>
        <x:v>No</x:v>
      </x:c>
    </x:row>
    <x:row r="200">
      <x:c r="A200" s="170" t="str">
        <x:f>IF(ROWS($A$5:A200)&lt;=COUNTA('Raw Decommissioning'!$B$2:$B$1000),INDEX('Raw Decommissioning'!$B$2:$B$1000,ROWS($A$5:A200)),IF(ROWS($A$5:A200)-COUNTA('Raw Decommissioning'!$B$2:$B$1000)&lt;=COUNTA('Raw Provisioning'!$B$2:$B$1000),INDEX('Raw Provisioning'!$B$2:$B$1000,ROWS($A$5:A200)-COUNTA('Raw Decommissioning'!$B$2:$B$1000)),""))</x:f>
        <x:v>CSSP10599205</x:v>
      </x:c>
      <x:c r="B200" s="170" t="str">
        <x:f>IF(A200="","",IF(ROWS($A$5:A200)&lt;=COUNTA('Raw Decommissioning'!$B$2:$B$1000),"Decommissioning","Provisioning"))</x:f>
        <x:v>Decommissioning</x:v>
      </x:c>
      <x:c r="C200" s="170" t="str">
        <x:f>IF(A200="","",IF(B200="Decommissioning",IFERROR(INDEX('Raw Decommissioning'!$E$2:$E$1000,MATCH(A200,'Raw Decommissioning'!$B$2:$B$1000,0)),"Missing from latest raw"),IFERROR(INDEX('Raw Provisioning'!$E$2:$E$1000,MATCH(A200,'Raw Provisioning'!$B$2:$B$1000,0)),"Missing from latest raw")))</x:f>
        <x:v>cancelled</x:v>
      </x:c>
      <x:c r="D200" s="171" t="n">
        <x:f>IF(A200="","",'Refresh Control'!$B$4)</x:f>
        <x:v>46254</x:v>
      </x:c>
      <x:c r="E200" s="171" t="n">
        <x:f>IF(A200="","",IF(B200="Decommissioning",INDEX('Raw Decommissioning'!$F$2:$F$1000,ROWS($A$5:A200)),INDEX('Raw Provisioning'!$F$2:$F$1000,ROWS($A$5:A200)-COUNTA('Raw Decommissioning'!$B$2:$B$1000))))</x:f>
        <x:v>46154.37760428241</x:v>
      </x:c>
      <x:c r="F200" s="171" t="n">
        <x:f>IF(A200="","",IF(B200="Decommissioning",INDEX('Raw Decommissioning'!$G$2:$G$1000,ROWS($A$5:A200)),INDEX('Raw Provisioning'!$H$2:$H$1000,ROWS($A$5:A200)-COUNTA('Raw Decommissioning'!$B$2:$B$1000))))</x:f>
        <x:v>46154.48169390046</x:v>
      </x:c>
      <x:c r="G200" s="170" t="str">
        <x:f>IF(A200="","",IF(B200="Decommissioning",INDEX('Raw Decommissioning'!$I$2:$I$1000,ROWS($A$5:A200)),INDEX('Raw Provisioning'!$J$2:$J$1000,ROWS($A$5:A200)-COUNTA('Raw Decommissioning'!$B$2:$B$1000))))</x:f>
        <x:v>Group Legal Workbench and System Integration - Project IDEAL</x:v>
      </x:c>
      <x:c r="H200" s="170" t="str">
        <x:f>IF(A200="","",IF(B200="Decommissioning",INDEX('Raw Decommissioning'!$J$2:$J$1000,ROWS($A$5:A200)),INDEX('Raw Provisioning'!$L$2:$L$1000,ROWS($A$5:A200)-COUNTA('Raw Decommissioning'!$B$2:$B$1000))))</x:f>
        <x:v>Enhancement of Group Legal Workbench and System Integration (Project IDEAL) for Group Legal</x:v>
      </x:c>
      <x:c r="I200" s="170" t="str">
        <x:f>IF(A200="","",IF(B200="Decommissioning",INDEX('Raw Decommissioning'!$AL$2:$AL$1000,ROWS($A$5:A200)),INDEX('Raw Provisioning'!$R$2:$R$1000,ROWS($A$5:A200)-COUNTA('Raw Decommissioning'!$B$2:$B$1000))))</x:f>
      </x:c>
      <x:c r="J200" s="170" t="str">
        <x:f>IF(A200="","",IF(B200="Decommissioning",INDEX('Raw Decommissioning'!$AG$2:$AG$1000,ROWS($A$5:A200)),INDEX('Raw Provisioning'!$AI$2:$AI$1000,ROWS($A$5:A200)-COUNTA('Raw Decommissioning'!$B$2:$B$1000))))</x:f>
        <x:v>CCoE Operations</x:v>
      </x:c>
      <x:c r="K200" s="172" t="str">
        <x:f>IF(A200="","",IFERROR(LOOKUP(2,1/('Assignment History'!$B$5:$B$204=A200),'Assignment History'!$D$5:$D$204),IFERROR(VLOOKUP(J200,Configuration!$L$5:$M$50,2,FALSE),J200)))</x:f>
        <x:v>CCoE Operations</x:v>
      </x:c>
      <x:c r="L200" s="172" t="str">
        <x:f>IF(A200="","",IF(K200=IFERROR(VLOOKUP(J200,Configuration!$L$5:$M$50,2,FALSE),J200),"Snapshot PIC","Replacement PIC"))</x:f>
        <x:v>Snapshot PIC</x:v>
      </x:c>
      <x:c r="M200" s="172" t="n">
        <x:f>IF(A200="","",IFERROR(VLOOKUP(I200,Configuration!$O$5:$P$8,2,FALSE),Configuration!$S$6))</x:f>
        <x:v>2</x:v>
      </x:c>
      <x:c r="N200" s="172" t="str">
        <x:f>IF(A200="","",IFERROR(LOOKUP(2,1/('Scope Review'!$B$5:$B$204=A200),'Scope Review'!$G$5:$G$204),"Not Reviewed"))</x:f>
        <x:v>Not Reviewed</x:v>
      </x:c>
      <x:c r="O200" s="172" t="str">
        <x:f>IF(A200="","",IFERROR(LOOKUP(2,1/('Scope Review'!$B$5:$B$204=A200),'Scope Review'!$H$5:$H$204),""))</x:f>
      </x:c>
      <x:c r="P200" s="172" t="n">
        <x:f>IF(A200="","",IF(AND(C200="executing",N200&lt;&gt;"Confirmed OOS"),M200,0))</x:f>
        <x:v>0</x:v>
      </x:c>
      <x:c r="Q200" s="173" t="str">
        <x:f>IF(A200="","",IFERROR(LOOKUP(2,1/('Engineer Updates'!$B$5:$B$704=A200),'Engineer Updates'!$A$5:$A$704),""))</x:f>
      </x:c>
      <x:c r="R200" s="172" t="str">
        <x:f>IF(A200="","",IFERROR(LOOKUP(2,1/('Engineer Updates'!$B$5:$B$704=A200),'Engineer Updates'!$H$5:$H$704),""))</x:f>
      </x:c>
      <x:c r="S200" s="172" t="str">
        <x:f>IF(A200="","",IFERROR(LOOKUP(2,1/('Engineer Updates'!$B$5:$B$704=A200),'Engineer Updates'!$G$5:$G$704),""))</x:f>
      </x:c>
      <x:c r="T200" s="172" t="str">
        <x:f>IF(A200="","",IFERROR(LOOKUP(2,1/('Engineer Updates'!$B$5:$B$704=A200),'Engineer Updates'!$I$5:$I$704),""))</x:f>
      </x:c>
      <x:c r="U200" s="172" t="str">
        <x:f>IF(A200="","",IFERROR(LOOKUP(2,1/('Engineer Updates'!$B$5:$B$704=A200),'Engineer Updates'!$J$5:$J$704),""))</x:f>
      </x:c>
      <x:c r="V200" s="172" t="str">
        <x:f>IF(A200="","",IFERROR(LOOKUP(2,1/('Engineer Updates'!$B$5:$B$704=A200),'Engineer Updates'!$K$5:$K$704),""))</x:f>
      </x:c>
      <x:c r="W200" s="174" t="str">
        <x:f>IF(A200="","",IFERROR(LOOKUP(2,1/('Engineer Updates'!$B$5:$B$704=A200),'Engineer Updates'!$L$5:$L$704),""))</x:f>
      </x:c>
      <x:c r="X200" s="170" t="str">
        <x:f>IF(A200="","",IF(C200="completed","Completed in CSSP",IF(AND(C200="executing",ISERROR(SEARCH("@",K200))),"Executing without named engineer",IF(AND(N200="Confirmed OOS",C200="executing"),"Confirmed OOS still executing",""))))</x:f>
      </x:c>
      <x:c r="Y200" s="170" t="str">
        <x:f>IF(A200="","",IF(B200="Decommissioning","Raw Decommissioning","Raw Provisioning"))</x:f>
        <x:v>Raw Decommissioning</x:v>
      </x:c>
      <x:c r="Z200" s="170" t="str">
        <x:f>IF(A200="","",IF(OR(C200="executing",C200="processing"),"Yes","No"))</x:f>
        <x:v>No</x:v>
      </x:c>
    </x:row>
    <x:row r="201">
      <x:c r="A201" s="170" t="str">
        <x:f>IF(ROWS($A$5:A201)&lt;=COUNTA('Raw Decommissioning'!$B$2:$B$1000),INDEX('Raw Decommissioning'!$B$2:$B$1000,ROWS($A$5:A201)),IF(ROWS($A$5:A201)-COUNTA('Raw Decommissioning'!$B$2:$B$1000)&lt;=COUNTA('Raw Provisioning'!$B$2:$B$1000),INDEX('Raw Provisioning'!$B$2:$B$1000,ROWS($A$5:A201)-COUNTA('Raw Decommissioning'!$B$2:$B$1000)),""))</x:f>
        <x:v>CSSP10486009</x:v>
      </x:c>
      <x:c r="B201" s="170" t="str">
        <x:f>IF(A201="","",IF(ROWS($A$5:A201)&lt;=COUNTA('Raw Decommissioning'!$B$2:$B$1000),"Decommissioning","Provisioning"))</x:f>
        <x:v>Decommissioning</x:v>
      </x:c>
      <x:c r="C201" s="170" t="str">
        <x:f>IF(A201="","",IF(B201="Decommissioning",IFERROR(INDEX('Raw Decommissioning'!$E$2:$E$1000,MATCH(A201,'Raw Decommissioning'!$B$2:$B$1000,0)),"Missing from latest raw"),IFERROR(INDEX('Raw Provisioning'!$E$2:$E$1000,MATCH(A201,'Raw Provisioning'!$B$2:$B$1000,0)),"Missing from latest raw")))</x:f>
        <x:v>completed</x:v>
      </x:c>
      <x:c r="D201" s="171" t="n">
        <x:f>IF(A201="","",'Refresh Control'!$B$4)</x:f>
        <x:v>46254</x:v>
      </x:c>
      <x:c r="E201" s="171" t="n">
        <x:f>IF(A201="","",IF(B201="Decommissioning",INDEX('Raw Decommissioning'!$F$2:$F$1000,ROWS($A$5:A201)),INDEX('Raw Provisioning'!$F$2:$F$1000,ROWS($A$5:A201)-COUNTA('Raw Decommissioning'!$B$2:$B$1000))))</x:f>
        <x:v>46155.09378915509</x:v>
      </x:c>
      <x:c r="F201" s="171" t="n">
        <x:f>IF(A201="","",IF(B201="Decommissioning",INDEX('Raw Decommissioning'!$G$2:$G$1000,ROWS($A$5:A201)),INDEX('Raw Provisioning'!$H$2:$H$1000,ROWS($A$5:A201)-COUNTA('Raw Decommissioning'!$B$2:$B$1000))))</x:f>
        <x:v>46188.34168075232</x:v>
      </x:c>
      <x:c r="G201" s="170" t="str">
        <x:f>IF(A201="","",IF(B201="Decommissioning",INDEX('Raw Decommissioning'!$I$2:$I$1000,ROWS($A$5:A201)),INDEX('Raw Provisioning'!$J$2:$J$1000,ROWS($A$5:A201)-COUNTA('Raw Decommissioning'!$B$2:$B$1000))))</x:f>
        <x:v>Predictive Rotating Equipment Analytics - PROTEAN</x:v>
      </x:c>
      <x:c r="H201" s="170" t="str">
        <x:f>IF(A201="","",IF(B201="Decommissioning",INDEX('Raw Decommissioning'!$J$2:$J$1000,ROWS($A$5:A201)),INDEX('Raw Provisioning'!$L$2:$L$1000,ROWS($A$5:A201)-COUNTA('Raw Decommissioning'!$B$2:$B$1000))))</x:f>
        <x:v>Implementation of PETRONAS Rotating Equipment Analytics (PROTEAN) at MLNG</x:v>
      </x:c>
      <x:c r="I201" s="170" t="str">
        <x:f>IF(A201="","",IF(B201="Decommissioning",INDEX('Raw Decommissioning'!$AL$2:$AL$1000,ROWS($A$5:A201)),INDEX('Raw Provisioning'!$R$2:$R$1000,ROWS($A$5:A201)-COUNTA('Raw Decommissioning'!$B$2:$B$1000))))</x:f>
        <x:v>M</x:v>
      </x:c>
      <x:c r="J201" s="170" t="str">
        <x:f>IF(A201="","",IF(B201="Decommissioning",INDEX('Raw Decommissioning'!$AG$2:$AG$1000,ROWS($A$5:A201)),INDEX('Raw Provisioning'!$AI$2:$AI$1000,ROWS($A$5:A201)-COUNTA('Raw Decommissioning'!$B$2:$B$1000))))</x:f>
        <x:v>azlisham.md@petronas.com</x:v>
      </x:c>
      <x:c r="K201" s="172" t="str">
        <x:f>IF(A201="","",IFERROR(LOOKUP(2,1/('Assignment History'!$B$5:$B$204=A201),'Assignment History'!$D$5:$D$204),IFERROR(VLOOKUP(J201,Configuration!$L$5:$M$50,2,FALSE),J201)))</x:f>
        <x:v>azlisham.md@petronas.com</x:v>
      </x:c>
      <x:c r="L201" s="172" t="str">
        <x:f>IF(A201="","",IF(K201=IFERROR(VLOOKUP(J201,Configuration!$L$5:$M$50,2,FALSE),J201),"Snapshot PIC","Replacement PIC"))</x:f>
        <x:v>Snapshot PIC</x:v>
      </x:c>
      <x:c r="M201" s="172" t="n">
        <x:f>IF(A201="","",IFERROR(VLOOKUP(I201,Configuration!$O$5:$P$8,2,FALSE),Configuration!$S$6))</x:f>
        <x:v>2</x:v>
      </x:c>
      <x:c r="N201" s="172" t="str">
        <x:f>IF(A201="","",IFERROR(LOOKUP(2,1/('Scope Review'!$B$5:$B$204=A201),'Scope Review'!$G$5:$G$204),"Not Reviewed"))</x:f>
        <x:v>Not Reviewed</x:v>
      </x:c>
      <x:c r="O201" s="172" t="str">
        <x:f>IF(A201="","",IFERROR(LOOKUP(2,1/('Scope Review'!$B$5:$B$204=A201),'Scope Review'!$H$5:$H$204),""))</x:f>
      </x:c>
      <x:c r="P201" s="172" t="n">
        <x:f>IF(A201="","",IF(AND(C201="executing",N201&lt;&gt;"Confirmed OOS"),M201,0))</x:f>
        <x:v>0</x:v>
      </x:c>
      <x:c r="Q201" s="173" t="str">
        <x:f>IF(A201="","",IFERROR(LOOKUP(2,1/('Engineer Updates'!$B$5:$B$704=A201),'Engineer Updates'!$A$5:$A$704),""))</x:f>
      </x:c>
      <x:c r="R201" s="172" t="str">
        <x:f>IF(A201="","",IFERROR(LOOKUP(2,1/('Engineer Updates'!$B$5:$B$704=A201),'Engineer Updates'!$H$5:$H$704),""))</x:f>
      </x:c>
      <x:c r="S201" s="172" t="str">
        <x:f>IF(A201="","",IFERROR(LOOKUP(2,1/('Engineer Updates'!$B$5:$B$704=A201),'Engineer Updates'!$G$5:$G$704),""))</x:f>
      </x:c>
      <x:c r="T201" s="172" t="str">
        <x:f>IF(A201="","",IFERROR(LOOKUP(2,1/('Engineer Updates'!$B$5:$B$704=A201),'Engineer Updates'!$I$5:$I$704),""))</x:f>
      </x:c>
      <x:c r="U201" s="172" t="str">
        <x:f>IF(A201="","",IFERROR(LOOKUP(2,1/('Engineer Updates'!$B$5:$B$704=A201),'Engineer Updates'!$J$5:$J$704),""))</x:f>
      </x:c>
      <x:c r="V201" s="172" t="str">
        <x:f>IF(A201="","",IFERROR(LOOKUP(2,1/('Engineer Updates'!$B$5:$B$704=A201),'Engineer Updates'!$K$5:$K$704),""))</x:f>
      </x:c>
      <x:c r="W201" s="174" t="str">
        <x:f>IF(A201="","",IFERROR(LOOKUP(2,1/('Engineer Updates'!$B$5:$B$704=A201),'Engineer Updates'!$L$5:$L$704),""))</x:f>
      </x:c>
      <x:c r="X201" s="170" t="str">
        <x:f>IF(A201="","",IF(C201="completed","Completed in CSSP",IF(AND(C201="executing",ISERROR(SEARCH("@",K201))),"Executing without named engineer",IF(AND(N201="Confirmed OOS",C201="executing"),"Confirmed OOS still executing",""))))</x:f>
        <x:v>Completed in CSSP</x:v>
      </x:c>
      <x:c r="Y201" s="170" t="str">
        <x:f>IF(A201="","",IF(B201="Decommissioning","Raw Decommissioning","Raw Provisioning"))</x:f>
        <x:v>Raw Decommissioning</x:v>
      </x:c>
      <x:c r="Z201" s="170" t="str">
        <x:f>IF(A201="","",IF(OR(C201="executing",C201="processing"),"Yes","No"))</x:f>
        <x:v>No</x:v>
      </x:c>
    </x:row>
    <x:row r="202">
      <x:c r="A202" s="170" t="str">
        <x:f>IF(ROWS($A$5:A202)&lt;=COUNTA('Raw Decommissioning'!$B$2:$B$1000),INDEX('Raw Decommissioning'!$B$2:$B$1000,ROWS($A$5:A202)),IF(ROWS($A$5:A202)-COUNTA('Raw Decommissioning'!$B$2:$B$1000)&lt;=COUNTA('Raw Provisioning'!$B$2:$B$1000),INDEX('Raw Provisioning'!$B$2:$B$1000,ROWS($A$5:A202)-COUNTA('Raw Decommissioning'!$B$2:$B$1000)),""))</x:f>
        <x:v>CSSP10167128</x:v>
      </x:c>
      <x:c r="B202" s="170" t="str">
        <x:f>IF(A202="","",IF(ROWS($A$5:A202)&lt;=COUNTA('Raw Decommissioning'!$B$2:$B$1000),"Decommissioning","Provisioning"))</x:f>
        <x:v>Decommissioning</x:v>
      </x:c>
      <x:c r="C202" s="170" t="str">
        <x:f>IF(A202="","",IF(B202="Decommissioning",IFERROR(INDEX('Raw Decommissioning'!$E$2:$E$1000,MATCH(A202,'Raw Decommissioning'!$B$2:$B$1000,0)),"Missing from latest raw"),IFERROR(INDEX('Raw Provisioning'!$E$2:$E$1000,MATCH(A202,'Raw Provisioning'!$B$2:$B$1000,0)),"Missing from latest raw")))</x:f>
        <x:v>completed</x:v>
      </x:c>
      <x:c r="D202" s="171" t="n">
        <x:f>IF(A202="","",'Refresh Control'!$B$4)</x:f>
        <x:v>46254</x:v>
      </x:c>
      <x:c r="E202" s="171" t="n">
        <x:f>IF(A202="","",IF(B202="Decommissioning",INDEX('Raw Decommissioning'!$F$2:$F$1000,ROWS($A$5:A202)),INDEX('Raw Provisioning'!$F$2:$F$1000,ROWS($A$5:A202)-COUNTA('Raw Decommissioning'!$B$2:$B$1000))))</x:f>
        <x:v>46155.14079942129</x:v>
      </x:c>
      <x:c r="F202" s="171" t="n">
        <x:f>IF(A202="","",IF(B202="Decommissioning",INDEX('Raw Decommissioning'!$G$2:$G$1000,ROWS($A$5:A202)),INDEX('Raw Provisioning'!$H$2:$H$1000,ROWS($A$5:A202)-COUNTA('Raw Decommissioning'!$B$2:$B$1000))))</x:f>
        <x:v>46184.14050101852</x:v>
      </x:c>
      <x:c r="G202" s="170" t="str">
        <x:f>IF(A202="","",IF(B202="Decommissioning",INDEX('Raw Decommissioning'!$I$2:$I$1000,ROWS($A$5:A202)),INDEX('Raw Provisioning'!$J$2:$J$1000,ROWS($A$5:A202)-COUNTA('Raw Decommissioning'!$B$2:$B$1000))))</x:f>
        <x:v>SiteCore</x:v>
      </x:c>
      <x:c r="H202" s="170" t="str">
        <x:f>IF(A202="","",IF(B202="Decommissioning",INDEX('Raw Decommissioning'!$J$2:$J$1000,ROWS($A$5:A202)),INDEX('Raw Provisioning'!$L$2:$L$1000,ROWS($A$5:A202)-COUNTA('Raw Decommissioning'!$B$2:$B$1000))))</x:f>
        <x:v>Sitecore License Purchase via CSP Marketplace (Marketplace)</x:v>
      </x:c>
      <x:c r="I202" s="170" t="str">
        <x:f>IF(A202="","",IF(B202="Decommissioning",INDEX('Raw Decommissioning'!$AL$2:$AL$1000,ROWS($A$5:A202)),INDEX('Raw Provisioning'!$R$2:$R$1000,ROWS($A$5:A202)-COUNTA('Raw Decommissioning'!$B$2:$B$1000))))</x:f>
        <x:v>S</x:v>
      </x:c>
      <x:c r="J202" s="170" t="str">
        <x:f>IF(A202="","",IF(B202="Decommissioning",INDEX('Raw Decommissioning'!$AG$2:$AG$1000,ROWS($A$5:A202)),INDEX('Raw Provisioning'!$AI$2:$AI$1000,ROWS($A$5:A202)-COUNTA('Raw Decommissioning'!$B$2:$B$1000))))</x:f>
        <x:v>azlisham.md@petronas.com</x:v>
      </x:c>
      <x:c r="K202" s="172" t="str">
        <x:f>IF(A202="","",IFERROR(LOOKUP(2,1/('Assignment History'!$B$5:$B$204=A202),'Assignment History'!$D$5:$D$204),IFERROR(VLOOKUP(J202,Configuration!$L$5:$M$50,2,FALSE),J202)))</x:f>
        <x:v>azlisham.md@petronas.com</x:v>
      </x:c>
      <x:c r="L202" s="172" t="str">
        <x:f>IF(A202="","",IF(K202=IFERROR(VLOOKUP(J202,Configuration!$L$5:$M$50,2,FALSE),J202),"Snapshot PIC","Replacement PIC"))</x:f>
        <x:v>Snapshot PIC</x:v>
      </x:c>
      <x:c r="M202" s="172" t="n">
        <x:f>IF(A202="","",IFERROR(VLOOKUP(I202,Configuration!$O$5:$P$8,2,FALSE),Configuration!$S$6))</x:f>
        <x:v>1</x:v>
      </x:c>
      <x:c r="N202" s="172" t="str">
        <x:f>IF(A202="","",IFERROR(LOOKUP(2,1/('Scope Review'!$B$5:$B$204=A202),'Scope Review'!$G$5:$G$204),"Not Reviewed"))</x:f>
        <x:v>Not Reviewed</x:v>
      </x:c>
      <x:c r="O202" s="172" t="str">
        <x:f>IF(A202="","",IFERROR(LOOKUP(2,1/('Scope Review'!$B$5:$B$204=A202),'Scope Review'!$H$5:$H$204),""))</x:f>
      </x:c>
      <x:c r="P202" s="172" t="n">
        <x:f>IF(A202="","",IF(AND(C202="executing",N202&lt;&gt;"Confirmed OOS"),M202,0))</x:f>
        <x:v>0</x:v>
      </x:c>
      <x:c r="Q202" s="173" t="str">
        <x:f>IF(A202="","",IFERROR(LOOKUP(2,1/('Engineer Updates'!$B$5:$B$704=A202),'Engineer Updates'!$A$5:$A$704),""))</x:f>
      </x:c>
      <x:c r="R202" s="172" t="str">
        <x:f>IF(A202="","",IFERROR(LOOKUP(2,1/('Engineer Updates'!$B$5:$B$704=A202),'Engineer Updates'!$H$5:$H$704),""))</x:f>
      </x:c>
      <x:c r="S202" s="172" t="str">
        <x:f>IF(A202="","",IFERROR(LOOKUP(2,1/('Engineer Updates'!$B$5:$B$704=A202),'Engineer Updates'!$G$5:$G$704),""))</x:f>
      </x:c>
      <x:c r="T202" s="172" t="str">
        <x:f>IF(A202="","",IFERROR(LOOKUP(2,1/('Engineer Updates'!$B$5:$B$704=A202),'Engineer Updates'!$I$5:$I$704),""))</x:f>
      </x:c>
      <x:c r="U202" s="172" t="str">
        <x:f>IF(A202="","",IFERROR(LOOKUP(2,1/('Engineer Updates'!$B$5:$B$704=A202),'Engineer Updates'!$J$5:$J$704),""))</x:f>
      </x:c>
      <x:c r="V202" s="172" t="str">
        <x:f>IF(A202="","",IFERROR(LOOKUP(2,1/('Engineer Updates'!$B$5:$B$704=A202),'Engineer Updates'!$K$5:$K$704),""))</x:f>
      </x:c>
      <x:c r="W202" s="174" t="str">
        <x:f>IF(A202="","",IFERROR(LOOKUP(2,1/('Engineer Updates'!$B$5:$B$704=A202),'Engineer Updates'!$L$5:$L$704),""))</x:f>
      </x:c>
      <x:c r="X202" s="170" t="str">
        <x:f>IF(A202="","",IF(C202="completed","Completed in CSSP",IF(AND(C202="executing",ISERROR(SEARCH("@",K202))),"Executing without named engineer",IF(AND(N202="Confirmed OOS",C202="executing"),"Confirmed OOS still executing",""))))</x:f>
        <x:v>Completed in CSSP</x:v>
      </x:c>
      <x:c r="Y202" s="170" t="str">
        <x:f>IF(A202="","",IF(B202="Decommissioning","Raw Decommissioning","Raw Provisioning"))</x:f>
        <x:v>Raw Decommissioning</x:v>
      </x:c>
      <x:c r="Z202" s="170" t="str">
        <x:f>IF(A202="","",IF(OR(C202="executing",C202="processing"),"Yes","No"))</x:f>
        <x:v>No</x:v>
      </x:c>
    </x:row>
    <x:row r="203">
      <x:c r="A203" s="170" t="str">
        <x:f>IF(ROWS($A$5:A203)&lt;=COUNTA('Raw Decommissioning'!$B$2:$B$1000),INDEX('Raw Decommissioning'!$B$2:$B$1000,ROWS($A$5:A203)),IF(ROWS($A$5:A203)-COUNTA('Raw Decommissioning'!$B$2:$B$1000)&lt;=COUNTA('Raw Provisioning'!$B$2:$B$1000),INDEX('Raw Provisioning'!$B$2:$B$1000,ROWS($A$5:A203)-COUNTA('Raw Decommissioning'!$B$2:$B$1000)),""))</x:f>
        <x:v>CSSP10937474</x:v>
      </x:c>
      <x:c r="B203" s="170" t="str">
        <x:f>IF(A203="","",IF(ROWS($A$5:A203)&lt;=COUNTA('Raw Decommissioning'!$B$2:$B$1000),"Decommissioning","Provisioning"))</x:f>
        <x:v>Decommissioning</x:v>
      </x:c>
      <x:c r="C203" s="170" t="str">
        <x:f>IF(A203="","",IF(B203="Decommissioning",IFERROR(INDEX('Raw Decommissioning'!$E$2:$E$1000,MATCH(A203,'Raw Decommissioning'!$B$2:$B$1000,0)),"Missing from latest raw"),IFERROR(INDEX('Raw Provisioning'!$E$2:$E$1000,MATCH(A203,'Raw Provisioning'!$B$2:$B$1000,0)),"Missing from latest raw")))</x:f>
        <x:v>cancelled</x:v>
      </x:c>
      <x:c r="D203" s="171" t="n">
        <x:f>IF(A203="","",'Refresh Control'!$B$4)</x:f>
        <x:v>46254</x:v>
      </x:c>
      <x:c r="E203" s="171" t="n">
        <x:f>IF(A203="","",IF(B203="Decommissioning",INDEX('Raw Decommissioning'!$F$2:$F$1000,ROWS($A$5:A203)),INDEX('Raw Provisioning'!$F$2:$F$1000,ROWS($A$5:A203)-COUNTA('Raw Decommissioning'!$B$2:$B$1000))))</x:f>
        <x:v>46155.16148582176</x:v>
      </x:c>
      <x:c r="F203" s="171" t="n">
        <x:f>IF(A203="","",IF(B203="Decommissioning",INDEX('Raw Decommissioning'!$G$2:$G$1000,ROWS($A$5:A203)),INDEX('Raw Provisioning'!$H$2:$H$1000,ROWS($A$5:A203)-COUNTA('Raw Decommissioning'!$B$2:$B$1000))))</x:f>
        <x:v>46160.30709854166</x:v>
      </x:c>
      <x:c r="G203" s="170" t="str">
        <x:f>IF(A203="","",IF(B203="Decommissioning",INDEX('Raw Decommissioning'!$I$2:$I$1000,ROWS($A$5:A203)),INDEX('Raw Provisioning'!$J$2:$J$1000,ROWS($A$5:A203)-COUNTA('Raw Decommissioning'!$B$2:$B$1000))))</x:f>
        <x:v>SAP 36 SRM Enterprise Buyer Professional</x:v>
      </x:c>
      <x:c r="H203" s="170" t="str">
        <x:f>IF(A203="","",IF(B203="Decommissioning",INDEX('Raw Decommissioning'!$J$2:$J$1000,ROWS($A$5:A203)),INDEX('Raw Provisioning'!$L$2:$L$1000,ROWS($A$5:A203)-COUNTA('Raw Decommissioning'!$B$2:$B$1000))))</x:f>
        <x:v>DR Simulation for SAP Group Application - P36</x:v>
      </x:c>
      <x:c r="I203" s="170" t="str">
        <x:f>IF(A203="","",IF(B203="Decommissioning",INDEX('Raw Decommissioning'!$AL$2:$AL$1000,ROWS($A$5:A203)),INDEX('Raw Provisioning'!$R$2:$R$1000,ROWS($A$5:A203)-COUNTA('Raw Decommissioning'!$B$2:$B$1000))))</x:f>
      </x:c>
      <x:c r="J203" s="170" t="str">
        <x:f>IF(A203="","",IF(B203="Decommissioning",INDEX('Raw Decommissioning'!$AG$2:$AG$1000,ROWS($A$5:A203)),INDEX('Raw Provisioning'!$AI$2:$AI$1000,ROWS($A$5:A203)-COUNTA('Raw Decommissioning'!$B$2:$B$1000))))</x:f>
        <x:v>CCoE Business</x:v>
      </x:c>
      <x:c r="K203" s="172" t="str">
        <x:f>IF(A203="","",IFERROR(LOOKUP(2,1/('Assignment History'!$B$5:$B$204=A203),'Assignment History'!$D$5:$D$204),IFERROR(VLOOKUP(J203,Configuration!$L$5:$M$50,2,FALSE),J203)))</x:f>
        <x:v>CCoE Business</x:v>
      </x:c>
      <x:c r="L203" s="172" t="str">
        <x:f>IF(A203="","",IF(K203=IFERROR(VLOOKUP(J203,Configuration!$L$5:$M$50,2,FALSE),J203),"Snapshot PIC","Replacement PIC"))</x:f>
        <x:v>Snapshot PIC</x:v>
      </x:c>
      <x:c r="M203" s="172" t="n">
        <x:f>IF(A203="","",IFERROR(VLOOKUP(I203,Configuration!$O$5:$P$8,2,FALSE),Configuration!$S$6))</x:f>
        <x:v>2</x:v>
      </x:c>
      <x:c r="N203" s="172" t="str">
        <x:f>IF(A203="","",IFERROR(LOOKUP(2,1/('Scope Review'!$B$5:$B$204=A203),'Scope Review'!$G$5:$G$204),"Not Reviewed"))</x:f>
        <x:v>Not Reviewed</x:v>
      </x:c>
      <x:c r="O203" s="172" t="str">
        <x:f>IF(A203="","",IFERROR(LOOKUP(2,1/('Scope Review'!$B$5:$B$204=A203),'Scope Review'!$H$5:$H$204),""))</x:f>
      </x:c>
      <x:c r="P203" s="172" t="n">
        <x:f>IF(A203="","",IF(AND(C203="executing",N203&lt;&gt;"Confirmed OOS"),M203,0))</x:f>
        <x:v>0</x:v>
      </x:c>
      <x:c r="Q203" s="173" t="str">
        <x:f>IF(A203="","",IFERROR(LOOKUP(2,1/('Engineer Updates'!$B$5:$B$704=A203),'Engineer Updates'!$A$5:$A$704),""))</x:f>
      </x:c>
      <x:c r="R203" s="172" t="str">
        <x:f>IF(A203="","",IFERROR(LOOKUP(2,1/('Engineer Updates'!$B$5:$B$704=A203),'Engineer Updates'!$H$5:$H$704),""))</x:f>
      </x:c>
      <x:c r="S203" s="172" t="str">
        <x:f>IF(A203="","",IFERROR(LOOKUP(2,1/('Engineer Updates'!$B$5:$B$704=A203),'Engineer Updates'!$G$5:$G$704),""))</x:f>
      </x:c>
      <x:c r="T203" s="172" t="str">
        <x:f>IF(A203="","",IFERROR(LOOKUP(2,1/('Engineer Updates'!$B$5:$B$704=A203),'Engineer Updates'!$I$5:$I$704),""))</x:f>
      </x:c>
      <x:c r="U203" s="172" t="str">
        <x:f>IF(A203="","",IFERROR(LOOKUP(2,1/('Engineer Updates'!$B$5:$B$704=A203),'Engineer Updates'!$J$5:$J$704),""))</x:f>
      </x:c>
      <x:c r="V203" s="172" t="str">
        <x:f>IF(A203="","",IFERROR(LOOKUP(2,1/('Engineer Updates'!$B$5:$B$704=A203),'Engineer Updates'!$K$5:$K$704),""))</x:f>
      </x:c>
      <x:c r="W203" s="174" t="str">
        <x:f>IF(A203="","",IFERROR(LOOKUP(2,1/('Engineer Updates'!$B$5:$B$704=A203),'Engineer Updates'!$L$5:$L$704),""))</x:f>
      </x:c>
      <x:c r="X203" s="170" t="str">
        <x:f>IF(A203="","",IF(C203="completed","Completed in CSSP",IF(AND(C203="executing",ISERROR(SEARCH("@",K203))),"Executing without named engineer",IF(AND(N203="Confirmed OOS",C203="executing"),"Confirmed OOS still executing",""))))</x:f>
      </x:c>
      <x:c r="Y203" s="170" t="str">
        <x:f>IF(A203="","",IF(B203="Decommissioning","Raw Decommissioning","Raw Provisioning"))</x:f>
        <x:v>Raw Decommissioning</x:v>
      </x:c>
      <x:c r="Z203" s="170" t="str">
        <x:f>IF(A203="","",IF(OR(C203="executing",C203="processing"),"Yes","No"))</x:f>
        <x:v>No</x:v>
      </x:c>
    </x:row>
    <x:row r="204">
      <x:c r="A204" s="170" t="str">
        <x:f>IF(ROWS($A$5:A204)&lt;=COUNTA('Raw Decommissioning'!$B$2:$B$1000),INDEX('Raw Decommissioning'!$B$2:$B$1000,ROWS($A$5:A204)),IF(ROWS($A$5:A204)-COUNTA('Raw Decommissioning'!$B$2:$B$1000)&lt;=COUNTA('Raw Provisioning'!$B$2:$B$1000),INDEX('Raw Provisioning'!$B$2:$B$1000,ROWS($A$5:A204)-COUNTA('Raw Decommissioning'!$B$2:$B$1000)),""))</x:f>
        <x:v>CSSP10532596</x:v>
      </x:c>
      <x:c r="B204" s="170" t="str">
        <x:f>IF(A204="","",IF(ROWS($A$5:A204)&lt;=COUNTA('Raw Decommissioning'!$B$2:$B$1000),"Decommissioning","Provisioning"))</x:f>
        <x:v>Decommissioning</x:v>
      </x:c>
      <x:c r="C204" s="170" t="str">
        <x:f>IF(A204="","",IF(B204="Decommissioning",IFERROR(INDEX('Raw Decommissioning'!$E$2:$E$1000,MATCH(A204,'Raw Decommissioning'!$B$2:$B$1000,0)),"Missing from latest raw"),IFERROR(INDEX('Raw Provisioning'!$E$2:$E$1000,MATCH(A204,'Raw Provisioning'!$B$2:$B$1000,0)),"Missing from latest raw")))</x:f>
        <x:v>cancelled</x:v>
      </x:c>
      <x:c r="D204" s="171" t="n">
        <x:f>IF(A204="","",'Refresh Control'!$B$4)</x:f>
        <x:v>46254</x:v>
      </x:c>
      <x:c r="E204" s="171" t="n">
        <x:f>IF(A204="","",IF(B204="Decommissioning",INDEX('Raw Decommissioning'!$F$2:$F$1000,ROWS($A$5:A204)),INDEX('Raw Provisioning'!$F$2:$F$1000,ROWS($A$5:A204)-COUNTA('Raw Decommissioning'!$B$2:$B$1000))))</x:f>
        <x:v>46155.164576284726</x:v>
      </x:c>
      <x:c r="F204" s="171" t="n">
        <x:f>IF(A204="","",IF(B204="Decommissioning",INDEX('Raw Decommissioning'!$G$2:$G$1000,ROWS($A$5:A204)),INDEX('Raw Provisioning'!$H$2:$H$1000,ROWS($A$5:A204)-COUNTA('Raw Decommissioning'!$B$2:$B$1000))))</x:f>
        <x:v>46155.16662340278</x:v>
      </x:c>
      <x:c r="G204" s="170" t="str">
        <x:f>IF(A204="","",IF(B204="Decommissioning",INDEX('Raw Decommissioning'!$I$2:$I$1000,ROWS($A$5:A204)),INDEX('Raw Provisioning'!$J$2:$J$1000,ROWS($A$5:A204)-COUNTA('Raw Decommissioning'!$B$2:$B$1000))))</x:f>
        <x:v>SAP 36 SRM Enterprise Buyer Professional</x:v>
      </x:c>
      <x:c r="H204" s="170" t="str">
        <x:f>IF(A204="","",IF(B204="Decommissioning",INDEX('Raw Decommissioning'!$J$2:$J$1000,ROWS($A$5:A204)),INDEX('Raw Provisioning'!$L$2:$L$1000,ROWS($A$5:A204)-COUNTA('Raw Decommissioning'!$B$2:$B$1000))))</x:f>
        <x:v>DR Simulation for SAP Group Application - P36</x:v>
      </x:c>
      <x:c r="I204" s="170" t="str">
        <x:f>IF(A204="","",IF(B204="Decommissioning",INDEX('Raw Decommissioning'!$AL$2:$AL$1000,ROWS($A$5:A204)),INDEX('Raw Provisioning'!$R$2:$R$1000,ROWS($A$5:A204)-COUNTA('Raw Decommissioning'!$B$2:$B$1000))))</x:f>
      </x:c>
      <x:c r="J204" s="170" t="str">
        <x:f>IF(A204="","",IF(B204="Decommissioning",INDEX('Raw Decommissioning'!$AG$2:$AG$1000,ROWS($A$5:A204)),INDEX('Raw Provisioning'!$AI$2:$AI$1000,ROWS($A$5:A204)-COUNTA('Raw Decommissioning'!$B$2:$B$1000))))</x:f>
        <x:v>CCoE Operations</x:v>
      </x:c>
      <x:c r="K204" s="172" t="str">
        <x:f>IF(A204="","",IFERROR(LOOKUP(2,1/('Assignment History'!$B$5:$B$204=A204),'Assignment History'!$D$5:$D$204),IFERROR(VLOOKUP(J204,Configuration!$L$5:$M$50,2,FALSE),J204)))</x:f>
        <x:v>CCoE Operations</x:v>
      </x:c>
      <x:c r="L204" s="172" t="str">
        <x:f>IF(A204="","",IF(K204=IFERROR(VLOOKUP(J204,Configuration!$L$5:$M$50,2,FALSE),J204),"Snapshot PIC","Replacement PIC"))</x:f>
        <x:v>Snapshot PIC</x:v>
      </x:c>
      <x:c r="M204" s="172" t="n">
        <x:f>IF(A204="","",IFERROR(VLOOKUP(I204,Configuration!$O$5:$P$8,2,FALSE),Configuration!$S$6))</x:f>
        <x:v>2</x:v>
      </x:c>
      <x:c r="N204" s="172" t="str">
        <x:f>IF(A204="","",IFERROR(LOOKUP(2,1/('Scope Review'!$B$5:$B$204=A204),'Scope Review'!$G$5:$G$204),"Not Reviewed"))</x:f>
        <x:v>Not Reviewed</x:v>
      </x:c>
      <x:c r="O204" s="172" t="str">
        <x:f>IF(A204="","",IFERROR(LOOKUP(2,1/('Scope Review'!$B$5:$B$204=A204),'Scope Review'!$H$5:$H$204),""))</x:f>
      </x:c>
      <x:c r="P204" s="172" t="n">
        <x:f>IF(A204="","",IF(AND(C204="executing",N204&lt;&gt;"Confirmed OOS"),M204,0))</x:f>
        <x:v>0</x:v>
      </x:c>
      <x:c r="Q204" s="173" t="str">
        <x:f>IF(A204="","",IFERROR(LOOKUP(2,1/('Engineer Updates'!$B$5:$B$704=A204),'Engineer Updates'!$A$5:$A$704),""))</x:f>
      </x:c>
      <x:c r="R204" s="172" t="str">
        <x:f>IF(A204="","",IFERROR(LOOKUP(2,1/('Engineer Updates'!$B$5:$B$704=A204),'Engineer Updates'!$H$5:$H$704),""))</x:f>
      </x:c>
      <x:c r="S204" s="172" t="str">
        <x:f>IF(A204="","",IFERROR(LOOKUP(2,1/('Engineer Updates'!$B$5:$B$704=A204),'Engineer Updates'!$G$5:$G$704),""))</x:f>
      </x:c>
      <x:c r="T204" s="172" t="str">
        <x:f>IF(A204="","",IFERROR(LOOKUP(2,1/('Engineer Updates'!$B$5:$B$704=A204),'Engineer Updates'!$I$5:$I$704),""))</x:f>
      </x:c>
      <x:c r="U204" s="172" t="str">
        <x:f>IF(A204="","",IFERROR(LOOKUP(2,1/('Engineer Updates'!$B$5:$B$704=A204),'Engineer Updates'!$J$5:$J$704),""))</x:f>
      </x:c>
      <x:c r="V204" s="172" t="str">
        <x:f>IF(A204="","",IFERROR(LOOKUP(2,1/('Engineer Updates'!$B$5:$B$704=A204),'Engineer Updates'!$K$5:$K$704),""))</x:f>
      </x:c>
      <x:c r="W204" s="174" t="str">
        <x:f>IF(A204="","",IFERROR(LOOKUP(2,1/('Engineer Updates'!$B$5:$B$704=A204),'Engineer Updates'!$L$5:$L$704),""))</x:f>
      </x:c>
      <x:c r="X204" s="170" t="str">
        <x:f>IF(A204="","",IF(C204="completed","Completed in CSSP",IF(AND(C204="executing",ISERROR(SEARCH("@",K204))),"Executing without named engineer",IF(AND(N204="Confirmed OOS",C204="executing"),"Confirmed OOS still executing",""))))</x:f>
      </x:c>
      <x:c r="Y204" s="170" t="str">
        <x:f>IF(A204="","",IF(B204="Decommissioning","Raw Decommissioning","Raw Provisioning"))</x:f>
        <x:v>Raw Decommissioning</x:v>
      </x:c>
      <x:c r="Z204" s="170" t="str">
        <x:f>IF(A204="","",IF(OR(C204="executing",C204="processing"),"Yes","No"))</x:f>
        <x:v>No</x:v>
      </x:c>
    </x:row>
    <x:row r="205">
      <x:c r="A205" s="170" t="str">
        <x:f>IF(ROWS($A$5:A205)&lt;=COUNTA('Raw Decommissioning'!$B$2:$B$1000),INDEX('Raw Decommissioning'!$B$2:$B$1000,ROWS($A$5:A205)),IF(ROWS($A$5:A205)-COUNTA('Raw Decommissioning'!$B$2:$B$1000)&lt;=COUNTA('Raw Provisioning'!$B$2:$B$1000),INDEX('Raw Provisioning'!$B$2:$B$1000,ROWS($A$5:A205)-COUNTA('Raw Decommissioning'!$B$2:$B$1000)),""))</x:f>
        <x:v>CSSP10900134</x:v>
      </x:c>
      <x:c r="B205" s="170" t="str">
        <x:f>IF(A205="","",IF(ROWS($A$5:A205)&lt;=COUNTA('Raw Decommissioning'!$B$2:$B$1000),"Decommissioning","Provisioning"))</x:f>
        <x:v>Decommissioning</x:v>
      </x:c>
      <x:c r="C205" s="170" t="str">
        <x:f>IF(A205="","",IF(B205="Decommissioning",IFERROR(INDEX('Raw Decommissioning'!$E$2:$E$1000,MATCH(A205,'Raw Decommissioning'!$B$2:$B$1000,0)),"Missing from latest raw"),IFERROR(INDEX('Raw Provisioning'!$E$2:$E$1000,MATCH(A205,'Raw Provisioning'!$B$2:$B$1000,0)),"Missing from latest raw")))</x:f>
        <x:v>completed</x:v>
      </x:c>
      <x:c r="D205" s="171" t="n">
        <x:f>IF(A205="","",'Refresh Control'!$B$4)</x:f>
        <x:v>46254</x:v>
      </x:c>
      <x:c r="E205" s="171" t="n">
        <x:f>IF(A205="","",IF(B205="Decommissioning",INDEX('Raw Decommissioning'!$F$2:$F$1000,ROWS($A$5:A205)),INDEX('Raw Provisioning'!$F$2:$F$1000,ROWS($A$5:A205)-COUNTA('Raw Decommissioning'!$B$2:$B$1000))))</x:f>
        <x:v>46155.32837347222</x:v>
      </x:c>
      <x:c r="F205" s="171" t="n">
        <x:f>IF(A205="","",IF(B205="Decommissioning",INDEX('Raw Decommissioning'!$G$2:$G$1000,ROWS($A$5:A205)),INDEX('Raw Provisioning'!$H$2:$H$1000,ROWS($A$5:A205)-COUNTA('Raw Decommissioning'!$B$2:$B$1000))))</x:f>
        <x:v>46163.31495980324</x:v>
      </x:c>
      <x:c r="G205" s="170" t="str">
        <x:f>IF(A205="","",IF(B205="Decommissioning",INDEX('Raw Decommissioning'!$I$2:$I$1000,ROWS($A$5:A205)),INDEX('Raw Provisioning'!$J$2:$J$1000,ROWS($A$5:A205)-COUNTA('Raw Decommissioning'!$B$2:$B$1000))))</x:f>
        <x:v>Tender Response Management System - TeRMS</x:v>
      </x:c>
      <x:c r="H205" s="170" t="str">
        <x:f>IF(A205="","",IF(B205="Decommissioning",INDEX('Raw Decommissioning'!$J$2:$J$1000,ROWS($A$5:A205)),INDEX('Raw Provisioning'!$L$2:$L$1000,ROWS($A$5:A205)-COUNTA('Raw Decommissioning'!$B$2:$B$1000))))</x:f>
        <x:v>Cloud Migration Program - TeRMS: Tender Response Management System 2.0</x:v>
      </x:c>
      <x:c r="I205" s="170" t="str">
        <x:f>IF(A205="","",IF(B205="Decommissioning",INDEX('Raw Decommissioning'!$AL$2:$AL$1000,ROWS($A$5:A205)),INDEX('Raw Provisioning'!$R$2:$R$1000,ROWS($A$5:A205)-COUNTA('Raw Decommissioning'!$B$2:$B$1000))))</x:f>
        <x:v>M</x:v>
      </x:c>
      <x:c r="J205" s="170" t="str">
        <x:f>IF(A205="","",IF(B205="Decommissioning",INDEX('Raw Decommissioning'!$AG$2:$AG$1000,ROWS($A$5:A205)),INDEX('Raw Provisioning'!$AI$2:$AI$1000,ROWS($A$5:A205)-COUNTA('Raw Decommissioning'!$B$2:$B$1000))))</x:f>
        <x:v>azwan.badari@petronas.com</x:v>
      </x:c>
      <x:c r="K205" s="172" t="str">
        <x:f>IF(A205="","",IFERROR(LOOKUP(2,1/('Assignment History'!$B$5:$B$204=A205),'Assignment History'!$D$5:$D$204),IFERROR(VLOOKUP(J205,Configuration!$L$5:$M$50,2,FALSE),J205)))</x:f>
        <x:v>azwan.badari@petronas.com</x:v>
      </x:c>
      <x:c r="L205" s="172" t="str">
        <x:f>IF(A205="","",IF(K205=IFERROR(VLOOKUP(J205,Configuration!$L$5:$M$50,2,FALSE),J205),"Snapshot PIC","Replacement PIC"))</x:f>
        <x:v>Snapshot PIC</x:v>
      </x:c>
      <x:c r="M205" s="172" t="n">
        <x:f>IF(A205="","",IFERROR(VLOOKUP(I205,Configuration!$O$5:$P$8,2,FALSE),Configuration!$S$6))</x:f>
        <x:v>2</x:v>
      </x:c>
      <x:c r="N205" s="172" t="str">
        <x:f>IF(A205="","",IFERROR(LOOKUP(2,1/('Scope Review'!$B$5:$B$204=A205),'Scope Review'!$G$5:$G$204),"Not Reviewed"))</x:f>
        <x:v>Not Reviewed</x:v>
      </x:c>
      <x:c r="O205" s="172" t="str">
        <x:f>IF(A205="","",IFERROR(LOOKUP(2,1/('Scope Review'!$B$5:$B$204=A205),'Scope Review'!$H$5:$H$204),""))</x:f>
      </x:c>
      <x:c r="P205" s="172" t="n">
        <x:f>IF(A205="","",IF(AND(C205="executing",N205&lt;&gt;"Confirmed OOS"),M205,0))</x:f>
        <x:v>0</x:v>
      </x:c>
      <x:c r="Q205" s="173" t="str">
        <x:f>IF(A205="","",IFERROR(LOOKUP(2,1/('Engineer Updates'!$B$5:$B$704=A205),'Engineer Updates'!$A$5:$A$704),""))</x:f>
      </x:c>
      <x:c r="R205" s="172" t="str">
        <x:f>IF(A205="","",IFERROR(LOOKUP(2,1/('Engineer Updates'!$B$5:$B$704=A205),'Engineer Updates'!$H$5:$H$704),""))</x:f>
      </x:c>
      <x:c r="S205" s="172" t="str">
        <x:f>IF(A205="","",IFERROR(LOOKUP(2,1/('Engineer Updates'!$B$5:$B$704=A205),'Engineer Updates'!$G$5:$G$704),""))</x:f>
      </x:c>
      <x:c r="T205" s="172" t="str">
        <x:f>IF(A205="","",IFERROR(LOOKUP(2,1/('Engineer Updates'!$B$5:$B$704=A205),'Engineer Updates'!$I$5:$I$704),""))</x:f>
      </x:c>
      <x:c r="U205" s="172" t="str">
        <x:f>IF(A205="","",IFERROR(LOOKUP(2,1/('Engineer Updates'!$B$5:$B$704=A205),'Engineer Updates'!$J$5:$J$704),""))</x:f>
      </x:c>
      <x:c r="V205" s="172" t="str">
        <x:f>IF(A205="","",IFERROR(LOOKUP(2,1/('Engineer Updates'!$B$5:$B$704=A205),'Engineer Updates'!$K$5:$K$704),""))</x:f>
      </x:c>
      <x:c r="W205" s="174" t="str">
        <x:f>IF(A205="","",IFERROR(LOOKUP(2,1/('Engineer Updates'!$B$5:$B$704=A205),'Engineer Updates'!$L$5:$L$704),""))</x:f>
      </x:c>
      <x:c r="X205" s="170" t="str">
        <x:f>IF(A205="","",IF(C205="completed","Completed in CSSP",IF(AND(C205="executing",ISERROR(SEARCH("@",K205))),"Executing without named engineer",IF(AND(N205="Confirmed OOS",C205="executing"),"Confirmed OOS still executing",""))))</x:f>
        <x:v>Completed in CSSP</x:v>
      </x:c>
      <x:c r="Y205" s="170" t="str">
        <x:f>IF(A205="","",IF(B205="Decommissioning","Raw Decommissioning","Raw Provisioning"))</x:f>
        <x:v>Raw Decommissioning</x:v>
      </x:c>
      <x:c r="Z205" s="170" t="str">
        <x:f>IF(A205="","",IF(OR(C205="executing",C205="processing"),"Yes","No"))</x:f>
        <x:v>No</x:v>
      </x:c>
    </x:row>
    <x:row r="206">
      <x:c r="A206" s="170" t="str">
        <x:f>IF(ROWS($A$5:A206)&lt;=COUNTA('Raw Decommissioning'!$B$2:$B$1000),INDEX('Raw Decommissioning'!$B$2:$B$1000,ROWS($A$5:A206)),IF(ROWS($A$5:A206)-COUNTA('Raw Decommissioning'!$B$2:$B$1000)&lt;=COUNTA('Raw Provisioning'!$B$2:$B$1000),INDEX('Raw Provisioning'!$B$2:$B$1000,ROWS($A$5:A206)-COUNTA('Raw Decommissioning'!$B$2:$B$1000)),""))</x:f>
        <x:v>CSSP10402366</x:v>
      </x:c>
      <x:c r="B206" s="170" t="str">
        <x:f>IF(A206="","",IF(ROWS($A$5:A206)&lt;=COUNTA('Raw Decommissioning'!$B$2:$B$1000),"Decommissioning","Provisioning"))</x:f>
        <x:v>Decommissioning</x:v>
      </x:c>
      <x:c r="C206" s="170" t="str">
        <x:f>IF(A206="","",IF(B206="Decommissioning",IFERROR(INDEX('Raw Decommissioning'!$E$2:$E$1000,MATCH(A206,'Raw Decommissioning'!$B$2:$B$1000,0)),"Missing from latest raw"),IFERROR(INDEX('Raw Provisioning'!$E$2:$E$1000,MATCH(A206,'Raw Provisioning'!$B$2:$B$1000,0)),"Missing from latest raw")))</x:f>
        <x:v>completed</x:v>
      </x:c>
      <x:c r="D206" s="171" t="n">
        <x:f>IF(A206="","",'Refresh Control'!$B$4)</x:f>
        <x:v>46254</x:v>
      </x:c>
      <x:c r="E206" s="171" t="n">
        <x:f>IF(A206="","",IF(B206="Decommissioning",INDEX('Raw Decommissioning'!$F$2:$F$1000,ROWS($A$5:A206)),INDEX('Raw Provisioning'!$F$2:$F$1000,ROWS($A$5:A206)-COUNTA('Raw Decommissioning'!$B$2:$B$1000))))</x:f>
        <x:v>46155.349497951385</x:v>
      </x:c>
      <x:c r="F206" s="171" t="n">
        <x:f>IF(A206="","",IF(B206="Decommissioning",INDEX('Raw Decommissioning'!$G$2:$G$1000,ROWS($A$5:A206)),INDEX('Raw Provisioning'!$H$2:$H$1000,ROWS($A$5:A206)-COUNTA('Raw Decommissioning'!$B$2:$B$1000))))</x:f>
        <x:v>46177.27076488426</x:v>
      </x:c>
      <x:c r="G206" s="170" t="str">
        <x:f>IF(A206="","",IF(B206="Decommissioning",INDEX('Raw Decommissioning'!$I$2:$I$1000,ROWS($A$5:A206)),INDEX('Raw Provisioning'!$J$2:$J$1000,ROWS($A$5:A206)-COUNTA('Raw Decommissioning'!$B$2:$B$1000))))</x:f>
        <x:v>SAP 30 ECC6</x:v>
      </x:c>
      <x:c r="H206" s="170" t="str">
        <x:f>IF(A206="","",IF(B206="Decommissioning",INDEX('Raw Decommissioning'!$J$2:$J$1000,ROWS($A$5:A206)),INDEX('Raw Provisioning'!$L$2:$L$1000,ROWS($A$5:A206)-COUNTA('Raw Decommissioning'!$B$2:$B$1000))))</x:f>
        <x:v>S/4HANA Technical Conversion and Migration of SAP Systems P30 and P50</x:v>
      </x:c>
      <x:c r="I206" s="170" t="str">
        <x:f>IF(A206="","",IF(B206="Decommissioning",INDEX('Raw Decommissioning'!$AL$2:$AL$1000,ROWS($A$5:A206)),INDEX('Raw Provisioning'!$R$2:$R$1000,ROWS($A$5:A206)-COUNTA('Raw Decommissioning'!$B$2:$B$1000))))</x:f>
        <x:v>M</x:v>
      </x:c>
      <x:c r="J206" s="170" t="str">
        <x:f>IF(A206="","",IF(B206="Decommissioning",INDEX('Raw Decommissioning'!$AG$2:$AG$1000,ROWS($A$5:A206)),INDEX('Raw Provisioning'!$AI$2:$AI$1000,ROWS($A$5:A206)-COUNTA('Raw Decommissioning'!$B$2:$B$1000))))</x:f>
        <x:v>azlisham.md@petronas.com</x:v>
      </x:c>
      <x:c r="K206" s="172" t="str">
        <x:f>IF(A206="","",IFERROR(LOOKUP(2,1/('Assignment History'!$B$5:$B$204=A206),'Assignment History'!$D$5:$D$204),IFERROR(VLOOKUP(J206,Configuration!$L$5:$M$50,2,FALSE),J206)))</x:f>
        <x:v>azlisham.md@petronas.com</x:v>
      </x:c>
      <x:c r="L206" s="172" t="str">
        <x:f>IF(A206="","",IF(K206=IFERROR(VLOOKUP(J206,Configuration!$L$5:$M$50,2,FALSE),J206),"Snapshot PIC","Replacement PIC"))</x:f>
        <x:v>Snapshot PIC</x:v>
      </x:c>
      <x:c r="M206" s="172" t="n">
        <x:f>IF(A206="","",IFERROR(VLOOKUP(I206,Configuration!$O$5:$P$8,2,FALSE),Configuration!$S$6))</x:f>
        <x:v>2</x:v>
      </x:c>
      <x:c r="N206" s="172" t="str">
        <x:f>IF(A206="","",IFERROR(LOOKUP(2,1/('Scope Review'!$B$5:$B$204=A206),'Scope Review'!$G$5:$G$204),"Not Reviewed"))</x:f>
        <x:v>Not Reviewed</x:v>
      </x:c>
      <x:c r="O206" s="172" t="str">
        <x:f>IF(A206="","",IFERROR(LOOKUP(2,1/('Scope Review'!$B$5:$B$204=A206),'Scope Review'!$H$5:$H$204),""))</x:f>
      </x:c>
      <x:c r="P206" s="172" t="n">
        <x:f>IF(A206="","",IF(AND(C206="executing",N206&lt;&gt;"Confirmed OOS"),M206,0))</x:f>
        <x:v>0</x:v>
      </x:c>
      <x:c r="Q206" s="173" t="str">
        <x:f>IF(A206="","",IFERROR(LOOKUP(2,1/('Engineer Updates'!$B$5:$B$704=A206),'Engineer Updates'!$A$5:$A$704),""))</x:f>
      </x:c>
      <x:c r="R206" s="172" t="str">
        <x:f>IF(A206="","",IFERROR(LOOKUP(2,1/('Engineer Updates'!$B$5:$B$704=A206),'Engineer Updates'!$H$5:$H$704),""))</x:f>
      </x:c>
      <x:c r="S206" s="172" t="str">
        <x:f>IF(A206="","",IFERROR(LOOKUP(2,1/('Engineer Updates'!$B$5:$B$704=A206),'Engineer Updates'!$G$5:$G$704),""))</x:f>
      </x:c>
      <x:c r="T206" s="172" t="str">
        <x:f>IF(A206="","",IFERROR(LOOKUP(2,1/('Engineer Updates'!$B$5:$B$704=A206),'Engineer Updates'!$I$5:$I$704),""))</x:f>
      </x:c>
      <x:c r="U206" s="172" t="str">
        <x:f>IF(A206="","",IFERROR(LOOKUP(2,1/('Engineer Updates'!$B$5:$B$704=A206),'Engineer Updates'!$J$5:$J$704),""))</x:f>
      </x:c>
      <x:c r="V206" s="172" t="str">
        <x:f>IF(A206="","",IFERROR(LOOKUP(2,1/('Engineer Updates'!$B$5:$B$704=A206),'Engineer Updates'!$K$5:$K$704),""))</x:f>
      </x:c>
      <x:c r="W206" s="174" t="str">
        <x:f>IF(A206="","",IFERROR(LOOKUP(2,1/('Engineer Updates'!$B$5:$B$704=A206),'Engineer Updates'!$L$5:$L$704),""))</x:f>
      </x:c>
      <x:c r="X206" s="170" t="str">
        <x:f>IF(A206="","",IF(C206="completed","Completed in CSSP",IF(AND(C206="executing",ISERROR(SEARCH("@",K206))),"Executing without named engineer",IF(AND(N206="Confirmed OOS",C206="executing"),"Confirmed OOS still executing",""))))</x:f>
        <x:v>Completed in CSSP</x:v>
      </x:c>
      <x:c r="Y206" s="170" t="str">
        <x:f>IF(A206="","",IF(B206="Decommissioning","Raw Decommissioning","Raw Provisioning"))</x:f>
        <x:v>Raw Decommissioning</x:v>
      </x:c>
      <x:c r="Z206" s="170" t="str">
        <x:f>IF(A206="","",IF(OR(C206="executing",C206="processing"),"Yes","No"))</x:f>
        <x:v>No</x:v>
      </x:c>
    </x:row>
    <x:row r="207">
      <x:c r="A207" s="170" t="str">
        <x:f>IF(ROWS($A$5:A207)&lt;=COUNTA('Raw Decommissioning'!$B$2:$B$1000),INDEX('Raw Decommissioning'!$B$2:$B$1000,ROWS($A$5:A207)),IF(ROWS($A$5:A207)-COUNTA('Raw Decommissioning'!$B$2:$B$1000)&lt;=COUNTA('Raw Provisioning'!$B$2:$B$1000),INDEX('Raw Provisioning'!$B$2:$B$1000,ROWS($A$5:A207)-COUNTA('Raw Decommissioning'!$B$2:$B$1000)),""))</x:f>
        <x:v>CSSP10577934</x:v>
      </x:c>
      <x:c r="B207" s="170" t="str">
        <x:f>IF(A207="","",IF(ROWS($A$5:A207)&lt;=COUNTA('Raw Decommissioning'!$B$2:$B$1000),"Decommissioning","Provisioning"))</x:f>
        <x:v>Decommissioning</x:v>
      </x:c>
      <x:c r="C207" s="170" t="str">
        <x:f>IF(A207="","",IF(B207="Decommissioning",IFERROR(INDEX('Raw Decommissioning'!$E$2:$E$1000,MATCH(A207,'Raw Decommissioning'!$B$2:$B$1000,0)),"Missing from latest raw"),IFERROR(INDEX('Raw Provisioning'!$E$2:$E$1000,MATCH(A207,'Raw Provisioning'!$B$2:$B$1000,0)),"Missing from latest raw")))</x:f>
        <x:v>completed</x:v>
      </x:c>
      <x:c r="D207" s="171" t="n">
        <x:f>IF(A207="","",'Refresh Control'!$B$4)</x:f>
        <x:v>46254</x:v>
      </x:c>
      <x:c r="E207" s="171" t="n">
        <x:f>IF(A207="","",IF(B207="Decommissioning",INDEX('Raw Decommissioning'!$F$2:$F$1000,ROWS($A$5:A207)),INDEX('Raw Provisioning'!$F$2:$F$1000,ROWS($A$5:A207)-COUNTA('Raw Decommissioning'!$B$2:$B$1000))))</x:f>
        <x:v>46155.35832675926</x:v>
      </x:c>
      <x:c r="F207" s="171" t="n">
        <x:f>IF(A207="","",IF(B207="Decommissioning",INDEX('Raw Decommissioning'!$G$2:$G$1000,ROWS($A$5:A207)),INDEX('Raw Provisioning'!$H$2:$H$1000,ROWS($A$5:A207)-COUNTA('Raw Decommissioning'!$B$2:$B$1000))))</x:f>
        <x:v>46177.52006091435</x:v>
      </x:c>
      <x:c r="G207" s="170" t="str">
        <x:f>IF(A207="","",IF(B207="Decommissioning",INDEX('Raw Decommissioning'!$I$2:$I$1000,ROWS($A$5:A207)),INDEX('Raw Provisioning'!$J$2:$J$1000,ROWS($A$5:A207)-COUNTA('Raw Decommissioning'!$B$2:$B$1000))))</x:f>
        <x:v>SAP 50 ECC6</x:v>
      </x:c>
      <x:c r="H207" s="170" t="str">
        <x:f>IF(A207="","",IF(B207="Decommissioning",INDEX('Raw Decommissioning'!$J$2:$J$1000,ROWS($A$5:A207)),INDEX('Raw Provisioning'!$L$2:$L$1000,ROWS($A$5:A207)-COUNTA('Raw Decommissioning'!$B$2:$B$1000))))</x:f>
        <x:v>S/4HANA Technical Conversion and Migration of SAP Systems P30 and P50</x:v>
      </x:c>
      <x:c r="I207" s="170" t="str">
        <x:f>IF(A207="","",IF(B207="Decommissioning",INDEX('Raw Decommissioning'!$AL$2:$AL$1000,ROWS($A$5:A207)),INDEX('Raw Provisioning'!$R$2:$R$1000,ROWS($A$5:A207)-COUNTA('Raw Decommissioning'!$B$2:$B$1000))))</x:f>
        <x:v>M</x:v>
      </x:c>
      <x:c r="J207" s="170" t="str">
        <x:f>IF(A207="","",IF(B207="Decommissioning",INDEX('Raw Decommissioning'!$AG$2:$AG$1000,ROWS($A$5:A207)),INDEX('Raw Provisioning'!$AI$2:$AI$1000,ROWS($A$5:A207)-COUNTA('Raw Decommissioning'!$B$2:$B$1000))))</x:f>
        <x:v>azlisham.md@petronas.com</x:v>
      </x:c>
      <x:c r="K207" s="172" t="str">
        <x:f>IF(A207="","",IFERROR(LOOKUP(2,1/('Assignment History'!$B$5:$B$204=A207),'Assignment History'!$D$5:$D$204),IFERROR(VLOOKUP(J207,Configuration!$L$5:$M$50,2,FALSE),J207)))</x:f>
        <x:v>azlisham.md@petronas.com</x:v>
      </x:c>
      <x:c r="L207" s="172" t="str">
        <x:f>IF(A207="","",IF(K207=IFERROR(VLOOKUP(J207,Configuration!$L$5:$M$50,2,FALSE),J207),"Snapshot PIC","Replacement PIC"))</x:f>
        <x:v>Snapshot PIC</x:v>
      </x:c>
      <x:c r="M207" s="172" t="n">
        <x:f>IF(A207="","",IFERROR(VLOOKUP(I207,Configuration!$O$5:$P$8,2,FALSE),Configuration!$S$6))</x:f>
        <x:v>2</x:v>
      </x:c>
      <x:c r="N207" s="172" t="str">
        <x:f>IF(A207="","",IFERROR(LOOKUP(2,1/('Scope Review'!$B$5:$B$204=A207),'Scope Review'!$G$5:$G$204),"Not Reviewed"))</x:f>
        <x:v>Not Reviewed</x:v>
      </x:c>
      <x:c r="O207" s="172" t="str">
        <x:f>IF(A207="","",IFERROR(LOOKUP(2,1/('Scope Review'!$B$5:$B$204=A207),'Scope Review'!$H$5:$H$204),""))</x:f>
      </x:c>
      <x:c r="P207" s="172" t="n">
        <x:f>IF(A207="","",IF(AND(C207="executing",N207&lt;&gt;"Confirmed OOS"),M207,0))</x:f>
        <x:v>0</x:v>
      </x:c>
      <x:c r="Q207" s="173" t="str">
        <x:f>IF(A207="","",IFERROR(LOOKUP(2,1/('Engineer Updates'!$B$5:$B$704=A207),'Engineer Updates'!$A$5:$A$704),""))</x:f>
      </x:c>
      <x:c r="R207" s="172" t="str">
        <x:f>IF(A207="","",IFERROR(LOOKUP(2,1/('Engineer Updates'!$B$5:$B$704=A207),'Engineer Updates'!$H$5:$H$704),""))</x:f>
      </x:c>
      <x:c r="S207" s="172" t="str">
        <x:f>IF(A207="","",IFERROR(LOOKUP(2,1/('Engineer Updates'!$B$5:$B$704=A207),'Engineer Updates'!$G$5:$G$704),""))</x:f>
      </x:c>
      <x:c r="T207" s="172" t="str">
        <x:f>IF(A207="","",IFERROR(LOOKUP(2,1/('Engineer Updates'!$B$5:$B$704=A207),'Engineer Updates'!$I$5:$I$704),""))</x:f>
      </x:c>
      <x:c r="U207" s="172" t="str">
        <x:f>IF(A207="","",IFERROR(LOOKUP(2,1/('Engineer Updates'!$B$5:$B$704=A207),'Engineer Updates'!$J$5:$J$704),""))</x:f>
      </x:c>
      <x:c r="V207" s="172" t="str">
        <x:f>IF(A207="","",IFERROR(LOOKUP(2,1/('Engineer Updates'!$B$5:$B$704=A207),'Engineer Updates'!$K$5:$K$704),""))</x:f>
      </x:c>
      <x:c r="W207" s="174" t="str">
        <x:f>IF(A207="","",IFERROR(LOOKUP(2,1/('Engineer Updates'!$B$5:$B$704=A207),'Engineer Updates'!$L$5:$L$704),""))</x:f>
      </x:c>
      <x:c r="X207" s="170" t="str">
        <x:f>IF(A207="","",IF(C207="completed","Completed in CSSP",IF(AND(C207="executing",ISERROR(SEARCH("@",K207))),"Executing without named engineer",IF(AND(N207="Confirmed OOS",C207="executing"),"Confirmed OOS still executing",""))))</x:f>
        <x:v>Completed in CSSP</x:v>
      </x:c>
      <x:c r="Y207" s="170" t="str">
        <x:f>IF(A207="","",IF(B207="Decommissioning","Raw Decommissioning","Raw Provisioning"))</x:f>
        <x:v>Raw Decommissioning</x:v>
      </x:c>
      <x:c r="Z207" s="170" t="str">
        <x:f>IF(A207="","",IF(OR(C207="executing",C207="processing"),"Yes","No"))</x:f>
        <x:v>No</x:v>
      </x:c>
    </x:row>
    <x:row r="208">
      <x:c r="A208" s="170" t="str">
        <x:f>IF(ROWS($A$5:A208)&lt;=COUNTA('Raw Decommissioning'!$B$2:$B$1000),INDEX('Raw Decommissioning'!$B$2:$B$1000,ROWS($A$5:A208)),IF(ROWS($A$5:A208)-COUNTA('Raw Decommissioning'!$B$2:$B$1000)&lt;=COUNTA('Raw Provisioning'!$B$2:$B$1000),INDEX('Raw Provisioning'!$B$2:$B$1000,ROWS($A$5:A208)-COUNTA('Raw Decommissioning'!$B$2:$B$1000)),""))</x:f>
        <x:v>CSSP10217006</x:v>
      </x:c>
      <x:c r="B208" s="170" t="str">
        <x:f>IF(A208="","",IF(ROWS($A$5:A208)&lt;=COUNTA('Raw Decommissioning'!$B$2:$B$1000),"Decommissioning","Provisioning"))</x:f>
        <x:v>Decommissioning</x:v>
      </x:c>
      <x:c r="C208" s="170" t="str">
        <x:f>IF(A208="","",IF(B208="Decommissioning",IFERROR(INDEX('Raw Decommissioning'!$E$2:$E$1000,MATCH(A208,'Raw Decommissioning'!$B$2:$B$1000,0)),"Missing from latest raw"),IFERROR(INDEX('Raw Provisioning'!$E$2:$E$1000,MATCH(A208,'Raw Provisioning'!$B$2:$B$1000,0)),"Missing from latest raw")))</x:f>
        <x:v>completed</x:v>
      </x:c>
      <x:c r="D208" s="171" t="n">
        <x:f>IF(A208="","",'Refresh Control'!$B$4)</x:f>
        <x:v>46254</x:v>
      </x:c>
      <x:c r="E208" s="171" t="n">
        <x:f>IF(A208="","",IF(B208="Decommissioning",INDEX('Raw Decommissioning'!$F$2:$F$1000,ROWS($A$5:A208)),INDEX('Raw Provisioning'!$F$2:$F$1000,ROWS($A$5:A208)-COUNTA('Raw Decommissioning'!$B$2:$B$1000))))</x:f>
        <x:v>46155.36263675926</x:v>
      </x:c>
      <x:c r="F208" s="171" t="n">
        <x:f>IF(A208="","",IF(B208="Decommissioning",INDEX('Raw Decommissioning'!$G$2:$G$1000,ROWS($A$5:A208)),INDEX('Raw Provisioning'!$H$2:$H$1000,ROWS($A$5:A208)-COUNTA('Raw Decommissioning'!$B$2:$B$1000))))</x:f>
        <x:v>46177.2726503125</x:v>
      </x:c>
      <x:c r="G208" s="170" t="str">
        <x:f>IF(A208="","",IF(B208="Decommissioning",INDEX('Raw Decommissioning'!$I$2:$I$1000,ROWS($A$5:A208)),INDEX('Raw Provisioning'!$J$2:$J$1000,ROWS($A$5:A208)-COUNTA('Raw Decommissioning'!$B$2:$B$1000))))</x:f>
        <x:v>SAP 58 FIORI</x:v>
      </x:c>
      <x:c r="H208" s="170" t="str">
        <x:f>IF(A208="","",IF(B208="Decommissioning",INDEX('Raw Decommissioning'!$J$2:$J$1000,ROWS($A$5:A208)),INDEX('Raw Provisioning'!$L$2:$L$1000,ROWS($A$5:A208)-COUNTA('Raw Decommissioning'!$B$2:$B$1000))))</x:f>
        <x:v>Cloud Migration Program - SAP FIORI Development (SAPID 58 (P58, D58, T58))</x:v>
      </x:c>
      <x:c r="I208" s="170" t="str">
        <x:f>IF(A208="","",IF(B208="Decommissioning",INDEX('Raw Decommissioning'!$AL$2:$AL$1000,ROWS($A$5:A208)),INDEX('Raw Provisioning'!$R$2:$R$1000,ROWS($A$5:A208)-COUNTA('Raw Decommissioning'!$B$2:$B$1000))))</x:f>
        <x:v>M</x:v>
      </x:c>
      <x:c r="J208" s="170" t="str">
        <x:f>IF(A208="","",IF(B208="Decommissioning",INDEX('Raw Decommissioning'!$AG$2:$AG$1000,ROWS($A$5:A208)),INDEX('Raw Provisioning'!$AI$2:$AI$1000,ROWS($A$5:A208)-COUNTA('Raw Decommissioning'!$B$2:$B$1000))))</x:f>
        <x:v>azlisham.md@petronas.com</x:v>
      </x:c>
      <x:c r="K208" s="172" t="str">
        <x:f>IF(A208="","",IFERROR(LOOKUP(2,1/('Assignment History'!$B$5:$B$204=A208),'Assignment History'!$D$5:$D$204),IFERROR(VLOOKUP(J208,Configuration!$L$5:$M$50,2,FALSE),J208)))</x:f>
        <x:v>azlisham.md@petronas.com</x:v>
      </x:c>
      <x:c r="L208" s="172" t="str">
        <x:f>IF(A208="","",IF(K208=IFERROR(VLOOKUP(J208,Configuration!$L$5:$M$50,2,FALSE),J208),"Snapshot PIC","Replacement PIC"))</x:f>
        <x:v>Snapshot PIC</x:v>
      </x:c>
      <x:c r="M208" s="172" t="n">
        <x:f>IF(A208="","",IFERROR(VLOOKUP(I208,Configuration!$O$5:$P$8,2,FALSE),Configuration!$S$6))</x:f>
        <x:v>2</x:v>
      </x:c>
      <x:c r="N208" s="172" t="str">
        <x:f>IF(A208="","",IFERROR(LOOKUP(2,1/('Scope Review'!$B$5:$B$204=A208),'Scope Review'!$G$5:$G$204),"Not Reviewed"))</x:f>
        <x:v>Not Reviewed</x:v>
      </x:c>
      <x:c r="O208" s="172" t="str">
        <x:f>IF(A208="","",IFERROR(LOOKUP(2,1/('Scope Review'!$B$5:$B$204=A208),'Scope Review'!$H$5:$H$204),""))</x:f>
      </x:c>
      <x:c r="P208" s="172" t="n">
        <x:f>IF(A208="","",IF(AND(C208="executing",N208&lt;&gt;"Confirmed OOS"),M208,0))</x:f>
        <x:v>0</x:v>
      </x:c>
      <x:c r="Q208" s="173" t="str">
        <x:f>IF(A208="","",IFERROR(LOOKUP(2,1/('Engineer Updates'!$B$5:$B$704=A208),'Engineer Updates'!$A$5:$A$704),""))</x:f>
      </x:c>
      <x:c r="R208" s="172" t="str">
        <x:f>IF(A208="","",IFERROR(LOOKUP(2,1/('Engineer Updates'!$B$5:$B$704=A208),'Engineer Updates'!$H$5:$H$704),""))</x:f>
      </x:c>
      <x:c r="S208" s="172" t="str">
        <x:f>IF(A208="","",IFERROR(LOOKUP(2,1/('Engineer Updates'!$B$5:$B$704=A208),'Engineer Updates'!$G$5:$G$704),""))</x:f>
      </x:c>
      <x:c r="T208" s="172" t="str">
        <x:f>IF(A208="","",IFERROR(LOOKUP(2,1/('Engineer Updates'!$B$5:$B$704=A208),'Engineer Updates'!$I$5:$I$704),""))</x:f>
      </x:c>
      <x:c r="U208" s="172" t="str">
        <x:f>IF(A208="","",IFERROR(LOOKUP(2,1/('Engineer Updates'!$B$5:$B$704=A208),'Engineer Updates'!$J$5:$J$704),""))</x:f>
      </x:c>
      <x:c r="V208" s="172" t="str">
        <x:f>IF(A208="","",IFERROR(LOOKUP(2,1/('Engineer Updates'!$B$5:$B$704=A208),'Engineer Updates'!$K$5:$K$704),""))</x:f>
      </x:c>
      <x:c r="W208" s="174" t="str">
        <x:f>IF(A208="","",IFERROR(LOOKUP(2,1/('Engineer Updates'!$B$5:$B$704=A208),'Engineer Updates'!$L$5:$L$704),""))</x:f>
      </x:c>
      <x:c r="X208" s="170" t="str">
        <x:f>IF(A208="","",IF(C208="completed","Completed in CSSP",IF(AND(C208="executing",ISERROR(SEARCH("@",K208))),"Executing without named engineer",IF(AND(N208="Confirmed OOS",C208="executing"),"Confirmed OOS still executing",""))))</x:f>
        <x:v>Completed in CSSP</x:v>
      </x:c>
      <x:c r="Y208" s="170" t="str">
        <x:f>IF(A208="","",IF(B208="Decommissioning","Raw Decommissioning","Raw Provisioning"))</x:f>
        <x:v>Raw Decommissioning</x:v>
      </x:c>
      <x:c r="Z208" s="170" t="str">
        <x:f>IF(A208="","",IF(OR(C208="executing",C208="processing"),"Yes","No"))</x:f>
        <x:v>No</x:v>
      </x:c>
    </x:row>
    <x:row r="209">
      <x:c r="A209" s="170" t="str">
        <x:f>IF(ROWS($A$5:A209)&lt;=COUNTA('Raw Decommissioning'!$B$2:$B$1000),INDEX('Raw Decommissioning'!$B$2:$B$1000,ROWS($A$5:A209)),IF(ROWS($A$5:A209)-COUNTA('Raw Decommissioning'!$B$2:$B$1000)&lt;=COUNTA('Raw Provisioning'!$B$2:$B$1000),INDEX('Raw Provisioning'!$B$2:$B$1000,ROWS($A$5:A209)-COUNTA('Raw Decommissioning'!$B$2:$B$1000)),""))</x:f>
        <x:v>CSSP10754449</x:v>
      </x:c>
      <x:c r="B209" s="170" t="str">
        <x:f>IF(A209="","",IF(ROWS($A$5:A209)&lt;=COUNTA('Raw Decommissioning'!$B$2:$B$1000),"Decommissioning","Provisioning"))</x:f>
        <x:v>Decommissioning</x:v>
      </x:c>
      <x:c r="C209" s="170" t="str">
        <x:f>IF(A209="","",IF(B209="Decommissioning",IFERROR(INDEX('Raw Decommissioning'!$E$2:$E$1000,MATCH(A209,'Raw Decommissioning'!$B$2:$B$1000,0)),"Missing from latest raw"),IFERROR(INDEX('Raw Provisioning'!$E$2:$E$1000,MATCH(A209,'Raw Provisioning'!$B$2:$B$1000,0)),"Missing from latest raw")))</x:f>
        <x:v>completed</x:v>
      </x:c>
      <x:c r="D209" s="171" t="n">
        <x:f>IF(A209="","",'Refresh Control'!$B$4)</x:f>
        <x:v>46254</x:v>
      </x:c>
      <x:c r="E209" s="171" t="n">
        <x:f>IF(A209="","",IF(B209="Decommissioning",INDEX('Raw Decommissioning'!$F$2:$F$1000,ROWS($A$5:A209)),INDEX('Raw Provisioning'!$F$2:$F$1000,ROWS($A$5:A209)-COUNTA('Raw Decommissioning'!$B$2:$B$1000))))</x:f>
        <x:v>46156.050457129626</x:v>
      </x:c>
      <x:c r="F209" s="171" t="n">
        <x:f>IF(A209="","",IF(B209="Decommissioning",INDEX('Raw Decommissioning'!$G$2:$G$1000,ROWS($A$5:A209)),INDEX('Raw Provisioning'!$H$2:$H$1000,ROWS($A$5:A209)-COUNTA('Raw Decommissioning'!$B$2:$B$1000))))</x:f>
        <x:v>46176.29035008102</x:v>
      </x:c>
      <x:c r="G209" s="170" t="str">
        <x:f>IF(A209="","",IF(B209="Decommissioning",INDEX('Raw Decommissioning'!$I$2:$I$1000,ROWS($A$5:A209)),INDEX('Raw Provisioning'!$J$2:$J$1000,ROWS($A$5:A209)-COUNTA('Raw Decommissioning'!$B$2:$B$1000))))</x:f>
        <x:v>Upstream High-Performance Computing - HPC Technology Refresh</x:v>
      </x:c>
      <x:c r="H209" s="170" t="str">
        <x:f>IF(A209="","",IF(B209="Decommissioning",INDEX('Raw Decommissioning'!$J$2:$J$1000,ROWS($A$5:A209)),INDEX('Raw Provisioning'!$L$2:$L$1000,ROWS($A$5:A209)-COUNTA('Raw Decommissioning'!$B$2:$B$1000))))</x:f>
        <x:v>Implementation of Upstream High-Performance Computing (HPC) Technology Refresh for Upstream</x:v>
      </x:c>
      <x:c r="I209" s="170" t="str">
        <x:f>IF(A209="","",IF(B209="Decommissioning",INDEX('Raw Decommissioning'!$AL$2:$AL$1000,ROWS($A$5:A209)),INDEX('Raw Provisioning'!$R$2:$R$1000,ROWS($A$5:A209)-COUNTA('Raw Decommissioning'!$B$2:$B$1000))))</x:f>
        <x:v>L</x:v>
      </x:c>
      <x:c r="J209" s="170" t="str">
        <x:f>IF(A209="","",IF(B209="Decommissioning",INDEX('Raw Decommissioning'!$AG$2:$AG$1000,ROWS($A$5:A209)),INDEX('Raw Provisioning'!$AI$2:$AI$1000,ROWS($A$5:A209)-COUNTA('Raw Decommissioning'!$B$2:$B$1000))))</x:f>
        <x:v>azlisham.md@petronas.com</x:v>
      </x:c>
      <x:c r="K209" s="172" t="str">
        <x:f>IF(A209="","",IFERROR(LOOKUP(2,1/('Assignment History'!$B$5:$B$204=A209),'Assignment History'!$D$5:$D$204),IFERROR(VLOOKUP(J209,Configuration!$L$5:$M$50,2,FALSE),J209)))</x:f>
        <x:v>azlisham.md@petronas.com</x:v>
      </x:c>
      <x:c r="L209" s="172" t="str">
        <x:f>IF(A209="","",IF(K209=IFERROR(VLOOKUP(J209,Configuration!$L$5:$M$50,2,FALSE),J209),"Snapshot PIC","Replacement PIC"))</x:f>
        <x:v>Snapshot PIC</x:v>
      </x:c>
      <x:c r="M209" s="172" t="n">
        <x:f>IF(A209="","",IFERROR(VLOOKUP(I209,Configuration!$O$5:$P$8,2,FALSE),Configuration!$S$6))</x:f>
        <x:v>3</x:v>
      </x:c>
      <x:c r="N209" s="172" t="str">
        <x:f>IF(A209="","",IFERROR(LOOKUP(2,1/('Scope Review'!$B$5:$B$204=A209),'Scope Review'!$G$5:$G$204),"Not Reviewed"))</x:f>
        <x:v>Not Reviewed</x:v>
      </x:c>
      <x:c r="O209" s="172" t="str">
        <x:f>IF(A209="","",IFERROR(LOOKUP(2,1/('Scope Review'!$B$5:$B$204=A209),'Scope Review'!$H$5:$H$204),""))</x:f>
      </x:c>
      <x:c r="P209" s="172" t="n">
        <x:f>IF(A209="","",IF(AND(C209="executing",N209&lt;&gt;"Confirmed OOS"),M209,0))</x:f>
        <x:v>0</x:v>
      </x:c>
      <x:c r="Q209" s="173" t="str">
        <x:f>IF(A209="","",IFERROR(LOOKUP(2,1/('Engineer Updates'!$B$5:$B$704=A209),'Engineer Updates'!$A$5:$A$704),""))</x:f>
      </x:c>
      <x:c r="R209" s="172" t="str">
        <x:f>IF(A209="","",IFERROR(LOOKUP(2,1/('Engineer Updates'!$B$5:$B$704=A209),'Engineer Updates'!$H$5:$H$704),""))</x:f>
      </x:c>
      <x:c r="S209" s="172" t="str">
        <x:f>IF(A209="","",IFERROR(LOOKUP(2,1/('Engineer Updates'!$B$5:$B$704=A209),'Engineer Updates'!$G$5:$G$704),""))</x:f>
      </x:c>
      <x:c r="T209" s="172" t="str">
        <x:f>IF(A209="","",IFERROR(LOOKUP(2,1/('Engineer Updates'!$B$5:$B$704=A209),'Engineer Updates'!$I$5:$I$704),""))</x:f>
      </x:c>
      <x:c r="U209" s="172" t="str">
        <x:f>IF(A209="","",IFERROR(LOOKUP(2,1/('Engineer Updates'!$B$5:$B$704=A209),'Engineer Updates'!$J$5:$J$704),""))</x:f>
      </x:c>
      <x:c r="V209" s="172" t="str">
        <x:f>IF(A209="","",IFERROR(LOOKUP(2,1/('Engineer Updates'!$B$5:$B$704=A209),'Engineer Updates'!$K$5:$K$704),""))</x:f>
      </x:c>
      <x:c r="W209" s="174" t="str">
        <x:f>IF(A209="","",IFERROR(LOOKUP(2,1/('Engineer Updates'!$B$5:$B$704=A209),'Engineer Updates'!$L$5:$L$704),""))</x:f>
      </x:c>
      <x:c r="X209" s="170" t="str">
        <x:f>IF(A209="","",IF(C209="completed","Completed in CSSP",IF(AND(C209="executing",ISERROR(SEARCH("@",K209))),"Executing without named engineer",IF(AND(N209="Confirmed OOS",C209="executing"),"Confirmed OOS still executing",""))))</x:f>
        <x:v>Completed in CSSP</x:v>
      </x:c>
      <x:c r="Y209" s="170" t="str">
        <x:f>IF(A209="","",IF(B209="Decommissioning","Raw Decommissioning","Raw Provisioning"))</x:f>
        <x:v>Raw Decommissioning</x:v>
      </x:c>
      <x:c r="Z209" s="170" t="str">
        <x:f>IF(A209="","",IF(OR(C209="executing",C209="processing"),"Yes","No"))</x:f>
        <x:v>No</x:v>
      </x:c>
    </x:row>
    <x:row r="210">
      <x:c r="A210" s="170" t="str">
        <x:f>IF(ROWS($A$5:A210)&lt;=COUNTA('Raw Decommissioning'!$B$2:$B$1000),INDEX('Raw Decommissioning'!$B$2:$B$1000,ROWS($A$5:A210)),IF(ROWS($A$5:A210)-COUNTA('Raw Decommissioning'!$B$2:$B$1000)&lt;=COUNTA('Raw Provisioning'!$B$2:$B$1000),INDEX('Raw Provisioning'!$B$2:$B$1000,ROWS($A$5:A210)-COUNTA('Raw Decommissioning'!$B$2:$B$1000)),""))</x:f>
        <x:v>CSSP10309904</x:v>
      </x:c>
      <x:c r="B210" s="170" t="str">
        <x:f>IF(A210="","",IF(ROWS($A$5:A210)&lt;=COUNTA('Raw Decommissioning'!$B$2:$B$1000),"Decommissioning","Provisioning"))</x:f>
        <x:v>Decommissioning</x:v>
      </x:c>
      <x:c r="C210" s="170" t="str">
        <x:f>IF(A210="","",IF(B210="Decommissioning",IFERROR(INDEX('Raw Decommissioning'!$E$2:$E$1000,MATCH(A210,'Raw Decommissioning'!$B$2:$B$1000,0)),"Missing from latest raw"),IFERROR(INDEX('Raw Provisioning'!$E$2:$E$1000,MATCH(A210,'Raw Provisioning'!$B$2:$B$1000,0)),"Missing from latest raw")))</x:f>
        <x:v>cancelled</x:v>
      </x:c>
      <x:c r="D210" s="171" t="n">
        <x:f>IF(A210="","",'Refresh Control'!$B$4)</x:f>
        <x:v>46254</x:v>
      </x:c>
      <x:c r="E210" s="171" t="n">
        <x:f>IF(A210="","",IF(B210="Decommissioning",INDEX('Raw Decommissioning'!$F$2:$F$1000,ROWS($A$5:A210)),INDEX('Raw Provisioning'!$F$2:$F$1000,ROWS($A$5:A210)-COUNTA('Raw Decommissioning'!$B$2:$B$1000))))</x:f>
        <x:v>46156.058368958336</x:v>
      </x:c>
      <x:c r="F210" s="171" t="n">
        <x:f>IF(A210="","",IF(B210="Decommissioning",INDEX('Raw Decommissioning'!$G$2:$G$1000,ROWS($A$5:A210)),INDEX('Raw Provisioning'!$H$2:$H$1000,ROWS($A$5:A210)-COUNTA('Raw Decommissioning'!$B$2:$B$1000))))</x:f>
        <x:v>46156.065795173614</x:v>
      </x:c>
      <x:c r="G210" s="170" t="str">
        <x:f>IF(A210="","",IF(B210="Decommissioning",INDEX('Raw Decommissioning'!$I$2:$I$1000,ROWS($A$5:A210)),INDEX('Raw Provisioning'!$J$2:$J$1000,ROWS($A$5:A210)-COUNTA('Raw Decommissioning'!$B$2:$B$1000))))</x:f>
        <x:v>Digital Fields</x:v>
      </x:c>
      <x:c r="H210" s="170" t="str">
        <x:f>IF(A210="","",IF(B210="Decommissioning",INDEX('Raw Decommissioning'!$J$2:$J$1000,ROWS($A$5:A210)),INDEX('Raw Provisioning'!$L$2:$L$1000,ROWS($A$5:A210)-COUNTA('Raw Decommissioning'!$B$2:$B$1000))))</x:f>
        <x:v>Subscription of Cloud Services for Proxy Well Model (PWM) and Sand Advisor (SAr) for Scaling Digital Field for Center of Excellence</x:v>
      </x:c>
      <x:c r="I210" s="170" t="str">
        <x:f>IF(A210="","",IF(B210="Decommissioning",INDEX('Raw Decommissioning'!$AL$2:$AL$1000,ROWS($A$5:A210)),INDEX('Raw Provisioning'!$R$2:$R$1000,ROWS($A$5:A210)-COUNTA('Raw Decommissioning'!$B$2:$B$1000))))</x:f>
      </x:c>
      <x:c r="J210" s="170" t="str">
        <x:f>IF(A210="","",IF(B210="Decommissioning",INDEX('Raw Decommissioning'!$AG$2:$AG$1000,ROWS($A$5:A210)),INDEX('Raw Provisioning'!$AI$2:$AI$1000,ROWS($A$5:A210)-COUNTA('Raw Decommissioning'!$B$2:$B$1000))))</x:f>
        <x:v>CCoE Operations</x:v>
      </x:c>
      <x:c r="K210" s="172" t="str">
        <x:f>IF(A210="","",IFERROR(LOOKUP(2,1/('Assignment History'!$B$5:$B$204=A210),'Assignment History'!$D$5:$D$204),IFERROR(VLOOKUP(J210,Configuration!$L$5:$M$50,2,FALSE),J210)))</x:f>
        <x:v>CCoE Operations</x:v>
      </x:c>
      <x:c r="L210" s="172" t="str">
        <x:f>IF(A210="","",IF(K210=IFERROR(VLOOKUP(J210,Configuration!$L$5:$M$50,2,FALSE),J210),"Snapshot PIC","Replacement PIC"))</x:f>
        <x:v>Snapshot PIC</x:v>
      </x:c>
      <x:c r="M210" s="172" t="n">
        <x:f>IF(A210="","",IFERROR(VLOOKUP(I210,Configuration!$O$5:$P$8,2,FALSE),Configuration!$S$6))</x:f>
        <x:v>2</x:v>
      </x:c>
      <x:c r="N210" s="172" t="str">
        <x:f>IF(A210="","",IFERROR(LOOKUP(2,1/('Scope Review'!$B$5:$B$204=A210),'Scope Review'!$G$5:$G$204),"Not Reviewed"))</x:f>
        <x:v>Not Reviewed</x:v>
      </x:c>
      <x:c r="O210" s="172" t="str">
        <x:f>IF(A210="","",IFERROR(LOOKUP(2,1/('Scope Review'!$B$5:$B$204=A210),'Scope Review'!$H$5:$H$204),""))</x:f>
      </x:c>
      <x:c r="P210" s="172" t="n">
        <x:f>IF(A210="","",IF(AND(C210="executing",N210&lt;&gt;"Confirmed OOS"),M210,0))</x:f>
        <x:v>0</x:v>
      </x:c>
      <x:c r="Q210" s="173" t="str">
        <x:f>IF(A210="","",IFERROR(LOOKUP(2,1/('Engineer Updates'!$B$5:$B$704=A210),'Engineer Updates'!$A$5:$A$704),""))</x:f>
      </x:c>
      <x:c r="R210" s="172" t="str">
        <x:f>IF(A210="","",IFERROR(LOOKUP(2,1/('Engineer Updates'!$B$5:$B$704=A210),'Engineer Updates'!$H$5:$H$704),""))</x:f>
      </x:c>
      <x:c r="S210" s="172" t="str">
        <x:f>IF(A210="","",IFERROR(LOOKUP(2,1/('Engineer Updates'!$B$5:$B$704=A210),'Engineer Updates'!$G$5:$G$704),""))</x:f>
      </x:c>
      <x:c r="T210" s="172" t="str">
        <x:f>IF(A210="","",IFERROR(LOOKUP(2,1/('Engineer Updates'!$B$5:$B$704=A210),'Engineer Updates'!$I$5:$I$704),""))</x:f>
      </x:c>
      <x:c r="U210" s="172" t="str">
        <x:f>IF(A210="","",IFERROR(LOOKUP(2,1/('Engineer Updates'!$B$5:$B$704=A210),'Engineer Updates'!$J$5:$J$704),""))</x:f>
      </x:c>
      <x:c r="V210" s="172" t="str">
        <x:f>IF(A210="","",IFERROR(LOOKUP(2,1/('Engineer Updates'!$B$5:$B$704=A210),'Engineer Updates'!$K$5:$K$704),""))</x:f>
      </x:c>
      <x:c r="W210" s="174" t="str">
        <x:f>IF(A210="","",IFERROR(LOOKUP(2,1/('Engineer Updates'!$B$5:$B$704=A210),'Engineer Updates'!$L$5:$L$704),""))</x:f>
      </x:c>
      <x:c r="X210" s="170" t="str">
        <x:f>IF(A210="","",IF(C210="completed","Completed in CSSP",IF(AND(C210="executing",ISERROR(SEARCH("@",K210))),"Executing without named engineer",IF(AND(N210="Confirmed OOS",C210="executing"),"Confirmed OOS still executing",""))))</x:f>
      </x:c>
      <x:c r="Y210" s="170" t="str">
        <x:f>IF(A210="","",IF(B210="Decommissioning","Raw Decommissioning","Raw Provisioning"))</x:f>
        <x:v>Raw Decommissioning</x:v>
      </x:c>
      <x:c r="Z210" s="170" t="str">
        <x:f>IF(A210="","",IF(OR(C210="executing",C210="processing"),"Yes","No"))</x:f>
        <x:v>No</x:v>
      </x:c>
    </x:row>
    <x:row r="211">
      <x:c r="A211" s="170" t="str">
        <x:f>IF(ROWS($A$5:A211)&lt;=COUNTA('Raw Decommissioning'!$B$2:$B$1000),INDEX('Raw Decommissioning'!$B$2:$B$1000,ROWS($A$5:A211)),IF(ROWS($A$5:A211)-COUNTA('Raw Decommissioning'!$B$2:$B$1000)&lt;=COUNTA('Raw Provisioning'!$B$2:$B$1000),INDEX('Raw Provisioning'!$B$2:$B$1000,ROWS($A$5:A211)-COUNTA('Raw Decommissioning'!$B$2:$B$1000)),""))</x:f>
        <x:v>CSSP10287067</x:v>
      </x:c>
      <x:c r="B211" s="170" t="str">
        <x:f>IF(A211="","",IF(ROWS($A$5:A211)&lt;=COUNTA('Raw Decommissioning'!$B$2:$B$1000),"Decommissioning","Provisioning"))</x:f>
        <x:v>Decommissioning</x:v>
      </x:c>
      <x:c r="C211" s="170" t="str">
        <x:f>IF(A211="","",IF(B211="Decommissioning",IFERROR(INDEX('Raw Decommissioning'!$E$2:$E$1000,MATCH(A211,'Raw Decommissioning'!$B$2:$B$1000,0)),"Missing from latest raw"),IFERROR(INDEX('Raw Provisioning'!$E$2:$E$1000,MATCH(A211,'Raw Provisioning'!$B$2:$B$1000,0)),"Missing from latest raw")))</x:f>
        <x:v>completed</x:v>
      </x:c>
      <x:c r="D211" s="171" t="n">
        <x:f>IF(A211="","",'Refresh Control'!$B$4)</x:f>
        <x:v>46254</x:v>
      </x:c>
      <x:c r="E211" s="171" t="n">
        <x:f>IF(A211="","",IF(B211="Decommissioning",INDEX('Raw Decommissioning'!$F$2:$F$1000,ROWS($A$5:A211)),INDEX('Raw Provisioning'!$F$2:$F$1000,ROWS($A$5:A211)-COUNTA('Raw Decommissioning'!$B$2:$B$1000))))</x:f>
        <x:v>46156.06747673611</x:v>
      </x:c>
      <x:c r="F211" s="171" t="n">
        <x:f>IF(A211="","",IF(B211="Decommissioning",INDEX('Raw Decommissioning'!$G$2:$G$1000,ROWS($A$5:A211)),INDEX('Raw Provisioning'!$H$2:$H$1000,ROWS($A$5:A211)-COUNTA('Raw Decommissioning'!$B$2:$B$1000))))</x:f>
        <x:v>46213.00206690972</x:v>
      </x:c>
      <x:c r="G211" s="170" t="str">
        <x:f>IF(A211="","",IF(B211="Decommissioning",INDEX('Raw Decommissioning'!$I$2:$I$1000,ROWS($A$5:A211)),INDEX('Raw Provisioning'!$J$2:$J$1000,ROWS($A$5:A211)-COUNTA('Raw Decommissioning'!$B$2:$B$1000))))</x:f>
        <x:v>Digital Fields</x:v>
      </x:c>
      <x:c r="H211" s="170" t="str">
        <x:f>IF(A211="","",IF(B211="Decommissioning",INDEX('Raw Decommissioning'!$J$2:$J$1000,ROWS($A$5:A211)),INDEX('Raw Provisioning'!$L$2:$L$1000,ROWS($A$5:A211)-COUNTA('Raw Decommissioning'!$B$2:$B$1000))))</x:f>
        <x:v>Subscription of Cloud Services for Proxy Well Model (PWM) and Sand Advisor (SAr) for Scaling Digital Field for Center of Excellence</x:v>
      </x:c>
      <x:c r="I211" s="170" t="str">
        <x:f>IF(A211="","",IF(B211="Decommissioning",INDEX('Raw Decommissioning'!$AL$2:$AL$1000,ROWS($A$5:A211)),INDEX('Raw Provisioning'!$R$2:$R$1000,ROWS($A$5:A211)-COUNTA('Raw Decommissioning'!$B$2:$B$1000))))</x:f>
        <x:v>M</x:v>
      </x:c>
      <x:c r="J211" s="170" t="str">
        <x:f>IF(A211="","",IF(B211="Decommissioning",INDEX('Raw Decommissioning'!$AG$2:$AG$1000,ROWS($A$5:A211)),INDEX('Raw Provisioning'!$AI$2:$AI$1000,ROWS($A$5:A211)-COUNTA('Raw Decommissioning'!$B$2:$B$1000))))</x:f>
        <x:v>azwan.badari@petronas.com</x:v>
      </x:c>
      <x:c r="K211" s="172" t="str">
        <x:f>IF(A211="","",IFERROR(LOOKUP(2,1/('Assignment History'!$B$5:$B$204=A211),'Assignment History'!$D$5:$D$204),IFERROR(VLOOKUP(J211,Configuration!$L$5:$M$50,2,FALSE),J211)))</x:f>
        <x:v>azwan.badari@petronas.com</x:v>
      </x:c>
      <x:c r="L211" s="172" t="str">
        <x:f>IF(A211="","",IF(K211=IFERROR(VLOOKUP(J211,Configuration!$L$5:$M$50,2,FALSE),J211),"Snapshot PIC","Replacement PIC"))</x:f>
        <x:v>Snapshot PIC</x:v>
      </x:c>
      <x:c r="M211" s="172" t="n">
        <x:f>IF(A211="","",IFERROR(VLOOKUP(I211,Configuration!$O$5:$P$8,2,FALSE),Configuration!$S$6))</x:f>
        <x:v>2</x:v>
      </x:c>
      <x:c r="N211" s="172" t="str">
        <x:f>IF(A211="","",IFERROR(LOOKUP(2,1/('Scope Review'!$B$5:$B$204=A211),'Scope Review'!$G$5:$G$204),"Not Reviewed"))</x:f>
        <x:v>Not Reviewed</x:v>
      </x:c>
      <x:c r="O211" s="172" t="str">
        <x:f>IF(A211="","",IFERROR(LOOKUP(2,1/('Scope Review'!$B$5:$B$204=A211),'Scope Review'!$H$5:$H$204),""))</x:f>
      </x:c>
      <x:c r="P211" s="172" t="n">
        <x:f>IF(A211="","",IF(AND(C211="executing",N211&lt;&gt;"Confirmed OOS"),M211,0))</x:f>
        <x:v>0</x:v>
      </x:c>
      <x:c r="Q211" s="173" t="str">
        <x:f>IF(A211="","",IFERROR(LOOKUP(2,1/('Engineer Updates'!$B$5:$B$704=A211),'Engineer Updates'!$A$5:$A$704),""))</x:f>
      </x:c>
      <x:c r="R211" s="172" t="str">
        <x:f>IF(A211="","",IFERROR(LOOKUP(2,1/('Engineer Updates'!$B$5:$B$704=A211),'Engineer Updates'!$H$5:$H$704),""))</x:f>
      </x:c>
      <x:c r="S211" s="172" t="str">
        <x:f>IF(A211="","",IFERROR(LOOKUP(2,1/('Engineer Updates'!$B$5:$B$704=A211),'Engineer Updates'!$G$5:$G$704),""))</x:f>
      </x:c>
      <x:c r="T211" s="172" t="str">
        <x:f>IF(A211="","",IFERROR(LOOKUP(2,1/('Engineer Updates'!$B$5:$B$704=A211),'Engineer Updates'!$I$5:$I$704),""))</x:f>
      </x:c>
      <x:c r="U211" s="172" t="str">
        <x:f>IF(A211="","",IFERROR(LOOKUP(2,1/('Engineer Updates'!$B$5:$B$704=A211),'Engineer Updates'!$J$5:$J$704),""))</x:f>
      </x:c>
      <x:c r="V211" s="172" t="str">
        <x:f>IF(A211="","",IFERROR(LOOKUP(2,1/('Engineer Updates'!$B$5:$B$704=A211),'Engineer Updates'!$K$5:$K$704),""))</x:f>
      </x:c>
      <x:c r="W211" s="174" t="str">
        <x:f>IF(A211="","",IFERROR(LOOKUP(2,1/('Engineer Updates'!$B$5:$B$704=A211),'Engineer Updates'!$L$5:$L$704),""))</x:f>
      </x:c>
      <x:c r="X211" s="170" t="str">
        <x:f>IF(A211="","",IF(C211="completed","Completed in CSSP",IF(AND(C211="executing",ISERROR(SEARCH("@",K211))),"Executing without named engineer",IF(AND(N211="Confirmed OOS",C211="executing"),"Confirmed OOS still executing",""))))</x:f>
        <x:v>Completed in CSSP</x:v>
      </x:c>
      <x:c r="Y211" s="170" t="str">
        <x:f>IF(A211="","",IF(B211="Decommissioning","Raw Decommissioning","Raw Provisioning"))</x:f>
        <x:v>Raw Decommissioning</x:v>
      </x:c>
      <x:c r="Z211" s="170" t="str">
        <x:f>IF(A211="","",IF(OR(C211="executing",C211="processing"),"Yes","No"))</x:f>
        <x:v>No</x:v>
      </x:c>
    </x:row>
    <x:row r="212">
      <x:c r="A212" s="170" t="str">
        <x:f>IF(ROWS($A$5:A212)&lt;=COUNTA('Raw Decommissioning'!$B$2:$B$1000),INDEX('Raw Decommissioning'!$B$2:$B$1000,ROWS($A$5:A212)),IF(ROWS($A$5:A212)-COUNTA('Raw Decommissioning'!$B$2:$B$1000)&lt;=COUNTA('Raw Provisioning'!$B$2:$B$1000),INDEX('Raw Provisioning'!$B$2:$B$1000,ROWS($A$5:A212)-COUNTA('Raw Decommissioning'!$B$2:$B$1000)),""))</x:f>
        <x:v>CSSP10122979</x:v>
      </x:c>
      <x:c r="B212" s="170" t="str">
        <x:f>IF(A212="","",IF(ROWS($A$5:A212)&lt;=COUNTA('Raw Decommissioning'!$B$2:$B$1000),"Decommissioning","Provisioning"))</x:f>
        <x:v>Decommissioning</x:v>
      </x:c>
      <x:c r="C212" s="170" t="str">
        <x:f>IF(A212="","",IF(B212="Decommissioning",IFERROR(INDEX('Raw Decommissioning'!$E$2:$E$1000,MATCH(A212,'Raw Decommissioning'!$B$2:$B$1000,0)),"Missing from latest raw"),IFERROR(INDEX('Raw Provisioning'!$E$2:$E$1000,MATCH(A212,'Raw Provisioning'!$B$2:$B$1000,0)),"Missing from latest raw")))</x:f>
        <x:v>completed</x:v>
      </x:c>
      <x:c r="D212" s="171" t="n">
        <x:f>IF(A212="","",'Refresh Control'!$B$4)</x:f>
        <x:v>46254</x:v>
      </x:c>
      <x:c r="E212" s="171" t="n">
        <x:f>IF(A212="","",IF(B212="Decommissioning",INDEX('Raw Decommissioning'!$F$2:$F$1000,ROWS($A$5:A212)),INDEX('Raw Provisioning'!$F$2:$F$1000,ROWS($A$5:A212)-COUNTA('Raw Decommissioning'!$B$2:$B$1000))))</x:f>
        <x:v>46156.071725636575</x:v>
      </x:c>
      <x:c r="F212" s="171" t="n">
        <x:f>IF(A212="","",IF(B212="Decommissioning",INDEX('Raw Decommissioning'!$G$2:$G$1000,ROWS($A$5:A212)),INDEX('Raw Provisioning'!$H$2:$H$1000,ROWS($A$5:A212)-COUNTA('Raw Decommissioning'!$B$2:$B$1000))))</x:f>
        <x:v>46209.10968123843</x:v>
      </x:c>
      <x:c r="G212" s="170" t="str">
        <x:f>IF(A212="","",IF(B212="Decommissioning",INDEX('Raw Decommissioning'!$I$2:$I$1000,ROWS($A$5:A212)),INDEX('Raw Provisioning'!$J$2:$J$1000,ROWS($A$5:A212)-COUNTA('Raw Decommissioning'!$B$2:$B$1000))))</x:f>
        <x:v>Integrated Computing and Security - ICS MRCSB</x:v>
      </x:c>
      <x:c r="H212" s="170" t="str">
        <x:f>IF(A212="","",IF(B212="Decommissioning",INDEX('Raw Decommissioning'!$J$2:$J$1000,ROWS($A$5:A212)),INDEX('Raw Provisioning'!$L$2:$L$1000,ROWS($A$5:A212)-COUNTA('Raw Decommissioning'!$B$2:$B$1000))))</x:f>
        <x:v>OCI MIGRATION - ACS Time Attendance System, HeadCount System, HSE Training Management System (HTMS), MANTRACKS, Meeting Room Booking System, Occupational Health Management System (OHMS)</x:v>
      </x:c>
      <x:c r="I212" s="170" t="str">
        <x:f>IF(A212="","",IF(B212="Decommissioning",INDEX('Raw Decommissioning'!$AL$2:$AL$1000,ROWS($A$5:A212)),INDEX('Raw Provisioning'!$R$2:$R$1000,ROWS($A$5:A212)-COUNTA('Raw Decommissioning'!$B$2:$B$1000))))</x:f>
        <x:v>M</x:v>
      </x:c>
      <x:c r="J212" s="170" t="str">
        <x:f>IF(A212="","",IF(B212="Decommissioning",INDEX('Raw Decommissioning'!$AG$2:$AG$1000,ROWS($A$5:A212)),INDEX('Raw Provisioning'!$AI$2:$AI$1000,ROWS($A$5:A212)-COUNTA('Raw Decommissioning'!$B$2:$B$1000))))</x:f>
        <x:v>azlisham.md@petronas.com</x:v>
      </x:c>
      <x:c r="K212" s="172" t="str">
        <x:f>IF(A212="","",IFERROR(LOOKUP(2,1/('Assignment History'!$B$5:$B$204=A212),'Assignment History'!$D$5:$D$204),IFERROR(VLOOKUP(J212,Configuration!$L$5:$M$50,2,FALSE),J212)))</x:f>
        <x:v>azlisham.md@petronas.com</x:v>
      </x:c>
      <x:c r="L212" s="172" t="str">
        <x:f>IF(A212="","",IF(K212=IFERROR(VLOOKUP(J212,Configuration!$L$5:$M$50,2,FALSE),J212),"Snapshot PIC","Replacement PIC"))</x:f>
        <x:v>Snapshot PIC</x:v>
      </x:c>
      <x:c r="M212" s="172" t="n">
        <x:f>IF(A212="","",IFERROR(VLOOKUP(I212,Configuration!$O$5:$P$8,2,FALSE),Configuration!$S$6))</x:f>
        <x:v>2</x:v>
      </x:c>
      <x:c r="N212" s="172" t="str">
        <x:f>IF(A212="","",IFERROR(LOOKUP(2,1/('Scope Review'!$B$5:$B$204=A212),'Scope Review'!$G$5:$G$204),"Not Reviewed"))</x:f>
        <x:v>Not Reviewed</x:v>
      </x:c>
      <x:c r="O212" s="172" t="str">
        <x:f>IF(A212="","",IFERROR(LOOKUP(2,1/('Scope Review'!$B$5:$B$204=A212),'Scope Review'!$H$5:$H$204),""))</x:f>
      </x:c>
      <x:c r="P212" s="172" t="n">
        <x:f>IF(A212="","",IF(AND(C212="executing",N212&lt;&gt;"Confirmed OOS"),M212,0))</x:f>
        <x:v>0</x:v>
      </x:c>
      <x:c r="Q212" s="173" t="str">
        <x:f>IF(A212="","",IFERROR(LOOKUP(2,1/('Engineer Updates'!$B$5:$B$704=A212),'Engineer Updates'!$A$5:$A$704),""))</x:f>
      </x:c>
      <x:c r="R212" s="172" t="str">
        <x:f>IF(A212="","",IFERROR(LOOKUP(2,1/('Engineer Updates'!$B$5:$B$704=A212),'Engineer Updates'!$H$5:$H$704),""))</x:f>
      </x:c>
      <x:c r="S212" s="172" t="str">
        <x:f>IF(A212="","",IFERROR(LOOKUP(2,1/('Engineer Updates'!$B$5:$B$704=A212),'Engineer Updates'!$G$5:$G$704),""))</x:f>
      </x:c>
      <x:c r="T212" s="172" t="str">
        <x:f>IF(A212="","",IFERROR(LOOKUP(2,1/('Engineer Updates'!$B$5:$B$704=A212),'Engineer Updates'!$I$5:$I$704),""))</x:f>
      </x:c>
      <x:c r="U212" s="172" t="str">
        <x:f>IF(A212="","",IFERROR(LOOKUP(2,1/('Engineer Updates'!$B$5:$B$704=A212),'Engineer Updates'!$J$5:$J$704),""))</x:f>
      </x:c>
      <x:c r="V212" s="172" t="str">
        <x:f>IF(A212="","",IFERROR(LOOKUP(2,1/('Engineer Updates'!$B$5:$B$704=A212),'Engineer Updates'!$K$5:$K$704),""))</x:f>
      </x:c>
      <x:c r="W212" s="174" t="str">
        <x:f>IF(A212="","",IFERROR(LOOKUP(2,1/('Engineer Updates'!$B$5:$B$704=A212),'Engineer Updates'!$L$5:$L$704),""))</x:f>
      </x:c>
      <x:c r="X212" s="170" t="str">
        <x:f>IF(A212="","",IF(C212="completed","Completed in CSSP",IF(AND(C212="executing",ISERROR(SEARCH("@",K212))),"Executing without named engineer",IF(AND(N212="Confirmed OOS",C212="executing"),"Confirmed OOS still executing",""))))</x:f>
        <x:v>Completed in CSSP</x:v>
      </x:c>
      <x:c r="Y212" s="170" t="str">
        <x:f>IF(A212="","",IF(B212="Decommissioning","Raw Decommissioning","Raw Provisioning"))</x:f>
        <x:v>Raw Decommissioning</x:v>
      </x:c>
      <x:c r="Z212" s="170" t="str">
        <x:f>IF(A212="","",IF(OR(C212="executing",C212="processing"),"Yes","No"))</x:f>
        <x:v>No</x:v>
      </x:c>
    </x:row>
    <x:row r="213">
      <x:c r="A213" s="170" t="str">
        <x:f>IF(ROWS($A$5:A213)&lt;=COUNTA('Raw Decommissioning'!$B$2:$B$1000),INDEX('Raw Decommissioning'!$B$2:$B$1000,ROWS($A$5:A213)),IF(ROWS($A$5:A213)-COUNTA('Raw Decommissioning'!$B$2:$B$1000)&lt;=COUNTA('Raw Provisioning'!$B$2:$B$1000),INDEX('Raw Provisioning'!$B$2:$B$1000,ROWS($A$5:A213)-COUNTA('Raw Decommissioning'!$B$2:$B$1000)),""))</x:f>
        <x:v>CSSP10207809</x:v>
      </x:c>
      <x:c r="B213" s="170" t="str">
        <x:f>IF(A213="","",IF(ROWS($A$5:A213)&lt;=COUNTA('Raw Decommissioning'!$B$2:$B$1000),"Decommissioning","Provisioning"))</x:f>
        <x:v>Decommissioning</x:v>
      </x:c>
      <x:c r="C213" s="170" t="str">
        <x:f>IF(A213="","",IF(B213="Decommissioning",IFERROR(INDEX('Raw Decommissioning'!$E$2:$E$1000,MATCH(A213,'Raw Decommissioning'!$B$2:$B$1000,0)),"Missing from latest raw"),IFERROR(INDEX('Raw Provisioning'!$E$2:$E$1000,MATCH(A213,'Raw Provisioning'!$B$2:$B$1000,0)),"Missing from latest raw")))</x:f>
        <x:v>completed</x:v>
      </x:c>
      <x:c r="D213" s="171" t="n">
        <x:f>IF(A213="","",'Refresh Control'!$B$4)</x:f>
        <x:v>46254</x:v>
      </x:c>
      <x:c r="E213" s="171" t="n">
        <x:f>IF(A213="","",IF(B213="Decommissioning",INDEX('Raw Decommissioning'!$F$2:$F$1000,ROWS($A$5:A213)),INDEX('Raw Provisioning'!$F$2:$F$1000,ROWS($A$5:A213)-COUNTA('Raw Decommissioning'!$B$2:$B$1000))))</x:f>
        <x:v>46156.07348802083</x:v>
      </x:c>
      <x:c r="F213" s="171" t="n">
        <x:f>IF(A213="","",IF(B213="Decommissioning",INDEX('Raw Decommissioning'!$G$2:$G$1000,ROWS($A$5:A213)),INDEX('Raw Provisioning'!$H$2:$H$1000,ROWS($A$5:A213)-COUNTA('Raw Decommissioning'!$B$2:$B$1000))))</x:f>
        <x:v>46204.29616693287</x:v>
      </x:c>
      <x:c r="G213" s="170" t="str">
        <x:f>IF(A213="","",IF(B213="Decommissioning",INDEX('Raw Decommissioning'!$I$2:$I$1000,ROWS($A$5:A213)),INDEX('Raw Provisioning'!$J$2:$J$1000,ROWS($A$5:A213)-COUNTA('Raw Decommissioning'!$B$2:$B$1000))))</x:f>
        <x:v>Integrated Computing and Security - ICS MRCSB</x:v>
      </x:c>
      <x:c r="H213" s="170" t="str">
        <x:f>IF(A213="","",IF(B213="Decommissioning",INDEX('Raw Decommissioning'!$J$2:$J$1000,ROWS($A$5:A213)),INDEX('Raw Provisioning'!$L$2:$L$1000,ROWS($A$5:A213)-COUNTA('Raw Decommissioning'!$B$2:$B$1000))))</x:f>
        <x:v>OCI MIGRATION - ICSPROD: ACS Time Attendance System, HeadCount System, HSE Training Management System (HTMS), MANTRACKS, Meeting Room Booking System, Occupational Health Management System (OHMS)</x:v>
      </x:c>
      <x:c r="I213" s="170" t="str">
        <x:f>IF(A213="","",IF(B213="Decommissioning",INDEX('Raw Decommissioning'!$AL$2:$AL$1000,ROWS($A$5:A213)),INDEX('Raw Provisioning'!$R$2:$R$1000,ROWS($A$5:A213)-COUNTA('Raw Decommissioning'!$B$2:$B$1000))))</x:f>
        <x:v>M</x:v>
      </x:c>
      <x:c r="J213" s="170" t="str">
        <x:f>IF(A213="","",IF(B213="Decommissioning",INDEX('Raw Decommissioning'!$AG$2:$AG$1000,ROWS($A$5:A213)),INDEX('Raw Provisioning'!$AI$2:$AI$1000,ROWS($A$5:A213)-COUNTA('Raw Decommissioning'!$B$2:$B$1000))))</x:f>
        <x:v>azlisham.md@petronas.com</x:v>
      </x:c>
      <x:c r="K213" s="172" t="str">
        <x:f>IF(A213="","",IFERROR(LOOKUP(2,1/('Assignment History'!$B$5:$B$204=A213),'Assignment History'!$D$5:$D$204),IFERROR(VLOOKUP(J213,Configuration!$L$5:$M$50,2,FALSE),J213)))</x:f>
        <x:v>azlisham.md@petronas.com</x:v>
      </x:c>
      <x:c r="L213" s="172" t="str">
        <x:f>IF(A213="","",IF(K213=IFERROR(VLOOKUP(J213,Configuration!$L$5:$M$50,2,FALSE),J213),"Snapshot PIC","Replacement PIC"))</x:f>
        <x:v>Snapshot PIC</x:v>
      </x:c>
      <x:c r="M213" s="172" t="n">
        <x:f>IF(A213="","",IFERROR(VLOOKUP(I213,Configuration!$O$5:$P$8,2,FALSE),Configuration!$S$6))</x:f>
        <x:v>2</x:v>
      </x:c>
      <x:c r="N213" s="172" t="str">
        <x:f>IF(A213="","",IFERROR(LOOKUP(2,1/('Scope Review'!$B$5:$B$204=A213),'Scope Review'!$G$5:$G$204),"Not Reviewed"))</x:f>
        <x:v>Not Reviewed</x:v>
      </x:c>
      <x:c r="O213" s="172" t="str">
        <x:f>IF(A213="","",IFERROR(LOOKUP(2,1/('Scope Review'!$B$5:$B$204=A213),'Scope Review'!$H$5:$H$204),""))</x:f>
      </x:c>
      <x:c r="P213" s="172" t="n">
        <x:f>IF(A213="","",IF(AND(C213="executing",N213&lt;&gt;"Confirmed OOS"),M213,0))</x:f>
        <x:v>0</x:v>
      </x:c>
      <x:c r="Q213" s="173" t="str">
        <x:f>IF(A213="","",IFERROR(LOOKUP(2,1/('Engineer Updates'!$B$5:$B$704=A213),'Engineer Updates'!$A$5:$A$704),""))</x:f>
      </x:c>
      <x:c r="R213" s="172" t="str">
        <x:f>IF(A213="","",IFERROR(LOOKUP(2,1/('Engineer Updates'!$B$5:$B$704=A213),'Engineer Updates'!$H$5:$H$704),""))</x:f>
      </x:c>
      <x:c r="S213" s="172" t="str">
        <x:f>IF(A213="","",IFERROR(LOOKUP(2,1/('Engineer Updates'!$B$5:$B$704=A213),'Engineer Updates'!$G$5:$G$704),""))</x:f>
      </x:c>
      <x:c r="T213" s="172" t="str">
        <x:f>IF(A213="","",IFERROR(LOOKUP(2,1/('Engineer Updates'!$B$5:$B$704=A213),'Engineer Updates'!$I$5:$I$704),""))</x:f>
      </x:c>
      <x:c r="U213" s="172" t="str">
        <x:f>IF(A213="","",IFERROR(LOOKUP(2,1/('Engineer Updates'!$B$5:$B$704=A213),'Engineer Updates'!$J$5:$J$704),""))</x:f>
      </x:c>
      <x:c r="V213" s="172" t="str">
        <x:f>IF(A213="","",IFERROR(LOOKUP(2,1/('Engineer Updates'!$B$5:$B$704=A213),'Engineer Updates'!$K$5:$K$704),""))</x:f>
      </x:c>
      <x:c r="W213" s="174" t="str">
        <x:f>IF(A213="","",IFERROR(LOOKUP(2,1/('Engineer Updates'!$B$5:$B$704=A213),'Engineer Updates'!$L$5:$L$704),""))</x:f>
      </x:c>
      <x:c r="X213" s="170" t="str">
        <x:f>IF(A213="","",IF(C213="completed","Completed in CSSP",IF(AND(C213="executing",ISERROR(SEARCH("@",K213))),"Executing without named engineer",IF(AND(N213="Confirmed OOS",C213="executing"),"Confirmed OOS still executing",""))))</x:f>
        <x:v>Completed in CSSP</x:v>
      </x:c>
      <x:c r="Y213" s="170" t="str">
        <x:f>IF(A213="","",IF(B213="Decommissioning","Raw Decommissioning","Raw Provisioning"))</x:f>
        <x:v>Raw Decommissioning</x:v>
      </x:c>
      <x:c r="Z213" s="170" t="str">
        <x:f>IF(A213="","",IF(OR(C213="executing",C213="processing"),"Yes","No"))</x:f>
        <x:v>No</x:v>
      </x:c>
    </x:row>
    <x:row r="214">
      <x:c r="A214" s="170" t="str">
        <x:f>IF(ROWS($A$5:A214)&lt;=COUNTA('Raw Decommissioning'!$B$2:$B$1000),INDEX('Raw Decommissioning'!$B$2:$B$1000,ROWS($A$5:A214)),IF(ROWS($A$5:A214)-COUNTA('Raw Decommissioning'!$B$2:$B$1000)&lt;=COUNTA('Raw Provisioning'!$B$2:$B$1000),INDEX('Raw Provisioning'!$B$2:$B$1000,ROWS($A$5:A214)-COUNTA('Raw Decommissioning'!$B$2:$B$1000)),""))</x:f>
        <x:v>CSSP10246852</x:v>
      </x:c>
      <x:c r="B214" s="170" t="str">
        <x:f>IF(A214="","",IF(ROWS($A$5:A214)&lt;=COUNTA('Raw Decommissioning'!$B$2:$B$1000),"Decommissioning","Provisioning"))</x:f>
        <x:v>Decommissioning</x:v>
      </x:c>
      <x:c r="C214" s="170" t="str">
        <x:f>IF(A214="","",IF(B214="Decommissioning",IFERROR(INDEX('Raw Decommissioning'!$E$2:$E$1000,MATCH(A214,'Raw Decommissioning'!$B$2:$B$1000,0)),"Missing from latest raw"),IFERROR(INDEX('Raw Provisioning'!$E$2:$E$1000,MATCH(A214,'Raw Provisioning'!$B$2:$B$1000,0)),"Missing from latest raw")))</x:f>
        <x:v>completed</x:v>
      </x:c>
      <x:c r="D214" s="171" t="n">
        <x:f>IF(A214="","",'Refresh Control'!$B$4)</x:f>
        <x:v>46254</x:v>
      </x:c>
      <x:c r="E214" s="171" t="n">
        <x:f>IF(A214="","",IF(B214="Decommissioning",INDEX('Raw Decommissioning'!$F$2:$F$1000,ROWS($A$5:A214)),INDEX('Raw Provisioning'!$F$2:$F$1000,ROWS($A$5:A214)-COUNTA('Raw Decommissioning'!$B$2:$B$1000))))</x:f>
        <x:v>46156.091822372684</x:v>
      </x:c>
      <x:c r="F214" s="171" t="n">
        <x:f>IF(A214="","",IF(B214="Decommissioning",INDEX('Raw Decommissioning'!$G$2:$G$1000,ROWS($A$5:A214)),INDEX('Raw Provisioning'!$H$2:$H$1000,ROWS($A$5:A214)-COUNTA('Raw Decommissioning'!$B$2:$B$1000))))</x:f>
        <x:v>46213.001630983796</x:v>
      </x:c>
      <x:c r="G214" s="170" t="str">
        <x:f>IF(A214="","",IF(B214="Decommissioning",INDEX('Raw Decommissioning'!$I$2:$I$1000,ROWS($A$5:A214)),INDEX('Raw Provisioning'!$J$2:$J$1000,ROWS($A$5:A214)-COUNTA('Raw Decommissioning'!$B$2:$B$1000))))</x:f>
        <x:v>Digital Fields</x:v>
      </x:c>
      <x:c r="H214" s="170" t="str">
        <x:f>IF(A214="","",IF(B214="Decommissioning",INDEX('Raw Decommissioning'!$J$2:$J$1000,ROWS($A$5:A214)),INDEX('Raw Provisioning'!$L$2:$L$1000,ROWS($A$5:A214)-COUNTA('Raw Decommissioning'!$B$2:$B$1000))))</x:f>
        <x:v>Subscription of Cloud Services for Proxy Well Model (PWM) and Sand Advisor (SAr) for Scaling Digital Field for Center of Excellence</x:v>
      </x:c>
      <x:c r="I214" s="170" t="str">
        <x:f>IF(A214="","",IF(B214="Decommissioning",INDEX('Raw Decommissioning'!$AL$2:$AL$1000,ROWS($A$5:A214)),INDEX('Raw Provisioning'!$R$2:$R$1000,ROWS($A$5:A214)-COUNTA('Raw Decommissioning'!$B$2:$B$1000))))</x:f>
        <x:v>M</x:v>
      </x:c>
      <x:c r="J214" s="170" t="str">
        <x:f>IF(A214="","",IF(B214="Decommissioning",INDEX('Raw Decommissioning'!$AG$2:$AG$1000,ROWS($A$5:A214)),INDEX('Raw Provisioning'!$AI$2:$AI$1000,ROWS($A$5:A214)-COUNTA('Raw Decommissioning'!$B$2:$B$1000))))</x:f>
        <x:v>azwan.badari@petronas.com</x:v>
      </x:c>
      <x:c r="K214" s="172" t="str">
        <x:f>IF(A214="","",IFERROR(LOOKUP(2,1/('Assignment History'!$B$5:$B$204=A214),'Assignment History'!$D$5:$D$204),IFERROR(VLOOKUP(J214,Configuration!$L$5:$M$50,2,FALSE),J214)))</x:f>
        <x:v>azwan.badari@petronas.com</x:v>
      </x:c>
      <x:c r="L214" s="172" t="str">
        <x:f>IF(A214="","",IF(K214=IFERROR(VLOOKUP(J214,Configuration!$L$5:$M$50,2,FALSE),J214),"Snapshot PIC","Replacement PIC"))</x:f>
        <x:v>Snapshot PIC</x:v>
      </x:c>
      <x:c r="M214" s="172" t="n">
        <x:f>IF(A214="","",IFERROR(VLOOKUP(I214,Configuration!$O$5:$P$8,2,FALSE),Configuration!$S$6))</x:f>
        <x:v>2</x:v>
      </x:c>
      <x:c r="N214" s="172" t="str">
        <x:f>IF(A214="","",IFERROR(LOOKUP(2,1/('Scope Review'!$B$5:$B$204=A214),'Scope Review'!$G$5:$G$204),"Not Reviewed"))</x:f>
        <x:v>Not Reviewed</x:v>
      </x:c>
      <x:c r="O214" s="172" t="str">
        <x:f>IF(A214="","",IFERROR(LOOKUP(2,1/('Scope Review'!$B$5:$B$204=A214),'Scope Review'!$H$5:$H$204),""))</x:f>
      </x:c>
      <x:c r="P214" s="172" t="n">
        <x:f>IF(A214="","",IF(AND(C214="executing",N214&lt;&gt;"Confirmed OOS"),M214,0))</x:f>
        <x:v>0</x:v>
      </x:c>
      <x:c r="Q214" s="173" t="str">
        <x:f>IF(A214="","",IFERROR(LOOKUP(2,1/('Engineer Updates'!$B$5:$B$704=A214),'Engineer Updates'!$A$5:$A$704),""))</x:f>
      </x:c>
      <x:c r="R214" s="172" t="str">
        <x:f>IF(A214="","",IFERROR(LOOKUP(2,1/('Engineer Updates'!$B$5:$B$704=A214),'Engineer Updates'!$H$5:$H$704),""))</x:f>
      </x:c>
      <x:c r="S214" s="172" t="str">
        <x:f>IF(A214="","",IFERROR(LOOKUP(2,1/('Engineer Updates'!$B$5:$B$704=A214),'Engineer Updates'!$G$5:$G$704),""))</x:f>
      </x:c>
      <x:c r="T214" s="172" t="str">
        <x:f>IF(A214="","",IFERROR(LOOKUP(2,1/('Engineer Updates'!$B$5:$B$704=A214),'Engineer Updates'!$I$5:$I$704),""))</x:f>
      </x:c>
      <x:c r="U214" s="172" t="str">
        <x:f>IF(A214="","",IFERROR(LOOKUP(2,1/('Engineer Updates'!$B$5:$B$704=A214),'Engineer Updates'!$J$5:$J$704),""))</x:f>
      </x:c>
      <x:c r="V214" s="172" t="str">
        <x:f>IF(A214="","",IFERROR(LOOKUP(2,1/('Engineer Updates'!$B$5:$B$704=A214),'Engineer Updates'!$K$5:$K$704),""))</x:f>
      </x:c>
      <x:c r="W214" s="174" t="str">
        <x:f>IF(A214="","",IFERROR(LOOKUP(2,1/('Engineer Updates'!$B$5:$B$704=A214),'Engineer Updates'!$L$5:$L$704),""))</x:f>
      </x:c>
      <x:c r="X214" s="170" t="str">
        <x:f>IF(A214="","",IF(C214="completed","Completed in CSSP",IF(AND(C214="executing",ISERROR(SEARCH("@",K214))),"Executing without named engineer",IF(AND(N214="Confirmed OOS",C214="executing"),"Confirmed OOS still executing",""))))</x:f>
        <x:v>Completed in CSSP</x:v>
      </x:c>
      <x:c r="Y214" s="170" t="str">
        <x:f>IF(A214="","",IF(B214="Decommissioning","Raw Decommissioning","Raw Provisioning"))</x:f>
        <x:v>Raw Decommissioning</x:v>
      </x:c>
      <x:c r="Z214" s="170" t="str">
        <x:f>IF(A214="","",IF(OR(C214="executing",C214="processing"),"Yes","No"))</x:f>
        <x:v>No</x:v>
      </x:c>
    </x:row>
    <x:row r="215">
      <x:c r="A215" s="170" t="str">
        <x:f>IF(ROWS($A$5:A215)&lt;=COUNTA('Raw Decommissioning'!$B$2:$B$1000),INDEX('Raw Decommissioning'!$B$2:$B$1000,ROWS($A$5:A215)),IF(ROWS($A$5:A215)-COUNTA('Raw Decommissioning'!$B$2:$B$1000)&lt;=COUNTA('Raw Provisioning'!$B$2:$B$1000),INDEX('Raw Provisioning'!$B$2:$B$1000,ROWS($A$5:A215)-COUNTA('Raw Decommissioning'!$B$2:$B$1000)),""))</x:f>
        <x:v>CSSP10725106</x:v>
      </x:c>
      <x:c r="B215" s="170" t="str">
        <x:f>IF(A215="","",IF(ROWS($A$5:A215)&lt;=COUNTA('Raw Decommissioning'!$B$2:$B$1000),"Decommissioning","Provisioning"))</x:f>
        <x:v>Decommissioning</x:v>
      </x:c>
      <x:c r="C215" s="170" t="str">
        <x:f>IF(A215="","",IF(B215="Decommissioning",IFERROR(INDEX('Raw Decommissioning'!$E$2:$E$1000,MATCH(A215,'Raw Decommissioning'!$B$2:$B$1000,0)),"Missing from latest raw"),IFERROR(INDEX('Raw Provisioning'!$E$2:$E$1000,MATCH(A215,'Raw Provisioning'!$B$2:$B$1000,0)),"Missing from latest raw")))</x:f>
        <x:v>completed</x:v>
      </x:c>
      <x:c r="D215" s="171" t="n">
        <x:f>IF(A215="","",'Refresh Control'!$B$4)</x:f>
        <x:v>46254</x:v>
      </x:c>
      <x:c r="E215" s="171" t="n">
        <x:f>IF(A215="","",IF(B215="Decommissioning",INDEX('Raw Decommissioning'!$F$2:$F$1000,ROWS($A$5:A215)),INDEX('Raw Provisioning'!$F$2:$F$1000,ROWS($A$5:A215)-COUNTA('Raw Decommissioning'!$B$2:$B$1000))))</x:f>
        <x:v>46156.271295011575</x:v>
      </x:c>
      <x:c r="F215" s="171" t="n">
        <x:f>IF(A215="","",IF(B215="Decommissioning",INDEX('Raw Decommissioning'!$G$2:$G$1000,ROWS($A$5:A215)),INDEX('Raw Provisioning'!$H$2:$H$1000,ROWS($A$5:A215)-COUNTA('Raw Decommissioning'!$B$2:$B$1000))))</x:f>
        <x:v>46177.25674892361</x:v>
      </x:c>
      <x:c r="G215" s="170" t="str">
        <x:f>IF(A215="","",IF(B215="Decommissioning",INDEX('Raw Decommissioning'!$I$2:$I$1000,ROWS($A$5:A215)),INDEX('Raw Provisioning'!$J$2:$J$1000,ROWS($A$5:A215)-COUNTA('Raw Decommissioning'!$B$2:$B$1000))))</x:f>
        <x:v>Alpha Gas</x:v>
      </x:c>
      <x:c r="H215" s="170" t="str">
        <x:f>IF(A215="","",IF(B215="Decommissioning",INDEX('Raw Decommissioning'!$J$2:$J$1000,ROWS($A$5:A215)),INDEX('Raw Provisioning'!$L$2:$L$1000,ROWS($A$5:A215)-COUNTA('Raw Decommissioning'!$B$2:$B$1000))))</x:f>
        <x:v>Alpha Gas Run and Maintain 2025</x:v>
      </x:c>
      <x:c r="I215" s="170" t="str">
        <x:f>IF(A215="","",IF(B215="Decommissioning",INDEX('Raw Decommissioning'!$AL$2:$AL$1000,ROWS($A$5:A215)),INDEX('Raw Provisioning'!$R$2:$R$1000,ROWS($A$5:A215)-COUNTA('Raw Decommissioning'!$B$2:$B$1000))))</x:f>
        <x:v>L</x:v>
      </x:c>
      <x:c r="J215" s="170" t="str">
        <x:f>IF(A215="","",IF(B215="Decommissioning",INDEX('Raw Decommissioning'!$AG$2:$AG$1000,ROWS($A$5:A215)),INDEX('Raw Provisioning'!$AI$2:$AI$1000,ROWS($A$5:A215)-COUNTA('Raw Decommissioning'!$B$2:$B$1000))))</x:f>
        <x:v>azwan.badari@petronas.com</x:v>
      </x:c>
      <x:c r="K215" s="172" t="str">
        <x:f>IF(A215="","",IFERROR(LOOKUP(2,1/('Assignment History'!$B$5:$B$204=A215),'Assignment History'!$D$5:$D$204),IFERROR(VLOOKUP(J215,Configuration!$L$5:$M$50,2,FALSE),J215)))</x:f>
        <x:v>azwan.badari@petronas.com</x:v>
      </x:c>
      <x:c r="L215" s="172" t="str">
        <x:f>IF(A215="","",IF(K215=IFERROR(VLOOKUP(J215,Configuration!$L$5:$M$50,2,FALSE),J215),"Snapshot PIC","Replacement PIC"))</x:f>
        <x:v>Snapshot PIC</x:v>
      </x:c>
      <x:c r="M215" s="172" t="n">
        <x:f>IF(A215="","",IFERROR(VLOOKUP(I215,Configuration!$O$5:$P$8,2,FALSE),Configuration!$S$6))</x:f>
        <x:v>3</x:v>
      </x:c>
      <x:c r="N215" s="172" t="str">
        <x:f>IF(A215="","",IFERROR(LOOKUP(2,1/('Scope Review'!$B$5:$B$204=A215),'Scope Review'!$G$5:$G$204),"Not Reviewed"))</x:f>
        <x:v>Not Reviewed</x:v>
      </x:c>
      <x:c r="O215" s="172" t="str">
        <x:f>IF(A215="","",IFERROR(LOOKUP(2,1/('Scope Review'!$B$5:$B$204=A215),'Scope Review'!$H$5:$H$204),""))</x:f>
      </x:c>
      <x:c r="P215" s="172" t="n">
        <x:f>IF(A215="","",IF(AND(C215="executing",N215&lt;&gt;"Confirmed OOS"),M215,0))</x:f>
        <x:v>0</x:v>
      </x:c>
      <x:c r="Q215" s="173" t="str">
        <x:f>IF(A215="","",IFERROR(LOOKUP(2,1/('Engineer Updates'!$B$5:$B$704=A215),'Engineer Updates'!$A$5:$A$704),""))</x:f>
      </x:c>
      <x:c r="R215" s="172" t="str">
        <x:f>IF(A215="","",IFERROR(LOOKUP(2,1/('Engineer Updates'!$B$5:$B$704=A215),'Engineer Updates'!$H$5:$H$704),""))</x:f>
      </x:c>
      <x:c r="S215" s="172" t="str">
        <x:f>IF(A215="","",IFERROR(LOOKUP(2,1/('Engineer Updates'!$B$5:$B$704=A215),'Engineer Updates'!$G$5:$G$704),""))</x:f>
      </x:c>
      <x:c r="T215" s="172" t="str">
        <x:f>IF(A215="","",IFERROR(LOOKUP(2,1/('Engineer Updates'!$B$5:$B$704=A215),'Engineer Updates'!$I$5:$I$704),""))</x:f>
      </x:c>
      <x:c r="U215" s="172" t="str">
        <x:f>IF(A215="","",IFERROR(LOOKUP(2,1/('Engineer Updates'!$B$5:$B$704=A215),'Engineer Updates'!$J$5:$J$704),""))</x:f>
      </x:c>
      <x:c r="V215" s="172" t="str">
        <x:f>IF(A215="","",IFERROR(LOOKUP(2,1/('Engineer Updates'!$B$5:$B$704=A215),'Engineer Updates'!$K$5:$K$704),""))</x:f>
      </x:c>
      <x:c r="W215" s="174" t="str">
        <x:f>IF(A215="","",IFERROR(LOOKUP(2,1/('Engineer Updates'!$B$5:$B$704=A215),'Engineer Updates'!$L$5:$L$704),""))</x:f>
      </x:c>
      <x:c r="X215" s="170" t="str">
        <x:f>IF(A215="","",IF(C215="completed","Completed in CSSP",IF(AND(C215="executing",ISERROR(SEARCH("@",K215))),"Executing without named engineer",IF(AND(N215="Confirmed OOS",C215="executing"),"Confirmed OOS still executing",""))))</x:f>
        <x:v>Completed in CSSP</x:v>
      </x:c>
      <x:c r="Y215" s="170" t="str">
        <x:f>IF(A215="","",IF(B215="Decommissioning","Raw Decommissioning","Raw Provisioning"))</x:f>
        <x:v>Raw Decommissioning</x:v>
      </x:c>
      <x:c r="Z215" s="170" t="str">
        <x:f>IF(A215="","",IF(OR(C215="executing",C215="processing"),"Yes","No"))</x:f>
        <x:v>No</x:v>
      </x:c>
    </x:row>
    <x:row r="216">
      <x:c r="A216" s="170" t="str">
        <x:f>IF(ROWS($A$5:A216)&lt;=COUNTA('Raw Decommissioning'!$B$2:$B$1000),INDEX('Raw Decommissioning'!$B$2:$B$1000,ROWS($A$5:A216)),IF(ROWS($A$5:A216)-COUNTA('Raw Decommissioning'!$B$2:$B$1000)&lt;=COUNTA('Raw Provisioning'!$B$2:$B$1000),INDEX('Raw Provisioning'!$B$2:$B$1000,ROWS($A$5:A216)-COUNTA('Raw Decommissioning'!$B$2:$B$1000)),""))</x:f>
        <x:v>CSSP10128428</x:v>
      </x:c>
      <x:c r="B216" s="170" t="str">
        <x:f>IF(A216="","",IF(ROWS($A$5:A216)&lt;=COUNTA('Raw Decommissioning'!$B$2:$B$1000),"Decommissioning","Provisioning"))</x:f>
        <x:v>Decommissioning</x:v>
      </x:c>
      <x:c r="C216" s="170" t="str">
        <x:f>IF(A216="","",IF(B216="Decommissioning",IFERROR(INDEX('Raw Decommissioning'!$E$2:$E$1000,MATCH(A216,'Raw Decommissioning'!$B$2:$B$1000,0)),"Missing from latest raw"),IFERROR(INDEX('Raw Provisioning'!$E$2:$E$1000,MATCH(A216,'Raw Provisioning'!$B$2:$B$1000,0)),"Missing from latest raw")))</x:f>
        <x:v>completed</x:v>
      </x:c>
      <x:c r="D216" s="171" t="n">
        <x:f>IF(A216="","",'Refresh Control'!$B$4)</x:f>
        <x:v>46254</x:v>
      </x:c>
      <x:c r="E216" s="171" t="n">
        <x:f>IF(A216="","",IF(B216="Decommissioning",INDEX('Raw Decommissioning'!$F$2:$F$1000,ROWS($A$5:A216)),INDEX('Raw Provisioning'!$F$2:$F$1000,ROWS($A$5:A216)-COUNTA('Raw Decommissioning'!$B$2:$B$1000))))</x:f>
        <x:v>46156.3205771412</x:v>
      </x:c>
      <x:c r="F216" s="171" t="n">
        <x:f>IF(A216="","",IF(B216="Decommissioning",INDEX('Raw Decommissioning'!$G$2:$G$1000,ROWS($A$5:A216)),INDEX('Raw Provisioning'!$H$2:$H$1000,ROWS($A$5:A216)-COUNTA('Raw Decommissioning'!$B$2:$B$1000))))</x:f>
        <x:v>46217.297702766205</x:v>
      </x:c>
      <x:c r="G216" s="170" t="str">
        <x:f>IF(A216="","",IF(B216="Decommissioning",INDEX('Raw Decommissioning'!$I$2:$I$1000,ROWS($A$5:A216)),INDEX('Raw Provisioning'!$J$2:$J$1000,ROWS($A$5:A216)-COUNTA('Raw Decommissioning'!$B$2:$B$1000))))</x:f>
        <x:v>Lab Information Management System - LIMS PGB</x:v>
      </x:c>
      <x:c r="H216" s="170" t="str">
        <x:f>IF(A216="","",IF(B216="Decommissioning",INDEX('Raw Decommissioning'!$J$2:$J$1000,ROWS($A$5:A216)),INDEX('Raw Provisioning'!$L$2:$L$1000,ROWS($A$5:A216)-COUNTA('Raw Decommissioning'!$B$2:$B$1000))))</x:f>
        <x:v>OCI MIGRATION - LIMS PGB</x:v>
      </x:c>
      <x:c r="I216" s="170" t="str">
        <x:f>IF(A216="","",IF(B216="Decommissioning",INDEX('Raw Decommissioning'!$AL$2:$AL$1000,ROWS($A$5:A216)),INDEX('Raw Provisioning'!$R$2:$R$1000,ROWS($A$5:A216)-COUNTA('Raw Decommissioning'!$B$2:$B$1000))))</x:f>
        <x:v>M</x:v>
      </x:c>
      <x:c r="J216" s="170" t="str">
        <x:f>IF(A216="","",IF(B216="Decommissioning",INDEX('Raw Decommissioning'!$AG$2:$AG$1000,ROWS($A$5:A216)),INDEX('Raw Provisioning'!$AI$2:$AI$1000,ROWS($A$5:A216)-COUNTA('Raw Decommissioning'!$B$2:$B$1000))))</x:f>
        <x:v>azlisham.md@petronas.com</x:v>
      </x:c>
      <x:c r="K216" s="172" t="str">
        <x:f>IF(A216="","",IFERROR(LOOKUP(2,1/('Assignment History'!$B$5:$B$204=A216),'Assignment History'!$D$5:$D$204),IFERROR(VLOOKUP(J216,Configuration!$L$5:$M$50,2,FALSE),J216)))</x:f>
        <x:v>azlisham.md@petronas.com</x:v>
      </x:c>
      <x:c r="L216" s="172" t="str">
        <x:f>IF(A216="","",IF(K216=IFERROR(VLOOKUP(J216,Configuration!$L$5:$M$50,2,FALSE),J216),"Snapshot PIC","Replacement PIC"))</x:f>
        <x:v>Snapshot PIC</x:v>
      </x:c>
      <x:c r="M216" s="172" t="n">
        <x:f>IF(A216="","",IFERROR(VLOOKUP(I216,Configuration!$O$5:$P$8,2,FALSE),Configuration!$S$6))</x:f>
        <x:v>2</x:v>
      </x:c>
      <x:c r="N216" s="172" t="str">
        <x:f>IF(A216="","",IFERROR(LOOKUP(2,1/('Scope Review'!$B$5:$B$204=A216),'Scope Review'!$G$5:$G$204),"Not Reviewed"))</x:f>
        <x:v>Not Reviewed</x:v>
      </x:c>
      <x:c r="O216" s="172" t="str">
        <x:f>IF(A216="","",IFERROR(LOOKUP(2,1/('Scope Review'!$B$5:$B$204=A216),'Scope Review'!$H$5:$H$204),""))</x:f>
      </x:c>
      <x:c r="P216" s="172" t="n">
        <x:f>IF(A216="","",IF(AND(C216="executing",N216&lt;&gt;"Confirmed OOS"),M216,0))</x:f>
        <x:v>0</x:v>
      </x:c>
      <x:c r="Q216" s="173" t="str">
        <x:f>IF(A216="","",IFERROR(LOOKUP(2,1/('Engineer Updates'!$B$5:$B$704=A216),'Engineer Updates'!$A$5:$A$704),""))</x:f>
      </x:c>
      <x:c r="R216" s="172" t="str">
        <x:f>IF(A216="","",IFERROR(LOOKUP(2,1/('Engineer Updates'!$B$5:$B$704=A216),'Engineer Updates'!$H$5:$H$704),""))</x:f>
      </x:c>
      <x:c r="S216" s="172" t="str">
        <x:f>IF(A216="","",IFERROR(LOOKUP(2,1/('Engineer Updates'!$B$5:$B$704=A216),'Engineer Updates'!$G$5:$G$704),""))</x:f>
      </x:c>
      <x:c r="T216" s="172" t="str">
        <x:f>IF(A216="","",IFERROR(LOOKUP(2,1/('Engineer Updates'!$B$5:$B$704=A216),'Engineer Updates'!$I$5:$I$704),""))</x:f>
      </x:c>
      <x:c r="U216" s="172" t="str">
        <x:f>IF(A216="","",IFERROR(LOOKUP(2,1/('Engineer Updates'!$B$5:$B$704=A216),'Engineer Updates'!$J$5:$J$704),""))</x:f>
      </x:c>
      <x:c r="V216" s="172" t="str">
        <x:f>IF(A216="","",IFERROR(LOOKUP(2,1/('Engineer Updates'!$B$5:$B$704=A216),'Engineer Updates'!$K$5:$K$704),""))</x:f>
      </x:c>
      <x:c r="W216" s="174" t="str">
        <x:f>IF(A216="","",IFERROR(LOOKUP(2,1/('Engineer Updates'!$B$5:$B$704=A216),'Engineer Updates'!$L$5:$L$704),""))</x:f>
      </x:c>
      <x:c r="X216" s="170" t="str">
        <x:f>IF(A216="","",IF(C216="completed","Completed in CSSP",IF(AND(C216="executing",ISERROR(SEARCH("@",K216))),"Executing without named engineer",IF(AND(N216="Confirmed OOS",C216="executing"),"Confirmed OOS still executing",""))))</x:f>
        <x:v>Completed in CSSP</x:v>
      </x:c>
      <x:c r="Y216" s="170" t="str">
        <x:f>IF(A216="","",IF(B216="Decommissioning","Raw Decommissioning","Raw Provisioning"))</x:f>
        <x:v>Raw Decommissioning</x:v>
      </x:c>
      <x:c r="Z216" s="170" t="str">
        <x:f>IF(A216="","",IF(OR(C216="executing",C216="processing"),"Yes","No"))</x:f>
        <x:v>No</x:v>
      </x:c>
    </x:row>
    <x:row r="217">
      <x:c r="A217" s="170" t="str">
        <x:f>IF(ROWS($A$5:A217)&lt;=COUNTA('Raw Decommissioning'!$B$2:$B$1000),INDEX('Raw Decommissioning'!$B$2:$B$1000,ROWS($A$5:A217)),IF(ROWS($A$5:A217)-COUNTA('Raw Decommissioning'!$B$2:$B$1000)&lt;=COUNTA('Raw Provisioning'!$B$2:$B$1000),INDEX('Raw Provisioning'!$B$2:$B$1000,ROWS($A$5:A217)-COUNTA('Raw Decommissioning'!$B$2:$B$1000)),""))</x:f>
        <x:v>CSSP10777099</x:v>
      </x:c>
      <x:c r="B217" s="170" t="str">
        <x:f>IF(A217="","",IF(ROWS($A$5:A217)&lt;=COUNTA('Raw Decommissioning'!$B$2:$B$1000),"Decommissioning","Provisioning"))</x:f>
        <x:v>Decommissioning</x:v>
      </x:c>
      <x:c r="C217" s="170" t="str">
        <x:f>IF(A217="","",IF(B217="Decommissioning",IFERROR(INDEX('Raw Decommissioning'!$E$2:$E$1000,MATCH(A217,'Raw Decommissioning'!$B$2:$B$1000,0)),"Missing from latest raw"),IFERROR(INDEX('Raw Provisioning'!$E$2:$E$1000,MATCH(A217,'Raw Provisioning'!$B$2:$B$1000,0)),"Missing from latest raw")))</x:f>
        <x:v>completed</x:v>
      </x:c>
      <x:c r="D217" s="171" t="n">
        <x:f>IF(A217="","",'Refresh Control'!$B$4)</x:f>
        <x:v>46254</x:v>
      </x:c>
      <x:c r="E217" s="171" t="n">
        <x:f>IF(A217="","",IF(B217="Decommissioning",INDEX('Raw Decommissioning'!$F$2:$F$1000,ROWS($A$5:A217)),INDEX('Raw Provisioning'!$F$2:$F$1000,ROWS($A$5:A217)-COUNTA('Raw Decommissioning'!$B$2:$B$1000))))</x:f>
        <x:v>46156.322693263886</x:v>
      </x:c>
      <x:c r="F217" s="171" t="n">
        <x:f>IF(A217="","",IF(B217="Decommissioning",INDEX('Raw Decommissioning'!$G$2:$G$1000,ROWS($A$5:A217)),INDEX('Raw Provisioning'!$H$2:$H$1000,ROWS($A$5:A217)-COUNTA('Raw Decommissioning'!$B$2:$B$1000))))</x:f>
        <x:v>46198.24800104167</x:v>
      </x:c>
      <x:c r="G217" s="170" t="str">
        <x:f>IF(A217="","",IF(B217="Decommissioning",INDEX('Raw Decommissioning'!$I$2:$I$1000,ROWS($A$5:A217)),INDEX('Raw Provisioning'!$J$2:$J$1000,ROWS($A$5:A217)-COUNTA('Raw Decommissioning'!$B$2:$B$1000))))</x:f>
        <x:v>Lab Information Management System - LIMS PGB</x:v>
      </x:c>
      <x:c r="H217" s="170" t="str">
        <x:f>IF(A217="","",IF(B217="Decommissioning",INDEX('Raw Decommissioning'!$J$2:$J$1000,ROWS($A$5:A217)),INDEX('Raw Provisioning'!$L$2:$L$1000,ROWS($A$5:A217)-COUNTA('Raw Decommissioning'!$B$2:$B$1000))))</x:f>
        <x:v>OCI MIGRATION - Integrated Lab Information System (PGB)</x:v>
      </x:c>
      <x:c r="I217" s="170" t="str">
        <x:f>IF(A217="","",IF(B217="Decommissioning",INDEX('Raw Decommissioning'!$AL$2:$AL$1000,ROWS($A$5:A217)),INDEX('Raw Provisioning'!$R$2:$R$1000,ROWS($A$5:A217)-COUNTA('Raw Decommissioning'!$B$2:$B$1000))))</x:f>
        <x:v>M</x:v>
      </x:c>
      <x:c r="J217" s="170" t="str">
        <x:f>IF(A217="","",IF(B217="Decommissioning",INDEX('Raw Decommissioning'!$AG$2:$AG$1000,ROWS($A$5:A217)),INDEX('Raw Provisioning'!$AI$2:$AI$1000,ROWS($A$5:A217)-COUNTA('Raw Decommissioning'!$B$2:$B$1000))))</x:f>
        <x:v>azlisham.md@petronas.com</x:v>
      </x:c>
      <x:c r="K217" s="172" t="str">
        <x:f>IF(A217="","",IFERROR(LOOKUP(2,1/('Assignment History'!$B$5:$B$204=A217),'Assignment History'!$D$5:$D$204),IFERROR(VLOOKUP(J217,Configuration!$L$5:$M$50,2,FALSE),J217)))</x:f>
        <x:v>azlisham.md@petronas.com</x:v>
      </x:c>
      <x:c r="L217" s="172" t="str">
        <x:f>IF(A217="","",IF(K217=IFERROR(VLOOKUP(J217,Configuration!$L$5:$M$50,2,FALSE),J217),"Snapshot PIC","Replacement PIC"))</x:f>
        <x:v>Snapshot PIC</x:v>
      </x:c>
      <x:c r="M217" s="172" t="n">
        <x:f>IF(A217="","",IFERROR(VLOOKUP(I217,Configuration!$O$5:$P$8,2,FALSE),Configuration!$S$6))</x:f>
        <x:v>2</x:v>
      </x:c>
      <x:c r="N217" s="172" t="str">
        <x:f>IF(A217="","",IFERROR(LOOKUP(2,1/('Scope Review'!$B$5:$B$204=A217),'Scope Review'!$G$5:$G$204),"Not Reviewed"))</x:f>
        <x:v>Not Reviewed</x:v>
      </x:c>
      <x:c r="O217" s="172" t="str">
        <x:f>IF(A217="","",IFERROR(LOOKUP(2,1/('Scope Review'!$B$5:$B$204=A217),'Scope Review'!$H$5:$H$204),""))</x:f>
      </x:c>
      <x:c r="P217" s="172" t="n">
        <x:f>IF(A217="","",IF(AND(C217="executing",N217&lt;&gt;"Confirmed OOS"),M217,0))</x:f>
        <x:v>0</x:v>
      </x:c>
      <x:c r="Q217" s="173" t="str">
        <x:f>IF(A217="","",IFERROR(LOOKUP(2,1/('Engineer Updates'!$B$5:$B$704=A217),'Engineer Updates'!$A$5:$A$704),""))</x:f>
      </x:c>
      <x:c r="R217" s="172" t="str">
        <x:f>IF(A217="","",IFERROR(LOOKUP(2,1/('Engineer Updates'!$B$5:$B$704=A217),'Engineer Updates'!$H$5:$H$704),""))</x:f>
      </x:c>
      <x:c r="S217" s="172" t="str">
        <x:f>IF(A217="","",IFERROR(LOOKUP(2,1/('Engineer Updates'!$B$5:$B$704=A217),'Engineer Updates'!$G$5:$G$704),""))</x:f>
      </x:c>
      <x:c r="T217" s="172" t="str">
        <x:f>IF(A217="","",IFERROR(LOOKUP(2,1/('Engineer Updates'!$B$5:$B$704=A217),'Engineer Updates'!$I$5:$I$704),""))</x:f>
      </x:c>
      <x:c r="U217" s="172" t="str">
        <x:f>IF(A217="","",IFERROR(LOOKUP(2,1/('Engineer Updates'!$B$5:$B$704=A217),'Engineer Updates'!$J$5:$J$704),""))</x:f>
      </x:c>
      <x:c r="V217" s="172" t="str">
        <x:f>IF(A217="","",IFERROR(LOOKUP(2,1/('Engineer Updates'!$B$5:$B$704=A217),'Engineer Updates'!$K$5:$K$704),""))</x:f>
      </x:c>
      <x:c r="W217" s="174" t="str">
        <x:f>IF(A217="","",IFERROR(LOOKUP(2,1/('Engineer Updates'!$B$5:$B$704=A217),'Engineer Updates'!$L$5:$L$704),""))</x:f>
      </x:c>
      <x:c r="X217" s="170" t="str">
        <x:f>IF(A217="","",IF(C217="completed","Completed in CSSP",IF(AND(C217="executing",ISERROR(SEARCH("@",K217))),"Executing without named engineer",IF(AND(N217="Confirmed OOS",C217="executing"),"Confirmed OOS still executing",""))))</x:f>
        <x:v>Completed in CSSP</x:v>
      </x:c>
      <x:c r="Y217" s="170" t="str">
        <x:f>IF(A217="","",IF(B217="Decommissioning","Raw Decommissioning","Raw Provisioning"))</x:f>
        <x:v>Raw Decommissioning</x:v>
      </x:c>
      <x:c r="Z217" s="170" t="str">
        <x:f>IF(A217="","",IF(OR(C217="executing",C217="processing"),"Yes","No"))</x:f>
        <x:v>No</x:v>
      </x:c>
    </x:row>
    <x:row r="218">
      <x:c r="A218" s="170" t="str">
        <x:f>IF(ROWS($A$5:A218)&lt;=COUNTA('Raw Decommissioning'!$B$2:$B$1000),INDEX('Raw Decommissioning'!$B$2:$B$1000,ROWS($A$5:A218)),IF(ROWS($A$5:A218)-COUNTA('Raw Decommissioning'!$B$2:$B$1000)&lt;=COUNTA('Raw Provisioning'!$B$2:$B$1000),INDEX('Raw Provisioning'!$B$2:$B$1000,ROWS($A$5:A218)-COUNTA('Raw Decommissioning'!$B$2:$B$1000)),""))</x:f>
        <x:v>CSSP10355804</x:v>
      </x:c>
      <x:c r="B218" s="170" t="str">
        <x:f>IF(A218="","",IF(ROWS($A$5:A218)&lt;=COUNTA('Raw Decommissioning'!$B$2:$B$1000),"Decommissioning","Provisioning"))</x:f>
        <x:v>Decommissioning</x:v>
      </x:c>
      <x:c r="C218" s="170" t="str">
        <x:f>IF(A218="","",IF(B218="Decommissioning",IFERROR(INDEX('Raw Decommissioning'!$E$2:$E$1000,MATCH(A218,'Raw Decommissioning'!$B$2:$B$1000,0)),"Missing from latest raw"),IFERROR(INDEX('Raw Provisioning'!$E$2:$E$1000,MATCH(A218,'Raw Provisioning'!$B$2:$B$1000,0)),"Missing from latest raw")))</x:f>
        <x:v>cancelled</x:v>
      </x:c>
      <x:c r="D218" s="171" t="n">
        <x:f>IF(A218="","",'Refresh Control'!$B$4)</x:f>
        <x:v>46254</x:v>
      </x:c>
      <x:c r="E218" s="171" t="n">
        <x:f>IF(A218="","",IF(B218="Decommissioning",INDEX('Raw Decommissioning'!$F$2:$F$1000,ROWS($A$5:A218)),INDEX('Raw Provisioning'!$F$2:$F$1000,ROWS($A$5:A218)-COUNTA('Raw Decommissioning'!$B$2:$B$1000))))</x:f>
        <x:v>46157.02472997685</x:v>
      </x:c>
      <x:c r="F218" s="171" t="n">
        <x:f>IF(A218="","",IF(B218="Decommissioning",INDEX('Raw Decommissioning'!$G$2:$G$1000,ROWS($A$5:A218)),INDEX('Raw Provisioning'!$H$2:$H$1000,ROWS($A$5:A218)-COUNTA('Raw Decommissioning'!$B$2:$B$1000))))</x:f>
        <x:v>46160.30774204861</x:v>
      </x:c>
      <x:c r="G218" s="170" t="str">
        <x:f>IF(A218="","",IF(B218="Decommissioning",INDEX('Raw Decommissioning'!$I$2:$I$1000,ROWS($A$5:A218)),INDEX('Raw Provisioning'!$J$2:$J$1000,ROWS($A$5:A218)-COUNTA('Raw Decommissioning'!$B$2:$B$1000))))</x:f>
        <x:v>SAP 36 SRM Enterprise Buyer Professional</x:v>
      </x:c>
      <x:c r="H218" s="170" t="str">
        <x:f>IF(A218="","",IF(B218="Decommissioning",INDEX('Raw Decommissioning'!$J$2:$J$1000,ROWS($A$5:A218)),INDEX('Raw Provisioning'!$L$2:$L$1000,ROWS($A$5:A218)-COUNTA('Raw Decommissioning'!$B$2:$B$1000))))</x:f>
        <x:v>Cloud Migration Program - Portal for SRM Enterprise Buyer Professional (SAP36)</x:v>
      </x:c>
      <x:c r="I218" s="170" t="str">
        <x:f>IF(A218="","",IF(B218="Decommissioning",INDEX('Raw Decommissioning'!$AL$2:$AL$1000,ROWS($A$5:A218)),INDEX('Raw Provisioning'!$R$2:$R$1000,ROWS($A$5:A218)-COUNTA('Raw Decommissioning'!$B$2:$B$1000))))</x:f>
      </x:c>
      <x:c r="J218" s="170" t="str">
        <x:f>IF(A218="","",IF(B218="Decommissioning",INDEX('Raw Decommissioning'!$AG$2:$AG$1000,ROWS($A$5:A218)),INDEX('Raw Provisioning'!$AI$2:$AI$1000,ROWS($A$5:A218)-COUNTA('Raw Decommissioning'!$B$2:$B$1000))))</x:f>
        <x:v>CCoE Operations</x:v>
      </x:c>
      <x:c r="K218" s="172" t="str">
        <x:f>IF(A218="","",IFERROR(LOOKUP(2,1/('Assignment History'!$B$5:$B$204=A218),'Assignment History'!$D$5:$D$204),IFERROR(VLOOKUP(J218,Configuration!$L$5:$M$50,2,FALSE),J218)))</x:f>
        <x:v>CCoE Operations</x:v>
      </x:c>
      <x:c r="L218" s="172" t="str">
        <x:f>IF(A218="","",IF(K218=IFERROR(VLOOKUP(J218,Configuration!$L$5:$M$50,2,FALSE),J218),"Snapshot PIC","Replacement PIC"))</x:f>
        <x:v>Snapshot PIC</x:v>
      </x:c>
      <x:c r="M218" s="172" t="n">
        <x:f>IF(A218="","",IFERROR(VLOOKUP(I218,Configuration!$O$5:$P$8,2,FALSE),Configuration!$S$6))</x:f>
        <x:v>2</x:v>
      </x:c>
      <x:c r="N218" s="172" t="str">
        <x:f>IF(A218="","",IFERROR(LOOKUP(2,1/('Scope Review'!$B$5:$B$204=A218),'Scope Review'!$G$5:$G$204),"Not Reviewed"))</x:f>
        <x:v>Not Reviewed</x:v>
      </x:c>
      <x:c r="O218" s="172" t="str">
        <x:f>IF(A218="","",IFERROR(LOOKUP(2,1/('Scope Review'!$B$5:$B$204=A218),'Scope Review'!$H$5:$H$204),""))</x:f>
      </x:c>
      <x:c r="P218" s="172" t="n">
        <x:f>IF(A218="","",IF(AND(C218="executing",N218&lt;&gt;"Confirmed OOS"),M218,0))</x:f>
        <x:v>0</x:v>
      </x:c>
      <x:c r="Q218" s="173" t="str">
        <x:f>IF(A218="","",IFERROR(LOOKUP(2,1/('Engineer Updates'!$B$5:$B$704=A218),'Engineer Updates'!$A$5:$A$704),""))</x:f>
      </x:c>
      <x:c r="R218" s="172" t="str">
        <x:f>IF(A218="","",IFERROR(LOOKUP(2,1/('Engineer Updates'!$B$5:$B$704=A218),'Engineer Updates'!$H$5:$H$704),""))</x:f>
      </x:c>
      <x:c r="S218" s="172" t="str">
        <x:f>IF(A218="","",IFERROR(LOOKUP(2,1/('Engineer Updates'!$B$5:$B$704=A218),'Engineer Updates'!$G$5:$G$704),""))</x:f>
      </x:c>
      <x:c r="T218" s="172" t="str">
        <x:f>IF(A218="","",IFERROR(LOOKUP(2,1/('Engineer Updates'!$B$5:$B$704=A218),'Engineer Updates'!$I$5:$I$704),""))</x:f>
      </x:c>
      <x:c r="U218" s="172" t="str">
        <x:f>IF(A218="","",IFERROR(LOOKUP(2,1/('Engineer Updates'!$B$5:$B$704=A218),'Engineer Updates'!$J$5:$J$704),""))</x:f>
      </x:c>
      <x:c r="V218" s="172" t="str">
        <x:f>IF(A218="","",IFERROR(LOOKUP(2,1/('Engineer Updates'!$B$5:$B$704=A218),'Engineer Updates'!$K$5:$K$704),""))</x:f>
      </x:c>
      <x:c r="W218" s="174" t="str">
        <x:f>IF(A218="","",IFERROR(LOOKUP(2,1/('Engineer Updates'!$B$5:$B$704=A218),'Engineer Updates'!$L$5:$L$704),""))</x:f>
      </x:c>
      <x:c r="X218" s="170" t="str">
        <x:f>IF(A218="","",IF(C218="completed","Completed in CSSP",IF(AND(C218="executing",ISERROR(SEARCH("@",K218))),"Executing without named engineer",IF(AND(N218="Confirmed OOS",C218="executing"),"Confirmed OOS still executing",""))))</x:f>
      </x:c>
      <x:c r="Y218" s="170" t="str">
        <x:f>IF(A218="","",IF(B218="Decommissioning","Raw Decommissioning","Raw Provisioning"))</x:f>
        <x:v>Raw Decommissioning</x:v>
      </x:c>
      <x:c r="Z218" s="170" t="str">
        <x:f>IF(A218="","",IF(OR(C218="executing",C218="processing"),"Yes","No"))</x:f>
        <x:v>No</x:v>
      </x:c>
    </x:row>
    <x:row r="219">
      <x:c r="A219" s="170" t="str">
        <x:f>IF(ROWS($A$5:A219)&lt;=COUNTA('Raw Decommissioning'!$B$2:$B$1000),INDEX('Raw Decommissioning'!$B$2:$B$1000,ROWS($A$5:A219)),IF(ROWS($A$5:A219)-COUNTA('Raw Decommissioning'!$B$2:$B$1000)&lt;=COUNTA('Raw Provisioning'!$B$2:$B$1000),INDEX('Raw Provisioning'!$B$2:$B$1000,ROWS($A$5:A219)-COUNTA('Raw Decommissioning'!$B$2:$B$1000)),""))</x:f>
        <x:v>CSSP10562864</x:v>
      </x:c>
      <x:c r="B219" s="170" t="str">
        <x:f>IF(A219="","",IF(ROWS($A$5:A219)&lt;=COUNTA('Raw Decommissioning'!$B$2:$B$1000),"Decommissioning","Provisioning"))</x:f>
        <x:v>Decommissioning</x:v>
      </x:c>
      <x:c r="C219" s="170" t="str">
        <x:f>IF(A219="","",IF(B219="Decommissioning",IFERROR(INDEX('Raw Decommissioning'!$E$2:$E$1000,MATCH(A219,'Raw Decommissioning'!$B$2:$B$1000,0)),"Missing from latest raw"),IFERROR(INDEX('Raw Provisioning'!$E$2:$E$1000,MATCH(A219,'Raw Provisioning'!$B$2:$B$1000,0)),"Missing from latest raw")))</x:f>
        <x:v>completed</x:v>
      </x:c>
      <x:c r="D219" s="171" t="n">
        <x:f>IF(A219="","",'Refresh Control'!$B$4)</x:f>
        <x:v>46254</x:v>
      </x:c>
      <x:c r="E219" s="171" t="n">
        <x:f>IF(A219="","",IF(B219="Decommissioning",INDEX('Raw Decommissioning'!$F$2:$F$1000,ROWS($A$5:A219)),INDEX('Raw Provisioning'!$F$2:$F$1000,ROWS($A$5:A219)-COUNTA('Raw Decommissioning'!$B$2:$B$1000))))</x:f>
        <x:v>46160.10242762732</x:v>
      </x:c>
      <x:c r="F219" s="171" t="n">
        <x:f>IF(A219="","",IF(B219="Decommissioning",INDEX('Raw Decommissioning'!$G$2:$G$1000,ROWS($A$5:A219)),INDEX('Raw Provisioning'!$H$2:$H$1000,ROWS($A$5:A219)-COUNTA('Raw Decommissioning'!$B$2:$B$1000))))</x:f>
        <x:v>46197.33616951389</x:v>
      </x:c>
      <x:c r="G219" s="170" t="str">
        <x:f>IF(A219="","",IF(B219="Decommissioning",INDEX('Raw Decommissioning'!$I$2:$I$1000,ROWS($A$5:A219)),INDEX('Raw Provisioning'!$J$2:$J$1000,ROWS($A$5:A219)-COUNTA('Raw Decommissioning'!$B$2:$B$1000))))</x:f>
        <x:v>Zidane LVC</x:v>
      </x:c>
      <x:c r="H219" s="170" t="str">
        <x:f>IF(A219="","",IF(B219="Decommissioning",INDEX('Raw Decommissioning'!$J$2:$J$1000,ROWS($A$5:A219)),INDEX('Raw Provisioning'!$L$2:$L$1000,ROWS($A$5:A219)-COUNTA('Raw Decommissioning'!$B$2:$B$1000))))</x:f>
        <x:v>Provision of Professional Service, Software License and Infra for Umbrella ArBiTra for PLL 2022-2023</x:v>
      </x:c>
      <x:c r="I219" s="170" t="str">
        <x:f>IF(A219="","",IF(B219="Decommissioning",INDEX('Raw Decommissioning'!$AL$2:$AL$1000,ROWS($A$5:A219)),INDEX('Raw Provisioning'!$R$2:$R$1000,ROWS($A$5:A219)-COUNTA('Raw Decommissioning'!$B$2:$B$1000))))</x:f>
        <x:v>M</x:v>
      </x:c>
      <x:c r="J219" s="170" t="str">
        <x:f>IF(A219="","",IF(B219="Decommissioning",INDEX('Raw Decommissioning'!$AG$2:$AG$1000,ROWS($A$5:A219)),INDEX('Raw Provisioning'!$AI$2:$AI$1000,ROWS($A$5:A219)-COUNTA('Raw Decommissioning'!$B$2:$B$1000))))</x:f>
        <x:v>azwan.badari@petronas.com</x:v>
      </x:c>
      <x:c r="K219" s="172" t="str">
        <x:f>IF(A219="","",IFERROR(LOOKUP(2,1/('Assignment History'!$B$5:$B$204=A219),'Assignment History'!$D$5:$D$204),IFERROR(VLOOKUP(J219,Configuration!$L$5:$M$50,2,FALSE),J219)))</x:f>
        <x:v>azwan.badari@petronas.com</x:v>
      </x:c>
      <x:c r="L219" s="172" t="str">
        <x:f>IF(A219="","",IF(K219=IFERROR(VLOOKUP(J219,Configuration!$L$5:$M$50,2,FALSE),J219),"Snapshot PIC","Replacement PIC"))</x:f>
        <x:v>Snapshot PIC</x:v>
      </x:c>
      <x:c r="M219" s="172" t="n">
        <x:f>IF(A219="","",IFERROR(VLOOKUP(I219,Configuration!$O$5:$P$8,2,FALSE),Configuration!$S$6))</x:f>
        <x:v>2</x:v>
      </x:c>
      <x:c r="N219" s="172" t="str">
        <x:f>IF(A219="","",IFERROR(LOOKUP(2,1/('Scope Review'!$B$5:$B$204=A219),'Scope Review'!$G$5:$G$204),"Not Reviewed"))</x:f>
        <x:v>Not Reviewed</x:v>
      </x:c>
      <x:c r="O219" s="172" t="str">
        <x:f>IF(A219="","",IFERROR(LOOKUP(2,1/('Scope Review'!$B$5:$B$204=A219),'Scope Review'!$H$5:$H$204),""))</x:f>
      </x:c>
      <x:c r="P219" s="172" t="n">
        <x:f>IF(A219="","",IF(AND(C219="executing",N219&lt;&gt;"Confirmed OOS"),M219,0))</x:f>
        <x:v>0</x:v>
      </x:c>
      <x:c r="Q219" s="173" t="str">
        <x:f>IF(A219="","",IFERROR(LOOKUP(2,1/('Engineer Updates'!$B$5:$B$704=A219),'Engineer Updates'!$A$5:$A$704),""))</x:f>
      </x:c>
      <x:c r="R219" s="172" t="str">
        <x:f>IF(A219="","",IFERROR(LOOKUP(2,1/('Engineer Updates'!$B$5:$B$704=A219),'Engineer Updates'!$H$5:$H$704),""))</x:f>
      </x:c>
      <x:c r="S219" s="172" t="str">
        <x:f>IF(A219="","",IFERROR(LOOKUP(2,1/('Engineer Updates'!$B$5:$B$704=A219),'Engineer Updates'!$G$5:$G$704),""))</x:f>
      </x:c>
      <x:c r="T219" s="172" t="str">
        <x:f>IF(A219="","",IFERROR(LOOKUP(2,1/('Engineer Updates'!$B$5:$B$704=A219),'Engineer Updates'!$I$5:$I$704),""))</x:f>
      </x:c>
      <x:c r="U219" s="172" t="str">
        <x:f>IF(A219="","",IFERROR(LOOKUP(2,1/('Engineer Updates'!$B$5:$B$704=A219),'Engineer Updates'!$J$5:$J$704),""))</x:f>
      </x:c>
      <x:c r="V219" s="172" t="str">
        <x:f>IF(A219="","",IFERROR(LOOKUP(2,1/('Engineer Updates'!$B$5:$B$704=A219),'Engineer Updates'!$K$5:$K$704),""))</x:f>
      </x:c>
      <x:c r="W219" s="174" t="str">
        <x:f>IF(A219="","",IFERROR(LOOKUP(2,1/('Engineer Updates'!$B$5:$B$704=A219),'Engineer Updates'!$L$5:$L$704),""))</x:f>
      </x:c>
      <x:c r="X219" s="170" t="str">
        <x:f>IF(A219="","",IF(C219="completed","Completed in CSSP",IF(AND(C219="executing",ISERROR(SEARCH("@",K219))),"Executing without named engineer",IF(AND(N219="Confirmed OOS",C219="executing"),"Confirmed OOS still executing",""))))</x:f>
        <x:v>Completed in CSSP</x:v>
      </x:c>
      <x:c r="Y219" s="170" t="str">
        <x:f>IF(A219="","",IF(B219="Decommissioning","Raw Decommissioning","Raw Provisioning"))</x:f>
        <x:v>Raw Decommissioning</x:v>
      </x:c>
      <x:c r="Z219" s="170" t="str">
        <x:f>IF(A219="","",IF(OR(C219="executing",C219="processing"),"Yes","No"))</x:f>
        <x:v>No</x:v>
      </x:c>
    </x:row>
    <x:row r="220">
      <x:c r="A220" s="170" t="str">
        <x:f>IF(ROWS($A$5:A220)&lt;=COUNTA('Raw Decommissioning'!$B$2:$B$1000),INDEX('Raw Decommissioning'!$B$2:$B$1000,ROWS($A$5:A220)),IF(ROWS($A$5:A220)-COUNTA('Raw Decommissioning'!$B$2:$B$1000)&lt;=COUNTA('Raw Provisioning'!$B$2:$B$1000),INDEX('Raw Provisioning'!$B$2:$B$1000,ROWS($A$5:A220)-COUNTA('Raw Decommissioning'!$B$2:$B$1000)),""))</x:f>
        <x:v>CSSP10322010</x:v>
      </x:c>
      <x:c r="B220" s="170" t="str">
        <x:f>IF(A220="","",IF(ROWS($A$5:A220)&lt;=COUNTA('Raw Decommissioning'!$B$2:$B$1000),"Decommissioning","Provisioning"))</x:f>
        <x:v>Decommissioning</x:v>
      </x:c>
      <x:c r="C220" s="170" t="str">
        <x:f>IF(A220="","",IF(B220="Decommissioning",IFERROR(INDEX('Raw Decommissioning'!$E$2:$E$1000,MATCH(A220,'Raw Decommissioning'!$B$2:$B$1000,0)),"Missing from latest raw"),IFERROR(INDEX('Raw Provisioning'!$E$2:$E$1000,MATCH(A220,'Raw Provisioning'!$B$2:$B$1000,0)),"Missing from latest raw")))</x:f>
        <x:v>completed</x:v>
      </x:c>
      <x:c r="D220" s="171" t="n">
        <x:f>IF(A220="","",'Refresh Control'!$B$4)</x:f>
        <x:v>46254</x:v>
      </x:c>
      <x:c r="E220" s="171" t="n">
        <x:f>IF(A220="","",IF(B220="Decommissioning",INDEX('Raw Decommissioning'!$F$2:$F$1000,ROWS($A$5:A220)),INDEX('Raw Provisioning'!$F$2:$F$1000,ROWS($A$5:A220)-COUNTA('Raw Decommissioning'!$B$2:$B$1000))))</x:f>
        <x:v>46160.11730074074</x:v>
      </x:c>
      <x:c r="F220" s="171" t="n">
        <x:f>IF(A220="","",IF(B220="Decommissioning",INDEX('Raw Decommissioning'!$G$2:$G$1000,ROWS($A$5:A220)),INDEX('Raw Provisioning'!$H$2:$H$1000,ROWS($A$5:A220)-COUNTA('Raw Decommissioning'!$B$2:$B$1000))))</x:f>
        <x:v>46164.30622398148</x:v>
      </x:c>
      <x:c r="G220" s="170" t="str">
        <x:f>IF(A220="","",IF(B220="Decommissioning",INDEX('Raw Decommissioning'!$I$2:$I$1000,ROWS($A$5:A220)),INDEX('Raw Provisioning'!$J$2:$J$1000,ROWS($A$5:A220)-COUNTA('Raw Decommissioning'!$B$2:$B$1000))))</x:f>
        <x:v>SAP 36 SRM Enterprise Buyer Professional</x:v>
      </x:c>
      <x:c r="H220" s="170" t="str">
        <x:f>IF(A220="","",IF(B220="Decommissioning",INDEX('Raw Decommissioning'!$J$2:$J$1000,ROWS($A$5:A220)),INDEX('Raw Provisioning'!$L$2:$L$1000,ROWS($A$5:A220)-COUNTA('Raw Decommissioning'!$B$2:$B$1000))))</x:f>
        <x:v>Cloud Migration Program - Portal for SRM Enterprise Buyer Professional (SAP36)</x:v>
      </x:c>
      <x:c r="I220" s="170" t="str">
        <x:f>IF(A220="","",IF(B220="Decommissioning",INDEX('Raw Decommissioning'!$AL$2:$AL$1000,ROWS($A$5:A220)),INDEX('Raw Provisioning'!$R$2:$R$1000,ROWS($A$5:A220)-COUNTA('Raw Decommissioning'!$B$2:$B$1000))))</x:f>
        <x:v>S</x:v>
      </x:c>
      <x:c r="J220" s="170" t="str">
        <x:f>IF(A220="","",IF(B220="Decommissioning",INDEX('Raw Decommissioning'!$AG$2:$AG$1000,ROWS($A$5:A220)),INDEX('Raw Provisioning'!$AI$2:$AI$1000,ROWS($A$5:A220)-COUNTA('Raw Decommissioning'!$B$2:$B$1000))))</x:f>
        <x:v>azwan.badari@petronas.com</x:v>
      </x:c>
      <x:c r="K220" s="172" t="str">
        <x:f>IF(A220="","",IFERROR(LOOKUP(2,1/('Assignment History'!$B$5:$B$204=A220),'Assignment History'!$D$5:$D$204),IFERROR(VLOOKUP(J220,Configuration!$L$5:$M$50,2,FALSE),J220)))</x:f>
        <x:v>azwan.badari@petronas.com</x:v>
      </x:c>
      <x:c r="L220" s="172" t="str">
        <x:f>IF(A220="","",IF(K220=IFERROR(VLOOKUP(J220,Configuration!$L$5:$M$50,2,FALSE),J220),"Snapshot PIC","Replacement PIC"))</x:f>
        <x:v>Snapshot PIC</x:v>
      </x:c>
      <x:c r="M220" s="172" t="n">
        <x:f>IF(A220="","",IFERROR(VLOOKUP(I220,Configuration!$O$5:$P$8,2,FALSE),Configuration!$S$6))</x:f>
        <x:v>1</x:v>
      </x:c>
      <x:c r="N220" s="172" t="str">
        <x:f>IF(A220="","",IFERROR(LOOKUP(2,1/('Scope Review'!$B$5:$B$204=A220),'Scope Review'!$G$5:$G$204),"Not Reviewed"))</x:f>
        <x:v>Not Reviewed</x:v>
      </x:c>
      <x:c r="O220" s="172" t="str">
        <x:f>IF(A220="","",IFERROR(LOOKUP(2,1/('Scope Review'!$B$5:$B$204=A220),'Scope Review'!$H$5:$H$204),""))</x:f>
      </x:c>
      <x:c r="P220" s="172" t="n">
        <x:f>IF(A220="","",IF(AND(C220="executing",N220&lt;&gt;"Confirmed OOS"),M220,0))</x:f>
        <x:v>0</x:v>
      </x:c>
      <x:c r="Q220" s="173" t="str">
        <x:f>IF(A220="","",IFERROR(LOOKUP(2,1/('Engineer Updates'!$B$5:$B$704=A220),'Engineer Updates'!$A$5:$A$704),""))</x:f>
      </x:c>
      <x:c r="R220" s="172" t="str">
        <x:f>IF(A220="","",IFERROR(LOOKUP(2,1/('Engineer Updates'!$B$5:$B$704=A220),'Engineer Updates'!$H$5:$H$704),""))</x:f>
      </x:c>
      <x:c r="S220" s="172" t="str">
        <x:f>IF(A220="","",IFERROR(LOOKUP(2,1/('Engineer Updates'!$B$5:$B$704=A220),'Engineer Updates'!$G$5:$G$704),""))</x:f>
      </x:c>
      <x:c r="T220" s="172" t="str">
        <x:f>IF(A220="","",IFERROR(LOOKUP(2,1/('Engineer Updates'!$B$5:$B$704=A220),'Engineer Updates'!$I$5:$I$704),""))</x:f>
      </x:c>
      <x:c r="U220" s="172" t="str">
        <x:f>IF(A220="","",IFERROR(LOOKUP(2,1/('Engineer Updates'!$B$5:$B$704=A220),'Engineer Updates'!$J$5:$J$704),""))</x:f>
      </x:c>
      <x:c r="V220" s="172" t="str">
        <x:f>IF(A220="","",IFERROR(LOOKUP(2,1/('Engineer Updates'!$B$5:$B$704=A220),'Engineer Updates'!$K$5:$K$704),""))</x:f>
      </x:c>
      <x:c r="W220" s="174" t="str">
        <x:f>IF(A220="","",IFERROR(LOOKUP(2,1/('Engineer Updates'!$B$5:$B$704=A220),'Engineer Updates'!$L$5:$L$704),""))</x:f>
      </x:c>
      <x:c r="X220" s="170" t="str">
        <x:f>IF(A220="","",IF(C220="completed","Completed in CSSP",IF(AND(C220="executing",ISERROR(SEARCH("@",K220))),"Executing without named engineer",IF(AND(N220="Confirmed OOS",C220="executing"),"Confirmed OOS still executing",""))))</x:f>
        <x:v>Completed in CSSP</x:v>
      </x:c>
      <x:c r="Y220" s="170" t="str">
        <x:f>IF(A220="","",IF(B220="Decommissioning","Raw Decommissioning","Raw Provisioning"))</x:f>
        <x:v>Raw Decommissioning</x:v>
      </x:c>
      <x:c r="Z220" s="170" t="str">
        <x:f>IF(A220="","",IF(OR(C220="executing",C220="processing"),"Yes","No"))</x:f>
        <x:v>No</x:v>
      </x:c>
    </x:row>
    <x:row r="221">
      <x:c r="A221" s="170" t="str">
        <x:f>IF(ROWS($A$5:A221)&lt;=COUNTA('Raw Decommissioning'!$B$2:$B$1000),INDEX('Raw Decommissioning'!$B$2:$B$1000,ROWS($A$5:A221)),IF(ROWS($A$5:A221)-COUNTA('Raw Decommissioning'!$B$2:$B$1000)&lt;=COUNTA('Raw Provisioning'!$B$2:$B$1000),INDEX('Raw Provisioning'!$B$2:$B$1000,ROWS($A$5:A221)-COUNTA('Raw Decommissioning'!$B$2:$B$1000)),""))</x:f>
        <x:v>CSSP10776636</x:v>
      </x:c>
      <x:c r="B221" s="170" t="str">
        <x:f>IF(A221="","",IF(ROWS($A$5:A221)&lt;=COUNTA('Raw Decommissioning'!$B$2:$B$1000),"Decommissioning","Provisioning"))</x:f>
        <x:v>Decommissioning</x:v>
      </x:c>
      <x:c r="C221" s="170" t="str">
        <x:f>IF(A221="","",IF(B221="Decommissioning",IFERROR(INDEX('Raw Decommissioning'!$E$2:$E$1000,MATCH(A221,'Raw Decommissioning'!$B$2:$B$1000,0)),"Missing from latest raw"),IFERROR(INDEX('Raw Provisioning'!$E$2:$E$1000,MATCH(A221,'Raw Provisioning'!$B$2:$B$1000,0)),"Missing from latest raw")))</x:f>
        <x:v>cancelled</x:v>
      </x:c>
      <x:c r="D221" s="171" t="n">
        <x:f>IF(A221="","",'Refresh Control'!$B$4)</x:f>
        <x:v>46254</x:v>
      </x:c>
      <x:c r="E221" s="171" t="n">
        <x:f>IF(A221="","",IF(B221="Decommissioning",INDEX('Raw Decommissioning'!$F$2:$F$1000,ROWS($A$5:A221)),INDEX('Raw Provisioning'!$F$2:$F$1000,ROWS($A$5:A221)-COUNTA('Raw Decommissioning'!$B$2:$B$1000))))</x:f>
        <x:v>46161.08342449074</x:v>
      </x:c>
      <x:c r="F221" s="171" t="n">
        <x:f>IF(A221="","",IF(B221="Decommissioning",INDEX('Raw Decommissioning'!$G$2:$G$1000,ROWS($A$5:A221)),INDEX('Raw Provisioning'!$H$2:$H$1000,ROWS($A$5:A221)-COUNTA('Raw Decommissioning'!$B$2:$B$1000))))</x:f>
        <x:v>46161.083687199076</x:v>
      </x:c>
      <x:c r="G221" s="170" t="str">
        <x:f>IF(A221="","",IF(B221="Decommissioning",INDEX('Raw Decommissioning'!$I$2:$I$1000,ROWS($A$5:A221)),INDEX('Raw Provisioning'!$J$2:$J$1000,ROWS($A$5:A221)-COUNTA('Raw Decommissioning'!$B$2:$B$1000))))</x:f>
        <x:v>Zidane OVC</x:v>
      </x:c>
      <x:c r="H221" s="170" t="str">
        <x:f>IF(A221="","",IF(B221="Decommissioning",INDEX('Raw Decommissioning'!$J$2:$J$1000,ROWS($A$5:A221)),INDEX('Raw Provisioning'!$L$2:$L$1000,ROWS($A$5:A221)-COUNTA('Raw Decommissioning'!$B$2:$B$1000))))</x:f>
        <x:v>Professional Service, Software License and Infra for ArBiTra to PTLCL 2022-2023</x:v>
      </x:c>
      <x:c r="I221" s="170" t="str">
        <x:f>IF(A221="","",IF(B221="Decommissioning",INDEX('Raw Decommissioning'!$AL$2:$AL$1000,ROWS($A$5:A221)),INDEX('Raw Provisioning'!$R$2:$R$1000,ROWS($A$5:A221)-COUNTA('Raw Decommissioning'!$B$2:$B$1000))))</x:f>
      </x:c>
      <x:c r="J221" s="170" t="str">
        <x:f>IF(A221="","",IF(B221="Decommissioning",INDEX('Raw Decommissioning'!$AG$2:$AG$1000,ROWS($A$5:A221)),INDEX('Raw Provisioning'!$AI$2:$AI$1000,ROWS($A$5:A221)-COUNTA('Raw Decommissioning'!$B$2:$B$1000))))</x:f>
        <x:v>CCoE Operations</x:v>
      </x:c>
      <x:c r="K221" s="172" t="str">
        <x:f>IF(A221="","",IFERROR(LOOKUP(2,1/('Assignment History'!$B$5:$B$204=A221),'Assignment History'!$D$5:$D$204),IFERROR(VLOOKUP(J221,Configuration!$L$5:$M$50,2,FALSE),J221)))</x:f>
        <x:v>CCoE Operations</x:v>
      </x:c>
      <x:c r="L221" s="172" t="str">
        <x:f>IF(A221="","",IF(K221=IFERROR(VLOOKUP(J221,Configuration!$L$5:$M$50,2,FALSE),J221),"Snapshot PIC","Replacement PIC"))</x:f>
        <x:v>Snapshot PIC</x:v>
      </x:c>
      <x:c r="M221" s="172" t="n">
        <x:f>IF(A221="","",IFERROR(VLOOKUP(I221,Configuration!$O$5:$P$8,2,FALSE),Configuration!$S$6))</x:f>
        <x:v>2</x:v>
      </x:c>
      <x:c r="N221" s="172" t="str">
        <x:f>IF(A221="","",IFERROR(LOOKUP(2,1/('Scope Review'!$B$5:$B$204=A221),'Scope Review'!$G$5:$G$204),"Not Reviewed"))</x:f>
        <x:v>Not Reviewed</x:v>
      </x:c>
      <x:c r="O221" s="172" t="str">
        <x:f>IF(A221="","",IFERROR(LOOKUP(2,1/('Scope Review'!$B$5:$B$204=A221),'Scope Review'!$H$5:$H$204),""))</x:f>
      </x:c>
      <x:c r="P221" s="172" t="n">
        <x:f>IF(A221="","",IF(AND(C221="executing",N221&lt;&gt;"Confirmed OOS"),M221,0))</x:f>
        <x:v>0</x:v>
      </x:c>
      <x:c r="Q221" s="173" t="str">
        <x:f>IF(A221="","",IFERROR(LOOKUP(2,1/('Engineer Updates'!$B$5:$B$704=A221),'Engineer Updates'!$A$5:$A$704),""))</x:f>
      </x:c>
      <x:c r="R221" s="172" t="str">
        <x:f>IF(A221="","",IFERROR(LOOKUP(2,1/('Engineer Updates'!$B$5:$B$704=A221),'Engineer Updates'!$H$5:$H$704),""))</x:f>
      </x:c>
      <x:c r="S221" s="172" t="str">
        <x:f>IF(A221="","",IFERROR(LOOKUP(2,1/('Engineer Updates'!$B$5:$B$704=A221),'Engineer Updates'!$G$5:$G$704),""))</x:f>
      </x:c>
      <x:c r="T221" s="172" t="str">
        <x:f>IF(A221="","",IFERROR(LOOKUP(2,1/('Engineer Updates'!$B$5:$B$704=A221),'Engineer Updates'!$I$5:$I$704),""))</x:f>
      </x:c>
      <x:c r="U221" s="172" t="str">
        <x:f>IF(A221="","",IFERROR(LOOKUP(2,1/('Engineer Updates'!$B$5:$B$704=A221),'Engineer Updates'!$J$5:$J$704),""))</x:f>
      </x:c>
      <x:c r="V221" s="172" t="str">
        <x:f>IF(A221="","",IFERROR(LOOKUP(2,1/('Engineer Updates'!$B$5:$B$704=A221),'Engineer Updates'!$K$5:$K$704),""))</x:f>
      </x:c>
      <x:c r="W221" s="174" t="str">
        <x:f>IF(A221="","",IFERROR(LOOKUP(2,1/('Engineer Updates'!$B$5:$B$704=A221),'Engineer Updates'!$L$5:$L$704),""))</x:f>
      </x:c>
      <x:c r="X221" s="170" t="str">
        <x:f>IF(A221="","",IF(C221="completed","Completed in CSSP",IF(AND(C221="executing",ISERROR(SEARCH("@",K221))),"Executing without named engineer",IF(AND(N221="Confirmed OOS",C221="executing"),"Confirmed OOS still executing",""))))</x:f>
      </x:c>
      <x:c r="Y221" s="170" t="str">
        <x:f>IF(A221="","",IF(B221="Decommissioning","Raw Decommissioning","Raw Provisioning"))</x:f>
        <x:v>Raw Decommissioning</x:v>
      </x:c>
      <x:c r="Z221" s="170" t="str">
        <x:f>IF(A221="","",IF(OR(C221="executing",C221="processing"),"Yes","No"))</x:f>
        <x:v>No</x:v>
      </x:c>
    </x:row>
    <x:row r="222">
      <x:c r="A222" s="170" t="str">
        <x:f>IF(ROWS($A$5:A222)&lt;=COUNTA('Raw Decommissioning'!$B$2:$B$1000),INDEX('Raw Decommissioning'!$B$2:$B$1000,ROWS($A$5:A222)),IF(ROWS($A$5:A222)-COUNTA('Raw Decommissioning'!$B$2:$B$1000)&lt;=COUNTA('Raw Provisioning'!$B$2:$B$1000),INDEX('Raw Provisioning'!$B$2:$B$1000,ROWS($A$5:A222)-COUNTA('Raw Decommissioning'!$B$2:$B$1000)),""))</x:f>
        <x:v>CSSP10586110</x:v>
      </x:c>
      <x:c r="B222" s="170" t="str">
        <x:f>IF(A222="","",IF(ROWS($A$5:A222)&lt;=COUNTA('Raw Decommissioning'!$B$2:$B$1000),"Decommissioning","Provisioning"))</x:f>
        <x:v>Decommissioning</x:v>
      </x:c>
      <x:c r="C222" s="170" t="str">
        <x:f>IF(A222="","",IF(B222="Decommissioning",IFERROR(INDEX('Raw Decommissioning'!$E$2:$E$1000,MATCH(A222,'Raw Decommissioning'!$B$2:$B$1000,0)),"Missing from latest raw"),IFERROR(INDEX('Raw Provisioning'!$E$2:$E$1000,MATCH(A222,'Raw Provisioning'!$B$2:$B$1000,0)),"Missing from latest raw")))</x:f>
        <x:v>completed</x:v>
      </x:c>
      <x:c r="D222" s="171" t="n">
        <x:f>IF(A222="","",'Refresh Control'!$B$4)</x:f>
        <x:v>46254</x:v>
      </x:c>
      <x:c r="E222" s="171" t="n">
        <x:f>IF(A222="","",IF(B222="Decommissioning",INDEX('Raw Decommissioning'!$F$2:$F$1000,ROWS($A$5:A222)),INDEX('Raw Provisioning'!$F$2:$F$1000,ROWS($A$5:A222)-COUNTA('Raw Decommissioning'!$B$2:$B$1000))))</x:f>
        <x:v>46161.085132280095</x:v>
      </x:c>
      <x:c r="F222" s="171" t="n">
        <x:f>IF(A222="","",IF(B222="Decommissioning",INDEX('Raw Decommissioning'!$G$2:$G$1000,ROWS($A$5:A222)),INDEX('Raw Provisioning'!$H$2:$H$1000,ROWS($A$5:A222)-COUNTA('Raw Decommissioning'!$B$2:$B$1000))))</x:f>
        <x:v>46197.35044652778</x:v>
      </x:c>
      <x:c r="G222" s="170" t="str">
        <x:f>IF(A222="","",IF(B222="Decommissioning",INDEX('Raw Decommissioning'!$I$2:$I$1000,ROWS($A$5:A222)),INDEX('Raw Provisioning'!$J$2:$J$1000,ROWS($A$5:A222)-COUNTA('Raw Decommissioning'!$B$2:$B$1000))))</x:f>
        <x:v>Zidane OVC</x:v>
      </x:c>
      <x:c r="H222" s="170" t="str">
        <x:f>IF(A222="","",IF(B222="Decommissioning",INDEX('Raw Decommissioning'!$J$2:$J$1000,ROWS($A$5:A222)),INDEX('Raw Provisioning'!$L$2:$L$1000,ROWS($A$5:A222)-COUNTA('Raw Decommissioning'!$B$2:$B$1000))))</x:f>
        <x:v>Professional Service, Software License and Infra for ArBiTra to PTLCL 2022-2023</x:v>
      </x:c>
      <x:c r="I222" s="170" t="str">
        <x:f>IF(A222="","",IF(B222="Decommissioning",INDEX('Raw Decommissioning'!$AL$2:$AL$1000,ROWS($A$5:A222)),INDEX('Raw Provisioning'!$R$2:$R$1000,ROWS($A$5:A222)-COUNTA('Raw Decommissioning'!$B$2:$B$1000))))</x:f>
        <x:v>M</x:v>
      </x:c>
      <x:c r="J222" s="170" t="str">
        <x:f>IF(A222="","",IF(B222="Decommissioning",INDEX('Raw Decommissioning'!$AG$2:$AG$1000,ROWS($A$5:A222)),INDEX('Raw Provisioning'!$AI$2:$AI$1000,ROWS($A$5:A222)-COUNTA('Raw Decommissioning'!$B$2:$B$1000))))</x:f>
        <x:v>azwan.badari@petronas.com</x:v>
      </x:c>
      <x:c r="K222" s="172" t="str">
        <x:f>IF(A222="","",IFERROR(LOOKUP(2,1/('Assignment History'!$B$5:$B$204=A222),'Assignment History'!$D$5:$D$204),IFERROR(VLOOKUP(J222,Configuration!$L$5:$M$50,2,FALSE),J222)))</x:f>
        <x:v>azwan.badari@petronas.com</x:v>
      </x:c>
      <x:c r="L222" s="172" t="str">
        <x:f>IF(A222="","",IF(K222=IFERROR(VLOOKUP(J222,Configuration!$L$5:$M$50,2,FALSE),J222),"Snapshot PIC","Replacement PIC"))</x:f>
        <x:v>Snapshot PIC</x:v>
      </x:c>
      <x:c r="M222" s="172" t="n">
        <x:f>IF(A222="","",IFERROR(VLOOKUP(I222,Configuration!$O$5:$P$8,2,FALSE),Configuration!$S$6))</x:f>
        <x:v>2</x:v>
      </x:c>
      <x:c r="N222" s="172" t="str">
        <x:f>IF(A222="","",IFERROR(LOOKUP(2,1/('Scope Review'!$B$5:$B$204=A222),'Scope Review'!$G$5:$G$204),"Not Reviewed"))</x:f>
        <x:v>Not Reviewed</x:v>
      </x:c>
      <x:c r="O222" s="172" t="str">
        <x:f>IF(A222="","",IFERROR(LOOKUP(2,1/('Scope Review'!$B$5:$B$204=A222),'Scope Review'!$H$5:$H$204),""))</x:f>
      </x:c>
      <x:c r="P222" s="172" t="n">
        <x:f>IF(A222="","",IF(AND(C222="executing",N222&lt;&gt;"Confirmed OOS"),M222,0))</x:f>
        <x:v>0</x:v>
      </x:c>
      <x:c r="Q222" s="173" t="str">
        <x:f>IF(A222="","",IFERROR(LOOKUP(2,1/('Engineer Updates'!$B$5:$B$704=A222),'Engineer Updates'!$A$5:$A$704),""))</x:f>
      </x:c>
      <x:c r="R222" s="172" t="str">
        <x:f>IF(A222="","",IFERROR(LOOKUP(2,1/('Engineer Updates'!$B$5:$B$704=A222),'Engineer Updates'!$H$5:$H$704),""))</x:f>
      </x:c>
      <x:c r="S222" s="172" t="str">
        <x:f>IF(A222="","",IFERROR(LOOKUP(2,1/('Engineer Updates'!$B$5:$B$704=A222),'Engineer Updates'!$G$5:$G$704),""))</x:f>
      </x:c>
      <x:c r="T222" s="172" t="str">
        <x:f>IF(A222="","",IFERROR(LOOKUP(2,1/('Engineer Updates'!$B$5:$B$704=A222),'Engineer Updates'!$I$5:$I$704),""))</x:f>
      </x:c>
      <x:c r="U222" s="172" t="str">
        <x:f>IF(A222="","",IFERROR(LOOKUP(2,1/('Engineer Updates'!$B$5:$B$704=A222),'Engineer Updates'!$J$5:$J$704),""))</x:f>
      </x:c>
      <x:c r="V222" s="172" t="str">
        <x:f>IF(A222="","",IFERROR(LOOKUP(2,1/('Engineer Updates'!$B$5:$B$704=A222),'Engineer Updates'!$K$5:$K$704),""))</x:f>
      </x:c>
      <x:c r="W222" s="174" t="str">
        <x:f>IF(A222="","",IFERROR(LOOKUP(2,1/('Engineer Updates'!$B$5:$B$704=A222),'Engineer Updates'!$L$5:$L$704),""))</x:f>
      </x:c>
      <x:c r="X222" s="170" t="str">
        <x:f>IF(A222="","",IF(C222="completed","Completed in CSSP",IF(AND(C222="executing",ISERROR(SEARCH("@",K222))),"Executing without named engineer",IF(AND(N222="Confirmed OOS",C222="executing"),"Confirmed OOS still executing",""))))</x:f>
        <x:v>Completed in CSSP</x:v>
      </x:c>
      <x:c r="Y222" s="170" t="str">
        <x:f>IF(A222="","",IF(B222="Decommissioning","Raw Decommissioning","Raw Provisioning"))</x:f>
        <x:v>Raw Decommissioning</x:v>
      </x:c>
      <x:c r="Z222" s="170" t="str">
        <x:f>IF(A222="","",IF(OR(C222="executing",C222="processing"),"Yes","No"))</x:f>
        <x:v>No</x:v>
      </x:c>
    </x:row>
    <x:row r="223">
      <x:c r="A223" s="170" t="str">
        <x:f>IF(ROWS($A$5:A223)&lt;=COUNTA('Raw Decommissioning'!$B$2:$B$1000),INDEX('Raw Decommissioning'!$B$2:$B$1000,ROWS($A$5:A223)),IF(ROWS($A$5:A223)-COUNTA('Raw Decommissioning'!$B$2:$B$1000)&lt;=COUNTA('Raw Provisioning'!$B$2:$B$1000),INDEX('Raw Provisioning'!$B$2:$B$1000,ROWS($A$5:A223)-COUNTA('Raw Decommissioning'!$B$2:$B$1000)),""))</x:f>
        <x:v>CSSP10474006</x:v>
      </x:c>
      <x:c r="B223" s="170" t="str">
        <x:f>IF(A223="","",IF(ROWS($A$5:A223)&lt;=COUNTA('Raw Decommissioning'!$B$2:$B$1000),"Decommissioning","Provisioning"))</x:f>
        <x:v>Decommissioning</x:v>
      </x:c>
      <x:c r="C223" s="170" t="str">
        <x:f>IF(A223="","",IF(B223="Decommissioning",IFERROR(INDEX('Raw Decommissioning'!$E$2:$E$1000,MATCH(A223,'Raw Decommissioning'!$B$2:$B$1000,0)),"Missing from latest raw"),IFERROR(INDEX('Raw Provisioning'!$E$2:$E$1000,MATCH(A223,'Raw Provisioning'!$B$2:$B$1000,0)),"Missing from latest raw")))</x:f>
        <x:v>pending</x:v>
      </x:c>
      <x:c r="D223" s="171" t="n">
        <x:f>IF(A223="","",'Refresh Control'!$B$4)</x:f>
        <x:v>46254</x:v>
      </x:c>
      <x:c r="E223" s="171" t="n">
        <x:f>IF(A223="","",IF(B223="Decommissioning",INDEX('Raw Decommissioning'!$F$2:$F$1000,ROWS($A$5:A223)),INDEX('Raw Provisioning'!$F$2:$F$1000,ROWS($A$5:A223)-COUNTA('Raw Decommissioning'!$B$2:$B$1000))))</x:f>
        <x:v>46161.118041215275</x:v>
      </x:c>
      <x:c r="F223" s="171" t="n">
        <x:f>IF(A223="","",IF(B223="Decommissioning",INDEX('Raw Decommissioning'!$G$2:$G$1000,ROWS($A$5:A223)),INDEX('Raw Provisioning'!$H$2:$H$1000,ROWS($A$5:A223)-COUNTA('Raw Decommissioning'!$B$2:$B$1000))))</x:f>
        <x:v>46161.16822730324</x:v>
      </x:c>
      <x:c r="G223" s="170" t="str">
        <x:f>IF(A223="","",IF(B223="Decommissioning",INDEX('Raw Decommissioning'!$I$2:$I$1000,ROWS($A$5:A223)),INDEX('Raw Provisioning'!$J$2:$J$1000,ROWS($A$5:A223)-COUNTA('Raw Decommissioning'!$B$2:$B$1000))))</x:f>
        <x:v>Refinery of the Future - ROTF PRPC</x:v>
      </x:c>
      <x:c r="H223" s="170" t="str">
        <x:f>IF(A223="","",IF(B223="Decommissioning",INDEX('Raw Decommissioning'!$J$2:$J$1000,ROWS($A$5:A223)),INDEX('Raw Provisioning'!$L$2:$L$1000,ROWS($A$5:A223)-COUNTA('Raw Decommissioning'!$B$2:$B$1000))))</x:f>
        <x:v>CTP - Refinery of the future (ROTF) - Feedstock</x:v>
      </x:c>
      <x:c r="I223" s="170" t="str">
        <x:f>IF(A223="","",IF(B223="Decommissioning",INDEX('Raw Decommissioning'!$AL$2:$AL$1000,ROWS($A$5:A223)),INDEX('Raw Provisioning'!$R$2:$R$1000,ROWS($A$5:A223)-COUNTA('Raw Decommissioning'!$B$2:$B$1000))))</x:f>
      </x:c>
      <x:c r="J223" s="170" t="str">
        <x:f>IF(A223="","",IF(B223="Decommissioning",INDEX('Raw Decommissioning'!$AG$2:$AG$1000,ROWS($A$5:A223)),INDEX('Raw Provisioning'!$AI$2:$AI$1000,ROWS($A$5:A223)-COUNTA('Raw Decommissioning'!$B$2:$B$1000))))</x:f>
        <x:v>CCoE Business</x:v>
      </x:c>
      <x:c r="K223" s="172" t="str">
        <x:f>IF(A223="","",IFERROR(LOOKUP(2,1/('Assignment History'!$B$5:$B$204=A223),'Assignment History'!$D$5:$D$204),IFERROR(VLOOKUP(J223,Configuration!$L$5:$M$50,2,FALSE),J223)))</x:f>
        <x:v>CCoE Business</x:v>
      </x:c>
      <x:c r="L223" s="172" t="str">
        <x:f>IF(A223="","",IF(K223=IFERROR(VLOOKUP(J223,Configuration!$L$5:$M$50,2,FALSE),J223),"Snapshot PIC","Replacement PIC"))</x:f>
        <x:v>Snapshot PIC</x:v>
      </x:c>
      <x:c r="M223" s="172" t="n">
        <x:f>IF(A223="","",IFERROR(VLOOKUP(I223,Configuration!$O$5:$P$8,2,FALSE),Configuration!$S$6))</x:f>
        <x:v>2</x:v>
      </x:c>
      <x:c r="N223" s="172" t="str">
        <x:f>IF(A223="","",IFERROR(LOOKUP(2,1/('Scope Review'!$B$5:$B$204=A223),'Scope Review'!$G$5:$G$204),"Not Reviewed"))</x:f>
        <x:v>Not Reviewed</x:v>
      </x:c>
      <x:c r="O223" s="172" t="str">
        <x:f>IF(A223="","",IFERROR(LOOKUP(2,1/('Scope Review'!$B$5:$B$204=A223),'Scope Review'!$H$5:$H$204),""))</x:f>
      </x:c>
      <x:c r="P223" s="172" t="n">
        <x:f>IF(A223="","",IF(AND(C223="executing",N223&lt;&gt;"Confirmed OOS"),M223,0))</x:f>
        <x:v>0</x:v>
      </x:c>
      <x:c r="Q223" s="173" t="str">
        <x:f>IF(A223="","",IFERROR(LOOKUP(2,1/('Engineer Updates'!$B$5:$B$704=A223),'Engineer Updates'!$A$5:$A$704),""))</x:f>
      </x:c>
      <x:c r="R223" s="172" t="str">
        <x:f>IF(A223="","",IFERROR(LOOKUP(2,1/('Engineer Updates'!$B$5:$B$704=A223),'Engineer Updates'!$H$5:$H$704),""))</x:f>
      </x:c>
      <x:c r="S223" s="172" t="str">
        <x:f>IF(A223="","",IFERROR(LOOKUP(2,1/('Engineer Updates'!$B$5:$B$704=A223),'Engineer Updates'!$G$5:$G$704),""))</x:f>
      </x:c>
      <x:c r="T223" s="172" t="str">
        <x:f>IF(A223="","",IFERROR(LOOKUP(2,1/('Engineer Updates'!$B$5:$B$704=A223),'Engineer Updates'!$I$5:$I$704),""))</x:f>
      </x:c>
      <x:c r="U223" s="172" t="str">
        <x:f>IF(A223="","",IFERROR(LOOKUP(2,1/('Engineer Updates'!$B$5:$B$704=A223),'Engineer Updates'!$J$5:$J$704),""))</x:f>
      </x:c>
      <x:c r="V223" s="172" t="str">
        <x:f>IF(A223="","",IFERROR(LOOKUP(2,1/('Engineer Updates'!$B$5:$B$704=A223),'Engineer Updates'!$K$5:$K$704),""))</x:f>
      </x:c>
      <x:c r="W223" s="174" t="str">
        <x:f>IF(A223="","",IFERROR(LOOKUP(2,1/('Engineer Updates'!$B$5:$B$704=A223),'Engineer Updates'!$L$5:$L$704),""))</x:f>
      </x:c>
      <x:c r="X223" s="170" t="str">
        <x:f>IF(A223="","",IF(C223="completed","Completed in CSSP",IF(AND(C223="executing",ISERROR(SEARCH("@",K223))),"Executing without named engineer",IF(AND(N223="Confirmed OOS",C223="executing"),"Confirmed OOS still executing",""))))</x:f>
      </x:c>
      <x:c r="Y223" s="170" t="str">
        <x:f>IF(A223="","",IF(B223="Decommissioning","Raw Decommissioning","Raw Provisioning"))</x:f>
        <x:v>Raw Decommissioning</x:v>
      </x:c>
      <x:c r="Z223" s="170" t="str">
        <x:f>IF(A223="","",IF(OR(C223="executing",C223="processing"),"Yes","No"))</x:f>
        <x:v>No</x:v>
      </x:c>
    </x:row>
    <x:row r="224">
      <x:c r="A224" s="170" t="str">
        <x:f>IF(ROWS($A$5:A224)&lt;=COUNTA('Raw Decommissioning'!$B$2:$B$1000),INDEX('Raw Decommissioning'!$B$2:$B$1000,ROWS($A$5:A224)),IF(ROWS($A$5:A224)-COUNTA('Raw Decommissioning'!$B$2:$B$1000)&lt;=COUNTA('Raw Provisioning'!$B$2:$B$1000),INDEX('Raw Provisioning'!$B$2:$B$1000,ROWS($A$5:A224)-COUNTA('Raw Decommissioning'!$B$2:$B$1000)),""))</x:f>
        <x:v>CSSP10791971</x:v>
      </x:c>
      <x:c r="B224" s="170" t="str">
        <x:f>IF(A224="","",IF(ROWS($A$5:A224)&lt;=COUNTA('Raw Decommissioning'!$B$2:$B$1000),"Decommissioning","Provisioning"))</x:f>
        <x:v>Decommissioning</x:v>
      </x:c>
      <x:c r="C224" s="170" t="str">
        <x:f>IF(A224="","",IF(B224="Decommissioning",IFERROR(INDEX('Raw Decommissioning'!$E$2:$E$1000,MATCH(A224,'Raw Decommissioning'!$B$2:$B$1000,0)),"Missing from latest raw"),IFERROR(INDEX('Raw Provisioning'!$E$2:$E$1000,MATCH(A224,'Raw Provisioning'!$B$2:$B$1000,0)),"Missing from latest raw")))</x:f>
        <x:v>pending</x:v>
      </x:c>
      <x:c r="D224" s="171" t="n">
        <x:f>IF(A224="","",'Refresh Control'!$B$4)</x:f>
        <x:v>46254</x:v>
      </x:c>
      <x:c r="E224" s="171" t="n">
        <x:f>IF(A224="","",IF(B224="Decommissioning",INDEX('Raw Decommissioning'!$F$2:$F$1000,ROWS($A$5:A224)),INDEX('Raw Provisioning'!$F$2:$F$1000,ROWS($A$5:A224)-COUNTA('Raw Decommissioning'!$B$2:$B$1000))))</x:f>
        <x:v>46161.34000105324</x:v>
      </x:c>
      <x:c r="F224" s="171" t="n">
        <x:f>IF(A224="","",IF(B224="Decommissioning",INDEX('Raw Decommissioning'!$G$2:$G$1000,ROWS($A$5:A224)),INDEX('Raw Provisioning'!$H$2:$H$1000,ROWS($A$5:A224)-COUNTA('Raw Decommissioning'!$B$2:$B$1000))))</x:f>
        <x:v>46161.34000105324</x:v>
      </x:c>
      <x:c r="G224" s="170" t="str">
        <x:f>IF(A224="","",IF(B224="Decommissioning",INDEX('Raw Decommissioning'!$I$2:$I$1000,ROWS($A$5:A224)),INDEX('Raw Provisioning'!$J$2:$J$1000,ROWS($A$5:A224)-COUNTA('Raw Decommissioning'!$B$2:$B$1000))))</x:f>
        <x:v>TO.PRODIGI - Centralised Database and Analytics</x:v>
      </x:c>
      <x:c r="H224" s="170" t="str">
        <x:f>IF(A224="","",IF(B224="Decommissioning",INDEX('Raw Decommissioning'!$J$2:$J$1000,ROWS($A$5:A224)),INDEX('Raw Provisioning'!$L$2:$L$1000,ROWS($A$5:A224)-COUNTA('Raw Decommissioning'!$B$2:$B$1000))))</x:f>
        <x:v>DevOps services of Centralized Database &amp; Analytics for Turkmenistan Operation</x:v>
      </x:c>
      <x:c r="I224" s="170" t="str">
        <x:f>IF(A224="","",IF(B224="Decommissioning",INDEX('Raw Decommissioning'!$AL$2:$AL$1000,ROWS($A$5:A224)),INDEX('Raw Provisioning'!$R$2:$R$1000,ROWS($A$5:A224)-COUNTA('Raw Decommissioning'!$B$2:$B$1000))))</x:f>
      </x:c>
      <x:c r="J224" s="170" t="str">
        <x:f>IF(A224="","",IF(B224="Decommissioning",INDEX('Raw Decommissioning'!$AG$2:$AG$1000,ROWS($A$5:A224)),INDEX('Raw Provisioning'!$AI$2:$AI$1000,ROWS($A$5:A224)-COUNTA('Raw Decommissioning'!$B$2:$B$1000))))</x:f>
        <x:v>CCoE Operations</x:v>
      </x:c>
      <x:c r="K224" s="172" t="str">
        <x:f>IF(A224="","",IFERROR(LOOKUP(2,1/('Assignment History'!$B$5:$B$204=A224),'Assignment History'!$D$5:$D$204),IFERROR(VLOOKUP(J224,Configuration!$L$5:$M$50,2,FALSE),J224)))</x:f>
        <x:v>CCoE Operations</x:v>
      </x:c>
      <x:c r="L224" s="172" t="str">
        <x:f>IF(A224="","",IF(K224=IFERROR(VLOOKUP(J224,Configuration!$L$5:$M$50,2,FALSE),J224),"Snapshot PIC","Replacement PIC"))</x:f>
        <x:v>Snapshot PIC</x:v>
      </x:c>
      <x:c r="M224" s="172" t="n">
        <x:f>IF(A224="","",IFERROR(VLOOKUP(I224,Configuration!$O$5:$P$8,2,FALSE),Configuration!$S$6))</x:f>
        <x:v>2</x:v>
      </x:c>
      <x:c r="N224" s="172" t="str">
        <x:f>IF(A224="","",IFERROR(LOOKUP(2,1/('Scope Review'!$B$5:$B$204=A224),'Scope Review'!$G$5:$G$204),"Not Reviewed"))</x:f>
        <x:v>Not Reviewed</x:v>
      </x:c>
      <x:c r="O224" s="172" t="str">
        <x:f>IF(A224="","",IFERROR(LOOKUP(2,1/('Scope Review'!$B$5:$B$204=A224),'Scope Review'!$H$5:$H$204),""))</x:f>
      </x:c>
      <x:c r="P224" s="172" t="n">
        <x:f>IF(A224="","",IF(AND(C224="executing",N224&lt;&gt;"Confirmed OOS"),M224,0))</x:f>
        <x:v>0</x:v>
      </x:c>
      <x:c r="Q224" s="173" t="str">
        <x:f>IF(A224="","",IFERROR(LOOKUP(2,1/('Engineer Updates'!$B$5:$B$704=A224),'Engineer Updates'!$A$5:$A$704),""))</x:f>
      </x:c>
      <x:c r="R224" s="172" t="str">
        <x:f>IF(A224="","",IFERROR(LOOKUP(2,1/('Engineer Updates'!$B$5:$B$704=A224),'Engineer Updates'!$H$5:$H$704),""))</x:f>
      </x:c>
      <x:c r="S224" s="172" t="str">
        <x:f>IF(A224="","",IFERROR(LOOKUP(2,1/('Engineer Updates'!$B$5:$B$704=A224),'Engineer Updates'!$G$5:$G$704),""))</x:f>
      </x:c>
      <x:c r="T224" s="172" t="str">
        <x:f>IF(A224="","",IFERROR(LOOKUP(2,1/('Engineer Updates'!$B$5:$B$704=A224),'Engineer Updates'!$I$5:$I$704),""))</x:f>
      </x:c>
      <x:c r="U224" s="172" t="str">
        <x:f>IF(A224="","",IFERROR(LOOKUP(2,1/('Engineer Updates'!$B$5:$B$704=A224),'Engineer Updates'!$J$5:$J$704),""))</x:f>
      </x:c>
      <x:c r="V224" s="172" t="str">
        <x:f>IF(A224="","",IFERROR(LOOKUP(2,1/('Engineer Updates'!$B$5:$B$704=A224),'Engineer Updates'!$K$5:$K$704),""))</x:f>
      </x:c>
      <x:c r="W224" s="174" t="str">
        <x:f>IF(A224="","",IFERROR(LOOKUP(2,1/('Engineer Updates'!$B$5:$B$704=A224),'Engineer Updates'!$L$5:$L$704),""))</x:f>
      </x:c>
      <x:c r="X224" s="170" t="str">
        <x:f>IF(A224="","",IF(C224="completed","Completed in CSSP",IF(AND(C224="executing",ISERROR(SEARCH("@",K224))),"Executing without named engineer",IF(AND(N224="Confirmed OOS",C224="executing"),"Confirmed OOS still executing",""))))</x:f>
      </x:c>
      <x:c r="Y224" s="170" t="str">
        <x:f>IF(A224="","",IF(B224="Decommissioning","Raw Decommissioning","Raw Provisioning"))</x:f>
        <x:v>Raw Decommissioning</x:v>
      </x:c>
      <x:c r="Z224" s="170" t="str">
        <x:f>IF(A224="","",IF(OR(C224="executing",C224="processing"),"Yes","No"))</x:f>
        <x:v>No</x:v>
      </x:c>
    </x:row>
    <x:row r="225">
      <x:c r="A225" s="170" t="str">
        <x:f>IF(ROWS($A$5:A225)&lt;=COUNTA('Raw Decommissioning'!$B$2:$B$1000),INDEX('Raw Decommissioning'!$B$2:$B$1000,ROWS($A$5:A225)),IF(ROWS($A$5:A225)-COUNTA('Raw Decommissioning'!$B$2:$B$1000)&lt;=COUNTA('Raw Provisioning'!$B$2:$B$1000),INDEX('Raw Provisioning'!$B$2:$B$1000,ROWS($A$5:A225)-COUNTA('Raw Decommissioning'!$B$2:$B$1000)),""))</x:f>
        <x:v>CSSP10954799</x:v>
      </x:c>
      <x:c r="B225" s="170" t="str">
        <x:f>IF(A225="","",IF(ROWS($A$5:A225)&lt;=COUNTA('Raw Decommissioning'!$B$2:$B$1000),"Decommissioning","Provisioning"))</x:f>
        <x:v>Decommissioning</x:v>
      </x:c>
      <x:c r="C225" s="170" t="str">
        <x:f>IF(A225="","",IF(B225="Decommissioning",IFERROR(INDEX('Raw Decommissioning'!$E$2:$E$1000,MATCH(A225,'Raw Decommissioning'!$B$2:$B$1000,0)),"Missing from latest raw"),IFERROR(INDEX('Raw Provisioning'!$E$2:$E$1000,MATCH(A225,'Raw Provisioning'!$B$2:$B$1000,0)),"Missing from latest raw")))</x:f>
        <x:v>cancelled</x:v>
      </x:c>
      <x:c r="D225" s="171" t="n">
        <x:f>IF(A225="","",'Refresh Control'!$B$4)</x:f>
        <x:v>46254</x:v>
      </x:c>
      <x:c r="E225" s="171" t="n">
        <x:f>IF(A225="","",IF(B225="Decommissioning",INDEX('Raw Decommissioning'!$F$2:$F$1000,ROWS($A$5:A225)),INDEX('Raw Provisioning'!$F$2:$F$1000,ROWS($A$5:A225)-COUNTA('Raw Decommissioning'!$B$2:$B$1000))))</x:f>
        <x:v>46162.090370011574</x:v>
      </x:c>
      <x:c r="F225" s="171" t="n">
        <x:f>IF(A225="","",IF(B225="Decommissioning",INDEX('Raw Decommissioning'!$G$2:$G$1000,ROWS($A$5:A225)),INDEX('Raw Provisioning'!$H$2:$H$1000,ROWS($A$5:A225)-COUNTA('Raw Decommissioning'!$B$2:$B$1000))))</x:f>
        <x:v>46162.09939315972</x:v>
      </x:c>
      <x:c r="G225" s="170" t="str">
        <x:f>IF(A225="","",IF(B225="Decommissioning",INDEX('Raw Decommissioning'!$I$2:$I$1000,ROWS($A$5:A225)),INDEX('Raw Provisioning'!$J$2:$J$1000,ROWS($A$5:A225)-COUNTA('Raw Decommissioning'!$B$2:$B$1000))))</x:f>
        <x:v>Structural Integrity Compliance System - SICS</x:v>
      </x:c>
      <x:c r="H225" s="170" t="str">
        <x:f>IF(A225="","",IF(B225="Decommissioning",INDEX('Raw Decommissioning'!$J$2:$J$1000,ROWS($A$5:A225)),INDEX('Raw Provisioning'!$L$2:$L$1000,ROWS($A$5:A225)-COUNTA('Raw Decommissioning'!$B$2:$B$1000))))</x:f>
        <x:v>Cloud Migration Program - Structure Information Control System (SICS) - U-IMAGe Operationalization - Structural Integrity Compliance System (SICS) for Floating Structure Integrity Management (FSIM)</x:v>
      </x:c>
      <x:c r="I225" s="170" t="str">
        <x:f>IF(A225="","",IF(B225="Decommissioning",INDEX('Raw Decommissioning'!$AL$2:$AL$1000,ROWS($A$5:A225)),INDEX('Raw Provisioning'!$R$2:$R$1000,ROWS($A$5:A225)-COUNTA('Raw Decommissioning'!$B$2:$B$1000))))</x:f>
      </x:c>
      <x:c r="J225" s="170" t="str">
        <x:f>IF(A225="","",IF(B225="Decommissioning",INDEX('Raw Decommissioning'!$AG$2:$AG$1000,ROWS($A$5:A225)),INDEX('Raw Provisioning'!$AI$2:$AI$1000,ROWS($A$5:A225)-COUNTA('Raw Decommissioning'!$B$2:$B$1000))))</x:f>
        <x:v>CCoE Operations</x:v>
      </x:c>
      <x:c r="K225" s="172" t="str">
        <x:f>IF(A225="","",IFERROR(LOOKUP(2,1/('Assignment History'!$B$5:$B$204=A225),'Assignment History'!$D$5:$D$204),IFERROR(VLOOKUP(J225,Configuration!$L$5:$M$50,2,FALSE),J225)))</x:f>
        <x:v>CCoE Operations</x:v>
      </x:c>
      <x:c r="L225" s="172" t="str">
        <x:f>IF(A225="","",IF(K225=IFERROR(VLOOKUP(J225,Configuration!$L$5:$M$50,2,FALSE),J225),"Snapshot PIC","Replacement PIC"))</x:f>
        <x:v>Snapshot PIC</x:v>
      </x:c>
      <x:c r="M225" s="172" t="n">
        <x:f>IF(A225="","",IFERROR(VLOOKUP(I225,Configuration!$O$5:$P$8,2,FALSE),Configuration!$S$6))</x:f>
        <x:v>2</x:v>
      </x:c>
      <x:c r="N225" s="172" t="str">
        <x:f>IF(A225="","",IFERROR(LOOKUP(2,1/('Scope Review'!$B$5:$B$204=A225),'Scope Review'!$G$5:$G$204),"Not Reviewed"))</x:f>
        <x:v>Not Reviewed</x:v>
      </x:c>
      <x:c r="O225" s="172" t="str">
        <x:f>IF(A225="","",IFERROR(LOOKUP(2,1/('Scope Review'!$B$5:$B$204=A225),'Scope Review'!$H$5:$H$204),""))</x:f>
      </x:c>
      <x:c r="P225" s="172" t="n">
        <x:f>IF(A225="","",IF(AND(C225="executing",N225&lt;&gt;"Confirmed OOS"),M225,0))</x:f>
        <x:v>0</x:v>
      </x:c>
      <x:c r="Q225" s="173" t="str">
        <x:f>IF(A225="","",IFERROR(LOOKUP(2,1/('Engineer Updates'!$B$5:$B$704=A225),'Engineer Updates'!$A$5:$A$704),""))</x:f>
      </x:c>
      <x:c r="R225" s="172" t="str">
        <x:f>IF(A225="","",IFERROR(LOOKUP(2,1/('Engineer Updates'!$B$5:$B$704=A225),'Engineer Updates'!$H$5:$H$704),""))</x:f>
      </x:c>
      <x:c r="S225" s="172" t="str">
        <x:f>IF(A225="","",IFERROR(LOOKUP(2,1/('Engineer Updates'!$B$5:$B$704=A225),'Engineer Updates'!$G$5:$G$704),""))</x:f>
      </x:c>
      <x:c r="T225" s="172" t="str">
        <x:f>IF(A225="","",IFERROR(LOOKUP(2,1/('Engineer Updates'!$B$5:$B$704=A225),'Engineer Updates'!$I$5:$I$704),""))</x:f>
      </x:c>
      <x:c r="U225" s="172" t="str">
        <x:f>IF(A225="","",IFERROR(LOOKUP(2,1/('Engineer Updates'!$B$5:$B$704=A225),'Engineer Updates'!$J$5:$J$704),""))</x:f>
      </x:c>
      <x:c r="V225" s="172" t="str">
        <x:f>IF(A225="","",IFERROR(LOOKUP(2,1/('Engineer Updates'!$B$5:$B$704=A225),'Engineer Updates'!$K$5:$K$704),""))</x:f>
      </x:c>
      <x:c r="W225" s="174" t="str">
        <x:f>IF(A225="","",IFERROR(LOOKUP(2,1/('Engineer Updates'!$B$5:$B$704=A225),'Engineer Updates'!$L$5:$L$704),""))</x:f>
      </x:c>
      <x:c r="X225" s="170" t="str">
        <x:f>IF(A225="","",IF(C225="completed","Completed in CSSP",IF(AND(C225="executing",ISERROR(SEARCH("@",K225))),"Executing without named engineer",IF(AND(N225="Confirmed OOS",C225="executing"),"Confirmed OOS still executing",""))))</x:f>
      </x:c>
      <x:c r="Y225" s="170" t="str">
        <x:f>IF(A225="","",IF(B225="Decommissioning","Raw Decommissioning","Raw Provisioning"))</x:f>
        <x:v>Raw Decommissioning</x:v>
      </x:c>
      <x:c r="Z225" s="170" t="str">
        <x:f>IF(A225="","",IF(OR(C225="executing",C225="processing"),"Yes","No"))</x:f>
        <x:v>No</x:v>
      </x:c>
    </x:row>
    <x:row r="226">
      <x:c r="A226" s="170" t="str">
        <x:f>IF(ROWS($A$5:A226)&lt;=COUNTA('Raw Decommissioning'!$B$2:$B$1000),INDEX('Raw Decommissioning'!$B$2:$B$1000,ROWS($A$5:A226)),IF(ROWS($A$5:A226)-COUNTA('Raw Decommissioning'!$B$2:$B$1000)&lt;=COUNTA('Raw Provisioning'!$B$2:$B$1000),INDEX('Raw Provisioning'!$B$2:$B$1000,ROWS($A$5:A226)-COUNTA('Raw Decommissioning'!$B$2:$B$1000)),""))</x:f>
        <x:v>CSSP10771542</x:v>
      </x:c>
      <x:c r="B226" s="170" t="str">
        <x:f>IF(A226="","",IF(ROWS($A$5:A226)&lt;=COUNTA('Raw Decommissioning'!$B$2:$B$1000),"Decommissioning","Provisioning"))</x:f>
        <x:v>Decommissioning</x:v>
      </x:c>
      <x:c r="C226" s="170" t="str">
        <x:f>IF(A226="","",IF(B226="Decommissioning",IFERROR(INDEX('Raw Decommissioning'!$E$2:$E$1000,MATCH(A226,'Raw Decommissioning'!$B$2:$B$1000,0)),"Missing from latest raw"),IFERROR(INDEX('Raw Provisioning'!$E$2:$E$1000,MATCH(A226,'Raw Provisioning'!$B$2:$B$1000,0)),"Missing from latest raw")))</x:f>
        <x:v>cancelled</x:v>
      </x:c>
      <x:c r="D226" s="171" t="n">
        <x:f>IF(A226="","",'Refresh Control'!$B$4)</x:f>
        <x:v>46254</x:v>
      </x:c>
      <x:c r="E226" s="171" t="n">
        <x:f>IF(A226="","",IF(B226="Decommissioning",INDEX('Raw Decommissioning'!$F$2:$F$1000,ROWS($A$5:A226)),INDEX('Raw Provisioning'!$F$2:$F$1000,ROWS($A$5:A226)-COUNTA('Raw Decommissioning'!$B$2:$B$1000))))</x:f>
        <x:v>46162.297458981484</x:v>
      </x:c>
      <x:c r="F226" s="171" t="n">
        <x:f>IF(A226="","",IF(B226="Decommissioning",INDEX('Raw Decommissioning'!$G$2:$G$1000,ROWS($A$5:A226)),INDEX('Raw Provisioning'!$H$2:$H$1000,ROWS($A$5:A226)-COUNTA('Raw Decommissioning'!$B$2:$B$1000))))</x:f>
        <x:v>46162.30741765046</x:v>
      </x:c>
      <x:c r="G226" s="170" t="str">
        <x:f>IF(A226="","",IF(B226="Decommissioning",INDEX('Raw Decommissioning'!$I$2:$I$1000,ROWS($A$5:A226)),INDEX('Raw Provisioning'!$J$2:$J$1000,ROWS($A$5:A226)-COUNTA('Raw Decommissioning'!$B$2:$B$1000))))</x:f>
        <x:v>Master Data Management - MDM Tool SAP</x:v>
      </x:c>
      <x:c r="H226" s="170" t="str">
        <x:f>IF(A226="","",IF(B226="Decommissioning",INDEX('Raw Decommissioning'!$J$2:$J$1000,ROWS($A$5:A226)),INDEX('Raw Provisioning'!$L$2:$L$1000,ROWS($A$5:A226)-COUNTA('Raw Decommissioning'!$B$2:$B$1000))))</x:f>
        <x:v>Setup and Installation of Master Data Management (MDM) Tool for PETRONAS (SAP)</x:v>
      </x:c>
      <x:c r="I226" s="170" t="str">
        <x:f>IF(A226="","",IF(B226="Decommissioning",INDEX('Raw Decommissioning'!$AL$2:$AL$1000,ROWS($A$5:A226)),INDEX('Raw Provisioning'!$R$2:$R$1000,ROWS($A$5:A226)-COUNTA('Raw Decommissioning'!$B$2:$B$1000))))</x:f>
      </x:c>
      <x:c r="J226" s="170" t="str">
        <x:f>IF(A226="","",IF(B226="Decommissioning",INDEX('Raw Decommissioning'!$AG$2:$AG$1000,ROWS($A$5:A226)),INDEX('Raw Provisioning'!$AI$2:$AI$1000,ROWS($A$5:A226)-COUNTA('Raw Decommissioning'!$B$2:$B$1000))))</x:f>
        <x:v>CCoE Operations</x:v>
      </x:c>
      <x:c r="K226" s="172" t="str">
        <x:f>IF(A226="","",IFERROR(LOOKUP(2,1/('Assignment History'!$B$5:$B$204=A226),'Assignment History'!$D$5:$D$204),IFERROR(VLOOKUP(J226,Configuration!$L$5:$M$50,2,FALSE),J226)))</x:f>
        <x:v>CCoE Operations</x:v>
      </x:c>
      <x:c r="L226" s="172" t="str">
        <x:f>IF(A226="","",IF(K226=IFERROR(VLOOKUP(J226,Configuration!$L$5:$M$50,2,FALSE),J226),"Snapshot PIC","Replacement PIC"))</x:f>
        <x:v>Snapshot PIC</x:v>
      </x:c>
      <x:c r="M226" s="172" t="n">
        <x:f>IF(A226="","",IFERROR(VLOOKUP(I226,Configuration!$O$5:$P$8,2,FALSE),Configuration!$S$6))</x:f>
        <x:v>2</x:v>
      </x:c>
      <x:c r="N226" s="172" t="str">
        <x:f>IF(A226="","",IFERROR(LOOKUP(2,1/('Scope Review'!$B$5:$B$204=A226),'Scope Review'!$G$5:$G$204),"Not Reviewed"))</x:f>
        <x:v>Not Reviewed</x:v>
      </x:c>
      <x:c r="O226" s="172" t="str">
        <x:f>IF(A226="","",IFERROR(LOOKUP(2,1/('Scope Review'!$B$5:$B$204=A226),'Scope Review'!$H$5:$H$204),""))</x:f>
      </x:c>
      <x:c r="P226" s="172" t="n">
        <x:f>IF(A226="","",IF(AND(C226="executing",N226&lt;&gt;"Confirmed OOS"),M226,0))</x:f>
        <x:v>0</x:v>
      </x:c>
      <x:c r="Q226" s="173" t="str">
        <x:f>IF(A226="","",IFERROR(LOOKUP(2,1/('Engineer Updates'!$B$5:$B$704=A226),'Engineer Updates'!$A$5:$A$704),""))</x:f>
      </x:c>
      <x:c r="R226" s="172" t="str">
        <x:f>IF(A226="","",IFERROR(LOOKUP(2,1/('Engineer Updates'!$B$5:$B$704=A226),'Engineer Updates'!$H$5:$H$704),""))</x:f>
      </x:c>
      <x:c r="S226" s="172" t="str">
        <x:f>IF(A226="","",IFERROR(LOOKUP(2,1/('Engineer Updates'!$B$5:$B$704=A226),'Engineer Updates'!$G$5:$G$704),""))</x:f>
      </x:c>
      <x:c r="T226" s="172" t="str">
        <x:f>IF(A226="","",IFERROR(LOOKUP(2,1/('Engineer Updates'!$B$5:$B$704=A226),'Engineer Updates'!$I$5:$I$704),""))</x:f>
      </x:c>
      <x:c r="U226" s="172" t="str">
        <x:f>IF(A226="","",IFERROR(LOOKUP(2,1/('Engineer Updates'!$B$5:$B$704=A226),'Engineer Updates'!$J$5:$J$704),""))</x:f>
      </x:c>
      <x:c r="V226" s="172" t="str">
        <x:f>IF(A226="","",IFERROR(LOOKUP(2,1/('Engineer Updates'!$B$5:$B$704=A226),'Engineer Updates'!$K$5:$K$704),""))</x:f>
      </x:c>
      <x:c r="W226" s="174" t="str">
        <x:f>IF(A226="","",IFERROR(LOOKUP(2,1/('Engineer Updates'!$B$5:$B$704=A226),'Engineer Updates'!$L$5:$L$704),""))</x:f>
      </x:c>
      <x:c r="X226" s="170" t="str">
        <x:f>IF(A226="","",IF(C226="completed","Completed in CSSP",IF(AND(C226="executing",ISERROR(SEARCH("@",K226))),"Executing without named engineer",IF(AND(N226="Confirmed OOS",C226="executing"),"Confirmed OOS still executing",""))))</x:f>
      </x:c>
      <x:c r="Y226" s="170" t="str">
        <x:f>IF(A226="","",IF(B226="Decommissioning","Raw Decommissioning","Raw Provisioning"))</x:f>
        <x:v>Raw Decommissioning</x:v>
      </x:c>
      <x:c r="Z226" s="170" t="str">
        <x:f>IF(A226="","",IF(OR(C226="executing",C226="processing"),"Yes","No"))</x:f>
        <x:v>No</x:v>
      </x:c>
    </x:row>
    <x:row r="227">
      <x:c r="A227" s="170" t="str">
        <x:f>IF(ROWS($A$5:A227)&lt;=COUNTA('Raw Decommissioning'!$B$2:$B$1000),INDEX('Raw Decommissioning'!$B$2:$B$1000,ROWS($A$5:A227)),IF(ROWS($A$5:A227)-COUNTA('Raw Decommissioning'!$B$2:$B$1000)&lt;=COUNTA('Raw Provisioning'!$B$2:$B$1000),INDEX('Raw Provisioning'!$B$2:$B$1000,ROWS($A$5:A227)-COUNTA('Raw Decommissioning'!$B$2:$B$1000)),""))</x:f>
        <x:v>CSSP10820059</x:v>
      </x:c>
      <x:c r="B227" s="170" t="str">
        <x:f>IF(A227="","",IF(ROWS($A$5:A227)&lt;=COUNTA('Raw Decommissioning'!$B$2:$B$1000),"Decommissioning","Provisioning"))</x:f>
        <x:v>Decommissioning</x:v>
      </x:c>
      <x:c r="C227" s="170" t="str">
        <x:f>IF(A227="","",IF(B227="Decommissioning",IFERROR(INDEX('Raw Decommissioning'!$E$2:$E$1000,MATCH(A227,'Raw Decommissioning'!$B$2:$B$1000,0)),"Missing from latest raw"),IFERROR(INDEX('Raw Provisioning'!$E$2:$E$1000,MATCH(A227,'Raw Provisioning'!$B$2:$B$1000,0)),"Missing from latest raw")))</x:f>
        <x:v>rejected</x:v>
      </x:c>
      <x:c r="D227" s="171" t="n">
        <x:f>IF(A227="","",'Refresh Control'!$B$4)</x:f>
        <x:v>46254</x:v>
      </x:c>
      <x:c r="E227" s="171" t="n">
        <x:f>IF(A227="","",IF(B227="Decommissioning",INDEX('Raw Decommissioning'!$F$2:$F$1000,ROWS($A$5:A227)),INDEX('Raw Provisioning'!$F$2:$F$1000,ROWS($A$5:A227)-COUNTA('Raw Decommissioning'!$B$2:$B$1000))))</x:f>
        <x:v>46162.30263023148</x:v>
      </x:c>
      <x:c r="F227" s="171" t="n">
        <x:f>IF(A227="","",IF(B227="Decommissioning",INDEX('Raw Decommissioning'!$G$2:$G$1000,ROWS($A$5:A227)),INDEX('Raw Provisioning'!$H$2:$H$1000,ROWS($A$5:A227)-COUNTA('Raw Decommissioning'!$B$2:$B$1000))))</x:f>
        <x:v>46162.40694013889</x:v>
      </x:c>
      <x:c r="G227" s="170" t="str">
        <x:f>IF(A227="","",IF(B227="Decommissioning",INDEX('Raw Decommissioning'!$I$2:$I$1000,ROWS($A$5:A227)),INDEX('Raw Provisioning'!$J$2:$J$1000,ROWS($A$5:A227)-COUNTA('Raw Decommissioning'!$B$2:$B$1000))))</x:f>
        <x:v>SAP 39 SRM SPS</x:v>
      </x:c>
      <x:c r="H227" s="170" t="str">
        <x:f>IF(A227="","",IF(B227="Decommissioning",INDEX('Raw Decommissioning'!$J$2:$J$1000,ROWS($A$5:A227)),INDEX('Raw Provisioning'!$L$2:$L$1000,ROWS($A$5:A227)-COUNTA('Raw Decommissioning'!$B$2:$B$1000))))</x:f>
        <x:v>Cloud Migration Program - SAP39</x:v>
      </x:c>
      <x:c r="I227" s="170" t="str">
        <x:f>IF(A227="","",IF(B227="Decommissioning",INDEX('Raw Decommissioning'!$AL$2:$AL$1000,ROWS($A$5:A227)),INDEX('Raw Provisioning'!$R$2:$R$1000,ROWS($A$5:A227)-COUNTA('Raw Decommissioning'!$B$2:$B$1000))))</x:f>
      </x:c>
      <x:c r="J227" s="170" t="str">
        <x:f>IF(A227="","",IF(B227="Decommissioning",INDEX('Raw Decommissioning'!$AG$2:$AG$1000,ROWS($A$5:A227)),INDEX('Raw Provisioning'!$AI$2:$AI$1000,ROWS($A$5:A227)-COUNTA('Raw Decommissioning'!$B$2:$B$1000))))</x:f>
        <x:v>CCoE Operations</x:v>
      </x:c>
      <x:c r="K227" s="172" t="str">
        <x:f>IF(A227="","",IFERROR(LOOKUP(2,1/('Assignment History'!$B$5:$B$204=A227),'Assignment History'!$D$5:$D$204),IFERROR(VLOOKUP(J227,Configuration!$L$5:$M$50,2,FALSE),J227)))</x:f>
        <x:v>CCoE Operations</x:v>
      </x:c>
      <x:c r="L227" s="172" t="str">
        <x:f>IF(A227="","",IF(K227=IFERROR(VLOOKUP(J227,Configuration!$L$5:$M$50,2,FALSE),J227),"Snapshot PIC","Replacement PIC"))</x:f>
        <x:v>Snapshot PIC</x:v>
      </x:c>
      <x:c r="M227" s="172" t="n">
        <x:f>IF(A227="","",IFERROR(VLOOKUP(I227,Configuration!$O$5:$P$8,2,FALSE),Configuration!$S$6))</x:f>
        <x:v>2</x:v>
      </x:c>
      <x:c r="N227" s="172" t="str">
        <x:f>IF(A227="","",IFERROR(LOOKUP(2,1/('Scope Review'!$B$5:$B$204=A227),'Scope Review'!$G$5:$G$204),"Not Reviewed"))</x:f>
        <x:v>Not Reviewed</x:v>
      </x:c>
      <x:c r="O227" s="172" t="str">
        <x:f>IF(A227="","",IFERROR(LOOKUP(2,1/('Scope Review'!$B$5:$B$204=A227),'Scope Review'!$H$5:$H$204),""))</x:f>
      </x:c>
      <x:c r="P227" s="172" t="n">
        <x:f>IF(A227="","",IF(AND(C227="executing",N227&lt;&gt;"Confirmed OOS"),M227,0))</x:f>
        <x:v>0</x:v>
      </x:c>
      <x:c r="Q227" s="173" t="str">
        <x:f>IF(A227="","",IFERROR(LOOKUP(2,1/('Engineer Updates'!$B$5:$B$704=A227),'Engineer Updates'!$A$5:$A$704),""))</x:f>
      </x:c>
      <x:c r="R227" s="172" t="str">
        <x:f>IF(A227="","",IFERROR(LOOKUP(2,1/('Engineer Updates'!$B$5:$B$704=A227),'Engineer Updates'!$H$5:$H$704),""))</x:f>
      </x:c>
      <x:c r="S227" s="172" t="str">
        <x:f>IF(A227="","",IFERROR(LOOKUP(2,1/('Engineer Updates'!$B$5:$B$704=A227),'Engineer Updates'!$G$5:$G$704),""))</x:f>
      </x:c>
      <x:c r="T227" s="172" t="str">
        <x:f>IF(A227="","",IFERROR(LOOKUP(2,1/('Engineer Updates'!$B$5:$B$704=A227),'Engineer Updates'!$I$5:$I$704),""))</x:f>
      </x:c>
      <x:c r="U227" s="172" t="str">
        <x:f>IF(A227="","",IFERROR(LOOKUP(2,1/('Engineer Updates'!$B$5:$B$704=A227),'Engineer Updates'!$J$5:$J$704),""))</x:f>
      </x:c>
      <x:c r="V227" s="172" t="str">
        <x:f>IF(A227="","",IFERROR(LOOKUP(2,1/('Engineer Updates'!$B$5:$B$704=A227),'Engineer Updates'!$K$5:$K$704),""))</x:f>
      </x:c>
      <x:c r="W227" s="174" t="str">
        <x:f>IF(A227="","",IFERROR(LOOKUP(2,1/('Engineer Updates'!$B$5:$B$704=A227),'Engineer Updates'!$L$5:$L$704),""))</x:f>
      </x:c>
      <x:c r="X227" s="170" t="str">
        <x:f>IF(A227="","",IF(C227="completed","Completed in CSSP",IF(AND(C227="executing",ISERROR(SEARCH("@",K227))),"Executing without named engineer",IF(AND(N227="Confirmed OOS",C227="executing"),"Confirmed OOS still executing",""))))</x:f>
      </x:c>
      <x:c r="Y227" s="170" t="str">
        <x:f>IF(A227="","",IF(B227="Decommissioning","Raw Decommissioning","Raw Provisioning"))</x:f>
        <x:v>Raw Decommissioning</x:v>
      </x:c>
      <x:c r="Z227" s="170" t="str">
        <x:f>IF(A227="","",IF(OR(C227="executing",C227="processing"),"Yes","No"))</x:f>
        <x:v>No</x:v>
      </x:c>
    </x:row>
    <x:row r="228">
      <x:c r="A228" s="170" t="str">
        <x:f>IF(ROWS($A$5:A228)&lt;=COUNTA('Raw Decommissioning'!$B$2:$B$1000),INDEX('Raw Decommissioning'!$B$2:$B$1000,ROWS($A$5:A228)),IF(ROWS($A$5:A228)-COUNTA('Raw Decommissioning'!$B$2:$B$1000)&lt;=COUNTA('Raw Provisioning'!$B$2:$B$1000),INDEX('Raw Provisioning'!$B$2:$B$1000,ROWS($A$5:A228)-COUNTA('Raw Decommissioning'!$B$2:$B$1000)),""))</x:f>
        <x:v>CSSP10539408</x:v>
      </x:c>
      <x:c r="B228" s="170" t="str">
        <x:f>IF(A228="","",IF(ROWS($A$5:A228)&lt;=COUNTA('Raw Decommissioning'!$B$2:$B$1000),"Decommissioning","Provisioning"))</x:f>
        <x:v>Decommissioning</x:v>
      </x:c>
      <x:c r="C228" s="170" t="str">
        <x:f>IF(A228="","",IF(B228="Decommissioning",IFERROR(INDEX('Raw Decommissioning'!$E$2:$E$1000,MATCH(A228,'Raw Decommissioning'!$B$2:$B$1000,0)),"Missing from latest raw"),IFERROR(INDEX('Raw Provisioning'!$E$2:$E$1000,MATCH(A228,'Raw Provisioning'!$B$2:$B$1000,0)),"Missing from latest raw")))</x:f>
        <x:v>completed</x:v>
      </x:c>
      <x:c r="D228" s="171" t="n">
        <x:f>IF(A228="","",'Refresh Control'!$B$4)</x:f>
        <x:v>46254</x:v>
      </x:c>
      <x:c r="E228" s="171" t="n">
        <x:f>IF(A228="","",IF(B228="Decommissioning",INDEX('Raw Decommissioning'!$F$2:$F$1000,ROWS($A$5:A228)),INDEX('Raw Provisioning'!$F$2:$F$1000,ROWS($A$5:A228)-COUNTA('Raw Decommissioning'!$B$2:$B$1000))))</x:f>
        <x:v>46162.310851064816</x:v>
      </x:c>
      <x:c r="F228" s="171" t="n">
        <x:f>IF(A228="","",IF(B228="Decommissioning",INDEX('Raw Decommissioning'!$G$2:$G$1000,ROWS($A$5:A228)),INDEX('Raw Provisioning'!$H$2:$H$1000,ROWS($A$5:A228)-COUNTA('Raw Decommissioning'!$B$2:$B$1000))))</x:f>
        <x:v>46164.29881332176</x:v>
      </x:c>
      <x:c r="G228" s="170" t="str">
        <x:f>IF(A228="","",IF(B228="Decommissioning",INDEX('Raw Decommissioning'!$I$2:$I$1000,ROWS($A$5:A228)),INDEX('Raw Provisioning'!$J$2:$J$1000,ROWS($A$5:A228)-COUNTA('Raw Decommissioning'!$B$2:$B$1000))))</x:f>
        <x:v>SAP Printer Server</x:v>
      </x:c>
      <x:c r="H228" s="170" t="str">
        <x:f>IF(A228="","",IF(B228="Decommissioning",INDEX('Raw Decommissioning'!$J$2:$J$1000,ROWS($A$5:A228)),INDEX('Raw Provisioning'!$L$2:$L$1000,ROWS($A$5:A228)-COUNTA('Raw Decommissioning'!$B$2:$B$1000))))</x:f>
        <x:v>Cloud Migration Program - SAP Printer server for other SAP's systems</x:v>
      </x:c>
      <x:c r="I228" s="170" t="str">
        <x:f>IF(A228="","",IF(B228="Decommissioning",INDEX('Raw Decommissioning'!$AL$2:$AL$1000,ROWS($A$5:A228)),INDEX('Raw Provisioning'!$R$2:$R$1000,ROWS($A$5:A228)-COUNTA('Raw Decommissioning'!$B$2:$B$1000))))</x:f>
        <x:v>S</x:v>
      </x:c>
      <x:c r="J228" s="170" t="str">
        <x:f>IF(A228="","",IF(B228="Decommissioning",INDEX('Raw Decommissioning'!$AG$2:$AG$1000,ROWS($A$5:A228)),INDEX('Raw Provisioning'!$AI$2:$AI$1000,ROWS($A$5:A228)-COUNTA('Raw Decommissioning'!$B$2:$B$1000))))</x:f>
        <x:v>azwan.badari@petronas.com</x:v>
      </x:c>
      <x:c r="K228" s="172" t="str">
        <x:f>IF(A228="","",IFERROR(LOOKUP(2,1/('Assignment History'!$B$5:$B$204=A228),'Assignment History'!$D$5:$D$204),IFERROR(VLOOKUP(J228,Configuration!$L$5:$M$50,2,FALSE),J228)))</x:f>
        <x:v>azwan.badari@petronas.com</x:v>
      </x:c>
      <x:c r="L228" s="172" t="str">
        <x:f>IF(A228="","",IF(K228=IFERROR(VLOOKUP(J228,Configuration!$L$5:$M$50,2,FALSE),J228),"Snapshot PIC","Replacement PIC"))</x:f>
        <x:v>Snapshot PIC</x:v>
      </x:c>
      <x:c r="M228" s="172" t="n">
        <x:f>IF(A228="","",IFERROR(VLOOKUP(I228,Configuration!$O$5:$P$8,2,FALSE),Configuration!$S$6))</x:f>
        <x:v>1</x:v>
      </x:c>
      <x:c r="N228" s="172" t="str">
        <x:f>IF(A228="","",IFERROR(LOOKUP(2,1/('Scope Review'!$B$5:$B$204=A228),'Scope Review'!$G$5:$G$204),"Not Reviewed"))</x:f>
        <x:v>Not Reviewed</x:v>
      </x:c>
      <x:c r="O228" s="172" t="str">
        <x:f>IF(A228="","",IFERROR(LOOKUP(2,1/('Scope Review'!$B$5:$B$204=A228),'Scope Review'!$H$5:$H$204),""))</x:f>
      </x:c>
      <x:c r="P228" s="172" t="n">
        <x:f>IF(A228="","",IF(AND(C228="executing",N228&lt;&gt;"Confirmed OOS"),M228,0))</x:f>
        <x:v>0</x:v>
      </x:c>
      <x:c r="Q228" s="173" t="str">
        <x:f>IF(A228="","",IFERROR(LOOKUP(2,1/('Engineer Updates'!$B$5:$B$704=A228),'Engineer Updates'!$A$5:$A$704),""))</x:f>
      </x:c>
      <x:c r="R228" s="172" t="str">
        <x:f>IF(A228="","",IFERROR(LOOKUP(2,1/('Engineer Updates'!$B$5:$B$704=A228),'Engineer Updates'!$H$5:$H$704),""))</x:f>
      </x:c>
      <x:c r="S228" s="172" t="str">
        <x:f>IF(A228="","",IFERROR(LOOKUP(2,1/('Engineer Updates'!$B$5:$B$704=A228),'Engineer Updates'!$G$5:$G$704),""))</x:f>
      </x:c>
      <x:c r="T228" s="172" t="str">
        <x:f>IF(A228="","",IFERROR(LOOKUP(2,1/('Engineer Updates'!$B$5:$B$704=A228),'Engineer Updates'!$I$5:$I$704),""))</x:f>
      </x:c>
      <x:c r="U228" s="172" t="str">
        <x:f>IF(A228="","",IFERROR(LOOKUP(2,1/('Engineer Updates'!$B$5:$B$704=A228),'Engineer Updates'!$J$5:$J$704),""))</x:f>
      </x:c>
      <x:c r="V228" s="172" t="str">
        <x:f>IF(A228="","",IFERROR(LOOKUP(2,1/('Engineer Updates'!$B$5:$B$704=A228),'Engineer Updates'!$K$5:$K$704),""))</x:f>
      </x:c>
      <x:c r="W228" s="174" t="str">
        <x:f>IF(A228="","",IFERROR(LOOKUP(2,1/('Engineer Updates'!$B$5:$B$704=A228),'Engineer Updates'!$L$5:$L$704),""))</x:f>
      </x:c>
      <x:c r="X228" s="170" t="str">
        <x:f>IF(A228="","",IF(C228="completed","Completed in CSSP",IF(AND(C228="executing",ISERROR(SEARCH("@",K228))),"Executing without named engineer",IF(AND(N228="Confirmed OOS",C228="executing"),"Confirmed OOS still executing",""))))</x:f>
        <x:v>Completed in CSSP</x:v>
      </x:c>
      <x:c r="Y228" s="170" t="str">
        <x:f>IF(A228="","",IF(B228="Decommissioning","Raw Decommissioning","Raw Provisioning"))</x:f>
        <x:v>Raw Decommissioning</x:v>
      </x:c>
      <x:c r="Z228" s="170" t="str">
        <x:f>IF(A228="","",IF(OR(C228="executing",C228="processing"),"Yes","No"))</x:f>
        <x:v>No</x:v>
      </x:c>
    </x:row>
    <x:row r="229">
      <x:c r="A229" s="170" t="str">
        <x:f>IF(ROWS($A$5:A229)&lt;=COUNTA('Raw Decommissioning'!$B$2:$B$1000),INDEX('Raw Decommissioning'!$B$2:$B$1000,ROWS($A$5:A229)),IF(ROWS($A$5:A229)-COUNTA('Raw Decommissioning'!$B$2:$B$1000)&lt;=COUNTA('Raw Provisioning'!$B$2:$B$1000),INDEX('Raw Provisioning'!$B$2:$B$1000,ROWS($A$5:A229)-COUNTA('Raw Decommissioning'!$B$2:$B$1000)),""))</x:f>
        <x:v>CSSP10917429</x:v>
      </x:c>
      <x:c r="B229" s="170" t="str">
        <x:f>IF(A229="","",IF(ROWS($A$5:A229)&lt;=COUNTA('Raw Decommissioning'!$B$2:$B$1000),"Decommissioning","Provisioning"))</x:f>
        <x:v>Decommissioning</x:v>
      </x:c>
      <x:c r="C229" s="170" t="str">
        <x:f>IF(A229="","",IF(B229="Decommissioning",IFERROR(INDEX('Raw Decommissioning'!$E$2:$E$1000,MATCH(A229,'Raw Decommissioning'!$B$2:$B$1000,0)),"Missing from latest raw"),IFERROR(INDEX('Raw Provisioning'!$E$2:$E$1000,MATCH(A229,'Raw Provisioning'!$B$2:$B$1000,0)),"Missing from latest raw")))</x:f>
        <x:v>rejected</x:v>
      </x:c>
      <x:c r="D229" s="171" t="n">
        <x:f>IF(A229="","",'Refresh Control'!$B$4)</x:f>
        <x:v>46254</x:v>
      </x:c>
      <x:c r="E229" s="171" t="n">
        <x:f>IF(A229="","",IF(B229="Decommissioning",INDEX('Raw Decommissioning'!$F$2:$F$1000,ROWS($A$5:A229)),INDEX('Raw Provisioning'!$F$2:$F$1000,ROWS($A$5:A229)-COUNTA('Raw Decommissioning'!$B$2:$B$1000))))</x:f>
        <x:v>46162.31625837963</x:v>
      </x:c>
      <x:c r="F229" s="171" t="n">
        <x:f>IF(A229="","",IF(B229="Decommissioning",INDEX('Raw Decommissioning'!$G$2:$G$1000,ROWS($A$5:A229)),INDEX('Raw Provisioning'!$H$2:$H$1000,ROWS($A$5:A229)-COUNTA('Raw Decommissioning'!$B$2:$B$1000))))</x:f>
        <x:v>46162.40610799768</x:v>
      </x:c>
      <x:c r="G229" s="170" t="str">
        <x:f>IF(A229="","",IF(B229="Decommissioning",INDEX('Raw Decommissioning'!$I$2:$I$1000,ROWS($A$5:A229)),INDEX('Raw Provisioning'!$J$2:$J$1000,ROWS($A$5:A229)-COUNTA('Raw Decommissioning'!$B$2:$B$1000))))</x:f>
        <x:v>SAP 39 SRM SPS</x:v>
      </x:c>
      <x:c r="H229" s="170" t="str">
        <x:f>IF(A229="","",IF(B229="Decommissioning",INDEX('Raw Decommissioning'!$J$2:$J$1000,ROWS($A$5:A229)),INDEX('Raw Provisioning'!$L$2:$L$1000,ROWS($A$5:A229)-COUNTA('Raw Decommissioning'!$B$2:$B$1000))))</x:f>
        <x:v>Cloud Migration Program - SAP39</x:v>
      </x:c>
      <x:c r="I229" s="170" t="str">
        <x:f>IF(A229="","",IF(B229="Decommissioning",INDEX('Raw Decommissioning'!$AL$2:$AL$1000,ROWS($A$5:A229)),INDEX('Raw Provisioning'!$R$2:$R$1000,ROWS($A$5:A229)-COUNTA('Raw Decommissioning'!$B$2:$B$1000))))</x:f>
      </x:c>
      <x:c r="J229" s="170" t="str">
        <x:f>IF(A229="","",IF(B229="Decommissioning",INDEX('Raw Decommissioning'!$AG$2:$AG$1000,ROWS($A$5:A229)),INDEX('Raw Provisioning'!$AI$2:$AI$1000,ROWS($A$5:A229)-COUNTA('Raw Decommissioning'!$B$2:$B$1000))))</x:f>
        <x:v>CCoE Operations</x:v>
      </x:c>
      <x:c r="K229" s="172" t="str">
        <x:f>IF(A229="","",IFERROR(LOOKUP(2,1/('Assignment History'!$B$5:$B$204=A229),'Assignment History'!$D$5:$D$204),IFERROR(VLOOKUP(J229,Configuration!$L$5:$M$50,2,FALSE),J229)))</x:f>
        <x:v>CCoE Operations</x:v>
      </x:c>
      <x:c r="L229" s="172" t="str">
        <x:f>IF(A229="","",IF(K229=IFERROR(VLOOKUP(J229,Configuration!$L$5:$M$50,2,FALSE),J229),"Snapshot PIC","Replacement PIC"))</x:f>
        <x:v>Snapshot PIC</x:v>
      </x:c>
      <x:c r="M229" s="172" t="n">
        <x:f>IF(A229="","",IFERROR(VLOOKUP(I229,Configuration!$O$5:$P$8,2,FALSE),Configuration!$S$6))</x:f>
        <x:v>2</x:v>
      </x:c>
      <x:c r="N229" s="172" t="str">
        <x:f>IF(A229="","",IFERROR(LOOKUP(2,1/('Scope Review'!$B$5:$B$204=A229),'Scope Review'!$G$5:$G$204),"Not Reviewed"))</x:f>
        <x:v>Not Reviewed</x:v>
      </x:c>
      <x:c r="O229" s="172" t="str">
        <x:f>IF(A229="","",IFERROR(LOOKUP(2,1/('Scope Review'!$B$5:$B$204=A229),'Scope Review'!$H$5:$H$204),""))</x:f>
      </x:c>
      <x:c r="P229" s="172" t="n">
        <x:f>IF(A229="","",IF(AND(C229="executing",N229&lt;&gt;"Confirmed OOS"),M229,0))</x:f>
        <x:v>0</x:v>
      </x:c>
      <x:c r="Q229" s="173" t="str">
        <x:f>IF(A229="","",IFERROR(LOOKUP(2,1/('Engineer Updates'!$B$5:$B$704=A229),'Engineer Updates'!$A$5:$A$704),""))</x:f>
      </x:c>
      <x:c r="R229" s="172" t="str">
        <x:f>IF(A229="","",IFERROR(LOOKUP(2,1/('Engineer Updates'!$B$5:$B$704=A229),'Engineer Updates'!$H$5:$H$704),""))</x:f>
      </x:c>
      <x:c r="S229" s="172" t="str">
        <x:f>IF(A229="","",IFERROR(LOOKUP(2,1/('Engineer Updates'!$B$5:$B$704=A229),'Engineer Updates'!$G$5:$G$704),""))</x:f>
      </x:c>
      <x:c r="T229" s="172" t="str">
        <x:f>IF(A229="","",IFERROR(LOOKUP(2,1/('Engineer Updates'!$B$5:$B$704=A229),'Engineer Updates'!$I$5:$I$704),""))</x:f>
      </x:c>
      <x:c r="U229" s="172" t="str">
        <x:f>IF(A229="","",IFERROR(LOOKUP(2,1/('Engineer Updates'!$B$5:$B$704=A229),'Engineer Updates'!$J$5:$J$704),""))</x:f>
      </x:c>
      <x:c r="V229" s="172" t="str">
        <x:f>IF(A229="","",IFERROR(LOOKUP(2,1/('Engineer Updates'!$B$5:$B$704=A229),'Engineer Updates'!$K$5:$K$704),""))</x:f>
      </x:c>
      <x:c r="W229" s="174" t="str">
        <x:f>IF(A229="","",IFERROR(LOOKUP(2,1/('Engineer Updates'!$B$5:$B$704=A229),'Engineer Updates'!$L$5:$L$704),""))</x:f>
      </x:c>
      <x:c r="X229" s="170" t="str">
        <x:f>IF(A229="","",IF(C229="completed","Completed in CSSP",IF(AND(C229="executing",ISERROR(SEARCH("@",K229))),"Executing without named engineer",IF(AND(N229="Confirmed OOS",C229="executing"),"Confirmed OOS still executing",""))))</x:f>
      </x:c>
      <x:c r="Y229" s="170" t="str">
        <x:f>IF(A229="","",IF(B229="Decommissioning","Raw Decommissioning","Raw Provisioning"))</x:f>
        <x:v>Raw Decommissioning</x:v>
      </x:c>
      <x:c r="Z229" s="170" t="str">
        <x:f>IF(A229="","",IF(OR(C229="executing",C229="processing"),"Yes","No"))</x:f>
        <x:v>No</x:v>
      </x:c>
    </x:row>
    <x:row r="230">
      <x:c r="A230" s="170" t="str">
        <x:f>IF(ROWS($A$5:A230)&lt;=COUNTA('Raw Decommissioning'!$B$2:$B$1000),INDEX('Raw Decommissioning'!$B$2:$B$1000,ROWS($A$5:A230)),IF(ROWS($A$5:A230)-COUNTA('Raw Decommissioning'!$B$2:$B$1000)&lt;=COUNTA('Raw Provisioning'!$B$2:$B$1000),INDEX('Raw Provisioning'!$B$2:$B$1000,ROWS($A$5:A230)-COUNTA('Raw Decommissioning'!$B$2:$B$1000)),""))</x:f>
        <x:v>CSSP10386386</x:v>
      </x:c>
      <x:c r="B230" s="170" t="str">
        <x:f>IF(A230="","",IF(ROWS($A$5:A230)&lt;=COUNTA('Raw Decommissioning'!$B$2:$B$1000),"Decommissioning","Provisioning"))</x:f>
        <x:v>Decommissioning</x:v>
      </x:c>
      <x:c r="C230" s="170" t="str">
        <x:f>IF(A230="","",IF(B230="Decommissioning",IFERROR(INDEX('Raw Decommissioning'!$E$2:$E$1000,MATCH(A230,'Raw Decommissioning'!$B$2:$B$1000,0)),"Missing from latest raw"),IFERROR(INDEX('Raw Provisioning'!$E$2:$E$1000,MATCH(A230,'Raw Provisioning'!$B$2:$B$1000,0)),"Missing from latest raw")))</x:f>
        <x:v>completed</x:v>
      </x:c>
      <x:c r="D230" s="171" t="n">
        <x:f>IF(A230="","",'Refresh Control'!$B$4)</x:f>
        <x:v>46254</x:v>
      </x:c>
      <x:c r="E230" s="171" t="n">
        <x:f>IF(A230="","",IF(B230="Decommissioning",INDEX('Raw Decommissioning'!$F$2:$F$1000,ROWS($A$5:A230)),INDEX('Raw Provisioning'!$F$2:$F$1000,ROWS($A$5:A230)-COUNTA('Raw Decommissioning'!$B$2:$B$1000))))</x:f>
        <x:v>46162.31808924769</x:v>
      </x:c>
      <x:c r="F230" s="171" t="n">
        <x:f>IF(A230="","",IF(B230="Decommissioning",INDEX('Raw Decommissioning'!$G$2:$G$1000,ROWS($A$5:A230)),INDEX('Raw Provisioning'!$H$2:$H$1000,ROWS($A$5:A230)-COUNTA('Raw Decommissioning'!$B$2:$B$1000))))</x:f>
        <x:v>46164.29288931713</x:v>
      </x:c>
      <x:c r="G230" s="170" t="str">
        <x:f>IF(A230="","",IF(B230="Decommissioning",INDEX('Raw Decommissioning'!$I$2:$I$1000,ROWS($A$5:A230)),INDEX('Raw Provisioning'!$J$2:$J$1000,ROWS($A$5:A230)-COUNTA('Raw Decommissioning'!$B$2:$B$1000))))</x:f>
        <x:v>SAP 39 SRM SPS</x:v>
      </x:c>
      <x:c r="H230" s="170" t="str">
        <x:f>IF(A230="","",IF(B230="Decommissioning",INDEX('Raw Decommissioning'!$J$2:$J$1000,ROWS($A$5:A230)),INDEX('Raw Provisioning'!$L$2:$L$1000,ROWS($A$5:A230)-COUNTA('Raw Decommissioning'!$B$2:$B$1000))))</x:f>
        <x:v>Cloud Migration Program - SAP39</x:v>
      </x:c>
      <x:c r="I230" s="170" t="str">
        <x:f>IF(A230="","",IF(B230="Decommissioning",INDEX('Raw Decommissioning'!$AL$2:$AL$1000,ROWS($A$5:A230)),INDEX('Raw Provisioning'!$R$2:$R$1000,ROWS($A$5:A230)-COUNTA('Raw Decommissioning'!$B$2:$B$1000))))</x:f>
        <x:v>S</x:v>
      </x:c>
      <x:c r="J230" s="170" t="str">
        <x:f>IF(A230="","",IF(B230="Decommissioning",INDEX('Raw Decommissioning'!$AG$2:$AG$1000,ROWS($A$5:A230)),INDEX('Raw Provisioning'!$AI$2:$AI$1000,ROWS($A$5:A230)-COUNTA('Raw Decommissioning'!$B$2:$B$1000))))</x:f>
        <x:v>azwan.badari@petronas.com</x:v>
      </x:c>
      <x:c r="K230" s="172" t="str">
        <x:f>IF(A230="","",IFERROR(LOOKUP(2,1/('Assignment History'!$B$5:$B$204=A230),'Assignment History'!$D$5:$D$204),IFERROR(VLOOKUP(J230,Configuration!$L$5:$M$50,2,FALSE),J230)))</x:f>
        <x:v>azwan.badari@petronas.com</x:v>
      </x:c>
      <x:c r="L230" s="172" t="str">
        <x:f>IF(A230="","",IF(K230=IFERROR(VLOOKUP(J230,Configuration!$L$5:$M$50,2,FALSE),J230),"Snapshot PIC","Replacement PIC"))</x:f>
        <x:v>Snapshot PIC</x:v>
      </x:c>
      <x:c r="M230" s="172" t="n">
        <x:f>IF(A230="","",IFERROR(VLOOKUP(I230,Configuration!$O$5:$P$8,2,FALSE),Configuration!$S$6))</x:f>
        <x:v>1</x:v>
      </x:c>
      <x:c r="N230" s="172" t="str">
        <x:f>IF(A230="","",IFERROR(LOOKUP(2,1/('Scope Review'!$B$5:$B$204=A230),'Scope Review'!$G$5:$G$204),"Not Reviewed"))</x:f>
        <x:v>Not Reviewed</x:v>
      </x:c>
      <x:c r="O230" s="172" t="str">
        <x:f>IF(A230="","",IFERROR(LOOKUP(2,1/('Scope Review'!$B$5:$B$204=A230),'Scope Review'!$H$5:$H$204),""))</x:f>
      </x:c>
      <x:c r="P230" s="172" t="n">
        <x:f>IF(A230="","",IF(AND(C230="executing",N230&lt;&gt;"Confirmed OOS"),M230,0))</x:f>
        <x:v>0</x:v>
      </x:c>
      <x:c r="Q230" s="173" t="str">
        <x:f>IF(A230="","",IFERROR(LOOKUP(2,1/('Engineer Updates'!$B$5:$B$704=A230),'Engineer Updates'!$A$5:$A$704),""))</x:f>
      </x:c>
      <x:c r="R230" s="172" t="str">
        <x:f>IF(A230="","",IFERROR(LOOKUP(2,1/('Engineer Updates'!$B$5:$B$704=A230),'Engineer Updates'!$H$5:$H$704),""))</x:f>
      </x:c>
      <x:c r="S230" s="172" t="str">
        <x:f>IF(A230="","",IFERROR(LOOKUP(2,1/('Engineer Updates'!$B$5:$B$704=A230),'Engineer Updates'!$G$5:$G$704),""))</x:f>
      </x:c>
      <x:c r="T230" s="172" t="str">
        <x:f>IF(A230="","",IFERROR(LOOKUP(2,1/('Engineer Updates'!$B$5:$B$704=A230),'Engineer Updates'!$I$5:$I$704),""))</x:f>
      </x:c>
      <x:c r="U230" s="172" t="str">
        <x:f>IF(A230="","",IFERROR(LOOKUP(2,1/('Engineer Updates'!$B$5:$B$704=A230),'Engineer Updates'!$J$5:$J$704),""))</x:f>
      </x:c>
      <x:c r="V230" s="172" t="str">
        <x:f>IF(A230="","",IFERROR(LOOKUP(2,1/('Engineer Updates'!$B$5:$B$704=A230),'Engineer Updates'!$K$5:$K$704),""))</x:f>
      </x:c>
      <x:c r="W230" s="174" t="str">
        <x:f>IF(A230="","",IFERROR(LOOKUP(2,1/('Engineer Updates'!$B$5:$B$704=A230),'Engineer Updates'!$L$5:$L$704),""))</x:f>
      </x:c>
      <x:c r="X230" s="170" t="str">
        <x:f>IF(A230="","",IF(C230="completed","Completed in CSSP",IF(AND(C230="executing",ISERROR(SEARCH("@",K230))),"Executing without named engineer",IF(AND(N230="Confirmed OOS",C230="executing"),"Confirmed OOS still executing",""))))</x:f>
        <x:v>Completed in CSSP</x:v>
      </x:c>
      <x:c r="Y230" s="170" t="str">
        <x:f>IF(A230="","",IF(B230="Decommissioning","Raw Decommissioning","Raw Provisioning"))</x:f>
        <x:v>Raw Decommissioning</x:v>
      </x:c>
      <x:c r="Z230" s="170" t="str">
        <x:f>IF(A230="","",IF(OR(C230="executing",C230="processing"),"Yes","No"))</x:f>
        <x:v>No</x:v>
      </x:c>
    </x:row>
    <x:row r="231">
      <x:c r="A231" s="170" t="str">
        <x:f>IF(ROWS($A$5:A231)&lt;=COUNTA('Raw Decommissioning'!$B$2:$B$1000),INDEX('Raw Decommissioning'!$B$2:$B$1000,ROWS($A$5:A231)),IF(ROWS($A$5:A231)-COUNTA('Raw Decommissioning'!$B$2:$B$1000)&lt;=COUNTA('Raw Provisioning'!$B$2:$B$1000),INDEX('Raw Provisioning'!$B$2:$B$1000,ROWS($A$5:A231)-COUNTA('Raw Decommissioning'!$B$2:$B$1000)),""))</x:f>
        <x:v>CSSP10282490</x:v>
      </x:c>
      <x:c r="B231" s="170" t="str">
        <x:f>IF(A231="","",IF(ROWS($A$5:A231)&lt;=COUNTA('Raw Decommissioning'!$B$2:$B$1000),"Decommissioning","Provisioning"))</x:f>
        <x:v>Decommissioning</x:v>
      </x:c>
      <x:c r="C231" s="170" t="str">
        <x:f>IF(A231="","",IF(B231="Decommissioning",IFERROR(INDEX('Raw Decommissioning'!$E$2:$E$1000,MATCH(A231,'Raw Decommissioning'!$B$2:$B$1000,0)),"Missing from latest raw"),IFERROR(INDEX('Raw Provisioning'!$E$2:$E$1000,MATCH(A231,'Raw Provisioning'!$B$2:$B$1000,0)),"Missing from latest raw")))</x:f>
        <x:v>cancelled</x:v>
      </x:c>
      <x:c r="D231" s="171" t="n">
        <x:f>IF(A231="","",'Refresh Control'!$B$4)</x:f>
        <x:v>46254</x:v>
      </x:c>
      <x:c r="E231" s="171" t="n">
        <x:f>IF(A231="","",IF(B231="Decommissioning",INDEX('Raw Decommissioning'!$F$2:$F$1000,ROWS($A$5:A231)),INDEX('Raw Provisioning'!$F$2:$F$1000,ROWS($A$5:A231)-COUNTA('Raw Decommissioning'!$B$2:$B$1000))))</x:f>
        <x:v>46164.153390451385</x:v>
      </x:c>
      <x:c r="F231" s="171" t="n">
        <x:f>IF(A231="","",IF(B231="Decommissioning",INDEX('Raw Decommissioning'!$G$2:$G$1000,ROWS($A$5:A231)),INDEX('Raw Provisioning'!$H$2:$H$1000,ROWS($A$5:A231)-COUNTA('Raw Decommissioning'!$B$2:$B$1000))))</x:f>
        <x:v>46164.171510277774</x:v>
      </x:c>
      <x:c r="G231" s="170" t="str">
        <x:f>IF(A231="","",IF(B231="Decommissioning",INDEX('Raw Decommissioning'!$I$2:$I$1000,ROWS($A$5:A231)),INDEX('Raw Provisioning'!$J$2:$J$1000,ROWS($A$5:A231)-COUNTA('Raw Decommissioning'!$B$2:$B$1000))))</x:f>
        <x:v>Alpha Gas</x:v>
      </x:c>
      <x:c r="H231" s="170" t="str">
        <x:f>IF(A231="","",IF(B231="Decommissioning",INDEX('Raw Decommissioning'!$J$2:$J$1000,ROWS($A$5:A231)),INDEX('Raw Provisioning'!$L$2:$L$1000,ROWS($A$5:A231)-COUNTA('Raw Decommissioning'!$B$2:$B$1000))))</x:f>
        <x:v>Alpha Gas Run and Maintain 2025</x:v>
      </x:c>
      <x:c r="I231" s="170" t="str">
        <x:f>IF(A231="","",IF(B231="Decommissioning",INDEX('Raw Decommissioning'!$AL$2:$AL$1000,ROWS($A$5:A231)),INDEX('Raw Provisioning'!$R$2:$R$1000,ROWS($A$5:A231)-COUNTA('Raw Decommissioning'!$B$2:$B$1000))))</x:f>
      </x:c>
      <x:c r="J231" s="170" t="str">
        <x:f>IF(A231="","",IF(B231="Decommissioning",INDEX('Raw Decommissioning'!$AG$2:$AG$1000,ROWS($A$5:A231)),INDEX('Raw Provisioning'!$AI$2:$AI$1000,ROWS($A$5:A231)-COUNTA('Raw Decommissioning'!$B$2:$B$1000))))</x:f>
        <x:v>CCoE Operations</x:v>
      </x:c>
      <x:c r="K231" s="172" t="str">
        <x:f>IF(A231="","",IFERROR(LOOKUP(2,1/('Assignment History'!$B$5:$B$204=A231),'Assignment History'!$D$5:$D$204),IFERROR(VLOOKUP(J231,Configuration!$L$5:$M$50,2,FALSE),J231)))</x:f>
        <x:v>CCoE Operations</x:v>
      </x:c>
      <x:c r="L231" s="172" t="str">
        <x:f>IF(A231="","",IF(K231=IFERROR(VLOOKUP(J231,Configuration!$L$5:$M$50,2,FALSE),J231),"Snapshot PIC","Replacement PIC"))</x:f>
        <x:v>Snapshot PIC</x:v>
      </x:c>
      <x:c r="M231" s="172" t="n">
        <x:f>IF(A231="","",IFERROR(VLOOKUP(I231,Configuration!$O$5:$P$8,2,FALSE),Configuration!$S$6))</x:f>
        <x:v>2</x:v>
      </x:c>
      <x:c r="N231" s="172" t="str">
        <x:f>IF(A231="","",IFERROR(LOOKUP(2,1/('Scope Review'!$B$5:$B$204=A231),'Scope Review'!$G$5:$G$204),"Not Reviewed"))</x:f>
        <x:v>Not Reviewed</x:v>
      </x:c>
      <x:c r="O231" s="172" t="str">
        <x:f>IF(A231="","",IFERROR(LOOKUP(2,1/('Scope Review'!$B$5:$B$204=A231),'Scope Review'!$H$5:$H$204),""))</x:f>
      </x:c>
      <x:c r="P231" s="172" t="n">
        <x:f>IF(A231="","",IF(AND(C231="executing",N231&lt;&gt;"Confirmed OOS"),M231,0))</x:f>
        <x:v>0</x:v>
      </x:c>
      <x:c r="Q231" s="173" t="str">
        <x:f>IF(A231="","",IFERROR(LOOKUP(2,1/('Engineer Updates'!$B$5:$B$704=A231),'Engineer Updates'!$A$5:$A$704),""))</x:f>
      </x:c>
      <x:c r="R231" s="172" t="str">
        <x:f>IF(A231="","",IFERROR(LOOKUP(2,1/('Engineer Updates'!$B$5:$B$704=A231),'Engineer Updates'!$H$5:$H$704),""))</x:f>
      </x:c>
      <x:c r="S231" s="172" t="str">
        <x:f>IF(A231="","",IFERROR(LOOKUP(2,1/('Engineer Updates'!$B$5:$B$704=A231),'Engineer Updates'!$G$5:$G$704),""))</x:f>
      </x:c>
      <x:c r="T231" s="172" t="str">
        <x:f>IF(A231="","",IFERROR(LOOKUP(2,1/('Engineer Updates'!$B$5:$B$704=A231),'Engineer Updates'!$I$5:$I$704),""))</x:f>
      </x:c>
      <x:c r="U231" s="172" t="str">
        <x:f>IF(A231="","",IFERROR(LOOKUP(2,1/('Engineer Updates'!$B$5:$B$704=A231),'Engineer Updates'!$J$5:$J$704),""))</x:f>
      </x:c>
      <x:c r="V231" s="172" t="str">
        <x:f>IF(A231="","",IFERROR(LOOKUP(2,1/('Engineer Updates'!$B$5:$B$704=A231),'Engineer Updates'!$K$5:$K$704),""))</x:f>
      </x:c>
      <x:c r="W231" s="174" t="str">
        <x:f>IF(A231="","",IFERROR(LOOKUP(2,1/('Engineer Updates'!$B$5:$B$704=A231),'Engineer Updates'!$L$5:$L$704),""))</x:f>
      </x:c>
      <x:c r="X231" s="170" t="str">
        <x:f>IF(A231="","",IF(C231="completed","Completed in CSSP",IF(AND(C231="executing",ISERROR(SEARCH("@",K231))),"Executing without named engineer",IF(AND(N231="Confirmed OOS",C231="executing"),"Confirmed OOS still executing",""))))</x:f>
      </x:c>
      <x:c r="Y231" s="170" t="str">
        <x:f>IF(A231="","",IF(B231="Decommissioning","Raw Decommissioning","Raw Provisioning"))</x:f>
        <x:v>Raw Decommissioning</x:v>
      </x:c>
      <x:c r="Z231" s="170" t="str">
        <x:f>IF(A231="","",IF(OR(C231="executing",C231="processing"),"Yes","No"))</x:f>
        <x:v>No</x:v>
      </x:c>
    </x:row>
    <x:row r="232">
      <x:c r="A232" s="170" t="str">
        <x:f>IF(ROWS($A$5:A232)&lt;=COUNTA('Raw Decommissioning'!$B$2:$B$1000),INDEX('Raw Decommissioning'!$B$2:$B$1000,ROWS($A$5:A232)),IF(ROWS($A$5:A232)-COUNTA('Raw Decommissioning'!$B$2:$B$1000)&lt;=COUNTA('Raw Provisioning'!$B$2:$B$1000),INDEX('Raw Provisioning'!$B$2:$B$1000,ROWS($A$5:A232)-COUNTA('Raw Decommissioning'!$B$2:$B$1000)),""))</x:f>
        <x:v>CSSP10684299</x:v>
      </x:c>
      <x:c r="B232" s="170" t="str">
        <x:f>IF(A232="","",IF(ROWS($A$5:A232)&lt;=COUNTA('Raw Decommissioning'!$B$2:$B$1000),"Decommissioning","Provisioning"))</x:f>
        <x:v>Decommissioning</x:v>
      </x:c>
      <x:c r="C232" s="170" t="str">
        <x:f>IF(A232="","",IF(B232="Decommissioning",IFERROR(INDEX('Raw Decommissioning'!$E$2:$E$1000,MATCH(A232,'Raw Decommissioning'!$B$2:$B$1000,0)),"Missing from latest raw"),IFERROR(INDEX('Raw Provisioning'!$E$2:$E$1000,MATCH(A232,'Raw Provisioning'!$B$2:$B$1000,0)),"Missing from latest raw")))</x:f>
        <x:v>processing</x:v>
      </x:c>
      <x:c r="D232" s="171" t="n">
        <x:f>IF(A232="","",'Refresh Control'!$B$4)</x:f>
        <x:v>46254</x:v>
      </x:c>
      <x:c r="E232" s="171" t="n">
        <x:f>IF(A232="","",IF(B232="Decommissioning",INDEX('Raw Decommissioning'!$F$2:$F$1000,ROWS($A$5:A232)),INDEX('Raw Provisioning'!$F$2:$F$1000,ROWS($A$5:A232)-COUNTA('Raw Decommissioning'!$B$2:$B$1000))))</x:f>
        <x:v>46164.34816179398</x:v>
      </x:c>
      <x:c r="F232" s="171" t="n">
        <x:f>IF(A232="","",IF(B232="Decommissioning",INDEX('Raw Decommissioning'!$G$2:$G$1000,ROWS($A$5:A232)),INDEX('Raw Provisioning'!$H$2:$H$1000,ROWS($A$5:A232)-COUNTA('Raw Decommissioning'!$B$2:$B$1000))))</x:f>
        <x:v>46239.26696684028</x:v>
      </x:c>
      <x:c r="G232" s="170" t="str">
        <x:f>IF(A232="","",IF(B232="Decommissioning",INDEX('Raw Decommissioning'!$I$2:$I$1000,ROWS($A$5:A232)),INDEX('Raw Provisioning'!$J$2:$J$1000,ROWS($A$5:A232)-COUNTA('Raw Decommissioning'!$B$2:$B$1000))))</x:f>
        <x:v>Refinery of the Future - ROTF PRPC</x:v>
      </x:c>
      <x:c r="H232" s="170" t="str">
        <x:f>IF(A232="","",IF(B232="Decommissioning",INDEX('Raw Decommissioning'!$J$2:$J$1000,ROWS($A$5:A232)),INDEX('Raw Provisioning'!$L$2:$L$1000,ROWS($A$5:A232)-COUNTA('Raw Decommissioning'!$B$2:$B$1000))))</x:f>
        <x:v>CTP - Refinery of the future (ROTF) - Feedstock</x:v>
      </x:c>
      <x:c r="I232" s="170" t="str">
        <x:f>IF(A232="","",IF(B232="Decommissioning",INDEX('Raw Decommissioning'!$AL$2:$AL$1000,ROWS($A$5:A232)),INDEX('Raw Provisioning'!$R$2:$R$1000,ROWS($A$5:A232)-COUNTA('Raw Decommissioning'!$B$2:$B$1000))))</x:f>
      </x:c>
      <x:c r="J232" s="170" t="str">
        <x:f>IF(A232="","",IF(B232="Decommissioning",INDEX('Raw Decommissioning'!$AG$2:$AG$1000,ROWS($A$5:A232)),INDEX('Raw Provisioning'!$AI$2:$AI$1000,ROWS($A$5:A232)-COUNTA('Raw Decommissioning'!$B$2:$B$1000))))</x:f>
        <x:v>IMS - CLOUD CSSP EXECUTOR</x:v>
      </x:c>
      <x:c r="K232" s="172" t="str">
        <x:f>IF(A232="","",IFERROR(LOOKUP(2,1/('Assignment History'!$B$5:$B$204=A232),'Assignment History'!$D$5:$D$204),IFERROR(VLOOKUP(J232,Configuration!$L$5:$M$50,2,FALSE),J232)))</x:f>
        <x:v>IMS - CLOUD CSSP EXECUTOR</x:v>
      </x:c>
      <x:c r="L232" s="172" t="str">
        <x:f>IF(A232="","",IF(K232=IFERROR(VLOOKUP(J232,Configuration!$L$5:$M$50,2,FALSE),J232),"Snapshot PIC","Replacement PIC"))</x:f>
        <x:v>Snapshot PIC</x:v>
      </x:c>
      <x:c r="M232" s="172" t="n">
        <x:f>IF(A232="","",IFERROR(VLOOKUP(I232,Configuration!$O$5:$P$8,2,FALSE),Configuration!$S$6))</x:f>
        <x:v>2</x:v>
      </x:c>
      <x:c r="N232" s="172" t="str">
        <x:f>IF(A232="","",IFERROR(LOOKUP(2,1/('Scope Review'!$B$5:$B$204=A232),'Scope Review'!$G$5:$G$204),"Not Reviewed"))</x:f>
        <x:v>Not Reviewed</x:v>
      </x:c>
      <x:c r="O232" s="172" t="str">
        <x:f>IF(A232="","",IFERROR(LOOKUP(2,1/('Scope Review'!$B$5:$B$204=A232),'Scope Review'!$H$5:$H$204),""))</x:f>
      </x:c>
      <x:c r="P232" s="172" t="n">
        <x:f>IF(A232="","",IF(AND(C232="executing",N232&lt;&gt;"Confirmed OOS"),M232,0))</x:f>
        <x:v>0</x:v>
      </x:c>
      <x:c r="Q232" s="173" t="str">
        <x:f>IF(A232="","",IFERROR(LOOKUP(2,1/('Engineer Updates'!$B$5:$B$704=A232),'Engineer Updates'!$A$5:$A$704),""))</x:f>
      </x:c>
      <x:c r="R232" s="172" t="str">
        <x:f>IF(A232="","",IFERROR(LOOKUP(2,1/('Engineer Updates'!$B$5:$B$704=A232),'Engineer Updates'!$H$5:$H$704),""))</x:f>
      </x:c>
      <x:c r="S232" s="172" t="str">
        <x:f>IF(A232="","",IFERROR(LOOKUP(2,1/('Engineer Updates'!$B$5:$B$704=A232),'Engineer Updates'!$G$5:$G$704),""))</x:f>
      </x:c>
      <x:c r="T232" s="172" t="str">
        <x:f>IF(A232="","",IFERROR(LOOKUP(2,1/('Engineer Updates'!$B$5:$B$704=A232),'Engineer Updates'!$I$5:$I$704),""))</x:f>
      </x:c>
      <x:c r="U232" s="172" t="str">
        <x:f>IF(A232="","",IFERROR(LOOKUP(2,1/('Engineer Updates'!$B$5:$B$704=A232),'Engineer Updates'!$J$5:$J$704),""))</x:f>
      </x:c>
      <x:c r="V232" s="172" t="str">
        <x:f>IF(A232="","",IFERROR(LOOKUP(2,1/('Engineer Updates'!$B$5:$B$704=A232),'Engineer Updates'!$K$5:$K$704),""))</x:f>
      </x:c>
      <x:c r="W232" s="174" t="str">
        <x:f>IF(A232="","",IFERROR(LOOKUP(2,1/('Engineer Updates'!$B$5:$B$704=A232),'Engineer Updates'!$L$5:$L$704),""))</x:f>
      </x:c>
      <x:c r="X232" s="170" t="str">
        <x:f>IF(A232="","",IF(C232="completed","Completed in CSSP",IF(AND(C232="executing",ISERROR(SEARCH("@",K232))),"Executing without named engineer",IF(AND(N232="Confirmed OOS",C232="executing"),"Confirmed OOS still executing",""))))</x:f>
      </x:c>
      <x:c r="Y232" s="170" t="str">
        <x:f>IF(A232="","",IF(B232="Decommissioning","Raw Decommissioning","Raw Provisioning"))</x:f>
        <x:v>Raw Decommissioning</x:v>
      </x:c>
      <x:c r="Z232" s="170" t="str">
        <x:f>IF(A232="","",IF(OR(C232="executing",C232="processing"),"Yes","No"))</x:f>
        <x:v>Yes</x:v>
      </x:c>
    </x:row>
    <x:row r="233">
      <x:c r="A233" s="170" t="str">
        <x:f>IF(ROWS($A$5:A233)&lt;=COUNTA('Raw Decommissioning'!$B$2:$B$1000),INDEX('Raw Decommissioning'!$B$2:$B$1000,ROWS($A$5:A233)),IF(ROWS($A$5:A233)-COUNTA('Raw Decommissioning'!$B$2:$B$1000)&lt;=COUNTA('Raw Provisioning'!$B$2:$B$1000),INDEX('Raw Provisioning'!$B$2:$B$1000,ROWS($A$5:A233)-COUNTA('Raw Decommissioning'!$B$2:$B$1000)),""))</x:f>
        <x:v>CSSP10340483</x:v>
      </x:c>
      <x:c r="B233" s="170" t="str">
        <x:f>IF(A233="","",IF(ROWS($A$5:A233)&lt;=COUNTA('Raw Decommissioning'!$B$2:$B$1000),"Decommissioning","Provisioning"))</x:f>
        <x:v>Decommissioning</x:v>
      </x:c>
      <x:c r="C233" s="170" t="str">
        <x:f>IF(A233="","",IF(B233="Decommissioning",IFERROR(INDEX('Raw Decommissioning'!$E$2:$E$1000,MATCH(A233,'Raw Decommissioning'!$B$2:$B$1000,0)),"Missing from latest raw"),IFERROR(INDEX('Raw Provisioning'!$E$2:$E$1000,MATCH(A233,'Raw Provisioning'!$B$2:$B$1000,0)),"Missing from latest raw")))</x:f>
        <x:v>processing</x:v>
      </x:c>
      <x:c r="D233" s="171" t="n">
        <x:f>IF(A233="","",'Refresh Control'!$B$4)</x:f>
        <x:v>46254</x:v>
      </x:c>
      <x:c r="E233" s="171" t="n">
        <x:f>IF(A233="","",IF(B233="Decommissioning",INDEX('Raw Decommissioning'!$F$2:$F$1000,ROWS($A$5:A233)),INDEX('Raw Provisioning'!$F$2:$F$1000,ROWS($A$5:A233)-COUNTA('Raw Decommissioning'!$B$2:$B$1000))))</x:f>
        <x:v>46167.0322028588</x:v>
      </x:c>
      <x:c r="F233" s="171" t="n">
        <x:f>IF(A233="","",IF(B233="Decommissioning",INDEX('Raw Decommissioning'!$G$2:$G$1000,ROWS($A$5:A233)),INDEX('Raw Provisioning'!$H$2:$H$1000,ROWS($A$5:A233)-COUNTA('Raw Decommissioning'!$B$2:$B$1000))))</x:f>
        <x:v>46210.283727002316</x:v>
      </x:c>
      <x:c r="G233" s="170" t="str">
        <x:f>IF(A233="","",IF(B233="Decommissioning",INDEX('Raw Decommissioning'!$I$2:$I$1000,ROWS($A$5:A233)),INDEX('Raw Provisioning'!$J$2:$J$1000,ROWS($A$5:A233)-COUNTA('Raw Decommissioning'!$B$2:$B$1000))))</x:f>
        <x:v>Instrument Reliability Digital Suite - IRIS</x:v>
      </x:c>
      <x:c r="H233" s="170" t="str">
        <x:f>IF(A233="","",IF(B233="Decommissioning",INDEX('Raw Decommissioning'!$J$2:$J$1000,ROWS($A$5:A233)),INDEX('Raw Provisioning'!$L$2:$L$1000,ROWS($A$5:A233)-COUNTA('Raw Decommissioning'!$B$2:$B$1000))))</x:f>
        <x:v>[ALS] Implementation of Instrument Reliability Digital Suite (IRIS) for GTS</x:v>
      </x:c>
      <x:c r="I233" s="170" t="str">
        <x:f>IF(A233="","",IF(B233="Decommissioning",INDEX('Raw Decommissioning'!$AL$2:$AL$1000,ROWS($A$5:A233)),INDEX('Raw Provisioning'!$R$2:$R$1000,ROWS($A$5:A233)-COUNTA('Raw Decommissioning'!$B$2:$B$1000))))</x:f>
        <x:v>S</x:v>
      </x:c>
      <x:c r="J233" s="170" t="str">
        <x:f>IF(A233="","",IF(B233="Decommissioning",INDEX('Raw Decommissioning'!$AG$2:$AG$1000,ROWS($A$5:A233)),INDEX('Raw Provisioning'!$AI$2:$AI$1000,ROWS($A$5:A233)-COUNTA('Raw Decommissioning'!$B$2:$B$1000))))</x:f>
        <x:v>CCoE Operations</x:v>
      </x:c>
      <x:c r="K233" s="172" t="str">
        <x:f>IF(A233="","",IFERROR(LOOKUP(2,1/('Assignment History'!$B$5:$B$204=A233),'Assignment History'!$D$5:$D$204),IFERROR(VLOOKUP(J233,Configuration!$L$5:$M$50,2,FALSE),J233)))</x:f>
        <x:v>CCoE Operations</x:v>
      </x:c>
      <x:c r="L233" s="172" t="str">
        <x:f>IF(A233="","",IF(K233=IFERROR(VLOOKUP(J233,Configuration!$L$5:$M$50,2,FALSE),J233),"Snapshot PIC","Replacement PIC"))</x:f>
        <x:v>Snapshot PIC</x:v>
      </x:c>
      <x:c r="M233" s="172" t="n">
        <x:f>IF(A233="","",IFERROR(VLOOKUP(I233,Configuration!$O$5:$P$8,2,FALSE),Configuration!$S$6))</x:f>
        <x:v>1</x:v>
      </x:c>
      <x:c r="N233" s="172" t="str">
        <x:f>IF(A233="","",IFERROR(LOOKUP(2,1/('Scope Review'!$B$5:$B$204=A233),'Scope Review'!$G$5:$G$204),"Not Reviewed"))</x:f>
        <x:v>Not Reviewed</x:v>
      </x:c>
      <x:c r="O233" s="172" t="str">
        <x:f>IF(A233="","",IFERROR(LOOKUP(2,1/('Scope Review'!$B$5:$B$204=A233),'Scope Review'!$H$5:$H$204),""))</x:f>
      </x:c>
      <x:c r="P233" s="172" t="n">
        <x:f>IF(A233="","",IF(AND(C233="executing",N233&lt;&gt;"Confirmed OOS"),M233,0))</x:f>
        <x:v>0</x:v>
      </x:c>
      <x:c r="Q233" s="173" t="str">
        <x:f>IF(A233="","",IFERROR(LOOKUP(2,1/('Engineer Updates'!$B$5:$B$704=A233),'Engineer Updates'!$A$5:$A$704),""))</x:f>
      </x:c>
      <x:c r="R233" s="172" t="str">
        <x:f>IF(A233="","",IFERROR(LOOKUP(2,1/('Engineer Updates'!$B$5:$B$704=A233),'Engineer Updates'!$H$5:$H$704),""))</x:f>
      </x:c>
      <x:c r="S233" s="172" t="str">
        <x:f>IF(A233="","",IFERROR(LOOKUP(2,1/('Engineer Updates'!$B$5:$B$704=A233),'Engineer Updates'!$G$5:$G$704),""))</x:f>
      </x:c>
      <x:c r="T233" s="172" t="str">
        <x:f>IF(A233="","",IFERROR(LOOKUP(2,1/('Engineer Updates'!$B$5:$B$704=A233),'Engineer Updates'!$I$5:$I$704),""))</x:f>
      </x:c>
      <x:c r="U233" s="172" t="str">
        <x:f>IF(A233="","",IFERROR(LOOKUP(2,1/('Engineer Updates'!$B$5:$B$704=A233),'Engineer Updates'!$J$5:$J$704),""))</x:f>
      </x:c>
      <x:c r="V233" s="172" t="str">
        <x:f>IF(A233="","",IFERROR(LOOKUP(2,1/('Engineer Updates'!$B$5:$B$704=A233),'Engineer Updates'!$K$5:$K$704),""))</x:f>
      </x:c>
      <x:c r="W233" s="174" t="str">
        <x:f>IF(A233="","",IFERROR(LOOKUP(2,1/('Engineer Updates'!$B$5:$B$704=A233),'Engineer Updates'!$L$5:$L$704),""))</x:f>
      </x:c>
      <x:c r="X233" s="170" t="str">
        <x:f>IF(A233="","",IF(C233="completed","Completed in CSSP",IF(AND(C233="executing",ISERROR(SEARCH("@",K233))),"Executing without named engineer",IF(AND(N233="Confirmed OOS",C233="executing"),"Confirmed OOS still executing",""))))</x:f>
      </x:c>
      <x:c r="Y233" s="170" t="str">
        <x:f>IF(A233="","",IF(B233="Decommissioning","Raw Decommissioning","Raw Provisioning"))</x:f>
        <x:v>Raw Decommissioning</x:v>
      </x:c>
      <x:c r="Z233" s="170" t="str">
        <x:f>IF(A233="","",IF(OR(C233="executing",C233="processing"),"Yes","No"))</x:f>
        <x:v>Yes</x:v>
      </x:c>
    </x:row>
    <x:row r="234">
      <x:c r="A234" s="170" t="str">
        <x:f>IF(ROWS($A$5:A234)&lt;=COUNTA('Raw Decommissioning'!$B$2:$B$1000),INDEX('Raw Decommissioning'!$B$2:$B$1000,ROWS($A$5:A234)),IF(ROWS($A$5:A234)-COUNTA('Raw Decommissioning'!$B$2:$B$1000)&lt;=COUNTA('Raw Provisioning'!$B$2:$B$1000),INDEX('Raw Provisioning'!$B$2:$B$1000,ROWS($A$5:A234)-COUNTA('Raw Decommissioning'!$B$2:$B$1000)),""))</x:f>
        <x:v>CSSP10682186</x:v>
      </x:c>
      <x:c r="B234" s="170" t="str">
        <x:f>IF(A234="","",IF(ROWS($A$5:A234)&lt;=COUNTA('Raw Decommissioning'!$B$2:$B$1000),"Decommissioning","Provisioning"))</x:f>
        <x:v>Decommissioning</x:v>
      </x:c>
      <x:c r="C234" s="170" t="str">
        <x:f>IF(A234="","",IF(B234="Decommissioning",IFERROR(INDEX('Raw Decommissioning'!$E$2:$E$1000,MATCH(A234,'Raw Decommissioning'!$B$2:$B$1000,0)),"Missing from latest raw"),IFERROR(INDEX('Raw Provisioning'!$E$2:$E$1000,MATCH(A234,'Raw Provisioning'!$B$2:$B$1000,0)),"Missing from latest raw")))</x:f>
        <x:v>cancelled</x:v>
      </x:c>
      <x:c r="D234" s="171" t="n">
        <x:f>IF(A234="","",'Refresh Control'!$B$4)</x:f>
        <x:v>46254</x:v>
      </x:c>
      <x:c r="E234" s="171" t="n">
        <x:f>IF(A234="","",IF(B234="Decommissioning",INDEX('Raw Decommissioning'!$F$2:$F$1000,ROWS($A$5:A234)),INDEX('Raw Provisioning'!$F$2:$F$1000,ROWS($A$5:A234)-COUNTA('Raw Decommissioning'!$B$2:$B$1000))))</x:f>
        <x:v>46168.152981921296</x:v>
      </x:c>
      <x:c r="F234" s="171" t="n">
        <x:f>IF(A234="","",IF(B234="Decommissioning",INDEX('Raw Decommissioning'!$G$2:$G$1000,ROWS($A$5:A234)),INDEX('Raw Provisioning'!$H$2:$H$1000,ROWS($A$5:A234)-COUNTA('Raw Decommissioning'!$B$2:$B$1000))))</x:f>
        <x:v>46168.15509315972</x:v>
      </x:c>
      <x:c r="G234" s="170" t="str">
        <x:f>IF(A234="","",IF(B234="Decommissioning",INDEX('Raw Decommissioning'!$I$2:$I$1000,ROWS($A$5:A234)),INDEX('Raw Provisioning'!$J$2:$J$1000,ROWS($A$5:A234)-COUNTA('Raw Decommissioning'!$B$2:$B$1000))))</x:f>
        <x:v>Turnaround Management Solution - PITSTOPS</x:v>
      </x:c>
      <x:c r="H234" s="170" t="str">
        <x:f>IF(A234="","",IF(B234="Decommissioning",INDEX('Raw Decommissioning'!$J$2:$J$1000,ROWS($A$5:A234)),INDEX('Raw Provisioning'!$L$2:$L$1000,ROWS($A$5:A234)-COUNTA('Raw Decommissioning'!$B$2:$B$1000))))</x:f>
        <x:v>Modernization of Turnaround Management Solution for GTS - PITSTOPS</x:v>
      </x:c>
      <x:c r="I234" s="170" t="str">
        <x:f>IF(A234="","",IF(B234="Decommissioning",INDEX('Raw Decommissioning'!$AL$2:$AL$1000,ROWS($A$5:A234)),INDEX('Raw Provisioning'!$R$2:$R$1000,ROWS($A$5:A234)-COUNTA('Raw Decommissioning'!$B$2:$B$1000))))</x:f>
      </x:c>
      <x:c r="J234" s="170" t="str">
        <x:f>IF(A234="","",IF(B234="Decommissioning",INDEX('Raw Decommissioning'!$AG$2:$AG$1000,ROWS($A$5:A234)),INDEX('Raw Provisioning'!$AI$2:$AI$1000,ROWS($A$5:A234)-COUNTA('Raw Decommissioning'!$B$2:$B$1000))))</x:f>
        <x:v>CCoE Operations</x:v>
      </x:c>
      <x:c r="K234" s="172" t="str">
        <x:f>IF(A234="","",IFERROR(LOOKUP(2,1/('Assignment History'!$B$5:$B$204=A234),'Assignment History'!$D$5:$D$204),IFERROR(VLOOKUP(J234,Configuration!$L$5:$M$50,2,FALSE),J234)))</x:f>
        <x:v>CCoE Operations</x:v>
      </x:c>
      <x:c r="L234" s="172" t="str">
        <x:f>IF(A234="","",IF(K234=IFERROR(VLOOKUP(J234,Configuration!$L$5:$M$50,2,FALSE),J234),"Snapshot PIC","Replacement PIC"))</x:f>
        <x:v>Snapshot PIC</x:v>
      </x:c>
      <x:c r="M234" s="172" t="n">
        <x:f>IF(A234="","",IFERROR(VLOOKUP(I234,Configuration!$O$5:$P$8,2,FALSE),Configuration!$S$6))</x:f>
        <x:v>2</x:v>
      </x:c>
      <x:c r="N234" s="172" t="str">
        <x:f>IF(A234="","",IFERROR(LOOKUP(2,1/('Scope Review'!$B$5:$B$204=A234),'Scope Review'!$G$5:$G$204),"Not Reviewed"))</x:f>
        <x:v>Not Reviewed</x:v>
      </x:c>
      <x:c r="O234" s="172" t="str">
        <x:f>IF(A234="","",IFERROR(LOOKUP(2,1/('Scope Review'!$B$5:$B$204=A234),'Scope Review'!$H$5:$H$204),""))</x:f>
      </x:c>
      <x:c r="P234" s="172" t="n">
        <x:f>IF(A234="","",IF(AND(C234="executing",N234&lt;&gt;"Confirmed OOS"),M234,0))</x:f>
        <x:v>0</x:v>
      </x:c>
      <x:c r="Q234" s="173" t="str">
        <x:f>IF(A234="","",IFERROR(LOOKUP(2,1/('Engineer Updates'!$B$5:$B$704=A234),'Engineer Updates'!$A$5:$A$704),""))</x:f>
      </x:c>
      <x:c r="R234" s="172" t="str">
        <x:f>IF(A234="","",IFERROR(LOOKUP(2,1/('Engineer Updates'!$B$5:$B$704=A234),'Engineer Updates'!$H$5:$H$704),""))</x:f>
      </x:c>
      <x:c r="S234" s="172" t="str">
        <x:f>IF(A234="","",IFERROR(LOOKUP(2,1/('Engineer Updates'!$B$5:$B$704=A234),'Engineer Updates'!$G$5:$G$704),""))</x:f>
      </x:c>
      <x:c r="T234" s="172" t="str">
        <x:f>IF(A234="","",IFERROR(LOOKUP(2,1/('Engineer Updates'!$B$5:$B$704=A234),'Engineer Updates'!$I$5:$I$704),""))</x:f>
      </x:c>
      <x:c r="U234" s="172" t="str">
        <x:f>IF(A234="","",IFERROR(LOOKUP(2,1/('Engineer Updates'!$B$5:$B$704=A234),'Engineer Updates'!$J$5:$J$704),""))</x:f>
      </x:c>
      <x:c r="V234" s="172" t="str">
        <x:f>IF(A234="","",IFERROR(LOOKUP(2,1/('Engineer Updates'!$B$5:$B$704=A234),'Engineer Updates'!$K$5:$K$704),""))</x:f>
      </x:c>
      <x:c r="W234" s="174" t="str">
        <x:f>IF(A234="","",IFERROR(LOOKUP(2,1/('Engineer Updates'!$B$5:$B$704=A234),'Engineer Updates'!$L$5:$L$704),""))</x:f>
      </x:c>
      <x:c r="X234" s="170" t="str">
        <x:f>IF(A234="","",IF(C234="completed","Completed in CSSP",IF(AND(C234="executing",ISERROR(SEARCH("@",K234))),"Executing without named engineer",IF(AND(N234="Confirmed OOS",C234="executing"),"Confirmed OOS still executing",""))))</x:f>
      </x:c>
      <x:c r="Y234" s="170" t="str">
        <x:f>IF(A234="","",IF(B234="Decommissioning","Raw Decommissioning","Raw Provisioning"))</x:f>
        <x:v>Raw Decommissioning</x:v>
      </x:c>
      <x:c r="Z234" s="170" t="str">
        <x:f>IF(A234="","",IF(OR(C234="executing",C234="processing"),"Yes","No"))</x:f>
        <x:v>No</x:v>
      </x:c>
    </x:row>
    <x:row r="235">
      <x:c r="A235" s="170" t="str">
        <x:f>IF(ROWS($A$5:A235)&lt;=COUNTA('Raw Decommissioning'!$B$2:$B$1000),INDEX('Raw Decommissioning'!$B$2:$B$1000,ROWS($A$5:A235)),IF(ROWS($A$5:A235)-COUNTA('Raw Decommissioning'!$B$2:$B$1000)&lt;=COUNTA('Raw Provisioning'!$B$2:$B$1000),INDEX('Raw Provisioning'!$B$2:$B$1000,ROWS($A$5:A235)-COUNTA('Raw Decommissioning'!$B$2:$B$1000)),""))</x:f>
        <x:v>CSSP10237001</x:v>
      </x:c>
      <x:c r="B235" s="170" t="str">
        <x:f>IF(A235="","",IF(ROWS($A$5:A235)&lt;=COUNTA('Raw Decommissioning'!$B$2:$B$1000),"Decommissioning","Provisioning"))</x:f>
        <x:v>Decommissioning</x:v>
      </x:c>
      <x:c r="C235" s="170" t="str">
        <x:f>IF(A235="","",IF(B235="Decommissioning",IFERROR(INDEX('Raw Decommissioning'!$E$2:$E$1000,MATCH(A235,'Raw Decommissioning'!$B$2:$B$1000,0)),"Missing from latest raw"),IFERROR(INDEX('Raw Provisioning'!$E$2:$E$1000,MATCH(A235,'Raw Provisioning'!$B$2:$B$1000,0)),"Missing from latest raw")))</x:f>
        <x:v>processing</x:v>
      </x:c>
      <x:c r="D235" s="171" t="n">
        <x:f>IF(A235="","",'Refresh Control'!$B$4)</x:f>
        <x:v>46254</x:v>
      </x:c>
      <x:c r="E235" s="171" t="n">
        <x:f>IF(A235="","",IF(B235="Decommissioning",INDEX('Raw Decommissioning'!$F$2:$F$1000,ROWS($A$5:A235)),INDEX('Raw Provisioning'!$F$2:$F$1000,ROWS($A$5:A235)-COUNTA('Raw Decommissioning'!$B$2:$B$1000))))</x:f>
        <x:v>46177.38046849537</x:v>
      </x:c>
      <x:c r="F235" s="171" t="n">
        <x:f>IF(A235="","",IF(B235="Decommissioning",INDEX('Raw Decommissioning'!$G$2:$G$1000,ROWS($A$5:A235)),INDEX('Raw Provisioning'!$H$2:$H$1000,ROWS($A$5:A235)-COUNTA('Raw Decommissioning'!$B$2:$B$1000))))</x:f>
        <x:v>46209.30684199074</x:v>
      </x:c>
      <x:c r="G235" s="170" t="str">
        <x:f>IF(A235="","",IF(B235="Decommissioning",INDEX('Raw Decommissioning'!$I$2:$I$1000,ROWS($A$5:A235)),INDEX('Raw Provisioning'!$J$2:$J$1000,ROWS($A$5:A235)-COUNTA('Raw Decommissioning'!$B$2:$B$1000))))</x:f>
        <x:v>Energy Component as a Service - ECaaS</x:v>
      </x:c>
      <x:c r="H235" s="170" t="str">
        <x:f>IF(A235="","",IF(B235="Decommissioning",INDEX('Raw Decommissioning'!$J$2:$J$1000,ROWS($A$5:A235)),INDEX('Raw Provisioning'!$L$2:$L$1000,ROWS($A$5:A235)-COUNTA('Raw Decommissioning'!$B$2:$B$1000))))</x:f>
        <x:v>PETRONAS Global Production System (PGPS) Energy Component as a Service (ECaaS)</x:v>
      </x:c>
      <x:c r="I235" s="170" t="str">
        <x:f>IF(A235="","",IF(B235="Decommissioning",INDEX('Raw Decommissioning'!$AL$2:$AL$1000,ROWS($A$5:A235)),INDEX('Raw Provisioning'!$R$2:$R$1000,ROWS($A$5:A235)-COUNTA('Raw Decommissioning'!$B$2:$B$1000))))</x:f>
        <x:v>M</x:v>
      </x:c>
      <x:c r="J235" s="170" t="str">
        <x:f>IF(A235="","",IF(B235="Decommissioning",INDEX('Raw Decommissioning'!$AG$2:$AG$1000,ROWS($A$5:A235)),INDEX('Raw Provisioning'!$AI$2:$AI$1000,ROWS($A$5:A235)-COUNTA('Raw Decommissioning'!$B$2:$B$1000))))</x:f>
        <x:v>CCoE Operations</x:v>
      </x:c>
      <x:c r="K235" s="172" t="str">
        <x:f>IF(A235="","",IFERROR(LOOKUP(2,1/('Assignment History'!$B$5:$B$204=A235),'Assignment History'!$D$5:$D$204),IFERROR(VLOOKUP(J235,Configuration!$L$5:$M$50,2,FALSE),J235)))</x:f>
        <x:v>CCoE Operations</x:v>
      </x:c>
      <x:c r="L235" s="172" t="str">
        <x:f>IF(A235="","",IF(K235=IFERROR(VLOOKUP(J235,Configuration!$L$5:$M$50,2,FALSE),J235),"Snapshot PIC","Replacement PIC"))</x:f>
        <x:v>Snapshot PIC</x:v>
      </x:c>
      <x:c r="M235" s="172" t="n">
        <x:f>IF(A235="","",IFERROR(VLOOKUP(I235,Configuration!$O$5:$P$8,2,FALSE),Configuration!$S$6))</x:f>
        <x:v>2</x:v>
      </x:c>
      <x:c r="N235" s="172" t="str">
        <x:f>IF(A235="","",IFERROR(LOOKUP(2,1/('Scope Review'!$B$5:$B$204=A235),'Scope Review'!$G$5:$G$204),"Not Reviewed"))</x:f>
        <x:v>Not Reviewed</x:v>
      </x:c>
      <x:c r="O235" s="172" t="str">
        <x:f>IF(A235="","",IFERROR(LOOKUP(2,1/('Scope Review'!$B$5:$B$204=A235),'Scope Review'!$H$5:$H$204),""))</x:f>
      </x:c>
      <x:c r="P235" s="172" t="n">
        <x:f>IF(A235="","",IF(AND(C235="executing",N235&lt;&gt;"Confirmed OOS"),M235,0))</x:f>
        <x:v>0</x:v>
      </x:c>
      <x:c r="Q235" s="173" t="str">
        <x:f>IF(A235="","",IFERROR(LOOKUP(2,1/('Engineer Updates'!$B$5:$B$704=A235),'Engineer Updates'!$A$5:$A$704),""))</x:f>
      </x:c>
      <x:c r="R235" s="172" t="str">
        <x:f>IF(A235="","",IFERROR(LOOKUP(2,1/('Engineer Updates'!$B$5:$B$704=A235),'Engineer Updates'!$H$5:$H$704),""))</x:f>
      </x:c>
      <x:c r="S235" s="172" t="str">
        <x:f>IF(A235="","",IFERROR(LOOKUP(2,1/('Engineer Updates'!$B$5:$B$704=A235),'Engineer Updates'!$G$5:$G$704),""))</x:f>
      </x:c>
      <x:c r="T235" s="172" t="str">
        <x:f>IF(A235="","",IFERROR(LOOKUP(2,1/('Engineer Updates'!$B$5:$B$704=A235),'Engineer Updates'!$I$5:$I$704),""))</x:f>
      </x:c>
      <x:c r="U235" s="172" t="str">
        <x:f>IF(A235="","",IFERROR(LOOKUP(2,1/('Engineer Updates'!$B$5:$B$704=A235),'Engineer Updates'!$J$5:$J$704),""))</x:f>
      </x:c>
      <x:c r="V235" s="172" t="str">
        <x:f>IF(A235="","",IFERROR(LOOKUP(2,1/('Engineer Updates'!$B$5:$B$704=A235),'Engineer Updates'!$K$5:$K$704),""))</x:f>
      </x:c>
      <x:c r="W235" s="174" t="str">
        <x:f>IF(A235="","",IFERROR(LOOKUP(2,1/('Engineer Updates'!$B$5:$B$704=A235),'Engineer Updates'!$L$5:$L$704),""))</x:f>
      </x:c>
      <x:c r="X235" s="170" t="str">
        <x:f>IF(A235="","",IF(C235="completed","Completed in CSSP",IF(AND(C235="executing",ISERROR(SEARCH("@",K235))),"Executing without named engineer",IF(AND(N235="Confirmed OOS",C235="executing"),"Confirmed OOS still executing",""))))</x:f>
      </x:c>
      <x:c r="Y235" s="170" t="str">
        <x:f>IF(A235="","",IF(B235="Decommissioning","Raw Decommissioning","Raw Provisioning"))</x:f>
        <x:v>Raw Decommissioning</x:v>
      </x:c>
      <x:c r="Z235" s="170" t="str">
        <x:f>IF(A235="","",IF(OR(C235="executing",C235="processing"),"Yes","No"))</x:f>
        <x:v>Yes</x:v>
      </x:c>
    </x:row>
    <x:row r="236">
      <x:c r="A236" s="170" t="str">
        <x:f>IF(ROWS($A$5:A236)&lt;=COUNTA('Raw Decommissioning'!$B$2:$B$1000),INDEX('Raw Decommissioning'!$B$2:$B$1000,ROWS($A$5:A236)),IF(ROWS($A$5:A236)-COUNTA('Raw Decommissioning'!$B$2:$B$1000)&lt;=COUNTA('Raw Provisioning'!$B$2:$B$1000),INDEX('Raw Provisioning'!$B$2:$B$1000,ROWS($A$5:A236)-COUNTA('Raw Decommissioning'!$B$2:$B$1000)),""))</x:f>
        <x:v>CSSP10653599</x:v>
      </x:c>
      <x:c r="B236" s="170" t="str">
        <x:f>IF(A236="","",IF(ROWS($A$5:A236)&lt;=COUNTA('Raw Decommissioning'!$B$2:$B$1000),"Decommissioning","Provisioning"))</x:f>
        <x:v>Decommissioning</x:v>
      </x:c>
      <x:c r="C236" s="170" t="str">
        <x:f>IF(A236="","",IF(B236="Decommissioning",IFERROR(INDEX('Raw Decommissioning'!$E$2:$E$1000,MATCH(A236,'Raw Decommissioning'!$B$2:$B$1000,0)),"Missing from latest raw"),IFERROR(INDEX('Raw Provisioning'!$E$2:$E$1000,MATCH(A236,'Raw Provisioning'!$B$2:$B$1000,0)),"Missing from latest raw")))</x:f>
        <x:v>pending</x:v>
      </x:c>
      <x:c r="D236" s="171" t="n">
        <x:f>IF(A236="","",'Refresh Control'!$B$4)</x:f>
        <x:v>46254</x:v>
      </x:c>
      <x:c r="E236" s="171" t="n">
        <x:f>IF(A236="","",IF(B236="Decommissioning",INDEX('Raw Decommissioning'!$F$2:$F$1000,ROWS($A$5:A236)),INDEX('Raw Provisioning'!$F$2:$F$1000,ROWS($A$5:A236)-COUNTA('Raw Decommissioning'!$B$2:$B$1000))))</x:f>
        <x:v>46178.265447199075</x:v>
      </x:c>
      <x:c r="F236" s="171" t="n">
        <x:f>IF(A236="","",IF(B236="Decommissioning",INDEX('Raw Decommissioning'!$G$2:$G$1000,ROWS($A$5:A236)),INDEX('Raw Provisioning'!$H$2:$H$1000,ROWS($A$5:A236)-COUNTA('Raw Decommissioning'!$B$2:$B$1000))))</x:f>
        <x:v>46178.265447199075</x:v>
      </x:c>
      <x:c r="G236" s="170" t="str">
        <x:f>IF(A236="","",IF(B236="Decommissioning",INDEX('Raw Decommissioning'!$I$2:$I$1000,ROWS($A$5:A236)),INDEX('Raw Provisioning'!$J$2:$J$1000,ROWS($A$5:A236)-COUNTA('Raw Decommissioning'!$B$2:$B$1000))))</x:f>
        <x:v>MyTimex</x:v>
      </x:c>
      <x:c r="H236" s="170" t="str">
        <x:f>IF(A236="","",IF(B236="Decommissioning",INDEX('Raw Decommissioning'!$J$2:$J$1000,ROWS($A$5:A236)),INDEX('Raw Provisioning'!$L$2:$L$1000,ROWS($A$5:A236)-COUNTA('Raw Decommissioning'!$B$2:$B$1000))))</x:f>
        <x:v>Development of Enterprise myTimex for Standard Group-wide Application</x:v>
      </x:c>
      <x:c r="I236" s="170" t="str">
        <x:f>IF(A236="","",IF(B236="Decommissioning",INDEX('Raw Decommissioning'!$AL$2:$AL$1000,ROWS($A$5:A236)),INDEX('Raw Provisioning'!$R$2:$R$1000,ROWS($A$5:A236)-COUNTA('Raw Decommissioning'!$B$2:$B$1000))))</x:f>
      </x:c>
      <x:c r="J236" s="170" t="str">
        <x:f>IF(A236="","",IF(B236="Decommissioning",INDEX('Raw Decommissioning'!$AG$2:$AG$1000,ROWS($A$5:A236)),INDEX('Raw Provisioning'!$AI$2:$AI$1000,ROWS($A$5:A236)-COUNTA('Raw Decommissioning'!$B$2:$B$1000))))</x:f>
        <x:v>CCoE Operations</x:v>
      </x:c>
      <x:c r="K236" s="172" t="str">
        <x:f>IF(A236="","",IFERROR(LOOKUP(2,1/('Assignment History'!$B$5:$B$204=A236),'Assignment History'!$D$5:$D$204),IFERROR(VLOOKUP(J236,Configuration!$L$5:$M$50,2,FALSE),J236)))</x:f>
        <x:v>CCoE Operations</x:v>
      </x:c>
      <x:c r="L236" s="172" t="str">
        <x:f>IF(A236="","",IF(K236=IFERROR(VLOOKUP(J236,Configuration!$L$5:$M$50,2,FALSE),J236),"Snapshot PIC","Replacement PIC"))</x:f>
        <x:v>Snapshot PIC</x:v>
      </x:c>
      <x:c r="M236" s="172" t="n">
        <x:f>IF(A236="","",IFERROR(VLOOKUP(I236,Configuration!$O$5:$P$8,2,FALSE),Configuration!$S$6))</x:f>
        <x:v>2</x:v>
      </x:c>
      <x:c r="N236" s="172" t="str">
        <x:f>IF(A236="","",IFERROR(LOOKUP(2,1/('Scope Review'!$B$5:$B$204=A236),'Scope Review'!$G$5:$G$204),"Not Reviewed"))</x:f>
        <x:v>Not Reviewed</x:v>
      </x:c>
      <x:c r="O236" s="172" t="str">
        <x:f>IF(A236="","",IFERROR(LOOKUP(2,1/('Scope Review'!$B$5:$B$204=A236),'Scope Review'!$H$5:$H$204),""))</x:f>
      </x:c>
      <x:c r="P236" s="172" t="n">
        <x:f>IF(A236="","",IF(AND(C236="executing",N236&lt;&gt;"Confirmed OOS"),M236,0))</x:f>
        <x:v>0</x:v>
      </x:c>
      <x:c r="Q236" s="173" t="str">
        <x:f>IF(A236="","",IFERROR(LOOKUP(2,1/('Engineer Updates'!$B$5:$B$704=A236),'Engineer Updates'!$A$5:$A$704),""))</x:f>
      </x:c>
      <x:c r="R236" s="172" t="str">
        <x:f>IF(A236="","",IFERROR(LOOKUP(2,1/('Engineer Updates'!$B$5:$B$704=A236),'Engineer Updates'!$H$5:$H$704),""))</x:f>
      </x:c>
      <x:c r="S236" s="172" t="str">
        <x:f>IF(A236="","",IFERROR(LOOKUP(2,1/('Engineer Updates'!$B$5:$B$704=A236),'Engineer Updates'!$G$5:$G$704),""))</x:f>
      </x:c>
      <x:c r="T236" s="172" t="str">
        <x:f>IF(A236="","",IFERROR(LOOKUP(2,1/('Engineer Updates'!$B$5:$B$704=A236),'Engineer Updates'!$I$5:$I$704),""))</x:f>
      </x:c>
      <x:c r="U236" s="172" t="str">
        <x:f>IF(A236="","",IFERROR(LOOKUP(2,1/('Engineer Updates'!$B$5:$B$704=A236),'Engineer Updates'!$J$5:$J$704),""))</x:f>
      </x:c>
      <x:c r="V236" s="172" t="str">
        <x:f>IF(A236="","",IFERROR(LOOKUP(2,1/('Engineer Updates'!$B$5:$B$704=A236),'Engineer Updates'!$K$5:$K$704),""))</x:f>
      </x:c>
      <x:c r="W236" s="174" t="str">
        <x:f>IF(A236="","",IFERROR(LOOKUP(2,1/('Engineer Updates'!$B$5:$B$704=A236),'Engineer Updates'!$L$5:$L$704),""))</x:f>
      </x:c>
      <x:c r="X236" s="170" t="str">
        <x:f>IF(A236="","",IF(C236="completed","Completed in CSSP",IF(AND(C236="executing",ISERROR(SEARCH("@",K236))),"Executing without named engineer",IF(AND(N236="Confirmed OOS",C236="executing"),"Confirmed OOS still executing",""))))</x:f>
      </x:c>
      <x:c r="Y236" s="170" t="str">
        <x:f>IF(A236="","",IF(B236="Decommissioning","Raw Decommissioning","Raw Provisioning"))</x:f>
        <x:v>Raw Decommissioning</x:v>
      </x:c>
      <x:c r="Z236" s="170" t="str">
        <x:f>IF(A236="","",IF(OR(C236="executing",C236="processing"),"Yes","No"))</x:f>
        <x:v>No</x:v>
      </x:c>
    </x:row>
    <x:row r="237">
      <x:c r="A237" s="170" t="str">
        <x:f>IF(ROWS($A$5:A237)&lt;=COUNTA('Raw Decommissioning'!$B$2:$B$1000),INDEX('Raw Decommissioning'!$B$2:$B$1000,ROWS($A$5:A237)),IF(ROWS($A$5:A237)-COUNTA('Raw Decommissioning'!$B$2:$B$1000)&lt;=COUNTA('Raw Provisioning'!$B$2:$B$1000),INDEX('Raw Provisioning'!$B$2:$B$1000,ROWS($A$5:A237)-COUNTA('Raw Decommissioning'!$B$2:$B$1000)),""))</x:f>
        <x:v>CSSP10657704</x:v>
      </x:c>
      <x:c r="B237" s="170" t="str">
        <x:f>IF(A237="","",IF(ROWS($A$5:A237)&lt;=COUNTA('Raw Decommissioning'!$B$2:$B$1000),"Decommissioning","Provisioning"))</x:f>
        <x:v>Decommissioning</x:v>
      </x:c>
      <x:c r="C237" s="170" t="str">
        <x:f>IF(A237="","",IF(B237="Decommissioning",IFERROR(INDEX('Raw Decommissioning'!$E$2:$E$1000,MATCH(A237,'Raw Decommissioning'!$B$2:$B$1000,0)),"Missing from latest raw"),IFERROR(INDEX('Raw Provisioning'!$E$2:$E$1000,MATCH(A237,'Raw Provisioning'!$B$2:$B$1000,0)),"Missing from latest raw")))</x:f>
        <x:v>completed</x:v>
      </x:c>
      <x:c r="D237" s="171" t="n">
        <x:f>IF(A237="","",'Refresh Control'!$B$4)</x:f>
        <x:v>46254</x:v>
      </x:c>
      <x:c r="E237" s="171" t="n">
        <x:f>IF(A237="","",IF(B237="Decommissioning",INDEX('Raw Decommissioning'!$F$2:$F$1000,ROWS($A$5:A237)),INDEX('Raw Provisioning'!$F$2:$F$1000,ROWS($A$5:A237)-COUNTA('Raw Decommissioning'!$B$2:$B$1000))))</x:f>
        <x:v>46181.97354247685</x:v>
      </x:c>
      <x:c r="F237" s="171" t="n">
        <x:f>IF(A237="","",IF(B237="Decommissioning",INDEX('Raw Decommissioning'!$G$2:$G$1000,ROWS($A$5:A237)),INDEX('Raw Provisioning'!$H$2:$H$1000,ROWS($A$5:A237)-COUNTA('Raw Decommissioning'!$B$2:$B$1000))))</x:f>
        <x:v>46196.359642268515</x:v>
      </x:c>
      <x:c r="G237" s="170" t="str">
        <x:f>IF(A237="","",IF(B237="Decommissioning",INDEX('Raw Decommissioning'!$I$2:$I$1000,ROWS($A$5:A237)),INDEX('Raw Provisioning'!$J$2:$J$1000,ROWS($A$5:A237)-COUNTA('Raw Decommissioning'!$B$2:$B$1000))))</x:f>
        <x:v>Policy Advisory Committee to the Prime Minister - PMAC</x:v>
      </x:c>
      <x:c r="H237" s="170" t="str">
        <x:f>IF(A237="","",IF(B237="Decommissioning",INDEX('Raw Decommissioning'!$J$2:$J$1000,ROWS($A$5:A237)),INDEX('Raw Provisioning'!$L$2:$L$1000,ROWS($A$5:A237)-COUNTA('Raw Decommissioning'!$B$2:$B$1000))))</x:f>
        <x:v>Policy Advisory Committee to the Prime Minister (PMAC)</x:v>
      </x:c>
      <x:c r="I237" s="170" t="str">
        <x:f>IF(A237="","",IF(B237="Decommissioning",INDEX('Raw Decommissioning'!$AL$2:$AL$1000,ROWS($A$5:A237)),INDEX('Raw Provisioning'!$R$2:$R$1000,ROWS($A$5:A237)-COUNTA('Raw Decommissioning'!$B$2:$B$1000))))</x:f>
        <x:v>M</x:v>
      </x:c>
      <x:c r="J237" s="170" t="str">
        <x:f>IF(A237="","",IF(B237="Decommissioning",INDEX('Raw Decommissioning'!$AG$2:$AG$1000,ROWS($A$5:A237)),INDEX('Raw Provisioning'!$AI$2:$AI$1000,ROWS($A$5:A237)-COUNTA('Raw Decommissioning'!$B$2:$B$1000))))</x:f>
        <x:v>azlisham.md@petronas.com</x:v>
      </x:c>
      <x:c r="K237" s="172" t="str">
        <x:f>IF(A237="","",IFERROR(LOOKUP(2,1/('Assignment History'!$B$5:$B$204=A237),'Assignment History'!$D$5:$D$204),IFERROR(VLOOKUP(J237,Configuration!$L$5:$M$50,2,FALSE),J237)))</x:f>
        <x:v>azlisham.md@petronas.com</x:v>
      </x:c>
      <x:c r="L237" s="172" t="str">
        <x:f>IF(A237="","",IF(K237=IFERROR(VLOOKUP(J237,Configuration!$L$5:$M$50,2,FALSE),J237),"Snapshot PIC","Replacement PIC"))</x:f>
        <x:v>Snapshot PIC</x:v>
      </x:c>
      <x:c r="M237" s="172" t="n">
        <x:f>IF(A237="","",IFERROR(VLOOKUP(I237,Configuration!$O$5:$P$8,2,FALSE),Configuration!$S$6))</x:f>
        <x:v>2</x:v>
      </x:c>
      <x:c r="N237" s="172" t="str">
        <x:f>IF(A237="","",IFERROR(LOOKUP(2,1/('Scope Review'!$B$5:$B$204=A237),'Scope Review'!$G$5:$G$204),"Not Reviewed"))</x:f>
        <x:v>Not Reviewed</x:v>
      </x:c>
      <x:c r="O237" s="172" t="str">
        <x:f>IF(A237="","",IFERROR(LOOKUP(2,1/('Scope Review'!$B$5:$B$204=A237),'Scope Review'!$H$5:$H$204),""))</x:f>
      </x:c>
      <x:c r="P237" s="172" t="n">
        <x:f>IF(A237="","",IF(AND(C237="executing",N237&lt;&gt;"Confirmed OOS"),M237,0))</x:f>
        <x:v>0</x:v>
      </x:c>
      <x:c r="Q237" s="173" t="str">
        <x:f>IF(A237="","",IFERROR(LOOKUP(2,1/('Engineer Updates'!$B$5:$B$704=A237),'Engineer Updates'!$A$5:$A$704),""))</x:f>
      </x:c>
      <x:c r="R237" s="172" t="str">
        <x:f>IF(A237="","",IFERROR(LOOKUP(2,1/('Engineer Updates'!$B$5:$B$704=A237),'Engineer Updates'!$H$5:$H$704),""))</x:f>
      </x:c>
      <x:c r="S237" s="172" t="str">
        <x:f>IF(A237="","",IFERROR(LOOKUP(2,1/('Engineer Updates'!$B$5:$B$704=A237),'Engineer Updates'!$G$5:$G$704),""))</x:f>
      </x:c>
      <x:c r="T237" s="172" t="str">
        <x:f>IF(A237="","",IFERROR(LOOKUP(2,1/('Engineer Updates'!$B$5:$B$704=A237),'Engineer Updates'!$I$5:$I$704),""))</x:f>
      </x:c>
      <x:c r="U237" s="172" t="str">
        <x:f>IF(A237="","",IFERROR(LOOKUP(2,1/('Engineer Updates'!$B$5:$B$704=A237),'Engineer Updates'!$J$5:$J$704),""))</x:f>
      </x:c>
      <x:c r="V237" s="172" t="str">
        <x:f>IF(A237="","",IFERROR(LOOKUP(2,1/('Engineer Updates'!$B$5:$B$704=A237),'Engineer Updates'!$K$5:$K$704),""))</x:f>
      </x:c>
      <x:c r="W237" s="174" t="str">
        <x:f>IF(A237="","",IFERROR(LOOKUP(2,1/('Engineer Updates'!$B$5:$B$704=A237),'Engineer Updates'!$L$5:$L$704),""))</x:f>
      </x:c>
      <x:c r="X237" s="170" t="str">
        <x:f>IF(A237="","",IF(C237="completed","Completed in CSSP",IF(AND(C237="executing",ISERROR(SEARCH("@",K237))),"Executing without named engineer",IF(AND(N237="Confirmed OOS",C237="executing"),"Confirmed OOS still executing",""))))</x:f>
        <x:v>Completed in CSSP</x:v>
      </x:c>
      <x:c r="Y237" s="170" t="str">
        <x:f>IF(A237="","",IF(B237="Decommissioning","Raw Decommissioning","Raw Provisioning"))</x:f>
        <x:v>Raw Decommissioning</x:v>
      </x:c>
      <x:c r="Z237" s="170" t="str">
        <x:f>IF(A237="","",IF(OR(C237="executing",C237="processing"),"Yes","No"))</x:f>
        <x:v>No</x:v>
      </x:c>
    </x:row>
    <x:row r="238">
      <x:c r="A238" s="170" t="str">
        <x:f>IF(ROWS($A$5:A238)&lt;=COUNTA('Raw Decommissioning'!$B$2:$B$1000),INDEX('Raw Decommissioning'!$B$2:$B$1000,ROWS($A$5:A238)),IF(ROWS($A$5:A238)-COUNTA('Raw Decommissioning'!$B$2:$B$1000)&lt;=COUNTA('Raw Provisioning'!$B$2:$B$1000),INDEX('Raw Provisioning'!$B$2:$B$1000,ROWS($A$5:A238)-COUNTA('Raw Decommissioning'!$B$2:$B$1000)),""))</x:f>
        <x:v>CSSP10555599</x:v>
      </x:c>
      <x:c r="B238" s="170" t="str">
        <x:f>IF(A238="","",IF(ROWS($A$5:A238)&lt;=COUNTA('Raw Decommissioning'!$B$2:$B$1000),"Decommissioning","Provisioning"))</x:f>
        <x:v>Decommissioning</x:v>
      </x:c>
      <x:c r="C238" s="170" t="str">
        <x:f>IF(A238="","",IF(B238="Decommissioning",IFERROR(INDEX('Raw Decommissioning'!$E$2:$E$1000,MATCH(A238,'Raw Decommissioning'!$B$2:$B$1000,0)),"Missing from latest raw"),IFERROR(INDEX('Raw Provisioning'!$E$2:$E$1000,MATCH(A238,'Raw Provisioning'!$B$2:$B$1000,0)),"Missing from latest raw")))</x:f>
        <x:v>completed</x:v>
      </x:c>
      <x:c r="D238" s="171" t="n">
        <x:f>IF(A238="","",'Refresh Control'!$B$4)</x:f>
        <x:v>46254</x:v>
      </x:c>
      <x:c r="E238" s="171" t="n">
        <x:f>IF(A238="","",IF(B238="Decommissioning",INDEX('Raw Decommissioning'!$F$2:$F$1000,ROWS($A$5:A238)),INDEX('Raw Provisioning'!$F$2:$F$1000,ROWS($A$5:A238)-COUNTA('Raw Decommissioning'!$B$2:$B$1000))))</x:f>
        <x:v>46183.28925431713</x:v>
      </x:c>
      <x:c r="F238" s="171" t="n">
        <x:f>IF(A238="","",IF(B238="Decommissioning",INDEX('Raw Decommissioning'!$G$2:$G$1000,ROWS($A$5:A238)),INDEX('Raw Provisioning'!$H$2:$H$1000,ROWS($A$5:A238)-COUNTA('Raw Decommissioning'!$B$2:$B$1000))))</x:f>
        <x:v>46195.098200381944</x:v>
      </x:c>
      <x:c r="G238" s="170" t="str">
        <x:f>IF(A238="","",IF(B238="Decommissioning",INDEX('Raw Decommissioning'!$I$2:$I$1000,ROWS($A$5:A238)),INDEX('Raw Provisioning'!$J$2:$J$1000,ROWS($A$5:A238)-COUNTA('Raw Decommissioning'!$B$2:$B$1000))))</x:f>
        <x:v>Business Intelligence Reporting and Analytic - BIRA</x:v>
      </x:c>
      <x:c r="H238" s="170" t="str">
        <x:f>IF(A238="","",IF(B238="Decommissioning",INDEX('Raw Decommissioning'!$J$2:$J$1000,ROWS($A$5:A238)),INDEX('Raw Provisioning'!$L$2:$L$1000,ROWS($A$5:A238)-COUNTA('Raw Decommissioning'!$B$2:$B$1000))))</x:f>
        <x:v>Cloud Migration- BIRA (Business Intelligence Reporting &amp; Analytic)</x:v>
      </x:c>
      <x:c r="I238" s="170" t="str">
        <x:f>IF(A238="","",IF(B238="Decommissioning",INDEX('Raw Decommissioning'!$AL$2:$AL$1000,ROWS($A$5:A238)),INDEX('Raw Provisioning'!$R$2:$R$1000,ROWS($A$5:A238)-COUNTA('Raw Decommissioning'!$B$2:$B$1000))))</x:f>
        <x:v>S</x:v>
      </x:c>
      <x:c r="J238" s="170" t="str">
        <x:f>IF(A238="","",IF(B238="Decommissioning",INDEX('Raw Decommissioning'!$AG$2:$AG$1000,ROWS($A$5:A238)),INDEX('Raw Provisioning'!$AI$2:$AI$1000,ROWS($A$5:A238)-COUNTA('Raw Decommissioning'!$B$2:$B$1000))))</x:f>
        <x:v>badri.shaharudin@petronas.com</x:v>
      </x:c>
      <x:c r="K238" s="172" t="str">
        <x:f>IF(A238="","",IFERROR(LOOKUP(2,1/('Assignment History'!$B$5:$B$204=A238),'Assignment History'!$D$5:$D$204),IFERROR(VLOOKUP(J238,Configuration!$L$5:$M$50,2,FALSE),J238)))</x:f>
        <x:v>badri.shaharudin@petronas.com</x:v>
      </x:c>
      <x:c r="L238" s="172" t="str">
        <x:f>IF(A238="","",IF(K238=IFERROR(VLOOKUP(J238,Configuration!$L$5:$M$50,2,FALSE),J238),"Snapshot PIC","Replacement PIC"))</x:f>
        <x:v>Snapshot PIC</x:v>
      </x:c>
      <x:c r="M238" s="172" t="n">
        <x:f>IF(A238="","",IFERROR(VLOOKUP(I238,Configuration!$O$5:$P$8,2,FALSE),Configuration!$S$6))</x:f>
        <x:v>1</x:v>
      </x:c>
      <x:c r="N238" s="172" t="str">
        <x:f>IF(A238="","",IFERROR(LOOKUP(2,1/('Scope Review'!$B$5:$B$204=A238),'Scope Review'!$G$5:$G$204),"Not Reviewed"))</x:f>
        <x:v>Not Reviewed</x:v>
      </x:c>
      <x:c r="O238" s="172" t="str">
        <x:f>IF(A238="","",IFERROR(LOOKUP(2,1/('Scope Review'!$B$5:$B$204=A238),'Scope Review'!$H$5:$H$204),""))</x:f>
      </x:c>
      <x:c r="P238" s="172" t="n">
        <x:f>IF(A238="","",IF(AND(C238="executing",N238&lt;&gt;"Confirmed OOS"),M238,0))</x:f>
        <x:v>0</x:v>
      </x:c>
      <x:c r="Q238" s="173" t="str">
        <x:f>IF(A238="","",IFERROR(LOOKUP(2,1/('Engineer Updates'!$B$5:$B$704=A238),'Engineer Updates'!$A$5:$A$704),""))</x:f>
      </x:c>
      <x:c r="R238" s="172" t="str">
        <x:f>IF(A238="","",IFERROR(LOOKUP(2,1/('Engineer Updates'!$B$5:$B$704=A238),'Engineer Updates'!$H$5:$H$704),""))</x:f>
      </x:c>
      <x:c r="S238" s="172" t="str">
        <x:f>IF(A238="","",IFERROR(LOOKUP(2,1/('Engineer Updates'!$B$5:$B$704=A238),'Engineer Updates'!$G$5:$G$704),""))</x:f>
      </x:c>
      <x:c r="T238" s="172" t="str">
        <x:f>IF(A238="","",IFERROR(LOOKUP(2,1/('Engineer Updates'!$B$5:$B$704=A238),'Engineer Updates'!$I$5:$I$704),""))</x:f>
      </x:c>
      <x:c r="U238" s="172" t="str">
        <x:f>IF(A238="","",IFERROR(LOOKUP(2,1/('Engineer Updates'!$B$5:$B$704=A238),'Engineer Updates'!$J$5:$J$704),""))</x:f>
      </x:c>
      <x:c r="V238" s="172" t="str">
        <x:f>IF(A238="","",IFERROR(LOOKUP(2,1/('Engineer Updates'!$B$5:$B$704=A238),'Engineer Updates'!$K$5:$K$704),""))</x:f>
      </x:c>
      <x:c r="W238" s="174" t="str">
        <x:f>IF(A238="","",IFERROR(LOOKUP(2,1/('Engineer Updates'!$B$5:$B$704=A238),'Engineer Updates'!$L$5:$L$704),""))</x:f>
      </x:c>
      <x:c r="X238" s="170" t="str">
        <x:f>IF(A238="","",IF(C238="completed","Completed in CSSP",IF(AND(C238="executing",ISERROR(SEARCH("@",K238))),"Executing without named engineer",IF(AND(N238="Confirmed OOS",C238="executing"),"Confirmed OOS still executing",""))))</x:f>
        <x:v>Completed in CSSP</x:v>
      </x:c>
      <x:c r="Y238" s="170" t="str">
        <x:f>IF(A238="","",IF(B238="Decommissioning","Raw Decommissioning","Raw Provisioning"))</x:f>
        <x:v>Raw Decommissioning</x:v>
      </x:c>
      <x:c r="Z238" s="170" t="str">
        <x:f>IF(A238="","",IF(OR(C238="executing",C238="processing"),"Yes","No"))</x:f>
        <x:v>No</x:v>
      </x:c>
    </x:row>
    <x:row r="239">
      <x:c r="A239" s="170" t="str">
        <x:f>IF(ROWS($A$5:A239)&lt;=COUNTA('Raw Decommissioning'!$B$2:$B$1000),INDEX('Raw Decommissioning'!$B$2:$B$1000,ROWS($A$5:A239)),IF(ROWS($A$5:A239)-COUNTA('Raw Decommissioning'!$B$2:$B$1000)&lt;=COUNTA('Raw Provisioning'!$B$2:$B$1000),INDEX('Raw Provisioning'!$B$2:$B$1000,ROWS($A$5:A239)-COUNTA('Raw Decommissioning'!$B$2:$B$1000)),""))</x:f>
        <x:v>CSSP10475107</x:v>
      </x:c>
      <x:c r="B239" s="170" t="str">
        <x:f>IF(A239="","",IF(ROWS($A$5:A239)&lt;=COUNTA('Raw Decommissioning'!$B$2:$B$1000),"Decommissioning","Provisioning"))</x:f>
        <x:v>Decommissioning</x:v>
      </x:c>
      <x:c r="C239" s="170" t="str">
        <x:f>IF(A239="","",IF(B239="Decommissioning",IFERROR(INDEX('Raw Decommissioning'!$E$2:$E$1000,MATCH(A239,'Raw Decommissioning'!$B$2:$B$1000,0)),"Missing from latest raw"),IFERROR(INDEX('Raw Provisioning'!$E$2:$E$1000,MATCH(A239,'Raw Provisioning'!$B$2:$B$1000,0)),"Missing from latest raw")))</x:f>
        <x:v>cancelled</x:v>
      </x:c>
      <x:c r="D239" s="171" t="n">
        <x:f>IF(A239="","",'Refresh Control'!$B$4)</x:f>
        <x:v>46254</x:v>
      </x:c>
      <x:c r="E239" s="171" t="n">
        <x:f>IF(A239="","",IF(B239="Decommissioning",INDEX('Raw Decommissioning'!$F$2:$F$1000,ROWS($A$5:A239)),INDEX('Raw Provisioning'!$F$2:$F$1000,ROWS($A$5:A239)-COUNTA('Raw Decommissioning'!$B$2:$B$1000))))</x:f>
        <x:v>46185.32166055556</x:v>
      </x:c>
      <x:c r="F239" s="171" t="n">
        <x:f>IF(A239="","",IF(B239="Decommissioning",INDEX('Raw Decommissioning'!$G$2:$G$1000,ROWS($A$5:A239)),INDEX('Raw Provisioning'!$H$2:$H$1000,ROWS($A$5:A239)-COUNTA('Raw Decommissioning'!$B$2:$B$1000))))</x:f>
        <x:v>46185.336061354166</x:v>
      </x:c>
      <x:c r="G239" s="170" t="str">
        <x:f>IF(A239="","",IF(B239="Decommissioning",INDEX('Raw Decommissioning'!$I$2:$I$1000,ROWS($A$5:A239)),INDEX('Raw Provisioning'!$J$2:$J$1000,ROWS($A$5:A239)-COUNTA('Raw Decommissioning'!$B$2:$B$1000))))</x:f>
        <x:v>M365 Exchange 2016 for Centralised Automation Management Console</x:v>
      </x:c>
      <x:c r="H239" s="170" t="str">
        <x:f>IF(A239="","",IF(B239="Decommissioning",INDEX('Raw Decommissioning'!$J$2:$J$1000,ROWS($A$5:A239)),INDEX('Raw Provisioning'!$L$2:$L$1000,ROWS($A$5:A239)-COUNTA('Raw Decommissioning'!$B$2:$B$1000))))</x:f>
        <x:v>M365-Server Relocation: Exchange Hybrid Servers</x:v>
      </x:c>
      <x:c r="I239" s="170" t="str">
        <x:f>IF(A239="","",IF(B239="Decommissioning",INDEX('Raw Decommissioning'!$AL$2:$AL$1000,ROWS($A$5:A239)),INDEX('Raw Provisioning'!$R$2:$R$1000,ROWS($A$5:A239)-COUNTA('Raw Decommissioning'!$B$2:$B$1000))))</x:f>
      </x:c>
      <x:c r="J239" s="170" t="str">
        <x:f>IF(A239="","",IF(B239="Decommissioning",INDEX('Raw Decommissioning'!$AG$2:$AG$1000,ROWS($A$5:A239)),INDEX('Raw Provisioning'!$AI$2:$AI$1000,ROWS($A$5:A239)-COUNTA('Raw Decommissioning'!$B$2:$B$1000))))</x:f>
        <x:v>CCoE Business</x:v>
      </x:c>
      <x:c r="K239" s="172" t="str">
        <x:f>IF(A239="","",IFERROR(LOOKUP(2,1/('Assignment History'!$B$5:$B$204=A239),'Assignment History'!$D$5:$D$204),IFERROR(VLOOKUP(J239,Configuration!$L$5:$M$50,2,FALSE),J239)))</x:f>
        <x:v>CCoE Business</x:v>
      </x:c>
      <x:c r="L239" s="172" t="str">
        <x:f>IF(A239="","",IF(K239=IFERROR(VLOOKUP(J239,Configuration!$L$5:$M$50,2,FALSE),J239),"Snapshot PIC","Replacement PIC"))</x:f>
        <x:v>Snapshot PIC</x:v>
      </x:c>
      <x:c r="M239" s="172" t="n">
        <x:f>IF(A239="","",IFERROR(VLOOKUP(I239,Configuration!$O$5:$P$8,2,FALSE),Configuration!$S$6))</x:f>
        <x:v>2</x:v>
      </x:c>
      <x:c r="N239" s="172" t="str">
        <x:f>IF(A239="","",IFERROR(LOOKUP(2,1/('Scope Review'!$B$5:$B$204=A239),'Scope Review'!$G$5:$G$204),"Not Reviewed"))</x:f>
        <x:v>Not Reviewed</x:v>
      </x:c>
      <x:c r="O239" s="172" t="str">
        <x:f>IF(A239="","",IFERROR(LOOKUP(2,1/('Scope Review'!$B$5:$B$204=A239),'Scope Review'!$H$5:$H$204),""))</x:f>
      </x:c>
      <x:c r="P239" s="172" t="n">
        <x:f>IF(A239="","",IF(AND(C239="executing",N239&lt;&gt;"Confirmed OOS"),M239,0))</x:f>
        <x:v>0</x:v>
      </x:c>
      <x:c r="Q239" s="173" t="str">
        <x:f>IF(A239="","",IFERROR(LOOKUP(2,1/('Engineer Updates'!$B$5:$B$704=A239),'Engineer Updates'!$A$5:$A$704),""))</x:f>
      </x:c>
      <x:c r="R239" s="172" t="str">
        <x:f>IF(A239="","",IFERROR(LOOKUP(2,1/('Engineer Updates'!$B$5:$B$704=A239),'Engineer Updates'!$H$5:$H$704),""))</x:f>
      </x:c>
      <x:c r="S239" s="172" t="str">
        <x:f>IF(A239="","",IFERROR(LOOKUP(2,1/('Engineer Updates'!$B$5:$B$704=A239),'Engineer Updates'!$G$5:$G$704),""))</x:f>
      </x:c>
      <x:c r="T239" s="172" t="str">
        <x:f>IF(A239="","",IFERROR(LOOKUP(2,1/('Engineer Updates'!$B$5:$B$704=A239),'Engineer Updates'!$I$5:$I$704),""))</x:f>
      </x:c>
      <x:c r="U239" s="172" t="str">
        <x:f>IF(A239="","",IFERROR(LOOKUP(2,1/('Engineer Updates'!$B$5:$B$704=A239),'Engineer Updates'!$J$5:$J$704),""))</x:f>
      </x:c>
      <x:c r="V239" s="172" t="str">
        <x:f>IF(A239="","",IFERROR(LOOKUP(2,1/('Engineer Updates'!$B$5:$B$704=A239),'Engineer Updates'!$K$5:$K$704),""))</x:f>
      </x:c>
      <x:c r="W239" s="174" t="str">
        <x:f>IF(A239="","",IFERROR(LOOKUP(2,1/('Engineer Updates'!$B$5:$B$704=A239),'Engineer Updates'!$L$5:$L$704),""))</x:f>
      </x:c>
      <x:c r="X239" s="170" t="str">
        <x:f>IF(A239="","",IF(C239="completed","Completed in CSSP",IF(AND(C239="executing",ISERROR(SEARCH("@",K239))),"Executing without named engineer",IF(AND(N239="Confirmed OOS",C239="executing"),"Confirmed OOS still executing",""))))</x:f>
      </x:c>
      <x:c r="Y239" s="170" t="str">
        <x:f>IF(A239="","",IF(B239="Decommissioning","Raw Decommissioning","Raw Provisioning"))</x:f>
        <x:v>Raw Decommissioning</x:v>
      </x:c>
      <x:c r="Z239" s="170" t="str">
        <x:f>IF(A239="","",IF(OR(C239="executing",C239="processing"),"Yes","No"))</x:f>
        <x:v>No</x:v>
      </x:c>
    </x:row>
    <x:row r="240">
      <x:c r="A240" s="170" t="str">
        <x:f>IF(ROWS($A$5:A240)&lt;=COUNTA('Raw Decommissioning'!$B$2:$B$1000),INDEX('Raw Decommissioning'!$B$2:$B$1000,ROWS($A$5:A240)),IF(ROWS($A$5:A240)-COUNTA('Raw Decommissioning'!$B$2:$B$1000)&lt;=COUNTA('Raw Provisioning'!$B$2:$B$1000),INDEX('Raw Provisioning'!$B$2:$B$1000,ROWS($A$5:A240)-COUNTA('Raw Decommissioning'!$B$2:$B$1000)),""))</x:f>
        <x:v>CSSP10496253</x:v>
      </x:c>
      <x:c r="B240" s="170" t="str">
        <x:f>IF(A240="","",IF(ROWS($A$5:A240)&lt;=COUNTA('Raw Decommissioning'!$B$2:$B$1000),"Decommissioning","Provisioning"))</x:f>
        <x:v>Decommissioning</x:v>
      </x:c>
      <x:c r="C240" s="170" t="str">
        <x:f>IF(A240="","",IF(B240="Decommissioning",IFERROR(INDEX('Raw Decommissioning'!$E$2:$E$1000,MATCH(A240,'Raw Decommissioning'!$B$2:$B$1000,0)),"Missing from latest raw"),IFERROR(INDEX('Raw Provisioning'!$E$2:$E$1000,MATCH(A240,'Raw Provisioning'!$B$2:$B$1000,0)),"Missing from latest raw")))</x:f>
        <x:v>completed</x:v>
      </x:c>
      <x:c r="D240" s="171" t="n">
        <x:f>IF(A240="","",'Refresh Control'!$B$4)</x:f>
        <x:v>46254</x:v>
      </x:c>
      <x:c r="E240" s="171" t="n">
        <x:f>IF(A240="","",IF(B240="Decommissioning",INDEX('Raw Decommissioning'!$F$2:$F$1000,ROWS($A$5:A240)),INDEX('Raw Provisioning'!$F$2:$F$1000,ROWS($A$5:A240)-COUNTA('Raw Decommissioning'!$B$2:$B$1000))))</x:f>
        <x:v>46185.340565833336</x:v>
      </x:c>
      <x:c r="F240" s="171" t="n">
        <x:f>IF(A240="","",IF(B240="Decommissioning",INDEX('Raw Decommissioning'!$G$2:$G$1000,ROWS($A$5:A240)),INDEX('Raw Provisioning'!$H$2:$H$1000,ROWS($A$5:A240)-COUNTA('Raw Decommissioning'!$B$2:$B$1000))))</x:f>
        <x:v>46223.28076894676</x:v>
      </x:c>
      <x:c r="G240" s="170" t="str">
        <x:f>IF(A240="","",IF(B240="Decommissioning",INDEX('Raw Decommissioning'!$I$2:$I$1000,ROWS($A$5:A240)),INDEX('Raw Provisioning'!$J$2:$J$1000,ROWS($A$5:A240)-COUNTA('Raw Decommissioning'!$B$2:$B$1000))))</x:f>
        <x:v>M365 Exchange 2016 for Centralised Automation Management Console</x:v>
      </x:c>
      <x:c r="H240" s="170" t="str">
        <x:f>IF(A240="","",IF(B240="Decommissioning",INDEX('Raw Decommissioning'!$J$2:$J$1000,ROWS($A$5:A240)),INDEX('Raw Provisioning'!$L$2:$L$1000,ROWS($A$5:A240)-COUNTA('Raw Decommissioning'!$B$2:$B$1000))))</x:f>
        <x:v>M365-Server Relocation: Exchange Hybrid Servers</x:v>
      </x:c>
      <x:c r="I240" s="170" t="str">
        <x:f>IF(A240="","",IF(B240="Decommissioning",INDEX('Raw Decommissioning'!$AL$2:$AL$1000,ROWS($A$5:A240)),INDEX('Raw Provisioning'!$R$2:$R$1000,ROWS($A$5:A240)-COUNTA('Raw Decommissioning'!$B$2:$B$1000))))</x:f>
        <x:v>M</x:v>
      </x:c>
      <x:c r="J240" s="170" t="str">
        <x:f>IF(A240="","",IF(B240="Decommissioning",INDEX('Raw Decommissioning'!$AG$2:$AG$1000,ROWS($A$5:A240)),INDEX('Raw Provisioning'!$AI$2:$AI$1000,ROWS($A$5:A240)-COUNTA('Raw Decommissioning'!$B$2:$B$1000))))</x:f>
        <x:v>abdullah.haziq@petronas.com</x:v>
      </x:c>
      <x:c r="K240" s="172" t="str">
        <x:f>IF(A240="","",IFERROR(LOOKUP(2,1/('Assignment History'!$B$5:$B$204=A240),'Assignment History'!$D$5:$D$204),IFERROR(VLOOKUP(J240,Configuration!$L$5:$M$50,2,FALSE),J240)))</x:f>
        <x:v>abdullah.haziq@petronas.com</x:v>
      </x:c>
      <x:c r="L240" s="172" t="str">
        <x:f>IF(A240="","",IF(K240=IFERROR(VLOOKUP(J240,Configuration!$L$5:$M$50,2,FALSE),J240),"Snapshot PIC","Replacement PIC"))</x:f>
        <x:v>Snapshot PIC</x:v>
      </x:c>
      <x:c r="M240" s="172" t="n">
        <x:f>IF(A240="","",IFERROR(VLOOKUP(I240,Configuration!$O$5:$P$8,2,FALSE),Configuration!$S$6))</x:f>
        <x:v>2</x:v>
      </x:c>
      <x:c r="N240" s="172" t="str">
        <x:f>IF(A240="","",IFERROR(LOOKUP(2,1/('Scope Review'!$B$5:$B$204=A240),'Scope Review'!$G$5:$G$204),"Not Reviewed"))</x:f>
        <x:v>Not Reviewed</x:v>
      </x:c>
      <x:c r="O240" s="172" t="str">
        <x:f>IF(A240="","",IFERROR(LOOKUP(2,1/('Scope Review'!$B$5:$B$204=A240),'Scope Review'!$H$5:$H$204),""))</x:f>
      </x:c>
      <x:c r="P240" s="172" t="n">
        <x:f>IF(A240="","",IF(AND(C240="executing",N240&lt;&gt;"Confirmed OOS"),M240,0))</x:f>
        <x:v>0</x:v>
      </x:c>
      <x:c r="Q240" s="173" t="str">
        <x:f>IF(A240="","",IFERROR(LOOKUP(2,1/('Engineer Updates'!$B$5:$B$704=A240),'Engineer Updates'!$A$5:$A$704),""))</x:f>
      </x:c>
      <x:c r="R240" s="172" t="str">
        <x:f>IF(A240="","",IFERROR(LOOKUP(2,1/('Engineer Updates'!$B$5:$B$704=A240),'Engineer Updates'!$H$5:$H$704),""))</x:f>
      </x:c>
      <x:c r="S240" s="172" t="str">
        <x:f>IF(A240="","",IFERROR(LOOKUP(2,1/('Engineer Updates'!$B$5:$B$704=A240),'Engineer Updates'!$G$5:$G$704),""))</x:f>
      </x:c>
      <x:c r="T240" s="172" t="str">
        <x:f>IF(A240="","",IFERROR(LOOKUP(2,1/('Engineer Updates'!$B$5:$B$704=A240),'Engineer Updates'!$I$5:$I$704),""))</x:f>
      </x:c>
      <x:c r="U240" s="172" t="str">
        <x:f>IF(A240="","",IFERROR(LOOKUP(2,1/('Engineer Updates'!$B$5:$B$704=A240),'Engineer Updates'!$J$5:$J$704),""))</x:f>
      </x:c>
      <x:c r="V240" s="172" t="str">
        <x:f>IF(A240="","",IFERROR(LOOKUP(2,1/('Engineer Updates'!$B$5:$B$704=A240),'Engineer Updates'!$K$5:$K$704),""))</x:f>
      </x:c>
      <x:c r="W240" s="174" t="str">
        <x:f>IF(A240="","",IFERROR(LOOKUP(2,1/('Engineer Updates'!$B$5:$B$704=A240),'Engineer Updates'!$L$5:$L$704),""))</x:f>
      </x:c>
      <x:c r="X240" s="170" t="str">
        <x:f>IF(A240="","",IF(C240="completed","Completed in CSSP",IF(AND(C240="executing",ISERROR(SEARCH("@",K240))),"Executing without named engineer",IF(AND(N240="Confirmed OOS",C240="executing"),"Confirmed OOS still executing",""))))</x:f>
        <x:v>Completed in CSSP</x:v>
      </x:c>
      <x:c r="Y240" s="170" t="str">
        <x:f>IF(A240="","",IF(B240="Decommissioning","Raw Decommissioning","Raw Provisioning"))</x:f>
        <x:v>Raw Decommissioning</x:v>
      </x:c>
      <x:c r="Z240" s="170" t="str">
        <x:f>IF(A240="","",IF(OR(C240="executing",C240="processing"),"Yes","No"))</x:f>
        <x:v>No</x:v>
      </x:c>
    </x:row>
    <x:row r="241">
      <x:c r="A241" s="170" t="str">
        <x:f>IF(ROWS($A$5:A241)&lt;=COUNTA('Raw Decommissioning'!$B$2:$B$1000),INDEX('Raw Decommissioning'!$B$2:$B$1000,ROWS($A$5:A241)),IF(ROWS($A$5:A241)-COUNTA('Raw Decommissioning'!$B$2:$B$1000)&lt;=COUNTA('Raw Provisioning'!$B$2:$B$1000),INDEX('Raw Provisioning'!$B$2:$B$1000,ROWS($A$5:A241)-COUNTA('Raw Decommissioning'!$B$2:$B$1000)),""))</x:f>
        <x:v>CSSP10732316</x:v>
      </x:c>
      <x:c r="B241" s="170" t="str">
        <x:f>IF(A241="","",IF(ROWS($A$5:A241)&lt;=COUNTA('Raw Decommissioning'!$B$2:$B$1000),"Decommissioning","Provisioning"))</x:f>
        <x:v>Decommissioning</x:v>
      </x:c>
      <x:c r="C241" s="170" t="str">
        <x:f>IF(A241="","",IF(B241="Decommissioning",IFERROR(INDEX('Raw Decommissioning'!$E$2:$E$1000,MATCH(A241,'Raw Decommissioning'!$B$2:$B$1000,0)),"Missing from latest raw"),IFERROR(INDEX('Raw Provisioning'!$E$2:$E$1000,MATCH(A241,'Raw Provisioning'!$B$2:$B$1000,0)),"Missing from latest raw")))</x:f>
        <x:v>completed</x:v>
      </x:c>
      <x:c r="D241" s="171" t="n">
        <x:f>IF(A241="","",'Refresh Control'!$B$4)</x:f>
        <x:v>46254</x:v>
      </x:c>
      <x:c r="E241" s="171" t="n">
        <x:f>IF(A241="","",IF(B241="Decommissioning",INDEX('Raw Decommissioning'!$F$2:$F$1000,ROWS($A$5:A241)),INDEX('Raw Provisioning'!$F$2:$F$1000,ROWS($A$5:A241)-COUNTA('Raw Decommissioning'!$B$2:$B$1000))))</x:f>
        <x:v>46188.351509988424</x:v>
      </x:c>
      <x:c r="F241" s="171" t="n">
        <x:f>IF(A241="","",IF(B241="Decommissioning",INDEX('Raw Decommissioning'!$G$2:$G$1000,ROWS($A$5:A241)),INDEX('Raw Provisioning'!$H$2:$H$1000,ROWS($A$5:A241)-COUNTA('Raw Decommissioning'!$B$2:$B$1000))))</x:f>
        <x:v>46198.145549305555</x:v>
      </x:c>
      <x:c r="G241" s="170" t="str">
        <x:f>IF(A241="","",IF(B241="Decommissioning",INDEX('Raw Decommissioning'!$I$2:$I$1000,ROWS($A$5:A241)),INDEX('Raw Provisioning'!$J$2:$J$1000,ROWS($A$5:A241)-COUNTA('Raw Decommissioning'!$B$2:$B$1000))))</x:f>
        <x:v>MyExperts</x:v>
      </x:c>
      <x:c r="H241" s="170" t="str">
        <x:f>IF(A241="","",IF(B241="Decommissioning",INDEX('Raw Decommissioning'!$J$2:$J$1000,ROWS($A$5:A241)),INDEX('Raw Provisioning'!$L$2:$L$1000,ROWS($A$5:A241)-COUNTA('Raw Decommissioning'!$B$2:$B$1000))))</x:f>
        <x:v>MyExperts Infrastructure Refresh for GPD</x:v>
      </x:c>
      <x:c r="I241" s="170" t="str">
        <x:f>IF(A241="","",IF(B241="Decommissioning",INDEX('Raw Decommissioning'!$AL$2:$AL$1000,ROWS($A$5:A241)),INDEX('Raw Provisioning'!$R$2:$R$1000,ROWS($A$5:A241)-COUNTA('Raw Decommissioning'!$B$2:$B$1000))))</x:f>
        <x:v>S</x:v>
      </x:c>
      <x:c r="J241" s="170" t="str">
        <x:f>IF(A241="","",IF(B241="Decommissioning",INDEX('Raw Decommissioning'!$AG$2:$AG$1000,ROWS($A$5:A241)),INDEX('Raw Provisioning'!$AI$2:$AI$1000,ROWS($A$5:A241)-COUNTA('Raw Decommissioning'!$B$2:$B$1000))))</x:f>
        <x:v>azwan.badari@petronas.com</x:v>
      </x:c>
      <x:c r="K241" s="172" t="str">
        <x:f>IF(A241="","",IFERROR(LOOKUP(2,1/('Assignment History'!$B$5:$B$204=A241),'Assignment History'!$D$5:$D$204),IFERROR(VLOOKUP(J241,Configuration!$L$5:$M$50,2,FALSE),J241)))</x:f>
        <x:v>azwan.badari@petronas.com</x:v>
      </x:c>
      <x:c r="L241" s="172" t="str">
        <x:f>IF(A241="","",IF(K241=IFERROR(VLOOKUP(J241,Configuration!$L$5:$M$50,2,FALSE),J241),"Snapshot PIC","Replacement PIC"))</x:f>
        <x:v>Snapshot PIC</x:v>
      </x:c>
      <x:c r="M241" s="172" t="n">
        <x:f>IF(A241="","",IFERROR(VLOOKUP(I241,Configuration!$O$5:$P$8,2,FALSE),Configuration!$S$6))</x:f>
        <x:v>1</x:v>
      </x:c>
      <x:c r="N241" s="172" t="str">
        <x:f>IF(A241="","",IFERROR(LOOKUP(2,1/('Scope Review'!$B$5:$B$204=A241),'Scope Review'!$G$5:$G$204),"Not Reviewed"))</x:f>
        <x:v>Not Reviewed</x:v>
      </x:c>
      <x:c r="O241" s="172" t="str">
        <x:f>IF(A241="","",IFERROR(LOOKUP(2,1/('Scope Review'!$B$5:$B$204=A241),'Scope Review'!$H$5:$H$204),""))</x:f>
      </x:c>
      <x:c r="P241" s="172" t="n">
        <x:f>IF(A241="","",IF(AND(C241="executing",N241&lt;&gt;"Confirmed OOS"),M241,0))</x:f>
        <x:v>0</x:v>
      </x:c>
      <x:c r="Q241" s="173" t="str">
        <x:f>IF(A241="","",IFERROR(LOOKUP(2,1/('Engineer Updates'!$B$5:$B$704=A241),'Engineer Updates'!$A$5:$A$704),""))</x:f>
      </x:c>
      <x:c r="R241" s="172" t="str">
        <x:f>IF(A241="","",IFERROR(LOOKUP(2,1/('Engineer Updates'!$B$5:$B$704=A241),'Engineer Updates'!$H$5:$H$704),""))</x:f>
      </x:c>
      <x:c r="S241" s="172" t="str">
        <x:f>IF(A241="","",IFERROR(LOOKUP(2,1/('Engineer Updates'!$B$5:$B$704=A241),'Engineer Updates'!$G$5:$G$704),""))</x:f>
      </x:c>
      <x:c r="T241" s="172" t="str">
        <x:f>IF(A241="","",IFERROR(LOOKUP(2,1/('Engineer Updates'!$B$5:$B$704=A241),'Engineer Updates'!$I$5:$I$704),""))</x:f>
      </x:c>
      <x:c r="U241" s="172" t="str">
        <x:f>IF(A241="","",IFERROR(LOOKUP(2,1/('Engineer Updates'!$B$5:$B$704=A241),'Engineer Updates'!$J$5:$J$704),""))</x:f>
      </x:c>
      <x:c r="V241" s="172" t="str">
        <x:f>IF(A241="","",IFERROR(LOOKUP(2,1/('Engineer Updates'!$B$5:$B$704=A241),'Engineer Updates'!$K$5:$K$704),""))</x:f>
      </x:c>
      <x:c r="W241" s="174" t="str">
        <x:f>IF(A241="","",IFERROR(LOOKUP(2,1/('Engineer Updates'!$B$5:$B$704=A241),'Engineer Updates'!$L$5:$L$704),""))</x:f>
      </x:c>
      <x:c r="X241" s="170" t="str">
        <x:f>IF(A241="","",IF(C241="completed","Completed in CSSP",IF(AND(C241="executing",ISERROR(SEARCH("@",K241))),"Executing without named engineer",IF(AND(N241="Confirmed OOS",C241="executing"),"Confirmed OOS still executing",""))))</x:f>
        <x:v>Completed in CSSP</x:v>
      </x:c>
      <x:c r="Y241" s="170" t="str">
        <x:f>IF(A241="","",IF(B241="Decommissioning","Raw Decommissioning","Raw Provisioning"))</x:f>
        <x:v>Raw Decommissioning</x:v>
      </x:c>
      <x:c r="Z241" s="170" t="str">
        <x:f>IF(A241="","",IF(OR(C241="executing",C241="processing"),"Yes","No"))</x:f>
        <x:v>No</x:v>
      </x:c>
    </x:row>
    <x:row r="242">
      <x:c r="A242" s="170" t="str">
        <x:f>IF(ROWS($A$5:A242)&lt;=COUNTA('Raw Decommissioning'!$B$2:$B$1000),INDEX('Raw Decommissioning'!$B$2:$B$1000,ROWS($A$5:A242)),IF(ROWS($A$5:A242)-COUNTA('Raw Decommissioning'!$B$2:$B$1000)&lt;=COUNTA('Raw Provisioning'!$B$2:$B$1000),INDEX('Raw Provisioning'!$B$2:$B$1000,ROWS($A$5:A242)-COUNTA('Raw Decommissioning'!$B$2:$B$1000)),""))</x:f>
        <x:v>CSSP10505484</x:v>
      </x:c>
      <x:c r="B242" s="170" t="str">
        <x:f>IF(A242="","",IF(ROWS($A$5:A242)&lt;=COUNTA('Raw Decommissioning'!$B$2:$B$1000),"Decommissioning","Provisioning"))</x:f>
        <x:v>Decommissioning</x:v>
      </x:c>
      <x:c r="C242" s="170" t="str">
        <x:f>IF(A242="","",IF(B242="Decommissioning",IFERROR(INDEX('Raw Decommissioning'!$E$2:$E$1000,MATCH(A242,'Raw Decommissioning'!$B$2:$B$1000,0)),"Missing from latest raw"),IFERROR(INDEX('Raw Provisioning'!$E$2:$E$1000,MATCH(A242,'Raw Provisioning'!$B$2:$B$1000,0)),"Missing from latest raw")))</x:f>
        <x:v>completed</x:v>
      </x:c>
      <x:c r="D242" s="171" t="n">
        <x:f>IF(A242="","",'Refresh Control'!$B$4)</x:f>
        <x:v>46254</x:v>
      </x:c>
      <x:c r="E242" s="171" t="n">
        <x:f>IF(A242="","",IF(B242="Decommissioning",INDEX('Raw Decommissioning'!$F$2:$F$1000,ROWS($A$5:A242)),INDEX('Raw Provisioning'!$F$2:$F$1000,ROWS($A$5:A242)-COUNTA('Raw Decommissioning'!$B$2:$B$1000))))</x:f>
        <x:v>46188.39988153935</x:v>
      </x:c>
      <x:c r="F242" s="171" t="n">
        <x:f>IF(A242="","",IF(B242="Decommissioning",INDEX('Raw Decommissioning'!$G$2:$G$1000,ROWS($A$5:A242)),INDEX('Raw Provisioning'!$H$2:$H$1000,ROWS($A$5:A242)-COUNTA('Raw Decommissioning'!$B$2:$B$1000))))</x:f>
        <x:v>46196.308348796294</x:v>
      </x:c>
      <x:c r="G242" s="170" t="str">
        <x:f>IF(A242="","",IF(B242="Decommissioning",INDEX('Raw Decommissioning'!$I$2:$I$1000,ROWS($A$5:A242)),INDEX('Raw Provisioning'!$J$2:$J$1000,ROWS($A$5:A242)-COUNTA('Raw Decommissioning'!$B$2:$B$1000))))</x:f>
        <x:v>Upstream Mobile Application</x:v>
      </x:c>
      <x:c r="H242" s="170" t="str">
        <x:f>IF(A242="","",IF(B242="Decommissioning",INDEX('Raw Decommissioning'!$J$2:$J$1000,ROWS($A$5:A242)),INDEX('Raw Provisioning'!$L$2:$L$1000,ROWS($A$5:A242)-COUNTA('Raw Decommissioning'!$B$2:$B$1000))))</x:f>
        <x:v>Provision of Hosting Services for UP Mobile for Upstream Digital, PCSB</x:v>
      </x:c>
      <x:c r="I242" s="170" t="str">
        <x:f>IF(A242="","",IF(B242="Decommissioning",INDEX('Raw Decommissioning'!$AL$2:$AL$1000,ROWS($A$5:A242)),INDEX('Raw Provisioning'!$R$2:$R$1000,ROWS($A$5:A242)-COUNTA('Raw Decommissioning'!$B$2:$B$1000))))</x:f>
        <x:v>S</x:v>
      </x:c>
      <x:c r="J242" s="170" t="str">
        <x:f>IF(A242="","",IF(B242="Decommissioning",INDEX('Raw Decommissioning'!$AG$2:$AG$1000,ROWS($A$5:A242)),INDEX('Raw Provisioning'!$AI$2:$AI$1000,ROWS($A$5:A242)-COUNTA('Raw Decommissioning'!$B$2:$B$1000))))</x:f>
        <x:v>abdullah.haziq@petronas.com</x:v>
      </x:c>
      <x:c r="K242" s="172" t="str">
        <x:f>IF(A242="","",IFERROR(LOOKUP(2,1/('Assignment History'!$B$5:$B$204=A242),'Assignment History'!$D$5:$D$204),IFERROR(VLOOKUP(J242,Configuration!$L$5:$M$50,2,FALSE),J242)))</x:f>
        <x:v>abdullah.haziq@petronas.com</x:v>
      </x:c>
      <x:c r="L242" s="172" t="str">
        <x:f>IF(A242="","",IF(K242=IFERROR(VLOOKUP(J242,Configuration!$L$5:$M$50,2,FALSE),J242),"Snapshot PIC","Replacement PIC"))</x:f>
        <x:v>Snapshot PIC</x:v>
      </x:c>
      <x:c r="M242" s="172" t="n">
        <x:f>IF(A242="","",IFERROR(VLOOKUP(I242,Configuration!$O$5:$P$8,2,FALSE),Configuration!$S$6))</x:f>
        <x:v>1</x:v>
      </x:c>
      <x:c r="N242" s="172" t="str">
        <x:f>IF(A242="","",IFERROR(LOOKUP(2,1/('Scope Review'!$B$5:$B$204=A242),'Scope Review'!$G$5:$G$204),"Not Reviewed"))</x:f>
        <x:v>Not Reviewed</x:v>
      </x:c>
      <x:c r="O242" s="172" t="str">
        <x:f>IF(A242="","",IFERROR(LOOKUP(2,1/('Scope Review'!$B$5:$B$204=A242),'Scope Review'!$H$5:$H$204),""))</x:f>
      </x:c>
      <x:c r="P242" s="172" t="n">
        <x:f>IF(A242="","",IF(AND(C242="executing",N242&lt;&gt;"Confirmed OOS"),M242,0))</x:f>
        <x:v>0</x:v>
      </x:c>
      <x:c r="Q242" s="173" t="str">
        <x:f>IF(A242="","",IFERROR(LOOKUP(2,1/('Engineer Updates'!$B$5:$B$704=A242),'Engineer Updates'!$A$5:$A$704),""))</x:f>
      </x:c>
      <x:c r="R242" s="172" t="str">
        <x:f>IF(A242="","",IFERROR(LOOKUP(2,1/('Engineer Updates'!$B$5:$B$704=A242),'Engineer Updates'!$H$5:$H$704),""))</x:f>
      </x:c>
      <x:c r="S242" s="172" t="str">
        <x:f>IF(A242="","",IFERROR(LOOKUP(2,1/('Engineer Updates'!$B$5:$B$704=A242),'Engineer Updates'!$G$5:$G$704),""))</x:f>
      </x:c>
      <x:c r="T242" s="172" t="str">
        <x:f>IF(A242="","",IFERROR(LOOKUP(2,1/('Engineer Updates'!$B$5:$B$704=A242),'Engineer Updates'!$I$5:$I$704),""))</x:f>
      </x:c>
      <x:c r="U242" s="172" t="str">
        <x:f>IF(A242="","",IFERROR(LOOKUP(2,1/('Engineer Updates'!$B$5:$B$704=A242),'Engineer Updates'!$J$5:$J$704),""))</x:f>
      </x:c>
      <x:c r="V242" s="172" t="str">
        <x:f>IF(A242="","",IFERROR(LOOKUP(2,1/('Engineer Updates'!$B$5:$B$704=A242),'Engineer Updates'!$K$5:$K$704),""))</x:f>
      </x:c>
      <x:c r="W242" s="174" t="str">
        <x:f>IF(A242="","",IFERROR(LOOKUP(2,1/('Engineer Updates'!$B$5:$B$704=A242),'Engineer Updates'!$L$5:$L$704),""))</x:f>
      </x:c>
      <x:c r="X242" s="170" t="str">
        <x:f>IF(A242="","",IF(C242="completed","Completed in CSSP",IF(AND(C242="executing",ISERROR(SEARCH("@",K242))),"Executing without named engineer",IF(AND(N242="Confirmed OOS",C242="executing"),"Confirmed OOS still executing",""))))</x:f>
        <x:v>Completed in CSSP</x:v>
      </x:c>
      <x:c r="Y242" s="170" t="str">
        <x:f>IF(A242="","",IF(B242="Decommissioning","Raw Decommissioning","Raw Provisioning"))</x:f>
        <x:v>Raw Decommissioning</x:v>
      </x:c>
      <x:c r="Z242" s="170" t="str">
        <x:f>IF(A242="","",IF(OR(C242="executing",C242="processing"),"Yes","No"))</x:f>
        <x:v>No</x:v>
      </x:c>
    </x:row>
    <x:row r="243">
      <x:c r="A243" s="170" t="str">
        <x:f>IF(ROWS($A$5:A243)&lt;=COUNTA('Raw Decommissioning'!$B$2:$B$1000),INDEX('Raw Decommissioning'!$B$2:$B$1000,ROWS($A$5:A243)),IF(ROWS($A$5:A243)-COUNTA('Raw Decommissioning'!$B$2:$B$1000)&lt;=COUNTA('Raw Provisioning'!$B$2:$B$1000),INDEX('Raw Provisioning'!$B$2:$B$1000,ROWS($A$5:A243)-COUNTA('Raw Decommissioning'!$B$2:$B$1000)),""))</x:f>
        <x:v>CSSP10319295</x:v>
      </x:c>
      <x:c r="B243" s="170" t="str">
        <x:f>IF(A243="","",IF(ROWS($A$5:A243)&lt;=COUNTA('Raw Decommissioning'!$B$2:$B$1000),"Decommissioning","Provisioning"))</x:f>
        <x:v>Decommissioning</x:v>
      </x:c>
      <x:c r="C243" s="170" t="str">
        <x:f>IF(A243="","",IF(B243="Decommissioning",IFERROR(INDEX('Raw Decommissioning'!$E$2:$E$1000,MATCH(A243,'Raw Decommissioning'!$B$2:$B$1000,0)),"Missing from latest raw"),IFERROR(INDEX('Raw Provisioning'!$E$2:$E$1000,MATCH(A243,'Raw Provisioning'!$B$2:$B$1000,0)),"Missing from latest raw")))</x:f>
        <x:v>cancelled</x:v>
      </x:c>
      <x:c r="D243" s="171" t="n">
        <x:f>IF(A243="","",'Refresh Control'!$B$4)</x:f>
        <x:v>46254</x:v>
      </x:c>
      <x:c r="E243" s="171" t="n">
        <x:f>IF(A243="","",IF(B243="Decommissioning",INDEX('Raw Decommissioning'!$F$2:$F$1000,ROWS($A$5:A243)),INDEX('Raw Provisioning'!$F$2:$F$1000,ROWS($A$5:A243)-COUNTA('Raw Decommissioning'!$B$2:$B$1000))))</x:f>
        <x:v>46189.078725520834</x:v>
      </x:c>
      <x:c r="F243" s="171" t="n">
        <x:f>IF(A243="","",IF(B243="Decommissioning",INDEX('Raw Decommissioning'!$G$2:$G$1000,ROWS($A$5:A243)),INDEX('Raw Provisioning'!$H$2:$H$1000,ROWS($A$5:A243)-COUNTA('Raw Decommissioning'!$B$2:$B$1000))))</x:f>
        <x:v>46189.079718009256</x:v>
      </x:c>
      <x:c r="G243" s="170" t="str">
        <x:f>IF(A243="","",IF(B243="Decommissioning",INDEX('Raw Decommissioning'!$I$2:$I$1000,ROWS($A$5:A243)),INDEX('Raw Provisioning'!$J$2:$J$1000,ROWS($A$5:A243)-COUNTA('Raw Decommissioning'!$B$2:$B$1000))))</x:f>
        <x:v>Cyber Security Palo Alto Firewall</x:v>
      </x:c>
      <x:c r="H243" s="170" t="str">
        <x:f>IF(A243="","",IF(B243="Decommissioning",INDEX('Raw Decommissioning'!$J$2:$J$1000,ROWS($A$5:A243)),INDEX('Raw Provisioning'!$L$2:$L$1000,ROWS($A$5:A243)-COUNTA('Raw Decommissioning'!$B$2:$B$1000))))</x:f>
        <x:v>Palo Alto Migration and Implementation in Azure</x:v>
      </x:c>
      <x:c r="I243" s="170" t="str">
        <x:f>IF(A243="","",IF(B243="Decommissioning",INDEX('Raw Decommissioning'!$AL$2:$AL$1000,ROWS($A$5:A243)),INDEX('Raw Provisioning'!$R$2:$R$1000,ROWS($A$5:A243)-COUNTA('Raw Decommissioning'!$B$2:$B$1000))))</x:f>
      </x:c>
      <x:c r="J243" s="170" t="str">
        <x:f>IF(A243="","",IF(B243="Decommissioning",INDEX('Raw Decommissioning'!$AG$2:$AG$1000,ROWS($A$5:A243)),INDEX('Raw Provisioning'!$AI$2:$AI$1000,ROWS($A$5:A243)-COUNTA('Raw Decommissioning'!$B$2:$B$1000))))</x:f>
        <x:v>CCoE Operations</x:v>
      </x:c>
      <x:c r="K243" s="172" t="str">
        <x:f>IF(A243="","",IFERROR(LOOKUP(2,1/('Assignment History'!$B$5:$B$204=A243),'Assignment History'!$D$5:$D$204),IFERROR(VLOOKUP(J243,Configuration!$L$5:$M$50,2,FALSE),J243)))</x:f>
        <x:v>CCoE Operations</x:v>
      </x:c>
      <x:c r="L243" s="172" t="str">
        <x:f>IF(A243="","",IF(K243=IFERROR(VLOOKUP(J243,Configuration!$L$5:$M$50,2,FALSE),J243),"Snapshot PIC","Replacement PIC"))</x:f>
        <x:v>Snapshot PIC</x:v>
      </x:c>
      <x:c r="M243" s="172" t="n">
        <x:f>IF(A243="","",IFERROR(VLOOKUP(I243,Configuration!$O$5:$P$8,2,FALSE),Configuration!$S$6))</x:f>
        <x:v>2</x:v>
      </x:c>
      <x:c r="N243" s="172" t="str">
        <x:f>IF(A243="","",IFERROR(LOOKUP(2,1/('Scope Review'!$B$5:$B$204=A243),'Scope Review'!$G$5:$G$204),"Not Reviewed"))</x:f>
        <x:v>Not Reviewed</x:v>
      </x:c>
      <x:c r="O243" s="172" t="str">
        <x:f>IF(A243="","",IFERROR(LOOKUP(2,1/('Scope Review'!$B$5:$B$204=A243),'Scope Review'!$H$5:$H$204),""))</x:f>
      </x:c>
      <x:c r="P243" s="172" t="n">
        <x:f>IF(A243="","",IF(AND(C243="executing",N243&lt;&gt;"Confirmed OOS"),M243,0))</x:f>
        <x:v>0</x:v>
      </x:c>
      <x:c r="Q243" s="173" t="str">
        <x:f>IF(A243="","",IFERROR(LOOKUP(2,1/('Engineer Updates'!$B$5:$B$704=A243),'Engineer Updates'!$A$5:$A$704),""))</x:f>
      </x:c>
      <x:c r="R243" s="172" t="str">
        <x:f>IF(A243="","",IFERROR(LOOKUP(2,1/('Engineer Updates'!$B$5:$B$704=A243),'Engineer Updates'!$H$5:$H$704),""))</x:f>
      </x:c>
      <x:c r="S243" s="172" t="str">
        <x:f>IF(A243="","",IFERROR(LOOKUP(2,1/('Engineer Updates'!$B$5:$B$704=A243),'Engineer Updates'!$G$5:$G$704),""))</x:f>
      </x:c>
      <x:c r="T243" s="172" t="str">
        <x:f>IF(A243="","",IFERROR(LOOKUP(2,1/('Engineer Updates'!$B$5:$B$704=A243),'Engineer Updates'!$I$5:$I$704),""))</x:f>
      </x:c>
      <x:c r="U243" s="172" t="str">
        <x:f>IF(A243="","",IFERROR(LOOKUP(2,1/('Engineer Updates'!$B$5:$B$704=A243),'Engineer Updates'!$J$5:$J$704),""))</x:f>
      </x:c>
      <x:c r="V243" s="172" t="str">
        <x:f>IF(A243="","",IFERROR(LOOKUP(2,1/('Engineer Updates'!$B$5:$B$704=A243),'Engineer Updates'!$K$5:$K$704),""))</x:f>
      </x:c>
      <x:c r="W243" s="174" t="str">
        <x:f>IF(A243="","",IFERROR(LOOKUP(2,1/('Engineer Updates'!$B$5:$B$704=A243),'Engineer Updates'!$L$5:$L$704),""))</x:f>
      </x:c>
      <x:c r="X243" s="170" t="str">
        <x:f>IF(A243="","",IF(C243="completed","Completed in CSSP",IF(AND(C243="executing",ISERROR(SEARCH("@",K243))),"Executing without named engineer",IF(AND(N243="Confirmed OOS",C243="executing"),"Confirmed OOS still executing",""))))</x:f>
      </x:c>
      <x:c r="Y243" s="170" t="str">
        <x:f>IF(A243="","",IF(B243="Decommissioning","Raw Decommissioning","Raw Provisioning"))</x:f>
        <x:v>Raw Decommissioning</x:v>
      </x:c>
      <x:c r="Z243" s="170" t="str">
        <x:f>IF(A243="","",IF(OR(C243="executing",C243="processing"),"Yes","No"))</x:f>
        <x:v>No</x:v>
      </x:c>
    </x:row>
    <x:row r="244">
      <x:c r="A244" s="170" t="str">
        <x:f>IF(ROWS($A$5:A244)&lt;=COUNTA('Raw Decommissioning'!$B$2:$B$1000),INDEX('Raw Decommissioning'!$B$2:$B$1000,ROWS($A$5:A244)),IF(ROWS($A$5:A244)-COUNTA('Raw Decommissioning'!$B$2:$B$1000)&lt;=COUNTA('Raw Provisioning'!$B$2:$B$1000),INDEX('Raw Provisioning'!$B$2:$B$1000,ROWS($A$5:A244)-COUNTA('Raw Decommissioning'!$B$2:$B$1000)),""))</x:f>
        <x:v>CSSP10413624</x:v>
      </x:c>
      <x:c r="B244" s="170" t="str">
        <x:f>IF(A244="","",IF(ROWS($A$5:A244)&lt;=COUNTA('Raw Decommissioning'!$B$2:$B$1000),"Decommissioning","Provisioning"))</x:f>
        <x:v>Decommissioning</x:v>
      </x:c>
      <x:c r="C244" s="170" t="str">
        <x:f>IF(A244="","",IF(B244="Decommissioning",IFERROR(INDEX('Raw Decommissioning'!$E$2:$E$1000,MATCH(A244,'Raw Decommissioning'!$B$2:$B$1000,0)),"Missing from latest raw"),IFERROR(INDEX('Raw Provisioning'!$E$2:$E$1000,MATCH(A244,'Raw Provisioning'!$B$2:$B$1000,0)),"Missing from latest raw")))</x:f>
        <x:v>cancelled</x:v>
      </x:c>
      <x:c r="D244" s="171" t="n">
        <x:f>IF(A244="","",'Refresh Control'!$B$4)</x:f>
        <x:v>46254</x:v>
      </x:c>
      <x:c r="E244" s="171" t="n">
        <x:f>IF(A244="","",IF(B244="Decommissioning",INDEX('Raw Decommissioning'!$F$2:$F$1000,ROWS($A$5:A244)),INDEX('Raw Provisioning'!$F$2:$F$1000,ROWS($A$5:A244)-COUNTA('Raw Decommissioning'!$B$2:$B$1000))))</x:f>
        <x:v>46189.10068099537</x:v>
      </x:c>
      <x:c r="F244" s="171" t="n">
        <x:f>IF(A244="","",IF(B244="Decommissioning",INDEX('Raw Decommissioning'!$G$2:$G$1000,ROWS($A$5:A244)),INDEX('Raw Provisioning'!$H$2:$H$1000,ROWS($A$5:A244)-COUNTA('Raw Decommissioning'!$B$2:$B$1000))))</x:f>
        <x:v>46210.06658693287</x:v>
      </x:c>
      <x:c r="G244" s="170" t="str">
        <x:f>IF(A244="","",IF(B244="Decommissioning",INDEX('Raw Decommissioning'!$I$2:$I$1000,ROWS($A$5:A244)),INDEX('Raw Provisioning'!$J$2:$J$1000,ROWS($A$5:A244)-COUNTA('Raw Decommissioning'!$B$2:$B$1000))))</x:f>
        <x:v>Cyber Security Palo Alto Firewall</x:v>
      </x:c>
      <x:c r="H244" s="170" t="str">
        <x:f>IF(A244="","",IF(B244="Decommissioning",INDEX('Raw Decommissioning'!$J$2:$J$1000,ROWS($A$5:A244)),INDEX('Raw Provisioning'!$L$2:$L$1000,ROWS($A$5:A244)-COUNTA('Raw Decommissioning'!$B$2:$B$1000))))</x:f>
        <x:v>Cloud Migration AWS Infrastructure for Palo Alto (New Landing Zone)</x:v>
      </x:c>
      <x:c r="I244" s="170" t="str">
        <x:f>IF(A244="","",IF(B244="Decommissioning",INDEX('Raw Decommissioning'!$AL$2:$AL$1000,ROWS($A$5:A244)),INDEX('Raw Provisioning'!$R$2:$R$1000,ROWS($A$5:A244)-COUNTA('Raw Decommissioning'!$B$2:$B$1000))))</x:f>
      </x:c>
      <x:c r="J244" s="170" t="str">
        <x:f>IF(A244="","",IF(B244="Decommissioning",INDEX('Raw Decommissioning'!$AG$2:$AG$1000,ROWS($A$5:A244)),INDEX('Raw Provisioning'!$AI$2:$AI$1000,ROWS($A$5:A244)-COUNTA('Raw Decommissioning'!$B$2:$B$1000))))</x:f>
        <x:v>CCoE Business</x:v>
      </x:c>
      <x:c r="K244" s="172" t="str">
        <x:f>IF(A244="","",IFERROR(LOOKUP(2,1/('Assignment History'!$B$5:$B$204=A244),'Assignment History'!$D$5:$D$204),IFERROR(VLOOKUP(J244,Configuration!$L$5:$M$50,2,FALSE),J244)))</x:f>
        <x:v>CCoE Business</x:v>
      </x:c>
      <x:c r="L244" s="172" t="str">
        <x:f>IF(A244="","",IF(K244=IFERROR(VLOOKUP(J244,Configuration!$L$5:$M$50,2,FALSE),J244),"Snapshot PIC","Replacement PIC"))</x:f>
        <x:v>Snapshot PIC</x:v>
      </x:c>
      <x:c r="M244" s="172" t="n">
        <x:f>IF(A244="","",IFERROR(VLOOKUP(I244,Configuration!$O$5:$P$8,2,FALSE),Configuration!$S$6))</x:f>
        <x:v>2</x:v>
      </x:c>
      <x:c r="N244" s="172" t="str">
        <x:f>IF(A244="","",IFERROR(LOOKUP(2,1/('Scope Review'!$B$5:$B$204=A244),'Scope Review'!$G$5:$G$204),"Not Reviewed"))</x:f>
        <x:v>Not Reviewed</x:v>
      </x:c>
      <x:c r="O244" s="172" t="str">
        <x:f>IF(A244="","",IFERROR(LOOKUP(2,1/('Scope Review'!$B$5:$B$204=A244),'Scope Review'!$H$5:$H$204),""))</x:f>
      </x:c>
      <x:c r="P244" s="172" t="n">
        <x:f>IF(A244="","",IF(AND(C244="executing",N244&lt;&gt;"Confirmed OOS"),M244,0))</x:f>
        <x:v>0</x:v>
      </x:c>
      <x:c r="Q244" s="173" t="str">
        <x:f>IF(A244="","",IFERROR(LOOKUP(2,1/('Engineer Updates'!$B$5:$B$704=A244),'Engineer Updates'!$A$5:$A$704),""))</x:f>
      </x:c>
      <x:c r="R244" s="172" t="str">
        <x:f>IF(A244="","",IFERROR(LOOKUP(2,1/('Engineer Updates'!$B$5:$B$704=A244),'Engineer Updates'!$H$5:$H$704),""))</x:f>
      </x:c>
      <x:c r="S244" s="172" t="str">
        <x:f>IF(A244="","",IFERROR(LOOKUP(2,1/('Engineer Updates'!$B$5:$B$704=A244),'Engineer Updates'!$G$5:$G$704),""))</x:f>
      </x:c>
      <x:c r="T244" s="172" t="str">
        <x:f>IF(A244="","",IFERROR(LOOKUP(2,1/('Engineer Updates'!$B$5:$B$704=A244),'Engineer Updates'!$I$5:$I$704),""))</x:f>
      </x:c>
      <x:c r="U244" s="172" t="str">
        <x:f>IF(A244="","",IFERROR(LOOKUP(2,1/('Engineer Updates'!$B$5:$B$704=A244),'Engineer Updates'!$J$5:$J$704),""))</x:f>
      </x:c>
      <x:c r="V244" s="172" t="str">
        <x:f>IF(A244="","",IFERROR(LOOKUP(2,1/('Engineer Updates'!$B$5:$B$704=A244),'Engineer Updates'!$K$5:$K$704),""))</x:f>
      </x:c>
      <x:c r="W244" s="174" t="str">
        <x:f>IF(A244="","",IFERROR(LOOKUP(2,1/('Engineer Updates'!$B$5:$B$704=A244),'Engineer Updates'!$L$5:$L$704),""))</x:f>
      </x:c>
      <x:c r="X244" s="170" t="str">
        <x:f>IF(A244="","",IF(C244="completed","Completed in CSSP",IF(AND(C244="executing",ISERROR(SEARCH("@",K244))),"Executing without named engineer",IF(AND(N244="Confirmed OOS",C244="executing"),"Confirmed OOS still executing",""))))</x:f>
      </x:c>
      <x:c r="Y244" s="170" t="str">
        <x:f>IF(A244="","",IF(B244="Decommissioning","Raw Decommissioning","Raw Provisioning"))</x:f>
        <x:v>Raw Decommissioning</x:v>
      </x:c>
      <x:c r="Z244" s="170" t="str">
        <x:f>IF(A244="","",IF(OR(C244="executing",C244="processing"),"Yes","No"))</x:f>
        <x:v>No</x:v>
      </x:c>
    </x:row>
    <x:row r="245">
      <x:c r="A245" s="170" t="str">
        <x:f>IF(ROWS($A$5:A245)&lt;=COUNTA('Raw Decommissioning'!$B$2:$B$1000),INDEX('Raw Decommissioning'!$B$2:$B$1000,ROWS($A$5:A245)),IF(ROWS($A$5:A245)-COUNTA('Raw Decommissioning'!$B$2:$B$1000)&lt;=COUNTA('Raw Provisioning'!$B$2:$B$1000),INDEX('Raw Provisioning'!$B$2:$B$1000,ROWS($A$5:A245)-COUNTA('Raw Decommissioning'!$B$2:$B$1000)),""))</x:f>
        <x:v>CSSP10750255</x:v>
      </x:c>
      <x:c r="B245" s="170" t="str">
        <x:f>IF(A245="","",IF(ROWS($A$5:A245)&lt;=COUNTA('Raw Decommissioning'!$B$2:$B$1000),"Decommissioning","Provisioning"))</x:f>
        <x:v>Decommissioning</x:v>
      </x:c>
      <x:c r="C245" s="170" t="str">
        <x:f>IF(A245="","",IF(B245="Decommissioning",IFERROR(INDEX('Raw Decommissioning'!$E$2:$E$1000,MATCH(A245,'Raw Decommissioning'!$B$2:$B$1000,0)),"Missing from latest raw"),IFERROR(INDEX('Raw Provisioning'!$E$2:$E$1000,MATCH(A245,'Raw Provisioning'!$B$2:$B$1000,0)),"Missing from latest raw")))</x:f>
        <x:v>pending</x:v>
      </x:c>
      <x:c r="D245" s="171" t="n">
        <x:f>IF(A245="","",'Refresh Control'!$B$4)</x:f>
        <x:v>46254</x:v>
      </x:c>
      <x:c r="E245" s="171" t="n">
        <x:f>IF(A245="","",IF(B245="Decommissioning",INDEX('Raw Decommissioning'!$F$2:$F$1000,ROWS($A$5:A245)),INDEX('Raw Provisioning'!$F$2:$F$1000,ROWS($A$5:A245)-COUNTA('Raw Decommissioning'!$B$2:$B$1000))))</x:f>
        <x:v>46192.09063247685</x:v>
      </x:c>
      <x:c r="F245" s="171" t="n">
        <x:f>IF(A245="","",IF(B245="Decommissioning",INDEX('Raw Decommissioning'!$G$2:$G$1000,ROWS($A$5:A245)),INDEX('Raw Provisioning'!$H$2:$H$1000,ROWS($A$5:A245)-COUNTA('Raw Decommissioning'!$B$2:$B$1000))))</x:f>
        <x:v>46192.21194</x:v>
      </x:c>
      <x:c r="G245" s="170" t="str">
        <x:f>IF(A245="","",IF(B245="Decommissioning",INDEX('Raw Decommissioning'!$I$2:$I$1000,ROWS($A$5:A245)),INDEX('Raw Provisioning'!$J$2:$J$1000,ROWS($A$5:A245)-COUNTA('Raw Decommissioning'!$B$2:$B$1000))))</x:f>
        <x:v>Cyber Security Zscaler Private Access</x:v>
      </x:c>
      <x:c r="H245" s="170" t="str">
        <x:f>IF(A245="","",IF(B245="Decommissioning",INDEX('Raw Decommissioning'!$J$2:$J$1000,ROWS($A$5:A245)),INDEX('Raw Provisioning'!$L$2:$L$1000,ROWS($A$5:A245)-COUNTA('Raw Decommissioning'!$B$2:$B$1000))))</x:f>
        <x:v>Zscaler Private Access</x:v>
      </x:c>
      <x:c r="I245" s="170" t="str">
        <x:f>IF(A245="","",IF(B245="Decommissioning",INDEX('Raw Decommissioning'!$AL$2:$AL$1000,ROWS($A$5:A245)),INDEX('Raw Provisioning'!$R$2:$R$1000,ROWS($A$5:A245)-COUNTA('Raw Decommissioning'!$B$2:$B$1000))))</x:f>
      </x:c>
      <x:c r="J245" s="170" t="str">
        <x:f>IF(A245="","",IF(B245="Decommissioning",INDEX('Raw Decommissioning'!$AG$2:$AG$1000,ROWS($A$5:A245)),INDEX('Raw Provisioning'!$AI$2:$AI$1000,ROWS($A$5:A245)-COUNTA('Raw Decommissioning'!$B$2:$B$1000))))</x:f>
        <x:v>CCoE Operations</x:v>
      </x:c>
      <x:c r="K245" s="172" t="str">
        <x:f>IF(A245="","",IFERROR(LOOKUP(2,1/('Assignment History'!$B$5:$B$204=A245),'Assignment History'!$D$5:$D$204),IFERROR(VLOOKUP(J245,Configuration!$L$5:$M$50,2,FALSE),J245)))</x:f>
        <x:v>CCoE Operations</x:v>
      </x:c>
      <x:c r="L245" s="172" t="str">
        <x:f>IF(A245="","",IF(K245=IFERROR(VLOOKUP(J245,Configuration!$L$5:$M$50,2,FALSE),J245),"Snapshot PIC","Replacement PIC"))</x:f>
        <x:v>Snapshot PIC</x:v>
      </x:c>
      <x:c r="M245" s="172" t="n">
        <x:f>IF(A245="","",IFERROR(VLOOKUP(I245,Configuration!$O$5:$P$8,2,FALSE),Configuration!$S$6))</x:f>
        <x:v>2</x:v>
      </x:c>
      <x:c r="N245" s="172" t="str">
        <x:f>IF(A245="","",IFERROR(LOOKUP(2,1/('Scope Review'!$B$5:$B$204=A245),'Scope Review'!$G$5:$G$204),"Not Reviewed"))</x:f>
        <x:v>Not Reviewed</x:v>
      </x:c>
      <x:c r="O245" s="172" t="str">
        <x:f>IF(A245="","",IFERROR(LOOKUP(2,1/('Scope Review'!$B$5:$B$204=A245),'Scope Review'!$H$5:$H$204),""))</x:f>
      </x:c>
      <x:c r="P245" s="172" t="n">
        <x:f>IF(A245="","",IF(AND(C245="executing",N245&lt;&gt;"Confirmed OOS"),M245,0))</x:f>
        <x:v>0</x:v>
      </x:c>
      <x:c r="Q245" s="173" t="str">
        <x:f>IF(A245="","",IFERROR(LOOKUP(2,1/('Engineer Updates'!$B$5:$B$704=A245),'Engineer Updates'!$A$5:$A$704),""))</x:f>
      </x:c>
      <x:c r="R245" s="172" t="str">
        <x:f>IF(A245="","",IFERROR(LOOKUP(2,1/('Engineer Updates'!$B$5:$B$704=A245),'Engineer Updates'!$H$5:$H$704),""))</x:f>
      </x:c>
      <x:c r="S245" s="172" t="str">
        <x:f>IF(A245="","",IFERROR(LOOKUP(2,1/('Engineer Updates'!$B$5:$B$704=A245),'Engineer Updates'!$G$5:$G$704),""))</x:f>
      </x:c>
      <x:c r="T245" s="172" t="str">
        <x:f>IF(A245="","",IFERROR(LOOKUP(2,1/('Engineer Updates'!$B$5:$B$704=A245),'Engineer Updates'!$I$5:$I$704),""))</x:f>
      </x:c>
      <x:c r="U245" s="172" t="str">
        <x:f>IF(A245="","",IFERROR(LOOKUP(2,1/('Engineer Updates'!$B$5:$B$704=A245),'Engineer Updates'!$J$5:$J$704),""))</x:f>
      </x:c>
      <x:c r="V245" s="172" t="str">
        <x:f>IF(A245="","",IFERROR(LOOKUP(2,1/('Engineer Updates'!$B$5:$B$704=A245),'Engineer Updates'!$K$5:$K$704),""))</x:f>
      </x:c>
      <x:c r="W245" s="174" t="str">
        <x:f>IF(A245="","",IFERROR(LOOKUP(2,1/('Engineer Updates'!$B$5:$B$704=A245),'Engineer Updates'!$L$5:$L$704),""))</x:f>
      </x:c>
      <x:c r="X245" s="170" t="str">
        <x:f>IF(A245="","",IF(C245="completed","Completed in CSSP",IF(AND(C245="executing",ISERROR(SEARCH("@",K245))),"Executing without named engineer",IF(AND(N245="Confirmed OOS",C245="executing"),"Confirmed OOS still executing",""))))</x:f>
      </x:c>
      <x:c r="Y245" s="170" t="str">
        <x:f>IF(A245="","",IF(B245="Decommissioning","Raw Decommissioning","Raw Provisioning"))</x:f>
        <x:v>Raw Decommissioning</x:v>
      </x:c>
      <x:c r="Z245" s="170" t="str">
        <x:f>IF(A245="","",IF(OR(C245="executing",C245="processing"),"Yes","No"))</x:f>
        <x:v>No</x:v>
      </x:c>
    </x:row>
    <x:row r="246">
      <x:c r="A246" s="170" t="str">
        <x:f>IF(ROWS($A$5:A246)&lt;=COUNTA('Raw Decommissioning'!$B$2:$B$1000),INDEX('Raw Decommissioning'!$B$2:$B$1000,ROWS($A$5:A246)),IF(ROWS($A$5:A246)-COUNTA('Raw Decommissioning'!$B$2:$B$1000)&lt;=COUNTA('Raw Provisioning'!$B$2:$B$1000),INDEX('Raw Provisioning'!$B$2:$B$1000,ROWS($A$5:A246)-COUNTA('Raw Decommissioning'!$B$2:$B$1000)),""))</x:f>
        <x:v>CSSP10516713</x:v>
      </x:c>
      <x:c r="B246" s="170" t="str">
        <x:f>IF(A246="","",IF(ROWS($A$5:A246)&lt;=COUNTA('Raw Decommissioning'!$B$2:$B$1000),"Decommissioning","Provisioning"))</x:f>
        <x:v>Decommissioning</x:v>
      </x:c>
      <x:c r="C246" s="170" t="str">
        <x:f>IF(A246="","",IF(B246="Decommissioning",IFERROR(INDEX('Raw Decommissioning'!$E$2:$E$1000,MATCH(A246,'Raw Decommissioning'!$B$2:$B$1000,0)),"Missing from latest raw"),IFERROR(INDEX('Raw Provisioning'!$E$2:$E$1000,MATCH(A246,'Raw Provisioning'!$B$2:$B$1000,0)),"Missing from latest raw")))</x:f>
        <x:v>executing</x:v>
      </x:c>
      <x:c r="D246" s="171" t="n">
        <x:f>IF(A246="","",'Refresh Control'!$B$4)</x:f>
        <x:v>46254</x:v>
      </x:c>
      <x:c r="E246" s="171" t="n">
        <x:f>IF(A246="","",IF(B246="Decommissioning",INDEX('Raw Decommissioning'!$F$2:$F$1000,ROWS($A$5:A246)),INDEX('Raw Provisioning'!$F$2:$F$1000,ROWS($A$5:A246)-COUNTA('Raw Decommissioning'!$B$2:$B$1000))))</x:f>
        <x:v>46195.02742844907</x:v>
      </x:c>
      <x:c r="F246" s="171" t="n">
        <x:f>IF(A246="","",IF(B246="Decommissioning",INDEX('Raw Decommissioning'!$G$2:$G$1000,ROWS($A$5:A246)),INDEX('Raw Provisioning'!$H$2:$H$1000,ROWS($A$5:A246)-COUNTA('Raw Decommissioning'!$B$2:$B$1000))))</x:f>
        <x:v>46224.110601238426</x:v>
      </x:c>
      <x:c r="G246" s="170" t="str">
        <x:f>IF(A246="","",IF(B246="Decommissioning",INDEX('Raw Decommissioning'!$I$2:$I$1000,ROWS($A$5:A246)),INDEX('Raw Provisioning'!$J$2:$J$1000,ROWS($A$5:A246)-COUNTA('Raw Decommissioning'!$B$2:$B$1000))))</x:f>
        <x:v>Data Culture Gamification - DCG</x:v>
      </x:c>
      <x:c r="H246" s="170" t="str">
        <x:f>IF(A246="","",IF(B246="Decommissioning",INDEX('Raw Decommissioning'!$J$2:$J$1000,ROWS($A$5:A246)),INDEX('Raw Provisioning'!$L$2:$L$1000,ROWS($A$5:A246)-COUNTA('Raw Decommissioning'!$B$2:$B$1000))))</x:f>
        <x:v>Development of Data Culture Gamification for Upstream</x:v>
      </x:c>
      <x:c r="I246" s="170" t="str">
        <x:f>IF(A246="","",IF(B246="Decommissioning",INDEX('Raw Decommissioning'!$AL$2:$AL$1000,ROWS($A$5:A246)),INDEX('Raw Provisioning'!$R$2:$R$1000,ROWS($A$5:A246)-COUNTA('Raw Decommissioning'!$B$2:$B$1000))))</x:f>
        <x:v>M</x:v>
      </x:c>
      <x:c r="J246" s="170" t="str">
        <x:f>IF(A246="","",IF(B246="Decommissioning",INDEX('Raw Decommissioning'!$AG$2:$AG$1000,ROWS($A$5:A246)),INDEX('Raw Provisioning'!$AI$2:$AI$1000,ROWS($A$5:A246)-COUNTA('Raw Decommissioning'!$B$2:$B$1000))))</x:f>
        <x:v>amarja.kawde@petronas.com</x:v>
      </x:c>
      <x:c r="K246" s="172" t="str">
        <x:f>IF(A246="","",IFERROR(LOOKUP(2,1/('Assignment History'!$B$5:$B$204=A246),'Assignment History'!$D$5:$D$204),IFERROR(VLOOKUP(J246,Configuration!$L$5:$M$50,2,FALSE),J246)))</x:f>
        <x:v>amarja.kawade@petronas.com</x:v>
      </x:c>
      <x:c r="L246" s="172" t="str">
        <x:f>IF(A246="","",IF(K246=IFERROR(VLOOKUP(J246,Configuration!$L$5:$M$50,2,FALSE),J246),"Snapshot PIC","Replacement PIC"))</x:f>
        <x:v>Snapshot PIC</x:v>
      </x:c>
      <x:c r="M246" s="172" t="n">
        <x:f>IF(A246="","",IFERROR(VLOOKUP(I246,Configuration!$O$5:$P$8,2,FALSE),Configuration!$S$6))</x:f>
        <x:v>2</x:v>
      </x:c>
      <x:c r="N246" s="172" t="str">
        <x:f>IF(A246="","",IFERROR(LOOKUP(2,1/('Scope Review'!$B$5:$B$204=A246),'Scope Review'!$G$5:$G$204),"Not Reviewed"))</x:f>
        <x:v>Not Reviewed</x:v>
      </x:c>
      <x:c r="O246" s="172" t="str">
        <x:f>IF(A246="","",IFERROR(LOOKUP(2,1/('Scope Review'!$B$5:$B$204=A246),'Scope Review'!$H$5:$H$204),""))</x:f>
      </x:c>
      <x:c r="P246" s="172" t="n">
        <x:f>IF(A246="","",IF(AND(C246="executing",N246&lt;&gt;"Confirmed OOS"),M246,0))</x:f>
        <x:v>2</x:v>
      </x:c>
      <x:c r="Q246" s="173" t="n">
        <x:f>IF(A246="","",IFERROR(LOOKUP(2,1/('Engineer Updates'!$B$5:$B$704=A246),'Engineer Updates'!$A$5:$A$704),""))</x:f>
        <x:v>46251</x:v>
      </x:c>
      <x:c r="R246" s="172" t="str">
        <x:f>IF(A246="","",IFERROR(LOOKUP(2,1/('Engineer Updates'!$B$5:$B$704=A246),'Engineer Updates'!$H$5:$H$704),""))</x:f>
        <x:v>Not Started</x:v>
      </x:c>
      <x:c r="S246" s="172" t="str">
        <x:f>IF(A246="","",IFERROR(LOOKUP(2,1/('Engineer Updates'!$B$5:$B$704=A246),'Engineer Updates'!$G$5:$G$704),""))</x:f>
      </x:c>
      <x:c r="T246" s="172" t="str">
        <x:f>IF(A246="","",IFERROR(LOOKUP(2,1/('Engineer Updates'!$B$5:$B$704=A246),'Engineer Updates'!$I$5:$I$704),""))</x:f>
      </x:c>
      <x:c r="U246" s="172" t="str">
        <x:f>IF(A246="","",IFERROR(LOOKUP(2,1/('Engineer Updates'!$B$5:$B$704=A246),'Engineer Updates'!$J$5:$J$704),""))</x:f>
      </x:c>
      <x:c r="V246" s="172" t="str">
        <x:f>IF(A246="","",IFERROR(LOOKUP(2,1/('Engineer Updates'!$B$5:$B$704=A246),'Engineer Updates'!$K$5:$K$704),""))</x:f>
      </x:c>
      <x:c r="W246" s="174" t="str">
        <x:f>IF(A246="","",IFERROR(LOOKUP(2,1/('Engineer Updates'!$B$5:$B$704=A246),'Engineer Updates'!$L$5:$L$704),""))</x:f>
      </x:c>
      <x:c r="X246" s="170" t="str">
        <x:f>IF(A246="","",IF(C246="completed","Completed in CSSP",IF(AND(C246="executing",ISERROR(SEARCH("@",K246))),"Executing without named engineer",IF(AND(N246="Confirmed OOS",C246="executing"),"Confirmed OOS still executing",""))))</x:f>
      </x:c>
      <x:c r="Y246" s="170" t="str">
        <x:f>IF(A246="","",IF(B246="Decommissioning","Raw Decommissioning","Raw Provisioning"))</x:f>
        <x:v>Raw Decommissioning</x:v>
      </x:c>
      <x:c r="Z246" s="170" t="str">
        <x:f>IF(A246="","",IF(OR(C246="executing",C246="processing"),"Yes","No"))</x:f>
        <x:v>Yes</x:v>
      </x:c>
    </x:row>
    <x:row r="247">
      <x:c r="A247" s="170" t="str">
        <x:f>IF(ROWS($A$5:A247)&lt;=COUNTA('Raw Decommissioning'!$B$2:$B$1000),INDEX('Raw Decommissioning'!$B$2:$B$1000,ROWS($A$5:A247)),IF(ROWS($A$5:A247)-COUNTA('Raw Decommissioning'!$B$2:$B$1000)&lt;=COUNTA('Raw Provisioning'!$B$2:$B$1000),INDEX('Raw Provisioning'!$B$2:$B$1000,ROWS($A$5:A247)-COUNTA('Raw Decommissioning'!$B$2:$B$1000)),""))</x:f>
        <x:v>CSSP10434772</x:v>
      </x:c>
      <x:c r="B247" s="170" t="str">
        <x:f>IF(A247="","",IF(ROWS($A$5:A247)&lt;=COUNTA('Raw Decommissioning'!$B$2:$B$1000),"Decommissioning","Provisioning"))</x:f>
        <x:v>Decommissioning</x:v>
      </x:c>
      <x:c r="C247" s="170" t="str">
        <x:f>IF(A247="","",IF(B247="Decommissioning",IFERROR(INDEX('Raw Decommissioning'!$E$2:$E$1000,MATCH(A247,'Raw Decommissioning'!$B$2:$B$1000,0)),"Missing from latest raw"),IFERROR(INDEX('Raw Provisioning'!$E$2:$E$1000,MATCH(A247,'Raw Provisioning'!$B$2:$B$1000,0)),"Missing from latest raw")))</x:f>
        <x:v>executing</x:v>
      </x:c>
      <x:c r="D247" s="171" t="n">
        <x:f>IF(A247="","",'Refresh Control'!$B$4)</x:f>
        <x:v>46254</x:v>
      </x:c>
      <x:c r="E247" s="171" t="n">
        <x:f>IF(A247="","",IF(B247="Decommissioning",INDEX('Raw Decommissioning'!$F$2:$F$1000,ROWS($A$5:A247)),INDEX('Raw Provisioning'!$F$2:$F$1000,ROWS($A$5:A247)-COUNTA('Raw Decommissioning'!$B$2:$B$1000))))</x:f>
        <x:v>46196.08458314815</x:v>
      </x:c>
      <x:c r="F247" s="171" t="n">
        <x:f>IF(A247="","",IF(B247="Decommissioning",INDEX('Raw Decommissioning'!$G$2:$G$1000,ROWS($A$5:A247)),INDEX('Raw Provisioning'!$H$2:$H$1000,ROWS($A$5:A247)-COUNTA('Raw Decommissioning'!$B$2:$B$1000))))</x:f>
        <x:v>46251.31826449074</x:v>
      </x:c>
      <x:c r="G247" s="170" t="str">
        <x:f>IF(A247="","",IF(B247="Decommissioning",INDEX('Raw Decommissioning'!$I$2:$I$1000,ROWS($A$5:A247)),INDEX('Raw Provisioning'!$J$2:$J$1000,ROWS($A$5:A247)-COUNTA('Raw Decommissioning'!$B$2:$B$1000))))</x:f>
        <x:v>Lab Information Management System - LIMS MLNG</x:v>
      </x:c>
      <x:c r="H247" s="170" t="str">
        <x:f>IF(A247="","",IF(B247="Decommissioning",INDEX('Raw Decommissioning'!$J$2:$J$1000,ROWS($A$5:A247)),INDEX('Raw Provisioning'!$L$2:$L$1000,ROWS($A$5:A247)-COUNTA('Raw Decommissioning'!$B$2:$B$1000))))</x:f>
        <x:v>OCI MIGRATION - LIMS MLNG</x:v>
      </x:c>
      <x:c r="I247" s="170" t="str">
        <x:f>IF(A247="","",IF(B247="Decommissioning",INDEX('Raw Decommissioning'!$AL$2:$AL$1000,ROWS($A$5:A247)),INDEX('Raw Provisioning'!$R$2:$R$1000,ROWS($A$5:A247)-COUNTA('Raw Decommissioning'!$B$2:$B$1000))))</x:f>
        <x:v>M</x:v>
      </x:c>
      <x:c r="J247" s="170" t="str">
        <x:f>IF(A247="","",IF(B247="Decommissioning",INDEX('Raw Decommissioning'!$AG$2:$AG$1000,ROWS($A$5:A247)),INDEX('Raw Provisioning'!$AI$2:$AI$1000,ROWS($A$5:A247)-COUNTA('Raw Decommissioning'!$B$2:$B$1000))))</x:f>
        <x:v>raditya.nugraha@petronas.com</x:v>
      </x:c>
      <x:c r="K247" s="172" t="str">
        <x:f>IF(A247="","",IFERROR(LOOKUP(2,1/('Assignment History'!$B$5:$B$204=A247),'Assignment History'!$D$5:$D$204),IFERROR(VLOOKUP(J247,Configuration!$L$5:$M$50,2,FALSE),J247)))</x:f>
        <x:v>raditya.nugraha@petronas.com</x:v>
      </x:c>
      <x:c r="L247" s="172" t="str">
        <x:f>IF(A247="","",IF(K247=IFERROR(VLOOKUP(J247,Configuration!$L$5:$M$50,2,FALSE),J247),"Snapshot PIC","Replacement PIC"))</x:f>
        <x:v>Snapshot PIC</x:v>
      </x:c>
      <x:c r="M247" s="172" t="n">
        <x:f>IF(A247="","",IFERROR(VLOOKUP(I247,Configuration!$O$5:$P$8,2,FALSE),Configuration!$S$6))</x:f>
        <x:v>2</x:v>
      </x:c>
      <x:c r="N247" s="172" t="str">
        <x:f>IF(A247="","",IFERROR(LOOKUP(2,1/('Scope Review'!$B$5:$B$204=A247),'Scope Review'!$G$5:$G$204),"Not Reviewed"))</x:f>
        <x:v>Not Reviewed</x:v>
      </x:c>
      <x:c r="O247" s="172" t="str">
        <x:f>IF(A247="","",IFERROR(LOOKUP(2,1/('Scope Review'!$B$5:$B$204=A247),'Scope Review'!$H$5:$H$204),""))</x:f>
      </x:c>
      <x:c r="P247" s="172" t="n">
        <x:f>IF(A247="","",IF(AND(C247="executing",N247&lt;&gt;"Confirmed OOS"),M247,0))</x:f>
        <x:v>2</x:v>
      </x:c>
      <x:c r="Q247" s="173" t="n">
        <x:f>IF(A247="","",IFERROR(LOOKUP(2,1/('Engineer Updates'!$B$5:$B$704=A247),'Engineer Updates'!$A$5:$A$704),""))</x:f>
        <x:v>46251</x:v>
      </x:c>
      <x:c r="R247" s="172" t="str">
        <x:f>IF(A247="","",IFERROR(LOOKUP(2,1/('Engineer Updates'!$B$5:$B$704=A247),'Engineer Updates'!$H$5:$H$704),""))</x:f>
        <x:v>Not Started</x:v>
      </x:c>
      <x:c r="S247" s="172" t="str">
        <x:f>IF(A247="","",IFERROR(LOOKUP(2,1/('Engineer Updates'!$B$5:$B$704=A247),'Engineer Updates'!$G$5:$G$704),""))</x:f>
      </x:c>
      <x:c r="T247" s="172" t="str">
        <x:f>IF(A247="","",IFERROR(LOOKUP(2,1/('Engineer Updates'!$B$5:$B$704=A247),'Engineer Updates'!$I$5:$I$704),""))</x:f>
      </x:c>
      <x:c r="U247" s="172" t="str">
        <x:f>IF(A247="","",IFERROR(LOOKUP(2,1/('Engineer Updates'!$B$5:$B$704=A247),'Engineer Updates'!$J$5:$J$704),""))</x:f>
      </x:c>
      <x:c r="V247" s="172" t="str">
        <x:f>IF(A247="","",IFERROR(LOOKUP(2,1/('Engineer Updates'!$B$5:$B$704=A247),'Engineer Updates'!$K$5:$K$704),""))</x:f>
      </x:c>
      <x:c r="W247" s="174" t="str">
        <x:f>IF(A247="","",IFERROR(LOOKUP(2,1/('Engineer Updates'!$B$5:$B$704=A247),'Engineer Updates'!$L$5:$L$704),""))</x:f>
      </x:c>
      <x:c r="X247" s="170" t="str">
        <x:f>IF(A247="","",IF(C247="completed","Completed in CSSP",IF(AND(C247="executing",ISERROR(SEARCH("@",K247))),"Executing without named engineer",IF(AND(N247="Confirmed OOS",C247="executing"),"Confirmed OOS still executing",""))))</x:f>
      </x:c>
      <x:c r="Y247" s="170" t="str">
        <x:f>IF(A247="","",IF(B247="Decommissioning","Raw Decommissioning","Raw Provisioning"))</x:f>
        <x:v>Raw Decommissioning</x:v>
      </x:c>
      <x:c r="Z247" s="170" t="str">
        <x:f>IF(A247="","",IF(OR(C247="executing",C247="processing"),"Yes","No"))</x:f>
        <x:v>Yes</x:v>
      </x:c>
    </x:row>
    <x:row r="248">
      <x:c r="A248" s="170" t="str">
        <x:f>IF(ROWS($A$5:A248)&lt;=COUNTA('Raw Decommissioning'!$B$2:$B$1000),INDEX('Raw Decommissioning'!$B$2:$B$1000,ROWS($A$5:A248)),IF(ROWS($A$5:A248)-COUNTA('Raw Decommissioning'!$B$2:$B$1000)&lt;=COUNTA('Raw Provisioning'!$B$2:$B$1000),INDEX('Raw Provisioning'!$B$2:$B$1000,ROWS($A$5:A248)-COUNTA('Raw Decommissioning'!$B$2:$B$1000)),""))</x:f>
        <x:v>CSSP10204623</x:v>
      </x:c>
      <x:c r="B248" s="170" t="str">
        <x:f>IF(A248="","",IF(ROWS($A$5:A248)&lt;=COUNTA('Raw Decommissioning'!$B$2:$B$1000),"Decommissioning","Provisioning"))</x:f>
        <x:v>Decommissioning</x:v>
      </x:c>
      <x:c r="C248" s="170" t="str">
        <x:f>IF(A248="","",IF(B248="Decommissioning",IFERROR(INDEX('Raw Decommissioning'!$E$2:$E$1000,MATCH(A248,'Raw Decommissioning'!$B$2:$B$1000,0)),"Missing from latest raw"),IFERROR(INDEX('Raw Provisioning'!$E$2:$E$1000,MATCH(A248,'Raw Provisioning'!$B$2:$B$1000,0)),"Missing from latest raw")))</x:f>
        <x:v>executing</x:v>
      </x:c>
      <x:c r="D248" s="171" t="n">
        <x:f>IF(A248="","",'Refresh Control'!$B$4)</x:f>
        <x:v>46254</x:v>
      </x:c>
      <x:c r="E248" s="171" t="n">
        <x:f>IF(A248="","",IF(B248="Decommissioning",INDEX('Raw Decommissioning'!$F$2:$F$1000,ROWS($A$5:A248)),INDEX('Raw Provisioning'!$F$2:$F$1000,ROWS($A$5:A248)-COUNTA('Raw Decommissioning'!$B$2:$B$1000))))</x:f>
        <x:v>46196.086062152775</x:v>
      </x:c>
      <x:c r="F248" s="171" t="n">
        <x:f>IF(A248="","",IF(B248="Decommissioning",INDEX('Raw Decommissioning'!$G$2:$G$1000,ROWS($A$5:A248)),INDEX('Raw Provisioning'!$H$2:$H$1000,ROWS($A$5:A248)-COUNTA('Raw Decommissioning'!$B$2:$B$1000))))</x:f>
        <x:v>46251.31950733796</x:v>
      </x:c>
      <x:c r="G248" s="170" t="str">
        <x:f>IF(A248="","",IF(B248="Decommissioning",INDEX('Raw Decommissioning'!$I$2:$I$1000,ROWS($A$5:A248)),INDEX('Raw Provisioning'!$J$2:$J$1000,ROWS($A$5:A248)-COUNTA('Raw Decommissioning'!$B$2:$B$1000))))</x:f>
        <x:v>Lab Information Management System - LIMS MLNG</x:v>
      </x:c>
      <x:c r="H248" s="170" t="str">
        <x:f>IF(A248="","",IF(B248="Decommissioning",INDEX('Raw Decommissioning'!$J$2:$J$1000,ROWS($A$5:A248)),INDEX('Raw Provisioning'!$L$2:$L$1000,ROWS($A$5:A248)-COUNTA('Raw Decommissioning'!$B$2:$B$1000))))</x:f>
        <x:v>OCI MIGRATION - LIMS MLNG</x:v>
      </x:c>
      <x:c r="I248" s="170" t="str">
        <x:f>IF(A248="","",IF(B248="Decommissioning",INDEX('Raw Decommissioning'!$AL$2:$AL$1000,ROWS($A$5:A248)),INDEX('Raw Provisioning'!$R$2:$R$1000,ROWS($A$5:A248)-COUNTA('Raw Decommissioning'!$B$2:$B$1000))))</x:f>
        <x:v>M</x:v>
      </x:c>
      <x:c r="J248" s="170" t="str">
        <x:f>IF(A248="","",IF(B248="Decommissioning",INDEX('Raw Decommissioning'!$AG$2:$AG$1000,ROWS($A$5:A248)),INDEX('Raw Provisioning'!$AI$2:$AI$1000,ROWS($A$5:A248)-COUNTA('Raw Decommissioning'!$B$2:$B$1000))))</x:f>
        <x:v>swaminadh.chirakala@petronas.com</x:v>
      </x:c>
      <x:c r="K248" s="172" t="str">
        <x:f>IF(A248="","",IFERROR(LOOKUP(2,1/('Assignment History'!$B$5:$B$204=A248),'Assignment History'!$D$5:$D$204),IFERROR(VLOOKUP(J248,Configuration!$L$5:$M$50,2,FALSE),J248)))</x:f>
        <x:v>swaminadh.chirakala@petronas.com</x:v>
      </x:c>
      <x:c r="L248" s="172" t="str">
        <x:f>IF(A248="","",IF(K248=IFERROR(VLOOKUP(J248,Configuration!$L$5:$M$50,2,FALSE),J248),"Snapshot PIC","Replacement PIC"))</x:f>
        <x:v>Snapshot PIC</x:v>
      </x:c>
      <x:c r="M248" s="172" t="n">
        <x:f>IF(A248="","",IFERROR(VLOOKUP(I248,Configuration!$O$5:$P$8,2,FALSE),Configuration!$S$6))</x:f>
        <x:v>2</x:v>
      </x:c>
      <x:c r="N248" s="172" t="str">
        <x:f>IF(A248="","",IFERROR(LOOKUP(2,1/('Scope Review'!$B$5:$B$204=A248),'Scope Review'!$G$5:$G$204),"Not Reviewed"))</x:f>
        <x:v>Not Reviewed</x:v>
      </x:c>
      <x:c r="O248" s="172" t="str">
        <x:f>IF(A248="","",IFERROR(LOOKUP(2,1/('Scope Review'!$B$5:$B$204=A248),'Scope Review'!$H$5:$H$204),""))</x:f>
      </x:c>
      <x:c r="P248" s="172" t="n">
        <x:f>IF(A248="","",IF(AND(C248="executing",N248&lt;&gt;"Confirmed OOS"),M248,0))</x:f>
        <x:v>2</x:v>
      </x:c>
      <x:c r="Q248" s="173" t="n">
        <x:f>IF(A248="","",IFERROR(LOOKUP(2,1/('Engineer Updates'!$B$5:$B$704=A248),'Engineer Updates'!$A$5:$A$704),""))</x:f>
        <x:v>46251</x:v>
      </x:c>
      <x:c r="R248" s="172" t="str">
        <x:f>IF(A248="","",IFERROR(LOOKUP(2,1/('Engineer Updates'!$B$5:$B$704=A248),'Engineer Updates'!$H$5:$H$704),""))</x:f>
        <x:v>Not Started</x:v>
      </x:c>
      <x:c r="S248" s="172" t="str">
        <x:f>IF(A248="","",IFERROR(LOOKUP(2,1/('Engineer Updates'!$B$5:$B$704=A248),'Engineer Updates'!$G$5:$G$704),""))</x:f>
      </x:c>
      <x:c r="T248" s="172" t="str">
        <x:f>IF(A248="","",IFERROR(LOOKUP(2,1/('Engineer Updates'!$B$5:$B$704=A248),'Engineer Updates'!$I$5:$I$704),""))</x:f>
      </x:c>
      <x:c r="U248" s="172" t="str">
        <x:f>IF(A248="","",IFERROR(LOOKUP(2,1/('Engineer Updates'!$B$5:$B$704=A248),'Engineer Updates'!$J$5:$J$704),""))</x:f>
      </x:c>
      <x:c r="V248" s="172" t="str">
        <x:f>IF(A248="","",IFERROR(LOOKUP(2,1/('Engineer Updates'!$B$5:$B$704=A248),'Engineer Updates'!$K$5:$K$704),""))</x:f>
      </x:c>
      <x:c r="W248" s="174" t="str">
        <x:f>IF(A248="","",IFERROR(LOOKUP(2,1/('Engineer Updates'!$B$5:$B$704=A248),'Engineer Updates'!$L$5:$L$704),""))</x:f>
      </x:c>
      <x:c r="X248" s="170" t="str">
        <x:f>IF(A248="","",IF(C248="completed","Completed in CSSP",IF(AND(C248="executing",ISERROR(SEARCH("@",K248))),"Executing without named engineer",IF(AND(N248="Confirmed OOS",C248="executing"),"Confirmed OOS still executing",""))))</x:f>
      </x:c>
      <x:c r="Y248" s="170" t="str">
        <x:f>IF(A248="","",IF(B248="Decommissioning","Raw Decommissioning","Raw Provisioning"))</x:f>
        <x:v>Raw Decommissioning</x:v>
      </x:c>
      <x:c r="Z248" s="170" t="str">
        <x:f>IF(A248="","",IF(OR(C248="executing",C248="processing"),"Yes","No"))</x:f>
        <x:v>Yes</x:v>
      </x:c>
    </x:row>
    <x:row r="249">
      <x:c r="A249" s="170" t="str">
        <x:f>IF(ROWS($A$5:A249)&lt;=COUNTA('Raw Decommissioning'!$B$2:$B$1000),INDEX('Raw Decommissioning'!$B$2:$B$1000,ROWS($A$5:A249)),IF(ROWS($A$5:A249)-COUNTA('Raw Decommissioning'!$B$2:$B$1000)&lt;=COUNTA('Raw Provisioning'!$B$2:$B$1000),INDEX('Raw Provisioning'!$B$2:$B$1000,ROWS($A$5:A249)-COUNTA('Raw Decommissioning'!$B$2:$B$1000)),""))</x:f>
        <x:v>CSSP10958195</x:v>
      </x:c>
      <x:c r="B249" s="170" t="str">
        <x:f>IF(A249="","",IF(ROWS($A$5:A249)&lt;=COUNTA('Raw Decommissioning'!$B$2:$B$1000),"Decommissioning","Provisioning"))</x:f>
        <x:v>Decommissioning</x:v>
      </x:c>
      <x:c r="C249" s="170" t="str">
        <x:f>IF(A249="","",IF(B249="Decommissioning",IFERROR(INDEX('Raw Decommissioning'!$E$2:$E$1000,MATCH(A249,'Raw Decommissioning'!$B$2:$B$1000,0)),"Missing from latest raw"),IFERROR(INDEX('Raw Provisioning'!$E$2:$E$1000,MATCH(A249,'Raw Provisioning'!$B$2:$B$1000,0)),"Missing from latest raw")))</x:f>
        <x:v>processing</x:v>
      </x:c>
      <x:c r="D249" s="171" t="n">
        <x:f>IF(A249="","",'Refresh Control'!$B$4)</x:f>
        <x:v>46254</x:v>
      </x:c>
      <x:c r="E249" s="171" t="n">
        <x:f>IF(A249="","",IF(B249="Decommissioning",INDEX('Raw Decommissioning'!$F$2:$F$1000,ROWS($A$5:A249)),INDEX('Raw Provisioning'!$F$2:$F$1000,ROWS($A$5:A249)-COUNTA('Raw Decommissioning'!$B$2:$B$1000))))</x:f>
        <x:v>46196.12006017361</x:v>
      </x:c>
      <x:c r="F249" s="171" t="n">
        <x:f>IF(A249="","",IF(B249="Decommissioning",INDEX('Raw Decommissioning'!$G$2:$G$1000,ROWS($A$5:A249)),INDEX('Raw Provisioning'!$H$2:$H$1000,ROWS($A$5:A249)-COUNTA('Raw Decommissioning'!$B$2:$B$1000))))</x:f>
        <x:v>46209.310879537035</x:v>
      </x:c>
      <x:c r="G249" s="170" t="str">
        <x:f>IF(A249="","",IF(B249="Decommissioning",INDEX('Raw Decommissioning'!$I$2:$I$1000,ROWS($A$5:A249)),INDEX('Raw Provisioning'!$J$2:$J$1000,ROWS($A$5:A249)-COUNTA('Raw Decommissioning'!$B$2:$B$1000))))</x:f>
        <x:v>Lab Information Management System - LIMS MLNG</x:v>
      </x:c>
      <x:c r="H249" s="170" t="str">
        <x:f>IF(A249="","",IF(B249="Decommissioning",INDEX('Raw Decommissioning'!$J$2:$J$1000,ROWS($A$5:A249)),INDEX('Raw Provisioning'!$L$2:$L$1000,ROWS($A$5:A249)-COUNTA('Raw Decommissioning'!$B$2:$B$1000))))</x:f>
        <x:v>OCI MIGRATION - Integrated Lab Information System (MLNG)</x:v>
      </x:c>
      <x:c r="I249" s="170" t="str">
        <x:f>IF(A249="","",IF(B249="Decommissioning",INDEX('Raw Decommissioning'!$AL$2:$AL$1000,ROWS($A$5:A249)),INDEX('Raw Provisioning'!$R$2:$R$1000,ROWS($A$5:A249)-COUNTA('Raw Decommissioning'!$B$2:$B$1000))))</x:f>
        <x:v>M</x:v>
      </x:c>
      <x:c r="J249" s="170" t="str">
        <x:f>IF(A249="","",IF(B249="Decommissioning",INDEX('Raw Decommissioning'!$AG$2:$AG$1000,ROWS($A$5:A249)),INDEX('Raw Provisioning'!$AI$2:$AI$1000,ROWS($A$5:A249)-COUNTA('Raw Decommissioning'!$B$2:$B$1000))))</x:f>
        <x:v>CCoE Operations</x:v>
      </x:c>
      <x:c r="K249" s="172" t="str">
        <x:f>IF(A249="","",IFERROR(LOOKUP(2,1/('Assignment History'!$B$5:$B$204=A249),'Assignment History'!$D$5:$D$204),IFERROR(VLOOKUP(J249,Configuration!$L$5:$M$50,2,FALSE),J249)))</x:f>
        <x:v>CCoE Operations</x:v>
      </x:c>
      <x:c r="L249" s="172" t="str">
        <x:f>IF(A249="","",IF(K249=IFERROR(VLOOKUP(J249,Configuration!$L$5:$M$50,2,FALSE),J249),"Snapshot PIC","Replacement PIC"))</x:f>
        <x:v>Snapshot PIC</x:v>
      </x:c>
      <x:c r="M249" s="172" t="n">
        <x:f>IF(A249="","",IFERROR(VLOOKUP(I249,Configuration!$O$5:$P$8,2,FALSE),Configuration!$S$6))</x:f>
        <x:v>2</x:v>
      </x:c>
      <x:c r="N249" s="172" t="str">
        <x:f>IF(A249="","",IFERROR(LOOKUP(2,1/('Scope Review'!$B$5:$B$204=A249),'Scope Review'!$G$5:$G$204),"Not Reviewed"))</x:f>
        <x:v>Not Reviewed</x:v>
      </x:c>
      <x:c r="O249" s="172" t="str">
        <x:f>IF(A249="","",IFERROR(LOOKUP(2,1/('Scope Review'!$B$5:$B$204=A249),'Scope Review'!$H$5:$H$204),""))</x:f>
      </x:c>
      <x:c r="P249" s="172" t="n">
        <x:f>IF(A249="","",IF(AND(C249="executing",N249&lt;&gt;"Confirmed OOS"),M249,0))</x:f>
        <x:v>0</x:v>
      </x:c>
      <x:c r="Q249" s="173" t="str">
        <x:f>IF(A249="","",IFERROR(LOOKUP(2,1/('Engineer Updates'!$B$5:$B$704=A249),'Engineer Updates'!$A$5:$A$704),""))</x:f>
      </x:c>
      <x:c r="R249" s="172" t="str">
        <x:f>IF(A249="","",IFERROR(LOOKUP(2,1/('Engineer Updates'!$B$5:$B$704=A249),'Engineer Updates'!$H$5:$H$704),""))</x:f>
      </x:c>
      <x:c r="S249" s="172" t="str">
        <x:f>IF(A249="","",IFERROR(LOOKUP(2,1/('Engineer Updates'!$B$5:$B$704=A249),'Engineer Updates'!$G$5:$G$704),""))</x:f>
      </x:c>
      <x:c r="T249" s="172" t="str">
        <x:f>IF(A249="","",IFERROR(LOOKUP(2,1/('Engineer Updates'!$B$5:$B$704=A249),'Engineer Updates'!$I$5:$I$704),""))</x:f>
      </x:c>
      <x:c r="U249" s="172" t="str">
        <x:f>IF(A249="","",IFERROR(LOOKUP(2,1/('Engineer Updates'!$B$5:$B$704=A249),'Engineer Updates'!$J$5:$J$704),""))</x:f>
      </x:c>
      <x:c r="V249" s="172" t="str">
        <x:f>IF(A249="","",IFERROR(LOOKUP(2,1/('Engineer Updates'!$B$5:$B$704=A249),'Engineer Updates'!$K$5:$K$704),""))</x:f>
      </x:c>
      <x:c r="W249" s="174" t="str">
        <x:f>IF(A249="","",IFERROR(LOOKUP(2,1/('Engineer Updates'!$B$5:$B$704=A249),'Engineer Updates'!$L$5:$L$704),""))</x:f>
      </x:c>
      <x:c r="X249" s="170" t="str">
        <x:f>IF(A249="","",IF(C249="completed","Completed in CSSP",IF(AND(C249="executing",ISERROR(SEARCH("@",K249))),"Executing without named engineer",IF(AND(N249="Confirmed OOS",C249="executing"),"Confirmed OOS still executing",""))))</x:f>
      </x:c>
      <x:c r="Y249" s="170" t="str">
        <x:f>IF(A249="","",IF(B249="Decommissioning","Raw Decommissioning","Raw Provisioning"))</x:f>
        <x:v>Raw Decommissioning</x:v>
      </x:c>
      <x:c r="Z249" s="170" t="str">
        <x:f>IF(A249="","",IF(OR(C249="executing",C249="processing"),"Yes","No"))</x:f>
        <x:v>Yes</x:v>
      </x:c>
    </x:row>
    <x:row r="250">
      <x:c r="A250" s="170" t="str">
        <x:f>IF(ROWS($A$5:A250)&lt;=COUNTA('Raw Decommissioning'!$B$2:$B$1000),INDEX('Raw Decommissioning'!$B$2:$B$1000,ROWS($A$5:A250)),IF(ROWS($A$5:A250)-COUNTA('Raw Decommissioning'!$B$2:$B$1000)&lt;=COUNTA('Raw Provisioning'!$B$2:$B$1000),INDEX('Raw Provisioning'!$B$2:$B$1000,ROWS($A$5:A250)-COUNTA('Raw Decommissioning'!$B$2:$B$1000)),""))</x:f>
        <x:v>CSSP10916071</x:v>
      </x:c>
      <x:c r="B250" s="170" t="str">
        <x:f>IF(A250="","",IF(ROWS($A$5:A250)&lt;=COUNTA('Raw Decommissioning'!$B$2:$B$1000),"Decommissioning","Provisioning"))</x:f>
        <x:v>Decommissioning</x:v>
      </x:c>
      <x:c r="C250" s="170" t="str">
        <x:f>IF(A250="","",IF(B250="Decommissioning",IFERROR(INDEX('Raw Decommissioning'!$E$2:$E$1000,MATCH(A250,'Raw Decommissioning'!$B$2:$B$1000,0)),"Missing from latest raw"),IFERROR(INDEX('Raw Provisioning'!$E$2:$E$1000,MATCH(A250,'Raw Provisioning'!$B$2:$B$1000,0)),"Missing from latest raw")))</x:f>
        <x:v>executing</x:v>
      </x:c>
      <x:c r="D250" s="171" t="n">
        <x:f>IF(A250="","",'Refresh Control'!$B$4)</x:f>
        <x:v>46254</x:v>
      </x:c>
      <x:c r="E250" s="171" t="n">
        <x:f>IF(A250="","",IF(B250="Decommissioning",INDEX('Raw Decommissioning'!$F$2:$F$1000,ROWS($A$5:A250)),INDEX('Raw Provisioning'!$F$2:$F$1000,ROWS($A$5:A250)-COUNTA('Raw Decommissioning'!$B$2:$B$1000))))</x:f>
        <x:v>46196.123875625</x:v>
      </x:c>
      <x:c r="F250" s="171" t="n">
        <x:f>IF(A250="","",IF(B250="Decommissioning",INDEX('Raw Decommissioning'!$G$2:$G$1000,ROWS($A$5:A250)),INDEX('Raw Provisioning'!$H$2:$H$1000,ROWS($A$5:A250)-COUNTA('Raw Decommissioning'!$B$2:$B$1000))))</x:f>
        <x:v>46251.31982116898</x:v>
      </x:c>
      <x:c r="G250" s="170" t="str">
        <x:f>IF(A250="","",IF(B250="Decommissioning",INDEX('Raw Decommissioning'!$I$2:$I$1000,ROWS($A$5:A250)),INDEX('Raw Provisioning'!$J$2:$J$1000,ROWS($A$5:A250)-COUNTA('Raw Decommissioning'!$B$2:$B$1000))))</x:f>
        <x:v>Lab Information Management System - LIMS PPTSB</x:v>
      </x:c>
      <x:c r="H250" s="170" t="str">
        <x:f>IF(A250="","",IF(B250="Decommissioning",INDEX('Raw Decommissioning'!$J$2:$J$1000,ROWS($A$5:A250)),INDEX('Raw Provisioning'!$L$2:$L$1000,ROWS($A$5:A250)-COUNTA('Raw Decommissioning'!$B$2:$B$1000))))</x:f>
        <x:v>OCI MIGRATION - LIMS PPTSB</x:v>
      </x:c>
      <x:c r="I250" s="170" t="str">
        <x:f>IF(A250="","",IF(B250="Decommissioning",INDEX('Raw Decommissioning'!$AL$2:$AL$1000,ROWS($A$5:A250)),INDEX('Raw Provisioning'!$R$2:$R$1000,ROWS($A$5:A250)-COUNTA('Raw Decommissioning'!$B$2:$B$1000))))</x:f>
        <x:v>M</x:v>
      </x:c>
      <x:c r="J250" s="170" t="str">
        <x:f>IF(A250="","",IF(B250="Decommissioning",INDEX('Raw Decommissioning'!$AG$2:$AG$1000,ROWS($A$5:A250)),INDEX('Raw Provisioning'!$AI$2:$AI$1000,ROWS($A$5:A250)-COUNTA('Raw Decommissioning'!$B$2:$B$1000))))</x:f>
        <x:v>abdul.khoir@petronas.com</x:v>
      </x:c>
      <x:c r="K250" s="172" t="str">
        <x:f>IF(A250="","",IFERROR(LOOKUP(2,1/('Assignment History'!$B$5:$B$204=A250),'Assignment History'!$D$5:$D$204),IFERROR(VLOOKUP(J250,Configuration!$L$5:$M$50,2,FALSE),J250)))</x:f>
        <x:v>abdul.khoir@petronas.com</x:v>
      </x:c>
      <x:c r="L250" s="172" t="str">
        <x:f>IF(A250="","",IF(K250=IFERROR(VLOOKUP(J250,Configuration!$L$5:$M$50,2,FALSE),J250),"Snapshot PIC","Replacement PIC"))</x:f>
        <x:v>Snapshot PIC</x:v>
      </x:c>
      <x:c r="M250" s="172" t="n">
        <x:f>IF(A250="","",IFERROR(VLOOKUP(I250,Configuration!$O$5:$P$8,2,FALSE),Configuration!$S$6))</x:f>
        <x:v>2</x:v>
      </x:c>
      <x:c r="N250" s="172" t="str">
        <x:f>IF(A250="","",IFERROR(LOOKUP(2,1/('Scope Review'!$B$5:$B$204=A250),'Scope Review'!$G$5:$G$204),"Not Reviewed"))</x:f>
        <x:v>Not Reviewed</x:v>
      </x:c>
      <x:c r="O250" s="172" t="str">
        <x:f>IF(A250="","",IFERROR(LOOKUP(2,1/('Scope Review'!$B$5:$B$204=A250),'Scope Review'!$H$5:$H$204),""))</x:f>
      </x:c>
      <x:c r="P250" s="172" t="n">
        <x:f>IF(A250="","",IF(AND(C250="executing",N250&lt;&gt;"Confirmed OOS"),M250,0))</x:f>
        <x:v>2</x:v>
      </x:c>
      <x:c r="Q250" s="173" t="n">
        <x:f>IF(A250="","",IFERROR(LOOKUP(2,1/('Engineer Updates'!$B$5:$B$704=A250),'Engineer Updates'!$A$5:$A$704),""))</x:f>
        <x:v>46251</x:v>
      </x:c>
      <x:c r="R250" s="172" t="str">
        <x:f>IF(A250="","",IFERROR(LOOKUP(2,1/('Engineer Updates'!$B$5:$B$704=A250),'Engineer Updates'!$H$5:$H$704),""))</x:f>
        <x:v>Not Started</x:v>
      </x:c>
      <x:c r="S250" s="172" t="str">
        <x:f>IF(A250="","",IFERROR(LOOKUP(2,1/('Engineer Updates'!$B$5:$B$704=A250),'Engineer Updates'!$G$5:$G$704),""))</x:f>
      </x:c>
      <x:c r="T250" s="172" t="str">
        <x:f>IF(A250="","",IFERROR(LOOKUP(2,1/('Engineer Updates'!$B$5:$B$704=A250),'Engineer Updates'!$I$5:$I$704),""))</x:f>
      </x:c>
      <x:c r="U250" s="172" t="str">
        <x:f>IF(A250="","",IFERROR(LOOKUP(2,1/('Engineer Updates'!$B$5:$B$704=A250),'Engineer Updates'!$J$5:$J$704),""))</x:f>
      </x:c>
      <x:c r="V250" s="172" t="str">
        <x:f>IF(A250="","",IFERROR(LOOKUP(2,1/('Engineer Updates'!$B$5:$B$704=A250),'Engineer Updates'!$K$5:$K$704),""))</x:f>
      </x:c>
      <x:c r="W250" s="174" t="str">
        <x:f>IF(A250="","",IFERROR(LOOKUP(2,1/('Engineer Updates'!$B$5:$B$704=A250),'Engineer Updates'!$L$5:$L$704),""))</x:f>
      </x:c>
      <x:c r="X250" s="170" t="str">
        <x:f>IF(A250="","",IF(C250="completed","Completed in CSSP",IF(AND(C250="executing",ISERROR(SEARCH("@",K250))),"Executing without named engineer",IF(AND(N250="Confirmed OOS",C250="executing"),"Confirmed OOS still executing",""))))</x:f>
      </x:c>
      <x:c r="Y250" s="170" t="str">
        <x:f>IF(A250="","",IF(B250="Decommissioning","Raw Decommissioning","Raw Provisioning"))</x:f>
        <x:v>Raw Decommissioning</x:v>
      </x:c>
      <x:c r="Z250" s="170" t="str">
        <x:f>IF(A250="","",IF(OR(C250="executing",C250="processing"),"Yes","No"))</x:f>
        <x:v>Yes</x:v>
      </x:c>
    </x:row>
    <x:row r="251">
      <x:c r="A251" s="170" t="str">
        <x:f>IF(ROWS($A$5:A251)&lt;=COUNTA('Raw Decommissioning'!$B$2:$B$1000),INDEX('Raw Decommissioning'!$B$2:$B$1000,ROWS($A$5:A251)),IF(ROWS($A$5:A251)-COUNTA('Raw Decommissioning'!$B$2:$B$1000)&lt;=COUNTA('Raw Provisioning'!$B$2:$B$1000),INDEX('Raw Provisioning'!$B$2:$B$1000,ROWS($A$5:A251)-COUNTA('Raw Decommissioning'!$B$2:$B$1000)),""))</x:f>
        <x:v>CSSP10434338</x:v>
      </x:c>
      <x:c r="B251" s="170" t="str">
        <x:f>IF(A251="","",IF(ROWS($A$5:A251)&lt;=COUNTA('Raw Decommissioning'!$B$2:$B$1000),"Decommissioning","Provisioning"))</x:f>
        <x:v>Decommissioning</x:v>
      </x:c>
      <x:c r="C251" s="170" t="str">
        <x:f>IF(A251="","",IF(B251="Decommissioning",IFERROR(INDEX('Raw Decommissioning'!$E$2:$E$1000,MATCH(A251,'Raw Decommissioning'!$B$2:$B$1000,0)),"Missing from latest raw"),IFERROR(INDEX('Raw Provisioning'!$E$2:$E$1000,MATCH(A251,'Raw Provisioning'!$B$2:$B$1000,0)),"Missing from latest raw")))</x:f>
        <x:v>processing</x:v>
      </x:c>
      <x:c r="D251" s="171" t="n">
        <x:f>IF(A251="","",'Refresh Control'!$B$4)</x:f>
        <x:v>46254</x:v>
      </x:c>
      <x:c r="E251" s="171" t="n">
        <x:f>IF(A251="","",IF(B251="Decommissioning",INDEX('Raw Decommissioning'!$F$2:$F$1000,ROWS($A$5:A251)),INDEX('Raw Provisioning'!$F$2:$F$1000,ROWS($A$5:A251)-COUNTA('Raw Decommissioning'!$B$2:$B$1000))))</x:f>
        <x:v>46196.1246544213</x:v>
      </x:c>
      <x:c r="F251" s="171" t="n">
        <x:f>IF(A251="","",IF(B251="Decommissioning",INDEX('Raw Decommissioning'!$G$2:$G$1000,ROWS($A$5:A251)),INDEX('Raw Provisioning'!$H$2:$H$1000,ROWS($A$5:A251)-COUNTA('Raw Decommissioning'!$B$2:$B$1000))))</x:f>
        <x:v>46209.31169797454</x:v>
      </x:c>
      <x:c r="G251" s="170" t="str">
        <x:f>IF(A251="","",IF(B251="Decommissioning",INDEX('Raw Decommissioning'!$I$2:$I$1000,ROWS($A$5:A251)),INDEX('Raw Provisioning'!$J$2:$J$1000,ROWS($A$5:A251)-COUNTA('Raw Decommissioning'!$B$2:$B$1000))))</x:f>
        <x:v>Lab Information Management System - LIMS PPTSB</x:v>
      </x:c>
      <x:c r="H251" s="170" t="str">
        <x:f>IF(A251="","",IF(B251="Decommissioning",INDEX('Raw Decommissioning'!$J$2:$J$1000,ROWS($A$5:A251)),INDEX('Raw Provisioning'!$L$2:$L$1000,ROWS($A$5:A251)-COUNTA('Raw Decommissioning'!$B$2:$B$1000))))</x:f>
        <x:v>OCI MIGRATION - Integrated Lab Information System (PPT)</x:v>
      </x:c>
      <x:c r="I251" s="170" t="str">
        <x:f>IF(A251="","",IF(B251="Decommissioning",INDEX('Raw Decommissioning'!$AL$2:$AL$1000,ROWS($A$5:A251)),INDEX('Raw Provisioning'!$R$2:$R$1000,ROWS($A$5:A251)-COUNTA('Raw Decommissioning'!$B$2:$B$1000))))</x:f>
        <x:v>M</x:v>
      </x:c>
      <x:c r="J251" s="170" t="str">
        <x:f>IF(A251="","",IF(B251="Decommissioning",INDEX('Raw Decommissioning'!$AG$2:$AG$1000,ROWS($A$5:A251)),INDEX('Raw Provisioning'!$AI$2:$AI$1000,ROWS($A$5:A251)-COUNTA('Raw Decommissioning'!$B$2:$B$1000))))</x:f>
        <x:v>CCoE Operations</x:v>
      </x:c>
      <x:c r="K251" s="172" t="str">
        <x:f>IF(A251="","",IFERROR(LOOKUP(2,1/('Assignment History'!$B$5:$B$204=A251),'Assignment History'!$D$5:$D$204),IFERROR(VLOOKUP(J251,Configuration!$L$5:$M$50,2,FALSE),J251)))</x:f>
        <x:v>CCoE Operations</x:v>
      </x:c>
      <x:c r="L251" s="172" t="str">
        <x:f>IF(A251="","",IF(K251=IFERROR(VLOOKUP(J251,Configuration!$L$5:$M$50,2,FALSE),J251),"Snapshot PIC","Replacement PIC"))</x:f>
        <x:v>Snapshot PIC</x:v>
      </x:c>
      <x:c r="M251" s="172" t="n">
        <x:f>IF(A251="","",IFERROR(VLOOKUP(I251,Configuration!$O$5:$P$8,2,FALSE),Configuration!$S$6))</x:f>
        <x:v>2</x:v>
      </x:c>
      <x:c r="N251" s="172" t="str">
        <x:f>IF(A251="","",IFERROR(LOOKUP(2,1/('Scope Review'!$B$5:$B$204=A251),'Scope Review'!$G$5:$G$204),"Not Reviewed"))</x:f>
        <x:v>Not Reviewed</x:v>
      </x:c>
      <x:c r="O251" s="172" t="str">
        <x:f>IF(A251="","",IFERROR(LOOKUP(2,1/('Scope Review'!$B$5:$B$204=A251),'Scope Review'!$H$5:$H$204),""))</x:f>
      </x:c>
      <x:c r="P251" s="172" t="n">
        <x:f>IF(A251="","",IF(AND(C251="executing",N251&lt;&gt;"Confirmed OOS"),M251,0))</x:f>
        <x:v>0</x:v>
      </x:c>
      <x:c r="Q251" s="173" t="str">
        <x:f>IF(A251="","",IFERROR(LOOKUP(2,1/('Engineer Updates'!$B$5:$B$704=A251),'Engineer Updates'!$A$5:$A$704),""))</x:f>
      </x:c>
      <x:c r="R251" s="172" t="str">
        <x:f>IF(A251="","",IFERROR(LOOKUP(2,1/('Engineer Updates'!$B$5:$B$704=A251),'Engineer Updates'!$H$5:$H$704),""))</x:f>
      </x:c>
      <x:c r="S251" s="172" t="str">
        <x:f>IF(A251="","",IFERROR(LOOKUP(2,1/('Engineer Updates'!$B$5:$B$704=A251),'Engineer Updates'!$G$5:$G$704),""))</x:f>
      </x:c>
      <x:c r="T251" s="172" t="str">
        <x:f>IF(A251="","",IFERROR(LOOKUP(2,1/('Engineer Updates'!$B$5:$B$704=A251),'Engineer Updates'!$I$5:$I$704),""))</x:f>
      </x:c>
      <x:c r="U251" s="172" t="str">
        <x:f>IF(A251="","",IFERROR(LOOKUP(2,1/('Engineer Updates'!$B$5:$B$704=A251),'Engineer Updates'!$J$5:$J$704),""))</x:f>
      </x:c>
      <x:c r="V251" s="172" t="str">
        <x:f>IF(A251="","",IFERROR(LOOKUP(2,1/('Engineer Updates'!$B$5:$B$704=A251),'Engineer Updates'!$K$5:$K$704),""))</x:f>
      </x:c>
      <x:c r="W251" s="174" t="str">
        <x:f>IF(A251="","",IFERROR(LOOKUP(2,1/('Engineer Updates'!$B$5:$B$704=A251),'Engineer Updates'!$L$5:$L$704),""))</x:f>
      </x:c>
      <x:c r="X251" s="170" t="str">
        <x:f>IF(A251="","",IF(C251="completed","Completed in CSSP",IF(AND(C251="executing",ISERROR(SEARCH("@",K251))),"Executing without named engineer",IF(AND(N251="Confirmed OOS",C251="executing"),"Confirmed OOS still executing",""))))</x:f>
      </x:c>
      <x:c r="Y251" s="170" t="str">
        <x:f>IF(A251="","",IF(B251="Decommissioning","Raw Decommissioning","Raw Provisioning"))</x:f>
        <x:v>Raw Decommissioning</x:v>
      </x:c>
      <x:c r="Z251" s="170" t="str">
        <x:f>IF(A251="","",IF(OR(C251="executing",C251="processing"),"Yes","No"))</x:f>
        <x:v>Yes</x:v>
      </x:c>
    </x:row>
    <x:row r="252">
      <x:c r="A252" s="170" t="str">
        <x:f>IF(ROWS($A$5:A252)&lt;=COUNTA('Raw Decommissioning'!$B$2:$B$1000),INDEX('Raw Decommissioning'!$B$2:$B$1000,ROWS($A$5:A252)),IF(ROWS($A$5:A252)-COUNTA('Raw Decommissioning'!$B$2:$B$1000)&lt;=COUNTA('Raw Provisioning'!$B$2:$B$1000),INDEX('Raw Provisioning'!$B$2:$B$1000,ROWS($A$5:A252)-COUNTA('Raw Decommissioning'!$B$2:$B$1000)),""))</x:f>
        <x:v>CSSP10120863</x:v>
      </x:c>
      <x:c r="B252" s="170" t="str">
        <x:f>IF(A252="","",IF(ROWS($A$5:A252)&lt;=COUNTA('Raw Decommissioning'!$B$2:$B$1000),"Decommissioning","Provisioning"))</x:f>
        <x:v>Decommissioning</x:v>
      </x:c>
      <x:c r="C252" s="170" t="str">
        <x:f>IF(A252="","",IF(B252="Decommissioning",IFERROR(INDEX('Raw Decommissioning'!$E$2:$E$1000,MATCH(A252,'Raw Decommissioning'!$B$2:$B$1000,0)),"Missing from latest raw"),IFERROR(INDEX('Raw Provisioning'!$E$2:$E$1000,MATCH(A252,'Raw Provisioning'!$B$2:$B$1000,0)),"Missing from latest raw")))</x:f>
        <x:v>cancelled</x:v>
      </x:c>
      <x:c r="D252" s="171" t="n">
        <x:f>IF(A252="","",'Refresh Control'!$B$4)</x:f>
        <x:v>46254</x:v>
      </x:c>
      <x:c r="E252" s="171" t="n">
        <x:f>IF(A252="","",IF(B252="Decommissioning",INDEX('Raw Decommissioning'!$F$2:$F$1000,ROWS($A$5:A252)),INDEX('Raw Provisioning'!$F$2:$F$1000,ROWS($A$5:A252)-COUNTA('Raw Decommissioning'!$B$2:$B$1000))))</x:f>
        <x:v>46196.12547501158</x:v>
      </x:c>
      <x:c r="F252" s="171" t="n">
        <x:f>IF(A252="","",IF(B252="Decommissioning",INDEX('Raw Decommissioning'!$G$2:$G$1000,ROWS($A$5:A252)),INDEX('Raw Provisioning'!$H$2:$H$1000,ROWS($A$5:A252)-COUNTA('Raw Decommissioning'!$B$2:$B$1000))))</x:f>
        <x:v>46196.12565594907</x:v>
      </x:c>
      <x:c r="G252" s="170" t="str">
        <x:f>IF(A252="","",IF(B252="Decommissioning",INDEX('Raw Decommissioning'!$I$2:$I$1000,ROWS($A$5:A252)),INDEX('Raw Provisioning'!$J$2:$J$1000,ROWS($A$5:A252)-COUNTA('Raw Decommissioning'!$B$2:$B$1000))))</x:f>
        <x:v>Lab Information Management System - LIMS PPTSB</x:v>
      </x:c>
      <x:c r="H252" s="170" t="str">
        <x:f>IF(A252="","",IF(B252="Decommissioning",INDEX('Raw Decommissioning'!$J$2:$J$1000,ROWS($A$5:A252)),INDEX('Raw Provisioning'!$L$2:$L$1000,ROWS($A$5:A252)-COUNTA('Raw Decommissioning'!$B$2:$B$1000))))</x:f>
        <x:v>OCI MIGRATION - Integrated Lab Information System (PPT)</x:v>
      </x:c>
      <x:c r="I252" s="170" t="str">
        <x:f>IF(A252="","",IF(B252="Decommissioning",INDEX('Raw Decommissioning'!$AL$2:$AL$1000,ROWS($A$5:A252)),INDEX('Raw Provisioning'!$R$2:$R$1000,ROWS($A$5:A252)-COUNTA('Raw Decommissioning'!$B$2:$B$1000))))</x:f>
      </x:c>
      <x:c r="J252" s="170" t="str">
        <x:f>IF(A252="","",IF(B252="Decommissioning",INDEX('Raw Decommissioning'!$AG$2:$AG$1000,ROWS($A$5:A252)),INDEX('Raw Provisioning'!$AI$2:$AI$1000,ROWS($A$5:A252)-COUNTA('Raw Decommissioning'!$B$2:$B$1000))))</x:f>
        <x:v>CCoE Operations</x:v>
      </x:c>
      <x:c r="K252" s="172" t="str">
        <x:f>IF(A252="","",IFERROR(LOOKUP(2,1/('Assignment History'!$B$5:$B$204=A252),'Assignment History'!$D$5:$D$204),IFERROR(VLOOKUP(J252,Configuration!$L$5:$M$50,2,FALSE),J252)))</x:f>
        <x:v>CCoE Operations</x:v>
      </x:c>
      <x:c r="L252" s="172" t="str">
        <x:f>IF(A252="","",IF(K252=IFERROR(VLOOKUP(J252,Configuration!$L$5:$M$50,2,FALSE),J252),"Snapshot PIC","Replacement PIC"))</x:f>
        <x:v>Snapshot PIC</x:v>
      </x:c>
      <x:c r="M252" s="172" t="n">
        <x:f>IF(A252="","",IFERROR(VLOOKUP(I252,Configuration!$O$5:$P$8,2,FALSE),Configuration!$S$6))</x:f>
        <x:v>2</x:v>
      </x:c>
      <x:c r="N252" s="172" t="str">
        <x:f>IF(A252="","",IFERROR(LOOKUP(2,1/('Scope Review'!$B$5:$B$204=A252),'Scope Review'!$G$5:$G$204),"Not Reviewed"))</x:f>
        <x:v>Not Reviewed</x:v>
      </x:c>
      <x:c r="O252" s="172" t="str">
        <x:f>IF(A252="","",IFERROR(LOOKUP(2,1/('Scope Review'!$B$5:$B$204=A252),'Scope Review'!$H$5:$H$204),""))</x:f>
      </x:c>
      <x:c r="P252" s="172" t="n">
        <x:f>IF(A252="","",IF(AND(C252="executing",N252&lt;&gt;"Confirmed OOS"),M252,0))</x:f>
        <x:v>0</x:v>
      </x:c>
      <x:c r="Q252" s="173" t="str">
        <x:f>IF(A252="","",IFERROR(LOOKUP(2,1/('Engineer Updates'!$B$5:$B$704=A252),'Engineer Updates'!$A$5:$A$704),""))</x:f>
      </x:c>
      <x:c r="R252" s="172" t="str">
        <x:f>IF(A252="","",IFERROR(LOOKUP(2,1/('Engineer Updates'!$B$5:$B$704=A252),'Engineer Updates'!$H$5:$H$704),""))</x:f>
      </x:c>
      <x:c r="S252" s="172" t="str">
        <x:f>IF(A252="","",IFERROR(LOOKUP(2,1/('Engineer Updates'!$B$5:$B$704=A252),'Engineer Updates'!$G$5:$G$704),""))</x:f>
      </x:c>
      <x:c r="T252" s="172" t="str">
        <x:f>IF(A252="","",IFERROR(LOOKUP(2,1/('Engineer Updates'!$B$5:$B$704=A252),'Engineer Updates'!$I$5:$I$704),""))</x:f>
      </x:c>
      <x:c r="U252" s="172" t="str">
        <x:f>IF(A252="","",IFERROR(LOOKUP(2,1/('Engineer Updates'!$B$5:$B$704=A252),'Engineer Updates'!$J$5:$J$704),""))</x:f>
      </x:c>
      <x:c r="V252" s="172" t="str">
        <x:f>IF(A252="","",IFERROR(LOOKUP(2,1/('Engineer Updates'!$B$5:$B$704=A252),'Engineer Updates'!$K$5:$K$704),""))</x:f>
      </x:c>
      <x:c r="W252" s="174" t="str">
        <x:f>IF(A252="","",IFERROR(LOOKUP(2,1/('Engineer Updates'!$B$5:$B$704=A252),'Engineer Updates'!$L$5:$L$704),""))</x:f>
      </x:c>
      <x:c r="X252" s="170" t="str">
        <x:f>IF(A252="","",IF(C252="completed","Completed in CSSP",IF(AND(C252="executing",ISERROR(SEARCH("@",K252))),"Executing without named engineer",IF(AND(N252="Confirmed OOS",C252="executing"),"Confirmed OOS still executing",""))))</x:f>
      </x:c>
      <x:c r="Y252" s="170" t="str">
        <x:f>IF(A252="","",IF(B252="Decommissioning","Raw Decommissioning","Raw Provisioning"))</x:f>
        <x:v>Raw Decommissioning</x:v>
      </x:c>
      <x:c r="Z252" s="170" t="str">
        <x:f>IF(A252="","",IF(OR(C252="executing",C252="processing"),"Yes","No"))</x:f>
        <x:v>No</x:v>
      </x:c>
    </x:row>
    <x:row r="253">
      <x:c r="A253" s="170" t="str">
        <x:f>IF(ROWS($A$5:A253)&lt;=COUNTA('Raw Decommissioning'!$B$2:$B$1000),INDEX('Raw Decommissioning'!$B$2:$B$1000,ROWS($A$5:A253)),IF(ROWS($A$5:A253)-COUNTA('Raw Decommissioning'!$B$2:$B$1000)&lt;=COUNTA('Raw Provisioning'!$B$2:$B$1000),INDEX('Raw Provisioning'!$B$2:$B$1000,ROWS($A$5:A253)-COUNTA('Raw Decommissioning'!$B$2:$B$1000)),""))</x:f>
        <x:v>CSSP10192809</x:v>
      </x:c>
      <x:c r="B253" s="170" t="str">
        <x:f>IF(A253="","",IF(ROWS($A$5:A253)&lt;=COUNTA('Raw Decommissioning'!$B$2:$B$1000),"Decommissioning","Provisioning"))</x:f>
        <x:v>Decommissioning</x:v>
      </x:c>
      <x:c r="C253" s="170" t="str">
        <x:f>IF(A253="","",IF(B253="Decommissioning",IFERROR(INDEX('Raw Decommissioning'!$E$2:$E$1000,MATCH(A253,'Raw Decommissioning'!$B$2:$B$1000,0)),"Missing from latest raw"),IFERROR(INDEX('Raw Provisioning'!$E$2:$E$1000,MATCH(A253,'Raw Provisioning'!$B$2:$B$1000,0)),"Missing from latest raw")))</x:f>
        <x:v>processing</x:v>
      </x:c>
      <x:c r="D253" s="171" t="n">
        <x:f>IF(A253="","",'Refresh Control'!$B$4)</x:f>
        <x:v>46254</x:v>
      </x:c>
      <x:c r="E253" s="171" t="n">
        <x:f>IF(A253="","",IF(B253="Decommissioning",INDEX('Raw Decommissioning'!$F$2:$F$1000,ROWS($A$5:A253)),INDEX('Raw Provisioning'!$F$2:$F$1000,ROWS($A$5:A253)-COUNTA('Raw Decommissioning'!$B$2:$B$1000))))</x:f>
        <x:v>46196.12983128472</x:v>
      </x:c>
      <x:c r="F253" s="171" t="n">
        <x:f>IF(A253="","",IF(B253="Decommissioning",INDEX('Raw Decommissioning'!$G$2:$G$1000,ROWS($A$5:A253)),INDEX('Raw Provisioning'!$H$2:$H$1000,ROWS($A$5:A253)-COUNTA('Raw Decommissioning'!$B$2:$B$1000))))</x:f>
        <x:v>46237.31626704861</x:v>
      </x:c>
      <x:c r="G253" s="170" t="str">
        <x:f>IF(A253="","",IF(B253="Decommissioning",INDEX('Raw Decommissioning'!$I$2:$I$1000,ROWS($A$5:A253)),INDEX('Raw Provisioning'!$J$2:$J$1000,ROWS($A$5:A253)-COUNTA('Raw Decommissioning'!$B$2:$B$1000))))</x:f>
        <x:v>Lab Information Management System - LIMS MLNG</x:v>
      </x:c>
      <x:c r="H253" s="170" t="str">
        <x:f>IF(A253="","",IF(B253="Decommissioning",INDEX('Raw Decommissioning'!$J$2:$J$1000,ROWS($A$5:A253)),INDEX('Raw Provisioning'!$L$2:$L$1000,ROWS($A$5:A253)-COUNTA('Raw Decommissioning'!$B$2:$B$1000))))</x:f>
        <x:v>OCI MIGRATION - LIMS MLNG</x:v>
      </x:c>
      <x:c r="I253" s="170" t="str">
        <x:f>IF(A253="","",IF(B253="Decommissioning",INDEX('Raw Decommissioning'!$AL$2:$AL$1000,ROWS($A$5:A253)),INDEX('Raw Provisioning'!$R$2:$R$1000,ROWS($A$5:A253)-COUNTA('Raw Decommissioning'!$B$2:$B$1000))))</x:f>
        <x:v>M</x:v>
      </x:c>
      <x:c r="J253" s="170" t="str">
        <x:f>IF(A253="","",IF(B253="Decommissioning",INDEX('Raw Decommissioning'!$AG$2:$AG$1000,ROWS($A$5:A253)),INDEX('Raw Provisioning'!$AI$2:$AI$1000,ROWS($A$5:A253)-COUNTA('Raw Decommissioning'!$B$2:$B$1000))))</x:f>
        <x:v>CCoE Operations</x:v>
      </x:c>
      <x:c r="K253" s="172" t="str">
        <x:f>IF(A253="","",IFERROR(LOOKUP(2,1/('Assignment History'!$B$5:$B$204=A253),'Assignment History'!$D$5:$D$204),IFERROR(VLOOKUP(J253,Configuration!$L$5:$M$50,2,FALSE),J253)))</x:f>
        <x:v>CCoE Operations</x:v>
      </x:c>
      <x:c r="L253" s="172" t="str">
        <x:f>IF(A253="","",IF(K253=IFERROR(VLOOKUP(J253,Configuration!$L$5:$M$50,2,FALSE),J253),"Snapshot PIC","Replacement PIC"))</x:f>
        <x:v>Snapshot PIC</x:v>
      </x:c>
      <x:c r="M253" s="172" t="n">
        <x:f>IF(A253="","",IFERROR(VLOOKUP(I253,Configuration!$O$5:$P$8,2,FALSE),Configuration!$S$6))</x:f>
        <x:v>2</x:v>
      </x:c>
      <x:c r="N253" s="172" t="str">
        <x:f>IF(A253="","",IFERROR(LOOKUP(2,1/('Scope Review'!$B$5:$B$204=A253),'Scope Review'!$G$5:$G$204),"Not Reviewed"))</x:f>
        <x:v>Not Reviewed</x:v>
      </x:c>
      <x:c r="O253" s="172" t="str">
        <x:f>IF(A253="","",IFERROR(LOOKUP(2,1/('Scope Review'!$B$5:$B$204=A253),'Scope Review'!$H$5:$H$204),""))</x:f>
      </x:c>
      <x:c r="P253" s="172" t="n">
        <x:f>IF(A253="","",IF(AND(C253="executing",N253&lt;&gt;"Confirmed OOS"),M253,0))</x:f>
        <x:v>0</x:v>
      </x:c>
      <x:c r="Q253" s="173" t="str">
        <x:f>IF(A253="","",IFERROR(LOOKUP(2,1/('Engineer Updates'!$B$5:$B$704=A253),'Engineer Updates'!$A$5:$A$704),""))</x:f>
      </x:c>
      <x:c r="R253" s="172" t="str">
        <x:f>IF(A253="","",IFERROR(LOOKUP(2,1/('Engineer Updates'!$B$5:$B$704=A253),'Engineer Updates'!$H$5:$H$704),""))</x:f>
      </x:c>
      <x:c r="S253" s="172" t="str">
        <x:f>IF(A253="","",IFERROR(LOOKUP(2,1/('Engineer Updates'!$B$5:$B$704=A253),'Engineer Updates'!$G$5:$G$704),""))</x:f>
      </x:c>
      <x:c r="T253" s="172" t="str">
        <x:f>IF(A253="","",IFERROR(LOOKUP(2,1/('Engineer Updates'!$B$5:$B$704=A253),'Engineer Updates'!$I$5:$I$704),""))</x:f>
      </x:c>
      <x:c r="U253" s="172" t="str">
        <x:f>IF(A253="","",IFERROR(LOOKUP(2,1/('Engineer Updates'!$B$5:$B$704=A253),'Engineer Updates'!$J$5:$J$704),""))</x:f>
      </x:c>
      <x:c r="V253" s="172" t="str">
        <x:f>IF(A253="","",IFERROR(LOOKUP(2,1/('Engineer Updates'!$B$5:$B$704=A253),'Engineer Updates'!$K$5:$K$704),""))</x:f>
      </x:c>
      <x:c r="W253" s="174" t="str">
        <x:f>IF(A253="","",IFERROR(LOOKUP(2,1/('Engineer Updates'!$B$5:$B$704=A253),'Engineer Updates'!$L$5:$L$704),""))</x:f>
      </x:c>
      <x:c r="X253" s="170" t="str">
        <x:f>IF(A253="","",IF(C253="completed","Completed in CSSP",IF(AND(C253="executing",ISERROR(SEARCH("@",K253))),"Executing without named engineer",IF(AND(N253="Confirmed OOS",C253="executing"),"Confirmed OOS still executing",""))))</x:f>
      </x:c>
      <x:c r="Y253" s="170" t="str">
        <x:f>IF(A253="","",IF(B253="Decommissioning","Raw Decommissioning","Raw Provisioning"))</x:f>
        <x:v>Raw Decommissioning</x:v>
      </x:c>
      <x:c r="Z253" s="170" t="str">
        <x:f>IF(A253="","",IF(OR(C253="executing",C253="processing"),"Yes","No"))</x:f>
        <x:v>Yes</x:v>
      </x:c>
    </x:row>
    <x:row r="254">
      <x:c r="A254" s="170" t="str">
        <x:f>IF(ROWS($A$5:A254)&lt;=COUNTA('Raw Decommissioning'!$B$2:$B$1000),INDEX('Raw Decommissioning'!$B$2:$B$1000,ROWS($A$5:A254)),IF(ROWS($A$5:A254)-COUNTA('Raw Decommissioning'!$B$2:$B$1000)&lt;=COUNTA('Raw Provisioning'!$B$2:$B$1000),INDEX('Raw Provisioning'!$B$2:$B$1000,ROWS($A$5:A254)-COUNTA('Raw Decommissioning'!$B$2:$B$1000)),""))</x:f>
        <x:v>CSSP10328587</x:v>
      </x:c>
      <x:c r="B254" s="170" t="str">
        <x:f>IF(A254="","",IF(ROWS($A$5:A254)&lt;=COUNTA('Raw Decommissioning'!$B$2:$B$1000),"Decommissioning","Provisioning"))</x:f>
        <x:v>Decommissioning</x:v>
      </x:c>
      <x:c r="C254" s="170" t="str">
        <x:f>IF(A254="","",IF(B254="Decommissioning",IFERROR(INDEX('Raw Decommissioning'!$E$2:$E$1000,MATCH(A254,'Raw Decommissioning'!$B$2:$B$1000,0)),"Missing from latest raw"),IFERROR(INDEX('Raw Provisioning'!$E$2:$E$1000,MATCH(A254,'Raw Provisioning'!$B$2:$B$1000,0)),"Missing from latest raw")))</x:f>
        <x:v>cancelled</x:v>
      </x:c>
      <x:c r="D254" s="171" t="n">
        <x:f>IF(A254="","",'Refresh Control'!$B$4)</x:f>
        <x:v>46254</x:v>
      </x:c>
      <x:c r="E254" s="171" t="n">
        <x:f>IF(A254="","",IF(B254="Decommissioning",INDEX('Raw Decommissioning'!$F$2:$F$1000,ROWS($A$5:A254)),INDEX('Raw Provisioning'!$F$2:$F$1000,ROWS($A$5:A254)-COUNTA('Raw Decommissioning'!$B$2:$B$1000))))</x:f>
        <x:v>46198.25458431713</x:v>
      </x:c>
      <x:c r="F254" s="171" t="n">
        <x:f>IF(A254="","",IF(B254="Decommissioning",INDEX('Raw Decommissioning'!$G$2:$G$1000,ROWS($A$5:A254)),INDEX('Raw Provisioning'!$H$2:$H$1000,ROWS($A$5:A254)-COUNTA('Raw Decommissioning'!$B$2:$B$1000))))</x:f>
        <x:v>46198.25490237268</x:v>
      </x:c>
      <x:c r="G254" s="170" t="str">
        <x:f>IF(A254="","",IF(B254="Decommissioning",INDEX('Raw Decommissioning'!$I$2:$I$1000,ROWS($A$5:A254)),INDEX('Raw Provisioning'!$J$2:$J$1000,ROWS($A$5:A254)-COUNTA('Raw Decommissioning'!$B$2:$B$1000))))</x:f>
        <x:v>OpAware</x:v>
      </x:c>
      <x:c r="H254" s="170" t="str">
        <x:f>IF(A254="","",IF(B254="Decommissioning",INDEX('Raw Decommissioning'!$J$2:$J$1000,ROWS($A$5:A254)),INDEX('Raw Provisioning'!$L$2:$L$1000,ROWS($A$5:A254)-COUNTA('Raw Decommissioning'!$B$2:$B$1000))))</x:f>
        <x:v>Cloud Migration Program - OpAware system (Process Scout)</x:v>
      </x:c>
      <x:c r="I254" s="170" t="str">
        <x:f>IF(A254="","",IF(B254="Decommissioning",INDEX('Raw Decommissioning'!$AL$2:$AL$1000,ROWS($A$5:A254)),INDEX('Raw Provisioning'!$R$2:$R$1000,ROWS($A$5:A254)-COUNTA('Raw Decommissioning'!$B$2:$B$1000))))</x:f>
      </x:c>
      <x:c r="J254" s="170" t="str">
        <x:f>IF(A254="","",IF(B254="Decommissioning",INDEX('Raw Decommissioning'!$AG$2:$AG$1000,ROWS($A$5:A254)),INDEX('Raw Provisioning'!$AI$2:$AI$1000,ROWS($A$5:A254)-COUNTA('Raw Decommissioning'!$B$2:$B$1000))))</x:f>
        <x:v>CCoE Operations</x:v>
      </x:c>
      <x:c r="K254" s="172" t="str">
        <x:f>IF(A254="","",IFERROR(LOOKUP(2,1/('Assignment History'!$B$5:$B$204=A254),'Assignment History'!$D$5:$D$204),IFERROR(VLOOKUP(J254,Configuration!$L$5:$M$50,2,FALSE),J254)))</x:f>
        <x:v>CCoE Operations</x:v>
      </x:c>
      <x:c r="L254" s="172" t="str">
        <x:f>IF(A254="","",IF(K254=IFERROR(VLOOKUP(J254,Configuration!$L$5:$M$50,2,FALSE),J254),"Snapshot PIC","Replacement PIC"))</x:f>
        <x:v>Snapshot PIC</x:v>
      </x:c>
      <x:c r="M254" s="172" t="n">
        <x:f>IF(A254="","",IFERROR(VLOOKUP(I254,Configuration!$O$5:$P$8,2,FALSE),Configuration!$S$6))</x:f>
        <x:v>2</x:v>
      </x:c>
      <x:c r="N254" s="172" t="str">
        <x:f>IF(A254="","",IFERROR(LOOKUP(2,1/('Scope Review'!$B$5:$B$204=A254),'Scope Review'!$G$5:$G$204),"Not Reviewed"))</x:f>
        <x:v>Not Reviewed</x:v>
      </x:c>
      <x:c r="O254" s="172" t="str">
        <x:f>IF(A254="","",IFERROR(LOOKUP(2,1/('Scope Review'!$B$5:$B$204=A254),'Scope Review'!$H$5:$H$204),""))</x:f>
      </x:c>
      <x:c r="P254" s="172" t="n">
        <x:f>IF(A254="","",IF(AND(C254="executing",N254&lt;&gt;"Confirmed OOS"),M254,0))</x:f>
        <x:v>0</x:v>
      </x:c>
      <x:c r="Q254" s="173" t="str">
        <x:f>IF(A254="","",IFERROR(LOOKUP(2,1/('Engineer Updates'!$B$5:$B$704=A254),'Engineer Updates'!$A$5:$A$704),""))</x:f>
      </x:c>
      <x:c r="R254" s="172" t="str">
        <x:f>IF(A254="","",IFERROR(LOOKUP(2,1/('Engineer Updates'!$B$5:$B$704=A254),'Engineer Updates'!$H$5:$H$704),""))</x:f>
      </x:c>
      <x:c r="S254" s="172" t="str">
        <x:f>IF(A254="","",IFERROR(LOOKUP(2,1/('Engineer Updates'!$B$5:$B$704=A254),'Engineer Updates'!$G$5:$G$704),""))</x:f>
      </x:c>
      <x:c r="T254" s="172" t="str">
        <x:f>IF(A254="","",IFERROR(LOOKUP(2,1/('Engineer Updates'!$B$5:$B$704=A254),'Engineer Updates'!$I$5:$I$704),""))</x:f>
      </x:c>
      <x:c r="U254" s="172" t="str">
        <x:f>IF(A254="","",IFERROR(LOOKUP(2,1/('Engineer Updates'!$B$5:$B$704=A254),'Engineer Updates'!$J$5:$J$704),""))</x:f>
      </x:c>
      <x:c r="V254" s="172" t="str">
        <x:f>IF(A254="","",IFERROR(LOOKUP(2,1/('Engineer Updates'!$B$5:$B$704=A254),'Engineer Updates'!$K$5:$K$704),""))</x:f>
      </x:c>
      <x:c r="W254" s="174" t="str">
        <x:f>IF(A254="","",IFERROR(LOOKUP(2,1/('Engineer Updates'!$B$5:$B$704=A254),'Engineer Updates'!$L$5:$L$704),""))</x:f>
      </x:c>
      <x:c r="X254" s="170" t="str">
        <x:f>IF(A254="","",IF(C254="completed","Completed in CSSP",IF(AND(C254="executing",ISERROR(SEARCH("@",K254))),"Executing without named engineer",IF(AND(N254="Confirmed OOS",C254="executing"),"Confirmed OOS still executing",""))))</x:f>
      </x:c>
      <x:c r="Y254" s="170" t="str">
        <x:f>IF(A254="","",IF(B254="Decommissioning","Raw Decommissioning","Raw Provisioning"))</x:f>
        <x:v>Raw Decommissioning</x:v>
      </x:c>
      <x:c r="Z254" s="170" t="str">
        <x:f>IF(A254="","",IF(OR(C254="executing",C254="processing"),"Yes","No"))</x:f>
        <x:v>No</x:v>
      </x:c>
    </x:row>
    <x:row r="255">
      <x:c r="A255" s="170" t="str">
        <x:f>IF(ROWS($A$5:A255)&lt;=COUNTA('Raw Decommissioning'!$B$2:$B$1000),INDEX('Raw Decommissioning'!$B$2:$B$1000,ROWS($A$5:A255)),IF(ROWS($A$5:A255)-COUNTA('Raw Decommissioning'!$B$2:$B$1000)&lt;=COUNTA('Raw Provisioning'!$B$2:$B$1000),INDEX('Raw Provisioning'!$B$2:$B$1000,ROWS($A$5:A255)-COUNTA('Raw Decommissioning'!$B$2:$B$1000)),""))</x:f>
        <x:v>CSSP10323752</x:v>
      </x:c>
      <x:c r="B255" s="170" t="str">
        <x:f>IF(A255="","",IF(ROWS($A$5:A255)&lt;=COUNTA('Raw Decommissioning'!$B$2:$B$1000),"Decommissioning","Provisioning"))</x:f>
        <x:v>Decommissioning</x:v>
      </x:c>
      <x:c r="C255" s="170" t="str">
        <x:f>IF(A255="","",IF(B255="Decommissioning",IFERROR(INDEX('Raw Decommissioning'!$E$2:$E$1000,MATCH(A255,'Raw Decommissioning'!$B$2:$B$1000,0)),"Missing from latest raw"),IFERROR(INDEX('Raw Provisioning'!$E$2:$E$1000,MATCH(A255,'Raw Provisioning'!$B$2:$B$1000,0)),"Missing from latest raw")))</x:f>
        <x:v>executing</x:v>
      </x:c>
      <x:c r="D255" s="171" t="n">
        <x:f>IF(A255="","",'Refresh Control'!$B$4)</x:f>
        <x:v>46254</x:v>
      </x:c>
      <x:c r="E255" s="171" t="n">
        <x:f>IF(A255="","",IF(B255="Decommissioning",INDEX('Raw Decommissioning'!$F$2:$F$1000,ROWS($A$5:A255)),INDEX('Raw Provisioning'!$F$2:$F$1000,ROWS($A$5:A255)-COUNTA('Raw Decommissioning'!$B$2:$B$1000))))</x:f>
        <x:v>46199.35398917824</x:v>
      </x:c>
      <x:c r="F255" s="171" t="n">
        <x:f>IF(A255="","",IF(B255="Decommissioning",INDEX('Raw Decommissioning'!$G$2:$G$1000,ROWS($A$5:A255)),INDEX('Raw Provisioning'!$H$2:$H$1000,ROWS($A$5:A255)-COUNTA('Raw Decommissioning'!$B$2:$B$1000))))</x:f>
        <x:v>46247.11604627315</x:v>
      </x:c>
      <x:c r="G255" s="170" t="str">
        <x:f>IF(A255="","",IF(B255="Decommissioning",INDEX('Raw Decommissioning'!$I$2:$I$1000,ROWS($A$5:A255)),INDEX('Raw Provisioning'!$J$2:$J$1000,ROWS($A$5:A255)-COUNTA('Raw Decommissioning'!$B$2:$B$1000))))</x:f>
        <x:v>M365 Exchange 2016 for Centralised Automation Management Console</x:v>
      </x:c>
      <x:c r="H255" s="170" t="str">
        <x:f>IF(A255="","",IF(B255="Decommissioning",INDEX('Raw Decommissioning'!$J$2:$J$1000,ROWS($A$5:A255)),INDEX('Raw Provisioning'!$L$2:$L$1000,ROWS($A$5:A255)-COUNTA('Raw Decommissioning'!$B$2:$B$1000))))</x:f>
        <x:v>M365-Microsoft Exchange Edge server for Address Rewriting</x:v>
      </x:c>
      <x:c r="I255" s="170" t="str">
        <x:f>IF(A255="","",IF(B255="Decommissioning",INDEX('Raw Decommissioning'!$AL$2:$AL$1000,ROWS($A$5:A255)),INDEX('Raw Provisioning'!$R$2:$R$1000,ROWS($A$5:A255)-COUNTA('Raw Decommissioning'!$B$2:$B$1000))))</x:f>
        <x:v>S</x:v>
      </x:c>
      <x:c r="J255" s="170" t="str">
        <x:f>IF(A255="","",IF(B255="Decommissioning",INDEX('Raw Decommissioning'!$AG$2:$AG$1000,ROWS($A$5:A255)),INDEX('Raw Provisioning'!$AI$2:$AI$1000,ROWS($A$5:A255)-COUNTA('Raw Decommissioning'!$B$2:$B$1000))))</x:f>
        <x:v>amarja.kawade@petronas.com</x:v>
      </x:c>
      <x:c r="K255" s="172" t="str">
        <x:f>IF(A255="","",IFERROR(LOOKUP(2,1/('Assignment History'!$B$5:$B$204=A255),'Assignment History'!$D$5:$D$204),IFERROR(VLOOKUP(J255,Configuration!$L$5:$M$50,2,FALSE),J255)))</x:f>
        <x:v>amarja.kawade@petronas.com</x:v>
      </x:c>
      <x:c r="L255" s="172" t="str">
        <x:f>IF(A255="","",IF(K255=IFERROR(VLOOKUP(J255,Configuration!$L$5:$M$50,2,FALSE),J255),"Snapshot PIC","Replacement PIC"))</x:f>
        <x:v>Snapshot PIC</x:v>
      </x:c>
      <x:c r="M255" s="172" t="n">
        <x:f>IF(A255="","",IFERROR(VLOOKUP(I255,Configuration!$O$5:$P$8,2,FALSE),Configuration!$S$6))</x:f>
        <x:v>1</x:v>
      </x:c>
      <x:c r="N255" s="172" t="str">
        <x:f>IF(A255="","",IFERROR(LOOKUP(2,1/('Scope Review'!$B$5:$B$204=A255),'Scope Review'!$G$5:$G$204),"Not Reviewed"))</x:f>
        <x:v>Not Reviewed</x:v>
      </x:c>
      <x:c r="O255" s="172" t="str">
        <x:f>IF(A255="","",IFERROR(LOOKUP(2,1/('Scope Review'!$B$5:$B$204=A255),'Scope Review'!$H$5:$H$204),""))</x:f>
      </x:c>
      <x:c r="P255" s="172" t="n">
        <x:f>IF(A255="","",IF(AND(C255="executing",N255&lt;&gt;"Confirmed OOS"),M255,0))</x:f>
        <x:v>1</x:v>
      </x:c>
      <x:c r="Q255" s="173" t="n">
        <x:f>IF(A255="","",IFERROR(LOOKUP(2,1/('Engineer Updates'!$B$5:$B$704=A255),'Engineer Updates'!$A$5:$A$704),""))</x:f>
        <x:v>46251</x:v>
      </x:c>
      <x:c r="R255" s="172" t="str">
        <x:f>IF(A255="","",IFERROR(LOOKUP(2,1/('Engineer Updates'!$B$5:$B$704=A255),'Engineer Updates'!$H$5:$H$704),""))</x:f>
        <x:v>Not Started</x:v>
      </x:c>
      <x:c r="S255" s="172" t="str">
        <x:f>IF(A255="","",IFERROR(LOOKUP(2,1/('Engineer Updates'!$B$5:$B$704=A255),'Engineer Updates'!$G$5:$G$704),""))</x:f>
      </x:c>
      <x:c r="T255" s="172" t="str">
        <x:f>IF(A255="","",IFERROR(LOOKUP(2,1/('Engineer Updates'!$B$5:$B$704=A255),'Engineer Updates'!$I$5:$I$704),""))</x:f>
      </x:c>
      <x:c r="U255" s="172" t="str">
        <x:f>IF(A255="","",IFERROR(LOOKUP(2,1/('Engineer Updates'!$B$5:$B$704=A255),'Engineer Updates'!$J$5:$J$704),""))</x:f>
      </x:c>
      <x:c r="V255" s="172" t="str">
        <x:f>IF(A255="","",IFERROR(LOOKUP(2,1/('Engineer Updates'!$B$5:$B$704=A255),'Engineer Updates'!$K$5:$K$704),""))</x:f>
      </x:c>
      <x:c r="W255" s="174" t="str">
        <x:f>IF(A255="","",IFERROR(LOOKUP(2,1/('Engineer Updates'!$B$5:$B$704=A255),'Engineer Updates'!$L$5:$L$704),""))</x:f>
      </x:c>
      <x:c r="X255" s="170" t="str">
        <x:f>IF(A255="","",IF(C255="completed","Completed in CSSP",IF(AND(C255="executing",ISERROR(SEARCH("@",K255))),"Executing without named engineer",IF(AND(N255="Confirmed OOS",C255="executing"),"Confirmed OOS still executing",""))))</x:f>
      </x:c>
      <x:c r="Y255" s="170" t="str">
        <x:f>IF(A255="","",IF(B255="Decommissioning","Raw Decommissioning","Raw Provisioning"))</x:f>
        <x:v>Raw Decommissioning</x:v>
      </x:c>
      <x:c r="Z255" s="170" t="str">
        <x:f>IF(A255="","",IF(OR(C255="executing",C255="processing"),"Yes","No"))</x:f>
        <x:v>Yes</x:v>
      </x:c>
    </x:row>
    <x:row r="256">
      <x:c r="A256" s="170" t="str">
        <x:f>IF(ROWS($A$5:A256)&lt;=COUNTA('Raw Decommissioning'!$B$2:$B$1000),INDEX('Raw Decommissioning'!$B$2:$B$1000,ROWS($A$5:A256)),IF(ROWS($A$5:A256)-COUNTA('Raw Decommissioning'!$B$2:$B$1000)&lt;=COUNTA('Raw Provisioning'!$B$2:$B$1000),INDEX('Raw Provisioning'!$B$2:$B$1000,ROWS($A$5:A256)-COUNTA('Raw Decommissioning'!$B$2:$B$1000)),""))</x:f>
        <x:v>CSSP10127063</x:v>
      </x:c>
      <x:c r="B256" s="170" t="str">
        <x:f>IF(A256="","",IF(ROWS($A$5:A256)&lt;=COUNTA('Raw Decommissioning'!$B$2:$B$1000),"Decommissioning","Provisioning"))</x:f>
        <x:v>Decommissioning</x:v>
      </x:c>
      <x:c r="C256" s="170" t="str">
        <x:f>IF(A256="","",IF(B256="Decommissioning",IFERROR(INDEX('Raw Decommissioning'!$E$2:$E$1000,MATCH(A256,'Raw Decommissioning'!$B$2:$B$1000,0)),"Missing from latest raw"),IFERROR(INDEX('Raw Provisioning'!$E$2:$E$1000,MATCH(A256,'Raw Provisioning'!$B$2:$B$1000,0)),"Missing from latest raw")))</x:f>
        <x:v>cancelled</x:v>
      </x:c>
      <x:c r="D256" s="171" t="n">
        <x:f>IF(A256="","",'Refresh Control'!$B$4)</x:f>
        <x:v>46254</x:v>
      </x:c>
      <x:c r="E256" s="171" t="n">
        <x:f>IF(A256="","",IF(B256="Decommissioning",INDEX('Raw Decommissioning'!$F$2:$F$1000,ROWS($A$5:A256)),INDEX('Raw Provisioning'!$F$2:$F$1000,ROWS($A$5:A256)-COUNTA('Raw Decommissioning'!$B$2:$B$1000))))</x:f>
        <x:v>46203.38914413194</x:v>
      </x:c>
      <x:c r="F256" s="171" t="n">
        <x:f>IF(A256="","",IF(B256="Decommissioning",INDEX('Raw Decommissioning'!$G$2:$G$1000,ROWS($A$5:A256)),INDEX('Raw Provisioning'!$H$2:$H$1000,ROWS($A$5:A256)-COUNTA('Raw Decommissioning'!$B$2:$B$1000))))</x:f>
        <x:v>46203.390771412036</x:v>
      </x:c>
      <x:c r="G256" s="170" t="str">
        <x:f>IF(A256="","",IF(B256="Decommissioning",INDEX('Raw Decommissioning'!$I$2:$I$1000,ROWS($A$5:A256)),INDEX('Raw Provisioning'!$J$2:$J$1000,ROWS($A$5:A256)-COUNTA('Raw Decommissioning'!$B$2:$B$1000))))</x:f>
        <x:v>Enterprise Application Observability</x:v>
      </x:c>
      <x:c r="H256" s="170" t="str">
        <x:f>IF(A256="","",IF(B256="Decommissioning",INDEX('Raw Decommissioning'!$J$2:$J$1000,ROWS($A$5:A256)),INDEX('Raw Provisioning'!$L$2:$L$1000,ROWS($A$5:A256)-COUNTA('Raw Decommissioning'!$B$2:$B$1000))))</x:f>
        <x:v>Enterprise Application Observability</x:v>
      </x:c>
      <x:c r="I256" s="170" t="str">
        <x:f>IF(A256="","",IF(B256="Decommissioning",INDEX('Raw Decommissioning'!$AL$2:$AL$1000,ROWS($A$5:A256)),INDEX('Raw Provisioning'!$R$2:$R$1000,ROWS($A$5:A256)-COUNTA('Raw Decommissioning'!$B$2:$B$1000))))</x:f>
      </x:c>
      <x:c r="J256" s="170" t="str">
        <x:f>IF(A256="","",IF(B256="Decommissioning",INDEX('Raw Decommissioning'!$AG$2:$AG$1000,ROWS($A$5:A256)),INDEX('Raw Provisioning'!$AI$2:$AI$1000,ROWS($A$5:A256)-COUNTA('Raw Decommissioning'!$B$2:$B$1000))))</x:f>
        <x:v>CCoE Operations</x:v>
      </x:c>
      <x:c r="K256" s="172" t="str">
        <x:f>IF(A256="","",IFERROR(LOOKUP(2,1/('Assignment History'!$B$5:$B$204=A256),'Assignment History'!$D$5:$D$204),IFERROR(VLOOKUP(J256,Configuration!$L$5:$M$50,2,FALSE),J256)))</x:f>
        <x:v>CCoE Operations</x:v>
      </x:c>
      <x:c r="L256" s="172" t="str">
        <x:f>IF(A256="","",IF(K256=IFERROR(VLOOKUP(J256,Configuration!$L$5:$M$50,2,FALSE),J256),"Snapshot PIC","Replacement PIC"))</x:f>
        <x:v>Snapshot PIC</x:v>
      </x:c>
      <x:c r="M256" s="172" t="n">
        <x:f>IF(A256="","",IFERROR(VLOOKUP(I256,Configuration!$O$5:$P$8,2,FALSE),Configuration!$S$6))</x:f>
        <x:v>2</x:v>
      </x:c>
      <x:c r="N256" s="172" t="str">
        <x:f>IF(A256="","",IFERROR(LOOKUP(2,1/('Scope Review'!$B$5:$B$204=A256),'Scope Review'!$G$5:$G$204),"Not Reviewed"))</x:f>
        <x:v>Not Reviewed</x:v>
      </x:c>
      <x:c r="O256" s="172" t="str">
        <x:f>IF(A256="","",IFERROR(LOOKUP(2,1/('Scope Review'!$B$5:$B$204=A256),'Scope Review'!$H$5:$H$204),""))</x:f>
      </x:c>
      <x:c r="P256" s="172" t="n">
        <x:f>IF(A256="","",IF(AND(C256="executing",N256&lt;&gt;"Confirmed OOS"),M256,0))</x:f>
        <x:v>0</x:v>
      </x:c>
      <x:c r="Q256" s="173" t="str">
        <x:f>IF(A256="","",IFERROR(LOOKUP(2,1/('Engineer Updates'!$B$5:$B$704=A256),'Engineer Updates'!$A$5:$A$704),""))</x:f>
      </x:c>
      <x:c r="R256" s="172" t="str">
        <x:f>IF(A256="","",IFERROR(LOOKUP(2,1/('Engineer Updates'!$B$5:$B$704=A256),'Engineer Updates'!$H$5:$H$704),""))</x:f>
      </x:c>
      <x:c r="S256" s="172" t="str">
        <x:f>IF(A256="","",IFERROR(LOOKUP(2,1/('Engineer Updates'!$B$5:$B$704=A256),'Engineer Updates'!$G$5:$G$704),""))</x:f>
      </x:c>
      <x:c r="T256" s="172" t="str">
        <x:f>IF(A256="","",IFERROR(LOOKUP(2,1/('Engineer Updates'!$B$5:$B$704=A256),'Engineer Updates'!$I$5:$I$704),""))</x:f>
      </x:c>
      <x:c r="U256" s="172" t="str">
        <x:f>IF(A256="","",IFERROR(LOOKUP(2,1/('Engineer Updates'!$B$5:$B$704=A256),'Engineer Updates'!$J$5:$J$704),""))</x:f>
      </x:c>
      <x:c r="V256" s="172" t="str">
        <x:f>IF(A256="","",IFERROR(LOOKUP(2,1/('Engineer Updates'!$B$5:$B$704=A256),'Engineer Updates'!$K$5:$K$704),""))</x:f>
      </x:c>
      <x:c r="W256" s="174" t="str">
        <x:f>IF(A256="","",IFERROR(LOOKUP(2,1/('Engineer Updates'!$B$5:$B$704=A256),'Engineer Updates'!$L$5:$L$704),""))</x:f>
      </x:c>
      <x:c r="X256" s="170" t="str">
        <x:f>IF(A256="","",IF(C256="completed","Completed in CSSP",IF(AND(C256="executing",ISERROR(SEARCH("@",K256))),"Executing without named engineer",IF(AND(N256="Confirmed OOS",C256="executing"),"Confirmed OOS still executing",""))))</x:f>
      </x:c>
      <x:c r="Y256" s="170" t="str">
        <x:f>IF(A256="","",IF(B256="Decommissioning","Raw Decommissioning","Raw Provisioning"))</x:f>
        <x:v>Raw Decommissioning</x:v>
      </x:c>
      <x:c r="Z256" s="170" t="str">
        <x:f>IF(A256="","",IF(OR(C256="executing",C256="processing"),"Yes","No"))</x:f>
        <x:v>No</x:v>
      </x:c>
    </x:row>
    <x:row r="257">
      <x:c r="A257" s="170" t="str">
        <x:f>IF(ROWS($A$5:A257)&lt;=COUNTA('Raw Decommissioning'!$B$2:$B$1000),INDEX('Raw Decommissioning'!$B$2:$B$1000,ROWS($A$5:A257)),IF(ROWS($A$5:A257)-COUNTA('Raw Decommissioning'!$B$2:$B$1000)&lt;=COUNTA('Raw Provisioning'!$B$2:$B$1000),INDEX('Raw Provisioning'!$B$2:$B$1000,ROWS($A$5:A257)-COUNTA('Raw Decommissioning'!$B$2:$B$1000)),""))</x:f>
        <x:v>CSSP10353907</x:v>
      </x:c>
      <x:c r="B257" s="170" t="str">
        <x:f>IF(A257="","",IF(ROWS($A$5:A257)&lt;=COUNTA('Raw Decommissioning'!$B$2:$B$1000),"Decommissioning","Provisioning"))</x:f>
        <x:v>Decommissioning</x:v>
      </x:c>
      <x:c r="C257" s="170" t="str">
        <x:f>IF(A257="","",IF(B257="Decommissioning",IFERROR(INDEX('Raw Decommissioning'!$E$2:$E$1000,MATCH(A257,'Raw Decommissioning'!$B$2:$B$1000,0)),"Missing from latest raw"),IFERROR(INDEX('Raw Provisioning'!$E$2:$E$1000,MATCH(A257,'Raw Provisioning'!$B$2:$B$1000,0)),"Missing from latest raw")))</x:f>
        <x:v>executing</x:v>
      </x:c>
      <x:c r="D257" s="171" t="n">
        <x:f>IF(A257="","",'Refresh Control'!$B$4)</x:f>
        <x:v>46254</x:v>
      </x:c>
      <x:c r="E257" s="171" t="n">
        <x:f>IF(A257="","",IF(B257="Decommissioning",INDEX('Raw Decommissioning'!$F$2:$F$1000,ROWS($A$5:A257)),INDEX('Raw Provisioning'!$F$2:$F$1000,ROWS($A$5:A257)-COUNTA('Raw Decommissioning'!$B$2:$B$1000))))</x:f>
        <x:v>46203.39176262732</x:v>
      </x:c>
      <x:c r="F257" s="171" t="n">
        <x:f>IF(A257="","",IF(B257="Decommissioning",INDEX('Raw Decommissioning'!$G$2:$G$1000,ROWS($A$5:A257)),INDEX('Raw Provisioning'!$H$2:$H$1000,ROWS($A$5:A257)-COUNTA('Raw Decommissioning'!$B$2:$B$1000))))</x:f>
        <x:v>46230.081224375</x:v>
      </x:c>
      <x:c r="G257" s="170" t="str">
        <x:f>IF(A257="","",IF(B257="Decommissioning",INDEX('Raw Decommissioning'!$I$2:$I$1000,ROWS($A$5:A257)),INDEX('Raw Provisioning'!$J$2:$J$1000,ROWS($A$5:A257)-COUNTA('Raw Decommissioning'!$B$2:$B$1000))))</x:f>
        <x:v>Enterprise Application Observability</x:v>
      </x:c>
      <x:c r="H257" s="170" t="str">
        <x:f>IF(A257="","",IF(B257="Decommissioning",INDEX('Raw Decommissioning'!$J$2:$J$1000,ROWS($A$5:A257)),INDEX('Raw Provisioning'!$L$2:$L$1000,ROWS($A$5:A257)-COUNTA('Raw Decommissioning'!$B$2:$B$1000))))</x:f>
        <x:v>MyMinutes – 5 December 2017 (MyMinutes Subscription)</x:v>
      </x:c>
      <x:c r="I257" s="170" t="str">
        <x:f>IF(A257="","",IF(B257="Decommissioning",INDEX('Raw Decommissioning'!$AL$2:$AL$1000,ROWS($A$5:A257)),INDEX('Raw Provisioning'!$R$2:$R$1000,ROWS($A$5:A257)-COUNTA('Raw Decommissioning'!$B$2:$B$1000))))</x:f>
        <x:v>S</x:v>
      </x:c>
      <x:c r="J257" s="170" t="str">
        <x:f>IF(A257="","",IF(B257="Decommissioning",INDEX('Raw Decommissioning'!$AG$2:$AG$1000,ROWS($A$5:A257)),INDEX('Raw Provisioning'!$AI$2:$AI$1000,ROWS($A$5:A257)-COUNTA('Raw Decommissioning'!$B$2:$B$1000))))</x:f>
        <x:v>IMS - CLOUD CSSP EXECUTOR</x:v>
      </x:c>
      <x:c r="K257" s="172" t="str">
        <x:f>IF(A257="","",IFERROR(LOOKUP(2,1/('Assignment History'!$B$5:$B$204=A257),'Assignment History'!$D$5:$D$204),IFERROR(VLOOKUP(J257,Configuration!$L$5:$M$50,2,FALSE),J257)))</x:f>
        <x:v>IMS - CLOUD CSSP EXECUTOR</x:v>
      </x:c>
      <x:c r="L257" s="172" t="str">
        <x:f>IF(A257="","",IF(K257=IFERROR(VLOOKUP(J257,Configuration!$L$5:$M$50,2,FALSE),J257),"Snapshot PIC","Replacement PIC"))</x:f>
        <x:v>Snapshot PIC</x:v>
      </x:c>
      <x:c r="M257" s="172" t="n">
        <x:f>IF(A257="","",IFERROR(VLOOKUP(I257,Configuration!$O$5:$P$8,2,FALSE),Configuration!$S$6))</x:f>
        <x:v>1</x:v>
      </x:c>
      <x:c r="N257" s="172" t="str">
        <x:f>IF(A257="","",IFERROR(LOOKUP(2,1/('Scope Review'!$B$5:$B$204=A257),'Scope Review'!$G$5:$G$204),"Not Reviewed"))</x:f>
        <x:v>Not Reviewed</x:v>
      </x:c>
      <x:c r="O257" s="172" t="str">
        <x:f>IF(A257="","",IFERROR(LOOKUP(2,1/('Scope Review'!$B$5:$B$204=A257),'Scope Review'!$H$5:$H$204),""))</x:f>
      </x:c>
      <x:c r="P257" s="172" t="n">
        <x:f>IF(A257="","",IF(AND(C257="executing",N257&lt;&gt;"Confirmed OOS"),M257,0))</x:f>
        <x:v>1</x:v>
      </x:c>
      <x:c r="Q257" s="173" t="n">
        <x:f>IF(A257="","",IFERROR(LOOKUP(2,1/('Engineer Updates'!$B$5:$B$704=A257),'Engineer Updates'!$A$5:$A$704),""))</x:f>
        <x:v>46251</x:v>
      </x:c>
      <x:c r="R257" s="172" t="str">
        <x:f>IF(A257="","",IFERROR(LOOKUP(2,1/('Engineer Updates'!$B$5:$B$704=A257),'Engineer Updates'!$H$5:$H$704),""))</x:f>
        <x:v>Not Started</x:v>
      </x:c>
      <x:c r="S257" s="172" t="str">
        <x:f>IF(A257="","",IFERROR(LOOKUP(2,1/('Engineer Updates'!$B$5:$B$704=A257),'Engineer Updates'!$G$5:$G$704),""))</x:f>
      </x:c>
      <x:c r="T257" s="172" t="str">
        <x:f>IF(A257="","",IFERROR(LOOKUP(2,1/('Engineer Updates'!$B$5:$B$704=A257),'Engineer Updates'!$I$5:$I$704),""))</x:f>
      </x:c>
      <x:c r="U257" s="172" t="str">
        <x:f>IF(A257="","",IFERROR(LOOKUP(2,1/('Engineer Updates'!$B$5:$B$704=A257),'Engineer Updates'!$J$5:$J$704),""))</x:f>
      </x:c>
      <x:c r="V257" s="172" t="str">
        <x:f>IF(A257="","",IFERROR(LOOKUP(2,1/('Engineer Updates'!$B$5:$B$704=A257),'Engineer Updates'!$K$5:$K$704),""))</x:f>
      </x:c>
      <x:c r="W257" s="174" t="str">
        <x:f>IF(A257="","",IFERROR(LOOKUP(2,1/('Engineer Updates'!$B$5:$B$704=A257),'Engineer Updates'!$L$5:$L$704),""))</x:f>
      </x:c>
      <x:c r="X257" s="170" t="str">
        <x:f>IF(A257="","",IF(C257="completed","Completed in CSSP",IF(AND(C257="executing",ISERROR(SEARCH("@",K257))),"Executing without named engineer",IF(AND(N257="Confirmed OOS",C257="executing"),"Confirmed OOS still executing",""))))</x:f>
        <x:v>Executing without named engineer</x:v>
      </x:c>
      <x:c r="Y257" s="170" t="str">
        <x:f>IF(A257="","",IF(B257="Decommissioning","Raw Decommissioning","Raw Provisioning"))</x:f>
        <x:v>Raw Decommissioning</x:v>
      </x:c>
      <x:c r="Z257" s="170" t="str">
        <x:f>IF(A257="","",IF(OR(C257="executing",C257="processing"),"Yes","No"))</x:f>
        <x:v>Yes</x:v>
      </x:c>
    </x:row>
    <x:row r="258">
      <x:c r="A258" s="170" t="str">
        <x:f>IF(ROWS($A$5:A258)&lt;=COUNTA('Raw Decommissioning'!$B$2:$B$1000),INDEX('Raw Decommissioning'!$B$2:$B$1000,ROWS($A$5:A258)),IF(ROWS($A$5:A258)-COUNTA('Raw Decommissioning'!$B$2:$B$1000)&lt;=COUNTA('Raw Provisioning'!$B$2:$B$1000),INDEX('Raw Provisioning'!$B$2:$B$1000,ROWS($A$5:A258)-COUNTA('Raw Decommissioning'!$B$2:$B$1000)),""))</x:f>
        <x:v>CSSP10991525</x:v>
      </x:c>
      <x:c r="B258" s="170" t="str">
        <x:f>IF(A258="","",IF(ROWS($A$5:A258)&lt;=COUNTA('Raw Decommissioning'!$B$2:$B$1000),"Decommissioning","Provisioning"))</x:f>
        <x:v>Decommissioning</x:v>
      </x:c>
      <x:c r="C258" s="170" t="str">
        <x:f>IF(A258="","",IF(B258="Decommissioning",IFERROR(INDEX('Raw Decommissioning'!$E$2:$E$1000,MATCH(A258,'Raw Decommissioning'!$B$2:$B$1000,0)),"Missing from latest raw"),IFERROR(INDEX('Raw Provisioning'!$E$2:$E$1000,MATCH(A258,'Raw Provisioning'!$B$2:$B$1000,0)),"Missing from latest raw")))</x:f>
        <x:v>cancelled</x:v>
      </x:c>
      <x:c r="D258" s="171" t="n">
        <x:f>IF(A258="","",'Refresh Control'!$B$4)</x:f>
        <x:v>46254</x:v>
      </x:c>
      <x:c r="E258" s="171" t="n">
        <x:f>IF(A258="","",IF(B258="Decommissioning",INDEX('Raw Decommissioning'!$F$2:$F$1000,ROWS($A$5:A258)),INDEX('Raw Provisioning'!$F$2:$F$1000,ROWS($A$5:A258)-COUNTA('Raw Decommissioning'!$B$2:$B$1000))))</x:f>
        <x:v>46204.137329537036</x:v>
      </x:c>
      <x:c r="F258" s="171" t="n">
        <x:f>IF(A258="","",IF(B258="Decommissioning",INDEX('Raw Decommissioning'!$G$2:$G$1000,ROWS($A$5:A258)),INDEX('Raw Provisioning'!$H$2:$H$1000,ROWS($A$5:A258)-COUNTA('Raw Decommissioning'!$B$2:$B$1000))))</x:f>
        <x:v>46230.19834771991</x:v>
      </x:c>
      <x:c r="G258" s="170" t="str">
        <x:f>IF(A258="","",IF(B258="Decommissioning",INDEX('Raw Decommissioning'!$I$2:$I$1000,ROWS($A$5:A258)),INDEX('Raw Provisioning'!$J$2:$J$1000,ROWS($A$5:A258)-COUNTA('Raw Decommissioning'!$B$2:$B$1000))))</x:f>
        <x:v>Go Dashboard - GGO</x:v>
      </x:c>
      <x:c r="H258" s="170" t="str">
        <x:f>IF(A258="","",IF(B258="Decommissioning",INDEX('Raw Decommissioning'!$J$2:$J$1000,ROWS($A$5:A258)),INDEX('Raw Provisioning'!$L$2:$L$1000,ROWS($A$5:A258)-COUNTA('Raw Decommissioning'!$B$2:$B$1000))))</x:f>
        <x:v>Development of GNE EVP Dashboard (GO Dashboard 2.0)</x:v>
      </x:c>
      <x:c r="I258" s="170" t="str">
        <x:f>IF(A258="","",IF(B258="Decommissioning",INDEX('Raw Decommissioning'!$AL$2:$AL$1000,ROWS($A$5:A258)),INDEX('Raw Provisioning'!$R$2:$R$1000,ROWS($A$5:A258)-COUNTA('Raw Decommissioning'!$B$2:$B$1000))))</x:f>
      </x:c>
      <x:c r="J258" s="170" t="str">
        <x:f>IF(A258="","",IF(B258="Decommissioning",INDEX('Raw Decommissioning'!$AG$2:$AG$1000,ROWS($A$5:A258)),INDEX('Raw Provisioning'!$AI$2:$AI$1000,ROWS($A$5:A258)-COUNTA('Raw Decommissioning'!$B$2:$B$1000))))</x:f>
        <x:v>CCoE Operations</x:v>
      </x:c>
      <x:c r="K258" s="172" t="str">
        <x:f>IF(A258="","",IFERROR(LOOKUP(2,1/('Assignment History'!$B$5:$B$204=A258),'Assignment History'!$D$5:$D$204),IFERROR(VLOOKUP(J258,Configuration!$L$5:$M$50,2,FALSE),J258)))</x:f>
        <x:v>CCoE Operations</x:v>
      </x:c>
      <x:c r="L258" s="172" t="str">
        <x:f>IF(A258="","",IF(K258=IFERROR(VLOOKUP(J258,Configuration!$L$5:$M$50,2,FALSE),J258),"Snapshot PIC","Replacement PIC"))</x:f>
        <x:v>Snapshot PIC</x:v>
      </x:c>
      <x:c r="M258" s="172" t="n">
        <x:f>IF(A258="","",IFERROR(VLOOKUP(I258,Configuration!$O$5:$P$8,2,FALSE),Configuration!$S$6))</x:f>
        <x:v>2</x:v>
      </x:c>
      <x:c r="N258" s="172" t="str">
        <x:f>IF(A258="","",IFERROR(LOOKUP(2,1/('Scope Review'!$B$5:$B$204=A258),'Scope Review'!$G$5:$G$204),"Not Reviewed"))</x:f>
        <x:v>Not Reviewed</x:v>
      </x:c>
      <x:c r="O258" s="172" t="str">
        <x:f>IF(A258="","",IFERROR(LOOKUP(2,1/('Scope Review'!$B$5:$B$204=A258),'Scope Review'!$H$5:$H$204),""))</x:f>
      </x:c>
      <x:c r="P258" s="172" t="n">
        <x:f>IF(A258="","",IF(AND(C258="executing",N258&lt;&gt;"Confirmed OOS"),M258,0))</x:f>
        <x:v>0</x:v>
      </x:c>
      <x:c r="Q258" s="173" t="str">
        <x:f>IF(A258="","",IFERROR(LOOKUP(2,1/('Engineer Updates'!$B$5:$B$704=A258),'Engineer Updates'!$A$5:$A$704),""))</x:f>
      </x:c>
      <x:c r="R258" s="172" t="str">
        <x:f>IF(A258="","",IFERROR(LOOKUP(2,1/('Engineer Updates'!$B$5:$B$704=A258),'Engineer Updates'!$H$5:$H$704),""))</x:f>
      </x:c>
      <x:c r="S258" s="172" t="str">
        <x:f>IF(A258="","",IFERROR(LOOKUP(2,1/('Engineer Updates'!$B$5:$B$704=A258),'Engineer Updates'!$G$5:$G$704),""))</x:f>
      </x:c>
      <x:c r="T258" s="172" t="str">
        <x:f>IF(A258="","",IFERROR(LOOKUP(2,1/('Engineer Updates'!$B$5:$B$704=A258),'Engineer Updates'!$I$5:$I$704),""))</x:f>
      </x:c>
      <x:c r="U258" s="172" t="str">
        <x:f>IF(A258="","",IFERROR(LOOKUP(2,1/('Engineer Updates'!$B$5:$B$704=A258),'Engineer Updates'!$J$5:$J$704),""))</x:f>
      </x:c>
      <x:c r="V258" s="172" t="str">
        <x:f>IF(A258="","",IFERROR(LOOKUP(2,1/('Engineer Updates'!$B$5:$B$704=A258),'Engineer Updates'!$K$5:$K$704),""))</x:f>
      </x:c>
      <x:c r="W258" s="174" t="str">
        <x:f>IF(A258="","",IFERROR(LOOKUP(2,1/('Engineer Updates'!$B$5:$B$704=A258),'Engineer Updates'!$L$5:$L$704),""))</x:f>
      </x:c>
      <x:c r="X258" s="170" t="str">
        <x:f>IF(A258="","",IF(C258="completed","Completed in CSSP",IF(AND(C258="executing",ISERROR(SEARCH("@",K258))),"Executing without named engineer",IF(AND(N258="Confirmed OOS",C258="executing"),"Confirmed OOS still executing",""))))</x:f>
      </x:c>
      <x:c r="Y258" s="170" t="str">
        <x:f>IF(A258="","",IF(B258="Decommissioning","Raw Decommissioning","Raw Provisioning"))</x:f>
        <x:v>Raw Decommissioning</x:v>
      </x:c>
      <x:c r="Z258" s="170" t="str">
        <x:f>IF(A258="","",IF(OR(C258="executing",C258="processing"),"Yes","No"))</x:f>
        <x:v>No</x:v>
      </x:c>
    </x:row>
    <x:row r="259">
      <x:c r="A259" s="170" t="str">
        <x:f>IF(ROWS($A$5:A259)&lt;=COUNTA('Raw Decommissioning'!$B$2:$B$1000),INDEX('Raw Decommissioning'!$B$2:$B$1000,ROWS($A$5:A259)),IF(ROWS($A$5:A259)-COUNTA('Raw Decommissioning'!$B$2:$B$1000)&lt;=COUNTA('Raw Provisioning'!$B$2:$B$1000),INDEX('Raw Provisioning'!$B$2:$B$1000,ROWS($A$5:A259)-COUNTA('Raw Decommissioning'!$B$2:$B$1000)),""))</x:f>
        <x:v>CSSP10854464</x:v>
      </x:c>
      <x:c r="B259" s="170" t="str">
        <x:f>IF(A259="","",IF(ROWS($A$5:A259)&lt;=COUNTA('Raw Decommissioning'!$B$2:$B$1000),"Decommissioning","Provisioning"))</x:f>
        <x:v>Decommissioning</x:v>
      </x:c>
      <x:c r="C259" s="170" t="str">
        <x:f>IF(A259="","",IF(B259="Decommissioning",IFERROR(INDEX('Raw Decommissioning'!$E$2:$E$1000,MATCH(A259,'Raw Decommissioning'!$B$2:$B$1000,0)),"Missing from latest raw"),IFERROR(INDEX('Raw Provisioning'!$E$2:$E$1000,MATCH(A259,'Raw Provisioning'!$B$2:$B$1000,0)),"Missing from latest raw")))</x:f>
        <x:v>cancelled</x:v>
      </x:c>
      <x:c r="D259" s="171" t="n">
        <x:f>IF(A259="","",'Refresh Control'!$B$4)</x:f>
        <x:v>46254</x:v>
      </x:c>
      <x:c r="E259" s="171" t="n">
        <x:f>IF(A259="","",IF(B259="Decommissioning",INDEX('Raw Decommissioning'!$F$2:$F$1000,ROWS($A$5:A259)),INDEX('Raw Provisioning'!$F$2:$F$1000,ROWS($A$5:A259)-COUNTA('Raw Decommissioning'!$B$2:$B$1000))))</x:f>
        <x:v>46204.14408798611</x:v>
      </x:c>
      <x:c r="F259" s="171" t="n">
        <x:f>IF(A259="","",IF(B259="Decommissioning",INDEX('Raw Decommissioning'!$G$2:$G$1000,ROWS($A$5:A259)),INDEX('Raw Provisioning'!$H$2:$H$1000,ROWS($A$5:A259)-COUNTA('Raw Decommissioning'!$B$2:$B$1000))))</x:f>
        <x:v>46204.14461372685</x:v>
      </x:c>
      <x:c r="G259" s="170" t="str">
        <x:f>IF(A259="","",IF(B259="Decommissioning",INDEX('Raw Decommissioning'!$I$2:$I$1000,ROWS($A$5:A259)),INDEX('Raw Provisioning'!$J$2:$J$1000,ROWS($A$5:A259)-COUNTA('Raw Decommissioning'!$B$2:$B$1000))))</x:f>
        <x:v>Go Dashboard - GGO</x:v>
      </x:c>
      <x:c r="H259" s="170" t="str">
        <x:f>IF(A259="","",IF(B259="Decommissioning",INDEX('Raw Decommissioning'!$J$2:$J$1000,ROWS($A$5:A259)),INDEX('Raw Provisioning'!$L$2:$L$1000,ROWS($A$5:A259)-COUNTA('Raw Decommissioning'!$B$2:$B$1000))))</x:f>
        <x:v>GO Dashboard Improvement (Common Features)</x:v>
      </x:c>
      <x:c r="I259" s="170" t="str">
        <x:f>IF(A259="","",IF(B259="Decommissioning",INDEX('Raw Decommissioning'!$AL$2:$AL$1000,ROWS($A$5:A259)),INDEX('Raw Provisioning'!$R$2:$R$1000,ROWS($A$5:A259)-COUNTA('Raw Decommissioning'!$B$2:$B$1000))))</x:f>
      </x:c>
      <x:c r="J259" s="170" t="str">
        <x:f>IF(A259="","",IF(B259="Decommissioning",INDEX('Raw Decommissioning'!$AG$2:$AG$1000,ROWS($A$5:A259)),INDEX('Raw Provisioning'!$AI$2:$AI$1000,ROWS($A$5:A259)-COUNTA('Raw Decommissioning'!$B$2:$B$1000))))</x:f>
        <x:v>CCoE Operations</x:v>
      </x:c>
      <x:c r="K259" s="172" t="str">
        <x:f>IF(A259="","",IFERROR(LOOKUP(2,1/('Assignment History'!$B$5:$B$204=A259),'Assignment History'!$D$5:$D$204),IFERROR(VLOOKUP(J259,Configuration!$L$5:$M$50,2,FALSE),J259)))</x:f>
        <x:v>CCoE Operations</x:v>
      </x:c>
      <x:c r="L259" s="172" t="str">
        <x:f>IF(A259="","",IF(K259=IFERROR(VLOOKUP(J259,Configuration!$L$5:$M$50,2,FALSE),J259),"Snapshot PIC","Replacement PIC"))</x:f>
        <x:v>Snapshot PIC</x:v>
      </x:c>
      <x:c r="M259" s="172" t="n">
        <x:f>IF(A259="","",IFERROR(VLOOKUP(I259,Configuration!$O$5:$P$8,2,FALSE),Configuration!$S$6))</x:f>
        <x:v>2</x:v>
      </x:c>
      <x:c r="N259" s="172" t="str">
        <x:f>IF(A259="","",IFERROR(LOOKUP(2,1/('Scope Review'!$B$5:$B$204=A259),'Scope Review'!$G$5:$G$204),"Not Reviewed"))</x:f>
        <x:v>Not Reviewed</x:v>
      </x:c>
      <x:c r="O259" s="172" t="str">
        <x:f>IF(A259="","",IFERROR(LOOKUP(2,1/('Scope Review'!$B$5:$B$204=A259),'Scope Review'!$H$5:$H$204),""))</x:f>
      </x:c>
      <x:c r="P259" s="172" t="n">
        <x:f>IF(A259="","",IF(AND(C259="executing",N259&lt;&gt;"Confirmed OOS"),M259,0))</x:f>
        <x:v>0</x:v>
      </x:c>
      <x:c r="Q259" s="173" t="str">
        <x:f>IF(A259="","",IFERROR(LOOKUP(2,1/('Engineer Updates'!$B$5:$B$704=A259),'Engineer Updates'!$A$5:$A$704),""))</x:f>
      </x:c>
      <x:c r="R259" s="172" t="str">
        <x:f>IF(A259="","",IFERROR(LOOKUP(2,1/('Engineer Updates'!$B$5:$B$704=A259),'Engineer Updates'!$H$5:$H$704),""))</x:f>
      </x:c>
      <x:c r="S259" s="172" t="str">
        <x:f>IF(A259="","",IFERROR(LOOKUP(2,1/('Engineer Updates'!$B$5:$B$704=A259),'Engineer Updates'!$G$5:$G$704),""))</x:f>
      </x:c>
      <x:c r="T259" s="172" t="str">
        <x:f>IF(A259="","",IFERROR(LOOKUP(2,1/('Engineer Updates'!$B$5:$B$704=A259),'Engineer Updates'!$I$5:$I$704),""))</x:f>
      </x:c>
      <x:c r="U259" s="172" t="str">
        <x:f>IF(A259="","",IFERROR(LOOKUP(2,1/('Engineer Updates'!$B$5:$B$704=A259),'Engineer Updates'!$J$5:$J$704),""))</x:f>
      </x:c>
      <x:c r="V259" s="172" t="str">
        <x:f>IF(A259="","",IFERROR(LOOKUP(2,1/('Engineer Updates'!$B$5:$B$704=A259),'Engineer Updates'!$K$5:$K$704),""))</x:f>
      </x:c>
      <x:c r="W259" s="174" t="str">
        <x:f>IF(A259="","",IFERROR(LOOKUP(2,1/('Engineer Updates'!$B$5:$B$704=A259),'Engineer Updates'!$L$5:$L$704),""))</x:f>
      </x:c>
      <x:c r="X259" s="170" t="str">
        <x:f>IF(A259="","",IF(C259="completed","Completed in CSSP",IF(AND(C259="executing",ISERROR(SEARCH("@",K259))),"Executing without named engineer",IF(AND(N259="Confirmed OOS",C259="executing"),"Confirmed OOS still executing",""))))</x:f>
      </x:c>
      <x:c r="Y259" s="170" t="str">
        <x:f>IF(A259="","",IF(B259="Decommissioning","Raw Decommissioning","Raw Provisioning"))</x:f>
        <x:v>Raw Decommissioning</x:v>
      </x:c>
      <x:c r="Z259" s="170" t="str">
        <x:f>IF(A259="","",IF(OR(C259="executing",C259="processing"),"Yes","No"))</x:f>
        <x:v>No</x:v>
      </x:c>
    </x:row>
    <x:row r="260">
      <x:c r="A260" s="170" t="str">
        <x:f>IF(ROWS($A$5:A260)&lt;=COUNTA('Raw Decommissioning'!$B$2:$B$1000),INDEX('Raw Decommissioning'!$B$2:$B$1000,ROWS($A$5:A260)),IF(ROWS($A$5:A260)-COUNTA('Raw Decommissioning'!$B$2:$B$1000)&lt;=COUNTA('Raw Provisioning'!$B$2:$B$1000),INDEX('Raw Provisioning'!$B$2:$B$1000,ROWS($A$5:A260)-COUNTA('Raw Decommissioning'!$B$2:$B$1000)),""))</x:f>
        <x:v>CSSP10151472</x:v>
      </x:c>
      <x:c r="B260" s="170" t="str">
        <x:f>IF(A260="","",IF(ROWS($A$5:A260)&lt;=COUNTA('Raw Decommissioning'!$B$2:$B$1000),"Decommissioning","Provisioning"))</x:f>
        <x:v>Decommissioning</x:v>
      </x:c>
      <x:c r="C260" s="170" t="str">
        <x:f>IF(A260="","",IF(B260="Decommissioning",IFERROR(INDEX('Raw Decommissioning'!$E$2:$E$1000,MATCH(A260,'Raw Decommissioning'!$B$2:$B$1000,0)),"Missing from latest raw"),IFERROR(INDEX('Raw Provisioning'!$E$2:$E$1000,MATCH(A260,'Raw Provisioning'!$B$2:$B$1000,0)),"Missing from latest raw")))</x:f>
        <x:v>rejected</x:v>
      </x:c>
      <x:c r="D260" s="171" t="n">
        <x:f>IF(A260="","",'Refresh Control'!$B$4)</x:f>
        <x:v>46254</x:v>
      </x:c>
      <x:c r="E260" s="171" t="n">
        <x:f>IF(A260="","",IF(B260="Decommissioning",INDEX('Raw Decommissioning'!$F$2:$F$1000,ROWS($A$5:A260)),INDEX('Raw Provisioning'!$F$2:$F$1000,ROWS($A$5:A260)-COUNTA('Raw Decommissioning'!$B$2:$B$1000))))</x:f>
        <x:v>46204.14566396991</x:v>
      </x:c>
      <x:c r="F260" s="171" t="n">
        <x:f>IF(A260="","",IF(B260="Decommissioning",INDEX('Raw Decommissioning'!$G$2:$G$1000,ROWS($A$5:A260)),INDEX('Raw Provisioning'!$H$2:$H$1000,ROWS($A$5:A260)-COUNTA('Raw Decommissioning'!$B$2:$B$1000))))</x:f>
        <x:v>46220.04358488426</x:v>
      </x:c>
      <x:c r="G260" s="170" t="str">
        <x:f>IF(A260="","",IF(B260="Decommissioning",INDEX('Raw Decommissioning'!$I$2:$I$1000,ROWS($A$5:A260)),INDEX('Raw Provisioning'!$J$2:$J$1000,ROWS($A$5:A260)-COUNTA('Raw Decommissioning'!$B$2:$B$1000))))</x:f>
        <x:v>Go Dashboard - GGO</x:v>
      </x:c>
      <x:c r="H260" s="170" t="str">
        <x:f>IF(A260="","",IF(B260="Decommissioning",INDEX('Raw Decommissioning'!$J$2:$J$1000,ROWS($A$5:A260)),INDEX('Raw Provisioning'!$L$2:$L$1000,ROWS($A$5:A260)-COUNTA('Raw Decommissioning'!$B$2:$B$1000))))</x:f>
        <x:v>GO Dashboard DevOps 2025</x:v>
      </x:c>
      <x:c r="I260" s="170" t="str">
        <x:f>IF(A260="","",IF(B260="Decommissioning",INDEX('Raw Decommissioning'!$AL$2:$AL$1000,ROWS($A$5:A260)),INDEX('Raw Provisioning'!$R$2:$R$1000,ROWS($A$5:A260)-COUNTA('Raw Decommissioning'!$B$2:$B$1000))))</x:f>
      </x:c>
      <x:c r="J260" s="170" t="str">
        <x:f>IF(A260="","",IF(B260="Decommissioning",INDEX('Raw Decommissioning'!$AG$2:$AG$1000,ROWS($A$5:A260)),INDEX('Raw Provisioning'!$AI$2:$AI$1000,ROWS($A$5:A260)-COUNTA('Raw Decommissioning'!$B$2:$B$1000))))</x:f>
        <x:v>CCoE Operations</x:v>
      </x:c>
      <x:c r="K260" s="172" t="str">
        <x:f>IF(A260="","",IFERROR(LOOKUP(2,1/('Assignment History'!$B$5:$B$204=A260),'Assignment History'!$D$5:$D$204),IFERROR(VLOOKUP(J260,Configuration!$L$5:$M$50,2,FALSE),J260)))</x:f>
        <x:v>CCoE Operations</x:v>
      </x:c>
      <x:c r="L260" s="172" t="str">
        <x:f>IF(A260="","",IF(K260=IFERROR(VLOOKUP(J260,Configuration!$L$5:$M$50,2,FALSE),J260),"Snapshot PIC","Replacement PIC"))</x:f>
        <x:v>Snapshot PIC</x:v>
      </x:c>
      <x:c r="M260" s="172" t="n">
        <x:f>IF(A260="","",IFERROR(VLOOKUP(I260,Configuration!$O$5:$P$8,2,FALSE),Configuration!$S$6))</x:f>
        <x:v>2</x:v>
      </x:c>
      <x:c r="N260" s="172" t="str">
        <x:f>IF(A260="","",IFERROR(LOOKUP(2,1/('Scope Review'!$B$5:$B$204=A260),'Scope Review'!$G$5:$G$204),"Not Reviewed"))</x:f>
        <x:v>Not Reviewed</x:v>
      </x:c>
      <x:c r="O260" s="172" t="str">
        <x:f>IF(A260="","",IFERROR(LOOKUP(2,1/('Scope Review'!$B$5:$B$204=A260),'Scope Review'!$H$5:$H$204),""))</x:f>
      </x:c>
      <x:c r="P260" s="172" t="n">
        <x:f>IF(A260="","",IF(AND(C260="executing",N260&lt;&gt;"Confirmed OOS"),M260,0))</x:f>
        <x:v>0</x:v>
      </x:c>
      <x:c r="Q260" s="173" t="str">
        <x:f>IF(A260="","",IFERROR(LOOKUP(2,1/('Engineer Updates'!$B$5:$B$704=A260),'Engineer Updates'!$A$5:$A$704),""))</x:f>
      </x:c>
      <x:c r="R260" s="172" t="str">
        <x:f>IF(A260="","",IFERROR(LOOKUP(2,1/('Engineer Updates'!$B$5:$B$704=A260),'Engineer Updates'!$H$5:$H$704),""))</x:f>
      </x:c>
      <x:c r="S260" s="172" t="str">
        <x:f>IF(A260="","",IFERROR(LOOKUP(2,1/('Engineer Updates'!$B$5:$B$704=A260),'Engineer Updates'!$G$5:$G$704),""))</x:f>
      </x:c>
      <x:c r="T260" s="172" t="str">
        <x:f>IF(A260="","",IFERROR(LOOKUP(2,1/('Engineer Updates'!$B$5:$B$704=A260),'Engineer Updates'!$I$5:$I$704),""))</x:f>
      </x:c>
      <x:c r="U260" s="172" t="str">
        <x:f>IF(A260="","",IFERROR(LOOKUP(2,1/('Engineer Updates'!$B$5:$B$704=A260),'Engineer Updates'!$J$5:$J$704),""))</x:f>
      </x:c>
      <x:c r="V260" s="172" t="str">
        <x:f>IF(A260="","",IFERROR(LOOKUP(2,1/('Engineer Updates'!$B$5:$B$704=A260),'Engineer Updates'!$K$5:$K$704),""))</x:f>
      </x:c>
      <x:c r="W260" s="174" t="str">
        <x:f>IF(A260="","",IFERROR(LOOKUP(2,1/('Engineer Updates'!$B$5:$B$704=A260),'Engineer Updates'!$L$5:$L$704),""))</x:f>
      </x:c>
      <x:c r="X260" s="170" t="str">
        <x:f>IF(A260="","",IF(C260="completed","Completed in CSSP",IF(AND(C260="executing",ISERROR(SEARCH("@",K260))),"Executing without named engineer",IF(AND(N260="Confirmed OOS",C260="executing"),"Confirmed OOS still executing",""))))</x:f>
      </x:c>
      <x:c r="Y260" s="170" t="str">
        <x:f>IF(A260="","",IF(B260="Decommissioning","Raw Decommissioning","Raw Provisioning"))</x:f>
        <x:v>Raw Decommissioning</x:v>
      </x:c>
      <x:c r="Z260" s="170" t="str">
        <x:f>IF(A260="","",IF(OR(C260="executing",C260="processing"),"Yes","No"))</x:f>
        <x:v>No</x:v>
      </x:c>
    </x:row>
    <x:row r="261">
      <x:c r="A261" s="170" t="str">
        <x:f>IF(ROWS($A$5:A261)&lt;=COUNTA('Raw Decommissioning'!$B$2:$B$1000),INDEX('Raw Decommissioning'!$B$2:$B$1000,ROWS($A$5:A261)),IF(ROWS($A$5:A261)-COUNTA('Raw Decommissioning'!$B$2:$B$1000)&lt;=COUNTA('Raw Provisioning'!$B$2:$B$1000),INDEX('Raw Provisioning'!$B$2:$B$1000,ROWS($A$5:A261)-COUNTA('Raw Decommissioning'!$B$2:$B$1000)),""))</x:f>
        <x:v>CSSP10900385</x:v>
      </x:c>
      <x:c r="B261" s="170" t="str">
        <x:f>IF(A261="","",IF(ROWS($A$5:A261)&lt;=COUNTA('Raw Decommissioning'!$B$2:$B$1000),"Decommissioning","Provisioning"))</x:f>
        <x:v>Decommissioning</x:v>
      </x:c>
      <x:c r="C261" s="170" t="str">
        <x:f>IF(A261="","",IF(B261="Decommissioning",IFERROR(INDEX('Raw Decommissioning'!$E$2:$E$1000,MATCH(A261,'Raw Decommissioning'!$B$2:$B$1000,0)),"Missing from latest raw"),IFERROR(INDEX('Raw Provisioning'!$E$2:$E$1000,MATCH(A261,'Raw Provisioning'!$B$2:$B$1000,0)),"Missing from latest raw")))</x:f>
        <x:v>cancelled</x:v>
      </x:c>
      <x:c r="D261" s="171" t="n">
        <x:f>IF(A261="","",'Refresh Control'!$B$4)</x:f>
        <x:v>46254</x:v>
      </x:c>
      <x:c r="E261" s="171" t="n">
        <x:f>IF(A261="","",IF(B261="Decommissioning",INDEX('Raw Decommissioning'!$F$2:$F$1000,ROWS($A$5:A261)),INDEX('Raw Provisioning'!$F$2:$F$1000,ROWS($A$5:A261)-COUNTA('Raw Decommissioning'!$B$2:$B$1000))))</x:f>
        <x:v>46204.14581540509</x:v>
      </x:c>
      <x:c r="F261" s="171" t="n">
        <x:f>IF(A261="","",IF(B261="Decommissioning",INDEX('Raw Decommissioning'!$G$2:$G$1000,ROWS($A$5:A261)),INDEX('Raw Provisioning'!$H$2:$H$1000,ROWS($A$5:A261)-COUNTA('Raw Decommissioning'!$B$2:$B$1000))))</x:f>
        <x:v>46220.042647152775</x:v>
      </x:c>
      <x:c r="G261" s="170" t="str">
        <x:f>IF(A261="","",IF(B261="Decommissioning",INDEX('Raw Decommissioning'!$I$2:$I$1000,ROWS($A$5:A261)),INDEX('Raw Provisioning'!$J$2:$J$1000,ROWS($A$5:A261)-COUNTA('Raw Decommissioning'!$B$2:$B$1000))))</x:f>
        <x:v>Go Dashboard - GGO</x:v>
      </x:c>
      <x:c r="H261" s="170" t="str">
        <x:f>IF(A261="","",IF(B261="Decommissioning",INDEX('Raw Decommissioning'!$J$2:$J$1000,ROWS($A$5:A261)),INDEX('Raw Provisioning'!$L$2:$L$1000,ROWS($A$5:A261)-COUNTA('Raw Decommissioning'!$B$2:$B$1000))))</x:f>
        <x:v>CTP Old to New LZ - Go Dashboard</x:v>
      </x:c>
      <x:c r="I261" s="170" t="str">
        <x:f>IF(A261="","",IF(B261="Decommissioning",INDEX('Raw Decommissioning'!$AL$2:$AL$1000,ROWS($A$5:A261)),INDEX('Raw Provisioning'!$R$2:$R$1000,ROWS($A$5:A261)-COUNTA('Raw Decommissioning'!$B$2:$B$1000))))</x:f>
      </x:c>
      <x:c r="J261" s="170" t="str">
        <x:f>IF(A261="","",IF(B261="Decommissioning",INDEX('Raw Decommissioning'!$AG$2:$AG$1000,ROWS($A$5:A261)),INDEX('Raw Provisioning'!$AI$2:$AI$1000,ROWS($A$5:A261)-COUNTA('Raw Decommissioning'!$B$2:$B$1000))))</x:f>
        <x:v>CCoE Operations</x:v>
      </x:c>
      <x:c r="K261" s="172" t="str">
        <x:f>IF(A261="","",IFERROR(LOOKUP(2,1/('Assignment History'!$B$5:$B$204=A261),'Assignment History'!$D$5:$D$204),IFERROR(VLOOKUP(J261,Configuration!$L$5:$M$50,2,FALSE),J261)))</x:f>
        <x:v>CCoE Operations</x:v>
      </x:c>
      <x:c r="L261" s="172" t="str">
        <x:f>IF(A261="","",IF(K261=IFERROR(VLOOKUP(J261,Configuration!$L$5:$M$50,2,FALSE),J261),"Snapshot PIC","Replacement PIC"))</x:f>
        <x:v>Snapshot PIC</x:v>
      </x:c>
      <x:c r="M261" s="172" t="n">
        <x:f>IF(A261="","",IFERROR(VLOOKUP(I261,Configuration!$O$5:$P$8,2,FALSE),Configuration!$S$6))</x:f>
        <x:v>2</x:v>
      </x:c>
      <x:c r="N261" s="172" t="str">
        <x:f>IF(A261="","",IFERROR(LOOKUP(2,1/('Scope Review'!$B$5:$B$204=A261),'Scope Review'!$G$5:$G$204),"Not Reviewed"))</x:f>
        <x:v>Not Reviewed</x:v>
      </x:c>
      <x:c r="O261" s="172" t="str">
        <x:f>IF(A261="","",IFERROR(LOOKUP(2,1/('Scope Review'!$B$5:$B$204=A261),'Scope Review'!$H$5:$H$204),""))</x:f>
      </x:c>
      <x:c r="P261" s="172" t="n">
        <x:f>IF(A261="","",IF(AND(C261="executing",N261&lt;&gt;"Confirmed OOS"),M261,0))</x:f>
        <x:v>0</x:v>
      </x:c>
      <x:c r="Q261" s="173" t="str">
        <x:f>IF(A261="","",IFERROR(LOOKUP(2,1/('Engineer Updates'!$B$5:$B$704=A261),'Engineer Updates'!$A$5:$A$704),""))</x:f>
      </x:c>
      <x:c r="R261" s="172" t="str">
        <x:f>IF(A261="","",IFERROR(LOOKUP(2,1/('Engineer Updates'!$B$5:$B$704=A261),'Engineer Updates'!$H$5:$H$704),""))</x:f>
      </x:c>
      <x:c r="S261" s="172" t="str">
        <x:f>IF(A261="","",IFERROR(LOOKUP(2,1/('Engineer Updates'!$B$5:$B$704=A261),'Engineer Updates'!$G$5:$G$704),""))</x:f>
      </x:c>
      <x:c r="T261" s="172" t="str">
        <x:f>IF(A261="","",IFERROR(LOOKUP(2,1/('Engineer Updates'!$B$5:$B$704=A261),'Engineer Updates'!$I$5:$I$704),""))</x:f>
      </x:c>
      <x:c r="U261" s="172" t="str">
        <x:f>IF(A261="","",IFERROR(LOOKUP(2,1/('Engineer Updates'!$B$5:$B$704=A261),'Engineer Updates'!$J$5:$J$704),""))</x:f>
      </x:c>
      <x:c r="V261" s="172" t="str">
        <x:f>IF(A261="","",IFERROR(LOOKUP(2,1/('Engineer Updates'!$B$5:$B$704=A261),'Engineer Updates'!$K$5:$K$704),""))</x:f>
      </x:c>
      <x:c r="W261" s="174" t="str">
        <x:f>IF(A261="","",IFERROR(LOOKUP(2,1/('Engineer Updates'!$B$5:$B$704=A261),'Engineer Updates'!$L$5:$L$704),""))</x:f>
      </x:c>
      <x:c r="X261" s="170" t="str">
        <x:f>IF(A261="","",IF(C261="completed","Completed in CSSP",IF(AND(C261="executing",ISERROR(SEARCH("@",K261))),"Executing without named engineer",IF(AND(N261="Confirmed OOS",C261="executing"),"Confirmed OOS still executing",""))))</x:f>
      </x:c>
      <x:c r="Y261" s="170" t="str">
        <x:f>IF(A261="","",IF(B261="Decommissioning","Raw Decommissioning","Raw Provisioning"))</x:f>
        <x:v>Raw Decommissioning</x:v>
      </x:c>
      <x:c r="Z261" s="170" t="str">
        <x:f>IF(A261="","",IF(OR(C261="executing",C261="processing"),"Yes","No"))</x:f>
        <x:v>No</x:v>
      </x:c>
    </x:row>
    <x:row r="262">
      <x:c r="A262" s="170" t="str">
        <x:f>IF(ROWS($A$5:A262)&lt;=COUNTA('Raw Decommissioning'!$B$2:$B$1000),INDEX('Raw Decommissioning'!$B$2:$B$1000,ROWS($A$5:A262)),IF(ROWS($A$5:A262)-COUNTA('Raw Decommissioning'!$B$2:$B$1000)&lt;=COUNTA('Raw Provisioning'!$B$2:$B$1000),INDEX('Raw Provisioning'!$B$2:$B$1000,ROWS($A$5:A262)-COUNTA('Raw Decommissioning'!$B$2:$B$1000)),""))</x:f>
        <x:v>CSSP10928550</x:v>
      </x:c>
      <x:c r="B262" s="170" t="str">
        <x:f>IF(A262="","",IF(ROWS($A$5:A262)&lt;=COUNTA('Raw Decommissioning'!$B$2:$B$1000),"Decommissioning","Provisioning"))</x:f>
        <x:v>Decommissioning</x:v>
      </x:c>
      <x:c r="C262" s="170" t="str">
        <x:f>IF(A262="","",IF(B262="Decommissioning",IFERROR(INDEX('Raw Decommissioning'!$E$2:$E$1000,MATCH(A262,'Raw Decommissioning'!$B$2:$B$1000,0)),"Missing from latest raw"),IFERROR(INDEX('Raw Provisioning'!$E$2:$E$1000,MATCH(A262,'Raw Provisioning'!$B$2:$B$1000,0)),"Missing from latest raw")))</x:f>
        <x:v>rejected</x:v>
      </x:c>
      <x:c r="D262" s="171" t="n">
        <x:f>IF(A262="","",'Refresh Control'!$B$4)</x:f>
        <x:v>46254</x:v>
      </x:c>
      <x:c r="E262" s="171" t="n">
        <x:f>IF(A262="","",IF(B262="Decommissioning",INDEX('Raw Decommissioning'!$F$2:$F$1000,ROWS($A$5:A262)),INDEX('Raw Provisioning'!$F$2:$F$1000,ROWS($A$5:A262)-COUNTA('Raw Decommissioning'!$B$2:$B$1000))))</x:f>
        <x:v>46204.15037319445</x:v>
      </x:c>
      <x:c r="F262" s="171" t="n">
        <x:f>IF(A262="","",IF(B262="Decommissioning",INDEX('Raw Decommissioning'!$G$2:$G$1000,ROWS($A$5:A262)),INDEX('Raw Provisioning'!$H$2:$H$1000,ROWS($A$5:A262)-COUNTA('Raw Decommissioning'!$B$2:$B$1000))))</x:f>
        <x:v>46220.04511888889</x:v>
      </x:c>
      <x:c r="G262" s="170" t="str">
        <x:f>IF(A262="","",IF(B262="Decommissioning",INDEX('Raw Decommissioning'!$I$2:$I$1000,ROWS($A$5:A262)),INDEX('Raw Provisioning'!$J$2:$J$1000,ROWS($A$5:A262)-COUNTA('Raw Decommissioning'!$B$2:$B$1000))))</x:f>
        <x:v>Go Dashboard - GGO</x:v>
      </x:c>
      <x:c r="H262" s="170" t="str">
        <x:f>IF(A262="","",IF(B262="Decommissioning",INDEX('Raw Decommissioning'!$J$2:$J$1000,ROWS($A$5:A262)),INDEX('Raw Provisioning'!$L$2:$L$1000,ROWS($A$5:A262)-COUNTA('Raw Decommissioning'!$B$2:$B$1000))))</x:f>
        <x:v>GO Dashboard DevOps 2025</x:v>
      </x:c>
      <x:c r="I262" s="170" t="str">
        <x:f>IF(A262="","",IF(B262="Decommissioning",INDEX('Raw Decommissioning'!$AL$2:$AL$1000,ROWS($A$5:A262)),INDEX('Raw Provisioning'!$R$2:$R$1000,ROWS($A$5:A262)-COUNTA('Raw Decommissioning'!$B$2:$B$1000))))</x:f>
      </x:c>
      <x:c r="J262" s="170" t="str">
        <x:f>IF(A262="","",IF(B262="Decommissioning",INDEX('Raw Decommissioning'!$AG$2:$AG$1000,ROWS($A$5:A262)),INDEX('Raw Provisioning'!$AI$2:$AI$1000,ROWS($A$5:A262)-COUNTA('Raw Decommissioning'!$B$2:$B$1000))))</x:f>
        <x:v>nurainhayati.zahari@petronas.com</x:v>
      </x:c>
      <x:c r="K262" s="172" t="str">
        <x:f>IF(A262="","",IFERROR(LOOKUP(2,1/('Assignment History'!$B$5:$B$204=A262),'Assignment History'!$D$5:$D$204),IFERROR(VLOOKUP(J262,Configuration!$L$5:$M$50,2,FALSE),J262)))</x:f>
        <x:v>nurainhayati.zahari@petronas.com</x:v>
      </x:c>
      <x:c r="L262" s="172" t="str">
        <x:f>IF(A262="","",IF(K262=IFERROR(VLOOKUP(J262,Configuration!$L$5:$M$50,2,FALSE),J262),"Snapshot PIC","Replacement PIC"))</x:f>
        <x:v>Snapshot PIC</x:v>
      </x:c>
      <x:c r="M262" s="172" t="n">
        <x:f>IF(A262="","",IFERROR(VLOOKUP(I262,Configuration!$O$5:$P$8,2,FALSE),Configuration!$S$6))</x:f>
        <x:v>2</x:v>
      </x:c>
      <x:c r="N262" s="172" t="str">
        <x:f>IF(A262="","",IFERROR(LOOKUP(2,1/('Scope Review'!$B$5:$B$204=A262),'Scope Review'!$G$5:$G$204),"Not Reviewed"))</x:f>
        <x:v>Not Reviewed</x:v>
      </x:c>
      <x:c r="O262" s="172" t="str">
        <x:f>IF(A262="","",IFERROR(LOOKUP(2,1/('Scope Review'!$B$5:$B$204=A262),'Scope Review'!$H$5:$H$204),""))</x:f>
      </x:c>
      <x:c r="P262" s="172" t="n">
        <x:f>IF(A262="","",IF(AND(C262="executing",N262&lt;&gt;"Confirmed OOS"),M262,0))</x:f>
        <x:v>0</x:v>
      </x:c>
      <x:c r="Q262" s="173" t="str">
        <x:f>IF(A262="","",IFERROR(LOOKUP(2,1/('Engineer Updates'!$B$5:$B$704=A262),'Engineer Updates'!$A$5:$A$704),""))</x:f>
      </x:c>
      <x:c r="R262" s="172" t="str">
        <x:f>IF(A262="","",IFERROR(LOOKUP(2,1/('Engineer Updates'!$B$5:$B$704=A262),'Engineer Updates'!$H$5:$H$704),""))</x:f>
      </x:c>
      <x:c r="S262" s="172" t="str">
        <x:f>IF(A262="","",IFERROR(LOOKUP(2,1/('Engineer Updates'!$B$5:$B$704=A262),'Engineer Updates'!$G$5:$G$704),""))</x:f>
      </x:c>
      <x:c r="T262" s="172" t="str">
        <x:f>IF(A262="","",IFERROR(LOOKUP(2,1/('Engineer Updates'!$B$5:$B$704=A262),'Engineer Updates'!$I$5:$I$704),""))</x:f>
      </x:c>
      <x:c r="U262" s="172" t="str">
        <x:f>IF(A262="","",IFERROR(LOOKUP(2,1/('Engineer Updates'!$B$5:$B$704=A262),'Engineer Updates'!$J$5:$J$704),""))</x:f>
      </x:c>
      <x:c r="V262" s="172" t="str">
        <x:f>IF(A262="","",IFERROR(LOOKUP(2,1/('Engineer Updates'!$B$5:$B$704=A262),'Engineer Updates'!$K$5:$K$704),""))</x:f>
      </x:c>
      <x:c r="W262" s="174" t="str">
        <x:f>IF(A262="","",IFERROR(LOOKUP(2,1/('Engineer Updates'!$B$5:$B$704=A262),'Engineer Updates'!$L$5:$L$704),""))</x:f>
      </x:c>
      <x:c r="X262" s="170" t="str">
        <x:f>IF(A262="","",IF(C262="completed","Completed in CSSP",IF(AND(C262="executing",ISERROR(SEARCH("@",K262))),"Executing without named engineer",IF(AND(N262="Confirmed OOS",C262="executing"),"Confirmed OOS still executing",""))))</x:f>
      </x:c>
      <x:c r="Y262" s="170" t="str">
        <x:f>IF(A262="","",IF(B262="Decommissioning","Raw Decommissioning","Raw Provisioning"))</x:f>
        <x:v>Raw Decommissioning</x:v>
      </x:c>
      <x:c r="Z262" s="170" t="str">
        <x:f>IF(A262="","",IF(OR(C262="executing",C262="processing"),"Yes","No"))</x:f>
        <x:v>No</x:v>
      </x:c>
    </x:row>
    <x:row r="263">
      <x:c r="A263" s="170" t="str">
        <x:f>IF(ROWS($A$5:A263)&lt;=COUNTA('Raw Decommissioning'!$B$2:$B$1000),INDEX('Raw Decommissioning'!$B$2:$B$1000,ROWS($A$5:A263)),IF(ROWS($A$5:A263)-COUNTA('Raw Decommissioning'!$B$2:$B$1000)&lt;=COUNTA('Raw Provisioning'!$B$2:$B$1000),INDEX('Raw Provisioning'!$B$2:$B$1000,ROWS($A$5:A263)-COUNTA('Raw Decommissioning'!$B$2:$B$1000)),""))</x:f>
        <x:v>CSSP10870364</x:v>
      </x:c>
      <x:c r="B263" s="170" t="str">
        <x:f>IF(A263="","",IF(ROWS($A$5:A263)&lt;=COUNTA('Raw Decommissioning'!$B$2:$B$1000),"Decommissioning","Provisioning"))</x:f>
        <x:v>Decommissioning</x:v>
      </x:c>
      <x:c r="C263" s="170" t="str">
        <x:f>IF(A263="","",IF(B263="Decommissioning",IFERROR(INDEX('Raw Decommissioning'!$E$2:$E$1000,MATCH(A263,'Raw Decommissioning'!$B$2:$B$1000,0)),"Missing from latest raw"),IFERROR(INDEX('Raw Provisioning'!$E$2:$E$1000,MATCH(A263,'Raw Provisioning'!$B$2:$B$1000,0)),"Missing from latest raw")))</x:f>
        <x:v>rejected</x:v>
      </x:c>
      <x:c r="D263" s="171" t="n">
        <x:f>IF(A263="","",'Refresh Control'!$B$4)</x:f>
        <x:v>46254</x:v>
      </x:c>
      <x:c r="E263" s="171" t="n">
        <x:f>IF(A263="","",IF(B263="Decommissioning",INDEX('Raw Decommissioning'!$F$2:$F$1000,ROWS($A$5:A263)),INDEX('Raw Provisioning'!$F$2:$F$1000,ROWS($A$5:A263)-COUNTA('Raw Decommissioning'!$B$2:$B$1000))))</x:f>
        <x:v>46204.15038699074</x:v>
      </x:c>
      <x:c r="F263" s="171" t="n">
        <x:f>IF(A263="","",IF(B263="Decommissioning",INDEX('Raw Decommissioning'!$G$2:$G$1000,ROWS($A$5:A263)),INDEX('Raw Provisioning'!$H$2:$H$1000,ROWS($A$5:A263)-COUNTA('Raw Decommissioning'!$B$2:$B$1000))))</x:f>
        <x:v>46220.04334096065</x:v>
      </x:c>
      <x:c r="G263" s="170" t="str">
        <x:f>IF(A263="","",IF(B263="Decommissioning",INDEX('Raw Decommissioning'!$I$2:$I$1000,ROWS($A$5:A263)),INDEX('Raw Provisioning'!$J$2:$J$1000,ROWS($A$5:A263)-COUNTA('Raw Decommissioning'!$B$2:$B$1000))))</x:f>
        <x:v>Go Dashboard - GGO</x:v>
      </x:c>
      <x:c r="H263" s="170" t="str">
        <x:f>IF(A263="","",IF(B263="Decommissioning",INDEX('Raw Decommissioning'!$J$2:$J$1000,ROWS($A$5:A263)),INDEX('Raw Provisioning'!$L$2:$L$1000,ROWS($A$5:A263)-COUNTA('Raw Decommissioning'!$B$2:$B$1000))))</x:f>
        <x:v>CTP Old to New LZ - Go Dashboard</x:v>
      </x:c>
      <x:c r="I263" s="170" t="str">
        <x:f>IF(A263="","",IF(B263="Decommissioning",INDEX('Raw Decommissioning'!$AL$2:$AL$1000,ROWS($A$5:A263)),INDEX('Raw Provisioning'!$R$2:$R$1000,ROWS($A$5:A263)-COUNTA('Raw Decommissioning'!$B$2:$B$1000))))</x:f>
      </x:c>
      <x:c r="J263" s="170" t="str">
        <x:f>IF(A263="","",IF(B263="Decommissioning",INDEX('Raw Decommissioning'!$AG$2:$AG$1000,ROWS($A$5:A263)),INDEX('Raw Provisioning'!$AI$2:$AI$1000,ROWS($A$5:A263)-COUNTA('Raw Decommissioning'!$B$2:$B$1000))))</x:f>
        <x:v>CCoE Operations</x:v>
      </x:c>
      <x:c r="K263" s="172" t="str">
        <x:f>IF(A263="","",IFERROR(LOOKUP(2,1/('Assignment History'!$B$5:$B$204=A263),'Assignment History'!$D$5:$D$204),IFERROR(VLOOKUP(J263,Configuration!$L$5:$M$50,2,FALSE),J263)))</x:f>
        <x:v>CCoE Operations</x:v>
      </x:c>
      <x:c r="L263" s="172" t="str">
        <x:f>IF(A263="","",IF(K263=IFERROR(VLOOKUP(J263,Configuration!$L$5:$M$50,2,FALSE),J263),"Snapshot PIC","Replacement PIC"))</x:f>
        <x:v>Snapshot PIC</x:v>
      </x:c>
      <x:c r="M263" s="172" t="n">
        <x:f>IF(A263="","",IFERROR(VLOOKUP(I263,Configuration!$O$5:$P$8,2,FALSE),Configuration!$S$6))</x:f>
        <x:v>2</x:v>
      </x:c>
      <x:c r="N263" s="172" t="str">
        <x:f>IF(A263="","",IFERROR(LOOKUP(2,1/('Scope Review'!$B$5:$B$204=A263),'Scope Review'!$G$5:$G$204),"Not Reviewed"))</x:f>
        <x:v>Not Reviewed</x:v>
      </x:c>
      <x:c r="O263" s="172" t="str">
        <x:f>IF(A263="","",IFERROR(LOOKUP(2,1/('Scope Review'!$B$5:$B$204=A263),'Scope Review'!$H$5:$H$204),""))</x:f>
      </x:c>
      <x:c r="P263" s="172" t="n">
        <x:f>IF(A263="","",IF(AND(C263="executing",N263&lt;&gt;"Confirmed OOS"),M263,0))</x:f>
        <x:v>0</x:v>
      </x:c>
      <x:c r="Q263" s="173" t="str">
        <x:f>IF(A263="","",IFERROR(LOOKUP(2,1/('Engineer Updates'!$B$5:$B$704=A263),'Engineer Updates'!$A$5:$A$704),""))</x:f>
      </x:c>
      <x:c r="R263" s="172" t="str">
        <x:f>IF(A263="","",IFERROR(LOOKUP(2,1/('Engineer Updates'!$B$5:$B$704=A263),'Engineer Updates'!$H$5:$H$704),""))</x:f>
      </x:c>
      <x:c r="S263" s="172" t="str">
        <x:f>IF(A263="","",IFERROR(LOOKUP(2,1/('Engineer Updates'!$B$5:$B$704=A263),'Engineer Updates'!$G$5:$G$704),""))</x:f>
      </x:c>
      <x:c r="T263" s="172" t="str">
        <x:f>IF(A263="","",IFERROR(LOOKUP(2,1/('Engineer Updates'!$B$5:$B$704=A263),'Engineer Updates'!$I$5:$I$704),""))</x:f>
      </x:c>
      <x:c r="U263" s="172" t="str">
        <x:f>IF(A263="","",IFERROR(LOOKUP(2,1/('Engineer Updates'!$B$5:$B$704=A263),'Engineer Updates'!$J$5:$J$704),""))</x:f>
      </x:c>
      <x:c r="V263" s="172" t="str">
        <x:f>IF(A263="","",IFERROR(LOOKUP(2,1/('Engineer Updates'!$B$5:$B$704=A263),'Engineer Updates'!$K$5:$K$704),""))</x:f>
      </x:c>
      <x:c r="W263" s="174" t="str">
        <x:f>IF(A263="","",IFERROR(LOOKUP(2,1/('Engineer Updates'!$B$5:$B$704=A263),'Engineer Updates'!$L$5:$L$704),""))</x:f>
      </x:c>
      <x:c r="X263" s="170" t="str">
        <x:f>IF(A263="","",IF(C263="completed","Completed in CSSP",IF(AND(C263="executing",ISERROR(SEARCH("@",K263))),"Executing without named engineer",IF(AND(N263="Confirmed OOS",C263="executing"),"Confirmed OOS still executing",""))))</x:f>
      </x:c>
      <x:c r="Y263" s="170" t="str">
        <x:f>IF(A263="","",IF(B263="Decommissioning","Raw Decommissioning","Raw Provisioning"))</x:f>
        <x:v>Raw Decommissioning</x:v>
      </x:c>
      <x:c r="Z263" s="170" t="str">
        <x:f>IF(A263="","",IF(OR(C263="executing",C263="processing"),"Yes","No"))</x:f>
        <x:v>No</x:v>
      </x:c>
    </x:row>
    <x:row r="264">
      <x:c r="A264" s="170" t="str">
        <x:f>IF(ROWS($A$5:A264)&lt;=COUNTA('Raw Decommissioning'!$B$2:$B$1000),INDEX('Raw Decommissioning'!$B$2:$B$1000,ROWS($A$5:A264)),IF(ROWS($A$5:A264)-COUNTA('Raw Decommissioning'!$B$2:$B$1000)&lt;=COUNTA('Raw Provisioning'!$B$2:$B$1000),INDEX('Raw Provisioning'!$B$2:$B$1000,ROWS($A$5:A264)-COUNTA('Raw Decommissioning'!$B$2:$B$1000)),""))</x:f>
        <x:v>CSSP10183688</x:v>
      </x:c>
      <x:c r="B264" s="170" t="str">
        <x:f>IF(A264="","",IF(ROWS($A$5:A264)&lt;=COUNTA('Raw Decommissioning'!$B$2:$B$1000),"Decommissioning","Provisioning"))</x:f>
        <x:v>Decommissioning</x:v>
      </x:c>
      <x:c r="C264" s="170" t="str">
        <x:f>IF(A264="","",IF(B264="Decommissioning",IFERROR(INDEX('Raw Decommissioning'!$E$2:$E$1000,MATCH(A264,'Raw Decommissioning'!$B$2:$B$1000,0)),"Missing from latest raw"),IFERROR(INDEX('Raw Provisioning'!$E$2:$E$1000,MATCH(A264,'Raw Provisioning'!$B$2:$B$1000,0)),"Missing from latest raw")))</x:f>
        <x:v>executing</x:v>
      </x:c>
      <x:c r="D264" s="171" t="n">
        <x:f>IF(A264="","",'Refresh Control'!$B$4)</x:f>
        <x:v>46254</x:v>
      </x:c>
      <x:c r="E264" s="171" t="n">
        <x:f>IF(A264="","",IF(B264="Decommissioning",INDEX('Raw Decommissioning'!$F$2:$F$1000,ROWS($A$5:A264)),INDEX('Raw Provisioning'!$F$2:$F$1000,ROWS($A$5:A264)-COUNTA('Raw Decommissioning'!$B$2:$B$1000))))</x:f>
        <x:v>46204.16273069444</x:v>
      </x:c>
      <x:c r="F264" s="171" t="n">
        <x:f>IF(A264="","",IF(B264="Decommissioning",INDEX('Raw Decommissioning'!$G$2:$G$1000,ROWS($A$5:A264)),INDEX('Raw Provisioning'!$H$2:$H$1000,ROWS($A$5:A264)-COUNTA('Raw Decommissioning'!$B$2:$B$1000))))</x:f>
        <x:v>46222.871260231484</x:v>
      </x:c>
      <x:c r="G264" s="170" t="str">
        <x:f>IF(A264="","",IF(B264="Decommissioning",INDEX('Raw Decommissioning'!$I$2:$I$1000,ROWS($A$5:A264)),INDEX('Raw Provisioning'!$J$2:$J$1000,ROWS($A$5:A264)-COUNTA('Raw Decommissioning'!$B$2:$B$1000))))</x:f>
        <x:v>Go Dashboard - GGO</x:v>
      </x:c>
      <x:c r="H264" s="170" t="str">
        <x:f>IF(A264="","",IF(B264="Decommissioning",INDEX('Raw Decommissioning'!$J$2:$J$1000,ROWS($A$5:A264)),INDEX('Raw Provisioning'!$L$2:$L$1000,ROWS($A$5:A264)-COUNTA('Raw Decommissioning'!$B$2:$B$1000))))</x:f>
        <x:v>CTP Old to New LZ - Go Dashboard</x:v>
      </x:c>
      <x:c r="I264" s="170" t="str">
        <x:f>IF(A264="","",IF(B264="Decommissioning",INDEX('Raw Decommissioning'!$AL$2:$AL$1000,ROWS($A$5:A264)),INDEX('Raw Provisioning'!$R$2:$R$1000,ROWS($A$5:A264)-COUNTA('Raw Decommissioning'!$B$2:$B$1000))))</x:f>
        <x:v>L</x:v>
      </x:c>
      <x:c r="J264" s="170" t="str">
        <x:f>IF(A264="","",IF(B264="Decommissioning",INDEX('Raw Decommissioning'!$AG$2:$AG$1000,ROWS($A$5:A264)),INDEX('Raw Provisioning'!$AI$2:$AI$1000,ROWS($A$5:A264)-COUNTA('Raw Decommissioning'!$B$2:$B$1000))))</x:f>
        <x:v>swaminadh.chirakala@petronas.com</x:v>
      </x:c>
      <x:c r="K264" s="172" t="str">
        <x:f>IF(A264="","",IFERROR(LOOKUP(2,1/('Assignment History'!$B$5:$B$204=A264),'Assignment History'!$D$5:$D$204),IFERROR(VLOOKUP(J264,Configuration!$L$5:$M$50,2,FALSE),J264)))</x:f>
        <x:v>swaminadh.chirakala@petronas.com</x:v>
      </x:c>
      <x:c r="L264" s="172" t="str">
        <x:f>IF(A264="","",IF(K264=IFERROR(VLOOKUP(J264,Configuration!$L$5:$M$50,2,FALSE),J264),"Snapshot PIC","Replacement PIC"))</x:f>
        <x:v>Snapshot PIC</x:v>
      </x:c>
      <x:c r="M264" s="172" t="n">
        <x:f>IF(A264="","",IFERROR(VLOOKUP(I264,Configuration!$O$5:$P$8,2,FALSE),Configuration!$S$6))</x:f>
        <x:v>3</x:v>
      </x:c>
      <x:c r="N264" s="172" t="str">
        <x:f>IF(A264="","",IFERROR(LOOKUP(2,1/('Scope Review'!$B$5:$B$204=A264),'Scope Review'!$G$5:$G$204),"Not Reviewed"))</x:f>
        <x:v>Not Reviewed</x:v>
      </x:c>
      <x:c r="O264" s="172" t="str">
        <x:f>IF(A264="","",IFERROR(LOOKUP(2,1/('Scope Review'!$B$5:$B$204=A264),'Scope Review'!$H$5:$H$204),""))</x:f>
      </x:c>
      <x:c r="P264" s="172" t="n">
        <x:f>IF(A264="","",IF(AND(C264="executing",N264&lt;&gt;"Confirmed OOS"),M264,0))</x:f>
        <x:v>3</x:v>
      </x:c>
      <x:c r="Q264" s="173" t="n">
        <x:f>IF(A264="","",IFERROR(LOOKUP(2,1/('Engineer Updates'!$B$5:$B$704=A264),'Engineer Updates'!$A$5:$A$704),""))</x:f>
        <x:v>46251</x:v>
      </x:c>
      <x:c r="R264" s="172" t="str">
        <x:f>IF(A264="","",IFERROR(LOOKUP(2,1/('Engineer Updates'!$B$5:$B$704=A264),'Engineer Updates'!$H$5:$H$704),""))</x:f>
        <x:v>Not Started</x:v>
      </x:c>
      <x:c r="S264" s="172" t="str">
        <x:f>IF(A264="","",IFERROR(LOOKUP(2,1/('Engineer Updates'!$B$5:$B$704=A264),'Engineer Updates'!$G$5:$G$704),""))</x:f>
      </x:c>
      <x:c r="T264" s="172" t="str">
        <x:f>IF(A264="","",IFERROR(LOOKUP(2,1/('Engineer Updates'!$B$5:$B$704=A264),'Engineer Updates'!$I$5:$I$704),""))</x:f>
      </x:c>
      <x:c r="U264" s="172" t="str">
        <x:f>IF(A264="","",IFERROR(LOOKUP(2,1/('Engineer Updates'!$B$5:$B$704=A264),'Engineer Updates'!$J$5:$J$704),""))</x:f>
      </x:c>
      <x:c r="V264" s="172" t="str">
        <x:f>IF(A264="","",IFERROR(LOOKUP(2,1/('Engineer Updates'!$B$5:$B$704=A264),'Engineer Updates'!$K$5:$K$704),""))</x:f>
      </x:c>
      <x:c r="W264" s="174" t="str">
        <x:f>IF(A264="","",IFERROR(LOOKUP(2,1/('Engineer Updates'!$B$5:$B$704=A264),'Engineer Updates'!$L$5:$L$704),""))</x:f>
      </x:c>
      <x:c r="X264" s="170" t="str">
        <x:f>IF(A264="","",IF(C264="completed","Completed in CSSP",IF(AND(C264="executing",ISERROR(SEARCH("@",K264))),"Executing without named engineer",IF(AND(N264="Confirmed OOS",C264="executing"),"Confirmed OOS still executing",""))))</x:f>
      </x:c>
      <x:c r="Y264" s="170" t="str">
        <x:f>IF(A264="","",IF(B264="Decommissioning","Raw Decommissioning","Raw Provisioning"))</x:f>
        <x:v>Raw Decommissioning</x:v>
      </x:c>
      <x:c r="Z264" s="170" t="str">
        <x:f>IF(A264="","",IF(OR(C264="executing",C264="processing"),"Yes","No"))</x:f>
        <x:v>Yes</x:v>
      </x:c>
    </x:row>
    <x:row r="265">
      <x:c r="A265" s="170" t="str">
        <x:f>IF(ROWS($A$5:A265)&lt;=COUNTA('Raw Decommissioning'!$B$2:$B$1000),INDEX('Raw Decommissioning'!$B$2:$B$1000,ROWS($A$5:A265)),IF(ROWS($A$5:A265)-COUNTA('Raw Decommissioning'!$B$2:$B$1000)&lt;=COUNTA('Raw Provisioning'!$B$2:$B$1000),INDEX('Raw Provisioning'!$B$2:$B$1000,ROWS($A$5:A265)-COUNTA('Raw Decommissioning'!$B$2:$B$1000)),""))</x:f>
        <x:v>CSSP10908021</x:v>
      </x:c>
      <x:c r="B265" s="170" t="str">
        <x:f>IF(A265="","",IF(ROWS($A$5:A265)&lt;=COUNTA('Raw Decommissioning'!$B$2:$B$1000),"Decommissioning","Provisioning"))</x:f>
        <x:v>Decommissioning</x:v>
      </x:c>
      <x:c r="C265" s="170" t="str">
        <x:f>IF(A265="","",IF(B265="Decommissioning",IFERROR(INDEX('Raw Decommissioning'!$E$2:$E$1000,MATCH(A265,'Raw Decommissioning'!$B$2:$B$1000,0)),"Missing from latest raw"),IFERROR(INDEX('Raw Provisioning'!$E$2:$E$1000,MATCH(A265,'Raw Provisioning'!$B$2:$B$1000,0)),"Missing from latest raw")))</x:f>
        <x:v>completed</x:v>
      </x:c>
      <x:c r="D265" s="171" t="n">
        <x:f>IF(A265="","",'Refresh Control'!$B$4)</x:f>
        <x:v>46254</x:v>
      </x:c>
      <x:c r="E265" s="171" t="n">
        <x:f>IF(A265="","",IF(B265="Decommissioning",INDEX('Raw Decommissioning'!$F$2:$F$1000,ROWS($A$5:A265)),INDEX('Raw Provisioning'!$F$2:$F$1000,ROWS($A$5:A265)-COUNTA('Raw Decommissioning'!$B$2:$B$1000))))</x:f>
        <x:v>46204.17052630787</x:v>
      </x:c>
      <x:c r="F265" s="171" t="n">
        <x:f>IF(A265="","",IF(B265="Decommissioning",INDEX('Raw Decommissioning'!$G$2:$G$1000,ROWS($A$5:A265)),INDEX('Raw Provisioning'!$H$2:$H$1000,ROWS($A$5:A265)-COUNTA('Raw Decommissioning'!$B$2:$B$1000))))</x:f>
        <x:v>46232.17943157408</x:v>
      </x:c>
      <x:c r="G265" s="170" t="str">
        <x:f>IF(A265="","",IF(B265="Decommissioning",INDEX('Raw Decommissioning'!$I$2:$I$1000,ROWS($A$5:A265)),INDEX('Raw Provisioning'!$J$2:$J$1000,ROWS($A$5:A265)-COUNTA('Raw Decommissioning'!$B$2:$B$1000))))</x:f>
        <x:v>Oil Logistics Accounting and Shipping System - OAS</x:v>
      </x:c>
      <x:c r="H265" s="170" t="str">
        <x:f>IF(A265="","",IF(B265="Decommissioning",INDEX('Raw Decommissioning'!$J$2:$J$1000,ROWS($A$5:A265)),INDEX('Raw Provisioning'!$L$2:$L$1000,ROWS($A$5:A265)-COUNTA('Raw Decommissioning'!$B$2:$B$1000))))</x:f>
        <x:v>OCI MIGRATION - OAS Billing System, ODM Tank Browser, Oil Logistics, Accounting and Shipping System (OAS) Prod</x:v>
      </x:c>
      <x:c r="I265" s="170" t="str">
        <x:f>IF(A265="","",IF(B265="Decommissioning",INDEX('Raw Decommissioning'!$AL$2:$AL$1000,ROWS($A$5:A265)),INDEX('Raw Provisioning'!$R$2:$R$1000,ROWS($A$5:A265)-COUNTA('Raw Decommissioning'!$B$2:$B$1000))))</x:f>
        <x:v>M</x:v>
      </x:c>
      <x:c r="J265" s="170" t="str">
        <x:f>IF(A265="","",IF(B265="Decommissioning",INDEX('Raw Decommissioning'!$AG$2:$AG$1000,ROWS($A$5:A265)),INDEX('Raw Provisioning'!$AI$2:$AI$1000,ROWS($A$5:A265)-COUNTA('Raw Decommissioning'!$B$2:$B$1000))))</x:f>
        <x:v>swaminadh.chirakala@petronas.com</x:v>
      </x:c>
      <x:c r="K265" s="172" t="str">
        <x:f>IF(A265="","",IFERROR(LOOKUP(2,1/('Assignment History'!$B$5:$B$204=A265),'Assignment History'!$D$5:$D$204),IFERROR(VLOOKUP(J265,Configuration!$L$5:$M$50,2,FALSE),J265)))</x:f>
        <x:v>swaminadh.chirakala@petronas.com</x:v>
      </x:c>
      <x:c r="L265" s="172" t="str">
        <x:f>IF(A265="","",IF(K265=IFERROR(VLOOKUP(J265,Configuration!$L$5:$M$50,2,FALSE),J265),"Snapshot PIC","Replacement PIC"))</x:f>
        <x:v>Snapshot PIC</x:v>
      </x:c>
      <x:c r="M265" s="172" t="n">
        <x:f>IF(A265="","",IFERROR(VLOOKUP(I265,Configuration!$O$5:$P$8,2,FALSE),Configuration!$S$6))</x:f>
        <x:v>2</x:v>
      </x:c>
      <x:c r="N265" s="172" t="str">
        <x:f>IF(A265="","",IFERROR(LOOKUP(2,1/('Scope Review'!$B$5:$B$204=A265),'Scope Review'!$G$5:$G$204),"Not Reviewed"))</x:f>
        <x:v>Not Reviewed</x:v>
      </x:c>
      <x:c r="O265" s="172" t="str">
        <x:f>IF(A265="","",IFERROR(LOOKUP(2,1/('Scope Review'!$B$5:$B$204=A265),'Scope Review'!$H$5:$H$204),""))</x:f>
      </x:c>
      <x:c r="P265" s="172" t="n">
        <x:f>IF(A265="","",IF(AND(C265="executing",N265&lt;&gt;"Confirmed OOS"),M265,0))</x:f>
        <x:v>0</x:v>
      </x:c>
      <x:c r="Q265" s="173" t="str">
        <x:f>IF(A265="","",IFERROR(LOOKUP(2,1/('Engineer Updates'!$B$5:$B$704=A265),'Engineer Updates'!$A$5:$A$704),""))</x:f>
      </x:c>
      <x:c r="R265" s="172" t="str">
        <x:f>IF(A265="","",IFERROR(LOOKUP(2,1/('Engineer Updates'!$B$5:$B$704=A265),'Engineer Updates'!$H$5:$H$704),""))</x:f>
      </x:c>
      <x:c r="S265" s="172" t="str">
        <x:f>IF(A265="","",IFERROR(LOOKUP(2,1/('Engineer Updates'!$B$5:$B$704=A265),'Engineer Updates'!$G$5:$G$704),""))</x:f>
      </x:c>
      <x:c r="T265" s="172" t="str">
        <x:f>IF(A265="","",IFERROR(LOOKUP(2,1/('Engineer Updates'!$B$5:$B$704=A265),'Engineer Updates'!$I$5:$I$704),""))</x:f>
      </x:c>
      <x:c r="U265" s="172" t="str">
        <x:f>IF(A265="","",IFERROR(LOOKUP(2,1/('Engineer Updates'!$B$5:$B$704=A265),'Engineer Updates'!$J$5:$J$704),""))</x:f>
      </x:c>
      <x:c r="V265" s="172" t="str">
        <x:f>IF(A265="","",IFERROR(LOOKUP(2,1/('Engineer Updates'!$B$5:$B$704=A265),'Engineer Updates'!$K$5:$K$704),""))</x:f>
      </x:c>
      <x:c r="W265" s="174" t="str">
        <x:f>IF(A265="","",IFERROR(LOOKUP(2,1/('Engineer Updates'!$B$5:$B$704=A265),'Engineer Updates'!$L$5:$L$704),""))</x:f>
      </x:c>
      <x:c r="X265" s="170" t="str">
        <x:f>IF(A265="","",IF(C265="completed","Completed in CSSP",IF(AND(C265="executing",ISERROR(SEARCH("@",K265))),"Executing without named engineer",IF(AND(N265="Confirmed OOS",C265="executing"),"Confirmed OOS still executing",""))))</x:f>
        <x:v>Completed in CSSP</x:v>
      </x:c>
      <x:c r="Y265" s="170" t="str">
        <x:f>IF(A265="","",IF(B265="Decommissioning","Raw Decommissioning","Raw Provisioning"))</x:f>
        <x:v>Raw Decommissioning</x:v>
      </x:c>
      <x:c r="Z265" s="170" t="str">
        <x:f>IF(A265="","",IF(OR(C265="executing",C265="processing"),"Yes","No"))</x:f>
        <x:v>No</x:v>
      </x:c>
    </x:row>
    <x:row r="266">
      <x:c r="A266" s="170" t="str">
        <x:f>IF(ROWS($A$5:A266)&lt;=COUNTA('Raw Decommissioning'!$B$2:$B$1000),INDEX('Raw Decommissioning'!$B$2:$B$1000,ROWS($A$5:A266)),IF(ROWS($A$5:A266)-COUNTA('Raw Decommissioning'!$B$2:$B$1000)&lt;=COUNTA('Raw Provisioning'!$B$2:$B$1000),INDEX('Raw Provisioning'!$B$2:$B$1000,ROWS($A$5:A266)-COUNTA('Raw Decommissioning'!$B$2:$B$1000)),""))</x:f>
        <x:v>CSSP10523448</x:v>
      </x:c>
      <x:c r="B266" s="170" t="str">
        <x:f>IF(A266="","",IF(ROWS($A$5:A266)&lt;=COUNTA('Raw Decommissioning'!$B$2:$B$1000),"Decommissioning","Provisioning"))</x:f>
        <x:v>Decommissioning</x:v>
      </x:c>
      <x:c r="C266" s="170" t="str">
        <x:f>IF(A266="","",IF(B266="Decommissioning",IFERROR(INDEX('Raw Decommissioning'!$E$2:$E$1000,MATCH(A266,'Raw Decommissioning'!$B$2:$B$1000,0)),"Missing from latest raw"),IFERROR(INDEX('Raw Provisioning'!$E$2:$E$1000,MATCH(A266,'Raw Provisioning'!$B$2:$B$1000,0)),"Missing from latest raw")))</x:f>
        <x:v>executing</x:v>
      </x:c>
      <x:c r="D266" s="171" t="n">
        <x:f>IF(A266="","",'Refresh Control'!$B$4)</x:f>
        <x:v>46254</x:v>
      </x:c>
      <x:c r="E266" s="171" t="n">
        <x:f>IF(A266="","",IF(B266="Decommissioning",INDEX('Raw Decommissioning'!$F$2:$F$1000,ROWS($A$5:A266)),INDEX('Raw Provisioning'!$F$2:$F$1000,ROWS($A$5:A266)-COUNTA('Raw Decommissioning'!$B$2:$B$1000))))</x:f>
        <x:v>46204.17176372685</x:v>
      </x:c>
      <x:c r="F266" s="171" t="n">
        <x:f>IF(A266="","",IF(B266="Decommissioning",INDEX('Raw Decommissioning'!$G$2:$G$1000,ROWS($A$5:A266)),INDEX('Raw Provisioning'!$H$2:$H$1000,ROWS($A$5:A266)-COUNTA('Raw Decommissioning'!$B$2:$B$1000))))</x:f>
        <x:v>46231.20315226852</x:v>
      </x:c>
      <x:c r="G266" s="170" t="str">
        <x:f>IF(A266="","",IF(B266="Decommissioning",INDEX('Raw Decommissioning'!$I$2:$I$1000,ROWS($A$5:A266)),INDEX('Raw Provisioning'!$J$2:$J$1000,ROWS($A$5:A266)-COUNTA('Raw Decommissioning'!$B$2:$B$1000))))</x:f>
        <x:v>Oil Logistics Accounting and Shipping System - OAS</x:v>
      </x:c>
      <x:c r="H266" s="170" t="str">
        <x:f>IF(A266="","",IF(B266="Decommissioning",INDEX('Raw Decommissioning'!$J$2:$J$1000,ROWS($A$5:A266)),INDEX('Raw Provisioning'!$L$2:$L$1000,ROWS($A$5:A266)-COUNTA('Raw Decommissioning'!$B$2:$B$1000))))</x:f>
        <x:v>OCI MIGRATION - Oil Logistics, Accounting and Shipping System (OAS)</x:v>
      </x:c>
      <x:c r="I266" s="170" t="str">
        <x:f>IF(A266="","",IF(B266="Decommissioning",INDEX('Raw Decommissioning'!$AL$2:$AL$1000,ROWS($A$5:A266)),INDEX('Raw Provisioning'!$R$2:$R$1000,ROWS($A$5:A266)-COUNTA('Raw Decommissioning'!$B$2:$B$1000))))</x:f>
        <x:v>L</x:v>
      </x:c>
      <x:c r="J266" s="170" t="str">
        <x:f>IF(A266="","",IF(B266="Decommissioning",INDEX('Raw Decommissioning'!$AG$2:$AG$1000,ROWS($A$5:A266)),INDEX('Raw Provisioning'!$AI$2:$AI$1000,ROWS($A$5:A266)-COUNTA('Raw Decommissioning'!$B$2:$B$1000))))</x:f>
        <x:v>venkatesh.kalikivayi@petronas.com</x:v>
      </x:c>
      <x:c r="K266" s="172" t="str">
        <x:f>IF(A266="","",IFERROR(LOOKUP(2,1/('Assignment History'!$B$5:$B$204=A266),'Assignment History'!$D$5:$D$204),IFERROR(VLOOKUP(J266,Configuration!$L$5:$M$50,2,FALSE),J266)))</x:f>
        <x:v>venkatesh.kalikivayi@petronas.com</x:v>
      </x:c>
      <x:c r="L266" s="172" t="str">
        <x:f>IF(A266="","",IF(K266=IFERROR(VLOOKUP(J266,Configuration!$L$5:$M$50,2,FALSE),J266),"Snapshot PIC","Replacement PIC"))</x:f>
        <x:v>Snapshot PIC</x:v>
      </x:c>
      <x:c r="M266" s="172" t="n">
        <x:f>IF(A266="","",IFERROR(VLOOKUP(I266,Configuration!$O$5:$P$8,2,FALSE),Configuration!$S$6))</x:f>
        <x:v>3</x:v>
      </x:c>
      <x:c r="N266" s="172" t="str">
        <x:f>IF(A266="","",IFERROR(LOOKUP(2,1/('Scope Review'!$B$5:$B$204=A266),'Scope Review'!$G$5:$G$204),"Not Reviewed"))</x:f>
        <x:v>Not Reviewed</x:v>
      </x:c>
      <x:c r="O266" s="172" t="str">
        <x:f>IF(A266="","",IFERROR(LOOKUP(2,1/('Scope Review'!$B$5:$B$204=A266),'Scope Review'!$H$5:$H$204),""))</x:f>
      </x:c>
      <x:c r="P266" s="172" t="n">
        <x:f>IF(A266="","",IF(AND(C266="executing",N266&lt;&gt;"Confirmed OOS"),M266,0))</x:f>
        <x:v>3</x:v>
      </x:c>
      <x:c r="Q266" s="173" t="n">
        <x:f>IF(A266="","",IFERROR(LOOKUP(2,1/('Engineer Updates'!$B$5:$B$704=A266),'Engineer Updates'!$A$5:$A$704),""))</x:f>
        <x:v>46251</x:v>
      </x:c>
      <x:c r="R266" s="172" t="str">
        <x:f>IF(A266="","",IFERROR(LOOKUP(2,1/('Engineer Updates'!$B$5:$B$704=A266),'Engineer Updates'!$H$5:$H$704),""))</x:f>
        <x:v>Not Started</x:v>
      </x:c>
      <x:c r="S266" s="172" t="str">
        <x:f>IF(A266="","",IFERROR(LOOKUP(2,1/('Engineer Updates'!$B$5:$B$704=A266),'Engineer Updates'!$G$5:$G$704),""))</x:f>
      </x:c>
      <x:c r="T266" s="172" t="str">
        <x:f>IF(A266="","",IFERROR(LOOKUP(2,1/('Engineer Updates'!$B$5:$B$704=A266),'Engineer Updates'!$I$5:$I$704),""))</x:f>
      </x:c>
      <x:c r="U266" s="172" t="str">
        <x:f>IF(A266="","",IFERROR(LOOKUP(2,1/('Engineer Updates'!$B$5:$B$704=A266),'Engineer Updates'!$J$5:$J$704),""))</x:f>
      </x:c>
      <x:c r="V266" s="172" t="str">
        <x:f>IF(A266="","",IFERROR(LOOKUP(2,1/('Engineer Updates'!$B$5:$B$704=A266),'Engineer Updates'!$K$5:$K$704),""))</x:f>
      </x:c>
      <x:c r="W266" s="174" t="str">
        <x:f>IF(A266="","",IFERROR(LOOKUP(2,1/('Engineer Updates'!$B$5:$B$704=A266),'Engineer Updates'!$L$5:$L$704),""))</x:f>
      </x:c>
      <x:c r="X266" s="170" t="str">
        <x:f>IF(A266="","",IF(C266="completed","Completed in CSSP",IF(AND(C266="executing",ISERROR(SEARCH("@",K266))),"Executing without named engineer",IF(AND(N266="Confirmed OOS",C266="executing"),"Confirmed OOS still executing",""))))</x:f>
      </x:c>
      <x:c r="Y266" s="170" t="str">
        <x:f>IF(A266="","",IF(B266="Decommissioning","Raw Decommissioning","Raw Provisioning"))</x:f>
        <x:v>Raw Decommissioning</x:v>
      </x:c>
      <x:c r="Z266" s="170" t="str">
        <x:f>IF(A266="","",IF(OR(C266="executing",C266="processing"),"Yes","No"))</x:f>
        <x:v>Yes</x:v>
      </x:c>
    </x:row>
    <x:row r="267">
      <x:c r="A267" s="170" t="str">
        <x:f>IF(ROWS($A$5:A267)&lt;=COUNTA('Raw Decommissioning'!$B$2:$B$1000),INDEX('Raw Decommissioning'!$B$2:$B$1000,ROWS($A$5:A267)),IF(ROWS($A$5:A267)-COUNTA('Raw Decommissioning'!$B$2:$B$1000)&lt;=COUNTA('Raw Provisioning'!$B$2:$B$1000),INDEX('Raw Provisioning'!$B$2:$B$1000,ROWS($A$5:A267)-COUNTA('Raw Decommissioning'!$B$2:$B$1000)),""))</x:f>
        <x:v>CSSP10264991</x:v>
      </x:c>
      <x:c r="B267" s="170" t="str">
        <x:f>IF(A267="","",IF(ROWS($A$5:A267)&lt;=COUNTA('Raw Decommissioning'!$B$2:$B$1000),"Decommissioning","Provisioning"))</x:f>
        <x:v>Decommissioning</x:v>
      </x:c>
      <x:c r="C267" s="170" t="str">
        <x:f>IF(A267="","",IF(B267="Decommissioning",IFERROR(INDEX('Raw Decommissioning'!$E$2:$E$1000,MATCH(A267,'Raw Decommissioning'!$B$2:$B$1000,0)),"Missing from latest raw"),IFERROR(INDEX('Raw Provisioning'!$E$2:$E$1000,MATCH(A267,'Raw Provisioning'!$B$2:$B$1000,0)),"Missing from latest raw")))</x:f>
        <x:v>executing</x:v>
      </x:c>
      <x:c r="D267" s="171" t="n">
        <x:f>IF(A267="","",'Refresh Control'!$B$4)</x:f>
        <x:v>46254</x:v>
      </x:c>
      <x:c r="E267" s="171" t="n">
        <x:f>IF(A267="","",IF(B267="Decommissioning",INDEX('Raw Decommissioning'!$F$2:$F$1000,ROWS($A$5:A267)),INDEX('Raw Provisioning'!$F$2:$F$1000,ROWS($A$5:A267)-COUNTA('Raw Decommissioning'!$B$2:$B$1000))))</x:f>
        <x:v>46204.1736321412</x:v>
      </x:c>
      <x:c r="F267" s="171" t="n">
        <x:f>IF(A267="","",IF(B267="Decommissioning",INDEX('Raw Decommissioning'!$G$2:$G$1000,ROWS($A$5:A267)),INDEX('Raw Provisioning'!$H$2:$H$1000,ROWS($A$5:A267)-COUNTA('Raw Decommissioning'!$B$2:$B$1000))))</x:f>
        <x:v>46239.623320162034</x:v>
      </x:c>
      <x:c r="G267" s="170" t="str">
        <x:f>IF(A267="","",IF(B267="Decommissioning",INDEX('Raw Decommissioning'!$I$2:$I$1000,ROWS($A$5:A267)),INDEX('Raw Provisioning'!$J$2:$J$1000,ROWS($A$5:A267)-COUNTA('Raw Decommissioning'!$B$2:$B$1000))))</x:f>
        <x:v>Oil Logistics Accounting and Shipping System - OAS</x:v>
      </x:c>
      <x:c r="H267" s="170" t="str">
        <x:f>IF(A267="","",IF(B267="Decommissioning",INDEX('Raw Decommissioning'!$J$2:$J$1000,ROWS($A$5:A267)),INDEX('Raw Provisioning'!$L$2:$L$1000,ROWS($A$5:A267)-COUNTA('Raw Decommissioning'!$B$2:$B$1000))))</x:f>
        <x:v>Cloud Migration Program- Oil Logistics, Accounting and Shipping System (OAS)</x:v>
      </x:c>
      <x:c r="I267" s="170" t="str">
        <x:f>IF(A267="","",IF(B267="Decommissioning",INDEX('Raw Decommissioning'!$AL$2:$AL$1000,ROWS($A$5:A267)),INDEX('Raw Provisioning'!$R$2:$R$1000,ROWS($A$5:A267)-COUNTA('Raw Decommissioning'!$B$2:$B$1000))))</x:f>
        <x:v>M</x:v>
      </x:c>
      <x:c r="J267" s="170" t="str">
        <x:f>IF(A267="","",IF(B267="Decommissioning",INDEX('Raw Decommissioning'!$AG$2:$AG$1000,ROWS($A$5:A267)),INDEX('Raw Provisioning'!$AI$2:$AI$1000,ROWS($A$5:A267)-COUNTA('Raw Decommissioning'!$B$2:$B$1000))))</x:f>
        <x:v>swaminadh.chirakala@petronas.com</x:v>
      </x:c>
      <x:c r="K267" s="172" t="str">
        <x:f>IF(A267="","",IFERROR(LOOKUP(2,1/('Assignment History'!$B$5:$B$204=A267),'Assignment History'!$D$5:$D$204),IFERROR(VLOOKUP(J267,Configuration!$L$5:$M$50,2,FALSE),J267)))</x:f>
        <x:v>swaminadh.chirakala@petronas.com</x:v>
      </x:c>
      <x:c r="L267" s="172" t="str">
        <x:f>IF(A267="","",IF(K267=IFERROR(VLOOKUP(J267,Configuration!$L$5:$M$50,2,FALSE),J267),"Snapshot PIC","Replacement PIC"))</x:f>
        <x:v>Snapshot PIC</x:v>
      </x:c>
      <x:c r="M267" s="172" t="n">
        <x:f>IF(A267="","",IFERROR(VLOOKUP(I267,Configuration!$O$5:$P$8,2,FALSE),Configuration!$S$6))</x:f>
        <x:v>2</x:v>
      </x:c>
      <x:c r="N267" s="172" t="str">
        <x:f>IF(A267="","",IFERROR(LOOKUP(2,1/('Scope Review'!$B$5:$B$204=A267),'Scope Review'!$G$5:$G$204),"Not Reviewed"))</x:f>
        <x:v>Not Reviewed</x:v>
      </x:c>
      <x:c r="O267" s="172" t="str">
        <x:f>IF(A267="","",IFERROR(LOOKUP(2,1/('Scope Review'!$B$5:$B$204=A267),'Scope Review'!$H$5:$H$204),""))</x:f>
      </x:c>
      <x:c r="P267" s="172" t="n">
        <x:f>IF(A267="","",IF(AND(C267="executing",N267&lt;&gt;"Confirmed OOS"),M267,0))</x:f>
        <x:v>2</x:v>
      </x:c>
      <x:c r="Q267" s="173" t="n">
        <x:f>IF(A267="","",IFERROR(LOOKUP(2,1/('Engineer Updates'!$B$5:$B$704=A267),'Engineer Updates'!$A$5:$A$704),""))</x:f>
        <x:v>46251</x:v>
      </x:c>
      <x:c r="R267" s="172" t="str">
        <x:f>IF(A267="","",IFERROR(LOOKUP(2,1/('Engineer Updates'!$B$5:$B$704=A267),'Engineer Updates'!$H$5:$H$704),""))</x:f>
        <x:v>Not Started</x:v>
      </x:c>
      <x:c r="S267" s="172" t="str">
        <x:f>IF(A267="","",IFERROR(LOOKUP(2,1/('Engineer Updates'!$B$5:$B$704=A267),'Engineer Updates'!$G$5:$G$704),""))</x:f>
      </x:c>
      <x:c r="T267" s="172" t="str">
        <x:f>IF(A267="","",IFERROR(LOOKUP(2,1/('Engineer Updates'!$B$5:$B$704=A267),'Engineer Updates'!$I$5:$I$704),""))</x:f>
      </x:c>
      <x:c r="U267" s="172" t="str">
        <x:f>IF(A267="","",IFERROR(LOOKUP(2,1/('Engineer Updates'!$B$5:$B$704=A267),'Engineer Updates'!$J$5:$J$704),""))</x:f>
      </x:c>
      <x:c r="V267" s="172" t="str">
        <x:f>IF(A267="","",IFERROR(LOOKUP(2,1/('Engineer Updates'!$B$5:$B$704=A267),'Engineer Updates'!$K$5:$K$704),""))</x:f>
      </x:c>
      <x:c r="W267" s="174" t="str">
        <x:f>IF(A267="","",IFERROR(LOOKUP(2,1/('Engineer Updates'!$B$5:$B$704=A267),'Engineer Updates'!$L$5:$L$704),""))</x:f>
      </x:c>
      <x:c r="X267" s="170" t="str">
        <x:f>IF(A267="","",IF(C267="completed","Completed in CSSP",IF(AND(C267="executing",ISERROR(SEARCH("@",K267))),"Executing without named engineer",IF(AND(N267="Confirmed OOS",C267="executing"),"Confirmed OOS still executing",""))))</x:f>
      </x:c>
      <x:c r="Y267" s="170" t="str">
        <x:f>IF(A267="","",IF(B267="Decommissioning","Raw Decommissioning","Raw Provisioning"))</x:f>
        <x:v>Raw Decommissioning</x:v>
      </x:c>
      <x:c r="Z267" s="170" t="str">
        <x:f>IF(A267="","",IF(OR(C267="executing",C267="processing"),"Yes","No"))</x:f>
        <x:v>Yes</x:v>
      </x:c>
    </x:row>
    <x:row r="268">
      <x:c r="A268" s="170" t="str">
        <x:f>IF(ROWS($A$5:A268)&lt;=COUNTA('Raw Decommissioning'!$B$2:$B$1000),INDEX('Raw Decommissioning'!$B$2:$B$1000,ROWS($A$5:A268)),IF(ROWS($A$5:A268)-COUNTA('Raw Decommissioning'!$B$2:$B$1000)&lt;=COUNTA('Raw Provisioning'!$B$2:$B$1000),INDEX('Raw Provisioning'!$B$2:$B$1000,ROWS($A$5:A268)-COUNTA('Raw Decommissioning'!$B$2:$B$1000)),""))</x:f>
        <x:v>CSSP10220457</x:v>
      </x:c>
      <x:c r="B268" s="170" t="str">
        <x:f>IF(A268="","",IF(ROWS($A$5:A268)&lt;=COUNTA('Raw Decommissioning'!$B$2:$B$1000),"Decommissioning","Provisioning"))</x:f>
        <x:v>Decommissioning</x:v>
      </x:c>
      <x:c r="C268" s="170" t="str">
        <x:f>IF(A268="","",IF(B268="Decommissioning",IFERROR(INDEX('Raw Decommissioning'!$E$2:$E$1000,MATCH(A268,'Raw Decommissioning'!$B$2:$B$1000,0)),"Missing from latest raw"),IFERROR(INDEX('Raw Provisioning'!$E$2:$E$1000,MATCH(A268,'Raw Provisioning'!$B$2:$B$1000,0)),"Missing from latest raw")))</x:f>
        <x:v>completed</x:v>
      </x:c>
      <x:c r="D268" s="171" t="n">
        <x:f>IF(A268="","",'Refresh Control'!$B$4)</x:f>
        <x:v>46254</x:v>
      </x:c>
      <x:c r="E268" s="171" t="n">
        <x:f>IF(A268="","",IF(B268="Decommissioning",INDEX('Raw Decommissioning'!$F$2:$F$1000,ROWS($A$5:A268)),INDEX('Raw Provisioning'!$F$2:$F$1000,ROWS($A$5:A268)-COUNTA('Raw Decommissioning'!$B$2:$B$1000))))</x:f>
        <x:v>46204.17671298611</x:v>
      </x:c>
      <x:c r="F268" s="171" t="n">
        <x:f>IF(A268="","",IF(B268="Decommissioning",INDEX('Raw Decommissioning'!$G$2:$G$1000,ROWS($A$5:A268)),INDEX('Raw Provisioning'!$H$2:$H$1000,ROWS($A$5:A268)-COUNTA('Raw Decommissioning'!$B$2:$B$1000))))</x:f>
        <x:v>46232.179792662035</x:v>
      </x:c>
      <x:c r="G268" s="170" t="str">
        <x:f>IF(A268="","",IF(B268="Decommissioning",INDEX('Raw Decommissioning'!$I$2:$I$1000,ROWS($A$5:A268)),INDEX('Raw Provisioning'!$J$2:$J$1000,ROWS($A$5:A268)-COUNTA('Raw Decommissioning'!$B$2:$B$1000))))</x:f>
        <x:v>Lubricant Enterprise Value Simulator - LEVS</x:v>
      </x:c>
      <x:c r="H268" s="170" t="str">
        <x:f>IF(A268="","",IF(B268="Decommissioning",INDEX('Raw Decommissioning'!$J$2:$J$1000,ROWS($A$5:A268)),INDEX('Raw Provisioning'!$L$2:$L$1000,ROWS($A$5:A268)-COUNTA('Raw Decommissioning'!$B$2:$B$1000))))</x:f>
        <x:v>Development of Lubricant Enterprise Value Simulator (LEVS) tool for DCO</x:v>
      </x:c>
      <x:c r="I268" s="170" t="str">
        <x:f>IF(A268="","",IF(B268="Decommissioning",INDEX('Raw Decommissioning'!$AL$2:$AL$1000,ROWS($A$5:A268)),INDEX('Raw Provisioning'!$R$2:$R$1000,ROWS($A$5:A268)-COUNTA('Raw Decommissioning'!$B$2:$B$1000))))</x:f>
        <x:v>M</x:v>
      </x:c>
      <x:c r="J268" s="170" t="str">
        <x:f>IF(A268="","",IF(B268="Decommissioning",INDEX('Raw Decommissioning'!$AG$2:$AG$1000,ROWS($A$5:A268)),INDEX('Raw Provisioning'!$AI$2:$AI$1000,ROWS($A$5:A268)-COUNTA('Raw Decommissioning'!$B$2:$B$1000))))</x:f>
        <x:v>swaminadh.chirakala@petronas.com</x:v>
      </x:c>
      <x:c r="K268" s="172" t="str">
        <x:f>IF(A268="","",IFERROR(LOOKUP(2,1/('Assignment History'!$B$5:$B$204=A268),'Assignment History'!$D$5:$D$204),IFERROR(VLOOKUP(J268,Configuration!$L$5:$M$50,2,FALSE),J268)))</x:f>
        <x:v>swaminadh.chirakala@petronas.com</x:v>
      </x:c>
      <x:c r="L268" s="172" t="str">
        <x:f>IF(A268="","",IF(K268=IFERROR(VLOOKUP(J268,Configuration!$L$5:$M$50,2,FALSE),J268),"Snapshot PIC","Replacement PIC"))</x:f>
        <x:v>Snapshot PIC</x:v>
      </x:c>
      <x:c r="M268" s="172" t="n">
        <x:f>IF(A268="","",IFERROR(VLOOKUP(I268,Configuration!$O$5:$P$8,2,FALSE),Configuration!$S$6))</x:f>
        <x:v>2</x:v>
      </x:c>
      <x:c r="N268" s="172" t="str">
        <x:f>IF(A268="","",IFERROR(LOOKUP(2,1/('Scope Review'!$B$5:$B$204=A268),'Scope Review'!$G$5:$G$204),"Not Reviewed"))</x:f>
        <x:v>Not Reviewed</x:v>
      </x:c>
      <x:c r="O268" s="172" t="str">
        <x:f>IF(A268="","",IFERROR(LOOKUP(2,1/('Scope Review'!$B$5:$B$204=A268),'Scope Review'!$H$5:$H$204),""))</x:f>
      </x:c>
      <x:c r="P268" s="172" t="n">
        <x:f>IF(A268="","",IF(AND(C268="executing",N268&lt;&gt;"Confirmed OOS"),M268,0))</x:f>
        <x:v>0</x:v>
      </x:c>
      <x:c r="Q268" s="173" t="str">
        <x:f>IF(A268="","",IFERROR(LOOKUP(2,1/('Engineer Updates'!$B$5:$B$704=A268),'Engineer Updates'!$A$5:$A$704),""))</x:f>
      </x:c>
      <x:c r="R268" s="172" t="str">
        <x:f>IF(A268="","",IFERROR(LOOKUP(2,1/('Engineer Updates'!$B$5:$B$704=A268),'Engineer Updates'!$H$5:$H$704),""))</x:f>
      </x:c>
      <x:c r="S268" s="172" t="str">
        <x:f>IF(A268="","",IFERROR(LOOKUP(2,1/('Engineer Updates'!$B$5:$B$704=A268),'Engineer Updates'!$G$5:$G$704),""))</x:f>
      </x:c>
      <x:c r="T268" s="172" t="str">
        <x:f>IF(A268="","",IFERROR(LOOKUP(2,1/('Engineer Updates'!$B$5:$B$704=A268),'Engineer Updates'!$I$5:$I$704),""))</x:f>
      </x:c>
      <x:c r="U268" s="172" t="str">
        <x:f>IF(A268="","",IFERROR(LOOKUP(2,1/('Engineer Updates'!$B$5:$B$704=A268),'Engineer Updates'!$J$5:$J$704),""))</x:f>
      </x:c>
      <x:c r="V268" s="172" t="str">
        <x:f>IF(A268="","",IFERROR(LOOKUP(2,1/('Engineer Updates'!$B$5:$B$704=A268),'Engineer Updates'!$K$5:$K$704),""))</x:f>
      </x:c>
      <x:c r="W268" s="174" t="str">
        <x:f>IF(A268="","",IFERROR(LOOKUP(2,1/('Engineer Updates'!$B$5:$B$704=A268),'Engineer Updates'!$L$5:$L$704),""))</x:f>
      </x:c>
      <x:c r="X268" s="170" t="str">
        <x:f>IF(A268="","",IF(C268="completed","Completed in CSSP",IF(AND(C268="executing",ISERROR(SEARCH("@",K268))),"Executing without named engineer",IF(AND(N268="Confirmed OOS",C268="executing"),"Confirmed OOS still executing",""))))</x:f>
        <x:v>Completed in CSSP</x:v>
      </x:c>
      <x:c r="Y268" s="170" t="str">
        <x:f>IF(A268="","",IF(B268="Decommissioning","Raw Decommissioning","Raw Provisioning"))</x:f>
        <x:v>Raw Decommissioning</x:v>
      </x:c>
      <x:c r="Z268" s="170" t="str">
        <x:f>IF(A268="","",IF(OR(C268="executing",C268="processing"),"Yes","No"))</x:f>
        <x:v>No</x:v>
      </x:c>
    </x:row>
    <x:row r="269">
      <x:c r="A269" s="170" t="str">
        <x:f>IF(ROWS($A$5:A269)&lt;=COUNTA('Raw Decommissioning'!$B$2:$B$1000),INDEX('Raw Decommissioning'!$B$2:$B$1000,ROWS($A$5:A269)),IF(ROWS($A$5:A269)-COUNTA('Raw Decommissioning'!$B$2:$B$1000)&lt;=COUNTA('Raw Provisioning'!$B$2:$B$1000),INDEX('Raw Provisioning'!$B$2:$B$1000,ROWS($A$5:A269)-COUNTA('Raw Decommissioning'!$B$2:$B$1000)),""))</x:f>
        <x:v>CSSP10969032</x:v>
      </x:c>
      <x:c r="B269" s="170" t="str">
        <x:f>IF(A269="","",IF(ROWS($A$5:A269)&lt;=COUNTA('Raw Decommissioning'!$B$2:$B$1000),"Decommissioning","Provisioning"))</x:f>
        <x:v>Decommissioning</x:v>
      </x:c>
      <x:c r="C269" s="170" t="str">
        <x:f>IF(A269="","",IF(B269="Decommissioning",IFERROR(INDEX('Raw Decommissioning'!$E$2:$E$1000,MATCH(A269,'Raw Decommissioning'!$B$2:$B$1000,0)),"Missing from latest raw"),IFERROR(INDEX('Raw Provisioning'!$E$2:$E$1000,MATCH(A269,'Raw Provisioning'!$B$2:$B$1000,0)),"Missing from latest raw")))</x:f>
        <x:v>executing</x:v>
      </x:c>
      <x:c r="D269" s="171" t="n">
        <x:f>IF(A269="","",'Refresh Control'!$B$4)</x:f>
        <x:v>46254</x:v>
      </x:c>
      <x:c r="E269" s="171" t="n">
        <x:f>IF(A269="","",IF(B269="Decommissioning",INDEX('Raw Decommissioning'!$F$2:$F$1000,ROWS($A$5:A269)),INDEX('Raw Provisioning'!$F$2:$F$1000,ROWS($A$5:A269)-COUNTA('Raw Decommissioning'!$B$2:$B$1000))))</x:f>
        <x:v>46204.21245148148</x:v>
      </x:c>
      <x:c r="F269" s="171" t="n">
        <x:f>IF(A269="","",IF(B269="Decommissioning",INDEX('Raw Decommissioning'!$G$2:$G$1000,ROWS($A$5:A269)),INDEX('Raw Provisioning'!$H$2:$H$1000,ROWS($A$5:A269)-COUNTA('Raw Decommissioning'!$B$2:$B$1000))))</x:f>
        <x:v>46222.87383607639</x:v>
      </x:c>
      <x:c r="G269" s="170" t="str">
        <x:f>IF(A269="","",IF(B269="Decommissioning",INDEX('Raw Decommissioning'!$I$2:$I$1000,ROWS($A$5:A269)),INDEX('Raw Provisioning'!$J$2:$J$1000,ROWS($A$5:A269)-COUNTA('Raw Decommissioning'!$B$2:$B$1000))))</x:f>
        <x:v>eSAFE MLNG</x:v>
      </x:c>
      <x:c r="H269" s="170" t="str">
        <x:f>IF(A269="","",IF(B269="Decommissioning",INDEX('Raw Decommissioning'!$J$2:$J$1000,ROWS($A$5:A269)),INDEX('Raw Provisioning'!$L$2:$L$1000,ROWS($A$5:A269)-COUNTA('Raw Decommissioning'!$B$2:$B$1000))))</x:f>
        <x:v>Cloud Migration -eSAFE MLNG 2.0</x:v>
      </x:c>
      <x:c r="I269" s="170" t="str">
        <x:f>IF(A269="","",IF(B269="Decommissioning",INDEX('Raw Decommissioning'!$AL$2:$AL$1000,ROWS($A$5:A269)),INDEX('Raw Provisioning'!$R$2:$R$1000,ROWS($A$5:A269)-COUNTA('Raw Decommissioning'!$B$2:$B$1000))))</x:f>
        <x:v>M</x:v>
      </x:c>
      <x:c r="J269" s="170" t="str">
        <x:f>IF(A269="","",IF(B269="Decommissioning",INDEX('Raw Decommissioning'!$AG$2:$AG$1000,ROWS($A$5:A269)),INDEX('Raw Provisioning'!$AI$2:$AI$1000,ROWS($A$5:A269)-COUNTA('Raw Decommissioning'!$B$2:$B$1000))))</x:f>
        <x:v>sairam.villa@petronas.com</x:v>
      </x:c>
      <x:c r="K269" s="172" t="str">
        <x:f>IF(A269="","",IFERROR(LOOKUP(2,1/('Assignment History'!$B$5:$B$204=A269),'Assignment History'!$D$5:$D$204),IFERROR(VLOOKUP(J269,Configuration!$L$5:$M$50,2,FALSE),J269)))</x:f>
        <x:v>sairam.villa@petronas.com</x:v>
      </x:c>
      <x:c r="L269" s="172" t="str">
        <x:f>IF(A269="","",IF(K269=IFERROR(VLOOKUP(J269,Configuration!$L$5:$M$50,2,FALSE),J269),"Snapshot PIC","Replacement PIC"))</x:f>
        <x:v>Snapshot PIC</x:v>
      </x:c>
      <x:c r="M269" s="172" t="n">
        <x:f>IF(A269="","",IFERROR(VLOOKUP(I269,Configuration!$O$5:$P$8,2,FALSE),Configuration!$S$6))</x:f>
        <x:v>2</x:v>
      </x:c>
      <x:c r="N269" s="172" t="str">
        <x:f>IF(A269="","",IFERROR(LOOKUP(2,1/('Scope Review'!$B$5:$B$204=A269),'Scope Review'!$G$5:$G$204),"Not Reviewed"))</x:f>
        <x:v>Not Reviewed</x:v>
      </x:c>
      <x:c r="O269" s="172" t="str">
        <x:f>IF(A269="","",IFERROR(LOOKUP(2,1/('Scope Review'!$B$5:$B$204=A269),'Scope Review'!$H$5:$H$204),""))</x:f>
      </x:c>
      <x:c r="P269" s="172" t="n">
        <x:f>IF(A269="","",IF(AND(C269="executing",N269&lt;&gt;"Confirmed OOS"),M269,0))</x:f>
        <x:v>2</x:v>
      </x:c>
      <x:c r="Q269" s="173" t="n">
        <x:f>IF(A269="","",IFERROR(LOOKUP(2,1/('Engineer Updates'!$B$5:$B$704=A269),'Engineer Updates'!$A$5:$A$704),""))</x:f>
        <x:v>46251</x:v>
      </x:c>
      <x:c r="R269" s="172" t="str">
        <x:f>IF(A269="","",IFERROR(LOOKUP(2,1/('Engineer Updates'!$B$5:$B$704=A269),'Engineer Updates'!$H$5:$H$704),""))</x:f>
        <x:v>Not Started</x:v>
      </x:c>
      <x:c r="S269" s="172" t="str">
        <x:f>IF(A269="","",IFERROR(LOOKUP(2,1/('Engineer Updates'!$B$5:$B$704=A269),'Engineer Updates'!$G$5:$G$704),""))</x:f>
      </x:c>
      <x:c r="T269" s="172" t="str">
        <x:f>IF(A269="","",IFERROR(LOOKUP(2,1/('Engineer Updates'!$B$5:$B$704=A269),'Engineer Updates'!$I$5:$I$704),""))</x:f>
      </x:c>
      <x:c r="U269" s="172" t="str">
        <x:f>IF(A269="","",IFERROR(LOOKUP(2,1/('Engineer Updates'!$B$5:$B$704=A269),'Engineer Updates'!$J$5:$J$704),""))</x:f>
      </x:c>
      <x:c r="V269" s="172" t="str">
        <x:f>IF(A269="","",IFERROR(LOOKUP(2,1/('Engineer Updates'!$B$5:$B$704=A269),'Engineer Updates'!$K$5:$K$704),""))</x:f>
      </x:c>
      <x:c r="W269" s="174" t="str">
        <x:f>IF(A269="","",IFERROR(LOOKUP(2,1/('Engineer Updates'!$B$5:$B$704=A269),'Engineer Updates'!$L$5:$L$704),""))</x:f>
      </x:c>
      <x:c r="X269" s="170" t="str">
        <x:f>IF(A269="","",IF(C269="completed","Completed in CSSP",IF(AND(C269="executing",ISERROR(SEARCH("@",K269))),"Executing without named engineer",IF(AND(N269="Confirmed OOS",C269="executing"),"Confirmed OOS still executing",""))))</x:f>
      </x:c>
      <x:c r="Y269" s="170" t="str">
        <x:f>IF(A269="","",IF(B269="Decommissioning","Raw Decommissioning","Raw Provisioning"))</x:f>
        <x:v>Raw Decommissioning</x:v>
      </x:c>
      <x:c r="Z269" s="170" t="str">
        <x:f>IF(A269="","",IF(OR(C269="executing",C269="processing"),"Yes","No"))</x:f>
        <x:v>Yes</x:v>
      </x:c>
    </x:row>
    <x:row r="270">
      <x:c r="A270" s="170" t="str">
        <x:f>IF(ROWS($A$5:A270)&lt;=COUNTA('Raw Decommissioning'!$B$2:$B$1000),INDEX('Raw Decommissioning'!$B$2:$B$1000,ROWS($A$5:A270)),IF(ROWS($A$5:A270)-COUNTA('Raw Decommissioning'!$B$2:$B$1000)&lt;=COUNTA('Raw Provisioning'!$B$2:$B$1000),INDEX('Raw Provisioning'!$B$2:$B$1000,ROWS($A$5:A270)-COUNTA('Raw Decommissioning'!$B$2:$B$1000)),""))</x:f>
        <x:v>CSSP10675579</x:v>
      </x:c>
      <x:c r="B270" s="170" t="str">
        <x:f>IF(A270="","",IF(ROWS($A$5:A270)&lt;=COUNTA('Raw Decommissioning'!$B$2:$B$1000),"Decommissioning","Provisioning"))</x:f>
        <x:v>Decommissioning</x:v>
      </x:c>
      <x:c r="C270" s="170" t="str">
        <x:f>IF(A270="","",IF(B270="Decommissioning",IFERROR(INDEX('Raw Decommissioning'!$E$2:$E$1000,MATCH(A270,'Raw Decommissioning'!$B$2:$B$1000,0)),"Missing from latest raw"),IFERROR(INDEX('Raw Provisioning'!$E$2:$E$1000,MATCH(A270,'Raw Provisioning'!$B$2:$B$1000,0)),"Missing from latest raw")))</x:f>
        <x:v>pending</x:v>
      </x:c>
      <x:c r="D270" s="171" t="n">
        <x:f>IF(A270="","",'Refresh Control'!$B$4)</x:f>
        <x:v>46254</x:v>
      </x:c>
      <x:c r="E270" s="171" t="n">
        <x:f>IF(A270="","",IF(B270="Decommissioning",INDEX('Raw Decommissioning'!$F$2:$F$1000,ROWS($A$5:A270)),INDEX('Raw Provisioning'!$F$2:$F$1000,ROWS($A$5:A270)-COUNTA('Raw Decommissioning'!$B$2:$B$1000))))</x:f>
        <x:v>46205.094609768516</x:v>
      </x:c>
      <x:c r="F270" s="171" t="n">
        <x:f>IF(A270="","",IF(B270="Decommissioning",INDEX('Raw Decommissioning'!$G$2:$G$1000,ROWS($A$5:A270)),INDEX('Raw Provisioning'!$H$2:$H$1000,ROWS($A$5:A270)-COUNTA('Raw Decommissioning'!$B$2:$B$1000))))</x:f>
        <x:v>46205.104366747684</x:v>
      </x:c>
      <x:c r="G270" s="170" t="str">
        <x:f>IF(A270="","",IF(B270="Decommissioning",INDEX('Raw Decommissioning'!$I$2:$I$1000,ROWS($A$5:A270)),INDEX('Raw Provisioning'!$J$2:$J$1000,ROWS($A$5:A270)-COUNTA('Raw Decommissioning'!$B$2:$B$1000))))</x:f>
        <x:v>Cyber Security Zscaler Private Access</x:v>
      </x:c>
      <x:c r="H270" s="170" t="str">
        <x:f>IF(A270="","",IF(B270="Decommissioning",INDEX('Raw Decommissioning'!$J$2:$J$1000,ROWS($A$5:A270)),INDEX('Raw Provisioning'!$L$2:$L$1000,ROWS($A$5:A270)-COUNTA('Raw Decommissioning'!$B$2:$B$1000))))</x:f>
        <x:v>Zscaler Private Access</x:v>
      </x:c>
      <x:c r="I270" s="170" t="str">
        <x:f>IF(A270="","",IF(B270="Decommissioning",INDEX('Raw Decommissioning'!$AL$2:$AL$1000,ROWS($A$5:A270)),INDEX('Raw Provisioning'!$R$2:$R$1000,ROWS($A$5:A270)-COUNTA('Raw Decommissioning'!$B$2:$B$1000))))</x:f>
      </x:c>
      <x:c r="J270" s="170" t="str">
        <x:f>IF(A270="","",IF(B270="Decommissioning",INDEX('Raw Decommissioning'!$AG$2:$AG$1000,ROWS($A$5:A270)),INDEX('Raw Provisioning'!$AI$2:$AI$1000,ROWS($A$5:A270)-COUNTA('Raw Decommissioning'!$B$2:$B$1000))))</x:f>
        <x:v>CCoE Operations</x:v>
      </x:c>
      <x:c r="K270" s="172" t="str">
        <x:f>IF(A270="","",IFERROR(LOOKUP(2,1/('Assignment History'!$B$5:$B$204=A270),'Assignment History'!$D$5:$D$204),IFERROR(VLOOKUP(J270,Configuration!$L$5:$M$50,2,FALSE),J270)))</x:f>
        <x:v>CCoE Operations</x:v>
      </x:c>
      <x:c r="L270" s="172" t="str">
        <x:f>IF(A270="","",IF(K270=IFERROR(VLOOKUP(J270,Configuration!$L$5:$M$50,2,FALSE),J270),"Snapshot PIC","Replacement PIC"))</x:f>
        <x:v>Snapshot PIC</x:v>
      </x:c>
      <x:c r="M270" s="172" t="n">
        <x:f>IF(A270="","",IFERROR(VLOOKUP(I270,Configuration!$O$5:$P$8,2,FALSE),Configuration!$S$6))</x:f>
        <x:v>2</x:v>
      </x:c>
      <x:c r="N270" s="172" t="str">
        <x:f>IF(A270="","",IFERROR(LOOKUP(2,1/('Scope Review'!$B$5:$B$204=A270),'Scope Review'!$G$5:$G$204),"Not Reviewed"))</x:f>
        <x:v>Not Reviewed</x:v>
      </x:c>
      <x:c r="O270" s="172" t="str">
        <x:f>IF(A270="","",IFERROR(LOOKUP(2,1/('Scope Review'!$B$5:$B$204=A270),'Scope Review'!$H$5:$H$204),""))</x:f>
      </x:c>
      <x:c r="P270" s="172" t="n">
        <x:f>IF(A270="","",IF(AND(C270="executing",N270&lt;&gt;"Confirmed OOS"),M270,0))</x:f>
        <x:v>0</x:v>
      </x:c>
      <x:c r="Q270" s="173" t="str">
        <x:f>IF(A270="","",IFERROR(LOOKUP(2,1/('Engineer Updates'!$B$5:$B$704=A270),'Engineer Updates'!$A$5:$A$704),""))</x:f>
      </x:c>
      <x:c r="R270" s="172" t="str">
        <x:f>IF(A270="","",IFERROR(LOOKUP(2,1/('Engineer Updates'!$B$5:$B$704=A270),'Engineer Updates'!$H$5:$H$704),""))</x:f>
      </x:c>
      <x:c r="S270" s="172" t="str">
        <x:f>IF(A270="","",IFERROR(LOOKUP(2,1/('Engineer Updates'!$B$5:$B$704=A270),'Engineer Updates'!$G$5:$G$704),""))</x:f>
      </x:c>
      <x:c r="T270" s="172" t="str">
        <x:f>IF(A270="","",IFERROR(LOOKUP(2,1/('Engineer Updates'!$B$5:$B$704=A270),'Engineer Updates'!$I$5:$I$704),""))</x:f>
      </x:c>
      <x:c r="U270" s="172" t="str">
        <x:f>IF(A270="","",IFERROR(LOOKUP(2,1/('Engineer Updates'!$B$5:$B$704=A270),'Engineer Updates'!$J$5:$J$704),""))</x:f>
      </x:c>
      <x:c r="V270" s="172" t="str">
        <x:f>IF(A270="","",IFERROR(LOOKUP(2,1/('Engineer Updates'!$B$5:$B$704=A270),'Engineer Updates'!$K$5:$K$704),""))</x:f>
      </x:c>
      <x:c r="W270" s="174" t="str">
        <x:f>IF(A270="","",IFERROR(LOOKUP(2,1/('Engineer Updates'!$B$5:$B$704=A270),'Engineer Updates'!$L$5:$L$704),""))</x:f>
      </x:c>
      <x:c r="X270" s="170" t="str">
        <x:f>IF(A270="","",IF(C270="completed","Completed in CSSP",IF(AND(C270="executing",ISERROR(SEARCH("@",K270))),"Executing without named engineer",IF(AND(N270="Confirmed OOS",C270="executing"),"Confirmed OOS still executing",""))))</x:f>
      </x:c>
      <x:c r="Y270" s="170" t="str">
        <x:f>IF(A270="","",IF(B270="Decommissioning","Raw Decommissioning","Raw Provisioning"))</x:f>
        <x:v>Raw Decommissioning</x:v>
      </x:c>
      <x:c r="Z270" s="170" t="str">
        <x:f>IF(A270="","",IF(OR(C270="executing",C270="processing"),"Yes","No"))</x:f>
        <x:v>No</x:v>
      </x:c>
    </x:row>
    <x:row r="271">
      <x:c r="A271" s="170" t="str">
        <x:f>IF(ROWS($A$5:A271)&lt;=COUNTA('Raw Decommissioning'!$B$2:$B$1000),INDEX('Raw Decommissioning'!$B$2:$B$1000,ROWS($A$5:A271)),IF(ROWS($A$5:A271)-COUNTA('Raw Decommissioning'!$B$2:$B$1000)&lt;=COUNTA('Raw Provisioning'!$B$2:$B$1000),INDEX('Raw Provisioning'!$B$2:$B$1000,ROWS($A$5:A271)-COUNTA('Raw Decommissioning'!$B$2:$B$1000)),""))</x:f>
        <x:v>CSSP10339855</x:v>
      </x:c>
      <x:c r="B271" s="170" t="str">
        <x:f>IF(A271="","",IF(ROWS($A$5:A271)&lt;=COUNTA('Raw Decommissioning'!$B$2:$B$1000),"Decommissioning","Provisioning"))</x:f>
        <x:v>Decommissioning</x:v>
      </x:c>
      <x:c r="C271" s="170" t="str">
        <x:f>IF(A271="","",IF(B271="Decommissioning",IFERROR(INDEX('Raw Decommissioning'!$E$2:$E$1000,MATCH(A271,'Raw Decommissioning'!$B$2:$B$1000,0)),"Missing from latest raw"),IFERROR(INDEX('Raw Provisioning'!$E$2:$E$1000,MATCH(A271,'Raw Provisioning'!$B$2:$B$1000,0)),"Missing from latest raw")))</x:f>
        <x:v>completed</x:v>
      </x:c>
      <x:c r="D271" s="171" t="n">
        <x:f>IF(A271="","",'Refresh Control'!$B$4)</x:f>
        <x:v>46254</x:v>
      </x:c>
      <x:c r="E271" s="171" t="n">
        <x:f>IF(A271="","",IF(B271="Decommissioning",INDEX('Raw Decommissioning'!$F$2:$F$1000,ROWS($A$5:A271)),INDEX('Raw Provisioning'!$F$2:$F$1000,ROWS($A$5:A271)-COUNTA('Raw Decommissioning'!$B$2:$B$1000))))</x:f>
        <x:v>46206.29234789352</x:v>
      </x:c>
      <x:c r="F271" s="171" t="n">
        <x:f>IF(A271="","",IF(B271="Decommissioning",INDEX('Raw Decommissioning'!$G$2:$G$1000,ROWS($A$5:A271)),INDEX('Raw Provisioning'!$H$2:$H$1000,ROWS($A$5:A271)-COUNTA('Raw Decommissioning'!$B$2:$B$1000))))</x:f>
        <x:v>46239.66529978009</x:v>
      </x:c>
      <x:c r="G271" s="170" t="str">
        <x:f>IF(A271="","",IF(B271="Decommissioning",INDEX('Raw Decommissioning'!$I$2:$I$1000,ROWS($A$5:A271)),INDEX('Raw Provisioning'!$J$2:$J$1000,ROWS($A$5:A271)-COUNTA('Raw Decommissioning'!$B$2:$B$1000))))</x:f>
        <x:v>MyCareerX</x:v>
      </x:c>
      <x:c r="H271" s="170" t="str">
        <x:f>IF(A271="","",IF(B271="Decommissioning",INDEX('Raw Decommissioning'!$J$2:$J$1000,ROWS($A$5:A271)),INDEX('Raw Provisioning'!$L$2:$L$1000,ROWS($A$5:A271)-COUNTA('Raw Decommissioning'!$B$2:$B$1000))))</x:f>
        <x:v>MyCareerX : SPUR/Position Profile Automation</x:v>
      </x:c>
      <x:c r="I271" s="170" t="str">
        <x:f>IF(A271="","",IF(B271="Decommissioning",INDEX('Raw Decommissioning'!$AL$2:$AL$1000,ROWS($A$5:A271)),INDEX('Raw Provisioning'!$R$2:$R$1000,ROWS($A$5:A271)-COUNTA('Raw Decommissioning'!$B$2:$B$1000))))</x:f>
        <x:v>L</x:v>
      </x:c>
      <x:c r="J271" s="170" t="str">
        <x:f>IF(A271="","",IF(B271="Decommissioning",INDEX('Raw Decommissioning'!$AG$2:$AG$1000,ROWS($A$5:A271)),INDEX('Raw Provisioning'!$AI$2:$AI$1000,ROWS($A$5:A271)-COUNTA('Raw Decommissioning'!$B$2:$B$1000))))</x:f>
        <x:v>swaminadh.chirakala@petronas.com</x:v>
      </x:c>
      <x:c r="K271" s="172" t="str">
        <x:f>IF(A271="","",IFERROR(LOOKUP(2,1/('Assignment History'!$B$5:$B$204=A271),'Assignment History'!$D$5:$D$204),IFERROR(VLOOKUP(J271,Configuration!$L$5:$M$50,2,FALSE),J271)))</x:f>
        <x:v>swaminadh.chirakala@petronas.com</x:v>
      </x:c>
      <x:c r="L271" s="172" t="str">
        <x:f>IF(A271="","",IF(K271=IFERROR(VLOOKUP(J271,Configuration!$L$5:$M$50,2,FALSE),J271),"Snapshot PIC","Replacement PIC"))</x:f>
        <x:v>Snapshot PIC</x:v>
      </x:c>
      <x:c r="M271" s="172" t="n">
        <x:f>IF(A271="","",IFERROR(VLOOKUP(I271,Configuration!$O$5:$P$8,2,FALSE),Configuration!$S$6))</x:f>
        <x:v>3</x:v>
      </x:c>
      <x:c r="N271" s="172" t="str">
        <x:f>IF(A271="","",IFERROR(LOOKUP(2,1/('Scope Review'!$B$5:$B$204=A271),'Scope Review'!$G$5:$G$204),"Not Reviewed"))</x:f>
        <x:v>Not Reviewed</x:v>
      </x:c>
      <x:c r="O271" s="172" t="str">
        <x:f>IF(A271="","",IFERROR(LOOKUP(2,1/('Scope Review'!$B$5:$B$204=A271),'Scope Review'!$H$5:$H$204),""))</x:f>
      </x:c>
      <x:c r="P271" s="172" t="n">
        <x:f>IF(A271="","",IF(AND(C271="executing",N271&lt;&gt;"Confirmed OOS"),M271,0))</x:f>
        <x:v>0</x:v>
      </x:c>
      <x:c r="Q271" s="173" t="str">
        <x:f>IF(A271="","",IFERROR(LOOKUP(2,1/('Engineer Updates'!$B$5:$B$704=A271),'Engineer Updates'!$A$5:$A$704),""))</x:f>
      </x:c>
      <x:c r="R271" s="172" t="str">
        <x:f>IF(A271="","",IFERROR(LOOKUP(2,1/('Engineer Updates'!$B$5:$B$704=A271),'Engineer Updates'!$H$5:$H$704),""))</x:f>
      </x:c>
      <x:c r="S271" s="172" t="str">
        <x:f>IF(A271="","",IFERROR(LOOKUP(2,1/('Engineer Updates'!$B$5:$B$704=A271),'Engineer Updates'!$G$5:$G$704),""))</x:f>
      </x:c>
      <x:c r="T271" s="172" t="str">
        <x:f>IF(A271="","",IFERROR(LOOKUP(2,1/('Engineer Updates'!$B$5:$B$704=A271),'Engineer Updates'!$I$5:$I$704),""))</x:f>
      </x:c>
      <x:c r="U271" s="172" t="str">
        <x:f>IF(A271="","",IFERROR(LOOKUP(2,1/('Engineer Updates'!$B$5:$B$704=A271),'Engineer Updates'!$J$5:$J$704),""))</x:f>
      </x:c>
      <x:c r="V271" s="172" t="str">
        <x:f>IF(A271="","",IFERROR(LOOKUP(2,1/('Engineer Updates'!$B$5:$B$704=A271),'Engineer Updates'!$K$5:$K$704),""))</x:f>
      </x:c>
      <x:c r="W271" s="174" t="str">
        <x:f>IF(A271="","",IFERROR(LOOKUP(2,1/('Engineer Updates'!$B$5:$B$704=A271),'Engineer Updates'!$L$5:$L$704),""))</x:f>
      </x:c>
      <x:c r="X271" s="170" t="str">
        <x:f>IF(A271="","",IF(C271="completed","Completed in CSSP",IF(AND(C271="executing",ISERROR(SEARCH("@",K271))),"Executing without named engineer",IF(AND(N271="Confirmed OOS",C271="executing"),"Confirmed OOS still executing",""))))</x:f>
        <x:v>Completed in CSSP</x:v>
      </x:c>
      <x:c r="Y271" s="170" t="str">
        <x:f>IF(A271="","",IF(B271="Decommissioning","Raw Decommissioning","Raw Provisioning"))</x:f>
        <x:v>Raw Decommissioning</x:v>
      </x:c>
      <x:c r="Z271" s="170" t="str">
        <x:f>IF(A271="","",IF(OR(C271="executing",C271="processing"),"Yes","No"))</x:f>
        <x:v>No</x:v>
      </x:c>
    </x:row>
    <x:row r="272">
      <x:c r="A272" s="170" t="str">
        <x:f>IF(ROWS($A$5:A272)&lt;=COUNTA('Raw Decommissioning'!$B$2:$B$1000),INDEX('Raw Decommissioning'!$B$2:$B$1000,ROWS($A$5:A272)),IF(ROWS($A$5:A272)-COUNTA('Raw Decommissioning'!$B$2:$B$1000)&lt;=COUNTA('Raw Provisioning'!$B$2:$B$1000),INDEX('Raw Provisioning'!$B$2:$B$1000,ROWS($A$5:A272)-COUNTA('Raw Decommissioning'!$B$2:$B$1000)),""))</x:f>
        <x:v>CSSP10806185</x:v>
      </x:c>
      <x:c r="B272" s="170" t="str">
        <x:f>IF(A272="","",IF(ROWS($A$5:A272)&lt;=COUNTA('Raw Decommissioning'!$B$2:$B$1000),"Decommissioning","Provisioning"))</x:f>
        <x:v>Decommissioning</x:v>
      </x:c>
      <x:c r="C272" s="170" t="str">
        <x:f>IF(A272="","",IF(B272="Decommissioning",IFERROR(INDEX('Raw Decommissioning'!$E$2:$E$1000,MATCH(A272,'Raw Decommissioning'!$B$2:$B$1000,0)),"Missing from latest raw"),IFERROR(INDEX('Raw Provisioning'!$E$2:$E$1000,MATCH(A272,'Raw Provisioning'!$B$2:$B$1000,0)),"Missing from latest raw")))</x:f>
        <x:v>rejected</x:v>
      </x:c>
      <x:c r="D272" s="171" t="n">
        <x:f>IF(A272="","",'Refresh Control'!$B$4)</x:f>
        <x:v>46254</x:v>
      </x:c>
      <x:c r="E272" s="171" t="n">
        <x:f>IF(A272="","",IF(B272="Decommissioning",INDEX('Raw Decommissioning'!$F$2:$F$1000,ROWS($A$5:A272)),INDEX('Raw Provisioning'!$F$2:$F$1000,ROWS($A$5:A272)-COUNTA('Raw Decommissioning'!$B$2:$B$1000))))</x:f>
        <x:v>46206.32069577547</x:v>
      </x:c>
      <x:c r="F272" s="171" t="n">
        <x:f>IF(A272="","",IF(B272="Decommissioning",INDEX('Raw Decommissioning'!$G$2:$G$1000,ROWS($A$5:A272)),INDEX('Raw Provisioning'!$H$2:$H$1000,ROWS($A$5:A272)-COUNTA('Raw Decommissioning'!$B$2:$B$1000))))</x:f>
        <x:v>46206.33159288194</x:v>
      </x:c>
      <x:c r="G272" s="170" t="str">
        <x:f>IF(A272="","",IF(B272="Decommissioning",INDEX('Raw Decommissioning'!$I$2:$I$1000,ROWS($A$5:A272)),INDEX('Raw Provisioning'!$J$2:$J$1000,ROWS($A$5:A272)-COUNTA('Raw Decommissioning'!$B$2:$B$1000))))</x:f>
        <x:v>Enterprise Data Protection and Recovery - EDPR</x:v>
      </x:c>
      <x:c r="H272" s="170" t="str">
        <x:f>IF(A272="","",IF(B272="Decommissioning",INDEX('Raw Decommissioning'!$J$2:$J$1000,ROWS($A$5:A272)),INDEX('Raw Provisioning'!$L$2:$L$1000,ROWS($A$5:A272)-COUNTA('Raw Decommissioning'!$B$2:$B$1000))))</x:f>
        <x:v>Enterprise Data Protection and Recovery (EPDR)</x:v>
      </x:c>
      <x:c r="I272" s="170" t="str">
        <x:f>IF(A272="","",IF(B272="Decommissioning",INDEX('Raw Decommissioning'!$AL$2:$AL$1000,ROWS($A$5:A272)),INDEX('Raw Provisioning'!$R$2:$R$1000,ROWS($A$5:A272)-COUNTA('Raw Decommissioning'!$B$2:$B$1000))))</x:f>
      </x:c>
      <x:c r="J272" s="170" t="str">
        <x:f>IF(A272="","",IF(B272="Decommissioning",INDEX('Raw Decommissioning'!$AG$2:$AG$1000,ROWS($A$5:A272)),INDEX('Raw Provisioning'!$AI$2:$AI$1000,ROWS($A$5:A272)-COUNTA('Raw Decommissioning'!$B$2:$B$1000))))</x:f>
        <x:v>CCoE Operations</x:v>
      </x:c>
      <x:c r="K272" s="172" t="str">
        <x:f>IF(A272="","",IFERROR(LOOKUP(2,1/('Assignment History'!$B$5:$B$204=A272),'Assignment History'!$D$5:$D$204),IFERROR(VLOOKUP(J272,Configuration!$L$5:$M$50,2,FALSE),J272)))</x:f>
        <x:v>CCoE Operations</x:v>
      </x:c>
      <x:c r="L272" s="172" t="str">
        <x:f>IF(A272="","",IF(K272=IFERROR(VLOOKUP(J272,Configuration!$L$5:$M$50,2,FALSE),J272),"Snapshot PIC","Replacement PIC"))</x:f>
        <x:v>Snapshot PIC</x:v>
      </x:c>
      <x:c r="M272" s="172" t="n">
        <x:f>IF(A272="","",IFERROR(VLOOKUP(I272,Configuration!$O$5:$P$8,2,FALSE),Configuration!$S$6))</x:f>
        <x:v>2</x:v>
      </x:c>
      <x:c r="N272" s="172" t="str">
        <x:f>IF(A272="","",IFERROR(LOOKUP(2,1/('Scope Review'!$B$5:$B$204=A272),'Scope Review'!$G$5:$G$204),"Not Reviewed"))</x:f>
        <x:v>Not Reviewed</x:v>
      </x:c>
      <x:c r="O272" s="172" t="str">
        <x:f>IF(A272="","",IFERROR(LOOKUP(2,1/('Scope Review'!$B$5:$B$204=A272),'Scope Review'!$H$5:$H$204),""))</x:f>
      </x:c>
      <x:c r="P272" s="172" t="n">
        <x:f>IF(A272="","",IF(AND(C272="executing",N272&lt;&gt;"Confirmed OOS"),M272,0))</x:f>
        <x:v>0</x:v>
      </x:c>
      <x:c r="Q272" s="173" t="str">
        <x:f>IF(A272="","",IFERROR(LOOKUP(2,1/('Engineer Updates'!$B$5:$B$704=A272),'Engineer Updates'!$A$5:$A$704),""))</x:f>
      </x:c>
      <x:c r="R272" s="172" t="str">
        <x:f>IF(A272="","",IFERROR(LOOKUP(2,1/('Engineer Updates'!$B$5:$B$704=A272),'Engineer Updates'!$H$5:$H$704),""))</x:f>
      </x:c>
      <x:c r="S272" s="172" t="str">
        <x:f>IF(A272="","",IFERROR(LOOKUP(2,1/('Engineer Updates'!$B$5:$B$704=A272),'Engineer Updates'!$G$5:$G$704),""))</x:f>
      </x:c>
      <x:c r="T272" s="172" t="str">
        <x:f>IF(A272="","",IFERROR(LOOKUP(2,1/('Engineer Updates'!$B$5:$B$704=A272),'Engineer Updates'!$I$5:$I$704),""))</x:f>
      </x:c>
      <x:c r="U272" s="172" t="str">
        <x:f>IF(A272="","",IFERROR(LOOKUP(2,1/('Engineer Updates'!$B$5:$B$704=A272),'Engineer Updates'!$J$5:$J$704),""))</x:f>
      </x:c>
      <x:c r="V272" s="172" t="str">
        <x:f>IF(A272="","",IFERROR(LOOKUP(2,1/('Engineer Updates'!$B$5:$B$704=A272),'Engineer Updates'!$K$5:$K$704),""))</x:f>
      </x:c>
      <x:c r="W272" s="174" t="str">
        <x:f>IF(A272="","",IFERROR(LOOKUP(2,1/('Engineer Updates'!$B$5:$B$704=A272),'Engineer Updates'!$L$5:$L$704),""))</x:f>
      </x:c>
      <x:c r="X272" s="170" t="str">
        <x:f>IF(A272="","",IF(C272="completed","Completed in CSSP",IF(AND(C272="executing",ISERROR(SEARCH("@",K272))),"Executing without named engineer",IF(AND(N272="Confirmed OOS",C272="executing"),"Confirmed OOS still executing",""))))</x:f>
      </x:c>
      <x:c r="Y272" s="170" t="str">
        <x:f>IF(A272="","",IF(B272="Decommissioning","Raw Decommissioning","Raw Provisioning"))</x:f>
        <x:v>Raw Decommissioning</x:v>
      </x:c>
      <x:c r="Z272" s="170" t="str">
        <x:f>IF(A272="","",IF(OR(C272="executing",C272="processing"),"Yes","No"))</x:f>
        <x:v>No</x:v>
      </x:c>
    </x:row>
    <x:row r="273">
      <x:c r="A273" s="170" t="str">
        <x:f>IF(ROWS($A$5:A273)&lt;=COUNTA('Raw Decommissioning'!$B$2:$B$1000),INDEX('Raw Decommissioning'!$B$2:$B$1000,ROWS($A$5:A273)),IF(ROWS($A$5:A273)-COUNTA('Raw Decommissioning'!$B$2:$B$1000)&lt;=COUNTA('Raw Provisioning'!$B$2:$B$1000),INDEX('Raw Provisioning'!$B$2:$B$1000,ROWS($A$5:A273)-COUNTA('Raw Decommissioning'!$B$2:$B$1000)),""))</x:f>
        <x:v>CSSP10689831</x:v>
      </x:c>
      <x:c r="B273" s="170" t="str">
        <x:f>IF(A273="","",IF(ROWS($A$5:A273)&lt;=COUNTA('Raw Decommissioning'!$B$2:$B$1000),"Decommissioning","Provisioning"))</x:f>
        <x:v>Decommissioning</x:v>
      </x:c>
      <x:c r="C273" s="170" t="str">
        <x:f>IF(A273="","",IF(B273="Decommissioning",IFERROR(INDEX('Raw Decommissioning'!$E$2:$E$1000,MATCH(A273,'Raw Decommissioning'!$B$2:$B$1000,0)),"Missing from latest raw"),IFERROR(INDEX('Raw Provisioning'!$E$2:$E$1000,MATCH(A273,'Raw Provisioning'!$B$2:$B$1000,0)),"Missing from latest raw")))</x:f>
        <x:v>executing</x:v>
      </x:c>
      <x:c r="D273" s="171" t="n">
        <x:f>IF(A273="","",'Refresh Control'!$B$4)</x:f>
        <x:v>46254</x:v>
      </x:c>
      <x:c r="E273" s="171" t="n">
        <x:f>IF(A273="","",IF(B273="Decommissioning",INDEX('Raw Decommissioning'!$F$2:$F$1000,ROWS($A$5:A273)),INDEX('Raw Provisioning'!$F$2:$F$1000,ROWS($A$5:A273)-COUNTA('Raw Decommissioning'!$B$2:$B$1000))))</x:f>
        <x:v>46206.33567287037</x:v>
      </x:c>
      <x:c r="F273" s="171" t="n">
        <x:f>IF(A273="","",IF(B273="Decommissioning",INDEX('Raw Decommissioning'!$G$2:$G$1000,ROWS($A$5:A273)),INDEX('Raw Provisioning'!$H$2:$H$1000,ROWS($A$5:A273)-COUNTA('Raw Decommissioning'!$B$2:$B$1000))))</x:f>
        <x:v>46239.623100185185</x:v>
      </x:c>
      <x:c r="G273" s="170" t="str">
        <x:f>IF(A273="","",IF(B273="Decommissioning",INDEX('Raw Decommissioning'!$I$2:$I$1000,ROWS($A$5:A273)),INDEX('Raw Provisioning'!$J$2:$J$1000,ROWS($A$5:A273)-COUNTA('Raw Decommissioning'!$B$2:$B$1000))))</x:f>
        <x:v>Enterprise Data Protection and Recovery - EDPR</x:v>
      </x:c>
      <x:c r="H273" s="170" t="str">
        <x:f>IF(A273="","",IF(B273="Decommissioning",INDEX('Raw Decommissioning'!$J$2:$J$1000,ROWS($A$5:A273)),INDEX('Raw Provisioning'!$L$2:$L$1000,ROWS($A$5:A273)-COUNTA('Raw Decommissioning'!$B$2:$B$1000))))</x:f>
        <x:v>Enterprise Data Protection and Recovery (EPDR)</x:v>
      </x:c>
      <x:c r="I273" s="170" t="str">
        <x:f>IF(A273="","",IF(B273="Decommissioning",INDEX('Raw Decommissioning'!$AL$2:$AL$1000,ROWS($A$5:A273)),INDEX('Raw Provisioning'!$R$2:$R$1000,ROWS($A$5:A273)-COUNTA('Raw Decommissioning'!$B$2:$B$1000))))</x:f>
        <x:v>S</x:v>
      </x:c>
      <x:c r="J273" s="170" t="str">
        <x:f>IF(A273="","",IF(B273="Decommissioning",INDEX('Raw Decommissioning'!$AG$2:$AG$1000,ROWS($A$5:A273)),INDEX('Raw Provisioning'!$AI$2:$AI$1000,ROWS($A$5:A273)-COUNTA('Raw Decommissioning'!$B$2:$B$1000))))</x:f>
        <x:v>amarja.kawade@petronas.com</x:v>
      </x:c>
      <x:c r="K273" s="172" t="str">
        <x:f>IF(A273="","",IFERROR(LOOKUP(2,1/('Assignment History'!$B$5:$B$204=A273),'Assignment History'!$D$5:$D$204),IFERROR(VLOOKUP(J273,Configuration!$L$5:$M$50,2,FALSE),J273)))</x:f>
        <x:v>amarja.kawade@petronas.com</x:v>
      </x:c>
      <x:c r="L273" s="172" t="str">
        <x:f>IF(A273="","",IF(K273=IFERROR(VLOOKUP(J273,Configuration!$L$5:$M$50,2,FALSE),J273),"Snapshot PIC","Replacement PIC"))</x:f>
        <x:v>Snapshot PIC</x:v>
      </x:c>
      <x:c r="M273" s="172" t="n">
        <x:f>IF(A273="","",IFERROR(VLOOKUP(I273,Configuration!$O$5:$P$8,2,FALSE),Configuration!$S$6))</x:f>
        <x:v>1</x:v>
      </x:c>
      <x:c r="N273" s="172" t="str">
        <x:f>IF(A273="","",IFERROR(LOOKUP(2,1/('Scope Review'!$B$5:$B$204=A273),'Scope Review'!$G$5:$G$204),"Not Reviewed"))</x:f>
        <x:v>Not Reviewed</x:v>
      </x:c>
      <x:c r="O273" s="172" t="str">
        <x:f>IF(A273="","",IFERROR(LOOKUP(2,1/('Scope Review'!$B$5:$B$204=A273),'Scope Review'!$H$5:$H$204),""))</x:f>
      </x:c>
      <x:c r="P273" s="172" t="n">
        <x:f>IF(A273="","",IF(AND(C273="executing",N273&lt;&gt;"Confirmed OOS"),M273,0))</x:f>
        <x:v>1</x:v>
      </x:c>
      <x:c r="Q273" s="173" t="n">
        <x:f>IF(A273="","",IFERROR(LOOKUP(2,1/('Engineer Updates'!$B$5:$B$704=A273),'Engineer Updates'!$A$5:$A$704),""))</x:f>
        <x:v>46251</x:v>
      </x:c>
      <x:c r="R273" s="172" t="str">
        <x:f>IF(A273="","",IFERROR(LOOKUP(2,1/('Engineer Updates'!$B$5:$B$704=A273),'Engineer Updates'!$H$5:$H$704),""))</x:f>
        <x:v>Not Started</x:v>
      </x:c>
      <x:c r="S273" s="172" t="str">
        <x:f>IF(A273="","",IFERROR(LOOKUP(2,1/('Engineer Updates'!$B$5:$B$704=A273),'Engineer Updates'!$G$5:$G$704),""))</x:f>
      </x:c>
      <x:c r="T273" s="172" t="str">
        <x:f>IF(A273="","",IFERROR(LOOKUP(2,1/('Engineer Updates'!$B$5:$B$704=A273),'Engineer Updates'!$I$5:$I$704),""))</x:f>
      </x:c>
      <x:c r="U273" s="172" t="str">
        <x:f>IF(A273="","",IFERROR(LOOKUP(2,1/('Engineer Updates'!$B$5:$B$704=A273),'Engineer Updates'!$J$5:$J$704),""))</x:f>
      </x:c>
      <x:c r="V273" s="172" t="str">
        <x:f>IF(A273="","",IFERROR(LOOKUP(2,1/('Engineer Updates'!$B$5:$B$704=A273),'Engineer Updates'!$K$5:$K$704),""))</x:f>
      </x:c>
      <x:c r="W273" s="174" t="str">
        <x:f>IF(A273="","",IFERROR(LOOKUP(2,1/('Engineer Updates'!$B$5:$B$704=A273),'Engineer Updates'!$L$5:$L$704),""))</x:f>
      </x:c>
      <x:c r="X273" s="170" t="str">
        <x:f>IF(A273="","",IF(C273="completed","Completed in CSSP",IF(AND(C273="executing",ISERROR(SEARCH("@",K273))),"Executing without named engineer",IF(AND(N273="Confirmed OOS",C273="executing"),"Confirmed OOS still executing",""))))</x:f>
      </x:c>
      <x:c r="Y273" s="170" t="str">
        <x:f>IF(A273="","",IF(B273="Decommissioning","Raw Decommissioning","Raw Provisioning"))</x:f>
        <x:v>Raw Decommissioning</x:v>
      </x:c>
      <x:c r="Z273" s="170" t="str">
        <x:f>IF(A273="","",IF(OR(C273="executing",C273="processing"),"Yes","No"))</x:f>
        <x:v>Yes</x:v>
      </x:c>
    </x:row>
    <x:row r="274">
      <x:c r="A274" s="170" t="str">
        <x:f>IF(ROWS($A$5:A274)&lt;=COUNTA('Raw Decommissioning'!$B$2:$B$1000),INDEX('Raw Decommissioning'!$B$2:$B$1000,ROWS($A$5:A274)),IF(ROWS($A$5:A274)-COUNTA('Raw Decommissioning'!$B$2:$B$1000)&lt;=COUNTA('Raw Provisioning'!$B$2:$B$1000),INDEX('Raw Provisioning'!$B$2:$B$1000,ROWS($A$5:A274)-COUNTA('Raw Decommissioning'!$B$2:$B$1000)),""))</x:f>
        <x:v>CSSP10707625</x:v>
      </x:c>
      <x:c r="B274" s="170" t="str">
        <x:f>IF(A274="","",IF(ROWS($A$5:A274)&lt;=COUNTA('Raw Decommissioning'!$B$2:$B$1000),"Decommissioning","Provisioning"))</x:f>
        <x:v>Decommissioning</x:v>
      </x:c>
      <x:c r="C274" s="170" t="str">
        <x:f>IF(A274="","",IF(B274="Decommissioning",IFERROR(INDEX('Raw Decommissioning'!$E$2:$E$1000,MATCH(A274,'Raw Decommissioning'!$B$2:$B$1000,0)),"Missing from latest raw"),IFERROR(INDEX('Raw Provisioning'!$E$2:$E$1000,MATCH(A274,'Raw Provisioning'!$B$2:$B$1000,0)),"Missing from latest raw")))</x:f>
        <x:v>cancelled</x:v>
      </x:c>
      <x:c r="D274" s="171" t="n">
        <x:f>IF(A274="","",'Refresh Control'!$B$4)</x:f>
        <x:v>46254</x:v>
      </x:c>
      <x:c r="E274" s="171" t="n">
        <x:f>IF(A274="","",IF(B274="Decommissioning",INDEX('Raw Decommissioning'!$F$2:$F$1000,ROWS($A$5:A274)),INDEX('Raw Provisioning'!$F$2:$F$1000,ROWS($A$5:A274)-COUNTA('Raw Decommissioning'!$B$2:$B$1000))))</x:f>
        <x:v>46206.37225483797</x:v>
      </x:c>
      <x:c r="F274" s="171" t="n">
        <x:f>IF(A274="","",IF(B274="Decommissioning",INDEX('Raw Decommissioning'!$G$2:$G$1000,ROWS($A$5:A274)),INDEX('Raw Provisioning'!$H$2:$H$1000,ROWS($A$5:A274)-COUNTA('Raw Decommissioning'!$B$2:$B$1000))))</x:f>
        <x:v>46237.20088787037</x:v>
      </x:c>
      <x:c r="G274" s="170" t="str">
        <x:f>IF(A274="","",IF(B274="Decommissioning",INDEX('Raw Decommissioning'!$I$2:$I$1000,ROWS($A$5:A274)),INDEX('Raw Provisioning'!$J$2:$J$1000,ROWS($A$5:A274)-COUNTA('Raw Decommissioning'!$B$2:$B$1000))))</x:f>
        <x:v>Plant Information - PI Hub Downstream</x:v>
      </x:c>
      <x:c r="H274" s="170" t="str">
        <x:f>IF(A274="","",IF(B274="Decommissioning",INDEX('Raw Decommissioning'!$J$2:$J$1000,ROWS($A$5:A274)),INDEX('Raw Provisioning'!$L$2:$L$1000,ROWS($A$5:A274)-COUNTA('Raw Decommissioning'!$B$2:$B$1000))))</x:f>
        <x:v>CTP Old to New LZ - Enterprise PI Hub Downstream</x:v>
      </x:c>
      <x:c r="I274" s="170" t="str">
        <x:f>IF(A274="","",IF(B274="Decommissioning",INDEX('Raw Decommissioning'!$AL$2:$AL$1000,ROWS($A$5:A274)),INDEX('Raw Provisioning'!$R$2:$R$1000,ROWS($A$5:A274)-COUNTA('Raw Decommissioning'!$B$2:$B$1000))))</x:f>
        <x:v>M</x:v>
      </x:c>
      <x:c r="J274" s="170" t="str">
        <x:f>IF(A274="","",IF(B274="Decommissioning",INDEX('Raw Decommissioning'!$AG$2:$AG$1000,ROWS($A$5:A274)),INDEX('Raw Provisioning'!$AI$2:$AI$1000,ROWS($A$5:A274)-COUNTA('Raw Decommissioning'!$B$2:$B$1000))))</x:f>
        <x:v>IMS - CLOUD CSSP EXECUTOR</x:v>
      </x:c>
      <x:c r="K274" s="172" t="str">
        <x:f>IF(A274="","",IFERROR(LOOKUP(2,1/('Assignment History'!$B$5:$B$204=A274),'Assignment History'!$D$5:$D$204),IFERROR(VLOOKUP(J274,Configuration!$L$5:$M$50,2,FALSE),J274)))</x:f>
        <x:v>IMS - CLOUD CSSP EXECUTOR</x:v>
      </x:c>
      <x:c r="L274" s="172" t="str">
        <x:f>IF(A274="","",IF(K274=IFERROR(VLOOKUP(J274,Configuration!$L$5:$M$50,2,FALSE),J274),"Snapshot PIC","Replacement PIC"))</x:f>
        <x:v>Snapshot PIC</x:v>
      </x:c>
      <x:c r="M274" s="172" t="n">
        <x:f>IF(A274="","",IFERROR(VLOOKUP(I274,Configuration!$O$5:$P$8,2,FALSE),Configuration!$S$6))</x:f>
        <x:v>2</x:v>
      </x:c>
      <x:c r="N274" s="172" t="str">
        <x:f>IF(A274="","",IFERROR(LOOKUP(2,1/('Scope Review'!$B$5:$B$204=A274),'Scope Review'!$G$5:$G$204),"Not Reviewed"))</x:f>
        <x:v>Not Reviewed</x:v>
      </x:c>
      <x:c r="O274" s="172" t="str">
        <x:f>IF(A274="","",IFERROR(LOOKUP(2,1/('Scope Review'!$B$5:$B$204=A274),'Scope Review'!$H$5:$H$204),""))</x:f>
      </x:c>
      <x:c r="P274" s="172" t="n">
        <x:f>IF(A274="","",IF(AND(C274="executing",N274&lt;&gt;"Confirmed OOS"),M274,0))</x:f>
        <x:v>0</x:v>
      </x:c>
      <x:c r="Q274" s="173" t="str">
        <x:f>IF(A274="","",IFERROR(LOOKUP(2,1/('Engineer Updates'!$B$5:$B$704=A274),'Engineer Updates'!$A$5:$A$704),""))</x:f>
      </x:c>
      <x:c r="R274" s="172" t="str">
        <x:f>IF(A274="","",IFERROR(LOOKUP(2,1/('Engineer Updates'!$B$5:$B$704=A274),'Engineer Updates'!$H$5:$H$704),""))</x:f>
      </x:c>
      <x:c r="S274" s="172" t="str">
        <x:f>IF(A274="","",IFERROR(LOOKUP(2,1/('Engineer Updates'!$B$5:$B$704=A274),'Engineer Updates'!$G$5:$G$704),""))</x:f>
      </x:c>
      <x:c r="T274" s="172" t="str">
        <x:f>IF(A274="","",IFERROR(LOOKUP(2,1/('Engineer Updates'!$B$5:$B$704=A274),'Engineer Updates'!$I$5:$I$704),""))</x:f>
      </x:c>
      <x:c r="U274" s="172" t="str">
        <x:f>IF(A274="","",IFERROR(LOOKUP(2,1/('Engineer Updates'!$B$5:$B$704=A274),'Engineer Updates'!$J$5:$J$704),""))</x:f>
      </x:c>
      <x:c r="V274" s="172" t="str">
        <x:f>IF(A274="","",IFERROR(LOOKUP(2,1/('Engineer Updates'!$B$5:$B$704=A274),'Engineer Updates'!$K$5:$K$704),""))</x:f>
      </x:c>
      <x:c r="W274" s="174" t="str">
        <x:f>IF(A274="","",IFERROR(LOOKUP(2,1/('Engineer Updates'!$B$5:$B$704=A274),'Engineer Updates'!$L$5:$L$704),""))</x:f>
      </x:c>
      <x:c r="X274" s="170" t="str">
        <x:f>IF(A274="","",IF(C274="completed","Completed in CSSP",IF(AND(C274="executing",ISERROR(SEARCH("@",K274))),"Executing without named engineer",IF(AND(N274="Confirmed OOS",C274="executing"),"Confirmed OOS still executing",""))))</x:f>
      </x:c>
      <x:c r="Y274" s="170" t="str">
        <x:f>IF(A274="","",IF(B274="Decommissioning","Raw Decommissioning","Raw Provisioning"))</x:f>
        <x:v>Raw Decommissioning</x:v>
      </x:c>
      <x:c r="Z274" s="170" t="str">
        <x:f>IF(A274="","",IF(OR(C274="executing",C274="processing"),"Yes","No"))</x:f>
        <x:v>No</x:v>
      </x:c>
    </x:row>
    <x:row r="275">
      <x:c r="A275" s="170" t="str">
        <x:f>IF(ROWS($A$5:A275)&lt;=COUNTA('Raw Decommissioning'!$B$2:$B$1000),INDEX('Raw Decommissioning'!$B$2:$B$1000,ROWS($A$5:A275)),IF(ROWS($A$5:A275)-COUNTA('Raw Decommissioning'!$B$2:$B$1000)&lt;=COUNTA('Raw Provisioning'!$B$2:$B$1000),INDEX('Raw Provisioning'!$B$2:$B$1000,ROWS($A$5:A275)-COUNTA('Raw Decommissioning'!$B$2:$B$1000)),""))</x:f>
        <x:v>CSSP10492699</x:v>
      </x:c>
      <x:c r="B275" s="170" t="str">
        <x:f>IF(A275="","",IF(ROWS($A$5:A275)&lt;=COUNTA('Raw Decommissioning'!$B$2:$B$1000),"Decommissioning","Provisioning"))</x:f>
        <x:v>Decommissioning</x:v>
      </x:c>
      <x:c r="C275" s="170" t="str">
        <x:f>IF(A275="","",IF(B275="Decommissioning",IFERROR(INDEX('Raw Decommissioning'!$E$2:$E$1000,MATCH(A275,'Raw Decommissioning'!$B$2:$B$1000,0)),"Missing from latest raw"),IFERROR(INDEX('Raw Provisioning'!$E$2:$E$1000,MATCH(A275,'Raw Provisioning'!$B$2:$B$1000,0)),"Missing from latest raw")))</x:f>
        <x:v>cancelled</x:v>
      </x:c>
      <x:c r="D275" s="171" t="n">
        <x:f>IF(A275="","",'Refresh Control'!$B$4)</x:f>
        <x:v>46254</x:v>
      </x:c>
      <x:c r="E275" s="171" t="n">
        <x:f>IF(A275="","",IF(B275="Decommissioning",INDEX('Raw Decommissioning'!$F$2:$F$1000,ROWS($A$5:A275)),INDEX('Raw Provisioning'!$F$2:$F$1000,ROWS($A$5:A275)-COUNTA('Raw Decommissioning'!$B$2:$B$1000))))</x:f>
        <x:v>46206.38081644676</x:v>
      </x:c>
      <x:c r="F275" s="171" t="n">
        <x:f>IF(A275="","",IF(B275="Decommissioning",INDEX('Raw Decommissioning'!$G$2:$G$1000,ROWS($A$5:A275)),INDEX('Raw Provisioning'!$H$2:$H$1000,ROWS($A$5:A275)-COUNTA('Raw Decommissioning'!$B$2:$B$1000))))</x:f>
        <x:v>46237.19976795139</x:v>
      </x:c>
      <x:c r="G275" s="170" t="str">
        <x:f>IF(A275="","",IF(B275="Decommissioning",INDEX('Raw Decommissioning'!$I$2:$I$1000,ROWS($A$5:A275)),INDEX('Raw Provisioning'!$J$2:$J$1000,ROWS($A$5:A275)-COUNTA('Raw Decommissioning'!$B$2:$B$1000))))</x:f>
        <x:v>Plant Information - PI Enterprise</x:v>
      </x:c>
      <x:c r="H275" s="170" t="str">
        <x:f>IF(A275="","",IF(B275="Decommissioning",INDEX('Raw Decommissioning'!$J$2:$J$1000,ROWS($A$5:A275)),INDEX('Raw Provisioning'!$L$2:$L$1000,ROWS($A$5:A275)-COUNTA('Raw Decommissioning'!$B$2:$B$1000))))</x:f>
        <x:v>CTP Old to New LZ - PI Enterprise</x:v>
      </x:c>
      <x:c r="I275" s="170" t="str">
        <x:f>IF(A275="","",IF(B275="Decommissioning",INDEX('Raw Decommissioning'!$AL$2:$AL$1000,ROWS($A$5:A275)),INDEX('Raw Provisioning'!$R$2:$R$1000,ROWS($A$5:A275)-COUNTA('Raw Decommissioning'!$B$2:$B$1000))))</x:f>
        <x:v>M</x:v>
      </x:c>
      <x:c r="J275" s="170" t="str">
        <x:f>IF(A275="","",IF(B275="Decommissioning",INDEX('Raw Decommissioning'!$AG$2:$AG$1000,ROWS($A$5:A275)),INDEX('Raw Provisioning'!$AI$2:$AI$1000,ROWS($A$5:A275)-COUNTA('Raw Decommissioning'!$B$2:$B$1000))))</x:f>
        <x:v>IMS - CLOUD CSSP EXECUTOR</x:v>
      </x:c>
      <x:c r="K275" s="172" t="str">
        <x:f>IF(A275="","",IFERROR(LOOKUP(2,1/('Assignment History'!$B$5:$B$204=A275),'Assignment History'!$D$5:$D$204),IFERROR(VLOOKUP(J275,Configuration!$L$5:$M$50,2,FALSE),J275)))</x:f>
        <x:v>IMS - CLOUD CSSP EXECUTOR</x:v>
      </x:c>
      <x:c r="L275" s="172" t="str">
        <x:f>IF(A275="","",IF(K275=IFERROR(VLOOKUP(J275,Configuration!$L$5:$M$50,2,FALSE),J275),"Snapshot PIC","Replacement PIC"))</x:f>
        <x:v>Snapshot PIC</x:v>
      </x:c>
      <x:c r="M275" s="172" t="n">
        <x:f>IF(A275="","",IFERROR(VLOOKUP(I275,Configuration!$O$5:$P$8,2,FALSE),Configuration!$S$6))</x:f>
        <x:v>2</x:v>
      </x:c>
      <x:c r="N275" s="172" t="str">
        <x:f>IF(A275="","",IFERROR(LOOKUP(2,1/('Scope Review'!$B$5:$B$204=A275),'Scope Review'!$G$5:$G$204),"Not Reviewed"))</x:f>
        <x:v>Not Reviewed</x:v>
      </x:c>
      <x:c r="O275" s="172" t="str">
        <x:f>IF(A275="","",IFERROR(LOOKUP(2,1/('Scope Review'!$B$5:$B$204=A275),'Scope Review'!$H$5:$H$204),""))</x:f>
      </x:c>
      <x:c r="P275" s="172" t="n">
        <x:f>IF(A275="","",IF(AND(C275="executing",N275&lt;&gt;"Confirmed OOS"),M275,0))</x:f>
        <x:v>0</x:v>
      </x:c>
      <x:c r="Q275" s="173" t="str">
        <x:f>IF(A275="","",IFERROR(LOOKUP(2,1/('Engineer Updates'!$B$5:$B$704=A275),'Engineer Updates'!$A$5:$A$704),""))</x:f>
      </x:c>
      <x:c r="R275" s="172" t="str">
        <x:f>IF(A275="","",IFERROR(LOOKUP(2,1/('Engineer Updates'!$B$5:$B$704=A275),'Engineer Updates'!$H$5:$H$704),""))</x:f>
      </x:c>
      <x:c r="S275" s="172" t="str">
        <x:f>IF(A275="","",IFERROR(LOOKUP(2,1/('Engineer Updates'!$B$5:$B$704=A275),'Engineer Updates'!$G$5:$G$704),""))</x:f>
      </x:c>
      <x:c r="T275" s="172" t="str">
        <x:f>IF(A275="","",IFERROR(LOOKUP(2,1/('Engineer Updates'!$B$5:$B$704=A275),'Engineer Updates'!$I$5:$I$704),""))</x:f>
      </x:c>
      <x:c r="U275" s="172" t="str">
        <x:f>IF(A275="","",IFERROR(LOOKUP(2,1/('Engineer Updates'!$B$5:$B$704=A275),'Engineer Updates'!$J$5:$J$704),""))</x:f>
      </x:c>
      <x:c r="V275" s="172" t="str">
        <x:f>IF(A275="","",IFERROR(LOOKUP(2,1/('Engineer Updates'!$B$5:$B$704=A275),'Engineer Updates'!$K$5:$K$704),""))</x:f>
      </x:c>
      <x:c r="W275" s="174" t="str">
        <x:f>IF(A275="","",IFERROR(LOOKUP(2,1/('Engineer Updates'!$B$5:$B$704=A275),'Engineer Updates'!$L$5:$L$704),""))</x:f>
      </x:c>
      <x:c r="X275" s="170" t="str">
        <x:f>IF(A275="","",IF(C275="completed","Completed in CSSP",IF(AND(C275="executing",ISERROR(SEARCH("@",K275))),"Executing without named engineer",IF(AND(N275="Confirmed OOS",C275="executing"),"Confirmed OOS still executing",""))))</x:f>
      </x:c>
      <x:c r="Y275" s="170" t="str">
        <x:f>IF(A275="","",IF(B275="Decommissioning","Raw Decommissioning","Raw Provisioning"))</x:f>
        <x:v>Raw Decommissioning</x:v>
      </x:c>
      <x:c r="Z275" s="170" t="str">
        <x:f>IF(A275="","",IF(OR(C275="executing",C275="processing"),"Yes","No"))</x:f>
        <x:v>No</x:v>
      </x:c>
    </x:row>
    <x:row r="276">
      <x:c r="A276" s="170" t="str">
        <x:f>IF(ROWS($A$5:A276)&lt;=COUNTA('Raw Decommissioning'!$B$2:$B$1000),INDEX('Raw Decommissioning'!$B$2:$B$1000,ROWS($A$5:A276)),IF(ROWS($A$5:A276)-COUNTA('Raw Decommissioning'!$B$2:$B$1000)&lt;=COUNTA('Raw Provisioning'!$B$2:$B$1000),INDEX('Raw Provisioning'!$B$2:$B$1000,ROWS($A$5:A276)-COUNTA('Raw Decommissioning'!$B$2:$B$1000)),""))</x:f>
        <x:v>CSSP10768118</x:v>
      </x:c>
      <x:c r="B276" s="170" t="str">
        <x:f>IF(A276="","",IF(ROWS($A$5:A276)&lt;=COUNTA('Raw Decommissioning'!$B$2:$B$1000),"Decommissioning","Provisioning"))</x:f>
        <x:v>Decommissioning</x:v>
      </x:c>
      <x:c r="C276" s="170" t="str">
        <x:f>IF(A276="","",IF(B276="Decommissioning",IFERROR(INDEX('Raw Decommissioning'!$E$2:$E$1000,MATCH(A276,'Raw Decommissioning'!$B$2:$B$1000,0)),"Missing from latest raw"),IFERROR(INDEX('Raw Provisioning'!$E$2:$E$1000,MATCH(A276,'Raw Provisioning'!$B$2:$B$1000,0)),"Missing from latest raw")))</x:f>
        <x:v>executing</x:v>
      </x:c>
      <x:c r="D276" s="171" t="n">
        <x:f>IF(A276="","",'Refresh Control'!$B$4)</x:f>
        <x:v>46254</x:v>
      </x:c>
      <x:c r="E276" s="171" t="n">
        <x:f>IF(A276="","",IF(B276="Decommissioning",INDEX('Raw Decommissioning'!$F$2:$F$1000,ROWS($A$5:A276)),INDEX('Raw Provisioning'!$F$2:$F$1000,ROWS($A$5:A276)-COUNTA('Raw Decommissioning'!$B$2:$B$1000))))</x:f>
        <x:v>46206.46205357639</x:v>
      </x:c>
      <x:c r="F276" s="171" t="n">
        <x:f>IF(A276="","",IF(B276="Decommissioning",INDEX('Raw Decommissioning'!$G$2:$G$1000,ROWS($A$5:A276)),INDEX('Raw Provisioning'!$H$2:$H$1000,ROWS($A$5:A276)-COUNTA('Raw Decommissioning'!$B$2:$B$1000))))</x:f>
        <x:v>46222.86294859953</x:v>
      </x:c>
      <x:c r="G276" s="170" t="str">
        <x:f>IF(A276="","",IF(B276="Decommissioning",INDEX('Raw Decommissioning'!$I$2:$I$1000,ROWS($A$5:A276)),INDEX('Raw Provisioning'!$J$2:$J$1000,ROWS($A$5:A276)-COUNTA('Raw Decommissioning'!$B$2:$B$1000))))</x:f>
        <x:v>Smart Planner</x:v>
      </x:c>
      <x:c r="H276" s="170" t="str">
        <x:f>IF(A276="","",IF(B276="Decommissioning",INDEX('Raw Decommissioning'!$J$2:$J$1000,ROWS($A$5:A276)),INDEX('Raw Provisioning'!$L$2:$L$1000,ROWS($A$5:A276)-COUNTA('Raw Decommissioning'!$B$2:$B$1000))))</x:f>
        <x:v>Smart Planner</x:v>
      </x:c>
      <x:c r="I276" s="170" t="str">
        <x:f>IF(A276="","",IF(B276="Decommissioning",INDEX('Raw Decommissioning'!$AL$2:$AL$1000,ROWS($A$5:A276)),INDEX('Raw Provisioning'!$R$2:$R$1000,ROWS($A$5:A276)-COUNTA('Raw Decommissioning'!$B$2:$B$1000))))</x:f>
        <x:v>S</x:v>
      </x:c>
      <x:c r="J276" s="170" t="str">
        <x:f>IF(A276="","",IF(B276="Decommissioning",INDEX('Raw Decommissioning'!$AG$2:$AG$1000,ROWS($A$5:A276)),INDEX('Raw Provisioning'!$AI$2:$AI$1000,ROWS($A$5:A276)-COUNTA('Raw Decommissioning'!$B$2:$B$1000))))</x:f>
        <x:v>amarja.kawde@petronas.com</x:v>
      </x:c>
      <x:c r="K276" s="172" t="str">
        <x:f>IF(A276="","",IFERROR(LOOKUP(2,1/('Assignment History'!$B$5:$B$204=A276),'Assignment History'!$D$5:$D$204),IFERROR(VLOOKUP(J276,Configuration!$L$5:$M$50,2,FALSE),J276)))</x:f>
        <x:v>amarja.kawade@petronas.com</x:v>
      </x:c>
      <x:c r="L276" s="172" t="str">
        <x:f>IF(A276="","",IF(K276=IFERROR(VLOOKUP(J276,Configuration!$L$5:$M$50,2,FALSE),J276),"Snapshot PIC","Replacement PIC"))</x:f>
        <x:v>Snapshot PIC</x:v>
      </x:c>
      <x:c r="M276" s="172" t="n">
        <x:f>IF(A276="","",IFERROR(VLOOKUP(I276,Configuration!$O$5:$P$8,2,FALSE),Configuration!$S$6))</x:f>
        <x:v>1</x:v>
      </x:c>
      <x:c r="N276" s="172" t="str">
        <x:f>IF(A276="","",IFERROR(LOOKUP(2,1/('Scope Review'!$B$5:$B$204=A276),'Scope Review'!$G$5:$G$204),"Not Reviewed"))</x:f>
        <x:v>Not Reviewed</x:v>
      </x:c>
      <x:c r="O276" s="172" t="str">
        <x:f>IF(A276="","",IFERROR(LOOKUP(2,1/('Scope Review'!$B$5:$B$204=A276),'Scope Review'!$H$5:$H$204),""))</x:f>
      </x:c>
      <x:c r="P276" s="172" t="n">
        <x:f>IF(A276="","",IF(AND(C276="executing",N276&lt;&gt;"Confirmed OOS"),M276,0))</x:f>
        <x:v>1</x:v>
      </x:c>
      <x:c r="Q276" s="173" t="n">
        <x:f>IF(A276="","",IFERROR(LOOKUP(2,1/('Engineer Updates'!$B$5:$B$704=A276),'Engineer Updates'!$A$5:$A$704),""))</x:f>
        <x:v>46251</x:v>
      </x:c>
      <x:c r="R276" s="172" t="str">
        <x:f>IF(A276="","",IFERROR(LOOKUP(2,1/('Engineer Updates'!$B$5:$B$704=A276),'Engineer Updates'!$H$5:$H$704),""))</x:f>
        <x:v>Not Started</x:v>
      </x:c>
      <x:c r="S276" s="172" t="str">
        <x:f>IF(A276="","",IFERROR(LOOKUP(2,1/('Engineer Updates'!$B$5:$B$704=A276),'Engineer Updates'!$G$5:$G$704),""))</x:f>
      </x:c>
      <x:c r="T276" s="172" t="str">
        <x:f>IF(A276="","",IFERROR(LOOKUP(2,1/('Engineer Updates'!$B$5:$B$704=A276),'Engineer Updates'!$I$5:$I$704),""))</x:f>
      </x:c>
      <x:c r="U276" s="172" t="str">
        <x:f>IF(A276="","",IFERROR(LOOKUP(2,1/('Engineer Updates'!$B$5:$B$704=A276),'Engineer Updates'!$J$5:$J$704),""))</x:f>
      </x:c>
      <x:c r="V276" s="172" t="str">
        <x:f>IF(A276="","",IFERROR(LOOKUP(2,1/('Engineer Updates'!$B$5:$B$704=A276),'Engineer Updates'!$K$5:$K$704),""))</x:f>
      </x:c>
      <x:c r="W276" s="174" t="str">
        <x:f>IF(A276="","",IFERROR(LOOKUP(2,1/('Engineer Updates'!$B$5:$B$704=A276),'Engineer Updates'!$L$5:$L$704),""))</x:f>
      </x:c>
      <x:c r="X276" s="170" t="str">
        <x:f>IF(A276="","",IF(C276="completed","Completed in CSSP",IF(AND(C276="executing",ISERROR(SEARCH("@",K276))),"Executing without named engineer",IF(AND(N276="Confirmed OOS",C276="executing"),"Confirmed OOS still executing",""))))</x:f>
      </x:c>
      <x:c r="Y276" s="170" t="str">
        <x:f>IF(A276="","",IF(B276="Decommissioning","Raw Decommissioning","Raw Provisioning"))</x:f>
        <x:v>Raw Decommissioning</x:v>
      </x:c>
      <x:c r="Z276" s="170" t="str">
        <x:f>IF(A276="","",IF(OR(C276="executing",C276="processing"),"Yes","No"))</x:f>
        <x:v>Yes</x:v>
      </x:c>
    </x:row>
    <x:row r="277">
      <x:c r="A277" s="170" t="str">
        <x:f>IF(ROWS($A$5:A277)&lt;=COUNTA('Raw Decommissioning'!$B$2:$B$1000),INDEX('Raw Decommissioning'!$B$2:$B$1000,ROWS($A$5:A277)),IF(ROWS($A$5:A277)-COUNTA('Raw Decommissioning'!$B$2:$B$1000)&lt;=COUNTA('Raw Provisioning'!$B$2:$B$1000),INDEX('Raw Provisioning'!$B$2:$B$1000,ROWS($A$5:A277)-COUNTA('Raw Decommissioning'!$B$2:$B$1000)),""))</x:f>
        <x:v>CSSP10989463</x:v>
      </x:c>
      <x:c r="B277" s="170" t="str">
        <x:f>IF(A277="","",IF(ROWS($A$5:A277)&lt;=COUNTA('Raw Decommissioning'!$B$2:$B$1000),"Decommissioning","Provisioning"))</x:f>
        <x:v>Decommissioning</x:v>
      </x:c>
      <x:c r="C277" s="170" t="str">
        <x:f>IF(A277="","",IF(B277="Decommissioning",IFERROR(INDEX('Raw Decommissioning'!$E$2:$E$1000,MATCH(A277,'Raw Decommissioning'!$B$2:$B$1000,0)),"Missing from latest raw"),IFERROR(INDEX('Raw Provisioning'!$E$2:$E$1000,MATCH(A277,'Raw Provisioning'!$B$2:$B$1000,0)),"Missing from latest raw")))</x:f>
        <x:v>executing</x:v>
      </x:c>
      <x:c r="D277" s="171" t="n">
        <x:f>IF(A277="","",'Refresh Control'!$B$4)</x:f>
        <x:v>46254</x:v>
      </x:c>
      <x:c r="E277" s="171" t="n">
        <x:f>IF(A277="","",IF(B277="Decommissioning",INDEX('Raw Decommissioning'!$F$2:$F$1000,ROWS($A$5:A277)),INDEX('Raw Provisioning'!$F$2:$F$1000,ROWS($A$5:A277)-COUNTA('Raw Decommissioning'!$B$2:$B$1000))))</x:f>
        <x:v>46209.158434537036</x:v>
      </x:c>
      <x:c r="F277" s="171" t="n">
        <x:f>IF(A277="","",IF(B277="Decommissioning",INDEX('Raw Decommissioning'!$G$2:$G$1000,ROWS($A$5:A277)),INDEX('Raw Provisioning'!$H$2:$H$1000,ROWS($A$5:A277)-COUNTA('Raw Decommissioning'!$B$2:$B$1000))))</x:f>
        <x:v>46209.168637627314</x:v>
      </x:c>
      <x:c r="G277" s="170" t="str">
        <x:f>IF(A277="","",IF(B277="Decommissioning",INDEX('Raw Decommissioning'!$I$2:$I$1000,ROWS($A$5:A277)),INDEX('Raw Provisioning'!$J$2:$J$1000,ROWS($A$5:A277)-COUNTA('Raw Decommissioning'!$B$2:$B$1000))))</x:f>
        <x:v>Cloud Self Service Portal - CSSP</x:v>
      </x:c>
      <x:c r="H277" s="170" t="str">
        <x:f>IF(A277="","",IF(B277="Decommissioning",INDEX('Raw Decommissioning'!$J$2:$J$1000,ROWS($A$5:A277)),INDEX('Raw Provisioning'!$L$2:$L$1000,ROWS($A$5:A277)-COUNTA('Raw Decommissioning'!$B$2:$B$1000))))</x:f>
        <x:v>Cloud Digitization - Cloud Self Service Portal</x:v>
      </x:c>
      <x:c r="I277" s="170" t="str">
        <x:f>IF(A277="","",IF(B277="Decommissioning",INDEX('Raw Decommissioning'!$AL$2:$AL$1000,ROWS($A$5:A277)),INDEX('Raw Provisioning'!$R$2:$R$1000,ROWS($A$5:A277)-COUNTA('Raw Decommissioning'!$B$2:$B$1000))))</x:f>
        <x:v>S</x:v>
      </x:c>
      <x:c r="J277" s="170" t="str">
        <x:f>IF(A277="","",IF(B277="Decommissioning",INDEX('Raw Decommissioning'!$AG$2:$AG$1000,ROWS($A$5:A277)),INDEX('Raw Provisioning'!$AI$2:$AI$1000,ROWS($A$5:A277)-COUNTA('Raw Decommissioning'!$B$2:$B$1000))))</x:f>
        <x:v>abhishek.bhowate@petronas.com</x:v>
      </x:c>
      <x:c r="K277" s="172" t="str">
        <x:f>IF(A277="","",IFERROR(LOOKUP(2,1/('Assignment History'!$B$5:$B$204=A277),'Assignment History'!$D$5:$D$204),IFERROR(VLOOKUP(J277,Configuration!$L$5:$M$50,2,FALSE),J277)))</x:f>
        <x:v>abhishek.bhowate@petronas.com</x:v>
      </x:c>
      <x:c r="L277" s="172" t="str">
        <x:f>IF(A277="","",IF(K277=IFERROR(VLOOKUP(J277,Configuration!$L$5:$M$50,2,FALSE),J277),"Snapshot PIC","Replacement PIC"))</x:f>
        <x:v>Snapshot PIC</x:v>
      </x:c>
      <x:c r="M277" s="172" t="n">
        <x:f>IF(A277="","",IFERROR(VLOOKUP(I277,Configuration!$O$5:$P$8,2,FALSE),Configuration!$S$6))</x:f>
        <x:v>1</x:v>
      </x:c>
      <x:c r="N277" s="172" t="str">
        <x:f>IF(A277="","",IFERROR(LOOKUP(2,1/('Scope Review'!$B$5:$B$204=A277),'Scope Review'!$G$5:$G$204),"Not Reviewed"))</x:f>
        <x:v>Not Reviewed</x:v>
      </x:c>
      <x:c r="O277" s="172" t="str">
        <x:f>IF(A277="","",IFERROR(LOOKUP(2,1/('Scope Review'!$B$5:$B$204=A277),'Scope Review'!$H$5:$H$204),""))</x:f>
      </x:c>
      <x:c r="P277" s="172" t="n">
        <x:f>IF(A277="","",IF(AND(C277="executing",N277&lt;&gt;"Confirmed OOS"),M277,0))</x:f>
        <x:v>1</x:v>
      </x:c>
      <x:c r="Q277" s="173" t="n">
        <x:f>IF(A277="","",IFERROR(LOOKUP(2,1/('Engineer Updates'!$B$5:$B$704=A277),'Engineer Updates'!$A$5:$A$704),""))</x:f>
        <x:v>46251</x:v>
      </x:c>
      <x:c r="R277" s="172" t="str">
        <x:f>IF(A277="","",IFERROR(LOOKUP(2,1/('Engineer Updates'!$B$5:$B$704=A277),'Engineer Updates'!$H$5:$H$704),""))</x:f>
        <x:v>Not Started</x:v>
      </x:c>
      <x:c r="S277" s="172" t="str">
        <x:f>IF(A277="","",IFERROR(LOOKUP(2,1/('Engineer Updates'!$B$5:$B$704=A277),'Engineer Updates'!$G$5:$G$704),""))</x:f>
      </x:c>
      <x:c r="T277" s="172" t="str">
        <x:f>IF(A277="","",IFERROR(LOOKUP(2,1/('Engineer Updates'!$B$5:$B$704=A277),'Engineer Updates'!$I$5:$I$704),""))</x:f>
      </x:c>
      <x:c r="U277" s="172" t="str">
        <x:f>IF(A277="","",IFERROR(LOOKUP(2,1/('Engineer Updates'!$B$5:$B$704=A277),'Engineer Updates'!$J$5:$J$704),""))</x:f>
      </x:c>
      <x:c r="V277" s="172" t="str">
        <x:f>IF(A277="","",IFERROR(LOOKUP(2,1/('Engineer Updates'!$B$5:$B$704=A277),'Engineer Updates'!$K$5:$K$704),""))</x:f>
      </x:c>
      <x:c r="W277" s="174" t="str">
        <x:f>IF(A277="","",IFERROR(LOOKUP(2,1/('Engineer Updates'!$B$5:$B$704=A277),'Engineer Updates'!$L$5:$L$704),""))</x:f>
      </x:c>
      <x:c r="X277" s="170" t="str">
        <x:f>IF(A277="","",IF(C277="completed","Completed in CSSP",IF(AND(C277="executing",ISERROR(SEARCH("@",K277))),"Executing without named engineer",IF(AND(N277="Confirmed OOS",C277="executing"),"Confirmed OOS still executing",""))))</x:f>
      </x:c>
      <x:c r="Y277" s="170" t="str">
        <x:f>IF(A277="","",IF(B277="Decommissioning","Raw Decommissioning","Raw Provisioning"))</x:f>
        <x:v>Raw Decommissioning</x:v>
      </x:c>
      <x:c r="Z277" s="170" t="str">
        <x:f>IF(A277="","",IF(OR(C277="executing",C277="processing"),"Yes","No"))</x:f>
        <x:v>Yes</x:v>
      </x:c>
    </x:row>
    <x:row r="278">
      <x:c r="A278" s="170" t="str">
        <x:f>IF(ROWS($A$5:A278)&lt;=COUNTA('Raw Decommissioning'!$B$2:$B$1000),INDEX('Raw Decommissioning'!$B$2:$B$1000,ROWS($A$5:A278)),IF(ROWS($A$5:A278)-COUNTA('Raw Decommissioning'!$B$2:$B$1000)&lt;=COUNTA('Raw Provisioning'!$B$2:$B$1000),INDEX('Raw Provisioning'!$B$2:$B$1000,ROWS($A$5:A278)-COUNTA('Raw Decommissioning'!$B$2:$B$1000)),""))</x:f>
        <x:v>CSSP10929360</x:v>
      </x:c>
      <x:c r="B278" s="170" t="str">
        <x:f>IF(A278="","",IF(ROWS($A$5:A278)&lt;=COUNTA('Raw Decommissioning'!$B$2:$B$1000),"Decommissioning","Provisioning"))</x:f>
        <x:v>Decommissioning</x:v>
      </x:c>
      <x:c r="C278" s="170" t="str">
        <x:f>IF(A278="","",IF(B278="Decommissioning",IFERROR(INDEX('Raw Decommissioning'!$E$2:$E$1000,MATCH(A278,'Raw Decommissioning'!$B$2:$B$1000,0)),"Missing from latest raw"),IFERROR(INDEX('Raw Provisioning'!$E$2:$E$1000,MATCH(A278,'Raw Provisioning'!$B$2:$B$1000,0)),"Missing from latest raw")))</x:f>
        <x:v>rejected</x:v>
      </x:c>
      <x:c r="D278" s="171" t="n">
        <x:f>IF(A278="","",'Refresh Control'!$B$4)</x:f>
        <x:v>46254</x:v>
      </x:c>
      <x:c r="E278" s="171" t="n">
        <x:f>IF(A278="","",IF(B278="Decommissioning",INDEX('Raw Decommissioning'!$F$2:$F$1000,ROWS($A$5:A278)),INDEX('Raw Provisioning'!$F$2:$F$1000,ROWS($A$5:A278)-COUNTA('Raw Decommissioning'!$B$2:$B$1000))))</x:f>
        <x:v>46210.073116493055</x:v>
      </x:c>
      <x:c r="F278" s="171" t="n">
        <x:f>IF(A278="","",IF(B278="Decommissioning",INDEX('Raw Decommissioning'!$G$2:$G$1000,ROWS($A$5:A278)),INDEX('Raw Provisioning'!$H$2:$H$1000,ROWS($A$5:A278)-COUNTA('Raw Decommissioning'!$B$2:$B$1000))))</x:f>
        <x:v>46247.508493263886</x:v>
      </x:c>
      <x:c r="G278" s="170" t="str">
        <x:f>IF(A278="","",IF(B278="Decommissioning",INDEX('Raw Decommissioning'!$I$2:$I$1000,ROWS($A$5:A278)),INDEX('Raw Provisioning'!$J$2:$J$1000,ROWS($A$5:A278)-COUNTA('Raw Decommissioning'!$B$2:$B$1000))))</x:f>
        <x:v>Cyber Security Palo Alto Firewall</x:v>
      </x:c>
      <x:c r="H278" s="170" t="str">
        <x:f>IF(A278="","",IF(B278="Decommissioning",INDEX('Raw Decommissioning'!$J$2:$J$1000,ROWS($A$5:A278)),INDEX('Raw Provisioning'!$L$2:$L$1000,ROWS($A$5:A278)-COUNTA('Raw Decommissioning'!$B$2:$B$1000))))</x:f>
        <x:v>Palo Alto Migration and Implementation in Azure</x:v>
      </x:c>
      <x:c r="I278" s="170" t="str">
        <x:f>IF(A278="","",IF(B278="Decommissioning",INDEX('Raw Decommissioning'!$AL$2:$AL$1000,ROWS($A$5:A278)),INDEX('Raw Provisioning'!$R$2:$R$1000,ROWS($A$5:A278)-COUNTA('Raw Decommissioning'!$B$2:$B$1000))))</x:f>
        <x:v>M</x:v>
      </x:c>
      <x:c r="J278" s="170" t="str">
        <x:f>IF(A278="","",IF(B278="Decommissioning",INDEX('Raw Decommissioning'!$AG$2:$AG$1000,ROWS($A$5:A278)),INDEX('Raw Provisioning'!$AI$2:$AI$1000,ROWS($A$5:A278)-COUNTA('Raw Decommissioning'!$B$2:$B$1000))))</x:f>
        <x:v>abhishek.bhowate@petronas.com</x:v>
      </x:c>
      <x:c r="K278" s="172" t="str">
        <x:f>IF(A278="","",IFERROR(LOOKUP(2,1/('Assignment History'!$B$5:$B$204=A278),'Assignment History'!$D$5:$D$204),IFERROR(VLOOKUP(J278,Configuration!$L$5:$M$50,2,FALSE),J278)))</x:f>
        <x:v>abhishek.bhowate@petronas.com</x:v>
      </x:c>
      <x:c r="L278" s="172" t="str">
        <x:f>IF(A278="","",IF(K278=IFERROR(VLOOKUP(J278,Configuration!$L$5:$M$50,2,FALSE),J278),"Snapshot PIC","Replacement PIC"))</x:f>
        <x:v>Snapshot PIC</x:v>
      </x:c>
      <x:c r="M278" s="172" t="n">
        <x:f>IF(A278="","",IFERROR(VLOOKUP(I278,Configuration!$O$5:$P$8,2,FALSE),Configuration!$S$6))</x:f>
        <x:v>2</x:v>
      </x:c>
      <x:c r="N278" s="172" t="str">
        <x:f>IF(A278="","",IFERROR(LOOKUP(2,1/('Scope Review'!$B$5:$B$204=A278),'Scope Review'!$G$5:$G$204),"Not Reviewed"))</x:f>
        <x:v>Not Reviewed</x:v>
      </x:c>
      <x:c r="O278" s="172" t="str">
        <x:f>IF(A278="","",IFERROR(LOOKUP(2,1/('Scope Review'!$B$5:$B$204=A278),'Scope Review'!$H$5:$H$204),""))</x:f>
      </x:c>
      <x:c r="P278" s="172" t="n">
        <x:f>IF(A278="","",IF(AND(C278="executing",N278&lt;&gt;"Confirmed OOS"),M278,0))</x:f>
        <x:v>0</x:v>
      </x:c>
      <x:c r="Q278" s="173" t="str">
        <x:f>IF(A278="","",IFERROR(LOOKUP(2,1/('Engineer Updates'!$B$5:$B$704=A278),'Engineer Updates'!$A$5:$A$704),""))</x:f>
      </x:c>
      <x:c r="R278" s="172" t="str">
        <x:f>IF(A278="","",IFERROR(LOOKUP(2,1/('Engineer Updates'!$B$5:$B$704=A278),'Engineer Updates'!$H$5:$H$704),""))</x:f>
      </x:c>
      <x:c r="S278" s="172" t="str">
        <x:f>IF(A278="","",IFERROR(LOOKUP(2,1/('Engineer Updates'!$B$5:$B$704=A278),'Engineer Updates'!$G$5:$G$704),""))</x:f>
      </x:c>
      <x:c r="T278" s="172" t="str">
        <x:f>IF(A278="","",IFERROR(LOOKUP(2,1/('Engineer Updates'!$B$5:$B$704=A278),'Engineer Updates'!$I$5:$I$704),""))</x:f>
      </x:c>
      <x:c r="U278" s="172" t="str">
        <x:f>IF(A278="","",IFERROR(LOOKUP(2,1/('Engineer Updates'!$B$5:$B$704=A278),'Engineer Updates'!$J$5:$J$704),""))</x:f>
      </x:c>
      <x:c r="V278" s="172" t="str">
        <x:f>IF(A278="","",IFERROR(LOOKUP(2,1/('Engineer Updates'!$B$5:$B$704=A278),'Engineer Updates'!$K$5:$K$704),""))</x:f>
      </x:c>
      <x:c r="W278" s="174" t="str">
        <x:f>IF(A278="","",IFERROR(LOOKUP(2,1/('Engineer Updates'!$B$5:$B$704=A278),'Engineer Updates'!$L$5:$L$704),""))</x:f>
      </x:c>
      <x:c r="X278" s="170" t="str">
        <x:f>IF(A278="","",IF(C278="completed","Completed in CSSP",IF(AND(C278="executing",ISERROR(SEARCH("@",K278))),"Executing without named engineer",IF(AND(N278="Confirmed OOS",C278="executing"),"Confirmed OOS still executing",""))))</x:f>
      </x:c>
      <x:c r="Y278" s="170" t="str">
        <x:f>IF(A278="","",IF(B278="Decommissioning","Raw Decommissioning","Raw Provisioning"))</x:f>
        <x:v>Raw Decommissioning</x:v>
      </x:c>
      <x:c r="Z278" s="170" t="str">
        <x:f>IF(A278="","",IF(OR(C278="executing",C278="processing"),"Yes","No"))</x:f>
        <x:v>No</x:v>
      </x:c>
    </x:row>
    <x:row r="279">
      <x:c r="A279" s="170" t="str">
        <x:f>IF(ROWS($A$5:A279)&lt;=COUNTA('Raw Decommissioning'!$B$2:$B$1000),INDEX('Raw Decommissioning'!$B$2:$B$1000,ROWS($A$5:A279)),IF(ROWS($A$5:A279)-COUNTA('Raw Decommissioning'!$B$2:$B$1000)&lt;=COUNTA('Raw Provisioning'!$B$2:$B$1000),INDEX('Raw Provisioning'!$B$2:$B$1000,ROWS($A$5:A279)-COUNTA('Raw Decommissioning'!$B$2:$B$1000)),""))</x:f>
        <x:v>CSSP10238313</x:v>
      </x:c>
      <x:c r="B279" s="170" t="str">
        <x:f>IF(A279="","",IF(ROWS($A$5:A279)&lt;=COUNTA('Raw Decommissioning'!$B$2:$B$1000),"Decommissioning","Provisioning"))</x:f>
        <x:v>Decommissioning</x:v>
      </x:c>
      <x:c r="C279" s="170" t="str">
        <x:f>IF(A279="","",IF(B279="Decommissioning",IFERROR(INDEX('Raw Decommissioning'!$E$2:$E$1000,MATCH(A279,'Raw Decommissioning'!$B$2:$B$1000,0)),"Missing from latest raw"),IFERROR(INDEX('Raw Provisioning'!$E$2:$E$1000,MATCH(A279,'Raw Provisioning'!$B$2:$B$1000,0)),"Missing from latest raw")))</x:f>
        <x:v>cancelled</x:v>
      </x:c>
      <x:c r="D279" s="171" t="n">
        <x:f>IF(A279="","",'Refresh Control'!$B$4)</x:f>
        <x:v>46254</x:v>
      </x:c>
      <x:c r="E279" s="171" t="n">
        <x:f>IF(A279="","",IF(B279="Decommissioning",INDEX('Raw Decommissioning'!$F$2:$F$1000,ROWS($A$5:A279)),INDEX('Raw Provisioning'!$F$2:$F$1000,ROWS($A$5:A279)-COUNTA('Raw Decommissioning'!$B$2:$B$1000))))</x:f>
        <x:v>46210.274297083335</x:v>
      </x:c>
      <x:c r="F279" s="171" t="n">
        <x:f>IF(A279="","",IF(B279="Decommissioning",INDEX('Raw Decommissioning'!$G$2:$G$1000,ROWS($A$5:A279)),INDEX('Raw Provisioning'!$H$2:$H$1000,ROWS($A$5:A279)-COUNTA('Raw Decommissioning'!$B$2:$B$1000))))</x:f>
        <x:v>46210.27563633102</x:v>
      </x:c>
      <x:c r="G279" s="170" t="str">
        <x:f>IF(A279="","",IF(B279="Decommissioning",INDEX('Raw Decommissioning'!$I$2:$I$1000,ROWS($A$5:A279)),INDEX('Raw Provisioning'!$J$2:$J$1000,ROWS($A$5:A279)-COUNTA('Raw Decommissioning'!$B$2:$B$1000))))</x:f>
        <x:v>Orion MLNG</x:v>
      </x:c>
      <x:c r="H279" s="170" t="str">
        <x:f>IF(A279="","",IF(B279="Decommissioning",INDEX('Raw Decommissioning'!$J$2:$J$1000,ROWS($A$5:A279)),INDEX('Raw Provisioning'!$L$2:$L$1000,ROWS($A$5:A279)-COUNTA('Raw Decommissioning'!$B$2:$B$1000))))</x:f>
        <x:v>Full-Fledge Deployment of ORION Engine and Front-End Development</x:v>
      </x:c>
      <x:c r="I279" s="170" t="str">
        <x:f>IF(A279="","",IF(B279="Decommissioning",INDEX('Raw Decommissioning'!$AL$2:$AL$1000,ROWS($A$5:A279)),INDEX('Raw Provisioning'!$R$2:$R$1000,ROWS($A$5:A279)-COUNTA('Raw Decommissioning'!$B$2:$B$1000))))</x:f>
      </x:c>
      <x:c r="J279" s="170" t="str">
        <x:f>IF(A279="","",IF(B279="Decommissioning",INDEX('Raw Decommissioning'!$AG$2:$AG$1000,ROWS($A$5:A279)),INDEX('Raw Provisioning'!$AI$2:$AI$1000,ROWS($A$5:A279)-COUNTA('Raw Decommissioning'!$B$2:$B$1000))))</x:f>
        <x:v>IMS - CLOUD CSSP EXECUTOR</x:v>
      </x:c>
      <x:c r="K279" s="172" t="str">
        <x:f>IF(A279="","",IFERROR(LOOKUP(2,1/('Assignment History'!$B$5:$B$204=A279),'Assignment History'!$D$5:$D$204),IFERROR(VLOOKUP(J279,Configuration!$L$5:$M$50,2,FALSE),J279)))</x:f>
        <x:v>IMS - CLOUD CSSP EXECUTOR</x:v>
      </x:c>
      <x:c r="L279" s="172" t="str">
        <x:f>IF(A279="","",IF(K279=IFERROR(VLOOKUP(J279,Configuration!$L$5:$M$50,2,FALSE),J279),"Snapshot PIC","Replacement PIC"))</x:f>
        <x:v>Snapshot PIC</x:v>
      </x:c>
      <x:c r="M279" s="172" t="n">
        <x:f>IF(A279="","",IFERROR(VLOOKUP(I279,Configuration!$O$5:$P$8,2,FALSE),Configuration!$S$6))</x:f>
        <x:v>2</x:v>
      </x:c>
      <x:c r="N279" s="172" t="str">
        <x:f>IF(A279="","",IFERROR(LOOKUP(2,1/('Scope Review'!$B$5:$B$204=A279),'Scope Review'!$G$5:$G$204),"Not Reviewed"))</x:f>
        <x:v>Not Reviewed</x:v>
      </x:c>
      <x:c r="O279" s="172" t="str">
        <x:f>IF(A279="","",IFERROR(LOOKUP(2,1/('Scope Review'!$B$5:$B$204=A279),'Scope Review'!$H$5:$H$204),""))</x:f>
      </x:c>
      <x:c r="P279" s="172" t="n">
        <x:f>IF(A279="","",IF(AND(C279="executing",N279&lt;&gt;"Confirmed OOS"),M279,0))</x:f>
        <x:v>0</x:v>
      </x:c>
      <x:c r="Q279" s="173" t="str">
        <x:f>IF(A279="","",IFERROR(LOOKUP(2,1/('Engineer Updates'!$B$5:$B$704=A279),'Engineer Updates'!$A$5:$A$704),""))</x:f>
      </x:c>
      <x:c r="R279" s="172" t="str">
        <x:f>IF(A279="","",IFERROR(LOOKUP(2,1/('Engineer Updates'!$B$5:$B$704=A279),'Engineer Updates'!$H$5:$H$704),""))</x:f>
      </x:c>
      <x:c r="S279" s="172" t="str">
        <x:f>IF(A279="","",IFERROR(LOOKUP(2,1/('Engineer Updates'!$B$5:$B$704=A279),'Engineer Updates'!$G$5:$G$704),""))</x:f>
      </x:c>
      <x:c r="T279" s="172" t="str">
        <x:f>IF(A279="","",IFERROR(LOOKUP(2,1/('Engineer Updates'!$B$5:$B$704=A279),'Engineer Updates'!$I$5:$I$704),""))</x:f>
      </x:c>
      <x:c r="U279" s="172" t="str">
        <x:f>IF(A279="","",IFERROR(LOOKUP(2,1/('Engineer Updates'!$B$5:$B$704=A279),'Engineer Updates'!$J$5:$J$704),""))</x:f>
      </x:c>
      <x:c r="V279" s="172" t="str">
        <x:f>IF(A279="","",IFERROR(LOOKUP(2,1/('Engineer Updates'!$B$5:$B$704=A279),'Engineer Updates'!$K$5:$K$704),""))</x:f>
      </x:c>
      <x:c r="W279" s="174" t="str">
        <x:f>IF(A279="","",IFERROR(LOOKUP(2,1/('Engineer Updates'!$B$5:$B$704=A279),'Engineer Updates'!$L$5:$L$704),""))</x:f>
      </x:c>
      <x:c r="X279" s="170" t="str">
        <x:f>IF(A279="","",IF(C279="completed","Completed in CSSP",IF(AND(C279="executing",ISERROR(SEARCH("@",K279))),"Executing without named engineer",IF(AND(N279="Confirmed OOS",C279="executing"),"Confirmed OOS still executing",""))))</x:f>
      </x:c>
      <x:c r="Y279" s="170" t="str">
        <x:f>IF(A279="","",IF(B279="Decommissioning","Raw Decommissioning","Raw Provisioning"))</x:f>
        <x:v>Raw Decommissioning</x:v>
      </x:c>
      <x:c r="Z279" s="170" t="str">
        <x:f>IF(A279="","",IF(OR(C279="executing",C279="processing"),"Yes","No"))</x:f>
        <x:v>No</x:v>
      </x:c>
    </x:row>
    <x:row r="280">
      <x:c r="A280" s="170" t="str">
        <x:f>IF(ROWS($A$5:A280)&lt;=COUNTA('Raw Decommissioning'!$B$2:$B$1000),INDEX('Raw Decommissioning'!$B$2:$B$1000,ROWS($A$5:A280)),IF(ROWS($A$5:A280)-COUNTA('Raw Decommissioning'!$B$2:$B$1000)&lt;=COUNTA('Raw Provisioning'!$B$2:$B$1000),INDEX('Raw Provisioning'!$B$2:$B$1000,ROWS($A$5:A280)-COUNTA('Raw Decommissioning'!$B$2:$B$1000)),""))</x:f>
        <x:v>CSSP10108409</x:v>
      </x:c>
      <x:c r="B280" s="170" t="str">
        <x:f>IF(A280="","",IF(ROWS($A$5:A280)&lt;=COUNTA('Raw Decommissioning'!$B$2:$B$1000),"Decommissioning","Provisioning"))</x:f>
        <x:v>Decommissioning</x:v>
      </x:c>
      <x:c r="C280" s="170" t="str">
        <x:f>IF(A280="","",IF(B280="Decommissioning",IFERROR(INDEX('Raw Decommissioning'!$E$2:$E$1000,MATCH(A280,'Raw Decommissioning'!$B$2:$B$1000,0)),"Missing from latest raw"),IFERROR(INDEX('Raw Provisioning'!$E$2:$E$1000,MATCH(A280,'Raw Provisioning'!$B$2:$B$1000,0)),"Missing from latest raw")))</x:f>
        <x:v>cancelled</x:v>
      </x:c>
      <x:c r="D280" s="171" t="n">
        <x:f>IF(A280="","",'Refresh Control'!$B$4)</x:f>
        <x:v>46254</x:v>
      </x:c>
      <x:c r="E280" s="171" t="n">
        <x:f>IF(A280="","",IF(B280="Decommissioning",INDEX('Raw Decommissioning'!$F$2:$F$1000,ROWS($A$5:A280)),INDEX('Raw Provisioning'!$F$2:$F$1000,ROWS($A$5:A280)-COUNTA('Raw Decommissioning'!$B$2:$B$1000))))</x:f>
        <x:v>46210.28546289352</x:v>
      </x:c>
      <x:c r="F280" s="171" t="n">
        <x:f>IF(A280="","",IF(B280="Decommissioning",INDEX('Raw Decommissioning'!$G$2:$G$1000,ROWS($A$5:A280)),INDEX('Raw Provisioning'!$H$2:$H$1000,ROWS($A$5:A280)-COUNTA('Raw Decommissioning'!$B$2:$B$1000))))</x:f>
        <x:v>46210.289554710645</x:v>
      </x:c>
      <x:c r="G280" s="170" t="str">
        <x:f>IF(A280="","",IF(B280="Decommissioning",INDEX('Raw Decommissioning'!$I$2:$I$1000,ROWS($A$5:A280)),INDEX('Raw Provisioning'!$J$2:$J$1000,ROWS($A$5:A280)-COUNTA('Raw Decommissioning'!$B$2:$B$1000))))</x:f>
        <x:v>GPU Technical Centre - GTC Dashboard</x:v>
      </x:c>
      <x:c r="H280" s="170" t="str">
        <x:f>IF(A280="","",IF(B280="Decommissioning",INDEX('Raw Decommissioning'!$J$2:$J$1000,ROWS($A$5:A280)),INDEX('Raw Provisioning'!$L$2:$L$1000,ROWS($A$5:A280)-COUNTA('Raw Decommissioning'!$B$2:$B$1000))))</x:f>
        <x:v>Enhancement of GTC 2.0</x:v>
      </x:c>
      <x:c r="I280" s="170" t="str">
        <x:f>IF(A280="","",IF(B280="Decommissioning",INDEX('Raw Decommissioning'!$AL$2:$AL$1000,ROWS($A$5:A280)),INDEX('Raw Provisioning'!$R$2:$R$1000,ROWS($A$5:A280)-COUNTA('Raw Decommissioning'!$B$2:$B$1000))))</x:f>
      </x:c>
      <x:c r="J280" s="170" t="str">
        <x:f>IF(A280="","",IF(B280="Decommissioning",INDEX('Raw Decommissioning'!$AG$2:$AG$1000,ROWS($A$5:A280)),INDEX('Raw Provisioning'!$AI$2:$AI$1000,ROWS($A$5:A280)-COUNTA('Raw Decommissioning'!$B$2:$B$1000))))</x:f>
        <x:v>IMS - CLOUD CSSP EXECUTOR</x:v>
      </x:c>
      <x:c r="K280" s="172" t="str">
        <x:f>IF(A280="","",IFERROR(LOOKUP(2,1/('Assignment History'!$B$5:$B$204=A280),'Assignment History'!$D$5:$D$204),IFERROR(VLOOKUP(J280,Configuration!$L$5:$M$50,2,FALSE),J280)))</x:f>
        <x:v>IMS - CLOUD CSSP EXECUTOR</x:v>
      </x:c>
      <x:c r="L280" s="172" t="str">
        <x:f>IF(A280="","",IF(K280=IFERROR(VLOOKUP(J280,Configuration!$L$5:$M$50,2,FALSE),J280),"Snapshot PIC","Replacement PIC"))</x:f>
        <x:v>Snapshot PIC</x:v>
      </x:c>
      <x:c r="M280" s="172" t="n">
        <x:f>IF(A280="","",IFERROR(VLOOKUP(I280,Configuration!$O$5:$P$8,2,FALSE),Configuration!$S$6))</x:f>
        <x:v>2</x:v>
      </x:c>
      <x:c r="N280" s="172" t="str">
        <x:f>IF(A280="","",IFERROR(LOOKUP(2,1/('Scope Review'!$B$5:$B$204=A280),'Scope Review'!$G$5:$G$204),"Not Reviewed"))</x:f>
        <x:v>Not Reviewed</x:v>
      </x:c>
      <x:c r="O280" s="172" t="str">
        <x:f>IF(A280="","",IFERROR(LOOKUP(2,1/('Scope Review'!$B$5:$B$204=A280),'Scope Review'!$H$5:$H$204),""))</x:f>
      </x:c>
      <x:c r="P280" s="172" t="n">
        <x:f>IF(A280="","",IF(AND(C280="executing",N280&lt;&gt;"Confirmed OOS"),M280,0))</x:f>
        <x:v>0</x:v>
      </x:c>
      <x:c r="Q280" s="173" t="str">
        <x:f>IF(A280="","",IFERROR(LOOKUP(2,1/('Engineer Updates'!$B$5:$B$704=A280),'Engineer Updates'!$A$5:$A$704),""))</x:f>
      </x:c>
      <x:c r="R280" s="172" t="str">
        <x:f>IF(A280="","",IFERROR(LOOKUP(2,1/('Engineer Updates'!$B$5:$B$704=A280),'Engineer Updates'!$H$5:$H$704),""))</x:f>
      </x:c>
      <x:c r="S280" s="172" t="str">
        <x:f>IF(A280="","",IFERROR(LOOKUP(2,1/('Engineer Updates'!$B$5:$B$704=A280),'Engineer Updates'!$G$5:$G$704),""))</x:f>
      </x:c>
      <x:c r="T280" s="172" t="str">
        <x:f>IF(A280="","",IFERROR(LOOKUP(2,1/('Engineer Updates'!$B$5:$B$704=A280),'Engineer Updates'!$I$5:$I$704),""))</x:f>
      </x:c>
      <x:c r="U280" s="172" t="str">
        <x:f>IF(A280="","",IFERROR(LOOKUP(2,1/('Engineer Updates'!$B$5:$B$704=A280),'Engineer Updates'!$J$5:$J$704),""))</x:f>
      </x:c>
      <x:c r="V280" s="172" t="str">
        <x:f>IF(A280="","",IFERROR(LOOKUP(2,1/('Engineer Updates'!$B$5:$B$704=A280),'Engineer Updates'!$K$5:$K$704),""))</x:f>
      </x:c>
      <x:c r="W280" s="174" t="str">
        <x:f>IF(A280="","",IFERROR(LOOKUP(2,1/('Engineer Updates'!$B$5:$B$704=A280),'Engineer Updates'!$L$5:$L$704),""))</x:f>
      </x:c>
      <x:c r="X280" s="170" t="str">
        <x:f>IF(A280="","",IF(C280="completed","Completed in CSSP",IF(AND(C280="executing",ISERROR(SEARCH("@",K280))),"Executing without named engineer",IF(AND(N280="Confirmed OOS",C280="executing"),"Confirmed OOS still executing",""))))</x:f>
      </x:c>
      <x:c r="Y280" s="170" t="str">
        <x:f>IF(A280="","",IF(B280="Decommissioning","Raw Decommissioning","Raw Provisioning"))</x:f>
        <x:v>Raw Decommissioning</x:v>
      </x:c>
      <x:c r="Z280" s="170" t="str">
        <x:f>IF(A280="","",IF(OR(C280="executing",C280="processing"),"Yes","No"))</x:f>
        <x:v>No</x:v>
      </x:c>
    </x:row>
    <x:row r="281">
      <x:c r="A281" s="170" t="str">
        <x:f>IF(ROWS($A$5:A281)&lt;=COUNTA('Raw Decommissioning'!$B$2:$B$1000),INDEX('Raw Decommissioning'!$B$2:$B$1000,ROWS($A$5:A281)),IF(ROWS($A$5:A281)-COUNTA('Raw Decommissioning'!$B$2:$B$1000)&lt;=COUNTA('Raw Provisioning'!$B$2:$B$1000),INDEX('Raw Provisioning'!$B$2:$B$1000,ROWS($A$5:A281)-COUNTA('Raw Decommissioning'!$B$2:$B$1000)),""))</x:f>
        <x:v>CSSP10891746</x:v>
      </x:c>
      <x:c r="B281" s="170" t="str">
        <x:f>IF(A281="","",IF(ROWS($A$5:A281)&lt;=COUNTA('Raw Decommissioning'!$B$2:$B$1000),"Decommissioning","Provisioning"))</x:f>
        <x:v>Decommissioning</x:v>
      </x:c>
      <x:c r="C281" s="170" t="str">
        <x:f>IF(A281="","",IF(B281="Decommissioning",IFERROR(INDEX('Raw Decommissioning'!$E$2:$E$1000,MATCH(A281,'Raw Decommissioning'!$B$2:$B$1000,0)),"Missing from latest raw"),IFERROR(INDEX('Raw Provisioning'!$E$2:$E$1000,MATCH(A281,'Raw Provisioning'!$B$2:$B$1000,0)),"Missing from latest raw")))</x:f>
        <x:v>executing</x:v>
      </x:c>
      <x:c r="D281" s="171" t="n">
        <x:f>IF(A281="","",'Refresh Control'!$B$4)</x:f>
        <x:v>46254</x:v>
      </x:c>
      <x:c r="E281" s="171" t="n">
        <x:f>IF(A281="","",IF(B281="Decommissioning",INDEX('Raw Decommissioning'!$F$2:$F$1000,ROWS($A$5:A281)),INDEX('Raw Provisioning'!$F$2:$F$1000,ROWS($A$5:A281)-COUNTA('Raw Decommissioning'!$B$2:$B$1000))))</x:f>
        <x:v>46210.336582268515</x:v>
      </x:c>
      <x:c r="F281" s="171" t="n">
        <x:f>IF(A281="","",IF(B281="Decommissioning",INDEX('Raw Decommissioning'!$G$2:$G$1000,ROWS($A$5:A281)),INDEX('Raw Provisioning'!$H$2:$H$1000,ROWS($A$5:A281)-COUNTA('Raw Decommissioning'!$B$2:$B$1000))))</x:f>
        <x:v>46222.86333241898</x:v>
      </x:c>
      <x:c r="G281" s="170" t="str">
        <x:f>IF(A281="","",IF(B281="Decommissioning",INDEX('Raw Decommissioning'!$I$2:$I$1000,ROWS($A$5:A281)),INDEX('Raw Provisioning'!$J$2:$J$1000,ROWS($A$5:A281)-COUNTA('Raw Decommissioning'!$B$2:$B$1000))))</x:f>
        <x:v>SAP Y40</x:v>
      </x:c>
      <x:c r="H281" s="170" t="str">
        <x:f>IF(A281="","",IF(B281="Decommissioning",INDEX('Raw Decommissioning'!$J$2:$J$1000,ROWS($A$5:A281)),INDEX('Raw Provisioning'!$L$2:$L$1000,ROWS($A$5:A281)-COUNTA('Raw Decommissioning'!$B$2:$B$1000))))</x:f>
        <x:v>Implementation of Group Reporting (GR) Data Readiness and Rollout</x:v>
      </x:c>
      <x:c r="I281" s="170" t="str">
        <x:f>IF(A281="","",IF(B281="Decommissioning",INDEX('Raw Decommissioning'!$AL$2:$AL$1000,ROWS($A$5:A281)),INDEX('Raw Provisioning'!$R$2:$R$1000,ROWS($A$5:A281)-COUNTA('Raw Decommissioning'!$B$2:$B$1000))))</x:f>
        <x:v>S</x:v>
      </x:c>
      <x:c r="J281" s="170" t="str">
        <x:f>IF(A281="","",IF(B281="Decommissioning",INDEX('Raw Decommissioning'!$AG$2:$AG$1000,ROWS($A$5:A281)),INDEX('Raw Provisioning'!$AI$2:$AI$1000,ROWS($A$5:A281)-COUNTA('Raw Decommissioning'!$B$2:$B$1000))))</x:f>
        <x:v>venkatesh.kalikivayi@petronas.com</x:v>
      </x:c>
      <x:c r="K281" s="172" t="str">
        <x:f>IF(A281="","",IFERROR(LOOKUP(2,1/('Assignment History'!$B$5:$B$204=A281),'Assignment History'!$D$5:$D$204),IFERROR(VLOOKUP(J281,Configuration!$L$5:$M$50,2,FALSE),J281)))</x:f>
        <x:v>venkatesh.kalikivayi@petronas.com</x:v>
      </x:c>
      <x:c r="L281" s="172" t="str">
        <x:f>IF(A281="","",IF(K281=IFERROR(VLOOKUP(J281,Configuration!$L$5:$M$50,2,FALSE),J281),"Snapshot PIC","Replacement PIC"))</x:f>
        <x:v>Snapshot PIC</x:v>
      </x:c>
      <x:c r="M281" s="172" t="n">
        <x:f>IF(A281="","",IFERROR(VLOOKUP(I281,Configuration!$O$5:$P$8,2,FALSE),Configuration!$S$6))</x:f>
        <x:v>1</x:v>
      </x:c>
      <x:c r="N281" s="172" t="str">
        <x:f>IF(A281="","",IFERROR(LOOKUP(2,1/('Scope Review'!$B$5:$B$204=A281),'Scope Review'!$G$5:$G$204),"Not Reviewed"))</x:f>
        <x:v>Not Reviewed</x:v>
      </x:c>
      <x:c r="O281" s="172" t="str">
        <x:f>IF(A281="","",IFERROR(LOOKUP(2,1/('Scope Review'!$B$5:$B$204=A281),'Scope Review'!$H$5:$H$204),""))</x:f>
      </x:c>
      <x:c r="P281" s="172" t="n">
        <x:f>IF(A281="","",IF(AND(C281="executing",N281&lt;&gt;"Confirmed OOS"),M281,0))</x:f>
        <x:v>1</x:v>
      </x:c>
      <x:c r="Q281" s="173" t="n">
        <x:f>IF(A281="","",IFERROR(LOOKUP(2,1/('Engineer Updates'!$B$5:$B$704=A281),'Engineer Updates'!$A$5:$A$704),""))</x:f>
        <x:v>46251</x:v>
      </x:c>
      <x:c r="R281" s="172" t="str">
        <x:f>IF(A281="","",IFERROR(LOOKUP(2,1/('Engineer Updates'!$B$5:$B$704=A281),'Engineer Updates'!$H$5:$H$704),""))</x:f>
        <x:v>Not Started</x:v>
      </x:c>
      <x:c r="S281" s="172" t="str">
        <x:f>IF(A281="","",IFERROR(LOOKUP(2,1/('Engineer Updates'!$B$5:$B$704=A281),'Engineer Updates'!$G$5:$G$704),""))</x:f>
      </x:c>
      <x:c r="T281" s="172" t="str">
        <x:f>IF(A281="","",IFERROR(LOOKUP(2,1/('Engineer Updates'!$B$5:$B$704=A281),'Engineer Updates'!$I$5:$I$704),""))</x:f>
      </x:c>
      <x:c r="U281" s="172" t="str">
        <x:f>IF(A281="","",IFERROR(LOOKUP(2,1/('Engineer Updates'!$B$5:$B$704=A281),'Engineer Updates'!$J$5:$J$704),""))</x:f>
      </x:c>
      <x:c r="V281" s="172" t="str">
        <x:f>IF(A281="","",IFERROR(LOOKUP(2,1/('Engineer Updates'!$B$5:$B$704=A281),'Engineer Updates'!$K$5:$K$704),""))</x:f>
      </x:c>
      <x:c r="W281" s="174" t="str">
        <x:f>IF(A281="","",IFERROR(LOOKUP(2,1/('Engineer Updates'!$B$5:$B$704=A281),'Engineer Updates'!$L$5:$L$704),""))</x:f>
      </x:c>
      <x:c r="X281" s="170" t="str">
        <x:f>IF(A281="","",IF(C281="completed","Completed in CSSP",IF(AND(C281="executing",ISERROR(SEARCH("@",K281))),"Executing without named engineer",IF(AND(N281="Confirmed OOS",C281="executing"),"Confirmed OOS still executing",""))))</x:f>
      </x:c>
      <x:c r="Y281" s="170" t="str">
        <x:f>IF(A281="","",IF(B281="Decommissioning","Raw Decommissioning","Raw Provisioning"))</x:f>
        <x:v>Raw Decommissioning</x:v>
      </x:c>
      <x:c r="Z281" s="170" t="str">
        <x:f>IF(A281="","",IF(OR(C281="executing",C281="processing"),"Yes","No"))</x:f>
        <x:v>Yes</x:v>
      </x:c>
    </x:row>
    <x:row r="282">
      <x:c r="A282" s="170" t="str">
        <x:f>IF(ROWS($A$5:A282)&lt;=COUNTA('Raw Decommissioning'!$B$2:$B$1000),INDEX('Raw Decommissioning'!$B$2:$B$1000,ROWS($A$5:A282)),IF(ROWS($A$5:A282)-COUNTA('Raw Decommissioning'!$B$2:$B$1000)&lt;=COUNTA('Raw Provisioning'!$B$2:$B$1000),INDEX('Raw Provisioning'!$B$2:$B$1000,ROWS($A$5:A282)-COUNTA('Raw Decommissioning'!$B$2:$B$1000)),""))</x:f>
        <x:v>CSSP10762225</x:v>
      </x:c>
      <x:c r="B282" s="170" t="str">
        <x:f>IF(A282="","",IF(ROWS($A$5:A282)&lt;=COUNTA('Raw Decommissioning'!$B$2:$B$1000),"Decommissioning","Provisioning"))</x:f>
        <x:v>Decommissioning</x:v>
      </x:c>
      <x:c r="C282" s="170" t="str">
        <x:f>IF(A282="","",IF(B282="Decommissioning",IFERROR(INDEX('Raw Decommissioning'!$E$2:$E$1000,MATCH(A282,'Raw Decommissioning'!$B$2:$B$1000,0)),"Missing from latest raw"),IFERROR(INDEX('Raw Provisioning'!$E$2:$E$1000,MATCH(A282,'Raw Provisioning'!$B$2:$B$1000,0)),"Missing from latest raw")))</x:f>
        <x:v>completed</x:v>
      </x:c>
      <x:c r="D282" s="171" t="n">
        <x:f>IF(A282="","",'Refresh Control'!$B$4)</x:f>
        <x:v>46254</x:v>
      </x:c>
      <x:c r="E282" s="171" t="n">
        <x:f>IF(A282="","",IF(B282="Decommissioning",INDEX('Raw Decommissioning'!$F$2:$F$1000,ROWS($A$5:A282)),INDEX('Raw Provisioning'!$F$2:$F$1000,ROWS($A$5:A282)-COUNTA('Raw Decommissioning'!$B$2:$B$1000))))</x:f>
        <x:v>46211.33932381945</x:v>
      </x:c>
      <x:c r="F282" s="171" t="n">
        <x:f>IF(A282="","",IF(B282="Decommissioning",INDEX('Raw Decommissioning'!$G$2:$G$1000,ROWS($A$5:A282)),INDEX('Raw Provisioning'!$H$2:$H$1000,ROWS($A$5:A282)-COUNTA('Raw Decommissioning'!$B$2:$B$1000))))</x:f>
        <x:v>46248.406909375</x:v>
      </x:c>
      <x:c r="G282" s="170" t="str">
        <x:f>IF(A282="","",IF(B282="Decommissioning",INDEX('Raw Decommissioning'!$I$2:$I$1000,ROWS($A$5:A282)),INDEX('Raw Provisioning'!$J$2:$J$1000,ROWS($A$5:A282)-COUNTA('Raw Decommissioning'!$B$2:$B$1000))))</x:f>
        <x:v>myCyberisk</x:v>
      </x:c>
      <x:c r="H282" s="170" t="str">
        <x:f>IF(A282="","",IF(B282="Decommissioning",INDEX('Raw Decommissioning'!$J$2:$J$1000,ROWS($A$5:A282)),INDEX('Raw Provisioning'!$L$2:$L$1000,ROWS($A$5:A282)-COUNTA('Raw Decommissioning'!$B$2:$B$1000))))</x:f>
        <x:v>CS Identity Governance and Administration</x:v>
      </x:c>
      <x:c r="I282" s="170" t="str">
        <x:f>IF(A282="","",IF(B282="Decommissioning",INDEX('Raw Decommissioning'!$AL$2:$AL$1000,ROWS($A$5:A282)),INDEX('Raw Provisioning'!$R$2:$R$1000,ROWS($A$5:A282)-COUNTA('Raw Decommissioning'!$B$2:$B$1000))))</x:f>
        <x:v>M</x:v>
      </x:c>
      <x:c r="J282" s="170" t="str">
        <x:f>IF(A282="","",IF(B282="Decommissioning",INDEX('Raw Decommissioning'!$AG$2:$AG$1000,ROWS($A$5:A282)),INDEX('Raw Provisioning'!$AI$2:$AI$1000,ROWS($A$5:A282)-COUNTA('Raw Decommissioning'!$B$2:$B$1000))))</x:f>
        <x:v>swaminadh.chirakala@petronas.com</x:v>
      </x:c>
      <x:c r="K282" s="172" t="str">
        <x:f>IF(A282="","",IFERROR(LOOKUP(2,1/('Assignment History'!$B$5:$B$204=A282),'Assignment History'!$D$5:$D$204),IFERROR(VLOOKUP(J282,Configuration!$L$5:$M$50,2,FALSE),J282)))</x:f>
        <x:v>swaminadh.chirakala@petronas.com</x:v>
      </x:c>
      <x:c r="L282" s="172" t="str">
        <x:f>IF(A282="","",IF(K282=IFERROR(VLOOKUP(J282,Configuration!$L$5:$M$50,2,FALSE),J282),"Snapshot PIC","Replacement PIC"))</x:f>
        <x:v>Snapshot PIC</x:v>
      </x:c>
      <x:c r="M282" s="172" t="n">
        <x:f>IF(A282="","",IFERROR(VLOOKUP(I282,Configuration!$O$5:$P$8,2,FALSE),Configuration!$S$6))</x:f>
        <x:v>2</x:v>
      </x:c>
      <x:c r="N282" s="172" t="str">
        <x:f>IF(A282="","",IFERROR(LOOKUP(2,1/('Scope Review'!$B$5:$B$204=A282),'Scope Review'!$G$5:$G$204),"Not Reviewed"))</x:f>
        <x:v>Not Reviewed</x:v>
      </x:c>
      <x:c r="O282" s="172" t="str">
        <x:f>IF(A282="","",IFERROR(LOOKUP(2,1/('Scope Review'!$B$5:$B$204=A282),'Scope Review'!$H$5:$H$204),""))</x:f>
      </x:c>
      <x:c r="P282" s="172" t="n">
        <x:f>IF(A282="","",IF(AND(C282="executing",N282&lt;&gt;"Confirmed OOS"),M282,0))</x:f>
        <x:v>0</x:v>
      </x:c>
      <x:c r="Q282" s="173" t="str">
        <x:f>IF(A282="","",IFERROR(LOOKUP(2,1/('Engineer Updates'!$B$5:$B$704=A282),'Engineer Updates'!$A$5:$A$704),""))</x:f>
      </x:c>
      <x:c r="R282" s="172" t="str">
        <x:f>IF(A282="","",IFERROR(LOOKUP(2,1/('Engineer Updates'!$B$5:$B$704=A282),'Engineer Updates'!$H$5:$H$704),""))</x:f>
      </x:c>
      <x:c r="S282" s="172" t="str">
        <x:f>IF(A282="","",IFERROR(LOOKUP(2,1/('Engineer Updates'!$B$5:$B$704=A282),'Engineer Updates'!$G$5:$G$704),""))</x:f>
      </x:c>
      <x:c r="T282" s="172" t="str">
        <x:f>IF(A282="","",IFERROR(LOOKUP(2,1/('Engineer Updates'!$B$5:$B$704=A282),'Engineer Updates'!$I$5:$I$704),""))</x:f>
      </x:c>
      <x:c r="U282" s="172" t="str">
        <x:f>IF(A282="","",IFERROR(LOOKUP(2,1/('Engineer Updates'!$B$5:$B$704=A282),'Engineer Updates'!$J$5:$J$704),""))</x:f>
      </x:c>
      <x:c r="V282" s="172" t="str">
        <x:f>IF(A282="","",IFERROR(LOOKUP(2,1/('Engineer Updates'!$B$5:$B$704=A282),'Engineer Updates'!$K$5:$K$704),""))</x:f>
      </x:c>
      <x:c r="W282" s="174" t="str">
        <x:f>IF(A282="","",IFERROR(LOOKUP(2,1/('Engineer Updates'!$B$5:$B$704=A282),'Engineer Updates'!$L$5:$L$704),""))</x:f>
      </x:c>
      <x:c r="X282" s="170" t="str">
        <x:f>IF(A282="","",IF(C282="completed","Completed in CSSP",IF(AND(C282="executing",ISERROR(SEARCH("@",K282))),"Executing without named engineer",IF(AND(N282="Confirmed OOS",C282="executing"),"Confirmed OOS still executing",""))))</x:f>
        <x:v>Completed in CSSP</x:v>
      </x:c>
      <x:c r="Y282" s="170" t="str">
        <x:f>IF(A282="","",IF(B282="Decommissioning","Raw Decommissioning","Raw Provisioning"))</x:f>
        <x:v>Raw Decommissioning</x:v>
      </x:c>
      <x:c r="Z282" s="170" t="str">
        <x:f>IF(A282="","",IF(OR(C282="executing",C282="processing"),"Yes","No"))</x:f>
        <x:v>No</x:v>
      </x:c>
    </x:row>
    <x:row r="283">
      <x:c r="A283" s="170" t="str">
        <x:f>IF(ROWS($A$5:A283)&lt;=COUNTA('Raw Decommissioning'!$B$2:$B$1000),INDEX('Raw Decommissioning'!$B$2:$B$1000,ROWS($A$5:A283)),IF(ROWS($A$5:A283)-COUNTA('Raw Decommissioning'!$B$2:$B$1000)&lt;=COUNTA('Raw Provisioning'!$B$2:$B$1000),INDEX('Raw Provisioning'!$B$2:$B$1000,ROWS($A$5:A283)-COUNTA('Raw Decommissioning'!$B$2:$B$1000)),""))</x:f>
        <x:v>CSSP10995799</x:v>
      </x:c>
      <x:c r="B283" s="170" t="str">
        <x:f>IF(A283="","",IF(ROWS($A$5:A283)&lt;=COUNTA('Raw Decommissioning'!$B$2:$B$1000),"Decommissioning","Provisioning"))</x:f>
        <x:v>Decommissioning</x:v>
      </x:c>
      <x:c r="C283" s="170" t="str">
        <x:f>IF(A283="","",IF(B283="Decommissioning",IFERROR(INDEX('Raw Decommissioning'!$E$2:$E$1000,MATCH(A283,'Raw Decommissioning'!$B$2:$B$1000,0)),"Missing from latest raw"),IFERROR(INDEX('Raw Provisioning'!$E$2:$E$1000,MATCH(A283,'Raw Provisioning'!$B$2:$B$1000,0)),"Missing from latest raw")))</x:f>
        <x:v>completed</x:v>
      </x:c>
      <x:c r="D283" s="171" t="n">
        <x:f>IF(A283="","",'Refresh Control'!$B$4)</x:f>
        <x:v>46254</x:v>
      </x:c>
      <x:c r="E283" s="171" t="n">
        <x:f>IF(A283="","",IF(B283="Decommissioning",INDEX('Raw Decommissioning'!$F$2:$F$1000,ROWS($A$5:A283)),INDEX('Raw Provisioning'!$F$2:$F$1000,ROWS($A$5:A283)-COUNTA('Raw Decommissioning'!$B$2:$B$1000))))</x:f>
        <x:v>46212.03723253472</x:v>
      </x:c>
      <x:c r="F283" s="171" t="n">
        <x:f>IF(A283="","",IF(B283="Decommissioning",INDEX('Raw Decommissioning'!$G$2:$G$1000,ROWS($A$5:A283)),INDEX('Raw Provisioning'!$H$2:$H$1000,ROWS($A$5:A283)-COUNTA('Raw Decommissioning'!$B$2:$B$1000))))</x:f>
        <x:v>46234.47030501157</x:v>
      </x:c>
      <x:c r="G283" s="170" t="str">
        <x:f>IF(A283="","",IF(B283="Decommissioning",INDEX('Raw Decommissioning'!$I$2:$I$1000,ROWS($A$5:A283)),INDEX('Raw Provisioning'!$J$2:$J$1000,ROWS($A$5:A283)-COUNTA('Raw Decommissioning'!$B$2:$B$1000))))</x:f>
        <x:v>ABB Smart Sensor Interface Agent</x:v>
      </x:c>
      <x:c r="H283" s="170" t="str">
        <x:f>IF(A283="","",IF(B283="Decommissioning",INDEX('Raw Decommissioning'!$J$2:$J$1000,ROWS($A$5:A283)),INDEX('Raw Provisioning'!$L$2:$L$1000,ROWS($A$5:A283)-COUNTA('Raw Decommissioning'!$B$2:$B$1000))))</x:f>
        <x:v>Integrating MLNG ABB Ability Smart Sensor with MLNG PI Management System</x:v>
      </x:c>
      <x:c r="I283" s="170" t="str">
        <x:f>IF(A283="","",IF(B283="Decommissioning",INDEX('Raw Decommissioning'!$AL$2:$AL$1000,ROWS($A$5:A283)),INDEX('Raw Provisioning'!$R$2:$R$1000,ROWS($A$5:A283)-COUNTA('Raw Decommissioning'!$B$2:$B$1000))))</x:f>
        <x:v>M</x:v>
      </x:c>
      <x:c r="J283" s="170" t="str">
        <x:f>IF(A283="","",IF(B283="Decommissioning",INDEX('Raw Decommissioning'!$AG$2:$AG$1000,ROWS($A$5:A283)),INDEX('Raw Provisioning'!$AI$2:$AI$1000,ROWS($A$5:A283)-COUNTA('Raw Decommissioning'!$B$2:$B$1000))))</x:f>
        <x:v>venkatesh.kalikivayi@petronas.com</x:v>
      </x:c>
      <x:c r="K283" s="172" t="str">
        <x:f>IF(A283="","",IFERROR(LOOKUP(2,1/('Assignment History'!$B$5:$B$204=A283),'Assignment History'!$D$5:$D$204),IFERROR(VLOOKUP(J283,Configuration!$L$5:$M$50,2,FALSE),J283)))</x:f>
        <x:v>venkatesh.kalikivayi@petronas.com</x:v>
      </x:c>
      <x:c r="L283" s="172" t="str">
        <x:f>IF(A283="","",IF(K283=IFERROR(VLOOKUP(J283,Configuration!$L$5:$M$50,2,FALSE),J283),"Snapshot PIC","Replacement PIC"))</x:f>
        <x:v>Snapshot PIC</x:v>
      </x:c>
      <x:c r="M283" s="172" t="n">
        <x:f>IF(A283="","",IFERROR(VLOOKUP(I283,Configuration!$O$5:$P$8,2,FALSE),Configuration!$S$6))</x:f>
        <x:v>2</x:v>
      </x:c>
      <x:c r="N283" s="172" t="str">
        <x:f>IF(A283="","",IFERROR(LOOKUP(2,1/('Scope Review'!$B$5:$B$204=A283),'Scope Review'!$G$5:$G$204),"Not Reviewed"))</x:f>
        <x:v>Not Reviewed</x:v>
      </x:c>
      <x:c r="O283" s="172" t="str">
        <x:f>IF(A283="","",IFERROR(LOOKUP(2,1/('Scope Review'!$B$5:$B$204=A283),'Scope Review'!$H$5:$H$204),""))</x:f>
      </x:c>
      <x:c r="P283" s="172" t="n">
        <x:f>IF(A283="","",IF(AND(C283="executing",N283&lt;&gt;"Confirmed OOS"),M283,0))</x:f>
        <x:v>0</x:v>
      </x:c>
      <x:c r="Q283" s="173" t="str">
        <x:f>IF(A283="","",IFERROR(LOOKUP(2,1/('Engineer Updates'!$B$5:$B$704=A283),'Engineer Updates'!$A$5:$A$704),""))</x:f>
      </x:c>
      <x:c r="R283" s="172" t="str">
        <x:f>IF(A283="","",IFERROR(LOOKUP(2,1/('Engineer Updates'!$B$5:$B$704=A283),'Engineer Updates'!$H$5:$H$704),""))</x:f>
      </x:c>
      <x:c r="S283" s="172" t="str">
        <x:f>IF(A283="","",IFERROR(LOOKUP(2,1/('Engineer Updates'!$B$5:$B$704=A283),'Engineer Updates'!$G$5:$G$704),""))</x:f>
      </x:c>
      <x:c r="T283" s="172" t="str">
        <x:f>IF(A283="","",IFERROR(LOOKUP(2,1/('Engineer Updates'!$B$5:$B$704=A283),'Engineer Updates'!$I$5:$I$704),""))</x:f>
      </x:c>
      <x:c r="U283" s="172" t="str">
        <x:f>IF(A283="","",IFERROR(LOOKUP(2,1/('Engineer Updates'!$B$5:$B$704=A283),'Engineer Updates'!$J$5:$J$704),""))</x:f>
      </x:c>
      <x:c r="V283" s="172" t="str">
        <x:f>IF(A283="","",IFERROR(LOOKUP(2,1/('Engineer Updates'!$B$5:$B$704=A283),'Engineer Updates'!$K$5:$K$704),""))</x:f>
      </x:c>
      <x:c r="W283" s="174" t="str">
        <x:f>IF(A283="","",IFERROR(LOOKUP(2,1/('Engineer Updates'!$B$5:$B$704=A283),'Engineer Updates'!$L$5:$L$704),""))</x:f>
      </x:c>
      <x:c r="X283" s="170" t="str">
        <x:f>IF(A283="","",IF(C283="completed","Completed in CSSP",IF(AND(C283="executing",ISERROR(SEARCH("@",K283))),"Executing without named engineer",IF(AND(N283="Confirmed OOS",C283="executing"),"Confirmed OOS still executing",""))))</x:f>
        <x:v>Completed in CSSP</x:v>
      </x:c>
      <x:c r="Y283" s="170" t="str">
        <x:f>IF(A283="","",IF(B283="Decommissioning","Raw Decommissioning","Raw Provisioning"))</x:f>
        <x:v>Raw Decommissioning</x:v>
      </x:c>
      <x:c r="Z283" s="170" t="str">
        <x:f>IF(A283="","",IF(OR(C283="executing",C283="processing"),"Yes","No"))</x:f>
        <x:v>No</x:v>
      </x:c>
    </x:row>
    <x:row r="284">
      <x:c r="A284" s="170" t="str">
        <x:f>IF(ROWS($A$5:A284)&lt;=COUNTA('Raw Decommissioning'!$B$2:$B$1000),INDEX('Raw Decommissioning'!$B$2:$B$1000,ROWS($A$5:A284)),IF(ROWS($A$5:A284)-COUNTA('Raw Decommissioning'!$B$2:$B$1000)&lt;=COUNTA('Raw Provisioning'!$B$2:$B$1000),INDEX('Raw Provisioning'!$B$2:$B$1000,ROWS($A$5:A284)-COUNTA('Raw Decommissioning'!$B$2:$B$1000)),""))</x:f>
        <x:v>CSSP10531255</x:v>
      </x:c>
      <x:c r="B284" s="170" t="str">
        <x:f>IF(A284="","",IF(ROWS($A$5:A284)&lt;=COUNTA('Raw Decommissioning'!$B$2:$B$1000),"Decommissioning","Provisioning"))</x:f>
        <x:v>Decommissioning</x:v>
      </x:c>
      <x:c r="C284" s="170" t="str">
        <x:f>IF(A284="","",IF(B284="Decommissioning",IFERROR(INDEX('Raw Decommissioning'!$E$2:$E$1000,MATCH(A284,'Raw Decommissioning'!$B$2:$B$1000,0)),"Missing from latest raw"),IFERROR(INDEX('Raw Provisioning'!$E$2:$E$1000,MATCH(A284,'Raw Provisioning'!$B$2:$B$1000,0)),"Missing from latest raw")))</x:f>
        <x:v>rejected</x:v>
      </x:c>
      <x:c r="D284" s="171" t="n">
        <x:f>IF(A284="","",'Refresh Control'!$B$4)</x:f>
        <x:v>46254</x:v>
      </x:c>
      <x:c r="E284" s="171" t="n">
        <x:f>IF(A284="","",IF(B284="Decommissioning",INDEX('Raw Decommissioning'!$F$2:$F$1000,ROWS($A$5:A284)),INDEX('Raw Provisioning'!$F$2:$F$1000,ROWS($A$5:A284)-COUNTA('Raw Decommissioning'!$B$2:$B$1000))))</x:f>
        <x:v>46212.09584033565</x:v>
      </x:c>
      <x:c r="F284" s="171" t="n">
        <x:f>IF(A284="","",IF(B284="Decommissioning",INDEX('Raw Decommissioning'!$G$2:$G$1000,ROWS($A$5:A284)),INDEX('Raw Provisioning'!$H$2:$H$1000,ROWS($A$5:A284)-COUNTA('Raw Decommissioning'!$B$2:$B$1000))))</x:f>
        <x:v>46212.13231207176</x:v>
      </x:c>
      <x:c r="G284" s="170" t="str">
        <x:f>IF(A284="","",IF(B284="Decommissioning",INDEX('Raw Decommissioning'!$I$2:$I$1000,ROWS($A$5:A284)),INDEX('Raw Provisioning'!$J$2:$J$1000,ROWS($A$5:A284)-COUNTA('Raw Decommissioning'!$B$2:$B$1000))))</x:f>
        <x:v>Scaffolding Web - SISFOLDs</x:v>
      </x:c>
      <x:c r="H284" s="170" t="str">
        <x:f>IF(A284="","",IF(B284="Decommissioning",INDEX('Raw Decommissioning'!$J$2:$J$1000,ROWS($A$5:A284)),INDEX('Raw Provisioning'!$L$2:$L$1000,ROWS($A$5:A284)-COUNTA('Raw Decommissioning'!$B$2:$B$1000))))</x:f>
        <x:v>Development of Real-time Monitoring of Scaffolding Web-based Application for GTS</x:v>
      </x:c>
      <x:c r="I284" s="170" t="str">
        <x:f>IF(A284="","",IF(B284="Decommissioning",INDEX('Raw Decommissioning'!$AL$2:$AL$1000,ROWS($A$5:A284)),INDEX('Raw Provisioning'!$R$2:$R$1000,ROWS($A$5:A284)-COUNTA('Raw Decommissioning'!$B$2:$B$1000))))</x:f>
      </x:c>
      <x:c r="J284" s="170" t="str">
        <x:f>IF(A284="","",IF(B284="Decommissioning",INDEX('Raw Decommissioning'!$AG$2:$AG$1000,ROWS($A$5:A284)),INDEX('Raw Provisioning'!$AI$2:$AI$1000,ROWS($A$5:A284)-COUNTA('Raw Decommissioning'!$B$2:$B$1000))))</x:f>
        <x:v>IMS - CLOUD CSSP EXECUTOR</x:v>
      </x:c>
      <x:c r="K284" s="172" t="str">
        <x:f>IF(A284="","",IFERROR(LOOKUP(2,1/('Assignment History'!$B$5:$B$204=A284),'Assignment History'!$D$5:$D$204),IFERROR(VLOOKUP(J284,Configuration!$L$5:$M$50,2,FALSE),J284)))</x:f>
        <x:v>IMS - CLOUD CSSP EXECUTOR</x:v>
      </x:c>
      <x:c r="L284" s="172" t="str">
        <x:f>IF(A284="","",IF(K284=IFERROR(VLOOKUP(J284,Configuration!$L$5:$M$50,2,FALSE),J284),"Snapshot PIC","Replacement PIC"))</x:f>
        <x:v>Snapshot PIC</x:v>
      </x:c>
      <x:c r="M284" s="172" t="n">
        <x:f>IF(A284="","",IFERROR(VLOOKUP(I284,Configuration!$O$5:$P$8,2,FALSE),Configuration!$S$6))</x:f>
        <x:v>2</x:v>
      </x:c>
      <x:c r="N284" s="172" t="str">
        <x:f>IF(A284="","",IFERROR(LOOKUP(2,1/('Scope Review'!$B$5:$B$204=A284),'Scope Review'!$G$5:$G$204),"Not Reviewed"))</x:f>
        <x:v>Not Reviewed</x:v>
      </x:c>
      <x:c r="O284" s="172" t="str">
        <x:f>IF(A284="","",IFERROR(LOOKUP(2,1/('Scope Review'!$B$5:$B$204=A284),'Scope Review'!$H$5:$H$204),""))</x:f>
      </x:c>
      <x:c r="P284" s="172" t="n">
        <x:f>IF(A284="","",IF(AND(C284="executing",N284&lt;&gt;"Confirmed OOS"),M284,0))</x:f>
        <x:v>0</x:v>
      </x:c>
      <x:c r="Q284" s="173" t="str">
        <x:f>IF(A284="","",IFERROR(LOOKUP(2,1/('Engineer Updates'!$B$5:$B$704=A284),'Engineer Updates'!$A$5:$A$704),""))</x:f>
      </x:c>
      <x:c r="R284" s="172" t="str">
        <x:f>IF(A284="","",IFERROR(LOOKUP(2,1/('Engineer Updates'!$B$5:$B$704=A284),'Engineer Updates'!$H$5:$H$704),""))</x:f>
      </x:c>
      <x:c r="S284" s="172" t="str">
        <x:f>IF(A284="","",IFERROR(LOOKUP(2,1/('Engineer Updates'!$B$5:$B$704=A284),'Engineer Updates'!$G$5:$G$704),""))</x:f>
      </x:c>
      <x:c r="T284" s="172" t="str">
        <x:f>IF(A284="","",IFERROR(LOOKUP(2,1/('Engineer Updates'!$B$5:$B$704=A284),'Engineer Updates'!$I$5:$I$704),""))</x:f>
      </x:c>
      <x:c r="U284" s="172" t="str">
        <x:f>IF(A284="","",IFERROR(LOOKUP(2,1/('Engineer Updates'!$B$5:$B$704=A284),'Engineer Updates'!$J$5:$J$704),""))</x:f>
      </x:c>
      <x:c r="V284" s="172" t="str">
        <x:f>IF(A284="","",IFERROR(LOOKUP(2,1/('Engineer Updates'!$B$5:$B$704=A284),'Engineer Updates'!$K$5:$K$704),""))</x:f>
      </x:c>
      <x:c r="W284" s="174" t="str">
        <x:f>IF(A284="","",IFERROR(LOOKUP(2,1/('Engineer Updates'!$B$5:$B$704=A284),'Engineer Updates'!$L$5:$L$704),""))</x:f>
      </x:c>
      <x:c r="X284" s="170" t="str">
        <x:f>IF(A284="","",IF(C284="completed","Completed in CSSP",IF(AND(C284="executing",ISERROR(SEARCH("@",K284))),"Executing without named engineer",IF(AND(N284="Confirmed OOS",C284="executing"),"Confirmed OOS still executing",""))))</x:f>
      </x:c>
      <x:c r="Y284" s="170" t="str">
        <x:f>IF(A284="","",IF(B284="Decommissioning","Raw Decommissioning","Raw Provisioning"))</x:f>
        <x:v>Raw Decommissioning</x:v>
      </x:c>
      <x:c r="Z284" s="170" t="str">
        <x:f>IF(A284="","",IF(OR(C284="executing",C284="processing"),"Yes","No"))</x:f>
        <x:v>No</x:v>
      </x:c>
    </x:row>
    <x:row r="285">
      <x:c r="A285" s="170" t="str">
        <x:f>IF(ROWS($A$5:A285)&lt;=COUNTA('Raw Decommissioning'!$B$2:$B$1000),INDEX('Raw Decommissioning'!$B$2:$B$1000,ROWS($A$5:A285)),IF(ROWS($A$5:A285)-COUNTA('Raw Decommissioning'!$B$2:$B$1000)&lt;=COUNTA('Raw Provisioning'!$B$2:$B$1000),INDEX('Raw Provisioning'!$B$2:$B$1000,ROWS($A$5:A285)-COUNTA('Raw Decommissioning'!$B$2:$B$1000)),""))</x:f>
        <x:v>CSSP10720428</x:v>
      </x:c>
      <x:c r="B285" s="170" t="str">
        <x:f>IF(A285="","",IF(ROWS($A$5:A285)&lt;=COUNTA('Raw Decommissioning'!$B$2:$B$1000),"Decommissioning","Provisioning"))</x:f>
        <x:v>Decommissioning</x:v>
      </x:c>
      <x:c r="C285" s="170" t="str">
        <x:f>IF(A285="","",IF(B285="Decommissioning",IFERROR(INDEX('Raw Decommissioning'!$E$2:$E$1000,MATCH(A285,'Raw Decommissioning'!$B$2:$B$1000,0)),"Missing from latest raw"),IFERROR(INDEX('Raw Provisioning'!$E$2:$E$1000,MATCH(A285,'Raw Provisioning'!$B$2:$B$1000,0)),"Missing from latest raw")))</x:f>
        <x:v>cancelled</x:v>
      </x:c>
      <x:c r="D285" s="171" t="n">
        <x:f>IF(A285="","",'Refresh Control'!$B$4)</x:f>
        <x:v>46254</x:v>
      </x:c>
      <x:c r="E285" s="171" t="n">
        <x:f>IF(A285="","",IF(B285="Decommissioning",INDEX('Raw Decommissioning'!$F$2:$F$1000,ROWS($A$5:A285)),INDEX('Raw Provisioning'!$F$2:$F$1000,ROWS($A$5:A285)-COUNTA('Raw Decommissioning'!$B$2:$B$1000))))</x:f>
        <x:v>46212.43208709491</x:v>
      </x:c>
      <x:c r="F285" s="171" t="n">
        <x:f>IF(A285="","",IF(B285="Decommissioning",INDEX('Raw Decommissioning'!$G$2:$G$1000,ROWS($A$5:A285)),INDEX('Raw Provisioning'!$H$2:$H$1000,ROWS($A$5:A285)-COUNTA('Raw Decommissioning'!$B$2:$B$1000))))</x:f>
        <x:v>46230.12956197916</x:v>
      </x:c>
      <x:c r="G285" s="170" t="str">
        <x:f>IF(A285="","",IF(B285="Decommissioning",INDEX('Raw Decommissioning'!$I$2:$I$1000,ROWS($A$5:A285)),INDEX('Raw Provisioning'!$J$2:$J$1000,ROWS($A$5:A285)-COUNTA('Raw Decommissioning'!$B$2:$B$1000))))</x:f>
        <x:v>PI SQL DAS</x:v>
      </x:c>
      <x:c r="H285" s="170" t="str">
        <x:f>IF(A285="","",IF(B285="Decommissioning",INDEX('Raw Decommissioning'!$J$2:$J$1000,ROWS($A$5:A285)),INDEX('Raw Provisioning'!$L$2:$L$1000,ROWS($A$5:A285)-COUNTA('Raw Decommissioning'!$B$2:$B$1000))))</x:f>
        <x:v>PI SQL DAS created for PRIVATECLOUD project record</x:v>
      </x:c>
      <x:c r="I285" s="170" t="str">
        <x:f>IF(A285="","",IF(B285="Decommissioning",INDEX('Raw Decommissioning'!$AL$2:$AL$1000,ROWS($A$5:A285)),INDEX('Raw Provisioning'!$R$2:$R$1000,ROWS($A$5:A285)-COUNTA('Raw Decommissioning'!$B$2:$B$1000))))</x:f>
        <x:v>M</x:v>
      </x:c>
      <x:c r="J285" s="170" t="str">
        <x:f>IF(A285="","",IF(B285="Decommissioning",INDEX('Raw Decommissioning'!$AG$2:$AG$1000,ROWS($A$5:A285)),INDEX('Raw Provisioning'!$AI$2:$AI$1000,ROWS($A$5:A285)-COUNTA('Raw Decommissioning'!$B$2:$B$1000))))</x:f>
        <x:v>CCoE Business</x:v>
      </x:c>
      <x:c r="K285" s="172" t="str">
        <x:f>IF(A285="","",IFERROR(LOOKUP(2,1/('Assignment History'!$B$5:$B$204=A285),'Assignment History'!$D$5:$D$204),IFERROR(VLOOKUP(J285,Configuration!$L$5:$M$50,2,FALSE),J285)))</x:f>
        <x:v>CCoE Business</x:v>
      </x:c>
      <x:c r="L285" s="172" t="str">
        <x:f>IF(A285="","",IF(K285=IFERROR(VLOOKUP(J285,Configuration!$L$5:$M$50,2,FALSE),J285),"Snapshot PIC","Replacement PIC"))</x:f>
        <x:v>Snapshot PIC</x:v>
      </x:c>
      <x:c r="M285" s="172" t="n">
        <x:f>IF(A285="","",IFERROR(VLOOKUP(I285,Configuration!$O$5:$P$8,2,FALSE),Configuration!$S$6))</x:f>
        <x:v>2</x:v>
      </x:c>
      <x:c r="N285" s="172" t="str">
        <x:f>IF(A285="","",IFERROR(LOOKUP(2,1/('Scope Review'!$B$5:$B$204=A285),'Scope Review'!$G$5:$G$204),"Not Reviewed"))</x:f>
        <x:v>Not Reviewed</x:v>
      </x:c>
      <x:c r="O285" s="172" t="str">
        <x:f>IF(A285="","",IFERROR(LOOKUP(2,1/('Scope Review'!$B$5:$B$204=A285),'Scope Review'!$H$5:$H$204),""))</x:f>
      </x:c>
      <x:c r="P285" s="172" t="n">
        <x:f>IF(A285="","",IF(AND(C285="executing",N285&lt;&gt;"Confirmed OOS"),M285,0))</x:f>
        <x:v>0</x:v>
      </x:c>
      <x:c r="Q285" s="173" t="str">
        <x:f>IF(A285="","",IFERROR(LOOKUP(2,1/('Engineer Updates'!$B$5:$B$704=A285),'Engineer Updates'!$A$5:$A$704),""))</x:f>
      </x:c>
      <x:c r="R285" s="172" t="str">
        <x:f>IF(A285="","",IFERROR(LOOKUP(2,1/('Engineer Updates'!$B$5:$B$704=A285),'Engineer Updates'!$H$5:$H$704),""))</x:f>
      </x:c>
      <x:c r="S285" s="172" t="str">
        <x:f>IF(A285="","",IFERROR(LOOKUP(2,1/('Engineer Updates'!$B$5:$B$704=A285),'Engineer Updates'!$G$5:$G$704),""))</x:f>
      </x:c>
      <x:c r="T285" s="172" t="str">
        <x:f>IF(A285="","",IFERROR(LOOKUP(2,1/('Engineer Updates'!$B$5:$B$704=A285),'Engineer Updates'!$I$5:$I$704),""))</x:f>
      </x:c>
      <x:c r="U285" s="172" t="str">
        <x:f>IF(A285="","",IFERROR(LOOKUP(2,1/('Engineer Updates'!$B$5:$B$704=A285),'Engineer Updates'!$J$5:$J$704),""))</x:f>
      </x:c>
      <x:c r="V285" s="172" t="str">
        <x:f>IF(A285="","",IFERROR(LOOKUP(2,1/('Engineer Updates'!$B$5:$B$704=A285),'Engineer Updates'!$K$5:$K$704),""))</x:f>
      </x:c>
      <x:c r="W285" s="174" t="str">
        <x:f>IF(A285="","",IFERROR(LOOKUP(2,1/('Engineer Updates'!$B$5:$B$704=A285),'Engineer Updates'!$L$5:$L$704),""))</x:f>
      </x:c>
      <x:c r="X285" s="170" t="str">
        <x:f>IF(A285="","",IF(C285="completed","Completed in CSSP",IF(AND(C285="executing",ISERROR(SEARCH("@",K285))),"Executing without named engineer",IF(AND(N285="Confirmed OOS",C285="executing"),"Confirmed OOS still executing",""))))</x:f>
      </x:c>
      <x:c r="Y285" s="170" t="str">
        <x:f>IF(A285="","",IF(B285="Decommissioning","Raw Decommissioning","Raw Provisioning"))</x:f>
        <x:v>Raw Decommissioning</x:v>
      </x:c>
      <x:c r="Z285" s="170" t="str">
        <x:f>IF(A285="","",IF(OR(C285="executing",C285="processing"),"Yes","No"))</x:f>
        <x:v>No</x:v>
      </x:c>
    </x:row>
    <x:row r="286">
      <x:c r="A286" s="170" t="str">
        <x:f>IF(ROWS($A$5:A286)&lt;=COUNTA('Raw Decommissioning'!$B$2:$B$1000),INDEX('Raw Decommissioning'!$B$2:$B$1000,ROWS($A$5:A286)),IF(ROWS($A$5:A286)-COUNTA('Raw Decommissioning'!$B$2:$B$1000)&lt;=COUNTA('Raw Provisioning'!$B$2:$B$1000),INDEX('Raw Provisioning'!$B$2:$B$1000,ROWS($A$5:A286)-COUNTA('Raw Decommissioning'!$B$2:$B$1000)),""))</x:f>
        <x:v>CSSP10212226</x:v>
      </x:c>
      <x:c r="B286" s="170" t="str">
        <x:f>IF(A286="","",IF(ROWS($A$5:A286)&lt;=COUNTA('Raw Decommissioning'!$B$2:$B$1000),"Decommissioning","Provisioning"))</x:f>
        <x:v>Decommissioning</x:v>
      </x:c>
      <x:c r="C286" s="170" t="str">
        <x:f>IF(A286="","",IF(B286="Decommissioning",IFERROR(INDEX('Raw Decommissioning'!$E$2:$E$1000,MATCH(A286,'Raw Decommissioning'!$B$2:$B$1000,0)),"Missing from latest raw"),IFERROR(INDEX('Raw Provisioning'!$E$2:$E$1000,MATCH(A286,'Raw Provisioning'!$B$2:$B$1000,0)),"Missing from latest raw")))</x:f>
        <x:v>rejected</x:v>
      </x:c>
      <x:c r="D286" s="171" t="n">
        <x:f>IF(A286="","",'Refresh Control'!$B$4)</x:f>
        <x:v>46254</x:v>
      </x:c>
      <x:c r="E286" s="171" t="n">
        <x:f>IF(A286="","",IF(B286="Decommissioning",INDEX('Raw Decommissioning'!$F$2:$F$1000,ROWS($A$5:A286)),INDEX('Raw Provisioning'!$F$2:$F$1000,ROWS($A$5:A286)-COUNTA('Raw Decommissioning'!$B$2:$B$1000))))</x:f>
        <x:v>46213.07587305555</x:v>
      </x:c>
      <x:c r="F286" s="171" t="n">
        <x:f>IF(A286="","",IF(B286="Decommissioning",INDEX('Raw Decommissioning'!$G$2:$G$1000,ROWS($A$5:A286)),INDEX('Raw Provisioning'!$H$2:$H$1000,ROWS($A$5:A286)-COUNTA('Raw Decommissioning'!$B$2:$B$1000))))</x:f>
        <x:v>46248.32243903935</x:v>
      </x:c>
      <x:c r="G286" s="170" t="str">
        <x:f>IF(A286="","",IF(B286="Decommissioning",INDEX('Raw Decommissioning'!$I$2:$I$1000,ROWS($A$5:A286)),INDEX('Raw Provisioning'!$J$2:$J$1000,ROWS($A$5:A286)-COUNTA('Raw Decommissioning'!$B$2:$B$1000))))</x:f>
        <x:v>Rystad Energy Auth Server</x:v>
      </x:c>
      <x:c r="H286" s="170" t="str">
        <x:f>IF(A286="","",IF(B286="Decommissioning",INDEX('Raw Decommissioning'!$J$2:$J$1000,ROWS($A$5:A286)),INDEX('Raw Provisioning'!$L$2:$L$1000,ROWS($A$5:A286)-COUNTA('Raw Decommissioning'!$B$2:$B$1000))))</x:f>
        <x:v>Hosting of Rystad Energy Ucube and Database for Upstream Strategy &amp; Commercial</x:v>
      </x:c>
      <x:c r="I286" s="170" t="str">
        <x:f>IF(A286="","",IF(B286="Decommissioning",INDEX('Raw Decommissioning'!$AL$2:$AL$1000,ROWS($A$5:A286)),INDEX('Raw Provisioning'!$R$2:$R$1000,ROWS($A$5:A286)-COUNTA('Raw Decommissioning'!$B$2:$B$1000))))</x:f>
      </x:c>
      <x:c r="J286" s="170" t="str">
        <x:f>IF(A286="","",IF(B286="Decommissioning",INDEX('Raw Decommissioning'!$AG$2:$AG$1000,ROWS($A$5:A286)),INDEX('Raw Provisioning'!$AI$2:$AI$1000,ROWS($A$5:A286)-COUNTA('Raw Decommissioning'!$B$2:$B$1000))))</x:f>
        <x:v>CCoE Business</x:v>
      </x:c>
      <x:c r="K286" s="172" t="str">
        <x:f>IF(A286="","",IFERROR(LOOKUP(2,1/('Assignment History'!$B$5:$B$204=A286),'Assignment History'!$D$5:$D$204),IFERROR(VLOOKUP(J286,Configuration!$L$5:$M$50,2,FALSE),J286)))</x:f>
        <x:v>CCoE Business</x:v>
      </x:c>
      <x:c r="L286" s="172" t="str">
        <x:f>IF(A286="","",IF(K286=IFERROR(VLOOKUP(J286,Configuration!$L$5:$M$50,2,FALSE),J286),"Snapshot PIC","Replacement PIC"))</x:f>
        <x:v>Snapshot PIC</x:v>
      </x:c>
      <x:c r="M286" s="172" t="n">
        <x:f>IF(A286="","",IFERROR(VLOOKUP(I286,Configuration!$O$5:$P$8,2,FALSE),Configuration!$S$6))</x:f>
        <x:v>2</x:v>
      </x:c>
      <x:c r="N286" s="172" t="str">
        <x:f>IF(A286="","",IFERROR(LOOKUP(2,1/('Scope Review'!$B$5:$B$204=A286),'Scope Review'!$G$5:$G$204),"Not Reviewed"))</x:f>
        <x:v>Not Reviewed</x:v>
      </x:c>
      <x:c r="O286" s="172" t="str">
        <x:f>IF(A286="","",IFERROR(LOOKUP(2,1/('Scope Review'!$B$5:$B$204=A286),'Scope Review'!$H$5:$H$204),""))</x:f>
      </x:c>
      <x:c r="P286" s="172" t="n">
        <x:f>IF(A286="","",IF(AND(C286="executing",N286&lt;&gt;"Confirmed OOS"),M286,0))</x:f>
        <x:v>0</x:v>
      </x:c>
      <x:c r="Q286" s="173" t="str">
        <x:f>IF(A286="","",IFERROR(LOOKUP(2,1/('Engineer Updates'!$B$5:$B$704=A286),'Engineer Updates'!$A$5:$A$704),""))</x:f>
      </x:c>
      <x:c r="R286" s="172" t="str">
        <x:f>IF(A286="","",IFERROR(LOOKUP(2,1/('Engineer Updates'!$B$5:$B$704=A286),'Engineer Updates'!$H$5:$H$704),""))</x:f>
      </x:c>
      <x:c r="S286" s="172" t="str">
        <x:f>IF(A286="","",IFERROR(LOOKUP(2,1/('Engineer Updates'!$B$5:$B$704=A286),'Engineer Updates'!$G$5:$G$704),""))</x:f>
      </x:c>
      <x:c r="T286" s="172" t="str">
        <x:f>IF(A286="","",IFERROR(LOOKUP(2,1/('Engineer Updates'!$B$5:$B$704=A286),'Engineer Updates'!$I$5:$I$704),""))</x:f>
      </x:c>
      <x:c r="U286" s="172" t="str">
        <x:f>IF(A286="","",IFERROR(LOOKUP(2,1/('Engineer Updates'!$B$5:$B$704=A286),'Engineer Updates'!$J$5:$J$704),""))</x:f>
      </x:c>
      <x:c r="V286" s="172" t="str">
        <x:f>IF(A286="","",IFERROR(LOOKUP(2,1/('Engineer Updates'!$B$5:$B$704=A286),'Engineer Updates'!$K$5:$K$704),""))</x:f>
      </x:c>
      <x:c r="W286" s="174" t="str">
        <x:f>IF(A286="","",IFERROR(LOOKUP(2,1/('Engineer Updates'!$B$5:$B$704=A286),'Engineer Updates'!$L$5:$L$704),""))</x:f>
      </x:c>
      <x:c r="X286" s="170" t="str">
        <x:f>IF(A286="","",IF(C286="completed","Completed in CSSP",IF(AND(C286="executing",ISERROR(SEARCH("@",K286))),"Executing without named engineer",IF(AND(N286="Confirmed OOS",C286="executing"),"Confirmed OOS still executing",""))))</x:f>
      </x:c>
      <x:c r="Y286" s="170" t="str">
        <x:f>IF(A286="","",IF(B286="Decommissioning","Raw Decommissioning","Raw Provisioning"))</x:f>
        <x:v>Raw Decommissioning</x:v>
      </x:c>
      <x:c r="Z286" s="170" t="str">
        <x:f>IF(A286="","",IF(OR(C286="executing",C286="processing"),"Yes","No"))</x:f>
        <x:v>No</x:v>
      </x:c>
    </x:row>
    <x:row r="287">
      <x:c r="A287" s="170" t="str">
        <x:f>IF(ROWS($A$5:A287)&lt;=COUNTA('Raw Decommissioning'!$B$2:$B$1000),INDEX('Raw Decommissioning'!$B$2:$B$1000,ROWS($A$5:A287)),IF(ROWS($A$5:A287)-COUNTA('Raw Decommissioning'!$B$2:$B$1000)&lt;=COUNTA('Raw Provisioning'!$B$2:$B$1000),INDEX('Raw Provisioning'!$B$2:$B$1000,ROWS($A$5:A287)-COUNTA('Raw Decommissioning'!$B$2:$B$1000)),""))</x:f>
        <x:v>CSSP10164093</x:v>
      </x:c>
      <x:c r="B287" s="170" t="str">
        <x:f>IF(A287="","",IF(ROWS($A$5:A287)&lt;=COUNTA('Raw Decommissioning'!$B$2:$B$1000),"Decommissioning","Provisioning"))</x:f>
        <x:v>Decommissioning</x:v>
      </x:c>
      <x:c r="C287" s="170" t="str">
        <x:f>IF(A287="","",IF(B287="Decommissioning",IFERROR(INDEX('Raw Decommissioning'!$E$2:$E$1000,MATCH(A287,'Raw Decommissioning'!$B$2:$B$1000,0)),"Missing from latest raw"),IFERROR(INDEX('Raw Provisioning'!$E$2:$E$1000,MATCH(A287,'Raw Provisioning'!$B$2:$B$1000,0)),"Missing from latest raw")))</x:f>
        <x:v>pending</x:v>
      </x:c>
      <x:c r="D287" s="171" t="n">
        <x:f>IF(A287="","",'Refresh Control'!$B$4)</x:f>
        <x:v>46254</x:v>
      </x:c>
      <x:c r="E287" s="171" t="n">
        <x:f>IF(A287="","",IF(B287="Decommissioning",INDEX('Raw Decommissioning'!$F$2:$F$1000,ROWS($A$5:A287)),INDEX('Raw Provisioning'!$F$2:$F$1000,ROWS($A$5:A287)-COUNTA('Raw Decommissioning'!$B$2:$B$1000))))</x:f>
        <x:v>46213.09672068287</x:v>
      </x:c>
      <x:c r="F287" s="171" t="n">
        <x:f>IF(A287="","",IF(B287="Decommissioning",INDEX('Raw Decommissioning'!$G$2:$G$1000,ROWS($A$5:A287)),INDEX('Raw Provisioning'!$H$2:$H$1000,ROWS($A$5:A287)-COUNTA('Raw Decommissioning'!$B$2:$B$1000))))</x:f>
        <x:v>46213.097909247685</x:v>
      </x:c>
      <x:c r="G287" s="170" t="str">
        <x:f>IF(A287="","",IF(B287="Decommissioning",INDEX('Raw Decommissioning'!$I$2:$I$1000,ROWS($A$5:A287)),INDEX('Raw Provisioning'!$J$2:$J$1000,ROWS($A$5:A287)-COUNTA('Raw Decommissioning'!$B$2:$B$1000))))</x:f>
        <x:v>BHC3.ai</x:v>
      </x:c>
      <x:c r="H287" s="170" t="str">
        <x:f>IF(A287="","",IF(B287="Decommissioning",INDEX('Raw Decommissioning'!$J$2:$J$1000,ROWS($A$5:A287)),INDEX('Raw Provisioning'!$L$2:$L$1000,ROWS($A$5:A287)-COUNTA('Raw Decommissioning'!$B$2:$B$1000))))</x:f>
        <x:v>Run and Maintain and Scale Up of PEARLS (BHC3.ai) for CVCare, I-Sense and Valve Tracker</x:v>
      </x:c>
      <x:c r="I287" s="170" t="str">
        <x:f>IF(A287="","",IF(B287="Decommissioning",INDEX('Raw Decommissioning'!$AL$2:$AL$1000,ROWS($A$5:A287)),INDEX('Raw Provisioning'!$R$2:$R$1000,ROWS($A$5:A287)-COUNTA('Raw Decommissioning'!$B$2:$B$1000))))</x:f>
      </x:c>
      <x:c r="J287" s="170" t="str">
        <x:f>IF(A287="","",IF(B287="Decommissioning",INDEX('Raw Decommissioning'!$AG$2:$AG$1000,ROWS($A$5:A287)),INDEX('Raw Provisioning'!$AI$2:$AI$1000,ROWS($A$5:A287)-COUNTA('Raw Decommissioning'!$B$2:$B$1000))))</x:f>
        <x:v>IMS - CLOUD CSSP EXECUTOR</x:v>
      </x:c>
      <x:c r="K287" s="172" t="str">
        <x:f>IF(A287="","",IFERROR(LOOKUP(2,1/('Assignment History'!$B$5:$B$204=A287),'Assignment History'!$D$5:$D$204),IFERROR(VLOOKUP(J287,Configuration!$L$5:$M$50,2,FALSE),J287)))</x:f>
        <x:v>IMS - CLOUD CSSP EXECUTOR</x:v>
      </x:c>
      <x:c r="L287" s="172" t="str">
        <x:f>IF(A287="","",IF(K287=IFERROR(VLOOKUP(J287,Configuration!$L$5:$M$50,2,FALSE),J287),"Snapshot PIC","Replacement PIC"))</x:f>
        <x:v>Snapshot PIC</x:v>
      </x:c>
      <x:c r="M287" s="172" t="n">
        <x:f>IF(A287="","",IFERROR(VLOOKUP(I287,Configuration!$O$5:$P$8,2,FALSE),Configuration!$S$6))</x:f>
        <x:v>2</x:v>
      </x:c>
      <x:c r="N287" s="172" t="str">
        <x:f>IF(A287="","",IFERROR(LOOKUP(2,1/('Scope Review'!$B$5:$B$204=A287),'Scope Review'!$G$5:$G$204),"Not Reviewed"))</x:f>
        <x:v>Not Reviewed</x:v>
      </x:c>
      <x:c r="O287" s="172" t="str">
        <x:f>IF(A287="","",IFERROR(LOOKUP(2,1/('Scope Review'!$B$5:$B$204=A287),'Scope Review'!$H$5:$H$204),""))</x:f>
      </x:c>
      <x:c r="P287" s="172" t="n">
        <x:f>IF(A287="","",IF(AND(C287="executing",N287&lt;&gt;"Confirmed OOS"),M287,0))</x:f>
        <x:v>0</x:v>
      </x:c>
      <x:c r="Q287" s="173" t="str">
        <x:f>IF(A287="","",IFERROR(LOOKUP(2,1/('Engineer Updates'!$B$5:$B$704=A287),'Engineer Updates'!$A$5:$A$704),""))</x:f>
      </x:c>
      <x:c r="R287" s="172" t="str">
        <x:f>IF(A287="","",IFERROR(LOOKUP(2,1/('Engineer Updates'!$B$5:$B$704=A287),'Engineer Updates'!$H$5:$H$704),""))</x:f>
      </x:c>
      <x:c r="S287" s="172" t="str">
        <x:f>IF(A287="","",IFERROR(LOOKUP(2,1/('Engineer Updates'!$B$5:$B$704=A287),'Engineer Updates'!$G$5:$G$704),""))</x:f>
      </x:c>
      <x:c r="T287" s="172" t="str">
        <x:f>IF(A287="","",IFERROR(LOOKUP(2,1/('Engineer Updates'!$B$5:$B$704=A287),'Engineer Updates'!$I$5:$I$704),""))</x:f>
      </x:c>
      <x:c r="U287" s="172" t="str">
        <x:f>IF(A287="","",IFERROR(LOOKUP(2,1/('Engineer Updates'!$B$5:$B$704=A287),'Engineer Updates'!$J$5:$J$704),""))</x:f>
      </x:c>
      <x:c r="V287" s="172" t="str">
        <x:f>IF(A287="","",IFERROR(LOOKUP(2,1/('Engineer Updates'!$B$5:$B$704=A287),'Engineer Updates'!$K$5:$K$704),""))</x:f>
      </x:c>
      <x:c r="W287" s="174" t="str">
        <x:f>IF(A287="","",IFERROR(LOOKUP(2,1/('Engineer Updates'!$B$5:$B$704=A287),'Engineer Updates'!$L$5:$L$704),""))</x:f>
      </x:c>
      <x:c r="X287" s="170" t="str">
        <x:f>IF(A287="","",IF(C287="completed","Completed in CSSP",IF(AND(C287="executing",ISERROR(SEARCH("@",K287))),"Executing without named engineer",IF(AND(N287="Confirmed OOS",C287="executing"),"Confirmed OOS still executing",""))))</x:f>
      </x:c>
      <x:c r="Y287" s="170" t="str">
        <x:f>IF(A287="","",IF(B287="Decommissioning","Raw Decommissioning","Raw Provisioning"))</x:f>
        <x:v>Raw Decommissioning</x:v>
      </x:c>
      <x:c r="Z287" s="170" t="str">
        <x:f>IF(A287="","",IF(OR(C287="executing",C287="processing"),"Yes","No"))</x:f>
        <x:v>No</x:v>
      </x:c>
    </x:row>
    <x:row r="288">
      <x:c r="A288" s="170" t="str">
        <x:f>IF(ROWS($A$5:A288)&lt;=COUNTA('Raw Decommissioning'!$B$2:$B$1000),INDEX('Raw Decommissioning'!$B$2:$B$1000,ROWS($A$5:A288)),IF(ROWS($A$5:A288)-COUNTA('Raw Decommissioning'!$B$2:$B$1000)&lt;=COUNTA('Raw Provisioning'!$B$2:$B$1000),INDEX('Raw Provisioning'!$B$2:$B$1000,ROWS($A$5:A288)-COUNTA('Raw Decommissioning'!$B$2:$B$1000)),""))</x:f>
        <x:v>CSSP10546101</x:v>
      </x:c>
      <x:c r="B288" s="170" t="str">
        <x:f>IF(A288="","",IF(ROWS($A$5:A288)&lt;=COUNTA('Raw Decommissioning'!$B$2:$B$1000),"Decommissioning","Provisioning"))</x:f>
        <x:v>Decommissioning</x:v>
      </x:c>
      <x:c r="C288" s="170" t="str">
        <x:f>IF(A288="","",IF(B288="Decommissioning",IFERROR(INDEX('Raw Decommissioning'!$E$2:$E$1000,MATCH(A288,'Raw Decommissioning'!$B$2:$B$1000,0)),"Missing from latest raw"),IFERROR(INDEX('Raw Provisioning'!$E$2:$E$1000,MATCH(A288,'Raw Provisioning'!$B$2:$B$1000,0)),"Missing from latest raw")))</x:f>
        <x:v>executing</x:v>
      </x:c>
      <x:c r="D288" s="171" t="n">
        <x:f>IF(A288="","",'Refresh Control'!$B$4)</x:f>
        <x:v>46254</x:v>
      </x:c>
      <x:c r="E288" s="171" t="n">
        <x:f>IF(A288="","",IF(B288="Decommissioning",INDEX('Raw Decommissioning'!$F$2:$F$1000,ROWS($A$5:A288)),INDEX('Raw Provisioning'!$F$2:$F$1000,ROWS($A$5:A288)-COUNTA('Raw Decommissioning'!$B$2:$B$1000))))</x:f>
        <x:v>46213.15348582176</x:v>
      </x:c>
      <x:c r="F288" s="171" t="n">
        <x:f>IF(A288="","",IF(B288="Decommissioning",INDEX('Raw Decommissioning'!$G$2:$G$1000,ROWS($A$5:A288)),INDEX('Raw Provisioning'!$H$2:$H$1000,ROWS($A$5:A288)-COUNTA('Raw Decommissioning'!$B$2:$B$1000))))</x:f>
        <x:v>46222.859591030094</x:v>
      </x:c>
      <x:c r="G288" s="170" t="str">
        <x:f>IF(A288="","",IF(B288="Decommissioning",INDEX('Raw Decommissioning'!$I$2:$I$1000,ROWS($A$5:A288)),INDEX('Raw Provisioning'!$J$2:$J$1000,ROWS($A$5:A288)-COUNTA('Raw Decommissioning'!$B$2:$B$1000))))</x:f>
        <x:v>Asset Ageing Life Extension System - ALES</x:v>
      </x:c>
      <x:c r="H288" s="170" t="str">
        <x:f>IF(A288="","",IF(B288="Decommissioning",INDEX('Raw Decommissioning'!$J$2:$J$1000,ROWS($A$5:A288)),INDEX('Raw Provisioning'!$L$2:$L$1000,ROWS($A$5:A288)-COUNTA('Raw Decommissioning'!$B$2:$B$1000))))</x:f>
        <x:v>ALES for MPM</x:v>
      </x:c>
      <x:c r="I288" s="170" t="str">
        <x:f>IF(A288="","",IF(B288="Decommissioning",INDEX('Raw Decommissioning'!$AL$2:$AL$1000,ROWS($A$5:A288)),INDEX('Raw Provisioning'!$R$2:$R$1000,ROWS($A$5:A288)-COUNTA('Raw Decommissioning'!$B$2:$B$1000))))</x:f>
        <x:v>L</x:v>
      </x:c>
      <x:c r="J288" s="170" t="str">
        <x:f>IF(A288="","",IF(B288="Decommissioning",INDEX('Raw Decommissioning'!$AG$2:$AG$1000,ROWS($A$5:A288)),INDEX('Raw Provisioning'!$AI$2:$AI$1000,ROWS($A$5:A288)-COUNTA('Raw Decommissioning'!$B$2:$B$1000))))</x:f>
        <x:v>venkatesh.kalikivayi@petronas.com</x:v>
      </x:c>
      <x:c r="K288" s="172" t="str">
        <x:f>IF(A288="","",IFERROR(LOOKUP(2,1/('Assignment History'!$B$5:$B$204=A288),'Assignment History'!$D$5:$D$204),IFERROR(VLOOKUP(J288,Configuration!$L$5:$M$50,2,FALSE),J288)))</x:f>
        <x:v>venkatesh.kalikivayi@petronas.com</x:v>
      </x:c>
      <x:c r="L288" s="172" t="str">
        <x:f>IF(A288="","",IF(K288=IFERROR(VLOOKUP(J288,Configuration!$L$5:$M$50,2,FALSE),J288),"Snapshot PIC","Replacement PIC"))</x:f>
        <x:v>Snapshot PIC</x:v>
      </x:c>
      <x:c r="M288" s="172" t="n">
        <x:f>IF(A288="","",IFERROR(VLOOKUP(I288,Configuration!$O$5:$P$8,2,FALSE),Configuration!$S$6))</x:f>
        <x:v>3</x:v>
      </x:c>
      <x:c r="N288" s="172" t="str">
        <x:f>IF(A288="","",IFERROR(LOOKUP(2,1/('Scope Review'!$B$5:$B$204=A288),'Scope Review'!$G$5:$G$204),"Not Reviewed"))</x:f>
        <x:v>Not Reviewed</x:v>
      </x:c>
      <x:c r="O288" s="172" t="str">
        <x:f>IF(A288="","",IFERROR(LOOKUP(2,1/('Scope Review'!$B$5:$B$204=A288),'Scope Review'!$H$5:$H$204),""))</x:f>
      </x:c>
      <x:c r="P288" s="172" t="n">
        <x:f>IF(A288="","",IF(AND(C288="executing",N288&lt;&gt;"Confirmed OOS"),M288,0))</x:f>
        <x:v>3</x:v>
      </x:c>
      <x:c r="Q288" s="173" t="n">
        <x:f>IF(A288="","",IFERROR(LOOKUP(2,1/('Engineer Updates'!$B$5:$B$704=A288),'Engineer Updates'!$A$5:$A$704),""))</x:f>
        <x:v>46251</x:v>
      </x:c>
      <x:c r="R288" s="172" t="str">
        <x:f>IF(A288="","",IFERROR(LOOKUP(2,1/('Engineer Updates'!$B$5:$B$704=A288),'Engineer Updates'!$H$5:$H$704),""))</x:f>
        <x:v>Not Started</x:v>
      </x:c>
      <x:c r="S288" s="172" t="str">
        <x:f>IF(A288="","",IFERROR(LOOKUP(2,1/('Engineer Updates'!$B$5:$B$704=A288),'Engineer Updates'!$G$5:$G$704),""))</x:f>
      </x:c>
      <x:c r="T288" s="172" t="str">
        <x:f>IF(A288="","",IFERROR(LOOKUP(2,1/('Engineer Updates'!$B$5:$B$704=A288),'Engineer Updates'!$I$5:$I$704),""))</x:f>
      </x:c>
      <x:c r="U288" s="172" t="str">
        <x:f>IF(A288="","",IFERROR(LOOKUP(2,1/('Engineer Updates'!$B$5:$B$704=A288),'Engineer Updates'!$J$5:$J$704),""))</x:f>
      </x:c>
      <x:c r="V288" s="172" t="str">
        <x:f>IF(A288="","",IFERROR(LOOKUP(2,1/('Engineer Updates'!$B$5:$B$704=A288),'Engineer Updates'!$K$5:$K$704),""))</x:f>
      </x:c>
      <x:c r="W288" s="174" t="str">
        <x:f>IF(A288="","",IFERROR(LOOKUP(2,1/('Engineer Updates'!$B$5:$B$704=A288),'Engineer Updates'!$L$5:$L$704),""))</x:f>
      </x:c>
      <x:c r="X288" s="170" t="str">
        <x:f>IF(A288="","",IF(C288="completed","Completed in CSSP",IF(AND(C288="executing",ISERROR(SEARCH("@",K288))),"Executing without named engineer",IF(AND(N288="Confirmed OOS",C288="executing"),"Confirmed OOS still executing",""))))</x:f>
      </x:c>
      <x:c r="Y288" s="170" t="str">
        <x:f>IF(A288="","",IF(B288="Decommissioning","Raw Decommissioning","Raw Provisioning"))</x:f>
        <x:v>Raw Decommissioning</x:v>
      </x:c>
      <x:c r="Z288" s="170" t="str">
        <x:f>IF(A288="","",IF(OR(C288="executing",C288="processing"),"Yes","No"))</x:f>
        <x:v>Yes</x:v>
      </x:c>
    </x:row>
    <x:row r="289">
      <x:c r="A289" s="170" t="str">
        <x:f>IF(ROWS($A$5:A289)&lt;=COUNTA('Raw Decommissioning'!$B$2:$B$1000),INDEX('Raw Decommissioning'!$B$2:$B$1000,ROWS($A$5:A289)),IF(ROWS($A$5:A289)-COUNTA('Raw Decommissioning'!$B$2:$B$1000)&lt;=COUNTA('Raw Provisioning'!$B$2:$B$1000),INDEX('Raw Provisioning'!$B$2:$B$1000,ROWS($A$5:A289)-COUNTA('Raw Decommissioning'!$B$2:$B$1000)),""))</x:f>
        <x:v>CSSP10383379</x:v>
      </x:c>
      <x:c r="B289" s="170" t="str">
        <x:f>IF(A289="","",IF(ROWS($A$5:A289)&lt;=COUNTA('Raw Decommissioning'!$B$2:$B$1000),"Decommissioning","Provisioning"))</x:f>
        <x:v>Decommissioning</x:v>
      </x:c>
      <x:c r="C289" s="170" t="str">
        <x:f>IF(A289="","",IF(B289="Decommissioning",IFERROR(INDEX('Raw Decommissioning'!$E$2:$E$1000,MATCH(A289,'Raw Decommissioning'!$B$2:$B$1000,0)),"Missing from latest raw"),IFERROR(INDEX('Raw Provisioning'!$E$2:$E$1000,MATCH(A289,'Raw Provisioning'!$B$2:$B$1000,0)),"Missing from latest raw")))</x:f>
        <x:v>pending</x:v>
      </x:c>
      <x:c r="D289" s="171" t="n">
        <x:f>IF(A289="","",'Refresh Control'!$B$4)</x:f>
        <x:v>46254</x:v>
      </x:c>
      <x:c r="E289" s="171" t="n">
        <x:f>IF(A289="","",IF(B289="Decommissioning",INDEX('Raw Decommissioning'!$F$2:$F$1000,ROWS($A$5:A289)),INDEX('Raw Provisioning'!$F$2:$F$1000,ROWS($A$5:A289)-COUNTA('Raw Decommissioning'!$B$2:$B$1000))))</x:f>
        <x:v>46216.19619958333</x:v>
      </x:c>
      <x:c r="F289" s="171" t="n">
        <x:f>IF(A289="","",IF(B289="Decommissioning",INDEX('Raw Decommissioning'!$G$2:$G$1000,ROWS($A$5:A289)),INDEX('Raw Provisioning'!$H$2:$H$1000,ROWS($A$5:A289)-COUNTA('Raw Decommissioning'!$B$2:$B$1000))))</x:f>
        <x:v>46231.18356590278</x:v>
      </x:c>
      <x:c r="G289" s="170" t="str">
        <x:f>IF(A289="","",IF(B289="Decommissioning",INDEX('Raw Decommissioning'!$I$2:$I$1000,ROWS($A$5:A289)),INDEX('Raw Provisioning'!$J$2:$J$1000,ROWS($A$5:A289)-COUNTA('Raw Decommissioning'!$B$2:$B$1000))))</x:f>
        <x:v>Augmented Engineering AI</x:v>
      </x:c>
      <x:c r="H289" s="170" t="str">
        <x:f>IF(A289="","",IF(B289="Decommissioning",INDEX('Raw Decommissioning'!$J$2:$J$1000,ROWS($A$5:A289)),INDEX('Raw Provisioning'!$L$2:$L$1000,ROWS($A$5:A289)-COUNTA('Raw Decommissioning'!$B$2:$B$1000))))</x:f>
        <x:v>Repurpose and Optimize J.AI Architecture for Augmented Engineering</x:v>
      </x:c>
      <x:c r="I289" s="170" t="str">
        <x:f>IF(A289="","",IF(B289="Decommissioning",INDEX('Raw Decommissioning'!$AL$2:$AL$1000,ROWS($A$5:A289)),INDEX('Raw Provisioning'!$R$2:$R$1000,ROWS($A$5:A289)-COUNTA('Raw Decommissioning'!$B$2:$B$1000))))</x:f>
      </x:c>
      <x:c r="J289" s="170" t="str">
        <x:f>IF(A289="","",IF(B289="Decommissioning",INDEX('Raw Decommissioning'!$AG$2:$AG$1000,ROWS($A$5:A289)),INDEX('Raw Provisioning'!$AI$2:$AI$1000,ROWS($A$5:A289)-COUNTA('Raw Decommissioning'!$B$2:$B$1000))))</x:f>
        <x:v>IMS - CLOUD CSSP EXECUTOR</x:v>
      </x:c>
      <x:c r="K289" s="172" t="str">
        <x:f>IF(A289="","",IFERROR(LOOKUP(2,1/('Assignment History'!$B$5:$B$204=A289),'Assignment History'!$D$5:$D$204),IFERROR(VLOOKUP(J289,Configuration!$L$5:$M$50,2,FALSE),J289)))</x:f>
        <x:v>IMS - CLOUD CSSP EXECUTOR</x:v>
      </x:c>
      <x:c r="L289" s="172" t="str">
        <x:f>IF(A289="","",IF(K289=IFERROR(VLOOKUP(J289,Configuration!$L$5:$M$50,2,FALSE),J289),"Snapshot PIC","Replacement PIC"))</x:f>
        <x:v>Snapshot PIC</x:v>
      </x:c>
      <x:c r="M289" s="172" t="n">
        <x:f>IF(A289="","",IFERROR(VLOOKUP(I289,Configuration!$O$5:$P$8,2,FALSE),Configuration!$S$6))</x:f>
        <x:v>2</x:v>
      </x:c>
      <x:c r="N289" s="172" t="str">
        <x:f>IF(A289="","",IFERROR(LOOKUP(2,1/('Scope Review'!$B$5:$B$204=A289),'Scope Review'!$G$5:$G$204),"Not Reviewed"))</x:f>
        <x:v>Not Reviewed</x:v>
      </x:c>
      <x:c r="O289" s="172" t="str">
        <x:f>IF(A289="","",IFERROR(LOOKUP(2,1/('Scope Review'!$B$5:$B$204=A289),'Scope Review'!$H$5:$H$204),""))</x:f>
      </x:c>
      <x:c r="P289" s="172" t="n">
        <x:f>IF(A289="","",IF(AND(C289="executing",N289&lt;&gt;"Confirmed OOS"),M289,0))</x:f>
        <x:v>0</x:v>
      </x:c>
      <x:c r="Q289" s="173" t="str">
        <x:f>IF(A289="","",IFERROR(LOOKUP(2,1/('Engineer Updates'!$B$5:$B$704=A289),'Engineer Updates'!$A$5:$A$704),""))</x:f>
      </x:c>
      <x:c r="R289" s="172" t="str">
        <x:f>IF(A289="","",IFERROR(LOOKUP(2,1/('Engineer Updates'!$B$5:$B$704=A289),'Engineer Updates'!$H$5:$H$704),""))</x:f>
      </x:c>
      <x:c r="S289" s="172" t="str">
        <x:f>IF(A289="","",IFERROR(LOOKUP(2,1/('Engineer Updates'!$B$5:$B$704=A289),'Engineer Updates'!$G$5:$G$704),""))</x:f>
      </x:c>
      <x:c r="T289" s="172" t="str">
        <x:f>IF(A289="","",IFERROR(LOOKUP(2,1/('Engineer Updates'!$B$5:$B$704=A289),'Engineer Updates'!$I$5:$I$704),""))</x:f>
      </x:c>
      <x:c r="U289" s="172" t="str">
        <x:f>IF(A289="","",IFERROR(LOOKUP(2,1/('Engineer Updates'!$B$5:$B$704=A289),'Engineer Updates'!$J$5:$J$704),""))</x:f>
      </x:c>
      <x:c r="V289" s="172" t="str">
        <x:f>IF(A289="","",IFERROR(LOOKUP(2,1/('Engineer Updates'!$B$5:$B$704=A289),'Engineer Updates'!$K$5:$K$704),""))</x:f>
      </x:c>
      <x:c r="W289" s="174" t="str">
        <x:f>IF(A289="","",IFERROR(LOOKUP(2,1/('Engineer Updates'!$B$5:$B$704=A289),'Engineer Updates'!$L$5:$L$704),""))</x:f>
      </x:c>
      <x:c r="X289" s="170" t="str">
        <x:f>IF(A289="","",IF(C289="completed","Completed in CSSP",IF(AND(C289="executing",ISERROR(SEARCH("@",K289))),"Executing without named engineer",IF(AND(N289="Confirmed OOS",C289="executing"),"Confirmed OOS still executing",""))))</x:f>
      </x:c>
      <x:c r="Y289" s="170" t="str">
        <x:f>IF(A289="","",IF(B289="Decommissioning","Raw Decommissioning","Raw Provisioning"))</x:f>
        <x:v>Raw Decommissioning</x:v>
      </x:c>
      <x:c r="Z289" s="170" t="str">
        <x:f>IF(A289="","",IF(OR(C289="executing",C289="processing"),"Yes","No"))</x:f>
        <x:v>No</x:v>
      </x:c>
    </x:row>
    <x:row r="290">
      <x:c r="A290" s="170" t="str">
        <x:f>IF(ROWS($A$5:A290)&lt;=COUNTA('Raw Decommissioning'!$B$2:$B$1000),INDEX('Raw Decommissioning'!$B$2:$B$1000,ROWS($A$5:A290)),IF(ROWS($A$5:A290)-COUNTA('Raw Decommissioning'!$B$2:$B$1000)&lt;=COUNTA('Raw Provisioning'!$B$2:$B$1000),INDEX('Raw Provisioning'!$B$2:$B$1000,ROWS($A$5:A290)-COUNTA('Raw Decommissioning'!$B$2:$B$1000)),""))</x:f>
        <x:v>CSSP10375827</x:v>
      </x:c>
      <x:c r="B290" s="170" t="str">
        <x:f>IF(A290="","",IF(ROWS($A$5:A290)&lt;=COUNTA('Raw Decommissioning'!$B$2:$B$1000),"Decommissioning","Provisioning"))</x:f>
        <x:v>Decommissioning</x:v>
      </x:c>
      <x:c r="C290" s="170" t="str">
        <x:f>IF(A290="","",IF(B290="Decommissioning",IFERROR(INDEX('Raw Decommissioning'!$E$2:$E$1000,MATCH(A290,'Raw Decommissioning'!$B$2:$B$1000,0)),"Missing from latest raw"),IFERROR(INDEX('Raw Provisioning'!$E$2:$E$1000,MATCH(A290,'Raw Provisioning'!$B$2:$B$1000,0)),"Missing from latest raw")))</x:f>
        <x:v>executing</x:v>
      </x:c>
      <x:c r="D290" s="171" t="n">
        <x:f>IF(A290="","",'Refresh Control'!$B$4)</x:f>
        <x:v>46254</x:v>
      </x:c>
      <x:c r="E290" s="171" t="n">
        <x:f>IF(A290="","",IF(B290="Decommissioning",INDEX('Raw Decommissioning'!$F$2:$F$1000,ROWS($A$5:A290)),INDEX('Raw Provisioning'!$F$2:$F$1000,ROWS($A$5:A290)-COUNTA('Raw Decommissioning'!$B$2:$B$1000))))</x:f>
        <x:v>46216.363403877316</x:v>
      </x:c>
      <x:c r="F290" s="171" t="n">
        <x:f>IF(A290="","",IF(B290="Decommissioning",INDEX('Raw Decommissioning'!$G$2:$G$1000,ROWS($A$5:A290)),INDEX('Raw Provisioning'!$H$2:$H$1000,ROWS($A$5:A290)-COUNTA('Raw Decommissioning'!$B$2:$B$1000))))</x:f>
        <x:v>46222.859134328704</x:v>
      </x:c>
      <x:c r="G290" s="170" t="str">
        <x:f>IF(A290="","",IF(B290="Decommissioning",INDEX('Raw Decommissioning'!$I$2:$I$1000,ROWS($A$5:A290)),INDEX('Raw Provisioning'!$J$2:$J$1000,ROWS($A$5:A290)-COUNTA('Raw Decommissioning'!$B$2:$B$1000))))</x:f>
        <x:v>EVIE / EMT+</x:v>
      </x:c>
      <x:c r="H290" s="170" t="str">
        <x:f>IF(A290="","",IF(B290="Decommissioning",INDEX('Raw Decommissioning'!$J$2:$J$1000,ROWS($A$5:A290)),INDEX('Raw Provisioning'!$L$2:$L$1000,ROWS($A$5:A290)-COUNTA('Raw Decommissioning'!$B$2:$B$1000))))</x:f>
        <x:v>Request for server subscription, installation and integration works for MLNG EVIE/EMT+</x:v>
      </x:c>
      <x:c r="I290" s="170" t="str">
        <x:f>IF(A290="","",IF(B290="Decommissioning",INDEX('Raw Decommissioning'!$AL$2:$AL$1000,ROWS($A$5:A290)),INDEX('Raw Provisioning'!$R$2:$R$1000,ROWS($A$5:A290)-COUNTA('Raw Decommissioning'!$B$2:$B$1000))))</x:f>
        <x:v>M</x:v>
      </x:c>
      <x:c r="J290" s="170" t="str">
        <x:f>IF(A290="","",IF(B290="Decommissioning",INDEX('Raw Decommissioning'!$AG$2:$AG$1000,ROWS($A$5:A290)),INDEX('Raw Provisioning'!$AI$2:$AI$1000,ROWS($A$5:A290)-COUNTA('Raw Decommissioning'!$B$2:$B$1000))))</x:f>
        <x:v>amarja.kawde@petronas.com</x:v>
      </x:c>
      <x:c r="K290" s="172" t="str">
        <x:f>IF(A290="","",IFERROR(LOOKUP(2,1/('Assignment History'!$B$5:$B$204=A290),'Assignment History'!$D$5:$D$204),IFERROR(VLOOKUP(J290,Configuration!$L$5:$M$50,2,FALSE),J290)))</x:f>
        <x:v>amarja.kawade@petronas.com</x:v>
      </x:c>
      <x:c r="L290" s="172" t="str">
        <x:f>IF(A290="","",IF(K290=IFERROR(VLOOKUP(J290,Configuration!$L$5:$M$50,2,FALSE),J290),"Snapshot PIC","Replacement PIC"))</x:f>
        <x:v>Snapshot PIC</x:v>
      </x:c>
      <x:c r="M290" s="172" t="n">
        <x:f>IF(A290="","",IFERROR(VLOOKUP(I290,Configuration!$O$5:$P$8,2,FALSE),Configuration!$S$6))</x:f>
        <x:v>2</x:v>
      </x:c>
      <x:c r="N290" s="172" t="str">
        <x:f>IF(A290="","",IFERROR(LOOKUP(2,1/('Scope Review'!$B$5:$B$204=A290),'Scope Review'!$G$5:$G$204),"Not Reviewed"))</x:f>
        <x:v>Not Reviewed</x:v>
      </x:c>
      <x:c r="O290" s="172" t="str">
        <x:f>IF(A290="","",IFERROR(LOOKUP(2,1/('Scope Review'!$B$5:$B$204=A290),'Scope Review'!$H$5:$H$204),""))</x:f>
      </x:c>
      <x:c r="P290" s="172" t="n">
        <x:f>IF(A290="","",IF(AND(C290="executing",N290&lt;&gt;"Confirmed OOS"),M290,0))</x:f>
        <x:v>2</x:v>
      </x:c>
      <x:c r="Q290" s="173" t="n">
        <x:f>IF(A290="","",IFERROR(LOOKUP(2,1/('Engineer Updates'!$B$5:$B$704=A290),'Engineer Updates'!$A$5:$A$704),""))</x:f>
        <x:v>46251</x:v>
      </x:c>
      <x:c r="R290" s="172" t="str">
        <x:f>IF(A290="","",IFERROR(LOOKUP(2,1/('Engineer Updates'!$B$5:$B$704=A290),'Engineer Updates'!$H$5:$H$704),""))</x:f>
        <x:v>Not Started</x:v>
      </x:c>
      <x:c r="S290" s="172" t="str">
        <x:f>IF(A290="","",IFERROR(LOOKUP(2,1/('Engineer Updates'!$B$5:$B$704=A290),'Engineer Updates'!$G$5:$G$704),""))</x:f>
      </x:c>
      <x:c r="T290" s="172" t="str">
        <x:f>IF(A290="","",IFERROR(LOOKUP(2,1/('Engineer Updates'!$B$5:$B$704=A290),'Engineer Updates'!$I$5:$I$704),""))</x:f>
      </x:c>
      <x:c r="U290" s="172" t="str">
        <x:f>IF(A290="","",IFERROR(LOOKUP(2,1/('Engineer Updates'!$B$5:$B$704=A290),'Engineer Updates'!$J$5:$J$704),""))</x:f>
      </x:c>
      <x:c r="V290" s="172" t="str">
        <x:f>IF(A290="","",IFERROR(LOOKUP(2,1/('Engineer Updates'!$B$5:$B$704=A290),'Engineer Updates'!$K$5:$K$704),""))</x:f>
      </x:c>
      <x:c r="W290" s="174" t="str">
        <x:f>IF(A290="","",IFERROR(LOOKUP(2,1/('Engineer Updates'!$B$5:$B$704=A290),'Engineer Updates'!$L$5:$L$704),""))</x:f>
      </x:c>
      <x:c r="X290" s="170" t="str">
        <x:f>IF(A290="","",IF(C290="completed","Completed in CSSP",IF(AND(C290="executing",ISERROR(SEARCH("@",K290))),"Executing without named engineer",IF(AND(N290="Confirmed OOS",C290="executing"),"Confirmed OOS still executing",""))))</x:f>
      </x:c>
      <x:c r="Y290" s="170" t="str">
        <x:f>IF(A290="","",IF(B290="Decommissioning","Raw Decommissioning","Raw Provisioning"))</x:f>
        <x:v>Raw Decommissioning</x:v>
      </x:c>
      <x:c r="Z290" s="170" t="str">
        <x:f>IF(A290="","",IF(OR(C290="executing",C290="processing"),"Yes","No"))</x:f>
        <x:v>Yes</x:v>
      </x:c>
    </x:row>
    <x:row r="291">
      <x:c r="A291" s="170" t="str">
        <x:f>IF(ROWS($A$5:A291)&lt;=COUNTA('Raw Decommissioning'!$B$2:$B$1000),INDEX('Raw Decommissioning'!$B$2:$B$1000,ROWS($A$5:A291)),IF(ROWS($A$5:A291)-COUNTA('Raw Decommissioning'!$B$2:$B$1000)&lt;=COUNTA('Raw Provisioning'!$B$2:$B$1000),INDEX('Raw Provisioning'!$B$2:$B$1000,ROWS($A$5:A291)-COUNTA('Raw Decommissioning'!$B$2:$B$1000)),""))</x:f>
        <x:v>CSSP10100540</x:v>
      </x:c>
      <x:c r="B291" s="170" t="str">
        <x:f>IF(A291="","",IF(ROWS($A$5:A291)&lt;=COUNTA('Raw Decommissioning'!$B$2:$B$1000),"Decommissioning","Provisioning"))</x:f>
        <x:v>Decommissioning</x:v>
      </x:c>
      <x:c r="C291" s="170" t="str">
        <x:f>IF(A291="","",IF(B291="Decommissioning",IFERROR(INDEX('Raw Decommissioning'!$E$2:$E$1000,MATCH(A291,'Raw Decommissioning'!$B$2:$B$1000,0)),"Missing from latest raw"),IFERROR(INDEX('Raw Provisioning'!$E$2:$E$1000,MATCH(A291,'Raw Provisioning'!$B$2:$B$1000,0)),"Missing from latest raw")))</x:f>
        <x:v>cancelled</x:v>
      </x:c>
      <x:c r="D291" s="171" t="n">
        <x:f>IF(A291="","",'Refresh Control'!$B$4)</x:f>
        <x:v>46254</x:v>
      </x:c>
      <x:c r="E291" s="171" t="n">
        <x:f>IF(A291="","",IF(B291="Decommissioning",INDEX('Raw Decommissioning'!$F$2:$F$1000,ROWS($A$5:A291)),INDEX('Raw Provisioning'!$F$2:$F$1000,ROWS($A$5:A291)-COUNTA('Raw Decommissioning'!$B$2:$B$1000))))</x:f>
        <x:v>46217.1617141088</x:v>
      </x:c>
      <x:c r="F291" s="171" t="n">
        <x:f>IF(A291="","",IF(B291="Decommissioning",INDEX('Raw Decommissioning'!$G$2:$G$1000,ROWS($A$5:A291)),INDEX('Raw Provisioning'!$H$2:$H$1000,ROWS($A$5:A291)-COUNTA('Raw Decommissioning'!$B$2:$B$1000))))</x:f>
        <x:v>46217.32843612268</x:v>
      </x:c>
      <x:c r="G291" s="170" t="str">
        <x:f>IF(A291="","",IF(B291="Decommissioning",INDEX('Raw Decommissioning'!$I$2:$I$1000,ROWS($A$5:A291)),INDEX('Raw Provisioning'!$J$2:$J$1000,ROWS($A$5:A291)-COUNTA('Raw Decommissioning'!$B$2:$B$1000))))</x:f>
        <x:v>PIVOT Heat Exchanger - HEX</x:v>
      </x:c>
      <x:c r="H291" s="170" t="str">
        <x:f>IF(A291="","",IF(B291="Decommissioning",INDEX('Raw Decommissioning'!$J$2:$J$1000,ROWS($A$5:A291)),INDEX('Raw Provisioning'!$L$2:$L$1000,ROWS($A$5:A291)-COUNTA('Raw Decommissioning'!$B$2:$B$1000))))</x:f>
        <x:v>Support &amp; maintenance of PIVOT HEX 2.0 at MRCSB (Run &amp; Maintain)</x:v>
      </x:c>
      <x:c r="I291" s="170" t="str">
        <x:f>IF(A291="","",IF(B291="Decommissioning",INDEX('Raw Decommissioning'!$AL$2:$AL$1000,ROWS($A$5:A291)),INDEX('Raw Provisioning'!$R$2:$R$1000,ROWS($A$5:A291)-COUNTA('Raw Decommissioning'!$B$2:$B$1000))))</x:f>
      </x:c>
      <x:c r="J291" s="170" t="str">
        <x:f>IF(A291="","",IF(B291="Decommissioning",INDEX('Raw Decommissioning'!$AG$2:$AG$1000,ROWS($A$5:A291)),INDEX('Raw Provisioning'!$AI$2:$AI$1000,ROWS($A$5:A291)-COUNTA('Raw Decommissioning'!$B$2:$B$1000))))</x:f>
        <x:v>CCoE Business</x:v>
      </x:c>
      <x:c r="K291" s="172" t="str">
        <x:f>IF(A291="","",IFERROR(LOOKUP(2,1/('Assignment History'!$B$5:$B$204=A291),'Assignment History'!$D$5:$D$204),IFERROR(VLOOKUP(J291,Configuration!$L$5:$M$50,2,FALSE),J291)))</x:f>
        <x:v>CCoE Business</x:v>
      </x:c>
      <x:c r="L291" s="172" t="str">
        <x:f>IF(A291="","",IF(K291=IFERROR(VLOOKUP(J291,Configuration!$L$5:$M$50,2,FALSE),J291),"Snapshot PIC","Replacement PIC"))</x:f>
        <x:v>Snapshot PIC</x:v>
      </x:c>
      <x:c r="M291" s="172" t="n">
        <x:f>IF(A291="","",IFERROR(VLOOKUP(I291,Configuration!$O$5:$P$8,2,FALSE),Configuration!$S$6))</x:f>
        <x:v>2</x:v>
      </x:c>
      <x:c r="N291" s="172" t="str">
        <x:f>IF(A291="","",IFERROR(LOOKUP(2,1/('Scope Review'!$B$5:$B$204=A291),'Scope Review'!$G$5:$G$204),"Not Reviewed"))</x:f>
        <x:v>Not Reviewed</x:v>
      </x:c>
      <x:c r="O291" s="172" t="str">
        <x:f>IF(A291="","",IFERROR(LOOKUP(2,1/('Scope Review'!$B$5:$B$204=A291),'Scope Review'!$H$5:$H$204),""))</x:f>
      </x:c>
      <x:c r="P291" s="172" t="n">
        <x:f>IF(A291="","",IF(AND(C291="executing",N291&lt;&gt;"Confirmed OOS"),M291,0))</x:f>
        <x:v>0</x:v>
      </x:c>
      <x:c r="Q291" s="173" t="str">
        <x:f>IF(A291="","",IFERROR(LOOKUP(2,1/('Engineer Updates'!$B$5:$B$704=A291),'Engineer Updates'!$A$5:$A$704),""))</x:f>
      </x:c>
      <x:c r="R291" s="172" t="str">
        <x:f>IF(A291="","",IFERROR(LOOKUP(2,1/('Engineer Updates'!$B$5:$B$704=A291),'Engineer Updates'!$H$5:$H$704),""))</x:f>
      </x:c>
      <x:c r="S291" s="172" t="str">
        <x:f>IF(A291="","",IFERROR(LOOKUP(2,1/('Engineer Updates'!$B$5:$B$704=A291),'Engineer Updates'!$G$5:$G$704),""))</x:f>
      </x:c>
      <x:c r="T291" s="172" t="str">
        <x:f>IF(A291="","",IFERROR(LOOKUP(2,1/('Engineer Updates'!$B$5:$B$704=A291),'Engineer Updates'!$I$5:$I$704),""))</x:f>
      </x:c>
      <x:c r="U291" s="172" t="str">
        <x:f>IF(A291="","",IFERROR(LOOKUP(2,1/('Engineer Updates'!$B$5:$B$704=A291),'Engineer Updates'!$J$5:$J$704),""))</x:f>
      </x:c>
      <x:c r="V291" s="172" t="str">
        <x:f>IF(A291="","",IFERROR(LOOKUP(2,1/('Engineer Updates'!$B$5:$B$704=A291),'Engineer Updates'!$K$5:$K$704),""))</x:f>
      </x:c>
      <x:c r="W291" s="174" t="str">
        <x:f>IF(A291="","",IFERROR(LOOKUP(2,1/('Engineer Updates'!$B$5:$B$704=A291),'Engineer Updates'!$L$5:$L$704),""))</x:f>
      </x:c>
      <x:c r="X291" s="170" t="str">
        <x:f>IF(A291="","",IF(C291="completed","Completed in CSSP",IF(AND(C291="executing",ISERROR(SEARCH("@",K291))),"Executing without named engineer",IF(AND(N291="Confirmed OOS",C291="executing"),"Confirmed OOS still executing",""))))</x:f>
      </x:c>
      <x:c r="Y291" s="170" t="str">
        <x:f>IF(A291="","",IF(B291="Decommissioning","Raw Decommissioning","Raw Provisioning"))</x:f>
        <x:v>Raw Decommissioning</x:v>
      </x:c>
      <x:c r="Z291" s="170" t="str">
        <x:f>IF(A291="","",IF(OR(C291="executing",C291="processing"),"Yes","No"))</x:f>
        <x:v>No</x:v>
      </x:c>
    </x:row>
    <x:row r="292">
      <x:c r="A292" s="170" t="str">
        <x:f>IF(ROWS($A$5:A292)&lt;=COUNTA('Raw Decommissioning'!$B$2:$B$1000),INDEX('Raw Decommissioning'!$B$2:$B$1000,ROWS($A$5:A292)),IF(ROWS($A$5:A292)-COUNTA('Raw Decommissioning'!$B$2:$B$1000)&lt;=COUNTA('Raw Provisioning'!$B$2:$B$1000),INDEX('Raw Provisioning'!$B$2:$B$1000,ROWS($A$5:A292)-COUNTA('Raw Decommissioning'!$B$2:$B$1000)),""))</x:f>
        <x:v>CSSP10663869</x:v>
      </x:c>
      <x:c r="B292" s="170" t="str">
        <x:f>IF(A292="","",IF(ROWS($A$5:A292)&lt;=COUNTA('Raw Decommissioning'!$B$2:$B$1000),"Decommissioning","Provisioning"))</x:f>
        <x:v>Decommissioning</x:v>
      </x:c>
      <x:c r="C292" s="170" t="str">
        <x:f>IF(A292="","",IF(B292="Decommissioning",IFERROR(INDEX('Raw Decommissioning'!$E$2:$E$1000,MATCH(A292,'Raw Decommissioning'!$B$2:$B$1000,0)),"Missing from latest raw"),IFERROR(INDEX('Raw Provisioning'!$E$2:$E$1000,MATCH(A292,'Raw Provisioning'!$B$2:$B$1000,0)),"Missing from latest raw")))</x:f>
        <x:v>cancelled</x:v>
      </x:c>
      <x:c r="D292" s="171" t="n">
        <x:f>IF(A292="","",'Refresh Control'!$B$4)</x:f>
        <x:v>46254</x:v>
      </x:c>
      <x:c r="E292" s="171" t="n">
        <x:f>IF(A292="","",IF(B292="Decommissioning",INDEX('Raw Decommissioning'!$F$2:$F$1000,ROWS($A$5:A292)),INDEX('Raw Provisioning'!$F$2:$F$1000,ROWS($A$5:A292)-COUNTA('Raw Decommissioning'!$B$2:$B$1000))))</x:f>
        <x:v>46217.28798079861</x:v>
      </x:c>
      <x:c r="F292" s="171" t="n">
        <x:f>IF(A292="","",IF(B292="Decommissioning",INDEX('Raw Decommissioning'!$G$2:$G$1000,ROWS($A$5:A292)),INDEX('Raw Provisioning'!$H$2:$H$1000,ROWS($A$5:A292)-COUNTA('Raw Decommissioning'!$B$2:$B$1000))))</x:f>
        <x:v>46217.40040693287</x:v>
      </x:c>
      <x:c r="G292" s="170" t="str">
        <x:f>IF(A292="","",IF(B292="Decommissioning",INDEX('Raw Decommissioning'!$I$2:$I$1000,ROWS($A$5:A292)),INDEX('Raw Provisioning'!$J$2:$J$1000,ROWS($A$5:A292)-COUNTA('Raw Decommissioning'!$B$2:$B$1000))))</x:f>
        <x:v>PIVOT Heat Exchanger - HEX</x:v>
      </x:c>
      <x:c r="H292" s="170" t="str">
        <x:f>IF(A292="","",IF(B292="Decommissioning",INDEX('Raw Decommissioning'!$J$2:$J$1000,ROWS($A$5:A292)),INDEX('Raw Provisioning'!$L$2:$L$1000,ROWS($A$5:A292)-COUNTA('Raw Decommissioning'!$B$2:$B$1000))))</x:f>
        <x:v>Development of Heat Exchanger ( PIVOT - HEX 2.0)</x:v>
      </x:c>
      <x:c r="I292" s="170" t="str">
        <x:f>IF(A292="","",IF(B292="Decommissioning",INDEX('Raw Decommissioning'!$AL$2:$AL$1000,ROWS($A$5:A292)),INDEX('Raw Provisioning'!$R$2:$R$1000,ROWS($A$5:A292)-COUNTA('Raw Decommissioning'!$B$2:$B$1000))))</x:f>
      </x:c>
      <x:c r="J292" s="170" t="str">
        <x:f>IF(A292="","",IF(B292="Decommissioning",INDEX('Raw Decommissioning'!$AG$2:$AG$1000,ROWS($A$5:A292)),INDEX('Raw Provisioning'!$AI$2:$AI$1000,ROWS($A$5:A292)-COUNTA('Raw Decommissioning'!$B$2:$B$1000))))</x:f>
        <x:v>IMS - CLOUD CSSP EXECUTOR</x:v>
      </x:c>
      <x:c r="K292" s="172" t="str">
        <x:f>IF(A292="","",IFERROR(LOOKUP(2,1/('Assignment History'!$B$5:$B$204=A292),'Assignment History'!$D$5:$D$204),IFERROR(VLOOKUP(J292,Configuration!$L$5:$M$50,2,FALSE),J292)))</x:f>
        <x:v>IMS - CLOUD CSSP EXECUTOR</x:v>
      </x:c>
      <x:c r="L292" s="172" t="str">
        <x:f>IF(A292="","",IF(K292=IFERROR(VLOOKUP(J292,Configuration!$L$5:$M$50,2,FALSE),J292),"Snapshot PIC","Replacement PIC"))</x:f>
        <x:v>Snapshot PIC</x:v>
      </x:c>
      <x:c r="M292" s="172" t="n">
        <x:f>IF(A292="","",IFERROR(VLOOKUP(I292,Configuration!$O$5:$P$8,2,FALSE),Configuration!$S$6))</x:f>
        <x:v>2</x:v>
      </x:c>
      <x:c r="N292" s="172" t="str">
        <x:f>IF(A292="","",IFERROR(LOOKUP(2,1/('Scope Review'!$B$5:$B$204=A292),'Scope Review'!$G$5:$G$204),"Not Reviewed"))</x:f>
        <x:v>Not Reviewed</x:v>
      </x:c>
      <x:c r="O292" s="172" t="str">
        <x:f>IF(A292="","",IFERROR(LOOKUP(2,1/('Scope Review'!$B$5:$B$204=A292),'Scope Review'!$H$5:$H$204),""))</x:f>
      </x:c>
      <x:c r="P292" s="172" t="n">
        <x:f>IF(A292="","",IF(AND(C292="executing",N292&lt;&gt;"Confirmed OOS"),M292,0))</x:f>
        <x:v>0</x:v>
      </x:c>
      <x:c r="Q292" s="173" t="str">
        <x:f>IF(A292="","",IFERROR(LOOKUP(2,1/('Engineer Updates'!$B$5:$B$704=A292),'Engineer Updates'!$A$5:$A$704),""))</x:f>
      </x:c>
      <x:c r="R292" s="172" t="str">
        <x:f>IF(A292="","",IFERROR(LOOKUP(2,1/('Engineer Updates'!$B$5:$B$704=A292),'Engineer Updates'!$H$5:$H$704),""))</x:f>
      </x:c>
      <x:c r="S292" s="172" t="str">
        <x:f>IF(A292="","",IFERROR(LOOKUP(2,1/('Engineer Updates'!$B$5:$B$704=A292),'Engineer Updates'!$G$5:$G$704),""))</x:f>
      </x:c>
      <x:c r="T292" s="172" t="str">
        <x:f>IF(A292="","",IFERROR(LOOKUP(2,1/('Engineer Updates'!$B$5:$B$704=A292),'Engineer Updates'!$I$5:$I$704),""))</x:f>
      </x:c>
      <x:c r="U292" s="172" t="str">
        <x:f>IF(A292="","",IFERROR(LOOKUP(2,1/('Engineer Updates'!$B$5:$B$704=A292),'Engineer Updates'!$J$5:$J$704),""))</x:f>
      </x:c>
      <x:c r="V292" s="172" t="str">
        <x:f>IF(A292="","",IFERROR(LOOKUP(2,1/('Engineer Updates'!$B$5:$B$704=A292),'Engineer Updates'!$K$5:$K$704),""))</x:f>
      </x:c>
      <x:c r="W292" s="174" t="str">
        <x:f>IF(A292="","",IFERROR(LOOKUP(2,1/('Engineer Updates'!$B$5:$B$704=A292),'Engineer Updates'!$L$5:$L$704),""))</x:f>
      </x:c>
      <x:c r="X292" s="170" t="str">
        <x:f>IF(A292="","",IF(C292="completed","Completed in CSSP",IF(AND(C292="executing",ISERROR(SEARCH("@",K292))),"Executing without named engineer",IF(AND(N292="Confirmed OOS",C292="executing"),"Confirmed OOS still executing",""))))</x:f>
      </x:c>
      <x:c r="Y292" s="170" t="str">
        <x:f>IF(A292="","",IF(B292="Decommissioning","Raw Decommissioning","Raw Provisioning"))</x:f>
        <x:v>Raw Decommissioning</x:v>
      </x:c>
      <x:c r="Z292" s="170" t="str">
        <x:f>IF(A292="","",IF(OR(C292="executing",C292="processing"),"Yes","No"))</x:f>
        <x:v>No</x:v>
      </x:c>
    </x:row>
    <x:row r="293">
      <x:c r="A293" s="170" t="str">
        <x:f>IF(ROWS($A$5:A293)&lt;=COUNTA('Raw Decommissioning'!$B$2:$B$1000),INDEX('Raw Decommissioning'!$B$2:$B$1000,ROWS($A$5:A293)),IF(ROWS($A$5:A293)-COUNTA('Raw Decommissioning'!$B$2:$B$1000)&lt;=COUNTA('Raw Provisioning'!$B$2:$B$1000),INDEX('Raw Provisioning'!$B$2:$B$1000,ROWS($A$5:A293)-COUNTA('Raw Decommissioning'!$B$2:$B$1000)),""))</x:f>
        <x:v>CSSP10873156</x:v>
      </x:c>
      <x:c r="B293" s="170" t="str">
        <x:f>IF(A293="","",IF(ROWS($A$5:A293)&lt;=COUNTA('Raw Decommissioning'!$B$2:$B$1000),"Decommissioning","Provisioning"))</x:f>
        <x:v>Decommissioning</x:v>
      </x:c>
      <x:c r="C293" s="170" t="str">
        <x:f>IF(A293="","",IF(B293="Decommissioning",IFERROR(INDEX('Raw Decommissioning'!$E$2:$E$1000,MATCH(A293,'Raw Decommissioning'!$B$2:$B$1000,0)),"Missing from latest raw"),IFERROR(INDEX('Raw Provisioning'!$E$2:$E$1000,MATCH(A293,'Raw Provisioning'!$B$2:$B$1000,0)),"Missing from latest raw")))</x:f>
        <x:v>completed</x:v>
      </x:c>
      <x:c r="D293" s="171" t="n">
        <x:f>IF(A293="","",'Refresh Control'!$B$4)</x:f>
        <x:v>46254</x:v>
      </x:c>
      <x:c r="E293" s="171" t="n">
        <x:f>IF(A293="","",IF(B293="Decommissioning",INDEX('Raw Decommissioning'!$F$2:$F$1000,ROWS($A$5:A293)),INDEX('Raw Provisioning'!$F$2:$F$1000,ROWS($A$5:A293)-COUNTA('Raw Decommissioning'!$B$2:$B$1000))))</x:f>
        <x:v>46217.33290563658</x:v>
      </x:c>
      <x:c r="F293" s="171" t="n">
        <x:f>IF(A293="","",IF(B293="Decommissioning",INDEX('Raw Decommissioning'!$G$2:$G$1000,ROWS($A$5:A293)),INDEX('Raw Provisioning'!$H$2:$H$1000,ROWS($A$5:A293)-COUNTA('Raw Decommissioning'!$B$2:$B$1000))))</x:f>
        <x:v>46248.72991363426</x:v>
      </x:c>
      <x:c r="G293" s="170" t="str">
        <x:f>IF(A293="","",IF(B293="Decommissioning",INDEX('Raw Decommissioning'!$I$2:$I$1000,ROWS($A$5:A293)),INDEX('Raw Provisioning'!$J$2:$J$1000,ROWS($A$5:A293)-COUNTA('Raw Decommissioning'!$B$2:$B$1000))))</x:f>
        <x:v>PIVOT Heat Exchanger - HEX</x:v>
      </x:c>
      <x:c r="H293" s="170" t="str">
        <x:f>IF(A293="","",IF(B293="Decommissioning",INDEX('Raw Decommissioning'!$J$2:$J$1000,ROWS($A$5:A293)),INDEX('Raw Provisioning'!$L$2:$L$1000,ROWS($A$5:A293)-COUNTA('Raw Decommissioning'!$B$2:$B$1000))))</x:f>
        <x:v>Development of Heat Exchanger ( PIVOT - HEX 2.0)</x:v>
      </x:c>
      <x:c r="I293" s="170" t="str">
        <x:f>IF(A293="","",IF(B293="Decommissioning",INDEX('Raw Decommissioning'!$AL$2:$AL$1000,ROWS($A$5:A293)),INDEX('Raw Provisioning'!$R$2:$R$1000,ROWS($A$5:A293)-COUNTA('Raw Decommissioning'!$B$2:$B$1000))))</x:f>
        <x:v>M</x:v>
      </x:c>
      <x:c r="J293" s="170" t="str">
        <x:f>IF(A293="","",IF(B293="Decommissioning",INDEX('Raw Decommissioning'!$AG$2:$AG$1000,ROWS($A$5:A293)),INDEX('Raw Provisioning'!$AI$2:$AI$1000,ROWS($A$5:A293)-COUNTA('Raw Decommissioning'!$B$2:$B$1000))))</x:f>
        <x:v>swaminadh.chirakala@petronas.com</x:v>
      </x:c>
      <x:c r="K293" s="172" t="str">
        <x:f>IF(A293="","",IFERROR(LOOKUP(2,1/('Assignment History'!$B$5:$B$204=A293),'Assignment History'!$D$5:$D$204),IFERROR(VLOOKUP(J293,Configuration!$L$5:$M$50,2,FALSE),J293)))</x:f>
        <x:v>swaminadh.chirakala@petronas.com</x:v>
      </x:c>
      <x:c r="L293" s="172" t="str">
        <x:f>IF(A293="","",IF(K293=IFERROR(VLOOKUP(J293,Configuration!$L$5:$M$50,2,FALSE),J293),"Snapshot PIC","Replacement PIC"))</x:f>
        <x:v>Snapshot PIC</x:v>
      </x:c>
      <x:c r="M293" s="172" t="n">
        <x:f>IF(A293="","",IFERROR(VLOOKUP(I293,Configuration!$O$5:$P$8,2,FALSE),Configuration!$S$6))</x:f>
        <x:v>2</x:v>
      </x:c>
      <x:c r="N293" s="172" t="str">
        <x:f>IF(A293="","",IFERROR(LOOKUP(2,1/('Scope Review'!$B$5:$B$204=A293),'Scope Review'!$G$5:$G$204),"Not Reviewed"))</x:f>
        <x:v>Not Reviewed</x:v>
      </x:c>
      <x:c r="O293" s="172" t="str">
        <x:f>IF(A293="","",IFERROR(LOOKUP(2,1/('Scope Review'!$B$5:$B$204=A293),'Scope Review'!$H$5:$H$204),""))</x:f>
      </x:c>
      <x:c r="P293" s="172" t="n">
        <x:f>IF(A293="","",IF(AND(C293="executing",N293&lt;&gt;"Confirmed OOS"),M293,0))</x:f>
        <x:v>0</x:v>
      </x:c>
      <x:c r="Q293" s="173" t="str">
        <x:f>IF(A293="","",IFERROR(LOOKUP(2,1/('Engineer Updates'!$B$5:$B$704=A293),'Engineer Updates'!$A$5:$A$704),""))</x:f>
      </x:c>
      <x:c r="R293" s="172" t="str">
        <x:f>IF(A293="","",IFERROR(LOOKUP(2,1/('Engineer Updates'!$B$5:$B$704=A293),'Engineer Updates'!$H$5:$H$704),""))</x:f>
      </x:c>
      <x:c r="S293" s="172" t="str">
        <x:f>IF(A293="","",IFERROR(LOOKUP(2,1/('Engineer Updates'!$B$5:$B$704=A293),'Engineer Updates'!$G$5:$G$704),""))</x:f>
      </x:c>
      <x:c r="T293" s="172" t="str">
        <x:f>IF(A293="","",IFERROR(LOOKUP(2,1/('Engineer Updates'!$B$5:$B$704=A293),'Engineer Updates'!$I$5:$I$704),""))</x:f>
      </x:c>
      <x:c r="U293" s="172" t="str">
        <x:f>IF(A293="","",IFERROR(LOOKUP(2,1/('Engineer Updates'!$B$5:$B$704=A293),'Engineer Updates'!$J$5:$J$704),""))</x:f>
      </x:c>
      <x:c r="V293" s="172" t="str">
        <x:f>IF(A293="","",IFERROR(LOOKUP(2,1/('Engineer Updates'!$B$5:$B$704=A293),'Engineer Updates'!$K$5:$K$704),""))</x:f>
      </x:c>
      <x:c r="W293" s="174" t="str">
        <x:f>IF(A293="","",IFERROR(LOOKUP(2,1/('Engineer Updates'!$B$5:$B$704=A293),'Engineer Updates'!$L$5:$L$704),""))</x:f>
      </x:c>
      <x:c r="X293" s="170" t="str">
        <x:f>IF(A293="","",IF(C293="completed","Completed in CSSP",IF(AND(C293="executing",ISERROR(SEARCH("@",K293))),"Executing without named engineer",IF(AND(N293="Confirmed OOS",C293="executing"),"Confirmed OOS still executing",""))))</x:f>
        <x:v>Completed in CSSP</x:v>
      </x:c>
      <x:c r="Y293" s="170" t="str">
        <x:f>IF(A293="","",IF(B293="Decommissioning","Raw Decommissioning","Raw Provisioning"))</x:f>
        <x:v>Raw Decommissioning</x:v>
      </x:c>
      <x:c r="Z293" s="170" t="str">
        <x:f>IF(A293="","",IF(OR(C293="executing",C293="processing"),"Yes","No"))</x:f>
        <x:v>No</x:v>
      </x:c>
    </x:row>
    <x:row r="294">
      <x:c r="A294" s="170" t="str">
        <x:f>IF(ROWS($A$5:A294)&lt;=COUNTA('Raw Decommissioning'!$B$2:$B$1000),INDEX('Raw Decommissioning'!$B$2:$B$1000,ROWS($A$5:A294)),IF(ROWS($A$5:A294)-COUNTA('Raw Decommissioning'!$B$2:$B$1000)&lt;=COUNTA('Raw Provisioning'!$B$2:$B$1000),INDEX('Raw Provisioning'!$B$2:$B$1000,ROWS($A$5:A294)-COUNTA('Raw Decommissioning'!$B$2:$B$1000)),""))</x:f>
        <x:v>CSSP10112747</x:v>
      </x:c>
      <x:c r="B294" s="170" t="str">
        <x:f>IF(A294="","",IF(ROWS($A$5:A294)&lt;=COUNTA('Raw Decommissioning'!$B$2:$B$1000),"Decommissioning","Provisioning"))</x:f>
        <x:v>Decommissioning</x:v>
      </x:c>
      <x:c r="C294" s="170" t="str">
        <x:f>IF(A294="","",IF(B294="Decommissioning",IFERROR(INDEX('Raw Decommissioning'!$E$2:$E$1000,MATCH(A294,'Raw Decommissioning'!$B$2:$B$1000,0)),"Missing from latest raw"),IFERROR(INDEX('Raw Provisioning'!$E$2:$E$1000,MATCH(A294,'Raw Provisioning'!$B$2:$B$1000,0)),"Missing from latest raw")))</x:f>
        <x:v>cancelled</x:v>
      </x:c>
      <x:c r="D294" s="171" t="n">
        <x:f>IF(A294="","",'Refresh Control'!$B$4)</x:f>
        <x:v>46254</x:v>
      </x:c>
      <x:c r="E294" s="171" t="n">
        <x:f>IF(A294="","",IF(B294="Decommissioning",INDEX('Raw Decommissioning'!$F$2:$F$1000,ROWS($A$5:A294)),INDEX('Raw Provisioning'!$F$2:$F$1000,ROWS($A$5:A294)-COUNTA('Raw Decommissioning'!$B$2:$B$1000))))</x:f>
        <x:v>46218.174622199076</x:v>
      </x:c>
      <x:c r="F294" s="171" t="n">
        <x:f>IF(A294="","",IF(B294="Decommissioning",INDEX('Raw Decommissioning'!$G$2:$G$1000,ROWS($A$5:A294)),INDEX('Raw Provisioning'!$H$2:$H$1000,ROWS($A$5:A294)-COUNTA('Raw Decommissioning'!$B$2:$B$1000))))</x:f>
        <x:v>46218.17821309028</x:v>
      </x:c>
      <x:c r="G294" s="170" t="str">
        <x:f>IF(A294="","",IF(B294="Decommissioning",INDEX('Raw Decommissioning'!$I$2:$I$1000,ROWS($A$5:A294)),INDEX('Raw Provisioning'!$J$2:$J$1000,ROWS($A$5:A294)-COUNTA('Raw Decommissioning'!$B$2:$B$1000))))</x:f>
        <x:v>Cyber Security Identity and Access Management - IAM</x:v>
      </x:c>
      <x:c r="H294" s="170" t="str">
        <x:f>IF(A294="","",IF(B294="Decommissioning",INDEX('Raw Decommissioning'!$J$2:$J$1000,ROWS($A$5:A294)),INDEX('Raw Provisioning'!$L$2:$L$1000,ROWS($A$5:A294)-COUNTA('Raw Decommissioning'!$B$2:$B$1000))))</x:f>
        <x:v>OSR00173: Technical Governance Support for Identity and Access Management (IAM) - OSR00170: Cybersecurity: Procurement and Infrastructure Deployment of AM for IAM</x:v>
      </x:c>
      <x:c r="I294" s="170" t="str">
        <x:f>IF(A294="","",IF(B294="Decommissioning",INDEX('Raw Decommissioning'!$AL$2:$AL$1000,ROWS($A$5:A294)),INDEX('Raw Provisioning'!$R$2:$R$1000,ROWS($A$5:A294)-COUNTA('Raw Decommissioning'!$B$2:$B$1000))))</x:f>
      </x:c>
      <x:c r="J294" s="170" t="str">
        <x:f>IF(A294="","",IF(B294="Decommissioning",INDEX('Raw Decommissioning'!$AG$2:$AG$1000,ROWS($A$5:A294)),INDEX('Raw Provisioning'!$AI$2:$AI$1000,ROWS($A$5:A294)-COUNTA('Raw Decommissioning'!$B$2:$B$1000))))</x:f>
        <x:v>IMS - CLOUD CSSP EXECUTOR</x:v>
      </x:c>
      <x:c r="K294" s="172" t="str">
        <x:f>IF(A294="","",IFERROR(LOOKUP(2,1/('Assignment History'!$B$5:$B$204=A294),'Assignment History'!$D$5:$D$204),IFERROR(VLOOKUP(J294,Configuration!$L$5:$M$50,2,FALSE),J294)))</x:f>
        <x:v>IMS - CLOUD CSSP EXECUTOR</x:v>
      </x:c>
      <x:c r="L294" s="172" t="str">
        <x:f>IF(A294="","",IF(K294=IFERROR(VLOOKUP(J294,Configuration!$L$5:$M$50,2,FALSE),J294),"Snapshot PIC","Replacement PIC"))</x:f>
        <x:v>Snapshot PIC</x:v>
      </x:c>
      <x:c r="M294" s="172" t="n">
        <x:f>IF(A294="","",IFERROR(VLOOKUP(I294,Configuration!$O$5:$P$8,2,FALSE),Configuration!$S$6))</x:f>
        <x:v>2</x:v>
      </x:c>
      <x:c r="N294" s="172" t="str">
        <x:f>IF(A294="","",IFERROR(LOOKUP(2,1/('Scope Review'!$B$5:$B$204=A294),'Scope Review'!$G$5:$G$204),"Not Reviewed"))</x:f>
        <x:v>Not Reviewed</x:v>
      </x:c>
      <x:c r="O294" s="172" t="str">
        <x:f>IF(A294="","",IFERROR(LOOKUP(2,1/('Scope Review'!$B$5:$B$204=A294),'Scope Review'!$H$5:$H$204),""))</x:f>
      </x:c>
      <x:c r="P294" s="172" t="n">
        <x:f>IF(A294="","",IF(AND(C294="executing",N294&lt;&gt;"Confirmed OOS"),M294,0))</x:f>
        <x:v>0</x:v>
      </x:c>
      <x:c r="Q294" s="173" t="str">
        <x:f>IF(A294="","",IFERROR(LOOKUP(2,1/('Engineer Updates'!$B$5:$B$704=A294),'Engineer Updates'!$A$5:$A$704),""))</x:f>
      </x:c>
      <x:c r="R294" s="172" t="str">
        <x:f>IF(A294="","",IFERROR(LOOKUP(2,1/('Engineer Updates'!$B$5:$B$704=A294),'Engineer Updates'!$H$5:$H$704),""))</x:f>
      </x:c>
      <x:c r="S294" s="172" t="str">
        <x:f>IF(A294="","",IFERROR(LOOKUP(2,1/('Engineer Updates'!$B$5:$B$704=A294),'Engineer Updates'!$G$5:$G$704),""))</x:f>
      </x:c>
      <x:c r="T294" s="172" t="str">
        <x:f>IF(A294="","",IFERROR(LOOKUP(2,1/('Engineer Updates'!$B$5:$B$704=A294),'Engineer Updates'!$I$5:$I$704),""))</x:f>
      </x:c>
      <x:c r="U294" s="172" t="str">
        <x:f>IF(A294="","",IFERROR(LOOKUP(2,1/('Engineer Updates'!$B$5:$B$704=A294),'Engineer Updates'!$J$5:$J$704),""))</x:f>
      </x:c>
      <x:c r="V294" s="172" t="str">
        <x:f>IF(A294="","",IFERROR(LOOKUP(2,1/('Engineer Updates'!$B$5:$B$704=A294),'Engineer Updates'!$K$5:$K$704),""))</x:f>
      </x:c>
      <x:c r="W294" s="174" t="str">
        <x:f>IF(A294="","",IFERROR(LOOKUP(2,1/('Engineer Updates'!$B$5:$B$704=A294),'Engineer Updates'!$L$5:$L$704),""))</x:f>
      </x:c>
      <x:c r="X294" s="170" t="str">
        <x:f>IF(A294="","",IF(C294="completed","Completed in CSSP",IF(AND(C294="executing",ISERROR(SEARCH("@",K294))),"Executing without named engineer",IF(AND(N294="Confirmed OOS",C294="executing"),"Confirmed OOS still executing",""))))</x:f>
      </x:c>
      <x:c r="Y294" s="170" t="str">
        <x:f>IF(A294="","",IF(B294="Decommissioning","Raw Decommissioning","Raw Provisioning"))</x:f>
        <x:v>Raw Decommissioning</x:v>
      </x:c>
      <x:c r="Z294" s="170" t="str">
        <x:f>IF(A294="","",IF(OR(C294="executing",C294="processing"),"Yes","No"))</x:f>
        <x:v>No</x:v>
      </x:c>
    </x:row>
    <x:row r="295">
      <x:c r="A295" s="170" t="str">
        <x:f>IF(ROWS($A$5:A295)&lt;=COUNTA('Raw Decommissioning'!$B$2:$B$1000),INDEX('Raw Decommissioning'!$B$2:$B$1000,ROWS($A$5:A295)),IF(ROWS($A$5:A295)-COUNTA('Raw Decommissioning'!$B$2:$B$1000)&lt;=COUNTA('Raw Provisioning'!$B$2:$B$1000),INDEX('Raw Provisioning'!$B$2:$B$1000,ROWS($A$5:A295)-COUNTA('Raw Decommissioning'!$B$2:$B$1000)),""))</x:f>
        <x:v>CSSP10707894</x:v>
      </x:c>
      <x:c r="B295" s="170" t="str">
        <x:f>IF(A295="","",IF(ROWS($A$5:A295)&lt;=COUNTA('Raw Decommissioning'!$B$2:$B$1000),"Decommissioning","Provisioning"))</x:f>
        <x:v>Decommissioning</x:v>
      </x:c>
      <x:c r="C295" s="170" t="str">
        <x:f>IF(A295="","",IF(B295="Decommissioning",IFERROR(INDEX('Raw Decommissioning'!$E$2:$E$1000,MATCH(A295,'Raw Decommissioning'!$B$2:$B$1000,0)),"Missing from latest raw"),IFERROR(INDEX('Raw Provisioning'!$E$2:$E$1000,MATCH(A295,'Raw Provisioning'!$B$2:$B$1000,0)),"Missing from latest raw")))</x:f>
        <x:v>executing</x:v>
      </x:c>
      <x:c r="D295" s="171" t="n">
        <x:f>IF(A295="","",'Refresh Control'!$B$4)</x:f>
        <x:v>46254</x:v>
      </x:c>
      <x:c r="E295" s="171" t="n">
        <x:f>IF(A295="","",IF(B295="Decommissioning",INDEX('Raw Decommissioning'!$F$2:$F$1000,ROWS($A$5:A295)),INDEX('Raw Provisioning'!$F$2:$F$1000,ROWS($A$5:A295)-COUNTA('Raw Decommissioning'!$B$2:$B$1000))))</x:f>
        <x:v>46219.11517596065</x:v>
      </x:c>
      <x:c r="F295" s="171" t="n">
        <x:f>IF(A295="","",IF(B295="Decommissioning",INDEX('Raw Decommissioning'!$G$2:$G$1000,ROWS($A$5:A295)),INDEX('Raw Provisioning'!$H$2:$H$1000,ROWS($A$5:A295)-COUNTA('Raw Decommissioning'!$B$2:$B$1000))))</x:f>
        <x:v>46222.85863195602</x:v>
      </x:c>
      <x:c r="G295" s="170" t="str">
        <x:f>IF(A295="","",IF(B295="Decommissioning",INDEX('Raw Decommissioning'!$I$2:$I$1000,ROWS($A$5:A295)),INDEX('Raw Provisioning'!$J$2:$J$1000,ROWS($A$5:A295)-COUNTA('Raw Decommissioning'!$B$2:$B$1000))))</x:f>
        <x:v>Lab Information Management System - LIMS PRPC</x:v>
      </x:c>
      <x:c r="H295" s="170" t="str">
        <x:f>IF(A295="","",IF(B295="Decommissioning",INDEX('Raw Decommissioning'!$J$2:$J$1000,ROWS($A$5:A295)),INDEX('Raw Provisioning'!$L$2:$L$1000,ROWS($A$5:A295)-COUNTA('Raw Decommissioning'!$B$2:$B$1000))))</x:f>
        <x:v>OCI MIGRATION - LIMS PRPC</x:v>
      </x:c>
      <x:c r="I295" s="170" t="str">
        <x:f>IF(A295="","",IF(B295="Decommissioning",INDEX('Raw Decommissioning'!$AL$2:$AL$1000,ROWS($A$5:A295)),INDEX('Raw Provisioning'!$R$2:$R$1000,ROWS($A$5:A295)-COUNTA('Raw Decommissioning'!$B$2:$B$1000))))</x:f>
        <x:v>M</x:v>
      </x:c>
      <x:c r="J295" s="170" t="str">
        <x:f>IF(A295="","",IF(B295="Decommissioning",INDEX('Raw Decommissioning'!$AG$2:$AG$1000,ROWS($A$5:A295)),INDEX('Raw Provisioning'!$AI$2:$AI$1000,ROWS($A$5:A295)-COUNTA('Raw Decommissioning'!$B$2:$B$1000))))</x:f>
        <x:v>venkatesh.kalikivayi@petronas.com</x:v>
      </x:c>
      <x:c r="K295" s="172" t="str">
        <x:f>IF(A295="","",IFERROR(LOOKUP(2,1/('Assignment History'!$B$5:$B$204=A295),'Assignment History'!$D$5:$D$204),IFERROR(VLOOKUP(J295,Configuration!$L$5:$M$50,2,FALSE),J295)))</x:f>
        <x:v>venkatesh.kalikivayi@petronas.com</x:v>
      </x:c>
      <x:c r="L295" s="172" t="str">
        <x:f>IF(A295="","",IF(K295=IFERROR(VLOOKUP(J295,Configuration!$L$5:$M$50,2,FALSE),J295),"Snapshot PIC","Replacement PIC"))</x:f>
        <x:v>Snapshot PIC</x:v>
      </x:c>
      <x:c r="M295" s="172" t="n">
        <x:f>IF(A295="","",IFERROR(VLOOKUP(I295,Configuration!$O$5:$P$8,2,FALSE),Configuration!$S$6))</x:f>
        <x:v>2</x:v>
      </x:c>
      <x:c r="N295" s="172" t="str">
        <x:f>IF(A295="","",IFERROR(LOOKUP(2,1/('Scope Review'!$B$5:$B$204=A295),'Scope Review'!$G$5:$G$204),"Not Reviewed"))</x:f>
        <x:v>Not Reviewed</x:v>
      </x:c>
      <x:c r="O295" s="172" t="str">
        <x:f>IF(A295="","",IFERROR(LOOKUP(2,1/('Scope Review'!$B$5:$B$204=A295),'Scope Review'!$H$5:$H$204),""))</x:f>
      </x:c>
      <x:c r="P295" s="172" t="n">
        <x:f>IF(A295="","",IF(AND(C295="executing",N295&lt;&gt;"Confirmed OOS"),M295,0))</x:f>
        <x:v>2</x:v>
      </x:c>
      <x:c r="Q295" s="173" t="n">
        <x:f>IF(A295="","",IFERROR(LOOKUP(2,1/('Engineer Updates'!$B$5:$B$704=A295),'Engineer Updates'!$A$5:$A$704),""))</x:f>
        <x:v>46251</x:v>
      </x:c>
      <x:c r="R295" s="172" t="str">
        <x:f>IF(A295="","",IFERROR(LOOKUP(2,1/('Engineer Updates'!$B$5:$B$704=A295),'Engineer Updates'!$H$5:$H$704),""))</x:f>
        <x:v>Not Started</x:v>
      </x:c>
      <x:c r="S295" s="172" t="str">
        <x:f>IF(A295="","",IFERROR(LOOKUP(2,1/('Engineer Updates'!$B$5:$B$704=A295),'Engineer Updates'!$G$5:$G$704),""))</x:f>
      </x:c>
      <x:c r="T295" s="172" t="str">
        <x:f>IF(A295="","",IFERROR(LOOKUP(2,1/('Engineer Updates'!$B$5:$B$704=A295),'Engineer Updates'!$I$5:$I$704),""))</x:f>
      </x:c>
      <x:c r="U295" s="172" t="str">
        <x:f>IF(A295="","",IFERROR(LOOKUP(2,1/('Engineer Updates'!$B$5:$B$704=A295),'Engineer Updates'!$J$5:$J$704),""))</x:f>
      </x:c>
      <x:c r="V295" s="172" t="str">
        <x:f>IF(A295="","",IFERROR(LOOKUP(2,1/('Engineer Updates'!$B$5:$B$704=A295),'Engineer Updates'!$K$5:$K$704),""))</x:f>
      </x:c>
      <x:c r="W295" s="174" t="str">
        <x:f>IF(A295="","",IFERROR(LOOKUP(2,1/('Engineer Updates'!$B$5:$B$704=A295),'Engineer Updates'!$L$5:$L$704),""))</x:f>
      </x:c>
      <x:c r="X295" s="170" t="str">
        <x:f>IF(A295="","",IF(C295="completed","Completed in CSSP",IF(AND(C295="executing",ISERROR(SEARCH("@",K295))),"Executing without named engineer",IF(AND(N295="Confirmed OOS",C295="executing"),"Confirmed OOS still executing",""))))</x:f>
      </x:c>
      <x:c r="Y295" s="170" t="str">
        <x:f>IF(A295="","",IF(B295="Decommissioning","Raw Decommissioning","Raw Provisioning"))</x:f>
        <x:v>Raw Decommissioning</x:v>
      </x:c>
      <x:c r="Z295" s="170" t="str">
        <x:f>IF(A295="","",IF(OR(C295="executing",C295="processing"),"Yes","No"))</x:f>
        <x:v>Yes</x:v>
      </x:c>
    </x:row>
    <x:row r="296">
      <x:c r="A296" s="170" t="str">
        <x:f>IF(ROWS($A$5:A296)&lt;=COUNTA('Raw Decommissioning'!$B$2:$B$1000),INDEX('Raw Decommissioning'!$B$2:$B$1000,ROWS($A$5:A296)),IF(ROWS($A$5:A296)-COUNTA('Raw Decommissioning'!$B$2:$B$1000)&lt;=COUNTA('Raw Provisioning'!$B$2:$B$1000),INDEX('Raw Provisioning'!$B$2:$B$1000,ROWS($A$5:A296)-COUNTA('Raw Decommissioning'!$B$2:$B$1000)),""))</x:f>
        <x:v>CSSP10668539</x:v>
      </x:c>
      <x:c r="B296" s="170" t="str">
        <x:f>IF(A296="","",IF(ROWS($A$5:A296)&lt;=COUNTA('Raw Decommissioning'!$B$2:$B$1000),"Decommissioning","Provisioning"))</x:f>
        <x:v>Decommissioning</x:v>
      </x:c>
      <x:c r="C296" s="170" t="str">
        <x:f>IF(A296="","",IF(B296="Decommissioning",IFERROR(INDEX('Raw Decommissioning'!$E$2:$E$1000,MATCH(A296,'Raw Decommissioning'!$B$2:$B$1000,0)),"Missing from latest raw"),IFERROR(INDEX('Raw Provisioning'!$E$2:$E$1000,MATCH(A296,'Raw Provisioning'!$B$2:$B$1000,0)),"Missing from latest raw")))</x:f>
        <x:v>executing</x:v>
      </x:c>
      <x:c r="D296" s="171" t="n">
        <x:f>IF(A296="","",'Refresh Control'!$B$4)</x:f>
        <x:v>46254</x:v>
      </x:c>
      <x:c r="E296" s="171" t="n">
        <x:f>IF(A296="","",IF(B296="Decommissioning",INDEX('Raw Decommissioning'!$F$2:$F$1000,ROWS($A$5:A296)),INDEX('Raw Provisioning'!$F$2:$F$1000,ROWS($A$5:A296)-COUNTA('Raw Decommissioning'!$B$2:$B$1000))))</x:f>
        <x:v>46219.12460498843</x:v>
      </x:c>
      <x:c r="F296" s="171" t="n">
        <x:f>IF(A296="","",IF(B296="Decommissioning",INDEX('Raw Decommissioning'!$G$2:$G$1000,ROWS($A$5:A296)),INDEX('Raw Provisioning'!$H$2:$H$1000,ROWS($A$5:A296)-COUNTA('Raw Decommissioning'!$B$2:$B$1000))))</x:f>
        <x:v>46222.85813299769</x:v>
      </x:c>
      <x:c r="G296" s="170" t="str">
        <x:f>IF(A296="","",IF(B296="Decommissioning",INDEX('Raw Decommissioning'!$I$2:$I$1000,ROWS($A$5:A296)),INDEX('Raw Provisioning'!$J$2:$J$1000,ROWS($A$5:A296)-COUNTA('Raw Decommissioning'!$B$2:$B$1000))))</x:f>
        <x:v>Lab Information Management System - LIMS PRPC</x:v>
      </x:c>
      <x:c r="H296" s="170" t="str">
        <x:f>IF(A296="","",IF(B296="Decommissioning",INDEX('Raw Decommissioning'!$J$2:$J$1000,ROWS($A$5:A296)),INDEX('Raw Provisioning'!$L$2:$L$1000,ROWS($A$5:A296)-COUNTA('Raw Decommissioning'!$B$2:$B$1000))))</x:f>
        <x:v>OCI MIGRATION - LIMS PRPC</x:v>
      </x:c>
      <x:c r="I296" s="170" t="str">
        <x:f>IF(A296="","",IF(B296="Decommissioning",INDEX('Raw Decommissioning'!$AL$2:$AL$1000,ROWS($A$5:A296)),INDEX('Raw Provisioning'!$R$2:$R$1000,ROWS($A$5:A296)-COUNTA('Raw Decommissioning'!$B$2:$B$1000))))</x:f>
        <x:v>S</x:v>
      </x:c>
      <x:c r="J296" s="170" t="str">
        <x:f>IF(A296="","",IF(B296="Decommissioning",INDEX('Raw Decommissioning'!$AG$2:$AG$1000,ROWS($A$5:A296)),INDEX('Raw Provisioning'!$AI$2:$AI$1000,ROWS($A$5:A296)-COUNTA('Raw Decommissioning'!$B$2:$B$1000))))</x:f>
        <x:v>amarja.kawde@petronas.com</x:v>
      </x:c>
      <x:c r="K296" s="172" t="str">
        <x:f>IF(A296="","",IFERROR(LOOKUP(2,1/('Assignment History'!$B$5:$B$204=A296),'Assignment History'!$D$5:$D$204),IFERROR(VLOOKUP(J296,Configuration!$L$5:$M$50,2,FALSE),J296)))</x:f>
        <x:v>amarja.kawade@petronas.com</x:v>
      </x:c>
      <x:c r="L296" s="172" t="str">
        <x:f>IF(A296="","",IF(K296=IFERROR(VLOOKUP(J296,Configuration!$L$5:$M$50,2,FALSE),J296),"Snapshot PIC","Replacement PIC"))</x:f>
        <x:v>Snapshot PIC</x:v>
      </x:c>
      <x:c r="M296" s="172" t="n">
        <x:f>IF(A296="","",IFERROR(VLOOKUP(I296,Configuration!$O$5:$P$8,2,FALSE),Configuration!$S$6))</x:f>
        <x:v>1</x:v>
      </x:c>
      <x:c r="N296" s="172" t="str">
        <x:f>IF(A296="","",IFERROR(LOOKUP(2,1/('Scope Review'!$B$5:$B$204=A296),'Scope Review'!$G$5:$G$204),"Not Reviewed"))</x:f>
        <x:v>Not Reviewed</x:v>
      </x:c>
      <x:c r="O296" s="172" t="str">
        <x:f>IF(A296="","",IFERROR(LOOKUP(2,1/('Scope Review'!$B$5:$B$204=A296),'Scope Review'!$H$5:$H$204),""))</x:f>
      </x:c>
      <x:c r="P296" s="172" t="n">
        <x:f>IF(A296="","",IF(AND(C296="executing",N296&lt;&gt;"Confirmed OOS"),M296,0))</x:f>
        <x:v>1</x:v>
      </x:c>
      <x:c r="Q296" s="173" t="n">
        <x:f>IF(A296="","",IFERROR(LOOKUP(2,1/('Engineer Updates'!$B$5:$B$704=A296),'Engineer Updates'!$A$5:$A$704),""))</x:f>
        <x:v>46251</x:v>
      </x:c>
      <x:c r="R296" s="172" t="str">
        <x:f>IF(A296="","",IFERROR(LOOKUP(2,1/('Engineer Updates'!$B$5:$B$704=A296),'Engineer Updates'!$H$5:$H$704),""))</x:f>
        <x:v>Not Started</x:v>
      </x:c>
      <x:c r="S296" s="172" t="str">
        <x:f>IF(A296="","",IFERROR(LOOKUP(2,1/('Engineer Updates'!$B$5:$B$704=A296),'Engineer Updates'!$G$5:$G$704),""))</x:f>
      </x:c>
      <x:c r="T296" s="172" t="str">
        <x:f>IF(A296="","",IFERROR(LOOKUP(2,1/('Engineer Updates'!$B$5:$B$704=A296),'Engineer Updates'!$I$5:$I$704),""))</x:f>
      </x:c>
      <x:c r="U296" s="172" t="str">
        <x:f>IF(A296="","",IFERROR(LOOKUP(2,1/('Engineer Updates'!$B$5:$B$704=A296),'Engineer Updates'!$J$5:$J$704),""))</x:f>
      </x:c>
      <x:c r="V296" s="172" t="str">
        <x:f>IF(A296="","",IFERROR(LOOKUP(2,1/('Engineer Updates'!$B$5:$B$704=A296),'Engineer Updates'!$K$5:$K$704),""))</x:f>
      </x:c>
      <x:c r="W296" s="174" t="str">
        <x:f>IF(A296="","",IFERROR(LOOKUP(2,1/('Engineer Updates'!$B$5:$B$704=A296),'Engineer Updates'!$L$5:$L$704),""))</x:f>
      </x:c>
      <x:c r="X296" s="170" t="str">
        <x:f>IF(A296="","",IF(C296="completed","Completed in CSSP",IF(AND(C296="executing",ISERROR(SEARCH("@",K296))),"Executing without named engineer",IF(AND(N296="Confirmed OOS",C296="executing"),"Confirmed OOS still executing",""))))</x:f>
      </x:c>
      <x:c r="Y296" s="170" t="str">
        <x:f>IF(A296="","",IF(B296="Decommissioning","Raw Decommissioning","Raw Provisioning"))</x:f>
        <x:v>Raw Decommissioning</x:v>
      </x:c>
      <x:c r="Z296" s="170" t="str">
        <x:f>IF(A296="","",IF(OR(C296="executing",C296="processing"),"Yes","No"))</x:f>
        <x:v>Yes</x:v>
      </x:c>
    </x:row>
    <x:row r="297">
      <x:c r="A297" s="170" t="str">
        <x:f>IF(ROWS($A$5:A297)&lt;=COUNTA('Raw Decommissioning'!$B$2:$B$1000),INDEX('Raw Decommissioning'!$B$2:$B$1000,ROWS($A$5:A297)),IF(ROWS($A$5:A297)-COUNTA('Raw Decommissioning'!$B$2:$B$1000)&lt;=COUNTA('Raw Provisioning'!$B$2:$B$1000),INDEX('Raw Provisioning'!$B$2:$B$1000,ROWS($A$5:A297)-COUNTA('Raw Decommissioning'!$B$2:$B$1000)),""))</x:f>
        <x:v>CSSP10434467</x:v>
      </x:c>
      <x:c r="B297" s="170" t="str">
        <x:f>IF(A297="","",IF(ROWS($A$5:A297)&lt;=COUNTA('Raw Decommissioning'!$B$2:$B$1000),"Decommissioning","Provisioning"))</x:f>
        <x:v>Decommissioning</x:v>
      </x:c>
      <x:c r="C297" s="170" t="str">
        <x:f>IF(A297="","",IF(B297="Decommissioning",IFERROR(INDEX('Raw Decommissioning'!$E$2:$E$1000,MATCH(A297,'Raw Decommissioning'!$B$2:$B$1000,0)),"Missing from latest raw"),IFERROR(INDEX('Raw Provisioning'!$E$2:$E$1000,MATCH(A297,'Raw Provisioning'!$B$2:$B$1000,0)),"Missing from latest raw")))</x:f>
        <x:v>completed</x:v>
      </x:c>
      <x:c r="D297" s="171" t="n">
        <x:f>IF(A297="","",'Refresh Control'!$B$4)</x:f>
        <x:v>46254</x:v>
      </x:c>
      <x:c r="E297" s="171" t="n">
        <x:f>IF(A297="","",IF(B297="Decommissioning",INDEX('Raw Decommissioning'!$F$2:$F$1000,ROWS($A$5:A297)),INDEX('Raw Provisioning'!$F$2:$F$1000,ROWS($A$5:A297)-COUNTA('Raw Decommissioning'!$B$2:$B$1000))))</x:f>
        <x:v>46219.14097422454</x:v>
      </x:c>
      <x:c r="F297" s="171" t="n">
        <x:f>IF(A297="","",IF(B297="Decommissioning",INDEX('Raw Decommissioning'!$G$2:$G$1000,ROWS($A$5:A297)),INDEX('Raw Provisioning'!$H$2:$H$1000,ROWS($A$5:A297)-COUNTA('Raw Decommissioning'!$B$2:$B$1000))))</x:f>
        <x:v>46234.46915765046</x:v>
      </x:c>
      <x:c r="G297" s="170" t="str">
        <x:f>IF(A297="","",IF(B297="Decommissioning",INDEX('Raw Decommissioning'!$I$2:$I$1000,ROWS($A$5:A297)),INDEX('Raw Provisioning'!$J$2:$J$1000,ROWS($A$5:A297)-COUNTA('Raw Decommissioning'!$B$2:$B$1000))))</x:f>
        <x:v>Dynamic Risk Analyzer - DRA MRCSB</x:v>
      </x:c>
      <x:c r="H297" s="170" t="str">
        <x:f>IF(A297="","",IF(B297="Decommissioning",INDEX('Raw Decommissioning'!$J$2:$J$1000,ROWS($A$5:A297)),INDEX('Raw Provisioning'!$L$2:$L$1000,ROWS($A$5:A297)-COUNTA('Raw Decommissioning'!$B$2:$B$1000))))</x:f>
        <x:v>CTP Old to New LZ - Dynamic Risk Analyser (DRA) MRCSB</x:v>
      </x:c>
      <x:c r="I297" s="170" t="str">
        <x:f>IF(A297="","",IF(B297="Decommissioning",INDEX('Raw Decommissioning'!$AL$2:$AL$1000,ROWS($A$5:A297)),INDEX('Raw Provisioning'!$R$2:$R$1000,ROWS($A$5:A297)-COUNTA('Raw Decommissioning'!$B$2:$B$1000))))</x:f>
        <x:v>L</x:v>
      </x:c>
      <x:c r="J297" s="170" t="str">
        <x:f>IF(A297="","",IF(B297="Decommissioning",INDEX('Raw Decommissioning'!$AG$2:$AG$1000,ROWS($A$5:A297)),INDEX('Raw Provisioning'!$AI$2:$AI$1000,ROWS($A$5:A297)-COUNTA('Raw Decommissioning'!$B$2:$B$1000))))</x:f>
        <x:v>venkatesh.kalikivayi@petronas.com</x:v>
      </x:c>
      <x:c r="K297" s="172" t="str">
        <x:f>IF(A297="","",IFERROR(LOOKUP(2,1/('Assignment History'!$B$5:$B$204=A297),'Assignment History'!$D$5:$D$204),IFERROR(VLOOKUP(J297,Configuration!$L$5:$M$50,2,FALSE),J297)))</x:f>
        <x:v>venkatesh.kalikivayi@petronas.com</x:v>
      </x:c>
      <x:c r="L297" s="172" t="str">
        <x:f>IF(A297="","",IF(K297=IFERROR(VLOOKUP(J297,Configuration!$L$5:$M$50,2,FALSE),J297),"Snapshot PIC","Replacement PIC"))</x:f>
        <x:v>Snapshot PIC</x:v>
      </x:c>
      <x:c r="M297" s="172" t="n">
        <x:f>IF(A297="","",IFERROR(VLOOKUP(I297,Configuration!$O$5:$P$8,2,FALSE),Configuration!$S$6))</x:f>
        <x:v>3</x:v>
      </x:c>
      <x:c r="N297" s="172" t="str">
        <x:f>IF(A297="","",IFERROR(LOOKUP(2,1/('Scope Review'!$B$5:$B$204=A297),'Scope Review'!$G$5:$G$204),"Not Reviewed"))</x:f>
        <x:v>Not Reviewed</x:v>
      </x:c>
      <x:c r="O297" s="172" t="str">
        <x:f>IF(A297="","",IFERROR(LOOKUP(2,1/('Scope Review'!$B$5:$B$204=A297),'Scope Review'!$H$5:$H$204),""))</x:f>
      </x:c>
      <x:c r="P297" s="172" t="n">
        <x:f>IF(A297="","",IF(AND(C297="executing",N297&lt;&gt;"Confirmed OOS"),M297,0))</x:f>
        <x:v>0</x:v>
      </x:c>
      <x:c r="Q297" s="173" t="str">
        <x:f>IF(A297="","",IFERROR(LOOKUP(2,1/('Engineer Updates'!$B$5:$B$704=A297),'Engineer Updates'!$A$5:$A$704),""))</x:f>
      </x:c>
      <x:c r="R297" s="172" t="str">
        <x:f>IF(A297="","",IFERROR(LOOKUP(2,1/('Engineer Updates'!$B$5:$B$704=A297),'Engineer Updates'!$H$5:$H$704),""))</x:f>
      </x:c>
      <x:c r="S297" s="172" t="str">
        <x:f>IF(A297="","",IFERROR(LOOKUP(2,1/('Engineer Updates'!$B$5:$B$704=A297),'Engineer Updates'!$G$5:$G$704),""))</x:f>
      </x:c>
      <x:c r="T297" s="172" t="str">
        <x:f>IF(A297="","",IFERROR(LOOKUP(2,1/('Engineer Updates'!$B$5:$B$704=A297),'Engineer Updates'!$I$5:$I$704),""))</x:f>
      </x:c>
      <x:c r="U297" s="172" t="str">
        <x:f>IF(A297="","",IFERROR(LOOKUP(2,1/('Engineer Updates'!$B$5:$B$704=A297),'Engineer Updates'!$J$5:$J$704),""))</x:f>
      </x:c>
      <x:c r="V297" s="172" t="str">
        <x:f>IF(A297="","",IFERROR(LOOKUP(2,1/('Engineer Updates'!$B$5:$B$704=A297),'Engineer Updates'!$K$5:$K$704),""))</x:f>
      </x:c>
      <x:c r="W297" s="174" t="str">
        <x:f>IF(A297="","",IFERROR(LOOKUP(2,1/('Engineer Updates'!$B$5:$B$704=A297),'Engineer Updates'!$L$5:$L$704),""))</x:f>
      </x:c>
      <x:c r="X297" s="170" t="str">
        <x:f>IF(A297="","",IF(C297="completed","Completed in CSSP",IF(AND(C297="executing",ISERROR(SEARCH("@",K297))),"Executing without named engineer",IF(AND(N297="Confirmed OOS",C297="executing"),"Confirmed OOS still executing",""))))</x:f>
        <x:v>Completed in CSSP</x:v>
      </x:c>
      <x:c r="Y297" s="170" t="str">
        <x:f>IF(A297="","",IF(B297="Decommissioning","Raw Decommissioning","Raw Provisioning"))</x:f>
        <x:v>Raw Decommissioning</x:v>
      </x:c>
      <x:c r="Z297" s="170" t="str">
        <x:f>IF(A297="","",IF(OR(C297="executing",C297="processing"),"Yes","No"))</x:f>
        <x:v>No</x:v>
      </x:c>
    </x:row>
    <x:row r="298">
      <x:c r="A298" s="170" t="str">
        <x:f>IF(ROWS($A$5:A298)&lt;=COUNTA('Raw Decommissioning'!$B$2:$B$1000),INDEX('Raw Decommissioning'!$B$2:$B$1000,ROWS($A$5:A298)),IF(ROWS($A$5:A298)-COUNTA('Raw Decommissioning'!$B$2:$B$1000)&lt;=COUNTA('Raw Provisioning'!$B$2:$B$1000),INDEX('Raw Provisioning'!$B$2:$B$1000,ROWS($A$5:A298)-COUNTA('Raw Decommissioning'!$B$2:$B$1000)),""))</x:f>
        <x:v>CSSP10360050</x:v>
      </x:c>
      <x:c r="B298" s="170" t="str">
        <x:f>IF(A298="","",IF(ROWS($A$5:A298)&lt;=COUNTA('Raw Decommissioning'!$B$2:$B$1000),"Decommissioning","Provisioning"))</x:f>
        <x:v>Decommissioning</x:v>
      </x:c>
      <x:c r="C298" s="170" t="str">
        <x:f>IF(A298="","",IF(B298="Decommissioning",IFERROR(INDEX('Raw Decommissioning'!$E$2:$E$1000,MATCH(A298,'Raw Decommissioning'!$B$2:$B$1000,0)),"Missing from latest raw"),IFERROR(INDEX('Raw Provisioning'!$E$2:$E$1000,MATCH(A298,'Raw Provisioning'!$B$2:$B$1000,0)),"Missing from latest raw")))</x:f>
        <x:v>pending</x:v>
      </x:c>
      <x:c r="D298" s="171" t="n">
        <x:f>IF(A298="","",'Refresh Control'!$B$4)</x:f>
        <x:v>46254</x:v>
      </x:c>
      <x:c r="E298" s="171" t="n">
        <x:f>IF(A298="","",IF(B298="Decommissioning",INDEX('Raw Decommissioning'!$F$2:$F$1000,ROWS($A$5:A298)),INDEX('Raw Provisioning'!$F$2:$F$1000,ROWS($A$5:A298)-COUNTA('Raw Decommissioning'!$B$2:$B$1000))))</x:f>
        <x:v>46219.28086363426</x:v>
      </x:c>
      <x:c r="F298" s="171" t="n">
        <x:f>IF(A298="","",IF(B298="Decommissioning",INDEX('Raw Decommissioning'!$G$2:$G$1000,ROWS($A$5:A298)),INDEX('Raw Provisioning'!$H$2:$H$1000,ROWS($A$5:A298)-COUNTA('Raw Decommissioning'!$B$2:$B$1000))))</x:f>
        <x:v>46219.28086363426</x:v>
      </x:c>
      <x:c r="G298" s="170" t="str">
        <x:f>IF(A298="","",IF(B298="Decommissioning",INDEX('Raw Decommissioning'!$I$2:$I$1000,ROWS($A$5:A298)),INDEX('Raw Provisioning'!$J$2:$J$1000,ROWS($A$5:A298)-COUNTA('Raw Decommissioning'!$B$2:$B$1000))))</x:f>
        <x:v>Dynamic Risk Analyzer - DRA PPTSB</x:v>
      </x:c>
      <x:c r="H298" s="170" t="str">
        <x:f>IF(A298="","",IF(B298="Decommissioning",INDEX('Raw Decommissioning'!$J$2:$J$1000,ROWS($A$5:A298)),INDEX('Raw Provisioning'!$L$2:$L$1000,ROWS($A$5:A298)-COUNTA('Raw Decommissioning'!$B$2:$B$1000))))</x:f>
        <x:v>CTP Old to New LZ - Dynamic Risk Analyzer (DRA) PETRONAS Penapisan (Terengganu) Sdn. Bhd.(PPTSB)</x:v>
      </x:c>
      <x:c r="I298" s="170" t="str">
        <x:f>IF(A298="","",IF(B298="Decommissioning",INDEX('Raw Decommissioning'!$AL$2:$AL$1000,ROWS($A$5:A298)),INDEX('Raw Provisioning'!$R$2:$R$1000,ROWS($A$5:A298)-COUNTA('Raw Decommissioning'!$B$2:$B$1000))))</x:f>
      </x:c>
      <x:c r="J298" s="170" t="str">
        <x:f>IF(A298="","",IF(B298="Decommissioning",INDEX('Raw Decommissioning'!$AG$2:$AG$1000,ROWS($A$5:A298)),INDEX('Raw Provisioning'!$AI$2:$AI$1000,ROWS($A$5:A298)-COUNTA('Raw Decommissioning'!$B$2:$B$1000))))</x:f>
        <x:v>IMS - CLOUD CSSP EXECUTOR</x:v>
      </x:c>
      <x:c r="K298" s="172" t="str">
        <x:f>IF(A298="","",IFERROR(LOOKUP(2,1/('Assignment History'!$B$5:$B$204=A298),'Assignment History'!$D$5:$D$204),IFERROR(VLOOKUP(J298,Configuration!$L$5:$M$50,2,FALSE),J298)))</x:f>
        <x:v>IMS - CLOUD CSSP EXECUTOR</x:v>
      </x:c>
      <x:c r="L298" s="172" t="str">
        <x:f>IF(A298="","",IF(K298=IFERROR(VLOOKUP(J298,Configuration!$L$5:$M$50,2,FALSE),J298),"Snapshot PIC","Replacement PIC"))</x:f>
        <x:v>Snapshot PIC</x:v>
      </x:c>
      <x:c r="M298" s="172" t="n">
        <x:f>IF(A298="","",IFERROR(VLOOKUP(I298,Configuration!$O$5:$P$8,2,FALSE),Configuration!$S$6))</x:f>
        <x:v>2</x:v>
      </x:c>
      <x:c r="N298" s="172" t="str">
        <x:f>IF(A298="","",IFERROR(LOOKUP(2,1/('Scope Review'!$B$5:$B$204=A298),'Scope Review'!$G$5:$G$204),"Not Reviewed"))</x:f>
        <x:v>Not Reviewed</x:v>
      </x:c>
      <x:c r="O298" s="172" t="str">
        <x:f>IF(A298="","",IFERROR(LOOKUP(2,1/('Scope Review'!$B$5:$B$204=A298),'Scope Review'!$H$5:$H$204),""))</x:f>
      </x:c>
      <x:c r="P298" s="172" t="n">
        <x:f>IF(A298="","",IF(AND(C298="executing",N298&lt;&gt;"Confirmed OOS"),M298,0))</x:f>
        <x:v>0</x:v>
      </x:c>
      <x:c r="Q298" s="173" t="str">
        <x:f>IF(A298="","",IFERROR(LOOKUP(2,1/('Engineer Updates'!$B$5:$B$704=A298),'Engineer Updates'!$A$5:$A$704),""))</x:f>
      </x:c>
      <x:c r="R298" s="172" t="str">
        <x:f>IF(A298="","",IFERROR(LOOKUP(2,1/('Engineer Updates'!$B$5:$B$704=A298),'Engineer Updates'!$H$5:$H$704),""))</x:f>
      </x:c>
      <x:c r="S298" s="172" t="str">
        <x:f>IF(A298="","",IFERROR(LOOKUP(2,1/('Engineer Updates'!$B$5:$B$704=A298),'Engineer Updates'!$G$5:$G$704),""))</x:f>
      </x:c>
      <x:c r="T298" s="172" t="str">
        <x:f>IF(A298="","",IFERROR(LOOKUP(2,1/('Engineer Updates'!$B$5:$B$704=A298),'Engineer Updates'!$I$5:$I$704),""))</x:f>
      </x:c>
      <x:c r="U298" s="172" t="str">
        <x:f>IF(A298="","",IFERROR(LOOKUP(2,1/('Engineer Updates'!$B$5:$B$704=A298),'Engineer Updates'!$J$5:$J$704),""))</x:f>
      </x:c>
      <x:c r="V298" s="172" t="str">
        <x:f>IF(A298="","",IFERROR(LOOKUP(2,1/('Engineer Updates'!$B$5:$B$704=A298),'Engineer Updates'!$K$5:$K$704),""))</x:f>
      </x:c>
      <x:c r="W298" s="174" t="str">
        <x:f>IF(A298="","",IFERROR(LOOKUP(2,1/('Engineer Updates'!$B$5:$B$704=A298),'Engineer Updates'!$L$5:$L$704),""))</x:f>
      </x:c>
      <x:c r="X298" s="170" t="str">
        <x:f>IF(A298="","",IF(C298="completed","Completed in CSSP",IF(AND(C298="executing",ISERROR(SEARCH("@",K298))),"Executing without named engineer",IF(AND(N298="Confirmed OOS",C298="executing"),"Confirmed OOS still executing",""))))</x:f>
      </x:c>
      <x:c r="Y298" s="170" t="str">
        <x:f>IF(A298="","",IF(B298="Decommissioning","Raw Decommissioning","Raw Provisioning"))</x:f>
        <x:v>Raw Decommissioning</x:v>
      </x:c>
      <x:c r="Z298" s="170" t="str">
        <x:f>IF(A298="","",IF(OR(C298="executing",C298="processing"),"Yes","No"))</x:f>
        <x:v>No</x:v>
      </x:c>
    </x:row>
    <x:row r="299">
      <x:c r="A299" s="170" t="str">
        <x:f>IF(ROWS($A$5:A299)&lt;=COUNTA('Raw Decommissioning'!$B$2:$B$1000),INDEX('Raw Decommissioning'!$B$2:$B$1000,ROWS($A$5:A299)),IF(ROWS($A$5:A299)-COUNTA('Raw Decommissioning'!$B$2:$B$1000)&lt;=COUNTA('Raw Provisioning'!$B$2:$B$1000),INDEX('Raw Provisioning'!$B$2:$B$1000,ROWS($A$5:A299)-COUNTA('Raw Decommissioning'!$B$2:$B$1000)),""))</x:f>
        <x:v>CSSP10613645</x:v>
      </x:c>
      <x:c r="B299" s="170" t="str">
        <x:f>IF(A299="","",IF(ROWS($A$5:A299)&lt;=COUNTA('Raw Decommissioning'!$B$2:$B$1000),"Decommissioning","Provisioning"))</x:f>
        <x:v>Decommissioning</x:v>
      </x:c>
      <x:c r="C299" s="170" t="str">
        <x:f>IF(A299="","",IF(B299="Decommissioning",IFERROR(INDEX('Raw Decommissioning'!$E$2:$E$1000,MATCH(A299,'Raw Decommissioning'!$B$2:$B$1000,0)),"Missing from latest raw"),IFERROR(INDEX('Raw Provisioning'!$E$2:$E$1000,MATCH(A299,'Raw Provisioning'!$B$2:$B$1000,0)),"Missing from latest raw")))</x:f>
        <x:v>pending</x:v>
      </x:c>
      <x:c r="D299" s="171" t="n">
        <x:f>IF(A299="","",'Refresh Control'!$B$4)</x:f>
        <x:v>46254</x:v>
      </x:c>
      <x:c r="E299" s="171" t="n">
        <x:f>IF(A299="","",IF(B299="Decommissioning",INDEX('Raw Decommissioning'!$F$2:$F$1000,ROWS($A$5:A299)),INDEX('Raw Provisioning'!$F$2:$F$1000,ROWS($A$5:A299)-COUNTA('Raw Decommissioning'!$B$2:$B$1000))))</x:f>
        <x:v>46219.32611770833</x:v>
      </x:c>
      <x:c r="F299" s="171" t="n">
        <x:f>IF(A299="","",IF(B299="Decommissioning",INDEX('Raw Decommissioning'!$G$2:$G$1000,ROWS($A$5:A299)),INDEX('Raw Provisioning'!$H$2:$H$1000,ROWS($A$5:A299)-COUNTA('Raw Decommissioning'!$B$2:$B$1000))))</x:f>
        <x:v>46219.333588981484</x:v>
      </x:c>
      <x:c r="G299" s="170" t="str">
        <x:f>IF(A299="","",IF(B299="Decommissioning",INDEX('Raw Decommissioning'!$I$2:$I$1000,ROWS($A$5:A299)),INDEX('Raw Provisioning'!$J$2:$J$1000,ROWS($A$5:A299)-COUNTA('Raw Decommissioning'!$B$2:$B$1000))))</x:f>
        <x:v>Automated Tank Gauging ATG PDB</x:v>
      </x:c>
      <x:c r="H299" s="170" t="str">
        <x:f>IF(A299="","",IF(B299="Decommissioning",INDEX('Raw Decommissioning'!$J$2:$J$1000,ROWS($A$5:A299)),INDEX('Raw Provisioning'!$L$2:$L$1000,ROWS($A$5:A299)-COUNTA('Raw Decommissioning'!$B$2:$B$1000))))</x:f>
        <x:v>PDB landing zone ATG application</x:v>
      </x:c>
      <x:c r="I299" s="170" t="str">
        <x:f>IF(A299="","",IF(B299="Decommissioning",INDEX('Raw Decommissioning'!$AL$2:$AL$1000,ROWS($A$5:A299)),INDEX('Raw Provisioning'!$R$2:$R$1000,ROWS($A$5:A299)-COUNTA('Raw Decommissioning'!$B$2:$B$1000))))</x:f>
      </x:c>
      <x:c r="J299" s="170" t="str">
        <x:f>IF(A299="","",IF(B299="Decommissioning",INDEX('Raw Decommissioning'!$AG$2:$AG$1000,ROWS($A$5:A299)),INDEX('Raw Provisioning'!$AI$2:$AI$1000,ROWS($A$5:A299)-COUNTA('Raw Decommissioning'!$B$2:$B$1000))))</x:f>
        <x:v>IMS - CLOUD CSSP EXECUTOR</x:v>
      </x:c>
      <x:c r="K299" s="172" t="str">
        <x:f>IF(A299="","",IFERROR(LOOKUP(2,1/('Assignment History'!$B$5:$B$204=A299),'Assignment History'!$D$5:$D$204),IFERROR(VLOOKUP(J299,Configuration!$L$5:$M$50,2,FALSE),J299)))</x:f>
        <x:v>IMS - CLOUD CSSP EXECUTOR</x:v>
      </x:c>
      <x:c r="L299" s="172" t="str">
        <x:f>IF(A299="","",IF(K299=IFERROR(VLOOKUP(J299,Configuration!$L$5:$M$50,2,FALSE),J299),"Snapshot PIC","Replacement PIC"))</x:f>
        <x:v>Snapshot PIC</x:v>
      </x:c>
      <x:c r="M299" s="172" t="n">
        <x:f>IF(A299="","",IFERROR(VLOOKUP(I299,Configuration!$O$5:$P$8,2,FALSE),Configuration!$S$6))</x:f>
        <x:v>2</x:v>
      </x:c>
      <x:c r="N299" s="172" t="str">
        <x:f>IF(A299="","",IFERROR(LOOKUP(2,1/('Scope Review'!$B$5:$B$204=A299),'Scope Review'!$G$5:$G$204),"Not Reviewed"))</x:f>
        <x:v>Not Reviewed</x:v>
      </x:c>
      <x:c r="O299" s="172" t="str">
        <x:f>IF(A299="","",IFERROR(LOOKUP(2,1/('Scope Review'!$B$5:$B$204=A299),'Scope Review'!$H$5:$H$204),""))</x:f>
      </x:c>
      <x:c r="P299" s="172" t="n">
        <x:f>IF(A299="","",IF(AND(C299="executing",N299&lt;&gt;"Confirmed OOS"),M299,0))</x:f>
        <x:v>0</x:v>
      </x:c>
      <x:c r="Q299" s="173" t="str">
        <x:f>IF(A299="","",IFERROR(LOOKUP(2,1/('Engineer Updates'!$B$5:$B$704=A299),'Engineer Updates'!$A$5:$A$704),""))</x:f>
      </x:c>
      <x:c r="R299" s="172" t="str">
        <x:f>IF(A299="","",IFERROR(LOOKUP(2,1/('Engineer Updates'!$B$5:$B$704=A299),'Engineer Updates'!$H$5:$H$704),""))</x:f>
      </x:c>
      <x:c r="S299" s="172" t="str">
        <x:f>IF(A299="","",IFERROR(LOOKUP(2,1/('Engineer Updates'!$B$5:$B$704=A299),'Engineer Updates'!$G$5:$G$704),""))</x:f>
      </x:c>
      <x:c r="T299" s="172" t="str">
        <x:f>IF(A299="","",IFERROR(LOOKUP(2,1/('Engineer Updates'!$B$5:$B$704=A299),'Engineer Updates'!$I$5:$I$704),""))</x:f>
      </x:c>
      <x:c r="U299" s="172" t="str">
        <x:f>IF(A299="","",IFERROR(LOOKUP(2,1/('Engineer Updates'!$B$5:$B$704=A299),'Engineer Updates'!$J$5:$J$704),""))</x:f>
      </x:c>
      <x:c r="V299" s="172" t="str">
        <x:f>IF(A299="","",IFERROR(LOOKUP(2,1/('Engineer Updates'!$B$5:$B$704=A299),'Engineer Updates'!$K$5:$K$704),""))</x:f>
      </x:c>
      <x:c r="W299" s="174" t="str">
        <x:f>IF(A299="","",IFERROR(LOOKUP(2,1/('Engineer Updates'!$B$5:$B$704=A299),'Engineer Updates'!$L$5:$L$704),""))</x:f>
      </x:c>
      <x:c r="X299" s="170" t="str">
        <x:f>IF(A299="","",IF(C299="completed","Completed in CSSP",IF(AND(C299="executing",ISERROR(SEARCH("@",K299))),"Executing without named engineer",IF(AND(N299="Confirmed OOS",C299="executing"),"Confirmed OOS still executing",""))))</x:f>
      </x:c>
      <x:c r="Y299" s="170" t="str">
        <x:f>IF(A299="","",IF(B299="Decommissioning","Raw Decommissioning","Raw Provisioning"))</x:f>
        <x:v>Raw Decommissioning</x:v>
      </x:c>
      <x:c r="Z299" s="170" t="str">
        <x:f>IF(A299="","",IF(OR(C299="executing",C299="processing"),"Yes","No"))</x:f>
        <x:v>No</x:v>
      </x:c>
    </x:row>
    <x:row r="300">
      <x:c r="A300" s="170" t="str">
        <x:f>IF(ROWS($A$5:A300)&lt;=COUNTA('Raw Decommissioning'!$B$2:$B$1000),INDEX('Raw Decommissioning'!$B$2:$B$1000,ROWS($A$5:A300)),IF(ROWS($A$5:A300)-COUNTA('Raw Decommissioning'!$B$2:$B$1000)&lt;=COUNTA('Raw Provisioning'!$B$2:$B$1000),INDEX('Raw Provisioning'!$B$2:$B$1000,ROWS($A$5:A300)-COUNTA('Raw Decommissioning'!$B$2:$B$1000)),""))</x:f>
        <x:v>CSSP10306491</x:v>
      </x:c>
      <x:c r="B300" s="170" t="str">
        <x:f>IF(A300="","",IF(ROWS($A$5:A300)&lt;=COUNTA('Raw Decommissioning'!$B$2:$B$1000),"Decommissioning","Provisioning"))</x:f>
        <x:v>Decommissioning</x:v>
      </x:c>
      <x:c r="C300" s="170" t="str">
        <x:f>IF(A300="","",IF(B300="Decommissioning",IFERROR(INDEX('Raw Decommissioning'!$E$2:$E$1000,MATCH(A300,'Raw Decommissioning'!$B$2:$B$1000,0)),"Missing from latest raw"),IFERROR(INDEX('Raw Provisioning'!$E$2:$E$1000,MATCH(A300,'Raw Provisioning'!$B$2:$B$1000,0)),"Missing from latest raw")))</x:f>
        <x:v>executing</x:v>
      </x:c>
      <x:c r="D300" s="171" t="n">
        <x:f>IF(A300="","",'Refresh Control'!$B$4)</x:f>
        <x:v>46254</x:v>
      </x:c>
      <x:c r="E300" s="171" t="n">
        <x:f>IF(A300="","",IF(B300="Decommissioning",INDEX('Raw Decommissioning'!$F$2:$F$1000,ROWS($A$5:A300)),INDEX('Raw Provisioning'!$F$2:$F$1000,ROWS($A$5:A300)-COUNTA('Raw Decommissioning'!$B$2:$B$1000))))</x:f>
        <x:v>46219.351567094905</x:v>
      </x:c>
      <x:c r="F300" s="171" t="n">
        <x:f>IF(A300="","",IF(B300="Decommissioning",INDEX('Raw Decommissioning'!$G$2:$G$1000,ROWS($A$5:A300)),INDEX('Raw Provisioning'!$H$2:$H$1000,ROWS($A$5:A300)-COUNTA('Raw Decommissioning'!$B$2:$B$1000))))</x:f>
        <x:v>46239.62219638889</x:v>
      </x:c>
      <x:c r="G300" s="170" t="str">
        <x:f>IF(A300="","",IF(B300="Decommissioning",INDEX('Raw Decommissioning'!$I$2:$I$1000,ROWS($A$5:A300)),INDEX('Raw Provisioning'!$J$2:$J$1000,ROWS($A$5:A300)-COUNTA('Raw Decommissioning'!$B$2:$B$1000))))</x:f>
        <x:v>Operator Training Simulator - OTS</x:v>
      </x:c>
      <x:c r="H300" s="170" t="str">
        <x:f>IF(A300="","",IF(B300="Decommissioning",INDEX('Raw Decommissioning'!$J$2:$J$1000,ROWS($A$5:A300)),INDEX('Raw Provisioning'!$L$2:$L$1000,ROWS($A$5:A300)-COUNTA('Raw Decommissioning'!$B$2:$B$1000))))</x:f>
        <x:v>Provisioning of AWS hosting for OTS Software for INSTEP</x:v>
      </x:c>
      <x:c r="I300" s="170" t="str">
        <x:f>IF(A300="","",IF(B300="Decommissioning",INDEX('Raw Decommissioning'!$AL$2:$AL$1000,ROWS($A$5:A300)),INDEX('Raw Provisioning'!$R$2:$R$1000,ROWS($A$5:A300)-COUNTA('Raw Decommissioning'!$B$2:$B$1000))))</x:f>
        <x:v>M</x:v>
      </x:c>
      <x:c r="J300" s="170" t="str">
        <x:f>IF(A300="","",IF(B300="Decommissioning",INDEX('Raw Decommissioning'!$AG$2:$AG$1000,ROWS($A$5:A300)),INDEX('Raw Provisioning'!$AI$2:$AI$1000,ROWS($A$5:A300)-COUNTA('Raw Decommissioning'!$B$2:$B$1000))))</x:f>
        <x:v>swaminadh.chirakala@petronas.com</x:v>
      </x:c>
      <x:c r="K300" s="172" t="str">
        <x:f>IF(A300="","",IFERROR(LOOKUP(2,1/('Assignment History'!$B$5:$B$204=A300),'Assignment History'!$D$5:$D$204),IFERROR(VLOOKUP(J300,Configuration!$L$5:$M$50,2,FALSE),J300)))</x:f>
        <x:v>swaminadh.chirakala@petronas.com</x:v>
      </x:c>
      <x:c r="L300" s="172" t="str">
        <x:f>IF(A300="","",IF(K300=IFERROR(VLOOKUP(J300,Configuration!$L$5:$M$50,2,FALSE),J300),"Snapshot PIC","Replacement PIC"))</x:f>
        <x:v>Snapshot PIC</x:v>
      </x:c>
      <x:c r="M300" s="172" t="n">
        <x:f>IF(A300="","",IFERROR(VLOOKUP(I300,Configuration!$O$5:$P$8,2,FALSE),Configuration!$S$6))</x:f>
        <x:v>2</x:v>
      </x:c>
      <x:c r="N300" s="172" t="str">
        <x:f>IF(A300="","",IFERROR(LOOKUP(2,1/('Scope Review'!$B$5:$B$204=A300),'Scope Review'!$G$5:$G$204),"Not Reviewed"))</x:f>
        <x:v>Not Reviewed</x:v>
      </x:c>
      <x:c r="O300" s="172" t="str">
        <x:f>IF(A300="","",IFERROR(LOOKUP(2,1/('Scope Review'!$B$5:$B$204=A300),'Scope Review'!$H$5:$H$204),""))</x:f>
      </x:c>
      <x:c r="P300" s="172" t="n">
        <x:f>IF(A300="","",IF(AND(C300="executing",N300&lt;&gt;"Confirmed OOS"),M300,0))</x:f>
        <x:v>2</x:v>
      </x:c>
      <x:c r="Q300" s="173" t="n">
        <x:f>IF(A300="","",IFERROR(LOOKUP(2,1/('Engineer Updates'!$B$5:$B$704=A300),'Engineer Updates'!$A$5:$A$704),""))</x:f>
        <x:v>46251</x:v>
      </x:c>
      <x:c r="R300" s="172" t="str">
        <x:f>IF(A300="","",IFERROR(LOOKUP(2,1/('Engineer Updates'!$B$5:$B$704=A300),'Engineer Updates'!$H$5:$H$704),""))</x:f>
        <x:v>Not Started</x:v>
      </x:c>
      <x:c r="S300" s="172" t="str">
        <x:f>IF(A300="","",IFERROR(LOOKUP(2,1/('Engineer Updates'!$B$5:$B$704=A300),'Engineer Updates'!$G$5:$G$704),""))</x:f>
      </x:c>
      <x:c r="T300" s="172" t="str">
        <x:f>IF(A300="","",IFERROR(LOOKUP(2,1/('Engineer Updates'!$B$5:$B$704=A300),'Engineer Updates'!$I$5:$I$704),""))</x:f>
      </x:c>
      <x:c r="U300" s="172" t="str">
        <x:f>IF(A300="","",IFERROR(LOOKUP(2,1/('Engineer Updates'!$B$5:$B$704=A300),'Engineer Updates'!$J$5:$J$704),""))</x:f>
      </x:c>
      <x:c r="V300" s="172" t="str">
        <x:f>IF(A300="","",IFERROR(LOOKUP(2,1/('Engineer Updates'!$B$5:$B$704=A300),'Engineer Updates'!$K$5:$K$704),""))</x:f>
      </x:c>
      <x:c r="W300" s="174" t="str">
        <x:f>IF(A300="","",IFERROR(LOOKUP(2,1/('Engineer Updates'!$B$5:$B$704=A300),'Engineer Updates'!$L$5:$L$704),""))</x:f>
      </x:c>
      <x:c r="X300" s="170" t="str">
        <x:f>IF(A300="","",IF(C300="completed","Completed in CSSP",IF(AND(C300="executing",ISERROR(SEARCH("@",K300))),"Executing without named engineer",IF(AND(N300="Confirmed OOS",C300="executing"),"Confirmed OOS still executing",""))))</x:f>
      </x:c>
      <x:c r="Y300" s="170" t="str">
        <x:f>IF(A300="","",IF(B300="Decommissioning","Raw Decommissioning","Raw Provisioning"))</x:f>
        <x:v>Raw Decommissioning</x:v>
      </x:c>
      <x:c r="Z300" s="170" t="str">
        <x:f>IF(A300="","",IF(OR(C300="executing",C300="processing"),"Yes","No"))</x:f>
        <x:v>Yes</x:v>
      </x:c>
    </x:row>
    <x:row r="301">
      <x:c r="A301" s="170" t="str">
        <x:f>IF(ROWS($A$5:A301)&lt;=COUNTA('Raw Decommissioning'!$B$2:$B$1000),INDEX('Raw Decommissioning'!$B$2:$B$1000,ROWS($A$5:A301)),IF(ROWS($A$5:A301)-COUNTA('Raw Decommissioning'!$B$2:$B$1000)&lt;=COUNTA('Raw Provisioning'!$B$2:$B$1000),INDEX('Raw Provisioning'!$B$2:$B$1000,ROWS($A$5:A301)-COUNTA('Raw Decommissioning'!$B$2:$B$1000)),""))</x:f>
        <x:v>CSSP10422093</x:v>
      </x:c>
      <x:c r="B301" s="170" t="str">
        <x:f>IF(A301="","",IF(ROWS($A$5:A301)&lt;=COUNTA('Raw Decommissioning'!$B$2:$B$1000),"Decommissioning","Provisioning"))</x:f>
        <x:v>Decommissioning</x:v>
      </x:c>
      <x:c r="C301" s="170" t="str">
        <x:f>IF(A301="","",IF(B301="Decommissioning",IFERROR(INDEX('Raw Decommissioning'!$E$2:$E$1000,MATCH(A301,'Raw Decommissioning'!$B$2:$B$1000,0)),"Missing from latest raw"),IFERROR(INDEX('Raw Provisioning'!$E$2:$E$1000,MATCH(A301,'Raw Provisioning'!$B$2:$B$1000,0)),"Missing from latest raw")))</x:f>
        <x:v>pending</x:v>
      </x:c>
      <x:c r="D301" s="171" t="n">
        <x:f>IF(A301="","",'Refresh Control'!$B$4)</x:f>
        <x:v>46254</x:v>
      </x:c>
      <x:c r="E301" s="171" t="n">
        <x:f>IF(A301="","",IF(B301="Decommissioning",INDEX('Raw Decommissioning'!$F$2:$F$1000,ROWS($A$5:A301)),INDEX('Raw Provisioning'!$F$2:$F$1000,ROWS($A$5:A301)-COUNTA('Raw Decommissioning'!$B$2:$B$1000))))</x:f>
        <x:v>46224.31308393519</x:v>
      </x:c>
      <x:c r="F301" s="171" t="n">
        <x:f>IF(A301="","",IF(B301="Decommissioning",INDEX('Raw Decommissioning'!$G$2:$G$1000,ROWS($A$5:A301)),INDEX('Raw Provisioning'!$H$2:$H$1000,ROWS($A$5:A301)-COUNTA('Raw Decommissioning'!$B$2:$B$1000))))</x:f>
        <x:v>46233.36400851852</x:v>
      </x:c>
      <x:c r="G301" s="170" t="str">
        <x:f>IF(A301="","",IF(B301="Decommissioning",INDEX('Raw Decommissioning'!$I$2:$I$1000,ROWS($A$5:A301)),INDEX('Raw Provisioning'!$J$2:$J$1000,ROWS($A$5:A301)-COUNTA('Raw Decommissioning'!$B$2:$B$1000))))</x:f>
        <x:v>PIVOT Descriptive Analytics - DA PCGB</x:v>
      </x:c>
      <x:c r="H301" s="170" t="str">
        <x:f>IF(A301="","",IF(B301="Decommissioning",INDEX('Raw Decommissioning'!$J$2:$J$1000,ROWS($A$5:A301)),INDEX('Raw Provisioning'!$L$2:$L$1000,ROWS($A$5:A301)-COUNTA('Raw Decommissioning'!$B$2:$B$1000))))</x:f>
        <x:v>PIVOT Descriptive Analytics</x:v>
      </x:c>
      <x:c r="I301" s="170" t="str">
        <x:f>IF(A301="","",IF(B301="Decommissioning",INDEX('Raw Decommissioning'!$AL$2:$AL$1000,ROWS($A$5:A301)),INDEX('Raw Provisioning'!$R$2:$R$1000,ROWS($A$5:A301)-COUNTA('Raw Decommissioning'!$B$2:$B$1000))))</x:f>
      </x:c>
      <x:c r="J301" s="170" t="str">
        <x:f>IF(A301="","",IF(B301="Decommissioning",INDEX('Raw Decommissioning'!$AG$2:$AG$1000,ROWS($A$5:A301)),INDEX('Raw Provisioning'!$AI$2:$AI$1000,ROWS($A$5:A301)-COUNTA('Raw Decommissioning'!$B$2:$B$1000))))</x:f>
        <x:v>IMS - CLOUD CSSP EXECUTOR</x:v>
      </x:c>
      <x:c r="K301" s="172" t="str">
        <x:f>IF(A301="","",IFERROR(LOOKUP(2,1/('Assignment History'!$B$5:$B$204=A301),'Assignment History'!$D$5:$D$204),IFERROR(VLOOKUP(J301,Configuration!$L$5:$M$50,2,FALSE),J301)))</x:f>
        <x:v>IMS - CLOUD CSSP EXECUTOR</x:v>
      </x:c>
      <x:c r="L301" s="172" t="str">
        <x:f>IF(A301="","",IF(K301=IFERROR(VLOOKUP(J301,Configuration!$L$5:$M$50,2,FALSE),J301),"Snapshot PIC","Replacement PIC"))</x:f>
        <x:v>Snapshot PIC</x:v>
      </x:c>
      <x:c r="M301" s="172" t="n">
        <x:f>IF(A301="","",IFERROR(VLOOKUP(I301,Configuration!$O$5:$P$8,2,FALSE),Configuration!$S$6))</x:f>
        <x:v>2</x:v>
      </x:c>
      <x:c r="N301" s="172" t="str">
        <x:f>IF(A301="","",IFERROR(LOOKUP(2,1/('Scope Review'!$B$5:$B$204=A301),'Scope Review'!$G$5:$G$204),"Not Reviewed"))</x:f>
        <x:v>Not Reviewed</x:v>
      </x:c>
      <x:c r="O301" s="172" t="str">
        <x:f>IF(A301="","",IFERROR(LOOKUP(2,1/('Scope Review'!$B$5:$B$204=A301),'Scope Review'!$H$5:$H$204),""))</x:f>
      </x:c>
      <x:c r="P301" s="172" t="n">
        <x:f>IF(A301="","",IF(AND(C301="executing",N301&lt;&gt;"Confirmed OOS"),M301,0))</x:f>
        <x:v>0</x:v>
      </x:c>
      <x:c r="Q301" s="173" t="str">
        <x:f>IF(A301="","",IFERROR(LOOKUP(2,1/('Engineer Updates'!$B$5:$B$704=A301),'Engineer Updates'!$A$5:$A$704),""))</x:f>
      </x:c>
      <x:c r="R301" s="172" t="str">
        <x:f>IF(A301="","",IFERROR(LOOKUP(2,1/('Engineer Updates'!$B$5:$B$704=A301),'Engineer Updates'!$H$5:$H$704),""))</x:f>
      </x:c>
      <x:c r="S301" s="172" t="str">
        <x:f>IF(A301="","",IFERROR(LOOKUP(2,1/('Engineer Updates'!$B$5:$B$704=A301),'Engineer Updates'!$G$5:$G$704),""))</x:f>
      </x:c>
      <x:c r="T301" s="172" t="str">
        <x:f>IF(A301="","",IFERROR(LOOKUP(2,1/('Engineer Updates'!$B$5:$B$704=A301),'Engineer Updates'!$I$5:$I$704),""))</x:f>
      </x:c>
      <x:c r="U301" s="172" t="str">
        <x:f>IF(A301="","",IFERROR(LOOKUP(2,1/('Engineer Updates'!$B$5:$B$704=A301),'Engineer Updates'!$J$5:$J$704),""))</x:f>
      </x:c>
      <x:c r="V301" s="172" t="str">
        <x:f>IF(A301="","",IFERROR(LOOKUP(2,1/('Engineer Updates'!$B$5:$B$704=A301),'Engineer Updates'!$K$5:$K$704),""))</x:f>
      </x:c>
      <x:c r="W301" s="174" t="str">
        <x:f>IF(A301="","",IFERROR(LOOKUP(2,1/('Engineer Updates'!$B$5:$B$704=A301),'Engineer Updates'!$L$5:$L$704),""))</x:f>
      </x:c>
      <x:c r="X301" s="170" t="str">
        <x:f>IF(A301="","",IF(C301="completed","Completed in CSSP",IF(AND(C301="executing",ISERROR(SEARCH("@",K301))),"Executing without named engineer",IF(AND(N301="Confirmed OOS",C301="executing"),"Confirmed OOS still executing",""))))</x:f>
      </x:c>
      <x:c r="Y301" s="170" t="str">
        <x:f>IF(A301="","",IF(B301="Decommissioning","Raw Decommissioning","Raw Provisioning"))</x:f>
        <x:v>Raw Decommissioning</x:v>
      </x:c>
      <x:c r="Z301" s="170" t="str">
        <x:f>IF(A301="","",IF(OR(C301="executing",C301="processing"),"Yes","No"))</x:f>
        <x:v>No</x:v>
      </x:c>
    </x:row>
    <x:row r="302">
      <x:c r="A302" s="170" t="str">
        <x:f>IF(ROWS($A$5:A302)&lt;=COUNTA('Raw Decommissioning'!$B$2:$B$1000),INDEX('Raw Decommissioning'!$B$2:$B$1000,ROWS($A$5:A302)),IF(ROWS($A$5:A302)-COUNTA('Raw Decommissioning'!$B$2:$B$1000)&lt;=COUNTA('Raw Provisioning'!$B$2:$B$1000),INDEX('Raw Provisioning'!$B$2:$B$1000,ROWS($A$5:A302)-COUNTA('Raw Decommissioning'!$B$2:$B$1000)),""))</x:f>
        <x:v>CSSP10484519</x:v>
      </x:c>
      <x:c r="B302" s="170" t="str">
        <x:f>IF(A302="","",IF(ROWS($A$5:A302)&lt;=COUNTA('Raw Decommissioning'!$B$2:$B$1000),"Decommissioning","Provisioning"))</x:f>
        <x:v>Decommissioning</x:v>
      </x:c>
      <x:c r="C302" s="170" t="str">
        <x:f>IF(A302="","",IF(B302="Decommissioning",IFERROR(INDEX('Raw Decommissioning'!$E$2:$E$1000,MATCH(A302,'Raw Decommissioning'!$B$2:$B$1000,0)),"Missing from latest raw"),IFERROR(INDEX('Raw Provisioning'!$E$2:$E$1000,MATCH(A302,'Raw Provisioning'!$B$2:$B$1000,0)),"Missing from latest raw")))</x:f>
        <x:v>processing</x:v>
      </x:c>
      <x:c r="D302" s="171" t="n">
        <x:f>IF(A302="","",'Refresh Control'!$B$4)</x:f>
        <x:v>46254</x:v>
      </x:c>
      <x:c r="E302" s="171" t="n">
        <x:f>IF(A302="","",IF(B302="Decommissioning",INDEX('Raw Decommissioning'!$F$2:$F$1000,ROWS($A$5:A302)),INDEX('Raw Provisioning'!$F$2:$F$1000,ROWS($A$5:A302)-COUNTA('Raw Decommissioning'!$B$2:$B$1000))))</x:f>
        <x:v>46225.02899731482</x:v>
      </x:c>
      <x:c r="F302" s="171" t="n">
        <x:f>IF(A302="","",IF(B302="Decommissioning",INDEX('Raw Decommissioning'!$G$2:$G$1000,ROWS($A$5:A302)),INDEX('Raw Provisioning'!$H$2:$H$1000,ROWS($A$5:A302)-COUNTA('Raw Decommissioning'!$B$2:$B$1000))))</x:f>
        <x:v>46244.079157106484</x:v>
      </x:c>
      <x:c r="G302" s="170" t="str">
        <x:f>IF(A302="","",IF(B302="Decommissioning",INDEX('Raw Decommissioning'!$I$2:$I$1000,ROWS($A$5:A302)),INDEX('Raw Provisioning'!$J$2:$J$1000,ROWS($A$5:A302)-COUNTA('Raw Decommissioning'!$B$2:$B$1000))))</x:f>
        <x:v>Danger Dodgers</x:v>
      </x:c>
      <x:c r="H302" s="170" t="str">
        <x:f>IF(A302="","",IF(B302="Decommissioning",INDEX('Raw Decommissioning'!$J$2:$J$1000,ROWS($A$5:A302)),INDEX('Raw Provisioning'!$L$2:$L$1000,ROWS($A$5:A302)-COUNTA('Raw Decommissioning'!$B$2:$B$1000))))</x:f>
        <x:v>Pilot Deployment of Danger Dodgers at PCFK</x:v>
      </x:c>
      <x:c r="I302" s="170" t="str">
        <x:f>IF(A302="","",IF(B302="Decommissioning",INDEX('Raw Decommissioning'!$AL$2:$AL$1000,ROWS($A$5:A302)),INDEX('Raw Provisioning'!$R$2:$R$1000,ROWS($A$5:A302)-COUNTA('Raw Decommissioning'!$B$2:$B$1000))))</x:f>
        <x:v>S</x:v>
      </x:c>
      <x:c r="J302" s="170" t="str">
        <x:f>IF(A302="","",IF(B302="Decommissioning",INDEX('Raw Decommissioning'!$AG$2:$AG$1000,ROWS($A$5:A302)),INDEX('Raw Provisioning'!$AI$2:$AI$1000,ROWS($A$5:A302)-COUNTA('Raw Decommissioning'!$B$2:$B$1000))))</x:f>
        <x:v>IMS - CLOUD CSSP EXECUTOR</x:v>
      </x:c>
      <x:c r="K302" s="172" t="str">
        <x:f>IF(A302="","",IFERROR(LOOKUP(2,1/('Assignment History'!$B$5:$B$204=A302),'Assignment History'!$D$5:$D$204),IFERROR(VLOOKUP(J302,Configuration!$L$5:$M$50,2,FALSE),J302)))</x:f>
        <x:v>IMS - CLOUD CSSP EXECUTOR</x:v>
      </x:c>
      <x:c r="L302" s="172" t="str">
        <x:f>IF(A302="","",IF(K302=IFERROR(VLOOKUP(J302,Configuration!$L$5:$M$50,2,FALSE),J302),"Snapshot PIC","Replacement PIC"))</x:f>
        <x:v>Snapshot PIC</x:v>
      </x:c>
      <x:c r="M302" s="172" t="n">
        <x:f>IF(A302="","",IFERROR(VLOOKUP(I302,Configuration!$O$5:$P$8,2,FALSE),Configuration!$S$6))</x:f>
        <x:v>1</x:v>
      </x:c>
      <x:c r="N302" s="172" t="str">
        <x:f>IF(A302="","",IFERROR(LOOKUP(2,1/('Scope Review'!$B$5:$B$204=A302),'Scope Review'!$G$5:$G$204),"Not Reviewed"))</x:f>
        <x:v>Not Reviewed</x:v>
      </x:c>
      <x:c r="O302" s="172" t="str">
        <x:f>IF(A302="","",IFERROR(LOOKUP(2,1/('Scope Review'!$B$5:$B$204=A302),'Scope Review'!$H$5:$H$204),""))</x:f>
      </x:c>
      <x:c r="P302" s="172" t="n">
        <x:f>IF(A302="","",IF(AND(C302="executing",N302&lt;&gt;"Confirmed OOS"),M302,0))</x:f>
        <x:v>0</x:v>
      </x:c>
      <x:c r="Q302" s="173" t="str">
        <x:f>IF(A302="","",IFERROR(LOOKUP(2,1/('Engineer Updates'!$B$5:$B$704=A302),'Engineer Updates'!$A$5:$A$704),""))</x:f>
      </x:c>
      <x:c r="R302" s="172" t="str">
        <x:f>IF(A302="","",IFERROR(LOOKUP(2,1/('Engineer Updates'!$B$5:$B$704=A302),'Engineer Updates'!$H$5:$H$704),""))</x:f>
      </x:c>
      <x:c r="S302" s="172" t="str">
        <x:f>IF(A302="","",IFERROR(LOOKUP(2,1/('Engineer Updates'!$B$5:$B$704=A302),'Engineer Updates'!$G$5:$G$704),""))</x:f>
      </x:c>
      <x:c r="T302" s="172" t="str">
        <x:f>IF(A302="","",IFERROR(LOOKUP(2,1/('Engineer Updates'!$B$5:$B$704=A302),'Engineer Updates'!$I$5:$I$704),""))</x:f>
      </x:c>
      <x:c r="U302" s="172" t="str">
        <x:f>IF(A302="","",IFERROR(LOOKUP(2,1/('Engineer Updates'!$B$5:$B$704=A302),'Engineer Updates'!$J$5:$J$704),""))</x:f>
      </x:c>
      <x:c r="V302" s="172" t="str">
        <x:f>IF(A302="","",IFERROR(LOOKUP(2,1/('Engineer Updates'!$B$5:$B$704=A302),'Engineer Updates'!$K$5:$K$704),""))</x:f>
      </x:c>
      <x:c r="W302" s="174" t="str">
        <x:f>IF(A302="","",IFERROR(LOOKUP(2,1/('Engineer Updates'!$B$5:$B$704=A302),'Engineer Updates'!$L$5:$L$704),""))</x:f>
      </x:c>
      <x:c r="X302" s="170" t="str">
        <x:f>IF(A302="","",IF(C302="completed","Completed in CSSP",IF(AND(C302="executing",ISERROR(SEARCH("@",K302))),"Executing without named engineer",IF(AND(N302="Confirmed OOS",C302="executing"),"Confirmed OOS still executing",""))))</x:f>
      </x:c>
      <x:c r="Y302" s="170" t="str">
        <x:f>IF(A302="","",IF(B302="Decommissioning","Raw Decommissioning","Raw Provisioning"))</x:f>
        <x:v>Raw Decommissioning</x:v>
      </x:c>
      <x:c r="Z302" s="170" t="str">
        <x:f>IF(A302="","",IF(OR(C302="executing",C302="processing"),"Yes","No"))</x:f>
        <x:v>Yes</x:v>
      </x:c>
    </x:row>
    <x:row r="303">
      <x:c r="A303" s="170" t="str">
        <x:f>IF(ROWS($A$5:A303)&lt;=COUNTA('Raw Decommissioning'!$B$2:$B$1000),INDEX('Raw Decommissioning'!$B$2:$B$1000,ROWS($A$5:A303)),IF(ROWS($A$5:A303)-COUNTA('Raw Decommissioning'!$B$2:$B$1000)&lt;=COUNTA('Raw Provisioning'!$B$2:$B$1000),INDEX('Raw Provisioning'!$B$2:$B$1000,ROWS($A$5:A303)-COUNTA('Raw Decommissioning'!$B$2:$B$1000)),""))</x:f>
        <x:v>CSSP10657709</x:v>
      </x:c>
      <x:c r="B303" s="170" t="str">
        <x:f>IF(A303="","",IF(ROWS($A$5:A303)&lt;=COUNTA('Raw Decommissioning'!$B$2:$B$1000),"Decommissioning","Provisioning"))</x:f>
        <x:v>Decommissioning</x:v>
      </x:c>
      <x:c r="C303" s="170" t="str">
        <x:f>IF(A303="","",IF(B303="Decommissioning",IFERROR(INDEX('Raw Decommissioning'!$E$2:$E$1000,MATCH(A303,'Raw Decommissioning'!$B$2:$B$1000,0)),"Missing from latest raw"),IFERROR(INDEX('Raw Provisioning'!$E$2:$E$1000,MATCH(A303,'Raw Provisioning'!$B$2:$B$1000,0)),"Missing from latest raw")))</x:f>
        <x:v>executing</x:v>
      </x:c>
      <x:c r="D303" s="171" t="n">
        <x:f>IF(A303="","",'Refresh Control'!$B$4)</x:f>
        <x:v>46254</x:v>
      </x:c>
      <x:c r="E303" s="171" t="n">
        <x:f>IF(A303="","",IF(B303="Decommissioning",INDEX('Raw Decommissioning'!$F$2:$F$1000,ROWS($A$5:A303)),INDEX('Raw Provisioning'!$F$2:$F$1000,ROWS($A$5:A303)-COUNTA('Raw Decommissioning'!$B$2:$B$1000))))</x:f>
        <x:v>46225.02988314815</x:v>
      </x:c>
      <x:c r="F303" s="171" t="n">
        <x:f>IF(A303="","",IF(B303="Decommissioning",INDEX('Raw Decommissioning'!$G$2:$G$1000,ROWS($A$5:A303)),INDEX('Raw Provisioning'!$H$2:$H$1000,ROWS($A$5:A303)-COUNTA('Raw Decommissioning'!$B$2:$B$1000))))</x:f>
        <x:v>46239.622015520836</x:v>
      </x:c>
      <x:c r="G303" s="170" t="str">
        <x:f>IF(A303="","",IF(B303="Decommissioning",INDEX('Raw Decommissioning'!$I$2:$I$1000,ROWS($A$5:A303)),INDEX('Raw Provisioning'!$J$2:$J$1000,ROWS($A$5:A303)-COUNTA('Raw Decommissioning'!$B$2:$B$1000))))</x:f>
        <x:v>Danger Dodgers</x:v>
      </x:c>
      <x:c r="H303" s="170" t="str">
        <x:f>IF(A303="","",IF(B303="Decommissioning",INDEX('Raw Decommissioning'!$J$2:$J$1000,ROWS($A$5:A303)),INDEX('Raw Provisioning'!$L$2:$L$1000,ROWS($A$5:A303)-COUNTA('Raw Decommissioning'!$B$2:$B$1000))))</x:f>
        <x:v>Enhancement of Danger Dodgers Gamification for GHSE</x:v>
      </x:c>
      <x:c r="I303" s="170" t="str">
        <x:f>IF(A303="","",IF(B303="Decommissioning",INDEX('Raw Decommissioning'!$AL$2:$AL$1000,ROWS($A$5:A303)),INDEX('Raw Provisioning'!$R$2:$R$1000,ROWS($A$5:A303)-COUNTA('Raw Decommissioning'!$B$2:$B$1000))))</x:f>
        <x:v>S</x:v>
      </x:c>
      <x:c r="J303" s="170" t="str">
        <x:f>IF(A303="","",IF(B303="Decommissioning",INDEX('Raw Decommissioning'!$AG$2:$AG$1000,ROWS($A$5:A303)),INDEX('Raw Provisioning'!$AI$2:$AI$1000,ROWS($A$5:A303)-COUNTA('Raw Decommissioning'!$B$2:$B$1000))))</x:f>
        <x:v>swaminadh.chirakala@petronas.com</x:v>
      </x:c>
      <x:c r="K303" s="172" t="str">
        <x:f>IF(A303="","",IFERROR(LOOKUP(2,1/('Assignment History'!$B$5:$B$204=A303),'Assignment History'!$D$5:$D$204),IFERROR(VLOOKUP(J303,Configuration!$L$5:$M$50,2,FALSE),J303)))</x:f>
        <x:v>swaminadh.chirakala@petronas.com</x:v>
      </x:c>
      <x:c r="L303" s="172" t="str">
        <x:f>IF(A303="","",IF(K303=IFERROR(VLOOKUP(J303,Configuration!$L$5:$M$50,2,FALSE),J303),"Snapshot PIC","Replacement PIC"))</x:f>
        <x:v>Snapshot PIC</x:v>
      </x:c>
      <x:c r="M303" s="172" t="n">
        <x:f>IF(A303="","",IFERROR(VLOOKUP(I303,Configuration!$O$5:$P$8,2,FALSE),Configuration!$S$6))</x:f>
        <x:v>1</x:v>
      </x:c>
      <x:c r="N303" s="172" t="str">
        <x:f>IF(A303="","",IFERROR(LOOKUP(2,1/('Scope Review'!$B$5:$B$204=A303),'Scope Review'!$G$5:$G$204),"Not Reviewed"))</x:f>
        <x:v>Not Reviewed</x:v>
      </x:c>
      <x:c r="O303" s="172" t="str">
        <x:f>IF(A303="","",IFERROR(LOOKUP(2,1/('Scope Review'!$B$5:$B$204=A303),'Scope Review'!$H$5:$H$204),""))</x:f>
      </x:c>
      <x:c r="P303" s="172" t="n">
        <x:f>IF(A303="","",IF(AND(C303="executing",N303&lt;&gt;"Confirmed OOS"),M303,0))</x:f>
        <x:v>1</x:v>
      </x:c>
      <x:c r="Q303" s="173" t="n">
        <x:f>IF(A303="","",IFERROR(LOOKUP(2,1/('Engineer Updates'!$B$5:$B$704=A303),'Engineer Updates'!$A$5:$A$704),""))</x:f>
        <x:v>46251</x:v>
      </x:c>
      <x:c r="R303" s="172" t="str">
        <x:f>IF(A303="","",IFERROR(LOOKUP(2,1/('Engineer Updates'!$B$5:$B$704=A303),'Engineer Updates'!$H$5:$H$704),""))</x:f>
        <x:v>Not Started</x:v>
      </x:c>
      <x:c r="S303" s="172" t="str">
        <x:f>IF(A303="","",IFERROR(LOOKUP(2,1/('Engineer Updates'!$B$5:$B$704=A303),'Engineer Updates'!$G$5:$G$704),""))</x:f>
      </x:c>
      <x:c r="T303" s="172" t="str">
        <x:f>IF(A303="","",IFERROR(LOOKUP(2,1/('Engineer Updates'!$B$5:$B$704=A303),'Engineer Updates'!$I$5:$I$704),""))</x:f>
      </x:c>
      <x:c r="U303" s="172" t="str">
        <x:f>IF(A303="","",IFERROR(LOOKUP(2,1/('Engineer Updates'!$B$5:$B$704=A303),'Engineer Updates'!$J$5:$J$704),""))</x:f>
      </x:c>
      <x:c r="V303" s="172" t="str">
        <x:f>IF(A303="","",IFERROR(LOOKUP(2,1/('Engineer Updates'!$B$5:$B$704=A303),'Engineer Updates'!$K$5:$K$704),""))</x:f>
      </x:c>
      <x:c r="W303" s="174" t="str">
        <x:f>IF(A303="","",IFERROR(LOOKUP(2,1/('Engineer Updates'!$B$5:$B$704=A303),'Engineer Updates'!$L$5:$L$704),""))</x:f>
      </x:c>
      <x:c r="X303" s="170" t="str">
        <x:f>IF(A303="","",IF(C303="completed","Completed in CSSP",IF(AND(C303="executing",ISERROR(SEARCH("@",K303))),"Executing without named engineer",IF(AND(N303="Confirmed OOS",C303="executing"),"Confirmed OOS still executing",""))))</x:f>
      </x:c>
      <x:c r="Y303" s="170" t="str">
        <x:f>IF(A303="","",IF(B303="Decommissioning","Raw Decommissioning","Raw Provisioning"))</x:f>
        <x:v>Raw Decommissioning</x:v>
      </x:c>
      <x:c r="Z303" s="170" t="str">
        <x:f>IF(A303="","",IF(OR(C303="executing",C303="processing"),"Yes","No"))</x:f>
        <x:v>Yes</x:v>
      </x:c>
    </x:row>
    <x:row r="304">
      <x:c r="A304" s="170" t="str">
        <x:f>IF(ROWS($A$5:A304)&lt;=COUNTA('Raw Decommissioning'!$B$2:$B$1000),INDEX('Raw Decommissioning'!$B$2:$B$1000,ROWS($A$5:A304)),IF(ROWS($A$5:A304)-COUNTA('Raw Decommissioning'!$B$2:$B$1000)&lt;=COUNTA('Raw Provisioning'!$B$2:$B$1000),INDEX('Raw Provisioning'!$B$2:$B$1000,ROWS($A$5:A304)-COUNTA('Raw Decommissioning'!$B$2:$B$1000)),""))</x:f>
        <x:v>CSSP10274229</x:v>
      </x:c>
      <x:c r="B304" s="170" t="str">
        <x:f>IF(A304="","",IF(ROWS($A$5:A304)&lt;=COUNTA('Raw Decommissioning'!$B$2:$B$1000),"Decommissioning","Provisioning"))</x:f>
        <x:v>Decommissioning</x:v>
      </x:c>
      <x:c r="C304" s="170" t="str">
        <x:f>IF(A304="","",IF(B304="Decommissioning",IFERROR(INDEX('Raw Decommissioning'!$E$2:$E$1000,MATCH(A304,'Raw Decommissioning'!$B$2:$B$1000,0)),"Missing from latest raw"),IFERROR(INDEX('Raw Provisioning'!$E$2:$E$1000,MATCH(A304,'Raw Provisioning'!$B$2:$B$1000,0)),"Missing from latest raw")))</x:f>
        <x:v>cancelled</x:v>
      </x:c>
      <x:c r="D304" s="171" t="n">
        <x:f>IF(A304="","",'Refresh Control'!$B$4)</x:f>
        <x:v>46254</x:v>
      </x:c>
      <x:c r="E304" s="171" t="n">
        <x:f>IF(A304="","",IF(B304="Decommissioning",INDEX('Raw Decommissioning'!$F$2:$F$1000,ROWS($A$5:A304)),INDEX('Raw Provisioning'!$F$2:$F$1000,ROWS($A$5:A304)-COUNTA('Raw Decommissioning'!$B$2:$B$1000))))</x:f>
        <x:v>46225.03657862268</x:v>
      </x:c>
      <x:c r="F304" s="171" t="n">
        <x:f>IF(A304="","",IF(B304="Decommissioning",INDEX('Raw Decommissioning'!$G$2:$G$1000,ROWS($A$5:A304)),INDEX('Raw Provisioning'!$H$2:$H$1000,ROWS($A$5:A304)-COUNTA('Raw Decommissioning'!$B$2:$B$1000))))</x:f>
        <x:v>46225.06437515046</x:v>
      </x:c>
      <x:c r="G304" s="170" t="str">
        <x:f>IF(A304="","",IF(B304="Decommissioning",INDEX('Raw Decommissioning'!$I$2:$I$1000,ROWS($A$5:A304)),INDEX('Raw Provisioning'!$J$2:$J$1000,ROWS($A$5:A304)-COUNTA('Raw Decommissioning'!$B$2:$B$1000))))</x:f>
        <x:v>Technical Competency Assessment System</x:v>
      </x:c>
      <x:c r="H304" s="170" t="str">
        <x:f>IF(A304="","",IF(B304="Decommissioning",INDEX('Raw Decommissioning'!$J$2:$J$1000,ROWS($A$5:A304)),INDEX('Raw Provisioning'!$L$2:$L$1000,ROWS($A$5:A304)-COUNTA('Raw Decommissioning'!$B$2:$B$1000))))</x:f>
        <x:v>Dedicated Support for Technical Competency Assessment Systems GTCM</x:v>
      </x:c>
      <x:c r="I304" s="170" t="str">
        <x:f>IF(A304="","",IF(B304="Decommissioning",INDEX('Raw Decommissioning'!$AL$2:$AL$1000,ROWS($A$5:A304)),INDEX('Raw Provisioning'!$R$2:$R$1000,ROWS($A$5:A304)-COUNTA('Raw Decommissioning'!$B$2:$B$1000))))</x:f>
      </x:c>
      <x:c r="J304" s="170" t="str">
        <x:f>IF(A304="","",IF(B304="Decommissioning",INDEX('Raw Decommissioning'!$AG$2:$AG$1000,ROWS($A$5:A304)),INDEX('Raw Provisioning'!$AI$2:$AI$1000,ROWS($A$5:A304)-COUNTA('Raw Decommissioning'!$B$2:$B$1000))))</x:f>
        <x:v>CCoE Business</x:v>
      </x:c>
      <x:c r="K304" s="172" t="str">
        <x:f>IF(A304="","",IFERROR(LOOKUP(2,1/('Assignment History'!$B$5:$B$204=A304),'Assignment History'!$D$5:$D$204),IFERROR(VLOOKUP(J304,Configuration!$L$5:$M$50,2,FALSE),J304)))</x:f>
        <x:v>CCoE Business</x:v>
      </x:c>
      <x:c r="L304" s="172" t="str">
        <x:f>IF(A304="","",IF(K304=IFERROR(VLOOKUP(J304,Configuration!$L$5:$M$50,2,FALSE),J304),"Snapshot PIC","Replacement PIC"))</x:f>
        <x:v>Snapshot PIC</x:v>
      </x:c>
      <x:c r="M304" s="172" t="n">
        <x:f>IF(A304="","",IFERROR(VLOOKUP(I304,Configuration!$O$5:$P$8,2,FALSE),Configuration!$S$6))</x:f>
        <x:v>2</x:v>
      </x:c>
      <x:c r="N304" s="172" t="str">
        <x:f>IF(A304="","",IFERROR(LOOKUP(2,1/('Scope Review'!$B$5:$B$204=A304),'Scope Review'!$G$5:$G$204),"Not Reviewed"))</x:f>
        <x:v>Not Reviewed</x:v>
      </x:c>
      <x:c r="O304" s="172" t="str">
        <x:f>IF(A304="","",IFERROR(LOOKUP(2,1/('Scope Review'!$B$5:$B$204=A304),'Scope Review'!$H$5:$H$204),""))</x:f>
      </x:c>
      <x:c r="P304" s="172" t="n">
        <x:f>IF(A304="","",IF(AND(C304="executing",N304&lt;&gt;"Confirmed OOS"),M304,0))</x:f>
        <x:v>0</x:v>
      </x:c>
      <x:c r="Q304" s="173" t="str">
        <x:f>IF(A304="","",IFERROR(LOOKUP(2,1/('Engineer Updates'!$B$5:$B$704=A304),'Engineer Updates'!$A$5:$A$704),""))</x:f>
      </x:c>
      <x:c r="R304" s="172" t="str">
        <x:f>IF(A304="","",IFERROR(LOOKUP(2,1/('Engineer Updates'!$B$5:$B$704=A304),'Engineer Updates'!$H$5:$H$704),""))</x:f>
      </x:c>
      <x:c r="S304" s="172" t="str">
        <x:f>IF(A304="","",IFERROR(LOOKUP(2,1/('Engineer Updates'!$B$5:$B$704=A304),'Engineer Updates'!$G$5:$G$704),""))</x:f>
      </x:c>
      <x:c r="T304" s="172" t="str">
        <x:f>IF(A304="","",IFERROR(LOOKUP(2,1/('Engineer Updates'!$B$5:$B$704=A304),'Engineer Updates'!$I$5:$I$704),""))</x:f>
      </x:c>
      <x:c r="U304" s="172" t="str">
        <x:f>IF(A304="","",IFERROR(LOOKUP(2,1/('Engineer Updates'!$B$5:$B$704=A304),'Engineer Updates'!$J$5:$J$704),""))</x:f>
      </x:c>
      <x:c r="V304" s="172" t="str">
        <x:f>IF(A304="","",IFERROR(LOOKUP(2,1/('Engineer Updates'!$B$5:$B$704=A304),'Engineer Updates'!$K$5:$K$704),""))</x:f>
      </x:c>
      <x:c r="W304" s="174" t="str">
        <x:f>IF(A304="","",IFERROR(LOOKUP(2,1/('Engineer Updates'!$B$5:$B$704=A304),'Engineer Updates'!$L$5:$L$704),""))</x:f>
      </x:c>
      <x:c r="X304" s="170" t="str">
        <x:f>IF(A304="","",IF(C304="completed","Completed in CSSP",IF(AND(C304="executing",ISERROR(SEARCH("@",K304))),"Executing without named engineer",IF(AND(N304="Confirmed OOS",C304="executing"),"Confirmed OOS still executing",""))))</x:f>
      </x:c>
      <x:c r="Y304" s="170" t="str">
        <x:f>IF(A304="","",IF(B304="Decommissioning","Raw Decommissioning","Raw Provisioning"))</x:f>
        <x:v>Raw Decommissioning</x:v>
      </x:c>
      <x:c r="Z304" s="170" t="str">
        <x:f>IF(A304="","",IF(OR(C304="executing",C304="processing"),"Yes","No"))</x:f>
        <x:v>No</x:v>
      </x:c>
    </x:row>
    <x:row r="305">
      <x:c r="A305" s="170" t="str">
        <x:f>IF(ROWS($A$5:A305)&lt;=COUNTA('Raw Decommissioning'!$B$2:$B$1000),INDEX('Raw Decommissioning'!$B$2:$B$1000,ROWS($A$5:A305)),IF(ROWS($A$5:A305)-COUNTA('Raw Decommissioning'!$B$2:$B$1000)&lt;=COUNTA('Raw Provisioning'!$B$2:$B$1000),INDEX('Raw Provisioning'!$B$2:$B$1000,ROWS($A$5:A305)-COUNTA('Raw Decommissioning'!$B$2:$B$1000)),""))</x:f>
        <x:v>CSSP10420557</x:v>
      </x:c>
      <x:c r="B305" s="170" t="str">
        <x:f>IF(A305="","",IF(ROWS($A$5:A305)&lt;=COUNTA('Raw Decommissioning'!$B$2:$B$1000),"Decommissioning","Provisioning"))</x:f>
        <x:v>Decommissioning</x:v>
      </x:c>
      <x:c r="C305" s="170" t="str">
        <x:f>IF(A305="","",IF(B305="Decommissioning",IFERROR(INDEX('Raw Decommissioning'!$E$2:$E$1000,MATCH(A305,'Raw Decommissioning'!$B$2:$B$1000,0)),"Missing from latest raw"),IFERROR(INDEX('Raw Provisioning'!$E$2:$E$1000,MATCH(A305,'Raw Provisioning'!$B$2:$B$1000,0)),"Missing from latest raw")))</x:f>
        <x:v>rejected</x:v>
      </x:c>
      <x:c r="D305" s="171" t="n">
        <x:f>IF(A305="","",'Refresh Control'!$B$4)</x:f>
        <x:v>46254</x:v>
      </x:c>
      <x:c r="E305" s="171" t="n">
        <x:f>IF(A305="","",IF(B305="Decommissioning",INDEX('Raw Decommissioning'!$F$2:$F$1000,ROWS($A$5:A305)),INDEX('Raw Provisioning'!$F$2:$F$1000,ROWS($A$5:A305)-COUNTA('Raw Decommissioning'!$B$2:$B$1000))))</x:f>
        <x:v>46225.05643502315</x:v>
      </x:c>
      <x:c r="F305" s="171" t="n">
        <x:f>IF(A305="","",IF(B305="Decommissioning",INDEX('Raw Decommissioning'!$G$2:$G$1000,ROWS($A$5:A305)),INDEX('Raw Provisioning'!$H$2:$H$1000,ROWS($A$5:A305)-COUNTA('Raw Decommissioning'!$B$2:$B$1000))))</x:f>
        <x:v>46225.11891556713</x:v>
      </x:c>
      <x:c r="G305" s="170" t="str">
        <x:f>IF(A305="","",IF(B305="Decommissioning",INDEX('Raw Decommissioning'!$I$2:$I$1000,ROWS($A$5:A305)),INDEX('Raw Provisioning'!$J$2:$J$1000,ROWS($A$5:A305)-COUNTA('Raw Decommissioning'!$B$2:$B$1000))))</x:f>
        <x:v>.NET Shared Infra</x:v>
      </x:c>
      <x:c r="H305" s="170" t="str">
        <x:f>IF(A305="","",IF(B305="Decommissioning",INDEX('Raw Decommissioning'!$J$2:$J$1000,ROWS($A$5:A305)),INDEX('Raw Provisioning'!$L$2:$L$1000,ROWS($A$5:A305)-COUNTA('Raw Decommissioning'!$B$2:$B$1000))))</x:f>
        <x:v>Cloud Migration Program - .NET Shared Infra (SWE Dot Net)</x:v>
      </x:c>
      <x:c r="I305" s="170" t="str">
        <x:f>IF(A305="","",IF(B305="Decommissioning",INDEX('Raw Decommissioning'!$AL$2:$AL$1000,ROWS($A$5:A305)),INDEX('Raw Provisioning'!$R$2:$R$1000,ROWS($A$5:A305)-COUNTA('Raw Decommissioning'!$B$2:$B$1000))))</x:f>
      </x:c>
      <x:c r="J305" s="170" t="str">
        <x:f>IF(A305="","",IF(B305="Decommissioning",INDEX('Raw Decommissioning'!$AG$2:$AG$1000,ROWS($A$5:A305)),INDEX('Raw Provisioning'!$AI$2:$AI$1000,ROWS($A$5:A305)-COUNTA('Raw Decommissioning'!$B$2:$B$1000))))</x:f>
        <x:v>IMS - CLOUD CSSP EXECUTOR</x:v>
      </x:c>
      <x:c r="K305" s="172" t="str">
        <x:f>IF(A305="","",IFERROR(LOOKUP(2,1/('Assignment History'!$B$5:$B$204=A305),'Assignment History'!$D$5:$D$204),IFERROR(VLOOKUP(J305,Configuration!$L$5:$M$50,2,FALSE),J305)))</x:f>
        <x:v>IMS - CLOUD CSSP EXECUTOR</x:v>
      </x:c>
      <x:c r="L305" s="172" t="str">
        <x:f>IF(A305="","",IF(K305=IFERROR(VLOOKUP(J305,Configuration!$L$5:$M$50,2,FALSE),J305),"Snapshot PIC","Replacement PIC"))</x:f>
        <x:v>Snapshot PIC</x:v>
      </x:c>
      <x:c r="M305" s="172" t="n">
        <x:f>IF(A305="","",IFERROR(VLOOKUP(I305,Configuration!$O$5:$P$8,2,FALSE),Configuration!$S$6))</x:f>
        <x:v>2</x:v>
      </x:c>
      <x:c r="N305" s="172" t="str">
        <x:f>IF(A305="","",IFERROR(LOOKUP(2,1/('Scope Review'!$B$5:$B$204=A305),'Scope Review'!$G$5:$G$204),"Not Reviewed"))</x:f>
        <x:v>Not Reviewed</x:v>
      </x:c>
      <x:c r="O305" s="172" t="str">
        <x:f>IF(A305="","",IFERROR(LOOKUP(2,1/('Scope Review'!$B$5:$B$204=A305),'Scope Review'!$H$5:$H$204),""))</x:f>
      </x:c>
      <x:c r="P305" s="172" t="n">
        <x:f>IF(A305="","",IF(AND(C305="executing",N305&lt;&gt;"Confirmed OOS"),M305,0))</x:f>
        <x:v>0</x:v>
      </x:c>
      <x:c r="Q305" s="173" t="str">
        <x:f>IF(A305="","",IFERROR(LOOKUP(2,1/('Engineer Updates'!$B$5:$B$704=A305),'Engineer Updates'!$A$5:$A$704),""))</x:f>
      </x:c>
      <x:c r="R305" s="172" t="str">
        <x:f>IF(A305="","",IFERROR(LOOKUP(2,1/('Engineer Updates'!$B$5:$B$704=A305),'Engineer Updates'!$H$5:$H$704),""))</x:f>
      </x:c>
      <x:c r="S305" s="172" t="str">
        <x:f>IF(A305="","",IFERROR(LOOKUP(2,1/('Engineer Updates'!$B$5:$B$704=A305),'Engineer Updates'!$G$5:$G$704),""))</x:f>
      </x:c>
      <x:c r="T305" s="172" t="str">
        <x:f>IF(A305="","",IFERROR(LOOKUP(2,1/('Engineer Updates'!$B$5:$B$704=A305),'Engineer Updates'!$I$5:$I$704),""))</x:f>
      </x:c>
      <x:c r="U305" s="172" t="str">
        <x:f>IF(A305="","",IFERROR(LOOKUP(2,1/('Engineer Updates'!$B$5:$B$704=A305),'Engineer Updates'!$J$5:$J$704),""))</x:f>
      </x:c>
      <x:c r="V305" s="172" t="str">
        <x:f>IF(A305="","",IFERROR(LOOKUP(2,1/('Engineer Updates'!$B$5:$B$704=A305),'Engineer Updates'!$K$5:$K$704),""))</x:f>
      </x:c>
      <x:c r="W305" s="174" t="str">
        <x:f>IF(A305="","",IFERROR(LOOKUP(2,1/('Engineer Updates'!$B$5:$B$704=A305),'Engineer Updates'!$L$5:$L$704),""))</x:f>
      </x:c>
      <x:c r="X305" s="170" t="str">
        <x:f>IF(A305="","",IF(C305="completed","Completed in CSSP",IF(AND(C305="executing",ISERROR(SEARCH("@",K305))),"Executing without named engineer",IF(AND(N305="Confirmed OOS",C305="executing"),"Confirmed OOS still executing",""))))</x:f>
      </x:c>
      <x:c r="Y305" s="170" t="str">
        <x:f>IF(A305="","",IF(B305="Decommissioning","Raw Decommissioning","Raw Provisioning"))</x:f>
        <x:v>Raw Decommissioning</x:v>
      </x:c>
      <x:c r="Z305" s="170" t="str">
        <x:f>IF(A305="","",IF(OR(C305="executing",C305="processing"),"Yes","No"))</x:f>
        <x:v>No</x:v>
      </x:c>
    </x:row>
    <x:row r="306">
      <x:c r="A306" s="170" t="str">
        <x:f>IF(ROWS($A$5:A306)&lt;=COUNTA('Raw Decommissioning'!$B$2:$B$1000),INDEX('Raw Decommissioning'!$B$2:$B$1000,ROWS($A$5:A306)),IF(ROWS($A$5:A306)-COUNTA('Raw Decommissioning'!$B$2:$B$1000)&lt;=COUNTA('Raw Provisioning'!$B$2:$B$1000),INDEX('Raw Provisioning'!$B$2:$B$1000,ROWS($A$5:A306)-COUNTA('Raw Decommissioning'!$B$2:$B$1000)),""))</x:f>
        <x:v>CSSP10581935</x:v>
      </x:c>
      <x:c r="B306" s="170" t="str">
        <x:f>IF(A306="","",IF(ROWS($A$5:A306)&lt;=COUNTA('Raw Decommissioning'!$B$2:$B$1000),"Decommissioning","Provisioning"))</x:f>
        <x:v>Decommissioning</x:v>
      </x:c>
      <x:c r="C306" s="170" t="str">
        <x:f>IF(A306="","",IF(B306="Decommissioning",IFERROR(INDEX('Raw Decommissioning'!$E$2:$E$1000,MATCH(A306,'Raw Decommissioning'!$B$2:$B$1000,0)),"Missing from latest raw"),IFERROR(INDEX('Raw Provisioning'!$E$2:$E$1000,MATCH(A306,'Raw Provisioning'!$B$2:$B$1000,0)),"Missing from latest raw")))</x:f>
        <x:v>rejected</x:v>
      </x:c>
      <x:c r="D306" s="171" t="n">
        <x:f>IF(A306="","",'Refresh Control'!$B$4)</x:f>
        <x:v>46254</x:v>
      </x:c>
      <x:c r="E306" s="171" t="n">
        <x:f>IF(A306="","",IF(B306="Decommissioning",INDEX('Raw Decommissioning'!$F$2:$F$1000,ROWS($A$5:A306)),INDEX('Raw Provisioning'!$F$2:$F$1000,ROWS($A$5:A306)-COUNTA('Raw Decommissioning'!$B$2:$B$1000))))</x:f>
        <x:v>46225.096734479164</x:v>
      </x:c>
      <x:c r="F306" s="171" t="n">
        <x:f>IF(A306="","",IF(B306="Decommissioning",INDEX('Raw Decommissioning'!$G$2:$G$1000,ROWS($A$5:A306)),INDEX('Raw Provisioning'!$H$2:$H$1000,ROWS($A$5:A306)-COUNTA('Raw Decommissioning'!$B$2:$B$1000))))</x:f>
        <x:v>46232.10364534722</x:v>
      </x:c>
      <x:c r="G306" s="170" t="str">
        <x:f>IF(A306="","",IF(B306="Decommissioning",INDEX('Raw Decommissioning'!$I$2:$I$1000,ROWS($A$5:A306)),INDEX('Raw Provisioning'!$J$2:$J$1000,ROWS($A$5:A306)-COUNTA('Raw Decommissioning'!$B$2:$B$1000))))</x:f>
        <x:v>.NET Shared Infra</x:v>
      </x:c>
      <x:c r="H306" s="170" t="str">
        <x:f>IF(A306="","",IF(B306="Decommissioning",INDEX('Raw Decommissioning'!$J$2:$J$1000,ROWS($A$5:A306)),INDEX('Raw Provisioning'!$L$2:$L$1000,ROWS($A$5:A306)-COUNTA('Raw Decommissioning'!$B$2:$B$1000))))</x:f>
        <x:v>Cloud Migration Program - .NET Shared Infra (SWE Dot Net)</x:v>
      </x:c>
      <x:c r="I306" s="170" t="str">
        <x:f>IF(A306="","",IF(B306="Decommissioning",INDEX('Raw Decommissioning'!$AL$2:$AL$1000,ROWS($A$5:A306)),INDEX('Raw Provisioning'!$R$2:$R$1000,ROWS($A$5:A306)-COUNTA('Raw Decommissioning'!$B$2:$B$1000))))</x:f>
        <x:v>S</x:v>
      </x:c>
      <x:c r="J306" s="170" t="str">
        <x:f>IF(A306="","",IF(B306="Decommissioning",INDEX('Raw Decommissioning'!$AG$2:$AG$1000,ROWS($A$5:A306)),INDEX('Raw Provisioning'!$AI$2:$AI$1000,ROWS($A$5:A306)-COUNTA('Raw Decommissioning'!$B$2:$B$1000))))</x:f>
        <x:v>IMS - CLOUD CSSP EXECUTOR</x:v>
      </x:c>
      <x:c r="K306" s="172" t="str">
        <x:f>IF(A306="","",IFERROR(LOOKUP(2,1/('Assignment History'!$B$5:$B$204=A306),'Assignment History'!$D$5:$D$204),IFERROR(VLOOKUP(J306,Configuration!$L$5:$M$50,2,FALSE),J306)))</x:f>
        <x:v>IMS - CLOUD CSSP EXECUTOR</x:v>
      </x:c>
      <x:c r="L306" s="172" t="str">
        <x:f>IF(A306="","",IF(K306=IFERROR(VLOOKUP(J306,Configuration!$L$5:$M$50,2,FALSE),J306),"Snapshot PIC","Replacement PIC"))</x:f>
        <x:v>Snapshot PIC</x:v>
      </x:c>
      <x:c r="M306" s="172" t="n">
        <x:f>IF(A306="","",IFERROR(VLOOKUP(I306,Configuration!$O$5:$P$8,2,FALSE),Configuration!$S$6))</x:f>
        <x:v>1</x:v>
      </x:c>
      <x:c r="N306" s="172" t="str">
        <x:f>IF(A306="","",IFERROR(LOOKUP(2,1/('Scope Review'!$B$5:$B$204=A306),'Scope Review'!$G$5:$G$204),"Not Reviewed"))</x:f>
        <x:v>Not Reviewed</x:v>
      </x:c>
      <x:c r="O306" s="172" t="str">
        <x:f>IF(A306="","",IFERROR(LOOKUP(2,1/('Scope Review'!$B$5:$B$204=A306),'Scope Review'!$H$5:$H$204),""))</x:f>
      </x:c>
      <x:c r="P306" s="172" t="n">
        <x:f>IF(A306="","",IF(AND(C306="executing",N306&lt;&gt;"Confirmed OOS"),M306,0))</x:f>
        <x:v>0</x:v>
      </x:c>
      <x:c r="Q306" s="173" t="str">
        <x:f>IF(A306="","",IFERROR(LOOKUP(2,1/('Engineer Updates'!$B$5:$B$704=A306),'Engineer Updates'!$A$5:$A$704),""))</x:f>
      </x:c>
      <x:c r="R306" s="172" t="str">
        <x:f>IF(A306="","",IFERROR(LOOKUP(2,1/('Engineer Updates'!$B$5:$B$704=A306),'Engineer Updates'!$H$5:$H$704),""))</x:f>
      </x:c>
      <x:c r="S306" s="172" t="str">
        <x:f>IF(A306="","",IFERROR(LOOKUP(2,1/('Engineer Updates'!$B$5:$B$704=A306),'Engineer Updates'!$G$5:$G$704),""))</x:f>
      </x:c>
      <x:c r="T306" s="172" t="str">
        <x:f>IF(A306="","",IFERROR(LOOKUP(2,1/('Engineer Updates'!$B$5:$B$704=A306),'Engineer Updates'!$I$5:$I$704),""))</x:f>
      </x:c>
      <x:c r="U306" s="172" t="str">
        <x:f>IF(A306="","",IFERROR(LOOKUP(2,1/('Engineer Updates'!$B$5:$B$704=A306),'Engineer Updates'!$J$5:$J$704),""))</x:f>
      </x:c>
      <x:c r="V306" s="172" t="str">
        <x:f>IF(A306="","",IFERROR(LOOKUP(2,1/('Engineer Updates'!$B$5:$B$704=A306),'Engineer Updates'!$K$5:$K$704),""))</x:f>
      </x:c>
      <x:c r="W306" s="174" t="str">
        <x:f>IF(A306="","",IFERROR(LOOKUP(2,1/('Engineer Updates'!$B$5:$B$704=A306),'Engineer Updates'!$L$5:$L$704),""))</x:f>
      </x:c>
      <x:c r="X306" s="170" t="str">
        <x:f>IF(A306="","",IF(C306="completed","Completed in CSSP",IF(AND(C306="executing",ISERROR(SEARCH("@",K306))),"Executing without named engineer",IF(AND(N306="Confirmed OOS",C306="executing"),"Confirmed OOS still executing",""))))</x:f>
      </x:c>
      <x:c r="Y306" s="170" t="str">
        <x:f>IF(A306="","",IF(B306="Decommissioning","Raw Decommissioning","Raw Provisioning"))</x:f>
        <x:v>Raw Decommissioning</x:v>
      </x:c>
      <x:c r="Z306" s="170" t="str">
        <x:f>IF(A306="","",IF(OR(C306="executing",C306="processing"),"Yes","No"))</x:f>
        <x:v>No</x:v>
      </x:c>
    </x:row>
    <x:row r="307">
      <x:c r="A307" s="170" t="str">
        <x:f>IF(ROWS($A$5:A307)&lt;=COUNTA('Raw Decommissioning'!$B$2:$B$1000),INDEX('Raw Decommissioning'!$B$2:$B$1000,ROWS($A$5:A307)),IF(ROWS($A$5:A307)-COUNTA('Raw Decommissioning'!$B$2:$B$1000)&lt;=COUNTA('Raw Provisioning'!$B$2:$B$1000),INDEX('Raw Provisioning'!$B$2:$B$1000,ROWS($A$5:A307)-COUNTA('Raw Decommissioning'!$B$2:$B$1000)),""))</x:f>
        <x:v>CSSP10749532</x:v>
      </x:c>
      <x:c r="B307" s="170" t="str">
        <x:f>IF(A307="","",IF(ROWS($A$5:A307)&lt;=COUNTA('Raw Decommissioning'!$B$2:$B$1000),"Decommissioning","Provisioning"))</x:f>
        <x:v>Decommissioning</x:v>
      </x:c>
      <x:c r="C307" s="170" t="str">
        <x:f>IF(A307="","",IF(B307="Decommissioning",IFERROR(INDEX('Raw Decommissioning'!$E$2:$E$1000,MATCH(A307,'Raw Decommissioning'!$B$2:$B$1000,0)),"Missing from latest raw"),IFERROR(INDEX('Raw Provisioning'!$E$2:$E$1000,MATCH(A307,'Raw Provisioning'!$B$2:$B$1000,0)),"Missing from latest raw")))</x:f>
        <x:v>executing</x:v>
      </x:c>
      <x:c r="D307" s="171" t="n">
        <x:f>IF(A307="","",'Refresh Control'!$B$4)</x:f>
        <x:v>46254</x:v>
      </x:c>
      <x:c r="E307" s="171" t="n">
        <x:f>IF(A307="","",IF(B307="Decommissioning",INDEX('Raw Decommissioning'!$F$2:$F$1000,ROWS($A$5:A307)),INDEX('Raw Provisioning'!$F$2:$F$1000,ROWS($A$5:A307)-COUNTA('Raw Decommissioning'!$B$2:$B$1000))))</x:f>
        <x:v>46225.142065092594</x:v>
      </x:c>
      <x:c r="F307" s="171" t="n">
        <x:f>IF(A307="","",IF(B307="Decommissioning",INDEX('Raw Decommissioning'!$G$2:$G$1000,ROWS($A$5:A307)),INDEX('Raw Provisioning'!$H$2:$H$1000,ROWS($A$5:A307)-COUNTA('Raw Decommissioning'!$B$2:$B$1000))))</x:f>
        <x:v>46239.6217059375</x:v>
      </x:c>
      <x:c r="G307" s="170" t="str">
        <x:f>IF(A307="","",IF(B307="Decommissioning",INDEX('Raw Decommissioning'!$I$2:$I$1000,ROWS($A$5:A307)),INDEX('Raw Provisioning'!$J$2:$J$1000,ROWS($A$5:A307)-COUNTA('Raw Decommissioning'!$B$2:$B$1000))))</x:f>
        <x:v>Alarm Management System - AMS Machinery Manager PRPC</x:v>
      </x:c>
      <x:c r="H307" s="170" t="str">
        <x:f>IF(A307="","",IF(B307="Decommissioning",INDEX('Raw Decommissioning'!$J$2:$J$1000,ROWS($A$5:A307)),INDEX('Raw Provisioning'!$L$2:$L$1000,ROWS($A$5:A307)-COUNTA('Raw Decommissioning'!$B$2:$B$1000))))</x:f>
        <x:v>Cloud Migration Program - AMS</x:v>
      </x:c>
      <x:c r="I307" s="170" t="str">
        <x:f>IF(A307="","",IF(B307="Decommissioning",INDEX('Raw Decommissioning'!$AL$2:$AL$1000,ROWS($A$5:A307)),INDEX('Raw Provisioning'!$R$2:$R$1000,ROWS($A$5:A307)-COUNTA('Raw Decommissioning'!$B$2:$B$1000))))</x:f>
        <x:v>M</x:v>
      </x:c>
      <x:c r="J307" s="170" t="str">
        <x:f>IF(A307="","",IF(B307="Decommissioning",INDEX('Raw Decommissioning'!$AG$2:$AG$1000,ROWS($A$5:A307)),INDEX('Raw Provisioning'!$AI$2:$AI$1000,ROWS($A$5:A307)-COUNTA('Raw Decommissioning'!$B$2:$B$1000))))</x:f>
        <x:v>amarja.kawade@petronas.com</x:v>
      </x:c>
      <x:c r="K307" s="172" t="str">
        <x:f>IF(A307="","",IFERROR(LOOKUP(2,1/('Assignment History'!$B$5:$B$204=A307),'Assignment History'!$D$5:$D$204),IFERROR(VLOOKUP(J307,Configuration!$L$5:$M$50,2,FALSE),J307)))</x:f>
        <x:v>amarja.kawade@petronas.com</x:v>
      </x:c>
      <x:c r="L307" s="172" t="str">
        <x:f>IF(A307="","",IF(K307=IFERROR(VLOOKUP(J307,Configuration!$L$5:$M$50,2,FALSE),J307),"Snapshot PIC","Replacement PIC"))</x:f>
        <x:v>Snapshot PIC</x:v>
      </x:c>
      <x:c r="M307" s="172" t="n">
        <x:f>IF(A307="","",IFERROR(VLOOKUP(I307,Configuration!$O$5:$P$8,2,FALSE),Configuration!$S$6))</x:f>
        <x:v>2</x:v>
      </x:c>
      <x:c r="N307" s="172" t="str">
        <x:f>IF(A307="","",IFERROR(LOOKUP(2,1/('Scope Review'!$B$5:$B$204=A307),'Scope Review'!$G$5:$G$204),"Not Reviewed"))</x:f>
        <x:v>Not Reviewed</x:v>
      </x:c>
      <x:c r="O307" s="172" t="str">
        <x:f>IF(A307="","",IFERROR(LOOKUP(2,1/('Scope Review'!$B$5:$B$204=A307),'Scope Review'!$H$5:$H$204),""))</x:f>
      </x:c>
      <x:c r="P307" s="172" t="n">
        <x:f>IF(A307="","",IF(AND(C307="executing",N307&lt;&gt;"Confirmed OOS"),M307,0))</x:f>
        <x:v>2</x:v>
      </x:c>
      <x:c r="Q307" s="173" t="n">
        <x:f>IF(A307="","",IFERROR(LOOKUP(2,1/('Engineer Updates'!$B$5:$B$704=A307),'Engineer Updates'!$A$5:$A$704),""))</x:f>
        <x:v>46251</x:v>
      </x:c>
      <x:c r="R307" s="172" t="str">
        <x:f>IF(A307="","",IFERROR(LOOKUP(2,1/('Engineer Updates'!$B$5:$B$704=A307),'Engineer Updates'!$H$5:$H$704),""))</x:f>
        <x:v>Not Started</x:v>
      </x:c>
      <x:c r="S307" s="172" t="str">
        <x:f>IF(A307="","",IFERROR(LOOKUP(2,1/('Engineer Updates'!$B$5:$B$704=A307),'Engineer Updates'!$G$5:$G$704),""))</x:f>
      </x:c>
      <x:c r="T307" s="172" t="str">
        <x:f>IF(A307="","",IFERROR(LOOKUP(2,1/('Engineer Updates'!$B$5:$B$704=A307),'Engineer Updates'!$I$5:$I$704),""))</x:f>
      </x:c>
      <x:c r="U307" s="172" t="str">
        <x:f>IF(A307="","",IFERROR(LOOKUP(2,1/('Engineer Updates'!$B$5:$B$704=A307),'Engineer Updates'!$J$5:$J$704),""))</x:f>
      </x:c>
      <x:c r="V307" s="172" t="str">
        <x:f>IF(A307="","",IFERROR(LOOKUP(2,1/('Engineer Updates'!$B$5:$B$704=A307),'Engineer Updates'!$K$5:$K$704),""))</x:f>
      </x:c>
      <x:c r="W307" s="174" t="str">
        <x:f>IF(A307="","",IFERROR(LOOKUP(2,1/('Engineer Updates'!$B$5:$B$704=A307),'Engineer Updates'!$L$5:$L$704),""))</x:f>
      </x:c>
      <x:c r="X307" s="170" t="str">
        <x:f>IF(A307="","",IF(C307="completed","Completed in CSSP",IF(AND(C307="executing",ISERROR(SEARCH("@",K307))),"Executing without named engineer",IF(AND(N307="Confirmed OOS",C307="executing"),"Confirmed OOS still executing",""))))</x:f>
      </x:c>
      <x:c r="Y307" s="170" t="str">
        <x:f>IF(A307="","",IF(B307="Decommissioning","Raw Decommissioning","Raw Provisioning"))</x:f>
        <x:v>Raw Decommissioning</x:v>
      </x:c>
      <x:c r="Z307" s="170" t="str">
        <x:f>IF(A307="","",IF(OR(C307="executing",C307="processing"),"Yes","No"))</x:f>
        <x:v>Yes</x:v>
      </x:c>
    </x:row>
    <x:row r="308">
      <x:c r="A308" s="170" t="str">
        <x:f>IF(ROWS($A$5:A308)&lt;=COUNTA('Raw Decommissioning'!$B$2:$B$1000),INDEX('Raw Decommissioning'!$B$2:$B$1000,ROWS($A$5:A308)),IF(ROWS($A$5:A308)-COUNTA('Raw Decommissioning'!$B$2:$B$1000)&lt;=COUNTA('Raw Provisioning'!$B$2:$B$1000),INDEX('Raw Provisioning'!$B$2:$B$1000,ROWS($A$5:A308)-COUNTA('Raw Decommissioning'!$B$2:$B$1000)),""))</x:f>
        <x:v>CSSP10478501</x:v>
      </x:c>
      <x:c r="B308" s="170" t="str">
        <x:f>IF(A308="","",IF(ROWS($A$5:A308)&lt;=COUNTA('Raw Decommissioning'!$B$2:$B$1000),"Decommissioning","Provisioning"))</x:f>
        <x:v>Decommissioning</x:v>
      </x:c>
      <x:c r="C308" s="170" t="str">
        <x:f>IF(A308="","",IF(B308="Decommissioning",IFERROR(INDEX('Raw Decommissioning'!$E$2:$E$1000,MATCH(A308,'Raw Decommissioning'!$B$2:$B$1000,0)),"Missing from latest raw"),IFERROR(INDEX('Raw Provisioning'!$E$2:$E$1000,MATCH(A308,'Raw Provisioning'!$B$2:$B$1000,0)),"Missing from latest raw")))</x:f>
        <x:v>executing</x:v>
      </x:c>
      <x:c r="D308" s="171" t="n">
        <x:f>IF(A308="","",'Refresh Control'!$B$4)</x:f>
        <x:v>46254</x:v>
      </x:c>
      <x:c r="E308" s="171" t="n">
        <x:f>IF(A308="","",IF(B308="Decommissioning",INDEX('Raw Decommissioning'!$F$2:$F$1000,ROWS($A$5:A308)),INDEX('Raw Provisioning'!$F$2:$F$1000,ROWS($A$5:A308)-COUNTA('Raw Decommissioning'!$B$2:$B$1000))))</x:f>
        <x:v>46225.14681831018</x:v>
      </x:c>
      <x:c r="F308" s="171" t="n">
        <x:f>IF(A308="","",IF(B308="Decommissioning",INDEX('Raw Decommissioning'!$G$2:$G$1000,ROWS($A$5:A308)),INDEX('Raw Provisioning'!$H$2:$H$1000,ROWS($A$5:A308)-COUNTA('Raw Decommissioning'!$B$2:$B$1000))))</x:f>
        <x:v>46233.1071102662</x:v>
      </x:c>
      <x:c r="G308" s="170" t="str">
        <x:f>IF(A308="","",IF(B308="Decommissioning",INDEX('Raw Decommissioning'!$I$2:$I$1000,ROWS($A$5:A308)),INDEX('Raw Provisioning'!$J$2:$J$1000,ROWS($A$5:A308)-COUNTA('Raw Decommissioning'!$B$2:$B$1000))))</x:f>
        <x:v>Sharing Knowledge Information and Lesson Learnt - SKILL</x:v>
      </x:c>
      <x:c r="H308" s="170" t="str">
        <x:f>IF(A308="","",IF(B308="Decommissioning",INDEX('Raw Decommissioning'!$J$2:$J$1000,ROWS($A$5:A308)),INDEX('Raw Provisioning'!$L$2:$L$1000,ROWS($A$5:A308)-COUNTA('Raw Decommissioning'!$B$2:$B$1000))))</x:f>
        <x:v>Enhancement of Sharing Knowledge Information &amp; Lessons Learnt (SKILL) System for PD&amp;T</x:v>
      </x:c>
      <x:c r="I308" s="170" t="str">
        <x:f>IF(A308="","",IF(B308="Decommissioning",INDEX('Raw Decommissioning'!$AL$2:$AL$1000,ROWS($A$5:A308)),INDEX('Raw Provisioning'!$R$2:$R$1000,ROWS($A$5:A308)-COUNTA('Raw Decommissioning'!$B$2:$B$1000))))</x:f>
        <x:v>M</x:v>
      </x:c>
      <x:c r="J308" s="170" t="str">
        <x:f>IF(A308="","",IF(B308="Decommissioning",INDEX('Raw Decommissioning'!$AG$2:$AG$1000,ROWS($A$5:A308)),INDEX('Raw Provisioning'!$AI$2:$AI$1000,ROWS($A$5:A308)-COUNTA('Raw Decommissioning'!$B$2:$B$1000))))</x:f>
        <x:v>venkatesh.kalikivayi@petronas.com</x:v>
      </x:c>
      <x:c r="K308" s="172" t="str">
        <x:f>IF(A308="","",IFERROR(LOOKUP(2,1/('Assignment History'!$B$5:$B$204=A308),'Assignment History'!$D$5:$D$204),IFERROR(VLOOKUP(J308,Configuration!$L$5:$M$50,2,FALSE),J308)))</x:f>
        <x:v>venkatesh.kalikivayi@petronas.com</x:v>
      </x:c>
      <x:c r="L308" s="172" t="str">
        <x:f>IF(A308="","",IF(K308=IFERROR(VLOOKUP(J308,Configuration!$L$5:$M$50,2,FALSE),J308),"Snapshot PIC","Replacement PIC"))</x:f>
        <x:v>Snapshot PIC</x:v>
      </x:c>
      <x:c r="M308" s="172" t="n">
        <x:f>IF(A308="","",IFERROR(VLOOKUP(I308,Configuration!$O$5:$P$8,2,FALSE),Configuration!$S$6))</x:f>
        <x:v>2</x:v>
      </x:c>
      <x:c r="N308" s="172" t="str">
        <x:f>IF(A308="","",IFERROR(LOOKUP(2,1/('Scope Review'!$B$5:$B$204=A308),'Scope Review'!$G$5:$G$204),"Not Reviewed"))</x:f>
        <x:v>Not Reviewed</x:v>
      </x:c>
      <x:c r="O308" s="172" t="str">
        <x:f>IF(A308="","",IFERROR(LOOKUP(2,1/('Scope Review'!$B$5:$B$204=A308),'Scope Review'!$H$5:$H$204),""))</x:f>
      </x:c>
      <x:c r="P308" s="172" t="n">
        <x:f>IF(A308="","",IF(AND(C308="executing",N308&lt;&gt;"Confirmed OOS"),M308,0))</x:f>
        <x:v>2</x:v>
      </x:c>
      <x:c r="Q308" s="173" t="n">
        <x:f>IF(A308="","",IFERROR(LOOKUP(2,1/('Engineer Updates'!$B$5:$B$704=A308),'Engineer Updates'!$A$5:$A$704),""))</x:f>
        <x:v>46251</x:v>
      </x:c>
      <x:c r="R308" s="172" t="str">
        <x:f>IF(A308="","",IFERROR(LOOKUP(2,1/('Engineer Updates'!$B$5:$B$704=A308),'Engineer Updates'!$H$5:$H$704),""))</x:f>
        <x:v>Not Started</x:v>
      </x:c>
      <x:c r="S308" s="172" t="str">
        <x:f>IF(A308="","",IFERROR(LOOKUP(2,1/('Engineer Updates'!$B$5:$B$704=A308),'Engineer Updates'!$G$5:$G$704),""))</x:f>
      </x:c>
      <x:c r="T308" s="172" t="str">
        <x:f>IF(A308="","",IFERROR(LOOKUP(2,1/('Engineer Updates'!$B$5:$B$704=A308),'Engineer Updates'!$I$5:$I$704),""))</x:f>
      </x:c>
      <x:c r="U308" s="172" t="str">
        <x:f>IF(A308="","",IFERROR(LOOKUP(2,1/('Engineer Updates'!$B$5:$B$704=A308),'Engineer Updates'!$J$5:$J$704),""))</x:f>
      </x:c>
      <x:c r="V308" s="172" t="str">
        <x:f>IF(A308="","",IFERROR(LOOKUP(2,1/('Engineer Updates'!$B$5:$B$704=A308),'Engineer Updates'!$K$5:$K$704),""))</x:f>
      </x:c>
      <x:c r="W308" s="174" t="str">
        <x:f>IF(A308="","",IFERROR(LOOKUP(2,1/('Engineer Updates'!$B$5:$B$704=A308),'Engineer Updates'!$L$5:$L$704),""))</x:f>
      </x:c>
      <x:c r="X308" s="170" t="str">
        <x:f>IF(A308="","",IF(C308="completed","Completed in CSSP",IF(AND(C308="executing",ISERROR(SEARCH("@",K308))),"Executing without named engineer",IF(AND(N308="Confirmed OOS",C308="executing"),"Confirmed OOS still executing",""))))</x:f>
      </x:c>
      <x:c r="Y308" s="170" t="str">
        <x:f>IF(A308="","",IF(B308="Decommissioning","Raw Decommissioning","Raw Provisioning"))</x:f>
        <x:v>Raw Decommissioning</x:v>
      </x:c>
      <x:c r="Z308" s="170" t="str">
        <x:f>IF(A308="","",IF(OR(C308="executing",C308="processing"),"Yes","No"))</x:f>
        <x:v>Yes</x:v>
      </x:c>
    </x:row>
    <x:row r="309">
      <x:c r="A309" s="170" t="str">
        <x:f>IF(ROWS($A$5:A309)&lt;=COUNTA('Raw Decommissioning'!$B$2:$B$1000),INDEX('Raw Decommissioning'!$B$2:$B$1000,ROWS($A$5:A309)),IF(ROWS($A$5:A309)-COUNTA('Raw Decommissioning'!$B$2:$B$1000)&lt;=COUNTA('Raw Provisioning'!$B$2:$B$1000),INDEX('Raw Provisioning'!$B$2:$B$1000,ROWS($A$5:A309)-COUNTA('Raw Decommissioning'!$B$2:$B$1000)),""))</x:f>
        <x:v>CSSP10187579</x:v>
      </x:c>
      <x:c r="B309" s="170" t="str">
        <x:f>IF(A309="","",IF(ROWS($A$5:A309)&lt;=COUNTA('Raw Decommissioning'!$B$2:$B$1000),"Decommissioning","Provisioning"))</x:f>
        <x:v>Decommissioning</x:v>
      </x:c>
      <x:c r="C309" s="170" t="str">
        <x:f>IF(A309="","",IF(B309="Decommissioning",IFERROR(INDEX('Raw Decommissioning'!$E$2:$E$1000,MATCH(A309,'Raw Decommissioning'!$B$2:$B$1000,0)),"Missing from latest raw"),IFERROR(INDEX('Raw Provisioning'!$E$2:$E$1000,MATCH(A309,'Raw Provisioning'!$B$2:$B$1000,0)),"Missing from latest raw")))</x:f>
        <x:v>executing</x:v>
      </x:c>
      <x:c r="D309" s="171" t="n">
        <x:f>IF(A309="","",'Refresh Control'!$B$4)</x:f>
        <x:v>46254</x:v>
      </x:c>
      <x:c r="E309" s="171" t="n">
        <x:f>IF(A309="","",IF(B309="Decommissioning",INDEX('Raw Decommissioning'!$F$2:$F$1000,ROWS($A$5:A309)),INDEX('Raw Provisioning'!$F$2:$F$1000,ROWS($A$5:A309)-COUNTA('Raw Decommissioning'!$B$2:$B$1000))))</x:f>
        <x:v>46226.089098032404</x:v>
      </x:c>
      <x:c r="F309" s="171" t="n">
        <x:f>IF(A309="","",IF(B309="Decommissioning",INDEX('Raw Decommissioning'!$G$2:$G$1000,ROWS($A$5:A309)),INDEX('Raw Provisioning'!$H$2:$H$1000,ROWS($A$5:A309)-COUNTA('Raw Decommissioning'!$B$2:$B$1000))))</x:f>
        <x:v>46231.204605983796</x:v>
      </x:c>
      <x:c r="G309" s="170" t="str">
        <x:f>IF(A309="","",IF(B309="Decommissioning",INDEX('Raw Decommissioning'!$I$2:$I$1000,ROWS($A$5:A309)),INDEX('Raw Provisioning'!$J$2:$J$1000,ROWS($A$5:A309)-COUNTA('Raw Decommissioning'!$B$2:$B$1000))))</x:f>
        <x:v>IMIM / PCSB - Sabah Asset Project</x:v>
      </x:c>
      <x:c r="H309" s="170" t="str">
        <x:f>IF(A309="","",IF(B309="Decommissioning",INDEX('Raw Decommissioning'!$J$2:$J$1000,ROWS($A$5:A309)),INDEX('Raw Provisioning'!$L$2:$L$1000,ROWS($A$5:A309)-COUNTA('Raw Decommissioning'!$B$2:$B$1000))))</x:f>
        <x:v>IMIM / PCSB - Sabah Asset Project created for PRIVATECLOUD project record</x:v>
      </x:c>
      <x:c r="I309" s="170" t="str">
        <x:f>IF(A309="","",IF(B309="Decommissioning",INDEX('Raw Decommissioning'!$AL$2:$AL$1000,ROWS($A$5:A309)),INDEX('Raw Provisioning'!$R$2:$R$1000,ROWS($A$5:A309)-COUNTA('Raw Decommissioning'!$B$2:$B$1000))))</x:f>
        <x:v>S</x:v>
      </x:c>
      <x:c r="J309" s="170" t="str">
        <x:f>IF(A309="","",IF(B309="Decommissioning",INDEX('Raw Decommissioning'!$AG$2:$AG$1000,ROWS($A$5:A309)),INDEX('Raw Provisioning'!$AI$2:$AI$1000,ROWS($A$5:A309)-COUNTA('Raw Decommissioning'!$B$2:$B$1000))))</x:f>
        <x:v>amarja.kawade@petronas.com</x:v>
      </x:c>
      <x:c r="K309" s="172" t="str">
        <x:f>IF(A309="","",IFERROR(LOOKUP(2,1/('Assignment History'!$B$5:$B$204=A309),'Assignment History'!$D$5:$D$204),IFERROR(VLOOKUP(J309,Configuration!$L$5:$M$50,2,FALSE),J309)))</x:f>
        <x:v>amarja.kawade@petronas.com</x:v>
      </x:c>
      <x:c r="L309" s="172" t="str">
        <x:f>IF(A309="","",IF(K309=IFERROR(VLOOKUP(J309,Configuration!$L$5:$M$50,2,FALSE),J309),"Snapshot PIC","Replacement PIC"))</x:f>
        <x:v>Snapshot PIC</x:v>
      </x:c>
      <x:c r="M309" s="172" t="n">
        <x:f>IF(A309="","",IFERROR(VLOOKUP(I309,Configuration!$O$5:$P$8,2,FALSE),Configuration!$S$6))</x:f>
        <x:v>1</x:v>
      </x:c>
      <x:c r="N309" s="172" t="str">
        <x:f>IF(A309="","",IFERROR(LOOKUP(2,1/('Scope Review'!$B$5:$B$204=A309),'Scope Review'!$G$5:$G$204),"Not Reviewed"))</x:f>
        <x:v>Not Reviewed</x:v>
      </x:c>
      <x:c r="O309" s="172" t="str">
        <x:f>IF(A309="","",IFERROR(LOOKUP(2,1/('Scope Review'!$B$5:$B$204=A309),'Scope Review'!$H$5:$H$204),""))</x:f>
      </x:c>
      <x:c r="P309" s="172" t="n">
        <x:f>IF(A309="","",IF(AND(C309="executing",N309&lt;&gt;"Confirmed OOS"),M309,0))</x:f>
        <x:v>1</x:v>
      </x:c>
      <x:c r="Q309" s="173" t="n">
        <x:f>IF(A309="","",IFERROR(LOOKUP(2,1/('Engineer Updates'!$B$5:$B$704=A309),'Engineer Updates'!$A$5:$A$704),""))</x:f>
        <x:v>46251</x:v>
      </x:c>
      <x:c r="R309" s="172" t="str">
        <x:f>IF(A309="","",IFERROR(LOOKUP(2,1/('Engineer Updates'!$B$5:$B$704=A309),'Engineer Updates'!$H$5:$H$704),""))</x:f>
        <x:v>Not Started</x:v>
      </x:c>
      <x:c r="S309" s="172" t="str">
        <x:f>IF(A309="","",IFERROR(LOOKUP(2,1/('Engineer Updates'!$B$5:$B$704=A309),'Engineer Updates'!$G$5:$G$704),""))</x:f>
      </x:c>
      <x:c r="T309" s="172" t="str">
        <x:f>IF(A309="","",IFERROR(LOOKUP(2,1/('Engineer Updates'!$B$5:$B$704=A309),'Engineer Updates'!$I$5:$I$704),""))</x:f>
      </x:c>
      <x:c r="U309" s="172" t="str">
        <x:f>IF(A309="","",IFERROR(LOOKUP(2,1/('Engineer Updates'!$B$5:$B$704=A309),'Engineer Updates'!$J$5:$J$704),""))</x:f>
      </x:c>
      <x:c r="V309" s="172" t="str">
        <x:f>IF(A309="","",IFERROR(LOOKUP(2,1/('Engineer Updates'!$B$5:$B$704=A309),'Engineer Updates'!$K$5:$K$704),""))</x:f>
      </x:c>
      <x:c r="W309" s="174" t="str">
        <x:f>IF(A309="","",IFERROR(LOOKUP(2,1/('Engineer Updates'!$B$5:$B$704=A309),'Engineer Updates'!$L$5:$L$704),""))</x:f>
      </x:c>
      <x:c r="X309" s="170" t="str">
        <x:f>IF(A309="","",IF(C309="completed","Completed in CSSP",IF(AND(C309="executing",ISERROR(SEARCH("@",K309))),"Executing without named engineer",IF(AND(N309="Confirmed OOS",C309="executing"),"Confirmed OOS still executing",""))))</x:f>
      </x:c>
      <x:c r="Y309" s="170" t="str">
        <x:f>IF(A309="","",IF(B309="Decommissioning","Raw Decommissioning","Raw Provisioning"))</x:f>
        <x:v>Raw Decommissioning</x:v>
      </x:c>
      <x:c r="Z309" s="170" t="str">
        <x:f>IF(A309="","",IF(OR(C309="executing",C309="processing"),"Yes","No"))</x:f>
        <x:v>Yes</x:v>
      </x:c>
    </x:row>
    <x:row r="310">
      <x:c r="A310" s="170" t="str">
        <x:f>IF(ROWS($A$5:A310)&lt;=COUNTA('Raw Decommissioning'!$B$2:$B$1000),INDEX('Raw Decommissioning'!$B$2:$B$1000,ROWS($A$5:A310)),IF(ROWS($A$5:A310)-COUNTA('Raw Decommissioning'!$B$2:$B$1000)&lt;=COUNTA('Raw Provisioning'!$B$2:$B$1000),INDEX('Raw Provisioning'!$B$2:$B$1000,ROWS($A$5:A310)-COUNTA('Raw Decommissioning'!$B$2:$B$1000)),""))</x:f>
        <x:v>CSSP10467486</x:v>
      </x:c>
      <x:c r="B310" s="170" t="str">
        <x:f>IF(A310="","",IF(ROWS($A$5:A310)&lt;=COUNTA('Raw Decommissioning'!$B$2:$B$1000),"Decommissioning","Provisioning"))</x:f>
        <x:v>Decommissioning</x:v>
      </x:c>
      <x:c r="C310" s="170" t="str">
        <x:f>IF(A310="","",IF(B310="Decommissioning",IFERROR(INDEX('Raw Decommissioning'!$E$2:$E$1000,MATCH(A310,'Raw Decommissioning'!$B$2:$B$1000,0)),"Missing from latest raw"),IFERROR(INDEX('Raw Provisioning'!$E$2:$E$1000,MATCH(A310,'Raw Provisioning'!$B$2:$B$1000,0)),"Missing from latest raw")))</x:f>
        <x:v>executing</x:v>
      </x:c>
      <x:c r="D310" s="171" t="n">
        <x:f>IF(A310="","",'Refresh Control'!$B$4)</x:f>
        <x:v>46254</x:v>
      </x:c>
      <x:c r="E310" s="171" t="n">
        <x:f>IF(A310="","",IF(B310="Decommissioning",INDEX('Raw Decommissioning'!$F$2:$F$1000,ROWS($A$5:A310)),INDEX('Raw Provisioning'!$F$2:$F$1000,ROWS($A$5:A310)-COUNTA('Raw Decommissioning'!$B$2:$B$1000))))</x:f>
        <x:v>46226.10378109954</x:v>
      </x:c>
      <x:c r="F310" s="171" t="n">
        <x:f>IF(A310="","",IF(B310="Decommissioning",INDEX('Raw Decommissioning'!$G$2:$G$1000,ROWS($A$5:A310)),INDEX('Raw Provisioning'!$H$2:$H$1000,ROWS($A$5:A310)-COUNTA('Raw Decommissioning'!$B$2:$B$1000))))</x:f>
        <x:v>46231.20419012731</x:v>
      </x:c>
      <x:c r="G310" s="170" t="str">
        <x:f>IF(A310="","",IF(B310="Decommissioning",INDEX('Raw Decommissioning'!$I$2:$I$1000,ROWS($A$5:A310)),INDEX('Raw Provisioning'!$J$2:$J$1000,ROWS($A$5:A310)-COUNTA('Raw Decommissioning'!$B$2:$B$1000))))</x:f>
        <x:v>Plant Information - PI PCSB MLNG Bintulu</x:v>
      </x:c>
      <x:c r="H310" s="170" t="str">
        <x:f>IF(A310="","",IF(B310="Decommissioning",INDEX('Raw Decommissioning'!$J$2:$J$1000,ROWS($A$5:A310)),INDEX('Raw Provisioning'!$L$2:$L$1000,ROWS($A$5:A310)-COUNTA('Raw Decommissioning'!$B$2:$B$1000))))</x:f>
        <x:v>Plant Information - PI PCSB @ MLNG Bintulu created for PRIVATECLOUD project record</x:v>
      </x:c>
      <x:c r="I310" s="170" t="str">
        <x:f>IF(A310="","",IF(B310="Decommissioning",INDEX('Raw Decommissioning'!$AL$2:$AL$1000,ROWS($A$5:A310)),INDEX('Raw Provisioning'!$R$2:$R$1000,ROWS($A$5:A310)-COUNTA('Raw Decommissioning'!$B$2:$B$1000))))</x:f>
        <x:v>M</x:v>
      </x:c>
      <x:c r="J310" s="170" t="str">
        <x:f>IF(A310="","",IF(B310="Decommissioning",INDEX('Raw Decommissioning'!$AG$2:$AG$1000,ROWS($A$5:A310)),INDEX('Raw Provisioning'!$AI$2:$AI$1000,ROWS($A$5:A310)-COUNTA('Raw Decommissioning'!$B$2:$B$1000))))</x:f>
        <x:v>swaminadh.chirakala@petronas.com</x:v>
      </x:c>
      <x:c r="K310" s="172" t="str">
        <x:f>IF(A310="","",IFERROR(LOOKUP(2,1/('Assignment History'!$B$5:$B$204=A310),'Assignment History'!$D$5:$D$204),IFERROR(VLOOKUP(J310,Configuration!$L$5:$M$50,2,FALSE),J310)))</x:f>
        <x:v>swaminadh.chirakala@petronas.com</x:v>
      </x:c>
      <x:c r="L310" s="172" t="str">
        <x:f>IF(A310="","",IF(K310=IFERROR(VLOOKUP(J310,Configuration!$L$5:$M$50,2,FALSE),J310),"Snapshot PIC","Replacement PIC"))</x:f>
        <x:v>Snapshot PIC</x:v>
      </x:c>
      <x:c r="M310" s="172" t="n">
        <x:f>IF(A310="","",IFERROR(VLOOKUP(I310,Configuration!$O$5:$P$8,2,FALSE),Configuration!$S$6))</x:f>
        <x:v>2</x:v>
      </x:c>
      <x:c r="N310" s="172" t="str">
        <x:f>IF(A310="","",IFERROR(LOOKUP(2,1/('Scope Review'!$B$5:$B$204=A310),'Scope Review'!$G$5:$G$204),"Not Reviewed"))</x:f>
        <x:v>Not Reviewed</x:v>
      </x:c>
      <x:c r="O310" s="172" t="str">
        <x:f>IF(A310="","",IFERROR(LOOKUP(2,1/('Scope Review'!$B$5:$B$204=A310),'Scope Review'!$H$5:$H$204),""))</x:f>
      </x:c>
      <x:c r="P310" s="172" t="n">
        <x:f>IF(A310="","",IF(AND(C310="executing",N310&lt;&gt;"Confirmed OOS"),M310,0))</x:f>
        <x:v>2</x:v>
      </x:c>
      <x:c r="Q310" s="173" t="n">
        <x:f>IF(A310="","",IFERROR(LOOKUP(2,1/('Engineer Updates'!$B$5:$B$704=A310),'Engineer Updates'!$A$5:$A$704),""))</x:f>
        <x:v>46251</x:v>
      </x:c>
      <x:c r="R310" s="172" t="str">
        <x:f>IF(A310="","",IFERROR(LOOKUP(2,1/('Engineer Updates'!$B$5:$B$704=A310),'Engineer Updates'!$H$5:$H$704),""))</x:f>
        <x:v>Not Started</x:v>
      </x:c>
      <x:c r="S310" s="172" t="str">
        <x:f>IF(A310="","",IFERROR(LOOKUP(2,1/('Engineer Updates'!$B$5:$B$704=A310),'Engineer Updates'!$G$5:$G$704),""))</x:f>
      </x:c>
      <x:c r="T310" s="172" t="str">
        <x:f>IF(A310="","",IFERROR(LOOKUP(2,1/('Engineer Updates'!$B$5:$B$704=A310),'Engineer Updates'!$I$5:$I$704),""))</x:f>
      </x:c>
      <x:c r="U310" s="172" t="str">
        <x:f>IF(A310="","",IFERROR(LOOKUP(2,1/('Engineer Updates'!$B$5:$B$704=A310),'Engineer Updates'!$J$5:$J$704),""))</x:f>
      </x:c>
      <x:c r="V310" s="172" t="str">
        <x:f>IF(A310="","",IFERROR(LOOKUP(2,1/('Engineer Updates'!$B$5:$B$704=A310),'Engineer Updates'!$K$5:$K$704),""))</x:f>
      </x:c>
      <x:c r="W310" s="174" t="str">
        <x:f>IF(A310="","",IFERROR(LOOKUP(2,1/('Engineer Updates'!$B$5:$B$704=A310),'Engineer Updates'!$L$5:$L$704),""))</x:f>
      </x:c>
      <x:c r="X310" s="170" t="str">
        <x:f>IF(A310="","",IF(C310="completed","Completed in CSSP",IF(AND(C310="executing",ISERROR(SEARCH("@",K310))),"Executing without named engineer",IF(AND(N310="Confirmed OOS",C310="executing"),"Confirmed OOS still executing",""))))</x:f>
      </x:c>
      <x:c r="Y310" s="170" t="str">
        <x:f>IF(A310="","",IF(B310="Decommissioning","Raw Decommissioning","Raw Provisioning"))</x:f>
        <x:v>Raw Decommissioning</x:v>
      </x:c>
      <x:c r="Z310" s="170" t="str">
        <x:f>IF(A310="","",IF(OR(C310="executing",C310="processing"),"Yes","No"))</x:f>
        <x:v>Yes</x:v>
      </x:c>
    </x:row>
    <x:row r="311">
      <x:c r="A311" s="170" t="str">
        <x:f>IF(ROWS($A$5:A311)&lt;=COUNTA('Raw Decommissioning'!$B$2:$B$1000),INDEX('Raw Decommissioning'!$B$2:$B$1000,ROWS($A$5:A311)),IF(ROWS($A$5:A311)-COUNTA('Raw Decommissioning'!$B$2:$B$1000)&lt;=COUNTA('Raw Provisioning'!$B$2:$B$1000),INDEX('Raw Provisioning'!$B$2:$B$1000,ROWS($A$5:A311)-COUNTA('Raw Decommissioning'!$B$2:$B$1000)),""))</x:f>
        <x:v>CSSP10886116</x:v>
      </x:c>
      <x:c r="B311" s="170" t="str">
        <x:f>IF(A311="","",IF(ROWS($A$5:A311)&lt;=COUNTA('Raw Decommissioning'!$B$2:$B$1000),"Decommissioning","Provisioning"))</x:f>
        <x:v>Decommissioning</x:v>
      </x:c>
      <x:c r="C311" s="170" t="str">
        <x:f>IF(A311="","",IF(B311="Decommissioning",IFERROR(INDEX('Raw Decommissioning'!$E$2:$E$1000,MATCH(A311,'Raw Decommissioning'!$B$2:$B$1000,0)),"Missing from latest raw"),IFERROR(INDEX('Raw Provisioning'!$E$2:$E$1000,MATCH(A311,'Raw Provisioning'!$B$2:$B$1000,0)),"Missing from latest raw")))</x:f>
        <x:v>rejected</x:v>
      </x:c>
      <x:c r="D311" s="171" t="n">
        <x:f>IF(A311="","",'Refresh Control'!$B$4)</x:f>
        <x:v>46254</x:v>
      </x:c>
      <x:c r="E311" s="171" t="n">
        <x:f>IF(A311="","",IF(B311="Decommissioning",INDEX('Raw Decommissioning'!$F$2:$F$1000,ROWS($A$5:A311)),INDEX('Raw Provisioning'!$F$2:$F$1000,ROWS($A$5:A311)-COUNTA('Raw Decommissioning'!$B$2:$B$1000))))</x:f>
        <x:v>46226.10809657408</x:v>
      </x:c>
      <x:c r="F311" s="171" t="n">
        <x:f>IF(A311="","",IF(B311="Decommissioning",INDEX('Raw Decommissioning'!$G$2:$G$1000,ROWS($A$5:A311)),INDEX('Raw Provisioning'!$H$2:$H$1000,ROWS($A$5:A311)-COUNTA('Raw Decommissioning'!$B$2:$B$1000))))</x:f>
        <x:v>46244.08433096065</x:v>
      </x:c>
      <x:c r="G311" s="170" t="str">
        <x:f>IF(A311="","",IF(B311="Decommissioning",INDEX('Raw Decommissioning'!$I$2:$I$1000,ROWS($A$5:A311)),INDEX('Raw Provisioning'!$J$2:$J$1000,ROWS($A$5:A311)-COUNTA('Raw Decommissioning'!$B$2:$B$1000))))</x:f>
        <x:v>Network Cisco Prime</x:v>
      </x:c>
      <x:c r="H311" s="170" t="str">
        <x:f>IF(A311="","",IF(B311="Decommissioning",INDEX('Raw Decommissioning'!$J$2:$J$1000,ROWS($A$5:A311)),INDEX('Raw Provisioning'!$L$2:$L$1000,ROWS($A$5:A311)-COUNTA('Raw Decommissioning'!$B$2:$B$1000))))</x:f>
        <x:v>Network Cisco Prime created for PRIVATECLOUD project record</x:v>
      </x:c>
      <x:c r="I311" s="170" t="str">
        <x:f>IF(A311="","",IF(B311="Decommissioning",INDEX('Raw Decommissioning'!$AL$2:$AL$1000,ROWS($A$5:A311)),INDEX('Raw Provisioning'!$R$2:$R$1000,ROWS($A$5:A311)-COUNTA('Raw Decommissioning'!$B$2:$B$1000))))</x:f>
      </x:c>
      <x:c r="J311" s="170" t="str">
        <x:f>IF(A311="","",IF(B311="Decommissioning",INDEX('Raw Decommissioning'!$AG$2:$AG$1000,ROWS($A$5:A311)),INDEX('Raw Provisioning'!$AI$2:$AI$1000,ROWS($A$5:A311)-COUNTA('Raw Decommissioning'!$B$2:$B$1000))))</x:f>
        <x:v>IMS - CLOUD CSSP EXECUTOR</x:v>
      </x:c>
      <x:c r="K311" s="172" t="str">
        <x:f>IF(A311="","",IFERROR(LOOKUP(2,1/('Assignment History'!$B$5:$B$204=A311),'Assignment History'!$D$5:$D$204),IFERROR(VLOOKUP(J311,Configuration!$L$5:$M$50,2,FALSE),J311)))</x:f>
        <x:v>IMS - CLOUD CSSP EXECUTOR</x:v>
      </x:c>
      <x:c r="L311" s="172" t="str">
        <x:f>IF(A311="","",IF(K311=IFERROR(VLOOKUP(J311,Configuration!$L$5:$M$50,2,FALSE),J311),"Snapshot PIC","Replacement PIC"))</x:f>
        <x:v>Snapshot PIC</x:v>
      </x:c>
      <x:c r="M311" s="172" t="n">
        <x:f>IF(A311="","",IFERROR(VLOOKUP(I311,Configuration!$O$5:$P$8,2,FALSE),Configuration!$S$6))</x:f>
        <x:v>2</x:v>
      </x:c>
      <x:c r="N311" s="172" t="str">
        <x:f>IF(A311="","",IFERROR(LOOKUP(2,1/('Scope Review'!$B$5:$B$204=A311),'Scope Review'!$G$5:$G$204),"Not Reviewed"))</x:f>
        <x:v>Not Reviewed</x:v>
      </x:c>
      <x:c r="O311" s="172" t="str">
        <x:f>IF(A311="","",IFERROR(LOOKUP(2,1/('Scope Review'!$B$5:$B$204=A311),'Scope Review'!$H$5:$H$204),""))</x:f>
      </x:c>
      <x:c r="P311" s="172" t="n">
        <x:f>IF(A311="","",IF(AND(C311="executing",N311&lt;&gt;"Confirmed OOS"),M311,0))</x:f>
        <x:v>0</x:v>
      </x:c>
      <x:c r="Q311" s="173" t="str">
        <x:f>IF(A311="","",IFERROR(LOOKUP(2,1/('Engineer Updates'!$B$5:$B$704=A311),'Engineer Updates'!$A$5:$A$704),""))</x:f>
      </x:c>
      <x:c r="R311" s="172" t="str">
        <x:f>IF(A311="","",IFERROR(LOOKUP(2,1/('Engineer Updates'!$B$5:$B$704=A311),'Engineer Updates'!$H$5:$H$704),""))</x:f>
      </x:c>
      <x:c r="S311" s="172" t="str">
        <x:f>IF(A311="","",IFERROR(LOOKUP(2,1/('Engineer Updates'!$B$5:$B$704=A311),'Engineer Updates'!$G$5:$G$704),""))</x:f>
      </x:c>
      <x:c r="T311" s="172" t="str">
        <x:f>IF(A311="","",IFERROR(LOOKUP(2,1/('Engineer Updates'!$B$5:$B$704=A311),'Engineer Updates'!$I$5:$I$704),""))</x:f>
      </x:c>
      <x:c r="U311" s="172" t="str">
        <x:f>IF(A311="","",IFERROR(LOOKUP(2,1/('Engineer Updates'!$B$5:$B$704=A311),'Engineer Updates'!$J$5:$J$704),""))</x:f>
      </x:c>
      <x:c r="V311" s="172" t="str">
        <x:f>IF(A311="","",IFERROR(LOOKUP(2,1/('Engineer Updates'!$B$5:$B$704=A311),'Engineer Updates'!$K$5:$K$704),""))</x:f>
      </x:c>
      <x:c r="W311" s="174" t="str">
        <x:f>IF(A311="","",IFERROR(LOOKUP(2,1/('Engineer Updates'!$B$5:$B$704=A311),'Engineer Updates'!$L$5:$L$704),""))</x:f>
      </x:c>
      <x:c r="X311" s="170" t="str">
        <x:f>IF(A311="","",IF(C311="completed","Completed in CSSP",IF(AND(C311="executing",ISERROR(SEARCH("@",K311))),"Executing without named engineer",IF(AND(N311="Confirmed OOS",C311="executing"),"Confirmed OOS still executing",""))))</x:f>
      </x:c>
      <x:c r="Y311" s="170" t="str">
        <x:f>IF(A311="","",IF(B311="Decommissioning","Raw Decommissioning","Raw Provisioning"))</x:f>
        <x:v>Raw Decommissioning</x:v>
      </x:c>
      <x:c r="Z311" s="170" t="str">
        <x:f>IF(A311="","",IF(OR(C311="executing",C311="processing"),"Yes","No"))</x:f>
        <x:v>No</x:v>
      </x:c>
    </x:row>
    <x:row r="312">
      <x:c r="A312" s="170" t="str">
        <x:f>IF(ROWS($A$5:A312)&lt;=COUNTA('Raw Decommissioning'!$B$2:$B$1000),INDEX('Raw Decommissioning'!$B$2:$B$1000,ROWS($A$5:A312)),IF(ROWS($A$5:A312)-COUNTA('Raw Decommissioning'!$B$2:$B$1000)&lt;=COUNTA('Raw Provisioning'!$B$2:$B$1000),INDEX('Raw Provisioning'!$B$2:$B$1000,ROWS($A$5:A312)-COUNTA('Raw Decommissioning'!$B$2:$B$1000)),""))</x:f>
        <x:v>CSSP10271745</x:v>
      </x:c>
      <x:c r="B312" s="170" t="str">
        <x:f>IF(A312="","",IF(ROWS($A$5:A312)&lt;=COUNTA('Raw Decommissioning'!$B$2:$B$1000),"Decommissioning","Provisioning"))</x:f>
        <x:v>Decommissioning</x:v>
      </x:c>
      <x:c r="C312" s="170" t="str">
        <x:f>IF(A312="","",IF(B312="Decommissioning",IFERROR(INDEX('Raw Decommissioning'!$E$2:$E$1000,MATCH(A312,'Raw Decommissioning'!$B$2:$B$1000,0)),"Missing from latest raw"),IFERROR(INDEX('Raw Provisioning'!$E$2:$E$1000,MATCH(A312,'Raw Provisioning'!$B$2:$B$1000,0)),"Missing from latest raw")))</x:f>
        <x:v>executing</x:v>
      </x:c>
      <x:c r="D312" s="171" t="n">
        <x:f>IF(A312="","",'Refresh Control'!$B$4)</x:f>
        <x:v>46254</x:v>
      </x:c>
      <x:c r="E312" s="171" t="n">
        <x:f>IF(A312="","",IF(B312="Decommissioning",INDEX('Raw Decommissioning'!$F$2:$F$1000,ROWS($A$5:A312)),INDEX('Raw Provisioning'!$F$2:$F$1000,ROWS($A$5:A312)-COUNTA('Raw Decommissioning'!$B$2:$B$1000))))</x:f>
        <x:v>46226.123866539354</x:v>
      </x:c>
      <x:c r="F312" s="171" t="n">
        <x:f>IF(A312="","",IF(B312="Decommissioning",INDEX('Raw Decommissioning'!$G$2:$G$1000,ROWS($A$5:A312)),INDEX('Raw Provisioning'!$H$2:$H$1000,ROWS($A$5:A312)-COUNTA('Raw Decommissioning'!$B$2:$B$1000))))</x:f>
        <x:v>46233.10677291667</x:v>
      </x:c>
      <x:c r="G312" s="170" t="str">
        <x:f>IF(A312="","",IF(B312="Decommissioning",INDEX('Raw Decommissioning'!$I$2:$I$1000,ROWS($A$5:A312)),INDEX('Raw Provisioning'!$J$2:$J$1000,ROWS($A$5:A312)-COUNTA('Raw Decommissioning'!$B$2:$B$1000))))</x:f>
        <x:v>Print Server PCGB</x:v>
      </x:c>
      <x:c r="H312" s="170" t="str">
        <x:f>IF(A312="","",IF(B312="Decommissioning",INDEX('Raw Decommissioning'!$J$2:$J$1000,ROWS($A$5:A312)),INDEX('Raw Provisioning'!$L$2:$L$1000,ROWS($A$5:A312)-COUNTA('Raw Decommissioning'!$B$2:$B$1000))))</x:f>
        <x:v>Print Server PCGB created for PRIVATECLOUD project record</x:v>
      </x:c>
      <x:c r="I312" s="170" t="str">
        <x:f>IF(A312="","",IF(B312="Decommissioning",INDEX('Raw Decommissioning'!$AL$2:$AL$1000,ROWS($A$5:A312)),INDEX('Raw Provisioning'!$R$2:$R$1000,ROWS($A$5:A312)-COUNTA('Raw Decommissioning'!$B$2:$B$1000))))</x:f>
        <x:v>M</x:v>
      </x:c>
      <x:c r="J312" s="170" t="str">
        <x:f>IF(A312="","",IF(B312="Decommissioning",INDEX('Raw Decommissioning'!$AG$2:$AG$1000,ROWS($A$5:A312)),INDEX('Raw Provisioning'!$AI$2:$AI$1000,ROWS($A$5:A312)-COUNTA('Raw Decommissioning'!$B$2:$B$1000))))</x:f>
        <x:v>venkatesh.kalikivayi@petronas.com</x:v>
      </x:c>
      <x:c r="K312" s="172" t="str">
        <x:f>IF(A312="","",IFERROR(LOOKUP(2,1/('Assignment History'!$B$5:$B$204=A312),'Assignment History'!$D$5:$D$204),IFERROR(VLOOKUP(J312,Configuration!$L$5:$M$50,2,FALSE),J312)))</x:f>
        <x:v>venkatesh.kalikivayi@petronas.com</x:v>
      </x:c>
      <x:c r="L312" s="172" t="str">
        <x:f>IF(A312="","",IF(K312=IFERROR(VLOOKUP(J312,Configuration!$L$5:$M$50,2,FALSE),J312),"Snapshot PIC","Replacement PIC"))</x:f>
        <x:v>Snapshot PIC</x:v>
      </x:c>
      <x:c r="M312" s="172" t="n">
        <x:f>IF(A312="","",IFERROR(VLOOKUP(I312,Configuration!$O$5:$P$8,2,FALSE),Configuration!$S$6))</x:f>
        <x:v>2</x:v>
      </x:c>
      <x:c r="N312" s="172" t="str">
        <x:f>IF(A312="","",IFERROR(LOOKUP(2,1/('Scope Review'!$B$5:$B$204=A312),'Scope Review'!$G$5:$G$204),"Not Reviewed"))</x:f>
        <x:v>Not Reviewed</x:v>
      </x:c>
      <x:c r="O312" s="172" t="str">
        <x:f>IF(A312="","",IFERROR(LOOKUP(2,1/('Scope Review'!$B$5:$B$204=A312),'Scope Review'!$H$5:$H$204),""))</x:f>
      </x:c>
      <x:c r="P312" s="172" t="n">
        <x:f>IF(A312="","",IF(AND(C312="executing",N312&lt;&gt;"Confirmed OOS"),M312,0))</x:f>
        <x:v>2</x:v>
      </x:c>
      <x:c r="Q312" s="173" t="n">
        <x:f>IF(A312="","",IFERROR(LOOKUP(2,1/('Engineer Updates'!$B$5:$B$704=A312),'Engineer Updates'!$A$5:$A$704),""))</x:f>
        <x:v>46251</x:v>
      </x:c>
      <x:c r="R312" s="172" t="str">
        <x:f>IF(A312="","",IFERROR(LOOKUP(2,1/('Engineer Updates'!$B$5:$B$704=A312),'Engineer Updates'!$H$5:$H$704),""))</x:f>
        <x:v>Not Started</x:v>
      </x:c>
      <x:c r="S312" s="172" t="str">
        <x:f>IF(A312="","",IFERROR(LOOKUP(2,1/('Engineer Updates'!$B$5:$B$704=A312),'Engineer Updates'!$G$5:$G$704),""))</x:f>
      </x:c>
      <x:c r="T312" s="172" t="str">
        <x:f>IF(A312="","",IFERROR(LOOKUP(2,1/('Engineer Updates'!$B$5:$B$704=A312),'Engineer Updates'!$I$5:$I$704),""))</x:f>
      </x:c>
      <x:c r="U312" s="172" t="str">
        <x:f>IF(A312="","",IFERROR(LOOKUP(2,1/('Engineer Updates'!$B$5:$B$704=A312),'Engineer Updates'!$J$5:$J$704),""))</x:f>
      </x:c>
      <x:c r="V312" s="172" t="str">
        <x:f>IF(A312="","",IFERROR(LOOKUP(2,1/('Engineer Updates'!$B$5:$B$704=A312),'Engineer Updates'!$K$5:$K$704),""))</x:f>
      </x:c>
      <x:c r="W312" s="174" t="str">
        <x:f>IF(A312="","",IFERROR(LOOKUP(2,1/('Engineer Updates'!$B$5:$B$704=A312),'Engineer Updates'!$L$5:$L$704),""))</x:f>
      </x:c>
      <x:c r="X312" s="170" t="str">
        <x:f>IF(A312="","",IF(C312="completed","Completed in CSSP",IF(AND(C312="executing",ISERROR(SEARCH("@",K312))),"Executing without named engineer",IF(AND(N312="Confirmed OOS",C312="executing"),"Confirmed OOS still executing",""))))</x:f>
      </x:c>
      <x:c r="Y312" s="170" t="str">
        <x:f>IF(A312="","",IF(B312="Decommissioning","Raw Decommissioning","Raw Provisioning"))</x:f>
        <x:v>Raw Decommissioning</x:v>
      </x:c>
      <x:c r="Z312" s="170" t="str">
        <x:f>IF(A312="","",IF(OR(C312="executing",C312="processing"),"Yes","No"))</x:f>
        <x:v>Yes</x:v>
      </x:c>
    </x:row>
    <x:row r="313">
      <x:c r="A313" s="170" t="str">
        <x:f>IF(ROWS($A$5:A313)&lt;=COUNTA('Raw Decommissioning'!$B$2:$B$1000),INDEX('Raw Decommissioning'!$B$2:$B$1000,ROWS($A$5:A313)),IF(ROWS($A$5:A313)-COUNTA('Raw Decommissioning'!$B$2:$B$1000)&lt;=COUNTA('Raw Provisioning'!$B$2:$B$1000),INDEX('Raw Provisioning'!$B$2:$B$1000,ROWS($A$5:A313)-COUNTA('Raw Decommissioning'!$B$2:$B$1000)),""))</x:f>
        <x:v>CSSP10372916</x:v>
      </x:c>
      <x:c r="B313" s="170" t="str">
        <x:f>IF(A313="","",IF(ROWS($A$5:A313)&lt;=COUNTA('Raw Decommissioning'!$B$2:$B$1000),"Decommissioning","Provisioning"))</x:f>
        <x:v>Decommissioning</x:v>
      </x:c>
      <x:c r="C313" s="170" t="str">
        <x:f>IF(A313="","",IF(B313="Decommissioning",IFERROR(INDEX('Raw Decommissioning'!$E$2:$E$1000,MATCH(A313,'Raw Decommissioning'!$B$2:$B$1000,0)),"Missing from latest raw"),IFERROR(INDEX('Raw Provisioning'!$E$2:$E$1000,MATCH(A313,'Raw Provisioning'!$B$2:$B$1000,0)),"Missing from latest raw")))</x:f>
        <x:v>executing</x:v>
      </x:c>
      <x:c r="D313" s="171" t="n">
        <x:f>IF(A313="","",'Refresh Control'!$B$4)</x:f>
        <x:v>46254</x:v>
      </x:c>
      <x:c r="E313" s="171" t="n">
        <x:f>IF(A313="","",IF(B313="Decommissioning",INDEX('Raw Decommissioning'!$F$2:$F$1000,ROWS($A$5:A313)),INDEX('Raw Provisioning'!$F$2:$F$1000,ROWS($A$5:A313)-COUNTA('Raw Decommissioning'!$B$2:$B$1000))))</x:f>
        <x:v>46226.12834121528</x:v>
      </x:c>
      <x:c r="F313" s="171" t="n">
        <x:f>IF(A313="","",IF(B313="Decommissioning",INDEX('Raw Decommissioning'!$G$2:$G$1000,ROWS($A$5:A313)),INDEX('Raw Provisioning'!$H$2:$H$1000,ROWS($A$5:A313)-COUNTA('Raw Decommissioning'!$B$2:$B$1000))))</x:f>
        <x:v>46233.10640715278</x:v>
      </x:c>
      <x:c r="G313" s="170" t="str">
        <x:f>IF(A313="","",IF(B313="Decommissioning",INDEX('Raw Decommissioning'!$I$2:$I$1000,ROWS($A$5:A313)),INDEX('Raw Provisioning'!$J$2:$J$1000,ROWS($A$5:A313)-COUNTA('Raw Decommissioning'!$B$2:$B$1000))))</x:f>
        <x:v>Plant Information - PI MLNG</x:v>
      </x:c>
      <x:c r="H313" s="170" t="str">
        <x:f>IF(A313="","",IF(B313="Decommissioning",INDEX('Raw Decommissioning'!$J$2:$J$1000,ROWS($A$5:A313)),INDEX('Raw Provisioning'!$L$2:$L$1000,ROWS($A$5:A313)-COUNTA('Raw Decommissioning'!$B$2:$B$1000))))</x:f>
        <x:v>Plant Information - PI MLNG created for PRIVATECLOUD project record</x:v>
      </x:c>
      <x:c r="I313" s="170" t="str">
        <x:f>IF(A313="","",IF(B313="Decommissioning",INDEX('Raw Decommissioning'!$AL$2:$AL$1000,ROWS($A$5:A313)),INDEX('Raw Provisioning'!$R$2:$R$1000,ROWS($A$5:A313)-COUNTA('Raw Decommissioning'!$B$2:$B$1000))))</x:f>
        <x:v>M</x:v>
      </x:c>
      <x:c r="J313" s="170" t="str">
        <x:f>IF(A313="","",IF(B313="Decommissioning",INDEX('Raw Decommissioning'!$AG$2:$AG$1000,ROWS($A$5:A313)),INDEX('Raw Provisioning'!$AI$2:$AI$1000,ROWS($A$5:A313)-COUNTA('Raw Decommissioning'!$B$2:$B$1000))))</x:f>
        <x:v>abhishek.bhowate@petronas.com</x:v>
      </x:c>
      <x:c r="K313" s="172" t="str">
        <x:f>IF(A313="","",IFERROR(LOOKUP(2,1/('Assignment History'!$B$5:$B$204=A313),'Assignment History'!$D$5:$D$204),IFERROR(VLOOKUP(J313,Configuration!$L$5:$M$50,2,FALSE),J313)))</x:f>
        <x:v>abhishek.bhowate@petronas.com</x:v>
      </x:c>
      <x:c r="L313" s="172" t="str">
        <x:f>IF(A313="","",IF(K313=IFERROR(VLOOKUP(J313,Configuration!$L$5:$M$50,2,FALSE),J313),"Snapshot PIC","Replacement PIC"))</x:f>
        <x:v>Snapshot PIC</x:v>
      </x:c>
      <x:c r="M313" s="172" t="n">
        <x:f>IF(A313="","",IFERROR(VLOOKUP(I313,Configuration!$O$5:$P$8,2,FALSE),Configuration!$S$6))</x:f>
        <x:v>2</x:v>
      </x:c>
      <x:c r="N313" s="172" t="str">
        <x:f>IF(A313="","",IFERROR(LOOKUP(2,1/('Scope Review'!$B$5:$B$204=A313),'Scope Review'!$G$5:$G$204),"Not Reviewed"))</x:f>
        <x:v>Not Reviewed</x:v>
      </x:c>
      <x:c r="O313" s="172" t="str">
        <x:f>IF(A313="","",IFERROR(LOOKUP(2,1/('Scope Review'!$B$5:$B$204=A313),'Scope Review'!$H$5:$H$204),""))</x:f>
      </x:c>
      <x:c r="P313" s="172" t="n">
        <x:f>IF(A313="","",IF(AND(C313="executing",N313&lt;&gt;"Confirmed OOS"),M313,0))</x:f>
        <x:v>2</x:v>
      </x:c>
      <x:c r="Q313" s="173" t="n">
        <x:f>IF(A313="","",IFERROR(LOOKUP(2,1/('Engineer Updates'!$B$5:$B$704=A313),'Engineer Updates'!$A$5:$A$704),""))</x:f>
        <x:v>46251</x:v>
      </x:c>
      <x:c r="R313" s="172" t="str">
        <x:f>IF(A313="","",IFERROR(LOOKUP(2,1/('Engineer Updates'!$B$5:$B$704=A313),'Engineer Updates'!$H$5:$H$704),""))</x:f>
        <x:v>Not Started</x:v>
      </x:c>
      <x:c r="S313" s="172" t="str">
        <x:f>IF(A313="","",IFERROR(LOOKUP(2,1/('Engineer Updates'!$B$5:$B$704=A313),'Engineer Updates'!$G$5:$G$704),""))</x:f>
      </x:c>
      <x:c r="T313" s="172" t="str">
        <x:f>IF(A313="","",IFERROR(LOOKUP(2,1/('Engineer Updates'!$B$5:$B$704=A313),'Engineer Updates'!$I$5:$I$704),""))</x:f>
      </x:c>
      <x:c r="U313" s="172" t="str">
        <x:f>IF(A313="","",IFERROR(LOOKUP(2,1/('Engineer Updates'!$B$5:$B$704=A313),'Engineer Updates'!$J$5:$J$704),""))</x:f>
      </x:c>
      <x:c r="V313" s="172" t="str">
        <x:f>IF(A313="","",IFERROR(LOOKUP(2,1/('Engineer Updates'!$B$5:$B$704=A313),'Engineer Updates'!$K$5:$K$704),""))</x:f>
      </x:c>
      <x:c r="W313" s="174" t="str">
        <x:f>IF(A313="","",IFERROR(LOOKUP(2,1/('Engineer Updates'!$B$5:$B$704=A313),'Engineer Updates'!$L$5:$L$704),""))</x:f>
      </x:c>
      <x:c r="X313" s="170" t="str">
        <x:f>IF(A313="","",IF(C313="completed","Completed in CSSP",IF(AND(C313="executing",ISERROR(SEARCH("@",K313))),"Executing without named engineer",IF(AND(N313="Confirmed OOS",C313="executing"),"Confirmed OOS still executing",""))))</x:f>
      </x:c>
      <x:c r="Y313" s="170" t="str">
        <x:f>IF(A313="","",IF(B313="Decommissioning","Raw Decommissioning","Raw Provisioning"))</x:f>
        <x:v>Raw Decommissioning</x:v>
      </x:c>
      <x:c r="Z313" s="170" t="str">
        <x:f>IF(A313="","",IF(OR(C313="executing",C313="processing"),"Yes","No"))</x:f>
        <x:v>Yes</x:v>
      </x:c>
    </x:row>
    <x:row r="314">
      <x:c r="A314" s="170" t="str">
        <x:f>IF(ROWS($A$5:A314)&lt;=COUNTA('Raw Decommissioning'!$B$2:$B$1000),INDEX('Raw Decommissioning'!$B$2:$B$1000,ROWS($A$5:A314)),IF(ROWS($A$5:A314)-COUNTA('Raw Decommissioning'!$B$2:$B$1000)&lt;=COUNTA('Raw Provisioning'!$B$2:$B$1000),INDEX('Raw Provisioning'!$B$2:$B$1000,ROWS($A$5:A314)-COUNTA('Raw Decommissioning'!$B$2:$B$1000)),""))</x:f>
        <x:v>CSSP10391895</x:v>
      </x:c>
      <x:c r="B314" s="170" t="str">
        <x:f>IF(A314="","",IF(ROWS($A$5:A314)&lt;=COUNTA('Raw Decommissioning'!$B$2:$B$1000),"Decommissioning","Provisioning"))</x:f>
        <x:v>Decommissioning</x:v>
      </x:c>
      <x:c r="C314" s="170" t="str">
        <x:f>IF(A314="","",IF(B314="Decommissioning",IFERROR(INDEX('Raw Decommissioning'!$E$2:$E$1000,MATCH(A314,'Raw Decommissioning'!$B$2:$B$1000,0)),"Missing from latest raw"),IFERROR(INDEX('Raw Provisioning'!$E$2:$E$1000,MATCH(A314,'Raw Provisioning'!$B$2:$B$1000,0)),"Missing from latest raw")))</x:f>
        <x:v>executing</x:v>
      </x:c>
      <x:c r="D314" s="171" t="n">
        <x:f>IF(A314="","",'Refresh Control'!$B$4)</x:f>
        <x:v>46254</x:v>
      </x:c>
      <x:c r="E314" s="171" t="n">
        <x:f>IF(A314="","",IF(B314="Decommissioning",INDEX('Raw Decommissioning'!$F$2:$F$1000,ROWS($A$5:A314)),INDEX('Raw Provisioning'!$F$2:$F$1000,ROWS($A$5:A314)-COUNTA('Raw Decommissioning'!$B$2:$B$1000))))</x:f>
        <x:v>46226.140965833336</x:v>
      </x:c>
      <x:c r="F314" s="171" t="n">
        <x:f>IF(A314="","",IF(B314="Decommissioning",INDEX('Raw Decommissioning'!$G$2:$G$1000,ROWS($A$5:A314)),INDEX('Raw Provisioning'!$H$2:$H$1000,ROWS($A$5:A314)-COUNTA('Raw Decommissioning'!$B$2:$B$1000))))</x:f>
        <x:v>46239.620899050926</x:v>
      </x:c>
      <x:c r="G314" s="170" t="str">
        <x:f>IF(A314="","",IF(B314="Decommissioning",INDEX('Raw Decommissioning'!$I$2:$I$1000,ROWS($A$5:A314)),INDEX('Raw Provisioning'!$J$2:$J$1000,ROWS($A$5:A314)-COUNTA('Raw Decommissioning'!$B$2:$B$1000))))</x:f>
        <x:v>Online Corrosion Monitoring for Sarawak Gas</x:v>
      </x:c>
      <x:c r="H314" s="170" t="str">
        <x:f>IF(A314="","",IF(B314="Decommissioning",INDEX('Raw Decommissioning'!$J$2:$J$1000,ROWS($A$5:A314)),INDEX('Raw Provisioning'!$L$2:$L$1000,ROWS($A$5:A314)-COUNTA('Raw Decommissioning'!$B$2:$B$1000))))</x:f>
        <x:v>Online Corrosion Monitoring for Sarawak Gas created for PRIVATECLOUD project record</x:v>
      </x:c>
      <x:c r="I314" s="170" t="str">
        <x:f>IF(A314="","",IF(B314="Decommissioning",INDEX('Raw Decommissioning'!$AL$2:$AL$1000,ROWS($A$5:A314)),INDEX('Raw Provisioning'!$R$2:$R$1000,ROWS($A$5:A314)-COUNTA('Raw Decommissioning'!$B$2:$B$1000))))</x:f>
        <x:v>M</x:v>
      </x:c>
      <x:c r="J314" s="170" t="str">
        <x:f>IF(A314="","",IF(B314="Decommissioning",INDEX('Raw Decommissioning'!$AG$2:$AG$1000,ROWS($A$5:A314)),INDEX('Raw Provisioning'!$AI$2:$AI$1000,ROWS($A$5:A314)-COUNTA('Raw Decommissioning'!$B$2:$B$1000))))</x:f>
        <x:v>nilesh.sankpal@petronas.com</x:v>
      </x:c>
      <x:c r="K314" s="172" t="str">
        <x:f>IF(A314="","",IFERROR(LOOKUP(2,1/('Assignment History'!$B$5:$B$204=A314),'Assignment History'!$D$5:$D$204),IFERROR(VLOOKUP(J314,Configuration!$L$5:$M$50,2,FALSE),J314)))</x:f>
        <x:v>nilesh.sankpal@petronas.com</x:v>
      </x:c>
      <x:c r="L314" s="172" t="str">
        <x:f>IF(A314="","",IF(K314=IFERROR(VLOOKUP(J314,Configuration!$L$5:$M$50,2,FALSE),J314),"Snapshot PIC","Replacement PIC"))</x:f>
        <x:v>Snapshot PIC</x:v>
      </x:c>
      <x:c r="M314" s="172" t="n">
        <x:f>IF(A314="","",IFERROR(VLOOKUP(I314,Configuration!$O$5:$P$8,2,FALSE),Configuration!$S$6))</x:f>
        <x:v>2</x:v>
      </x:c>
      <x:c r="N314" s="172" t="str">
        <x:f>IF(A314="","",IFERROR(LOOKUP(2,1/('Scope Review'!$B$5:$B$204=A314),'Scope Review'!$G$5:$G$204),"Not Reviewed"))</x:f>
        <x:v>Not Reviewed</x:v>
      </x:c>
      <x:c r="O314" s="172" t="str">
        <x:f>IF(A314="","",IFERROR(LOOKUP(2,1/('Scope Review'!$B$5:$B$204=A314),'Scope Review'!$H$5:$H$204),""))</x:f>
      </x:c>
      <x:c r="P314" s="172" t="n">
        <x:f>IF(A314="","",IF(AND(C314="executing",N314&lt;&gt;"Confirmed OOS"),M314,0))</x:f>
        <x:v>2</x:v>
      </x:c>
      <x:c r="Q314" s="173" t="n">
        <x:f>IF(A314="","",IFERROR(LOOKUP(2,1/('Engineer Updates'!$B$5:$B$704=A314),'Engineer Updates'!$A$5:$A$704),""))</x:f>
        <x:v>46251</x:v>
      </x:c>
      <x:c r="R314" s="172" t="str">
        <x:f>IF(A314="","",IFERROR(LOOKUP(2,1/('Engineer Updates'!$B$5:$B$704=A314),'Engineer Updates'!$H$5:$H$704),""))</x:f>
        <x:v>Not Started</x:v>
      </x:c>
      <x:c r="S314" s="172" t="str">
        <x:f>IF(A314="","",IFERROR(LOOKUP(2,1/('Engineer Updates'!$B$5:$B$704=A314),'Engineer Updates'!$G$5:$G$704),""))</x:f>
      </x:c>
      <x:c r="T314" s="172" t="str">
        <x:f>IF(A314="","",IFERROR(LOOKUP(2,1/('Engineer Updates'!$B$5:$B$704=A314),'Engineer Updates'!$I$5:$I$704),""))</x:f>
      </x:c>
      <x:c r="U314" s="172" t="str">
        <x:f>IF(A314="","",IFERROR(LOOKUP(2,1/('Engineer Updates'!$B$5:$B$704=A314),'Engineer Updates'!$J$5:$J$704),""))</x:f>
      </x:c>
      <x:c r="V314" s="172" t="str">
        <x:f>IF(A314="","",IFERROR(LOOKUP(2,1/('Engineer Updates'!$B$5:$B$704=A314),'Engineer Updates'!$K$5:$K$704),""))</x:f>
      </x:c>
      <x:c r="W314" s="174" t="str">
        <x:f>IF(A314="","",IFERROR(LOOKUP(2,1/('Engineer Updates'!$B$5:$B$704=A314),'Engineer Updates'!$L$5:$L$704),""))</x:f>
      </x:c>
      <x:c r="X314" s="170" t="str">
        <x:f>IF(A314="","",IF(C314="completed","Completed in CSSP",IF(AND(C314="executing",ISERROR(SEARCH("@",K314))),"Executing without named engineer",IF(AND(N314="Confirmed OOS",C314="executing"),"Confirmed OOS still executing",""))))</x:f>
      </x:c>
      <x:c r="Y314" s="170" t="str">
        <x:f>IF(A314="","",IF(B314="Decommissioning","Raw Decommissioning","Raw Provisioning"))</x:f>
        <x:v>Raw Decommissioning</x:v>
      </x:c>
      <x:c r="Z314" s="170" t="str">
        <x:f>IF(A314="","",IF(OR(C314="executing",C314="processing"),"Yes","No"))</x:f>
        <x:v>Yes</x:v>
      </x:c>
    </x:row>
    <x:row r="315">
      <x:c r="A315" s="170" t="str">
        <x:f>IF(ROWS($A$5:A315)&lt;=COUNTA('Raw Decommissioning'!$B$2:$B$1000),INDEX('Raw Decommissioning'!$B$2:$B$1000,ROWS($A$5:A315)),IF(ROWS($A$5:A315)-COUNTA('Raw Decommissioning'!$B$2:$B$1000)&lt;=COUNTA('Raw Provisioning'!$B$2:$B$1000),INDEX('Raw Provisioning'!$B$2:$B$1000,ROWS($A$5:A315)-COUNTA('Raw Decommissioning'!$B$2:$B$1000)),""))</x:f>
        <x:v>CSSP10914400</x:v>
      </x:c>
      <x:c r="B315" s="170" t="str">
        <x:f>IF(A315="","",IF(ROWS($A$5:A315)&lt;=COUNTA('Raw Decommissioning'!$B$2:$B$1000),"Decommissioning","Provisioning"))</x:f>
        <x:v>Decommissioning</x:v>
      </x:c>
      <x:c r="C315" s="170" t="str">
        <x:f>IF(A315="","",IF(B315="Decommissioning",IFERROR(INDEX('Raw Decommissioning'!$E$2:$E$1000,MATCH(A315,'Raw Decommissioning'!$B$2:$B$1000,0)),"Missing from latest raw"),IFERROR(INDEX('Raw Provisioning'!$E$2:$E$1000,MATCH(A315,'Raw Provisioning'!$B$2:$B$1000,0)),"Missing from latest raw")))</x:f>
        <x:v>executing</x:v>
      </x:c>
      <x:c r="D315" s="171" t="n">
        <x:f>IF(A315="","",'Refresh Control'!$B$4)</x:f>
        <x:v>46254</x:v>
      </x:c>
      <x:c r="E315" s="171" t="n">
        <x:f>IF(A315="","",IF(B315="Decommissioning",INDEX('Raw Decommissioning'!$F$2:$F$1000,ROWS($A$5:A315)),INDEX('Raw Provisioning'!$F$2:$F$1000,ROWS($A$5:A315)-COUNTA('Raw Decommissioning'!$B$2:$B$1000))))</x:f>
        <x:v>46226.144208958336</x:v>
      </x:c>
      <x:c r="F315" s="171" t="n">
        <x:f>IF(A315="","",IF(B315="Decommissioning",INDEX('Raw Decommissioning'!$G$2:$G$1000,ROWS($A$5:A315)),INDEX('Raw Provisioning'!$H$2:$H$1000,ROWS($A$5:A315)-COUNTA('Raw Decommissioning'!$B$2:$B$1000))))</x:f>
        <x:v>46239.62010260417</x:v>
      </x:c>
      <x:c r="G315" s="170" t="str">
        <x:f>IF(A315="","",IF(B315="Decommissioning",INDEX('Raw Decommissioning'!$I$2:$I$1000,ROWS($A$5:A315)),INDEX('Raw Provisioning'!$J$2:$J$1000,ROWS($A$5:A315)-COUNTA('Raw Decommissioning'!$B$2:$B$1000))))</x:f>
        <x:v>Network Cisco Prime</x:v>
      </x:c>
      <x:c r="H315" s="170" t="str">
        <x:f>IF(A315="","",IF(B315="Decommissioning",INDEX('Raw Decommissioning'!$J$2:$J$1000,ROWS($A$5:A315)),INDEX('Raw Provisioning'!$L$2:$L$1000,ROWS($A$5:A315)-COUNTA('Raw Decommissioning'!$B$2:$B$1000))))</x:f>
        <x:v>Network Cisco Prime created for PRIVATECLOUD project record</x:v>
      </x:c>
      <x:c r="I315" s="170" t="str">
        <x:f>IF(A315="","",IF(B315="Decommissioning",INDEX('Raw Decommissioning'!$AL$2:$AL$1000,ROWS($A$5:A315)),INDEX('Raw Provisioning'!$R$2:$R$1000,ROWS($A$5:A315)-COUNTA('Raw Decommissioning'!$B$2:$B$1000))))</x:f>
        <x:v>M</x:v>
      </x:c>
      <x:c r="J315" s="170" t="str">
        <x:f>IF(A315="","",IF(B315="Decommissioning",INDEX('Raw Decommissioning'!$AG$2:$AG$1000,ROWS($A$5:A315)),INDEX('Raw Provisioning'!$AI$2:$AI$1000,ROWS($A$5:A315)-COUNTA('Raw Decommissioning'!$B$2:$B$1000))))</x:f>
        <x:v>amarja.kawade@petronas.com</x:v>
      </x:c>
      <x:c r="K315" s="172" t="str">
        <x:f>IF(A315="","",IFERROR(LOOKUP(2,1/('Assignment History'!$B$5:$B$204=A315),'Assignment History'!$D$5:$D$204),IFERROR(VLOOKUP(J315,Configuration!$L$5:$M$50,2,FALSE),J315)))</x:f>
        <x:v>amarja.kawade@petronas.com</x:v>
      </x:c>
      <x:c r="L315" s="172" t="str">
        <x:f>IF(A315="","",IF(K315=IFERROR(VLOOKUP(J315,Configuration!$L$5:$M$50,2,FALSE),J315),"Snapshot PIC","Replacement PIC"))</x:f>
        <x:v>Snapshot PIC</x:v>
      </x:c>
      <x:c r="M315" s="172" t="n">
        <x:f>IF(A315="","",IFERROR(VLOOKUP(I315,Configuration!$O$5:$P$8,2,FALSE),Configuration!$S$6))</x:f>
        <x:v>2</x:v>
      </x:c>
      <x:c r="N315" s="172" t="str">
        <x:f>IF(A315="","",IFERROR(LOOKUP(2,1/('Scope Review'!$B$5:$B$204=A315),'Scope Review'!$G$5:$G$204),"Not Reviewed"))</x:f>
        <x:v>Not Reviewed</x:v>
      </x:c>
      <x:c r="O315" s="172" t="str">
        <x:f>IF(A315="","",IFERROR(LOOKUP(2,1/('Scope Review'!$B$5:$B$204=A315),'Scope Review'!$H$5:$H$204),""))</x:f>
      </x:c>
      <x:c r="P315" s="172" t="n">
        <x:f>IF(A315="","",IF(AND(C315="executing",N315&lt;&gt;"Confirmed OOS"),M315,0))</x:f>
        <x:v>2</x:v>
      </x:c>
      <x:c r="Q315" s="173" t="n">
        <x:f>IF(A315="","",IFERROR(LOOKUP(2,1/('Engineer Updates'!$B$5:$B$704=A315),'Engineer Updates'!$A$5:$A$704),""))</x:f>
        <x:v>46251</x:v>
      </x:c>
      <x:c r="R315" s="172" t="str">
        <x:f>IF(A315="","",IFERROR(LOOKUP(2,1/('Engineer Updates'!$B$5:$B$704=A315),'Engineer Updates'!$H$5:$H$704),""))</x:f>
        <x:v>Not Started</x:v>
      </x:c>
      <x:c r="S315" s="172" t="str">
        <x:f>IF(A315="","",IFERROR(LOOKUP(2,1/('Engineer Updates'!$B$5:$B$704=A315),'Engineer Updates'!$G$5:$G$704),""))</x:f>
      </x:c>
      <x:c r="T315" s="172" t="str">
        <x:f>IF(A315="","",IFERROR(LOOKUP(2,1/('Engineer Updates'!$B$5:$B$704=A315),'Engineer Updates'!$I$5:$I$704),""))</x:f>
      </x:c>
      <x:c r="U315" s="172" t="str">
        <x:f>IF(A315="","",IFERROR(LOOKUP(2,1/('Engineer Updates'!$B$5:$B$704=A315),'Engineer Updates'!$J$5:$J$704),""))</x:f>
      </x:c>
      <x:c r="V315" s="172" t="str">
        <x:f>IF(A315="","",IFERROR(LOOKUP(2,1/('Engineer Updates'!$B$5:$B$704=A315),'Engineer Updates'!$K$5:$K$704),""))</x:f>
      </x:c>
      <x:c r="W315" s="174" t="str">
        <x:f>IF(A315="","",IFERROR(LOOKUP(2,1/('Engineer Updates'!$B$5:$B$704=A315),'Engineer Updates'!$L$5:$L$704),""))</x:f>
      </x:c>
      <x:c r="X315" s="170" t="str">
        <x:f>IF(A315="","",IF(C315="completed","Completed in CSSP",IF(AND(C315="executing",ISERROR(SEARCH("@",K315))),"Executing without named engineer",IF(AND(N315="Confirmed OOS",C315="executing"),"Confirmed OOS still executing",""))))</x:f>
      </x:c>
      <x:c r="Y315" s="170" t="str">
        <x:f>IF(A315="","",IF(B315="Decommissioning","Raw Decommissioning","Raw Provisioning"))</x:f>
        <x:v>Raw Decommissioning</x:v>
      </x:c>
      <x:c r="Z315" s="170" t="str">
        <x:f>IF(A315="","",IF(OR(C315="executing",C315="processing"),"Yes","No"))</x:f>
        <x:v>Yes</x:v>
      </x:c>
    </x:row>
    <x:row r="316">
      <x:c r="A316" s="170" t="str">
        <x:f>IF(ROWS($A$5:A316)&lt;=COUNTA('Raw Decommissioning'!$B$2:$B$1000),INDEX('Raw Decommissioning'!$B$2:$B$1000,ROWS($A$5:A316)),IF(ROWS($A$5:A316)-COUNTA('Raw Decommissioning'!$B$2:$B$1000)&lt;=COUNTA('Raw Provisioning'!$B$2:$B$1000),INDEX('Raw Provisioning'!$B$2:$B$1000,ROWS($A$5:A316)-COUNTA('Raw Decommissioning'!$B$2:$B$1000)),""))</x:f>
        <x:v>CSSP10308509</x:v>
      </x:c>
      <x:c r="B316" s="170" t="str">
        <x:f>IF(A316="","",IF(ROWS($A$5:A316)&lt;=COUNTA('Raw Decommissioning'!$B$2:$B$1000),"Decommissioning","Provisioning"))</x:f>
        <x:v>Decommissioning</x:v>
      </x:c>
      <x:c r="C316" s="170" t="str">
        <x:f>IF(A316="","",IF(B316="Decommissioning",IFERROR(INDEX('Raw Decommissioning'!$E$2:$E$1000,MATCH(A316,'Raw Decommissioning'!$B$2:$B$1000,0)),"Missing from latest raw"),IFERROR(INDEX('Raw Provisioning'!$E$2:$E$1000,MATCH(A316,'Raw Provisioning'!$B$2:$B$1000,0)),"Missing from latest raw")))</x:f>
        <x:v>executing</x:v>
      </x:c>
      <x:c r="D316" s="171" t="n">
        <x:f>IF(A316="","",'Refresh Control'!$B$4)</x:f>
        <x:v>46254</x:v>
      </x:c>
      <x:c r="E316" s="171" t="n">
        <x:f>IF(A316="","",IF(B316="Decommissioning",INDEX('Raw Decommissioning'!$F$2:$F$1000,ROWS($A$5:A316)),INDEX('Raw Provisioning'!$F$2:$F$1000,ROWS($A$5:A316)-COUNTA('Raw Decommissioning'!$B$2:$B$1000))))</x:f>
        <x:v>46226.150340659726</x:v>
      </x:c>
      <x:c r="F316" s="171" t="n">
        <x:f>IF(A316="","",IF(B316="Decommissioning",INDEX('Raw Decommissioning'!$G$2:$G$1000,ROWS($A$5:A316)),INDEX('Raw Provisioning'!$H$2:$H$1000,ROWS($A$5:A316)-COUNTA('Raw Decommissioning'!$B$2:$B$1000))))</x:f>
        <x:v>46233.106046712965</x:v>
      </x:c>
      <x:c r="G316" s="170" t="str">
        <x:f>IF(A316="","",IF(B316="Decommissioning",INDEX('Raw Decommissioning'!$I$2:$I$1000,ROWS($A$5:A316)),INDEX('Raw Provisioning'!$J$2:$J$1000,ROWS($A$5:A316)-COUNTA('Raw Decommissioning'!$B$2:$B$1000))))</x:f>
        <x:v>Predictive Revitalization of Instrumentation to Maximize Efficiency - PRIME SBA</x:v>
      </x:c>
      <x:c r="H316" s="170" t="str">
        <x:f>IF(A316="","",IF(B316="Decommissioning",INDEX('Raw Decommissioning'!$J$2:$J$1000,ROWS($A$5:A316)),INDEX('Raw Provisioning'!$L$2:$L$1000,ROWS($A$5:A316)-COUNTA('Raw Decommissioning'!$B$2:$B$1000))))</x:f>
        <x:v>PRIME SBA</x:v>
      </x:c>
      <x:c r="I316" s="170" t="str">
        <x:f>IF(A316="","",IF(B316="Decommissioning",INDEX('Raw Decommissioning'!$AL$2:$AL$1000,ROWS($A$5:A316)),INDEX('Raw Provisioning'!$R$2:$R$1000,ROWS($A$5:A316)-COUNTA('Raw Decommissioning'!$B$2:$B$1000))))</x:f>
        <x:v>M</x:v>
      </x:c>
      <x:c r="J316" s="170" t="str">
        <x:f>IF(A316="","",IF(B316="Decommissioning",INDEX('Raw Decommissioning'!$AG$2:$AG$1000,ROWS($A$5:A316)),INDEX('Raw Provisioning'!$AI$2:$AI$1000,ROWS($A$5:A316)-COUNTA('Raw Decommissioning'!$B$2:$B$1000))))</x:f>
        <x:v>swaminadh.chirakala@petronas.com</x:v>
      </x:c>
      <x:c r="K316" s="172" t="str">
        <x:f>IF(A316="","",IFERROR(LOOKUP(2,1/('Assignment History'!$B$5:$B$204=A316),'Assignment History'!$D$5:$D$204),IFERROR(VLOOKUP(J316,Configuration!$L$5:$M$50,2,FALSE),J316)))</x:f>
        <x:v>swaminadh.chirakala@petronas.com</x:v>
      </x:c>
      <x:c r="L316" s="172" t="str">
        <x:f>IF(A316="","",IF(K316=IFERROR(VLOOKUP(J316,Configuration!$L$5:$M$50,2,FALSE),J316),"Snapshot PIC","Replacement PIC"))</x:f>
        <x:v>Snapshot PIC</x:v>
      </x:c>
      <x:c r="M316" s="172" t="n">
        <x:f>IF(A316="","",IFERROR(VLOOKUP(I316,Configuration!$O$5:$P$8,2,FALSE),Configuration!$S$6))</x:f>
        <x:v>2</x:v>
      </x:c>
      <x:c r="N316" s="172" t="str">
        <x:f>IF(A316="","",IFERROR(LOOKUP(2,1/('Scope Review'!$B$5:$B$204=A316),'Scope Review'!$G$5:$G$204),"Not Reviewed"))</x:f>
        <x:v>Not Reviewed</x:v>
      </x:c>
      <x:c r="O316" s="172" t="str">
        <x:f>IF(A316="","",IFERROR(LOOKUP(2,1/('Scope Review'!$B$5:$B$204=A316),'Scope Review'!$H$5:$H$204),""))</x:f>
      </x:c>
      <x:c r="P316" s="172" t="n">
        <x:f>IF(A316="","",IF(AND(C316="executing",N316&lt;&gt;"Confirmed OOS"),M316,0))</x:f>
        <x:v>2</x:v>
      </x:c>
      <x:c r="Q316" s="173" t="n">
        <x:f>IF(A316="","",IFERROR(LOOKUP(2,1/('Engineer Updates'!$B$5:$B$704=A316),'Engineer Updates'!$A$5:$A$704),""))</x:f>
        <x:v>46251</x:v>
      </x:c>
      <x:c r="R316" s="172" t="str">
        <x:f>IF(A316="","",IFERROR(LOOKUP(2,1/('Engineer Updates'!$B$5:$B$704=A316),'Engineer Updates'!$H$5:$H$704),""))</x:f>
        <x:v>Not Started</x:v>
      </x:c>
      <x:c r="S316" s="172" t="str">
        <x:f>IF(A316="","",IFERROR(LOOKUP(2,1/('Engineer Updates'!$B$5:$B$704=A316),'Engineer Updates'!$G$5:$G$704),""))</x:f>
      </x:c>
      <x:c r="T316" s="172" t="str">
        <x:f>IF(A316="","",IFERROR(LOOKUP(2,1/('Engineer Updates'!$B$5:$B$704=A316),'Engineer Updates'!$I$5:$I$704),""))</x:f>
      </x:c>
      <x:c r="U316" s="172" t="str">
        <x:f>IF(A316="","",IFERROR(LOOKUP(2,1/('Engineer Updates'!$B$5:$B$704=A316),'Engineer Updates'!$J$5:$J$704),""))</x:f>
      </x:c>
      <x:c r="V316" s="172" t="str">
        <x:f>IF(A316="","",IFERROR(LOOKUP(2,1/('Engineer Updates'!$B$5:$B$704=A316),'Engineer Updates'!$K$5:$K$704),""))</x:f>
      </x:c>
      <x:c r="W316" s="174" t="str">
        <x:f>IF(A316="","",IFERROR(LOOKUP(2,1/('Engineer Updates'!$B$5:$B$704=A316),'Engineer Updates'!$L$5:$L$704),""))</x:f>
      </x:c>
      <x:c r="X316" s="170" t="str">
        <x:f>IF(A316="","",IF(C316="completed","Completed in CSSP",IF(AND(C316="executing",ISERROR(SEARCH("@",K316))),"Executing without named engineer",IF(AND(N316="Confirmed OOS",C316="executing"),"Confirmed OOS still executing",""))))</x:f>
      </x:c>
      <x:c r="Y316" s="170" t="str">
        <x:f>IF(A316="","",IF(B316="Decommissioning","Raw Decommissioning","Raw Provisioning"))</x:f>
        <x:v>Raw Decommissioning</x:v>
      </x:c>
      <x:c r="Z316" s="170" t="str">
        <x:f>IF(A316="","",IF(OR(C316="executing",C316="processing"),"Yes","No"))</x:f>
        <x:v>Yes</x:v>
      </x:c>
    </x:row>
    <x:row r="317">
      <x:c r="A317" s="170" t="str">
        <x:f>IF(ROWS($A$5:A317)&lt;=COUNTA('Raw Decommissioning'!$B$2:$B$1000),INDEX('Raw Decommissioning'!$B$2:$B$1000,ROWS($A$5:A317)),IF(ROWS($A$5:A317)-COUNTA('Raw Decommissioning'!$B$2:$B$1000)&lt;=COUNTA('Raw Provisioning'!$B$2:$B$1000),INDEX('Raw Provisioning'!$B$2:$B$1000,ROWS($A$5:A317)-COUNTA('Raw Decommissioning'!$B$2:$B$1000)),""))</x:f>
        <x:v>CSSP10327864</x:v>
      </x:c>
      <x:c r="B317" s="170" t="str">
        <x:f>IF(A317="","",IF(ROWS($A$5:A317)&lt;=COUNTA('Raw Decommissioning'!$B$2:$B$1000),"Decommissioning","Provisioning"))</x:f>
        <x:v>Decommissioning</x:v>
      </x:c>
      <x:c r="C317" s="170" t="str">
        <x:f>IF(A317="","",IF(B317="Decommissioning",IFERROR(INDEX('Raw Decommissioning'!$E$2:$E$1000,MATCH(A317,'Raw Decommissioning'!$B$2:$B$1000,0)),"Missing from latest raw"),IFERROR(INDEX('Raw Provisioning'!$E$2:$E$1000,MATCH(A317,'Raw Provisioning'!$B$2:$B$1000,0)),"Missing from latest raw")))</x:f>
        <x:v>executing</x:v>
      </x:c>
      <x:c r="D317" s="171" t="n">
        <x:f>IF(A317="","",'Refresh Control'!$B$4)</x:f>
        <x:v>46254</x:v>
      </x:c>
      <x:c r="E317" s="171" t="n">
        <x:f>IF(A317="","",IF(B317="Decommissioning",INDEX('Raw Decommissioning'!$F$2:$F$1000,ROWS($A$5:A317)),INDEX('Raw Provisioning'!$F$2:$F$1000,ROWS($A$5:A317)-COUNTA('Raw Decommissioning'!$B$2:$B$1000))))</x:f>
        <x:v>46226.154782592595</x:v>
      </x:c>
      <x:c r="F317" s="171" t="n">
        <x:f>IF(A317="","",IF(B317="Decommissioning",INDEX('Raw Decommissioning'!$G$2:$G$1000,ROWS($A$5:A317)),INDEX('Raw Provisioning'!$H$2:$H$1000,ROWS($A$5:A317)-COUNTA('Raw Decommissioning'!$B$2:$B$1000))))</x:f>
        <x:v>46233.10576160879</x:v>
      </x:c>
      <x:c r="G317" s="170" t="str">
        <x:f>IF(A317="","",IF(B317="Decommissioning",INDEX('Raw Decommissioning'!$I$2:$I$1000,ROWS($A$5:A317)),INDEX('Raw Provisioning'!$J$2:$J$1000,ROWS($A$5:A317)-COUNTA('Raw Decommissioning'!$B$2:$B$1000))))</x:f>
        <x:v>Predictive Revitalization of Instrumentation to Maximize Efficiency - PRIME SBA</x:v>
      </x:c>
      <x:c r="H317" s="170" t="str">
        <x:f>IF(A317="","",IF(B317="Decommissioning",INDEX('Raw Decommissioning'!$J$2:$J$1000,ROWS($A$5:A317)),INDEX('Raw Provisioning'!$L$2:$L$1000,ROWS($A$5:A317)-COUNTA('Raw Decommissioning'!$B$2:$B$1000))))</x:f>
        <x:v>PRIME SBA</x:v>
      </x:c>
      <x:c r="I317" s="170" t="str">
        <x:f>IF(A317="","",IF(B317="Decommissioning",INDEX('Raw Decommissioning'!$AL$2:$AL$1000,ROWS($A$5:A317)),INDEX('Raw Provisioning'!$R$2:$R$1000,ROWS($A$5:A317)-COUNTA('Raw Decommissioning'!$B$2:$B$1000))))</x:f>
        <x:v>M</x:v>
      </x:c>
      <x:c r="J317" s="170" t="str">
        <x:f>IF(A317="","",IF(B317="Decommissioning",INDEX('Raw Decommissioning'!$AG$2:$AG$1000,ROWS($A$5:A317)),INDEX('Raw Provisioning'!$AI$2:$AI$1000,ROWS($A$5:A317)-COUNTA('Raw Decommissioning'!$B$2:$B$1000))))</x:f>
        <x:v>swaminadh.chirakala@petronas.com</x:v>
      </x:c>
      <x:c r="K317" s="172" t="str">
        <x:f>IF(A317="","",IFERROR(LOOKUP(2,1/('Assignment History'!$B$5:$B$204=A317),'Assignment History'!$D$5:$D$204),IFERROR(VLOOKUP(J317,Configuration!$L$5:$M$50,2,FALSE),J317)))</x:f>
        <x:v>swaminadh.chirakala@petronas.com</x:v>
      </x:c>
      <x:c r="L317" s="172" t="str">
        <x:f>IF(A317="","",IF(K317=IFERROR(VLOOKUP(J317,Configuration!$L$5:$M$50,2,FALSE),J317),"Snapshot PIC","Replacement PIC"))</x:f>
        <x:v>Snapshot PIC</x:v>
      </x:c>
      <x:c r="M317" s="172" t="n">
        <x:f>IF(A317="","",IFERROR(VLOOKUP(I317,Configuration!$O$5:$P$8,2,FALSE),Configuration!$S$6))</x:f>
        <x:v>2</x:v>
      </x:c>
      <x:c r="N317" s="172" t="str">
        <x:f>IF(A317="","",IFERROR(LOOKUP(2,1/('Scope Review'!$B$5:$B$204=A317),'Scope Review'!$G$5:$G$204),"Not Reviewed"))</x:f>
        <x:v>Not Reviewed</x:v>
      </x:c>
      <x:c r="O317" s="172" t="str">
        <x:f>IF(A317="","",IFERROR(LOOKUP(2,1/('Scope Review'!$B$5:$B$204=A317),'Scope Review'!$H$5:$H$204),""))</x:f>
      </x:c>
      <x:c r="P317" s="172" t="n">
        <x:f>IF(A317="","",IF(AND(C317="executing",N317&lt;&gt;"Confirmed OOS"),M317,0))</x:f>
        <x:v>2</x:v>
      </x:c>
      <x:c r="Q317" s="173" t="n">
        <x:f>IF(A317="","",IFERROR(LOOKUP(2,1/('Engineer Updates'!$B$5:$B$704=A317),'Engineer Updates'!$A$5:$A$704),""))</x:f>
        <x:v>46251</x:v>
      </x:c>
      <x:c r="R317" s="172" t="str">
        <x:f>IF(A317="","",IFERROR(LOOKUP(2,1/('Engineer Updates'!$B$5:$B$704=A317),'Engineer Updates'!$H$5:$H$704),""))</x:f>
        <x:v>Not Started</x:v>
      </x:c>
      <x:c r="S317" s="172" t="str">
        <x:f>IF(A317="","",IFERROR(LOOKUP(2,1/('Engineer Updates'!$B$5:$B$704=A317),'Engineer Updates'!$G$5:$G$704),""))</x:f>
      </x:c>
      <x:c r="T317" s="172" t="str">
        <x:f>IF(A317="","",IFERROR(LOOKUP(2,1/('Engineer Updates'!$B$5:$B$704=A317),'Engineer Updates'!$I$5:$I$704),""))</x:f>
      </x:c>
      <x:c r="U317" s="172" t="str">
        <x:f>IF(A317="","",IFERROR(LOOKUP(2,1/('Engineer Updates'!$B$5:$B$704=A317),'Engineer Updates'!$J$5:$J$704),""))</x:f>
      </x:c>
      <x:c r="V317" s="172" t="str">
        <x:f>IF(A317="","",IFERROR(LOOKUP(2,1/('Engineer Updates'!$B$5:$B$704=A317),'Engineer Updates'!$K$5:$K$704),""))</x:f>
      </x:c>
      <x:c r="W317" s="174" t="str">
        <x:f>IF(A317="","",IFERROR(LOOKUP(2,1/('Engineer Updates'!$B$5:$B$704=A317),'Engineer Updates'!$L$5:$L$704),""))</x:f>
      </x:c>
      <x:c r="X317" s="170" t="str">
        <x:f>IF(A317="","",IF(C317="completed","Completed in CSSP",IF(AND(C317="executing",ISERROR(SEARCH("@",K317))),"Executing without named engineer",IF(AND(N317="Confirmed OOS",C317="executing"),"Confirmed OOS still executing",""))))</x:f>
      </x:c>
      <x:c r="Y317" s="170" t="str">
        <x:f>IF(A317="","",IF(B317="Decommissioning","Raw Decommissioning","Raw Provisioning"))</x:f>
        <x:v>Raw Decommissioning</x:v>
      </x:c>
      <x:c r="Z317" s="170" t="str">
        <x:f>IF(A317="","",IF(OR(C317="executing",C317="processing"),"Yes","No"))</x:f>
        <x:v>Yes</x:v>
      </x:c>
    </x:row>
    <x:row r="318">
      <x:c r="A318" s="170" t="str">
        <x:f>IF(ROWS($A$5:A318)&lt;=COUNTA('Raw Decommissioning'!$B$2:$B$1000),INDEX('Raw Decommissioning'!$B$2:$B$1000,ROWS($A$5:A318)),IF(ROWS($A$5:A318)-COUNTA('Raw Decommissioning'!$B$2:$B$1000)&lt;=COUNTA('Raw Provisioning'!$B$2:$B$1000),INDEX('Raw Provisioning'!$B$2:$B$1000,ROWS($A$5:A318)-COUNTA('Raw Decommissioning'!$B$2:$B$1000)),""))</x:f>
        <x:v>CSSP10626318</x:v>
      </x:c>
      <x:c r="B318" s="170" t="str">
        <x:f>IF(A318="","",IF(ROWS($A$5:A318)&lt;=COUNTA('Raw Decommissioning'!$B$2:$B$1000),"Decommissioning","Provisioning"))</x:f>
        <x:v>Decommissioning</x:v>
      </x:c>
      <x:c r="C318" s="170" t="str">
        <x:f>IF(A318="","",IF(B318="Decommissioning",IFERROR(INDEX('Raw Decommissioning'!$E$2:$E$1000,MATCH(A318,'Raw Decommissioning'!$B$2:$B$1000,0)),"Missing from latest raw"),IFERROR(INDEX('Raw Provisioning'!$E$2:$E$1000,MATCH(A318,'Raw Provisioning'!$B$2:$B$1000,0)),"Missing from latest raw")))</x:f>
        <x:v>executing</x:v>
      </x:c>
      <x:c r="D318" s="171" t="n">
        <x:f>IF(A318="","",'Refresh Control'!$B$4)</x:f>
        <x:v>46254</x:v>
      </x:c>
      <x:c r="E318" s="171" t="n">
        <x:f>IF(A318="","",IF(B318="Decommissioning",INDEX('Raw Decommissioning'!$F$2:$F$1000,ROWS($A$5:A318)),INDEX('Raw Provisioning'!$F$2:$F$1000,ROWS($A$5:A318)-COUNTA('Raw Decommissioning'!$B$2:$B$1000))))</x:f>
        <x:v>46226.16630017361</x:v>
      </x:c>
      <x:c r="F318" s="171" t="n">
        <x:f>IF(A318="","",IF(B318="Decommissioning",INDEX('Raw Decommissioning'!$G$2:$G$1000,ROWS($A$5:A318)),INDEX('Raw Provisioning'!$H$2:$H$1000,ROWS($A$5:A318)-COUNTA('Raw Decommissioning'!$B$2:$B$1000))))</x:f>
        <x:v>46239.29018210648</x:v>
      </x:c>
      <x:c r="G318" s="170" t="str">
        <x:f>IF(A318="","",IF(B318="Decommissioning",INDEX('Raw Decommissioning'!$I$2:$I$1000,ROWS($A$5:A318)),INDEX('Raw Provisioning'!$J$2:$J$1000,ROWS($A$5:A318)-COUNTA('Raw Decommissioning'!$B$2:$B$1000))))</x:f>
        <x:v>Peer to Peer Energy Trading Platform</x:v>
      </x:c>
      <x:c r="H318" s="170" t="str">
        <x:f>IF(A318="","",IF(B318="Decommissioning",INDEX('Raw Decommissioning'!$J$2:$J$1000,ROWS($A$5:A318)),INDEX('Raw Provisioning'!$L$2:$L$1000,ROWS($A$5:A318)-COUNTA('Raw Decommissioning'!$B$2:$B$1000))))</x:f>
        <x:v>Enhancement of Peer to Peer Energy Trading Platform for PRSB</x:v>
      </x:c>
      <x:c r="I318" s="170" t="str">
        <x:f>IF(A318="","",IF(B318="Decommissioning",INDEX('Raw Decommissioning'!$AL$2:$AL$1000,ROWS($A$5:A318)),INDEX('Raw Provisioning'!$R$2:$R$1000,ROWS($A$5:A318)-COUNTA('Raw Decommissioning'!$B$2:$B$1000))))</x:f>
        <x:v>M</x:v>
      </x:c>
      <x:c r="J318" s="170" t="str">
        <x:f>IF(A318="","",IF(B318="Decommissioning",INDEX('Raw Decommissioning'!$AG$2:$AG$1000,ROWS($A$5:A318)),INDEX('Raw Provisioning'!$AI$2:$AI$1000,ROWS($A$5:A318)-COUNTA('Raw Decommissioning'!$B$2:$B$1000))))</x:f>
        <x:v>amarja.kawade@petronas.com</x:v>
      </x:c>
      <x:c r="K318" s="172" t="str">
        <x:f>IF(A318="","",IFERROR(LOOKUP(2,1/('Assignment History'!$B$5:$B$204=A318),'Assignment History'!$D$5:$D$204),IFERROR(VLOOKUP(J318,Configuration!$L$5:$M$50,2,FALSE),J318)))</x:f>
        <x:v>amarja.kawade@petronas.com</x:v>
      </x:c>
      <x:c r="L318" s="172" t="str">
        <x:f>IF(A318="","",IF(K318=IFERROR(VLOOKUP(J318,Configuration!$L$5:$M$50,2,FALSE),J318),"Snapshot PIC","Replacement PIC"))</x:f>
        <x:v>Snapshot PIC</x:v>
      </x:c>
      <x:c r="M318" s="172" t="n">
        <x:f>IF(A318="","",IFERROR(VLOOKUP(I318,Configuration!$O$5:$P$8,2,FALSE),Configuration!$S$6))</x:f>
        <x:v>2</x:v>
      </x:c>
      <x:c r="N318" s="172" t="str">
        <x:f>IF(A318="","",IFERROR(LOOKUP(2,1/('Scope Review'!$B$5:$B$204=A318),'Scope Review'!$G$5:$G$204),"Not Reviewed"))</x:f>
        <x:v>Not Reviewed</x:v>
      </x:c>
      <x:c r="O318" s="172" t="str">
        <x:f>IF(A318="","",IFERROR(LOOKUP(2,1/('Scope Review'!$B$5:$B$204=A318),'Scope Review'!$H$5:$H$204),""))</x:f>
      </x:c>
      <x:c r="P318" s="172" t="n">
        <x:f>IF(A318="","",IF(AND(C318="executing",N318&lt;&gt;"Confirmed OOS"),M318,0))</x:f>
        <x:v>2</x:v>
      </x:c>
      <x:c r="Q318" s="173" t="n">
        <x:f>IF(A318="","",IFERROR(LOOKUP(2,1/('Engineer Updates'!$B$5:$B$704=A318),'Engineer Updates'!$A$5:$A$704),""))</x:f>
        <x:v>46251</x:v>
      </x:c>
      <x:c r="R318" s="172" t="str">
        <x:f>IF(A318="","",IFERROR(LOOKUP(2,1/('Engineer Updates'!$B$5:$B$704=A318),'Engineer Updates'!$H$5:$H$704),""))</x:f>
        <x:v>Not Started</x:v>
      </x:c>
      <x:c r="S318" s="172" t="str">
        <x:f>IF(A318="","",IFERROR(LOOKUP(2,1/('Engineer Updates'!$B$5:$B$704=A318),'Engineer Updates'!$G$5:$G$704),""))</x:f>
      </x:c>
      <x:c r="T318" s="172" t="str">
        <x:f>IF(A318="","",IFERROR(LOOKUP(2,1/('Engineer Updates'!$B$5:$B$704=A318),'Engineer Updates'!$I$5:$I$704),""))</x:f>
      </x:c>
      <x:c r="U318" s="172" t="str">
        <x:f>IF(A318="","",IFERROR(LOOKUP(2,1/('Engineer Updates'!$B$5:$B$704=A318),'Engineer Updates'!$J$5:$J$704),""))</x:f>
      </x:c>
      <x:c r="V318" s="172" t="str">
        <x:f>IF(A318="","",IFERROR(LOOKUP(2,1/('Engineer Updates'!$B$5:$B$704=A318),'Engineer Updates'!$K$5:$K$704),""))</x:f>
      </x:c>
      <x:c r="W318" s="174" t="str">
        <x:f>IF(A318="","",IFERROR(LOOKUP(2,1/('Engineer Updates'!$B$5:$B$704=A318),'Engineer Updates'!$L$5:$L$704),""))</x:f>
      </x:c>
      <x:c r="X318" s="170" t="str">
        <x:f>IF(A318="","",IF(C318="completed","Completed in CSSP",IF(AND(C318="executing",ISERROR(SEARCH("@",K318))),"Executing without named engineer",IF(AND(N318="Confirmed OOS",C318="executing"),"Confirmed OOS still executing",""))))</x:f>
      </x:c>
      <x:c r="Y318" s="170" t="str">
        <x:f>IF(A318="","",IF(B318="Decommissioning","Raw Decommissioning","Raw Provisioning"))</x:f>
        <x:v>Raw Decommissioning</x:v>
      </x:c>
      <x:c r="Z318" s="170" t="str">
        <x:f>IF(A318="","",IF(OR(C318="executing",C318="processing"),"Yes","No"))</x:f>
        <x:v>Yes</x:v>
      </x:c>
    </x:row>
    <x:row r="319">
      <x:c r="A319" s="170" t="str">
        <x:f>IF(ROWS($A$5:A319)&lt;=COUNTA('Raw Decommissioning'!$B$2:$B$1000),INDEX('Raw Decommissioning'!$B$2:$B$1000,ROWS($A$5:A319)),IF(ROWS($A$5:A319)-COUNTA('Raw Decommissioning'!$B$2:$B$1000)&lt;=COUNTA('Raw Provisioning'!$B$2:$B$1000),INDEX('Raw Provisioning'!$B$2:$B$1000,ROWS($A$5:A319)-COUNTA('Raw Decommissioning'!$B$2:$B$1000)),""))</x:f>
        <x:v>CSSP10865674</x:v>
      </x:c>
      <x:c r="B319" s="170" t="str">
        <x:f>IF(A319="","",IF(ROWS($A$5:A319)&lt;=COUNTA('Raw Decommissioning'!$B$2:$B$1000),"Decommissioning","Provisioning"))</x:f>
        <x:v>Decommissioning</x:v>
      </x:c>
      <x:c r="C319" s="170" t="str">
        <x:f>IF(A319="","",IF(B319="Decommissioning",IFERROR(INDEX('Raw Decommissioning'!$E$2:$E$1000,MATCH(A319,'Raw Decommissioning'!$B$2:$B$1000,0)),"Missing from latest raw"),IFERROR(INDEX('Raw Provisioning'!$E$2:$E$1000,MATCH(A319,'Raw Provisioning'!$B$2:$B$1000,0)),"Missing from latest raw")))</x:f>
        <x:v>rejected</x:v>
      </x:c>
      <x:c r="D319" s="171" t="n">
        <x:f>IF(A319="","",'Refresh Control'!$B$4)</x:f>
        <x:v>46254</x:v>
      </x:c>
      <x:c r="E319" s="171" t="n">
        <x:f>IF(A319="","",IF(B319="Decommissioning",INDEX('Raw Decommissioning'!$F$2:$F$1000,ROWS($A$5:A319)),INDEX('Raw Provisioning'!$F$2:$F$1000,ROWS($A$5:A319)-COUNTA('Raw Decommissioning'!$B$2:$B$1000))))</x:f>
        <x:v>46226.176827650466</x:v>
      </x:c>
      <x:c r="F319" s="171" t="n">
        <x:f>IF(A319="","",IF(B319="Decommissioning",INDEX('Raw Decommissioning'!$G$2:$G$1000,ROWS($A$5:A319)),INDEX('Raw Provisioning'!$H$2:$H$1000,ROWS($A$5:A319)-COUNTA('Raw Decommissioning'!$B$2:$B$1000))))</x:f>
        <x:v>46244.08650857639</x:v>
      </x:c>
      <x:c r="G319" s="170" t="str">
        <x:f>IF(A319="","",IF(B319="Decommissioning",INDEX('Raw Decommissioning'!$I$2:$I$1000,ROWS($A$5:A319)),INDEX('Raw Provisioning'!$J$2:$J$1000,ROWS($A$5:A319)-COUNTA('Raw Decommissioning'!$B$2:$B$1000))))</x:f>
        <x:v>DARS</x:v>
      </x:c>
      <x:c r="H319" s="170" t="str">
        <x:f>IF(A319="","",IF(B319="Decommissioning",INDEX('Raw Decommissioning'!$J$2:$J$1000,ROWS($A$5:A319)),INDEX('Raw Provisioning'!$L$2:$L$1000,ROWS($A$5:A319)-COUNTA('Raw Decommissioning'!$B$2:$B$1000))))</x:f>
        <x:v>DARS created for PRIVATECLOUD project record</x:v>
      </x:c>
      <x:c r="I319" s="170" t="str">
        <x:f>IF(A319="","",IF(B319="Decommissioning",INDEX('Raw Decommissioning'!$AL$2:$AL$1000,ROWS($A$5:A319)),INDEX('Raw Provisioning'!$R$2:$R$1000,ROWS($A$5:A319)-COUNTA('Raw Decommissioning'!$B$2:$B$1000))))</x:f>
      </x:c>
      <x:c r="J319" s="170" t="str">
        <x:f>IF(A319="","",IF(B319="Decommissioning",INDEX('Raw Decommissioning'!$AG$2:$AG$1000,ROWS($A$5:A319)),INDEX('Raw Provisioning'!$AI$2:$AI$1000,ROWS($A$5:A319)-COUNTA('Raw Decommissioning'!$B$2:$B$1000))))</x:f>
        <x:v>IMS - CLOUD CSSP EXECUTOR</x:v>
      </x:c>
      <x:c r="K319" s="172" t="str">
        <x:f>IF(A319="","",IFERROR(LOOKUP(2,1/('Assignment History'!$B$5:$B$204=A319),'Assignment History'!$D$5:$D$204),IFERROR(VLOOKUP(J319,Configuration!$L$5:$M$50,2,FALSE),J319)))</x:f>
        <x:v>IMS - CLOUD CSSP EXECUTOR</x:v>
      </x:c>
      <x:c r="L319" s="172" t="str">
        <x:f>IF(A319="","",IF(K319=IFERROR(VLOOKUP(J319,Configuration!$L$5:$M$50,2,FALSE),J319),"Snapshot PIC","Replacement PIC"))</x:f>
        <x:v>Snapshot PIC</x:v>
      </x:c>
      <x:c r="M319" s="172" t="n">
        <x:f>IF(A319="","",IFERROR(VLOOKUP(I319,Configuration!$O$5:$P$8,2,FALSE),Configuration!$S$6))</x:f>
        <x:v>2</x:v>
      </x:c>
      <x:c r="N319" s="172" t="str">
        <x:f>IF(A319="","",IFERROR(LOOKUP(2,1/('Scope Review'!$B$5:$B$204=A319),'Scope Review'!$G$5:$G$204),"Not Reviewed"))</x:f>
        <x:v>Not Reviewed</x:v>
      </x:c>
      <x:c r="O319" s="172" t="str">
        <x:f>IF(A319="","",IFERROR(LOOKUP(2,1/('Scope Review'!$B$5:$B$204=A319),'Scope Review'!$H$5:$H$204),""))</x:f>
      </x:c>
      <x:c r="P319" s="172" t="n">
        <x:f>IF(A319="","",IF(AND(C319="executing",N319&lt;&gt;"Confirmed OOS"),M319,0))</x:f>
        <x:v>0</x:v>
      </x:c>
      <x:c r="Q319" s="173" t="str">
        <x:f>IF(A319="","",IFERROR(LOOKUP(2,1/('Engineer Updates'!$B$5:$B$704=A319),'Engineer Updates'!$A$5:$A$704),""))</x:f>
      </x:c>
      <x:c r="R319" s="172" t="str">
        <x:f>IF(A319="","",IFERROR(LOOKUP(2,1/('Engineer Updates'!$B$5:$B$704=A319),'Engineer Updates'!$H$5:$H$704),""))</x:f>
      </x:c>
      <x:c r="S319" s="172" t="str">
        <x:f>IF(A319="","",IFERROR(LOOKUP(2,1/('Engineer Updates'!$B$5:$B$704=A319),'Engineer Updates'!$G$5:$G$704),""))</x:f>
      </x:c>
      <x:c r="T319" s="172" t="str">
        <x:f>IF(A319="","",IFERROR(LOOKUP(2,1/('Engineer Updates'!$B$5:$B$704=A319),'Engineer Updates'!$I$5:$I$704),""))</x:f>
      </x:c>
      <x:c r="U319" s="172" t="str">
        <x:f>IF(A319="","",IFERROR(LOOKUP(2,1/('Engineer Updates'!$B$5:$B$704=A319),'Engineer Updates'!$J$5:$J$704),""))</x:f>
      </x:c>
      <x:c r="V319" s="172" t="str">
        <x:f>IF(A319="","",IFERROR(LOOKUP(2,1/('Engineer Updates'!$B$5:$B$704=A319),'Engineer Updates'!$K$5:$K$704),""))</x:f>
      </x:c>
      <x:c r="W319" s="174" t="str">
        <x:f>IF(A319="","",IFERROR(LOOKUP(2,1/('Engineer Updates'!$B$5:$B$704=A319),'Engineer Updates'!$L$5:$L$704),""))</x:f>
      </x:c>
      <x:c r="X319" s="170" t="str">
        <x:f>IF(A319="","",IF(C319="completed","Completed in CSSP",IF(AND(C319="executing",ISERROR(SEARCH("@",K319))),"Executing without named engineer",IF(AND(N319="Confirmed OOS",C319="executing"),"Confirmed OOS still executing",""))))</x:f>
      </x:c>
      <x:c r="Y319" s="170" t="str">
        <x:f>IF(A319="","",IF(B319="Decommissioning","Raw Decommissioning","Raw Provisioning"))</x:f>
        <x:v>Raw Decommissioning</x:v>
      </x:c>
      <x:c r="Z319" s="170" t="str">
        <x:f>IF(A319="","",IF(OR(C319="executing",C319="processing"),"Yes","No"))</x:f>
        <x:v>No</x:v>
      </x:c>
    </x:row>
    <x:row r="320">
      <x:c r="A320" s="170" t="str">
        <x:f>IF(ROWS($A$5:A320)&lt;=COUNTA('Raw Decommissioning'!$B$2:$B$1000),INDEX('Raw Decommissioning'!$B$2:$B$1000,ROWS($A$5:A320)),IF(ROWS($A$5:A320)-COUNTA('Raw Decommissioning'!$B$2:$B$1000)&lt;=COUNTA('Raw Provisioning'!$B$2:$B$1000),INDEX('Raw Provisioning'!$B$2:$B$1000,ROWS($A$5:A320)-COUNTA('Raw Decommissioning'!$B$2:$B$1000)),""))</x:f>
        <x:v>CSSP10958793</x:v>
      </x:c>
      <x:c r="B320" s="170" t="str">
        <x:f>IF(A320="","",IF(ROWS($A$5:A320)&lt;=COUNTA('Raw Decommissioning'!$B$2:$B$1000),"Decommissioning","Provisioning"))</x:f>
        <x:v>Decommissioning</x:v>
      </x:c>
      <x:c r="C320" s="170" t="str">
        <x:f>IF(A320="","",IF(B320="Decommissioning",IFERROR(INDEX('Raw Decommissioning'!$E$2:$E$1000,MATCH(A320,'Raw Decommissioning'!$B$2:$B$1000,0)),"Missing from latest raw"),IFERROR(INDEX('Raw Provisioning'!$E$2:$E$1000,MATCH(A320,'Raw Provisioning'!$B$2:$B$1000,0)),"Missing from latest raw")))</x:f>
        <x:v>rejected</x:v>
      </x:c>
      <x:c r="D320" s="171" t="n">
        <x:f>IF(A320="","",'Refresh Control'!$B$4)</x:f>
        <x:v>46254</x:v>
      </x:c>
      <x:c r="E320" s="171" t="n">
        <x:f>IF(A320="","",IF(B320="Decommissioning",INDEX('Raw Decommissioning'!$F$2:$F$1000,ROWS($A$5:A320)),INDEX('Raw Provisioning'!$F$2:$F$1000,ROWS($A$5:A320)-COUNTA('Raw Decommissioning'!$B$2:$B$1000))))</x:f>
        <x:v>46226.180257025466</x:v>
      </x:c>
      <x:c r="F320" s="171" t="n">
        <x:f>IF(A320="","",IF(B320="Decommissioning",INDEX('Raw Decommissioning'!$G$2:$G$1000,ROWS($A$5:A320)),INDEX('Raw Provisioning'!$H$2:$H$1000,ROWS($A$5:A320)-COUNTA('Raw Decommissioning'!$B$2:$B$1000))))</x:f>
        <x:v>46244.08582346065</x:v>
      </x:c>
      <x:c r="G320" s="170" t="str">
        <x:f>IF(A320="","",IF(B320="Decommissioning",INDEX('Raw Decommissioning'!$I$2:$I$1000,ROWS($A$5:A320)),INDEX('Raw Provisioning'!$J$2:$J$1000,ROWS($A$5:A320)-COUNTA('Raw Decommissioning'!$B$2:$B$1000))))</x:f>
        <x:v>Plant Operation Management</x:v>
      </x:c>
      <x:c r="H320" s="170" t="str">
        <x:f>IF(A320="","",IF(B320="Decommissioning",INDEX('Raw Decommissioning'!$J$2:$J$1000,ROWS($A$5:A320)),INDEX('Raw Provisioning'!$L$2:$L$1000,ROWS($A$5:A320)-COUNTA('Raw Decommissioning'!$B$2:$B$1000))))</x:f>
        <x:v>Plant Operation Management created for PRIVATECLOUD project record</x:v>
      </x:c>
      <x:c r="I320" s="170" t="str">
        <x:f>IF(A320="","",IF(B320="Decommissioning",INDEX('Raw Decommissioning'!$AL$2:$AL$1000,ROWS($A$5:A320)),INDEX('Raw Provisioning'!$R$2:$R$1000,ROWS($A$5:A320)-COUNTA('Raw Decommissioning'!$B$2:$B$1000))))</x:f>
      </x:c>
      <x:c r="J320" s="170" t="str">
        <x:f>IF(A320="","",IF(B320="Decommissioning",INDEX('Raw Decommissioning'!$AG$2:$AG$1000,ROWS($A$5:A320)),INDEX('Raw Provisioning'!$AI$2:$AI$1000,ROWS($A$5:A320)-COUNTA('Raw Decommissioning'!$B$2:$B$1000))))</x:f>
        <x:v>IMS - CLOUD CSSP EXECUTOR</x:v>
      </x:c>
      <x:c r="K320" s="172" t="str">
        <x:f>IF(A320="","",IFERROR(LOOKUP(2,1/('Assignment History'!$B$5:$B$204=A320),'Assignment History'!$D$5:$D$204),IFERROR(VLOOKUP(J320,Configuration!$L$5:$M$50,2,FALSE),J320)))</x:f>
        <x:v>IMS - CLOUD CSSP EXECUTOR</x:v>
      </x:c>
      <x:c r="L320" s="172" t="str">
        <x:f>IF(A320="","",IF(K320=IFERROR(VLOOKUP(J320,Configuration!$L$5:$M$50,2,FALSE),J320),"Snapshot PIC","Replacement PIC"))</x:f>
        <x:v>Snapshot PIC</x:v>
      </x:c>
      <x:c r="M320" s="172" t="n">
        <x:f>IF(A320="","",IFERROR(VLOOKUP(I320,Configuration!$O$5:$P$8,2,FALSE),Configuration!$S$6))</x:f>
        <x:v>2</x:v>
      </x:c>
      <x:c r="N320" s="172" t="str">
        <x:f>IF(A320="","",IFERROR(LOOKUP(2,1/('Scope Review'!$B$5:$B$204=A320),'Scope Review'!$G$5:$G$204),"Not Reviewed"))</x:f>
        <x:v>Not Reviewed</x:v>
      </x:c>
      <x:c r="O320" s="172" t="str">
        <x:f>IF(A320="","",IFERROR(LOOKUP(2,1/('Scope Review'!$B$5:$B$204=A320),'Scope Review'!$H$5:$H$204),""))</x:f>
      </x:c>
      <x:c r="P320" s="172" t="n">
        <x:f>IF(A320="","",IF(AND(C320="executing",N320&lt;&gt;"Confirmed OOS"),M320,0))</x:f>
        <x:v>0</x:v>
      </x:c>
      <x:c r="Q320" s="173" t="str">
        <x:f>IF(A320="","",IFERROR(LOOKUP(2,1/('Engineer Updates'!$B$5:$B$704=A320),'Engineer Updates'!$A$5:$A$704),""))</x:f>
      </x:c>
      <x:c r="R320" s="172" t="str">
        <x:f>IF(A320="","",IFERROR(LOOKUP(2,1/('Engineer Updates'!$B$5:$B$704=A320),'Engineer Updates'!$H$5:$H$704),""))</x:f>
      </x:c>
      <x:c r="S320" s="172" t="str">
        <x:f>IF(A320="","",IFERROR(LOOKUP(2,1/('Engineer Updates'!$B$5:$B$704=A320),'Engineer Updates'!$G$5:$G$704),""))</x:f>
      </x:c>
      <x:c r="T320" s="172" t="str">
        <x:f>IF(A320="","",IFERROR(LOOKUP(2,1/('Engineer Updates'!$B$5:$B$704=A320),'Engineer Updates'!$I$5:$I$704),""))</x:f>
      </x:c>
      <x:c r="U320" s="172" t="str">
        <x:f>IF(A320="","",IFERROR(LOOKUP(2,1/('Engineer Updates'!$B$5:$B$704=A320),'Engineer Updates'!$J$5:$J$704),""))</x:f>
      </x:c>
      <x:c r="V320" s="172" t="str">
        <x:f>IF(A320="","",IFERROR(LOOKUP(2,1/('Engineer Updates'!$B$5:$B$704=A320),'Engineer Updates'!$K$5:$K$704),""))</x:f>
      </x:c>
      <x:c r="W320" s="174" t="str">
        <x:f>IF(A320="","",IFERROR(LOOKUP(2,1/('Engineer Updates'!$B$5:$B$704=A320),'Engineer Updates'!$L$5:$L$704),""))</x:f>
      </x:c>
      <x:c r="X320" s="170" t="str">
        <x:f>IF(A320="","",IF(C320="completed","Completed in CSSP",IF(AND(C320="executing",ISERROR(SEARCH("@",K320))),"Executing without named engineer",IF(AND(N320="Confirmed OOS",C320="executing"),"Confirmed OOS still executing",""))))</x:f>
      </x:c>
      <x:c r="Y320" s="170" t="str">
        <x:f>IF(A320="","",IF(B320="Decommissioning","Raw Decommissioning","Raw Provisioning"))</x:f>
        <x:v>Raw Decommissioning</x:v>
      </x:c>
      <x:c r="Z320" s="170" t="str">
        <x:f>IF(A320="","",IF(OR(C320="executing",C320="processing"),"Yes","No"))</x:f>
        <x:v>No</x:v>
      </x:c>
    </x:row>
    <x:row r="321">
      <x:c r="A321" s="170" t="str">
        <x:f>IF(ROWS($A$5:A321)&lt;=COUNTA('Raw Decommissioning'!$B$2:$B$1000),INDEX('Raw Decommissioning'!$B$2:$B$1000,ROWS($A$5:A321)),IF(ROWS($A$5:A321)-COUNTA('Raw Decommissioning'!$B$2:$B$1000)&lt;=COUNTA('Raw Provisioning'!$B$2:$B$1000),INDEX('Raw Provisioning'!$B$2:$B$1000,ROWS($A$5:A321)-COUNTA('Raw Decommissioning'!$B$2:$B$1000)),""))</x:f>
        <x:v>CSSP10876136</x:v>
      </x:c>
      <x:c r="B321" s="170" t="str">
        <x:f>IF(A321="","",IF(ROWS($A$5:A321)&lt;=COUNTA('Raw Decommissioning'!$B$2:$B$1000),"Decommissioning","Provisioning"))</x:f>
        <x:v>Decommissioning</x:v>
      </x:c>
      <x:c r="C321" s="170" t="str">
        <x:f>IF(A321="","",IF(B321="Decommissioning",IFERROR(INDEX('Raw Decommissioning'!$E$2:$E$1000,MATCH(A321,'Raw Decommissioning'!$B$2:$B$1000,0)),"Missing from latest raw"),IFERROR(INDEX('Raw Provisioning'!$E$2:$E$1000,MATCH(A321,'Raw Provisioning'!$B$2:$B$1000,0)),"Missing from latest raw")))</x:f>
        <x:v>executing</x:v>
      </x:c>
      <x:c r="D321" s="171" t="n">
        <x:f>IF(A321="","",'Refresh Control'!$B$4)</x:f>
        <x:v>46254</x:v>
      </x:c>
      <x:c r="E321" s="171" t="n">
        <x:f>IF(A321="","",IF(B321="Decommissioning",INDEX('Raw Decommissioning'!$F$2:$F$1000,ROWS($A$5:A321)),INDEX('Raw Provisioning'!$F$2:$F$1000,ROWS($A$5:A321)-COUNTA('Raw Decommissioning'!$B$2:$B$1000))))</x:f>
        <x:v>46226.21102033565</x:v>
      </x:c>
      <x:c r="F321" s="171" t="n">
        <x:f>IF(A321="","",IF(B321="Decommissioning",INDEX('Raw Decommissioning'!$G$2:$G$1000,ROWS($A$5:A321)),INDEX('Raw Provisioning'!$H$2:$H$1000,ROWS($A$5:A321)-COUNTA('Raw Decommissioning'!$B$2:$B$1000))))</x:f>
        <x:v>46239.61959692129</x:v>
      </x:c>
      <x:c r="G321" s="170" t="str">
        <x:f>IF(A321="","",IF(B321="Decommissioning",INDEX('Raw Decommissioning'!$I$2:$I$1000,ROWS($A$5:A321)),INDEX('Raw Provisioning'!$J$2:$J$1000,ROWS($A$5:A321)-COUNTA('Raw Decommissioning'!$B$2:$B$1000))))</x:f>
        <x:v>Primavera-SAP Integration</x:v>
      </x:c>
      <x:c r="H321" s="170" t="str">
        <x:f>IF(A321="","",IF(B321="Decommissioning",INDEX('Raw Decommissioning'!$J$2:$J$1000,ROWS($A$5:A321)),INDEX('Raw Provisioning'!$L$2:$L$1000,ROWS($A$5:A321)-COUNTA('Raw Decommissioning'!$B$2:$B$1000))))</x:f>
        <x:v>Primavera-SAP Integration created for PRIVATECLOUD project record</x:v>
      </x:c>
      <x:c r="I321" s="170" t="str">
        <x:f>IF(A321="","",IF(B321="Decommissioning",INDEX('Raw Decommissioning'!$AL$2:$AL$1000,ROWS($A$5:A321)),INDEX('Raw Provisioning'!$R$2:$R$1000,ROWS($A$5:A321)-COUNTA('Raw Decommissioning'!$B$2:$B$1000))))</x:f>
        <x:v>M</x:v>
      </x:c>
      <x:c r="J321" s="170" t="str">
        <x:f>IF(A321="","",IF(B321="Decommissioning",INDEX('Raw Decommissioning'!$AG$2:$AG$1000,ROWS($A$5:A321)),INDEX('Raw Provisioning'!$AI$2:$AI$1000,ROWS($A$5:A321)-COUNTA('Raw Decommissioning'!$B$2:$B$1000))))</x:f>
        <x:v>amarja.kawade@petronas.com</x:v>
      </x:c>
      <x:c r="K321" s="172" t="str">
        <x:f>IF(A321="","",IFERROR(LOOKUP(2,1/('Assignment History'!$B$5:$B$204=A321),'Assignment History'!$D$5:$D$204),IFERROR(VLOOKUP(J321,Configuration!$L$5:$M$50,2,FALSE),J321)))</x:f>
        <x:v>amarja.kawade@petronas.com</x:v>
      </x:c>
      <x:c r="L321" s="172" t="str">
        <x:f>IF(A321="","",IF(K321=IFERROR(VLOOKUP(J321,Configuration!$L$5:$M$50,2,FALSE),J321),"Snapshot PIC","Replacement PIC"))</x:f>
        <x:v>Snapshot PIC</x:v>
      </x:c>
      <x:c r="M321" s="172" t="n">
        <x:f>IF(A321="","",IFERROR(VLOOKUP(I321,Configuration!$O$5:$P$8,2,FALSE),Configuration!$S$6))</x:f>
        <x:v>2</x:v>
      </x:c>
      <x:c r="N321" s="172" t="str">
        <x:f>IF(A321="","",IFERROR(LOOKUP(2,1/('Scope Review'!$B$5:$B$204=A321),'Scope Review'!$G$5:$G$204),"Not Reviewed"))</x:f>
        <x:v>Not Reviewed</x:v>
      </x:c>
      <x:c r="O321" s="172" t="str">
        <x:f>IF(A321="","",IFERROR(LOOKUP(2,1/('Scope Review'!$B$5:$B$204=A321),'Scope Review'!$H$5:$H$204),""))</x:f>
      </x:c>
      <x:c r="P321" s="172" t="n">
        <x:f>IF(A321="","",IF(AND(C321="executing",N321&lt;&gt;"Confirmed OOS"),M321,0))</x:f>
        <x:v>2</x:v>
      </x:c>
      <x:c r="Q321" s="173" t="n">
        <x:f>IF(A321="","",IFERROR(LOOKUP(2,1/('Engineer Updates'!$B$5:$B$704=A321),'Engineer Updates'!$A$5:$A$704),""))</x:f>
        <x:v>46251</x:v>
      </x:c>
      <x:c r="R321" s="172" t="str">
        <x:f>IF(A321="","",IFERROR(LOOKUP(2,1/('Engineer Updates'!$B$5:$B$704=A321),'Engineer Updates'!$H$5:$H$704),""))</x:f>
        <x:v>Not Started</x:v>
      </x:c>
      <x:c r="S321" s="172" t="str">
        <x:f>IF(A321="","",IFERROR(LOOKUP(2,1/('Engineer Updates'!$B$5:$B$704=A321),'Engineer Updates'!$G$5:$G$704),""))</x:f>
      </x:c>
      <x:c r="T321" s="172" t="str">
        <x:f>IF(A321="","",IFERROR(LOOKUP(2,1/('Engineer Updates'!$B$5:$B$704=A321),'Engineer Updates'!$I$5:$I$704),""))</x:f>
      </x:c>
      <x:c r="U321" s="172" t="str">
        <x:f>IF(A321="","",IFERROR(LOOKUP(2,1/('Engineer Updates'!$B$5:$B$704=A321),'Engineer Updates'!$J$5:$J$704),""))</x:f>
      </x:c>
      <x:c r="V321" s="172" t="str">
        <x:f>IF(A321="","",IFERROR(LOOKUP(2,1/('Engineer Updates'!$B$5:$B$704=A321),'Engineer Updates'!$K$5:$K$704),""))</x:f>
      </x:c>
      <x:c r="W321" s="174" t="str">
        <x:f>IF(A321="","",IFERROR(LOOKUP(2,1/('Engineer Updates'!$B$5:$B$704=A321),'Engineer Updates'!$L$5:$L$704),""))</x:f>
      </x:c>
      <x:c r="X321" s="170" t="str">
        <x:f>IF(A321="","",IF(C321="completed","Completed in CSSP",IF(AND(C321="executing",ISERROR(SEARCH("@",K321))),"Executing without named engineer",IF(AND(N321="Confirmed OOS",C321="executing"),"Confirmed OOS still executing",""))))</x:f>
      </x:c>
      <x:c r="Y321" s="170" t="str">
        <x:f>IF(A321="","",IF(B321="Decommissioning","Raw Decommissioning","Raw Provisioning"))</x:f>
        <x:v>Raw Decommissioning</x:v>
      </x:c>
      <x:c r="Z321" s="170" t="str">
        <x:f>IF(A321="","",IF(OR(C321="executing",C321="processing"),"Yes","No"))</x:f>
        <x:v>Yes</x:v>
      </x:c>
    </x:row>
    <x:row r="322">
      <x:c r="A322" s="170" t="str">
        <x:f>IF(ROWS($A$5:A322)&lt;=COUNTA('Raw Decommissioning'!$B$2:$B$1000),INDEX('Raw Decommissioning'!$B$2:$B$1000,ROWS($A$5:A322)),IF(ROWS($A$5:A322)-COUNTA('Raw Decommissioning'!$B$2:$B$1000)&lt;=COUNTA('Raw Provisioning'!$B$2:$B$1000),INDEX('Raw Provisioning'!$B$2:$B$1000,ROWS($A$5:A322)-COUNTA('Raw Decommissioning'!$B$2:$B$1000)),""))</x:f>
        <x:v>CSSP10231806</x:v>
      </x:c>
      <x:c r="B322" s="170" t="str">
        <x:f>IF(A322="","",IF(ROWS($A$5:A322)&lt;=COUNTA('Raw Decommissioning'!$B$2:$B$1000),"Decommissioning","Provisioning"))</x:f>
        <x:v>Decommissioning</x:v>
      </x:c>
      <x:c r="C322" s="170" t="str">
        <x:f>IF(A322="","",IF(B322="Decommissioning",IFERROR(INDEX('Raw Decommissioning'!$E$2:$E$1000,MATCH(A322,'Raw Decommissioning'!$B$2:$B$1000,0)),"Missing from latest raw"),IFERROR(INDEX('Raw Provisioning'!$E$2:$E$1000,MATCH(A322,'Raw Provisioning'!$B$2:$B$1000,0)),"Missing from latest raw")))</x:f>
        <x:v>executing</x:v>
      </x:c>
      <x:c r="D322" s="171" t="n">
        <x:f>IF(A322="","",'Refresh Control'!$B$4)</x:f>
        <x:v>46254</x:v>
      </x:c>
      <x:c r="E322" s="171" t="n">
        <x:f>IF(A322="","",IF(B322="Decommissioning",INDEX('Raw Decommissioning'!$F$2:$F$1000,ROWS($A$5:A322)),INDEX('Raw Provisioning'!$F$2:$F$1000,ROWS($A$5:A322)-COUNTA('Raw Decommissioning'!$B$2:$B$1000))))</x:f>
        <x:v>46226.24426075231</x:v>
      </x:c>
      <x:c r="F322" s="171" t="n">
        <x:f>IF(A322="","",IF(B322="Decommissioning",INDEX('Raw Decommissioning'!$G$2:$G$1000,ROWS($A$5:A322)),INDEX('Raw Provisioning'!$H$2:$H$1000,ROWS($A$5:A322)-COUNTA('Raw Decommissioning'!$B$2:$B$1000))))</x:f>
        <x:v>46233.105323958334</x:v>
      </x:c>
      <x:c r="G322" s="170" t="str">
        <x:f>IF(A322="","",IF(B322="Decommissioning",INDEX('Raw Decommissioning'!$I$2:$I$1000,ROWS($A$5:A322)),INDEX('Raw Provisioning'!$J$2:$J$1000,ROWS($A$5:A322)-COUNTA('Raw Decommissioning'!$B$2:$B$1000))))</x:f>
        <x:v>E-CAKNA PCSB</x:v>
      </x:c>
      <x:c r="H322" s="170" t="str">
        <x:f>IF(A322="","",IF(B322="Decommissioning",INDEX('Raw Decommissioning'!$J$2:$J$1000,ROWS($A$5:A322)),INDEX('Raw Provisioning'!$L$2:$L$1000,ROWS($A$5:A322)-COUNTA('Raw Decommissioning'!$B$2:$B$1000))))</x:f>
        <x:v>E-CAKNA PCSB created for PRIVATECLOUD project record</x:v>
      </x:c>
      <x:c r="I322" s="170" t="str">
        <x:f>IF(A322="","",IF(B322="Decommissioning",INDEX('Raw Decommissioning'!$AL$2:$AL$1000,ROWS($A$5:A322)),INDEX('Raw Provisioning'!$R$2:$R$1000,ROWS($A$5:A322)-COUNTA('Raw Decommissioning'!$B$2:$B$1000))))</x:f>
        <x:v>M</x:v>
      </x:c>
      <x:c r="J322" s="170" t="str">
        <x:f>IF(A322="","",IF(B322="Decommissioning",INDEX('Raw Decommissioning'!$AG$2:$AG$1000,ROWS($A$5:A322)),INDEX('Raw Provisioning'!$AI$2:$AI$1000,ROWS($A$5:A322)-COUNTA('Raw Decommissioning'!$B$2:$B$1000))))</x:f>
        <x:v>K.saktivelu@petronas.com</x:v>
      </x:c>
      <x:c r="K322" s="172" t="str">
        <x:f>IF(A322="","",IFERROR(LOOKUP(2,1/('Assignment History'!$B$5:$B$204=A322),'Assignment History'!$D$5:$D$204),IFERROR(VLOOKUP(J322,Configuration!$L$5:$M$50,2,FALSE),J322)))</x:f>
        <x:v>k.saktivelu@petronas.com</x:v>
      </x:c>
      <x:c r="L322" s="172" t="str">
        <x:f>IF(A322="","",IF(K322=IFERROR(VLOOKUP(J322,Configuration!$L$5:$M$50,2,FALSE),J322),"Snapshot PIC","Replacement PIC"))</x:f>
        <x:v>Snapshot PIC</x:v>
      </x:c>
      <x:c r="M322" s="172" t="n">
        <x:f>IF(A322="","",IFERROR(VLOOKUP(I322,Configuration!$O$5:$P$8,2,FALSE),Configuration!$S$6))</x:f>
        <x:v>2</x:v>
      </x:c>
      <x:c r="N322" s="172" t="str">
        <x:f>IF(A322="","",IFERROR(LOOKUP(2,1/('Scope Review'!$B$5:$B$204=A322),'Scope Review'!$G$5:$G$204),"Not Reviewed"))</x:f>
        <x:v>Not Reviewed</x:v>
      </x:c>
      <x:c r="O322" s="172" t="str">
        <x:f>IF(A322="","",IFERROR(LOOKUP(2,1/('Scope Review'!$B$5:$B$204=A322),'Scope Review'!$H$5:$H$204),""))</x:f>
      </x:c>
      <x:c r="P322" s="172" t="n">
        <x:f>IF(A322="","",IF(AND(C322="executing",N322&lt;&gt;"Confirmed OOS"),M322,0))</x:f>
        <x:v>2</x:v>
      </x:c>
      <x:c r="Q322" s="173" t="n">
        <x:f>IF(A322="","",IFERROR(LOOKUP(2,1/('Engineer Updates'!$B$5:$B$704=A322),'Engineer Updates'!$A$5:$A$704),""))</x:f>
        <x:v>46251</x:v>
      </x:c>
      <x:c r="R322" s="172" t="str">
        <x:f>IF(A322="","",IFERROR(LOOKUP(2,1/('Engineer Updates'!$B$5:$B$704=A322),'Engineer Updates'!$H$5:$H$704),""))</x:f>
        <x:v>Not Started</x:v>
      </x:c>
      <x:c r="S322" s="172" t="str">
        <x:f>IF(A322="","",IFERROR(LOOKUP(2,1/('Engineer Updates'!$B$5:$B$704=A322),'Engineer Updates'!$G$5:$G$704),""))</x:f>
      </x:c>
      <x:c r="T322" s="172" t="str">
        <x:f>IF(A322="","",IFERROR(LOOKUP(2,1/('Engineer Updates'!$B$5:$B$704=A322),'Engineer Updates'!$I$5:$I$704),""))</x:f>
      </x:c>
      <x:c r="U322" s="172" t="str">
        <x:f>IF(A322="","",IFERROR(LOOKUP(2,1/('Engineer Updates'!$B$5:$B$704=A322),'Engineer Updates'!$J$5:$J$704),""))</x:f>
      </x:c>
      <x:c r="V322" s="172" t="str">
        <x:f>IF(A322="","",IFERROR(LOOKUP(2,1/('Engineer Updates'!$B$5:$B$704=A322),'Engineer Updates'!$K$5:$K$704),""))</x:f>
      </x:c>
      <x:c r="W322" s="174" t="str">
        <x:f>IF(A322="","",IFERROR(LOOKUP(2,1/('Engineer Updates'!$B$5:$B$704=A322),'Engineer Updates'!$L$5:$L$704),""))</x:f>
      </x:c>
      <x:c r="X322" s="170" t="str">
        <x:f>IF(A322="","",IF(C322="completed","Completed in CSSP",IF(AND(C322="executing",ISERROR(SEARCH("@",K322))),"Executing without named engineer",IF(AND(N322="Confirmed OOS",C322="executing"),"Confirmed OOS still executing",""))))</x:f>
      </x:c>
      <x:c r="Y322" s="170" t="str">
        <x:f>IF(A322="","",IF(B322="Decommissioning","Raw Decommissioning","Raw Provisioning"))</x:f>
        <x:v>Raw Decommissioning</x:v>
      </x:c>
      <x:c r="Z322" s="170" t="str">
        <x:f>IF(A322="","",IF(OR(C322="executing",C322="processing"),"Yes","No"))</x:f>
        <x:v>Yes</x:v>
      </x:c>
    </x:row>
    <x:row r="323">
      <x:c r="A323" s="170" t="str">
        <x:f>IF(ROWS($A$5:A323)&lt;=COUNTA('Raw Decommissioning'!$B$2:$B$1000),INDEX('Raw Decommissioning'!$B$2:$B$1000,ROWS($A$5:A323)),IF(ROWS($A$5:A323)-COUNTA('Raw Decommissioning'!$B$2:$B$1000)&lt;=COUNTA('Raw Provisioning'!$B$2:$B$1000),INDEX('Raw Provisioning'!$B$2:$B$1000,ROWS($A$5:A323)-COUNTA('Raw Decommissioning'!$B$2:$B$1000)),""))</x:f>
        <x:v>CSSP10413108</x:v>
      </x:c>
      <x:c r="B323" s="170" t="str">
        <x:f>IF(A323="","",IF(ROWS($A$5:A323)&lt;=COUNTA('Raw Decommissioning'!$B$2:$B$1000),"Decommissioning","Provisioning"))</x:f>
        <x:v>Decommissioning</x:v>
      </x:c>
      <x:c r="C323" s="170" t="str">
        <x:f>IF(A323="","",IF(B323="Decommissioning",IFERROR(INDEX('Raw Decommissioning'!$E$2:$E$1000,MATCH(A323,'Raw Decommissioning'!$B$2:$B$1000,0)),"Missing from latest raw"),IFERROR(INDEX('Raw Provisioning'!$E$2:$E$1000,MATCH(A323,'Raw Provisioning'!$B$2:$B$1000,0)),"Missing from latest raw")))</x:f>
        <x:v>executing</x:v>
      </x:c>
      <x:c r="D323" s="171" t="n">
        <x:f>IF(A323="","",'Refresh Control'!$B$4)</x:f>
        <x:v>46254</x:v>
      </x:c>
      <x:c r="E323" s="171" t="n">
        <x:f>IF(A323="","",IF(B323="Decommissioning",INDEX('Raw Decommissioning'!$F$2:$F$1000,ROWS($A$5:A323)),INDEX('Raw Provisioning'!$F$2:$F$1000,ROWS($A$5:A323)-COUNTA('Raw Decommissioning'!$B$2:$B$1000))))</x:f>
        <x:v>46226.25001640046</x:v>
      </x:c>
      <x:c r="F323" s="171" t="n">
        <x:f>IF(A323="","",IF(B323="Decommissioning",INDEX('Raw Decommissioning'!$G$2:$G$1000,ROWS($A$5:A323)),INDEX('Raw Provisioning'!$H$2:$H$1000,ROWS($A$5:A323)-COUNTA('Raw Decommissioning'!$B$2:$B$1000))))</x:f>
        <x:v>46239.619336041666</x:v>
      </x:c>
      <x:c r="G323" s="170" t="str">
        <x:f>IF(A323="","",IF(B323="Decommissioning",INDEX('Raw Decommissioning'!$I$2:$I$1000,ROWS($A$5:A323)),INDEX('Raw Provisioning'!$J$2:$J$1000,ROWS($A$5:A323)-COUNTA('Raw Decommissioning'!$B$2:$B$1000))))</x:f>
        <x:v>E-CAKNA PCSB</x:v>
      </x:c>
      <x:c r="H323" s="170" t="str">
        <x:f>IF(A323="","",IF(B323="Decommissioning",INDEX('Raw Decommissioning'!$J$2:$J$1000,ROWS($A$5:A323)),INDEX('Raw Provisioning'!$L$2:$L$1000,ROWS($A$5:A323)-COUNTA('Raw Decommissioning'!$B$2:$B$1000))))</x:f>
        <x:v>E-CAKNA PCSB created for PRIVATECLOUD project record</x:v>
      </x:c>
      <x:c r="I323" s="170" t="str">
        <x:f>IF(A323="","",IF(B323="Decommissioning",INDEX('Raw Decommissioning'!$AL$2:$AL$1000,ROWS($A$5:A323)),INDEX('Raw Provisioning'!$R$2:$R$1000,ROWS($A$5:A323)-COUNTA('Raw Decommissioning'!$B$2:$B$1000))))</x:f>
        <x:v>M</x:v>
      </x:c>
      <x:c r="J323" s="170" t="str">
        <x:f>IF(A323="","",IF(B323="Decommissioning",INDEX('Raw Decommissioning'!$AG$2:$AG$1000,ROWS($A$5:A323)),INDEX('Raw Provisioning'!$AI$2:$AI$1000,ROWS($A$5:A323)-COUNTA('Raw Decommissioning'!$B$2:$B$1000))))</x:f>
        <x:v>amarja.kawade@petronas.com</x:v>
      </x:c>
      <x:c r="K323" s="172" t="str">
        <x:f>IF(A323="","",IFERROR(LOOKUP(2,1/('Assignment History'!$B$5:$B$204=A323),'Assignment History'!$D$5:$D$204),IFERROR(VLOOKUP(J323,Configuration!$L$5:$M$50,2,FALSE),J323)))</x:f>
        <x:v>amarja.kawade@petronas.com</x:v>
      </x:c>
      <x:c r="L323" s="172" t="str">
        <x:f>IF(A323="","",IF(K323=IFERROR(VLOOKUP(J323,Configuration!$L$5:$M$50,2,FALSE),J323),"Snapshot PIC","Replacement PIC"))</x:f>
        <x:v>Snapshot PIC</x:v>
      </x:c>
      <x:c r="M323" s="172" t="n">
        <x:f>IF(A323="","",IFERROR(VLOOKUP(I323,Configuration!$O$5:$P$8,2,FALSE),Configuration!$S$6))</x:f>
        <x:v>2</x:v>
      </x:c>
      <x:c r="N323" s="172" t="str">
        <x:f>IF(A323="","",IFERROR(LOOKUP(2,1/('Scope Review'!$B$5:$B$204=A323),'Scope Review'!$G$5:$G$204),"Not Reviewed"))</x:f>
        <x:v>Not Reviewed</x:v>
      </x:c>
      <x:c r="O323" s="172" t="str">
        <x:f>IF(A323="","",IFERROR(LOOKUP(2,1/('Scope Review'!$B$5:$B$204=A323),'Scope Review'!$H$5:$H$204),""))</x:f>
      </x:c>
      <x:c r="P323" s="172" t="n">
        <x:f>IF(A323="","",IF(AND(C323="executing",N323&lt;&gt;"Confirmed OOS"),M323,0))</x:f>
        <x:v>2</x:v>
      </x:c>
      <x:c r="Q323" s="173" t="n">
        <x:f>IF(A323="","",IFERROR(LOOKUP(2,1/('Engineer Updates'!$B$5:$B$704=A323),'Engineer Updates'!$A$5:$A$704),""))</x:f>
        <x:v>46251</x:v>
      </x:c>
      <x:c r="R323" s="172" t="str">
        <x:f>IF(A323="","",IFERROR(LOOKUP(2,1/('Engineer Updates'!$B$5:$B$704=A323),'Engineer Updates'!$H$5:$H$704),""))</x:f>
        <x:v>Not Started</x:v>
      </x:c>
      <x:c r="S323" s="172" t="str">
        <x:f>IF(A323="","",IFERROR(LOOKUP(2,1/('Engineer Updates'!$B$5:$B$704=A323),'Engineer Updates'!$G$5:$G$704),""))</x:f>
      </x:c>
      <x:c r="T323" s="172" t="str">
        <x:f>IF(A323="","",IFERROR(LOOKUP(2,1/('Engineer Updates'!$B$5:$B$704=A323),'Engineer Updates'!$I$5:$I$704),""))</x:f>
      </x:c>
      <x:c r="U323" s="172" t="str">
        <x:f>IF(A323="","",IFERROR(LOOKUP(2,1/('Engineer Updates'!$B$5:$B$704=A323),'Engineer Updates'!$J$5:$J$704),""))</x:f>
      </x:c>
      <x:c r="V323" s="172" t="str">
        <x:f>IF(A323="","",IFERROR(LOOKUP(2,1/('Engineer Updates'!$B$5:$B$704=A323),'Engineer Updates'!$K$5:$K$704),""))</x:f>
      </x:c>
      <x:c r="W323" s="174" t="str">
        <x:f>IF(A323="","",IFERROR(LOOKUP(2,1/('Engineer Updates'!$B$5:$B$704=A323),'Engineer Updates'!$L$5:$L$704),""))</x:f>
      </x:c>
      <x:c r="X323" s="170" t="str">
        <x:f>IF(A323="","",IF(C323="completed","Completed in CSSP",IF(AND(C323="executing",ISERROR(SEARCH("@",K323))),"Executing without named engineer",IF(AND(N323="Confirmed OOS",C323="executing"),"Confirmed OOS still executing",""))))</x:f>
      </x:c>
      <x:c r="Y323" s="170" t="str">
        <x:f>IF(A323="","",IF(B323="Decommissioning","Raw Decommissioning","Raw Provisioning"))</x:f>
        <x:v>Raw Decommissioning</x:v>
      </x:c>
      <x:c r="Z323" s="170" t="str">
        <x:f>IF(A323="","",IF(OR(C323="executing",C323="processing"),"Yes","No"))</x:f>
        <x:v>Yes</x:v>
      </x:c>
    </x:row>
    <x:row r="324">
      <x:c r="A324" s="170" t="str">
        <x:f>IF(ROWS($A$5:A324)&lt;=COUNTA('Raw Decommissioning'!$B$2:$B$1000),INDEX('Raw Decommissioning'!$B$2:$B$1000,ROWS($A$5:A324)),IF(ROWS($A$5:A324)-COUNTA('Raw Decommissioning'!$B$2:$B$1000)&lt;=COUNTA('Raw Provisioning'!$B$2:$B$1000),INDEX('Raw Provisioning'!$B$2:$B$1000,ROWS($A$5:A324)-COUNTA('Raw Decommissioning'!$B$2:$B$1000)),""))</x:f>
        <x:v>CSSP10328360</x:v>
      </x:c>
      <x:c r="B324" s="170" t="str">
        <x:f>IF(A324="","",IF(ROWS($A$5:A324)&lt;=COUNTA('Raw Decommissioning'!$B$2:$B$1000),"Decommissioning","Provisioning"))</x:f>
        <x:v>Decommissioning</x:v>
      </x:c>
      <x:c r="C324" s="170" t="str">
        <x:f>IF(A324="","",IF(B324="Decommissioning",IFERROR(INDEX('Raw Decommissioning'!$E$2:$E$1000,MATCH(A324,'Raw Decommissioning'!$B$2:$B$1000,0)),"Missing from latest raw"),IFERROR(INDEX('Raw Provisioning'!$E$2:$E$1000,MATCH(A324,'Raw Provisioning'!$B$2:$B$1000,0)),"Missing from latest raw")))</x:f>
        <x:v>executing</x:v>
      </x:c>
      <x:c r="D324" s="171" t="n">
        <x:f>IF(A324="","",'Refresh Control'!$B$4)</x:f>
        <x:v>46254</x:v>
      </x:c>
      <x:c r="E324" s="171" t="n">
        <x:f>IF(A324="","",IF(B324="Decommissioning",INDEX('Raw Decommissioning'!$F$2:$F$1000,ROWS($A$5:A324)),INDEX('Raw Provisioning'!$F$2:$F$1000,ROWS($A$5:A324)-COUNTA('Raw Decommissioning'!$B$2:$B$1000))))</x:f>
        <x:v>46226.2529324537</x:v>
      </x:c>
      <x:c r="F324" s="171" t="n">
        <x:f>IF(A324="","",IF(B324="Decommissioning",INDEX('Raw Decommissioning'!$G$2:$G$1000,ROWS($A$5:A324)),INDEX('Raw Provisioning'!$H$2:$H$1000,ROWS($A$5:A324)-COUNTA('Raw Decommissioning'!$B$2:$B$1000))))</x:f>
        <x:v>46233.10495836806</x:v>
      </x:c>
      <x:c r="G324" s="170" t="str">
        <x:f>IF(A324="","",IF(B324="Decommissioning",INDEX('Raw Decommissioning'!$I$2:$I$1000,ROWS($A$5:A324)),INDEX('Raw Provisioning'!$J$2:$J$1000,ROWS($A$5:A324)-COUNTA('Raw Decommissioning'!$B$2:$B$1000))))</x:f>
        <x:v>Pegosa</x:v>
      </x:c>
      <x:c r="H324" s="170" t="str">
        <x:f>IF(A324="","",IF(B324="Decommissioning",INDEX('Raw Decommissioning'!$J$2:$J$1000,ROWS($A$5:A324)),INDEX('Raw Provisioning'!$L$2:$L$1000,ROWS($A$5:A324)-COUNTA('Raw Decommissioning'!$B$2:$B$1000))))</x:f>
        <x:v>Pegosa created for PRIVATECLOUD project record</x:v>
      </x:c>
      <x:c r="I324" s="170" t="str">
        <x:f>IF(A324="","",IF(B324="Decommissioning",INDEX('Raw Decommissioning'!$AL$2:$AL$1000,ROWS($A$5:A324)),INDEX('Raw Provisioning'!$R$2:$R$1000,ROWS($A$5:A324)-COUNTA('Raw Decommissioning'!$B$2:$B$1000))))</x:f>
        <x:v>M</x:v>
      </x:c>
      <x:c r="J324" s="170" t="str">
        <x:f>IF(A324="","",IF(B324="Decommissioning",INDEX('Raw Decommissioning'!$AG$2:$AG$1000,ROWS($A$5:A324)),INDEX('Raw Provisioning'!$AI$2:$AI$1000,ROWS($A$5:A324)-COUNTA('Raw Decommissioning'!$B$2:$B$1000))))</x:f>
        <x:v>K.saktivelu@petronas.com</x:v>
      </x:c>
      <x:c r="K324" s="172" t="str">
        <x:f>IF(A324="","",IFERROR(LOOKUP(2,1/('Assignment History'!$B$5:$B$204=A324),'Assignment History'!$D$5:$D$204),IFERROR(VLOOKUP(J324,Configuration!$L$5:$M$50,2,FALSE),J324)))</x:f>
        <x:v>k.saktivelu@petronas.com</x:v>
      </x:c>
      <x:c r="L324" s="172" t="str">
        <x:f>IF(A324="","",IF(K324=IFERROR(VLOOKUP(J324,Configuration!$L$5:$M$50,2,FALSE),J324),"Snapshot PIC","Replacement PIC"))</x:f>
        <x:v>Snapshot PIC</x:v>
      </x:c>
      <x:c r="M324" s="172" t="n">
        <x:f>IF(A324="","",IFERROR(VLOOKUP(I324,Configuration!$O$5:$P$8,2,FALSE),Configuration!$S$6))</x:f>
        <x:v>2</x:v>
      </x:c>
      <x:c r="N324" s="172" t="str">
        <x:f>IF(A324="","",IFERROR(LOOKUP(2,1/('Scope Review'!$B$5:$B$204=A324),'Scope Review'!$G$5:$G$204),"Not Reviewed"))</x:f>
        <x:v>Not Reviewed</x:v>
      </x:c>
      <x:c r="O324" s="172" t="str">
        <x:f>IF(A324="","",IFERROR(LOOKUP(2,1/('Scope Review'!$B$5:$B$204=A324),'Scope Review'!$H$5:$H$204),""))</x:f>
      </x:c>
      <x:c r="P324" s="172" t="n">
        <x:f>IF(A324="","",IF(AND(C324="executing",N324&lt;&gt;"Confirmed OOS"),M324,0))</x:f>
        <x:v>2</x:v>
      </x:c>
      <x:c r="Q324" s="173" t="n">
        <x:f>IF(A324="","",IFERROR(LOOKUP(2,1/('Engineer Updates'!$B$5:$B$704=A324),'Engineer Updates'!$A$5:$A$704),""))</x:f>
        <x:v>46251</x:v>
      </x:c>
      <x:c r="R324" s="172" t="str">
        <x:f>IF(A324="","",IFERROR(LOOKUP(2,1/('Engineer Updates'!$B$5:$B$704=A324),'Engineer Updates'!$H$5:$H$704),""))</x:f>
        <x:v>Not Started</x:v>
      </x:c>
      <x:c r="S324" s="172" t="str">
        <x:f>IF(A324="","",IFERROR(LOOKUP(2,1/('Engineer Updates'!$B$5:$B$704=A324),'Engineer Updates'!$G$5:$G$704),""))</x:f>
      </x:c>
      <x:c r="T324" s="172" t="str">
        <x:f>IF(A324="","",IFERROR(LOOKUP(2,1/('Engineer Updates'!$B$5:$B$704=A324),'Engineer Updates'!$I$5:$I$704),""))</x:f>
      </x:c>
      <x:c r="U324" s="172" t="str">
        <x:f>IF(A324="","",IFERROR(LOOKUP(2,1/('Engineer Updates'!$B$5:$B$704=A324),'Engineer Updates'!$J$5:$J$704),""))</x:f>
      </x:c>
      <x:c r="V324" s="172" t="str">
        <x:f>IF(A324="","",IFERROR(LOOKUP(2,1/('Engineer Updates'!$B$5:$B$704=A324),'Engineer Updates'!$K$5:$K$704),""))</x:f>
      </x:c>
      <x:c r="W324" s="174" t="str">
        <x:f>IF(A324="","",IFERROR(LOOKUP(2,1/('Engineer Updates'!$B$5:$B$704=A324),'Engineer Updates'!$L$5:$L$704),""))</x:f>
      </x:c>
      <x:c r="X324" s="170" t="str">
        <x:f>IF(A324="","",IF(C324="completed","Completed in CSSP",IF(AND(C324="executing",ISERROR(SEARCH("@",K324))),"Executing without named engineer",IF(AND(N324="Confirmed OOS",C324="executing"),"Confirmed OOS still executing",""))))</x:f>
      </x:c>
      <x:c r="Y324" s="170" t="str">
        <x:f>IF(A324="","",IF(B324="Decommissioning","Raw Decommissioning","Raw Provisioning"))</x:f>
        <x:v>Raw Decommissioning</x:v>
      </x:c>
      <x:c r="Z324" s="170" t="str">
        <x:f>IF(A324="","",IF(OR(C324="executing",C324="processing"),"Yes","No"))</x:f>
        <x:v>Yes</x:v>
      </x:c>
    </x:row>
    <x:row r="325">
      <x:c r="A325" s="170" t="str">
        <x:f>IF(ROWS($A$5:A325)&lt;=COUNTA('Raw Decommissioning'!$B$2:$B$1000),INDEX('Raw Decommissioning'!$B$2:$B$1000,ROWS($A$5:A325)),IF(ROWS($A$5:A325)-COUNTA('Raw Decommissioning'!$B$2:$B$1000)&lt;=COUNTA('Raw Provisioning'!$B$2:$B$1000),INDEX('Raw Provisioning'!$B$2:$B$1000,ROWS($A$5:A325)-COUNTA('Raw Decommissioning'!$B$2:$B$1000)),""))</x:f>
        <x:v>CSSP10766912</x:v>
      </x:c>
      <x:c r="B325" s="170" t="str">
        <x:f>IF(A325="","",IF(ROWS($A$5:A325)&lt;=COUNTA('Raw Decommissioning'!$B$2:$B$1000),"Decommissioning","Provisioning"))</x:f>
        <x:v>Decommissioning</x:v>
      </x:c>
      <x:c r="C325" s="170" t="str">
        <x:f>IF(A325="","",IF(B325="Decommissioning",IFERROR(INDEX('Raw Decommissioning'!$E$2:$E$1000,MATCH(A325,'Raw Decommissioning'!$B$2:$B$1000,0)),"Missing from latest raw"),IFERROR(INDEX('Raw Provisioning'!$E$2:$E$1000,MATCH(A325,'Raw Provisioning'!$B$2:$B$1000,0)),"Missing from latest raw")))</x:f>
        <x:v>executing</x:v>
      </x:c>
      <x:c r="D325" s="171" t="n">
        <x:f>IF(A325="","",'Refresh Control'!$B$4)</x:f>
        <x:v>46254</x:v>
      </x:c>
      <x:c r="E325" s="171" t="n">
        <x:f>IF(A325="","",IF(B325="Decommissioning",INDEX('Raw Decommissioning'!$F$2:$F$1000,ROWS($A$5:A325)),INDEX('Raw Provisioning'!$F$2:$F$1000,ROWS($A$5:A325)-COUNTA('Raw Decommissioning'!$B$2:$B$1000))))</x:f>
        <x:v>46226.25509287037</x:v>
      </x:c>
      <x:c r="F325" s="171" t="n">
        <x:f>IF(A325="","",IF(B325="Decommissioning",INDEX('Raw Decommissioning'!$G$2:$G$1000,ROWS($A$5:A325)),INDEX('Raw Provisioning'!$H$2:$H$1000,ROWS($A$5:A325)-COUNTA('Raw Decommissioning'!$B$2:$B$1000))))</x:f>
        <x:v>46239.619113125</x:v>
      </x:c>
      <x:c r="G325" s="170" t="str">
        <x:f>IF(A325="","",IF(B325="Decommissioning",INDEX('Raw Decommissioning'!$I$2:$I$1000,ROWS($A$5:A325)),INDEX('Raw Provisioning'!$J$2:$J$1000,ROWS($A$5:A325)-COUNTA('Raw Decommissioning'!$B$2:$B$1000))))</x:f>
        <x:v>E-CAKNA PCSB</x:v>
      </x:c>
      <x:c r="H325" s="170" t="str">
        <x:f>IF(A325="","",IF(B325="Decommissioning",INDEX('Raw Decommissioning'!$J$2:$J$1000,ROWS($A$5:A325)),INDEX('Raw Provisioning'!$L$2:$L$1000,ROWS($A$5:A325)-COUNTA('Raw Decommissioning'!$B$2:$B$1000))))</x:f>
        <x:v>E-CAKNA PCSB created for PRIVATECLOUD project record</x:v>
      </x:c>
      <x:c r="I325" s="170" t="str">
        <x:f>IF(A325="","",IF(B325="Decommissioning",INDEX('Raw Decommissioning'!$AL$2:$AL$1000,ROWS($A$5:A325)),INDEX('Raw Provisioning'!$R$2:$R$1000,ROWS($A$5:A325)-COUNTA('Raw Decommissioning'!$B$2:$B$1000))))</x:f>
        <x:v>M</x:v>
      </x:c>
      <x:c r="J325" s="170" t="str">
        <x:f>IF(A325="","",IF(B325="Decommissioning",INDEX('Raw Decommissioning'!$AG$2:$AG$1000,ROWS($A$5:A325)),INDEX('Raw Provisioning'!$AI$2:$AI$1000,ROWS($A$5:A325)-COUNTA('Raw Decommissioning'!$B$2:$B$1000))))</x:f>
        <x:v>amarja.kawade@petronas.com</x:v>
      </x:c>
      <x:c r="K325" s="172" t="str">
        <x:f>IF(A325="","",IFERROR(LOOKUP(2,1/('Assignment History'!$B$5:$B$204=A325),'Assignment History'!$D$5:$D$204),IFERROR(VLOOKUP(J325,Configuration!$L$5:$M$50,2,FALSE),J325)))</x:f>
        <x:v>amarja.kawade@petronas.com</x:v>
      </x:c>
      <x:c r="L325" s="172" t="str">
        <x:f>IF(A325="","",IF(K325=IFERROR(VLOOKUP(J325,Configuration!$L$5:$M$50,2,FALSE),J325),"Snapshot PIC","Replacement PIC"))</x:f>
        <x:v>Snapshot PIC</x:v>
      </x:c>
      <x:c r="M325" s="172" t="n">
        <x:f>IF(A325="","",IFERROR(VLOOKUP(I325,Configuration!$O$5:$P$8,2,FALSE),Configuration!$S$6))</x:f>
        <x:v>2</x:v>
      </x:c>
      <x:c r="N325" s="172" t="str">
        <x:f>IF(A325="","",IFERROR(LOOKUP(2,1/('Scope Review'!$B$5:$B$204=A325),'Scope Review'!$G$5:$G$204),"Not Reviewed"))</x:f>
        <x:v>Not Reviewed</x:v>
      </x:c>
      <x:c r="O325" s="172" t="str">
        <x:f>IF(A325="","",IFERROR(LOOKUP(2,1/('Scope Review'!$B$5:$B$204=A325),'Scope Review'!$H$5:$H$204),""))</x:f>
      </x:c>
      <x:c r="P325" s="172" t="n">
        <x:f>IF(A325="","",IF(AND(C325="executing",N325&lt;&gt;"Confirmed OOS"),M325,0))</x:f>
        <x:v>2</x:v>
      </x:c>
      <x:c r="Q325" s="173" t="n">
        <x:f>IF(A325="","",IFERROR(LOOKUP(2,1/('Engineer Updates'!$B$5:$B$704=A325),'Engineer Updates'!$A$5:$A$704),""))</x:f>
        <x:v>46251</x:v>
      </x:c>
      <x:c r="R325" s="172" t="str">
        <x:f>IF(A325="","",IFERROR(LOOKUP(2,1/('Engineer Updates'!$B$5:$B$704=A325),'Engineer Updates'!$H$5:$H$704),""))</x:f>
        <x:v>Not Started</x:v>
      </x:c>
      <x:c r="S325" s="172" t="str">
        <x:f>IF(A325="","",IFERROR(LOOKUP(2,1/('Engineer Updates'!$B$5:$B$704=A325),'Engineer Updates'!$G$5:$G$704),""))</x:f>
      </x:c>
      <x:c r="T325" s="172" t="str">
        <x:f>IF(A325="","",IFERROR(LOOKUP(2,1/('Engineer Updates'!$B$5:$B$704=A325),'Engineer Updates'!$I$5:$I$704),""))</x:f>
      </x:c>
      <x:c r="U325" s="172" t="str">
        <x:f>IF(A325="","",IFERROR(LOOKUP(2,1/('Engineer Updates'!$B$5:$B$704=A325),'Engineer Updates'!$J$5:$J$704),""))</x:f>
      </x:c>
      <x:c r="V325" s="172" t="str">
        <x:f>IF(A325="","",IFERROR(LOOKUP(2,1/('Engineer Updates'!$B$5:$B$704=A325),'Engineer Updates'!$K$5:$K$704),""))</x:f>
      </x:c>
      <x:c r="W325" s="174" t="str">
        <x:f>IF(A325="","",IFERROR(LOOKUP(2,1/('Engineer Updates'!$B$5:$B$704=A325),'Engineer Updates'!$L$5:$L$704),""))</x:f>
      </x:c>
      <x:c r="X325" s="170" t="str">
        <x:f>IF(A325="","",IF(C325="completed","Completed in CSSP",IF(AND(C325="executing",ISERROR(SEARCH("@",K325))),"Executing without named engineer",IF(AND(N325="Confirmed OOS",C325="executing"),"Confirmed OOS still executing",""))))</x:f>
      </x:c>
      <x:c r="Y325" s="170" t="str">
        <x:f>IF(A325="","",IF(B325="Decommissioning","Raw Decommissioning","Raw Provisioning"))</x:f>
        <x:v>Raw Decommissioning</x:v>
      </x:c>
      <x:c r="Z325" s="170" t="str">
        <x:f>IF(A325="","",IF(OR(C325="executing",C325="processing"),"Yes","No"))</x:f>
        <x:v>Yes</x:v>
      </x:c>
    </x:row>
    <x:row r="326">
      <x:c r="A326" s="170" t="str">
        <x:f>IF(ROWS($A$5:A326)&lt;=COUNTA('Raw Decommissioning'!$B$2:$B$1000),INDEX('Raw Decommissioning'!$B$2:$B$1000,ROWS($A$5:A326)),IF(ROWS($A$5:A326)-COUNTA('Raw Decommissioning'!$B$2:$B$1000)&lt;=COUNTA('Raw Provisioning'!$B$2:$B$1000),INDEX('Raw Provisioning'!$B$2:$B$1000,ROWS($A$5:A326)-COUNTA('Raw Decommissioning'!$B$2:$B$1000)),""))</x:f>
        <x:v>CSSP10327858</x:v>
      </x:c>
      <x:c r="B326" s="170" t="str">
        <x:f>IF(A326="","",IF(ROWS($A$5:A326)&lt;=COUNTA('Raw Decommissioning'!$B$2:$B$1000),"Decommissioning","Provisioning"))</x:f>
        <x:v>Decommissioning</x:v>
      </x:c>
      <x:c r="C326" s="170" t="str">
        <x:f>IF(A326="","",IF(B326="Decommissioning",IFERROR(INDEX('Raw Decommissioning'!$E$2:$E$1000,MATCH(A326,'Raw Decommissioning'!$B$2:$B$1000,0)),"Missing from latest raw"),IFERROR(INDEX('Raw Provisioning'!$E$2:$E$1000,MATCH(A326,'Raw Provisioning'!$B$2:$B$1000,0)),"Missing from latest raw")))</x:f>
        <x:v>executing</x:v>
      </x:c>
      <x:c r="D326" s="171" t="n">
        <x:f>IF(A326="","",'Refresh Control'!$B$4)</x:f>
        <x:v>46254</x:v>
      </x:c>
      <x:c r="E326" s="171" t="n">
        <x:f>IF(A326="","",IF(B326="Decommissioning",INDEX('Raw Decommissioning'!$F$2:$F$1000,ROWS($A$5:A326)),INDEX('Raw Provisioning'!$F$2:$F$1000,ROWS($A$5:A326)-COUNTA('Raw Decommissioning'!$B$2:$B$1000))))</x:f>
        <x:v>46226.26329134259</x:v>
      </x:c>
      <x:c r="F326" s="171" t="n">
        <x:f>IF(A326="","",IF(B326="Decommissioning",INDEX('Raw Decommissioning'!$G$2:$G$1000,ROWS($A$5:A326)),INDEX('Raw Provisioning'!$H$2:$H$1000,ROWS($A$5:A326)-COUNTA('Raw Decommissioning'!$B$2:$B$1000))))</x:f>
        <x:v>46233.104649583336</x:v>
      </x:c>
      <x:c r="G326" s="170" t="str">
        <x:f>IF(A326="","",IF(B326="Decommissioning",INDEX('Raw Decommissioning'!$I$2:$I$1000,ROWS($A$5:A326)),INDEX('Raw Provisioning'!$J$2:$J$1000,ROWS($A$5:A326)-COUNTA('Raw Decommissioning'!$B$2:$B$1000))))</x:f>
        <x:v>Data Logger ODM with OSISoft PI System</x:v>
      </x:c>
      <x:c r="H326" s="170" t="str">
        <x:f>IF(A326="","",IF(B326="Decommissioning",INDEX('Raw Decommissioning'!$J$2:$J$1000,ROWS($A$5:A326)),INDEX('Raw Provisioning'!$L$2:$L$1000,ROWS($A$5:A326)-COUNTA('Raw Decommissioning'!$B$2:$B$1000))))</x:f>
        <x:v>Data Logger ODM with OSISoft PI System created for PRIVATECLOUD project record</x:v>
      </x:c>
      <x:c r="I326" s="170" t="str">
        <x:f>IF(A326="","",IF(B326="Decommissioning",INDEX('Raw Decommissioning'!$AL$2:$AL$1000,ROWS($A$5:A326)),INDEX('Raw Provisioning'!$R$2:$R$1000,ROWS($A$5:A326)-COUNTA('Raw Decommissioning'!$B$2:$B$1000))))</x:f>
        <x:v>M</x:v>
      </x:c>
      <x:c r="J326" s="170" t="str">
        <x:f>IF(A326="","",IF(B326="Decommissioning",INDEX('Raw Decommissioning'!$AG$2:$AG$1000,ROWS($A$5:A326)),INDEX('Raw Provisioning'!$AI$2:$AI$1000,ROWS($A$5:A326)-COUNTA('Raw Decommissioning'!$B$2:$B$1000))))</x:f>
        <x:v>amarja.kawade@petronas.com</x:v>
      </x:c>
      <x:c r="K326" s="172" t="str">
        <x:f>IF(A326="","",IFERROR(LOOKUP(2,1/('Assignment History'!$B$5:$B$204=A326),'Assignment History'!$D$5:$D$204),IFERROR(VLOOKUP(J326,Configuration!$L$5:$M$50,2,FALSE),J326)))</x:f>
        <x:v>amarja.kawade@petronas.com</x:v>
      </x:c>
      <x:c r="L326" s="172" t="str">
        <x:f>IF(A326="","",IF(K326=IFERROR(VLOOKUP(J326,Configuration!$L$5:$M$50,2,FALSE),J326),"Snapshot PIC","Replacement PIC"))</x:f>
        <x:v>Snapshot PIC</x:v>
      </x:c>
      <x:c r="M326" s="172" t="n">
        <x:f>IF(A326="","",IFERROR(VLOOKUP(I326,Configuration!$O$5:$P$8,2,FALSE),Configuration!$S$6))</x:f>
        <x:v>2</x:v>
      </x:c>
      <x:c r="N326" s="172" t="str">
        <x:f>IF(A326="","",IFERROR(LOOKUP(2,1/('Scope Review'!$B$5:$B$204=A326),'Scope Review'!$G$5:$G$204),"Not Reviewed"))</x:f>
        <x:v>Not Reviewed</x:v>
      </x:c>
      <x:c r="O326" s="172" t="str">
        <x:f>IF(A326="","",IFERROR(LOOKUP(2,1/('Scope Review'!$B$5:$B$204=A326),'Scope Review'!$H$5:$H$204),""))</x:f>
      </x:c>
      <x:c r="P326" s="172" t="n">
        <x:f>IF(A326="","",IF(AND(C326="executing",N326&lt;&gt;"Confirmed OOS"),M326,0))</x:f>
        <x:v>2</x:v>
      </x:c>
      <x:c r="Q326" s="173" t="n">
        <x:f>IF(A326="","",IFERROR(LOOKUP(2,1/('Engineer Updates'!$B$5:$B$704=A326),'Engineer Updates'!$A$5:$A$704),""))</x:f>
        <x:v>46251</x:v>
      </x:c>
      <x:c r="R326" s="172" t="str">
        <x:f>IF(A326="","",IFERROR(LOOKUP(2,1/('Engineer Updates'!$B$5:$B$704=A326),'Engineer Updates'!$H$5:$H$704),""))</x:f>
        <x:v>Not Started</x:v>
      </x:c>
      <x:c r="S326" s="172" t="str">
        <x:f>IF(A326="","",IFERROR(LOOKUP(2,1/('Engineer Updates'!$B$5:$B$704=A326),'Engineer Updates'!$G$5:$G$704),""))</x:f>
      </x:c>
      <x:c r="T326" s="172" t="str">
        <x:f>IF(A326="","",IFERROR(LOOKUP(2,1/('Engineer Updates'!$B$5:$B$704=A326),'Engineer Updates'!$I$5:$I$704),""))</x:f>
      </x:c>
      <x:c r="U326" s="172" t="str">
        <x:f>IF(A326="","",IFERROR(LOOKUP(2,1/('Engineer Updates'!$B$5:$B$704=A326),'Engineer Updates'!$J$5:$J$704),""))</x:f>
      </x:c>
      <x:c r="V326" s="172" t="str">
        <x:f>IF(A326="","",IFERROR(LOOKUP(2,1/('Engineer Updates'!$B$5:$B$704=A326),'Engineer Updates'!$K$5:$K$704),""))</x:f>
      </x:c>
      <x:c r="W326" s="174" t="str">
        <x:f>IF(A326="","",IFERROR(LOOKUP(2,1/('Engineer Updates'!$B$5:$B$704=A326),'Engineer Updates'!$L$5:$L$704),""))</x:f>
      </x:c>
      <x:c r="X326" s="170" t="str">
        <x:f>IF(A326="","",IF(C326="completed","Completed in CSSP",IF(AND(C326="executing",ISERROR(SEARCH("@",K326))),"Executing without named engineer",IF(AND(N326="Confirmed OOS",C326="executing"),"Confirmed OOS still executing",""))))</x:f>
      </x:c>
      <x:c r="Y326" s="170" t="str">
        <x:f>IF(A326="","",IF(B326="Decommissioning","Raw Decommissioning","Raw Provisioning"))</x:f>
        <x:v>Raw Decommissioning</x:v>
      </x:c>
      <x:c r="Z326" s="170" t="str">
        <x:f>IF(A326="","",IF(OR(C326="executing",C326="processing"),"Yes","No"))</x:f>
        <x:v>Yes</x:v>
      </x:c>
    </x:row>
    <x:row r="327">
      <x:c r="A327" s="170" t="str">
        <x:f>IF(ROWS($A$5:A327)&lt;=COUNTA('Raw Decommissioning'!$B$2:$B$1000),INDEX('Raw Decommissioning'!$B$2:$B$1000,ROWS($A$5:A327)),IF(ROWS($A$5:A327)-COUNTA('Raw Decommissioning'!$B$2:$B$1000)&lt;=COUNTA('Raw Provisioning'!$B$2:$B$1000),INDEX('Raw Provisioning'!$B$2:$B$1000,ROWS($A$5:A327)-COUNTA('Raw Decommissioning'!$B$2:$B$1000)),""))</x:f>
        <x:v>CSSP10140378</x:v>
      </x:c>
      <x:c r="B327" s="170" t="str">
        <x:f>IF(A327="","",IF(ROWS($A$5:A327)&lt;=COUNTA('Raw Decommissioning'!$B$2:$B$1000),"Decommissioning","Provisioning"))</x:f>
        <x:v>Decommissioning</x:v>
      </x:c>
      <x:c r="C327" s="170" t="str">
        <x:f>IF(A327="","",IF(B327="Decommissioning",IFERROR(INDEX('Raw Decommissioning'!$E$2:$E$1000,MATCH(A327,'Raw Decommissioning'!$B$2:$B$1000,0)),"Missing from latest raw"),IFERROR(INDEX('Raw Provisioning'!$E$2:$E$1000,MATCH(A327,'Raw Provisioning'!$B$2:$B$1000,0)),"Missing from latest raw")))</x:f>
        <x:v>executing</x:v>
      </x:c>
      <x:c r="D327" s="171" t="n">
        <x:f>IF(A327="","",'Refresh Control'!$B$4)</x:f>
        <x:v>46254</x:v>
      </x:c>
      <x:c r="E327" s="171" t="n">
        <x:f>IF(A327="","",IF(B327="Decommissioning",INDEX('Raw Decommissioning'!$F$2:$F$1000,ROWS($A$5:A327)),INDEX('Raw Provisioning'!$F$2:$F$1000,ROWS($A$5:A327)-COUNTA('Raw Decommissioning'!$B$2:$B$1000))))</x:f>
        <x:v>46226.26594484954</x:v>
      </x:c>
      <x:c r="F327" s="171" t="n">
        <x:f>IF(A327="","",IF(B327="Decommissioning",INDEX('Raw Decommissioning'!$G$2:$G$1000,ROWS($A$5:A327)),INDEX('Raw Provisioning'!$H$2:$H$1000,ROWS($A$5:A327)-COUNTA('Raw Decommissioning'!$B$2:$B$1000))))</x:f>
        <x:v>46233.10419603009</x:v>
      </x:c>
      <x:c r="G327" s="170" t="str">
        <x:f>IF(A327="","",IF(B327="Decommissioning",INDEX('Raw Decommissioning'!$I$2:$I$1000,ROWS($A$5:A327)),INDEX('Raw Provisioning'!$J$2:$J$1000,ROWS($A$5:A327)-COUNTA('Raw Decommissioning'!$B$2:$B$1000))))</x:f>
        <x:v>Plant Information - PI PCFK</x:v>
      </x:c>
      <x:c r="H327" s="170" t="str">
        <x:f>IF(A327="","",IF(B327="Decommissioning",INDEX('Raw Decommissioning'!$J$2:$J$1000,ROWS($A$5:A327)),INDEX('Raw Provisioning'!$L$2:$L$1000,ROWS($A$5:A327)-COUNTA('Raw Decommissioning'!$B$2:$B$1000))))</x:f>
        <x:v>Plant Information - PI PCFK created for PRIVATECLOUD project record</x:v>
      </x:c>
      <x:c r="I327" s="170" t="str">
        <x:f>IF(A327="","",IF(B327="Decommissioning",INDEX('Raw Decommissioning'!$AL$2:$AL$1000,ROWS($A$5:A327)),INDEX('Raw Provisioning'!$R$2:$R$1000,ROWS($A$5:A327)-COUNTA('Raw Decommissioning'!$B$2:$B$1000))))</x:f>
        <x:v>M</x:v>
      </x:c>
      <x:c r="J327" s="170" t="str">
        <x:f>IF(A327="","",IF(B327="Decommissioning",INDEX('Raw Decommissioning'!$AG$2:$AG$1000,ROWS($A$5:A327)),INDEX('Raw Provisioning'!$AI$2:$AI$1000,ROWS($A$5:A327)-COUNTA('Raw Decommissioning'!$B$2:$B$1000))))</x:f>
        <x:v>swaminadh.chirakala@petronas.com</x:v>
      </x:c>
      <x:c r="K327" s="172" t="str">
        <x:f>IF(A327="","",IFERROR(LOOKUP(2,1/('Assignment History'!$B$5:$B$204=A327),'Assignment History'!$D$5:$D$204),IFERROR(VLOOKUP(J327,Configuration!$L$5:$M$50,2,FALSE),J327)))</x:f>
        <x:v>swaminadh.chirakala@petronas.com</x:v>
      </x:c>
      <x:c r="L327" s="172" t="str">
        <x:f>IF(A327="","",IF(K327=IFERROR(VLOOKUP(J327,Configuration!$L$5:$M$50,2,FALSE),J327),"Snapshot PIC","Replacement PIC"))</x:f>
        <x:v>Snapshot PIC</x:v>
      </x:c>
      <x:c r="M327" s="172" t="n">
        <x:f>IF(A327="","",IFERROR(VLOOKUP(I327,Configuration!$O$5:$P$8,2,FALSE),Configuration!$S$6))</x:f>
        <x:v>2</x:v>
      </x:c>
      <x:c r="N327" s="172" t="str">
        <x:f>IF(A327="","",IFERROR(LOOKUP(2,1/('Scope Review'!$B$5:$B$204=A327),'Scope Review'!$G$5:$G$204),"Not Reviewed"))</x:f>
        <x:v>Not Reviewed</x:v>
      </x:c>
      <x:c r="O327" s="172" t="str">
        <x:f>IF(A327="","",IFERROR(LOOKUP(2,1/('Scope Review'!$B$5:$B$204=A327),'Scope Review'!$H$5:$H$204),""))</x:f>
      </x:c>
      <x:c r="P327" s="172" t="n">
        <x:f>IF(A327="","",IF(AND(C327="executing",N327&lt;&gt;"Confirmed OOS"),M327,0))</x:f>
        <x:v>2</x:v>
      </x:c>
      <x:c r="Q327" s="173" t="n">
        <x:f>IF(A327="","",IFERROR(LOOKUP(2,1/('Engineer Updates'!$B$5:$B$704=A327),'Engineer Updates'!$A$5:$A$704),""))</x:f>
        <x:v>46251</x:v>
      </x:c>
      <x:c r="R327" s="172" t="str">
        <x:f>IF(A327="","",IFERROR(LOOKUP(2,1/('Engineer Updates'!$B$5:$B$704=A327),'Engineer Updates'!$H$5:$H$704),""))</x:f>
        <x:v>Not Started</x:v>
      </x:c>
      <x:c r="S327" s="172" t="str">
        <x:f>IF(A327="","",IFERROR(LOOKUP(2,1/('Engineer Updates'!$B$5:$B$704=A327),'Engineer Updates'!$G$5:$G$704),""))</x:f>
      </x:c>
      <x:c r="T327" s="172" t="str">
        <x:f>IF(A327="","",IFERROR(LOOKUP(2,1/('Engineer Updates'!$B$5:$B$704=A327),'Engineer Updates'!$I$5:$I$704),""))</x:f>
      </x:c>
      <x:c r="U327" s="172" t="str">
        <x:f>IF(A327="","",IFERROR(LOOKUP(2,1/('Engineer Updates'!$B$5:$B$704=A327),'Engineer Updates'!$J$5:$J$704),""))</x:f>
      </x:c>
      <x:c r="V327" s="172" t="str">
        <x:f>IF(A327="","",IFERROR(LOOKUP(2,1/('Engineer Updates'!$B$5:$B$704=A327),'Engineer Updates'!$K$5:$K$704),""))</x:f>
      </x:c>
      <x:c r="W327" s="174" t="str">
        <x:f>IF(A327="","",IFERROR(LOOKUP(2,1/('Engineer Updates'!$B$5:$B$704=A327),'Engineer Updates'!$L$5:$L$704),""))</x:f>
      </x:c>
      <x:c r="X327" s="170" t="str">
        <x:f>IF(A327="","",IF(C327="completed","Completed in CSSP",IF(AND(C327="executing",ISERROR(SEARCH("@",K327))),"Executing without named engineer",IF(AND(N327="Confirmed OOS",C327="executing"),"Confirmed OOS still executing",""))))</x:f>
      </x:c>
      <x:c r="Y327" s="170" t="str">
        <x:f>IF(A327="","",IF(B327="Decommissioning","Raw Decommissioning","Raw Provisioning"))</x:f>
        <x:v>Raw Decommissioning</x:v>
      </x:c>
      <x:c r="Z327" s="170" t="str">
        <x:f>IF(A327="","",IF(OR(C327="executing",C327="processing"),"Yes","No"))</x:f>
        <x:v>Yes</x:v>
      </x:c>
    </x:row>
    <x:row r="328">
      <x:c r="A328" s="170" t="str">
        <x:f>IF(ROWS($A$5:A328)&lt;=COUNTA('Raw Decommissioning'!$B$2:$B$1000),INDEX('Raw Decommissioning'!$B$2:$B$1000,ROWS($A$5:A328)),IF(ROWS($A$5:A328)-COUNTA('Raw Decommissioning'!$B$2:$B$1000)&lt;=COUNTA('Raw Provisioning'!$B$2:$B$1000),INDEX('Raw Provisioning'!$B$2:$B$1000,ROWS($A$5:A328)-COUNTA('Raw Decommissioning'!$B$2:$B$1000)),""))</x:f>
        <x:v>CSSP10910215</x:v>
      </x:c>
      <x:c r="B328" s="170" t="str">
        <x:f>IF(A328="","",IF(ROWS($A$5:A328)&lt;=COUNTA('Raw Decommissioning'!$B$2:$B$1000),"Decommissioning","Provisioning"))</x:f>
        <x:v>Decommissioning</x:v>
      </x:c>
      <x:c r="C328" s="170" t="str">
        <x:f>IF(A328="","",IF(B328="Decommissioning",IFERROR(INDEX('Raw Decommissioning'!$E$2:$E$1000,MATCH(A328,'Raw Decommissioning'!$B$2:$B$1000,0)),"Missing from latest raw"),IFERROR(INDEX('Raw Provisioning'!$E$2:$E$1000,MATCH(A328,'Raw Provisioning'!$B$2:$B$1000,0)),"Missing from latest raw")))</x:f>
        <x:v>executing</x:v>
      </x:c>
      <x:c r="D328" s="171" t="n">
        <x:f>IF(A328="","",'Refresh Control'!$B$4)</x:f>
        <x:v>46254</x:v>
      </x:c>
      <x:c r="E328" s="171" t="n">
        <x:f>IF(A328="","",IF(B328="Decommissioning",INDEX('Raw Decommissioning'!$F$2:$F$1000,ROWS($A$5:A328)),INDEX('Raw Provisioning'!$F$2:$F$1000,ROWS($A$5:A328)-COUNTA('Raw Decommissioning'!$B$2:$B$1000))))</x:f>
        <x:v>46226.269127604166</x:v>
      </x:c>
      <x:c r="F328" s="171" t="n">
        <x:f>IF(A328="","",IF(B328="Decommissioning",INDEX('Raw Decommissioning'!$G$2:$G$1000,ROWS($A$5:A328)),INDEX('Raw Provisioning'!$H$2:$H$1000,ROWS($A$5:A328)-COUNTA('Raw Decommissioning'!$B$2:$B$1000))))</x:f>
        <x:v>46239.618911516205</x:v>
      </x:c>
      <x:c r="G328" s="170" t="str">
        <x:f>IF(A328="","",IF(B328="Decommissioning",INDEX('Raw Decommissioning'!$I$2:$I$1000,ROWS($A$5:A328)),INDEX('Raw Provisioning'!$J$2:$J$1000,ROWS($A$5:A328)-COUNTA('Raw Decommissioning'!$B$2:$B$1000))))</x:f>
        <x:v>Alarm Management System - AMS Machinery Manager PCFK</x:v>
      </x:c>
      <x:c r="H328" s="170" t="str">
        <x:f>IF(A328="","",IF(B328="Decommissioning",INDEX('Raw Decommissioning'!$J$2:$J$1000,ROWS($A$5:A328)),INDEX('Raw Provisioning'!$L$2:$L$1000,ROWS($A$5:A328)-COUNTA('Raw Decommissioning'!$B$2:$B$1000))))</x:f>
        <x:v>Alarm Management System - AMS Machinery Manager PCFK created for PRIVATECLOUD project record</x:v>
      </x:c>
      <x:c r="I328" s="170" t="str">
        <x:f>IF(A328="","",IF(B328="Decommissioning",INDEX('Raw Decommissioning'!$AL$2:$AL$1000,ROWS($A$5:A328)),INDEX('Raw Provisioning'!$R$2:$R$1000,ROWS($A$5:A328)-COUNTA('Raw Decommissioning'!$B$2:$B$1000))))</x:f>
        <x:v>M</x:v>
      </x:c>
      <x:c r="J328" s="170" t="str">
        <x:f>IF(A328="","",IF(B328="Decommissioning",INDEX('Raw Decommissioning'!$AG$2:$AG$1000,ROWS($A$5:A328)),INDEX('Raw Provisioning'!$AI$2:$AI$1000,ROWS($A$5:A328)-COUNTA('Raw Decommissioning'!$B$2:$B$1000))))</x:f>
        <x:v>amarja.kawade@petronas.com</x:v>
      </x:c>
      <x:c r="K328" s="172" t="str">
        <x:f>IF(A328="","",IFERROR(LOOKUP(2,1/('Assignment History'!$B$5:$B$204=A328),'Assignment History'!$D$5:$D$204),IFERROR(VLOOKUP(J328,Configuration!$L$5:$M$50,2,FALSE),J328)))</x:f>
        <x:v>amarja.kawade@petronas.com</x:v>
      </x:c>
      <x:c r="L328" s="172" t="str">
        <x:f>IF(A328="","",IF(K328=IFERROR(VLOOKUP(J328,Configuration!$L$5:$M$50,2,FALSE),J328),"Snapshot PIC","Replacement PIC"))</x:f>
        <x:v>Snapshot PIC</x:v>
      </x:c>
      <x:c r="M328" s="172" t="n">
        <x:f>IF(A328="","",IFERROR(VLOOKUP(I328,Configuration!$O$5:$P$8,2,FALSE),Configuration!$S$6))</x:f>
        <x:v>2</x:v>
      </x:c>
      <x:c r="N328" s="172" t="str">
        <x:f>IF(A328="","",IFERROR(LOOKUP(2,1/('Scope Review'!$B$5:$B$204=A328),'Scope Review'!$G$5:$G$204),"Not Reviewed"))</x:f>
        <x:v>Not Reviewed</x:v>
      </x:c>
      <x:c r="O328" s="172" t="str">
        <x:f>IF(A328="","",IFERROR(LOOKUP(2,1/('Scope Review'!$B$5:$B$204=A328),'Scope Review'!$H$5:$H$204),""))</x:f>
      </x:c>
      <x:c r="P328" s="172" t="n">
        <x:f>IF(A328="","",IF(AND(C328="executing",N328&lt;&gt;"Confirmed OOS"),M328,0))</x:f>
        <x:v>2</x:v>
      </x:c>
      <x:c r="Q328" s="173" t="n">
        <x:f>IF(A328="","",IFERROR(LOOKUP(2,1/('Engineer Updates'!$B$5:$B$704=A328),'Engineer Updates'!$A$5:$A$704),""))</x:f>
        <x:v>46251</x:v>
      </x:c>
      <x:c r="R328" s="172" t="str">
        <x:f>IF(A328="","",IFERROR(LOOKUP(2,1/('Engineer Updates'!$B$5:$B$704=A328),'Engineer Updates'!$H$5:$H$704),""))</x:f>
        <x:v>Not Started</x:v>
      </x:c>
      <x:c r="S328" s="172" t="str">
        <x:f>IF(A328="","",IFERROR(LOOKUP(2,1/('Engineer Updates'!$B$5:$B$704=A328),'Engineer Updates'!$G$5:$G$704),""))</x:f>
      </x:c>
      <x:c r="T328" s="172" t="str">
        <x:f>IF(A328="","",IFERROR(LOOKUP(2,1/('Engineer Updates'!$B$5:$B$704=A328),'Engineer Updates'!$I$5:$I$704),""))</x:f>
      </x:c>
      <x:c r="U328" s="172" t="str">
        <x:f>IF(A328="","",IFERROR(LOOKUP(2,1/('Engineer Updates'!$B$5:$B$704=A328),'Engineer Updates'!$J$5:$J$704),""))</x:f>
      </x:c>
      <x:c r="V328" s="172" t="str">
        <x:f>IF(A328="","",IFERROR(LOOKUP(2,1/('Engineer Updates'!$B$5:$B$704=A328),'Engineer Updates'!$K$5:$K$704),""))</x:f>
      </x:c>
      <x:c r="W328" s="174" t="str">
        <x:f>IF(A328="","",IFERROR(LOOKUP(2,1/('Engineer Updates'!$B$5:$B$704=A328),'Engineer Updates'!$L$5:$L$704),""))</x:f>
      </x:c>
      <x:c r="X328" s="170" t="str">
        <x:f>IF(A328="","",IF(C328="completed","Completed in CSSP",IF(AND(C328="executing",ISERROR(SEARCH("@",K328))),"Executing without named engineer",IF(AND(N328="Confirmed OOS",C328="executing"),"Confirmed OOS still executing",""))))</x:f>
      </x:c>
      <x:c r="Y328" s="170" t="str">
        <x:f>IF(A328="","",IF(B328="Decommissioning","Raw Decommissioning","Raw Provisioning"))</x:f>
        <x:v>Raw Decommissioning</x:v>
      </x:c>
      <x:c r="Z328" s="170" t="str">
        <x:f>IF(A328="","",IF(OR(C328="executing",C328="processing"),"Yes","No"))</x:f>
        <x:v>Yes</x:v>
      </x:c>
    </x:row>
    <x:row r="329">
      <x:c r="A329" s="170" t="str">
        <x:f>IF(ROWS($A$5:A329)&lt;=COUNTA('Raw Decommissioning'!$B$2:$B$1000),INDEX('Raw Decommissioning'!$B$2:$B$1000,ROWS($A$5:A329)),IF(ROWS($A$5:A329)-COUNTA('Raw Decommissioning'!$B$2:$B$1000)&lt;=COUNTA('Raw Provisioning'!$B$2:$B$1000),INDEX('Raw Provisioning'!$B$2:$B$1000,ROWS($A$5:A329)-COUNTA('Raw Decommissioning'!$B$2:$B$1000)),""))</x:f>
        <x:v>CSSP10191098</x:v>
      </x:c>
      <x:c r="B329" s="170" t="str">
        <x:f>IF(A329="","",IF(ROWS($A$5:A329)&lt;=COUNTA('Raw Decommissioning'!$B$2:$B$1000),"Decommissioning","Provisioning"))</x:f>
        <x:v>Decommissioning</x:v>
      </x:c>
      <x:c r="C329" s="170" t="str">
        <x:f>IF(A329="","",IF(B329="Decommissioning",IFERROR(INDEX('Raw Decommissioning'!$E$2:$E$1000,MATCH(A329,'Raw Decommissioning'!$B$2:$B$1000,0)),"Missing from latest raw"),IFERROR(INDEX('Raw Provisioning'!$E$2:$E$1000,MATCH(A329,'Raw Provisioning'!$B$2:$B$1000,0)),"Missing from latest raw")))</x:f>
        <x:v>executing</x:v>
      </x:c>
      <x:c r="D329" s="171" t="n">
        <x:f>IF(A329="","",'Refresh Control'!$B$4)</x:f>
        <x:v>46254</x:v>
      </x:c>
      <x:c r="E329" s="171" t="n">
        <x:f>IF(A329="","",IF(B329="Decommissioning",INDEX('Raw Decommissioning'!$F$2:$F$1000,ROWS($A$5:A329)),INDEX('Raw Provisioning'!$F$2:$F$1000,ROWS($A$5:A329)-COUNTA('Raw Decommissioning'!$B$2:$B$1000))))</x:f>
        <x:v>46226.29349476852</x:v>
      </x:c>
      <x:c r="F329" s="171" t="n">
        <x:f>IF(A329="","",IF(B329="Decommissioning",INDEX('Raw Decommissioning'!$G$2:$G$1000,ROWS($A$5:A329)),INDEX('Raw Provisioning'!$H$2:$H$1000,ROWS($A$5:A329)-COUNTA('Raw Decommissioning'!$B$2:$B$1000))))</x:f>
        <x:v>46233.10394584491</x:v>
      </x:c>
      <x:c r="G329" s="170" t="str">
        <x:f>IF(A329="","",IF(B329="Decommissioning",INDEX('Raw Decommissioning'!$I$2:$I$1000,ROWS($A$5:A329)),INDEX('Raw Provisioning'!$J$2:$J$1000,ROWS($A$5:A329)-COUNTA('Raw Decommissioning'!$B$2:$B$1000))))</x:f>
        <x:v>PETRONAS Engineering Data Management System - P-EDMS PCASB</x:v>
      </x:c>
      <x:c r="H329" s="170" t="str">
        <x:f>IF(A329="","",IF(B329="Decommissioning",INDEX('Raw Decommissioning'!$J$2:$J$1000,ROWS($A$5:A329)),INDEX('Raw Provisioning'!$L$2:$L$1000,ROWS($A$5:A329)-COUNTA('Raw Decommissioning'!$B$2:$B$1000))))</x:f>
        <x:v>PETRONAS Engineering Data Management System - P-EDMS PCASB created for PRIVATECLOUD project record</x:v>
      </x:c>
      <x:c r="I329" s="170" t="str">
        <x:f>IF(A329="","",IF(B329="Decommissioning",INDEX('Raw Decommissioning'!$AL$2:$AL$1000,ROWS($A$5:A329)),INDEX('Raw Provisioning'!$R$2:$R$1000,ROWS($A$5:A329)-COUNTA('Raw Decommissioning'!$B$2:$B$1000))))</x:f>
        <x:v>M</x:v>
      </x:c>
      <x:c r="J329" s="170" t="str">
        <x:f>IF(A329="","",IF(B329="Decommissioning",INDEX('Raw Decommissioning'!$AG$2:$AG$1000,ROWS($A$5:A329)),INDEX('Raw Provisioning'!$AI$2:$AI$1000,ROWS($A$5:A329)-COUNTA('Raw Decommissioning'!$B$2:$B$1000))))</x:f>
        <x:v>swaminadh.chirakala@petronas.com</x:v>
      </x:c>
      <x:c r="K329" s="172" t="str">
        <x:f>IF(A329="","",IFERROR(LOOKUP(2,1/('Assignment History'!$B$5:$B$204=A329),'Assignment History'!$D$5:$D$204),IFERROR(VLOOKUP(J329,Configuration!$L$5:$M$50,2,FALSE),J329)))</x:f>
        <x:v>swaminadh.chirakala@petronas.com</x:v>
      </x:c>
      <x:c r="L329" s="172" t="str">
        <x:f>IF(A329="","",IF(K329=IFERROR(VLOOKUP(J329,Configuration!$L$5:$M$50,2,FALSE),J329),"Snapshot PIC","Replacement PIC"))</x:f>
        <x:v>Snapshot PIC</x:v>
      </x:c>
      <x:c r="M329" s="172" t="n">
        <x:f>IF(A329="","",IFERROR(VLOOKUP(I329,Configuration!$O$5:$P$8,2,FALSE),Configuration!$S$6))</x:f>
        <x:v>2</x:v>
      </x:c>
      <x:c r="N329" s="172" t="str">
        <x:f>IF(A329="","",IFERROR(LOOKUP(2,1/('Scope Review'!$B$5:$B$204=A329),'Scope Review'!$G$5:$G$204),"Not Reviewed"))</x:f>
        <x:v>Not Reviewed</x:v>
      </x:c>
      <x:c r="O329" s="172" t="str">
        <x:f>IF(A329="","",IFERROR(LOOKUP(2,1/('Scope Review'!$B$5:$B$204=A329),'Scope Review'!$H$5:$H$204),""))</x:f>
      </x:c>
      <x:c r="P329" s="172" t="n">
        <x:f>IF(A329="","",IF(AND(C329="executing",N329&lt;&gt;"Confirmed OOS"),M329,0))</x:f>
        <x:v>2</x:v>
      </x:c>
      <x:c r="Q329" s="173" t="n">
        <x:f>IF(A329="","",IFERROR(LOOKUP(2,1/('Engineer Updates'!$B$5:$B$704=A329),'Engineer Updates'!$A$5:$A$704),""))</x:f>
        <x:v>46251</x:v>
      </x:c>
      <x:c r="R329" s="172" t="str">
        <x:f>IF(A329="","",IFERROR(LOOKUP(2,1/('Engineer Updates'!$B$5:$B$704=A329),'Engineer Updates'!$H$5:$H$704),""))</x:f>
        <x:v>Not Started</x:v>
      </x:c>
      <x:c r="S329" s="172" t="str">
        <x:f>IF(A329="","",IFERROR(LOOKUP(2,1/('Engineer Updates'!$B$5:$B$704=A329),'Engineer Updates'!$G$5:$G$704),""))</x:f>
      </x:c>
      <x:c r="T329" s="172" t="str">
        <x:f>IF(A329="","",IFERROR(LOOKUP(2,1/('Engineer Updates'!$B$5:$B$704=A329),'Engineer Updates'!$I$5:$I$704),""))</x:f>
      </x:c>
      <x:c r="U329" s="172" t="str">
        <x:f>IF(A329="","",IFERROR(LOOKUP(2,1/('Engineer Updates'!$B$5:$B$704=A329),'Engineer Updates'!$J$5:$J$704),""))</x:f>
      </x:c>
      <x:c r="V329" s="172" t="str">
        <x:f>IF(A329="","",IFERROR(LOOKUP(2,1/('Engineer Updates'!$B$5:$B$704=A329),'Engineer Updates'!$K$5:$K$704),""))</x:f>
      </x:c>
      <x:c r="W329" s="174" t="str">
        <x:f>IF(A329="","",IFERROR(LOOKUP(2,1/('Engineer Updates'!$B$5:$B$704=A329),'Engineer Updates'!$L$5:$L$704),""))</x:f>
      </x:c>
      <x:c r="X329" s="170" t="str">
        <x:f>IF(A329="","",IF(C329="completed","Completed in CSSP",IF(AND(C329="executing",ISERROR(SEARCH("@",K329))),"Executing without named engineer",IF(AND(N329="Confirmed OOS",C329="executing"),"Confirmed OOS still executing",""))))</x:f>
      </x:c>
      <x:c r="Y329" s="170" t="str">
        <x:f>IF(A329="","",IF(B329="Decommissioning","Raw Decommissioning","Raw Provisioning"))</x:f>
        <x:v>Raw Decommissioning</x:v>
      </x:c>
      <x:c r="Z329" s="170" t="str">
        <x:f>IF(A329="","",IF(OR(C329="executing",C329="processing"),"Yes","No"))</x:f>
        <x:v>Yes</x:v>
      </x:c>
    </x:row>
    <x:row r="330">
      <x:c r="A330" s="170" t="str">
        <x:f>IF(ROWS($A$5:A330)&lt;=COUNTA('Raw Decommissioning'!$B$2:$B$1000),INDEX('Raw Decommissioning'!$B$2:$B$1000,ROWS($A$5:A330)),IF(ROWS($A$5:A330)-COUNTA('Raw Decommissioning'!$B$2:$B$1000)&lt;=COUNTA('Raw Provisioning'!$B$2:$B$1000),INDEX('Raw Provisioning'!$B$2:$B$1000,ROWS($A$5:A330)-COUNTA('Raw Decommissioning'!$B$2:$B$1000)),""))</x:f>
        <x:v>CSSP10777447</x:v>
      </x:c>
      <x:c r="B330" s="170" t="str">
        <x:f>IF(A330="","",IF(ROWS($A$5:A330)&lt;=COUNTA('Raw Decommissioning'!$B$2:$B$1000),"Decommissioning","Provisioning"))</x:f>
        <x:v>Decommissioning</x:v>
      </x:c>
      <x:c r="C330" s="170" t="str">
        <x:f>IF(A330="","",IF(B330="Decommissioning",IFERROR(INDEX('Raw Decommissioning'!$E$2:$E$1000,MATCH(A330,'Raw Decommissioning'!$B$2:$B$1000,0)),"Missing from latest raw"),IFERROR(INDEX('Raw Provisioning'!$E$2:$E$1000,MATCH(A330,'Raw Provisioning'!$B$2:$B$1000,0)),"Missing from latest raw")))</x:f>
        <x:v>executing</x:v>
      </x:c>
      <x:c r="D330" s="171" t="n">
        <x:f>IF(A330="","",'Refresh Control'!$B$4)</x:f>
        <x:v>46254</x:v>
      </x:c>
      <x:c r="E330" s="171" t="n">
        <x:f>IF(A330="","",IF(B330="Decommissioning",INDEX('Raw Decommissioning'!$F$2:$F$1000,ROWS($A$5:A330)),INDEX('Raw Provisioning'!$F$2:$F$1000,ROWS($A$5:A330)-COUNTA('Raw Decommissioning'!$B$2:$B$1000))))</x:f>
        <x:v>46226.29522496528</x:v>
      </x:c>
      <x:c r="F330" s="171" t="n">
        <x:f>IF(A330="","",IF(B330="Decommissioning",INDEX('Raw Decommissioning'!$G$2:$G$1000,ROWS($A$5:A330)),INDEX('Raw Provisioning'!$H$2:$H$1000,ROWS($A$5:A330)-COUNTA('Raw Decommissioning'!$B$2:$B$1000))))</x:f>
        <x:v>46239.617916550924</x:v>
      </x:c>
      <x:c r="G330" s="170" t="str">
        <x:f>IF(A330="","",IF(B330="Decommissioning",INDEX('Raw Decommissioning'!$I$2:$I$1000,ROWS($A$5:A330)),INDEX('Raw Provisioning'!$J$2:$J$1000,ROWS($A$5:A330)-COUNTA('Raw Decommissioning'!$B$2:$B$1000))))</x:f>
        <x:v>Print Server PCGB</x:v>
      </x:c>
      <x:c r="H330" s="170" t="str">
        <x:f>IF(A330="","",IF(B330="Decommissioning",INDEX('Raw Decommissioning'!$J$2:$J$1000,ROWS($A$5:A330)),INDEX('Raw Provisioning'!$L$2:$L$1000,ROWS($A$5:A330)-COUNTA('Raw Decommissioning'!$B$2:$B$1000))))</x:f>
        <x:v>Print Server PCGB created for PRIVATECLOUD project record</x:v>
      </x:c>
      <x:c r="I330" s="170" t="str">
        <x:f>IF(A330="","",IF(B330="Decommissioning",INDEX('Raw Decommissioning'!$AL$2:$AL$1000,ROWS($A$5:A330)),INDEX('Raw Provisioning'!$R$2:$R$1000,ROWS($A$5:A330)-COUNTA('Raw Decommissioning'!$B$2:$B$1000))))</x:f>
        <x:v>M</x:v>
      </x:c>
      <x:c r="J330" s="170" t="str">
        <x:f>IF(A330="","",IF(B330="Decommissioning",INDEX('Raw Decommissioning'!$AG$2:$AG$1000,ROWS($A$5:A330)),INDEX('Raw Provisioning'!$AI$2:$AI$1000,ROWS($A$5:A330)-COUNTA('Raw Decommissioning'!$B$2:$B$1000))))</x:f>
        <x:v>amarja.kawade@petronas.com</x:v>
      </x:c>
      <x:c r="K330" s="172" t="str">
        <x:f>IF(A330="","",IFERROR(LOOKUP(2,1/('Assignment History'!$B$5:$B$204=A330),'Assignment History'!$D$5:$D$204),IFERROR(VLOOKUP(J330,Configuration!$L$5:$M$50,2,FALSE),J330)))</x:f>
        <x:v>amarja.kawade@petronas.com</x:v>
      </x:c>
      <x:c r="L330" s="172" t="str">
        <x:f>IF(A330="","",IF(K330=IFERROR(VLOOKUP(J330,Configuration!$L$5:$M$50,2,FALSE),J330),"Snapshot PIC","Replacement PIC"))</x:f>
        <x:v>Snapshot PIC</x:v>
      </x:c>
      <x:c r="M330" s="172" t="n">
        <x:f>IF(A330="","",IFERROR(VLOOKUP(I330,Configuration!$O$5:$P$8,2,FALSE),Configuration!$S$6))</x:f>
        <x:v>2</x:v>
      </x:c>
      <x:c r="N330" s="172" t="str">
        <x:f>IF(A330="","",IFERROR(LOOKUP(2,1/('Scope Review'!$B$5:$B$204=A330),'Scope Review'!$G$5:$G$204),"Not Reviewed"))</x:f>
        <x:v>Not Reviewed</x:v>
      </x:c>
      <x:c r="O330" s="172" t="str">
        <x:f>IF(A330="","",IFERROR(LOOKUP(2,1/('Scope Review'!$B$5:$B$204=A330),'Scope Review'!$H$5:$H$204),""))</x:f>
      </x:c>
      <x:c r="P330" s="172" t="n">
        <x:f>IF(A330="","",IF(AND(C330="executing",N330&lt;&gt;"Confirmed OOS"),M330,0))</x:f>
        <x:v>2</x:v>
      </x:c>
      <x:c r="Q330" s="173" t="n">
        <x:f>IF(A330="","",IFERROR(LOOKUP(2,1/('Engineer Updates'!$B$5:$B$704=A330),'Engineer Updates'!$A$5:$A$704),""))</x:f>
        <x:v>46251</x:v>
      </x:c>
      <x:c r="R330" s="172" t="str">
        <x:f>IF(A330="","",IFERROR(LOOKUP(2,1/('Engineer Updates'!$B$5:$B$704=A330),'Engineer Updates'!$H$5:$H$704),""))</x:f>
        <x:v>Not Started</x:v>
      </x:c>
      <x:c r="S330" s="172" t="str">
        <x:f>IF(A330="","",IFERROR(LOOKUP(2,1/('Engineer Updates'!$B$5:$B$704=A330),'Engineer Updates'!$G$5:$G$704),""))</x:f>
      </x:c>
      <x:c r="T330" s="172" t="str">
        <x:f>IF(A330="","",IFERROR(LOOKUP(2,1/('Engineer Updates'!$B$5:$B$704=A330),'Engineer Updates'!$I$5:$I$704),""))</x:f>
      </x:c>
      <x:c r="U330" s="172" t="str">
        <x:f>IF(A330="","",IFERROR(LOOKUP(2,1/('Engineer Updates'!$B$5:$B$704=A330),'Engineer Updates'!$J$5:$J$704),""))</x:f>
      </x:c>
      <x:c r="V330" s="172" t="str">
        <x:f>IF(A330="","",IFERROR(LOOKUP(2,1/('Engineer Updates'!$B$5:$B$704=A330),'Engineer Updates'!$K$5:$K$704),""))</x:f>
      </x:c>
      <x:c r="W330" s="174" t="str">
        <x:f>IF(A330="","",IFERROR(LOOKUP(2,1/('Engineer Updates'!$B$5:$B$704=A330),'Engineer Updates'!$L$5:$L$704),""))</x:f>
      </x:c>
      <x:c r="X330" s="170" t="str">
        <x:f>IF(A330="","",IF(C330="completed","Completed in CSSP",IF(AND(C330="executing",ISERROR(SEARCH("@",K330))),"Executing without named engineer",IF(AND(N330="Confirmed OOS",C330="executing"),"Confirmed OOS still executing",""))))</x:f>
      </x:c>
      <x:c r="Y330" s="170" t="str">
        <x:f>IF(A330="","",IF(B330="Decommissioning","Raw Decommissioning","Raw Provisioning"))</x:f>
        <x:v>Raw Decommissioning</x:v>
      </x:c>
      <x:c r="Z330" s="170" t="str">
        <x:f>IF(A330="","",IF(OR(C330="executing",C330="processing"),"Yes","No"))</x:f>
        <x:v>Yes</x:v>
      </x:c>
    </x:row>
    <x:row r="331">
      <x:c r="A331" s="170" t="str">
        <x:f>IF(ROWS($A$5:A331)&lt;=COUNTA('Raw Decommissioning'!$B$2:$B$1000),INDEX('Raw Decommissioning'!$B$2:$B$1000,ROWS($A$5:A331)),IF(ROWS($A$5:A331)-COUNTA('Raw Decommissioning'!$B$2:$B$1000)&lt;=COUNTA('Raw Provisioning'!$B$2:$B$1000),INDEX('Raw Provisioning'!$B$2:$B$1000,ROWS($A$5:A331)-COUNTA('Raw Decommissioning'!$B$2:$B$1000)),""))</x:f>
        <x:v>CSSP10810098</x:v>
      </x:c>
      <x:c r="B331" s="170" t="str">
        <x:f>IF(A331="","",IF(ROWS($A$5:A331)&lt;=COUNTA('Raw Decommissioning'!$B$2:$B$1000),"Decommissioning","Provisioning"))</x:f>
        <x:v>Decommissioning</x:v>
      </x:c>
      <x:c r="C331" s="170" t="str">
        <x:f>IF(A331="","",IF(B331="Decommissioning",IFERROR(INDEX('Raw Decommissioning'!$E$2:$E$1000,MATCH(A331,'Raw Decommissioning'!$B$2:$B$1000,0)),"Missing from latest raw"),IFERROR(INDEX('Raw Provisioning'!$E$2:$E$1000,MATCH(A331,'Raw Provisioning'!$B$2:$B$1000,0)),"Missing from latest raw")))</x:f>
        <x:v>rejected</x:v>
      </x:c>
      <x:c r="D331" s="171" t="n">
        <x:f>IF(A331="","",'Refresh Control'!$B$4)</x:f>
        <x:v>46254</x:v>
      </x:c>
      <x:c r="E331" s="171" t="n">
        <x:f>IF(A331="","",IF(B331="Decommissioning",INDEX('Raw Decommissioning'!$F$2:$F$1000,ROWS($A$5:A331)),INDEX('Raw Provisioning'!$F$2:$F$1000,ROWS($A$5:A331)-COUNTA('Raw Decommissioning'!$B$2:$B$1000))))</x:f>
        <x:v>46226.40467912037</x:v>
      </x:c>
      <x:c r="F331" s="171" t="n">
        <x:f>IF(A331="","",IF(B331="Decommissioning",INDEX('Raw Decommissioning'!$G$2:$G$1000,ROWS($A$5:A331)),INDEX('Raw Provisioning'!$H$2:$H$1000,ROWS($A$5:A331)-COUNTA('Raw Decommissioning'!$B$2:$B$1000))))</x:f>
        <x:v>46244.08709327546</x:v>
      </x:c>
      <x:c r="G331" s="170" t="str">
        <x:f>IF(A331="","",IF(B331="Decommissioning",INDEX('Raw Decommissioning'!$I$2:$I$1000,ROWS($A$5:A331)),INDEX('Raw Provisioning'!$J$2:$J$1000,ROWS($A$5:A331)-COUNTA('Raw Decommissioning'!$B$2:$B$1000))))</x:f>
        <x:v>Enterprise Content Management System - ECMS CENTERA</x:v>
      </x:c>
      <x:c r="H331" s="170" t="str">
        <x:f>IF(A331="","",IF(B331="Decommissioning",INDEX('Raw Decommissioning'!$J$2:$J$1000,ROWS($A$5:A331)),INDEX('Raw Provisioning'!$L$2:$L$1000,ROWS($A$5:A331)-COUNTA('Raw Decommissioning'!$B$2:$B$1000))))</x:f>
        <x:v>Enterprise Content Management System - ECMS CENTERA created for PRIVATECLOUD project record</x:v>
      </x:c>
      <x:c r="I331" s="170" t="str">
        <x:f>IF(A331="","",IF(B331="Decommissioning",INDEX('Raw Decommissioning'!$AL$2:$AL$1000,ROWS($A$5:A331)),INDEX('Raw Provisioning'!$R$2:$R$1000,ROWS($A$5:A331)-COUNTA('Raw Decommissioning'!$B$2:$B$1000))))</x:f>
      </x:c>
      <x:c r="J331" s="170" t="str">
        <x:f>IF(A331="","",IF(B331="Decommissioning",INDEX('Raw Decommissioning'!$AG$2:$AG$1000,ROWS($A$5:A331)),INDEX('Raw Provisioning'!$AI$2:$AI$1000,ROWS($A$5:A331)-COUNTA('Raw Decommissioning'!$B$2:$B$1000))))</x:f>
        <x:v>IMS - CLOUD CSSP EXECUTOR</x:v>
      </x:c>
      <x:c r="K331" s="172" t="str">
        <x:f>IF(A331="","",IFERROR(LOOKUP(2,1/('Assignment History'!$B$5:$B$204=A331),'Assignment History'!$D$5:$D$204),IFERROR(VLOOKUP(J331,Configuration!$L$5:$M$50,2,FALSE),J331)))</x:f>
        <x:v>IMS - CLOUD CSSP EXECUTOR</x:v>
      </x:c>
      <x:c r="L331" s="172" t="str">
        <x:f>IF(A331="","",IF(K331=IFERROR(VLOOKUP(J331,Configuration!$L$5:$M$50,2,FALSE),J331),"Snapshot PIC","Replacement PIC"))</x:f>
        <x:v>Snapshot PIC</x:v>
      </x:c>
      <x:c r="M331" s="172" t="n">
        <x:f>IF(A331="","",IFERROR(VLOOKUP(I331,Configuration!$O$5:$P$8,2,FALSE),Configuration!$S$6))</x:f>
        <x:v>2</x:v>
      </x:c>
      <x:c r="N331" s="172" t="str">
        <x:f>IF(A331="","",IFERROR(LOOKUP(2,1/('Scope Review'!$B$5:$B$204=A331),'Scope Review'!$G$5:$G$204),"Not Reviewed"))</x:f>
        <x:v>Not Reviewed</x:v>
      </x:c>
      <x:c r="O331" s="172" t="str">
        <x:f>IF(A331="","",IFERROR(LOOKUP(2,1/('Scope Review'!$B$5:$B$204=A331),'Scope Review'!$H$5:$H$204),""))</x:f>
      </x:c>
      <x:c r="P331" s="172" t="n">
        <x:f>IF(A331="","",IF(AND(C331="executing",N331&lt;&gt;"Confirmed OOS"),M331,0))</x:f>
        <x:v>0</x:v>
      </x:c>
      <x:c r="Q331" s="173" t="str">
        <x:f>IF(A331="","",IFERROR(LOOKUP(2,1/('Engineer Updates'!$B$5:$B$704=A331),'Engineer Updates'!$A$5:$A$704),""))</x:f>
      </x:c>
      <x:c r="R331" s="172" t="str">
        <x:f>IF(A331="","",IFERROR(LOOKUP(2,1/('Engineer Updates'!$B$5:$B$704=A331),'Engineer Updates'!$H$5:$H$704),""))</x:f>
      </x:c>
      <x:c r="S331" s="172" t="str">
        <x:f>IF(A331="","",IFERROR(LOOKUP(2,1/('Engineer Updates'!$B$5:$B$704=A331),'Engineer Updates'!$G$5:$G$704),""))</x:f>
      </x:c>
      <x:c r="T331" s="172" t="str">
        <x:f>IF(A331="","",IFERROR(LOOKUP(2,1/('Engineer Updates'!$B$5:$B$704=A331),'Engineer Updates'!$I$5:$I$704),""))</x:f>
      </x:c>
      <x:c r="U331" s="172" t="str">
        <x:f>IF(A331="","",IFERROR(LOOKUP(2,1/('Engineer Updates'!$B$5:$B$704=A331),'Engineer Updates'!$J$5:$J$704),""))</x:f>
      </x:c>
      <x:c r="V331" s="172" t="str">
        <x:f>IF(A331="","",IFERROR(LOOKUP(2,1/('Engineer Updates'!$B$5:$B$704=A331),'Engineer Updates'!$K$5:$K$704),""))</x:f>
      </x:c>
      <x:c r="W331" s="174" t="str">
        <x:f>IF(A331="","",IFERROR(LOOKUP(2,1/('Engineer Updates'!$B$5:$B$704=A331),'Engineer Updates'!$L$5:$L$704),""))</x:f>
      </x:c>
      <x:c r="X331" s="170" t="str">
        <x:f>IF(A331="","",IF(C331="completed","Completed in CSSP",IF(AND(C331="executing",ISERROR(SEARCH("@",K331))),"Executing without named engineer",IF(AND(N331="Confirmed OOS",C331="executing"),"Confirmed OOS still executing",""))))</x:f>
      </x:c>
      <x:c r="Y331" s="170" t="str">
        <x:f>IF(A331="","",IF(B331="Decommissioning","Raw Decommissioning","Raw Provisioning"))</x:f>
        <x:v>Raw Decommissioning</x:v>
      </x:c>
      <x:c r="Z331" s="170" t="str">
        <x:f>IF(A331="","",IF(OR(C331="executing",C331="processing"),"Yes","No"))</x:f>
        <x:v>No</x:v>
      </x:c>
    </x:row>
    <x:row r="332">
      <x:c r="A332" s="170" t="str">
        <x:f>IF(ROWS($A$5:A332)&lt;=COUNTA('Raw Decommissioning'!$B$2:$B$1000),INDEX('Raw Decommissioning'!$B$2:$B$1000,ROWS($A$5:A332)),IF(ROWS($A$5:A332)-COUNTA('Raw Decommissioning'!$B$2:$B$1000)&lt;=COUNTA('Raw Provisioning'!$B$2:$B$1000),INDEX('Raw Provisioning'!$B$2:$B$1000,ROWS($A$5:A332)-COUNTA('Raw Decommissioning'!$B$2:$B$1000)),""))</x:f>
        <x:v>CSSP10949785</x:v>
      </x:c>
      <x:c r="B332" s="170" t="str">
        <x:f>IF(A332="","",IF(ROWS($A$5:A332)&lt;=COUNTA('Raw Decommissioning'!$B$2:$B$1000),"Decommissioning","Provisioning"))</x:f>
        <x:v>Decommissioning</x:v>
      </x:c>
      <x:c r="C332" s="170" t="str">
        <x:f>IF(A332="","",IF(B332="Decommissioning",IFERROR(INDEX('Raw Decommissioning'!$E$2:$E$1000,MATCH(A332,'Raw Decommissioning'!$B$2:$B$1000,0)),"Missing from latest raw"),IFERROR(INDEX('Raw Provisioning'!$E$2:$E$1000,MATCH(A332,'Raw Provisioning'!$B$2:$B$1000,0)),"Missing from latest raw")))</x:f>
        <x:v>executing</x:v>
      </x:c>
      <x:c r="D332" s="171" t="n">
        <x:f>IF(A332="","",'Refresh Control'!$B$4)</x:f>
        <x:v>46254</x:v>
      </x:c>
      <x:c r="E332" s="171" t="n">
        <x:f>IF(A332="","",IF(B332="Decommissioning",INDEX('Raw Decommissioning'!$F$2:$F$1000,ROWS($A$5:A332)),INDEX('Raw Provisioning'!$F$2:$F$1000,ROWS($A$5:A332)-COUNTA('Raw Decommissioning'!$B$2:$B$1000))))</x:f>
        <x:v>46227.27499542824</x:v>
      </x:c>
      <x:c r="F332" s="171" t="n">
        <x:f>IF(A332="","",IF(B332="Decommissioning",INDEX('Raw Decommissioning'!$G$2:$G$1000,ROWS($A$5:A332)),INDEX('Raw Provisioning'!$H$2:$H$1000,ROWS($A$5:A332)-COUNTA('Raw Decommissioning'!$B$2:$B$1000))))</x:f>
        <x:v>46231.203670787036</x:v>
      </x:c>
      <x:c r="G332" s="170" t="str">
        <x:f>IF(A332="","",IF(B332="Decommissioning",INDEX('Raw Decommissioning'!$I$2:$I$1000,ROWS($A$5:A332)),INDEX('Raw Provisioning'!$J$2:$J$1000,ROWS($A$5:A332)-COUNTA('Raw Decommissioning'!$B$2:$B$1000))))</x:f>
        <x:v>Jawatan Kuasa Zon Ekonomi Eksklusif - e-JKZEE</x:v>
      </x:c>
      <x:c r="H332" s="170" t="str">
        <x:f>IF(A332="","",IF(B332="Decommissioning",INDEX('Raw Decommissioning'!$J$2:$J$1000,ROWS($A$5:A332)),INDEX('Raw Provisioning'!$L$2:$L$1000,ROWS($A$5:A332)-COUNTA('Raw Decommissioning'!$B$2:$B$1000))))</x:f>
        <x:v>Implementation of e-JKZEE (Jawatan Kuasa Zon Ekonomi Eksklusif) System for MPM</x:v>
      </x:c>
      <x:c r="I332" s="170" t="str">
        <x:f>IF(A332="","",IF(B332="Decommissioning",INDEX('Raw Decommissioning'!$AL$2:$AL$1000,ROWS($A$5:A332)),INDEX('Raw Provisioning'!$R$2:$R$1000,ROWS($A$5:A332)-COUNTA('Raw Decommissioning'!$B$2:$B$1000))))</x:f>
        <x:v>L</x:v>
      </x:c>
      <x:c r="J332" s="170" t="str">
        <x:f>IF(A332="","",IF(B332="Decommissioning",INDEX('Raw Decommissioning'!$AG$2:$AG$1000,ROWS($A$5:A332)),INDEX('Raw Provisioning'!$AI$2:$AI$1000,ROWS($A$5:A332)-COUNTA('Raw Decommissioning'!$B$2:$B$1000))))</x:f>
        <x:v>swaminadh.chirakala@petronas.com</x:v>
      </x:c>
      <x:c r="K332" s="172" t="str">
        <x:f>IF(A332="","",IFERROR(LOOKUP(2,1/('Assignment History'!$B$5:$B$204=A332),'Assignment History'!$D$5:$D$204),IFERROR(VLOOKUP(J332,Configuration!$L$5:$M$50,2,FALSE),J332)))</x:f>
        <x:v>swaminadh.chirakala@petronas.com</x:v>
      </x:c>
      <x:c r="L332" s="172" t="str">
        <x:f>IF(A332="","",IF(K332=IFERROR(VLOOKUP(J332,Configuration!$L$5:$M$50,2,FALSE),J332),"Snapshot PIC","Replacement PIC"))</x:f>
        <x:v>Snapshot PIC</x:v>
      </x:c>
      <x:c r="M332" s="172" t="n">
        <x:f>IF(A332="","",IFERROR(VLOOKUP(I332,Configuration!$O$5:$P$8,2,FALSE),Configuration!$S$6))</x:f>
        <x:v>3</x:v>
      </x:c>
      <x:c r="N332" s="172" t="str">
        <x:f>IF(A332="","",IFERROR(LOOKUP(2,1/('Scope Review'!$B$5:$B$204=A332),'Scope Review'!$G$5:$G$204),"Not Reviewed"))</x:f>
        <x:v>Not Reviewed</x:v>
      </x:c>
      <x:c r="O332" s="172" t="str">
        <x:f>IF(A332="","",IFERROR(LOOKUP(2,1/('Scope Review'!$B$5:$B$204=A332),'Scope Review'!$H$5:$H$204),""))</x:f>
      </x:c>
      <x:c r="P332" s="172" t="n">
        <x:f>IF(A332="","",IF(AND(C332="executing",N332&lt;&gt;"Confirmed OOS"),M332,0))</x:f>
        <x:v>3</x:v>
      </x:c>
      <x:c r="Q332" s="173" t="n">
        <x:f>IF(A332="","",IFERROR(LOOKUP(2,1/('Engineer Updates'!$B$5:$B$704=A332),'Engineer Updates'!$A$5:$A$704),""))</x:f>
        <x:v>46251</x:v>
      </x:c>
      <x:c r="R332" s="172" t="str">
        <x:f>IF(A332="","",IFERROR(LOOKUP(2,1/('Engineer Updates'!$B$5:$B$704=A332),'Engineer Updates'!$H$5:$H$704),""))</x:f>
        <x:v>Not Started</x:v>
      </x:c>
      <x:c r="S332" s="172" t="str">
        <x:f>IF(A332="","",IFERROR(LOOKUP(2,1/('Engineer Updates'!$B$5:$B$704=A332),'Engineer Updates'!$G$5:$G$704),""))</x:f>
      </x:c>
      <x:c r="T332" s="172" t="str">
        <x:f>IF(A332="","",IFERROR(LOOKUP(2,1/('Engineer Updates'!$B$5:$B$704=A332),'Engineer Updates'!$I$5:$I$704),""))</x:f>
      </x:c>
      <x:c r="U332" s="172" t="str">
        <x:f>IF(A332="","",IFERROR(LOOKUP(2,1/('Engineer Updates'!$B$5:$B$704=A332),'Engineer Updates'!$J$5:$J$704),""))</x:f>
      </x:c>
      <x:c r="V332" s="172" t="str">
        <x:f>IF(A332="","",IFERROR(LOOKUP(2,1/('Engineer Updates'!$B$5:$B$704=A332),'Engineer Updates'!$K$5:$K$704),""))</x:f>
      </x:c>
      <x:c r="W332" s="174" t="str">
        <x:f>IF(A332="","",IFERROR(LOOKUP(2,1/('Engineer Updates'!$B$5:$B$704=A332),'Engineer Updates'!$L$5:$L$704),""))</x:f>
      </x:c>
      <x:c r="X332" s="170" t="str">
        <x:f>IF(A332="","",IF(C332="completed","Completed in CSSP",IF(AND(C332="executing",ISERROR(SEARCH("@",K332))),"Executing without named engineer",IF(AND(N332="Confirmed OOS",C332="executing"),"Confirmed OOS still executing",""))))</x:f>
      </x:c>
      <x:c r="Y332" s="170" t="str">
        <x:f>IF(A332="","",IF(B332="Decommissioning","Raw Decommissioning","Raw Provisioning"))</x:f>
        <x:v>Raw Decommissioning</x:v>
      </x:c>
      <x:c r="Z332" s="170" t="str">
        <x:f>IF(A332="","",IF(OR(C332="executing",C332="processing"),"Yes","No"))</x:f>
        <x:v>Yes</x:v>
      </x:c>
    </x:row>
    <x:row r="333">
      <x:c r="A333" s="170" t="str">
        <x:f>IF(ROWS($A$5:A333)&lt;=COUNTA('Raw Decommissioning'!$B$2:$B$1000),INDEX('Raw Decommissioning'!$B$2:$B$1000,ROWS($A$5:A333)),IF(ROWS($A$5:A333)-COUNTA('Raw Decommissioning'!$B$2:$B$1000)&lt;=COUNTA('Raw Provisioning'!$B$2:$B$1000),INDEX('Raw Provisioning'!$B$2:$B$1000,ROWS($A$5:A333)-COUNTA('Raw Decommissioning'!$B$2:$B$1000)),""))</x:f>
        <x:v>CSSP10589613</x:v>
      </x:c>
      <x:c r="B333" s="170" t="str">
        <x:f>IF(A333="","",IF(ROWS($A$5:A333)&lt;=COUNTA('Raw Decommissioning'!$B$2:$B$1000),"Decommissioning","Provisioning"))</x:f>
        <x:v>Decommissioning</x:v>
      </x:c>
      <x:c r="C333" s="170" t="str">
        <x:f>IF(A333="","",IF(B333="Decommissioning",IFERROR(INDEX('Raw Decommissioning'!$E$2:$E$1000,MATCH(A333,'Raw Decommissioning'!$B$2:$B$1000,0)),"Missing from latest raw"),IFERROR(INDEX('Raw Provisioning'!$E$2:$E$1000,MATCH(A333,'Raw Provisioning'!$B$2:$B$1000,0)),"Missing from latest raw")))</x:f>
        <x:v>processing</x:v>
      </x:c>
      <x:c r="D333" s="171" t="n">
        <x:f>IF(A333="","",'Refresh Control'!$B$4)</x:f>
        <x:v>46254</x:v>
      </x:c>
      <x:c r="E333" s="171" t="n">
        <x:f>IF(A333="","",IF(B333="Decommissioning",INDEX('Raw Decommissioning'!$F$2:$F$1000,ROWS($A$5:A333)),INDEX('Raw Provisioning'!$F$2:$F$1000,ROWS($A$5:A333)-COUNTA('Raw Decommissioning'!$B$2:$B$1000))))</x:f>
        <x:v>46227.31277561343</x:v>
      </x:c>
      <x:c r="F333" s="171" t="n">
        <x:f>IF(A333="","",IF(B333="Decommissioning",INDEX('Raw Decommissioning'!$G$2:$G$1000,ROWS($A$5:A333)),INDEX('Raw Provisioning'!$H$2:$H$1000,ROWS($A$5:A333)-COUNTA('Raw Decommissioning'!$B$2:$B$1000))))</x:f>
        <x:v>46251.16684052083</x:v>
      </x:c>
      <x:c r="G333" s="170" t="str">
        <x:f>IF(A333="","",IF(B333="Decommissioning",INDEX('Raw Decommissioning'!$I$2:$I$1000,ROWS($A$5:A333)),INDEX('Raw Provisioning'!$J$2:$J$1000,ROWS($A$5:A333)-COUNTA('Raw Decommissioning'!$B$2:$B$1000))))</x:f>
        <x:v>Rystad Energy Auth Server</x:v>
      </x:c>
      <x:c r="H333" s="170" t="str">
        <x:f>IF(A333="","",IF(B333="Decommissioning",INDEX('Raw Decommissioning'!$J$2:$J$1000,ROWS($A$5:A333)),INDEX('Raw Provisioning'!$L$2:$L$1000,ROWS($A$5:A333)-COUNTA('Raw Decommissioning'!$B$2:$B$1000))))</x:f>
        <x:v>Hosting of Rystad Energy Ucube and Database for Upstream Strategy &amp; Commercial</x:v>
      </x:c>
      <x:c r="I333" s="170" t="str">
        <x:f>IF(A333="","",IF(B333="Decommissioning",INDEX('Raw Decommissioning'!$AL$2:$AL$1000,ROWS($A$5:A333)),INDEX('Raw Provisioning'!$R$2:$R$1000,ROWS($A$5:A333)-COUNTA('Raw Decommissioning'!$B$2:$B$1000))))</x:f>
        <x:v>L</x:v>
      </x:c>
      <x:c r="J333" s="170" t="str">
        <x:f>IF(A333="","",IF(B333="Decommissioning",INDEX('Raw Decommissioning'!$AG$2:$AG$1000,ROWS($A$5:A333)),INDEX('Raw Provisioning'!$AI$2:$AI$1000,ROWS($A$5:A333)-COUNTA('Raw Decommissioning'!$B$2:$B$1000))))</x:f>
        <x:v>IMS - CLOUD CSSP EXECUTOR</x:v>
      </x:c>
      <x:c r="K333" s="172" t="str">
        <x:f>IF(A333="","",IFERROR(LOOKUP(2,1/('Assignment History'!$B$5:$B$204=A333),'Assignment History'!$D$5:$D$204),IFERROR(VLOOKUP(J333,Configuration!$L$5:$M$50,2,FALSE),J333)))</x:f>
        <x:v>IMS - CLOUD CSSP EXECUTOR</x:v>
      </x:c>
      <x:c r="L333" s="172" t="str">
        <x:f>IF(A333="","",IF(K333=IFERROR(VLOOKUP(J333,Configuration!$L$5:$M$50,2,FALSE),J333),"Snapshot PIC","Replacement PIC"))</x:f>
        <x:v>Snapshot PIC</x:v>
      </x:c>
      <x:c r="M333" s="172" t="n">
        <x:f>IF(A333="","",IFERROR(VLOOKUP(I333,Configuration!$O$5:$P$8,2,FALSE),Configuration!$S$6))</x:f>
        <x:v>3</x:v>
      </x:c>
      <x:c r="N333" s="172" t="str">
        <x:f>IF(A333="","",IFERROR(LOOKUP(2,1/('Scope Review'!$B$5:$B$204=A333),'Scope Review'!$G$5:$G$204),"Not Reviewed"))</x:f>
        <x:v>Not Reviewed</x:v>
      </x:c>
      <x:c r="O333" s="172" t="str">
        <x:f>IF(A333="","",IFERROR(LOOKUP(2,1/('Scope Review'!$B$5:$B$204=A333),'Scope Review'!$H$5:$H$204),""))</x:f>
      </x:c>
      <x:c r="P333" s="172" t="n">
        <x:f>IF(A333="","",IF(AND(C333="executing",N333&lt;&gt;"Confirmed OOS"),M333,0))</x:f>
        <x:v>0</x:v>
      </x:c>
      <x:c r="Q333" s="173" t="str">
        <x:f>IF(A333="","",IFERROR(LOOKUP(2,1/('Engineer Updates'!$B$5:$B$704=A333),'Engineer Updates'!$A$5:$A$704),""))</x:f>
      </x:c>
      <x:c r="R333" s="172" t="str">
        <x:f>IF(A333="","",IFERROR(LOOKUP(2,1/('Engineer Updates'!$B$5:$B$704=A333),'Engineer Updates'!$H$5:$H$704),""))</x:f>
      </x:c>
      <x:c r="S333" s="172" t="str">
        <x:f>IF(A333="","",IFERROR(LOOKUP(2,1/('Engineer Updates'!$B$5:$B$704=A333),'Engineer Updates'!$G$5:$G$704),""))</x:f>
      </x:c>
      <x:c r="T333" s="172" t="str">
        <x:f>IF(A333="","",IFERROR(LOOKUP(2,1/('Engineer Updates'!$B$5:$B$704=A333),'Engineer Updates'!$I$5:$I$704),""))</x:f>
      </x:c>
      <x:c r="U333" s="172" t="str">
        <x:f>IF(A333="","",IFERROR(LOOKUP(2,1/('Engineer Updates'!$B$5:$B$704=A333),'Engineer Updates'!$J$5:$J$704),""))</x:f>
      </x:c>
      <x:c r="V333" s="172" t="str">
        <x:f>IF(A333="","",IFERROR(LOOKUP(2,1/('Engineer Updates'!$B$5:$B$704=A333),'Engineer Updates'!$K$5:$K$704),""))</x:f>
      </x:c>
      <x:c r="W333" s="174" t="str">
        <x:f>IF(A333="","",IFERROR(LOOKUP(2,1/('Engineer Updates'!$B$5:$B$704=A333),'Engineer Updates'!$L$5:$L$704),""))</x:f>
      </x:c>
      <x:c r="X333" s="170" t="str">
        <x:f>IF(A333="","",IF(C333="completed","Completed in CSSP",IF(AND(C333="executing",ISERROR(SEARCH("@",K333))),"Executing without named engineer",IF(AND(N333="Confirmed OOS",C333="executing"),"Confirmed OOS still executing",""))))</x:f>
      </x:c>
      <x:c r="Y333" s="170" t="str">
        <x:f>IF(A333="","",IF(B333="Decommissioning","Raw Decommissioning","Raw Provisioning"))</x:f>
        <x:v>Raw Decommissioning</x:v>
      </x:c>
      <x:c r="Z333" s="170" t="str">
        <x:f>IF(A333="","",IF(OR(C333="executing",C333="processing"),"Yes","No"))</x:f>
        <x:v>Yes</x:v>
      </x:c>
    </x:row>
    <x:row r="334">
      <x:c r="A334" s="170" t="str">
        <x:f>IF(ROWS($A$5:A334)&lt;=COUNTA('Raw Decommissioning'!$B$2:$B$1000),INDEX('Raw Decommissioning'!$B$2:$B$1000,ROWS($A$5:A334)),IF(ROWS($A$5:A334)-COUNTA('Raw Decommissioning'!$B$2:$B$1000)&lt;=COUNTA('Raw Provisioning'!$B$2:$B$1000),INDEX('Raw Provisioning'!$B$2:$B$1000,ROWS($A$5:A334)-COUNTA('Raw Decommissioning'!$B$2:$B$1000)),""))</x:f>
        <x:v>CSSP10422617</x:v>
      </x:c>
      <x:c r="B334" s="170" t="str">
        <x:f>IF(A334="","",IF(ROWS($A$5:A334)&lt;=COUNTA('Raw Decommissioning'!$B$2:$B$1000),"Decommissioning","Provisioning"))</x:f>
        <x:v>Decommissioning</x:v>
      </x:c>
      <x:c r="C334" s="170" t="str">
        <x:f>IF(A334="","",IF(B334="Decommissioning",IFERROR(INDEX('Raw Decommissioning'!$E$2:$E$1000,MATCH(A334,'Raw Decommissioning'!$B$2:$B$1000,0)),"Missing from latest raw"),IFERROR(INDEX('Raw Provisioning'!$E$2:$E$1000,MATCH(A334,'Raw Provisioning'!$B$2:$B$1000,0)),"Missing from latest raw")))</x:f>
        <x:v>pending</x:v>
      </x:c>
      <x:c r="D334" s="171" t="n">
        <x:f>IF(A334="","",'Refresh Control'!$B$4)</x:f>
        <x:v>46254</x:v>
      </x:c>
      <x:c r="E334" s="171" t="n">
        <x:f>IF(A334="","",IF(B334="Decommissioning",INDEX('Raw Decommissioning'!$F$2:$F$1000,ROWS($A$5:A334)),INDEX('Raw Provisioning'!$F$2:$F$1000,ROWS($A$5:A334)-COUNTA('Raw Decommissioning'!$B$2:$B$1000))))</x:f>
        <x:v>46230.06922196759</x:v>
      </x:c>
      <x:c r="F334" s="171" t="n">
        <x:f>IF(A334="","",IF(B334="Decommissioning",INDEX('Raw Decommissioning'!$G$2:$G$1000,ROWS($A$5:A334)),INDEX('Raw Provisioning'!$H$2:$H$1000,ROWS($A$5:A334)-COUNTA('Raw Decommissioning'!$B$2:$B$1000))))</x:f>
        <x:v>46230.170998912035</x:v>
      </x:c>
      <x:c r="G334" s="170" t="str">
        <x:f>IF(A334="","",IF(B334="Decommissioning",INDEX('Raw Decommissioning'!$I$2:$I$1000,ROWS($A$5:A334)),INDEX('Raw Provisioning'!$J$2:$J$1000,ROWS($A$5:A334)-COUNTA('Raw Decommissioning'!$B$2:$B$1000))))</x:f>
        <x:v>COMPASS</x:v>
      </x:c>
      <x:c r="H334" s="170" t="str">
        <x:f>IF(A334="","",IF(B334="Decommissioning",INDEX('Raw Decommissioning'!$J$2:$J$1000,ROWS($A$5:A334)),INDEX('Raw Provisioning'!$L$2:$L$1000,ROWS($A$5:A334)-COUNTA('Raw Decommissioning'!$B$2:$B$1000))))</x:f>
        <x:v>COMPASS Phase 2</x:v>
      </x:c>
      <x:c r="I334" s="170" t="str">
        <x:f>IF(A334="","",IF(B334="Decommissioning",INDEX('Raw Decommissioning'!$AL$2:$AL$1000,ROWS($A$5:A334)),INDEX('Raw Provisioning'!$R$2:$R$1000,ROWS($A$5:A334)-COUNTA('Raw Decommissioning'!$B$2:$B$1000))))</x:f>
      </x:c>
      <x:c r="J334" s="170" t="str">
        <x:f>IF(A334="","",IF(B334="Decommissioning",INDEX('Raw Decommissioning'!$AG$2:$AG$1000,ROWS($A$5:A334)),INDEX('Raw Provisioning'!$AI$2:$AI$1000,ROWS($A$5:A334)-COUNTA('Raw Decommissioning'!$B$2:$B$1000))))</x:f>
        <x:v>IMS - CLOUD CSSP EXECUTOR</x:v>
      </x:c>
      <x:c r="K334" s="172" t="str">
        <x:f>IF(A334="","",IFERROR(LOOKUP(2,1/('Assignment History'!$B$5:$B$204=A334),'Assignment History'!$D$5:$D$204),IFERROR(VLOOKUP(J334,Configuration!$L$5:$M$50,2,FALSE),J334)))</x:f>
        <x:v>IMS - CLOUD CSSP EXECUTOR</x:v>
      </x:c>
      <x:c r="L334" s="172" t="str">
        <x:f>IF(A334="","",IF(K334=IFERROR(VLOOKUP(J334,Configuration!$L$5:$M$50,2,FALSE),J334),"Snapshot PIC","Replacement PIC"))</x:f>
        <x:v>Snapshot PIC</x:v>
      </x:c>
      <x:c r="M334" s="172" t="n">
        <x:f>IF(A334="","",IFERROR(VLOOKUP(I334,Configuration!$O$5:$P$8,2,FALSE),Configuration!$S$6))</x:f>
        <x:v>2</x:v>
      </x:c>
      <x:c r="N334" s="172" t="str">
        <x:f>IF(A334="","",IFERROR(LOOKUP(2,1/('Scope Review'!$B$5:$B$204=A334),'Scope Review'!$G$5:$G$204),"Not Reviewed"))</x:f>
        <x:v>Not Reviewed</x:v>
      </x:c>
      <x:c r="O334" s="172" t="str">
        <x:f>IF(A334="","",IFERROR(LOOKUP(2,1/('Scope Review'!$B$5:$B$204=A334),'Scope Review'!$H$5:$H$204),""))</x:f>
      </x:c>
      <x:c r="P334" s="172" t="n">
        <x:f>IF(A334="","",IF(AND(C334="executing",N334&lt;&gt;"Confirmed OOS"),M334,0))</x:f>
        <x:v>0</x:v>
      </x:c>
      <x:c r="Q334" s="173" t="str">
        <x:f>IF(A334="","",IFERROR(LOOKUP(2,1/('Engineer Updates'!$B$5:$B$704=A334),'Engineer Updates'!$A$5:$A$704),""))</x:f>
      </x:c>
      <x:c r="R334" s="172" t="str">
        <x:f>IF(A334="","",IFERROR(LOOKUP(2,1/('Engineer Updates'!$B$5:$B$704=A334),'Engineer Updates'!$H$5:$H$704),""))</x:f>
      </x:c>
      <x:c r="S334" s="172" t="str">
        <x:f>IF(A334="","",IFERROR(LOOKUP(2,1/('Engineer Updates'!$B$5:$B$704=A334),'Engineer Updates'!$G$5:$G$704),""))</x:f>
      </x:c>
      <x:c r="T334" s="172" t="str">
        <x:f>IF(A334="","",IFERROR(LOOKUP(2,1/('Engineer Updates'!$B$5:$B$704=A334),'Engineer Updates'!$I$5:$I$704),""))</x:f>
      </x:c>
      <x:c r="U334" s="172" t="str">
        <x:f>IF(A334="","",IFERROR(LOOKUP(2,1/('Engineer Updates'!$B$5:$B$704=A334),'Engineer Updates'!$J$5:$J$704),""))</x:f>
      </x:c>
      <x:c r="V334" s="172" t="str">
        <x:f>IF(A334="","",IFERROR(LOOKUP(2,1/('Engineer Updates'!$B$5:$B$704=A334),'Engineer Updates'!$K$5:$K$704),""))</x:f>
      </x:c>
      <x:c r="W334" s="174" t="str">
        <x:f>IF(A334="","",IFERROR(LOOKUP(2,1/('Engineer Updates'!$B$5:$B$704=A334),'Engineer Updates'!$L$5:$L$704),""))</x:f>
      </x:c>
      <x:c r="X334" s="170" t="str">
        <x:f>IF(A334="","",IF(C334="completed","Completed in CSSP",IF(AND(C334="executing",ISERROR(SEARCH("@",K334))),"Executing without named engineer",IF(AND(N334="Confirmed OOS",C334="executing"),"Confirmed OOS still executing",""))))</x:f>
      </x:c>
      <x:c r="Y334" s="170" t="str">
        <x:f>IF(A334="","",IF(B334="Decommissioning","Raw Decommissioning","Raw Provisioning"))</x:f>
        <x:v>Raw Decommissioning</x:v>
      </x:c>
      <x:c r="Z334" s="170" t="str">
        <x:f>IF(A334="","",IF(OR(C334="executing",C334="processing"),"Yes","No"))</x:f>
        <x:v>No</x:v>
      </x:c>
    </x:row>
    <x:row r="335">
      <x:c r="A335" s="170" t="str">
        <x:f>IF(ROWS($A$5:A335)&lt;=COUNTA('Raw Decommissioning'!$B$2:$B$1000),INDEX('Raw Decommissioning'!$B$2:$B$1000,ROWS($A$5:A335)),IF(ROWS($A$5:A335)-COUNTA('Raw Decommissioning'!$B$2:$B$1000)&lt;=COUNTA('Raw Provisioning'!$B$2:$B$1000),INDEX('Raw Provisioning'!$B$2:$B$1000,ROWS($A$5:A335)-COUNTA('Raw Decommissioning'!$B$2:$B$1000)),""))</x:f>
        <x:v>CSSP10170528</x:v>
      </x:c>
      <x:c r="B335" s="170" t="str">
        <x:f>IF(A335="","",IF(ROWS($A$5:A335)&lt;=COUNTA('Raw Decommissioning'!$B$2:$B$1000),"Decommissioning","Provisioning"))</x:f>
        <x:v>Decommissioning</x:v>
      </x:c>
      <x:c r="C335" s="170" t="str">
        <x:f>IF(A335="","",IF(B335="Decommissioning",IFERROR(INDEX('Raw Decommissioning'!$E$2:$E$1000,MATCH(A335,'Raw Decommissioning'!$B$2:$B$1000,0)),"Missing from latest raw"),IFERROR(INDEX('Raw Provisioning'!$E$2:$E$1000,MATCH(A335,'Raw Provisioning'!$B$2:$B$1000,0)),"Missing from latest raw")))</x:f>
        <x:v>executing</x:v>
      </x:c>
      <x:c r="D335" s="171" t="n">
        <x:f>IF(A335="","",'Refresh Control'!$B$4)</x:f>
        <x:v>46254</x:v>
      </x:c>
      <x:c r="E335" s="171" t="n">
        <x:f>IF(A335="","",IF(B335="Decommissioning",INDEX('Raw Decommissioning'!$F$2:$F$1000,ROWS($A$5:A335)),INDEX('Raw Provisioning'!$F$2:$F$1000,ROWS($A$5:A335)-COUNTA('Raw Decommissioning'!$B$2:$B$1000))))</x:f>
        <x:v>46232.07162844908</x:v>
      </x:c>
      <x:c r="F335" s="171" t="n">
        <x:f>IF(A335="","",IF(B335="Decommissioning",INDEX('Raw Decommissioning'!$G$2:$G$1000,ROWS($A$5:A335)),INDEX('Raw Provisioning'!$H$2:$H$1000,ROWS($A$5:A335)-COUNTA('Raw Decommissioning'!$B$2:$B$1000))))</x:f>
        <x:v>46246.65361068287</x:v>
      </x:c>
      <x:c r="G335" s="170" t="str">
        <x:f>IF(A335="","",IF(B335="Decommissioning",INDEX('Raw Decommissioning'!$I$2:$I$1000,ROWS($A$5:A335)),INDEX('Raw Provisioning'!$J$2:$J$1000,ROWS($A$5:A335)-COUNTA('Raw Decommissioning'!$B$2:$B$1000))))</x:f>
        <x:v>Plant Information - PI Hub Downstream</x:v>
      </x:c>
      <x:c r="H335" s="170" t="str">
        <x:f>IF(A335="","",IF(B335="Decommissioning",INDEX('Raw Decommissioning'!$J$2:$J$1000,ROWS($A$5:A335)),INDEX('Raw Provisioning'!$L$2:$L$1000,ROWS($A$5:A335)-COUNTA('Raw Decommissioning'!$B$2:$B$1000))))</x:f>
        <x:v>CTP Old to New LZ - Enterprise PI Hub Downstream</x:v>
      </x:c>
      <x:c r="I335" s="170" t="str">
        <x:f>IF(A335="","",IF(B335="Decommissioning",INDEX('Raw Decommissioning'!$AL$2:$AL$1000,ROWS($A$5:A335)),INDEX('Raw Provisioning'!$R$2:$R$1000,ROWS($A$5:A335)-COUNTA('Raw Decommissioning'!$B$2:$B$1000))))</x:f>
        <x:v>L</x:v>
      </x:c>
      <x:c r="J335" s="170" t="str">
        <x:f>IF(A335="","",IF(B335="Decommissioning",INDEX('Raw Decommissioning'!$AG$2:$AG$1000,ROWS($A$5:A335)),INDEX('Raw Provisioning'!$AI$2:$AI$1000,ROWS($A$5:A335)-COUNTA('Raw Decommissioning'!$B$2:$B$1000))))</x:f>
        <x:v>mardiansyah.rayasa@petronas.com</x:v>
      </x:c>
      <x:c r="K335" s="172" t="str">
        <x:f>IF(A335="","",IFERROR(LOOKUP(2,1/('Assignment History'!$B$5:$B$204=A335),'Assignment History'!$D$5:$D$204),IFERROR(VLOOKUP(J335,Configuration!$L$5:$M$50,2,FALSE),J335)))</x:f>
        <x:v>mardiansyah.rayasa@petronas.com</x:v>
      </x:c>
      <x:c r="L335" s="172" t="str">
        <x:f>IF(A335="","",IF(K335=IFERROR(VLOOKUP(J335,Configuration!$L$5:$M$50,2,FALSE),J335),"Snapshot PIC","Replacement PIC"))</x:f>
        <x:v>Snapshot PIC</x:v>
      </x:c>
      <x:c r="M335" s="172" t="n">
        <x:f>IF(A335="","",IFERROR(VLOOKUP(I335,Configuration!$O$5:$P$8,2,FALSE),Configuration!$S$6))</x:f>
        <x:v>3</x:v>
      </x:c>
      <x:c r="N335" s="172" t="str">
        <x:f>IF(A335="","",IFERROR(LOOKUP(2,1/('Scope Review'!$B$5:$B$204=A335),'Scope Review'!$G$5:$G$204),"Not Reviewed"))</x:f>
        <x:v>Not Reviewed</x:v>
      </x:c>
      <x:c r="O335" s="172" t="str">
        <x:f>IF(A335="","",IFERROR(LOOKUP(2,1/('Scope Review'!$B$5:$B$204=A335),'Scope Review'!$H$5:$H$204),""))</x:f>
      </x:c>
      <x:c r="P335" s="172" t="n">
        <x:f>IF(A335="","",IF(AND(C335="executing",N335&lt;&gt;"Confirmed OOS"),M335,0))</x:f>
        <x:v>3</x:v>
      </x:c>
      <x:c r="Q335" s="173" t="n">
        <x:f>IF(A335="","",IFERROR(LOOKUP(2,1/('Engineer Updates'!$B$5:$B$704=A335),'Engineer Updates'!$A$5:$A$704),""))</x:f>
        <x:v>46251</x:v>
      </x:c>
      <x:c r="R335" s="172" t="str">
        <x:f>IF(A335="","",IFERROR(LOOKUP(2,1/('Engineer Updates'!$B$5:$B$704=A335),'Engineer Updates'!$H$5:$H$704),""))</x:f>
        <x:v>Not Started</x:v>
      </x:c>
      <x:c r="S335" s="172" t="str">
        <x:f>IF(A335="","",IFERROR(LOOKUP(2,1/('Engineer Updates'!$B$5:$B$704=A335),'Engineer Updates'!$G$5:$G$704),""))</x:f>
      </x:c>
      <x:c r="T335" s="172" t="str">
        <x:f>IF(A335="","",IFERROR(LOOKUP(2,1/('Engineer Updates'!$B$5:$B$704=A335),'Engineer Updates'!$I$5:$I$704),""))</x:f>
      </x:c>
      <x:c r="U335" s="172" t="str">
        <x:f>IF(A335="","",IFERROR(LOOKUP(2,1/('Engineer Updates'!$B$5:$B$704=A335),'Engineer Updates'!$J$5:$J$704),""))</x:f>
      </x:c>
      <x:c r="V335" s="172" t="str">
        <x:f>IF(A335="","",IFERROR(LOOKUP(2,1/('Engineer Updates'!$B$5:$B$704=A335),'Engineer Updates'!$K$5:$K$704),""))</x:f>
      </x:c>
      <x:c r="W335" s="174" t="str">
        <x:f>IF(A335="","",IFERROR(LOOKUP(2,1/('Engineer Updates'!$B$5:$B$704=A335),'Engineer Updates'!$L$5:$L$704),""))</x:f>
      </x:c>
      <x:c r="X335" s="170" t="str">
        <x:f>IF(A335="","",IF(C335="completed","Completed in CSSP",IF(AND(C335="executing",ISERROR(SEARCH("@",K335))),"Executing without named engineer",IF(AND(N335="Confirmed OOS",C335="executing"),"Confirmed OOS still executing",""))))</x:f>
      </x:c>
      <x:c r="Y335" s="170" t="str">
        <x:f>IF(A335="","",IF(B335="Decommissioning","Raw Decommissioning","Raw Provisioning"))</x:f>
        <x:v>Raw Decommissioning</x:v>
      </x:c>
      <x:c r="Z335" s="170" t="str">
        <x:f>IF(A335="","",IF(OR(C335="executing",C335="processing"),"Yes","No"))</x:f>
        <x:v>Yes</x:v>
      </x:c>
    </x:row>
    <x:row r="336">
      <x:c r="A336" s="170" t="str">
        <x:f>IF(ROWS($A$5:A336)&lt;=COUNTA('Raw Decommissioning'!$B$2:$B$1000),INDEX('Raw Decommissioning'!$B$2:$B$1000,ROWS($A$5:A336)),IF(ROWS($A$5:A336)-COUNTA('Raw Decommissioning'!$B$2:$B$1000)&lt;=COUNTA('Raw Provisioning'!$B$2:$B$1000),INDEX('Raw Provisioning'!$B$2:$B$1000,ROWS($A$5:A336)-COUNTA('Raw Decommissioning'!$B$2:$B$1000)),""))</x:f>
        <x:v>CSSP10844488</x:v>
      </x:c>
      <x:c r="B336" s="170" t="str">
        <x:f>IF(A336="","",IF(ROWS($A$5:A336)&lt;=COUNTA('Raw Decommissioning'!$B$2:$B$1000),"Decommissioning","Provisioning"))</x:f>
        <x:v>Decommissioning</x:v>
      </x:c>
      <x:c r="C336" s="170" t="str">
        <x:f>IF(A336="","",IF(B336="Decommissioning",IFERROR(INDEX('Raw Decommissioning'!$E$2:$E$1000,MATCH(A336,'Raw Decommissioning'!$B$2:$B$1000,0)),"Missing from latest raw"),IFERROR(INDEX('Raw Provisioning'!$E$2:$E$1000,MATCH(A336,'Raw Provisioning'!$B$2:$B$1000,0)),"Missing from latest raw")))</x:f>
        <x:v>executing</x:v>
      </x:c>
      <x:c r="D336" s="171" t="n">
        <x:f>IF(A336="","",'Refresh Control'!$B$4)</x:f>
        <x:v>46254</x:v>
      </x:c>
      <x:c r="E336" s="171" t="n">
        <x:f>IF(A336="","",IF(B336="Decommissioning",INDEX('Raw Decommissioning'!$F$2:$F$1000,ROWS($A$5:A336)),INDEX('Raw Provisioning'!$F$2:$F$1000,ROWS($A$5:A336)-COUNTA('Raw Decommissioning'!$B$2:$B$1000))))</x:f>
        <x:v>46232.076016087965</x:v>
      </x:c>
      <x:c r="F336" s="171" t="n">
        <x:f>IF(A336="","",IF(B336="Decommissioning",INDEX('Raw Decommissioning'!$G$2:$G$1000,ROWS($A$5:A336)),INDEX('Raw Provisioning'!$H$2:$H$1000,ROWS($A$5:A336)-COUNTA('Raw Decommissioning'!$B$2:$B$1000))))</x:f>
        <x:v>46246.6532690625</x:v>
      </x:c>
      <x:c r="G336" s="170" t="str">
        <x:f>IF(A336="","",IF(B336="Decommissioning",INDEX('Raw Decommissioning'!$I$2:$I$1000,ROWS($A$5:A336)),INDEX('Raw Provisioning'!$J$2:$J$1000,ROWS($A$5:A336)-COUNTA('Raw Decommissioning'!$B$2:$B$1000))))</x:f>
        <x:v>Plant Information - PI Enterprise</x:v>
      </x:c>
      <x:c r="H336" s="170" t="str">
        <x:f>IF(A336="","",IF(B336="Decommissioning",INDEX('Raw Decommissioning'!$J$2:$J$1000,ROWS($A$5:A336)),INDEX('Raw Provisioning'!$L$2:$L$1000,ROWS($A$5:A336)-COUNTA('Raw Decommissioning'!$B$2:$B$1000))))</x:f>
        <x:v>CTP Old to New LZ - PI Enterprise</x:v>
      </x:c>
      <x:c r="I336" s="170" t="str">
        <x:f>IF(A336="","",IF(B336="Decommissioning",INDEX('Raw Decommissioning'!$AL$2:$AL$1000,ROWS($A$5:A336)),INDEX('Raw Provisioning'!$R$2:$R$1000,ROWS($A$5:A336)-COUNTA('Raw Decommissioning'!$B$2:$B$1000))))</x:f>
        <x:v>L</x:v>
      </x:c>
      <x:c r="J336" s="170" t="str">
        <x:f>IF(A336="","",IF(B336="Decommissioning",INDEX('Raw Decommissioning'!$AG$2:$AG$1000,ROWS($A$5:A336)),INDEX('Raw Provisioning'!$AI$2:$AI$1000,ROWS($A$5:A336)-COUNTA('Raw Decommissioning'!$B$2:$B$1000))))</x:f>
        <x:v>mardiansyah.rayasa@petronas.com</x:v>
      </x:c>
      <x:c r="K336" s="172" t="str">
        <x:f>IF(A336="","",IFERROR(LOOKUP(2,1/('Assignment History'!$B$5:$B$204=A336),'Assignment History'!$D$5:$D$204),IFERROR(VLOOKUP(J336,Configuration!$L$5:$M$50,2,FALSE),J336)))</x:f>
        <x:v>mardiansyah.rayasa@petronas.com</x:v>
      </x:c>
      <x:c r="L336" s="172" t="str">
        <x:f>IF(A336="","",IF(K336=IFERROR(VLOOKUP(J336,Configuration!$L$5:$M$50,2,FALSE),J336),"Snapshot PIC","Replacement PIC"))</x:f>
        <x:v>Snapshot PIC</x:v>
      </x:c>
      <x:c r="M336" s="172" t="n">
        <x:f>IF(A336="","",IFERROR(VLOOKUP(I336,Configuration!$O$5:$P$8,2,FALSE),Configuration!$S$6))</x:f>
        <x:v>3</x:v>
      </x:c>
      <x:c r="N336" s="172" t="str">
        <x:f>IF(A336="","",IFERROR(LOOKUP(2,1/('Scope Review'!$B$5:$B$204=A336),'Scope Review'!$G$5:$G$204),"Not Reviewed"))</x:f>
        <x:v>Not Reviewed</x:v>
      </x:c>
      <x:c r="O336" s="172" t="str">
        <x:f>IF(A336="","",IFERROR(LOOKUP(2,1/('Scope Review'!$B$5:$B$204=A336),'Scope Review'!$H$5:$H$204),""))</x:f>
      </x:c>
      <x:c r="P336" s="172" t="n">
        <x:f>IF(A336="","",IF(AND(C336="executing",N336&lt;&gt;"Confirmed OOS"),M336,0))</x:f>
        <x:v>3</x:v>
      </x:c>
      <x:c r="Q336" s="173" t="n">
        <x:f>IF(A336="","",IFERROR(LOOKUP(2,1/('Engineer Updates'!$B$5:$B$704=A336),'Engineer Updates'!$A$5:$A$704),""))</x:f>
        <x:v>46251</x:v>
      </x:c>
      <x:c r="R336" s="172" t="str">
        <x:f>IF(A336="","",IFERROR(LOOKUP(2,1/('Engineer Updates'!$B$5:$B$704=A336),'Engineer Updates'!$H$5:$H$704),""))</x:f>
        <x:v>Not Started</x:v>
      </x:c>
      <x:c r="S336" s="172" t="str">
        <x:f>IF(A336="","",IFERROR(LOOKUP(2,1/('Engineer Updates'!$B$5:$B$704=A336),'Engineer Updates'!$G$5:$G$704),""))</x:f>
      </x:c>
      <x:c r="T336" s="172" t="str">
        <x:f>IF(A336="","",IFERROR(LOOKUP(2,1/('Engineer Updates'!$B$5:$B$704=A336),'Engineer Updates'!$I$5:$I$704),""))</x:f>
      </x:c>
      <x:c r="U336" s="172" t="str">
        <x:f>IF(A336="","",IFERROR(LOOKUP(2,1/('Engineer Updates'!$B$5:$B$704=A336),'Engineer Updates'!$J$5:$J$704),""))</x:f>
      </x:c>
      <x:c r="V336" s="172" t="str">
        <x:f>IF(A336="","",IFERROR(LOOKUP(2,1/('Engineer Updates'!$B$5:$B$704=A336),'Engineer Updates'!$K$5:$K$704),""))</x:f>
      </x:c>
      <x:c r="W336" s="174" t="str">
        <x:f>IF(A336="","",IFERROR(LOOKUP(2,1/('Engineer Updates'!$B$5:$B$704=A336),'Engineer Updates'!$L$5:$L$704),""))</x:f>
      </x:c>
      <x:c r="X336" s="170" t="str">
        <x:f>IF(A336="","",IF(C336="completed","Completed in CSSP",IF(AND(C336="executing",ISERROR(SEARCH("@",K336))),"Executing without named engineer",IF(AND(N336="Confirmed OOS",C336="executing"),"Confirmed OOS still executing",""))))</x:f>
      </x:c>
      <x:c r="Y336" s="170" t="str">
        <x:f>IF(A336="","",IF(B336="Decommissioning","Raw Decommissioning","Raw Provisioning"))</x:f>
        <x:v>Raw Decommissioning</x:v>
      </x:c>
      <x:c r="Z336" s="170" t="str">
        <x:f>IF(A336="","",IF(OR(C336="executing",C336="processing"),"Yes","No"))</x:f>
        <x:v>Yes</x:v>
      </x:c>
    </x:row>
    <x:row r="337">
      <x:c r="A337" s="170" t="str">
        <x:f>IF(ROWS($A$5:A337)&lt;=COUNTA('Raw Decommissioning'!$B$2:$B$1000),INDEX('Raw Decommissioning'!$B$2:$B$1000,ROWS($A$5:A337)),IF(ROWS($A$5:A337)-COUNTA('Raw Decommissioning'!$B$2:$B$1000)&lt;=COUNTA('Raw Provisioning'!$B$2:$B$1000),INDEX('Raw Provisioning'!$B$2:$B$1000,ROWS($A$5:A337)-COUNTA('Raw Decommissioning'!$B$2:$B$1000)),""))</x:f>
        <x:v>CSSP10588883</x:v>
      </x:c>
      <x:c r="B337" s="170" t="str">
        <x:f>IF(A337="","",IF(ROWS($A$5:A337)&lt;=COUNTA('Raw Decommissioning'!$B$2:$B$1000),"Decommissioning","Provisioning"))</x:f>
        <x:v>Decommissioning</x:v>
      </x:c>
      <x:c r="C337" s="170" t="str">
        <x:f>IF(A337="","",IF(B337="Decommissioning",IFERROR(INDEX('Raw Decommissioning'!$E$2:$E$1000,MATCH(A337,'Raw Decommissioning'!$B$2:$B$1000,0)),"Missing from latest raw"),IFERROR(INDEX('Raw Provisioning'!$E$2:$E$1000,MATCH(A337,'Raw Provisioning'!$B$2:$B$1000,0)),"Missing from latest raw")))</x:f>
        <x:v>processing</x:v>
      </x:c>
      <x:c r="D337" s="171" t="n">
        <x:f>IF(A337="","",'Refresh Control'!$B$4)</x:f>
        <x:v>46254</x:v>
      </x:c>
      <x:c r="E337" s="171" t="n">
        <x:f>IF(A337="","",IF(B337="Decommissioning",INDEX('Raw Decommissioning'!$F$2:$F$1000,ROWS($A$5:A337)),INDEX('Raw Provisioning'!$F$2:$F$1000,ROWS($A$5:A337)-COUNTA('Raw Decommissioning'!$B$2:$B$1000))))</x:f>
        <x:v>46233.109634340275</x:v>
      </x:c>
      <x:c r="F337" s="171" t="n">
        <x:f>IF(A337="","",IF(B337="Decommissioning",INDEX('Raw Decommissioning'!$G$2:$G$1000,ROWS($A$5:A337)),INDEX('Raw Provisioning'!$H$2:$H$1000,ROWS($A$5:A337)-COUNTA('Raw Decommissioning'!$B$2:$B$1000))))</x:f>
        <x:v>46251.16752747685</x:v>
      </x:c>
      <x:c r="G337" s="170" t="str">
        <x:f>IF(A337="","",IF(B337="Decommissioning",INDEX('Raw Decommissioning'!$I$2:$I$1000,ROWS($A$5:A337)),INDEX('Raw Provisioning'!$J$2:$J$1000,ROWS($A$5:A337)-COUNTA('Raw Decommissioning'!$B$2:$B$1000))))</x:f>
        <x:v>Falcon</x:v>
      </x:c>
      <x:c r="H337" s="170" t="str">
        <x:f>IF(A337="","",IF(B337="Decommissioning",INDEX('Raw Decommissioning'!$J$2:$J$1000,ROWS($A$5:A337)),INDEX('Raw Provisioning'!$L$2:$L$1000,ROWS($A$5:A337)-COUNTA('Raw Decommissioning'!$B$2:$B$1000))))</x:f>
        <x:v>Implementation of Falcon - Engineering Visual Analytics Program (Work Package 1) - Requirements Gathering, High Level Design, and Data Gathering for GTS</x:v>
      </x:c>
      <x:c r="I337" s="170" t="str">
        <x:f>IF(A337="","",IF(B337="Decommissioning",INDEX('Raw Decommissioning'!$AL$2:$AL$1000,ROWS($A$5:A337)),INDEX('Raw Provisioning'!$R$2:$R$1000,ROWS($A$5:A337)-COUNTA('Raw Decommissioning'!$B$2:$B$1000))))</x:f>
        <x:v>L</x:v>
      </x:c>
      <x:c r="J337" s="170" t="str">
        <x:f>IF(A337="","",IF(B337="Decommissioning",INDEX('Raw Decommissioning'!$AG$2:$AG$1000,ROWS($A$5:A337)),INDEX('Raw Provisioning'!$AI$2:$AI$1000,ROWS($A$5:A337)-COUNTA('Raw Decommissioning'!$B$2:$B$1000))))</x:f>
        <x:v>IMS - CLOUD CSSP EXECUTOR</x:v>
      </x:c>
      <x:c r="K337" s="172" t="str">
        <x:f>IF(A337="","",IFERROR(LOOKUP(2,1/('Assignment History'!$B$5:$B$204=A337),'Assignment History'!$D$5:$D$204),IFERROR(VLOOKUP(J337,Configuration!$L$5:$M$50,2,FALSE),J337)))</x:f>
        <x:v>IMS - CLOUD CSSP EXECUTOR</x:v>
      </x:c>
      <x:c r="L337" s="172" t="str">
        <x:f>IF(A337="","",IF(K337=IFERROR(VLOOKUP(J337,Configuration!$L$5:$M$50,2,FALSE),J337),"Snapshot PIC","Replacement PIC"))</x:f>
        <x:v>Snapshot PIC</x:v>
      </x:c>
      <x:c r="M337" s="172" t="n">
        <x:f>IF(A337="","",IFERROR(VLOOKUP(I337,Configuration!$O$5:$P$8,2,FALSE),Configuration!$S$6))</x:f>
        <x:v>3</x:v>
      </x:c>
      <x:c r="N337" s="172" t="str">
        <x:f>IF(A337="","",IFERROR(LOOKUP(2,1/('Scope Review'!$B$5:$B$204=A337),'Scope Review'!$G$5:$G$204),"Not Reviewed"))</x:f>
        <x:v>Not Reviewed</x:v>
      </x:c>
      <x:c r="O337" s="172" t="str">
        <x:f>IF(A337="","",IFERROR(LOOKUP(2,1/('Scope Review'!$B$5:$B$204=A337),'Scope Review'!$H$5:$H$204),""))</x:f>
      </x:c>
      <x:c r="P337" s="172" t="n">
        <x:f>IF(A337="","",IF(AND(C337="executing",N337&lt;&gt;"Confirmed OOS"),M337,0))</x:f>
        <x:v>0</x:v>
      </x:c>
      <x:c r="Q337" s="173" t="str">
        <x:f>IF(A337="","",IFERROR(LOOKUP(2,1/('Engineer Updates'!$B$5:$B$704=A337),'Engineer Updates'!$A$5:$A$704),""))</x:f>
      </x:c>
      <x:c r="R337" s="172" t="str">
        <x:f>IF(A337="","",IFERROR(LOOKUP(2,1/('Engineer Updates'!$B$5:$B$704=A337),'Engineer Updates'!$H$5:$H$704),""))</x:f>
      </x:c>
      <x:c r="S337" s="172" t="str">
        <x:f>IF(A337="","",IFERROR(LOOKUP(2,1/('Engineer Updates'!$B$5:$B$704=A337),'Engineer Updates'!$G$5:$G$704),""))</x:f>
      </x:c>
      <x:c r="T337" s="172" t="str">
        <x:f>IF(A337="","",IFERROR(LOOKUP(2,1/('Engineer Updates'!$B$5:$B$704=A337),'Engineer Updates'!$I$5:$I$704),""))</x:f>
      </x:c>
      <x:c r="U337" s="172" t="str">
        <x:f>IF(A337="","",IFERROR(LOOKUP(2,1/('Engineer Updates'!$B$5:$B$704=A337),'Engineer Updates'!$J$5:$J$704),""))</x:f>
      </x:c>
      <x:c r="V337" s="172" t="str">
        <x:f>IF(A337="","",IFERROR(LOOKUP(2,1/('Engineer Updates'!$B$5:$B$704=A337),'Engineer Updates'!$K$5:$K$704),""))</x:f>
      </x:c>
      <x:c r="W337" s="174" t="str">
        <x:f>IF(A337="","",IFERROR(LOOKUP(2,1/('Engineer Updates'!$B$5:$B$704=A337),'Engineer Updates'!$L$5:$L$704),""))</x:f>
      </x:c>
      <x:c r="X337" s="170" t="str">
        <x:f>IF(A337="","",IF(C337="completed","Completed in CSSP",IF(AND(C337="executing",ISERROR(SEARCH("@",K337))),"Executing without named engineer",IF(AND(N337="Confirmed OOS",C337="executing"),"Confirmed OOS still executing",""))))</x:f>
      </x:c>
      <x:c r="Y337" s="170" t="str">
        <x:f>IF(A337="","",IF(B337="Decommissioning","Raw Decommissioning","Raw Provisioning"))</x:f>
        <x:v>Raw Decommissioning</x:v>
      </x:c>
      <x:c r="Z337" s="170" t="str">
        <x:f>IF(A337="","",IF(OR(C337="executing",C337="processing"),"Yes","No"))</x:f>
        <x:v>Yes</x:v>
      </x:c>
    </x:row>
    <x:row r="338">
      <x:c r="A338" s="170" t="str">
        <x:f>IF(ROWS($A$5:A338)&lt;=COUNTA('Raw Decommissioning'!$B$2:$B$1000),INDEX('Raw Decommissioning'!$B$2:$B$1000,ROWS($A$5:A338)),IF(ROWS($A$5:A338)-COUNTA('Raw Decommissioning'!$B$2:$B$1000)&lt;=COUNTA('Raw Provisioning'!$B$2:$B$1000),INDEX('Raw Provisioning'!$B$2:$B$1000,ROWS($A$5:A338)-COUNTA('Raw Decommissioning'!$B$2:$B$1000)),""))</x:f>
        <x:v>CSSP10733928</x:v>
      </x:c>
      <x:c r="B338" s="170" t="str">
        <x:f>IF(A338="","",IF(ROWS($A$5:A338)&lt;=COUNTA('Raw Decommissioning'!$B$2:$B$1000),"Decommissioning","Provisioning"))</x:f>
        <x:v>Decommissioning</x:v>
      </x:c>
      <x:c r="C338" s="170" t="str">
        <x:f>IF(A338="","",IF(B338="Decommissioning",IFERROR(INDEX('Raw Decommissioning'!$E$2:$E$1000,MATCH(A338,'Raw Decommissioning'!$B$2:$B$1000,0)),"Missing from latest raw"),IFERROR(INDEX('Raw Provisioning'!$E$2:$E$1000,MATCH(A338,'Raw Provisioning'!$B$2:$B$1000,0)),"Missing from latest raw")))</x:f>
        <x:v>executing</x:v>
      </x:c>
      <x:c r="D338" s="171" t="n">
        <x:f>IF(A338="","",'Refresh Control'!$B$4)</x:f>
        <x:v>46254</x:v>
      </x:c>
      <x:c r="E338" s="171" t="n">
        <x:f>IF(A338="","",IF(B338="Decommissioning",INDEX('Raw Decommissioning'!$F$2:$F$1000,ROWS($A$5:A338)),INDEX('Raw Provisioning'!$F$2:$F$1000,ROWS($A$5:A338)-COUNTA('Raw Decommissioning'!$B$2:$B$1000))))</x:f>
        <x:v>46233.10967457176</x:v>
      </x:c>
      <x:c r="F338" s="171" t="n">
        <x:f>IF(A338="","",IF(B338="Decommissioning",INDEX('Raw Decommissioning'!$G$2:$G$1000,ROWS($A$5:A338)),INDEX('Raw Provisioning'!$H$2:$H$1000,ROWS($A$5:A338)-COUNTA('Raw Decommissioning'!$B$2:$B$1000))))</x:f>
        <x:v>46246.652488252315</x:v>
      </x:c>
      <x:c r="G338" s="170" t="str">
        <x:f>IF(A338="","",IF(B338="Decommissioning",INDEX('Raw Decommissioning'!$I$2:$I$1000,ROWS($A$5:A338)),INDEX('Raw Provisioning'!$J$2:$J$1000,ROWS($A$5:A338)-COUNTA('Raw Decommissioning'!$B$2:$B$1000))))</x:f>
        <x:v>Falcon</x:v>
      </x:c>
      <x:c r="H338" s="170" t="str">
        <x:f>IF(A338="","",IF(B338="Decommissioning",INDEX('Raw Decommissioning'!$J$2:$J$1000,ROWS($A$5:A338)),INDEX('Raw Provisioning'!$L$2:$L$1000,ROWS($A$5:A338)-COUNTA('Raw Decommissioning'!$B$2:$B$1000))))</x:f>
        <x:v>Implementation of Falcon – Engineering Visual Analytics Program Phase 2 for Nervcentre</x:v>
      </x:c>
      <x:c r="I338" s="170" t="str">
        <x:f>IF(A338="","",IF(B338="Decommissioning",INDEX('Raw Decommissioning'!$AL$2:$AL$1000,ROWS($A$5:A338)),INDEX('Raw Provisioning'!$R$2:$R$1000,ROWS($A$5:A338)-COUNTA('Raw Decommissioning'!$B$2:$B$1000))))</x:f>
        <x:v>M</x:v>
      </x:c>
      <x:c r="J338" s="170" t="str">
        <x:f>IF(A338="","",IF(B338="Decommissioning",INDEX('Raw Decommissioning'!$AG$2:$AG$1000,ROWS($A$5:A338)),INDEX('Raw Provisioning'!$AI$2:$AI$1000,ROWS($A$5:A338)-COUNTA('Raw Decommissioning'!$B$2:$B$1000))))</x:f>
        <x:v>amarja.kawade@petronas.com</x:v>
      </x:c>
      <x:c r="K338" s="172" t="str">
        <x:f>IF(A338="","",IFERROR(LOOKUP(2,1/('Assignment History'!$B$5:$B$204=A338),'Assignment History'!$D$5:$D$204),IFERROR(VLOOKUP(J338,Configuration!$L$5:$M$50,2,FALSE),J338)))</x:f>
        <x:v>amarja.kawade@petronas.com</x:v>
      </x:c>
      <x:c r="L338" s="172" t="str">
        <x:f>IF(A338="","",IF(K338=IFERROR(VLOOKUP(J338,Configuration!$L$5:$M$50,2,FALSE),J338),"Snapshot PIC","Replacement PIC"))</x:f>
        <x:v>Snapshot PIC</x:v>
      </x:c>
      <x:c r="M338" s="172" t="n">
        <x:f>IF(A338="","",IFERROR(VLOOKUP(I338,Configuration!$O$5:$P$8,2,FALSE),Configuration!$S$6))</x:f>
        <x:v>2</x:v>
      </x:c>
      <x:c r="N338" s="172" t="str">
        <x:f>IF(A338="","",IFERROR(LOOKUP(2,1/('Scope Review'!$B$5:$B$204=A338),'Scope Review'!$G$5:$G$204),"Not Reviewed"))</x:f>
        <x:v>Not Reviewed</x:v>
      </x:c>
      <x:c r="O338" s="172" t="str">
        <x:f>IF(A338="","",IFERROR(LOOKUP(2,1/('Scope Review'!$B$5:$B$204=A338),'Scope Review'!$H$5:$H$204),""))</x:f>
      </x:c>
      <x:c r="P338" s="172" t="n">
        <x:f>IF(A338="","",IF(AND(C338="executing",N338&lt;&gt;"Confirmed OOS"),M338,0))</x:f>
        <x:v>2</x:v>
      </x:c>
      <x:c r="Q338" s="173" t="n">
        <x:f>IF(A338="","",IFERROR(LOOKUP(2,1/('Engineer Updates'!$B$5:$B$704=A338),'Engineer Updates'!$A$5:$A$704),""))</x:f>
        <x:v>46251</x:v>
      </x:c>
      <x:c r="R338" s="172" t="str">
        <x:f>IF(A338="","",IFERROR(LOOKUP(2,1/('Engineer Updates'!$B$5:$B$704=A338),'Engineer Updates'!$H$5:$H$704),""))</x:f>
        <x:v>Not Started</x:v>
      </x:c>
      <x:c r="S338" s="172" t="str">
        <x:f>IF(A338="","",IFERROR(LOOKUP(2,1/('Engineer Updates'!$B$5:$B$704=A338),'Engineer Updates'!$G$5:$G$704),""))</x:f>
      </x:c>
      <x:c r="T338" s="172" t="str">
        <x:f>IF(A338="","",IFERROR(LOOKUP(2,1/('Engineer Updates'!$B$5:$B$704=A338),'Engineer Updates'!$I$5:$I$704),""))</x:f>
      </x:c>
      <x:c r="U338" s="172" t="str">
        <x:f>IF(A338="","",IFERROR(LOOKUP(2,1/('Engineer Updates'!$B$5:$B$704=A338),'Engineer Updates'!$J$5:$J$704),""))</x:f>
      </x:c>
      <x:c r="V338" s="172" t="str">
        <x:f>IF(A338="","",IFERROR(LOOKUP(2,1/('Engineer Updates'!$B$5:$B$704=A338),'Engineer Updates'!$K$5:$K$704),""))</x:f>
      </x:c>
      <x:c r="W338" s="174" t="str">
        <x:f>IF(A338="","",IFERROR(LOOKUP(2,1/('Engineer Updates'!$B$5:$B$704=A338),'Engineer Updates'!$L$5:$L$704),""))</x:f>
      </x:c>
      <x:c r="X338" s="170" t="str">
        <x:f>IF(A338="","",IF(C338="completed","Completed in CSSP",IF(AND(C338="executing",ISERROR(SEARCH("@",K338))),"Executing without named engineer",IF(AND(N338="Confirmed OOS",C338="executing"),"Confirmed OOS still executing",""))))</x:f>
      </x:c>
      <x:c r="Y338" s="170" t="str">
        <x:f>IF(A338="","",IF(B338="Decommissioning","Raw Decommissioning","Raw Provisioning"))</x:f>
        <x:v>Raw Decommissioning</x:v>
      </x:c>
      <x:c r="Z338" s="170" t="str">
        <x:f>IF(A338="","",IF(OR(C338="executing",C338="processing"),"Yes","No"))</x:f>
        <x:v>Yes</x:v>
      </x:c>
    </x:row>
    <x:row r="339">
      <x:c r="A339" s="170" t="str">
        <x:f>IF(ROWS($A$5:A339)&lt;=COUNTA('Raw Decommissioning'!$B$2:$B$1000),INDEX('Raw Decommissioning'!$B$2:$B$1000,ROWS($A$5:A339)),IF(ROWS($A$5:A339)-COUNTA('Raw Decommissioning'!$B$2:$B$1000)&lt;=COUNTA('Raw Provisioning'!$B$2:$B$1000),INDEX('Raw Provisioning'!$B$2:$B$1000,ROWS($A$5:A339)-COUNTA('Raw Decommissioning'!$B$2:$B$1000)),""))</x:f>
        <x:v>CSSP10186192</x:v>
      </x:c>
      <x:c r="B339" s="170" t="str">
        <x:f>IF(A339="","",IF(ROWS($A$5:A339)&lt;=COUNTA('Raw Decommissioning'!$B$2:$B$1000),"Decommissioning","Provisioning"))</x:f>
        <x:v>Decommissioning</x:v>
      </x:c>
      <x:c r="C339" s="170" t="str">
        <x:f>IF(A339="","",IF(B339="Decommissioning",IFERROR(INDEX('Raw Decommissioning'!$E$2:$E$1000,MATCH(A339,'Raw Decommissioning'!$B$2:$B$1000,0)),"Missing from latest raw"),IFERROR(INDEX('Raw Provisioning'!$E$2:$E$1000,MATCH(A339,'Raw Provisioning'!$B$2:$B$1000,0)),"Missing from latest raw")))</x:f>
        <x:v>executing</x:v>
      </x:c>
      <x:c r="D339" s="171" t="n">
        <x:f>IF(A339="","",'Refresh Control'!$B$4)</x:f>
        <x:v>46254</x:v>
      </x:c>
      <x:c r="E339" s="171" t="n">
        <x:f>IF(A339="","",IF(B339="Decommissioning",INDEX('Raw Decommissioning'!$F$2:$F$1000,ROWS($A$5:A339)),INDEX('Raw Provisioning'!$F$2:$F$1000,ROWS($A$5:A339)-COUNTA('Raw Decommissioning'!$B$2:$B$1000))))</x:f>
        <x:v>46233.109707407406</x:v>
      </x:c>
      <x:c r="F339" s="171" t="n">
        <x:f>IF(A339="","",IF(B339="Decommissioning",INDEX('Raw Decommissioning'!$G$2:$G$1000,ROWS($A$5:A339)),INDEX('Raw Provisioning'!$H$2:$H$1000,ROWS($A$5:A339)-COUNTA('Raw Decommissioning'!$B$2:$B$1000))))</x:f>
        <x:v>46246.65208461806</x:v>
      </x:c>
      <x:c r="G339" s="170" t="str">
        <x:f>IF(A339="","",IF(B339="Decommissioning",INDEX('Raw Decommissioning'!$I$2:$I$1000,ROWS($A$5:A339)),INDEX('Raw Provisioning'!$J$2:$J$1000,ROWS($A$5:A339)-COUNTA('Raw Decommissioning'!$B$2:$B$1000))))</x:f>
        <x:v>Falcon</x:v>
      </x:c>
      <x:c r="H339" s="170" t="str">
        <x:f>IF(A339="","",IF(B339="Decommissioning",INDEX('Raw Decommissioning'!$J$2:$J$1000,ROWS($A$5:A339)),INDEX('Raw Provisioning'!$L$2:$L$1000,ROWS($A$5:A339)-COUNTA('Raw Decommissioning'!$B$2:$B$1000))))</x:f>
        <x:v>FALCON for CORIMS Image Analytics (IA) for Composite Repair Module for GTS</x:v>
      </x:c>
      <x:c r="I339" s="170" t="str">
        <x:f>IF(A339="","",IF(B339="Decommissioning",INDEX('Raw Decommissioning'!$AL$2:$AL$1000,ROWS($A$5:A339)),INDEX('Raw Provisioning'!$R$2:$R$1000,ROWS($A$5:A339)-COUNTA('Raw Decommissioning'!$B$2:$B$1000))))</x:f>
        <x:v>M</x:v>
      </x:c>
      <x:c r="J339" s="170" t="str">
        <x:f>IF(A339="","",IF(B339="Decommissioning",INDEX('Raw Decommissioning'!$AG$2:$AG$1000,ROWS($A$5:A339)),INDEX('Raw Provisioning'!$AI$2:$AI$1000,ROWS($A$5:A339)-COUNTA('Raw Decommissioning'!$B$2:$B$1000))))</x:f>
        <x:v>amarja.kawade@petronas.com</x:v>
      </x:c>
      <x:c r="K339" s="172" t="str">
        <x:f>IF(A339="","",IFERROR(LOOKUP(2,1/('Assignment History'!$B$5:$B$204=A339),'Assignment History'!$D$5:$D$204),IFERROR(VLOOKUP(J339,Configuration!$L$5:$M$50,2,FALSE),J339)))</x:f>
        <x:v>amarja.kawade@petronas.com</x:v>
      </x:c>
      <x:c r="L339" s="172" t="str">
        <x:f>IF(A339="","",IF(K339=IFERROR(VLOOKUP(J339,Configuration!$L$5:$M$50,2,FALSE),J339),"Snapshot PIC","Replacement PIC"))</x:f>
        <x:v>Snapshot PIC</x:v>
      </x:c>
      <x:c r="M339" s="172" t="n">
        <x:f>IF(A339="","",IFERROR(VLOOKUP(I339,Configuration!$O$5:$P$8,2,FALSE),Configuration!$S$6))</x:f>
        <x:v>2</x:v>
      </x:c>
      <x:c r="N339" s="172" t="str">
        <x:f>IF(A339="","",IFERROR(LOOKUP(2,1/('Scope Review'!$B$5:$B$204=A339),'Scope Review'!$G$5:$G$204),"Not Reviewed"))</x:f>
        <x:v>Not Reviewed</x:v>
      </x:c>
      <x:c r="O339" s="172" t="str">
        <x:f>IF(A339="","",IFERROR(LOOKUP(2,1/('Scope Review'!$B$5:$B$204=A339),'Scope Review'!$H$5:$H$204),""))</x:f>
      </x:c>
      <x:c r="P339" s="172" t="n">
        <x:f>IF(A339="","",IF(AND(C339="executing",N339&lt;&gt;"Confirmed OOS"),M339,0))</x:f>
        <x:v>2</x:v>
      </x:c>
      <x:c r="Q339" s="173" t="n">
        <x:f>IF(A339="","",IFERROR(LOOKUP(2,1/('Engineer Updates'!$B$5:$B$704=A339),'Engineer Updates'!$A$5:$A$704),""))</x:f>
        <x:v>46251</x:v>
      </x:c>
      <x:c r="R339" s="172" t="str">
        <x:f>IF(A339="","",IFERROR(LOOKUP(2,1/('Engineer Updates'!$B$5:$B$704=A339),'Engineer Updates'!$H$5:$H$704),""))</x:f>
        <x:v>Not Started</x:v>
      </x:c>
      <x:c r="S339" s="172" t="str">
        <x:f>IF(A339="","",IFERROR(LOOKUP(2,1/('Engineer Updates'!$B$5:$B$704=A339),'Engineer Updates'!$G$5:$G$704),""))</x:f>
      </x:c>
      <x:c r="T339" s="172" t="str">
        <x:f>IF(A339="","",IFERROR(LOOKUP(2,1/('Engineer Updates'!$B$5:$B$704=A339),'Engineer Updates'!$I$5:$I$704),""))</x:f>
      </x:c>
      <x:c r="U339" s="172" t="str">
        <x:f>IF(A339="","",IFERROR(LOOKUP(2,1/('Engineer Updates'!$B$5:$B$704=A339),'Engineer Updates'!$J$5:$J$704),""))</x:f>
      </x:c>
      <x:c r="V339" s="172" t="str">
        <x:f>IF(A339="","",IFERROR(LOOKUP(2,1/('Engineer Updates'!$B$5:$B$704=A339),'Engineer Updates'!$K$5:$K$704),""))</x:f>
      </x:c>
      <x:c r="W339" s="174" t="str">
        <x:f>IF(A339="","",IFERROR(LOOKUP(2,1/('Engineer Updates'!$B$5:$B$704=A339),'Engineer Updates'!$L$5:$L$704),""))</x:f>
      </x:c>
      <x:c r="X339" s="170" t="str">
        <x:f>IF(A339="","",IF(C339="completed","Completed in CSSP",IF(AND(C339="executing",ISERROR(SEARCH("@",K339))),"Executing without named engineer",IF(AND(N339="Confirmed OOS",C339="executing"),"Confirmed OOS still executing",""))))</x:f>
      </x:c>
      <x:c r="Y339" s="170" t="str">
        <x:f>IF(A339="","",IF(B339="Decommissioning","Raw Decommissioning","Raw Provisioning"))</x:f>
        <x:v>Raw Decommissioning</x:v>
      </x:c>
      <x:c r="Z339" s="170" t="str">
        <x:f>IF(A339="","",IF(OR(C339="executing",C339="processing"),"Yes","No"))</x:f>
        <x:v>Yes</x:v>
      </x:c>
    </x:row>
    <x:row r="340">
      <x:c r="A340" s="170" t="str">
        <x:f>IF(ROWS($A$5:A340)&lt;=COUNTA('Raw Decommissioning'!$B$2:$B$1000),INDEX('Raw Decommissioning'!$B$2:$B$1000,ROWS($A$5:A340)),IF(ROWS($A$5:A340)-COUNTA('Raw Decommissioning'!$B$2:$B$1000)&lt;=COUNTA('Raw Provisioning'!$B$2:$B$1000),INDEX('Raw Provisioning'!$B$2:$B$1000,ROWS($A$5:A340)-COUNTA('Raw Decommissioning'!$B$2:$B$1000)),""))</x:f>
        <x:v>CSSP10746310</x:v>
      </x:c>
      <x:c r="B340" s="170" t="str">
        <x:f>IF(A340="","",IF(ROWS($A$5:A340)&lt;=COUNTA('Raw Decommissioning'!$B$2:$B$1000),"Decommissioning","Provisioning"))</x:f>
        <x:v>Decommissioning</x:v>
      </x:c>
      <x:c r="C340" s="170" t="str">
        <x:f>IF(A340="","",IF(B340="Decommissioning",IFERROR(INDEX('Raw Decommissioning'!$E$2:$E$1000,MATCH(A340,'Raw Decommissioning'!$B$2:$B$1000,0)),"Missing from latest raw"),IFERROR(INDEX('Raw Provisioning'!$E$2:$E$1000,MATCH(A340,'Raw Provisioning'!$B$2:$B$1000,0)),"Missing from latest raw")))</x:f>
        <x:v>executing</x:v>
      </x:c>
      <x:c r="D340" s="171" t="n">
        <x:f>IF(A340="","",'Refresh Control'!$B$4)</x:f>
        <x:v>46254</x:v>
      </x:c>
      <x:c r="E340" s="171" t="n">
        <x:f>IF(A340="","",IF(B340="Decommissioning",INDEX('Raw Decommissioning'!$F$2:$F$1000,ROWS($A$5:A340)),INDEX('Raw Provisioning'!$F$2:$F$1000,ROWS($A$5:A340)-COUNTA('Raw Decommissioning'!$B$2:$B$1000))))</x:f>
        <x:v>46234.05614165509</x:v>
      </x:c>
      <x:c r="F340" s="171" t="n">
        <x:f>IF(A340="","",IF(B340="Decommissioning",INDEX('Raw Decommissioning'!$G$2:$G$1000,ROWS($A$5:A340)),INDEX('Raw Provisioning'!$H$2:$H$1000,ROWS($A$5:A340)-COUNTA('Raw Decommissioning'!$B$2:$B$1000))))</x:f>
        <x:v>46246.65098673611</x:v>
      </x:c>
      <x:c r="G340" s="170" t="str">
        <x:f>IF(A340="","",IF(B340="Decommissioning",INDEX('Raw Decommissioning'!$I$2:$I$1000,ROWS($A$5:A340)),INDEX('Raw Provisioning'!$J$2:$J$1000,ROWS($A$5:A340)-COUNTA('Raw Decommissioning'!$B$2:$B$1000))))</x:f>
        <x:v>Plant Information - PI PCMSB</x:v>
      </x:c>
      <x:c r="H340" s="170" t="str">
        <x:f>IF(A340="","",IF(B340="Decommissioning",INDEX('Raw Decommissioning'!$J$2:$J$1000,ROWS($A$5:A340)),INDEX('Raw Provisioning'!$L$2:$L$1000,ROWS($A$5:A340)-COUNTA('Raw Decommissioning'!$B$2:$B$1000))))</x:f>
        <x:v>Cloud Migration Program - PI PCMSB</x:v>
      </x:c>
      <x:c r="I340" s="170" t="str">
        <x:f>IF(A340="","",IF(B340="Decommissioning",INDEX('Raw Decommissioning'!$AL$2:$AL$1000,ROWS($A$5:A340)),INDEX('Raw Provisioning'!$R$2:$R$1000,ROWS($A$5:A340)-COUNTA('Raw Decommissioning'!$B$2:$B$1000))))</x:f>
        <x:v>L</x:v>
      </x:c>
      <x:c r="J340" s="170" t="str">
        <x:f>IF(A340="","",IF(B340="Decommissioning",INDEX('Raw Decommissioning'!$AG$2:$AG$1000,ROWS($A$5:A340)),INDEX('Raw Provisioning'!$AI$2:$AI$1000,ROWS($A$5:A340)-COUNTA('Raw Decommissioning'!$B$2:$B$1000))))</x:f>
        <x:v>amarja.kawade@petronas.com</x:v>
      </x:c>
      <x:c r="K340" s="172" t="str">
        <x:f>IF(A340="","",IFERROR(LOOKUP(2,1/('Assignment History'!$B$5:$B$204=A340),'Assignment History'!$D$5:$D$204),IFERROR(VLOOKUP(J340,Configuration!$L$5:$M$50,2,FALSE),J340)))</x:f>
        <x:v>amarja.kawade@petronas.com</x:v>
      </x:c>
      <x:c r="L340" s="172" t="str">
        <x:f>IF(A340="","",IF(K340=IFERROR(VLOOKUP(J340,Configuration!$L$5:$M$50,2,FALSE),J340),"Snapshot PIC","Replacement PIC"))</x:f>
        <x:v>Snapshot PIC</x:v>
      </x:c>
      <x:c r="M340" s="172" t="n">
        <x:f>IF(A340="","",IFERROR(VLOOKUP(I340,Configuration!$O$5:$P$8,2,FALSE),Configuration!$S$6))</x:f>
        <x:v>3</x:v>
      </x:c>
      <x:c r="N340" s="172" t="str">
        <x:f>IF(A340="","",IFERROR(LOOKUP(2,1/('Scope Review'!$B$5:$B$204=A340),'Scope Review'!$G$5:$G$204),"Not Reviewed"))</x:f>
        <x:v>Not Reviewed</x:v>
      </x:c>
      <x:c r="O340" s="172" t="str">
        <x:f>IF(A340="","",IFERROR(LOOKUP(2,1/('Scope Review'!$B$5:$B$204=A340),'Scope Review'!$H$5:$H$204),""))</x:f>
      </x:c>
      <x:c r="P340" s="172" t="n">
        <x:f>IF(A340="","",IF(AND(C340="executing",N340&lt;&gt;"Confirmed OOS"),M340,0))</x:f>
        <x:v>3</x:v>
      </x:c>
      <x:c r="Q340" s="173" t="n">
        <x:f>IF(A340="","",IFERROR(LOOKUP(2,1/('Engineer Updates'!$B$5:$B$704=A340),'Engineer Updates'!$A$5:$A$704),""))</x:f>
        <x:v>46251</x:v>
      </x:c>
      <x:c r="R340" s="172" t="str">
        <x:f>IF(A340="","",IFERROR(LOOKUP(2,1/('Engineer Updates'!$B$5:$B$704=A340),'Engineer Updates'!$H$5:$H$704),""))</x:f>
        <x:v>Not Started</x:v>
      </x:c>
      <x:c r="S340" s="172" t="str">
        <x:f>IF(A340="","",IFERROR(LOOKUP(2,1/('Engineer Updates'!$B$5:$B$704=A340),'Engineer Updates'!$G$5:$G$704),""))</x:f>
      </x:c>
      <x:c r="T340" s="172" t="str">
        <x:f>IF(A340="","",IFERROR(LOOKUP(2,1/('Engineer Updates'!$B$5:$B$704=A340),'Engineer Updates'!$I$5:$I$704),""))</x:f>
      </x:c>
      <x:c r="U340" s="172" t="str">
        <x:f>IF(A340="","",IFERROR(LOOKUP(2,1/('Engineer Updates'!$B$5:$B$704=A340),'Engineer Updates'!$J$5:$J$704),""))</x:f>
      </x:c>
      <x:c r="V340" s="172" t="str">
        <x:f>IF(A340="","",IFERROR(LOOKUP(2,1/('Engineer Updates'!$B$5:$B$704=A340),'Engineer Updates'!$K$5:$K$704),""))</x:f>
      </x:c>
      <x:c r="W340" s="174" t="str">
        <x:f>IF(A340="","",IFERROR(LOOKUP(2,1/('Engineer Updates'!$B$5:$B$704=A340),'Engineer Updates'!$L$5:$L$704),""))</x:f>
      </x:c>
      <x:c r="X340" s="170" t="str">
        <x:f>IF(A340="","",IF(C340="completed","Completed in CSSP",IF(AND(C340="executing",ISERROR(SEARCH("@",K340))),"Executing without named engineer",IF(AND(N340="Confirmed OOS",C340="executing"),"Confirmed OOS still executing",""))))</x:f>
      </x:c>
      <x:c r="Y340" s="170" t="str">
        <x:f>IF(A340="","",IF(B340="Decommissioning","Raw Decommissioning","Raw Provisioning"))</x:f>
        <x:v>Raw Decommissioning</x:v>
      </x:c>
      <x:c r="Z340" s="170" t="str">
        <x:f>IF(A340="","",IF(OR(C340="executing",C340="processing"),"Yes","No"))</x:f>
        <x:v>Yes</x:v>
      </x:c>
    </x:row>
    <x:row r="341">
      <x:c r="A341" s="170" t="str">
        <x:f>IF(ROWS($A$5:A341)&lt;=COUNTA('Raw Decommissioning'!$B$2:$B$1000),INDEX('Raw Decommissioning'!$B$2:$B$1000,ROWS($A$5:A341)),IF(ROWS($A$5:A341)-COUNTA('Raw Decommissioning'!$B$2:$B$1000)&lt;=COUNTA('Raw Provisioning'!$B$2:$B$1000),INDEX('Raw Provisioning'!$B$2:$B$1000,ROWS($A$5:A341)-COUNTA('Raw Decommissioning'!$B$2:$B$1000)),""))</x:f>
        <x:v>CSSP10376841</x:v>
      </x:c>
      <x:c r="B341" s="170" t="str">
        <x:f>IF(A341="","",IF(ROWS($A$5:A341)&lt;=COUNTA('Raw Decommissioning'!$B$2:$B$1000),"Decommissioning","Provisioning"))</x:f>
        <x:v>Decommissioning</x:v>
      </x:c>
      <x:c r="C341" s="170" t="str">
        <x:f>IF(A341="","",IF(B341="Decommissioning",IFERROR(INDEX('Raw Decommissioning'!$E$2:$E$1000,MATCH(A341,'Raw Decommissioning'!$B$2:$B$1000,0)),"Missing from latest raw"),IFERROR(INDEX('Raw Provisioning'!$E$2:$E$1000,MATCH(A341,'Raw Provisioning'!$B$2:$B$1000,0)),"Missing from latest raw")))</x:f>
        <x:v>executing</x:v>
      </x:c>
      <x:c r="D341" s="171" t="n">
        <x:f>IF(A341="","",'Refresh Control'!$B$4)</x:f>
        <x:v>46254</x:v>
      </x:c>
      <x:c r="E341" s="171" t="n">
        <x:f>IF(A341="","",IF(B341="Decommissioning",INDEX('Raw Decommissioning'!$F$2:$F$1000,ROWS($A$5:A341)),INDEX('Raw Provisioning'!$F$2:$F$1000,ROWS($A$5:A341)-COUNTA('Raw Decommissioning'!$B$2:$B$1000))))</x:f>
        <x:v>46237.10282396991</x:v>
      </x:c>
      <x:c r="F341" s="171" t="n">
        <x:f>IF(A341="","",IF(B341="Decommissioning",INDEX('Raw Decommissioning'!$G$2:$G$1000,ROWS($A$5:A341)),INDEX('Raw Provisioning'!$H$2:$H$1000,ROWS($A$5:A341)-COUNTA('Raw Decommissioning'!$B$2:$B$1000))))</x:f>
        <x:v>46246.650579814814</x:v>
      </x:c>
      <x:c r="G341" s="170" t="str">
        <x:f>IF(A341="","",IF(B341="Decommissioning",INDEX('Raw Decommissioning'!$I$2:$I$1000,ROWS($A$5:A341)),INDEX('Raw Provisioning'!$J$2:$J$1000,ROWS($A$5:A341)-COUNTA('Raw Decommissioning'!$B$2:$B$1000))))</x:f>
        <x:v>Capability Integrated Management System - CIMS</x:v>
      </x:c>
      <x:c r="H341" s="170" t="str">
        <x:f>IF(A341="","",IF(B341="Decommissioning",INDEX('Raw Decommissioning'!$J$2:$J$1000,ROWS($A$5:A341)),INDEX('Raw Provisioning'!$L$2:$L$1000,ROWS($A$5:A341)-COUNTA('Raw Decommissioning'!$B$2:$B$1000))))</x:f>
        <x:v>Upstream Shared Support Services (SecOps) FY2025 for MA, IVA, AD &amp; SA</x:v>
      </x:c>
      <x:c r="I341" s="170" t="str">
        <x:f>IF(A341="","",IF(B341="Decommissioning",INDEX('Raw Decommissioning'!$AL$2:$AL$1000,ROWS($A$5:A341)),INDEX('Raw Provisioning'!$R$2:$R$1000,ROWS($A$5:A341)-COUNTA('Raw Decommissioning'!$B$2:$B$1000))))</x:f>
        <x:v>M</x:v>
      </x:c>
      <x:c r="J341" s="170" t="str">
        <x:f>IF(A341="","",IF(B341="Decommissioning",INDEX('Raw Decommissioning'!$AG$2:$AG$1000,ROWS($A$5:A341)),INDEX('Raw Provisioning'!$AI$2:$AI$1000,ROWS($A$5:A341)-COUNTA('Raw Decommissioning'!$B$2:$B$1000))))</x:f>
        <x:v>amarja.kawade@petronas.com</x:v>
      </x:c>
      <x:c r="K341" s="172" t="str">
        <x:f>IF(A341="","",IFERROR(LOOKUP(2,1/('Assignment History'!$B$5:$B$204=A341),'Assignment History'!$D$5:$D$204),IFERROR(VLOOKUP(J341,Configuration!$L$5:$M$50,2,FALSE),J341)))</x:f>
        <x:v>amarja.kawade@petronas.com</x:v>
      </x:c>
      <x:c r="L341" s="172" t="str">
        <x:f>IF(A341="","",IF(K341=IFERROR(VLOOKUP(J341,Configuration!$L$5:$M$50,2,FALSE),J341),"Snapshot PIC","Replacement PIC"))</x:f>
        <x:v>Snapshot PIC</x:v>
      </x:c>
      <x:c r="M341" s="172" t="n">
        <x:f>IF(A341="","",IFERROR(VLOOKUP(I341,Configuration!$O$5:$P$8,2,FALSE),Configuration!$S$6))</x:f>
        <x:v>2</x:v>
      </x:c>
      <x:c r="N341" s="172" t="str">
        <x:f>IF(A341="","",IFERROR(LOOKUP(2,1/('Scope Review'!$B$5:$B$204=A341),'Scope Review'!$G$5:$G$204),"Not Reviewed"))</x:f>
        <x:v>Not Reviewed</x:v>
      </x:c>
      <x:c r="O341" s="172" t="str">
        <x:f>IF(A341="","",IFERROR(LOOKUP(2,1/('Scope Review'!$B$5:$B$204=A341),'Scope Review'!$H$5:$H$204),""))</x:f>
      </x:c>
      <x:c r="P341" s="172" t="n">
        <x:f>IF(A341="","",IF(AND(C341="executing",N341&lt;&gt;"Confirmed OOS"),M341,0))</x:f>
        <x:v>2</x:v>
      </x:c>
      <x:c r="Q341" s="173" t="n">
        <x:f>IF(A341="","",IFERROR(LOOKUP(2,1/('Engineer Updates'!$B$5:$B$704=A341),'Engineer Updates'!$A$5:$A$704),""))</x:f>
        <x:v>46251</x:v>
      </x:c>
      <x:c r="R341" s="172" t="str">
        <x:f>IF(A341="","",IFERROR(LOOKUP(2,1/('Engineer Updates'!$B$5:$B$704=A341),'Engineer Updates'!$H$5:$H$704),""))</x:f>
        <x:v>Not Started</x:v>
      </x:c>
      <x:c r="S341" s="172" t="str">
        <x:f>IF(A341="","",IFERROR(LOOKUP(2,1/('Engineer Updates'!$B$5:$B$704=A341),'Engineer Updates'!$G$5:$G$704),""))</x:f>
      </x:c>
      <x:c r="T341" s="172" t="str">
        <x:f>IF(A341="","",IFERROR(LOOKUP(2,1/('Engineer Updates'!$B$5:$B$704=A341),'Engineer Updates'!$I$5:$I$704),""))</x:f>
      </x:c>
      <x:c r="U341" s="172" t="str">
        <x:f>IF(A341="","",IFERROR(LOOKUP(2,1/('Engineer Updates'!$B$5:$B$704=A341),'Engineer Updates'!$J$5:$J$704),""))</x:f>
      </x:c>
      <x:c r="V341" s="172" t="str">
        <x:f>IF(A341="","",IFERROR(LOOKUP(2,1/('Engineer Updates'!$B$5:$B$704=A341),'Engineer Updates'!$K$5:$K$704),""))</x:f>
      </x:c>
      <x:c r="W341" s="174" t="str">
        <x:f>IF(A341="","",IFERROR(LOOKUP(2,1/('Engineer Updates'!$B$5:$B$704=A341),'Engineer Updates'!$L$5:$L$704),""))</x:f>
      </x:c>
      <x:c r="X341" s="170" t="str">
        <x:f>IF(A341="","",IF(C341="completed","Completed in CSSP",IF(AND(C341="executing",ISERROR(SEARCH("@",K341))),"Executing without named engineer",IF(AND(N341="Confirmed OOS",C341="executing"),"Confirmed OOS still executing",""))))</x:f>
      </x:c>
      <x:c r="Y341" s="170" t="str">
        <x:f>IF(A341="","",IF(B341="Decommissioning","Raw Decommissioning","Raw Provisioning"))</x:f>
        <x:v>Raw Decommissioning</x:v>
      </x:c>
      <x:c r="Z341" s="170" t="str">
        <x:f>IF(A341="","",IF(OR(C341="executing",C341="processing"),"Yes","No"))</x:f>
        <x:v>Yes</x:v>
      </x:c>
    </x:row>
    <x:row r="342">
      <x:c r="A342" s="170" t="str">
        <x:f>IF(ROWS($A$5:A342)&lt;=COUNTA('Raw Decommissioning'!$B$2:$B$1000),INDEX('Raw Decommissioning'!$B$2:$B$1000,ROWS($A$5:A342)),IF(ROWS($A$5:A342)-COUNTA('Raw Decommissioning'!$B$2:$B$1000)&lt;=COUNTA('Raw Provisioning'!$B$2:$B$1000),INDEX('Raw Provisioning'!$B$2:$B$1000,ROWS($A$5:A342)-COUNTA('Raw Decommissioning'!$B$2:$B$1000)),""))</x:f>
        <x:v>CSSP10551555</x:v>
      </x:c>
      <x:c r="B342" s="170" t="str">
        <x:f>IF(A342="","",IF(ROWS($A$5:A342)&lt;=COUNTA('Raw Decommissioning'!$B$2:$B$1000),"Decommissioning","Provisioning"))</x:f>
        <x:v>Decommissioning</x:v>
      </x:c>
      <x:c r="C342" s="170" t="str">
        <x:f>IF(A342="","",IF(B342="Decommissioning",IFERROR(INDEX('Raw Decommissioning'!$E$2:$E$1000,MATCH(A342,'Raw Decommissioning'!$B$2:$B$1000,0)),"Missing from latest raw"),IFERROR(INDEX('Raw Provisioning'!$E$2:$E$1000,MATCH(A342,'Raw Provisioning'!$B$2:$B$1000,0)),"Missing from latest raw")))</x:f>
        <x:v>cancelled</x:v>
      </x:c>
      <x:c r="D342" s="171" t="n">
        <x:f>IF(A342="","",'Refresh Control'!$B$4)</x:f>
        <x:v>46254</x:v>
      </x:c>
      <x:c r="E342" s="171" t="n">
        <x:f>IF(A342="","",IF(B342="Decommissioning",INDEX('Raw Decommissioning'!$F$2:$F$1000,ROWS($A$5:A342)),INDEX('Raw Provisioning'!$F$2:$F$1000,ROWS($A$5:A342)-COUNTA('Raw Decommissioning'!$B$2:$B$1000))))</x:f>
        <x:v>46237.17056608796</x:v>
      </x:c>
      <x:c r="F342" s="171" t="n">
        <x:f>IF(A342="","",IF(B342="Decommissioning",INDEX('Raw Decommissioning'!$G$2:$G$1000,ROWS($A$5:A342)),INDEX('Raw Provisioning'!$H$2:$H$1000,ROWS($A$5:A342)-COUNTA('Raw Decommissioning'!$B$2:$B$1000))))</x:f>
        <x:v>46237.171485810184</x:v>
      </x:c>
      <x:c r="G342" s="170" t="str">
        <x:f>IF(A342="","",IF(B342="Decommissioning",INDEX('Raw Decommissioning'!$I$2:$I$1000,ROWS($A$5:A342)),INDEX('Raw Provisioning'!$J$2:$J$1000,ROWS($A$5:A342)-COUNTA('Raw Decommissioning'!$B$2:$B$1000))))</x:f>
        <x:v>ProcurementGo/STAR</x:v>
      </x:c>
      <x:c r="H342" s="170" t="str">
        <x:f>IF(A342="","",IF(B342="Decommissioning",INDEX('Raw Decommissioning'!$J$2:$J$1000,ROWS($A$5:A342)),INDEX('Raw Provisioning'!$L$2:$L$1000,ROWS($A$5:A342)-COUNTA('Raw Decommissioning'!$B$2:$B$1000))))</x:f>
        <x:v>Cloud Migration Program - Procurement/Go Star</x:v>
      </x:c>
      <x:c r="I342" s="170" t="str">
        <x:f>IF(A342="","",IF(B342="Decommissioning",INDEX('Raw Decommissioning'!$AL$2:$AL$1000,ROWS($A$5:A342)),INDEX('Raw Provisioning'!$R$2:$R$1000,ROWS($A$5:A342)-COUNTA('Raw Decommissioning'!$B$2:$B$1000))))</x:f>
      </x:c>
      <x:c r="J342" s="170" t="str">
        <x:f>IF(A342="","",IF(B342="Decommissioning",INDEX('Raw Decommissioning'!$AG$2:$AG$1000,ROWS($A$5:A342)),INDEX('Raw Provisioning'!$AI$2:$AI$1000,ROWS($A$5:A342)-COUNTA('Raw Decommissioning'!$B$2:$B$1000))))</x:f>
        <x:v>IMS - CLOUD CSSP EXECUTOR</x:v>
      </x:c>
      <x:c r="K342" s="172" t="str">
        <x:f>IF(A342="","",IFERROR(LOOKUP(2,1/('Assignment History'!$B$5:$B$204=A342),'Assignment History'!$D$5:$D$204),IFERROR(VLOOKUP(J342,Configuration!$L$5:$M$50,2,FALSE),J342)))</x:f>
        <x:v>IMS - CLOUD CSSP EXECUTOR</x:v>
      </x:c>
      <x:c r="L342" s="172" t="str">
        <x:f>IF(A342="","",IF(K342=IFERROR(VLOOKUP(J342,Configuration!$L$5:$M$50,2,FALSE),J342),"Snapshot PIC","Replacement PIC"))</x:f>
        <x:v>Snapshot PIC</x:v>
      </x:c>
      <x:c r="M342" s="172" t="n">
        <x:f>IF(A342="","",IFERROR(VLOOKUP(I342,Configuration!$O$5:$P$8,2,FALSE),Configuration!$S$6))</x:f>
        <x:v>2</x:v>
      </x:c>
      <x:c r="N342" s="172" t="str">
        <x:f>IF(A342="","",IFERROR(LOOKUP(2,1/('Scope Review'!$B$5:$B$204=A342),'Scope Review'!$G$5:$G$204),"Not Reviewed"))</x:f>
        <x:v>Not Reviewed</x:v>
      </x:c>
      <x:c r="O342" s="172" t="str">
        <x:f>IF(A342="","",IFERROR(LOOKUP(2,1/('Scope Review'!$B$5:$B$204=A342),'Scope Review'!$H$5:$H$204),""))</x:f>
      </x:c>
      <x:c r="P342" s="172" t="n">
        <x:f>IF(A342="","",IF(AND(C342="executing",N342&lt;&gt;"Confirmed OOS"),M342,0))</x:f>
        <x:v>0</x:v>
      </x:c>
      <x:c r="Q342" s="173" t="str">
        <x:f>IF(A342="","",IFERROR(LOOKUP(2,1/('Engineer Updates'!$B$5:$B$704=A342),'Engineer Updates'!$A$5:$A$704),""))</x:f>
      </x:c>
      <x:c r="R342" s="172" t="str">
        <x:f>IF(A342="","",IFERROR(LOOKUP(2,1/('Engineer Updates'!$B$5:$B$704=A342),'Engineer Updates'!$H$5:$H$704),""))</x:f>
      </x:c>
      <x:c r="S342" s="172" t="str">
        <x:f>IF(A342="","",IFERROR(LOOKUP(2,1/('Engineer Updates'!$B$5:$B$704=A342),'Engineer Updates'!$G$5:$G$704),""))</x:f>
      </x:c>
      <x:c r="T342" s="172" t="str">
        <x:f>IF(A342="","",IFERROR(LOOKUP(2,1/('Engineer Updates'!$B$5:$B$704=A342),'Engineer Updates'!$I$5:$I$704),""))</x:f>
      </x:c>
      <x:c r="U342" s="172" t="str">
        <x:f>IF(A342="","",IFERROR(LOOKUP(2,1/('Engineer Updates'!$B$5:$B$704=A342),'Engineer Updates'!$J$5:$J$704),""))</x:f>
      </x:c>
      <x:c r="V342" s="172" t="str">
        <x:f>IF(A342="","",IFERROR(LOOKUP(2,1/('Engineer Updates'!$B$5:$B$704=A342),'Engineer Updates'!$K$5:$K$704),""))</x:f>
      </x:c>
      <x:c r="W342" s="174" t="str">
        <x:f>IF(A342="","",IFERROR(LOOKUP(2,1/('Engineer Updates'!$B$5:$B$704=A342),'Engineer Updates'!$L$5:$L$704),""))</x:f>
      </x:c>
      <x:c r="X342" s="170" t="str">
        <x:f>IF(A342="","",IF(C342="completed","Completed in CSSP",IF(AND(C342="executing",ISERROR(SEARCH("@",K342))),"Executing without named engineer",IF(AND(N342="Confirmed OOS",C342="executing"),"Confirmed OOS still executing",""))))</x:f>
      </x:c>
      <x:c r="Y342" s="170" t="str">
        <x:f>IF(A342="","",IF(B342="Decommissioning","Raw Decommissioning","Raw Provisioning"))</x:f>
        <x:v>Raw Decommissioning</x:v>
      </x:c>
      <x:c r="Z342" s="170" t="str">
        <x:f>IF(A342="","",IF(OR(C342="executing",C342="processing"),"Yes","No"))</x:f>
        <x:v>No</x:v>
      </x:c>
    </x:row>
    <x:row r="343">
      <x:c r="A343" s="170" t="str">
        <x:f>IF(ROWS($A$5:A343)&lt;=COUNTA('Raw Decommissioning'!$B$2:$B$1000),INDEX('Raw Decommissioning'!$B$2:$B$1000,ROWS($A$5:A343)),IF(ROWS($A$5:A343)-COUNTA('Raw Decommissioning'!$B$2:$B$1000)&lt;=COUNTA('Raw Provisioning'!$B$2:$B$1000),INDEX('Raw Provisioning'!$B$2:$B$1000,ROWS($A$5:A343)-COUNTA('Raw Decommissioning'!$B$2:$B$1000)),""))</x:f>
        <x:v>CSSP10311887</x:v>
      </x:c>
      <x:c r="B343" s="170" t="str">
        <x:f>IF(A343="","",IF(ROWS($A$5:A343)&lt;=COUNTA('Raw Decommissioning'!$B$2:$B$1000),"Decommissioning","Provisioning"))</x:f>
        <x:v>Decommissioning</x:v>
      </x:c>
      <x:c r="C343" s="170" t="str">
        <x:f>IF(A343="","",IF(B343="Decommissioning",IFERROR(INDEX('Raw Decommissioning'!$E$2:$E$1000,MATCH(A343,'Raw Decommissioning'!$B$2:$B$1000,0)),"Missing from latest raw"),IFERROR(INDEX('Raw Provisioning'!$E$2:$E$1000,MATCH(A343,'Raw Provisioning'!$B$2:$B$1000,0)),"Missing from latest raw")))</x:f>
        <x:v>pending</x:v>
      </x:c>
      <x:c r="D343" s="171" t="n">
        <x:f>IF(A343="","",'Refresh Control'!$B$4)</x:f>
        <x:v>46254</x:v>
      </x:c>
      <x:c r="E343" s="171" t="n">
        <x:f>IF(A343="","",IF(B343="Decommissioning",INDEX('Raw Decommissioning'!$F$2:$F$1000,ROWS($A$5:A343)),INDEX('Raw Provisioning'!$F$2:$F$1000,ROWS($A$5:A343)-COUNTA('Raw Decommissioning'!$B$2:$B$1000))))</x:f>
        <x:v>46237.17269381945</x:v>
      </x:c>
      <x:c r="F343" s="171" t="n">
        <x:f>IF(A343="","",IF(B343="Decommissioning",INDEX('Raw Decommissioning'!$G$2:$G$1000,ROWS($A$5:A343)),INDEX('Raw Provisioning'!$H$2:$H$1000,ROWS($A$5:A343)-COUNTA('Raw Decommissioning'!$B$2:$B$1000))))</x:f>
        <x:v>46237.173705347224</x:v>
      </x:c>
      <x:c r="G343" s="170" t="str">
        <x:f>IF(A343="","",IF(B343="Decommissioning",INDEX('Raw Decommissioning'!$I$2:$I$1000,ROWS($A$5:A343)),INDEX('Raw Provisioning'!$J$2:$J$1000,ROWS($A$5:A343)-COUNTA('Raw Decommissioning'!$B$2:$B$1000))))</x:f>
        <x:v>ProcurementGo/STAR</x:v>
      </x:c>
      <x:c r="H343" s="170" t="str">
        <x:f>IF(A343="","",IF(B343="Decommissioning",INDEX('Raw Decommissioning'!$J$2:$J$1000,ROWS($A$5:A343)),INDEX('Raw Provisioning'!$L$2:$L$1000,ROWS($A$5:A343)-COUNTA('Raw Decommissioning'!$B$2:$B$1000))))</x:f>
        <x:v>Cloud Migration Program - Procurement/Go Star</x:v>
      </x:c>
      <x:c r="I343" s="170" t="str">
        <x:f>IF(A343="","",IF(B343="Decommissioning",INDEX('Raw Decommissioning'!$AL$2:$AL$1000,ROWS($A$5:A343)),INDEX('Raw Provisioning'!$R$2:$R$1000,ROWS($A$5:A343)-COUNTA('Raw Decommissioning'!$B$2:$B$1000))))</x:f>
      </x:c>
      <x:c r="J343" s="170" t="str">
        <x:f>IF(A343="","",IF(B343="Decommissioning",INDEX('Raw Decommissioning'!$AG$2:$AG$1000,ROWS($A$5:A343)),INDEX('Raw Provisioning'!$AI$2:$AI$1000,ROWS($A$5:A343)-COUNTA('Raw Decommissioning'!$B$2:$B$1000))))</x:f>
        <x:v>IMS - CLOUD CSSP EXECUTOR</x:v>
      </x:c>
      <x:c r="K343" s="172" t="str">
        <x:f>IF(A343="","",IFERROR(LOOKUP(2,1/('Assignment History'!$B$5:$B$204=A343),'Assignment History'!$D$5:$D$204),IFERROR(VLOOKUP(J343,Configuration!$L$5:$M$50,2,FALSE),J343)))</x:f>
        <x:v>IMS - CLOUD CSSP EXECUTOR</x:v>
      </x:c>
      <x:c r="L343" s="172" t="str">
        <x:f>IF(A343="","",IF(K343=IFERROR(VLOOKUP(J343,Configuration!$L$5:$M$50,2,FALSE),J343),"Snapshot PIC","Replacement PIC"))</x:f>
        <x:v>Snapshot PIC</x:v>
      </x:c>
      <x:c r="M343" s="172" t="n">
        <x:f>IF(A343="","",IFERROR(VLOOKUP(I343,Configuration!$O$5:$P$8,2,FALSE),Configuration!$S$6))</x:f>
        <x:v>2</x:v>
      </x:c>
      <x:c r="N343" s="172" t="str">
        <x:f>IF(A343="","",IFERROR(LOOKUP(2,1/('Scope Review'!$B$5:$B$204=A343),'Scope Review'!$G$5:$G$204),"Not Reviewed"))</x:f>
        <x:v>Not Reviewed</x:v>
      </x:c>
      <x:c r="O343" s="172" t="str">
        <x:f>IF(A343="","",IFERROR(LOOKUP(2,1/('Scope Review'!$B$5:$B$204=A343),'Scope Review'!$H$5:$H$204),""))</x:f>
      </x:c>
      <x:c r="P343" s="172" t="n">
        <x:f>IF(A343="","",IF(AND(C343="executing",N343&lt;&gt;"Confirmed OOS"),M343,0))</x:f>
        <x:v>0</x:v>
      </x:c>
      <x:c r="Q343" s="173" t="str">
        <x:f>IF(A343="","",IFERROR(LOOKUP(2,1/('Engineer Updates'!$B$5:$B$704=A343),'Engineer Updates'!$A$5:$A$704),""))</x:f>
      </x:c>
      <x:c r="R343" s="172" t="str">
        <x:f>IF(A343="","",IFERROR(LOOKUP(2,1/('Engineer Updates'!$B$5:$B$704=A343),'Engineer Updates'!$H$5:$H$704),""))</x:f>
      </x:c>
      <x:c r="S343" s="172" t="str">
        <x:f>IF(A343="","",IFERROR(LOOKUP(2,1/('Engineer Updates'!$B$5:$B$704=A343),'Engineer Updates'!$G$5:$G$704),""))</x:f>
      </x:c>
      <x:c r="T343" s="172" t="str">
        <x:f>IF(A343="","",IFERROR(LOOKUP(2,1/('Engineer Updates'!$B$5:$B$704=A343),'Engineer Updates'!$I$5:$I$704),""))</x:f>
      </x:c>
      <x:c r="U343" s="172" t="str">
        <x:f>IF(A343="","",IFERROR(LOOKUP(2,1/('Engineer Updates'!$B$5:$B$704=A343),'Engineer Updates'!$J$5:$J$704),""))</x:f>
      </x:c>
      <x:c r="V343" s="172" t="str">
        <x:f>IF(A343="","",IFERROR(LOOKUP(2,1/('Engineer Updates'!$B$5:$B$704=A343),'Engineer Updates'!$K$5:$K$704),""))</x:f>
      </x:c>
      <x:c r="W343" s="174" t="str">
        <x:f>IF(A343="","",IFERROR(LOOKUP(2,1/('Engineer Updates'!$B$5:$B$704=A343),'Engineer Updates'!$L$5:$L$704),""))</x:f>
      </x:c>
      <x:c r="X343" s="170" t="str">
        <x:f>IF(A343="","",IF(C343="completed","Completed in CSSP",IF(AND(C343="executing",ISERROR(SEARCH("@",K343))),"Executing without named engineer",IF(AND(N343="Confirmed OOS",C343="executing"),"Confirmed OOS still executing",""))))</x:f>
      </x:c>
      <x:c r="Y343" s="170" t="str">
        <x:f>IF(A343="","",IF(B343="Decommissioning","Raw Decommissioning","Raw Provisioning"))</x:f>
        <x:v>Raw Decommissioning</x:v>
      </x:c>
      <x:c r="Z343" s="170" t="str">
        <x:f>IF(A343="","",IF(OR(C343="executing",C343="processing"),"Yes","No"))</x:f>
        <x:v>No</x:v>
      </x:c>
    </x:row>
    <x:row r="344">
      <x:c r="A344" s="170" t="str">
        <x:f>IF(ROWS($A$5:A344)&lt;=COUNTA('Raw Decommissioning'!$B$2:$B$1000),INDEX('Raw Decommissioning'!$B$2:$B$1000,ROWS($A$5:A344)),IF(ROWS($A$5:A344)-COUNTA('Raw Decommissioning'!$B$2:$B$1000)&lt;=COUNTA('Raw Provisioning'!$B$2:$B$1000),INDEX('Raw Provisioning'!$B$2:$B$1000,ROWS($A$5:A344)-COUNTA('Raw Decommissioning'!$B$2:$B$1000)),""))</x:f>
        <x:v>CSSP10504866</x:v>
      </x:c>
      <x:c r="B344" s="170" t="str">
        <x:f>IF(A344="","",IF(ROWS($A$5:A344)&lt;=COUNTA('Raw Decommissioning'!$B$2:$B$1000),"Decommissioning","Provisioning"))</x:f>
        <x:v>Decommissioning</x:v>
      </x:c>
      <x:c r="C344" s="170" t="str">
        <x:f>IF(A344="","",IF(B344="Decommissioning",IFERROR(INDEX('Raw Decommissioning'!$E$2:$E$1000,MATCH(A344,'Raw Decommissioning'!$B$2:$B$1000,0)),"Missing from latest raw"),IFERROR(INDEX('Raw Provisioning'!$E$2:$E$1000,MATCH(A344,'Raw Provisioning'!$B$2:$B$1000,0)),"Missing from latest raw")))</x:f>
        <x:v>executing</x:v>
      </x:c>
      <x:c r="D344" s="171" t="n">
        <x:f>IF(A344="","",'Refresh Control'!$B$4)</x:f>
        <x:v>46254</x:v>
      </x:c>
      <x:c r="E344" s="171" t="n">
        <x:f>IF(A344="","",IF(B344="Decommissioning",INDEX('Raw Decommissioning'!$F$2:$F$1000,ROWS($A$5:A344)),INDEX('Raw Provisioning'!$F$2:$F$1000,ROWS($A$5:A344)-COUNTA('Raw Decommissioning'!$B$2:$B$1000))))</x:f>
        <x:v>46237.561653055556</x:v>
      </x:c>
      <x:c r="F344" s="171" t="n">
        <x:f>IF(A344="","",IF(B344="Decommissioning",INDEX('Raw Decommissioning'!$G$2:$G$1000,ROWS($A$5:A344)),INDEX('Raw Provisioning'!$H$2:$H$1000,ROWS($A$5:A344)-COUNTA('Raw Decommissioning'!$B$2:$B$1000))))</x:f>
        <x:v>46246.65025947917</x:v>
      </x:c>
      <x:c r="G344" s="170" t="str">
        <x:f>IF(A344="","",IF(B344="Decommissioning",INDEX('Raw Decommissioning'!$I$2:$I$1000,ROWS($A$5:A344)),INDEX('Raw Provisioning'!$J$2:$J$1000,ROWS($A$5:A344)-COUNTA('Raw Decommissioning'!$B$2:$B$1000))))</x:f>
        <x:v>Plant Information - PI Hub Downstream</x:v>
      </x:c>
      <x:c r="H344" s="170" t="str">
        <x:f>IF(A344="","",IF(B344="Decommissioning",INDEX('Raw Decommissioning'!$J$2:$J$1000,ROWS($A$5:A344)),INDEX('Raw Provisioning'!$L$2:$L$1000,ROWS($A$5:A344)-COUNTA('Raw Decommissioning'!$B$2:$B$1000))))</x:f>
        <x:v>CTP Old to New LZ - Enterprise PI Hub Downstream</x:v>
      </x:c>
      <x:c r="I344" s="170" t="str">
        <x:f>IF(A344="","",IF(B344="Decommissioning",INDEX('Raw Decommissioning'!$AL$2:$AL$1000,ROWS($A$5:A344)),INDEX('Raw Provisioning'!$R$2:$R$1000,ROWS($A$5:A344)-COUNTA('Raw Decommissioning'!$B$2:$B$1000))))</x:f>
        <x:v>L</x:v>
      </x:c>
      <x:c r="J344" s="170" t="str">
        <x:f>IF(A344="","",IF(B344="Decommissioning",INDEX('Raw Decommissioning'!$AG$2:$AG$1000,ROWS($A$5:A344)),INDEX('Raw Provisioning'!$AI$2:$AI$1000,ROWS($A$5:A344)-COUNTA('Raw Decommissioning'!$B$2:$B$1000))))</x:f>
        <x:v>swaminadh.chirakala@petronas.com</x:v>
      </x:c>
      <x:c r="K344" s="172" t="str">
        <x:f>IF(A344="","",IFERROR(LOOKUP(2,1/('Assignment History'!$B$5:$B$204=A344),'Assignment History'!$D$5:$D$204),IFERROR(VLOOKUP(J344,Configuration!$L$5:$M$50,2,FALSE),J344)))</x:f>
        <x:v>swaminadh.chirakala@petronas.com</x:v>
      </x:c>
      <x:c r="L344" s="172" t="str">
        <x:f>IF(A344="","",IF(K344=IFERROR(VLOOKUP(J344,Configuration!$L$5:$M$50,2,FALSE),J344),"Snapshot PIC","Replacement PIC"))</x:f>
        <x:v>Snapshot PIC</x:v>
      </x:c>
      <x:c r="M344" s="172" t="n">
        <x:f>IF(A344="","",IFERROR(VLOOKUP(I344,Configuration!$O$5:$P$8,2,FALSE),Configuration!$S$6))</x:f>
        <x:v>3</x:v>
      </x:c>
      <x:c r="N344" s="172" t="str">
        <x:f>IF(A344="","",IFERROR(LOOKUP(2,1/('Scope Review'!$B$5:$B$204=A344),'Scope Review'!$G$5:$G$204),"Not Reviewed"))</x:f>
        <x:v>Not Reviewed</x:v>
      </x:c>
      <x:c r="O344" s="172" t="str">
        <x:f>IF(A344="","",IFERROR(LOOKUP(2,1/('Scope Review'!$B$5:$B$204=A344),'Scope Review'!$H$5:$H$204),""))</x:f>
      </x:c>
      <x:c r="P344" s="172" t="n">
        <x:f>IF(A344="","",IF(AND(C344="executing",N344&lt;&gt;"Confirmed OOS"),M344,0))</x:f>
        <x:v>3</x:v>
      </x:c>
      <x:c r="Q344" s="173" t="n">
        <x:f>IF(A344="","",IFERROR(LOOKUP(2,1/('Engineer Updates'!$B$5:$B$704=A344),'Engineer Updates'!$A$5:$A$704),""))</x:f>
        <x:v>46251</x:v>
      </x:c>
      <x:c r="R344" s="172" t="str">
        <x:f>IF(A344="","",IFERROR(LOOKUP(2,1/('Engineer Updates'!$B$5:$B$704=A344),'Engineer Updates'!$H$5:$H$704),""))</x:f>
        <x:v>Not Started</x:v>
      </x:c>
      <x:c r="S344" s="172" t="str">
        <x:f>IF(A344="","",IFERROR(LOOKUP(2,1/('Engineer Updates'!$B$5:$B$704=A344),'Engineer Updates'!$G$5:$G$704),""))</x:f>
      </x:c>
      <x:c r="T344" s="172" t="str">
        <x:f>IF(A344="","",IFERROR(LOOKUP(2,1/('Engineer Updates'!$B$5:$B$704=A344),'Engineer Updates'!$I$5:$I$704),""))</x:f>
      </x:c>
      <x:c r="U344" s="172" t="str">
        <x:f>IF(A344="","",IFERROR(LOOKUP(2,1/('Engineer Updates'!$B$5:$B$704=A344),'Engineer Updates'!$J$5:$J$704),""))</x:f>
      </x:c>
      <x:c r="V344" s="172" t="str">
        <x:f>IF(A344="","",IFERROR(LOOKUP(2,1/('Engineer Updates'!$B$5:$B$704=A344),'Engineer Updates'!$K$5:$K$704),""))</x:f>
      </x:c>
      <x:c r="W344" s="174" t="str">
        <x:f>IF(A344="","",IFERROR(LOOKUP(2,1/('Engineer Updates'!$B$5:$B$704=A344),'Engineer Updates'!$L$5:$L$704),""))</x:f>
      </x:c>
      <x:c r="X344" s="170" t="str">
        <x:f>IF(A344="","",IF(C344="completed","Completed in CSSP",IF(AND(C344="executing",ISERROR(SEARCH("@",K344))),"Executing without named engineer",IF(AND(N344="Confirmed OOS",C344="executing"),"Confirmed OOS still executing",""))))</x:f>
      </x:c>
      <x:c r="Y344" s="170" t="str">
        <x:f>IF(A344="","",IF(B344="Decommissioning","Raw Decommissioning","Raw Provisioning"))</x:f>
        <x:v>Raw Decommissioning</x:v>
      </x:c>
      <x:c r="Z344" s="170" t="str">
        <x:f>IF(A344="","",IF(OR(C344="executing",C344="processing"),"Yes","No"))</x:f>
        <x:v>Yes</x:v>
      </x:c>
    </x:row>
    <x:row r="345">
      <x:c r="A345" s="170" t="str">
        <x:f>IF(ROWS($A$5:A345)&lt;=COUNTA('Raw Decommissioning'!$B$2:$B$1000),INDEX('Raw Decommissioning'!$B$2:$B$1000,ROWS($A$5:A345)),IF(ROWS($A$5:A345)-COUNTA('Raw Decommissioning'!$B$2:$B$1000)&lt;=COUNTA('Raw Provisioning'!$B$2:$B$1000),INDEX('Raw Provisioning'!$B$2:$B$1000,ROWS($A$5:A345)-COUNTA('Raw Decommissioning'!$B$2:$B$1000)),""))</x:f>
        <x:v>CSSP10983605</x:v>
      </x:c>
      <x:c r="B345" s="170" t="str">
        <x:f>IF(A345="","",IF(ROWS($A$5:A345)&lt;=COUNTA('Raw Decommissioning'!$B$2:$B$1000),"Decommissioning","Provisioning"))</x:f>
        <x:v>Decommissioning</x:v>
      </x:c>
      <x:c r="C345" s="170" t="str">
        <x:f>IF(A345="","",IF(B345="Decommissioning",IFERROR(INDEX('Raw Decommissioning'!$E$2:$E$1000,MATCH(A345,'Raw Decommissioning'!$B$2:$B$1000,0)),"Missing from latest raw"),IFERROR(INDEX('Raw Provisioning'!$E$2:$E$1000,MATCH(A345,'Raw Provisioning'!$B$2:$B$1000,0)),"Missing from latest raw")))</x:f>
        <x:v>executing</x:v>
      </x:c>
      <x:c r="D345" s="171" t="n">
        <x:f>IF(A345="","",'Refresh Control'!$B$4)</x:f>
        <x:v>46254</x:v>
      </x:c>
      <x:c r="E345" s="171" t="n">
        <x:f>IF(A345="","",IF(B345="Decommissioning",INDEX('Raw Decommissioning'!$F$2:$F$1000,ROWS($A$5:A345)),INDEX('Raw Provisioning'!$F$2:$F$1000,ROWS($A$5:A345)-COUNTA('Raw Decommissioning'!$B$2:$B$1000))))</x:f>
        <x:v>46237.57123815972</x:v>
      </x:c>
      <x:c r="F345" s="171" t="n">
        <x:f>IF(A345="","",IF(B345="Decommissioning",INDEX('Raw Decommissioning'!$G$2:$G$1000,ROWS($A$5:A345)),INDEX('Raw Provisioning'!$H$2:$H$1000,ROWS($A$5:A345)-COUNTA('Raw Decommissioning'!$B$2:$B$1000))))</x:f>
        <x:v>46246.64991947917</x:v>
      </x:c>
      <x:c r="G345" s="170" t="str">
        <x:f>IF(A345="","",IF(B345="Decommissioning",INDEX('Raw Decommissioning'!$I$2:$I$1000,ROWS($A$5:A345)),INDEX('Raw Provisioning'!$J$2:$J$1000,ROWS($A$5:A345)-COUNTA('Raw Decommissioning'!$B$2:$B$1000))))</x:f>
        <x:v>Plant Information - PI Enterprise</x:v>
      </x:c>
      <x:c r="H345" s="170" t="str">
        <x:f>IF(A345="","",IF(B345="Decommissioning",INDEX('Raw Decommissioning'!$J$2:$J$1000,ROWS($A$5:A345)),INDEX('Raw Provisioning'!$L$2:$L$1000,ROWS($A$5:A345)-COUNTA('Raw Decommissioning'!$B$2:$B$1000))))</x:f>
        <x:v>CTP Old to New LZ - PI Enterprise</x:v>
      </x:c>
      <x:c r="I345" s="170" t="str">
        <x:f>IF(A345="","",IF(B345="Decommissioning",INDEX('Raw Decommissioning'!$AL$2:$AL$1000,ROWS($A$5:A345)),INDEX('Raw Provisioning'!$R$2:$R$1000,ROWS($A$5:A345)-COUNTA('Raw Decommissioning'!$B$2:$B$1000))))</x:f>
        <x:v>L</x:v>
      </x:c>
      <x:c r="J345" s="170" t="str">
        <x:f>IF(A345="","",IF(B345="Decommissioning",INDEX('Raw Decommissioning'!$AG$2:$AG$1000,ROWS($A$5:A345)),INDEX('Raw Provisioning'!$AI$2:$AI$1000,ROWS($A$5:A345)-COUNTA('Raw Decommissioning'!$B$2:$B$1000))))</x:f>
        <x:v>swaminadh.chirakala@petronas.com</x:v>
      </x:c>
      <x:c r="K345" s="172" t="str">
        <x:f>IF(A345="","",IFERROR(LOOKUP(2,1/('Assignment History'!$B$5:$B$204=A345),'Assignment History'!$D$5:$D$204),IFERROR(VLOOKUP(J345,Configuration!$L$5:$M$50,2,FALSE),J345)))</x:f>
        <x:v>swaminadh.chirakala@petronas.com</x:v>
      </x:c>
      <x:c r="L345" s="172" t="str">
        <x:f>IF(A345="","",IF(K345=IFERROR(VLOOKUP(J345,Configuration!$L$5:$M$50,2,FALSE),J345),"Snapshot PIC","Replacement PIC"))</x:f>
        <x:v>Snapshot PIC</x:v>
      </x:c>
      <x:c r="M345" s="172" t="n">
        <x:f>IF(A345="","",IFERROR(VLOOKUP(I345,Configuration!$O$5:$P$8,2,FALSE),Configuration!$S$6))</x:f>
        <x:v>3</x:v>
      </x:c>
      <x:c r="N345" s="172" t="str">
        <x:f>IF(A345="","",IFERROR(LOOKUP(2,1/('Scope Review'!$B$5:$B$204=A345),'Scope Review'!$G$5:$G$204),"Not Reviewed"))</x:f>
        <x:v>Not Reviewed</x:v>
      </x:c>
      <x:c r="O345" s="172" t="str">
        <x:f>IF(A345="","",IFERROR(LOOKUP(2,1/('Scope Review'!$B$5:$B$204=A345),'Scope Review'!$H$5:$H$204),""))</x:f>
      </x:c>
      <x:c r="P345" s="172" t="n">
        <x:f>IF(A345="","",IF(AND(C345="executing",N345&lt;&gt;"Confirmed OOS"),M345,0))</x:f>
        <x:v>3</x:v>
      </x:c>
      <x:c r="Q345" s="173" t="n">
        <x:f>IF(A345="","",IFERROR(LOOKUP(2,1/('Engineer Updates'!$B$5:$B$704=A345),'Engineer Updates'!$A$5:$A$704),""))</x:f>
        <x:v>46251</x:v>
      </x:c>
      <x:c r="R345" s="172" t="str">
        <x:f>IF(A345="","",IFERROR(LOOKUP(2,1/('Engineer Updates'!$B$5:$B$704=A345),'Engineer Updates'!$H$5:$H$704),""))</x:f>
        <x:v>Not Started</x:v>
      </x:c>
      <x:c r="S345" s="172" t="str">
        <x:f>IF(A345="","",IFERROR(LOOKUP(2,1/('Engineer Updates'!$B$5:$B$704=A345),'Engineer Updates'!$G$5:$G$704),""))</x:f>
      </x:c>
      <x:c r="T345" s="172" t="str">
        <x:f>IF(A345="","",IFERROR(LOOKUP(2,1/('Engineer Updates'!$B$5:$B$704=A345),'Engineer Updates'!$I$5:$I$704),""))</x:f>
      </x:c>
      <x:c r="U345" s="172" t="str">
        <x:f>IF(A345="","",IFERROR(LOOKUP(2,1/('Engineer Updates'!$B$5:$B$704=A345),'Engineer Updates'!$J$5:$J$704),""))</x:f>
      </x:c>
      <x:c r="V345" s="172" t="str">
        <x:f>IF(A345="","",IFERROR(LOOKUP(2,1/('Engineer Updates'!$B$5:$B$704=A345),'Engineer Updates'!$K$5:$K$704),""))</x:f>
      </x:c>
      <x:c r="W345" s="174" t="str">
        <x:f>IF(A345="","",IFERROR(LOOKUP(2,1/('Engineer Updates'!$B$5:$B$704=A345),'Engineer Updates'!$L$5:$L$704),""))</x:f>
      </x:c>
      <x:c r="X345" s="170" t="str">
        <x:f>IF(A345="","",IF(C345="completed","Completed in CSSP",IF(AND(C345="executing",ISERROR(SEARCH("@",K345))),"Executing without named engineer",IF(AND(N345="Confirmed OOS",C345="executing"),"Confirmed OOS still executing",""))))</x:f>
      </x:c>
      <x:c r="Y345" s="170" t="str">
        <x:f>IF(A345="","",IF(B345="Decommissioning","Raw Decommissioning","Raw Provisioning"))</x:f>
        <x:v>Raw Decommissioning</x:v>
      </x:c>
      <x:c r="Z345" s="170" t="str">
        <x:f>IF(A345="","",IF(OR(C345="executing",C345="processing"),"Yes","No"))</x:f>
        <x:v>Yes</x:v>
      </x:c>
    </x:row>
    <x:row r="346">
      <x:c r="A346" s="170" t="str">
        <x:f>IF(ROWS($A$5:A346)&lt;=COUNTA('Raw Decommissioning'!$B$2:$B$1000),INDEX('Raw Decommissioning'!$B$2:$B$1000,ROWS($A$5:A346)),IF(ROWS($A$5:A346)-COUNTA('Raw Decommissioning'!$B$2:$B$1000)&lt;=COUNTA('Raw Provisioning'!$B$2:$B$1000),INDEX('Raw Provisioning'!$B$2:$B$1000,ROWS($A$5:A346)-COUNTA('Raw Decommissioning'!$B$2:$B$1000)),""))</x:f>
        <x:v>CSSP10631258</x:v>
      </x:c>
      <x:c r="B346" s="170" t="str">
        <x:f>IF(A346="","",IF(ROWS($A$5:A346)&lt;=COUNTA('Raw Decommissioning'!$B$2:$B$1000),"Decommissioning","Provisioning"))</x:f>
        <x:v>Decommissioning</x:v>
      </x:c>
      <x:c r="C346" s="170" t="str">
        <x:f>IF(A346="","",IF(B346="Decommissioning",IFERROR(INDEX('Raw Decommissioning'!$E$2:$E$1000,MATCH(A346,'Raw Decommissioning'!$B$2:$B$1000,0)),"Missing from latest raw"),IFERROR(INDEX('Raw Provisioning'!$E$2:$E$1000,MATCH(A346,'Raw Provisioning'!$B$2:$B$1000,0)),"Missing from latest raw")))</x:f>
        <x:v>pending</x:v>
      </x:c>
      <x:c r="D346" s="171" t="n">
        <x:f>IF(A346="","",'Refresh Control'!$B$4)</x:f>
        <x:v>46254</x:v>
      </x:c>
      <x:c r="E346" s="171" t="n">
        <x:f>IF(A346="","",IF(B346="Decommissioning",INDEX('Raw Decommissioning'!$F$2:$F$1000,ROWS($A$5:A346)),INDEX('Raw Provisioning'!$F$2:$F$1000,ROWS($A$5:A346)-COUNTA('Raw Decommissioning'!$B$2:$B$1000))))</x:f>
        <x:v>46238.11274331019</x:v>
      </x:c>
      <x:c r="F346" s="171" t="n">
        <x:f>IF(A346="","",IF(B346="Decommissioning",INDEX('Raw Decommissioning'!$G$2:$G$1000,ROWS($A$5:A346)),INDEX('Raw Provisioning'!$H$2:$H$1000,ROWS($A$5:A346)-COUNTA('Raw Decommissioning'!$B$2:$B$1000))))</x:f>
        <x:v>46238.11443148148</x:v>
      </x:c>
      <x:c r="G346" s="170" t="str">
        <x:f>IF(A346="","",IF(B346="Decommissioning",INDEX('Raw Decommissioning'!$I$2:$I$1000,ROWS($A$5:A346)),INDEX('Raw Provisioning'!$J$2:$J$1000,ROWS($A$5:A346)-COUNTA('Raw Decommissioning'!$B$2:$B$1000))))</x:f>
        <x:v>Cyber Security CyberArk</x:v>
      </x:c>
      <x:c r="H346" s="170" t="str">
        <x:f>IF(A346="","",IF(B346="Decommissioning",INDEX('Raw Decommissioning'!$J$2:$J$1000,ROWS($A$5:A346)),INDEX('Raw Provisioning'!$L$2:$L$1000,ROWS($A$5:A346)-COUNTA('Raw Decommissioning'!$B$2:$B$1000))))</x:f>
        <x:v>CyberArk Migration</x:v>
      </x:c>
      <x:c r="I346" s="170" t="str">
        <x:f>IF(A346="","",IF(B346="Decommissioning",INDEX('Raw Decommissioning'!$AL$2:$AL$1000,ROWS($A$5:A346)),INDEX('Raw Provisioning'!$R$2:$R$1000,ROWS($A$5:A346)-COUNTA('Raw Decommissioning'!$B$2:$B$1000))))</x:f>
      </x:c>
      <x:c r="J346" s="170" t="str">
        <x:f>IF(A346="","",IF(B346="Decommissioning",INDEX('Raw Decommissioning'!$AG$2:$AG$1000,ROWS($A$5:A346)),INDEX('Raw Provisioning'!$AI$2:$AI$1000,ROWS($A$5:A346)-COUNTA('Raw Decommissioning'!$B$2:$B$1000))))</x:f>
        <x:v>IMS - CLOUD CSSP EXECUTOR</x:v>
      </x:c>
      <x:c r="K346" s="172" t="str">
        <x:f>IF(A346="","",IFERROR(LOOKUP(2,1/('Assignment History'!$B$5:$B$204=A346),'Assignment History'!$D$5:$D$204),IFERROR(VLOOKUP(J346,Configuration!$L$5:$M$50,2,FALSE),J346)))</x:f>
        <x:v>IMS - CLOUD CSSP EXECUTOR</x:v>
      </x:c>
      <x:c r="L346" s="172" t="str">
        <x:f>IF(A346="","",IF(K346=IFERROR(VLOOKUP(J346,Configuration!$L$5:$M$50,2,FALSE),J346),"Snapshot PIC","Replacement PIC"))</x:f>
        <x:v>Snapshot PIC</x:v>
      </x:c>
      <x:c r="M346" s="172" t="n">
        <x:f>IF(A346="","",IFERROR(VLOOKUP(I346,Configuration!$O$5:$P$8,2,FALSE),Configuration!$S$6))</x:f>
        <x:v>2</x:v>
      </x:c>
      <x:c r="N346" s="172" t="str">
        <x:f>IF(A346="","",IFERROR(LOOKUP(2,1/('Scope Review'!$B$5:$B$204=A346),'Scope Review'!$G$5:$G$204),"Not Reviewed"))</x:f>
        <x:v>Not Reviewed</x:v>
      </x:c>
      <x:c r="O346" s="172" t="str">
        <x:f>IF(A346="","",IFERROR(LOOKUP(2,1/('Scope Review'!$B$5:$B$204=A346),'Scope Review'!$H$5:$H$204),""))</x:f>
      </x:c>
      <x:c r="P346" s="172" t="n">
        <x:f>IF(A346="","",IF(AND(C346="executing",N346&lt;&gt;"Confirmed OOS"),M346,0))</x:f>
        <x:v>0</x:v>
      </x:c>
      <x:c r="Q346" s="173" t="str">
        <x:f>IF(A346="","",IFERROR(LOOKUP(2,1/('Engineer Updates'!$B$5:$B$704=A346),'Engineer Updates'!$A$5:$A$704),""))</x:f>
      </x:c>
      <x:c r="R346" s="172" t="str">
        <x:f>IF(A346="","",IFERROR(LOOKUP(2,1/('Engineer Updates'!$B$5:$B$704=A346),'Engineer Updates'!$H$5:$H$704),""))</x:f>
      </x:c>
      <x:c r="S346" s="172" t="str">
        <x:f>IF(A346="","",IFERROR(LOOKUP(2,1/('Engineer Updates'!$B$5:$B$704=A346),'Engineer Updates'!$G$5:$G$704),""))</x:f>
      </x:c>
      <x:c r="T346" s="172" t="str">
        <x:f>IF(A346="","",IFERROR(LOOKUP(2,1/('Engineer Updates'!$B$5:$B$704=A346),'Engineer Updates'!$I$5:$I$704),""))</x:f>
      </x:c>
      <x:c r="U346" s="172" t="str">
        <x:f>IF(A346="","",IFERROR(LOOKUP(2,1/('Engineer Updates'!$B$5:$B$704=A346),'Engineer Updates'!$J$5:$J$704),""))</x:f>
      </x:c>
      <x:c r="V346" s="172" t="str">
        <x:f>IF(A346="","",IFERROR(LOOKUP(2,1/('Engineer Updates'!$B$5:$B$704=A346),'Engineer Updates'!$K$5:$K$704),""))</x:f>
      </x:c>
      <x:c r="W346" s="174" t="str">
        <x:f>IF(A346="","",IFERROR(LOOKUP(2,1/('Engineer Updates'!$B$5:$B$704=A346),'Engineer Updates'!$L$5:$L$704),""))</x:f>
      </x:c>
      <x:c r="X346" s="170" t="str">
        <x:f>IF(A346="","",IF(C346="completed","Completed in CSSP",IF(AND(C346="executing",ISERROR(SEARCH("@",K346))),"Executing without named engineer",IF(AND(N346="Confirmed OOS",C346="executing"),"Confirmed OOS still executing",""))))</x:f>
      </x:c>
      <x:c r="Y346" s="170" t="str">
        <x:f>IF(A346="","",IF(B346="Decommissioning","Raw Decommissioning","Raw Provisioning"))</x:f>
        <x:v>Raw Decommissioning</x:v>
      </x:c>
      <x:c r="Z346" s="170" t="str">
        <x:f>IF(A346="","",IF(OR(C346="executing",C346="processing"),"Yes","No"))</x:f>
        <x:v>No</x:v>
      </x:c>
    </x:row>
    <x:row r="347">
      <x:c r="A347" s="170" t="str">
        <x:f>IF(ROWS($A$5:A347)&lt;=COUNTA('Raw Decommissioning'!$B$2:$B$1000),INDEX('Raw Decommissioning'!$B$2:$B$1000,ROWS($A$5:A347)),IF(ROWS($A$5:A347)-COUNTA('Raw Decommissioning'!$B$2:$B$1000)&lt;=COUNTA('Raw Provisioning'!$B$2:$B$1000),INDEX('Raw Provisioning'!$B$2:$B$1000,ROWS($A$5:A347)-COUNTA('Raw Decommissioning'!$B$2:$B$1000)),""))</x:f>
        <x:v>CSSP10679558</x:v>
      </x:c>
      <x:c r="B347" s="170" t="str">
        <x:f>IF(A347="","",IF(ROWS($A$5:A347)&lt;=COUNTA('Raw Decommissioning'!$B$2:$B$1000),"Decommissioning","Provisioning"))</x:f>
        <x:v>Decommissioning</x:v>
      </x:c>
      <x:c r="C347" s="170" t="str">
        <x:f>IF(A347="","",IF(B347="Decommissioning",IFERROR(INDEX('Raw Decommissioning'!$E$2:$E$1000,MATCH(A347,'Raw Decommissioning'!$B$2:$B$1000,0)),"Missing from latest raw"),IFERROR(INDEX('Raw Provisioning'!$E$2:$E$1000,MATCH(A347,'Raw Provisioning'!$B$2:$B$1000,0)),"Missing from latest raw")))</x:f>
        <x:v>cancelled</x:v>
      </x:c>
      <x:c r="D347" s="171" t="n">
        <x:f>IF(A347="","",'Refresh Control'!$B$4)</x:f>
        <x:v>46254</x:v>
      </x:c>
      <x:c r="E347" s="171" t="n">
        <x:f>IF(A347="","",IF(B347="Decommissioning",INDEX('Raw Decommissioning'!$F$2:$F$1000,ROWS($A$5:A347)),INDEX('Raw Provisioning'!$F$2:$F$1000,ROWS($A$5:A347)-COUNTA('Raw Decommissioning'!$B$2:$B$1000))))</x:f>
        <x:v>46238.18712804398</x:v>
      </x:c>
      <x:c r="F347" s="171" t="n">
        <x:f>IF(A347="","",IF(B347="Decommissioning",INDEX('Raw Decommissioning'!$G$2:$G$1000,ROWS($A$5:A347)),INDEX('Raw Provisioning'!$H$2:$H$1000,ROWS($A$5:A347)-COUNTA('Raw Decommissioning'!$B$2:$B$1000))))</x:f>
        <x:v>46238.18755753472</x:v>
      </x:c>
      <x:c r="G347" s="170" t="str">
        <x:f>IF(A347="","",IF(B347="Decommissioning",INDEX('Raw Decommissioning'!$I$2:$I$1000,ROWS($A$5:A347)),INDEX('Raw Provisioning'!$J$2:$J$1000,ROWS($A$5:A347)-COUNTA('Raw Decommissioning'!$B$2:$B$1000))))</x:f>
        <x:v>.NET Shared Infra</x:v>
      </x:c>
      <x:c r="H347" s="170" t="str">
        <x:f>IF(A347="","",IF(B347="Decommissioning",INDEX('Raw Decommissioning'!$J$2:$J$1000,ROWS($A$5:A347)),INDEX('Raw Provisioning'!$L$2:$L$1000,ROWS($A$5:A347)-COUNTA('Raw Decommissioning'!$B$2:$B$1000))))</x:f>
        <x:v>.NET Farm on Cloud- Setup of Azure New Common .Net Farm for PETRONAS</x:v>
      </x:c>
      <x:c r="I347" s="170" t="str">
        <x:f>IF(A347="","",IF(B347="Decommissioning",INDEX('Raw Decommissioning'!$AL$2:$AL$1000,ROWS($A$5:A347)),INDEX('Raw Provisioning'!$R$2:$R$1000,ROWS($A$5:A347)-COUNTA('Raw Decommissioning'!$B$2:$B$1000))))</x:f>
      </x:c>
      <x:c r="J347" s="170" t="str">
        <x:f>IF(A347="","",IF(B347="Decommissioning",INDEX('Raw Decommissioning'!$AG$2:$AG$1000,ROWS($A$5:A347)),INDEX('Raw Provisioning'!$AI$2:$AI$1000,ROWS($A$5:A347)-COUNTA('Raw Decommissioning'!$B$2:$B$1000))))</x:f>
        <x:v>IMS - CLOUD CSSP EXECUTOR</x:v>
      </x:c>
      <x:c r="K347" s="172" t="str">
        <x:f>IF(A347="","",IFERROR(LOOKUP(2,1/('Assignment History'!$B$5:$B$204=A347),'Assignment History'!$D$5:$D$204),IFERROR(VLOOKUP(J347,Configuration!$L$5:$M$50,2,FALSE),J347)))</x:f>
        <x:v>IMS - CLOUD CSSP EXECUTOR</x:v>
      </x:c>
      <x:c r="L347" s="172" t="str">
        <x:f>IF(A347="","",IF(K347=IFERROR(VLOOKUP(J347,Configuration!$L$5:$M$50,2,FALSE),J347),"Snapshot PIC","Replacement PIC"))</x:f>
        <x:v>Snapshot PIC</x:v>
      </x:c>
      <x:c r="M347" s="172" t="n">
        <x:f>IF(A347="","",IFERROR(VLOOKUP(I347,Configuration!$O$5:$P$8,2,FALSE),Configuration!$S$6))</x:f>
        <x:v>2</x:v>
      </x:c>
      <x:c r="N347" s="172" t="str">
        <x:f>IF(A347="","",IFERROR(LOOKUP(2,1/('Scope Review'!$B$5:$B$204=A347),'Scope Review'!$G$5:$G$204),"Not Reviewed"))</x:f>
        <x:v>Not Reviewed</x:v>
      </x:c>
      <x:c r="O347" s="172" t="str">
        <x:f>IF(A347="","",IFERROR(LOOKUP(2,1/('Scope Review'!$B$5:$B$204=A347),'Scope Review'!$H$5:$H$204),""))</x:f>
      </x:c>
      <x:c r="P347" s="172" t="n">
        <x:f>IF(A347="","",IF(AND(C347="executing",N347&lt;&gt;"Confirmed OOS"),M347,0))</x:f>
        <x:v>0</x:v>
      </x:c>
      <x:c r="Q347" s="173" t="str">
        <x:f>IF(A347="","",IFERROR(LOOKUP(2,1/('Engineer Updates'!$B$5:$B$704=A347),'Engineer Updates'!$A$5:$A$704),""))</x:f>
      </x:c>
      <x:c r="R347" s="172" t="str">
        <x:f>IF(A347="","",IFERROR(LOOKUP(2,1/('Engineer Updates'!$B$5:$B$704=A347),'Engineer Updates'!$H$5:$H$704),""))</x:f>
      </x:c>
      <x:c r="S347" s="172" t="str">
        <x:f>IF(A347="","",IFERROR(LOOKUP(2,1/('Engineer Updates'!$B$5:$B$704=A347),'Engineer Updates'!$G$5:$G$704),""))</x:f>
      </x:c>
      <x:c r="T347" s="172" t="str">
        <x:f>IF(A347="","",IFERROR(LOOKUP(2,1/('Engineer Updates'!$B$5:$B$704=A347),'Engineer Updates'!$I$5:$I$704),""))</x:f>
      </x:c>
      <x:c r="U347" s="172" t="str">
        <x:f>IF(A347="","",IFERROR(LOOKUP(2,1/('Engineer Updates'!$B$5:$B$704=A347),'Engineer Updates'!$J$5:$J$704),""))</x:f>
      </x:c>
      <x:c r="V347" s="172" t="str">
        <x:f>IF(A347="","",IFERROR(LOOKUP(2,1/('Engineer Updates'!$B$5:$B$704=A347),'Engineer Updates'!$K$5:$K$704),""))</x:f>
      </x:c>
      <x:c r="W347" s="174" t="str">
        <x:f>IF(A347="","",IFERROR(LOOKUP(2,1/('Engineer Updates'!$B$5:$B$704=A347),'Engineer Updates'!$L$5:$L$704),""))</x:f>
      </x:c>
      <x:c r="X347" s="170" t="str">
        <x:f>IF(A347="","",IF(C347="completed","Completed in CSSP",IF(AND(C347="executing",ISERROR(SEARCH("@",K347))),"Executing without named engineer",IF(AND(N347="Confirmed OOS",C347="executing"),"Confirmed OOS still executing",""))))</x:f>
      </x:c>
      <x:c r="Y347" s="170" t="str">
        <x:f>IF(A347="","",IF(B347="Decommissioning","Raw Decommissioning","Raw Provisioning"))</x:f>
        <x:v>Raw Decommissioning</x:v>
      </x:c>
      <x:c r="Z347" s="170" t="str">
        <x:f>IF(A347="","",IF(OR(C347="executing",C347="processing"),"Yes","No"))</x:f>
        <x:v>No</x:v>
      </x:c>
    </x:row>
    <x:row r="348">
      <x:c r="A348" s="170" t="str">
        <x:f>IF(ROWS($A$5:A348)&lt;=COUNTA('Raw Decommissioning'!$B$2:$B$1000),INDEX('Raw Decommissioning'!$B$2:$B$1000,ROWS($A$5:A348)),IF(ROWS($A$5:A348)-COUNTA('Raw Decommissioning'!$B$2:$B$1000)&lt;=COUNTA('Raw Provisioning'!$B$2:$B$1000),INDEX('Raw Provisioning'!$B$2:$B$1000,ROWS($A$5:A348)-COUNTA('Raw Decommissioning'!$B$2:$B$1000)),""))</x:f>
        <x:v>CSSP10777002</x:v>
      </x:c>
      <x:c r="B348" s="170" t="str">
        <x:f>IF(A348="","",IF(ROWS($A$5:A348)&lt;=COUNTA('Raw Decommissioning'!$B$2:$B$1000),"Decommissioning","Provisioning"))</x:f>
        <x:v>Decommissioning</x:v>
      </x:c>
      <x:c r="C348" s="170" t="str">
        <x:f>IF(A348="","",IF(B348="Decommissioning",IFERROR(INDEX('Raw Decommissioning'!$E$2:$E$1000,MATCH(A348,'Raw Decommissioning'!$B$2:$B$1000,0)),"Missing from latest raw"),IFERROR(INDEX('Raw Provisioning'!$E$2:$E$1000,MATCH(A348,'Raw Provisioning'!$B$2:$B$1000,0)),"Missing from latest raw")))</x:f>
        <x:v>pending</x:v>
      </x:c>
      <x:c r="D348" s="171" t="n">
        <x:f>IF(A348="","",'Refresh Control'!$B$4)</x:f>
        <x:v>46254</x:v>
      </x:c>
      <x:c r="E348" s="171" t="n">
        <x:f>IF(A348="","",IF(B348="Decommissioning",INDEX('Raw Decommissioning'!$F$2:$F$1000,ROWS($A$5:A348)),INDEX('Raw Provisioning'!$F$2:$F$1000,ROWS($A$5:A348)-COUNTA('Raw Decommissioning'!$B$2:$B$1000))))</x:f>
        <x:v>46238.23572415509</x:v>
      </x:c>
      <x:c r="F348" s="171" t="n">
        <x:f>IF(A348="","",IF(B348="Decommissioning",INDEX('Raw Decommissioning'!$G$2:$G$1000,ROWS($A$5:A348)),INDEX('Raw Provisioning'!$H$2:$H$1000,ROWS($A$5:A348)-COUNTA('Raw Decommissioning'!$B$2:$B$1000))))</x:f>
        <x:v>46238.23572415509</x:v>
      </x:c>
      <x:c r="G348" s="170" t="str">
        <x:f>IF(A348="","",IF(B348="Decommissioning",INDEX('Raw Decommissioning'!$I$2:$I$1000,ROWS($A$5:A348)),INDEX('Raw Provisioning'!$J$2:$J$1000,ROWS($A$5:A348)-COUNTA('Raw Decommissioning'!$B$2:$B$1000))))</x:f>
        <x:v>Cyber Security CyberArk</x:v>
      </x:c>
      <x:c r="H348" s="170" t="str">
        <x:f>IF(A348="","",IF(B348="Decommissioning",INDEX('Raw Decommissioning'!$J$2:$J$1000,ROWS($A$5:A348)),INDEX('Raw Provisioning'!$L$2:$L$1000,ROWS($A$5:A348)-COUNTA('Raw Decommissioning'!$B$2:$B$1000))))</x:f>
        <x:v>CyberArk staging environment</x:v>
      </x:c>
      <x:c r="I348" s="170" t="str">
        <x:f>IF(A348="","",IF(B348="Decommissioning",INDEX('Raw Decommissioning'!$AL$2:$AL$1000,ROWS($A$5:A348)),INDEX('Raw Provisioning'!$R$2:$R$1000,ROWS($A$5:A348)-COUNTA('Raw Decommissioning'!$B$2:$B$1000))))</x:f>
      </x:c>
      <x:c r="J348" s="170" t="str">
        <x:f>IF(A348="","",IF(B348="Decommissioning",INDEX('Raw Decommissioning'!$AG$2:$AG$1000,ROWS($A$5:A348)),INDEX('Raw Provisioning'!$AI$2:$AI$1000,ROWS($A$5:A348)-COUNTA('Raw Decommissioning'!$B$2:$B$1000))))</x:f>
        <x:v>IMS - CLOUD CSSP EXECUTOR</x:v>
      </x:c>
      <x:c r="K348" s="172" t="str">
        <x:f>IF(A348="","",IFERROR(LOOKUP(2,1/('Assignment History'!$B$5:$B$204=A348),'Assignment History'!$D$5:$D$204),IFERROR(VLOOKUP(J348,Configuration!$L$5:$M$50,2,FALSE),J348)))</x:f>
        <x:v>IMS - CLOUD CSSP EXECUTOR</x:v>
      </x:c>
      <x:c r="L348" s="172" t="str">
        <x:f>IF(A348="","",IF(K348=IFERROR(VLOOKUP(J348,Configuration!$L$5:$M$50,2,FALSE),J348),"Snapshot PIC","Replacement PIC"))</x:f>
        <x:v>Snapshot PIC</x:v>
      </x:c>
      <x:c r="M348" s="172" t="n">
        <x:f>IF(A348="","",IFERROR(VLOOKUP(I348,Configuration!$O$5:$P$8,2,FALSE),Configuration!$S$6))</x:f>
        <x:v>2</x:v>
      </x:c>
      <x:c r="N348" s="172" t="str">
        <x:f>IF(A348="","",IFERROR(LOOKUP(2,1/('Scope Review'!$B$5:$B$204=A348),'Scope Review'!$G$5:$G$204),"Not Reviewed"))</x:f>
        <x:v>Not Reviewed</x:v>
      </x:c>
      <x:c r="O348" s="172" t="str">
        <x:f>IF(A348="","",IFERROR(LOOKUP(2,1/('Scope Review'!$B$5:$B$204=A348),'Scope Review'!$H$5:$H$204),""))</x:f>
      </x:c>
      <x:c r="P348" s="172" t="n">
        <x:f>IF(A348="","",IF(AND(C348="executing",N348&lt;&gt;"Confirmed OOS"),M348,0))</x:f>
        <x:v>0</x:v>
      </x:c>
      <x:c r="Q348" s="173" t="str">
        <x:f>IF(A348="","",IFERROR(LOOKUP(2,1/('Engineer Updates'!$B$5:$B$704=A348),'Engineer Updates'!$A$5:$A$704),""))</x:f>
      </x:c>
      <x:c r="R348" s="172" t="str">
        <x:f>IF(A348="","",IFERROR(LOOKUP(2,1/('Engineer Updates'!$B$5:$B$704=A348),'Engineer Updates'!$H$5:$H$704),""))</x:f>
      </x:c>
      <x:c r="S348" s="172" t="str">
        <x:f>IF(A348="","",IFERROR(LOOKUP(2,1/('Engineer Updates'!$B$5:$B$704=A348),'Engineer Updates'!$G$5:$G$704),""))</x:f>
      </x:c>
      <x:c r="T348" s="172" t="str">
        <x:f>IF(A348="","",IFERROR(LOOKUP(2,1/('Engineer Updates'!$B$5:$B$704=A348),'Engineer Updates'!$I$5:$I$704),""))</x:f>
      </x:c>
      <x:c r="U348" s="172" t="str">
        <x:f>IF(A348="","",IFERROR(LOOKUP(2,1/('Engineer Updates'!$B$5:$B$704=A348),'Engineer Updates'!$J$5:$J$704),""))</x:f>
      </x:c>
      <x:c r="V348" s="172" t="str">
        <x:f>IF(A348="","",IFERROR(LOOKUP(2,1/('Engineer Updates'!$B$5:$B$704=A348),'Engineer Updates'!$K$5:$K$704),""))</x:f>
      </x:c>
      <x:c r="W348" s="174" t="str">
        <x:f>IF(A348="","",IFERROR(LOOKUP(2,1/('Engineer Updates'!$B$5:$B$704=A348),'Engineer Updates'!$L$5:$L$704),""))</x:f>
      </x:c>
      <x:c r="X348" s="170" t="str">
        <x:f>IF(A348="","",IF(C348="completed","Completed in CSSP",IF(AND(C348="executing",ISERROR(SEARCH("@",K348))),"Executing without named engineer",IF(AND(N348="Confirmed OOS",C348="executing"),"Confirmed OOS still executing",""))))</x:f>
      </x:c>
      <x:c r="Y348" s="170" t="str">
        <x:f>IF(A348="","",IF(B348="Decommissioning","Raw Decommissioning","Raw Provisioning"))</x:f>
        <x:v>Raw Decommissioning</x:v>
      </x:c>
      <x:c r="Z348" s="170" t="str">
        <x:f>IF(A348="","",IF(OR(C348="executing",C348="processing"),"Yes","No"))</x:f>
        <x:v>No</x:v>
      </x:c>
    </x:row>
    <x:row r="349">
      <x:c r="A349" s="170" t="str">
        <x:f>IF(ROWS($A$5:A349)&lt;=COUNTA('Raw Decommissioning'!$B$2:$B$1000),INDEX('Raw Decommissioning'!$B$2:$B$1000,ROWS($A$5:A349)),IF(ROWS($A$5:A349)-COUNTA('Raw Decommissioning'!$B$2:$B$1000)&lt;=COUNTA('Raw Provisioning'!$B$2:$B$1000),INDEX('Raw Provisioning'!$B$2:$B$1000,ROWS($A$5:A349)-COUNTA('Raw Decommissioning'!$B$2:$B$1000)),""))</x:f>
        <x:v>CSSP10626959</x:v>
      </x:c>
      <x:c r="B349" s="170" t="str">
        <x:f>IF(A349="","",IF(ROWS($A$5:A349)&lt;=COUNTA('Raw Decommissioning'!$B$2:$B$1000),"Decommissioning","Provisioning"))</x:f>
        <x:v>Decommissioning</x:v>
      </x:c>
      <x:c r="C349" s="170" t="str">
        <x:f>IF(A349="","",IF(B349="Decommissioning",IFERROR(INDEX('Raw Decommissioning'!$E$2:$E$1000,MATCH(A349,'Raw Decommissioning'!$B$2:$B$1000,0)),"Missing from latest raw"),IFERROR(INDEX('Raw Provisioning'!$E$2:$E$1000,MATCH(A349,'Raw Provisioning'!$B$2:$B$1000,0)),"Missing from latest raw")))</x:f>
        <x:v>cancelled</x:v>
      </x:c>
      <x:c r="D349" s="171" t="n">
        <x:f>IF(A349="","",'Refresh Control'!$B$4)</x:f>
        <x:v>46254</x:v>
      </x:c>
      <x:c r="E349" s="171" t="n">
        <x:f>IF(A349="","",IF(B349="Decommissioning",INDEX('Raw Decommissioning'!$F$2:$F$1000,ROWS($A$5:A349)),INDEX('Raw Provisioning'!$F$2:$F$1000,ROWS($A$5:A349)-COUNTA('Raw Decommissioning'!$B$2:$B$1000))))</x:f>
        <x:v>46238.24221604167</x:v>
      </x:c>
      <x:c r="F349" s="171" t="n">
        <x:f>IF(A349="","",IF(B349="Decommissioning",INDEX('Raw Decommissioning'!$G$2:$G$1000,ROWS($A$5:A349)),INDEX('Raw Provisioning'!$H$2:$H$1000,ROWS($A$5:A349)-COUNTA('Raw Decommissioning'!$B$2:$B$1000))))</x:f>
        <x:v>46238.2441056713</x:v>
      </x:c>
      <x:c r="G349" s="170" t="str">
        <x:f>IF(A349="","",IF(B349="Decommissioning",INDEX('Raw Decommissioning'!$I$2:$I$1000,ROWS($A$5:A349)),INDEX('Raw Provisioning'!$J$2:$J$1000,ROWS($A$5:A349)-COUNTA('Raw Decommissioning'!$B$2:$B$1000))))</x:f>
        <x:v>Cyber Security CyberArk</x:v>
      </x:c>
      <x:c r="H349" s="170" t="str">
        <x:f>IF(A349="","",IF(B349="Decommissioning",INDEX('Raw Decommissioning'!$J$2:$J$1000,ROWS($A$5:A349)),INDEX('Raw Provisioning'!$L$2:$L$1000,ROWS($A$5:A349)-COUNTA('Raw Decommissioning'!$B$2:$B$1000))))</x:f>
        <x:v>CyberArk staging environment</x:v>
      </x:c>
      <x:c r="I349" s="170" t="str">
        <x:f>IF(A349="","",IF(B349="Decommissioning",INDEX('Raw Decommissioning'!$AL$2:$AL$1000,ROWS($A$5:A349)),INDEX('Raw Provisioning'!$R$2:$R$1000,ROWS($A$5:A349)-COUNTA('Raw Decommissioning'!$B$2:$B$1000))))</x:f>
      </x:c>
      <x:c r="J349" s="170" t="str">
        <x:f>IF(A349="","",IF(B349="Decommissioning",INDEX('Raw Decommissioning'!$AG$2:$AG$1000,ROWS($A$5:A349)),INDEX('Raw Provisioning'!$AI$2:$AI$1000,ROWS($A$5:A349)-COUNTA('Raw Decommissioning'!$B$2:$B$1000))))</x:f>
        <x:v>IMS - CLOUD CSSP EXECUTOR</x:v>
      </x:c>
      <x:c r="K349" s="172" t="str">
        <x:f>IF(A349="","",IFERROR(LOOKUP(2,1/('Assignment History'!$B$5:$B$204=A349),'Assignment History'!$D$5:$D$204),IFERROR(VLOOKUP(J349,Configuration!$L$5:$M$50,2,FALSE),J349)))</x:f>
        <x:v>IMS - CLOUD CSSP EXECUTOR</x:v>
      </x:c>
      <x:c r="L349" s="172" t="str">
        <x:f>IF(A349="","",IF(K349=IFERROR(VLOOKUP(J349,Configuration!$L$5:$M$50,2,FALSE),J349),"Snapshot PIC","Replacement PIC"))</x:f>
        <x:v>Snapshot PIC</x:v>
      </x:c>
      <x:c r="M349" s="172" t="n">
        <x:f>IF(A349="","",IFERROR(VLOOKUP(I349,Configuration!$O$5:$P$8,2,FALSE),Configuration!$S$6))</x:f>
        <x:v>2</x:v>
      </x:c>
      <x:c r="N349" s="172" t="str">
        <x:f>IF(A349="","",IFERROR(LOOKUP(2,1/('Scope Review'!$B$5:$B$204=A349),'Scope Review'!$G$5:$G$204),"Not Reviewed"))</x:f>
        <x:v>Not Reviewed</x:v>
      </x:c>
      <x:c r="O349" s="172" t="str">
        <x:f>IF(A349="","",IFERROR(LOOKUP(2,1/('Scope Review'!$B$5:$B$204=A349),'Scope Review'!$H$5:$H$204),""))</x:f>
      </x:c>
      <x:c r="P349" s="172" t="n">
        <x:f>IF(A349="","",IF(AND(C349="executing",N349&lt;&gt;"Confirmed OOS"),M349,0))</x:f>
        <x:v>0</x:v>
      </x:c>
      <x:c r="Q349" s="173" t="str">
        <x:f>IF(A349="","",IFERROR(LOOKUP(2,1/('Engineer Updates'!$B$5:$B$704=A349),'Engineer Updates'!$A$5:$A$704),""))</x:f>
      </x:c>
      <x:c r="R349" s="172" t="str">
        <x:f>IF(A349="","",IFERROR(LOOKUP(2,1/('Engineer Updates'!$B$5:$B$704=A349),'Engineer Updates'!$H$5:$H$704),""))</x:f>
      </x:c>
      <x:c r="S349" s="172" t="str">
        <x:f>IF(A349="","",IFERROR(LOOKUP(2,1/('Engineer Updates'!$B$5:$B$704=A349),'Engineer Updates'!$G$5:$G$704),""))</x:f>
      </x:c>
      <x:c r="T349" s="172" t="str">
        <x:f>IF(A349="","",IFERROR(LOOKUP(2,1/('Engineer Updates'!$B$5:$B$704=A349),'Engineer Updates'!$I$5:$I$704),""))</x:f>
      </x:c>
      <x:c r="U349" s="172" t="str">
        <x:f>IF(A349="","",IFERROR(LOOKUP(2,1/('Engineer Updates'!$B$5:$B$704=A349),'Engineer Updates'!$J$5:$J$704),""))</x:f>
      </x:c>
      <x:c r="V349" s="172" t="str">
        <x:f>IF(A349="","",IFERROR(LOOKUP(2,1/('Engineer Updates'!$B$5:$B$704=A349),'Engineer Updates'!$K$5:$K$704),""))</x:f>
      </x:c>
      <x:c r="W349" s="174" t="str">
        <x:f>IF(A349="","",IFERROR(LOOKUP(2,1/('Engineer Updates'!$B$5:$B$704=A349),'Engineer Updates'!$L$5:$L$704),""))</x:f>
      </x:c>
      <x:c r="X349" s="170" t="str">
        <x:f>IF(A349="","",IF(C349="completed","Completed in CSSP",IF(AND(C349="executing",ISERROR(SEARCH("@",K349))),"Executing without named engineer",IF(AND(N349="Confirmed OOS",C349="executing"),"Confirmed OOS still executing",""))))</x:f>
      </x:c>
      <x:c r="Y349" s="170" t="str">
        <x:f>IF(A349="","",IF(B349="Decommissioning","Raw Decommissioning","Raw Provisioning"))</x:f>
        <x:v>Raw Decommissioning</x:v>
      </x:c>
      <x:c r="Z349" s="170" t="str">
        <x:f>IF(A349="","",IF(OR(C349="executing",C349="processing"),"Yes","No"))</x:f>
        <x:v>No</x:v>
      </x:c>
    </x:row>
    <x:row r="350">
      <x:c r="A350" s="170" t="str">
        <x:f>IF(ROWS($A$5:A350)&lt;=COUNTA('Raw Decommissioning'!$B$2:$B$1000),INDEX('Raw Decommissioning'!$B$2:$B$1000,ROWS($A$5:A350)),IF(ROWS($A$5:A350)-COUNTA('Raw Decommissioning'!$B$2:$B$1000)&lt;=COUNTA('Raw Provisioning'!$B$2:$B$1000),INDEX('Raw Provisioning'!$B$2:$B$1000,ROWS($A$5:A350)-COUNTA('Raw Decommissioning'!$B$2:$B$1000)),""))</x:f>
        <x:v>CSSP10782523</x:v>
      </x:c>
      <x:c r="B350" s="170" t="str">
        <x:f>IF(A350="","",IF(ROWS($A$5:A350)&lt;=COUNTA('Raw Decommissioning'!$B$2:$B$1000),"Decommissioning","Provisioning"))</x:f>
        <x:v>Decommissioning</x:v>
      </x:c>
      <x:c r="C350" s="170" t="str">
        <x:f>IF(A350="","",IF(B350="Decommissioning",IFERROR(INDEX('Raw Decommissioning'!$E$2:$E$1000,MATCH(A350,'Raw Decommissioning'!$B$2:$B$1000,0)),"Missing from latest raw"),IFERROR(INDEX('Raw Provisioning'!$E$2:$E$1000,MATCH(A350,'Raw Provisioning'!$B$2:$B$1000,0)),"Missing from latest raw")))</x:f>
        <x:v>pending</x:v>
      </x:c>
      <x:c r="D350" s="171" t="n">
        <x:f>IF(A350="","",'Refresh Control'!$B$4)</x:f>
        <x:v>46254</x:v>
      </x:c>
      <x:c r="E350" s="171" t="n">
        <x:f>IF(A350="","",IF(B350="Decommissioning",INDEX('Raw Decommissioning'!$F$2:$F$1000,ROWS($A$5:A350)),INDEX('Raw Provisioning'!$F$2:$F$1000,ROWS($A$5:A350)-COUNTA('Raw Decommissioning'!$B$2:$B$1000))))</x:f>
        <x:v>46238.24728862268</x:v>
      </x:c>
      <x:c r="F350" s="171" t="n">
        <x:f>IF(A350="","",IF(B350="Decommissioning",INDEX('Raw Decommissioning'!$G$2:$G$1000,ROWS($A$5:A350)),INDEX('Raw Provisioning'!$H$2:$H$1000,ROWS($A$5:A350)-COUNTA('Raw Decommissioning'!$B$2:$B$1000))))</x:f>
        <x:v>46238.24728862268</x:v>
      </x:c>
      <x:c r="G350" s="170" t="str">
        <x:f>IF(A350="","",IF(B350="Decommissioning",INDEX('Raw Decommissioning'!$I$2:$I$1000,ROWS($A$5:A350)),INDEX('Raw Provisioning'!$J$2:$J$1000,ROWS($A$5:A350)-COUNTA('Raw Decommissioning'!$B$2:$B$1000))))</x:f>
        <x:v>Cyber Security Identity and Access Management - IAM</x:v>
      </x:c>
      <x:c r="H350" s="170" t="str">
        <x:f>IF(A350="","",IF(B350="Decommissioning",INDEX('Raw Decommissioning'!$J$2:$J$1000,ROWS($A$5:A350)),INDEX('Raw Provisioning'!$L$2:$L$1000,ROWS($A$5:A350)-COUNTA('Raw Decommissioning'!$B$2:$B$1000))))</x:f>
        <x:v>CS IAM Application Onboarding Factory -</x:v>
      </x:c>
      <x:c r="I350" s="170" t="str">
        <x:f>IF(A350="","",IF(B350="Decommissioning",INDEX('Raw Decommissioning'!$AL$2:$AL$1000,ROWS($A$5:A350)),INDEX('Raw Provisioning'!$R$2:$R$1000,ROWS($A$5:A350)-COUNTA('Raw Decommissioning'!$B$2:$B$1000))))</x:f>
      </x:c>
      <x:c r="J350" s="170" t="str">
        <x:f>IF(A350="","",IF(B350="Decommissioning",INDEX('Raw Decommissioning'!$AG$2:$AG$1000,ROWS($A$5:A350)),INDEX('Raw Provisioning'!$AI$2:$AI$1000,ROWS($A$5:A350)-COUNTA('Raw Decommissioning'!$B$2:$B$1000))))</x:f>
        <x:v>IMS - CLOUD CSSP EXECUTOR</x:v>
      </x:c>
      <x:c r="K350" s="172" t="str">
        <x:f>IF(A350="","",IFERROR(LOOKUP(2,1/('Assignment History'!$B$5:$B$204=A350),'Assignment History'!$D$5:$D$204),IFERROR(VLOOKUP(J350,Configuration!$L$5:$M$50,2,FALSE),J350)))</x:f>
        <x:v>IMS - CLOUD CSSP EXECUTOR</x:v>
      </x:c>
      <x:c r="L350" s="172" t="str">
        <x:f>IF(A350="","",IF(K350=IFERROR(VLOOKUP(J350,Configuration!$L$5:$M$50,2,FALSE),J350),"Snapshot PIC","Replacement PIC"))</x:f>
        <x:v>Snapshot PIC</x:v>
      </x:c>
      <x:c r="M350" s="172" t="n">
        <x:f>IF(A350="","",IFERROR(VLOOKUP(I350,Configuration!$O$5:$P$8,2,FALSE),Configuration!$S$6))</x:f>
        <x:v>2</x:v>
      </x:c>
      <x:c r="N350" s="172" t="str">
        <x:f>IF(A350="","",IFERROR(LOOKUP(2,1/('Scope Review'!$B$5:$B$204=A350),'Scope Review'!$G$5:$G$204),"Not Reviewed"))</x:f>
        <x:v>Not Reviewed</x:v>
      </x:c>
      <x:c r="O350" s="172" t="str">
        <x:f>IF(A350="","",IFERROR(LOOKUP(2,1/('Scope Review'!$B$5:$B$204=A350),'Scope Review'!$H$5:$H$204),""))</x:f>
      </x:c>
      <x:c r="P350" s="172" t="n">
        <x:f>IF(A350="","",IF(AND(C350="executing",N350&lt;&gt;"Confirmed OOS"),M350,0))</x:f>
        <x:v>0</x:v>
      </x:c>
      <x:c r="Q350" s="173" t="str">
        <x:f>IF(A350="","",IFERROR(LOOKUP(2,1/('Engineer Updates'!$B$5:$B$704=A350),'Engineer Updates'!$A$5:$A$704),""))</x:f>
      </x:c>
      <x:c r="R350" s="172" t="str">
        <x:f>IF(A350="","",IFERROR(LOOKUP(2,1/('Engineer Updates'!$B$5:$B$704=A350),'Engineer Updates'!$H$5:$H$704),""))</x:f>
      </x:c>
      <x:c r="S350" s="172" t="str">
        <x:f>IF(A350="","",IFERROR(LOOKUP(2,1/('Engineer Updates'!$B$5:$B$704=A350),'Engineer Updates'!$G$5:$G$704),""))</x:f>
      </x:c>
      <x:c r="T350" s="172" t="str">
        <x:f>IF(A350="","",IFERROR(LOOKUP(2,1/('Engineer Updates'!$B$5:$B$704=A350),'Engineer Updates'!$I$5:$I$704),""))</x:f>
      </x:c>
      <x:c r="U350" s="172" t="str">
        <x:f>IF(A350="","",IFERROR(LOOKUP(2,1/('Engineer Updates'!$B$5:$B$704=A350),'Engineer Updates'!$J$5:$J$704),""))</x:f>
      </x:c>
      <x:c r="V350" s="172" t="str">
        <x:f>IF(A350="","",IFERROR(LOOKUP(2,1/('Engineer Updates'!$B$5:$B$704=A350),'Engineer Updates'!$K$5:$K$704),""))</x:f>
      </x:c>
      <x:c r="W350" s="174" t="str">
        <x:f>IF(A350="","",IFERROR(LOOKUP(2,1/('Engineer Updates'!$B$5:$B$704=A350),'Engineer Updates'!$L$5:$L$704),""))</x:f>
      </x:c>
      <x:c r="X350" s="170" t="str">
        <x:f>IF(A350="","",IF(C350="completed","Completed in CSSP",IF(AND(C350="executing",ISERROR(SEARCH("@",K350))),"Executing without named engineer",IF(AND(N350="Confirmed OOS",C350="executing"),"Confirmed OOS still executing",""))))</x:f>
      </x:c>
      <x:c r="Y350" s="170" t="str">
        <x:f>IF(A350="","",IF(B350="Decommissioning","Raw Decommissioning","Raw Provisioning"))</x:f>
        <x:v>Raw Decommissioning</x:v>
      </x:c>
      <x:c r="Z350" s="170" t="str">
        <x:f>IF(A350="","",IF(OR(C350="executing",C350="processing"),"Yes","No"))</x:f>
        <x:v>No</x:v>
      </x:c>
    </x:row>
    <x:row r="351">
      <x:c r="A351" s="170" t="str">
        <x:f>IF(ROWS($A$5:A351)&lt;=COUNTA('Raw Decommissioning'!$B$2:$B$1000),INDEX('Raw Decommissioning'!$B$2:$B$1000,ROWS($A$5:A351)),IF(ROWS($A$5:A351)-COUNTA('Raw Decommissioning'!$B$2:$B$1000)&lt;=COUNTA('Raw Provisioning'!$B$2:$B$1000),INDEX('Raw Provisioning'!$B$2:$B$1000,ROWS($A$5:A351)-COUNTA('Raw Decommissioning'!$B$2:$B$1000)),""))</x:f>
        <x:v>CSSP10292490</x:v>
      </x:c>
      <x:c r="B351" s="170" t="str">
        <x:f>IF(A351="","",IF(ROWS($A$5:A351)&lt;=COUNTA('Raw Decommissioning'!$B$2:$B$1000),"Decommissioning","Provisioning"))</x:f>
        <x:v>Decommissioning</x:v>
      </x:c>
      <x:c r="C351" s="170" t="str">
        <x:f>IF(A351="","",IF(B351="Decommissioning",IFERROR(INDEX('Raw Decommissioning'!$E$2:$E$1000,MATCH(A351,'Raw Decommissioning'!$B$2:$B$1000,0)),"Missing from latest raw"),IFERROR(INDEX('Raw Provisioning'!$E$2:$E$1000,MATCH(A351,'Raw Provisioning'!$B$2:$B$1000,0)),"Missing from latest raw")))</x:f>
        <x:v>cancelled</x:v>
      </x:c>
      <x:c r="D351" s="171" t="n">
        <x:f>IF(A351="","",'Refresh Control'!$B$4)</x:f>
        <x:v>46254</x:v>
      </x:c>
      <x:c r="E351" s="171" t="n">
        <x:f>IF(A351="","",IF(B351="Decommissioning",INDEX('Raw Decommissioning'!$F$2:$F$1000,ROWS($A$5:A351)),INDEX('Raw Provisioning'!$F$2:$F$1000,ROWS($A$5:A351)-COUNTA('Raw Decommissioning'!$B$2:$B$1000))))</x:f>
        <x:v>46239.06516880787</x:v>
      </x:c>
      <x:c r="F351" s="171" t="n">
        <x:f>IF(A351="","",IF(B351="Decommissioning",INDEX('Raw Decommissioning'!$G$2:$G$1000,ROWS($A$5:A351)),INDEX('Raw Provisioning'!$H$2:$H$1000,ROWS($A$5:A351)-COUNTA('Raw Decommissioning'!$B$2:$B$1000))))</x:f>
        <x:v>46239.264718101855</x:v>
      </x:c>
      <x:c r="G351" s="170" t="str">
        <x:f>IF(A351="","",IF(B351="Decommissioning",INDEX('Raw Decommissioning'!$I$2:$I$1000,ROWS($A$5:A351)),INDEX('Raw Provisioning'!$J$2:$J$1000,ROWS($A$5:A351)-COUNTA('Raw Decommissioning'!$B$2:$B$1000))))</x:f>
        <x:v>Electronic Permit To Work - ePTW KPOC</x:v>
      </x:c>
      <x:c r="H351" s="170" t="str">
        <x:f>IF(A351="","",IF(B351="Decommissioning",INDEX('Raw Decommissioning'!$J$2:$J$1000,ROWS($A$5:A351)),INDEX('Raw Provisioning'!$L$2:$L$1000,ROWS($A$5:A351)-COUNTA('Raw Decommissioning'!$B$2:$B$1000))))</x:f>
        <x:v>Implementation of ePTW system and Support &amp; Maintenance for Kebabangan Petroleum Operating Company Sdn. Bhd (KPOC) for Virtus IP Sdn Bhd - ePTW Commercial (Production) (Formelrly known as: ePTW (KPOC))</x:v>
      </x:c>
      <x:c r="I351" s="170" t="str">
        <x:f>IF(A351="","",IF(B351="Decommissioning",INDEX('Raw Decommissioning'!$AL$2:$AL$1000,ROWS($A$5:A351)),INDEX('Raw Provisioning'!$R$2:$R$1000,ROWS($A$5:A351)-COUNTA('Raw Decommissioning'!$B$2:$B$1000))))</x:f>
      </x:c>
      <x:c r="J351" s="170" t="str">
        <x:f>IF(A351="","",IF(B351="Decommissioning",INDEX('Raw Decommissioning'!$AG$2:$AG$1000,ROWS($A$5:A351)),INDEX('Raw Provisioning'!$AI$2:$AI$1000,ROWS($A$5:A351)-COUNTA('Raw Decommissioning'!$B$2:$B$1000))))</x:f>
        <x:v>IMS - CLOUD CSSP EXECUTOR</x:v>
      </x:c>
      <x:c r="K351" s="172" t="str">
        <x:f>IF(A351="","",IFERROR(LOOKUP(2,1/('Assignment History'!$B$5:$B$204=A351),'Assignment History'!$D$5:$D$204),IFERROR(VLOOKUP(J351,Configuration!$L$5:$M$50,2,FALSE),J351)))</x:f>
        <x:v>IMS - CLOUD CSSP EXECUTOR</x:v>
      </x:c>
      <x:c r="L351" s="172" t="str">
        <x:f>IF(A351="","",IF(K351=IFERROR(VLOOKUP(J351,Configuration!$L$5:$M$50,2,FALSE),J351),"Snapshot PIC","Replacement PIC"))</x:f>
        <x:v>Snapshot PIC</x:v>
      </x:c>
      <x:c r="M351" s="172" t="n">
        <x:f>IF(A351="","",IFERROR(VLOOKUP(I351,Configuration!$O$5:$P$8,2,FALSE),Configuration!$S$6))</x:f>
        <x:v>2</x:v>
      </x:c>
      <x:c r="N351" s="172" t="str">
        <x:f>IF(A351="","",IFERROR(LOOKUP(2,1/('Scope Review'!$B$5:$B$204=A351),'Scope Review'!$G$5:$G$204),"Not Reviewed"))</x:f>
        <x:v>Not Reviewed</x:v>
      </x:c>
      <x:c r="O351" s="172" t="str">
        <x:f>IF(A351="","",IFERROR(LOOKUP(2,1/('Scope Review'!$B$5:$B$204=A351),'Scope Review'!$H$5:$H$204),""))</x:f>
      </x:c>
      <x:c r="P351" s="172" t="n">
        <x:f>IF(A351="","",IF(AND(C351="executing",N351&lt;&gt;"Confirmed OOS"),M351,0))</x:f>
        <x:v>0</x:v>
      </x:c>
      <x:c r="Q351" s="173" t="str">
        <x:f>IF(A351="","",IFERROR(LOOKUP(2,1/('Engineer Updates'!$B$5:$B$704=A351),'Engineer Updates'!$A$5:$A$704),""))</x:f>
      </x:c>
      <x:c r="R351" s="172" t="str">
        <x:f>IF(A351="","",IFERROR(LOOKUP(2,1/('Engineer Updates'!$B$5:$B$704=A351),'Engineer Updates'!$H$5:$H$704),""))</x:f>
      </x:c>
      <x:c r="S351" s="172" t="str">
        <x:f>IF(A351="","",IFERROR(LOOKUP(2,1/('Engineer Updates'!$B$5:$B$704=A351),'Engineer Updates'!$G$5:$G$704),""))</x:f>
      </x:c>
      <x:c r="T351" s="172" t="str">
        <x:f>IF(A351="","",IFERROR(LOOKUP(2,1/('Engineer Updates'!$B$5:$B$704=A351),'Engineer Updates'!$I$5:$I$704),""))</x:f>
      </x:c>
      <x:c r="U351" s="172" t="str">
        <x:f>IF(A351="","",IFERROR(LOOKUP(2,1/('Engineer Updates'!$B$5:$B$704=A351),'Engineer Updates'!$J$5:$J$704),""))</x:f>
      </x:c>
      <x:c r="V351" s="172" t="str">
        <x:f>IF(A351="","",IFERROR(LOOKUP(2,1/('Engineer Updates'!$B$5:$B$704=A351),'Engineer Updates'!$K$5:$K$704),""))</x:f>
      </x:c>
      <x:c r="W351" s="174" t="str">
        <x:f>IF(A351="","",IFERROR(LOOKUP(2,1/('Engineer Updates'!$B$5:$B$704=A351),'Engineer Updates'!$L$5:$L$704),""))</x:f>
      </x:c>
      <x:c r="X351" s="170" t="str">
        <x:f>IF(A351="","",IF(C351="completed","Completed in CSSP",IF(AND(C351="executing",ISERROR(SEARCH("@",K351))),"Executing without named engineer",IF(AND(N351="Confirmed OOS",C351="executing"),"Confirmed OOS still executing",""))))</x:f>
      </x:c>
      <x:c r="Y351" s="170" t="str">
        <x:f>IF(A351="","",IF(B351="Decommissioning","Raw Decommissioning","Raw Provisioning"))</x:f>
        <x:v>Raw Decommissioning</x:v>
      </x:c>
      <x:c r="Z351" s="170" t="str">
        <x:f>IF(A351="","",IF(OR(C351="executing",C351="processing"),"Yes","No"))</x:f>
        <x:v>No</x:v>
      </x:c>
    </x:row>
    <x:row r="352">
      <x:c r="A352" s="170" t="str">
        <x:f>IF(ROWS($A$5:A352)&lt;=COUNTA('Raw Decommissioning'!$B$2:$B$1000),INDEX('Raw Decommissioning'!$B$2:$B$1000,ROWS($A$5:A352)),IF(ROWS($A$5:A352)-COUNTA('Raw Decommissioning'!$B$2:$B$1000)&lt;=COUNTA('Raw Provisioning'!$B$2:$B$1000),INDEX('Raw Provisioning'!$B$2:$B$1000,ROWS($A$5:A352)-COUNTA('Raw Decommissioning'!$B$2:$B$1000)),""))</x:f>
        <x:v>CSSP10409981</x:v>
      </x:c>
      <x:c r="B352" s="170" t="str">
        <x:f>IF(A352="","",IF(ROWS($A$5:A352)&lt;=COUNTA('Raw Decommissioning'!$B$2:$B$1000),"Decommissioning","Provisioning"))</x:f>
        <x:v>Decommissioning</x:v>
      </x:c>
      <x:c r="C352" s="170" t="str">
        <x:f>IF(A352="","",IF(B352="Decommissioning",IFERROR(INDEX('Raw Decommissioning'!$E$2:$E$1000,MATCH(A352,'Raw Decommissioning'!$B$2:$B$1000,0)),"Missing from latest raw"),IFERROR(INDEX('Raw Provisioning'!$E$2:$E$1000,MATCH(A352,'Raw Provisioning'!$B$2:$B$1000,0)),"Missing from latest raw")))</x:f>
        <x:v>cancelled</x:v>
      </x:c>
      <x:c r="D352" s="171" t="n">
        <x:f>IF(A352="","",'Refresh Control'!$B$4)</x:f>
        <x:v>46254</x:v>
      </x:c>
      <x:c r="E352" s="171" t="n">
        <x:f>IF(A352="","",IF(B352="Decommissioning",INDEX('Raw Decommissioning'!$F$2:$F$1000,ROWS($A$5:A352)),INDEX('Raw Provisioning'!$F$2:$F$1000,ROWS($A$5:A352)-COUNTA('Raw Decommissioning'!$B$2:$B$1000))))</x:f>
        <x:v>46239.07830583333</x:v>
      </x:c>
      <x:c r="F352" s="171" t="n">
        <x:f>IF(A352="","",IF(B352="Decommissioning",INDEX('Raw Decommissioning'!$G$2:$G$1000,ROWS($A$5:A352)),INDEX('Raw Provisioning'!$H$2:$H$1000,ROWS($A$5:A352)-COUNTA('Raw Decommissioning'!$B$2:$B$1000))))</x:f>
        <x:v>46239.078833761574</x:v>
      </x:c>
      <x:c r="G352" s="170" t="str">
        <x:f>IF(A352="","",IF(B352="Decommissioning",INDEX('Raw Decommissioning'!$I$2:$I$1000,ROWS($A$5:A352)),INDEX('Raw Provisioning'!$J$2:$J$1000,ROWS($A$5:A352)-COUNTA('Raw Decommissioning'!$B$2:$B$1000))))</x:f>
        <x:v>Electronic Permit To Work - ePTW KPOC</x:v>
      </x:c>
      <x:c r="H352" s="170" t="str">
        <x:f>IF(A352="","",IF(B352="Decommissioning",INDEX('Raw Decommissioning'!$J$2:$J$1000,ROWS($A$5:A352)),INDEX('Raw Provisioning'!$L$2:$L$1000,ROWS($A$5:A352)-COUNTA('Raw Decommissioning'!$B$2:$B$1000))))</x:f>
        <x:v>Implementation of ePTW system and Support &amp; Maintenance for Kebabangan Petroleum Operating Company Sdn. Bhd (KPOC) for Virtus IP Sdn Bhd - ePTW Commercial (Production) (Formelrly known as: ePTW (KPOC))_(Managed)</x:v>
      </x:c>
      <x:c r="I352" s="170" t="str">
        <x:f>IF(A352="","",IF(B352="Decommissioning",INDEX('Raw Decommissioning'!$AL$2:$AL$1000,ROWS($A$5:A352)),INDEX('Raw Provisioning'!$R$2:$R$1000,ROWS($A$5:A352)-COUNTA('Raw Decommissioning'!$B$2:$B$1000))))</x:f>
      </x:c>
      <x:c r="J352" s="170" t="str">
        <x:f>IF(A352="","",IF(B352="Decommissioning",INDEX('Raw Decommissioning'!$AG$2:$AG$1000,ROWS($A$5:A352)),INDEX('Raw Provisioning'!$AI$2:$AI$1000,ROWS($A$5:A352)-COUNTA('Raw Decommissioning'!$B$2:$B$1000))))</x:f>
        <x:v>IMS - CLOUD CSSP EXECUTOR</x:v>
      </x:c>
      <x:c r="K352" s="172" t="str">
        <x:f>IF(A352="","",IFERROR(LOOKUP(2,1/('Assignment History'!$B$5:$B$204=A352),'Assignment History'!$D$5:$D$204),IFERROR(VLOOKUP(J352,Configuration!$L$5:$M$50,2,FALSE),J352)))</x:f>
        <x:v>IMS - CLOUD CSSP EXECUTOR</x:v>
      </x:c>
      <x:c r="L352" s="172" t="str">
        <x:f>IF(A352="","",IF(K352=IFERROR(VLOOKUP(J352,Configuration!$L$5:$M$50,2,FALSE),J352),"Snapshot PIC","Replacement PIC"))</x:f>
        <x:v>Snapshot PIC</x:v>
      </x:c>
      <x:c r="M352" s="172" t="n">
        <x:f>IF(A352="","",IFERROR(VLOOKUP(I352,Configuration!$O$5:$P$8,2,FALSE),Configuration!$S$6))</x:f>
        <x:v>2</x:v>
      </x:c>
      <x:c r="N352" s="172" t="str">
        <x:f>IF(A352="","",IFERROR(LOOKUP(2,1/('Scope Review'!$B$5:$B$204=A352),'Scope Review'!$G$5:$G$204),"Not Reviewed"))</x:f>
        <x:v>Not Reviewed</x:v>
      </x:c>
      <x:c r="O352" s="172" t="str">
        <x:f>IF(A352="","",IFERROR(LOOKUP(2,1/('Scope Review'!$B$5:$B$204=A352),'Scope Review'!$H$5:$H$204),""))</x:f>
      </x:c>
      <x:c r="P352" s="172" t="n">
        <x:f>IF(A352="","",IF(AND(C352="executing",N352&lt;&gt;"Confirmed OOS"),M352,0))</x:f>
        <x:v>0</x:v>
      </x:c>
      <x:c r="Q352" s="173" t="str">
        <x:f>IF(A352="","",IFERROR(LOOKUP(2,1/('Engineer Updates'!$B$5:$B$704=A352),'Engineer Updates'!$A$5:$A$704),""))</x:f>
      </x:c>
      <x:c r="R352" s="172" t="str">
        <x:f>IF(A352="","",IFERROR(LOOKUP(2,1/('Engineer Updates'!$B$5:$B$704=A352),'Engineer Updates'!$H$5:$H$704),""))</x:f>
      </x:c>
      <x:c r="S352" s="172" t="str">
        <x:f>IF(A352="","",IFERROR(LOOKUP(2,1/('Engineer Updates'!$B$5:$B$704=A352),'Engineer Updates'!$G$5:$G$704),""))</x:f>
      </x:c>
      <x:c r="T352" s="172" t="str">
        <x:f>IF(A352="","",IFERROR(LOOKUP(2,1/('Engineer Updates'!$B$5:$B$704=A352),'Engineer Updates'!$I$5:$I$704),""))</x:f>
      </x:c>
      <x:c r="U352" s="172" t="str">
        <x:f>IF(A352="","",IFERROR(LOOKUP(2,1/('Engineer Updates'!$B$5:$B$704=A352),'Engineer Updates'!$J$5:$J$704),""))</x:f>
      </x:c>
      <x:c r="V352" s="172" t="str">
        <x:f>IF(A352="","",IFERROR(LOOKUP(2,1/('Engineer Updates'!$B$5:$B$704=A352),'Engineer Updates'!$K$5:$K$704),""))</x:f>
      </x:c>
      <x:c r="W352" s="174" t="str">
        <x:f>IF(A352="","",IFERROR(LOOKUP(2,1/('Engineer Updates'!$B$5:$B$704=A352),'Engineer Updates'!$L$5:$L$704),""))</x:f>
      </x:c>
      <x:c r="X352" s="170" t="str">
        <x:f>IF(A352="","",IF(C352="completed","Completed in CSSP",IF(AND(C352="executing",ISERROR(SEARCH("@",K352))),"Executing without named engineer",IF(AND(N352="Confirmed OOS",C352="executing"),"Confirmed OOS still executing",""))))</x:f>
      </x:c>
      <x:c r="Y352" s="170" t="str">
        <x:f>IF(A352="","",IF(B352="Decommissioning","Raw Decommissioning","Raw Provisioning"))</x:f>
        <x:v>Raw Decommissioning</x:v>
      </x:c>
      <x:c r="Z352" s="170" t="str">
        <x:f>IF(A352="","",IF(OR(C352="executing",C352="processing"),"Yes","No"))</x:f>
        <x:v>No</x:v>
      </x:c>
    </x:row>
    <x:row r="353">
      <x:c r="A353" s="170" t="str">
        <x:f>IF(ROWS($A$5:A353)&lt;=COUNTA('Raw Decommissioning'!$B$2:$B$1000),INDEX('Raw Decommissioning'!$B$2:$B$1000,ROWS($A$5:A353)),IF(ROWS($A$5:A353)-COUNTA('Raw Decommissioning'!$B$2:$B$1000)&lt;=COUNTA('Raw Provisioning'!$B$2:$B$1000),INDEX('Raw Provisioning'!$B$2:$B$1000,ROWS($A$5:A353)-COUNTA('Raw Decommissioning'!$B$2:$B$1000)),""))</x:f>
        <x:v>CSSP10898975</x:v>
      </x:c>
      <x:c r="B353" s="170" t="str">
        <x:f>IF(A353="","",IF(ROWS($A$5:A353)&lt;=COUNTA('Raw Decommissioning'!$B$2:$B$1000),"Decommissioning","Provisioning"))</x:f>
        <x:v>Decommissioning</x:v>
      </x:c>
      <x:c r="C353" s="170" t="str">
        <x:f>IF(A353="","",IF(B353="Decommissioning",IFERROR(INDEX('Raw Decommissioning'!$E$2:$E$1000,MATCH(A353,'Raw Decommissioning'!$B$2:$B$1000,0)),"Missing from latest raw"),IFERROR(INDEX('Raw Provisioning'!$E$2:$E$1000,MATCH(A353,'Raw Provisioning'!$B$2:$B$1000,0)),"Missing from latest raw")))</x:f>
        <x:v>pending</x:v>
      </x:c>
      <x:c r="D353" s="171" t="n">
        <x:f>IF(A353="","",'Refresh Control'!$B$4)</x:f>
        <x:v>46254</x:v>
      </x:c>
      <x:c r="E353" s="171" t="n">
        <x:f>IF(A353="","",IF(B353="Decommissioning",INDEX('Raw Decommissioning'!$F$2:$F$1000,ROWS($A$5:A353)),INDEX('Raw Provisioning'!$F$2:$F$1000,ROWS($A$5:A353)-COUNTA('Raw Decommissioning'!$B$2:$B$1000))))</x:f>
        <x:v>46239.080210381944</x:v>
      </x:c>
      <x:c r="F353" s="171" t="n">
        <x:f>IF(A353="","",IF(B353="Decommissioning",INDEX('Raw Decommissioning'!$G$2:$G$1000,ROWS($A$5:A353)),INDEX('Raw Provisioning'!$H$2:$H$1000,ROWS($A$5:A353)-COUNTA('Raw Decommissioning'!$B$2:$B$1000))))</x:f>
        <x:v>46239.080210381944</x:v>
      </x:c>
      <x:c r="G353" s="170" t="str">
        <x:f>IF(A353="","",IF(B353="Decommissioning",INDEX('Raw Decommissioning'!$I$2:$I$1000,ROWS($A$5:A353)),INDEX('Raw Provisioning'!$J$2:$J$1000,ROWS($A$5:A353)-COUNTA('Raw Decommissioning'!$B$2:$B$1000))))</x:f>
        <x:v>Electronic Permit To Work - ePTW KPOC</x:v>
      </x:c>
      <x:c r="H353" s="170" t="str">
        <x:f>IF(A353="","",IF(B353="Decommissioning",INDEX('Raw Decommissioning'!$J$2:$J$1000,ROWS($A$5:A353)),INDEX('Raw Provisioning'!$L$2:$L$1000,ROWS($A$5:A353)-COUNTA('Raw Decommissioning'!$B$2:$B$1000))))</x:f>
        <x:v>Implementation of ePTW system and Support &amp; Maintenance for Kebabangan Petroleum Operating Company Sdn. Bhd (KPOC) for Virtus IP Sdn Bhd - ePTW Commercial (Production) (Formelrly known as: ePTW (KPOC))</x:v>
      </x:c>
      <x:c r="I353" s="170" t="str">
        <x:f>IF(A353="","",IF(B353="Decommissioning",INDEX('Raw Decommissioning'!$AL$2:$AL$1000,ROWS($A$5:A353)),INDEX('Raw Provisioning'!$R$2:$R$1000,ROWS($A$5:A353)-COUNTA('Raw Decommissioning'!$B$2:$B$1000))))</x:f>
      </x:c>
      <x:c r="J353" s="170" t="str">
        <x:f>IF(A353="","",IF(B353="Decommissioning",INDEX('Raw Decommissioning'!$AG$2:$AG$1000,ROWS($A$5:A353)),INDEX('Raw Provisioning'!$AI$2:$AI$1000,ROWS($A$5:A353)-COUNTA('Raw Decommissioning'!$B$2:$B$1000))))</x:f>
        <x:v>IMS - CLOUD CSSP EXECUTOR</x:v>
      </x:c>
      <x:c r="K353" s="172" t="str">
        <x:f>IF(A353="","",IFERROR(LOOKUP(2,1/('Assignment History'!$B$5:$B$204=A353),'Assignment History'!$D$5:$D$204),IFERROR(VLOOKUP(J353,Configuration!$L$5:$M$50,2,FALSE),J353)))</x:f>
        <x:v>IMS - CLOUD CSSP EXECUTOR</x:v>
      </x:c>
      <x:c r="L353" s="172" t="str">
        <x:f>IF(A353="","",IF(K353=IFERROR(VLOOKUP(J353,Configuration!$L$5:$M$50,2,FALSE),J353),"Snapshot PIC","Replacement PIC"))</x:f>
        <x:v>Snapshot PIC</x:v>
      </x:c>
      <x:c r="M353" s="172" t="n">
        <x:f>IF(A353="","",IFERROR(VLOOKUP(I353,Configuration!$O$5:$P$8,2,FALSE),Configuration!$S$6))</x:f>
        <x:v>2</x:v>
      </x:c>
      <x:c r="N353" s="172" t="str">
        <x:f>IF(A353="","",IFERROR(LOOKUP(2,1/('Scope Review'!$B$5:$B$204=A353),'Scope Review'!$G$5:$G$204),"Not Reviewed"))</x:f>
        <x:v>Not Reviewed</x:v>
      </x:c>
      <x:c r="O353" s="172" t="str">
        <x:f>IF(A353="","",IFERROR(LOOKUP(2,1/('Scope Review'!$B$5:$B$204=A353),'Scope Review'!$H$5:$H$204),""))</x:f>
      </x:c>
      <x:c r="P353" s="172" t="n">
        <x:f>IF(A353="","",IF(AND(C353="executing",N353&lt;&gt;"Confirmed OOS"),M353,0))</x:f>
        <x:v>0</x:v>
      </x:c>
      <x:c r="Q353" s="173" t="str">
        <x:f>IF(A353="","",IFERROR(LOOKUP(2,1/('Engineer Updates'!$B$5:$B$704=A353),'Engineer Updates'!$A$5:$A$704),""))</x:f>
      </x:c>
      <x:c r="R353" s="172" t="str">
        <x:f>IF(A353="","",IFERROR(LOOKUP(2,1/('Engineer Updates'!$B$5:$B$704=A353),'Engineer Updates'!$H$5:$H$704),""))</x:f>
      </x:c>
      <x:c r="S353" s="172" t="str">
        <x:f>IF(A353="","",IFERROR(LOOKUP(2,1/('Engineer Updates'!$B$5:$B$704=A353),'Engineer Updates'!$G$5:$G$704),""))</x:f>
      </x:c>
      <x:c r="T353" s="172" t="str">
        <x:f>IF(A353="","",IFERROR(LOOKUP(2,1/('Engineer Updates'!$B$5:$B$704=A353),'Engineer Updates'!$I$5:$I$704),""))</x:f>
      </x:c>
      <x:c r="U353" s="172" t="str">
        <x:f>IF(A353="","",IFERROR(LOOKUP(2,1/('Engineer Updates'!$B$5:$B$704=A353),'Engineer Updates'!$J$5:$J$704),""))</x:f>
      </x:c>
      <x:c r="V353" s="172" t="str">
        <x:f>IF(A353="","",IFERROR(LOOKUP(2,1/('Engineer Updates'!$B$5:$B$704=A353),'Engineer Updates'!$K$5:$K$704),""))</x:f>
      </x:c>
      <x:c r="W353" s="174" t="str">
        <x:f>IF(A353="","",IFERROR(LOOKUP(2,1/('Engineer Updates'!$B$5:$B$704=A353),'Engineer Updates'!$L$5:$L$704),""))</x:f>
      </x:c>
      <x:c r="X353" s="170" t="str">
        <x:f>IF(A353="","",IF(C353="completed","Completed in CSSP",IF(AND(C353="executing",ISERROR(SEARCH("@",K353))),"Executing without named engineer",IF(AND(N353="Confirmed OOS",C353="executing"),"Confirmed OOS still executing",""))))</x:f>
      </x:c>
      <x:c r="Y353" s="170" t="str">
        <x:f>IF(A353="","",IF(B353="Decommissioning","Raw Decommissioning","Raw Provisioning"))</x:f>
        <x:v>Raw Decommissioning</x:v>
      </x:c>
      <x:c r="Z353" s="170" t="str">
        <x:f>IF(A353="","",IF(OR(C353="executing",C353="processing"),"Yes","No"))</x:f>
        <x:v>No</x:v>
      </x:c>
    </x:row>
    <x:row r="354">
      <x:c r="A354" s="170" t="str">
        <x:f>IF(ROWS($A$5:A354)&lt;=COUNTA('Raw Decommissioning'!$B$2:$B$1000),INDEX('Raw Decommissioning'!$B$2:$B$1000,ROWS($A$5:A354)),IF(ROWS($A$5:A354)-COUNTA('Raw Decommissioning'!$B$2:$B$1000)&lt;=COUNTA('Raw Provisioning'!$B$2:$B$1000),INDEX('Raw Provisioning'!$B$2:$B$1000,ROWS($A$5:A354)-COUNTA('Raw Decommissioning'!$B$2:$B$1000)),""))</x:f>
        <x:v>CSSP10733854</x:v>
      </x:c>
      <x:c r="B354" s="170" t="str">
        <x:f>IF(A354="","",IF(ROWS($A$5:A354)&lt;=COUNTA('Raw Decommissioning'!$B$2:$B$1000),"Decommissioning","Provisioning"))</x:f>
        <x:v>Decommissioning</x:v>
      </x:c>
      <x:c r="C354" s="170" t="str">
        <x:f>IF(A354="","",IF(B354="Decommissioning",IFERROR(INDEX('Raw Decommissioning'!$E$2:$E$1000,MATCH(A354,'Raw Decommissioning'!$B$2:$B$1000,0)),"Missing from latest raw"),IFERROR(INDEX('Raw Provisioning'!$E$2:$E$1000,MATCH(A354,'Raw Provisioning'!$B$2:$B$1000,0)),"Missing from latest raw")))</x:f>
        <x:v>executing</x:v>
      </x:c>
      <x:c r="D354" s="171" t="n">
        <x:f>IF(A354="","",'Refresh Control'!$B$4)</x:f>
        <x:v>46254</x:v>
      </x:c>
      <x:c r="E354" s="171" t="n">
        <x:f>IF(A354="","",IF(B354="Decommissioning",INDEX('Raw Decommissioning'!$F$2:$F$1000,ROWS($A$5:A354)),INDEX('Raw Provisioning'!$F$2:$F$1000,ROWS($A$5:A354)-COUNTA('Raw Decommissioning'!$B$2:$B$1000))))</x:f>
        <x:v>46239.19293790509</x:v>
      </x:c>
      <x:c r="F354" s="171" t="n">
        <x:f>IF(A354="","",IF(B354="Decommissioning",INDEX('Raw Decommissioning'!$G$2:$G$1000,ROWS($A$5:A354)),INDEX('Raw Provisioning'!$H$2:$H$1000,ROWS($A$5:A354)-COUNTA('Raw Decommissioning'!$B$2:$B$1000))))</x:f>
        <x:v>46246.64845259259</x:v>
      </x:c>
      <x:c r="G354" s="170" t="str">
        <x:f>IF(A354="","",IF(B354="Decommissioning",INDEX('Raw Decommissioning'!$I$2:$I$1000,ROWS($A$5:A354)),INDEX('Raw Provisioning'!$J$2:$J$1000,ROWS($A$5:A354)-COUNTA('Raw Decommissioning'!$B$2:$B$1000))))</x:f>
        <x:v>Electronic Permit To Work - ePTW KPOC</x:v>
      </x:c>
      <x:c r="H354" s="170" t="str">
        <x:f>IF(A354="","",IF(B354="Decommissioning",INDEX('Raw Decommissioning'!$J$2:$J$1000,ROWS($A$5:A354)),INDEX('Raw Provisioning'!$L$2:$L$1000,ROWS($A$5:A354)-COUNTA('Raw Decommissioning'!$B$2:$B$1000))))</x:f>
        <x:v>Implementation of ePTW system and Support &amp; Maintenance for Kebabangan Petroleum Operating Company Sdn. Bhd (KPOC) for Virtus IP Sdn Bhd - ePTW Commercial (Production) (Formelrly known as: ePTW (KPOC))</x:v>
      </x:c>
      <x:c r="I354" s="170" t="str">
        <x:f>IF(A354="","",IF(B354="Decommissioning",INDEX('Raw Decommissioning'!$AL$2:$AL$1000,ROWS($A$5:A354)),INDEX('Raw Provisioning'!$R$2:$R$1000,ROWS($A$5:A354)-COUNTA('Raw Decommissioning'!$B$2:$B$1000))))</x:f>
        <x:v>M</x:v>
      </x:c>
      <x:c r="J354" s="170" t="str">
        <x:f>IF(A354="","",IF(B354="Decommissioning",INDEX('Raw Decommissioning'!$AG$2:$AG$1000,ROWS($A$5:A354)),INDEX('Raw Provisioning'!$AI$2:$AI$1000,ROWS($A$5:A354)-COUNTA('Raw Decommissioning'!$B$2:$B$1000))))</x:f>
        <x:v>mardiansyah.rayasa@petronas.com</x:v>
      </x:c>
      <x:c r="K354" s="172" t="str">
        <x:f>IF(A354="","",IFERROR(LOOKUP(2,1/('Assignment History'!$B$5:$B$204=A354),'Assignment History'!$D$5:$D$204),IFERROR(VLOOKUP(J354,Configuration!$L$5:$M$50,2,FALSE),J354)))</x:f>
        <x:v>mardiansyah.rayasa@petronas.com</x:v>
      </x:c>
      <x:c r="L354" s="172" t="str">
        <x:f>IF(A354="","",IF(K354=IFERROR(VLOOKUP(J354,Configuration!$L$5:$M$50,2,FALSE),J354),"Snapshot PIC","Replacement PIC"))</x:f>
        <x:v>Snapshot PIC</x:v>
      </x:c>
      <x:c r="M354" s="172" t="n">
        <x:f>IF(A354="","",IFERROR(VLOOKUP(I354,Configuration!$O$5:$P$8,2,FALSE),Configuration!$S$6))</x:f>
        <x:v>2</x:v>
      </x:c>
      <x:c r="N354" s="172" t="str">
        <x:f>IF(A354="","",IFERROR(LOOKUP(2,1/('Scope Review'!$B$5:$B$204=A354),'Scope Review'!$G$5:$G$204),"Not Reviewed"))</x:f>
        <x:v>Not Reviewed</x:v>
      </x:c>
      <x:c r="O354" s="172" t="str">
        <x:f>IF(A354="","",IFERROR(LOOKUP(2,1/('Scope Review'!$B$5:$B$204=A354),'Scope Review'!$H$5:$H$204),""))</x:f>
      </x:c>
      <x:c r="P354" s="172" t="n">
        <x:f>IF(A354="","",IF(AND(C354="executing",N354&lt;&gt;"Confirmed OOS"),M354,0))</x:f>
        <x:v>2</x:v>
      </x:c>
      <x:c r="Q354" s="173" t="n">
        <x:f>IF(A354="","",IFERROR(LOOKUP(2,1/('Engineer Updates'!$B$5:$B$704=A354),'Engineer Updates'!$A$5:$A$704),""))</x:f>
        <x:v>46251</x:v>
      </x:c>
      <x:c r="R354" s="172" t="str">
        <x:f>IF(A354="","",IFERROR(LOOKUP(2,1/('Engineer Updates'!$B$5:$B$704=A354),'Engineer Updates'!$H$5:$H$704),""))</x:f>
        <x:v>Not Started</x:v>
      </x:c>
      <x:c r="S354" s="172" t="str">
        <x:f>IF(A354="","",IFERROR(LOOKUP(2,1/('Engineer Updates'!$B$5:$B$704=A354),'Engineer Updates'!$G$5:$G$704),""))</x:f>
      </x:c>
      <x:c r="T354" s="172" t="str">
        <x:f>IF(A354="","",IFERROR(LOOKUP(2,1/('Engineer Updates'!$B$5:$B$704=A354),'Engineer Updates'!$I$5:$I$704),""))</x:f>
      </x:c>
      <x:c r="U354" s="172" t="str">
        <x:f>IF(A354="","",IFERROR(LOOKUP(2,1/('Engineer Updates'!$B$5:$B$704=A354),'Engineer Updates'!$J$5:$J$704),""))</x:f>
      </x:c>
      <x:c r="V354" s="172" t="str">
        <x:f>IF(A354="","",IFERROR(LOOKUP(2,1/('Engineer Updates'!$B$5:$B$704=A354),'Engineer Updates'!$K$5:$K$704),""))</x:f>
      </x:c>
      <x:c r="W354" s="174" t="str">
        <x:f>IF(A354="","",IFERROR(LOOKUP(2,1/('Engineer Updates'!$B$5:$B$704=A354),'Engineer Updates'!$L$5:$L$704),""))</x:f>
      </x:c>
      <x:c r="X354" s="170" t="str">
        <x:f>IF(A354="","",IF(C354="completed","Completed in CSSP",IF(AND(C354="executing",ISERROR(SEARCH("@",K354))),"Executing without named engineer",IF(AND(N354="Confirmed OOS",C354="executing"),"Confirmed OOS still executing",""))))</x:f>
      </x:c>
      <x:c r="Y354" s="170" t="str">
        <x:f>IF(A354="","",IF(B354="Decommissioning","Raw Decommissioning","Raw Provisioning"))</x:f>
        <x:v>Raw Decommissioning</x:v>
      </x:c>
      <x:c r="Z354" s="170" t="str">
        <x:f>IF(A354="","",IF(OR(C354="executing",C354="processing"),"Yes","No"))</x:f>
        <x:v>Yes</x:v>
      </x:c>
    </x:row>
    <x:row r="355">
      <x:c r="A355" s="170" t="str">
        <x:f>IF(ROWS($A$5:A355)&lt;=COUNTA('Raw Decommissioning'!$B$2:$B$1000),INDEX('Raw Decommissioning'!$B$2:$B$1000,ROWS($A$5:A355)),IF(ROWS($A$5:A355)-COUNTA('Raw Decommissioning'!$B$2:$B$1000)&lt;=COUNTA('Raw Provisioning'!$B$2:$B$1000),INDEX('Raw Provisioning'!$B$2:$B$1000,ROWS($A$5:A355)-COUNTA('Raw Decommissioning'!$B$2:$B$1000)),""))</x:f>
        <x:v>CSSP10446011</x:v>
      </x:c>
      <x:c r="B355" s="170" t="str">
        <x:f>IF(A355="","",IF(ROWS($A$5:A355)&lt;=COUNTA('Raw Decommissioning'!$B$2:$B$1000),"Decommissioning","Provisioning"))</x:f>
        <x:v>Decommissioning</x:v>
      </x:c>
      <x:c r="C355" s="170" t="str">
        <x:f>IF(A355="","",IF(B355="Decommissioning",IFERROR(INDEX('Raw Decommissioning'!$E$2:$E$1000,MATCH(A355,'Raw Decommissioning'!$B$2:$B$1000,0)),"Missing from latest raw"),IFERROR(INDEX('Raw Provisioning'!$E$2:$E$1000,MATCH(A355,'Raw Provisioning'!$B$2:$B$1000,0)),"Missing from latest raw")))</x:f>
        <x:v>executing</x:v>
      </x:c>
      <x:c r="D355" s="171" t="n">
        <x:f>IF(A355="","",'Refresh Control'!$B$4)</x:f>
        <x:v>46254</x:v>
      </x:c>
      <x:c r="E355" s="171" t="n">
        <x:f>IF(A355="","",IF(B355="Decommissioning",INDEX('Raw Decommissioning'!$F$2:$F$1000,ROWS($A$5:A355)),INDEX('Raw Provisioning'!$F$2:$F$1000,ROWS($A$5:A355)-COUNTA('Raw Decommissioning'!$B$2:$B$1000))))</x:f>
        <x:v>46239.26227339121</x:v>
      </x:c>
      <x:c r="F355" s="171" t="n">
        <x:f>IF(A355="","",IF(B355="Decommissioning",INDEX('Raw Decommissioning'!$G$2:$G$1000,ROWS($A$5:A355)),INDEX('Raw Provisioning'!$H$2:$H$1000,ROWS($A$5:A355)-COUNTA('Raw Decommissioning'!$B$2:$B$1000))))</x:f>
        <x:v>46246.64816787037</x:v>
      </x:c>
      <x:c r="G355" s="170" t="str">
        <x:f>IF(A355="","",IF(B355="Decommissioning",INDEX('Raw Decommissioning'!$I$2:$I$1000,ROWS($A$5:A355)),INDEX('Raw Provisioning'!$J$2:$J$1000,ROWS($A$5:A355)-COUNTA('Raw Decommissioning'!$B$2:$B$1000))))</x:f>
        <x:v>Electronic Permit To Work - ePTW KPOC</x:v>
      </x:c>
      <x:c r="H355" s="170" t="str">
        <x:f>IF(A355="","",IF(B355="Decommissioning",INDEX('Raw Decommissioning'!$J$2:$J$1000,ROWS($A$5:A355)),INDEX('Raw Provisioning'!$L$2:$L$1000,ROWS($A$5:A355)-COUNTA('Raw Decommissioning'!$B$2:$B$1000))))</x:f>
        <x:v>Implementation of ePTW system and Support &amp; Maintenance for Kebabangan Petroleum Operating Company Sdn. Bhd (KPOC) for Virtus IP Sdn Bhd - ePTW Commercial (Production) (Formelrly known as: ePTW (KPOC))_(Managed)</x:v>
      </x:c>
      <x:c r="I355" s="170" t="str">
        <x:f>IF(A355="","",IF(B355="Decommissioning",INDEX('Raw Decommissioning'!$AL$2:$AL$1000,ROWS($A$5:A355)),INDEX('Raw Provisioning'!$R$2:$R$1000,ROWS($A$5:A355)-COUNTA('Raw Decommissioning'!$B$2:$B$1000))))</x:f>
        <x:v>M</x:v>
      </x:c>
      <x:c r="J355" s="170" t="str">
        <x:f>IF(A355="","",IF(B355="Decommissioning",INDEX('Raw Decommissioning'!$AG$2:$AG$1000,ROWS($A$5:A355)),INDEX('Raw Provisioning'!$AI$2:$AI$1000,ROWS($A$5:A355)-COUNTA('Raw Decommissioning'!$B$2:$B$1000))))</x:f>
        <x:v>mardiansyah.rayasa@petronas.com</x:v>
      </x:c>
      <x:c r="K355" s="172" t="str">
        <x:f>IF(A355="","",IFERROR(LOOKUP(2,1/('Assignment History'!$B$5:$B$204=A355),'Assignment History'!$D$5:$D$204),IFERROR(VLOOKUP(J355,Configuration!$L$5:$M$50,2,FALSE),J355)))</x:f>
        <x:v>mardiansyah.rayasa@petronas.com</x:v>
      </x:c>
      <x:c r="L355" s="172" t="str">
        <x:f>IF(A355="","",IF(K355=IFERROR(VLOOKUP(J355,Configuration!$L$5:$M$50,2,FALSE),J355),"Snapshot PIC","Replacement PIC"))</x:f>
        <x:v>Snapshot PIC</x:v>
      </x:c>
      <x:c r="M355" s="172" t="n">
        <x:f>IF(A355="","",IFERROR(VLOOKUP(I355,Configuration!$O$5:$P$8,2,FALSE),Configuration!$S$6))</x:f>
        <x:v>2</x:v>
      </x:c>
      <x:c r="N355" s="172" t="str">
        <x:f>IF(A355="","",IFERROR(LOOKUP(2,1/('Scope Review'!$B$5:$B$204=A355),'Scope Review'!$G$5:$G$204),"Not Reviewed"))</x:f>
        <x:v>Not Reviewed</x:v>
      </x:c>
      <x:c r="O355" s="172" t="str">
        <x:f>IF(A355="","",IFERROR(LOOKUP(2,1/('Scope Review'!$B$5:$B$204=A355),'Scope Review'!$H$5:$H$204),""))</x:f>
      </x:c>
      <x:c r="P355" s="172" t="n">
        <x:f>IF(A355="","",IF(AND(C355="executing",N355&lt;&gt;"Confirmed OOS"),M355,0))</x:f>
        <x:v>2</x:v>
      </x:c>
      <x:c r="Q355" s="173" t="n">
        <x:f>IF(A355="","",IFERROR(LOOKUP(2,1/('Engineer Updates'!$B$5:$B$704=A355),'Engineer Updates'!$A$5:$A$704),""))</x:f>
        <x:v>46251</x:v>
      </x:c>
      <x:c r="R355" s="172" t="str">
        <x:f>IF(A355="","",IFERROR(LOOKUP(2,1/('Engineer Updates'!$B$5:$B$704=A355),'Engineer Updates'!$H$5:$H$704),""))</x:f>
        <x:v>Not Started</x:v>
      </x:c>
      <x:c r="S355" s="172" t="str">
        <x:f>IF(A355="","",IFERROR(LOOKUP(2,1/('Engineer Updates'!$B$5:$B$704=A355),'Engineer Updates'!$G$5:$G$704),""))</x:f>
      </x:c>
      <x:c r="T355" s="172" t="str">
        <x:f>IF(A355="","",IFERROR(LOOKUP(2,1/('Engineer Updates'!$B$5:$B$704=A355),'Engineer Updates'!$I$5:$I$704),""))</x:f>
      </x:c>
      <x:c r="U355" s="172" t="str">
        <x:f>IF(A355="","",IFERROR(LOOKUP(2,1/('Engineer Updates'!$B$5:$B$704=A355),'Engineer Updates'!$J$5:$J$704),""))</x:f>
      </x:c>
      <x:c r="V355" s="172" t="str">
        <x:f>IF(A355="","",IFERROR(LOOKUP(2,1/('Engineer Updates'!$B$5:$B$704=A355),'Engineer Updates'!$K$5:$K$704),""))</x:f>
      </x:c>
      <x:c r="W355" s="174" t="str">
        <x:f>IF(A355="","",IFERROR(LOOKUP(2,1/('Engineer Updates'!$B$5:$B$704=A355),'Engineer Updates'!$L$5:$L$704),""))</x:f>
      </x:c>
      <x:c r="X355" s="170" t="str">
        <x:f>IF(A355="","",IF(C355="completed","Completed in CSSP",IF(AND(C355="executing",ISERROR(SEARCH("@",K355))),"Executing without named engineer",IF(AND(N355="Confirmed OOS",C355="executing"),"Confirmed OOS still executing",""))))</x:f>
      </x:c>
      <x:c r="Y355" s="170" t="str">
        <x:f>IF(A355="","",IF(B355="Decommissioning","Raw Decommissioning","Raw Provisioning"))</x:f>
        <x:v>Raw Decommissioning</x:v>
      </x:c>
      <x:c r="Z355" s="170" t="str">
        <x:f>IF(A355="","",IF(OR(C355="executing",C355="processing"),"Yes","No"))</x:f>
        <x:v>Yes</x:v>
      </x:c>
    </x:row>
    <x:row r="356">
      <x:c r="A356" s="170" t="str">
        <x:f>IF(ROWS($A$5:A356)&lt;=COUNTA('Raw Decommissioning'!$B$2:$B$1000),INDEX('Raw Decommissioning'!$B$2:$B$1000,ROWS($A$5:A356)),IF(ROWS($A$5:A356)-COUNTA('Raw Decommissioning'!$B$2:$B$1000)&lt;=COUNTA('Raw Provisioning'!$B$2:$B$1000),INDEX('Raw Provisioning'!$B$2:$B$1000,ROWS($A$5:A356)-COUNTA('Raw Decommissioning'!$B$2:$B$1000)),""))</x:f>
        <x:v>CSSP10521586</x:v>
      </x:c>
      <x:c r="B356" s="170" t="str">
        <x:f>IF(A356="","",IF(ROWS($A$5:A356)&lt;=COUNTA('Raw Decommissioning'!$B$2:$B$1000),"Decommissioning","Provisioning"))</x:f>
        <x:v>Decommissioning</x:v>
      </x:c>
      <x:c r="C356" s="170" t="str">
        <x:f>IF(A356="","",IF(B356="Decommissioning",IFERROR(INDEX('Raw Decommissioning'!$E$2:$E$1000,MATCH(A356,'Raw Decommissioning'!$B$2:$B$1000,0)),"Missing from latest raw"),IFERROR(INDEX('Raw Provisioning'!$E$2:$E$1000,MATCH(A356,'Raw Provisioning'!$B$2:$B$1000,0)),"Missing from latest raw")))</x:f>
        <x:v>executing</x:v>
      </x:c>
      <x:c r="D356" s="171" t="n">
        <x:f>IF(A356="","",'Refresh Control'!$B$4)</x:f>
        <x:v>46254</x:v>
      </x:c>
      <x:c r="E356" s="171" t="n">
        <x:f>IF(A356="","",IF(B356="Decommissioning",INDEX('Raw Decommissioning'!$F$2:$F$1000,ROWS($A$5:A356)),INDEX('Raw Provisioning'!$F$2:$F$1000,ROWS($A$5:A356)-COUNTA('Raw Decommissioning'!$B$2:$B$1000))))</x:f>
        <x:v>46240.08482730324</x:v>
      </x:c>
      <x:c r="F356" s="171" t="n">
        <x:f>IF(A356="","",IF(B356="Decommissioning",INDEX('Raw Decommissioning'!$G$2:$G$1000,ROWS($A$5:A356)),INDEX('Raw Provisioning'!$H$2:$H$1000,ROWS($A$5:A356)-COUNTA('Raw Decommissioning'!$B$2:$B$1000))))</x:f>
        <x:v>46246.64777236111</x:v>
      </x:c>
      <x:c r="G356" s="170" t="str">
        <x:f>IF(A356="","",IF(B356="Decommissioning",INDEX('Raw Decommissioning'!$I$2:$I$1000,ROWS($A$5:A356)),INDEX('Raw Provisioning'!$J$2:$J$1000,ROWS($A$5:A356)-COUNTA('Raw Decommissioning'!$B$2:$B$1000))))</x:f>
        <x:v>Cognite Data Fusion - CDF</x:v>
      </x:c>
      <x:c r="H356" s="170" t="str">
        <x:f>IF(A356="","",IF(B356="Decommissioning",INDEX('Raw Decommissioning'!$J$2:$J$1000,ROWS($A$5:A356)),INDEX('Raw Provisioning'!$L$2:$L$1000,ROWS($A$5:A356)-COUNTA('Raw Decommissioning'!$B$2:$B$1000))))</x:f>
        <x:v>Subscription and Deployment of Upstream Data Contextualization (UDC) for Resak, Peninsular Malaysia Assets (PMA)</x:v>
      </x:c>
      <x:c r="I356" s="170" t="str">
        <x:f>IF(A356="","",IF(B356="Decommissioning",INDEX('Raw Decommissioning'!$AL$2:$AL$1000,ROWS($A$5:A356)),INDEX('Raw Provisioning'!$R$2:$R$1000,ROWS($A$5:A356)-COUNTA('Raw Decommissioning'!$B$2:$B$1000))))</x:f>
        <x:v>L</x:v>
      </x:c>
      <x:c r="J356" s="170" t="str">
        <x:f>IF(A356="","",IF(B356="Decommissioning",INDEX('Raw Decommissioning'!$AG$2:$AG$1000,ROWS($A$5:A356)),INDEX('Raw Provisioning'!$AI$2:$AI$1000,ROWS($A$5:A356)-COUNTA('Raw Decommissioning'!$B$2:$B$1000))))</x:f>
        <x:v>swaminadh.chirakala@petronas.com</x:v>
      </x:c>
      <x:c r="K356" s="172" t="str">
        <x:f>IF(A356="","",IFERROR(LOOKUP(2,1/('Assignment History'!$B$5:$B$204=A356),'Assignment History'!$D$5:$D$204),IFERROR(VLOOKUP(J356,Configuration!$L$5:$M$50,2,FALSE),J356)))</x:f>
        <x:v>swaminadh.chirakala@petronas.com</x:v>
      </x:c>
      <x:c r="L356" s="172" t="str">
        <x:f>IF(A356="","",IF(K356=IFERROR(VLOOKUP(J356,Configuration!$L$5:$M$50,2,FALSE),J356),"Snapshot PIC","Replacement PIC"))</x:f>
        <x:v>Snapshot PIC</x:v>
      </x:c>
      <x:c r="M356" s="172" t="n">
        <x:f>IF(A356="","",IFERROR(VLOOKUP(I356,Configuration!$O$5:$P$8,2,FALSE),Configuration!$S$6))</x:f>
        <x:v>3</x:v>
      </x:c>
      <x:c r="N356" s="172" t="str">
        <x:f>IF(A356="","",IFERROR(LOOKUP(2,1/('Scope Review'!$B$5:$B$204=A356),'Scope Review'!$G$5:$G$204),"Not Reviewed"))</x:f>
        <x:v>Not Reviewed</x:v>
      </x:c>
      <x:c r="O356" s="172" t="str">
        <x:f>IF(A356="","",IFERROR(LOOKUP(2,1/('Scope Review'!$B$5:$B$204=A356),'Scope Review'!$H$5:$H$204),""))</x:f>
      </x:c>
      <x:c r="P356" s="172" t="n">
        <x:f>IF(A356="","",IF(AND(C356="executing",N356&lt;&gt;"Confirmed OOS"),M356,0))</x:f>
        <x:v>3</x:v>
      </x:c>
      <x:c r="Q356" s="173" t="n">
        <x:f>IF(A356="","",IFERROR(LOOKUP(2,1/('Engineer Updates'!$B$5:$B$704=A356),'Engineer Updates'!$A$5:$A$704),""))</x:f>
        <x:v>46251</x:v>
      </x:c>
      <x:c r="R356" s="172" t="str">
        <x:f>IF(A356="","",IFERROR(LOOKUP(2,1/('Engineer Updates'!$B$5:$B$704=A356),'Engineer Updates'!$H$5:$H$704),""))</x:f>
        <x:v>Not Started</x:v>
      </x:c>
      <x:c r="S356" s="172" t="str">
        <x:f>IF(A356="","",IFERROR(LOOKUP(2,1/('Engineer Updates'!$B$5:$B$704=A356),'Engineer Updates'!$G$5:$G$704),""))</x:f>
      </x:c>
      <x:c r="T356" s="172" t="str">
        <x:f>IF(A356="","",IFERROR(LOOKUP(2,1/('Engineer Updates'!$B$5:$B$704=A356),'Engineer Updates'!$I$5:$I$704),""))</x:f>
      </x:c>
      <x:c r="U356" s="172" t="str">
        <x:f>IF(A356="","",IFERROR(LOOKUP(2,1/('Engineer Updates'!$B$5:$B$704=A356),'Engineer Updates'!$J$5:$J$704),""))</x:f>
      </x:c>
      <x:c r="V356" s="172" t="str">
        <x:f>IF(A356="","",IFERROR(LOOKUP(2,1/('Engineer Updates'!$B$5:$B$704=A356),'Engineer Updates'!$K$5:$K$704),""))</x:f>
      </x:c>
      <x:c r="W356" s="174" t="str">
        <x:f>IF(A356="","",IFERROR(LOOKUP(2,1/('Engineer Updates'!$B$5:$B$704=A356),'Engineer Updates'!$L$5:$L$704),""))</x:f>
      </x:c>
      <x:c r="X356" s="170" t="str">
        <x:f>IF(A356="","",IF(C356="completed","Completed in CSSP",IF(AND(C356="executing",ISERROR(SEARCH("@",K356))),"Executing without named engineer",IF(AND(N356="Confirmed OOS",C356="executing"),"Confirmed OOS still executing",""))))</x:f>
      </x:c>
      <x:c r="Y356" s="170" t="str">
        <x:f>IF(A356="","",IF(B356="Decommissioning","Raw Decommissioning","Raw Provisioning"))</x:f>
        <x:v>Raw Decommissioning</x:v>
      </x:c>
      <x:c r="Z356" s="170" t="str">
        <x:f>IF(A356="","",IF(OR(C356="executing",C356="processing"),"Yes","No"))</x:f>
        <x:v>Yes</x:v>
      </x:c>
    </x:row>
    <x:row r="357">
      <x:c r="A357" s="170" t="str">
        <x:f>IF(ROWS($A$5:A357)&lt;=COUNTA('Raw Decommissioning'!$B$2:$B$1000),INDEX('Raw Decommissioning'!$B$2:$B$1000,ROWS($A$5:A357)),IF(ROWS($A$5:A357)-COUNTA('Raw Decommissioning'!$B$2:$B$1000)&lt;=COUNTA('Raw Provisioning'!$B$2:$B$1000),INDEX('Raw Provisioning'!$B$2:$B$1000,ROWS($A$5:A357)-COUNTA('Raw Decommissioning'!$B$2:$B$1000)),""))</x:f>
        <x:v>CSSP10872182</x:v>
      </x:c>
      <x:c r="B357" s="170" t="str">
        <x:f>IF(A357="","",IF(ROWS($A$5:A357)&lt;=COUNTA('Raw Decommissioning'!$B$2:$B$1000),"Decommissioning","Provisioning"))</x:f>
        <x:v>Decommissioning</x:v>
      </x:c>
      <x:c r="C357" s="170" t="str">
        <x:f>IF(A357="","",IF(B357="Decommissioning",IFERROR(INDEX('Raw Decommissioning'!$E$2:$E$1000,MATCH(A357,'Raw Decommissioning'!$B$2:$B$1000,0)),"Missing from latest raw"),IFERROR(INDEX('Raw Provisioning'!$E$2:$E$1000,MATCH(A357,'Raw Provisioning'!$B$2:$B$1000,0)),"Missing from latest raw")))</x:f>
        <x:v>pending</x:v>
      </x:c>
      <x:c r="D357" s="171" t="n">
        <x:f>IF(A357="","",'Refresh Control'!$B$4)</x:f>
        <x:v>46254</x:v>
      </x:c>
      <x:c r="E357" s="171" t="n">
        <x:f>IF(A357="","",IF(B357="Decommissioning",INDEX('Raw Decommissioning'!$F$2:$F$1000,ROWS($A$5:A357)),INDEX('Raw Provisioning'!$F$2:$F$1000,ROWS($A$5:A357)-COUNTA('Raw Decommissioning'!$B$2:$B$1000))))</x:f>
        <x:v>46240.19440221065</x:v>
      </x:c>
      <x:c r="F357" s="171" t="n">
        <x:f>IF(A357="","",IF(B357="Decommissioning",INDEX('Raw Decommissioning'!$G$2:$G$1000,ROWS($A$5:A357)),INDEX('Raw Provisioning'!$H$2:$H$1000,ROWS($A$5:A357)-COUNTA('Raw Decommissioning'!$B$2:$B$1000))))</x:f>
        <x:v>46240.19500856481</x:v>
      </x:c>
      <x:c r="G357" s="170" t="str">
        <x:f>IF(A357="","",IF(B357="Decommissioning",INDEX('Raw Decommissioning'!$I$2:$I$1000,ROWS($A$5:A357)),INDEX('Raw Provisioning'!$J$2:$J$1000,ROWS($A$5:A357)-COUNTA('Raw Decommissioning'!$B$2:$B$1000))))</x:f>
        <x:v>Cyber Security Privileged Identity Management - PIM</x:v>
      </x:c>
      <x:c r="H357" s="170" t="str">
        <x:f>IF(A357="","",IF(B357="Decommissioning",INDEX('Raw Decommissioning'!$J$2:$J$1000,ROWS($A$5:A357)),INDEX('Raw Provisioning'!$L$2:$L$1000,ROWS($A$5:A357)-COUNTA('Raw Decommissioning'!$B$2:$B$1000))))</x:f>
        <x:v>Provisioning and Deployment AWS of Privileged Identity Management (PIM) for PETRONAS</x:v>
      </x:c>
      <x:c r="I357" s="170" t="str">
        <x:f>IF(A357="","",IF(B357="Decommissioning",INDEX('Raw Decommissioning'!$AL$2:$AL$1000,ROWS($A$5:A357)),INDEX('Raw Provisioning'!$R$2:$R$1000,ROWS($A$5:A357)-COUNTA('Raw Decommissioning'!$B$2:$B$1000))))</x:f>
      </x:c>
      <x:c r="J357" s="170" t="str">
        <x:f>IF(A357="","",IF(B357="Decommissioning",INDEX('Raw Decommissioning'!$AG$2:$AG$1000,ROWS($A$5:A357)),INDEX('Raw Provisioning'!$AI$2:$AI$1000,ROWS($A$5:A357)-COUNTA('Raw Decommissioning'!$B$2:$B$1000))))</x:f>
        <x:v>IMS - CLOUD CSSP EXECUTOR</x:v>
      </x:c>
      <x:c r="K357" s="172" t="str">
        <x:f>IF(A357="","",IFERROR(LOOKUP(2,1/('Assignment History'!$B$5:$B$204=A357),'Assignment History'!$D$5:$D$204),IFERROR(VLOOKUP(J357,Configuration!$L$5:$M$50,2,FALSE),J357)))</x:f>
        <x:v>IMS - CLOUD CSSP EXECUTOR</x:v>
      </x:c>
      <x:c r="L357" s="172" t="str">
        <x:f>IF(A357="","",IF(K357=IFERROR(VLOOKUP(J357,Configuration!$L$5:$M$50,2,FALSE),J357),"Snapshot PIC","Replacement PIC"))</x:f>
        <x:v>Snapshot PIC</x:v>
      </x:c>
      <x:c r="M357" s="172" t="n">
        <x:f>IF(A357="","",IFERROR(VLOOKUP(I357,Configuration!$O$5:$P$8,2,FALSE),Configuration!$S$6))</x:f>
        <x:v>2</x:v>
      </x:c>
      <x:c r="N357" s="172" t="str">
        <x:f>IF(A357="","",IFERROR(LOOKUP(2,1/('Scope Review'!$B$5:$B$204=A357),'Scope Review'!$G$5:$G$204),"Not Reviewed"))</x:f>
        <x:v>Not Reviewed</x:v>
      </x:c>
      <x:c r="O357" s="172" t="str">
        <x:f>IF(A357="","",IFERROR(LOOKUP(2,1/('Scope Review'!$B$5:$B$204=A357),'Scope Review'!$H$5:$H$204),""))</x:f>
      </x:c>
      <x:c r="P357" s="172" t="n">
        <x:f>IF(A357="","",IF(AND(C357="executing",N357&lt;&gt;"Confirmed OOS"),M357,0))</x:f>
        <x:v>0</x:v>
      </x:c>
      <x:c r="Q357" s="173" t="str">
        <x:f>IF(A357="","",IFERROR(LOOKUP(2,1/('Engineer Updates'!$B$5:$B$704=A357),'Engineer Updates'!$A$5:$A$704),""))</x:f>
      </x:c>
      <x:c r="R357" s="172" t="str">
        <x:f>IF(A357="","",IFERROR(LOOKUP(2,1/('Engineer Updates'!$B$5:$B$704=A357),'Engineer Updates'!$H$5:$H$704),""))</x:f>
      </x:c>
      <x:c r="S357" s="172" t="str">
        <x:f>IF(A357="","",IFERROR(LOOKUP(2,1/('Engineer Updates'!$B$5:$B$704=A357),'Engineer Updates'!$G$5:$G$704),""))</x:f>
      </x:c>
      <x:c r="T357" s="172" t="str">
        <x:f>IF(A357="","",IFERROR(LOOKUP(2,1/('Engineer Updates'!$B$5:$B$704=A357),'Engineer Updates'!$I$5:$I$704),""))</x:f>
      </x:c>
      <x:c r="U357" s="172" t="str">
        <x:f>IF(A357="","",IFERROR(LOOKUP(2,1/('Engineer Updates'!$B$5:$B$704=A357),'Engineer Updates'!$J$5:$J$704),""))</x:f>
      </x:c>
      <x:c r="V357" s="172" t="str">
        <x:f>IF(A357="","",IFERROR(LOOKUP(2,1/('Engineer Updates'!$B$5:$B$704=A357),'Engineer Updates'!$K$5:$K$704),""))</x:f>
      </x:c>
      <x:c r="W357" s="174" t="str">
        <x:f>IF(A357="","",IFERROR(LOOKUP(2,1/('Engineer Updates'!$B$5:$B$704=A357),'Engineer Updates'!$L$5:$L$704),""))</x:f>
      </x:c>
      <x:c r="X357" s="170" t="str">
        <x:f>IF(A357="","",IF(C357="completed","Completed in CSSP",IF(AND(C357="executing",ISERROR(SEARCH("@",K357))),"Executing without named engineer",IF(AND(N357="Confirmed OOS",C357="executing"),"Confirmed OOS still executing",""))))</x:f>
      </x:c>
      <x:c r="Y357" s="170" t="str">
        <x:f>IF(A357="","",IF(B357="Decommissioning","Raw Decommissioning","Raw Provisioning"))</x:f>
        <x:v>Raw Decommissioning</x:v>
      </x:c>
      <x:c r="Z357" s="170" t="str">
        <x:f>IF(A357="","",IF(OR(C357="executing",C357="processing"),"Yes","No"))</x:f>
        <x:v>No</x:v>
      </x:c>
    </x:row>
    <x:row r="358">
      <x:c r="A358" s="170" t="str">
        <x:f>IF(ROWS($A$5:A358)&lt;=COUNTA('Raw Decommissioning'!$B$2:$B$1000),INDEX('Raw Decommissioning'!$B$2:$B$1000,ROWS($A$5:A358)),IF(ROWS($A$5:A358)-COUNTA('Raw Decommissioning'!$B$2:$B$1000)&lt;=COUNTA('Raw Provisioning'!$B$2:$B$1000),INDEX('Raw Provisioning'!$B$2:$B$1000,ROWS($A$5:A358)-COUNTA('Raw Decommissioning'!$B$2:$B$1000)),""))</x:f>
        <x:v>CSSP10945256</x:v>
      </x:c>
      <x:c r="B358" s="170" t="str">
        <x:f>IF(A358="","",IF(ROWS($A$5:A358)&lt;=COUNTA('Raw Decommissioning'!$B$2:$B$1000),"Decommissioning","Provisioning"))</x:f>
        <x:v>Decommissioning</x:v>
      </x:c>
      <x:c r="C358" s="170" t="str">
        <x:f>IF(A358="","",IF(B358="Decommissioning",IFERROR(INDEX('Raw Decommissioning'!$E$2:$E$1000,MATCH(A358,'Raw Decommissioning'!$B$2:$B$1000,0)),"Missing from latest raw"),IFERROR(INDEX('Raw Provisioning'!$E$2:$E$1000,MATCH(A358,'Raw Provisioning'!$B$2:$B$1000,0)),"Missing from latest raw")))</x:f>
        <x:v>executing</x:v>
      </x:c>
      <x:c r="D358" s="171" t="n">
        <x:f>IF(A358="","",'Refresh Control'!$B$4)</x:f>
        <x:v>46254</x:v>
      </x:c>
      <x:c r="E358" s="171" t="n">
        <x:f>IF(A358="","",IF(B358="Decommissioning",INDEX('Raw Decommissioning'!$F$2:$F$1000,ROWS($A$5:A358)),INDEX('Raw Provisioning'!$F$2:$F$1000,ROWS($A$5:A358)-COUNTA('Raw Decommissioning'!$B$2:$B$1000))))</x:f>
        <x:v>46241.083838125</x:v>
      </x:c>
      <x:c r="F358" s="171" t="n">
        <x:f>IF(A358="","",IF(B358="Decommissioning",INDEX('Raw Decommissioning'!$G$2:$G$1000,ROWS($A$5:A358)),INDEX('Raw Provisioning'!$H$2:$H$1000,ROWS($A$5:A358)-COUNTA('Raw Decommissioning'!$B$2:$B$1000))))</x:f>
        <x:v>46246.64713709491</x:v>
      </x:c>
      <x:c r="G358" s="170" t="str">
        <x:f>IF(A358="","",IF(B358="Decommissioning",INDEX('Raw Decommissioning'!$I$2:$I$1000,ROWS($A$5:A358)),INDEX('Raw Provisioning'!$J$2:$J$1000,ROWS($A$5:A358)-COUNTA('Raw Decommissioning'!$B$2:$B$1000))))</x:f>
        <x:v>Plant Information - PI Enterprise</x:v>
      </x:c>
      <x:c r="H358" s="170" t="str">
        <x:f>IF(A358="","",IF(B358="Decommissioning",INDEX('Raw Decommissioning'!$J$2:$J$1000,ROWS($A$5:A358)),INDEX('Raw Provisioning'!$L$2:$L$1000,ROWS($A$5:A358)-COUNTA('Raw Decommissioning'!$B$2:$B$1000))))</x:f>
        <x:v>CTP Old to New LZ - PI Enterprise</x:v>
      </x:c>
      <x:c r="I358" s="170" t="str">
        <x:f>IF(A358="","",IF(B358="Decommissioning",INDEX('Raw Decommissioning'!$AL$2:$AL$1000,ROWS($A$5:A358)),INDEX('Raw Provisioning'!$R$2:$R$1000,ROWS($A$5:A358)-COUNTA('Raw Decommissioning'!$B$2:$B$1000))))</x:f>
        <x:v>L</x:v>
      </x:c>
      <x:c r="J358" s="170" t="str">
        <x:f>IF(A358="","",IF(B358="Decommissioning",INDEX('Raw Decommissioning'!$AG$2:$AG$1000,ROWS($A$5:A358)),INDEX('Raw Provisioning'!$AI$2:$AI$1000,ROWS($A$5:A358)-COUNTA('Raw Decommissioning'!$B$2:$B$1000))))</x:f>
        <x:v>swaminadh.chirakala@petronas.com</x:v>
      </x:c>
      <x:c r="K358" s="172" t="str">
        <x:f>IF(A358="","",IFERROR(LOOKUP(2,1/('Assignment History'!$B$5:$B$204=A358),'Assignment History'!$D$5:$D$204),IFERROR(VLOOKUP(J358,Configuration!$L$5:$M$50,2,FALSE),J358)))</x:f>
        <x:v>swaminadh.chirakala@petronas.com</x:v>
      </x:c>
      <x:c r="L358" s="172" t="str">
        <x:f>IF(A358="","",IF(K358=IFERROR(VLOOKUP(J358,Configuration!$L$5:$M$50,2,FALSE),J358),"Snapshot PIC","Replacement PIC"))</x:f>
        <x:v>Snapshot PIC</x:v>
      </x:c>
      <x:c r="M358" s="172" t="n">
        <x:f>IF(A358="","",IFERROR(VLOOKUP(I358,Configuration!$O$5:$P$8,2,FALSE),Configuration!$S$6))</x:f>
        <x:v>3</x:v>
      </x:c>
      <x:c r="N358" s="172" t="str">
        <x:f>IF(A358="","",IFERROR(LOOKUP(2,1/('Scope Review'!$B$5:$B$204=A358),'Scope Review'!$G$5:$G$204),"Not Reviewed"))</x:f>
        <x:v>Not Reviewed</x:v>
      </x:c>
      <x:c r="O358" s="172" t="str">
        <x:f>IF(A358="","",IFERROR(LOOKUP(2,1/('Scope Review'!$B$5:$B$204=A358),'Scope Review'!$H$5:$H$204),""))</x:f>
      </x:c>
      <x:c r="P358" s="172" t="n">
        <x:f>IF(A358="","",IF(AND(C358="executing",N358&lt;&gt;"Confirmed OOS"),M358,0))</x:f>
        <x:v>3</x:v>
      </x:c>
      <x:c r="Q358" s="173" t="n">
        <x:f>IF(A358="","",IFERROR(LOOKUP(2,1/('Engineer Updates'!$B$5:$B$704=A358),'Engineer Updates'!$A$5:$A$704),""))</x:f>
        <x:v>46251</x:v>
      </x:c>
      <x:c r="R358" s="172" t="str">
        <x:f>IF(A358="","",IFERROR(LOOKUP(2,1/('Engineer Updates'!$B$5:$B$704=A358),'Engineer Updates'!$H$5:$H$704),""))</x:f>
        <x:v>Not Started</x:v>
      </x:c>
      <x:c r="S358" s="172" t="str">
        <x:f>IF(A358="","",IFERROR(LOOKUP(2,1/('Engineer Updates'!$B$5:$B$704=A358),'Engineer Updates'!$G$5:$G$704),""))</x:f>
      </x:c>
      <x:c r="T358" s="172" t="str">
        <x:f>IF(A358="","",IFERROR(LOOKUP(2,1/('Engineer Updates'!$B$5:$B$704=A358),'Engineer Updates'!$I$5:$I$704),""))</x:f>
      </x:c>
      <x:c r="U358" s="172" t="str">
        <x:f>IF(A358="","",IFERROR(LOOKUP(2,1/('Engineer Updates'!$B$5:$B$704=A358),'Engineer Updates'!$J$5:$J$704),""))</x:f>
      </x:c>
      <x:c r="V358" s="172" t="str">
        <x:f>IF(A358="","",IFERROR(LOOKUP(2,1/('Engineer Updates'!$B$5:$B$704=A358),'Engineer Updates'!$K$5:$K$704),""))</x:f>
      </x:c>
      <x:c r="W358" s="174" t="str">
        <x:f>IF(A358="","",IFERROR(LOOKUP(2,1/('Engineer Updates'!$B$5:$B$704=A358),'Engineer Updates'!$L$5:$L$704),""))</x:f>
      </x:c>
      <x:c r="X358" s="170" t="str">
        <x:f>IF(A358="","",IF(C358="completed","Completed in CSSP",IF(AND(C358="executing",ISERROR(SEARCH("@",K358))),"Executing without named engineer",IF(AND(N358="Confirmed OOS",C358="executing"),"Confirmed OOS still executing",""))))</x:f>
      </x:c>
      <x:c r="Y358" s="170" t="str">
        <x:f>IF(A358="","",IF(B358="Decommissioning","Raw Decommissioning","Raw Provisioning"))</x:f>
        <x:v>Raw Decommissioning</x:v>
      </x:c>
      <x:c r="Z358" s="170" t="str">
        <x:f>IF(A358="","",IF(OR(C358="executing",C358="processing"),"Yes","No"))</x:f>
        <x:v>Yes</x:v>
      </x:c>
    </x:row>
    <x:row r="359">
      <x:c r="A359" s="170" t="str">
        <x:f>IF(ROWS($A$5:A359)&lt;=COUNTA('Raw Decommissioning'!$B$2:$B$1000),INDEX('Raw Decommissioning'!$B$2:$B$1000,ROWS($A$5:A359)),IF(ROWS($A$5:A359)-COUNTA('Raw Decommissioning'!$B$2:$B$1000)&lt;=COUNTA('Raw Provisioning'!$B$2:$B$1000),INDEX('Raw Provisioning'!$B$2:$B$1000,ROWS($A$5:A359)-COUNTA('Raw Decommissioning'!$B$2:$B$1000)),""))</x:f>
        <x:v>CSSP10520122</x:v>
      </x:c>
      <x:c r="B359" s="170" t="str">
        <x:f>IF(A359="","",IF(ROWS($A$5:A359)&lt;=COUNTA('Raw Decommissioning'!$B$2:$B$1000),"Decommissioning","Provisioning"))</x:f>
        <x:v>Decommissioning</x:v>
      </x:c>
      <x:c r="C359" s="170" t="str">
        <x:f>IF(A359="","",IF(B359="Decommissioning",IFERROR(INDEX('Raw Decommissioning'!$E$2:$E$1000,MATCH(A359,'Raw Decommissioning'!$B$2:$B$1000,0)),"Missing from latest raw"),IFERROR(INDEX('Raw Provisioning'!$E$2:$E$1000,MATCH(A359,'Raw Provisioning'!$B$2:$B$1000,0)),"Missing from latest raw")))</x:f>
        <x:v>cancelled</x:v>
      </x:c>
      <x:c r="D359" s="171" t="n">
        <x:f>IF(A359="","",'Refresh Control'!$B$4)</x:f>
        <x:v>46254</x:v>
      </x:c>
      <x:c r="E359" s="171" t="n">
        <x:f>IF(A359="","",IF(B359="Decommissioning",INDEX('Raw Decommissioning'!$F$2:$F$1000,ROWS($A$5:A359)),INDEX('Raw Provisioning'!$F$2:$F$1000,ROWS($A$5:A359)-COUNTA('Raw Decommissioning'!$B$2:$B$1000))))</x:f>
        <x:v>46241.09246346065</x:v>
      </x:c>
      <x:c r="F359" s="171" t="n">
        <x:f>IF(A359="","",IF(B359="Decommissioning",INDEX('Raw Decommissioning'!$G$2:$G$1000,ROWS($A$5:A359)),INDEX('Raw Provisioning'!$H$2:$H$1000,ROWS($A$5:A359)-COUNTA('Raw Decommissioning'!$B$2:$B$1000))))</x:f>
        <x:v>46241.093683032406</x:v>
      </x:c>
      <x:c r="G359" s="170" t="str">
        <x:f>IF(A359="","",IF(B359="Decommissioning",INDEX('Raw Decommissioning'!$I$2:$I$1000,ROWS($A$5:A359)),INDEX('Raw Provisioning'!$J$2:$J$1000,ROWS($A$5:A359)-COUNTA('Raw Decommissioning'!$B$2:$B$1000))))</x:f>
        <x:v>Plant Information - PI Enterprise</x:v>
      </x:c>
      <x:c r="H359" s="170" t="str">
        <x:f>IF(A359="","",IF(B359="Decommissioning",INDEX('Raw Decommissioning'!$J$2:$J$1000,ROWS($A$5:A359)),INDEX('Raw Provisioning'!$L$2:$L$1000,ROWS($A$5:A359)-COUNTA('Raw Decommissioning'!$B$2:$B$1000))))</x:f>
        <x:v>CTP Old to New LZ - PI Enterprise</x:v>
      </x:c>
      <x:c r="I359" s="170" t="str">
        <x:f>IF(A359="","",IF(B359="Decommissioning",INDEX('Raw Decommissioning'!$AL$2:$AL$1000,ROWS($A$5:A359)),INDEX('Raw Provisioning'!$R$2:$R$1000,ROWS($A$5:A359)-COUNTA('Raw Decommissioning'!$B$2:$B$1000))))</x:f>
      </x:c>
      <x:c r="J359" s="170" t="str">
        <x:f>IF(A359="","",IF(B359="Decommissioning",INDEX('Raw Decommissioning'!$AG$2:$AG$1000,ROWS($A$5:A359)),INDEX('Raw Provisioning'!$AI$2:$AI$1000,ROWS($A$5:A359)-COUNTA('Raw Decommissioning'!$B$2:$B$1000))))</x:f>
        <x:v>IMS - CLOUD CSSP EXECUTOR</x:v>
      </x:c>
      <x:c r="K359" s="172" t="str">
        <x:f>IF(A359="","",IFERROR(LOOKUP(2,1/('Assignment History'!$B$5:$B$204=A359),'Assignment History'!$D$5:$D$204),IFERROR(VLOOKUP(J359,Configuration!$L$5:$M$50,2,FALSE),J359)))</x:f>
        <x:v>IMS - CLOUD CSSP EXECUTOR</x:v>
      </x:c>
      <x:c r="L359" s="172" t="str">
        <x:f>IF(A359="","",IF(K359=IFERROR(VLOOKUP(J359,Configuration!$L$5:$M$50,2,FALSE),J359),"Snapshot PIC","Replacement PIC"))</x:f>
        <x:v>Snapshot PIC</x:v>
      </x:c>
      <x:c r="M359" s="172" t="n">
        <x:f>IF(A359="","",IFERROR(VLOOKUP(I359,Configuration!$O$5:$P$8,2,FALSE),Configuration!$S$6))</x:f>
        <x:v>2</x:v>
      </x:c>
      <x:c r="N359" s="172" t="str">
        <x:f>IF(A359="","",IFERROR(LOOKUP(2,1/('Scope Review'!$B$5:$B$204=A359),'Scope Review'!$G$5:$G$204),"Not Reviewed"))</x:f>
        <x:v>Not Reviewed</x:v>
      </x:c>
      <x:c r="O359" s="172" t="str">
        <x:f>IF(A359="","",IFERROR(LOOKUP(2,1/('Scope Review'!$B$5:$B$204=A359),'Scope Review'!$H$5:$H$204),""))</x:f>
      </x:c>
      <x:c r="P359" s="172" t="n">
        <x:f>IF(A359="","",IF(AND(C359="executing",N359&lt;&gt;"Confirmed OOS"),M359,0))</x:f>
        <x:v>0</x:v>
      </x:c>
      <x:c r="Q359" s="173" t="str">
        <x:f>IF(A359="","",IFERROR(LOOKUP(2,1/('Engineer Updates'!$B$5:$B$704=A359),'Engineer Updates'!$A$5:$A$704),""))</x:f>
      </x:c>
      <x:c r="R359" s="172" t="str">
        <x:f>IF(A359="","",IFERROR(LOOKUP(2,1/('Engineer Updates'!$B$5:$B$704=A359),'Engineer Updates'!$H$5:$H$704),""))</x:f>
      </x:c>
      <x:c r="S359" s="172" t="str">
        <x:f>IF(A359="","",IFERROR(LOOKUP(2,1/('Engineer Updates'!$B$5:$B$704=A359),'Engineer Updates'!$G$5:$G$704),""))</x:f>
      </x:c>
      <x:c r="T359" s="172" t="str">
        <x:f>IF(A359="","",IFERROR(LOOKUP(2,1/('Engineer Updates'!$B$5:$B$704=A359),'Engineer Updates'!$I$5:$I$704),""))</x:f>
      </x:c>
      <x:c r="U359" s="172" t="str">
        <x:f>IF(A359="","",IFERROR(LOOKUP(2,1/('Engineer Updates'!$B$5:$B$704=A359),'Engineer Updates'!$J$5:$J$704),""))</x:f>
      </x:c>
      <x:c r="V359" s="172" t="str">
        <x:f>IF(A359="","",IFERROR(LOOKUP(2,1/('Engineer Updates'!$B$5:$B$704=A359),'Engineer Updates'!$K$5:$K$704),""))</x:f>
      </x:c>
      <x:c r="W359" s="174" t="str">
        <x:f>IF(A359="","",IFERROR(LOOKUP(2,1/('Engineer Updates'!$B$5:$B$704=A359),'Engineer Updates'!$L$5:$L$704),""))</x:f>
      </x:c>
      <x:c r="X359" s="170" t="str">
        <x:f>IF(A359="","",IF(C359="completed","Completed in CSSP",IF(AND(C359="executing",ISERROR(SEARCH("@",K359))),"Executing without named engineer",IF(AND(N359="Confirmed OOS",C359="executing"),"Confirmed OOS still executing",""))))</x:f>
      </x:c>
      <x:c r="Y359" s="170" t="str">
        <x:f>IF(A359="","",IF(B359="Decommissioning","Raw Decommissioning","Raw Provisioning"))</x:f>
        <x:v>Raw Decommissioning</x:v>
      </x:c>
      <x:c r="Z359" s="170" t="str">
        <x:f>IF(A359="","",IF(OR(C359="executing",C359="processing"),"Yes","No"))</x:f>
        <x:v>No</x:v>
      </x:c>
    </x:row>
    <x:row r="360">
      <x:c r="A360" s="170" t="str">
        <x:f>IF(ROWS($A$5:A360)&lt;=COUNTA('Raw Decommissioning'!$B$2:$B$1000),INDEX('Raw Decommissioning'!$B$2:$B$1000,ROWS($A$5:A360)),IF(ROWS($A$5:A360)-COUNTA('Raw Decommissioning'!$B$2:$B$1000)&lt;=COUNTA('Raw Provisioning'!$B$2:$B$1000),INDEX('Raw Provisioning'!$B$2:$B$1000,ROWS($A$5:A360)-COUNTA('Raw Decommissioning'!$B$2:$B$1000)),""))</x:f>
        <x:v>CSSP10192895</x:v>
      </x:c>
      <x:c r="B360" s="170" t="str">
        <x:f>IF(A360="","",IF(ROWS($A$5:A360)&lt;=COUNTA('Raw Decommissioning'!$B$2:$B$1000),"Decommissioning","Provisioning"))</x:f>
        <x:v>Decommissioning</x:v>
      </x:c>
      <x:c r="C360" s="170" t="str">
        <x:f>IF(A360="","",IF(B360="Decommissioning",IFERROR(INDEX('Raw Decommissioning'!$E$2:$E$1000,MATCH(A360,'Raw Decommissioning'!$B$2:$B$1000,0)),"Missing from latest raw"),IFERROR(INDEX('Raw Provisioning'!$E$2:$E$1000,MATCH(A360,'Raw Provisioning'!$B$2:$B$1000,0)),"Missing from latest raw")))</x:f>
        <x:v>cancelled</x:v>
      </x:c>
      <x:c r="D360" s="171" t="n">
        <x:f>IF(A360="","",'Refresh Control'!$B$4)</x:f>
        <x:v>46254</x:v>
      </x:c>
      <x:c r="E360" s="171" t="n">
        <x:f>IF(A360="","",IF(B360="Decommissioning",INDEX('Raw Decommissioning'!$F$2:$F$1000,ROWS($A$5:A360)),INDEX('Raw Provisioning'!$F$2:$F$1000,ROWS($A$5:A360)-COUNTA('Raw Decommissioning'!$B$2:$B$1000))))</x:f>
        <x:v>46245.17669568287</x:v>
      </x:c>
      <x:c r="F360" s="171" t="n">
        <x:f>IF(A360="","",IF(B360="Decommissioning",INDEX('Raw Decommissioning'!$G$2:$G$1000,ROWS($A$5:A360)),INDEX('Raw Provisioning'!$H$2:$H$1000,ROWS($A$5:A360)-COUNTA('Raw Decommissioning'!$B$2:$B$1000))))</x:f>
        <x:v>46245.18291337963</x:v>
      </x:c>
      <x:c r="G360" s="170" t="str">
        <x:f>IF(A360="","",IF(B360="Decommissioning",INDEX('Raw Decommissioning'!$I$2:$I$1000,ROWS($A$5:A360)),INDEX('Raw Provisioning'!$J$2:$J$1000,ROWS($A$5:A360)-COUNTA('Raw Decommissioning'!$B$2:$B$1000))))</x:f>
        <x:v>OPTIMUS - THRONES</x:v>
      </x:c>
      <x:c r="H360" s="170" t="str">
        <x:f>IF(A360="","",IF(B360="Decommissioning",INDEX('Raw Decommissioning'!$J$2:$J$1000,ROWS($A$5:A360)),INDEX('Raw Provisioning'!$L$2:$L$1000,ROWS($A$5:A360)-COUNTA('Raw Decommissioning'!$B$2:$B$1000))))</x:f>
        <x:v>Cloud Migration Program - OPTIMUS 3.0 (THRONES)</x:v>
      </x:c>
      <x:c r="I360" s="170" t="str">
        <x:f>IF(A360="","",IF(B360="Decommissioning",INDEX('Raw Decommissioning'!$AL$2:$AL$1000,ROWS($A$5:A360)),INDEX('Raw Provisioning'!$R$2:$R$1000,ROWS($A$5:A360)-COUNTA('Raw Decommissioning'!$B$2:$B$1000))))</x:f>
      </x:c>
      <x:c r="J360" s="170" t="str">
        <x:f>IF(A360="","",IF(B360="Decommissioning",INDEX('Raw Decommissioning'!$AG$2:$AG$1000,ROWS($A$5:A360)),INDEX('Raw Provisioning'!$AI$2:$AI$1000,ROWS($A$5:A360)-COUNTA('Raw Decommissioning'!$B$2:$B$1000))))</x:f>
        <x:v>IMS - CLOUD CSSP EXECUTOR</x:v>
      </x:c>
      <x:c r="K360" s="172" t="str">
        <x:f>IF(A360="","",IFERROR(LOOKUP(2,1/('Assignment History'!$B$5:$B$204=A360),'Assignment History'!$D$5:$D$204),IFERROR(VLOOKUP(J360,Configuration!$L$5:$M$50,2,FALSE),J360)))</x:f>
        <x:v>IMS - CLOUD CSSP EXECUTOR</x:v>
      </x:c>
      <x:c r="L360" s="172" t="str">
        <x:f>IF(A360="","",IF(K360=IFERROR(VLOOKUP(J360,Configuration!$L$5:$M$50,2,FALSE),J360),"Snapshot PIC","Replacement PIC"))</x:f>
        <x:v>Snapshot PIC</x:v>
      </x:c>
      <x:c r="M360" s="172" t="n">
        <x:f>IF(A360="","",IFERROR(VLOOKUP(I360,Configuration!$O$5:$P$8,2,FALSE),Configuration!$S$6))</x:f>
        <x:v>2</x:v>
      </x:c>
      <x:c r="N360" s="172" t="str">
        <x:f>IF(A360="","",IFERROR(LOOKUP(2,1/('Scope Review'!$B$5:$B$204=A360),'Scope Review'!$G$5:$G$204),"Not Reviewed"))</x:f>
        <x:v>Not Reviewed</x:v>
      </x:c>
      <x:c r="O360" s="172" t="str">
        <x:f>IF(A360="","",IFERROR(LOOKUP(2,1/('Scope Review'!$B$5:$B$204=A360),'Scope Review'!$H$5:$H$204),""))</x:f>
      </x:c>
      <x:c r="P360" s="172" t="n">
        <x:f>IF(A360="","",IF(AND(C360="executing",N360&lt;&gt;"Confirmed OOS"),M360,0))</x:f>
        <x:v>0</x:v>
      </x:c>
      <x:c r="Q360" s="173" t="str">
        <x:f>IF(A360="","",IFERROR(LOOKUP(2,1/('Engineer Updates'!$B$5:$B$704=A360),'Engineer Updates'!$A$5:$A$704),""))</x:f>
      </x:c>
      <x:c r="R360" s="172" t="str">
        <x:f>IF(A360="","",IFERROR(LOOKUP(2,1/('Engineer Updates'!$B$5:$B$704=A360),'Engineer Updates'!$H$5:$H$704),""))</x:f>
      </x:c>
      <x:c r="S360" s="172" t="str">
        <x:f>IF(A360="","",IFERROR(LOOKUP(2,1/('Engineer Updates'!$B$5:$B$704=A360),'Engineer Updates'!$G$5:$G$704),""))</x:f>
      </x:c>
      <x:c r="T360" s="172" t="str">
        <x:f>IF(A360="","",IFERROR(LOOKUP(2,1/('Engineer Updates'!$B$5:$B$704=A360),'Engineer Updates'!$I$5:$I$704),""))</x:f>
      </x:c>
      <x:c r="U360" s="172" t="str">
        <x:f>IF(A360="","",IFERROR(LOOKUP(2,1/('Engineer Updates'!$B$5:$B$704=A360),'Engineer Updates'!$J$5:$J$704),""))</x:f>
      </x:c>
      <x:c r="V360" s="172" t="str">
        <x:f>IF(A360="","",IFERROR(LOOKUP(2,1/('Engineer Updates'!$B$5:$B$704=A360),'Engineer Updates'!$K$5:$K$704),""))</x:f>
      </x:c>
      <x:c r="W360" s="174" t="str">
        <x:f>IF(A360="","",IFERROR(LOOKUP(2,1/('Engineer Updates'!$B$5:$B$704=A360),'Engineer Updates'!$L$5:$L$704),""))</x:f>
      </x:c>
      <x:c r="X360" s="170" t="str">
        <x:f>IF(A360="","",IF(C360="completed","Completed in CSSP",IF(AND(C360="executing",ISERROR(SEARCH("@",K360))),"Executing without named engineer",IF(AND(N360="Confirmed OOS",C360="executing"),"Confirmed OOS still executing",""))))</x:f>
      </x:c>
      <x:c r="Y360" s="170" t="str">
        <x:f>IF(A360="","",IF(B360="Decommissioning","Raw Decommissioning","Raw Provisioning"))</x:f>
        <x:v>Raw Decommissioning</x:v>
      </x:c>
      <x:c r="Z360" s="170" t="str">
        <x:f>IF(A360="","",IF(OR(C360="executing",C360="processing"),"Yes","No"))</x:f>
        <x:v>No</x:v>
      </x:c>
    </x:row>
    <x:row r="361">
      <x:c r="A361" s="170" t="str">
        <x:f>IF(ROWS($A$5:A361)&lt;=COUNTA('Raw Decommissioning'!$B$2:$B$1000),INDEX('Raw Decommissioning'!$B$2:$B$1000,ROWS($A$5:A361)),IF(ROWS($A$5:A361)-COUNTA('Raw Decommissioning'!$B$2:$B$1000)&lt;=COUNTA('Raw Provisioning'!$B$2:$B$1000),INDEX('Raw Provisioning'!$B$2:$B$1000,ROWS($A$5:A361)-COUNTA('Raw Decommissioning'!$B$2:$B$1000)),""))</x:f>
        <x:v>CSSP10293331</x:v>
      </x:c>
      <x:c r="B361" s="170" t="str">
        <x:f>IF(A361="","",IF(ROWS($A$5:A361)&lt;=COUNTA('Raw Decommissioning'!$B$2:$B$1000),"Decommissioning","Provisioning"))</x:f>
        <x:v>Decommissioning</x:v>
      </x:c>
      <x:c r="C361" s="170" t="str">
        <x:f>IF(A361="","",IF(B361="Decommissioning",IFERROR(INDEX('Raw Decommissioning'!$E$2:$E$1000,MATCH(A361,'Raw Decommissioning'!$B$2:$B$1000,0)),"Missing from latest raw"),IFERROR(INDEX('Raw Provisioning'!$E$2:$E$1000,MATCH(A361,'Raw Provisioning'!$B$2:$B$1000,0)),"Missing from latest raw")))</x:f>
        <x:v>pending</x:v>
      </x:c>
      <x:c r="D361" s="171" t="n">
        <x:f>IF(A361="","",'Refresh Control'!$B$4)</x:f>
        <x:v>46254</x:v>
      </x:c>
      <x:c r="E361" s="171" t="n">
        <x:f>IF(A361="","",IF(B361="Decommissioning",INDEX('Raw Decommissioning'!$F$2:$F$1000,ROWS($A$5:A361)),INDEX('Raw Provisioning'!$F$2:$F$1000,ROWS($A$5:A361)-COUNTA('Raw Decommissioning'!$B$2:$B$1000))))</x:f>
        <x:v>46245.29785141204</x:v>
      </x:c>
      <x:c r="F361" s="171" t="n">
        <x:f>IF(A361="","",IF(B361="Decommissioning",INDEX('Raw Decommissioning'!$G$2:$G$1000,ROWS($A$5:A361)),INDEX('Raw Provisioning'!$H$2:$H$1000,ROWS($A$5:A361)-COUNTA('Raw Decommissioning'!$B$2:$B$1000))))</x:f>
        <x:v>46245.29785141204</x:v>
      </x:c>
      <x:c r="G361" s="170" t="str">
        <x:f>IF(A361="","",IF(B361="Decommissioning",INDEX('Raw Decommissioning'!$I$2:$I$1000,ROWS($A$5:A361)),INDEX('Raw Provisioning'!$J$2:$J$1000,ROWS($A$5:A361)-COUNTA('Raw Decommissioning'!$B$2:$B$1000))))</x:f>
        <x:v>RTMS</x:v>
      </x:c>
      <x:c r="H361" s="170" t="str">
        <x:f>IF(A361="","",IF(B361="Decommissioning",INDEX('Raw Decommissioning'!$J$2:$J$1000,ROWS($A$5:A361)),INDEX('Raw Provisioning'!$L$2:$L$1000,ROWS($A$5:A361)-COUNTA('Raw Decommissioning'!$B$2:$B$1000))))</x:f>
        <x:v>AWS Cloud Migration - RTMS (.NET)</x:v>
      </x:c>
      <x:c r="I361" s="170" t="str">
        <x:f>IF(A361="","",IF(B361="Decommissioning",INDEX('Raw Decommissioning'!$AL$2:$AL$1000,ROWS($A$5:A361)),INDEX('Raw Provisioning'!$R$2:$R$1000,ROWS($A$5:A361)-COUNTA('Raw Decommissioning'!$B$2:$B$1000))))</x:f>
      </x:c>
      <x:c r="J361" s="170" t="str">
        <x:f>IF(A361="","",IF(B361="Decommissioning",INDEX('Raw Decommissioning'!$AG$2:$AG$1000,ROWS($A$5:A361)),INDEX('Raw Provisioning'!$AI$2:$AI$1000,ROWS($A$5:A361)-COUNTA('Raw Decommissioning'!$B$2:$B$1000))))</x:f>
        <x:v>IMS - CLOUD CSSP EXECUTOR</x:v>
      </x:c>
      <x:c r="K361" s="172" t="str">
        <x:f>IF(A361="","",IFERROR(LOOKUP(2,1/('Assignment History'!$B$5:$B$204=A361),'Assignment History'!$D$5:$D$204),IFERROR(VLOOKUP(J361,Configuration!$L$5:$M$50,2,FALSE),J361)))</x:f>
        <x:v>IMS - CLOUD CSSP EXECUTOR</x:v>
      </x:c>
      <x:c r="L361" s="172" t="str">
        <x:f>IF(A361="","",IF(K361=IFERROR(VLOOKUP(J361,Configuration!$L$5:$M$50,2,FALSE),J361),"Snapshot PIC","Replacement PIC"))</x:f>
        <x:v>Snapshot PIC</x:v>
      </x:c>
      <x:c r="M361" s="172" t="n">
        <x:f>IF(A361="","",IFERROR(VLOOKUP(I361,Configuration!$O$5:$P$8,2,FALSE),Configuration!$S$6))</x:f>
        <x:v>2</x:v>
      </x:c>
      <x:c r="N361" s="172" t="str">
        <x:f>IF(A361="","",IFERROR(LOOKUP(2,1/('Scope Review'!$B$5:$B$204=A361),'Scope Review'!$G$5:$G$204),"Not Reviewed"))</x:f>
        <x:v>Not Reviewed</x:v>
      </x:c>
      <x:c r="O361" s="172" t="str">
        <x:f>IF(A361="","",IFERROR(LOOKUP(2,1/('Scope Review'!$B$5:$B$204=A361),'Scope Review'!$H$5:$H$204),""))</x:f>
      </x:c>
      <x:c r="P361" s="172" t="n">
        <x:f>IF(A361="","",IF(AND(C361="executing",N361&lt;&gt;"Confirmed OOS"),M361,0))</x:f>
        <x:v>0</x:v>
      </x:c>
      <x:c r="Q361" s="173" t="str">
        <x:f>IF(A361="","",IFERROR(LOOKUP(2,1/('Engineer Updates'!$B$5:$B$704=A361),'Engineer Updates'!$A$5:$A$704),""))</x:f>
      </x:c>
      <x:c r="R361" s="172" t="str">
        <x:f>IF(A361="","",IFERROR(LOOKUP(2,1/('Engineer Updates'!$B$5:$B$704=A361),'Engineer Updates'!$H$5:$H$704),""))</x:f>
      </x:c>
      <x:c r="S361" s="172" t="str">
        <x:f>IF(A361="","",IFERROR(LOOKUP(2,1/('Engineer Updates'!$B$5:$B$704=A361),'Engineer Updates'!$G$5:$G$704),""))</x:f>
      </x:c>
      <x:c r="T361" s="172" t="str">
        <x:f>IF(A361="","",IFERROR(LOOKUP(2,1/('Engineer Updates'!$B$5:$B$704=A361),'Engineer Updates'!$I$5:$I$704),""))</x:f>
      </x:c>
      <x:c r="U361" s="172" t="str">
        <x:f>IF(A361="","",IFERROR(LOOKUP(2,1/('Engineer Updates'!$B$5:$B$704=A361),'Engineer Updates'!$J$5:$J$704),""))</x:f>
      </x:c>
      <x:c r="V361" s="172" t="str">
        <x:f>IF(A361="","",IFERROR(LOOKUP(2,1/('Engineer Updates'!$B$5:$B$704=A361),'Engineer Updates'!$K$5:$K$704),""))</x:f>
      </x:c>
      <x:c r="W361" s="174" t="str">
        <x:f>IF(A361="","",IFERROR(LOOKUP(2,1/('Engineer Updates'!$B$5:$B$704=A361),'Engineer Updates'!$L$5:$L$704),""))</x:f>
      </x:c>
      <x:c r="X361" s="170" t="str">
        <x:f>IF(A361="","",IF(C361="completed","Completed in CSSP",IF(AND(C361="executing",ISERROR(SEARCH("@",K361))),"Executing without named engineer",IF(AND(N361="Confirmed OOS",C361="executing"),"Confirmed OOS still executing",""))))</x:f>
      </x:c>
      <x:c r="Y361" s="170" t="str">
        <x:f>IF(A361="","",IF(B361="Decommissioning","Raw Decommissioning","Raw Provisioning"))</x:f>
        <x:v>Raw Decommissioning</x:v>
      </x:c>
      <x:c r="Z361" s="170" t="str">
        <x:f>IF(A361="","",IF(OR(C361="executing",C361="processing"),"Yes","No"))</x:f>
        <x:v>No</x:v>
      </x:c>
    </x:row>
    <x:row r="362">
      <x:c r="A362" s="170" t="str">
        <x:f>IF(ROWS($A$5:A362)&lt;=COUNTA('Raw Decommissioning'!$B$2:$B$1000),INDEX('Raw Decommissioning'!$B$2:$B$1000,ROWS($A$5:A362)),IF(ROWS($A$5:A362)-COUNTA('Raw Decommissioning'!$B$2:$B$1000)&lt;=COUNTA('Raw Provisioning'!$B$2:$B$1000),INDEX('Raw Provisioning'!$B$2:$B$1000,ROWS($A$5:A362)-COUNTA('Raw Decommissioning'!$B$2:$B$1000)),""))</x:f>
        <x:v>CSSP10321088</x:v>
      </x:c>
      <x:c r="B362" s="170" t="str">
        <x:f>IF(A362="","",IF(ROWS($A$5:A362)&lt;=COUNTA('Raw Decommissioning'!$B$2:$B$1000),"Decommissioning","Provisioning"))</x:f>
        <x:v>Decommissioning</x:v>
      </x:c>
      <x:c r="C362" s="170" t="str">
        <x:f>IF(A362="","",IF(B362="Decommissioning",IFERROR(INDEX('Raw Decommissioning'!$E$2:$E$1000,MATCH(A362,'Raw Decommissioning'!$B$2:$B$1000,0)),"Missing from latest raw"),IFERROR(INDEX('Raw Provisioning'!$E$2:$E$1000,MATCH(A362,'Raw Provisioning'!$B$2:$B$1000,0)),"Missing from latest raw")))</x:f>
        <x:v>processing</x:v>
      </x:c>
      <x:c r="D362" s="171" t="n">
        <x:f>IF(A362="","",'Refresh Control'!$B$4)</x:f>
        <x:v>46254</x:v>
      </x:c>
      <x:c r="E362" s="171" t="n">
        <x:f>IF(A362="","",IF(B362="Decommissioning",INDEX('Raw Decommissioning'!$F$2:$F$1000,ROWS($A$5:A362)),INDEX('Raw Provisioning'!$F$2:$F$1000,ROWS($A$5:A362)-COUNTA('Raw Decommissioning'!$B$2:$B$1000))))</x:f>
        <x:v>46245.32008590278</x:v>
      </x:c>
      <x:c r="F362" s="171" t="n">
        <x:f>IF(A362="","",IF(B362="Decommissioning",INDEX('Raw Decommissioning'!$G$2:$G$1000,ROWS($A$5:A362)),INDEX('Raw Provisioning'!$H$2:$H$1000,ROWS($A$5:A362)-COUNTA('Raw Decommissioning'!$B$2:$B$1000))))</x:f>
        <x:v>46251.16826763889</x:v>
      </x:c>
      <x:c r="G362" s="170" t="str">
        <x:f>IF(A362="","",IF(B362="Decommissioning",INDEX('Raw Decommissioning'!$I$2:$I$1000,ROWS($A$5:A362)),INDEX('Raw Provisioning'!$J$2:$J$1000,ROWS($A$5:A362)-COUNTA('Raw Decommissioning'!$B$2:$B$1000))))</x:f>
        <x:v>RTMS</x:v>
      </x:c>
      <x:c r="H362" s="170" t="str">
        <x:f>IF(A362="","",IF(B362="Decommissioning",INDEX('Raw Decommissioning'!$J$2:$J$1000,ROWS($A$5:A362)),INDEX('Raw Provisioning'!$L$2:$L$1000,ROWS($A$5:A362)-COUNTA('Raw Decommissioning'!$B$2:$B$1000))))</x:f>
        <x:v>Cloud Migration Program - PPTSB RTMS</x:v>
      </x:c>
      <x:c r="I362" s="170" t="str">
        <x:f>IF(A362="","",IF(B362="Decommissioning",INDEX('Raw Decommissioning'!$AL$2:$AL$1000,ROWS($A$5:A362)),INDEX('Raw Provisioning'!$R$2:$R$1000,ROWS($A$5:A362)-COUNTA('Raw Decommissioning'!$B$2:$B$1000))))</x:f>
        <x:v>L</x:v>
      </x:c>
      <x:c r="J362" s="170" t="str">
        <x:f>IF(A362="","",IF(B362="Decommissioning",INDEX('Raw Decommissioning'!$AG$2:$AG$1000,ROWS($A$5:A362)),INDEX('Raw Provisioning'!$AI$2:$AI$1000,ROWS($A$5:A362)-COUNTA('Raw Decommissioning'!$B$2:$B$1000))))</x:f>
        <x:v>IMS - CLOUD CSSP EXECUTOR</x:v>
      </x:c>
      <x:c r="K362" s="172" t="str">
        <x:f>IF(A362="","",IFERROR(LOOKUP(2,1/('Assignment History'!$B$5:$B$204=A362),'Assignment History'!$D$5:$D$204),IFERROR(VLOOKUP(J362,Configuration!$L$5:$M$50,2,FALSE),J362)))</x:f>
        <x:v>IMS - CLOUD CSSP EXECUTOR</x:v>
      </x:c>
      <x:c r="L362" s="172" t="str">
        <x:f>IF(A362="","",IF(K362=IFERROR(VLOOKUP(J362,Configuration!$L$5:$M$50,2,FALSE),J362),"Snapshot PIC","Replacement PIC"))</x:f>
        <x:v>Snapshot PIC</x:v>
      </x:c>
      <x:c r="M362" s="172" t="n">
        <x:f>IF(A362="","",IFERROR(VLOOKUP(I362,Configuration!$O$5:$P$8,2,FALSE),Configuration!$S$6))</x:f>
        <x:v>3</x:v>
      </x:c>
      <x:c r="N362" s="172" t="str">
        <x:f>IF(A362="","",IFERROR(LOOKUP(2,1/('Scope Review'!$B$5:$B$204=A362),'Scope Review'!$G$5:$G$204),"Not Reviewed"))</x:f>
        <x:v>Not Reviewed</x:v>
      </x:c>
      <x:c r="O362" s="172" t="str">
        <x:f>IF(A362="","",IFERROR(LOOKUP(2,1/('Scope Review'!$B$5:$B$204=A362),'Scope Review'!$H$5:$H$204),""))</x:f>
      </x:c>
      <x:c r="P362" s="172" t="n">
        <x:f>IF(A362="","",IF(AND(C362="executing",N362&lt;&gt;"Confirmed OOS"),M362,0))</x:f>
        <x:v>0</x:v>
      </x:c>
      <x:c r="Q362" s="173" t="str">
        <x:f>IF(A362="","",IFERROR(LOOKUP(2,1/('Engineer Updates'!$B$5:$B$704=A362),'Engineer Updates'!$A$5:$A$704),""))</x:f>
      </x:c>
      <x:c r="R362" s="172" t="str">
        <x:f>IF(A362="","",IFERROR(LOOKUP(2,1/('Engineer Updates'!$B$5:$B$704=A362),'Engineer Updates'!$H$5:$H$704),""))</x:f>
      </x:c>
      <x:c r="S362" s="172" t="str">
        <x:f>IF(A362="","",IFERROR(LOOKUP(2,1/('Engineer Updates'!$B$5:$B$704=A362),'Engineer Updates'!$G$5:$G$704),""))</x:f>
      </x:c>
      <x:c r="T362" s="172" t="str">
        <x:f>IF(A362="","",IFERROR(LOOKUP(2,1/('Engineer Updates'!$B$5:$B$704=A362),'Engineer Updates'!$I$5:$I$704),""))</x:f>
      </x:c>
      <x:c r="U362" s="172" t="str">
        <x:f>IF(A362="","",IFERROR(LOOKUP(2,1/('Engineer Updates'!$B$5:$B$704=A362),'Engineer Updates'!$J$5:$J$704),""))</x:f>
      </x:c>
      <x:c r="V362" s="172" t="str">
        <x:f>IF(A362="","",IFERROR(LOOKUP(2,1/('Engineer Updates'!$B$5:$B$704=A362),'Engineer Updates'!$K$5:$K$704),""))</x:f>
      </x:c>
      <x:c r="W362" s="174" t="str">
        <x:f>IF(A362="","",IFERROR(LOOKUP(2,1/('Engineer Updates'!$B$5:$B$704=A362),'Engineer Updates'!$L$5:$L$704),""))</x:f>
      </x:c>
      <x:c r="X362" s="170" t="str">
        <x:f>IF(A362="","",IF(C362="completed","Completed in CSSP",IF(AND(C362="executing",ISERROR(SEARCH("@",K362))),"Executing without named engineer",IF(AND(N362="Confirmed OOS",C362="executing"),"Confirmed OOS still executing",""))))</x:f>
      </x:c>
      <x:c r="Y362" s="170" t="str">
        <x:f>IF(A362="","",IF(B362="Decommissioning","Raw Decommissioning","Raw Provisioning"))</x:f>
        <x:v>Raw Decommissioning</x:v>
      </x:c>
      <x:c r="Z362" s="170" t="str">
        <x:f>IF(A362="","",IF(OR(C362="executing",C362="processing"),"Yes","No"))</x:f>
        <x:v>Yes</x:v>
      </x:c>
    </x:row>
    <x:row r="363">
      <x:c r="A363" s="170" t="str">
        <x:f>IF(ROWS($A$5:A363)&lt;=COUNTA('Raw Decommissioning'!$B$2:$B$1000),INDEX('Raw Decommissioning'!$B$2:$B$1000,ROWS($A$5:A363)),IF(ROWS($A$5:A363)-COUNTA('Raw Decommissioning'!$B$2:$B$1000)&lt;=COUNTA('Raw Provisioning'!$B$2:$B$1000),INDEX('Raw Provisioning'!$B$2:$B$1000,ROWS($A$5:A363)-COUNTA('Raw Decommissioning'!$B$2:$B$1000)),""))</x:f>
        <x:v>CSSP10302644</x:v>
      </x:c>
      <x:c r="B363" s="170" t="str">
        <x:f>IF(A363="","",IF(ROWS($A$5:A363)&lt;=COUNTA('Raw Decommissioning'!$B$2:$B$1000),"Decommissioning","Provisioning"))</x:f>
        <x:v>Decommissioning</x:v>
      </x:c>
      <x:c r="C363" s="170" t="str">
        <x:f>IF(A363="","",IF(B363="Decommissioning",IFERROR(INDEX('Raw Decommissioning'!$E$2:$E$1000,MATCH(A363,'Raw Decommissioning'!$B$2:$B$1000,0)),"Missing from latest raw"),IFERROR(INDEX('Raw Provisioning'!$E$2:$E$1000,MATCH(A363,'Raw Provisioning'!$B$2:$B$1000,0)),"Missing from latest raw")))</x:f>
        <x:v>pending</x:v>
      </x:c>
      <x:c r="D363" s="171" t="n">
        <x:f>IF(A363="","",'Refresh Control'!$B$4)</x:f>
        <x:v>46254</x:v>
      </x:c>
      <x:c r="E363" s="171" t="n">
        <x:f>IF(A363="","",IF(B363="Decommissioning",INDEX('Raw Decommissioning'!$F$2:$F$1000,ROWS($A$5:A363)),INDEX('Raw Provisioning'!$F$2:$F$1000,ROWS($A$5:A363)-COUNTA('Raw Decommissioning'!$B$2:$B$1000))))</x:f>
        <x:v>46245.32164949074</x:v>
      </x:c>
      <x:c r="F363" s="171" t="n">
        <x:f>IF(A363="","",IF(B363="Decommissioning",INDEX('Raw Decommissioning'!$G$2:$G$1000,ROWS($A$5:A363)),INDEX('Raw Provisioning'!$H$2:$H$1000,ROWS($A$5:A363)-COUNTA('Raw Decommissioning'!$B$2:$B$1000))))</x:f>
        <x:v>46246.07721737269</x:v>
      </x:c>
      <x:c r="G363" s="170" t="str">
        <x:f>IF(A363="","",IF(B363="Decommissioning",INDEX('Raw Decommissioning'!$I$2:$I$1000,ROWS($A$5:A363)),INDEX('Raw Provisioning'!$J$2:$J$1000,ROWS($A$5:A363)-COUNTA('Raw Decommissioning'!$B$2:$B$1000))))</x:f>
        <x:v>ACL Robotics</x:v>
      </x:c>
      <x:c r="H363" s="170" t="str">
        <x:f>IF(A363="","",IF(B363="Decommissioning",INDEX('Raw Decommissioning'!$J$2:$J$1000,ROWS($A$5:A363)),INDEX('Raw Provisioning'!$L$2:$L$1000,ROWS($A$5:A363)-COUNTA('Raw Decommissioning'!$B$2:$B$1000))))</x:f>
        <x:v>Provision and Implementation of Computer Assisted Audit Tool for Group Internal Audit</x:v>
      </x:c>
      <x:c r="I363" s="170" t="str">
        <x:f>IF(A363="","",IF(B363="Decommissioning",INDEX('Raw Decommissioning'!$AL$2:$AL$1000,ROWS($A$5:A363)),INDEX('Raw Provisioning'!$R$2:$R$1000,ROWS($A$5:A363)-COUNTA('Raw Decommissioning'!$B$2:$B$1000))))</x:f>
      </x:c>
      <x:c r="J363" s="170" t="str">
        <x:f>IF(A363="","",IF(B363="Decommissioning",INDEX('Raw Decommissioning'!$AG$2:$AG$1000,ROWS($A$5:A363)),INDEX('Raw Provisioning'!$AI$2:$AI$1000,ROWS($A$5:A363)-COUNTA('Raw Decommissioning'!$B$2:$B$1000))))</x:f>
        <x:v>IMS - CLOUD CSSP EXECUTOR</x:v>
      </x:c>
      <x:c r="K363" s="172" t="str">
        <x:f>IF(A363="","",IFERROR(LOOKUP(2,1/('Assignment History'!$B$5:$B$204=A363),'Assignment History'!$D$5:$D$204),IFERROR(VLOOKUP(J363,Configuration!$L$5:$M$50,2,FALSE),J363)))</x:f>
        <x:v>IMS - CLOUD CSSP EXECUTOR</x:v>
      </x:c>
      <x:c r="L363" s="172" t="str">
        <x:f>IF(A363="","",IF(K363=IFERROR(VLOOKUP(J363,Configuration!$L$5:$M$50,2,FALSE),J363),"Snapshot PIC","Replacement PIC"))</x:f>
        <x:v>Snapshot PIC</x:v>
      </x:c>
      <x:c r="M363" s="172" t="n">
        <x:f>IF(A363="","",IFERROR(VLOOKUP(I363,Configuration!$O$5:$P$8,2,FALSE),Configuration!$S$6))</x:f>
        <x:v>2</x:v>
      </x:c>
      <x:c r="N363" s="172" t="str">
        <x:f>IF(A363="","",IFERROR(LOOKUP(2,1/('Scope Review'!$B$5:$B$204=A363),'Scope Review'!$G$5:$G$204),"Not Reviewed"))</x:f>
        <x:v>Not Reviewed</x:v>
      </x:c>
      <x:c r="O363" s="172" t="str">
        <x:f>IF(A363="","",IFERROR(LOOKUP(2,1/('Scope Review'!$B$5:$B$204=A363),'Scope Review'!$H$5:$H$204),""))</x:f>
      </x:c>
      <x:c r="P363" s="172" t="n">
        <x:f>IF(A363="","",IF(AND(C363="executing",N363&lt;&gt;"Confirmed OOS"),M363,0))</x:f>
        <x:v>0</x:v>
      </x:c>
      <x:c r="Q363" s="173" t="str">
        <x:f>IF(A363="","",IFERROR(LOOKUP(2,1/('Engineer Updates'!$B$5:$B$704=A363),'Engineer Updates'!$A$5:$A$704),""))</x:f>
      </x:c>
      <x:c r="R363" s="172" t="str">
        <x:f>IF(A363="","",IFERROR(LOOKUP(2,1/('Engineer Updates'!$B$5:$B$704=A363),'Engineer Updates'!$H$5:$H$704),""))</x:f>
      </x:c>
      <x:c r="S363" s="172" t="str">
        <x:f>IF(A363="","",IFERROR(LOOKUP(2,1/('Engineer Updates'!$B$5:$B$704=A363),'Engineer Updates'!$G$5:$G$704),""))</x:f>
      </x:c>
      <x:c r="T363" s="172" t="str">
        <x:f>IF(A363="","",IFERROR(LOOKUP(2,1/('Engineer Updates'!$B$5:$B$704=A363),'Engineer Updates'!$I$5:$I$704),""))</x:f>
      </x:c>
      <x:c r="U363" s="172" t="str">
        <x:f>IF(A363="","",IFERROR(LOOKUP(2,1/('Engineer Updates'!$B$5:$B$704=A363),'Engineer Updates'!$J$5:$J$704),""))</x:f>
      </x:c>
      <x:c r="V363" s="172" t="str">
        <x:f>IF(A363="","",IFERROR(LOOKUP(2,1/('Engineer Updates'!$B$5:$B$704=A363),'Engineer Updates'!$K$5:$K$704),""))</x:f>
      </x:c>
      <x:c r="W363" s="174" t="str">
        <x:f>IF(A363="","",IFERROR(LOOKUP(2,1/('Engineer Updates'!$B$5:$B$704=A363),'Engineer Updates'!$L$5:$L$704),""))</x:f>
      </x:c>
      <x:c r="X363" s="170" t="str">
        <x:f>IF(A363="","",IF(C363="completed","Completed in CSSP",IF(AND(C363="executing",ISERROR(SEARCH("@",K363))),"Executing without named engineer",IF(AND(N363="Confirmed OOS",C363="executing"),"Confirmed OOS still executing",""))))</x:f>
      </x:c>
      <x:c r="Y363" s="170" t="str">
        <x:f>IF(A363="","",IF(B363="Decommissioning","Raw Decommissioning","Raw Provisioning"))</x:f>
        <x:v>Raw Decommissioning</x:v>
      </x:c>
      <x:c r="Z363" s="170" t="str">
        <x:f>IF(A363="","",IF(OR(C363="executing",C363="processing"),"Yes","No"))</x:f>
        <x:v>No</x:v>
      </x:c>
    </x:row>
    <x:row r="364">
      <x:c r="A364" s="170" t="str">
        <x:f>IF(ROWS($A$5:A364)&lt;=COUNTA('Raw Decommissioning'!$B$2:$B$1000),INDEX('Raw Decommissioning'!$B$2:$B$1000,ROWS($A$5:A364)),IF(ROWS($A$5:A364)-COUNTA('Raw Decommissioning'!$B$2:$B$1000)&lt;=COUNTA('Raw Provisioning'!$B$2:$B$1000),INDEX('Raw Provisioning'!$B$2:$B$1000,ROWS($A$5:A364)-COUNTA('Raw Decommissioning'!$B$2:$B$1000)),""))</x:f>
        <x:v>CSSP10751371</x:v>
      </x:c>
      <x:c r="B364" s="170" t="str">
        <x:f>IF(A364="","",IF(ROWS($A$5:A364)&lt;=COUNTA('Raw Decommissioning'!$B$2:$B$1000),"Decommissioning","Provisioning"))</x:f>
        <x:v>Decommissioning</x:v>
      </x:c>
      <x:c r="C364" s="170" t="str">
        <x:f>IF(A364="","",IF(B364="Decommissioning",IFERROR(INDEX('Raw Decommissioning'!$E$2:$E$1000,MATCH(A364,'Raw Decommissioning'!$B$2:$B$1000,0)),"Missing from latest raw"),IFERROR(INDEX('Raw Provisioning'!$E$2:$E$1000,MATCH(A364,'Raw Provisioning'!$B$2:$B$1000,0)),"Missing from latest raw")))</x:f>
        <x:v>pending</x:v>
      </x:c>
      <x:c r="D364" s="171" t="n">
        <x:f>IF(A364="","",'Refresh Control'!$B$4)</x:f>
        <x:v>46254</x:v>
      </x:c>
      <x:c r="E364" s="171" t="n">
        <x:f>IF(A364="","",IF(B364="Decommissioning",INDEX('Raw Decommissioning'!$F$2:$F$1000,ROWS($A$5:A364)),INDEX('Raw Provisioning'!$F$2:$F$1000,ROWS($A$5:A364)-COUNTA('Raw Decommissioning'!$B$2:$B$1000))))</x:f>
        <x:v>46245.35406979167</x:v>
      </x:c>
      <x:c r="F364" s="171" t="n">
        <x:f>IF(A364="","",IF(B364="Decommissioning",INDEX('Raw Decommissioning'!$G$2:$G$1000,ROWS($A$5:A364)),INDEX('Raw Provisioning'!$H$2:$H$1000,ROWS($A$5:A364)-COUNTA('Raw Decommissioning'!$B$2:$B$1000))))</x:f>
        <x:v>46245.35406979167</x:v>
      </x:c>
      <x:c r="G364" s="170" t="str">
        <x:f>IF(A364="","",IF(B364="Decommissioning",INDEX('Raw Decommissioning'!$I$2:$I$1000,ROWS($A$5:A364)),INDEX('Raw Provisioning'!$J$2:$J$1000,ROWS($A$5:A364)-COUNTA('Raw Decommissioning'!$B$2:$B$1000))))</x:f>
        <x:v>RTMS</x:v>
      </x:c>
      <x:c r="H364" s="170" t="str">
        <x:f>IF(A364="","",IF(B364="Decommissioning",INDEX('Raw Decommissioning'!$J$2:$J$1000,ROWS($A$5:A364)),INDEX('Raw Provisioning'!$L$2:$L$1000,ROWS($A$5:A364)-COUNTA('Raw Decommissioning'!$B$2:$B$1000))))</x:f>
        <x:v>AWS Cloud Migration - RTMS (.NET)</x:v>
      </x:c>
      <x:c r="I364" s="170" t="str">
        <x:f>IF(A364="","",IF(B364="Decommissioning",INDEX('Raw Decommissioning'!$AL$2:$AL$1000,ROWS($A$5:A364)),INDEX('Raw Provisioning'!$R$2:$R$1000,ROWS($A$5:A364)-COUNTA('Raw Decommissioning'!$B$2:$B$1000))))</x:f>
      </x:c>
      <x:c r="J364" s="170" t="str">
        <x:f>IF(A364="","",IF(B364="Decommissioning",INDEX('Raw Decommissioning'!$AG$2:$AG$1000,ROWS($A$5:A364)),INDEX('Raw Provisioning'!$AI$2:$AI$1000,ROWS($A$5:A364)-COUNTA('Raw Decommissioning'!$B$2:$B$1000))))</x:f>
        <x:v>IMS - CLOUD CSSP EXECUTOR</x:v>
      </x:c>
      <x:c r="K364" s="172" t="str">
        <x:f>IF(A364="","",IFERROR(LOOKUP(2,1/('Assignment History'!$B$5:$B$204=A364),'Assignment History'!$D$5:$D$204),IFERROR(VLOOKUP(J364,Configuration!$L$5:$M$50,2,FALSE),J364)))</x:f>
        <x:v>IMS - CLOUD CSSP EXECUTOR</x:v>
      </x:c>
      <x:c r="L364" s="172" t="str">
        <x:f>IF(A364="","",IF(K364=IFERROR(VLOOKUP(J364,Configuration!$L$5:$M$50,2,FALSE),J364),"Snapshot PIC","Replacement PIC"))</x:f>
        <x:v>Snapshot PIC</x:v>
      </x:c>
      <x:c r="M364" s="172" t="n">
        <x:f>IF(A364="","",IFERROR(VLOOKUP(I364,Configuration!$O$5:$P$8,2,FALSE),Configuration!$S$6))</x:f>
        <x:v>2</x:v>
      </x:c>
      <x:c r="N364" s="172" t="str">
        <x:f>IF(A364="","",IFERROR(LOOKUP(2,1/('Scope Review'!$B$5:$B$204=A364),'Scope Review'!$G$5:$G$204),"Not Reviewed"))</x:f>
        <x:v>Not Reviewed</x:v>
      </x:c>
      <x:c r="O364" s="172" t="str">
        <x:f>IF(A364="","",IFERROR(LOOKUP(2,1/('Scope Review'!$B$5:$B$204=A364),'Scope Review'!$H$5:$H$204),""))</x:f>
      </x:c>
      <x:c r="P364" s="172" t="n">
        <x:f>IF(A364="","",IF(AND(C364="executing",N364&lt;&gt;"Confirmed OOS"),M364,0))</x:f>
        <x:v>0</x:v>
      </x:c>
      <x:c r="Q364" s="173" t="str">
        <x:f>IF(A364="","",IFERROR(LOOKUP(2,1/('Engineer Updates'!$B$5:$B$704=A364),'Engineer Updates'!$A$5:$A$704),""))</x:f>
      </x:c>
      <x:c r="R364" s="172" t="str">
        <x:f>IF(A364="","",IFERROR(LOOKUP(2,1/('Engineer Updates'!$B$5:$B$704=A364),'Engineer Updates'!$H$5:$H$704),""))</x:f>
      </x:c>
      <x:c r="S364" s="172" t="str">
        <x:f>IF(A364="","",IFERROR(LOOKUP(2,1/('Engineer Updates'!$B$5:$B$704=A364),'Engineer Updates'!$G$5:$G$704),""))</x:f>
      </x:c>
      <x:c r="T364" s="172" t="str">
        <x:f>IF(A364="","",IFERROR(LOOKUP(2,1/('Engineer Updates'!$B$5:$B$704=A364),'Engineer Updates'!$I$5:$I$704),""))</x:f>
      </x:c>
      <x:c r="U364" s="172" t="str">
        <x:f>IF(A364="","",IFERROR(LOOKUP(2,1/('Engineer Updates'!$B$5:$B$704=A364),'Engineer Updates'!$J$5:$J$704),""))</x:f>
      </x:c>
      <x:c r="V364" s="172" t="str">
        <x:f>IF(A364="","",IFERROR(LOOKUP(2,1/('Engineer Updates'!$B$5:$B$704=A364),'Engineer Updates'!$K$5:$K$704),""))</x:f>
      </x:c>
      <x:c r="W364" s="174" t="str">
        <x:f>IF(A364="","",IFERROR(LOOKUP(2,1/('Engineer Updates'!$B$5:$B$704=A364),'Engineer Updates'!$L$5:$L$704),""))</x:f>
      </x:c>
      <x:c r="X364" s="170" t="str">
        <x:f>IF(A364="","",IF(C364="completed","Completed in CSSP",IF(AND(C364="executing",ISERROR(SEARCH("@",K364))),"Executing without named engineer",IF(AND(N364="Confirmed OOS",C364="executing"),"Confirmed OOS still executing",""))))</x:f>
      </x:c>
      <x:c r="Y364" s="170" t="str">
        <x:f>IF(A364="","",IF(B364="Decommissioning","Raw Decommissioning","Raw Provisioning"))</x:f>
        <x:v>Raw Decommissioning</x:v>
      </x:c>
      <x:c r="Z364" s="170" t="str">
        <x:f>IF(A364="","",IF(OR(C364="executing",C364="processing"),"Yes","No"))</x:f>
        <x:v>No</x:v>
      </x:c>
    </x:row>
    <x:row r="365">
      <x:c r="A365" s="170" t="str">
        <x:f>IF(ROWS($A$5:A365)&lt;=COUNTA('Raw Decommissioning'!$B$2:$B$1000),INDEX('Raw Decommissioning'!$B$2:$B$1000,ROWS($A$5:A365)),IF(ROWS($A$5:A365)-COUNTA('Raw Decommissioning'!$B$2:$B$1000)&lt;=COUNTA('Raw Provisioning'!$B$2:$B$1000),INDEX('Raw Provisioning'!$B$2:$B$1000,ROWS($A$5:A365)-COUNTA('Raw Decommissioning'!$B$2:$B$1000)),""))</x:f>
        <x:v>CSSP10151695</x:v>
      </x:c>
      <x:c r="B365" s="170" t="str">
        <x:f>IF(A365="","",IF(ROWS($A$5:A365)&lt;=COUNTA('Raw Decommissioning'!$B$2:$B$1000),"Decommissioning","Provisioning"))</x:f>
        <x:v>Decommissioning</x:v>
      </x:c>
      <x:c r="C365" s="170" t="str">
        <x:f>IF(A365="","",IF(B365="Decommissioning",IFERROR(INDEX('Raw Decommissioning'!$E$2:$E$1000,MATCH(A365,'Raw Decommissioning'!$B$2:$B$1000,0)),"Missing from latest raw"),IFERROR(INDEX('Raw Provisioning'!$E$2:$E$1000,MATCH(A365,'Raw Provisioning'!$B$2:$B$1000,0)),"Missing from latest raw")))</x:f>
        <x:v>pending</x:v>
      </x:c>
      <x:c r="D365" s="171" t="n">
        <x:f>IF(A365="","",'Refresh Control'!$B$4)</x:f>
        <x:v>46254</x:v>
      </x:c>
      <x:c r="E365" s="171" t="n">
        <x:f>IF(A365="","",IF(B365="Decommissioning",INDEX('Raw Decommissioning'!$F$2:$F$1000,ROWS($A$5:A365)),INDEX('Raw Provisioning'!$F$2:$F$1000,ROWS($A$5:A365)-COUNTA('Raw Decommissioning'!$B$2:$B$1000))))</x:f>
        <x:v>46245.48525954861</x:v>
      </x:c>
      <x:c r="F365" s="171" t="n">
        <x:f>IF(A365="","",IF(B365="Decommissioning",INDEX('Raw Decommissioning'!$G$2:$G$1000,ROWS($A$5:A365)),INDEX('Raw Provisioning'!$H$2:$H$1000,ROWS($A$5:A365)-COUNTA('Raw Decommissioning'!$B$2:$B$1000))))</x:f>
        <x:v>46245.48525954861</x:v>
      </x:c>
      <x:c r="G365" s="170" t="str">
        <x:f>IF(A365="","",IF(B365="Decommissioning",INDEX('Raw Decommissioning'!$I$2:$I$1000,ROWS($A$5:A365)),INDEX('Raw Provisioning'!$J$2:$J$1000,ROWS($A$5:A365)-COUNTA('Raw Decommissioning'!$B$2:$B$1000))))</x:f>
        <x:v>SAP 50 ECC6</x:v>
      </x:c>
      <x:c r="H365" s="170" t="str">
        <x:f>IF(A365="","",IF(B365="Decommissioning",INDEX('Raw Decommissioning'!$J$2:$J$1000,ROWS($A$5:A365)),INDEX('Raw Provisioning'!$L$2:$L$1000,ROWS($A$5:A365)-COUNTA('Raw Decommissioning'!$B$2:$B$1000))))</x:f>
        <x:v>Cloud Migration Program - SAP ECC PDB ECC 6.0 (SAP ID 50 (P50, D50 &amp; T50)</x:v>
      </x:c>
      <x:c r="I365" s="170" t="str">
        <x:f>IF(A365="","",IF(B365="Decommissioning",INDEX('Raw Decommissioning'!$AL$2:$AL$1000,ROWS($A$5:A365)),INDEX('Raw Provisioning'!$R$2:$R$1000,ROWS($A$5:A365)-COUNTA('Raw Decommissioning'!$B$2:$B$1000))))</x:f>
      </x:c>
      <x:c r="J365" s="170" t="str">
        <x:f>IF(A365="","",IF(B365="Decommissioning",INDEX('Raw Decommissioning'!$AG$2:$AG$1000,ROWS($A$5:A365)),INDEX('Raw Provisioning'!$AI$2:$AI$1000,ROWS($A$5:A365)-COUNTA('Raw Decommissioning'!$B$2:$B$1000))))</x:f>
        <x:v>IMS - CLOUD CSSP EXECUTOR</x:v>
      </x:c>
      <x:c r="K365" s="172" t="str">
        <x:f>IF(A365="","",IFERROR(LOOKUP(2,1/('Assignment History'!$B$5:$B$204=A365),'Assignment History'!$D$5:$D$204),IFERROR(VLOOKUP(J365,Configuration!$L$5:$M$50,2,FALSE),J365)))</x:f>
        <x:v>IMS - CLOUD CSSP EXECUTOR</x:v>
      </x:c>
      <x:c r="L365" s="172" t="str">
        <x:f>IF(A365="","",IF(K365=IFERROR(VLOOKUP(J365,Configuration!$L$5:$M$50,2,FALSE),J365),"Snapshot PIC","Replacement PIC"))</x:f>
        <x:v>Snapshot PIC</x:v>
      </x:c>
      <x:c r="M365" s="172" t="n">
        <x:f>IF(A365="","",IFERROR(VLOOKUP(I365,Configuration!$O$5:$P$8,2,FALSE),Configuration!$S$6))</x:f>
        <x:v>2</x:v>
      </x:c>
      <x:c r="N365" s="172" t="str">
        <x:f>IF(A365="","",IFERROR(LOOKUP(2,1/('Scope Review'!$B$5:$B$204=A365),'Scope Review'!$G$5:$G$204),"Not Reviewed"))</x:f>
        <x:v>Not Reviewed</x:v>
      </x:c>
      <x:c r="O365" s="172" t="str">
        <x:f>IF(A365="","",IFERROR(LOOKUP(2,1/('Scope Review'!$B$5:$B$204=A365),'Scope Review'!$H$5:$H$204),""))</x:f>
      </x:c>
      <x:c r="P365" s="172" t="n">
        <x:f>IF(A365="","",IF(AND(C365="executing",N365&lt;&gt;"Confirmed OOS"),M365,0))</x:f>
        <x:v>0</x:v>
      </x:c>
      <x:c r="Q365" s="173" t="str">
        <x:f>IF(A365="","",IFERROR(LOOKUP(2,1/('Engineer Updates'!$B$5:$B$704=A365),'Engineer Updates'!$A$5:$A$704),""))</x:f>
      </x:c>
      <x:c r="R365" s="172" t="str">
        <x:f>IF(A365="","",IFERROR(LOOKUP(2,1/('Engineer Updates'!$B$5:$B$704=A365),'Engineer Updates'!$H$5:$H$704),""))</x:f>
      </x:c>
      <x:c r="S365" s="172" t="str">
        <x:f>IF(A365="","",IFERROR(LOOKUP(2,1/('Engineer Updates'!$B$5:$B$704=A365),'Engineer Updates'!$G$5:$G$704),""))</x:f>
      </x:c>
      <x:c r="T365" s="172" t="str">
        <x:f>IF(A365="","",IFERROR(LOOKUP(2,1/('Engineer Updates'!$B$5:$B$704=A365),'Engineer Updates'!$I$5:$I$704),""))</x:f>
      </x:c>
      <x:c r="U365" s="172" t="str">
        <x:f>IF(A365="","",IFERROR(LOOKUP(2,1/('Engineer Updates'!$B$5:$B$704=A365),'Engineer Updates'!$J$5:$J$704),""))</x:f>
      </x:c>
      <x:c r="V365" s="172" t="str">
        <x:f>IF(A365="","",IFERROR(LOOKUP(2,1/('Engineer Updates'!$B$5:$B$704=A365),'Engineer Updates'!$K$5:$K$704),""))</x:f>
      </x:c>
      <x:c r="W365" s="174" t="str">
        <x:f>IF(A365="","",IFERROR(LOOKUP(2,1/('Engineer Updates'!$B$5:$B$704=A365),'Engineer Updates'!$L$5:$L$704),""))</x:f>
      </x:c>
      <x:c r="X365" s="170" t="str">
        <x:f>IF(A365="","",IF(C365="completed","Completed in CSSP",IF(AND(C365="executing",ISERROR(SEARCH("@",K365))),"Executing without named engineer",IF(AND(N365="Confirmed OOS",C365="executing"),"Confirmed OOS still executing",""))))</x:f>
      </x:c>
      <x:c r="Y365" s="170" t="str">
        <x:f>IF(A365="","",IF(B365="Decommissioning","Raw Decommissioning","Raw Provisioning"))</x:f>
        <x:v>Raw Decommissioning</x:v>
      </x:c>
      <x:c r="Z365" s="170" t="str">
        <x:f>IF(A365="","",IF(OR(C365="executing",C365="processing"),"Yes","No"))</x:f>
        <x:v>No</x:v>
      </x:c>
    </x:row>
    <x:row r="366">
      <x:c r="A366" s="170" t="str">
        <x:f>IF(ROWS($A$5:A366)&lt;=COUNTA('Raw Decommissioning'!$B$2:$B$1000),INDEX('Raw Decommissioning'!$B$2:$B$1000,ROWS($A$5:A366)),IF(ROWS($A$5:A366)-COUNTA('Raw Decommissioning'!$B$2:$B$1000)&lt;=COUNTA('Raw Provisioning'!$B$2:$B$1000),INDEX('Raw Provisioning'!$B$2:$B$1000,ROWS($A$5:A366)-COUNTA('Raw Decommissioning'!$B$2:$B$1000)),""))</x:f>
        <x:v>CSSP10904064</x:v>
      </x:c>
      <x:c r="B366" s="170" t="str">
        <x:f>IF(A366="","",IF(ROWS($A$5:A366)&lt;=COUNTA('Raw Decommissioning'!$B$2:$B$1000),"Decommissioning","Provisioning"))</x:f>
        <x:v>Decommissioning</x:v>
      </x:c>
      <x:c r="C366" s="170" t="str">
        <x:f>IF(A366="","",IF(B366="Decommissioning",IFERROR(INDEX('Raw Decommissioning'!$E$2:$E$1000,MATCH(A366,'Raw Decommissioning'!$B$2:$B$1000,0)),"Missing from latest raw"),IFERROR(INDEX('Raw Provisioning'!$E$2:$E$1000,MATCH(A366,'Raw Provisioning'!$B$2:$B$1000,0)),"Missing from latest raw")))</x:f>
        <x:v>cancelled</x:v>
      </x:c>
      <x:c r="D366" s="171" t="n">
        <x:f>IF(A366="","",'Refresh Control'!$B$4)</x:f>
        <x:v>46254</x:v>
      </x:c>
      <x:c r="E366" s="171" t="n">
        <x:f>IF(A366="","",IF(B366="Decommissioning",INDEX('Raw Decommissioning'!$F$2:$F$1000,ROWS($A$5:A366)),INDEX('Raw Provisioning'!$F$2:$F$1000,ROWS($A$5:A366)-COUNTA('Raw Decommissioning'!$B$2:$B$1000))))</x:f>
        <x:v>46246.204025659725</x:v>
      </x:c>
      <x:c r="F366" s="171" t="n">
        <x:f>IF(A366="","",IF(B366="Decommissioning",INDEX('Raw Decommissioning'!$G$2:$G$1000,ROWS($A$5:A366)),INDEX('Raw Provisioning'!$H$2:$H$1000,ROWS($A$5:A366)-COUNTA('Raw Decommissioning'!$B$2:$B$1000))))</x:f>
        <x:v>46246.20477657407</x:v>
      </x:c>
      <x:c r="G366" s="170" t="str">
        <x:f>IF(A366="","",IF(B366="Decommissioning",INDEX('Raw Decommissioning'!$I$2:$I$1000,ROWS($A$5:A366)),INDEX('Raw Provisioning'!$J$2:$J$1000,ROWS($A$5:A366)-COUNTA('Raw Decommissioning'!$B$2:$B$1000))))</x:f>
        <x:v>OPTIMUS - THRONES</x:v>
      </x:c>
      <x:c r="H366" s="170" t="str">
        <x:f>IF(A366="","",IF(B366="Decommissioning",INDEX('Raw Decommissioning'!$J$2:$J$1000,ROWS($A$5:A366)),INDEX('Raw Provisioning'!$L$2:$L$1000,ROWS($A$5:A366)-COUNTA('Raw Decommissioning'!$B$2:$B$1000))))</x:f>
        <x:v>Cloud Migration Program - OPTIMUS 3.0 (THRONES)</x:v>
      </x:c>
      <x:c r="I366" s="170" t="str">
        <x:f>IF(A366="","",IF(B366="Decommissioning",INDEX('Raw Decommissioning'!$AL$2:$AL$1000,ROWS($A$5:A366)),INDEX('Raw Provisioning'!$R$2:$R$1000,ROWS($A$5:A366)-COUNTA('Raw Decommissioning'!$B$2:$B$1000))))</x:f>
      </x:c>
      <x:c r="J366" s="170" t="str">
        <x:f>IF(A366="","",IF(B366="Decommissioning",INDEX('Raw Decommissioning'!$AG$2:$AG$1000,ROWS($A$5:A366)),INDEX('Raw Provisioning'!$AI$2:$AI$1000,ROWS($A$5:A366)-COUNTA('Raw Decommissioning'!$B$2:$B$1000))))</x:f>
        <x:v>IMS - CLOUD CSSP EXECUTOR</x:v>
      </x:c>
      <x:c r="K366" s="172" t="str">
        <x:f>IF(A366="","",IFERROR(LOOKUP(2,1/('Assignment History'!$B$5:$B$204=A366),'Assignment History'!$D$5:$D$204),IFERROR(VLOOKUP(J366,Configuration!$L$5:$M$50,2,FALSE),J366)))</x:f>
        <x:v>IMS - CLOUD CSSP EXECUTOR</x:v>
      </x:c>
      <x:c r="L366" s="172" t="str">
        <x:f>IF(A366="","",IF(K366=IFERROR(VLOOKUP(J366,Configuration!$L$5:$M$50,2,FALSE),J366),"Snapshot PIC","Replacement PIC"))</x:f>
        <x:v>Snapshot PIC</x:v>
      </x:c>
      <x:c r="M366" s="172" t="n">
        <x:f>IF(A366="","",IFERROR(VLOOKUP(I366,Configuration!$O$5:$P$8,2,FALSE),Configuration!$S$6))</x:f>
        <x:v>2</x:v>
      </x:c>
      <x:c r="N366" s="172" t="str">
        <x:f>IF(A366="","",IFERROR(LOOKUP(2,1/('Scope Review'!$B$5:$B$204=A366),'Scope Review'!$G$5:$G$204),"Not Reviewed"))</x:f>
        <x:v>Not Reviewed</x:v>
      </x:c>
      <x:c r="O366" s="172" t="str">
        <x:f>IF(A366="","",IFERROR(LOOKUP(2,1/('Scope Review'!$B$5:$B$204=A366),'Scope Review'!$H$5:$H$204),""))</x:f>
      </x:c>
      <x:c r="P366" s="172" t="n">
        <x:f>IF(A366="","",IF(AND(C366="executing",N366&lt;&gt;"Confirmed OOS"),M366,0))</x:f>
        <x:v>0</x:v>
      </x:c>
      <x:c r="Q366" s="173" t="str">
        <x:f>IF(A366="","",IFERROR(LOOKUP(2,1/('Engineer Updates'!$B$5:$B$704=A366),'Engineer Updates'!$A$5:$A$704),""))</x:f>
      </x:c>
      <x:c r="R366" s="172" t="str">
        <x:f>IF(A366="","",IFERROR(LOOKUP(2,1/('Engineer Updates'!$B$5:$B$704=A366),'Engineer Updates'!$H$5:$H$704),""))</x:f>
      </x:c>
      <x:c r="S366" s="172" t="str">
        <x:f>IF(A366="","",IFERROR(LOOKUP(2,1/('Engineer Updates'!$B$5:$B$704=A366),'Engineer Updates'!$G$5:$G$704),""))</x:f>
      </x:c>
      <x:c r="T366" s="172" t="str">
        <x:f>IF(A366="","",IFERROR(LOOKUP(2,1/('Engineer Updates'!$B$5:$B$704=A366),'Engineer Updates'!$I$5:$I$704),""))</x:f>
      </x:c>
      <x:c r="U366" s="172" t="str">
        <x:f>IF(A366="","",IFERROR(LOOKUP(2,1/('Engineer Updates'!$B$5:$B$704=A366),'Engineer Updates'!$J$5:$J$704),""))</x:f>
      </x:c>
      <x:c r="V366" s="172" t="str">
        <x:f>IF(A366="","",IFERROR(LOOKUP(2,1/('Engineer Updates'!$B$5:$B$704=A366),'Engineer Updates'!$K$5:$K$704),""))</x:f>
      </x:c>
      <x:c r="W366" s="174" t="str">
        <x:f>IF(A366="","",IFERROR(LOOKUP(2,1/('Engineer Updates'!$B$5:$B$704=A366),'Engineer Updates'!$L$5:$L$704),""))</x:f>
      </x:c>
      <x:c r="X366" s="170" t="str">
        <x:f>IF(A366="","",IF(C366="completed","Completed in CSSP",IF(AND(C366="executing",ISERROR(SEARCH("@",K366))),"Executing without named engineer",IF(AND(N366="Confirmed OOS",C366="executing"),"Confirmed OOS still executing",""))))</x:f>
      </x:c>
      <x:c r="Y366" s="170" t="str">
        <x:f>IF(A366="","",IF(B366="Decommissioning","Raw Decommissioning","Raw Provisioning"))</x:f>
        <x:v>Raw Decommissioning</x:v>
      </x:c>
      <x:c r="Z366" s="170" t="str">
        <x:f>IF(A366="","",IF(OR(C366="executing",C366="processing"),"Yes","No"))</x:f>
        <x:v>No</x:v>
      </x:c>
    </x:row>
    <x:row r="367">
      <x:c r="A367" s="170" t="str">
        <x:f>IF(ROWS($A$5:A367)&lt;=COUNTA('Raw Decommissioning'!$B$2:$B$1000),INDEX('Raw Decommissioning'!$B$2:$B$1000,ROWS($A$5:A367)),IF(ROWS($A$5:A367)-COUNTA('Raw Decommissioning'!$B$2:$B$1000)&lt;=COUNTA('Raw Provisioning'!$B$2:$B$1000),INDEX('Raw Provisioning'!$B$2:$B$1000,ROWS($A$5:A367)-COUNTA('Raw Decommissioning'!$B$2:$B$1000)),""))</x:f>
        <x:v>CSSP10936121</x:v>
      </x:c>
      <x:c r="B367" s="170" t="str">
        <x:f>IF(A367="","",IF(ROWS($A$5:A367)&lt;=COUNTA('Raw Decommissioning'!$B$2:$B$1000),"Decommissioning","Provisioning"))</x:f>
        <x:v>Decommissioning</x:v>
      </x:c>
      <x:c r="C367" s="170" t="str">
        <x:f>IF(A367="","",IF(B367="Decommissioning",IFERROR(INDEX('Raw Decommissioning'!$E$2:$E$1000,MATCH(A367,'Raw Decommissioning'!$B$2:$B$1000,0)),"Missing from latest raw"),IFERROR(INDEX('Raw Provisioning'!$E$2:$E$1000,MATCH(A367,'Raw Provisioning'!$B$2:$B$1000,0)),"Missing from latest raw")))</x:f>
        <x:v>processing</x:v>
      </x:c>
      <x:c r="D367" s="171" t="n">
        <x:f>IF(A367="","",'Refresh Control'!$B$4)</x:f>
        <x:v>46254</x:v>
      </x:c>
      <x:c r="E367" s="171" t="n">
        <x:f>IF(A367="","",IF(B367="Decommissioning",INDEX('Raw Decommissioning'!$F$2:$F$1000,ROWS($A$5:A367)),INDEX('Raw Provisioning'!$F$2:$F$1000,ROWS($A$5:A367)-COUNTA('Raw Decommissioning'!$B$2:$B$1000))))</x:f>
        <x:v>46248.16969297454</x:v>
      </x:c>
      <x:c r="F367" s="171" t="n">
        <x:f>IF(A367="","",IF(B367="Decommissioning",INDEX('Raw Decommissioning'!$G$2:$G$1000,ROWS($A$5:A367)),INDEX('Raw Provisioning'!$H$2:$H$1000,ROWS($A$5:A367)-COUNTA('Raw Decommissioning'!$B$2:$B$1000))))</x:f>
        <x:v>46251.16871525463</x:v>
      </x:c>
      <x:c r="G367" s="170" t="str">
        <x:f>IF(A367="","",IF(B367="Decommissioning",INDEX('Raw Decommissioning'!$I$2:$I$1000,ROWS($A$5:A367)),INDEX('Raw Provisioning'!$J$2:$J$1000,ROWS($A$5:A367)-COUNTA('Raw Decommissioning'!$B$2:$B$1000))))</x:f>
        <x:v>Plant Information - PI PCASB</x:v>
      </x:c>
      <x:c r="H367" s="170" t="str">
        <x:f>IF(A367="","",IF(B367="Decommissioning",INDEX('Raw Decommissioning'!$J$2:$J$1000,ROWS($A$5:A367)),INDEX('Raw Provisioning'!$L$2:$L$1000,ROWS($A$5:A367)-COUNTA('Raw Decommissioning'!$B$2:$B$1000))))</x:f>
        <x:v>Implementation of PI Asset Framework (AF) and PI Vision for PCASB</x:v>
      </x:c>
      <x:c r="I367" s="170" t="str">
        <x:f>IF(A367="","",IF(B367="Decommissioning",INDEX('Raw Decommissioning'!$AL$2:$AL$1000,ROWS($A$5:A367)),INDEX('Raw Provisioning'!$R$2:$R$1000,ROWS($A$5:A367)-COUNTA('Raw Decommissioning'!$B$2:$B$1000))))</x:f>
        <x:v>L</x:v>
      </x:c>
      <x:c r="J367" s="170" t="str">
        <x:f>IF(A367="","",IF(B367="Decommissioning",INDEX('Raw Decommissioning'!$AG$2:$AG$1000,ROWS($A$5:A367)),INDEX('Raw Provisioning'!$AI$2:$AI$1000,ROWS($A$5:A367)-COUNTA('Raw Decommissioning'!$B$2:$B$1000))))</x:f>
        <x:v>IMS - CLOUD CSSP EXECUTOR</x:v>
      </x:c>
      <x:c r="K367" s="172" t="str">
        <x:f>IF(A367="","",IFERROR(LOOKUP(2,1/('Assignment History'!$B$5:$B$204=A367),'Assignment History'!$D$5:$D$204),IFERROR(VLOOKUP(J367,Configuration!$L$5:$M$50,2,FALSE),J367)))</x:f>
        <x:v>IMS - CLOUD CSSP EXECUTOR</x:v>
      </x:c>
      <x:c r="L367" s="172" t="str">
        <x:f>IF(A367="","",IF(K367=IFERROR(VLOOKUP(J367,Configuration!$L$5:$M$50,2,FALSE),J367),"Snapshot PIC","Replacement PIC"))</x:f>
        <x:v>Snapshot PIC</x:v>
      </x:c>
      <x:c r="M367" s="172" t="n">
        <x:f>IF(A367="","",IFERROR(VLOOKUP(I367,Configuration!$O$5:$P$8,2,FALSE),Configuration!$S$6))</x:f>
        <x:v>3</x:v>
      </x:c>
      <x:c r="N367" s="172" t="str">
        <x:f>IF(A367="","",IFERROR(LOOKUP(2,1/('Scope Review'!$B$5:$B$204=A367),'Scope Review'!$G$5:$G$204),"Not Reviewed"))</x:f>
        <x:v>Not Reviewed</x:v>
      </x:c>
      <x:c r="O367" s="172" t="str">
        <x:f>IF(A367="","",IFERROR(LOOKUP(2,1/('Scope Review'!$B$5:$B$204=A367),'Scope Review'!$H$5:$H$204),""))</x:f>
      </x:c>
      <x:c r="P367" s="172" t="n">
        <x:f>IF(A367="","",IF(AND(C367="executing",N367&lt;&gt;"Confirmed OOS"),M367,0))</x:f>
        <x:v>0</x:v>
      </x:c>
      <x:c r="Q367" s="173" t="str">
        <x:f>IF(A367="","",IFERROR(LOOKUP(2,1/('Engineer Updates'!$B$5:$B$704=A367),'Engineer Updates'!$A$5:$A$704),""))</x:f>
      </x:c>
      <x:c r="R367" s="172" t="str">
        <x:f>IF(A367="","",IFERROR(LOOKUP(2,1/('Engineer Updates'!$B$5:$B$704=A367),'Engineer Updates'!$H$5:$H$704),""))</x:f>
      </x:c>
      <x:c r="S367" s="172" t="str">
        <x:f>IF(A367="","",IFERROR(LOOKUP(2,1/('Engineer Updates'!$B$5:$B$704=A367),'Engineer Updates'!$G$5:$G$704),""))</x:f>
      </x:c>
      <x:c r="T367" s="172" t="str">
        <x:f>IF(A367="","",IFERROR(LOOKUP(2,1/('Engineer Updates'!$B$5:$B$704=A367),'Engineer Updates'!$I$5:$I$704),""))</x:f>
      </x:c>
      <x:c r="U367" s="172" t="str">
        <x:f>IF(A367="","",IFERROR(LOOKUP(2,1/('Engineer Updates'!$B$5:$B$704=A367),'Engineer Updates'!$J$5:$J$704),""))</x:f>
      </x:c>
      <x:c r="V367" s="172" t="str">
        <x:f>IF(A367="","",IFERROR(LOOKUP(2,1/('Engineer Updates'!$B$5:$B$704=A367),'Engineer Updates'!$K$5:$K$704),""))</x:f>
      </x:c>
      <x:c r="W367" s="174" t="str">
        <x:f>IF(A367="","",IFERROR(LOOKUP(2,1/('Engineer Updates'!$B$5:$B$704=A367),'Engineer Updates'!$L$5:$L$704),""))</x:f>
      </x:c>
      <x:c r="X367" s="170" t="str">
        <x:f>IF(A367="","",IF(C367="completed","Completed in CSSP",IF(AND(C367="executing",ISERROR(SEARCH("@",K367))),"Executing without named engineer",IF(AND(N367="Confirmed OOS",C367="executing"),"Confirmed OOS still executing",""))))</x:f>
      </x:c>
      <x:c r="Y367" s="170" t="str">
        <x:f>IF(A367="","",IF(B367="Decommissioning","Raw Decommissioning","Raw Provisioning"))</x:f>
        <x:v>Raw Decommissioning</x:v>
      </x:c>
      <x:c r="Z367" s="170" t="str">
        <x:f>IF(A367="","",IF(OR(C367="executing",C367="processing"),"Yes","No"))</x:f>
        <x:v>Yes</x:v>
      </x:c>
    </x:row>
    <x:row r="368">
      <x:c r="A368" s="170" t="str">
        <x:f>IF(ROWS($A$5:A368)&lt;=COUNTA('Raw Decommissioning'!$B$2:$B$1000),INDEX('Raw Decommissioning'!$B$2:$B$1000,ROWS($A$5:A368)),IF(ROWS($A$5:A368)-COUNTA('Raw Decommissioning'!$B$2:$B$1000)&lt;=COUNTA('Raw Provisioning'!$B$2:$B$1000),INDEX('Raw Provisioning'!$B$2:$B$1000,ROWS($A$5:A368)-COUNTA('Raw Decommissioning'!$B$2:$B$1000)),""))</x:f>
        <x:v>CSSP10377584</x:v>
      </x:c>
      <x:c r="B368" s="170" t="str">
        <x:f>IF(A368="","",IF(ROWS($A$5:A368)&lt;=COUNTA('Raw Decommissioning'!$B$2:$B$1000),"Decommissioning","Provisioning"))</x:f>
        <x:v>Decommissioning</x:v>
      </x:c>
      <x:c r="C368" s="170" t="str">
        <x:f>IF(A368="","",IF(B368="Decommissioning",IFERROR(INDEX('Raw Decommissioning'!$E$2:$E$1000,MATCH(A368,'Raw Decommissioning'!$B$2:$B$1000,0)),"Missing from latest raw"),IFERROR(INDEX('Raw Provisioning'!$E$2:$E$1000,MATCH(A368,'Raw Provisioning'!$B$2:$B$1000,0)),"Missing from latest raw")))</x:f>
        <x:v>pending</x:v>
      </x:c>
      <x:c r="D368" s="171" t="n">
        <x:f>IF(A368="","",'Refresh Control'!$B$4)</x:f>
        <x:v>46254</x:v>
      </x:c>
      <x:c r="E368" s="171" t="n">
        <x:f>IF(A368="","",IF(B368="Decommissioning",INDEX('Raw Decommissioning'!$F$2:$F$1000,ROWS($A$5:A368)),INDEX('Raw Provisioning'!$F$2:$F$1000,ROWS($A$5:A368)-COUNTA('Raw Decommissioning'!$B$2:$B$1000))))</x:f>
        <x:v>46248.24321545139</x:v>
      </x:c>
      <x:c r="F368" s="171" t="n">
        <x:f>IF(A368="","",IF(B368="Decommissioning",INDEX('Raw Decommissioning'!$G$2:$G$1000,ROWS($A$5:A368)),INDEX('Raw Provisioning'!$H$2:$H$1000,ROWS($A$5:A368)-COUNTA('Raw Decommissioning'!$B$2:$B$1000))))</x:f>
        <x:v>46248.24737641204</x:v>
      </x:c>
      <x:c r="G368" s="170" t="str">
        <x:f>IF(A368="","",IF(B368="Decommissioning",INDEX('Raw Decommissioning'!$I$2:$I$1000,ROWS($A$5:A368)),INDEX('Raw Provisioning'!$J$2:$J$1000,ROWS($A$5:A368)-COUNTA('Raw Decommissioning'!$B$2:$B$1000))))</x:f>
        <x:v>SAP 30 ECC6</x:v>
      </x:c>
      <x:c r="H368" s="170" t="str">
        <x:f>IF(A368="","",IF(B368="Decommissioning",INDEX('Raw Decommissioning'!$J$2:$J$1000,ROWS($A$5:A368)),INDEX('Raw Provisioning'!$L$2:$L$1000,ROWS($A$5:A368)-COUNTA('Raw Decommissioning'!$B$2:$B$1000))))</x:f>
        <x:v>Cloud Migration Program - PETRONAS Group ECC 6.0 (SAP30)</x:v>
      </x:c>
      <x:c r="I368" s="170" t="str">
        <x:f>IF(A368="","",IF(B368="Decommissioning",INDEX('Raw Decommissioning'!$AL$2:$AL$1000,ROWS($A$5:A368)),INDEX('Raw Provisioning'!$R$2:$R$1000,ROWS($A$5:A368)-COUNTA('Raw Decommissioning'!$B$2:$B$1000))))</x:f>
      </x:c>
      <x:c r="J368" s="170" t="str">
        <x:f>IF(A368="","",IF(B368="Decommissioning",INDEX('Raw Decommissioning'!$AG$2:$AG$1000,ROWS($A$5:A368)),INDEX('Raw Provisioning'!$AI$2:$AI$1000,ROWS($A$5:A368)-COUNTA('Raw Decommissioning'!$B$2:$B$1000))))</x:f>
        <x:v>IMS - CLOUD CSSP EXECUTOR</x:v>
      </x:c>
      <x:c r="K368" s="172" t="str">
        <x:f>IF(A368="","",IFERROR(LOOKUP(2,1/('Assignment History'!$B$5:$B$204=A368),'Assignment History'!$D$5:$D$204),IFERROR(VLOOKUP(J368,Configuration!$L$5:$M$50,2,FALSE),J368)))</x:f>
        <x:v>IMS - CLOUD CSSP EXECUTOR</x:v>
      </x:c>
      <x:c r="L368" s="172" t="str">
        <x:f>IF(A368="","",IF(K368=IFERROR(VLOOKUP(J368,Configuration!$L$5:$M$50,2,FALSE),J368),"Snapshot PIC","Replacement PIC"))</x:f>
        <x:v>Snapshot PIC</x:v>
      </x:c>
      <x:c r="M368" s="172" t="n">
        <x:f>IF(A368="","",IFERROR(VLOOKUP(I368,Configuration!$O$5:$P$8,2,FALSE),Configuration!$S$6))</x:f>
        <x:v>2</x:v>
      </x:c>
      <x:c r="N368" s="172" t="str">
        <x:f>IF(A368="","",IFERROR(LOOKUP(2,1/('Scope Review'!$B$5:$B$204=A368),'Scope Review'!$G$5:$G$204),"Not Reviewed"))</x:f>
        <x:v>Not Reviewed</x:v>
      </x:c>
      <x:c r="O368" s="172" t="str">
        <x:f>IF(A368="","",IFERROR(LOOKUP(2,1/('Scope Review'!$B$5:$B$204=A368),'Scope Review'!$H$5:$H$204),""))</x:f>
      </x:c>
      <x:c r="P368" s="172" t="n">
        <x:f>IF(A368="","",IF(AND(C368="executing",N368&lt;&gt;"Confirmed OOS"),M368,0))</x:f>
        <x:v>0</x:v>
      </x:c>
      <x:c r="Q368" s="173" t="str">
        <x:f>IF(A368="","",IFERROR(LOOKUP(2,1/('Engineer Updates'!$B$5:$B$704=A368),'Engineer Updates'!$A$5:$A$704),""))</x:f>
      </x:c>
      <x:c r="R368" s="172" t="str">
        <x:f>IF(A368="","",IFERROR(LOOKUP(2,1/('Engineer Updates'!$B$5:$B$704=A368),'Engineer Updates'!$H$5:$H$704),""))</x:f>
      </x:c>
      <x:c r="S368" s="172" t="str">
        <x:f>IF(A368="","",IFERROR(LOOKUP(2,1/('Engineer Updates'!$B$5:$B$704=A368),'Engineer Updates'!$G$5:$G$704),""))</x:f>
      </x:c>
      <x:c r="T368" s="172" t="str">
        <x:f>IF(A368="","",IFERROR(LOOKUP(2,1/('Engineer Updates'!$B$5:$B$704=A368),'Engineer Updates'!$I$5:$I$704),""))</x:f>
      </x:c>
      <x:c r="U368" s="172" t="str">
        <x:f>IF(A368="","",IFERROR(LOOKUP(2,1/('Engineer Updates'!$B$5:$B$704=A368),'Engineer Updates'!$J$5:$J$704),""))</x:f>
      </x:c>
      <x:c r="V368" s="172" t="str">
        <x:f>IF(A368="","",IFERROR(LOOKUP(2,1/('Engineer Updates'!$B$5:$B$704=A368),'Engineer Updates'!$K$5:$K$704),""))</x:f>
      </x:c>
      <x:c r="W368" s="174" t="str">
        <x:f>IF(A368="","",IFERROR(LOOKUP(2,1/('Engineer Updates'!$B$5:$B$704=A368),'Engineer Updates'!$L$5:$L$704),""))</x:f>
      </x:c>
      <x:c r="X368" s="170" t="str">
        <x:f>IF(A368="","",IF(C368="completed","Completed in CSSP",IF(AND(C368="executing",ISERROR(SEARCH("@",K368))),"Executing without named engineer",IF(AND(N368="Confirmed OOS",C368="executing"),"Confirmed OOS still executing",""))))</x:f>
      </x:c>
      <x:c r="Y368" s="170" t="str">
        <x:f>IF(A368="","",IF(B368="Decommissioning","Raw Decommissioning","Raw Provisioning"))</x:f>
        <x:v>Raw Decommissioning</x:v>
      </x:c>
      <x:c r="Z368" s="170" t="str">
        <x:f>IF(A368="","",IF(OR(C368="executing",C368="processing"),"Yes","No"))</x:f>
        <x:v>No</x:v>
      </x:c>
    </x:row>
    <x:row r="369">
      <x:c r="A369" s="170" t="str">
        <x:f>IF(ROWS($A$5:A369)&lt;=COUNTA('Raw Decommissioning'!$B$2:$B$1000),INDEX('Raw Decommissioning'!$B$2:$B$1000,ROWS($A$5:A369)),IF(ROWS($A$5:A369)-COUNTA('Raw Decommissioning'!$B$2:$B$1000)&lt;=COUNTA('Raw Provisioning'!$B$2:$B$1000),INDEX('Raw Provisioning'!$B$2:$B$1000,ROWS($A$5:A369)-COUNTA('Raw Decommissioning'!$B$2:$B$1000)),""))</x:f>
        <x:v>CSSP10694484</x:v>
      </x:c>
      <x:c r="B369" s="170" t="str">
        <x:f>IF(A369="","",IF(ROWS($A$5:A369)&lt;=COUNTA('Raw Decommissioning'!$B$2:$B$1000),"Decommissioning","Provisioning"))</x:f>
        <x:v>Decommissioning</x:v>
      </x:c>
      <x:c r="C369" s="170" t="str">
        <x:f>IF(A369="","",IF(B369="Decommissioning",IFERROR(INDEX('Raw Decommissioning'!$E$2:$E$1000,MATCH(A369,'Raw Decommissioning'!$B$2:$B$1000,0)),"Missing from latest raw"),IFERROR(INDEX('Raw Provisioning'!$E$2:$E$1000,MATCH(A369,'Raw Provisioning'!$B$2:$B$1000,0)),"Missing from latest raw")))</x:f>
        <x:v>pending</x:v>
      </x:c>
      <x:c r="D369" s="171" t="n">
        <x:f>IF(A369="","",'Refresh Control'!$B$4)</x:f>
        <x:v>46254</x:v>
      </x:c>
      <x:c r="E369" s="171" t="n">
        <x:f>IF(A369="","",IF(B369="Decommissioning",INDEX('Raw Decommissioning'!$F$2:$F$1000,ROWS($A$5:A369)),INDEX('Raw Provisioning'!$F$2:$F$1000,ROWS($A$5:A369)-COUNTA('Raw Decommissioning'!$B$2:$B$1000))))</x:f>
        <x:v>46248.250335150464</x:v>
      </x:c>
      <x:c r="F369" s="171" t="n">
        <x:f>IF(A369="","",IF(B369="Decommissioning",INDEX('Raw Decommissioning'!$G$2:$G$1000,ROWS($A$5:A369)),INDEX('Raw Provisioning'!$H$2:$H$1000,ROWS($A$5:A369)-COUNTA('Raw Decommissioning'!$B$2:$B$1000))))</x:f>
        <x:v>46248.25163240741</x:v>
      </x:c>
      <x:c r="G369" s="170" t="str">
        <x:f>IF(A369="","",IF(B369="Decommissioning",INDEX('Raw Decommissioning'!$I$2:$I$1000,ROWS($A$5:A369)),INDEX('Raw Provisioning'!$J$2:$J$1000,ROWS($A$5:A369)-COUNTA('Raw Decommissioning'!$B$2:$B$1000))))</x:f>
        <x:v>SAP 50 ECC6</x:v>
      </x:c>
      <x:c r="H369" s="170" t="str">
        <x:f>IF(A369="","",IF(B369="Decommissioning",INDEX('Raw Decommissioning'!$J$2:$J$1000,ROWS($A$5:A369)),INDEX('Raw Provisioning'!$L$2:$L$1000,ROWS($A$5:A369)-COUNTA('Raw Decommissioning'!$B$2:$B$1000))))</x:f>
        <x:v>Cloud Migration Program - SAP ECC PDB ECC 6.0 (SAP ID 50 (P50, D50 &amp; T50)</x:v>
      </x:c>
      <x:c r="I369" s="170" t="str">
        <x:f>IF(A369="","",IF(B369="Decommissioning",INDEX('Raw Decommissioning'!$AL$2:$AL$1000,ROWS($A$5:A369)),INDEX('Raw Provisioning'!$R$2:$R$1000,ROWS($A$5:A369)-COUNTA('Raw Decommissioning'!$B$2:$B$1000))))</x:f>
      </x:c>
      <x:c r="J369" s="170" t="str">
        <x:f>IF(A369="","",IF(B369="Decommissioning",INDEX('Raw Decommissioning'!$AG$2:$AG$1000,ROWS($A$5:A369)),INDEX('Raw Provisioning'!$AI$2:$AI$1000,ROWS($A$5:A369)-COUNTA('Raw Decommissioning'!$B$2:$B$1000))))</x:f>
        <x:v>IMS - CLOUD CSSP EXECUTOR</x:v>
      </x:c>
      <x:c r="K369" s="172" t="str">
        <x:f>IF(A369="","",IFERROR(LOOKUP(2,1/('Assignment History'!$B$5:$B$204=A369),'Assignment History'!$D$5:$D$204),IFERROR(VLOOKUP(J369,Configuration!$L$5:$M$50,2,FALSE),J369)))</x:f>
        <x:v>IMS - CLOUD CSSP EXECUTOR</x:v>
      </x:c>
      <x:c r="L369" s="172" t="str">
        <x:f>IF(A369="","",IF(K369=IFERROR(VLOOKUP(J369,Configuration!$L$5:$M$50,2,FALSE),J369),"Snapshot PIC","Replacement PIC"))</x:f>
        <x:v>Snapshot PIC</x:v>
      </x:c>
      <x:c r="M369" s="172" t="n">
        <x:f>IF(A369="","",IFERROR(VLOOKUP(I369,Configuration!$O$5:$P$8,2,FALSE),Configuration!$S$6))</x:f>
        <x:v>2</x:v>
      </x:c>
      <x:c r="N369" s="172" t="str">
        <x:f>IF(A369="","",IFERROR(LOOKUP(2,1/('Scope Review'!$B$5:$B$204=A369),'Scope Review'!$G$5:$G$204),"Not Reviewed"))</x:f>
        <x:v>Not Reviewed</x:v>
      </x:c>
      <x:c r="O369" s="172" t="str">
        <x:f>IF(A369="","",IFERROR(LOOKUP(2,1/('Scope Review'!$B$5:$B$204=A369),'Scope Review'!$H$5:$H$204),""))</x:f>
      </x:c>
      <x:c r="P369" s="172" t="n">
        <x:f>IF(A369="","",IF(AND(C369="executing",N369&lt;&gt;"Confirmed OOS"),M369,0))</x:f>
        <x:v>0</x:v>
      </x:c>
      <x:c r="Q369" s="173" t="str">
        <x:f>IF(A369="","",IFERROR(LOOKUP(2,1/('Engineer Updates'!$B$5:$B$704=A369),'Engineer Updates'!$A$5:$A$704),""))</x:f>
      </x:c>
      <x:c r="R369" s="172" t="str">
        <x:f>IF(A369="","",IFERROR(LOOKUP(2,1/('Engineer Updates'!$B$5:$B$704=A369),'Engineer Updates'!$H$5:$H$704),""))</x:f>
      </x:c>
      <x:c r="S369" s="172" t="str">
        <x:f>IF(A369="","",IFERROR(LOOKUP(2,1/('Engineer Updates'!$B$5:$B$704=A369),'Engineer Updates'!$G$5:$G$704),""))</x:f>
      </x:c>
      <x:c r="T369" s="172" t="str">
        <x:f>IF(A369="","",IFERROR(LOOKUP(2,1/('Engineer Updates'!$B$5:$B$704=A369),'Engineer Updates'!$I$5:$I$704),""))</x:f>
      </x:c>
      <x:c r="U369" s="172" t="str">
        <x:f>IF(A369="","",IFERROR(LOOKUP(2,1/('Engineer Updates'!$B$5:$B$704=A369),'Engineer Updates'!$J$5:$J$704),""))</x:f>
      </x:c>
      <x:c r="V369" s="172" t="str">
        <x:f>IF(A369="","",IFERROR(LOOKUP(2,1/('Engineer Updates'!$B$5:$B$704=A369),'Engineer Updates'!$K$5:$K$704),""))</x:f>
      </x:c>
      <x:c r="W369" s="174" t="str">
        <x:f>IF(A369="","",IFERROR(LOOKUP(2,1/('Engineer Updates'!$B$5:$B$704=A369),'Engineer Updates'!$L$5:$L$704),""))</x:f>
      </x:c>
      <x:c r="X369" s="170" t="str">
        <x:f>IF(A369="","",IF(C369="completed","Completed in CSSP",IF(AND(C369="executing",ISERROR(SEARCH("@",K369))),"Executing without named engineer",IF(AND(N369="Confirmed OOS",C369="executing"),"Confirmed OOS still executing",""))))</x:f>
      </x:c>
      <x:c r="Y369" s="170" t="str">
        <x:f>IF(A369="","",IF(B369="Decommissioning","Raw Decommissioning","Raw Provisioning"))</x:f>
        <x:v>Raw Decommissioning</x:v>
      </x:c>
      <x:c r="Z369" s="170" t="str">
        <x:f>IF(A369="","",IF(OR(C369="executing",C369="processing"),"Yes","No"))</x:f>
        <x:v>No</x:v>
      </x:c>
    </x:row>
    <x:row r="370">
      <x:c r="A370" s="170" t="str">
        <x:f>IF(ROWS($A$5:A370)&lt;=COUNTA('Raw Decommissioning'!$B$2:$B$1000),INDEX('Raw Decommissioning'!$B$2:$B$1000,ROWS($A$5:A370)),IF(ROWS($A$5:A370)-COUNTA('Raw Decommissioning'!$B$2:$B$1000)&lt;=COUNTA('Raw Provisioning'!$B$2:$B$1000),INDEX('Raw Provisioning'!$B$2:$B$1000,ROWS($A$5:A370)-COUNTA('Raw Decommissioning'!$B$2:$B$1000)),""))</x:f>
        <x:v>CSSP10715182</x:v>
      </x:c>
      <x:c r="B370" s="170" t="str">
        <x:f>IF(A370="","",IF(ROWS($A$5:A370)&lt;=COUNTA('Raw Decommissioning'!$B$2:$B$1000),"Decommissioning","Provisioning"))</x:f>
        <x:v>Decommissioning</x:v>
      </x:c>
      <x:c r="C370" s="170" t="str">
        <x:f>IF(A370="","",IF(B370="Decommissioning",IFERROR(INDEX('Raw Decommissioning'!$E$2:$E$1000,MATCH(A370,'Raw Decommissioning'!$B$2:$B$1000,0)),"Missing from latest raw"),IFERROR(INDEX('Raw Provisioning'!$E$2:$E$1000,MATCH(A370,'Raw Provisioning'!$B$2:$B$1000,0)),"Missing from latest raw")))</x:f>
        <x:v>processing</x:v>
      </x:c>
      <x:c r="D370" s="171" t="n">
        <x:f>IF(A370="","",'Refresh Control'!$B$4)</x:f>
        <x:v>46254</x:v>
      </x:c>
      <x:c r="E370" s="171" t="n">
        <x:f>IF(A370="","",IF(B370="Decommissioning",INDEX('Raw Decommissioning'!$F$2:$F$1000,ROWS($A$5:A370)),INDEX('Raw Provisioning'!$F$2:$F$1000,ROWS($A$5:A370)-COUNTA('Raw Decommissioning'!$B$2:$B$1000))))</x:f>
        <x:v>46251.28395030092</x:v>
      </x:c>
      <x:c r="F370" s="171" t="n">
        <x:f>IF(A370="","",IF(B370="Decommissioning",INDEX('Raw Decommissioning'!$G$2:$G$1000,ROWS($A$5:A370)),INDEX('Raw Provisioning'!$H$2:$H$1000,ROWS($A$5:A370)-COUNTA('Raw Decommissioning'!$B$2:$B$1000))))</x:f>
        <x:v>46251.315905</x:v>
      </x:c>
      <x:c r="G370" s="170" t="str">
        <x:f>IF(A370="","",IF(B370="Decommissioning",INDEX('Raw Decommissioning'!$I$2:$I$1000,ROWS($A$5:A370)),INDEX('Raw Provisioning'!$J$2:$J$1000,ROWS($A$5:A370)-COUNTA('Raw Decommissioning'!$B$2:$B$1000))))</x:f>
        <x:v>Claim Tracking System - CTS</x:v>
      </x:c>
      <x:c r="H370" s="170" t="str">
        <x:f>IF(A370="","",IF(B370="Decommissioning",INDEX('Raw Decommissioning'!$J$2:$J$1000,ROWS($A$5:A370)),INDEX('Raw Provisioning'!$L$2:$L$1000,ROWS($A$5:A370)-COUNTA('Raw Decommissioning'!$B$2:$B$1000))))</x:f>
        <x:v>Cloud Migration Program - Claim Tracking System (CTS)</x:v>
      </x:c>
      <x:c r="I370" s="170" t="str">
        <x:f>IF(A370="","",IF(B370="Decommissioning",INDEX('Raw Decommissioning'!$AL$2:$AL$1000,ROWS($A$5:A370)),INDEX('Raw Provisioning'!$R$2:$R$1000,ROWS($A$5:A370)-COUNTA('Raw Decommissioning'!$B$2:$B$1000))))</x:f>
      </x:c>
      <x:c r="J370" s="170" t="str">
        <x:f>IF(A370="","",IF(B370="Decommissioning",INDEX('Raw Decommissioning'!$AG$2:$AG$1000,ROWS($A$5:A370)),INDEX('Raw Provisioning'!$AI$2:$AI$1000,ROWS($A$5:A370)-COUNTA('Raw Decommissioning'!$B$2:$B$1000))))</x:f>
        <x:v>IMS - CLOUD CSSP EXECUTOR</x:v>
      </x:c>
      <x:c r="K370" s="172" t="str">
        <x:f>IF(A370="","",IFERROR(LOOKUP(2,1/('Assignment History'!$B$5:$B$204=A370),'Assignment History'!$D$5:$D$204),IFERROR(VLOOKUP(J370,Configuration!$L$5:$M$50,2,FALSE),J370)))</x:f>
        <x:v>IMS - CLOUD CSSP EXECUTOR</x:v>
      </x:c>
      <x:c r="L370" s="172" t="str">
        <x:f>IF(A370="","",IF(K370=IFERROR(VLOOKUP(J370,Configuration!$L$5:$M$50,2,FALSE),J370),"Snapshot PIC","Replacement PIC"))</x:f>
        <x:v>Snapshot PIC</x:v>
      </x:c>
      <x:c r="M370" s="172" t="n">
        <x:f>IF(A370="","",IFERROR(VLOOKUP(I370,Configuration!$O$5:$P$8,2,FALSE),Configuration!$S$6))</x:f>
        <x:v>2</x:v>
      </x:c>
      <x:c r="N370" s="172" t="str">
        <x:f>IF(A370="","",IFERROR(LOOKUP(2,1/('Scope Review'!$B$5:$B$204=A370),'Scope Review'!$G$5:$G$204),"Not Reviewed"))</x:f>
        <x:v>Not Reviewed</x:v>
      </x:c>
      <x:c r="O370" s="172" t="str">
        <x:f>IF(A370="","",IFERROR(LOOKUP(2,1/('Scope Review'!$B$5:$B$204=A370),'Scope Review'!$H$5:$H$204),""))</x:f>
      </x:c>
      <x:c r="P370" s="172" t="n">
        <x:f>IF(A370="","",IF(AND(C370="executing",N370&lt;&gt;"Confirmed OOS"),M370,0))</x:f>
        <x:v>0</x:v>
      </x:c>
      <x:c r="Q370" s="173" t="str">
        <x:f>IF(A370="","",IFERROR(LOOKUP(2,1/('Engineer Updates'!$B$5:$B$704=A370),'Engineer Updates'!$A$5:$A$704),""))</x:f>
      </x:c>
      <x:c r="R370" s="172" t="str">
        <x:f>IF(A370="","",IFERROR(LOOKUP(2,1/('Engineer Updates'!$B$5:$B$704=A370),'Engineer Updates'!$H$5:$H$704),""))</x:f>
      </x:c>
      <x:c r="S370" s="172" t="str">
        <x:f>IF(A370="","",IFERROR(LOOKUP(2,1/('Engineer Updates'!$B$5:$B$704=A370),'Engineer Updates'!$G$5:$G$704),""))</x:f>
      </x:c>
      <x:c r="T370" s="172" t="str">
        <x:f>IF(A370="","",IFERROR(LOOKUP(2,1/('Engineer Updates'!$B$5:$B$704=A370),'Engineer Updates'!$I$5:$I$704),""))</x:f>
      </x:c>
      <x:c r="U370" s="172" t="str">
        <x:f>IF(A370="","",IFERROR(LOOKUP(2,1/('Engineer Updates'!$B$5:$B$704=A370),'Engineer Updates'!$J$5:$J$704),""))</x:f>
      </x:c>
      <x:c r="V370" s="172" t="str">
        <x:f>IF(A370="","",IFERROR(LOOKUP(2,1/('Engineer Updates'!$B$5:$B$704=A370),'Engineer Updates'!$K$5:$K$704),""))</x:f>
      </x:c>
      <x:c r="W370" s="174" t="str">
        <x:f>IF(A370="","",IFERROR(LOOKUP(2,1/('Engineer Updates'!$B$5:$B$704=A370),'Engineer Updates'!$L$5:$L$704),""))</x:f>
      </x:c>
      <x:c r="X370" s="170" t="str">
        <x:f>IF(A370="","",IF(C370="completed","Completed in CSSP",IF(AND(C370="executing",ISERROR(SEARCH("@",K370))),"Executing without named engineer",IF(AND(N370="Confirmed OOS",C370="executing"),"Confirmed OOS still executing",""))))</x:f>
      </x:c>
      <x:c r="Y370" s="170" t="str">
        <x:f>IF(A370="","",IF(B370="Decommissioning","Raw Decommissioning","Raw Provisioning"))</x:f>
        <x:v>Raw Decommissioning</x:v>
      </x:c>
      <x:c r="Z370" s="170" t="str">
        <x:f>IF(A370="","",IF(OR(C370="executing",C370="processing"),"Yes","No"))</x:f>
        <x:v>Yes</x:v>
      </x:c>
    </x:row>
    <x:row r="371">
      <x:c r="A371" s="170" t="str">
        <x:f>IF(ROWS($A$5:A371)&lt;=COUNTA('Raw Decommissioning'!$B$2:$B$1000),INDEX('Raw Decommissioning'!$B$2:$B$1000,ROWS($A$5:A371)),IF(ROWS($A$5:A371)-COUNTA('Raw Decommissioning'!$B$2:$B$1000)&lt;=COUNTA('Raw Provisioning'!$B$2:$B$1000),INDEX('Raw Provisioning'!$B$2:$B$1000,ROWS($A$5:A371)-COUNTA('Raw Decommissioning'!$B$2:$B$1000)),""))</x:f>
        <x:v>CSSP10200937</x:v>
      </x:c>
      <x:c r="B371" s="170" t="str">
        <x:f>IF(A371="","",IF(ROWS($A$5:A371)&lt;=COUNTA('Raw Decommissioning'!$B$2:$B$1000),"Decommissioning","Provisioning"))</x:f>
        <x:v>Decommissioning</x:v>
      </x:c>
      <x:c r="C371" s="170" t="str">
        <x:f>IF(A371="","",IF(B371="Decommissioning",IFERROR(INDEX('Raw Decommissioning'!$E$2:$E$1000,MATCH(A371,'Raw Decommissioning'!$B$2:$B$1000,0)),"Missing from latest raw"),IFERROR(INDEX('Raw Provisioning'!$E$2:$E$1000,MATCH(A371,'Raw Provisioning'!$B$2:$B$1000,0)),"Missing from latest raw")))</x:f>
        <x:v>pending</x:v>
      </x:c>
      <x:c r="D371" s="171" t="n">
        <x:f>IF(A371="","",'Refresh Control'!$B$4)</x:f>
        <x:v>46254</x:v>
      </x:c>
      <x:c r="E371" s="171" t="n">
        <x:f>IF(A371="","",IF(B371="Decommissioning",INDEX('Raw Decommissioning'!$F$2:$F$1000,ROWS($A$5:A371)),INDEX('Raw Provisioning'!$F$2:$F$1000,ROWS($A$5:A371)-COUNTA('Raw Decommissioning'!$B$2:$B$1000))))</x:f>
        <x:v>46251.295693506945</x:v>
      </x:c>
      <x:c r="F371" s="171" t="n">
        <x:f>IF(A371="","",IF(B371="Decommissioning",INDEX('Raw Decommissioning'!$G$2:$G$1000,ROWS($A$5:A371)),INDEX('Raw Provisioning'!$H$2:$H$1000,ROWS($A$5:A371)-COUNTA('Raw Decommissioning'!$B$2:$B$1000))))</x:f>
        <x:v>46251.29633204861</x:v>
      </x:c>
      <x:c r="G371" s="170" t="str">
        <x:f>IF(A371="","",IF(B371="Decommissioning",INDEX('Raw Decommissioning'!$I$2:$I$1000,ROWS($A$5:A371)),INDEX('Raw Provisioning'!$J$2:$J$1000,ROWS($A$5:A371)-COUNTA('Raw Decommissioning'!$B$2:$B$1000))))</x:f>
        <x:v>Plant Information - PI PCFK</x:v>
      </x:c>
      <x:c r="H371" s="170" t="str">
        <x:f>IF(A371="","",IF(B371="Decommissioning",INDEX('Raw Decommissioning'!$J$2:$J$1000,ROWS($A$5:A371)),INDEX('Raw Provisioning'!$L$2:$L$1000,ROWS($A$5:A371)-COUNTA('Raw Decommissioning'!$B$2:$B$1000))))</x:f>
        <x:v>Implementation of PI Asset Framework (AF) and PI Vision for PCFK</x:v>
      </x:c>
      <x:c r="I371" s="170" t="str">
        <x:f>IF(A371="","",IF(B371="Decommissioning",INDEX('Raw Decommissioning'!$AL$2:$AL$1000,ROWS($A$5:A371)),INDEX('Raw Provisioning'!$R$2:$R$1000,ROWS($A$5:A371)-COUNTA('Raw Decommissioning'!$B$2:$B$1000))))</x:f>
      </x:c>
      <x:c r="J371" s="170" t="str">
        <x:f>IF(A371="","",IF(B371="Decommissioning",INDEX('Raw Decommissioning'!$AG$2:$AG$1000,ROWS($A$5:A371)),INDEX('Raw Provisioning'!$AI$2:$AI$1000,ROWS($A$5:A371)-COUNTA('Raw Decommissioning'!$B$2:$B$1000))))</x:f>
        <x:v>IMS - CLOUD CSSP EXECUTOR</x:v>
      </x:c>
      <x:c r="K371" s="172" t="str">
        <x:f>IF(A371="","",IFERROR(LOOKUP(2,1/('Assignment History'!$B$5:$B$204=A371),'Assignment History'!$D$5:$D$204),IFERROR(VLOOKUP(J371,Configuration!$L$5:$M$50,2,FALSE),J371)))</x:f>
        <x:v>IMS - CLOUD CSSP EXECUTOR</x:v>
      </x:c>
      <x:c r="L371" s="172" t="str">
        <x:f>IF(A371="","",IF(K371=IFERROR(VLOOKUP(J371,Configuration!$L$5:$M$50,2,FALSE),J371),"Snapshot PIC","Replacement PIC"))</x:f>
        <x:v>Snapshot PIC</x:v>
      </x:c>
      <x:c r="M371" s="172" t="n">
        <x:f>IF(A371="","",IFERROR(VLOOKUP(I371,Configuration!$O$5:$P$8,2,FALSE),Configuration!$S$6))</x:f>
        <x:v>2</x:v>
      </x:c>
      <x:c r="N371" s="172" t="str">
        <x:f>IF(A371="","",IFERROR(LOOKUP(2,1/('Scope Review'!$B$5:$B$204=A371),'Scope Review'!$G$5:$G$204),"Not Reviewed"))</x:f>
        <x:v>Not Reviewed</x:v>
      </x:c>
      <x:c r="O371" s="172" t="str">
        <x:f>IF(A371="","",IFERROR(LOOKUP(2,1/('Scope Review'!$B$5:$B$204=A371),'Scope Review'!$H$5:$H$204),""))</x:f>
      </x:c>
      <x:c r="P371" s="172" t="n">
        <x:f>IF(A371="","",IF(AND(C371="executing",N371&lt;&gt;"Confirmed OOS"),M371,0))</x:f>
        <x:v>0</x:v>
      </x:c>
      <x:c r="Q371" s="173" t="str">
        <x:f>IF(A371="","",IFERROR(LOOKUP(2,1/('Engineer Updates'!$B$5:$B$704=A371),'Engineer Updates'!$A$5:$A$704),""))</x:f>
      </x:c>
      <x:c r="R371" s="172" t="str">
        <x:f>IF(A371="","",IFERROR(LOOKUP(2,1/('Engineer Updates'!$B$5:$B$704=A371),'Engineer Updates'!$H$5:$H$704),""))</x:f>
      </x:c>
      <x:c r="S371" s="172" t="str">
        <x:f>IF(A371="","",IFERROR(LOOKUP(2,1/('Engineer Updates'!$B$5:$B$704=A371),'Engineer Updates'!$G$5:$G$704),""))</x:f>
      </x:c>
      <x:c r="T371" s="172" t="str">
        <x:f>IF(A371="","",IFERROR(LOOKUP(2,1/('Engineer Updates'!$B$5:$B$704=A371),'Engineer Updates'!$I$5:$I$704),""))</x:f>
      </x:c>
      <x:c r="U371" s="172" t="str">
        <x:f>IF(A371="","",IFERROR(LOOKUP(2,1/('Engineer Updates'!$B$5:$B$704=A371),'Engineer Updates'!$J$5:$J$704),""))</x:f>
      </x:c>
      <x:c r="V371" s="172" t="str">
        <x:f>IF(A371="","",IFERROR(LOOKUP(2,1/('Engineer Updates'!$B$5:$B$704=A371),'Engineer Updates'!$K$5:$K$704),""))</x:f>
      </x:c>
      <x:c r="W371" s="174" t="str">
        <x:f>IF(A371="","",IFERROR(LOOKUP(2,1/('Engineer Updates'!$B$5:$B$704=A371),'Engineer Updates'!$L$5:$L$704),""))</x:f>
      </x:c>
      <x:c r="X371" s="170" t="str">
        <x:f>IF(A371="","",IF(C371="completed","Completed in CSSP",IF(AND(C371="executing",ISERROR(SEARCH("@",K371))),"Executing without named engineer",IF(AND(N371="Confirmed OOS",C371="executing"),"Confirmed OOS still executing",""))))</x:f>
      </x:c>
      <x:c r="Y371" s="170" t="str">
        <x:f>IF(A371="","",IF(B371="Decommissioning","Raw Decommissioning","Raw Provisioning"))</x:f>
        <x:v>Raw Decommissioning</x:v>
      </x:c>
      <x:c r="Z371" s="170" t="str">
        <x:f>IF(A371="","",IF(OR(C371="executing",C371="processing"),"Yes","No"))</x:f>
        <x:v>No</x:v>
      </x:c>
    </x:row>
    <x:row r="372">
      <x:c r="A372" s="170" t="str">
        <x:f>IF(ROWS($A$5:A372)&lt;=COUNTA('Raw Decommissioning'!$B$2:$B$1000),INDEX('Raw Decommissioning'!$B$2:$B$1000,ROWS($A$5:A372)),IF(ROWS($A$5:A372)-COUNTA('Raw Decommissioning'!$B$2:$B$1000)&lt;=COUNTA('Raw Provisioning'!$B$2:$B$1000),INDEX('Raw Provisioning'!$B$2:$B$1000,ROWS($A$5:A372)-COUNTA('Raw Decommissioning'!$B$2:$B$1000)),""))</x:f>
        <x:v>CSSP10722928</x:v>
      </x:c>
      <x:c r="B372" s="170" t="str">
        <x:f>IF(A372="","",IF(ROWS($A$5:A372)&lt;=COUNTA('Raw Decommissioning'!$B$2:$B$1000),"Decommissioning","Provisioning"))</x:f>
        <x:v>Decommissioning</x:v>
      </x:c>
      <x:c r="C372" s="170" t="str">
        <x:f>IF(A372="","",IF(B372="Decommissioning",IFERROR(INDEX('Raw Decommissioning'!$E$2:$E$1000,MATCH(A372,'Raw Decommissioning'!$B$2:$B$1000,0)),"Missing from latest raw"),IFERROR(INDEX('Raw Provisioning'!$E$2:$E$1000,MATCH(A372,'Raw Provisioning'!$B$2:$B$1000,0)),"Missing from latest raw")))</x:f>
        <x:v>pending</x:v>
      </x:c>
      <x:c r="D372" s="171" t="n">
        <x:f>IF(A372="","",'Refresh Control'!$B$4)</x:f>
        <x:v>46254</x:v>
      </x:c>
      <x:c r="E372" s="171" t="n">
        <x:f>IF(A372="","",IF(B372="Decommissioning",INDEX('Raw Decommissioning'!$F$2:$F$1000,ROWS($A$5:A372)),INDEX('Raw Provisioning'!$F$2:$F$1000,ROWS($A$5:A372)-COUNTA('Raw Decommissioning'!$B$2:$B$1000))))</x:f>
        <x:v>46251.29839628472</x:v>
      </x:c>
      <x:c r="F372" s="171" t="n">
        <x:f>IF(A372="","",IF(B372="Decommissioning",INDEX('Raw Decommissioning'!$G$2:$G$1000,ROWS($A$5:A372)),INDEX('Raw Provisioning'!$H$2:$H$1000,ROWS($A$5:A372)-COUNTA('Raw Decommissioning'!$B$2:$B$1000))))</x:f>
        <x:v>46251.298804895836</x:v>
      </x:c>
      <x:c r="G372" s="170" t="str">
        <x:f>IF(A372="","",IF(B372="Decommissioning",INDEX('Raw Decommissioning'!$I$2:$I$1000,ROWS($A$5:A372)),INDEX('Raw Provisioning'!$J$2:$J$1000,ROWS($A$5:A372)-COUNTA('Raw Decommissioning'!$B$2:$B$1000))))</x:f>
        <x:v>Plant Information - PI ABF</x:v>
      </x:c>
      <x:c r="H372" s="170" t="str">
        <x:f>IF(A372="","",IF(B372="Decommissioning",INDEX('Raw Decommissioning'!$J$2:$J$1000,ROWS($A$5:A372)),INDEX('Raw Provisioning'!$L$2:$L$1000,ROWS($A$5:A372)-COUNTA('Raw Decommissioning'!$B$2:$B$1000))))</x:f>
        <x:v>Provision, Installation and Configuration of PI AF &amp; PI Vision for Asean Bintulu Fertilizer Sdn Bhd (ABF)</x:v>
      </x:c>
      <x:c r="I372" s="170" t="str">
        <x:f>IF(A372="","",IF(B372="Decommissioning",INDEX('Raw Decommissioning'!$AL$2:$AL$1000,ROWS($A$5:A372)),INDEX('Raw Provisioning'!$R$2:$R$1000,ROWS($A$5:A372)-COUNTA('Raw Decommissioning'!$B$2:$B$1000))))</x:f>
      </x:c>
      <x:c r="J372" s="170" t="str">
        <x:f>IF(A372="","",IF(B372="Decommissioning",INDEX('Raw Decommissioning'!$AG$2:$AG$1000,ROWS($A$5:A372)),INDEX('Raw Provisioning'!$AI$2:$AI$1000,ROWS($A$5:A372)-COUNTA('Raw Decommissioning'!$B$2:$B$1000))))</x:f>
        <x:v>IMS - CLOUD CSSP EXECUTOR</x:v>
      </x:c>
      <x:c r="K372" s="172" t="str">
        <x:f>IF(A372="","",IFERROR(LOOKUP(2,1/('Assignment History'!$B$5:$B$204=A372),'Assignment History'!$D$5:$D$204),IFERROR(VLOOKUP(J372,Configuration!$L$5:$M$50,2,FALSE),J372)))</x:f>
        <x:v>IMS - CLOUD CSSP EXECUTOR</x:v>
      </x:c>
      <x:c r="L372" s="172" t="str">
        <x:f>IF(A372="","",IF(K372=IFERROR(VLOOKUP(J372,Configuration!$L$5:$M$50,2,FALSE),J372),"Snapshot PIC","Replacement PIC"))</x:f>
        <x:v>Snapshot PIC</x:v>
      </x:c>
      <x:c r="M372" s="172" t="n">
        <x:f>IF(A372="","",IFERROR(VLOOKUP(I372,Configuration!$O$5:$P$8,2,FALSE),Configuration!$S$6))</x:f>
        <x:v>2</x:v>
      </x:c>
      <x:c r="N372" s="172" t="str">
        <x:f>IF(A372="","",IFERROR(LOOKUP(2,1/('Scope Review'!$B$5:$B$204=A372),'Scope Review'!$G$5:$G$204),"Not Reviewed"))</x:f>
        <x:v>Not Reviewed</x:v>
      </x:c>
      <x:c r="O372" s="172" t="str">
        <x:f>IF(A372="","",IFERROR(LOOKUP(2,1/('Scope Review'!$B$5:$B$204=A372),'Scope Review'!$H$5:$H$204),""))</x:f>
      </x:c>
      <x:c r="P372" s="172" t="n">
        <x:f>IF(A372="","",IF(AND(C372="executing",N372&lt;&gt;"Confirmed OOS"),M372,0))</x:f>
        <x:v>0</x:v>
      </x:c>
      <x:c r="Q372" s="173" t="str">
        <x:f>IF(A372="","",IFERROR(LOOKUP(2,1/('Engineer Updates'!$B$5:$B$704=A372),'Engineer Updates'!$A$5:$A$704),""))</x:f>
      </x:c>
      <x:c r="R372" s="172" t="str">
        <x:f>IF(A372="","",IFERROR(LOOKUP(2,1/('Engineer Updates'!$B$5:$B$704=A372),'Engineer Updates'!$H$5:$H$704),""))</x:f>
      </x:c>
      <x:c r="S372" s="172" t="str">
        <x:f>IF(A372="","",IFERROR(LOOKUP(2,1/('Engineer Updates'!$B$5:$B$704=A372),'Engineer Updates'!$G$5:$G$704),""))</x:f>
      </x:c>
      <x:c r="T372" s="172" t="str">
        <x:f>IF(A372="","",IFERROR(LOOKUP(2,1/('Engineer Updates'!$B$5:$B$704=A372),'Engineer Updates'!$I$5:$I$704),""))</x:f>
      </x:c>
      <x:c r="U372" s="172" t="str">
        <x:f>IF(A372="","",IFERROR(LOOKUP(2,1/('Engineer Updates'!$B$5:$B$704=A372),'Engineer Updates'!$J$5:$J$704),""))</x:f>
      </x:c>
      <x:c r="V372" s="172" t="str">
        <x:f>IF(A372="","",IFERROR(LOOKUP(2,1/('Engineer Updates'!$B$5:$B$704=A372),'Engineer Updates'!$K$5:$K$704),""))</x:f>
      </x:c>
      <x:c r="W372" s="174" t="str">
        <x:f>IF(A372="","",IFERROR(LOOKUP(2,1/('Engineer Updates'!$B$5:$B$704=A372),'Engineer Updates'!$L$5:$L$704),""))</x:f>
      </x:c>
      <x:c r="X372" s="170" t="str">
        <x:f>IF(A372="","",IF(C372="completed","Completed in CSSP",IF(AND(C372="executing",ISERROR(SEARCH("@",K372))),"Executing without named engineer",IF(AND(N372="Confirmed OOS",C372="executing"),"Confirmed OOS still executing",""))))</x:f>
      </x:c>
      <x:c r="Y372" s="170" t="str">
        <x:f>IF(A372="","",IF(B372="Decommissioning","Raw Decommissioning","Raw Provisioning"))</x:f>
        <x:v>Raw Decommissioning</x:v>
      </x:c>
      <x:c r="Z372" s="170" t="str">
        <x:f>IF(A372="","",IF(OR(C372="executing",C372="processing"),"Yes","No"))</x:f>
        <x:v>No</x:v>
      </x:c>
    </x:row>
    <x:row r="373">
      <x:c r="A373" s="170" t="str">
        <x:f>IF(ROWS($A$5:A373)&lt;=COUNTA('Raw Decommissioning'!$B$2:$B$1000),INDEX('Raw Decommissioning'!$B$2:$B$1000,ROWS($A$5:A373)),IF(ROWS($A$5:A373)-COUNTA('Raw Decommissioning'!$B$2:$B$1000)&lt;=COUNTA('Raw Provisioning'!$B$2:$B$1000),INDEX('Raw Provisioning'!$B$2:$B$1000,ROWS($A$5:A373)-COUNTA('Raw Decommissioning'!$B$2:$B$1000)),""))</x:f>
        <x:v>REQ000006914868</x:v>
      </x:c>
      <x:c r="B373" s="170" t="str">
        <x:f>IF(A373="","",IF(ROWS($A$5:A373)&lt;=COUNTA('Raw Decommissioning'!$B$2:$B$1000),"Decommissioning","Provisioning"))</x:f>
        <x:v>Provisioning</x:v>
      </x:c>
      <x:c r="C373" s="170" t="str">
        <x:f>IF(A373="","",IF(B373="Decommissioning",IFERROR(INDEX('Raw Decommissioning'!$E$2:$E$1000,MATCH(A373,'Raw Decommissioning'!$B$2:$B$1000,0)),"Missing from latest raw"),IFERROR(INDEX('Raw Provisioning'!$E$2:$E$1000,MATCH(A373,'Raw Provisioning'!$B$2:$B$1000,0)),"Missing from latest raw")))</x:f>
        <x:v>completed</x:v>
      </x:c>
      <x:c r="D373" s="171" t="n">
        <x:f>IF(A373="","",'Refresh Control'!$B$4)</x:f>
        <x:v>46254</x:v>
      </x:c>
      <x:c r="E373" s="171" t="str">
        <x:f>IF(A373="","",IF(B373="Decommissioning",INDEX('Raw Decommissioning'!$F$2:$F$1000,ROWS($A$5:A373)),INDEX('Raw Provisioning'!$F$2:$F$1000,ROWS($A$5:A373)-COUNTA('Raw Decommissioning'!$B$2:$B$1000))))</x:f>
        <x:v>2024-11-20T15:27:56.87</x:v>
      </x:c>
      <x:c r="F373" s="171" t="n">
        <x:f>IF(A373="","",IF(B373="Decommissioning",INDEX('Raw Decommissioning'!$G$2:$G$1000,ROWS($A$5:A373)),INDEX('Raw Provisioning'!$H$2:$H$1000,ROWS($A$5:A373)-COUNTA('Raw Decommissioning'!$B$2:$B$1000))))</x:f>
        <x:v>46083.32523962963</x:v>
      </x:c>
      <x:c r="G373" s="170" t="str">
        <x:f>IF(A373="","",IF(B373="Decommissioning",INDEX('Raw Decommissioning'!$I$2:$I$1000,ROWS($A$5:A373)),INDEX('Raw Provisioning'!$J$2:$J$1000,ROWS($A$5:A373)-COUNTA('Raw Decommissioning'!$B$2:$B$1000))))</x:f>
        <x:v>ProcurementGo/STAR</x:v>
      </x:c>
      <x:c r="H373" s="170" t="str">
        <x:f>IF(A373="","",IF(B373="Decommissioning",INDEX('Raw Decommissioning'!$J$2:$J$1000,ROWS($A$5:A373)),INDEX('Raw Provisioning'!$L$2:$L$1000,ROWS($A$5:A373)-COUNTA('Raw Decommissioning'!$B$2:$B$1000))))</x:f>
        <x:v>Cloud Migration Program - Procurement/Go Star</x:v>
      </x:c>
      <x:c r="I373" s="170" t="str">
        <x:f>IF(A373="","",IF(B373="Decommissioning",INDEX('Raw Decommissioning'!$AL$2:$AL$1000,ROWS($A$5:A373)),INDEX('Raw Provisioning'!$R$2:$R$1000,ROWS($A$5:A373)-COUNTA('Raw Decommissioning'!$B$2:$B$1000))))</x:f>
        <x:v>Small</x:v>
      </x:c>
      <x:c r="J373" s="170" t="str">
        <x:f>IF(A373="","",IF(B373="Decommissioning",INDEX('Raw Decommissioning'!$AG$2:$AG$1000,ROWS($A$5:A373)),INDEX('Raw Provisioning'!$AI$2:$AI$1000,ROWS($A$5:A373)-COUNTA('Raw Decommissioning'!$B$2:$B$1000))))</x:f>
        <x:v>chunwu.lim@petronas.com</x:v>
      </x:c>
      <x:c r="K373" s="172" t="str">
        <x:f>IF(A373="","",IFERROR(LOOKUP(2,1/('Assignment History'!$B$5:$B$204=A373),'Assignment History'!$D$5:$D$204),IFERROR(VLOOKUP(J373,Configuration!$L$5:$M$50,2,FALSE),J373)))</x:f>
        <x:v>chunwu.lim@petronas.com</x:v>
      </x:c>
      <x:c r="L373" s="172" t="str">
        <x:f>IF(A373="","",IF(K373=IFERROR(VLOOKUP(J373,Configuration!$L$5:$M$50,2,FALSE),J373),"Snapshot PIC","Replacement PIC"))</x:f>
        <x:v>Snapshot PIC</x:v>
      </x:c>
      <x:c r="M373" s="172" t="n">
        <x:f>IF(A373="","",IFERROR(VLOOKUP(I373,Configuration!$O$5:$P$8,2,FALSE),Configuration!$S$6))</x:f>
        <x:v>1</x:v>
      </x:c>
      <x:c r="N373" s="172" t="str">
        <x:f>IF(A373="","",IFERROR(LOOKUP(2,1/('Scope Review'!$B$5:$B$204=A373),'Scope Review'!$G$5:$G$204),"Not Reviewed"))</x:f>
        <x:v>Not Reviewed</x:v>
      </x:c>
      <x:c r="O373" s="172" t="str">
        <x:f>IF(A373="","",IFERROR(LOOKUP(2,1/('Scope Review'!$B$5:$B$204=A373),'Scope Review'!$H$5:$H$204),""))</x:f>
      </x:c>
      <x:c r="P373" s="172" t="n">
        <x:f>IF(A373="","",IF(AND(C373="executing",N373&lt;&gt;"Confirmed OOS"),M373,0))</x:f>
        <x:v>0</x:v>
      </x:c>
      <x:c r="Q373" s="173" t="str">
        <x:f>IF(A373="","",IFERROR(LOOKUP(2,1/('Engineer Updates'!$B$5:$B$704=A373),'Engineer Updates'!$A$5:$A$704),""))</x:f>
      </x:c>
      <x:c r="R373" s="172" t="str">
        <x:f>IF(A373="","",IFERROR(LOOKUP(2,1/('Engineer Updates'!$B$5:$B$704=A373),'Engineer Updates'!$H$5:$H$704),""))</x:f>
      </x:c>
      <x:c r="S373" s="172" t="str">
        <x:f>IF(A373="","",IFERROR(LOOKUP(2,1/('Engineer Updates'!$B$5:$B$704=A373),'Engineer Updates'!$G$5:$G$704),""))</x:f>
      </x:c>
      <x:c r="T373" s="172" t="str">
        <x:f>IF(A373="","",IFERROR(LOOKUP(2,1/('Engineer Updates'!$B$5:$B$704=A373),'Engineer Updates'!$I$5:$I$704),""))</x:f>
      </x:c>
      <x:c r="U373" s="172" t="str">
        <x:f>IF(A373="","",IFERROR(LOOKUP(2,1/('Engineer Updates'!$B$5:$B$704=A373),'Engineer Updates'!$J$5:$J$704),""))</x:f>
      </x:c>
      <x:c r="V373" s="172" t="str">
        <x:f>IF(A373="","",IFERROR(LOOKUP(2,1/('Engineer Updates'!$B$5:$B$704=A373),'Engineer Updates'!$K$5:$K$704),""))</x:f>
      </x:c>
      <x:c r="W373" s="174" t="str">
        <x:f>IF(A373="","",IFERROR(LOOKUP(2,1/('Engineer Updates'!$B$5:$B$704=A373),'Engineer Updates'!$L$5:$L$704),""))</x:f>
      </x:c>
      <x:c r="X373" s="170" t="str">
        <x:f>IF(A373="","",IF(C373="completed","Completed in CSSP",IF(AND(C373="executing",ISERROR(SEARCH("@",K373))),"Executing without named engineer",IF(AND(N373="Confirmed OOS",C373="executing"),"Confirmed OOS still executing",""))))</x:f>
        <x:v>Completed in CSSP</x:v>
      </x:c>
      <x:c r="Y373" s="170" t="str">
        <x:f>IF(A373="","",IF(B373="Decommissioning","Raw Decommissioning","Raw Provisioning"))</x:f>
        <x:v>Raw Provisioning</x:v>
      </x:c>
      <x:c r="Z373" s="170" t="str">
        <x:f>IF(A373="","",IF(OR(C373="executing",C373="processing"),"Yes","No"))</x:f>
        <x:v>No</x:v>
      </x:c>
    </x:row>
    <x:row r="374">
      <x:c r="A374" s="170" t="str">
        <x:f>IF(ROWS($A$5:A374)&lt;=COUNTA('Raw Decommissioning'!$B$2:$B$1000),INDEX('Raw Decommissioning'!$B$2:$B$1000,ROWS($A$5:A374)),IF(ROWS($A$5:A374)-COUNTA('Raw Decommissioning'!$B$2:$B$1000)&lt;=COUNTA('Raw Provisioning'!$B$2:$B$1000),INDEX('Raw Provisioning'!$B$2:$B$1000,ROWS($A$5:A374)-COUNTA('Raw Decommissioning'!$B$2:$B$1000)),""))</x:f>
        <x:v>REQ000006834467</x:v>
      </x:c>
      <x:c r="B374" s="170" t="str">
        <x:f>IF(A374="","",IF(ROWS($A$5:A374)&lt;=COUNTA('Raw Decommissioning'!$B$2:$B$1000),"Decommissioning","Provisioning"))</x:f>
        <x:v>Provisioning</x:v>
      </x:c>
      <x:c r="C374" s="170" t="str">
        <x:f>IF(A374="","",IF(B374="Decommissioning",IFERROR(INDEX('Raw Decommissioning'!$E$2:$E$1000,MATCH(A374,'Raw Decommissioning'!$B$2:$B$1000,0)),"Missing from latest raw"),IFERROR(INDEX('Raw Provisioning'!$E$2:$E$1000,MATCH(A374,'Raw Provisioning'!$B$2:$B$1000,0)),"Missing from latest raw")))</x:f>
        <x:v>completed</x:v>
      </x:c>
      <x:c r="D374" s="171" t="n">
        <x:f>IF(A374="","",'Refresh Control'!$B$4)</x:f>
        <x:v>46254</x:v>
      </x:c>
      <x:c r="E374" s="171" t="str">
        <x:f>IF(A374="","",IF(B374="Decommissioning",INDEX('Raw Decommissioning'!$F$2:$F$1000,ROWS($A$5:A374)),INDEX('Raw Provisioning'!$F$2:$F$1000,ROWS($A$5:A374)-COUNTA('Raw Decommissioning'!$B$2:$B$1000))))</x:f>
        <x:v>2024-10-15T09:51:35.49</x:v>
      </x:c>
      <x:c r="F374" s="171" t="n">
        <x:f>IF(A374="","",IF(B374="Decommissioning",INDEX('Raw Decommissioning'!$G$2:$G$1000,ROWS($A$5:A374)),INDEX('Raw Provisioning'!$H$2:$H$1000,ROWS($A$5:A374)-COUNTA('Raw Decommissioning'!$B$2:$B$1000))))</x:f>
        <x:v>46083.32721467593</x:v>
      </x:c>
      <x:c r="G374" s="170" t="str">
        <x:f>IF(A374="","",IF(B374="Decommissioning",INDEX('Raw Decommissioning'!$I$2:$I$1000,ROWS($A$5:A374)),INDEX('Raw Provisioning'!$J$2:$J$1000,ROWS($A$5:A374)-COUNTA('Raw Decommissioning'!$B$2:$B$1000))))</x:f>
        <x:v>Barrier Management and Work Control (BMWC) PCGB</x:v>
      </x:c>
      <x:c r="H374" s="170" t="str">
        <x:f>IF(A374="","",IF(B374="Decommissioning",INDEX('Raw Decommissioning'!$J$2:$J$1000,ROWS($A$5:A374)),INDEX('Raw Provisioning'!$L$2:$L$1000,ROWS($A$5:A374)-COUNTA('Raw Decommissioning'!$B$2:$B$1000))))</x:f>
        <x:v>Implementation of Safe Work Control &amp; Barrier Management across PCG OPUs</x:v>
      </x:c>
      <x:c r="I374" s="170" t="str">
        <x:f>IF(A374="","",IF(B374="Decommissioning",INDEX('Raw Decommissioning'!$AL$2:$AL$1000,ROWS($A$5:A374)),INDEX('Raw Provisioning'!$R$2:$R$1000,ROWS($A$5:A374)-COUNTA('Raw Decommissioning'!$B$2:$B$1000))))</x:f>
      </x:c>
      <x:c r="J374" s="170" t="str">
        <x:f>IF(A374="","",IF(B374="Decommissioning",INDEX('Raw Decommissioning'!$AG$2:$AG$1000,ROWS($A$5:A374)),INDEX('Raw Provisioning'!$AI$2:$AI$1000,ROWS($A$5:A374)-COUNTA('Raw Decommissioning'!$B$2:$B$1000))))</x:f>
        <x:v>chunwu.lim@petronas.com</x:v>
      </x:c>
      <x:c r="K374" s="172" t="str">
        <x:f>IF(A374="","",IFERROR(LOOKUP(2,1/('Assignment History'!$B$5:$B$204=A374),'Assignment History'!$D$5:$D$204),IFERROR(VLOOKUP(J374,Configuration!$L$5:$M$50,2,FALSE),J374)))</x:f>
        <x:v>chunwu.lim@petronas.com</x:v>
      </x:c>
      <x:c r="L374" s="172" t="str">
        <x:f>IF(A374="","",IF(K374=IFERROR(VLOOKUP(J374,Configuration!$L$5:$M$50,2,FALSE),J374),"Snapshot PIC","Replacement PIC"))</x:f>
        <x:v>Snapshot PIC</x:v>
      </x:c>
      <x:c r="M374" s="172" t="n">
        <x:f>IF(A374="","",IFERROR(VLOOKUP(I374,Configuration!$O$5:$P$8,2,FALSE),Configuration!$S$6))</x:f>
        <x:v>2</x:v>
      </x:c>
      <x:c r="N374" s="172" t="str">
        <x:f>IF(A374="","",IFERROR(LOOKUP(2,1/('Scope Review'!$B$5:$B$204=A374),'Scope Review'!$G$5:$G$204),"Not Reviewed"))</x:f>
        <x:v>Not Reviewed</x:v>
      </x:c>
      <x:c r="O374" s="172" t="str">
        <x:f>IF(A374="","",IFERROR(LOOKUP(2,1/('Scope Review'!$B$5:$B$204=A374),'Scope Review'!$H$5:$H$204),""))</x:f>
      </x:c>
      <x:c r="P374" s="172" t="n">
        <x:f>IF(A374="","",IF(AND(C374="executing",N374&lt;&gt;"Confirmed OOS"),M374,0))</x:f>
        <x:v>0</x:v>
      </x:c>
      <x:c r="Q374" s="173" t="str">
        <x:f>IF(A374="","",IFERROR(LOOKUP(2,1/('Engineer Updates'!$B$5:$B$704=A374),'Engineer Updates'!$A$5:$A$704),""))</x:f>
      </x:c>
      <x:c r="R374" s="172" t="str">
        <x:f>IF(A374="","",IFERROR(LOOKUP(2,1/('Engineer Updates'!$B$5:$B$704=A374),'Engineer Updates'!$H$5:$H$704),""))</x:f>
      </x:c>
      <x:c r="S374" s="172" t="str">
        <x:f>IF(A374="","",IFERROR(LOOKUP(2,1/('Engineer Updates'!$B$5:$B$704=A374),'Engineer Updates'!$G$5:$G$704),""))</x:f>
      </x:c>
      <x:c r="T374" s="172" t="str">
        <x:f>IF(A374="","",IFERROR(LOOKUP(2,1/('Engineer Updates'!$B$5:$B$704=A374),'Engineer Updates'!$I$5:$I$704),""))</x:f>
      </x:c>
      <x:c r="U374" s="172" t="str">
        <x:f>IF(A374="","",IFERROR(LOOKUP(2,1/('Engineer Updates'!$B$5:$B$704=A374),'Engineer Updates'!$J$5:$J$704),""))</x:f>
      </x:c>
      <x:c r="V374" s="172" t="str">
        <x:f>IF(A374="","",IFERROR(LOOKUP(2,1/('Engineer Updates'!$B$5:$B$704=A374),'Engineer Updates'!$K$5:$K$704),""))</x:f>
      </x:c>
      <x:c r="W374" s="174" t="str">
        <x:f>IF(A374="","",IFERROR(LOOKUP(2,1/('Engineer Updates'!$B$5:$B$704=A374),'Engineer Updates'!$L$5:$L$704),""))</x:f>
      </x:c>
      <x:c r="X374" s="170" t="str">
        <x:f>IF(A374="","",IF(C374="completed","Completed in CSSP",IF(AND(C374="executing",ISERROR(SEARCH("@",K374))),"Executing without named engineer",IF(AND(N374="Confirmed OOS",C374="executing"),"Confirmed OOS still executing",""))))</x:f>
        <x:v>Completed in CSSP</x:v>
      </x:c>
      <x:c r="Y374" s="170" t="str">
        <x:f>IF(A374="","",IF(B374="Decommissioning","Raw Decommissioning","Raw Provisioning"))</x:f>
        <x:v>Raw Provisioning</x:v>
      </x:c>
      <x:c r="Z374" s="170" t="str">
        <x:f>IF(A374="","",IF(OR(C374="executing",C374="processing"),"Yes","No"))</x:f>
        <x:v>No</x:v>
      </x:c>
    </x:row>
    <x:row r="375">
      <x:c r="A375" s="170" t="str">
        <x:f>IF(ROWS($A$5:A375)&lt;=COUNTA('Raw Decommissioning'!$B$2:$B$1000),INDEX('Raw Decommissioning'!$B$2:$B$1000,ROWS($A$5:A375)),IF(ROWS($A$5:A375)-COUNTA('Raw Decommissioning'!$B$2:$B$1000)&lt;=COUNTA('Raw Provisioning'!$B$2:$B$1000),INDEX('Raw Provisioning'!$B$2:$B$1000,ROWS($A$5:A375)-COUNTA('Raw Decommissioning'!$B$2:$B$1000)),""))</x:f>
        <x:v>CSSP10832041</x:v>
      </x:c>
      <x:c r="B375" s="170" t="str">
        <x:f>IF(A375="","",IF(ROWS($A$5:A375)&lt;=COUNTA('Raw Decommissioning'!$B$2:$B$1000),"Decommissioning","Provisioning"))</x:f>
        <x:v>Provisioning</x:v>
      </x:c>
      <x:c r="C375" s="170" t="str">
        <x:f>IF(A375="","",IF(B375="Decommissioning",IFERROR(INDEX('Raw Decommissioning'!$E$2:$E$1000,MATCH(A375,'Raw Decommissioning'!$B$2:$B$1000,0)),"Missing from latest raw"),IFERROR(INDEX('Raw Provisioning'!$E$2:$E$1000,MATCH(A375,'Raw Provisioning'!$B$2:$B$1000,0)),"Missing from latest raw")))</x:f>
        <x:v>completed</x:v>
      </x:c>
      <x:c r="D375" s="171" t="n">
        <x:f>IF(A375="","",'Refresh Control'!$B$4)</x:f>
        <x:v>46254</x:v>
      </x:c>
      <x:c r="E375" s="171" t="n">
        <x:f>IF(A375="","",IF(B375="Decommissioning",INDEX('Raw Decommissioning'!$F$2:$F$1000,ROWS($A$5:A375)),INDEX('Raw Provisioning'!$F$2:$F$1000,ROWS($A$5:A375)-COUNTA('Raw Decommissioning'!$B$2:$B$1000))))</x:f>
        <x:v>45818.302789444446</x:v>
      </x:c>
      <x:c r="F375" s="171" t="n">
        <x:f>IF(A375="","",IF(B375="Decommissioning",INDEX('Raw Decommissioning'!$G$2:$G$1000,ROWS($A$5:A375)),INDEX('Raw Provisioning'!$H$2:$H$1000,ROWS($A$5:A375)-COUNTA('Raw Decommissioning'!$B$2:$B$1000))))</x:f>
        <x:v>46042.33172793982</x:v>
      </x:c>
      <x:c r="G375" s="170" t="str">
        <x:f>IF(A375="","",IF(B375="Decommissioning",INDEX('Raw Decommissioning'!$I$2:$I$1000,ROWS($A$5:A375)),INDEX('Raw Provisioning'!$J$2:$J$1000,ROWS($A$5:A375)-COUNTA('Raw Decommissioning'!$B$2:$B$1000))))</x:f>
        <x:v>Malaysian Financial Reporting Standards (MFRS)</x:v>
      </x:c>
      <x:c r="H375" s="170" t="str">
        <x:f>IF(A375="","",IF(B375="Decommissioning",INDEX('Raw Decommissioning'!$J$2:$J$1000,ROWS($A$5:A375)),INDEX('Raw Provisioning'!$L$2:$L$1000,ROWS($A$5:A375)-COUNTA('Raw Decommissioning'!$B$2:$B$1000))))</x:f>
        <x:v>Implementation Malaysian Financial Reporting Standards (MFRS) Statutory Reporting (MFRS16) for PETRONAS Group of Companies</x:v>
      </x:c>
      <x:c r="I375" s="170" t="str">
        <x:f>IF(A375="","",IF(B375="Decommissioning",INDEX('Raw Decommissioning'!$AL$2:$AL$1000,ROWS($A$5:A375)),INDEX('Raw Provisioning'!$R$2:$R$1000,ROWS($A$5:A375)-COUNTA('Raw Decommissioning'!$B$2:$B$1000))))</x:f>
        <x:v>S</x:v>
      </x:c>
      <x:c r="J375" s="170" t="str">
        <x:f>IF(A375="","",IF(B375="Decommissioning",INDEX('Raw Decommissioning'!$AG$2:$AG$1000,ROWS($A$5:A375)),INDEX('Raw Provisioning'!$AI$2:$AI$1000,ROWS($A$5:A375)-COUNTA('Raw Decommissioning'!$B$2:$B$1000))))</x:f>
        <x:v>muhdfirdaus.muhamad@petronas.com</x:v>
      </x:c>
      <x:c r="K375" s="172" t="str">
        <x:f>IF(A375="","",IFERROR(LOOKUP(2,1/('Assignment History'!$B$5:$B$204=A375),'Assignment History'!$D$5:$D$204),IFERROR(VLOOKUP(J375,Configuration!$L$5:$M$50,2,FALSE),J375)))</x:f>
        <x:v>muhdfirdaus.muhamad@petronas.com</x:v>
      </x:c>
      <x:c r="L375" s="172" t="str">
        <x:f>IF(A375="","",IF(K375=IFERROR(VLOOKUP(J375,Configuration!$L$5:$M$50,2,FALSE),J375),"Snapshot PIC","Replacement PIC"))</x:f>
        <x:v>Snapshot PIC</x:v>
      </x:c>
      <x:c r="M375" s="172" t="n">
        <x:f>IF(A375="","",IFERROR(VLOOKUP(I375,Configuration!$O$5:$P$8,2,FALSE),Configuration!$S$6))</x:f>
        <x:v>1</x:v>
      </x:c>
      <x:c r="N375" s="172" t="str">
        <x:f>IF(A375="","",IFERROR(LOOKUP(2,1/('Scope Review'!$B$5:$B$204=A375),'Scope Review'!$G$5:$G$204),"Not Reviewed"))</x:f>
        <x:v>Not Reviewed</x:v>
      </x:c>
      <x:c r="O375" s="172" t="str">
        <x:f>IF(A375="","",IFERROR(LOOKUP(2,1/('Scope Review'!$B$5:$B$204=A375),'Scope Review'!$H$5:$H$204),""))</x:f>
      </x:c>
      <x:c r="P375" s="172" t="n">
        <x:f>IF(A375="","",IF(AND(C375="executing",N375&lt;&gt;"Confirmed OOS"),M375,0))</x:f>
        <x:v>0</x:v>
      </x:c>
      <x:c r="Q375" s="173" t="str">
        <x:f>IF(A375="","",IFERROR(LOOKUP(2,1/('Engineer Updates'!$B$5:$B$704=A375),'Engineer Updates'!$A$5:$A$704),""))</x:f>
      </x:c>
      <x:c r="R375" s="172" t="str">
        <x:f>IF(A375="","",IFERROR(LOOKUP(2,1/('Engineer Updates'!$B$5:$B$704=A375),'Engineer Updates'!$H$5:$H$704),""))</x:f>
      </x:c>
      <x:c r="S375" s="172" t="str">
        <x:f>IF(A375="","",IFERROR(LOOKUP(2,1/('Engineer Updates'!$B$5:$B$704=A375),'Engineer Updates'!$G$5:$G$704),""))</x:f>
      </x:c>
      <x:c r="T375" s="172" t="str">
        <x:f>IF(A375="","",IFERROR(LOOKUP(2,1/('Engineer Updates'!$B$5:$B$704=A375),'Engineer Updates'!$I$5:$I$704),""))</x:f>
      </x:c>
      <x:c r="U375" s="172" t="str">
        <x:f>IF(A375="","",IFERROR(LOOKUP(2,1/('Engineer Updates'!$B$5:$B$704=A375),'Engineer Updates'!$J$5:$J$704),""))</x:f>
      </x:c>
      <x:c r="V375" s="172" t="str">
        <x:f>IF(A375="","",IFERROR(LOOKUP(2,1/('Engineer Updates'!$B$5:$B$704=A375),'Engineer Updates'!$K$5:$K$704),""))</x:f>
      </x:c>
      <x:c r="W375" s="174" t="str">
        <x:f>IF(A375="","",IFERROR(LOOKUP(2,1/('Engineer Updates'!$B$5:$B$704=A375),'Engineer Updates'!$L$5:$L$704),""))</x:f>
      </x:c>
      <x:c r="X375" s="170" t="str">
        <x:f>IF(A375="","",IF(C375="completed","Completed in CSSP",IF(AND(C375="executing",ISERROR(SEARCH("@",K375))),"Executing without named engineer",IF(AND(N375="Confirmed OOS",C375="executing"),"Confirmed OOS still executing",""))))</x:f>
        <x:v>Completed in CSSP</x:v>
      </x:c>
      <x:c r="Y375" s="170" t="str">
        <x:f>IF(A375="","",IF(B375="Decommissioning","Raw Decommissioning","Raw Provisioning"))</x:f>
        <x:v>Raw Provisioning</x:v>
      </x:c>
      <x:c r="Z375" s="170" t="str">
        <x:f>IF(A375="","",IF(OR(C375="executing",C375="processing"),"Yes","No"))</x:f>
        <x:v>No</x:v>
      </x:c>
    </x:row>
    <x:row r="376">
      <x:c r="A376" s="170" t="str">
        <x:f>IF(ROWS($A$5:A376)&lt;=COUNTA('Raw Decommissioning'!$B$2:$B$1000),INDEX('Raw Decommissioning'!$B$2:$B$1000,ROWS($A$5:A376)),IF(ROWS($A$5:A376)-COUNTA('Raw Decommissioning'!$B$2:$B$1000)&lt;=COUNTA('Raw Provisioning'!$B$2:$B$1000),INDEX('Raw Provisioning'!$B$2:$B$1000,ROWS($A$5:A376)-COUNTA('Raw Decommissioning'!$B$2:$B$1000)),""))</x:f>
        <x:v>CSSP10960249</x:v>
      </x:c>
      <x:c r="B376" s="170" t="str">
        <x:f>IF(A376="","",IF(ROWS($A$5:A376)&lt;=COUNTA('Raw Decommissioning'!$B$2:$B$1000),"Decommissioning","Provisioning"))</x:f>
        <x:v>Provisioning</x:v>
      </x:c>
      <x:c r="C376" s="170" t="str">
        <x:f>IF(A376="","",IF(B376="Decommissioning",IFERROR(INDEX('Raw Decommissioning'!$E$2:$E$1000,MATCH(A376,'Raw Decommissioning'!$B$2:$B$1000,0)),"Missing from latest raw"),IFERROR(INDEX('Raw Provisioning'!$E$2:$E$1000,MATCH(A376,'Raw Provisioning'!$B$2:$B$1000,0)),"Missing from latest raw")))</x:f>
        <x:v>rejected</x:v>
      </x:c>
      <x:c r="D376" s="171" t="n">
        <x:f>IF(A376="","",'Refresh Control'!$B$4)</x:f>
        <x:v>46254</x:v>
      </x:c>
      <x:c r="E376" s="171" t="n">
        <x:f>IF(A376="","",IF(B376="Decommissioning",INDEX('Raw Decommissioning'!$F$2:$F$1000,ROWS($A$5:A376)),INDEX('Raw Provisioning'!$F$2:$F$1000,ROWS($A$5:A376)-COUNTA('Raw Decommissioning'!$B$2:$B$1000))))</x:f>
        <x:v>45946.39458328704</x:v>
      </x:c>
      <x:c r="F376" s="171" t="n">
        <x:f>IF(A376="","",IF(B376="Decommissioning",INDEX('Raw Decommissioning'!$G$2:$G$1000,ROWS($A$5:A376)),INDEX('Raw Provisioning'!$H$2:$H$1000,ROWS($A$5:A376)-COUNTA('Raw Decommissioning'!$B$2:$B$1000))))</x:f>
        <x:v>46057.86548861111</x:v>
      </x:c>
      <x:c r="G376" s="170" t="str">
        <x:f>IF(A376="","",IF(B376="Decommissioning",INDEX('Raw Decommissioning'!$I$2:$I$1000,ROWS($A$5:A376)),INDEX('Raw Provisioning'!$J$2:$J$1000,ROWS($A$5:A376)-COUNTA('Raw Decommissioning'!$B$2:$B$1000))))</x:f>
        <x:v>Pipeline Integrity Management System - PIMS PGB</x:v>
      </x:c>
      <x:c r="H376" s="170" t="str">
        <x:f>IF(A376="","",IF(B376="Decommissioning",INDEX('Raw Decommissioning'!$J$2:$J$1000,ROWS($A$5:A376)),INDEX('Raw Provisioning'!$L$2:$L$1000,ROWS($A$5:A376)-COUNTA('Raw Decommissioning'!$B$2:$B$1000))))</x:f>
        <x:v>Enhancement of PETRONAS Integrated Pipeline Integrity Assurance Solutions (i-PIMS) Phase 6</x:v>
      </x:c>
      <x:c r="I376" s="170" t="str">
        <x:f>IF(A376="","",IF(B376="Decommissioning",INDEX('Raw Decommissioning'!$AL$2:$AL$1000,ROWS($A$5:A376)),INDEX('Raw Provisioning'!$R$2:$R$1000,ROWS($A$5:A376)-COUNTA('Raw Decommissioning'!$B$2:$B$1000))))</x:f>
      </x:c>
      <x:c r="J376" s="170" t="str">
        <x:f>IF(A376="","",IF(B376="Decommissioning",INDEX('Raw Decommissioning'!$AG$2:$AG$1000,ROWS($A$5:A376)),INDEX('Raw Provisioning'!$AI$2:$AI$1000,ROWS($A$5:A376)-COUNTA('Raw Decommissioning'!$B$2:$B$1000))))</x:f>
        <x:v>CCoE Core Services (Public)</x:v>
      </x:c>
      <x:c r="K376" s="172" t="str">
        <x:f>IF(A376="","",IFERROR(LOOKUP(2,1/('Assignment History'!$B$5:$B$204=A376),'Assignment History'!$D$5:$D$204),IFERROR(VLOOKUP(J376,Configuration!$L$5:$M$50,2,FALSE),J376)))</x:f>
        <x:v>CCoE Core Services (Public)</x:v>
      </x:c>
      <x:c r="L376" s="172" t="str">
        <x:f>IF(A376="","",IF(K376=IFERROR(VLOOKUP(J376,Configuration!$L$5:$M$50,2,FALSE),J376),"Snapshot PIC","Replacement PIC"))</x:f>
        <x:v>Snapshot PIC</x:v>
      </x:c>
      <x:c r="M376" s="172" t="n">
        <x:f>IF(A376="","",IFERROR(VLOOKUP(I376,Configuration!$O$5:$P$8,2,FALSE),Configuration!$S$6))</x:f>
        <x:v>2</x:v>
      </x:c>
      <x:c r="N376" s="172" t="str">
        <x:f>IF(A376="","",IFERROR(LOOKUP(2,1/('Scope Review'!$B$5:$B$204=A376),'Scope Review'!$G$5:$G$204),"Not Reviewed"))</x:f>
        <x:v>Not Reviewed</x:v>
      </x:c>
      <x:c r="O376" s="172" t="str">
        <x:f>IF(A376="","",IFERROR(LOOKUP(2,1/('Scope Review'!$B$5:$B$204=A376),'Scope Review'!$H$5:$H$204),""))</x:f>
      </x:c>
      <x:c r="P376" s="172" t="n">
        <x:f>IF(A376="","",IF(AND(C376="executing",N376&lt;&gt;"Confirmed OOS"),M376,0))</x:f>
        <x:v>0</x:v>
      </x:c>
      <x:c r="Q376" s="173" t="str">
        <x:f>IF(A376="","",IFERROR(LOOKUP(2,1/('Engineer Updates'!$B$5:$B$704=A376),'Engineer Updates'!$A$5:$A$704),""))</x:f>
      </x:c>
      <x:c r="R376" s="172" t="str">
        <x:f>IF(A376="","",IFERROR(LOOKUP(2,1/('Engineer Updates'!$B$5:$B$704=A376),'Engineer Updates'!$H$5:$H$704),""))</x:f>
      </x:c>
      <x:c r="S376" s="172" t="str">
        <x:f>IF(A376="","",IFERROR(LOOKUP(2,1/('Engineer Updates'!$B$5:$B$704=A376),'Engineer Updates'!$G$5:$G$704),""))</x:f>
      </x:c>
      <x:c r="T376" s="172" t="str">
        <x:f>IF(A376="","",IFERROR(LOOKUP(2,1/('Engineer Updates'!$B$5:$B$704=A376),'Engineer Updates'!$I$5:$I$704),""))</x:f>
      </x:c>
      <x:c r="U376" s="172" t="str">
        <x:f>IF(A376="","",IFERROR(LOOKUP(2,1/('Engineer Updates'!$B$5:$B$704=A376),'Engineer Updates'!$J$5:$J$704),""))</x:f>
      </x:c>
      <x:c r="V376" s="172" t="str">
        <x:f>IF(A376="","",IFERROR(LOOKUP(2,1/('Engineer Updates'!$B$5:$B$704=A376),'Engineer Updates'!$K$5:$K$704),""))</x:f>
      </x:c>
      <x:c r="W376" s="174" t="str">
        <x:f>IF(A376="","",IFERROR(LOOKUP(2,1/('Engineer Updates'!$B$5:$B$704=A376),'Engineer Updates'!$L$5:$L$704),""))</x:f>
      </x:c>
      <x:c r="X376" s="170" t="str">
        <x:f>IF(A376="","",IF(C376="completed","Completed in CSSP",IF(AND(C376="executing",ISERROR(SEARCH("@",K376))),"Executing without named engineer",IF(AND(N376="Confirmed OOS",C376="executing"),"Confirmed OOS still executing",""))))</x:f>
      </x:c>
      <x:c r="Y376" s="170" t="str">
        <x:f>IF(A376="","",IF(B376="Decommissioning","Raw Decommissioning","Raw Provisioning"))</x:f>
        <x:v>Raw Provisioning</x:v>
      </x:c>
      <x:c r="Z376" s="170" t="str">
        <x:f>IF(A376="","",IF(OR(C376="executing",C376="processing"),"Yes","No"))</x:f>
        <x:v>No</x:v>
      </x:c>
    </x:row>
    <x:row r="377">
      <x:c r="A377" s="170" t="str">
        <x:f>IF(ROWS($A$5:A377)&lt;=COUNTA('Raw Decommissioning'!$B$2:$B$1000),INDEX('Raw Decommissioning'!$B$2:$B$1000,ROWS($A$5:A377)),IF(ROWS($A$5:A377)-COUNTA('Raw Decommissioning'!$B$2:$B$1000)&lt;=COUNTA('Raw Provisioning'!$B$2:$B$1000),INDEX('Raw Provisioning'!$B$2:$B$1000,ROWS($A$5:A377)-COUNTA('Raw Decommissioning'!$B$2:$B$1000)),""))</x:f>
        <x:v>CSSP10167368</x:v>
      </x:c>
      <x:c r="B377" s="170" t="str">
        <x:f>IF(A377="","",IF(ROWS($A$5:A377)&lt;=COUNTA('Raw Decommissioning'!$B$2:$B$1000),"Decommissioning","Provisioning"))</x:f>
        <x:v>Provisioning</x:v>
      </x:c>
      <x:c r="C377" s="170" t="str">
        <x:f>IF(A377="","",IF(B377="Decommissioning",IFERROR(INDEX('Raw Decommissioning'!$E$2:$E$1000,MATCH(A377,'Raw Decommissioning'!$B$2:$B$1000,0)),"Missing from latest raw"),IFERROR(INDEX('Raw Provisioning'!$E$2:$E$1000,MATCH(A377,'Raw Provisioning'!$B$2:$B$1000,0)),"Missing from latest raw")))</x:f>
        <x:v>completed</x:v>
      </x:c>
      <x:c r="D377" s="171" t="n">
        <x:f>IF(A377="","",'Refresh Control'!$B$4)</x:f>
        <x:v>46254</x:v>
      </x:c>
      <x:c r="E377" s="171" t="n">
        <x:f>IF(A377="","",IF(B377="Decommissioning",INDEX('Raw Decommissioning'!$F$2:$F$1000,ROWS($A$5:A377)),INDEX('Raw Provisioning'!$F$2:$F$1000,ROWS($A$5:A377)-COUNTA('Raw Decommissioning'!$B$2:$B$1000))))</x:f>
        <x:v>45947.6089658912</x:v>
      </x:c>
      <x:c r="F377" s="171" t="n">
        <x:f>IF(A377="","",IF(B377="Decommissioning",INDEX('Raw Decommissioning'!$G$2:$G$1000,ROWS($A$5:A377)),INDEX('Raw Provisioning'!$H$2:$H$1000,ROWS($A$5:A377)-COUNTA('Raw Decommissioning'!$B$2:$B$1000))))</x:f>
        <x:v>46028.23219122685</x:v>
      </x:c>
      <x:c r="G377" s="170" t="str">
        <x:f>IF(A377="","",IF(B377="Decommissioning",INDEX('Raw Decommissioning'!$I$2:$I$1000,ROWS($A$5:A377)),INDEX('Raw Provisioning'!$J$2:$J$1000,ROWS($A$5:A377)-COUNTA('Raw Decommissioning'!$B$2:$B$1000))))</x:f>
        <x:v>PETRONAS Pipeline Engineering Solution - P-PIES</x:v>
      </x:c>
      <x:c r="H377" s="170" t="str">
        <x:f>IF(A377="","",IF(B377="Decommissioning",INDEX('Raw Decommissioning'!$J$2:$J$1000,ROWS($A$5:A377)),INDEX('Raw Provisioning'!$L$2:$L$1000,ROWS($A$5:A377)-COUNTA('Raw Decommissioning'!$B$2:$B$1000))))</x:f>
        <x:v>Pipeline of the Future (POTF) ‐ PiES, i‐PIMS, PrAnCorr &amp; PrAnSpan</x:v>
      </x:c>
      <x:c r="I377" s="170" t="str">
        <x:f>IF(A377="","",IF(B377="Decommissioning",INDEX('Raw Decommissioning'!$AL$2:$AL$1000,ROWS($A$5:A377)),INDEX('Raw Provisioning'!$R$2:$R$1000,ROWS($A$5:A377)-COUNTA('Raw Decommissioning'!$B$2:$B$1000))))</x:f>
        <x:v>S</x:v>
      </x:c>
      <x:c r="J377" s="170" t="str">
        <x:f>IF(A377="","",IF(B377="Decommissioning",INDEX('Raw Decommissioning'!$AG$2:$AG$1000,ROWS($A$5:A377)),INDEX('Raw Provisioning'!$AI$2:$AI$1000,ROWS($A$5:A377)-COUNTA('Raw Decommissioning'!$B$2:$B$1000))))</x:f>
        <x:v>fatinamirah.mjonik@petronas.com</x:v>
      </x:c>
      <x:c r="K377" s="172" t="str">
        <x:f>IF(A377="","",IFERROR(LOOKUP(2,1/('Assignment History'!$B$5:$B$204=A377),'Assignment History'!$D$5:$D$204),IFERROR(VLOOKUP(J377,Configuration!$L$5:$M$50,2,FALSE),J377)))</x:f>
        <x:v>fatinamirah.mjonik@petronas.com</x:v>
      </x:c>
      <x:c r="L377" s="172" t="str">
        <x:f>IF(A377="","",IF(K377=IFERROR(VLOOKUP(J377,Configuration!$L$5:$M$50,2,FALSE),J377),"Snapshot PIC","Replacement PIC"))</x:f>
        <x:v>Snapshot PIC</x:v>
      </x:c>
      <x:c r="M377" s="172" t="n">
        <x:f>IF(A377="","",IFERROR(VLOOKUP(I377,Configuration!$O$5:$P$8,2,FALSE),Configuration!$S$6))</x:f>
        <x:v>1</x:v>
      </x:c>
      <x:c r="N377" s="172" t="str">
        <x:f>IF(A377="","",IFERROR(LOOKUP(2,1/('Scope Review'!$B$5:$B$204=A377),'Scope Review'!$G$5:$G$204),"Not Reviewed"))</x:f>
        <x:v>Not Reviewed</x:v>
      </x:c>
      <x:c r="O377" s="172" t="str">
        <x:f>IF(A377="","",IFERROR(LOOKUP(2,1/('Scope Review'!$B$5:$B$204=A377),'Scope Review'!$H$5:$H$204),""))</x:f>
      </x:c>
      <x:c r="P377" s="172" t="n">
        <x:f>IF(A377="","",IF(AND(C377="executing",N377&lt;&gt;"Confirmed OOS"),M377,0))</x:f>
        <x:v>0</x:v>
      </x:c>
      <x:c r="Q377" s="173" t="str">
        <x:f>IF(A377="","",IFERROR(LOOKUP(2,1/('Engineer Updates'!$B$5:$B$704=A377),'Engineer Updates'!$A$5:$A$704),""))</x:f>
      </x:c>
      <x:c r="R377" s="172" t="str">
        <x:f>IF(A377="","",IFERROR(LOOKUP(2,1/('Engineer Updates'!$B$5:$B$704=A377),'Engineer Updates'!$H$5:$H$704),""))</x:f>
      </x:c>
      <x:c r="S377" s="172" t="str">
        <x:f>IF(A377="","",IFERROR(LOOKUP(2,1/('Engineer Updates'!$B$5:$B$704=A377),'Engineer Updates'!$G$5:$G$704),""))</x:f>
      </x:c>
      <x:c r="T377" s="172" t="str">
        <x:f>IF(A377="","",IFERROR(LOOKUP(2,1/('Engineer Updates'!$B$5:$B$704=A377),'Engineer Updates'!$I$5:$I$704),""))</x:f>
      </x:c>
      <x:c r="U377" s="172" t="str">
        <x:f>IF(A377="","",IFERROR(LOOKUP(2,1/('Engineer Updates'!$B$5:$B$704=A377),'Engineer Updates'!$J$5:$J$704),""))</x:f>
      </x:c>
      <x:c r="V377" s="172" t="str">
        <x:f>IF(A377="","",IFERROR(LOOKUP(2,1/('Engineer Updates'!$B$5:$B$704=A377),'Engineer Updates'!$K$5:$K$704),""))</x:f>
      </x:c>
      <x:c r="W377" s="174" t="str">
        <x:f>IF(A377="","",IFERROR(LOOKUP(2,1/('Engineer Updates'!$B$5:$B$704=A377),'Engineer Updates'!$L$5:$L$704),""))</x:f>
      </x:c>
      <x:c r="X377" s="170" t="str">
        <x:f>IF(A377="","",IF(C377="completed","Completed in CSSP",IF(AND(C377="executing",ISERROR(SEARCH("@",K377))),"Executing without named engineer",IF(AND(N377="Confirmed OOS",C377="executing"),"Confirmed OOS still executing",""))))</x:f>
        <x:v>Completed in CSSP</x:v>
      </x:c>
      <x:c r="Y377" s="170" t="str">
        <x:f>IF(A377="","",IF(B377="Decommissioning","Raw Decommissioning","Raw Provisioning"))</x:f>
        <x:v>Raw Provisioning</x:v>
      </x:c>
      <x:c r="Z377" s="170" t="str">
        <x:f>IF(A377="","",IF(OR(C377="executing",C377="processing"),"Yes","No"))</x:f>
        <x:v>No</x:v>
      </x:c>
    </x:row>
    <x:row r="378">
      <x:c r="A378" s="170" t="str">
        <x:f>IF(ROWS($A$5:A378)&lt;=COUNTA('Raw Decommissioning'!$B$2:$B$1000),INDEX('Raw Decommissioning'!$B$2:$B$1000,ROWS($A$5:A378)),IF(ROWS($A$5:A378)-COUNTA('Raw Decommissioning'!$B$2:$B$1000)&lt;=COUNTA('Raw Provisioning'!$B$2:$B$1000),INDEX('Raw Provisioning'!$B$2:$B$1000,ROWS($A$5:A378)-COUNTA('Raw Decommissioning'!$B$2:$B$1000)),""))</x:f>
        <x:v>CSSP10742290</x:v>
      </x:c>
      <x:c r="B378" s="170" t="str">
        <x:f>IF(A378="","",IF(ROWS($A$5:A378)&lt;=COUNTA('Raw Decommissioning'!$B$2:$B$1000),"Decommissioning","Provisioning"))</x:f>
        <x:v>Provisioning</x:v>
      </x:c>
      <x:c r="C378" s="170" t="str">
        <x:f>IF(A378="","",IF(B378="Decommissioning",IFERROR(INDEX('Raw Decommissioning'!$E$2:$E$1000,MATCH(A378,'Raw Decommissioning'!$B$2:$B$1000,0)),"Missing from latest raw"),IFERROR(INDEX('Raw Provisioning'!$E$2:$E$1000,MATCH(A378,'Raw Provisioning'!$B$2:$B$1000,0)),"Missing from latest raw")))</x:f>
        <x:v>completed</x:v>
      </x:c>
      <x:c r="D378" s="171" t="n">
        <x:f>IF(A378="","",'Refresh Control'!$B$4)</x:f>
        <x:v>46254</x:v>
      </x:c>
      <x:c r="E378" s="171" t="n">
        <x:f>IF(A378="","",IF(B378="Decommissioning",INDEX('Raw Decommissioning'!$F$2:$F$1000,ROWS($A$5:A378)),INDEX('Raw Provisioning'!$F$2:$F$1000,ROWS($A$5:A378)-COUNTA('Raw Decommissioning'!$B$2:$B$1000))))</x:f>
        <x:v>45959.05435774306</x:v>
      </x:c>
      <x:c r="F378" s="171" t="n">
        <x:f>IF(A378="","",IF(B378="Decommissioning",INDEX('Raw Decommissioning'!$G$2:$G$1000,ROWS($A$5:A378)),INDEX('Raw Provisioning'!$H$2:$H$1000,ROWS($A$5:A378)-COUNTA('Raw Decommissioning'!$B$2:$B$1000))))</x:f>
        <x:v>46031.56304609954</x:v>
      </x:c>
      <x:c r="G378" s="170" t="str">
        <x:f>IF(A378="","",IF(B378="Decommissioning",INDEX('Raw Decommissioning'!$I$2:$I$1000,ROWS($A$5:A378)),INDEX('Raw Provisioning'!$J$2:$J$1000,ROWS($A$5:A378)-COUNTA('Raw Decommissioning'!$B$2:$B$1000))))</x:f>
        <x:v>PETRONAS Pipeline Engineering Solution - P-PIES</x:v>
      </x:c>
      <x:c r="H378" s="170" t="str">
        <x:f>IF(A378="","",IF(B378="Decommissioning",INDEX('Raw Decommissioning'!$J$2:$J$1000,ROWS($A$5:A378)),INDEX('Raw Provisioning'!$L$2:$L$1000,ROWS($A$5:A378)-COUNTA('Raw Decommissioning'!$B$2:$B$1000))))</x:f>
        <x:v>Pipeline of the Future (POTF) ‐ PiES, i‐PIMS, PrAnCorr &amp; PrAnSpan</x:v>
      </x:c>
      <x:c r="I378" s="170" t="str">
        <x:f>IF(A378="","",IF(B378="Decommissioning",INDEX('Raw Decommissioning'!$AL$2:$AL$1000,ROWS($A$5:A378)),INDEX('Raw Provisioning'!$R$2:$R$1000,ROWS($A$5:A378)-COUNTA('Raw Decommissioning'!$B$2:$B$1000))))</x:f>
        <x:v>S</x:v>
      </x:c>
      <x:c r="J378" s="170" t="str">
        <x:f>IF(A378="","",IF(B378="Decommissioning",INDEX('Raw Decommissioning'!$AG$2:$AG$1000,ROWS($A$5:A378)),INDEX('Raw Provisioning'!$AI$2:$AI$1000,ROWS($A$5:A378)-COUNTA('Raw Decommissioning'!$B$2:$B$1000))))</x:f>
        <x:v>asri.yaakub@petronas.com</x:v>
      </x:c>
      <x:c r="K378" s="172" t="str">
        <x:f>IF(A378="","",IFERROR(LOOKUP(2,1/('Assignment History'!$B$5:$B$204=A378),'Assignment History'!$D$5:$D$204),IFERROR(VLOOKUP(J378,Configuration!$L$5:$M$50,2,FALSE),J378)))</x:f>
        <x:v>asri.yaakub@petronas.com</x:v>
      </x:c>
      <x:c r="L378" s="172" t="str">
        <x:f>IF(A378="","",IF(K378=IFERROR(VLOOKUP(J378,Configuration!$L$5:$M$50,2,FALSE),J378),"Snapshot PIC","Replacement PIC"))</x:f>
        <x:v>Snapshot PIC</x:v>
      </x:c>
      <x:c r="M378" s="172" t="n">
        <x:f>IF(A378="","",IFERROR(VLOOKUP(I378,Configuration!$O$5:$P$8,2,FALSE),Configuration!$S$6))</x:f>
        <x:v>1</x:v>
      </x:c>
      <x:c r="N378" s="172" t="str">
        <x:f>IF(A378="","",IFERROR(LOOKUP(2,1/('Scope Review'!$B$5:$B$204=A378),'Scope Review'!$G$5:$G$204),"Not Reviewed"))</x:f>
        <x:v>Not Reviewed</x:v>
      </x:c>
      <x:c r="O378" s="172" t="str">
        <x:f>IF(A378="","",IFERROR(LOOKUP(2,1/('Scope Review'!$B$5:$B$204=A378),'Scope Review'!$H$5:$H$204),""))</x:f>
      </x:c>
      <x:c r="P378" s="172" t="n">
        <x:f>IF(A378="","",IF(AND(C378="executing",N378&lt;&gt;"Confirmed OOS"),M378,0))</x:f>
        <x:v>0</x:v>
      </x:c>
      <x:c r="Q378" s="173" t="str">
        <x:f>IF(A378="","",IFERROR(LOOKUP(2,1/('Engineer Updates'!$B$5:$B$704=A378),'Engineer Updates'!$A$5:$A$704),""))</x:f>
      </x:c>
      <x:c r="R378" s="172" t="str">
        <x:f>IF(A378="","",IFERROR(LOOKUP(2,1/('Engineer Updates'!$B$5:$B$704=A378),'Engineer Updates'!$H$5:$H$704),""))</x:f>
      </x:c>
      <x:c r="S378" s="172" t="str">
        <x:f>IF(A378="","",IFERROR(LOOKUP(2,1/('Engineer Updates'!$B$5:$B$704=A378),'Engineer Updates'!$G$5:$G$704),""))</x:f>
      </x:c>
      <x:c r="T378" s="172" t="str">
        <x:f>IF(A378="","",IFERROR(LOOKUP(2,1/('Engineer Updates'!$B$5:$B$704=A378),'Engineer Updates'!$I$5:$I$704),""))</x:f>
      </x:c>
      <x:c r="U378" s="172" t="str">
        <x:f>IF(A378="","",IFERROR(LOOKUP(2,1/('Engineer Updates'!$B$5:$B$704=A378),'Engineer Updates'!$J$5:$J$704),""))</x:f>
      </x:c>
      <x:c r="V378" s="172" t="str">
        <x:f>IF(A378="","",IFERROR(LOOKUP(2,1/('Engineer Updates'!$B$5:$B$704=A378),'Engineer Updates'!$K$5:$K$704),""))</x:f>
      </x:c>
      <x:c r="W378" s="174" t="str">
        <x:f>IF(A378="","",IFERROR(LOOKUP(2,1/('Engineer Updates'!$B$5:$B$704=A378),'Engineer Updates'!$L$5:$L$704),""))</x:f>
      </x:c>
      <x:c r="X378" s="170" t="str">
        <x:f>IF(A378="","",IF(C378="completed","Completed in CSSP",IF(AND(C378="executing",ISERROR(SEARCH("@",K378))),"Executing without named engineer",IF(AND(N378="Confirmed OOS",C378="executing"),"Confirmed OOS still executing",""))))</x:f>
        <x:v>Completed in CSSP</x:v>
      </x:c>
      <x:c r="Y378" s="170" t="str">
        <x:f>IF(A378="","",IF(B378="Decommissioning","Raw Decommissioning","Raw Provisioning"))</x:f>
        <x:v>Raw Provisioning</x:v>
      </x:c>
      <x:c r="Z378" s="170" t="str">
        <x:f>IF(A378="","",IF(OR(C378="executing",C378="processing"),"Yes","No"))</x:f>
        <x:v>No</x:v>
      </x:c>
    </x:row>
    <x:row r="379">
      <x:c r="A379" s="170" t="str">
        <x:f>IF(ROWS($A$5:A379)&lt;=COUNTA('Raw Decommissioning'!$B$2:$B$1000),INDEX('Raw Decommissioning'!$B$2:$B$1000,ROWS($A$5:A379)),IF(ROWS($A$5:A379)-COUNTA('Raw Decommissioning'!$B$2:$B$1000)&lt;=COUNTA('Raw Provisioning'!$B$2:$B$1000),INDEX('Raw Provisioning'!$B$2:$B$1000,ROWS($A$5:A379)-COUNTA('Raw Decommissioning'!$B$2:$B$1000)),""))</x:f>
        <x:v>CSSP10991554</x:v>
      </x:c>
      <x:c r="B379" s="170" t="str">
        <x:f>IF(A379="","",IF(ROWS($A$5:A379)&lt;=COUNTA('Raw Decommissioning'!$B$2:$B$1000),"Decommissioning","Provisioning"))</x:f>
        <x:v>Provisioning</x:v>
      </x:c>
      <x:c r="C379" s="170" t="str">
        <x:f>IF(A379="","",IF(B379="Decommissioning",IFERROR(INDEX('Raw Decommissioning'!$E$2:$E$1000,MATCH(A379,'Raw Decommissioning'!$B$2:$B$1000,0)),"Missing from latest raw"),IFERROR(INDEX('Raw Provisioning'!$E$2:$E$1000,MATCH(A379,'Raw Provisioning'!$B$2:$B$1000,0)),"Missing from latest raw")))</x:f>
        <x:v>rejected</x:v>
      </x:c>
      <x:c r="D379" s="171" t="n">
        <x:f>IF(A379="","",'Refresh Control'!$B$4)</x:f>
        <x:v>46254</x:v>
      </x:c>
      <x:c r="E379" s="171" t="n">
        <x:f>IF(A379="","",IF(B379="Decommissioning",INDEX('Raw Decommissioning'!$F$2:$F$1000,ROWS($A$5:A379)),INDEX('Raw Provisioning'!$F$2:$F$1000,ROWS($A$5:A379)-COUNTA('Raw Decommissioning'!$B$2:$B$1000))))</x:f>
        <x:v>45979.07530474537</x:v>
      </x:c>
      <x:c r="F379" s="171" t="n">
        <x:f>IF(A379="","",IF(B379="Decommissioning",INDEX('Raw Decommissioning'!$G$2:$G$1000,ROWS($A$5:A379)),INDEX('Raw Provisioning'!$H$2:$H$1000,ROWS($A$5:A379)-COUNTA('Raw Decommissioning'!$B$2:$B$1000))))</x:f>
        <x:v>46121.16786744213</x:v>
      </x:c>
      <x:c r="G379" s="170" t="str">
        <x:f>IF(A379="","",IF(B379="Decommissioning",INDEX('Raw Decommissioning'!$I$2:$I$1000,ROWS($A$5:A379)),INDEX('Raw Provisioning'!$J$2:$J$1000,ROWS($A$5:A379)-COUNTA('Raw Decommissioning'!$B$2:$B$1000))))</x:f>
        <x:v>Barrier Management and HSSE - BMH - formerly Measure Validate and Predict - MVP</x:v>
      </x:c>
      <x:c r="H379" s="170" t="str">
        <x:f>IF(A379="","",IF(B379="Decommissioning",INDEX('Raw Decommissioning'!$J$2:$J$1000,ROWS($A$5:A379)),INDEX('Raw Provisioning'!$L$2:$L$1000,ROWS($A$5:A379)-COUNTA('Raw Decommissioning'!$B$2:$B$1000))))</x:f>
        <x:v>Shared between 00915_103 and 00915_104 | AWS - Cloud Migration -Measure, Validate &amp; Predict (MVP) GPU | AWS - Cloud Migration - Measure, Validate &amp; Predict (MVP) GTR - From OLZ (MVP GPU &amp; MVP GTR) to NLZ (BMH)</x:v>
      </x:c>
      <x:c r="I379" s="170" t="str">
        <x:f>IF(A379="","",IF(B379="Decommissioning",INDEX('Raw Decommissioning'!$AL$2:$AL$1000,ROWS($A$5:A379)),INDEX('Raw Provisioning'!$R$2:$R$1000,ROWS($A$5:A379)-COUNTA('Raw Decommissioning'!$B$2:$B$1000))))</x:f>
      </x:c>
      <x:c r="J379" s="170" t="str">
        <x:f>IF(A379="","",IF(B379="Decommissioning",INDEX('Raw Decommissioning'!$AG$2:$AG$1000,ROWS($A$5:A379)),INDEX('Raw Provisioning'!$AI$2:$AI$1000,ROWS($A$5:A379)-COUNTA('Raw Decommissioning'!$B$2:$B$1000))))</x:f>
        <x:v>CCoE Core Services (Public)</x:v>
      </x:c>
      <x:c r="K379" s="172" t="str">
        <x:f>IF(A379="","",IFERROR(LOOKUP(2,1/('Assignment History'!$B$5:$B$204=A379),'Assignment History'!$D$5:$D$204),IFERROR(VLOOKUP(J379,Configuration!$L$5:$M$50,2,FALSE),J379)))</x:f>
        <x:v>CCoE Core Services (Public)</x:v>
      </x:c>
      <x:c r="L379" s="172" t="str">
        <x:f>IF(A379="","",IF(K379=IFERROR(VLOOKUP(J379,Configuration!$L$5:$M$50,2,FALSE),J379),"Snapshot PIC","Replacement PIC"))</x:f>
        <x:v>Snapshot PIC</x:v>
      </x:c>
      <x:c r="M379" s="172" t="n">
        <x:f>IF(A379="","",IFERROR(VLOOKUP(I379,Configuration!$O$5:$P$8,2,FALSE),Configuration!$S$6))</x:f>
        <x:v>2</x:v>
      </x:c>
      <x:c r="N379" s="172" t="str">
        <x:f>IF(A379="","",IFERROR(LOOKUP(2,1/('Scope Review'!$B$5:$B$204=A379),'Scope Review'!$G$5:$G$204),"Not Reviewed"))</x:f>
        <x:v>Not Reviewed</x:v>
      </x:c>
      <x:c r="O379" s="172" t="str">
        <x:f>IF(A379="","",IFERROR(LOOKUP(2,1/('Scope Review'!$B$5:$B$204=A379),'Scope Review'!$H$5:$H$204),""))</x:f>
      </x:c>
      <x:c r="P379" s="172" t="n">
        <x:f>IF(A379="","",IF(AND(C379="executing",N379&lt;&gt;"Confirmed OOS"),M379,0))</x:f>
        <x:v>0</x:v>
      </x:c>
      <x:c r="Q379" s="173" t="str">
        <x:f>IF(A379="","",IFERROR(LOOKUP(2,1/('Engineer Updates'!$B$5:$B$704=A379),'Engineer Updates'!$A$5:$A$704),""))</x:f>
      </x:c>
      <x:c r="R379" s="172" t="str">
        <x:f>IF(A379="","",IFERROR(LOOKUP(2,1/('Engineer Updates'!$B$5:$B$704=A379),'Engineer Updates'!$H$5:$H$704),""))</x:f>
      </x:c>
      <x:c r="S379" s="172" t="str">
        <x:f>IF(A379="","",IFERROR(LOOKUP(2,1/('Engineer Updates'!$B$5:$B$704=A379),'Engineer Updates'!$G$5:$G$704),""))</x:f>
      </x:c>
      <x:c r="T379" s="172" t="str">
        <x:f>IF(A379="","",IFERROR(LOOKUP(2,1/('Engineer Updates'!$B$5:$B$704=A379),'Engineer Updates'!$I$5:$I$704),""))</x:f>
      </x:c>
      <x:c r="U379" s="172" t="str">
        <x:f>IF(A379="","",IFERROR(LOOKUP(2,1/('Engineer Updates'!$B$5:$B$704=A379),'Engineer Updates'!$J$5:$J$704),""))</x:f>
      </x:c>
      <x:c r="V379" s="172" t="str">
        <x:f>IF(A379="","",IFERROR(LOOKUP(2,1/('Engineer Updates'!$B$5:$B$704=A379),'Engineer Updates'!$K$5:$K$704),""))</x:f>
      </x:c>
      <x:c r="W379" s="174" t="str">
        <x:f>IF(A379="","",IFERROR(LOOKUP(2,1/('Engineer Updates'!$B$5:$B$704=A379),'Engineer Updates'!$L$5:$L$704),""))</x:f>
      </x:c>
      <x:c r="X379" s="170" t="str">
        <x:f>IF(A379="","",IF(C379="completed","Completed in CSSP",IF(AND(C379="executing",ISERROR(SEARCH("@",K379))),"Executing without named engineer",IF(AND(N379="Confirmed OOS",C379="executing"),"Confirmed OOS still executing",""))))</x:f>
      </x:c>
      <x:c r="Y379" s="170" t="str">
        <x:f>IF(A379="","",IF(B379="Decommissioning","Raw Decommissioning","Raw Provisioning"))</x:f>
        <x:v>Raw Provisioning</x:v>
      </x:c>
      <x:c r="Z379" s="170" t="str">
        <x:f>IF(A379="","",IF(OR(C379="executing",C379="processing"),"Yes","No"))</x:f>
        <x:v>No</x:v>
      </x:c>
    </x:row>
    <x:row r="380">
      <x:c r="A380" s="170" t="str">
        <x:f>IF(ROWS($A$5:A380)&lt;=COUNTA('Raw Decommissioning'!$B$2:$B$1000),INDEX('Raw Decommissioning'!$B$2:$B$1000,ROWS($A$5:A380)),IF(ROWS($A$5:A380)-COUNTA('Raw Decommissioning'!$B$2:$B$1000)&lt;=COUNTA('Raw Provisioning'!$B$2:$B$1000),INDEX('Raw Provisioning'!$B$2:$B$1000,ROWS($A$5:A380)-COUNTA('Raw Decommissioning'!$B$2:$B$1000)),""))</x:f>
        <x:v>CSSP10488950</x:v>
      </x:c>
      <x:c r="B380" s="170" t="str">
        <x:f>IF(A380="","",IF(ROWS($A$5:A380)&lt;=COUNTA('Raw Decommissioning'!$B$2:$B$1000),"Decommissioning","Provisioning"))</x:f>
        <x:v>Provisioning</x:v>
      </x:c>
      <x:c r="C380" s="170" t="str">
        <x:f>IF(A380="","",IF(B380="Decommissioning",IFERROR(INDEX('Raw Decommissioning'!$E$2:$E$1000,MATCH(A380,'Raw Decommissioning'!$B$2:$B$1000,0)),"Missing from latest raw"),IFERROR(INDEX('Raw Provisioning'!$E$2:$E$1000,MATCH(A380,'Raw Provisioning'!$B$2:$B$1000,0)),"Missing from latest raw")))</x:f>
        <x:v>rejected</x:v>
      </x:c>
      <x:c r="D380" s="171" t="n">
        <x:f>IF(A380="","",'Refresh Control'!$B$4)</x:f>
        <x:v>46254</x:v>
      </x:c>
      <x:c r="E380" s="171" t="n">
        <x:f>IF(A380="","",IF(B380="Decommissioning",INDEX('Raw Decommissioning'!$F$2:$F$1000,ROWS($A$5:A380)),INDEX('Raw Provisioning'!$F$2:$F$1000,ROWS($A$5:A380)-COUNTA('Raw Decommissioning'!$B$2:$B$1000))))</x:f>
        <x:v>45980.13720907408</x:v>
      </x:c>
      <x:c r="F380" s="171" t="n">
        <x:f>IF(A380="","",IF(B380="Decommissioning",INDEX('Raw Decommissioning'!$G$2:$G$1000,ROWS($A$5:A380)),INDEX('Raw Provisioning'!$H$2:$H$1000,ROWS($A$5:A380)-COUNTA('Raw Decommissioning'!$B$2:$B$1000))))</x:f>
        <x:v>46090.445261608795</x:v>
      </x:c>
      <x:c r="G380" s="170" t="str">
        <x:f>IF(A380="","",IF(B380="Decommissioning",INDEX('Raw Decommissioning'!$I$2:$I$1000,ROWS($A$5:A380)),INDEX('Raw Provisioning'!$J$2:$J$1000,ROWS($A$5:A380)-COUNTA('Raw Decommissioning'!$B$2:$B$1000))))</x:f>
        <x:v>Future Ready IoT to Drive Remote Operations via IoSync</x:v>
      </x:c>
      <x:c r="H380" s="170" t="str">
        <x:f>IF(A380="","",IF(B380="Decommissioning",INDEX('Raw Decommissioning'!$J$2:$J$1000,ROWS($A$5:A380)),INDEX('Raw Provisioning'!$L$2:$L$1000,ROWS($A$5:A380)-COUNTA('Raw Decommissioning'!$B$2:$B$1000))))</x:f>
        <x:v>IOSync</x:v>
      </x:c>
      <x:c r="I380" s="170" t="str">
        <x:f>IF(A380="","",IF(B380="Decommissioning",INDEX('Raw Decommissioning'!$AL$2:$AL$1000,ROWS($A$5:A380)),INDEX('Raw Provisioning'!$R$2:$R$1000,ROWS($A$5:A380)-COUNTA('Raw Decommissioning'!$B$2:$B$1000))))</x:f>
      </x:c>
      <x:c r="J380" s="170" t="str">
        <x:f>IF(A380="","",IF(B380="Decommissioning",INDEX('Raw Decommissioning'!$AG$2:$AG$1000,ROWS($A$5:A380)),INDEX('Raw Provisioning'!$AI$2:$AI$1000,ROWS($A$5:A380)-COUNTA('Raw Decommissioning'!$B$2:$B$1000))))</x:f>
        <x:v>CCoE Core Services (Public)</x:v>
      </x:c>
      <x:c r="K380" s="172" t="str">
        <x:f>IF(A380="","",IFERROR(LOOKUP(2,1/('Assignment History'!$B$5:$B$204=A380),'Assignment History'!$D$5:$D$204),IFERROR(VLOOKUP(J380,Configuration!$L$5:$M$50,2,FALSE),J380)))</x:f>
        <x:v>CCoE Core Services (Public)</x:v>
      </x:c>
      <x:c r="L380" s="172" t="str">
        <x:f>IF(A380="","",IF(K380=IFERROR(VLOOKUP(J380,Configuration!$L$5:$M$50,2,FALSE),J380),"Snapshot PIC","Replacement PIC"))</x:f>
        <x:v>Snapshot PIC</x:v>
      </x:c>
      <x:c r="M380" s="172" t="n">
        <x:f>IF(A380="","",IFERROR(VLOOKUP(I380,Configuration!$O$5:$P$8,2,FALSE),Configuration!$S$6))</x:f>
        <x:v>2</x:v>
      </x:c>
      <x:c r="N380" s="172" t="str">
        <x:f>IF(A380="","",IFERROR(LOOKUP(2,1/('Scope Review'!$B$5:$B$204=A380),'Scope Review'!$G$5:$G$204),"Not Reviewed"))</x:f>
        <x:v>Not Reviewed</x:v>
      </x:c>
      <x:c r="O380" s="172" t="str">
        <x:f>IF(A380="","",IFERROR(LOOKUP(2,1/('Scope Review'!$B$5:$B$204=A380),'Scope Review'!$H$5:$H$204),""))</x:f>
      </x:c>
      <x:c r="P380" s="172" t="n">
        <x:f>IF(A380="","",IF(AND(C380="executing",N380&lt;&gt;"Confirmed OOS"),M380,0))</x:f>
        <x:v>0</x:v>
      </x:c>
      <x:c r="Q380" s="173" t="str">
        <x:f>IF(A380="","",IFERROR(LOOKUP(2,1/('Engineer Updates'!$B$5:$B$704=A380),'Engineer Updates'!$A$5:$A$704),""))</x:f>
      </x:c>
      <x:c r="R380" s="172" t="str">
        <x:f>IF(A380="","",IFERROR(LOOKUP(2,1/('Engineer Updates'!$B$5:$B$704=A380),'Engineer Updates'!$H$5:$H$704),""))</x:f>
      </x:c>
      <x:c r="S380" s="172" t="str">
        <x:f>IF(A380="","",IFERROR(LOOKUP(2,1/('Engineer Updates'!$B$5:$B$704=A380),'Engineer Updates'!$G$5:$G$704),""))</x:f>
      </x:c>
      <x:c r="T380" s="172" t="str">
        <x:f>IF(A380="","",IFERROR(LOOKUP(2,1/('Engineer Updates'!$B$5:$B$704=A380),'Engineer Updates'!$I$5:$I$704),""))</x:f>
      </x:c>
      <x:c r="U380" s="172" t="str">
        <x:f>IF(A380="","",IFERROR(LOOKUP(2,1/('Engineer Updates'!$B$5:$B$704=A380),'Engineer Updates'!$J$5:$J$704),""))</x:f>
      </x:c>
      <x:c r="V380" s="172" t="str">
        <x:f>IF(A380="","",IFERROR(LOOKUP(2,1/('Engineer Updates'!$B$5:$B$704=A380),'Engineer Updates'!$K$5:$K$704),""))</x:f>
      </x:c>
      <x:c r="W380" s="174" t="str">
        <x:f>IF(A380="","",IFERROR(LOOKUP(2,1/('Engineer Updates'!$B$5:$B$704=A380),'Engineer Updates'!$L$5:$L$704),""))</x:f>
      </x:c>
      <x:c r="X380" s="170" t="str">
        <x:f>IF(A380="","",IF(C380="completed","Completed in CSSP",IF(AND(C380="executing",ISERROR(SEARCH("@",K380))),"Executing without named engineer",IF(AND(N380="Confirmed OOS",C380="executing"),"Confirmed OOS still executing",""))))</x:f>
      </x:c>
      <x:c r="Y380" s="170" t="str">
        <x:f>IF(A380="","",IF(B380="Decommissioning","Raw Decommissioning","Raw Provisioning"))</x:f>
        <x:v>Raw Provisioning</x:v>
      </x:c>
      <x:c r="Z380" s="170" t="str">
        <x:f>IF(A380="","",IF(OR(C380="executing",C380="processing"),"Yes","No"))</x:f>
        <x:v>No</x:v>
      </x:c>
    </x:row>
    <x:row r="381">
      <x:c r="A381" s="170" t="str">
        <x:f>IF(ROWS($A$5:A381)&lt;=COUNTA('Raw Decommissioning'!$B$2:$B$1000),INDEX('Raw Decommissioning'!$B$2:$B$1000,ROWS($A$5:A381)),IF(ROWS($A$5:A381)-COUNTA('Raw Decommissioning'!$B$2:$B$1000)&lt;=COUNTA('Raw Provisioning'!$B$2:$B$1000),INDEX('Raw Provisioning'!$B$2:$B$1000,ROWS($A$5:A381)-COUNTA('Raw Decommissioning'!$B$2:$B$1000)),""))</x:f>
        <x:v>CSSP10289134</x:v>
      </x:c>
      <x:c r="B381" s="170" t="str">
        <x:f>IF(A381="","",IF(ROWS($A$5:A381)&lt;=COUNTA('Raw Decommissioning'!$B$2:$B$1000),"Decommissioning","Provisioning"))</x:f>
        <x:v>Provisioning</x:v>
      </x:c>
      <x:c r="C381" s="170" t="str">
        <x:f>IF(A381="","",IF(B381="Decommissioning",IFERROR(INDEX('Raw Decommissioning'!$E$2:$E$1000,MATCH(A381,'Raw Decommissioning'!$B$2:$B$1000,0)),"Missing from latest raw"),IFERROR(INDEX('Raw Provisioning'!$E$2:$E$1000,MATCH(A381,'Raw Provisioning'!$B$2:$B$1000,0)),"Missing from latest raw")))</x:f>
        <x:v>completed</x:v>
      </x:c>
      <x:c r="D381" s="171" t="n">
        <x:f>IF(A381="","",'Refresh Control'!$B$4)</x:f>
        <x:v>46254</x:v>
      </x:c>
      <x:c r="E381" s="171" t="n">
        <x:f>IF(A381="","",IF(B381="Decommissioning",INDEX('Raw Decommissioning'!$F$2:$F$1000,ROWS($A$5:A381)),INDEX('Raw Provisioning'!$F$2:$F$1000,ROWS($A$5:A381)-COUNTA('Raw Decommissioning'!$B$2:$B$1000))))</x:f>
        <x:v>45985.133832175925</x:v>
      </x:c>
      <x:c r="F381" s="171" t="n">
        <x:f>IF(A381="","",IF(B381="Decommissioning",INDEX('Raw Decommissioning'!$G$2:$G$1000,ROWS($A$5:A381)),INDEX('Raw Provisioning'!$H$2:$H$1000,ROWS($A$5:A381)-COUNTA('Raw Decommissioning'!$B$2:$B$1000))))</x:f>
        <x:v>46091.09710172454</x:v>
      </x:c>
      <x:c r="G381" s="170" t="str">
        <x:f>IF(A381="","",IF(B381="Decommissioning",INDEX('Raw Decommissioning'!$I$2:$I$1000,ROWS($A$5:A381)),INDEX('Raw Provisioning'!$J$2:$J$1000,ROWS($A$5:A381)-COUNTA('Raw Decommissioning'!$B$2:$B$1000))))</x:f>
        <x:v>AI Enablement Framework</x:v>
      </x:c>
      <x:c r="H381" s="170" t="str">
        <x:f>IF(A381="","",IF(B381="Decommissioning",INDEX('Raw Decommissioning'!$J$2:$J$1000,ROWS($A$5:A381)),INDEX('Raw Provisioning'!$L$2:$L$1000,ROWS($A$5:A381)-COUNTA('Raw Decommissioning'!$B$2:$B$1000))))</x:f>
        <x:v>Support and Maintenance for AI Enablement Framework 2023-2024 for PDB</x:v>
      </x:c>
      <x:c r="I381" s="170" t="str">
        <x:f>IF(A381="","",IF(B381="Decommissioning",INDEX('Raw Decommissioning'!$AL$2:$AL$1000,ROWS($A$5:A381)),INDEX('Raw Provisioning'!$R$2:$R$1000,ROWS($A$5:A381)-COUNTA('Raw Decommissioning'!$B$2:$B$1000))))</x:f>
        <x:v>S</x:v>
      </x:c>
      <x:c r="J381" s="170" t="str">
        <x:f>IF(A381="","",IF(B381="Decommissioning",INDEX('Raw Decommissioning'!$AG$2:$AG$1000,ROWS($A$5:A381)),INDEX('Raw Provisioning'!$AI$2:$AI$1000,ROWS($A$5:A381)-COUNTA('Raw Decommissioning'!$B$2:$B$1000))))</x:f>
        <x:v>izham.ajmaan@petronas.com</x:v>
      </x:c>
      <x:c r="K381" s="172" t="str">
        <x:f>IF(A381="","",IFERROR(LOOKUP(2,1/('Assignment History'!$B$5:$B$204=A381),'Assignment History'!$D$5:$D$204),IFERROR(VLOOKUP(J381,Configuration!$L$5:$M$50,2,FALSE),J381)))</x:f>
        <x:v>izham.ajmaan@petronas.com</x:v>
      </x:c>
      <x:c r="L381" s="172" t="str">
        <x:f>IF(A381="","",IF(K381=IFERROR(VLOOKUP(J381,Configuration!$L$5:$M$50,2,FALSE),J381),"Snapshot PIC","Replacement PIC"))</x:f>
        <x:v>Snapshot PIC</x:v>
      </x:c>
      <x:c r="M381" s="172" t="n">
        <x:f>IF(A381="","",IFERROR(VLOOKUP(I381,Configuration!$O$5:$P$8,2,FALSE),Configuration!$S$6))</x:f>
        <x:v>1</x:v>
      </x:c>
      <x:c r="N381" s="172" t="str">
        <x:f>IF(A381="","",IFERROR(LOOKUP(2,1/('Scope Review'!$B$5:$B$204=A381),'Scope Review'!$G$5:$G$204),"Not Reviewed"))</x:f>
        <x:v>Not Reviewed</x:v>
      </x:c>
      <x:c r="O381" s="172" t="str">
        <x:f>IF(A381="","",IFERROR(LOOKUP(2,1/('Scope Review'!$B$5:$B$204=A381),'Scope Review'!$H$5:$H$204),""))</x:f>
      </x:c>
      <x:c r="P381" s="172" t="n">
        <x:f>IF(A381="","",IF(AND(C381="executing",N381&lt;&gt;"Confirmed OOS"),M381,0))</x:f>
        <x:v>0</x:v>
      </x:c>
      <x:c r="Q381" s="173" t="str">
        <x:f>IF(A381="","",IFERROR(LOOKUP(2,1/('Engineer Updates'!$B$5:$B$704=A381),'Engineer Updates'!$A$5:$A$704),""))</x:f>
      </x:c>
      <x:c r="R381" s="172" t="str">
        <x:f>IF(A381="","",IFERROR(LOOKUP(2,1/('Engineer Updates'!$B$5:$B$704=A381),'Engineer Updates'!$H$5:$H$704),""))</x:f>
      </x:c>
      <x:c r="S381" s="172" t="str">
        <x:f>IF(A381="","",IFERROR(LOOKUP(2,1/('Engineer Updates'!$B$5:$B$704=A381),'Engineer Updates'!$G$5:$G$704),""))</x:f>
      </x:c>
      <x:c r="T381" s="172" t="str">
        <x:f>IF(A381="","",IFERROR(LOOKUP(2,1/('Engineer Updates'!$B$5:$B$704=A381),'Engineer Updates'!$I$5:$I$704),""))</x:f>
      </x:c>
      <x:c r="U381" s="172" t="str">
        <x:f>IF(A381="","",IFERROR(LOOKUP(2,1/('Engineer Updates'!$B$5:$B$704=A381),'Engineer Updates'!$J$5:$J$704),""))</x:f>
      </x:c>
      <x:c r="V381" s="172" t="str">
        <x:f>IF(A381="","",IFERROR(LOOKUP(2,1/('Engineer Updates'!$B$5:$B$704=A381),'Engineer Updates'!$K$5:$K$704),""))</x:f>
      </x:c>
      <x:c r="W381" s="174" t="str">
        <x:f>IF(A381="","",IFERROR(LOOKUP(2,1/('Engineer Updates'!$B$5:$B$704=A381),'Engineer Updates'!$L$5:$L$704),""))</x:f>
      </x:c>
      <x:c r="X381" s="170" t="str">
        <x:f>IF(A381="","",IF(C381="completed","Completed in CSSP",IF(AND(C381="executing",ISERROR(SEARCH("@",K381))),"Executing without named engineer",IF(AND(N381="Confirmed OOS",C381="executing"),"Confirmed OOS still executing",""))))</x:f>
        <x:v>Completed in CSSP</x:v>
      </x:c>
      <x:c r="Y381" s="170" t="str">
        <x:f>IF(A381="","",IF(B381="Decommissioning","Raw Decommissioning","Raw Provisioning"))</x:f>
        <x:v>Raw Provisioning</x:v>
      </x:c>
      <x:c r="Z381" s="170" t="str">
        <x:f>IF(A381="","",IF(OR(C381="executing",C381="processing"),"Yes","No"))</x:f>
        <x:v>No</x:v>
      </x:c>
    </x:row>
    <x:row r="382">
      <x:c r="A382" s="170" t="str">
        <x:f>IF(ROWS($A$5:A382)&lt;=COUNTA('Raw Decommissioning'!$B$2:$B$1000),INDEX('Raw Decommissioning'!$B$2:$B$1000,ROWS($A$5:A382)),IF(ROWS($A$5:A382)-COUNTA('Raw Decommissioning'!$B$2:$B$1000)&lt;=COUNTA('Raw Provisioning'!$B$2:$B$1000),INDEX('Raw Provisioning'!$B$2:$B$1000,ROWS($A$5:A382)-COUNTA('Raw Decommissioning'!$B$2:$B$1000)),""))</x:f>
        <x:v>CSSP10764223</x:v>
      </x:c>
      <x:c r="B382" s="170" t="str">
        <x:f>IF(A382="","",IF(ROWS($A$5:A382)&lt;=COUNTA('Raw Decommissioning'!$B$2:$B$1000),"Decommissioning","Provisioning"))</x:f>
        <x:v>Provisioning</x:v>
      </x:c>
      <x:c r="C382" s="170" t="str">
        <x:f>IF(A382="","",IF(B382="Decommissioning",IFERROR(INDEX('Raw Decommissioning'!$E$2:$E$1000,MATCH(A382,'Raw Decommissioning'!$B$2:$B$1000,0)),"Missing from latest raw"),IFERROR(INDEX('Raw Provisioning'!$E$2:$E$1000,MATCH(A382,'Raw Provisioning'!$B$2:$B$1000,0)),"Missing from latest raw")))</x:f>
        <x:v>completed</x:v>
      </x:c>
      <x:c r="D382" s="171" t="n">
        <x:f>IF(A382="","",'Refresh Control'!$B$4)</x:f>
        <x:v>46254</x:v>
      </x:c>
      <x:c r="E382" s="171" t="n">
        <x:f>IF(A382="","",IF(B382="Decommissioning",INDEX('Raw Decommissioning'!$F$2:$F$1000,ROWS($A$5:A382)),INDEX('Raw Provisioning'!$F$2:$F$1000,ROWS($A$5:A382)-COUNTA('Raw Decommissioning'!$B$2:$B$1000))))</x:f>
        <x:v>45986.106715497684</x:v>
      </x:c>
      <x:c r="F382" s="171" t="n">
        <x:f>IF(A382="","",IF(B382="Decommissioning",INDEX('Raw Decommissioning'!$G$2:$G$1000,ROWS($A$5:A382)),INDEX('Raw Provisioning'!$H$2:$H$1000,ROWS($A$5:A382)-COUNTA('Raw Decommissioning'!$B$2:$B$1000))))</x:f>
        <x:v>46031.75681737268</x:v>
      </x:c>
      <x:c r="G382" s="170" t="str">
        <x:f>IF(A382="","",IF(B382="Decommissioning",INDEX('Raw Decommissioning'!$I$2:$I$1000,ROWS($A$5:A382)),INDEX('Raw Provisioning'!$J$2:$J$1000,ROWS($A$5:A382)-COUNTA('Raw Decommissioning'!$B$2:$B$1000))))</x:f>
        <x:v>Project Command Centre (PCC)</x:v>
      </x:c>
      <x:c r="H382" s="170" t="str">
        <x:f>IF(A382="","",IF(B382="Decommissioning",INDEX('Raw Decommissioning'!$J$2:$J$1000,ROWS($A$5:A382)),INDEX('Raw Provisioning'!$L$2:$L$1000,ROWS($A$5:A382)-COUNTA('Raw Decommissioning'!$B$2:$B$1000))))</x:f>
        <x:v>Project Command Centre (PCC) Phase 3</x:v>
      </x:c>
      <x:c r="I382" s="170" t="str">
        <x:f>IF(A382="","",IF(B382="Decommissioning",INDEX('Raw Decommissioning'!$AL$2:$AL$1000,ROWS($A$5:A382)),INDEX('Raw Provisioning'!$R$2:$R$1000,ROWS($A$5:A382)-COUNTA('Raw Decommissioning'!$B$2:$B$1000))))</x:f>
        <x:v>M</x:v>
      </x:c>
      <x:c r="J382" s="170" t="str">
        <x:f>IF(A382="","",IF(B382="Decommissioning",INDEX('Raw Decommissioning'!$AG$2:$AG$1000,ROWS($A$5:A382)),INDEX('Raw Provisioning'!$AI$2:$AI$1000,ROWS($A$5:A382)-COUNTA('Raw Decommissioning'!$B$2:$B$1000))))</x:f>
        <x:v>amin.manshor@petronas.com</x:v>
      </x:c>
      <x:c r="K382" s="172" t="str">
        <x:f>IF(A382="","",IFERROR(LOOKUP(2,1/('Assignment History'!$B$5:$B$204=A382),'Assignment History'!$D$5:$D$204),IFERROR(VLOOKUP(J382,Configuration!$L$5:$M$50,2,FALSE),J382)))</x:f>
        <x:v>amin.manshor@petronas.com</x:v>
      </x:c>
      <x:c r="L382" s="172" t="str">
        <x:f>IF(A382="","",IF(K382=IFERROR(VLOOKUP(J382,Configuration!$L$5:$M$50,2,FALSE),J382),"Snapshot PIC","Replacement PIC"))</x:f>
        <x:v>Snapshot PIC</x:v>
      </x:c>
      <x:c r="M382" s="172" t="n">
        <x:f>IF(A382="","",IFERROR(VLOOKUP(I382,Configuration!$O$5:$P$8,2,FALSE),Configuration!$S$6))</x:f>
        <x:v>2</x:v>
      </x:c>
      <x:c r="N382" s="172" t="str">
        <x:f>IF(A382="","",IFERROR(LOOKUP(2,1/('Scope Review'!$B$5:$B$204=A382),'Scope Review'!$G$5:$G$204),"Not Reviewed"))</x:f>
        <x:v>Not Reviewed</x:v>
      </x:c>
      <x:c r="O382" s="172" t="str">
        <x:f>IF(A382="","",IFERROR(LOOKUP(2,1/('Scope Review'!$B$5:$B$204=A382),'Scope Review'!$H$5:$H$204),""))</x:f>
      </x:c>
      <x:c r="P382" s="172" t="n">
        <x:f>IF(A382="","",IF(AND(C382="executing",N382&lt;&gt;"Confirmed OOS"),M382,0))</x:f>
        <x:v>0</x:v>
      </x:c>
      <x:c r="Q382" s="173" t="str">
        <x:f>IF(A382="","",IFERROR(LOOKUP(2,1/('Engineer Updates'!$B$5:$B$704=A382),'Engineer Updates'!$A$5:$A$704),""))</x:f>
      </x:c>
      <x:c r="R382" s="172" t="str">
        <x:f>IF(A382="","",IFERROR(LOOKUP(2,1/('Engineer Updates'!$B$5:$B$704=A382),'Engineer Updates'!$H$5:$H$704),""))</x:f>
      </x:c>
      <x:c r="S382" s="172" t="str">
        <x:f>IF(A382="","",IFERROR(LOOKUP(2,1/('Engineer Updates'!$B$5:$B$704=A382),'Engineer Updates'!$G$5:$G$704),""))</x:f>
      </x:c>
      <x:c r="T382" s="172" t="str">
        <x:f>IF(A382="","",IFERROR(LOOKUP(2,1/('Engineer Updates'!$B$5:$B$704=A382),'Engineer Updates'!$I$5:$I$704),""))</x:f>
      </x:c>
      <x:c r="U382" s="172" t="str">
        <x:f>IF(A382="","",IFERROR(LOOKUP(2,1/('Engineer Updates'!$B$5:$B$704=A382),'Engineer Updates'!$J$5:$J$704),""))</x:f>
      </x:c>
      <x:c r="V382" s="172" t="str">
        <x:f>IF(A382="","",IFERROR(LOOKUP(2,1/('Engineer Updates'!$B$5:$B$704=A382),'Engineer Updates'!$K$5:$K$704),""))</x:f>
      </x:c>
      <x:c r="W382" s="174" t="str">
        <x:f>IF(A382="","",IFERROR(LOOKUP(2,1/('Engineer Updates'!$B$5:$B$704=A382),'Engineer Updates'!$L$5:$L$704),""))</x:f>
      </x:c>
      <x:c r="X382" s="170" t="str">
        <x:f>IF(A382="","",IF(C382="completed","Completed in CSSP",IF(AND(C382="executing",ISERROR(SEARCH("@",K382))),"Executing without named engineer",IF(AND(N382="Confirmed OOS",C382="executing"),"Confirmed OOS still executing",""))))</x:f>
        <x:v>Completed in CSSP</x:v>
      </x:c>
      <x:c r="Y382" s="170" t="str">
        <x:f>IF(A382="","",IF(B382="Decommissioning","Raw Decommissioning","Raw Provisioning"))</x:f>
        <x:v>Raw Provisioning</x:v>
      </x:c>
      <x:c r="Z382" s="170" t="str">
        <x:f>IF(A382="","",IF(OR(C382="executing",C382="processing"),"Yes","No"))</x:f>
        <x:v>No</x:v>
      </x:c>
    </x:row>
    <x:row r="383">
      <x:c r="A383" s="170" t="str">
        <x:f>IF(ROWS($A$5:A383)&lt;=COUNTA('Raw Decommissioning'!$B$2:$B$1000),INDEX('Raw Decommissioning'!$B$2:$B$1000,ROWS($A$5:A383)),IF(ROWS($A$5:A383)-COUNTA('Raw Decommissioning'!$B$2:$B$1000)&lt;=COUNTA('Raw Provisioning'!$B$2:$B$1000),INDEX('Raw Provisioning'!$B$2:$B$1000,ROWS($A$5:A383)-COUNTA('Raw Decommissioning'!$B$2:$B$1000)),""))</x:f>
        <x:v>CSSP10651043</x:v>
      </x:c>
      <x:c r="B383" s="170" t="str">
        <x:f>IF(A383="","",IF(ROWS($A$5:A383)&lt;=COUNTA('Raw Decommissioning'!$B$2:$B$1000),"Decommissioning","Provisioning"))</x:f>
        <x:v>Provisioning</x:v>
      </x:c>
      <x:c r="C383" s="170" t="str">
        <x:f>IF(A383="","",IF(B383="Decommissioning",IFERROR(INDEX('Raw Decommissioning'!$E$2:$E$1000,MATCH(A383,'Raw Decommissioning'!$B$2:$B$1000,0)),"Missing from latest raw"),IFERROR(INDEX('Raw Provisioning'!$E$2:$E$1000,MATCH(A383,'Raw Provisioning'!$B$2:$B$1000,0)),"Missing from latest raw")))</x:f>
        <x:v>completed</x:v>
      </x:c>
      <x:c r="D383" s="171" t="n">
        <x:f>IF(A383="","",'Refresh Control'!$B$4)</x:f>
        <x:v>46254</x:v>
      </x:c>
      <x:c r="E383" s="171" t="n">
        <x:f>IF(A383="","",IF(B383="Decommissioning",INDEX('Raw Decommissioning'!$F$2:$F$1000,ROWS($A$5:A383)),INDEX('Raw Provisioning'!$F$2:$F$1000,ROWS($A$5:A383)-COUNTA('Raw Decommissioning'!$B$2:$B$1000))))</x:f>
        <x:v>45986.10931908565</x:v>
      </x:c>
      <x:c r="F383" s="171" t="n">
        <x:f>IF(A383="","",IF(B383="Decommissioning",INDEX('Raw Decommissioning'!$G$2:$G$1000,ROWS($A$5:A383)),INDEX('Raw Provisioning'!$H$2:$H$1000,ROWS($A$5:A383)-COUNTA('Raw Decommissioning'!$B$2:$B$1000))))</x:f>
        <x:v>46031.75711918982</x:v>
      </x:c>
      <x:c r="G383" s="170" t="str">
        <x:f>IF(A383="","",IF(B383="Decommissioning",INDEX('Raw Decommissioning'!$I$2:$I$1000,ROWS($A$5:A383)),INDEX('Raw Provisioning'!$J$2:$J$1000,ROWS($A$5:A383)-COUNTA('Raw Decommissioning'!$B$2:$B$1000))))</x:f>
        <x:v>Project Command Centre (PCC)</x:v>
      </x:c>
      <x:c r="H383" s="170" t="str">
        <x:f>IF(A383="","",IF(B383="Decommissioning",INDEX('Raw Decommissioning'!$J$2:$J$1000,ROWS($A$5:A383)),INDEX('Raw Provisioning'!$L$2:$L$1000,ROWS($A$5:A383)-COUNTA('Raw Decommissioning'!$B$2:$B$1000))))</x:f>
        <x:v>Project Command Centre (PCC) Phase 3</x:v>
      </x:c>
      <x:c r="I383" s="170" t="str">
        <x:f>IF(A383="","",IF(B383="Decommissioning",INDEX('Raw Decommissioning'!$AL$2:$AL$1000,ROWS($A$5:A383)),INDEX('Raw Provisioning'!$R$2:$R$1000,ROWS($A$5:A383)-COUNTA('Raw Decommissioning'!$B$2:$B$1000))))</x:f>
        <x:v>M</x:v>
      </x:c>
      <x:c r="J383" s="170" t="str">
        <x:f>IF(A383="","",IF(B383="Decommissioning",INDEX('Raw Decommissioning'!$AG$2:$AG$1000,ROWS($A$5:A383)),INDEX('Raw Provisioning'!$AI$2:$AI$1000,ROWS($A$5:A383)-COUNTA('Raw Decommissioning'!$B$2:$B$1000))))</x:f>
        <x:v>amin.manshor@petronas.com</x:v>
      </x:c>
      <x:c r="K383" s="172" t="str">
        <x:f>IF(A383="","",IFERROR(LOOKUP(2,1/('Assignment History'!$B$5:$B$204=A383),'Assignment History'!$D$5:$D$204),IFERROR(VLOOKUP(J383,Configuration!$L$5:$M$50,2,FALSE),J383)))</x:f>
        <x:v>amin.manshor@petronas.com</x:v>
      </x:c>
      <x:c r="L383" s="172" t="str">
        <x:f>IF(A383="","",IF(K383=IFERROR(VLOOKUP(J383,Configuration!$L$5:$M$50,2,FALSE),J383),"Snapshot PIC","Replacement PIC"))</x:f>
        <x:v>Snapshot PIC</x:v>
      </x:c>
      <x:c r="M383" s="172" t="n">
        <x:f>IF(A383="","",IFERROR(VLOOKUP(I383,Configuration!$O$5:$P$8,2,FALSE),Configuration!$S$6))</x:f>
        <x:v>2</x:v>
      </x:c>
      <x:c r="N383" s="172" t="str">
        <x:f>IF(A383="","",IFERROR(LOOKUP(2,1/('Scope Review'!$B$5:$B$204=A383),'Scope Review'!$G$5:$G$204),"Not Reviewed"))</x:f>
        <x:v>Not Reviewed</x:v>
      </x:c>
      <x:c r="O383" s="172" t="str">
        <x:f>IF(A383="","",IFERROR(LOOKUP(2,1/('Scope Review'!$B$5:$B$204=A383),'Scope Review'!$H$5:$H$204),""))</x:f>
      </x:c>
      <x:c r="P383" s="172" t="n">
        <x:f>IF(A383="","",IF(AND(C383="executing",N383&lt;&gt;"Confirmed OOS"),M383,0))</x:f>
        <x:v>0</x:v>
      </x:c>
      <x:c r="Q383" s="173" t="str">
        <x:f>IF(A383="","",IFERROR(LOOKUP(2,1/('Engineer Updates'!$B$5:$B$704=A383),'Engineer Updates'!$A$5:$A$704),""))</x:f>
      </x:c>
      <x:c r="R383" s="172" t="str">
        <x:f>IF(A383="","",IFERROR(LOOKUP(2,1/('Engineer Updates'!$B$5:$B$704=A383),'Engineer Updates'!$H$5:$H$704),""))</x:f>
      </x:c>
      <x:c r="S383" s="172" t="str">
        <x:f>IF(A383="","",IFERROR(LOOKUP(2,1/('Engineer Updates'!$B$5:$B$704=A383),'Engineer Updates'!$G$5:$G$704),""))</x:f>
      </x:c>
      <x:c r="T383" s="172" t="str">
        <x:f>IF(A383="","",IFERROR(LOOKUP(2,1/('Engineer Updates'!$B$5:$B$704=A383),'Engineer Updates'!$I$5:$I$704),""))</x:f>
      </x:c>
      <x:c r="U383" s="172" t="str">
        <x:f>IF(A383="","",IFERROR(LOOKUP(2,1/('Engineer Updates'!$B$5:$B$704=A383),'Engineer Updates'!$J$5:$J$704),""))</x:f>
      </x:c>
      <x:c r="V383" s="172" t="str">
        <x:f>IF(A383="","",IFERROR(LOOKUP(2,1/('Engineer Updates'!$B$5:$B$704=A383),'Engineer Updates'!$K$5:$K$704),""))</x:f>
      </x:c>
      <x:c r="W383" s="174" t="str">
        <x:f>IF(A383="","",IFERROR(LOOKUP(2,1/('Engineer Updates'!$B$5:$B$704=A383),'Engineer Updates'!$L$5:$L$704),""))</x:f>
      </x:c>
      <x:c r="X383" s="170" t="str">
        <x:f>IF(A383="","",IF(C383="completed","Completed in CSSP",IF(AND(C383="executing",ISERROR(SEARCH("@",K383))),"Executing without named engineer",IF(AND(N383="Confirmed OOS",C383="executing"),"Confirmed OOS still executing",""))))</x:f>
        <x:v>Completed in CSSP</x:v>
      </x:c>
      <x:c r="Y383" s="170" t="str">
        <x:f>IF(A383="","",IF(B383="Decommissioning","Raw Decommissioning","Raw Provisioning"))</x:f>
        <x:v>Raw Provisioning</x:v>
      </x:c>
      <x:c r="Z383" s="170" t="str">
        <x:f>IF(A383="","",IF(OR(C383="executing",C383="processing"),"Yes","No"))</x:f>
        <x:v>No</x:v>
      </x:c>
    </x:row>
    <x:row r="384">
      <x:c r="A384" s="170" t="str">
        <x:f>IF(ROWS($A$5:A384)&lt;=COUNTA('Raw Decommissioning'!$B$2:$B$1000),INDEX('Raw Decommissioning'!$B$2:$B$1000,ROWS($A$5:A384)),IF(ROWS($A$5:A384)-COUNTA('Raw Decommissioning'!$B$2:$B$1000)&lt;=COUNTA('Raw Provisioning'!$B$2:$B$1000),INDEX('Raw Provisioning'!$B$2:$B$1000,ROWS($A$5:A384)-COUNTA('Raw Decommissioning'!$B$2:$B$1000)),""))</x:f>
        <x:v>CSSP10432529</x:v>
      </x:c>
      <x:c r="B384" s="170" t="str">
        <x:f>IF(A384="","",IF(ROWS($A$5:A384)&lt;=COUNTA('Raw Decommissioning'!$B$2:$B$1000),"Decommissioning","Provisioning"))</x:f>
        <x:v>Provisioning</x:v>
      </x:c>
      <x:c r="C384" s="170" t="str">
        <x:f>IF(A384="","",IF(B384="Decommissioning",IFERROR(INDEX('Raw Decommissioning'!$E$2:$E$1000,MATCH(A384,'Raw Decommissioning'!$B$2:$B$1000,0)),"Missing from latest raw"),IFERROR(INDEX('Raw Provisioning'!$E$2:$E$1000,MATCH(A384,'Raw Provisioning'!$B$2:$B$1000,0)),"Missing from latest raw")))</x:f>
        <x:v>completed</x:v>
      </x:c>
      <x:c r="D384" s="171" t="n">
        <x:f>IF(A384="","",'Refresh Control'!$B$4)</x:f>
        <x:v>46254</x:v>
      </x:c>
      <x:c r="E384" s="171" t="n">
        <x:f>IF(A384="","",IF(B384="Decommissioning",INDEX('Raw Decommissioning'!$F$2:$F$1000,ROWS($A$5:A384)),INDEX('Raw Provisioning'!$F$2:$F$1000,ROWS($A$5:A384)-COUNTA('Raw Decommissioning'!$B$2:$B$1000))))</x:f>
        <x:v>45994.33852444444</x:v>
      </x:c>
      <x:c r="F384" s="171" t="n">
        <x:f>IF(A384="","",IF(B384="Decommissioning",INDEX('Raw Decommissioning'!$G$2:$G$1000,ROWS($A$5:A384)),INDEX('Raw Provisioning'!$H$2:$H$1000,ROWS($A$5:A384)-COUNTA('Raw Decommissioning'!$B$2:$B$1000))))</x:f>
        <x:v>46028.05320391204</x:v>
      </x:c>
      <x:c r="G384" s="170" t="str">
        <x:f>IF(A384="","",IF(B384="Decommissioning",INDEX('Raw Decommissioning'!$I$2:$I$1000,ROWS($A$5:A384)),INDEX('Raw Provisioning'!$J$2:$J$1000,ROWS($A$5:A384)-COUNTA('Raw Decommissioning'!$B$2:$B$1000))))</x:f>
        <x:v>HSE Intelligence Pod Multimodal AI Vision / Voice - HIPVISION</x:v>
      </x:c>
      <x:c r="H384" s="170" t="str">
        <x:f>IF(A384="","",IF(B384="Decommissioning",INDEX('Raw Decommissioning'!$J$2:$J$1000,ROWS($A$5:A384)),INDEX('Raw Provisioning'!$L$2:$L$1000,ROWS($A$5:A384)-COUNTA('Raw Decommissioning'!$B$2:$B$1000))))</x:f>
        <x:v>Development of HSE Intelligence Pod (HIP) Multimodal AI (Vision, Voice)</x:v>
      </x:c>
      <x:c r="I384" s="170" t="str">
        <x:f>IF(A384="","",IF(B384="Decommissioning",INDEX('Raw Decommissioning'!$AL$2:$AL$1000,ROWS($A$5:A384)),INDEX('Raw Provisioning'!$R$2:$R$1000,ROWS($A$5:A384)-COUNTA('Raw Decommissioning'!$B$2:$B$1000))))</x:f>
        <x:v>M</x:v>
      </x:c>
      <x:c r="J384" s="170" t="str">
        <x:f>IF(A384="","",IF(B384="Decommissioning",INDEX('Raw Decommissioning'!$AG$2:$AG$1000,ROWS($A$5:A384)),INDEX('Raw Provisioning'!$AI$2:$AI$1000,ROWS($A$5:A384)-COUNTA('Raw Decommissioning'!$B$2:$B$1000))))</x:f>
        <x:v>yeonghunn.ho@petronas.com</x:v>
      </x:c>
      <x:c r="K384" s="172" t="str">
        <x:f>IF(A384="","",IFERROR(LOOKUP(2,1/('Assignment History'!$B$5:$B$204=A384),'Assignment History'!$D$5:$D$204),IFERROR(VLOOKUP(J384,Configuration!$L$5:$M$50,2,FALSE),J384)))</x:f>
        <x:v>yeonghunn.ho@petronas.com</x:v>
      </x:c>
      <x:c r="L384" s="172" t="str">
        <x:f>IF(A384="","",IF(K384=IFERROR(VLOOKUP(J384,Configuration!$L$5:$M$50,2,FALSE),J384),"Snapshot PIC","Replacement PIC"))</x:f>
        <x:v>Snapshot PIC</x:v>
      </x:c>
      <x:c r="M384" s="172" t="n">
        <x:f>IF(A384="","",IFERROR(VLOOKUP(I384,Configuration!$O$5:$P$8,2,FALSE),Configuration!$S$6))</x:f>
        <x:v>2</x:v>
      </x:c>
      <x:c r="N384" s="172" t="str">
        <x:f>IF(A384="","",IFERROR(LOOKUP(2,1/('Scope Review'!$B$5:$B$204=A384),'Scope Review'!$G$5:$G$204),"Not Reviewed"))</x:f>
        <x:v>Not Reviewed</x:v>
      </x:c>
      <x:c r="O384" s="172" t="str">
        <x:f>IF(A384="","",IFERROR(LOOKUP(2,1/('Scope Review'!$B$5:$B$204=A384),'Scope Review'!$H$5:$H$204),""))</x:f>
      </x:c>
      <x:c r="P384" s="172" t="n">
        <x:f>IF(A384="","",IF(AND(C384="executing",N384&lt;&gt;"Confirmed OOS"),M384,0))</x:f>
        <x:v>0</x:v>
      </x:c>
      <x:c r="Q384" s="173" t="str">
        <x:f>IF(A384="","",IFERROR(LOOKUP(2,1/('Engineer Updates'!$B$5:$B$704=A384),'Engineer Updates'!$A$5:$A$704),""))</x:f>
      </x:c>
      <x:c r="R384" s="172" t="str">
        <x:f>IF(A384="","",IFERROR(LOOKUP(2,1/('Engineer Updates'!$B$5:$B$704=A384),'Engineer Updates'!$H$5:$H$704),""))</x:f>
      </x:c>
      <x:c r="S384" s="172" t="str">
        <x:f>IF(A384="","",IFERROR(LOOKUP(2,1/('Engineer Updates'!$B$5:$B$704=A384),'Engineer Updates'!$G$5:$G$704),""))</x:f>
      </x:c>
      <x:c r="T384" s="172" t="str">
        <x:f>IF(A384="","",IFERROR(LOOKUP(2,1/('Engineer Updates'!$B$5:$B$704=A384),'Engineer Updates'!$I$5:$I$704),""))</x:f>
      </x:c>
      <x:c r="U384" s="172" t="str">
        <x:f>IF(A384="","",IFERROR(LOOKUP(2,1/('Engineer Updates'!$B$5:$B$704=A384),'Engineer Updates'!$J$5:$J$704),""))</x:f>
      </x:c>
      <x:c r="V384" s="172" t="str">
        <x:f>IF(A384="","",IFERROR(LOOKUP(2,1/('Engineer Updates'!$B$5:$B$704=A384),'Engineer Updates'!$K$5:$K$704),""))</x:f>
      </x:c>
      <x:c r="W384" s="174" t="str">
        <x:f>IF(A384="","",IFERROR(LOOKUP(2,1/('Engineer Updates'!$B$5:$B$704=A384),'Engineer Updates'!$L$5:$L$704),""))</x:f>
      </x:c>
      <x:c r="X384" s="170" t="str">
        <x:f>IF(A384="","",IF(C384="completed","Completed in CSSP",IF(AND(C384="executing",ISERROR(SEARCH("@",K384))),"Executing without named engineer",IF(AND(N384="Confirmed OOS",C384="executing"),"Confirmed OOS still executing",""))))</x:f>
        <x:v>Completed in CSSP</x:v>
      </x:c>
      <x:c r="Y384" s="170" t="str">
        <x:f>IF(A384="","",IF(B384="Decommissioning","Raw Decommissioning","Raw Provisioning"))</x:f>
        <x:v>Raw Provisioning</x:v>
      </x:c>
      <x:c r="Z384" s="170" t="str">
        <x:f>IF(A384="","",IF(OR(C384="executing",C384="processing"),"Yes","No"))</x:f>
        <x:v>No</x:v>
      </x:c>
    </x:row>
    <x:row r="385">
      <x:c r="A385" s="170" t="str">
        <x:f>IF(ROWS($A$5:A385)&lt;=COUNTA('Raw Decommissioning'!$B$2:$B$1000),INDEX('Raw Decommissioning'!$B$2:$B$1000,ROWS($A$5:A385)),IF(ROWS($A$5:A385)-COUNTA('Raw Decommissioning'!$B$2:$B$1000)&lt;=COUNTA('Raw Provisioning'!$B$2:$B$1000),INDEX('Raw Provisioning'!$B$2:$B$1000,ROWS($A$5:A385)-COUNTA('Raw Decommissioning'!$B$2:$B$1000)),""))</x:f>
        <x:v>CSSP10110126</x:v>
      </x:c>
      <x:c r="B385" s="170" t="str">
        <x:f>IF(A385="","",IF(ROWS($A$5:A385)&lt;=COUNTA('Raw Decommissioning'!$B$2:$B$1000),"Decommissioning","Provisioning"))</x:f>
        <x:v>Provisioning</x:v>
      </x:c>
      <x:c r="C385" s="170" t="str">
        <x:f>IF(A385="","",IF(B385="Decommissioning",IFERROR(INDEX('Raw Decommissioning'!$E$2:$E$1000,MATCH(A385,'Raw Decommissioning'!$B$2:$B$1000,0)),"Missing from latest raw"),IFERROR(INDEX('Raw Provisioning'!$E$2:$E$1000,MATCH(A385,'Raw Provisioning'!$B$2:$B$1000,0)),"Missing from latest raw")))</x:f>
        <x:v>completed</x:v>
      </x:c>
      <x:c r="D385" s="171" t="n">
        <x:f>IF(A385="","",'Refresh Control'!$B$4)</x:f>
        <x:v>46254</x:v>
      </x:c>
      <x:c r="E385" s="171" t="n">
        <x:f>IF(A385="","",IF(B385="Decommissioning",INDEX('Raw Decommissioning'!$F$2:$F$1000,ROWS($A$5:A385)),INDEX('Raw Provisioning'!$F$2:$F$1000,ROWS($A$5:A385)-COUNTA('Raw Decommissioning'!$B$2:$B$1000))))</x:f>
        <x:v>46000.14377606481</x:v>
      </x:c>
      <x:c r="F385" s="171" t="n">
        <x:f>IF(A385="","",IF(B385="Decommissioning",INDEX('Raw Decommissioning'!$G$2:$G$1000,ROWS($A$5:A385)),INDEX('Raw Provisioning'!$H$2:$H$1000,ROWS($A$5:A385)-COUNTA('Raw Decommissioning'!$B$2:$B$1000))))</x:f>
        <x:v>46028.19825408565</x:v>
      </x:c>
      <x:c r="G385" s="170" t="str">
        <x:f>IF(A385="","",IF(B385="Decommissioning",INDEX('Raw Decommissioning'!$I$2:$I$1000,ROWS($A$5:A385)),INDEX('Raw Provisioning'!$J$2:$J$1000,ROWS($A$5:A385)-COUNTA('Raw Decommissioning'!$B$2:$B$1000))))</x:f>
        <x:v>SAP Global Data Consolidation - GDC</x:v>
      </x:c>
      <x:c r="H385" s="170" t="str">
        <x:f>IF(A385="","",IF(B385="Decommissioning",INDEX('Raw Decommissioning'!$J$2:$J$1000,ROWS($A$5:A385)),INDEX('Raw Provisioning'!$L$2:$L$1000,ROWS($A$5:A385)-COUNTA('Raw Decommissioning'!$B$2:$B$1000))))</x:f>
        <x:v>Enhancement for Global Data Consolidation (GDC) for MPM</x:v>
      </x:c>
      <x:c r="I385" s="170" t="str">
        <x:f>IF(A385="","",IF(B385="Decommissioning",INDEX('Raw Decommissioning'!$AL$2:$AL$1000,ROWS($A$5:A385)),INDEX('Raw Provisioning'!$R$2:$R$1000,ROWS($A$5:A385)-COUNTA('Raw Decommissioning'!$B$2:$B$1000))))</x:f>
        <x:v>S</x:v>
      </x:c>
      <x:c r="J385" s="170" t="str">
        <x:f>IF(A385="","",IF(B385="Decommissioning",INDEX('Raw Decommissioning'!$AG$2:$AG$1000,ROWS($A$5:A385)),INDEX('Raw Provisioning'!$AI$2:$AI$1000,ROWS($A$5:A385)-COUNTA('Raw Decommissioning'!$B$2:$B$1000))))</x:f>
        <x:v>darliz.zainol@petronas.com</x:v>
      </x:c>
      <x:c r="K385" s="172" t="str">
        <x:f>IF(A385="","",IFERROR(LOOKUP(2,1/('Assignment History'!$B$5:$B$204=A385),'Assignment History'!$D$5:$D$204),IFERROR(VLOOKUP(J385,Configuration!$L$5:$M$50,2,FALSE),J385)))</x:f>
        <x:v>darliz.zainol@petronas.com</x:v>
      </x:c>
      <x:c r="L385" s="172" t="str">
        <x:f>IF(A385="","",IF(K385=IFERROR(VLOOKUP(J385,Configuration!$L$5:$M$50,2,FALSE),J385),"Snapshot PIC","Replacement PIC"))</x:f>
        <x:v>Snapshot PIC</x:v>
      </x:c>
      <x:c r="M385" s="172" t="n">
        <x:f>IF(A385="","",IFERROR(VLOOKUP(I385,Configuration!$O$5:$P$8,2,FALSE),Configuration!$S$6))</x:f>
        <x:v>1</x:v>
      </x:c>
      <x:c r="N385" s="172" t="str">
        <x:f>IF(A385="","",IFERROR(LOOKUP(2,1/('Scope Review'!$B$5:$B$204=A385),'Scope Review'!$G$5:$G$204),"Not Reviewed"))</x:f>
        <x:v>Not Reviewed</x:v>
      </x:c>
      <x:c r="O385" s="172" t="str">
        <x:f>IF(A385="","",IFERROR(LOOKUP(2,1/('Scope Review'!$B$5:$B$204=A385),'Scope Review'!$H$5:$H$204),""))</x:f>
      </x:c>
      <x:c r="P385" s="172" t="n">
        <x:f>IF(A385="","",IF(AND(C385="executing",N385&lt;&gt;"Confirmed OOS"),M385,0))</x:f>
        <x:v>0</x:v>
      </x:c>
      <x:c r="Q385" s="173" t="str">
        <x:f>IF(A385="","",IFERROR(LOOKUP(2,1/('Engineer Updates'!$B$5:$B$704=A385),'Engineer Updates'!$A$5:$A$704),""))</x:f>
      </x:c>
      <x:c r="R385" s="172" t="str">
        <x:f>IF(A385="","",IFERROR(LOOKUP(2,1/('Engineer Updates'!$B$5:$B$704=A385),'Engineer Updates'!$H$5:$H$704),""))</x:f>
      </x:c>
      <x:c r="S385" s="172" t="str">
        <x:f>IF(A385="","",IFERROR(LOOKUP(2,1/('Engineer Updates'!$B$5:$B$704=A385),'Engineer Updates'!$G$5:$G$704),""))</x:f>
      </x:c>
      <x:c r="T385" s="172" t="str">
        <x:f>IF(A385="","",IFERROR(LOOKUP(2,1/('Engineer Updates'!$B$5:$B$704=A385),'Engineer Updates'!$I$5:$I$704),""))</x:f>
      </x:c>
      <x:c r="U385" s="172" t="str">
        <x:f>IF(A385="","",IFERROR(LOOKUP(2,1/('Engineer Updates'!$B$5:$B$704=A385),'Engineer Updates'!$J$5:$J$704),""))</x:f>
      </x:c>
      <x:c r="V385" s="172" t="str">
        <x:f>IF(A385="","",IFERROR(LOOKUP(2,1/('Engineer Updates'!$B$5:$B$704=A385),'Engineer Updates'!$K$5:$K$704),""))</x:f>
      </x:c>
      <x:c r="W385" s="174" t="str">
        <x:f>IF(A385="","",IFERROR(LOOKUP(2,1/('Engineer Updates'!$B$5:$B$704=A385),'Engineer Updates'!$L$5:$L$704),""))</x:f>
      </x:c>
      <x:c r="X385" s="170" t="str">
        <x:f>IF(A385="","",IF(C385="completed","Completed in CSSP",IF(AND(C385="executing",ISERROR(SEARCH("@",K385))),"Executing without named engineer",IF(AND(N385="Confirmed OOS",C385="executing"),"Confirmed OOS still executing",""))))</x:f>
        <x:v>Completed in CSSP</x:v>
      </x:c>
      <x:c r="Y385" s="170" t="str">
        <x:f>IF(A385="","",IF(B385="Decommissioning","Raw Decommissioning","Raw Provisioning"))</x:f>
        <x:v>Raw Provisioning</x:v>
      </x:c>
      <x:c r="Z385" s="170" t="str">
        <x:f>IF(A385="","",IF(OR(C385="executing",C385="processing"),"Yes","No"))</x:f>
        <x:v>No</x:v>
      </x:c>
    </x:row>
    <x:row r="386">
      <x:c r="A386" s="170" t="str">
        <x:f>IF(ROWS($A$5:A386)&lt;=COUNTA('Raw Decommissioning'!$B$2:$B$1000),INDEX('Raw Decommissioning'!$B$2:$B$1000,ROWS($A$5:A386)),IF(ROWS($A$5:A386)-COUNTA('Raw Decommissioning'!$B$2:$B$1000)&lt;=COUNTA('Raw Provisioning'!$B$2:$B$1000),INDEX('Raw Provisioning'!$B$2:$B$1000,ROWS($A$5:A386)-COUNTA('Raw Decommissioning'!$B$2:$B$1000)),""))</x:f>
        <x:v>CSSP10893348</x:v>
      </x:c>
      <x:c r="B386" s="170" t="str">
        <x:f>IF(A386="","",IF(ROWS($A$5:A386)&lt;=COUNTA('Raw Decommissioning'!$B$2:$B$1000),"Decommissioning","Provisioning"))</x:f>
        <x:v>Provisioning</x:v>
      </x:c>
      <x:c r="C386" s="170" t="str">
        <x:f>IF(A386="","",IF(B386="Decommissioning",IFERROR(INDEX('Raw Decommissioning'!$E$2:$E$1000,MATCH(A386,'Raw Decommissioning'!$B$2:$B$1000,0)),"Missing from latest raw"),IFERROR(INDEX('Raw Provisioning'!$E$2:$E$1000,MATCH(A386,'Raw Provisioning'!$B$2:$B$1000,0)),"Missing from latest raw")))</x:f>
        <x:v>completed</x:v>
      </x:c>
      <x:c r="D386" s="171" t="n">
        <x:f>IF(A386="","",'Refresh Control'!$B$4)</x:f>
        <x:v>46254</x:v>
      </x:c>
      <x:c r="E386" s="171" t="n">
        <x:f>IF(A386="","",IF(B386="Decommissioning",INDEX('Raw Decommissioning'!$F$2:$F$1000,ROWS($A$5:A386)),INDEX('Raw Provisioning'!$F$2:$F$1000,ROWS($A$5:A386)-COUNTA('Raw Decommissioning'!$B$2:$B$1000))))</x:f>
        <x:v>46001.16360355324</x:v>
      </x:c>
      <x:c r="F386" s="171" t="n">
        <x:f>IF(A386="","",IF(B386="Decommissioning",INDEX('Raw Decommissioning'!$G$2:$G$1000,ROWS($A$5:A386)),INDEX('Raw Provisioning'!$H$2:$H$1000,ROWS($A$5:A386)-COUNTA('Raw Decommissioning'!$B$2:$B$1000))))</x:f>
        <x:v>46031.69657782408</x:v>
      </x:c>
      <x:c r="G386" s="170" t="str">
        <x:f>IF(A386="","",IF(B386="Decommissioning",INDEX('Raw Decommissioning'!$I$2:$I$1000,ROWS($A$5:A386)),INDEX('Raw Provisioning'!$J$2:$J$1000,ROWS($A$5:A386)-COUNTA('Raw Decommissioning'!$B$2:$B$1000))))</x:f>
        <x:v>AI Enablement Framework</x:v>
      </x:c>
      <x:c r="H386" s="170" t="str">
        <x:f>IF(A386="","",IF(B386="Decommissioning",INDEX('Raw Decommissioning'!$J$2:$J$1000,ROWS($A$5:A386)),INDEX('Raw Provisioning'!$L$2:$L$1000,ROWS($A$5:A386)-COUNTA('Raw Decommissioning'!$B$2:$B$1000))))</x:f>
        <x:v>Support and Maintenance for AI Enablement Framework 2023-2024 for PDB</x:v>
      </x:c>
      <x:c r="I386" s="170" t="str">
        <x:f>IF(A386="","",IF(B386="Decommissioning",INDEX('Raw Decommissioning'!$AL$2:$AL$1000,ROWS($A$5:A386)),INDEX('Raw Provisioning'!$R$2:$R$1000,ROWS($A$5:A386)-COUNTA('Raw Decommissioning'!$B$2:$B$1000))))</x:f>
        <x:v>S</x:v>
      </x:c>
      <x:c r="J386" s="170" t="str">
        <x:f>IF(A386="","",IF(B386="Decommissioning",INDEX('Raw Decommissioning'!$AG$2:$AG$1000,ROWS($A$5:A386)),INDEX('Raw Provisioning'!$AI$2:$AI$1000,ROWS($A$5:A386)-COUNTA('Raw Decommissioning'!$B$2:$B$1000))))</x:f>
        <x:v>azhan.shazeli@petronas.com</x:v>
      </x:c>
      <x:c r="K386" s="172" t="str">
        <x:f>IF(A386="","",IFERROR(LOOKUP(2,1/('Assignment History'!$B$5:$B$204=A386),'Assignment History'!$D$5:$D$204),IFERROR(VLOOKUP(J386,Configuration!$L$5:$M$50,2,FALSE),J386)))</x:f>
        <x:v>azhan.shazeli@petronas.com</x:v>
      </x:c>
      <x:c r="L386" s="172" t="str">
        <x:f>IF(A386="","",IF(K386=IFERROR(VLOOKUP(J386,Configuration!$L$5:$M$50,2,FALSE),J386),"Snapshot PIC","Replacement PIC"))</x:f>
        <x:v>Snapshot PIC</x:v>
      </x:c>
      <x:c r="M386" s="172" t="n">
        <x:f>IF(A386="","",IFERROR(VLOOKUP(I386,Configuration!$O$5:$P$8,2,FALSE),Configuration!$S$6))</x:f>
        <x:v>1</x:v>
      </x:c>
      <x:c r="N386" s="172" t="str">
        <x:f>IF(A386="","",IFERROR(LOOKUP(2,1/('Scope Review'!$B$5:$B$204=A386),'Scope Review'!$G$5:$G$204),"Not Reviewed"))</x:f>
        <x:v>Not Reviewed</x:v>
      </x:c>
      <x:c r="O386" s="172" t="str">
        <x:f>IF(A386="","",IFERROR(LOOKUP(2,1/('Scope Review'!$B$5:$B$204=A386),'Scope Review'!$H$5:$H$204),""))</x:f>
      </x:c>
      <x:c r="P386" s="172" t="n">
        <x:f>IF(A386="","",IF(AND(C386="executing",N386&lt;&gt;"Confirmed OOS"),M386,0))</x:f>
        <x:v>0</x:v>
      </x:c>
      <x:c r="Q386" s="173" t="str">
        <x:f>IF(A386="","",IFERROR(LOOKUP(2,1/('Engineer Updates'!$B$5:$B$704=A386),'Engineer Updates'!$A$5:$A$704),""))</x:f>
      </x:c>
      <x:c r="R386" s="172" t="str">
        <x:f>IF(A386="","",IFERROR(LOOKUP(2,1/('Engineer Updates'!$B$5:$B$704=A386),'Engineer Updates'!$H$5:$H$704),""))</x:f>
      </x:c>
      <x:c r="S386" s="172" t="str">
        <x:f>IF(A386="","",IFERROR(LOOKUP(2,1/('Engineer Updates'!$B$5:$B$704=A386),'Engineer Updates'!$G$5:$G$704),""))</x:f>
      </x:c>
      <x:c r="T386" s="172" t="str">
        <x:f>IF(A386="","",IFERROR(LOOKUP(2,1/('Engineer Updates'!$B$5:$B$704=A386),'Engineer Updates'!$I$5:$I$704),""))</x:f>
      </x:c>
      <x:c r="U386" s="172" t="str">
        <x:f>IF(A386="","",IFERROR(LOOKUP(2,1/('Engineer Updates'!$B$5:$B$704=A386),'Engineer Updates'!$J$5:$J$704),""))</x:f>
      </x:c>
      <x:c r="V386" s="172" t="str">
        <x:f>IF(A386="","",IFERROR(LOOKUP(2,1/('Engineer Updates'!$B$5:$B$704=A386),'Engineer Updates'!$K$5:$K$704),""))</x:f>
      </x:c>
      <x:c r="W386" s="174" t="str">
        <x:f>IF(A386="","",IFERROR(LOOKUP(2,1/('Engineer Updates'!$B$5:$B$704=A386),'Engineer Updates'!$L$5:$L$704),""))</x:f>
      </x:c>
      <x:c r="X386" s="170" t="str">
        <x:f>IF(A386="","",IF(C386="completed","Completed in CSSP",IF(AND(C386="executing",ISERROR(SEARCH("@",K386))),"Executing without named engineer",IF(AND(N386="Confirmed OOS",C386="executing"),"Confirmed OOS still executing",""))))</x:f>
        <x:v>Completed in CSSP</x:v>
      </x:c>
      <x:c r="Y386" s="170" t="str">
        <x:f>IF(A386="","",IF(B386="Decommissioning","Raw Decommissioning","Raw Provisioning"))</x:f>
        <x:v>Raw Provisioning</x:v>
      </x:c>
      <x:c r="Z386" s="170" t="str">
        <x:f>IF(A386="","",IF(OR(C386="executing",C386="processing"),"Yes","No"))</x:f>
        <x:v>No</x:v>
      </x:c>
    </x:row>
    <x:row r="387">
      <x:c r="A387" s="170" t="str">
        <x:f>IF(ROWS($A$5:A387)&lt;=COUNTA('Raw Decommissioning'!$B$2:$B$1000),INDEX('Raw Decommissioning'!$B$2:$B$1000,ROWS($A$5:A387)),IF(ROWS($A$5:A387)-COUNTA('Raw Decommissioning'!$B$2:$B$1000)&lt;=COUNTA('Raw Provisioning'!$B$2:$B$1000),INDEX('Raw Provisioning'!$B$2:$B$1000,ROWS($A$5:A387)-COUNTA('Raw Decommissioning'!$B$2:$B$1000)),""))</x:f>
        <x:v>CSSP10726338</x:v>
      </x:c>
      <x:c r="B387" s="170" t="str">
        <x:f>IF(A387="","",IF(ROWS($A$5:A387)&lt;=COUNTA('Raw Decommissioning'!$B$2:$B$1000),"Decommissioning","Provisioning"))</x:f>
        <x:v>Provisioning</x:v>
      </x:c>
      <x:c r="C387" s="170" t="str">
        <x:f>IF(A387="","",IF(B387="Decommissioning",IFERROR(INDEX('Raw Decommissioning'!$E$2:$E$1000,MATCH(A387,'Raw Decommissioning'!$B$2:$B$1000,0)),"Missing from latest raw"),IFERROR(INDEX('Raw Provisioning'!$E$2:$E$1000,MATCH(A387,'Raw Provisioning'!$B$2:$B$1000,0)),"Missing from latest raw")))</x:f>
        <x:v>completed</x:v>
      </x:c>
      <x:c r="D387" s="171" t="n">
        <x:f>IF(A387="","",'Refresh Control'!$B$4)</x:f>
        <x:v>46254</x:v>
      </x:c>
      <x:c r="E387" s="171" t="n">
        <x:f>IF(A387="","",IF(B387="Decommissioning",INDEX('Raw Decommissioning'!$F$2:$F$1000,ROWS($A$5:A387)),INDEX('Raw Provisioning'!$F$2:$F$1000,ROWS($A$5:A387)-COUNTA('Raw Decommissioning'!$B$2:$B$1000))))</x:f>
        <x:v>46003.36452991898</x:v>
      </x:c>
      <x:c r="F387" s="171" t="n">
        <x:f>IF(A387="","",IF(B387="Decommissioning",INDEX('Raw Decommissioning'!$G$2:$G$1000,ROWS($A$5:A387)),INDEX('Raw Provisioning'!$H$2:$H$1000,ROWS($A$5:A387)-COUNTA('Raw Decommissioning'!$B$2:$B$1000))))</x:f>
        <x:v>46029.27550255787</x:v>
      </x:c>
      <x:c r="G387" s="170" t="str">
        <x:f>IF(A387="","",IF(B387="Decommissioning",INDEX('Raw Decommissioning'!$I$2:$I$1000,ROWS($A$5:A387)),INDEX('Raw Provisioning'!$J$2:$J$1000,ROWS($A$5:A387)-COUNTA('Raw Decommissioning'!$B$2:$B$1000))))</x:f>
        <x:v>Price Management Tool - PMT</x:v>
      </x:c>
      <x:c r="H387" s="170" t="str">
        <x:f>IF(A387="","",IF(B387="Decommissioning",INDEX('Raw Decommissioning'!$J$2:$J$1000,ROWS($A$5:A387)),INDEX('Raw Provisioning'!$L$2:$L$1000,ROWS($A$5:A387)-COUNTA('Raw Decommissioning'!$B$2:$B$1000))))</x:f>
        <x:v>Provision of Support &amp; Maintenance for Price Management Tool (PMT) 2.0 for PCML</x:v>
      </x:c>
      <x:c r="I387" s="170" t="str">
        <x:f>IF(A387="","",IF(B387="Decommissioning",INDEX('Raw Decommissioning'!$AL$2:$AL$1000,ROWS($A$5:A387)),INDEX('Raw Provisioning'!$R$2:$R$1000,ROWS($A$5:A387)-COUNTA('Raw Decommissioning'!$B$2:$B$1000))))</x:f>
        <x:v>L</x:v>
      </x:c>
      <x:c r="J387" s="170" t="str">
        <x:f>IF(A387="","",IF(B387="Decommissioning",INDEX('Raw Decommissioning'!$AG$2:$AG$1000,ROWS($A$5:A387)),INDEX('Raw Provisioning'!$AI$2:$AI$1000,ROWS($A$5:A387)-COUNTA('Raw Decommissioning'!$B$2:$B$1000))))</x:f>
        <x:v>izzat.romainor@petronas.com</x:v>
      </x:c>
      <x:c r="K387" s="172" t="str">
        <x:f>IF(A387="","",IFERROR(LOOKUP(2,1/('Assignment History'!$B$5:$B$204=A387),'Assignment History'!$D$5:$D$204),IFERROR(VLOOKUP(J387,Configuration!$L$5:$M$50,2,FALSE),J387)))</x:f>
        <x:v>izzat.romainor@petronas.com</x:v>
      </x:c>
      <x:c r="L387" s="172" t="str">
        <x:f>IF(A387="","",IF(K387=IFERROR(VLOOKUP(J387,Configuration!$L$5:$M$50,2,FALSE),J387),"Snapshot PIC","Replacement PIC"))</x:f>
        <x:v>Snapshot PIC</x:v>
      </x:c>
      <x:c r="M387" s="172" t="n">
        <x:f>IF(A387="","",IFERROR(VLOOKUP(I387,Configuration!$O$5:$P$8,2,FALSE),Configuration!$S$6))</x:f>
        <x:v>3</x:v>
      </x:c>
      <x:c r="N387" s="172" t="str">
        <x:f>IF(A387="","",IFERROR(LOOKUP(2,1/('Scope Review'!$B$5:$B$204=A387),'Scope Review'!$G$5:$G$204),"Not Reviewed"))</x:f>
        <x:v>Not Reviewed</x:v>
      </x:c>
      <x:c r="O387" s="172" t="str">
        <x:f>IF(A387="","",IFERROR(LOOKUP(2,1/('Scope Review'!$B$5:$B$204=A387),'Scope Review'!$H$5:$H$204),""))</x:f>
      </x:c>
      <x:c r="P387" s="172" t="n">
        <x:f>IF(A387="","",IF(AND(C387="executing",N387&lt;&gt;"Confirmed OOS"),M387,0))</x:f>
        <x:v>0</x:v>
      </x:c>
      <x:c r="Q387" s="173" t="str">
        <x:f>IF(A387="","",IFERROR(LOOKUP(2,1/('Engineer Updates'!$B$5:$B$704=A387),'Engineer Updates'!$A$5:$A$704),""))</x:f>
      </x:c>
      <x:c r="R387" s="172" t="str">
        <x:f>IF(A387="","",IFERROR(LOOKUP(2,1/('Engineer Updates'!$B$5:$B$704=A387),'Engineer Updates'!$H$5:$H$704),""))</x:f>
      </x:c>
      <x:c r="S387" s="172" t="str">
        <x:f>IF(A387="","",IFERROR(LOOKUP(2,1/('Engineer Updates'!$B$5:$B$704=A387),'Engineer Updates'!$G$5:$G$704),""))</x:f>
      </x:c>
      <x:c r="T387" s="172" t="str">
        <x:f>IF(A387="","",IFERROR(LOOKUP(2,1/('Engineer Updates'!$B$5:$B$704=A387),'Engineer Updates'!$I$5:$I$704),""))</x:f>
      </x:c>
      <x:c r="U387" s="172" t="str">
        <x:f>IF(A387="","",IFERROR(LOOKUP(2,1/('Engineer Updates'!$B$5:$B$704=A387),'Engineer Updates'!$J$5:$J$704),""))</x:f>
      </x:c>
      <x:c r="V387" s="172" t="str">
        <x:f>IF(A387="","",IFERROR(LOOKUP(2,1/('Engineer Updates'!$B$5:$B$704=A387),'Engineer Updates'!$K$5:$K$704),""))</x:f>
      </x:c>
      <x:c r="W387" s="174" t="str">
        <x:f>IF(A387="","",IFERROR(LOOKUP(2,1/('Engineer Updates'!$B$5:$B$704=A387),'Engineer Updates'!$L$5:$L$704),""))</x:f>
      </x:c>
      <x:c r="X387" s="170" t="str">
        <x:f>IF(A387="","",IF(C387="completed","Completed in CSSP",IF(AND(C387="executing",ISERROR(SEARCH("@",K387))),"Executing without named engineer",IF(AND(N387="Confirmed OOS",C387="executing"),"Confirmed OOS still executing",""))))</x:f>
        <x:v>Completed in CSSP</x:v>
      </x:c>
      <x:c r="Y387" s="170" t="str">
        <x:f>IF(A387="","",IF(B387="Decommissioning","Raw Decommissioning","Raw Provisioning"))</x:f>
        <x:v>Raw Provisioning</x:v>
      </x:c>
      <x:c r="Z387" s="170" t="str">
        <x:f>IF(A387="","",IF(OR(C387="executing",C387="processing"),"Yes","No"))</x:f>
        <x:v>No</x:v>
      </x:c>
    </x:row>
    <x:row r="388">
      <x:c r="A388" s="170" t="str">
        <x:f>IF(ROWS($A$5:A388)&lt;=COUNTA('Raw Decommissioning'!$B$2:$B$1000),INDEX('Raw Decommissioning'!$B$2:$B$1000,ROWS($A$5:A388)),IF(ROWS($A$5:A388)-COUNTA('Raw Decommissioning'!$B$2:$B$1000)&lt;=COUNTA('Raw Provisioning'!$B$2:$B$1000),INDEX('Raw Provisioning'!$B$2:$B$1000,ROWS($A$5:A388)-COUNTA('Raw Decommissioning'!$B$2:$B$1000)),""))</x:f>
        <x:v>CSSP10283623</x:v>
      </x:c>
      <x:c r="B388" s="170" t="str">
        <x:f>IF(A388="","",IF(ROWS($A$5:A388)&lt;=COUNTA('Raw Decommissioning'!$B$2:$B$1000),"Decommissioning","Provisioning"))</x:f>
        <x:v>Provisioning</x:v>
      </x:c>
      <x:c r="C388" s="170" t="str">
        <x:f>IF(A388="","",IF(B388="Decommissioning",IFERROR(INDEX('Raw Decommissioning'!$E$2:$E$1000,MATCH(A388,'Raw Decommissioning'!$B$2:$B$1000,0)),"Missing from latest raw"),IFERROR(INDEX('Raw Provisioning'!$E$2:$E$1000,MATCH(A388,'Raw Provisioning'!$B$2:$B$1000,0)),"Missing from latest raw")))</x:f>
        <x:v>completed</x:v>
      </x:c>
      <x:c r="D388" s="171" t="n">
        <x:f>IF(A388="","",'Refresh Control'!$B$4)</x:f>
        <x:v>46254</x:v>
      </x:c>
      <x:c r="E388" s="171" t="n">
        <x:f>IF(A388="","",IF(B388="Decommissioning",INDEX('Raw Decommissioning'!$F$2:$F$1000,ROWS($A$5:A388)),INDEX('Raw Provisioning'!$F$2:$F$1000,ROWS($A$5:A388)-COUNTA('Raw Decommissioning'!$B$2:$B$1000))))</x:f>
        <x:v>46007.12294857639</x:v>
      </x:c>
      <x:c r="F388" s="171" t="n">
        <x:f>IF(A388="","",IF(B388="Decommissioning",INDEX('Raw Decommissioning'!$G$2:$G$1000,ROWS($A$5:A388)),INDEX('Raw Provisioning'!$H$2:$H$1000,ROWS($A$5:A388)-COUNTA('Raw Decommissioning'!$B$2:$B$1000))))</x:f>
        <x:v>46036.283825439816</x:v>
      </x:c>
      <x:c r="G388" s="170" t="str">
        <x:f>IF(A388="","",IF(B388="Decommissioning",INDEX('Raw Decommissioning'!$I$2:$I$1000,ROWS($A$5:A388)),INDEX('Raw Provisioning'!$J$2:$J$1000,ROWS($A$5:A388)-COUNTA('Raw Decommissioning'!$B$2:$B$1000))))</x:f>
        <x:v>Upstream Commercial Finance - UCF</x:v>
      </x:c>
      <x:c r="H388" s="170" t="str">
        <x:f>IF(A388="","",IF(B388="Decommissioning",INDEX('Raw Decommissioning'!$J$2:$J$1000,ROWS($A$5:A388)),INDEX('Raw Provisioning'!$L$2:$L$1000,ROWS($A$5:A388)-COUNTA('Raw Decommissioning'!$B$2:$B$1000))))</x:f>
        <x:v>Implementation of Documents Comparison Tool for Upstream Commercial Finance (UCF)</x:v>
      </x:c>
      <x:c r="I388" s="170" t="str">
        <x:f>IF(A388="","",IF(B388="Decommissioning",INDEX('Raw Decommissioning'!$AL$2:$AL$1000,ROWS($A$5:A388)),INDEX('Raw Provisioning'!$R$2:$R$1000,ROWS($A$5:A388)-COUNTA('Raw Decommissioning'!$B$2:$B$1000))))</x:f>
        <x:v>M</x:v>
      </x:c>
      <x:c r="J388" s="170" t="str">
        <x:f>IF(A388="","",IF(B388="Decommissioning",INDEX('Raw Decommissioning'!$AG$2:$AG$1000,ROWS($A$5:A388)),INDEX('Raw Provisioning'!$AI$2:$AI$1000,ROWS($A$5:A388)-COUNTA('Raw Decommissioning'!$B$2:$B$1000))))</x:f>
        <x:v>fathulrahman.misba@petronas.com</x:v>
      </x:c>
      <x:c r="K388" s="172" t="str">
        <x:f>IF(A388="","",IFERROR(LOOKUP(2,1/('Assignment History'!$B$5:$B$204=A388),'Assignment History'!$D$5:$D$204),IFERROR(VLOOKUP(J388,Configuration!$L$5:$M$50,2,FALSE),J388)))</x:f>
        <x:v>fathulrahman.misba@petronas.com</x:v>
      </x:c>
      <x:c r="L388" s="172" t="str">
        <x:f>IF(A388="","",IF(K388=IFERROR(VLOOKUP(J388,Configuration!$L$5:$M$50,2,FALSE),J388),"Snapshot PIC","Replacement PIC"))</x:f>
        <x:v>Snapshot PIC</x:v>
      </x:c>
      <x:c r="M388" s="172" t="n">
        <x:f>IF(A388="","",IFERROR(VLOOKUP(I388,Configuration!$O$5:$P$8,2,FALSE),Configuration!$S$6))</x:f>
        <x:v>2</x:v>
      </x:c>
      <x:c r="N388" s="172" t="str">
        <x:f>IF(A388="","",IFERROR(LOOKUP(2,1/('Scope Review'!$B$5:$B$204=A388),'Scope Review'!$G$5:$G$204),"Not Reviewed"))</x:f>
        <x:v>Not Reviewed</x:v>
      </x:c>
      <x:c r="O388" s="172" t="str">
        <x:f>IF(A388="","",IFERROR(LOOKUP(2,1/('Scope Review'!$B$5:$B$204=A388),'Scope Review'!$H$5:$H$204),""))</x:f>
      </x:c>
      <x:c r="P388" s="172" t="n">
        <x:f>IF(A388="","",IF(AND(C388="executing",N388&lt;&gt;"Confirmed OOS"),M388,0))</x:f>
        <x:v>0</x:v>
      </x:c>
      <x:c r="Q388" s="173" t="str">
        <x:f>IF(A388="","",IFERROR(LOOKUP(2,1/('Engineer Updates'!$B$5:$B$704=A388),'Engineer Updates'!$A$5:$A$704),""))</x:f>
      </x:c>
      <x:c r="R388" s="172" t="str">
        <x:f>IF(A388="","",IFERROR(LOOKUP(2,1/('Engineer Updates'!$B$5:$B$704=A388),'Engineer Updates'!$H$5:$H$704),""))</x:f>
      </x:c>
      <x:c r="S388" s="172" t="str">
        <x:f>IF(A388="","",IFERROR(LOOKUP(2,1/('Engineer Updates'!$B$5:$B$704=A388),'Engineer Updates'!$G$5:$G$704),""))</x:f>
      </x:c>
      <x:c r="T388" s="172" t="str">
        <x:f>IF(A388="","",IFERROR(LOOKUP(2,1/('Engineer Updates'!$B$5:$B$704=A388),'Engineer Updates'!$I$5:$I$704),""))</x:f>
      </x:c>
      <x:c r="U388" s="172" t="str">
        <x:f>IF(A388="","",IFERROR(LOOKUP(2,1/('Engineer Updates'!$B$5:$B$704=A388),'Engineer Updates'!$J$5:$J$704),""))</x:f>
      </x:c>
      <x:c r="V388" s="172" t="str">
        <x:f>IF(A388="","",IFERROR(LOOKUP(2,1/('Engineer Updates'!$B$5:$B$704=A388),'Engineer Updates'!$K$5:$K$704),""))</x:f>
      </x:c>
      <x:c r="W388" s="174" t="str">
        <x:f>IF(A388="","",IFERROR(LOOKUP(2,1/('Engineer Updates'!$B$5:$B$704=A388),'Engineer Updates'!$L$5:$L$704),""))</x:f>
      </x:c>
      <x:c r="X388" s="170" t="str">
        <x:f>IF(A388="","",IF(C388="completed","Completed in CSSP",IF(AND(C388="executing",ISERROR(SEARCH("@",K388))),"Executing without named engineer",IF(AND(N388="Confirmed OOS",C388="executing"),"Confirmed OOS still executing",""))))</x:f>
        <x:v>Completed in CSSP</x:v>
      </x:c>
      <x:c r="Y388" s="170" t="str">
        <x:f>IF(A388="","",IF(B388="Decommissioning","Raw Decommissioning","Raw Provisioning"))</x:f>
        <x:v>Raw Provisioning</x:v>
      </x:c>
      <x:c r="Z388" s="170" t="str">
        <x:f>IF(A388="","",IF(OR(C388="executing",C388="processing"),"Yes","No"))</x:f>
        <x:v>No</x:v>
      </x:c>
    </x:row>
    <x:row r="389">
      <x:c r="A389" s="170" t="str">
        <x:f>IF(ROWS($A$5:A389)&lt;=COUNTA('Raw Decommissioning'!$B$2:$B$1000),INDEX('Raw Decommissioning'!$B$2:$B$1000,ROWS($A$5:A389)),IF(ROWS($A$5:A389)-COUNTA('Raw Decommissioning'!$B$2:$B$1000)&lt;=COUNTA('Raw Provisioning'!$B$2:$B$1000),INDEX('Raw Provisioning'!$B$2:$B$1000,ROWS($A$5:A389)-COUNTA('Raw Decommissioning'!$B$2:$B$1000)),""))</x:f>
        <x:v>CSSP10469672</x:v>
      </x:c>
      <x:c r="B389" s="170" t="str">
        <x:f>IF(A389="","",IF(ROWS($A$5:A389)&lt;=COUNTA('Raw Decommissioning'!$B$2:$B$1000),"Decommissioning","Provisioning"))</x:f>
        <x:v>Provisioning</x:v>
      </x:c>
      <x:c r="C389" s="170" t="str">
        <x:f>IF(A389="","",IF(B389="Decommissioning",IFERROR(INDEX('Raw Decommissioning'!$E$2:$E$1000,MATCH(A389,'Raw Decommissioning'!$B$2:$B$1000,0)),"Missing from latest raw"),IFERROR(INDEX('Raw Provisioning'!$E$2:$E$1000,MATCH(A389,'Raw Provisioning'!$B$2:$B$1000,0)),"Missing from latest raw")))</x:f>
        <x:v>completed</x:v>
      </x:c>
      <x:c r="D389" s="171" t="n">
        <x:f>IF(A389="","",'Refresh Control'!$B$4)</x:f>
        <x:v>46254</x:v>
      </x:c>
      <x:c r="E389" s="171" t="n">
        <x:f>IF(A389="","",IF(B389="Decommissioning",INDEX('Raw Decommissioning'!$F$2:$F$1000,ROWS($A$5:A389)),INDEX('Raw Provisioning'!$F$2:$F$1000,ROWS($A$5:A389)-COUNTA('Raw Decommissioning'!$B$2:$B$1000))))</x:f>
        <x:v>46009.14081459491</x:v>
      </x:c>
      <x:c r="F389" s="171" t="n">
        <x:f>IF(A389="","",IF(B389="Decommissioning",INDEX('Raw Decommissioning'!$G$2:$G$1000,ROWS($A$5:A389)),INDEX('Raw Provisioning'!$H$2:$H$1000,ROWS($A$5:A389)-COUNTA('Raw Decommissioning'!$B$2:$B$1000))))</x:f>
        <x:v>46036.05996491898</x:v>
      </x:c>
      <x:c r="G389" s="170" t="str">
        <x:f>IF(A389="","",IF(B389="Decommissioning",INDEX('Raw Decommissioning'!$I$2:$I$1000,ROWS($A$5:A389)),INDEX('Raw Provisioning'!$J$2:$J$1000,ROWS($A$5:A389)-COUNTA('Raw Decommissioning'!$B$2:$B$1000))))</x:f>
        <x:v>Lab Information Management System - LIMS PCGB</x:v>
      </x:c>
      <x:c r="H389" s="170" t="str">
        <x:f>IF(A389="","",IF(B389="Decommissioning",INDEX('Raw Decommissioning'!$J$2:$J$1000,ROWS($A$5:A389)),INDEX('Raw Provisioning'!$L$2:$L$1000,ROWS($A$5:A389)-COUNTA('Raw Decommissioning'!$B$2:$B$1000))))</x:f>
        <x:v>Provisioning of Virtual Machine for LIMS with ELN for STAR+ Project for PCGB</x:v>
      </x:c>
      <x:c r="I389" s="170" t="str">
        <x:f>IF(A389="","",IF(B389="Decommissioning",INDEX('Raw Decommissioning'!$AL$2:$AL$1000,ROWS($A$5:A389)),INDEX('Raw Provisioning'!$R$2:$R$1000,ROWS($A$5:A389)-COUNTA('Raw Decommissioning'!$B$2:$B$1000))))</x:f>
        <x:v>M</x:v>
      </x:c>
      <x:c r="J389" s="170" t="str">
        <x:f>IF(A389="","",IF(B389="Decommissioning",INDEX('Raw Decommissioning'!$AG$2:$AG$1000,ROWS($A$5:A389)),INDEX('Raw Provisioning'!$AI$2:$AI$1000,ROWS($A$5:A389)-COUNTA('Raw Decommissioning'!$B$2:$B$1000))))</x:f>
        <x:v>amin.manshor@petronas.com</x:v>
      </x:c>
      <x:c r="K389" s="172" t="str">
        <x:f>IF(A389="","",IFERROR(LOOKUP(2,1/('Assignment History'!$B$5:$B$204=A389),'Assignment History'!$D$5:$D$204),IFERROR(VLOOKUP(J389,Configuration!$L$5:$M$50,2,FALSE),J389)))</x:f>
        <x:v>amin.manshor@petronas.com</x:v>
      </x:c>
      <x:c r="L389" s="172" t="str">
        <x:f>IF(A389="","",IF(K389=IFERROR(VLOOKUP(J389,Configuration!$L$5:$M$50,2,FALSE),J389),"Snapshot PIC","Replacement PIC"))</x:f>
        <x:v>Snapshot PIC</x:v>
      </x:c>
      <x:c r="M389" s="172" t="n">
        <x:f>IF(A389="","",IFERROR(VLOOKUP(I389,Configuration!$O$5:$P$8,2,FALSE),Configuration!$S$6))</x:f>
        <x:v>2</x:v>
      </x:c>
      <x:c r="N389" s="172" t="str">
        <x:f>IF(A389="","",IFERROR(LOOKUP(2,1/('Scope Review'!$B$5:$B$204=A389),'Scope Review'!$G$5:$G$204),"Not Reviewed"))</x:f>
        <x:v>Not Reviewed</x:v>
      </x:c>
      <x:c r="O389" s="172" t="str">
        <x:f>IF(A389="","",IFERROR(LOOKUP(2,1/('Scope Review'!$B$5:$B$204=A389),'Scope Review'!$H$5:$H$204),""))</x:f>
      </x:c>
      <x:c r="P389" s="172" t="n">
        <x:f>IF(A389="","",IF(AND(C389="executing",N389&lt;&gt;"Confirmed OOS"),M389,0))</x:f>
        <x:v>0</x:v>
      </x:c>
      <x:c r="Q389" s="173" t="str">
        <x:f>IF(A389="","",IFERROR(LOOKUP(2,1/('Engineer Updates'!$B$5:$B$704=A389),'Engineer Updates'!$A$5:$A$704),""))</x:f>
      </x:c>
      <x:c r="R389" s="172" t="str">
        <x:f>IF(A389="","",IFERROR(LOOKUP(2,1/('Engineer Updates'!$B$5:$B$704=A389),'Engineer Updates'!$H$5:$H$704),""))</x:f>
      </x:c>
      <x:c r="S389" s="172" t="str">
        <x:f>IF(A389="","",IFERROR(LOOKUP(2,1/('Engineer Updates'!$B$5:$B$704=A389),'Engineer Updates'!$G$5:$G$704),""))</x:f>
      </x:c>
      <x:c r="T389" s="172" t="str">
        <x:f>IF(A389="","",IFERROR(LOOKUP(2,1/('Engineer Updates'!$B$5:$B$704=A389),'Engineer Updates'!$I$5:$I$704),""))</x:f>
      </x:c>
      <x:c r="U389" s="172" t="str">
        <x:f>IF(A389="","",IFERROR(LOOKUP(2,1/('Engineer Updates'!$B$5:$B$704=A389),'Engineer Updates'!$J$5:$J$704),""))</x:f>
      </x:c>
      <x:c r="V389" s="172" t="str">
        <x:f>IF(A389="","",IFERROR(LOOKUP(2,1/('Engineer Updates'!$B$5:$B$704=A389),'Engineer Updates'!$K$5:$K$704),""))</x:f>
      </x:c>
      <x:c r="W389" s="174" t="str">
        <x:f>IF(A389="","",IFERROR(LOOKUP(2,1/('Engineer Updates'!$B$5:$B$704=A389),'Engineer Updates'!$L$5:$L$704),""))</x:f>
      </x:c>
      <x:c r="X389" s="170" t="str">
        <x:f>IF(A389="","",IF(C389="completed","Completed in CSSP",IF(AND(C389="executing",ISERROR(SEARCH("@",K389))),"Executing without named engineer",IF(AND(N389="Confirmed OOS",C389="executing"),"Confirmed OOS still executing",""))))</x:f>
        <x:v>Completed in CSSP</x:v>
      </x:c>
      <x:c r="Y389" s="170" t="str">
        <x:f>IF(A389="","",IF(B389="Decommissioning","Raw Decommissioning","Raw Provisioning"))</x:f>
        <x:v>Raw Provisioning</x:v>
      </x:c>
      <x:c r="Z389" s="170" t="str">
        <x:f>IF(A389="","",IF(OR(C389="executing",C389="processing"),"Yes","No"))</x:f>
        <x:v>No</x:v>
      </x:c>
    </x:row>
    <x:row r="390">
      <x:c r="A390" s="170" t="str">
        <x:f>IF(ROWS($A$5:A390)&lt;=COUNTA('Raw Decommissioning'!$B$2:$B$1000),INDEX('Raw Decommissioning'!$B$2:$B$1000,ROWS($A$5:A390)),IF(ROWS($A$5:A390)-COUNTA('Raw Decommissioning'!$B$2:$B$1000)&lt;=COUNTA('Raw Provisioning'!$B$2:$B$1000),INDEX('Raw Provisioning'!$B$2:$B$1000,ROWS($A$5:A390)-COUNTA('Raw Decommissioning'!$B$2:$B$1000)),""))</x:f>
        <x:v>CSSP10109255</x:v>
      </x:c>
      <x:c r="B390" s="170" t="str">
        <x:f>IF(A390="","",IF(ROWS($A$5:A390)&lt;=COUNTA('Raw Decommissioning'!$B$2:$B$1000),"Decommissioning","Provisioning"))</x:f>
        <x:v>Provisioning</x:v>
      </x:c>
      <x:c r="C390" s="170" t="str">
        <x:f>IF(A390="","",IF(B390="Decommissioning",IFERROR(INDEX('Raw Decommissioning'!$E$2:$E$1000,MATCH(A390,'Raw Decommissioning'!$B$2:$B$1000,0)),"Missing from latest raw"),IFERROR(INDEX('Raw Provisioning'!$E$2:$E$1000,MATCH(A390,'Raw Provisioning'!$B$2:$B$1000,0)),"Missing from latest raw")))</x:f>
        <x:v>completed</x:v>
      </x:c>
      <x:c r="D390" s="171" t="n">
        <x:f>IF(A390="","",'Refresh Control'!$B$4)</x:f>
        <x:v>46254</x:v>
      </x:c>
      <x:c r="E390" s="171" t="n">
        <x:f>IF(A390="","",IF(B390="Decommissioning",INDEX('Raw Decommissioning'!$F$2:$F$1000,ROWS($A$5:A390)),INDEX('Raw Provisioning'!$F$2:$F$1000,ROWS($A$5:A390)-COUNTA('Raw Decommissioning'!$B$2:$B$1000))))</x:f>
        <x:v>46010.15920888889</x:v>
      </x:c>
      <x:c r="F390" s="171" t="n">
        <x:f>IF(A390="","",IF(B390="Decommissioning",INDEX('Raw Decommissioning'!$G$2:$G$1000,ROWS($A$5:A390)),INDEX('Raw Provisioning'!$H$2:$H$1000,ROWS($A$5:A390)-COUNTA('Raw Decommissioning'!$B$2:$B$1000))))</x:f>
        <x:v>46028.01546773148</x:v>
      </x:c>
      <x:c r="G390" s="170" t="str">
        <x:f>IF(A390="","",IF(B390="Decommissioning",INDEX('Raw Decommissioning'!$I$2:$I$1000,ROWS($A$5:A390)),INDEX('Raw Provisioning'!$J$2:$J$1000,ROWS($A$5:A390)-COUNTA('Raw Decommissioning'!$B$2:$B$1000))))</x:f>
        <x:v>Integrated Asset Modelling - IAM</x:v>
      </x:c>
      <x:c r="H390" s="170" t="str">
        <x:f>IF(A390="","",IF(B390="Decommissioning",INDEX('Raw Decommissioning'!$J$2:$J$1000,ROWS($A$5:A390)),INDEX('Raw Provisioning'!$L$2:$L$1000,ROWS($A$5:A390)-COUNTA('Raw Decommissioning'!$B$2:$B$1000))))</x:f>
        <x:v>Implementation of development, testing and production server for Integrated Asset Modelling (IAM) for COE, PCSB</x:v>
      </x:c>
      <x:c r="I390" s="170" t="str">
        <x:f>IF(A390="","",IF(B390="Decommissioning",INDEX('Raw Decommissioning'!$AL$2:$AL$1000,ROWS($A$5:A390)),INDEX('Raw Provisioning'!$R$2:$R$1000,ROWS($A$5:A390)-COUNTA('Raw Decommissioning'!$B$2:$B$1000))))</x:f>
        <x:v>M</x:v>
      </x:c>
      <x:c r="J390" s="170" t="str">
        <x:f>IF(A390="","",IF(B390="Decommissioning",INDEX('Raw Decommissioning'!$AG$2:$AG$1000,ROWS($A$5:A390)),INDEX('Raw Provisioning'!$AI$2:$AI$1000,ROWS($A$5:A390)-COUNTA('Raw Decommissioning'!$B$2:$B$1000))))</x:f>
        <x:v>azhan.shazeli@petronas.com</x:v>
      </x:c>
      <x:c r="K390" s="172" t="str">
        <x:f>IF(A390="","",IFERROR(LOOKUP(2,1/('Assignment History'!$B$5:$B$204=A390),'Assignment History'!$D$5:$D$204),IFERROR(VLOOKUP(J390,Configuration!$L$5:$M$50,2,FALSE),J390)))</x:f>
        <x:v>azhan.shazeli@petronas.com</x:v>
      </x:c>
      <x:c r="L390" s="172" t="str">
        <x:f>IF(A390="","",IF(K390=IFERROR(VLOOKUP(J390,Configuration!$L$5:$M$50,2,FALSE),J390),"Snapshot PIC","Replacement PIC"))</x:f>
        <x:v>Snapshot PIC</x:v>
      </x:c>
      <x:c r="M390" s="172" t="n">
        <x:f>IF(A390="","",IFERROR(VLOOKUP(I390,Configuration!$O$5:$P$8,2,FALSE),Configuration!$S$6))</x:f>
        <x:v>2</x:v>
      </x:c>
      <x:c r="N390" s="172" t="str">
        <x:f>IF(A390="","",IFERROR(LOOKUP(2,1/('Scope Review'!$B$5:$B$204=A390),'Scope Review'!$G$5:$G$204),"Not Reviewed"))</x:f>
        <x:v>Not Reviewed</x:v>
      </x:c>
      <x:c r="O390" s="172" t="str">
        <x:f>IF(A390="","",IFERROR(LOOKUP(2,1/('Scope Review'!$B$5:$B$204=A390),'Scope Review'!$H$5:$H$204),""))</x:f>
      </x:c>
      <x:c r="P390" s="172" t="n">
        <x:f>IF(A390="","",IF(AND(C390="executing",N390&lt;&gt;"Confirmed OOS"),M390,0))</x:f>
        <x:v>0</x:v>
      </x:c>
      <x:c r="Q390" s="173" t="str">
        <x:f>IF(A390="","",IFERROR(LOOKUP(2,1/('Engineer Updates'!$B$5:$B$704=A390),'Engineer Updates'!$A$5:$A$704),""))</x:f>
      </x:c>
      <x:c r="R390" s="172" t="str">
        <x:f>IF(A390="","",IFERROR(LOOKUP(2,1/('Engineer Updates'!$B$5:$B$704=A390),'Engineer Updates'!$H$5:$H$704),""))</x:f>
      </x:c>
      <x:c r="S390" s="172" t="str">
        <x:f>IF(A390="","",IFERROR(LOOKUP(2,1/('Engineer Updates'!$B$5:$B$704=A390),'Engineer Updates'!$G$5:$G$704),""))</x:f>
      </x:c>
      <x:c r="T390" s="172" t="str">
        <x:f>IF(A390="","",IFERROR(LOOKUP(2,1/('Engineer Updates'!$B$5:$B$704=A390),'Engineer Updates'!$I$5:$I$704),""))</x:f>
      </x:c>
      <x:c r="U390" s="172" t="str">
        <x:f>IF(A390="","",IFERROR(LOOKUP(2,1/('Engineer Updates'!$B$5:$B$704=A390),'Engineer Updates'!$J$5:$J$704),""))</x:f>
      </x:c>
      <x:c r="V390" s="172" t="str">
        <x:f>IF(A390="","",IFERROR(LOOKUP(2,1/('Engineer Updates'!$B$5:$B$704=A390),'Engineer Updates'!$K$5:$K$704),""))</x:f>
      </x:c>
      <x:c r="W390" s="174" t="str">
        <x:f>IF(A390="","",IFERROR(LOOKUP(2,1/('Engineer Updates'!$B$5:$B$704=A390),'Engineer Updates'!$L$5:$L$704),""))</x:f>
      </x:c>
      <x:c r="X390" s="170" t="str">
        <x:f>IF(A390="","",IF(C390="completed","Completed in CSSP",IF(AND(C390="executing",ISERROR(SEARCH("@",K390))),"Executing without named engineer",IF(AND(N390="Confirmed OOS",C390="executing"),"Confirmed OOS still executing",""))))</x:f>
        <x:v>Completed in CSSP</x:v>
      </x:c>
      <x:c r="Y390" s="170" t="str">
        <x:f>IF(A390="","",IF(B390="Decommissioning","Raw Decommissioning","Raw Provisioning"))</x:f>
        <x:v>Raw Provisioning</x:v>
      </x:c>
      <x:c r="Z390" s="170" t="str">
        <x:f>IF(A390="","",IF(OR(C390="executing",C390="processing"),"Yes","No"))</x:f>
        <x:v>No</x:v>
      </x:c>
    </x:row>
    <x:row r="391">
      <x:c r="A391" s="170" t="str">
        <x:f>IF(ROWS($A$5:A391)&lt;=COUNTA('Raw Decommissioning'!$B$2:$B$1000),INDEX('Raw Decommissioning'!$B$2:$B$1000,ROWS($A$5:A391)),IF(ROWS($A$5:A391)-COUNTA('Raw Decommissioning'!$B$2:$B$1000)&lt;=COUNTA('Raw Provisioning'!$B$2:$B$1000),INDEX('Raw Provisioning'!$B$2:$B$1000,ROWS($A$5:A391)-COUNTA('Raw Decommissioning'!$B$2:$B$1000)),""))</x:f>
        <x:v>CSSP10971128</x:v>
      </x:c>
      <x:c r="B391" s="170" t="str">
        <x:f>IF(A391="","",IF(ROWS($A$5:A391)&lt;=COUNTA('Raw Decommissioning'!$B$2:$B$1000),"Decommissioning","Provisioning"))</x:f>
        <x:v>Provisioning</x:v>
      </x:c>
      <x:c r="C391" s="170" t="str">
        <x:f>IF(A391="","",IF(B391="Decommissioning",IFERROR(INDEX('Raw Decommissioning'!$E$2:$E$1000,MATCH(A391,'Raw Decommissioning'!$B$2:$B$1000,0)),"Missing from latest raw"),IFERROR(INDEX('Raw Provisioning'!$E$2:$E$1000,MATCH(A391,'Raw Provisioning'!$B$2:$B$1000,0)),"Missing from latest raw")))</x:f>
        <x:v>completed</x:v>
      </x:c>
      <x:c r="D391" s="171" t="n">
        <x:f>IF(A391="","",'Refresh Control'!$B$4)</x:f>
        <x:v>46254</x:v>
      </x:c>
      <x:c r="E391" s="171" t="n">
        <x:f>IF(A391="","",IF(B391="Decommissioning",INDEX('Raw Decommissioning'!$F$2:$F$1000,ROWS($A$5:A391)),INDEX('Raw Provisioning'!$F$2:$F$1000,ROWS($A$5:A391)-COUNTA('Raw Decommissioning'!$B$2:$B$1000))))</x:f>
        <x:v>46010.294650474534</x:v>
      </x:c>
      <x:c r="F391" s="171" t="n">
        <x:f>IF(A391="","",IF(B391="Decommissioning",INDEX('Raw Decommissioning'!$G$2:$G$1000,ROWS($A$5:A391)),INDEX('Raw Provisioning'!$H$2:$H$1000,ROWS($A$5:A391)-COUNTA('Raw Decommissioning'!$B$2:$B$1000))))</x:f>
        <x:v>46031.279839560186</x:v>
      </x:c>
      <x:c r="G391" s="170" t="str">
        <x:f>IF(A391="","",IF(B391="Decommissioning",INDEX('Raw Decommissioning'!$I$2:$I$1000,ROWS($A$5:A391)),INDEX('Raw Provisioning'!$J$2:$J$1000,ROWS($A$5:A391)-COUNTA('Raw Decommissioning'!$B$2:$B$1000))))</x:f>
        <x:v>DSSR 3.0 Proof of Value of Data Exchange Agreement (POC)</x:v>
      </x:c>
      <x:c r="H391" s="170" t="str">
        <x:f>IF(A391="","",IF(B391="Decommissioning",INDEX('Raw Decommissioning'!$J$2:$J$1000,ROWS($A$5:A391)),INDEX('Raw Provisioning'!$L$2:$L$1000,ROWS($A$5:A391)-COUNTA('Raw Decommissioning'!$B$2:$B$1000))))</x:f>
        <x:v>Digital Sustainability Strategy review 3.0 | Proof of Value of Data Exchange Agreement (WS2)</x:v>
      </x:c>
      <x:c r="I391" s="170" t="str">
        <x:f>IF(A391="","",IF(B391="Decommissioning",INDEX('Raw Decommissioning'!$AL$2:$AL$1000,ROWS($A$5:A391)),INDEX('Raw Provisioning'!$R$2:$R$1000,ROWS($A$5:A391)-COUNTA('Raw Decommissioning'!$B$2:$B$1000))))</x:f>
        <x:v>M</x:v>
      </x:c>
      <x:c r="J391" s="170" t="str">
        <x:f>IF(A391="","",IF(B391="Decommissioning",INDEX('Raw Decommissioning'!$AG$2:$AG$1000,ROWS($A$5:A391)),INDEX('Raw Provisioning'!$AI$2:$AI$1000,ROWS($A$5:A391)-COUNTA('Raw Decommissioning'!$B$2:$B$1000))))</x:f>
        <x:v>badri.shaharudin@petronas.com</x:v>
      </x:c>
      <x:c r="K391" s="172" t="str">
        <x:f>IF(A391="","",IFERROR(LOOKUP(2,1/('Assignment History'!$B$5:$B$204=A391),'Assignment History'!$D$5:$D$204),IFERROR(VLOOKUP(J391,Configuration!$L$5:$M$50,2,FALSE),J391)))</x:f>
        <x:v>badri.shaharudin@petronas.com</x:v>
      </x:c>
      <x:c r="L391" s="172" t="str">
        <x:f>IF(A391="","",IF(K391=IFERROR(VLOOKUP(J391,Configuration!$L$5:$M$50,2,FALSE),J391),"Snapshot PIC","Replacement PIC"))</x:f>
        <x:v>Snapshot PIC</x:v>
      </x:c>
      <x:c r="M391" s="172" t="n">
        <x:f>IF(A391="","",IFERROR(VLOOKUP(I391,Configuration!$O$5:$P$8,2,FALSE),Configuration!$S$6))</x:f>
        <x:v>2</x:v>
      </x:c>
      <x:c r="N391" s="172" t="str">
        <x:f>IF(A391="","",IFERROR(LOOKUP(2,1/('Scope Review'!$B$5:$B$204=A391),'Scope Review'!$G$5:$G$204),"Not Reviewed"))</x:f>
        <x:v>Not Reviewed</x:v>
      </x:c>
      <x:c r="O391" s="172" t="str">
        <x:f>IF(A391="","",IFERROR(LOOKUP(2,1/('Scope Review'!$B$5:$B$204=A391),'Scope Review'!$H$5:$H$204),""))</x:f>
      </x:c>
      <x:c r="P391" s="172" t="n">
        <x:f>IF(A391="","",IF(AND(C391="executing",N391&lt;&gt;"Confirmed OOS"),M391,0))</x:f>
        <x:v>0</x:v>
      </x:c>
      <x:c r="Q391" s="173" t="str">
        <x:f>IF(A391="","",IFERROR(LOOKUP(2,1/('Engineer Updates'!$B$5:$B$704=A391),'Engineer Updates'!$A$5:$A$704),""))</x:f>
      </x:c>
      <x:c r="R391" s="172" t="str">
        <x:f>IF(A391="","",IFERROR(LOOKUP(2,1/('Engineer Updates'!$B$5:$B$704=A391),'Engineer Updates'!$H$5:$H$704),""))</x:f>
      </x:c>
      <x:c r="S391" s="172" t="str">
        <x:f>IF(A391="","",IFERROR(LOOKUP(2,1/('Engineer Updates'!$B$5:$B$704=A391),'Engineer Updates'!$G$5:$G$704),""))</x:f>
      </x:c>
      <x:c r="T391" s="172" t="str">
        <x:f>IF(A391="","",IFERROR(LOOKUP(2,1/('Engineer Updates'!$B$5:$B$704=A391),'Engineer Updates'!$I$5:$I$704),""))</x:f>
      </x:c>
      <x:c r="U391" s="172" t="str">
        <x:f>IF(A391="","",IFERROR(LOOKUP(2,1/('Engineer Updates'!$B$5:$B$704=A391),'Engineer Updates'!$J$5:$J$704),""))</x:f>
      </x:c>
      <x:c r="V391" s="172" t="str">
        <x:f>IF(A391="","",IFERROR(LOOKUP(2,1/('Engineer Updates'!$B$5:$B$704=A391),'Engineer Updates'!$K$5:$K$704),""))</x:f>
      </x:c>
      <x:c r="W391" s="174" t="str">
        <x:f>IF(A391="","",IFERROR(LOOKUP(2,1/('Engineer Updates'!$B$5:$B$704=A391),'Engineer Updates'!$L$5:$L$704),""))</x:f>
      </x:c>
      <x:c r="X391" s="170" t="str">
        <x:f>IF(A391="","",IF(C391="completed","Completed in CSSP",IF(AND(C391="executing",ISERROR(SEARCH("@",K391))),"Executing without named engineer",IF(AND(N391="Confirmed OOS",C391="executing"),"Confirmed OOS still executing",""))))</x:f>
        <x:v>Completed in CSSP</x:v>
      </x:c>
      <x:c r="Y391" s="170" t="str">
        <x:f>IF(A391="","",IF(B391="Decommissioning","Raw Decommissioning","Raw Provisioning"))</x:f>
        <x:v>Raw Provisioning</x:v>
      </x:c>
      <x:c r="Z391" s="170" t="str">
        <x:f>IF(A391="","",IF(OR(C391="executing",C391="processing"),"Yes","No"))</x:f>
        <x:v>No</x:v>
      </x:c>
    </x:row>
    <x:row r="392">
      <x:c r="A392" s="170" t="str">
        <x:f>IF(ROWS($A$5:A392)&lt;=COUNTA('Raw Decommissioning'!$B$2:$B$1000),INDEX('Raw Decommissioning'!$B$2:$B$1000,ROWS($A$5:A392)),IF(ROWS($A$5:A392)-COUNTA('Raw Decommissioning'!$B$2:$B$1000)&lt;=COUNTA('Raw Provisioning'!$B$2:$B$1000),INDEX('Raw Provisioning'!$B$2:$B$1000,ROWS($A$5:A392)-COUNTA('Raw Decommissioning'!$B$2:$B$1000)),""))</x:f>
        <x:v>CSSP10357282</x:v>
      </x:c>
      <x:c r="B392" s="170" t="str">
        <x:f>IF(A392="","",IF(ROWS($A$5:A392)&lt;=COUNTA('Raw Decommissioning'!$B$2:$B$1000),"Decommissioning","Provisioning"))</x:f>
        <x:v>Provisioning</x:v>
      </x:c>
      <x:c r="C392" s="170" t="str">
        <x:f>IF(A392="","",IF(B392="Decommissioning",IFERROR(INDEX('Raw Decommissioning'!$E$2:$E$1000,MATCH(A392,'Raw Decommissioning'!$B$2:$B$1000,0)),"Missing from latest raw"),IFERROR(INDEX('Raw Provisioning'!$E$2:$E$1000,MATCH(A392,'Raw Provisioning'!$B$2:$B$1000,0)),"Missing from latest raw")))</x:f>
        <x:v>completed</x:v>
      </x:c>
      <x:c r="D392" s="171" t="n">
        <x:f>IF(A392="","",'Refresh Control'!$B$4)</x:f>
        <x:v>46254</x:v>
      </x:c>
      <x:c r="E392" s="171" t="n">
        <x:f>IF(A392="","",IF(B392="Decommissioning",INDEX('Raw Decommissioning'!$F$2:$F$1000,ROWS($A$5:A392)),INDEX('Raw Provisioning'!$F$2:$F$1000,ROWS($A$5:A392)-COUNTA('Raw Decommissioning'!$B$2:$B$1000))))</x:f>
        <x:v>46013.11288774305</x:v>
      </x:c>
      <x:c r="F392" s="171" t="n">
        <x:f>IF(A392="","",IF(B392="Decommissioning",INDEX('Raw Decommissioning'!$G$2:$G$1000,ROWS($A$5:A392)),INDEX('Raw Provisioning'!$H$2:$H$1000,ROWS($A$5:A392)-COUNTA('Raw Decommissioning'!$B$2:$B$1000))))</x:f>
        <x:v>46036.3055299537</x:v>
      </x:c>
      <x:c r="G392" s="170" t="str">
        <x:f>IF(A392="","",IF(B392="Decommissioning",INDEX('Raw Decommissioning'!$I$2:$I$1000,ROWS($A$5:A392)),INDEX('Raw Provisioning'!$J$2:$J$1000,ROWS($A$5:A392)-COUNTA('Raw Decommissioning'!$B$2:$B$1000))))</x:f>
        <x:v>Alpha Oil</x:v>
      </x:c>
      <x:c r="H392" s="170" t="str">
        <x:f>IF(A392="","",IF(B392="Decommissioning",INDEX('Raw Decommissioning'!$J$2:$J$1000,ROWS($A$5:A392)),INDEX('Raw Provisioning'!$L$2:$L$1000,ROWS($A$5:A392)-COUNTA('Raw Decommissioning'!$B$2:$B$1000))))</x:f>
        <x:v>Support Services of Alpha Oil – WS2 DevSecOps for Malaysia Petroleum Management (MPM)</x:v>
      </x:c>
      <x:c r="I392" s="170" t="str">
        <x:f>IF(A392="","",IF(B392="Decommissioning",INDEX('Raw Decommissioning'!$AL$2:$AL$1000,ROWS($A$5:A392)),INDEX('Raw Provisioning'!$R$2:$R$1000,ROWS($A$5:A392)-COUNTA('Raw Decommissioning'!$B$2:$B$1000))))</x:f>
        <x:v>M</x:v>
      </x:c>
      <x:c r="J392" s="170" t="str">
        <x:f>IF(A392="","",IF(B392="Decommissioning",INDEX('Raw Decommissioning'!$AG$2:$AG$1000,ROWS($A$5:A392)),INDEX('Raw Provisioning'!$AI$2:$AI$1000,ROWS($A$5:A392)-COUNTA('Raw Decommissioning'!$B$2:$B$1000))))</x:f>
        <x:v>akhmal.roslan@petronas.com</x:v>
      </x:c>
      <x:c r="K392" s="172" t="str">
        <x:f>IF(A392="","",IFERROR(LOOKUP(2,1/('Assignment History'!$B$5:$B$204=A392),'Assignment History'!$D$5:$D$204),IFERROR(VLOOKUP(J392,Configuration!$L$5:$M$50,2,FALSE),J392)))</x:f>
        <x:v>akhmal.roslan@petronas.com</x:v>
      </x:c>
      <x:c r="L392" s="172" t="str">
        <x:f>IF(A392="","",IF(K392=IFERROR(VLOOKUP(J392,Configuration!$L$5:$M$50,2,FALSE),J392),"Snapshot PIC","Replacement PIC"))</x:f>
        <x:v>Snapshot PIC</x:v>
      </x:c>
      <x:c r="M392" s="172" t="n">
        <x:f>IF(A392="","",IFERROR(VLOOKUP(I392,Configuration!$O$5:$P$8,2,FALSE),Configuration!$S$6))</x:f>
        <x:v>2</x:v>
      </x:c>
      <x:c r="N392" s="172" t="str">
        <x:f>IF(A392="","",IFERROR(LOOKUP(2,1/('Scope Review'!$B$5:$B$204=A392),'Scope Review'!$G$5:$G$204),"Not Reviewed"))</x:f>
        <x:v>Not Reviewed</x:v>
      </x:c>
      <x:c r="O392" s="172" t="str">
        <x:f>IF(A392="","",IFERROR(LOOKUP(2,1/('Scope Review'!$B$5:$B$204=A392),'Scope Review'!$H$5:$H$204),""))</x:f>
      </x:c>
      <x:c r="P392" s="172" t="n">
        <x:f>IF(A392="","",IF(AND(C392="executing",N392&lt;&gt;"Confirmed OOS"),M392,0))</x:f>
        <x:v>0</x:v>
      </x:c>
      <x:c r="Q392" s="173" t="str">
        <x:f>IF(A392="","",IFERROR(LOOKUP(2,1/('Engineer Updates'!$B$5:$B$704=A392),'Engineer Updates'!$A$5:$A$704),""))</x:f>
      </x:c>
      <x:c r="R392" s="172" t="str">
        <x:f>IF(A392="","",IFERROR(LOOKUP(2,1/('Engineer Updates'!$B$5:$B$704=A392),'Engineer Updates'!$H$5:$H$704),""))</x:f>
      </x:c>
      <x:c r="S392" s="172" t="str">
        <x:f>IF(A392="","",IFERROR(LOOKUP(2,1/('Engineer Updates'!$B$5:$B$704=A392),'Engineer Updates'!$G$5:$G$704),""))</x:f>
      </x:c>
      <x:c r="T392" s="172" t="str">
        <x:f>IF(A392="","",IFERROR(LOOKUP(2,1/('Engineer Updates'!$B$5:$B$704=A392),'Engineer Updates'!$I$5:$I$704),""))</x:f>
      </x:c>
      <x:c r="U392" s="172" t="str">
        <x:f>IF(A392="","",IFERROR(LOOKUP(2,1/('Engineer Updates'!$B$5:$B$704=A392),'Engineer Updates'!$J$5:$J$704),""))</x:f>
      </x:c>
      <x:c r="V392" s="172" t="str">
        <x:f>IF(A392="","",IFERROR(LOOKUP(2,1/('Engineer Updates'!$B$5:$B$704=A392),'Engineer Updates'!$K$5:$K$704),""))</x:f>
      </x:c>
      <x:c r="W392" s="174" t="str">
        <x:f>IF(A392="","",IFERROR(LOOKUP(2,1/('Engineer Updates'!$B$5:$B$704=A392),'Engineer Updates'!$L$5:$L$704),""))</x:f>
      </x:c>
      <x:c r="X392" s="170" t="str">
        <x:f>IF(A392="","",IF(C392="completed","Completed in CSSP",IF(AND(C392="executing",ISERROR(SEARCH("@",K392))),"Executing without named engineer",IF(AND(N392="Confirmed OOS",C392="executing"),"Confirmed OOS still executing",""))))</x:f>
        <x:v>Completed in CSSP</x:v>
      </x:c>
      <x:c r="Y392" s="170" t="str">
        <x:f>IF(A392="","",IF(B392="Decommissioning","Raw Decommissioning","Raw Provisioning"))</x:f>
        <x:v>Raw Provisioning</x:v>
      </x:c>
      <x:c r="Z392" s="170" t="str">
        <x:f>IF(A392="","",IF(OR(C392="executing",C392="processing"),"Yes","No"))</x:f>
        <x:v>No</x:v>
      </x:c>
    </x:row>
    <x:row r="393">
      <x:c r="A393" s="170" t="str">
        <x:f>IF(ROWS($A$5:A393)&lt;=COUNTA('Raw Decommissioning'!$B$2:$B$1000),INDEX('Raw Decommissioning'!$B$2:$B$1000,ROWS($A$5:A393)),IF(ROWS($A$5:A393)-COUNTA('Raw Decommissioning'!$B$2:$B$1000)&lt;=COUNTA('Raw Provisioning'!$B$2:$B$1000),INDEX('Raw Provisioning'!$B$2:$B$1000,ROWS($A$5:A393)-COUNTA('Raw Decommissioning'!$B$2:$B$1000)),""))</x:f>
        <x:v>CSSP10868310</x:v>
      </x:c>
      <x:c r="B393" s="170" t="str">
        <x:f>IF(A393="","",IF(ROWS($A$5:A393)&lt;=COUNTA('Raw Decommissioning'!$B$2:$B$1000),"Decommissioning","Provisioning"))</x:f>
        <x:v>Provisioning</x:v>
      </x:c>
      <x:c r="C393" s="170" t="str">
        <x:f>IF(A393="","",IF(B393="Decommissioning",IFERROR(INDEX('Raw Decommissioning'!$E$2:$E$1000,MATCH(A393,'Raw Decommissioning'!$B$2:$B$1000,0)),"Missing from latest raw"),IFERROR(INDEX('Raw Provisioning'!$E$2:$E$1000,MATCH(A393,'Raw Provisioning'!$B$2:$B$1000,0)),"Missing from latest raw")))</x:f>
        <x:v>completed</x:v>
      </x:c>
      <x:c r="D393" s="171" t="n">
        <x:f>IF(A393="","",'Refresh Control'!$B$4)</x:f>
        <x:v>46254</x:v>
      </x:c>
      <x:c r="E393" s="171" t="n">
        <x:f>IF(A393="","",IF(B393="Decommissioning",INDEX('Raw Decommissioning'!$F$2:$F$1000,ROWS($A$5:A393)),INDEX('Raw Provisioning'!$F$2:$F$1000,ROWS($A$5:A393)-COUNTA('Raw Decommissioning'!$B$2:$B$1000))))</x:f>
        <x:v>46014.099643194444</x:v>
      </x:c>
      <x:c r="F393" s="171" t="n">
        <x:f>IF(A393="","",IF(B393="Decommissioning",INDEX('Raw Decommissioning'!$G$2:$G$1000,ROWS($A$5:A393)),INDEX('Raw Provisioning'!$H$2:$H$1000,ROWS($A$5:A393)-COUNTA('Raw Decommissioning'!$B$2:$B$1000))))</x:f>
        <x:v>46034.088129791664</x:v>
      </x:c>
      <x:c r="G393" s="170" t="str">
        <x:f>IF(A393="","",IF(B393="Decommissioning",INDEX('Raw Decommissioning'!$I$2:$I$1000,ROWS($A$5:A393)),INDEX('Raw Provisioning'!$J$2:$J$1000,ROWS($A$5:A393)-COUNTA('Raw Decommissioning'!$B$2:$B$1000))))</x:f>
        <x:v>OpenText</x:v>
      </x:c>
      <x:c r="H393" s="170" t="str">
        <x:f>IF(A393="","",IF(B393="Decommissioning",INDEX('Raw Decommissioning'!$J$2:$J$1000,ROWS($A$5:A393)),INDEX('Raw Provisioning'!$L$2:$L$1000,ROWS($A$5:A393)-COUNTA('Raw Decommissioning'!$B$2:$B$1000))))</x:f>
        <x:v>Upgrade of Opentext Enterprise Context Management (ECM) and Business Process Management (BPM) for PETRONAS</x:v>
      </x:c>
      <x:c r="I393" s="170" t="str">
        <x:f>IF(A393="","",IF(B393="Decommissioning",INDEX('Raw Decommissioning'!$AL$2:$AL$1000,ROWS($A$5:A393)),INDEX('Raw Provisioning'!$R$2:$R$1000,ROWS($A$5:A393)-COUNTA('Raw Decommissioning'!$B$2:$B$1000))))</x:f>
        <x:v>S</x:v>
      </x:c>
      <x:c r="J393" s="170" t="str">
        <x:f>IF(A393="","",IF(B393="Decommissioning",INDEX('Raw Decommissioning'!$AG$2:$AG$1000,ROWS($A$5:A393)),INDEX('Raw Provisioning'!$AI$2:$AI$1000,ROWS($A$5:A393)-COUNTA('Raw Decommissioning'!$B$2:$B$1000))))</x:f>
        <x:v>izham.ajmaan@petronas.com</x:v>
      </x:c>
      <x:c r="K393" s="172" t="str">
        <x:f>IF(A393="","",IFERROR(LOOKUP(2,1/('Assignment History'!$B$5:$B$204=A393),'Assignment History'!$D$5:$D$204),IFERROR(VLOOKUP(J393,Configuration!$L$5:$M$50,2,FALSE),J393)))</x:f>
        <x:v>izham.ajmaan@petronas.com</x:v>
      </x:c>
      <x:c r="L393" s="172" t="str">
        <x:f>IF(A393="","",IF(K393=IFERROR(VLOOKUP(J393,Configuration!$L$5:$M$50,2,FALSE),J393),"Snapshot PIC","Replacement PIC"))</x:f>
        <x:v>Snapshot PIC</x:v>
      </x:c>
      <x:c r="M393" s="172" t="n">
        <x:f>IF(A393="","",IFERROR(VLOOKUP(I393,Configuration!$O$5:$P$8,2,FALSE),Configuration!$S$6))</x:f>
        <x:v>1</x:v>
      </x:c>
      <x:c r="N393" s="172" t="str">
        <x:f>IF(A393="","",IFERROR(LOOKUP(2,1/('Scope Review'!$B$5:$B$204=A393),'Scope Review'!$G$5:$G$204),"Not Reviewed"))</x:f>
        <x:v>Not Reviewed</x:v>
      </x:c>
      <x:c r="O393" s="172" t="str">
        <x:f>IF(A393="","",IFERROR(LOOKUP(2,1/('Scope Review'!$B$5:$B$204=A393),'Scope Review'!$H$5:$H$204),""))</x:f>
      </x:c>
      <x:c r="P393" s="172" t="n">
        <x:f>IF(A393="","",IF(AND(C393="executing",N393&lt;&gt;"Confirmed OOS"),M393,0))</x:f>
        <x:v>0</x:v>
      </x:c>
      <x:c r="Q393" s="173" t="str">
        <x:f>IF(A393="","",IFERROR(LOOKUP(2,1/('Engineer Updates'!$B$5:$B$704=A393),'Engineer Updates'!$A$5:$A$704),""))</x:f>
      </x:c>
      <x:c r="R393" s="172" t="str">
        <x:f>IF(A393="","",IFERROR(LOOKUP(2,1/('Engineer Updates'!$B$5:$B$704=A393),'Engineer Updates'!$H$5:$H$704),""))</x:f>
      </x:c>
      <x:c r="S393" s="172" t="str">
        <x:f>IF(A393="","",IFERROR(LOOKUP(2,1/('Engineer Updates'!$B$5:$B$704=A393),'Engineer Updates'!$G$5:$G$704),""))</x:f>
      </x:c>
      <x:c r="T393" s="172" t="str">
        <x:f>IF(A393="","",IFERROR(LOOKUP(2,1/('Engineer Updates'!$B$5:$B$704=A393),'Engineer Updates'!$I$5:$I$704),""))</x:f>
      </x:c>
      <x:c r="U393" s="172" t="str">
        <x:f>IF(A393="","",IFERROR(LOOKUP(2,1/('Engineer Updates'!$B$5:$B$704=A393),'Engineer Updates'!$J$5:$J$704),""))</x:f>
      </x:c>
      <x:c r="V393" s="172" t="str">
        <x:f>IF(A393="","",IFERROR(LOOKUP(2,1/('Engineer Updates'!$B$5:$B$704=A393),'Engineer Updates'!$K$5:$K$704),""))</x:f>
      </x:c>
      <x:c r="W393" s="174" t="str">
        <x:f>IF(A393="","",IFERROR(LOOKUP(2,1/('Engineer Updates'!$B$5:$B$704=A393),'Engineer Updates'!$L$5:$L$704),""))</x:f>
      </x:c>
      <x:c r="X393" s="170" t="str">
        <x:f>IF(A393="","",IF(C393="completed","Completed in CSSP",IF(AND(C393="executing",ISERROR(SEARCH("@",K393))),"Executing without named engineer",IF(AND(N393="Confirmed OOS",C393="executing"),"Confirmed OOS still executing",""))))</x:f>
        <x:v>Completed in CSSP</x:v>
      </x:c>
      <x:c r="Y393" s="170" t="str">
        <x:f>IF(A393="","",IF(B393="Decommissioning","Raw Decommissioning","Raw Provisioning"))</x:f>
        <x:v>Raw Provisioning</x:v>
      </x:c>
      <x:c r="Z393" s="170" t="str">
        <x:f>IF(A393="","",IF(OR(C393="executing",C393="processing"),"Yes","No"))</x:f>
        <x:v>No</x:v>
      </x:c>
    </x:row>
    <x:row r="394">
      <x:c r="A394" s="170" t="str">
        <x:f>IF(ROWS($A$5:A394)&lt;=COUNTA('Raw Decommissioning'!$B$2:$B$1000),INDEX('Raw Decommissioning'!$B$2:$B$1000,ROWS($A$5:A394)),IF(ROWS($A$5:A394)-COUNTA('Raw Decommissioning'!$B$2:$B$1000)&lt;=COUNTA('Raw Provisioning'!$B$2:$B$1000),INDEX('Raw Provisioning'!$B$2:$B$1000,ROWS($A$5:A394)-COUNTA('Raw Decommissioning'!$B$2:$B$1000)),""))</x:f>
        <x:v>CSSP10556410</x:v>
      </x:c>
      <x:c r="B394" s="170" t="str">
        <x:f>IF(A394="","",IF(ROWS($A$5:A394)&lt;=COUNTA('Raw Decommissioning'!$B$2:$B$1000),"Decommissioning","Provisioning"))</x:f>
        <x:v>Provisioning</x:v>
      </x:c>
      <x:c r="C394" s="170" t="str">
        <x:f>IF(A394="","",IF(B394="Decommissioning",IFERROR(INDEX('Raw Decommissioning'!$E$2:$E$1000,MATCH(A394,'Raw Decommissioning'!$B$2:$B$1000,0)),"Missing from latest raw"),IFERROR(INDEX('Raw Provisioning'!$E$2:$E$1000,MATCH(A394,'Raw Provisioning'!$B$2:$B$1000,0)),"Missing from latest raw")))</x:f>
        <x:v>completed</x:v>
      </x:c>
      <x:c r="D394" s="171" t="n">
        <x:f>IF(A394="","",'Refresh Control'!$B$4)</x:f>
        <x:v>46254</x:v>
      </x:c>
      <x:c r="E394" s="171" t="n">
        <x:f>IF(A394="","",IF(B394="Decommissioning",INDEX('Raw Decommissioning'!$F$2:$F$1000,ROWS($A$5:A394)),INDEX('Raw Provisioning'!$F$2:$F$1000,ROWS($A$5:A394)-COUNTA('Raw Decommissioning'!$B$2:$B$1000))))</x:f>
        <x:v>46015.34305746528</x:v>
      </x:c>
      <x:c r="F394" s="171" t="n">
        <x:f>IF(A394="","",IF(B394="Decommissioning",INDEX('Raw Decommissioning'!$G$2:$G$1000,ROWS($A$5:A394)),INDEX('Raw Provisioning'!$H$2:$H$1000,ROWS($A$5:A394)-COUNTA('Raw Decommissioning'!$B$2:$B$1000))))</x:f>
        <x:v>46036.127110520836</x:v>
      </x:c>
      <x:c r="G394" s="170" t="str">
        <x:f>IF(A394="","",IF(B394="Decommissioning",INDEX('Raw Decommissioning'!$I$2:$I$1000,ROWS($A$5:A394)),INDEX('Raw Provisioning'!$J$2:$J$1000,ROWS($A$5:A394)-COUNTA('Raw Decommissioning'!$B$2:$B$1000))))</x:f>
        <x:v>PLI ACS</x:v>
      </x:c>
      <x:c r="H394" s="170" t="str">
        <x:f>IF(A394="","",IF(B394="Decommissioning",INDEX('Raw Decommissioning'!$J$2:$J$1000,ROWS($A$5:A394)),INDEX('Raw Provisioning'!$L$2:$L$1000,ROWS($A$5:A394)-COUNTA('Raw Decommissioning'!$B$2:$B$1000))))</x:f>
        <x:v>Migration of SMTP Basic Authentication to Azure Communication Services for PLISB</x:v>
      </x:c>
      <x:c r="I394" s="170" t="str">
        <x:f>IF(A394="","",IF(B394="Decommissioning",INDEX('Raw Decommissioning'!$AL$2:$AL$1000,ROWS($A$5:A394)),INDEX('Raw Provisioning'!$R$2:$R$1000,ROWS($A$5:A394)-COUNTA('Raw Decommissioning'!$B$2:$B$1000))))</x:f>
        <x:v>S</x:v>
      </x:c>
      <x:c r="J394" s="170" t="str">
        <x:f>IF(A394="","",IF(B394="Decommissioning",INDEX('Raw Decommissioning'!$AG$2:$AG$1000,ROWS($A$5:A394)),INDEX('Raw Provisioning'!$AI$2:$AI$1000,ROWS($A$5:A394)-COUNTA('Raw Decommissioning'!$B$2:$B$1000))))</x:f>
        <x:v>mhafizi.madnan@petronas.com</x:v>
      </x:c>
      <x:c r="K394" s="172" t="str">
        <x:f>IF(A394="","",IFERROR(LOOKUP(2,1/('Assignment History'!$B$5:$B$204=A394),'Assignment History'!$D$5:$D$204),IFERROR(VLOOKUP(J394,Configuration!$L$5:$M$50,2,FALSE),J394)))</x:f>
        <x:v>mhafizi.madnan@petronas.com</x:v>
      </x:c>
      <x:c r="L394" s="172" t="str">
        <x:f>IF(A394="","",IF(K394=IFERROR(VLOOKUP(J394,Configuration!$L$5:$M$50,2,FALSE),J394),"Snapshot PIC","Replacement PIC"))</x:f>
        <x:v>Snapshot PIC</x:v>
      </x:c>
      <x:c r="M394" s="172" t="n">
        <x:f>IF(A394="","",IFERROR(VLOOKUP(I394,Configuration!$O$5:$P$8,2,FALSE),Configuration!$S$6))</x:f>
        <x:v>1</x:v>
      </x:c>
      <x:c r="N394" s="172" t="str">
        <x:f>IF(A394="","",IFERROR(LOOKUP(2,1/('Scope Review'!$B$5:$B$204=A394),'Scope Review'!$G$5:$G$204),"Not Reviewed"))</x:f>
        <x:v>Not Reviewed</x:v>
      </x:c>
      <x:c r="O394" s="172" t="str">
        <x:f>IF(A394="","",IFERROR(LOOKUP(2,1/('Scope Review'!$B$5:$B$204=A394),'Scope Review'!$H$5:$H$204),""))</x:f>
      </x:c>
      <x:c r="P394" s="172" t="n">
        <x:f>IF(A394="","",IF(AND(C394="executing",N394&lt;&gt;"Confirmed OOS"),M394,0))</x:f>
        <x:v>0</x:v>
      </x:c>
      <x:c r="Q394" s="173" t="str">
        <x:f>IF(A394="","",IFERROR(LOOKUP(2,1/('Engineer Updates'!$B$5:$B$704=A394),'Engineer Updates'!$A$5:$A$704),""))</x:f>
      </x:c>
      <x:c r="R394" s="172" t="str">
        <x:f>IF(A394="","",IFERROR(LOOKUP(2,1/('Engineer Updates'!$B$5:$B$704=A394),'Engineer Updates'!$H$5:$H$704),""))</x:f>
      </x:c>
      <x:c r="S394" s="172" t="str">
        <x:f>IF(A394="","",IFERROR(LOOKUP(2,1/('Engineer Updates'!$B$5:$B$704=A394),'Engineer Updates'!$G$5:$G$704),""))</x:f>
      </x:c>
      <x:c r="T394" s="172" t="str">
        <x:f>IF(A394="","",IFERROR(LOOKUP(2,1/('Engineer Updates'!$B$5:$B$704=A394),'Engineer Updates'!$I$5:$I$704),""))</x:f>
      </x:c>
      <x:c r="U394" s="172" t="str">
        <x:f>IF(A394="","",IFERROR(LOOKUP(2,1/('Engineer Updates'!$B$5:$B$704=A394),'Engineer Updates'!$J$5:$J$704),""))</x:f>
      </x:c>
      <x:c r="V394" s="172" t="str">
        <x:f>IF(A394="","",IFERROR(LOOKUP(2,1/('Engineer Updates'!$B$5:$B$704=A394),'Engineer Updates'!$K$5:$K$704),""))</x:f>
      </x:c>
      <x:c r="W394" s="174" t="str">
        <x:f>IF(A394="","",IFERROR(LOOKUP(2,1/('Engineer Updates'!$B$5:$B$704=A394),'Engineer Updates'!$L$5:$L$704),""))</x:f>
      </x:c>
      <x:c r="X394" s="170" t="str">
        <x:f>IF(A394="","",IF(C394="completed","Completed in CSSP",IF(AND(C394="executing",ISERROR(SEARCH("@",K394))),"Executing without named engineer",IF(AND(N394="Confirmed OOS",C394="executing"),"Confirmed OOS still executing",""))))</x:f>
        <x:v>Completed in CSSP</x:v>
      </x:c>
      <x:c r="Y394" s="170" t="str">
        <x:f>IF(A394="","",IF(B394="Decommissioning","Raw Decommissioning","Raw Provisioning"))</x:f>
        <x:v>Raw Provisioning</x:v>
      </x:c>
      <x:c r="Z394" s="170" t="str">
        <x:f>IF(A394="","",IF(OR(C394="executing",C394="processing"),"Yes","No"))</x:f>
        <x:v>No</x:v>
      </x:c>
    </x:row>
    <x:row r="395">
      <x:c r="A395" s="170" t="str">
        <x:f>IF(ROWS($A$5:A395)&lt;=COUNTA('Raw Decommissioning'!$B$2:$B$1000),INDEX('Raw Decommissioning'!$B$2:$B$1000,ROWS($A$5:A395)),IF(ROWS($A$5:A395)-COUNTA('Raw Decommissioning'!$B$2:$B$1000)&lt;=COUNTA('Raw Provisioning'!$B$2:$B$1000),INDEX('Raw Provisioning'!$B$2:$B$1000,ROWS($A$5:A395)-COUNTA('Raw Decommissioning'!$B$2:$B$1000)),""))</x:f>
        <x:v>CSSP10571003</x:v>
      </x:c>
      <x:c r="B395" s="170" t="str">
        <x:f>IF(A395="","",IF(ROWS($A$5:A395)&lt;=COUNTA('Raw Decommissioning'!$B$2:$B$1000),"Decommissioning","Provisioning"))</x:f>
        <x:v>Provisioning</x:v>
      </x:c>
      <x:c r="C395" s="170" t="str">
        <x:f>IF(A395="","",IF(B395="Decommissioning",IFERROR(INDEX('Raw Decommissioning'!$E$2:$E$1000,MATCH(A395,'Raw Decommissioning'!$B$2:$B$1000,0)),"Missing from latest raw"),IFERROR(INDEX('Raw Provisioning'!$E$2:$E$1000,MATCH(A395,'Raw Provisioning'!$B$2:$B$1000,0)),"Missing from latest raw")))</x:f>
        <x:v>completed</x:v>
      </x:c>
      <x:c r="D395" s="171" t="n">
        <x:f>IF(A395="","",'Refresh Control'!$B$4)</x:f>
        <x:v>46254</x:v>
      </x:c>
      <x:c r="E395" s="171" t="n">
        <x:f>IF(A395="","",IF(B395="Decommissioning",INDEX('Raw Decommissioning'!$F$2:$F$1000,ROWS($A$5:A395)),INDEX('Raw Provisioning'!$F$2:$F$1000,ROWS($A$5:A395)-COUNTA('Raw Decommissioning'!$B$2:$B$1000))))</x:f>
        <x:v>46019.58830335648</x:v>
      </x:c>
      <x:c r="F395" s="171" t="n">
        <x:f>IF(A395="","",IF(B395="Decommissioning",INDEX('Raw Decommissioning'!$G$2:$G$1000,ROWS($A$5:A395)),INDEX('Raw Provisioning'!$H$2:$H$1000,ROWS($A$5:A395)-COUNTA('Raw Decommissioning'!$B$2:$B$1000))))</x:f>
        <x:v>46043.04597944445</x:v>
      </x:c>
      <x:c r="G395" s="170" t="str">
        <x:f>IF(A395="","",IF(B395="Decommissioning",INDEX('Raw Decommissioning'!$I$2:$I$1000,ROWS($A$5:A395)),INDEX('Raw Provisioning'!$J$2:$J$1000,ROWS($A$5:A395)-COUNTA('Raw Decommissioning'!$B$2:$B$1000))))</x:f>
        <x:v>HSE Intelligence Pod Multimodal AI Vision / Voice - HIPVISION</x:v>
      </x:c>
      <x:c r="H395" s="170" t="str">
        <x:f>IF(A395="","",IF(B395="Decommissioning",INDEX('Raw Decommissioning'!$J$2:$J$1000,ROWS($A$5:A395)),INDEX('Raw Provisioning'!$L$2:$L$1000,ROWS($A$5:A395)-COUNTA('Raw Decommissioning'!$B$2:$B$1000))))</x:f>
        <x:v>Development of HSE Intelligence Pod (HIP) Multimodal AI (Vision, Voice)</x:v>
      </x:c>
      <x:c r="I395" s="170" t="str">
        <x:f>IF(A395="","",IF(B395="Decommissioning",INDEX('Raw Decommissioning'!$AL$2:$AL$1000,ROWS($A$5:A395)),INDEX('Raw Provisioning'!$R$2:$R$1000,ROWS($A$5:A395)-COUNTA('Raw Decommissioning'!$B$2:$B$1000))))</x:f>
        <x:v>M</x:v>
      </x:c>
      <x:c r="J395" s="170" t="str">
        <x:f>IF(A395="","",IF(B395="Decommissioning",INDEX('Raw Decommissioning'!$AG$2:$AG$1000,ROWS($A$5:A395)),INDEX('Raw Provisioning'!$AI$2:$AI$1000,ROWS($A$5:A395)-COUNTA('Raw Decommissioning'!$B$2:$B$1000))))</x:f>
        <x:v>yeonghunn.ho@petronas.com</x:v>
      </x:c>
      <x:c r="K395" s="172" t="str">
        <x:f>IF(A395="","",IFERROR(LOOKUP(2,1/('Assignment History'!$B$5:$B$204=A395),'Assignment History'!$D$5:$D$204),IFERROR(VLOOKUP(J395,Configuration!$L$5:$M$50,2,FALSE),J395)))</x:f>
        <x:v>yeonghunn.ho@petronas.com</x:v>
      </x:c>
      <x:c r="L395" s="172" t="str">
        <x:f>IF(A395="","",IF(K395=IFERROR(VLOOKUP(J395,Configuration!$L$5:$M$50,2,FALSE),J395),"Snapshot PIC","Replacement PIC"))</x:f>
        <x:v>Snapshot PIC</x:v>
      </x:c>
      <x:c r="M395" s="172" t="n">
        <x:f>IF(A395="","",IFERROR(VLOOKUP(I395,Configuration!$O$5:$P$8,2,FALSE),Configuration!$S$6))</x:f>
        <x:v>2</x:v>
      </x:c>
      <x:c r="N395" s="172" t="str">
        <x:f>IF(A395="","",IFERROR(LOOKUP(2,1/('Scope Review'!$B$5:$B$204=A395),'Scope Review'!$G$5:$G$204),"Not Reviewed"))</x:f>
        <x:v>Not Reviewed</x:v>
      </x:c>
      <x:c r="O395" s="172" t="str">
        <x:f>IF(A395="","",IFERROR(LOOKUP(2,1/('Scope Review'!$B$5:$B$204=A395),'Scope Review'!$H$5:$H$204),""))</x:f>
      </x:c>
      <x:c r="P395" s="172" t="n">
        <x:f>IF(A395="","",IF(AND(C395="executing",N395&lt;&gt;"Confirmed OOS"),M395,0))</x:f>
        <x:v>0</x:v>
      </x:c>
      <x:c r="Q395" s="173" t="str">
        <x:f>IF(A395="","",IFERROR(LOOKUP(2,1/('Engineer Updates'!$B$5:$B$704=A395),'Engineer Updates'!$A$5:$A$704),""))</x:f>
      </x:c>
      <x:c r="R395" s="172" t="str">
        <x:f>IF(A395="","",IFERROR(LOOKUP(2,1/('Engineer Updates'!$B$5:$B$704=A395),'Engineer Updates'!$H$5:$H$704),""))</x:f>
      </x:c>
      <x:c r="S395" s="172" t="str">
        <x:f>IF(A395="","",IFERROR(LOOKUP(2,1/('Engineer Updates'!$B$5:$B$704=A395),'Engineer Updates'!$G$5:$G$704),""))</x:f>
      </x:c>
      <x:c r="T395" s="172" t="str">
        <x:f>IF(A395="","",IFERROR(LOOKUP(2,1/('Engineer Updates'!$B$5:$B$704=A395),'Engineer Updates'!$I$5:$I$704),""))</x:f>
      </x:c>
      <x:c r="U395" s="172" t="str">
        <x:f>IF(A395="","",IFERROR(LOOKUP(2,1/('Engineer Updates'!$B$5:$B$704=A395),'Engineer Updates'!$J$5:$J$704),""))</x:f>
      </x:c>
      <x:c r="V395" s="172" t="str">
        <x:f>IF(A395="","",IFERROR(LOOKUP(2,1/('Engineer Updates'!$B$5:$B$704=A395),'Engineer Updates'!$K$5:$K$704),""))</x:f>
      </x:c>
      <x:c r="W395" s="174" t="str">
        <x:f>IF(A395="","",IFERROR(LOOKUP(2,1/('Engineer Updates'!$B$5:$B$704=A395),'Engineer Updates'!$L$5:$L$704),""))</x:f>
      </x:c>
      <x:c r="X395" s="170" t="str">
        <x:f>IF(A395="","",IF(C395="completed","Completed in CSSP",IF(AND(C395="executing",ISERROR(SEARCH("@",K395))),"Executing without named engineer",IF(AND(N395="Confirmed OOS",C395="executing"),"Confirmed OOS still executing",""))))</x:f>
        <x:v>Completed in CSSP</x:v>
      </x:c>
      <x:c r="Y395" s="170" t="str">
        <x:f>IF(A395="","",IF(B395="Decommissioning","Raw Decommissioning","Raw Provisioning"))</x:f>
        <x:v>Raw Provisioning</x:v>
      </x:c>
      <x:c r="Z395" s="170" t="str">
        <x:f>IF(A395="","",IF(OR(C395="executing",C395="processing"),"Yes","No"))</x:f>
        <x:v>No</x:v>
      </x:c>
    </x:row>
    <x:row r="396">
      <x:c r="A396" s="170" t="str">
        <x:f>IF(ROWS($A$5:A396)&lt;=COUNTA('Raw Decommissioning'!$B$2:$B$1000),INDEX('Raw Decommissioning'!$B$2:$B$1000,ROWS($A$5:A396)),IF(ROWS($A$5:A396)-COUNTA('Raw Decommissioning'!$B$2:$B$1000)&lt;=COUNTA('Raw Provisioning'!$B$2:$B$1000),INDEX('Raw Provisioning'!$B$2:$B$1000,ROWS($A$5:A396)-COUNTA('Raw Decommissioning'!$B$2:$B$1000)),""))</x:f>
        <x:v>CSSP10509086</x:v>
      </x:c>
      <x:c r="B396" s="170" t="str">
        <x:f>IF(A396="","",IF(ROWS($A$5:A396)&lt;=COUNTA('Raw Decommissioning'!$B$2:$B$1000),"Decommissioning","Provisioning"))</x:f>
        <x:v>Provisioning</x:v>
      </x:c>
      <x:c r="C396" s="170" t="str">
        <x:f>IF(A396="","",IF(B396="Decommissioning",IFERROR(INDEX('Raw Decommissioning'!$E$2:$E$1000,MATCH(A396,'Raw Decommissioning'!$B$2:$B$1000,0)),"Missing from latest raw"),IFERROR(INDEX('Raw Provisioning'!$E$2:$E$1000,MATCH(A396,'Raw Provisioning'!$B$2:$B$1000,0)),"Missing from latest raw")))</x:f>
        <x:v>completed</x:v>
      </x:c>
      <x:c r="D396" s="171" t="n">
        <x:f>IF(A396="","",'Refresh Control'!$B$4)</x:f>
        <x:v>46254</x:v>
      </x:c>
      <x:c r="E396" s="171" t="n">
        <x:f>IF(A396="","",IF(B396="Decommissioning",INDEX('Raw Decommissioning'!$F$2:$F$1000,ROWS($A$5:A396)),INDEX('Raw Provisioning'!$F$2:$F$1000,ROWS($A$5:A396)-COUNTA('Raw Decommissioning'!$B$2:$B$1000))))</x:f>
        <x:v>46019.590001550925</x:v>
      </x:c>
      <x:c r="F396" s="171" t="n">
        <x:f>IF(A396="","",IF(B396="Decommissioning",INDEX('Raw Decommissioning'!$G$2:$G$1000,ROWS($A$5:A396)),INDEX('Raw Provisioning'!$H$2:$H$1000,ROWS($A$5:A396)-COUNTA('Raw Decommissioning'!$B$2:$B$1000))))</x:f>
        <x:v>46043.04671998842</x:v>
      </x:c>
      <x:c r="G396" s="170" t="str">
        <x:f>IF(A396="","",IF(B396="Decommissioning",INDEX('Raw Decommissioning'!$I$2:$I$1000,ROWS($A$5:A396)),INDEX('Raw Provisioning'!$J$2:$J$1000,ROWS($A$5:A396)-COUNTA('Raw Decommissioning'!$B$2:$B$1000))))</x:f>
        <x:v>HSE Intelligence Pod Multimodal AI Vision / Voice - HIPVISION</x:v>
      </x:c>
      <x:c r="H396" s="170" t="str">
        <x:f>IF(A396="","",IF(B396="Decommissioning",INDEX('Raw Decommissioning'!$J$2:$J$1000,ROWS($A$5:A396)),INDEX('Raw Provisioning'!$L$2:$L$1000,ROWS($A$5:A396)-COUNTA('Raw Decommissioning'!$B$2:$B$1000))))</x:f>
        <x:v>Development of HSE Intelligence Pod (HIP) Multimodal AI (Vision, Voice)</x:v>
      </x:c>
      <x:c r="I396" s="170" t="str">
        <x:f>IF(A396="","",IF(B396="Decommissioning",INDEX('Raw Decommissioning'!$AL$2:$AL$1000,ROWS($A$5:A396)),INDEX('Raw Provisioning'!$R$2:$R$1000,ROWS($A$5:A396)-COUNTA('Raw Decommissioning'!$B$2:$B$1000))))</x:f>
        <x:v>S</x:v>
      </x:c>
      <x:c r="J396" s="170" t="str">
        <x:f>IF(A396="","",IF(B396="Decommissioning",INDEX('Raw Decommissioning'!$AG$2:$AG$1000,ROWS($A$5:A396)),INDEX('Raw Provisioning'!$AI$2:$AI$1000,ROWS($A$5:A396)-COUNTA('Raw Decommissioning'!$B$2:$B$1000))))</x:f>
        <x:v>yeonghunn.ho@petronas.com</x:v>
      </x:c>
      <x:c r="K396" s="172" t="str">
        <x:f>IF(A396="","",IFERROR(LOOKUP(2,1/('Assignment History'!$B$5:$B$204=A396),'Assignment History'!$D$5:$D$204),IFERROR(VLOOKUP(J396,Configuration!$L$5:$M$50,2,FALSE),J396)))</x:f>
        <x:v>yeonghunn.ho@petronas.com</x:v>
      </x:c>
      <x:c r="L396" s="172" t="str">
        <x:f>IF(A396="","",IF(K396=IFERROR(VLOOKUP(J396,Configuration!$L$5:$M$50,2,FALSE),J396),"Snapshot PIC","Replacement PIC"))</x:f>
        <x:v>Snapshot PIC</x:v>
      </x:c>
      <x:c r="M396" s="172" t="n">
        <x:f>IF(A396="","",IFERROR(VLOOKUP(I396,Configuration!$O$5:$P$8,2,FALSE),Configuration!$S$6))</x:f>
        <x:v>1</x:v>
      </x:c>
      <x:c r="N396" s="172" t="str">
        <x:f>IF(A396="","",IFERROR(LOOKUP(2,1/('Scope Review'!$B$5:$B$204=A396),'Scope Review'!$G$5:$G$204),"Not Reviewed"))</x:f>
        <x:v>Not Reviewed</x:v>
      </x:c>
      <x:c r="O396" s="172" t="str">
        <x:f>IF(A396="","",IFERROR(LOOKUP(2,1/('Scope Review'!$B$5:$B$204=A396),'Scope Review'!$H$5:$H$204),""))</x:f>
      </x:c>
      <x:c r="P396" s="172" t="n">
        <x:f>IF(A396="","",IF(AND(C396="executing",N396&lt;&gt;"Confirmed OOS"),M396,0))</x:f>
        <x:v>0</x:v>
      </x:c>
      <x:c r="Q396" s="173" t="str">
        <x:f>IF(A396="","",IFERROR(LOOKUP(2,1/('Engineer Updates'!$B$5:$B$704=A396),'Engineer Updates'!$A$5:$A$704),""))</x:f>
      </x:c>
      <x:c r="R396" s="172" t="str">
        <x:f>IF(A396="","",IFERROR(LOOKUP(2,1/('Engineer Updates'!$B$5:$B$704=A396),'Engineer Updates'!$H$5:$H$704),""))</x:f>
      </x:c>
      <x:c r="S396" s="172" t="str">
        <x:f>IF(A396="","",IFERROR(LOOKUP(2,1/('Engineer Updates'!$B$5:$B$704=A396),'Engineer Updates'!$G$5:$G$704),""))</x:f>
      </x:c>
      <x:c r="T396" s="172" t="str">
        <x:f>IF(A396="","",IFERROR(LOOKUP(2,1/('Engineer Updates'!$B$5:$B$704=A396),'Engineer Updates'!$I$5:$I$704),""))</x:f>
      </x:c>
      <x:c r="U396" s="172" t="str">
        <x:f>IF(A396="","",IFERROR(LOOKUP(2,1/('Engineer Updates'!$B$5:$B$704=A396),'Engineer Updates'!$J$5:$J$704),""))</x:f>
      </x:c>
      <x:c r="V396" s="172" t="str">
        <x:f>IF(A396="","",IFERROR(LOOKUP(2,1/('Engineer Updates'!$B$5:$B$704=A396),'Engineer Updates'!$K$5:$K$704),""))</x:f>
      </x:c>
      <x:c r="W396" s="174" t="str">
        <x:f>IF(A396="","",IFERROR(LOOKUP(2,1/('Engineer Updates'!$B$5:$B$704=A396),'Engineer Updates'!$L$5:$L$704),""))</x:f>
      </x:c>
      <x:c r="X396" s="170" t="str">
        <x:f>IF(A396="","",IF(C396="completed","Completed in CSSP",IF(AND(C396="executing",ISERROR(SEARCH("@",K396))),"Executing without named engineer",IF(AND(N396="Confirmed OOS",C396="executing"),"Confirmed OOS still executing",""))))</x:f>
        <x:v>Completed in CSSP</x:v>
      </x:c>
      <x:c r="Y396" s="170" t="str">
        <x:f>IF(A396="","",IF(B396="Decommissioning","Raw Decommissioning","Raw Provisioning"))</x:f>
        <x:v>Raw Provisioning</x:v>
      </x:c>
      <x:c r="Z396" s="170" t="str">
        <x:f>IF(A396="","",IF(OR(C396="executing",C396="processing"),"Yes","No"))</x:f>
        <x:v>No</x:v>
      </x:c>
    </x:row>
    <x:row r="397">
      <x:c r="A397" s="170" t="str">
        <x:f>IF(ROWS($A$5:A397)&lt;=COUNTA('Raw Decommissioning'!$B$2:$B$1000),INDEX('Raw Decommissioning'!$B$2:$B$1000,ROWS($A$5:A397)),IF(ROWS($A$5:A397)-COUNTA('Raw Decommissioning'!$B$2:$B$1000)&lt;=COUNTA('Raw Provisioning'!$B$2:$B$1000),INDEX('Raw Provisioning'!$B$2:$B$1000,ROWS($A$5:A397)-COUNTA('Raw Decommissioning'!$B$2:$B$1000)),""))</x:f>
        <x:v>CSSP10451453</x:v>
      </x:c>
      <x:c r="B397" s="170" t="str">
        <x:f>IF(A397="","",IF(ROWS($A$5:A397)&lt;=COUNTA('Raw Decommissioning'!$B$2:$B$1000),"Decommissioning","Provisioning"))</x:f>
        <x:v>Provisioning</x:v>
      </x:c>
      <x:c r="C397" s="170" t="str">
        <x:f>IF(A397="","",IF(B397="Decommissioning",IFERROR(INDEX('Raw Decommissioning'!$E$2:$E$1000,MATCH(A397,'Raw Decommissioning'!$B$2:$B$1000,0)),"Missing from latest raw"),IFERROR(INDEX('Raw Provisioning'!$E$2:$E$1000,MATCH(A397,'Raw Provisioning'!$B$2:$B$1000,0)),"Missing from latest raw")))</x:f>
        <x:v>rejected</x:v>
      </x:c>
      <x:c r="D397" s="171" t="n">
        <x:f>IF(A397="","",'Refresh Control'!$B$4)</x:f>
        <x:v>46254</x:v>
      </x:c>
      <x:c r="E397" s="171" t="n">
        <x:f>IF(A397="","",IF(B397="Decommissioning",INDEX('Raw Decommissioning'!$F$2:$F$1000,ROWS($A$5:A397)),INDEX('Raw Provisioning'!$F$2:$F$1000,ROWS($A$5:A397)-COUNTA('Raw Decommissioning'!$B$2:$B$1000))))</x:f>
        <x:v>46020.06661581019</x:v>
      </x:c>
      <x:c r="F397" s="171" t="n">
        <x:f>IF(A397="","",IF(B397="Decommissioning",INDEX('Raw Decommissioning'!$G$2:$G$1000,ROWS($A$5:A397)),INDEX('Raw Provisioning'!$H$2:$H$1000,ROWS($A$5:A397)-COUNTA('Raw Decommissioning'!$B$2:$B$1000))))</x:f>
        <x:v>46063.41066673611</x:v>
      </x:c>
      <x:c r="G397" s="170" t="str">
        <x:f>IF(A397="","",IF(B397="Decommissioning",INDEX('Raw Decommissioning'!$I$2:$I$1000,ROWS($A$5:A397)),INDEX('Raw Provisioning'!$J$2:$J$1000,ROWS($A$5:A397)-COUNTA('Raw Decommissioning'!$B$2:$B$1000))))</x:f>
        <x:v>HSE Intelligence Pod Multimodal AI Vision / Voice - HIPVISION</x:v>
      </x:c>
      <x:c r="H397" s="170" t="str">
        <x:f>IF(A397="","",IF(B397="Decommissioning",INDEX('Raw Decommissioning'!$J$2:$J$1000,ROWS($A$5:A397)),INDEX('Raw Provisioning'!$L$2:$L$1000,ROWS($A$5:A397)-COUNTA('Raw Decommissioning'!$B$2:$B$1000))))</x:f>
        <x:v>Development of HSE Intelligence Pod (HIP) Multimodal AI (Vision, Voice)</x:v>
      </x:c>
      <x:c r="I397" s="170" t="str">
        <x:f>IF(A397="","",IF(B397="Decommissioning",INDEX('Raw Decommissioning'!$AL$2:$AL$1000,ROWS($A$5:A397)),INDEX('Raw Provisioning'!$R$2:$R$1000,ROWS($A$5:A397)-COUNTA('Raw Decommissioning'!$B$2:$B$1000))))</x:f>
        <x:v>S</x:v>
      </x:c>
      <x:c r="J397" s="170" t="str">
        <x:f>IF(A397="","",IF(B397="Decommissioning",INDEX('Raw Decommissioning'!$AG$2:$AG$1000,ROWS($A$5:A397)),INDEX('Raw Provisioning'!$AI$2:$AI$1000,ROWS($A$5:A397)-COUNTA('Raw Decommissioning'!$B$2:$B$1000))))</x:f>
        <x:v>ahmadfirdaus.adnan@petronas.com</x:v>
      </x:c>
      <x:c r="K397" s="172" t="str">
        <x:f>IF(A397="","",IFERROR(LOOKUP(2,1/('Assignment History'!$B$5:$B$204=A397),'Assignment History'!$D$5:$D$204),IFERROR(VLOOKUP(J397,Configuration!$L$5:$M$50,2,FALSE),J397)))</x:f>
        <x:v>ahmadfirdaus.adnan@petronas.com</x:v>
      </x:c>
      <x:c r="L397" s="172" t="str">
        <x:f>IF(A397="","",IF(K397=IFERROR(VLOOKUP(J397,Configuration!$L$5:$M$50,2,FALSE),J397),"Snapshot PIC","Replacement PIC"))</x:f>
        <x:v>Snapshot PIC</x:v>
      </x:c>
      <x:c r="M397" s="172" t="n">
        <x:f>IF(A397="","",IFERROR(VLOOKUP(I397,Configuration!$O$5:$P$8,2,FALSE),Configuration!$S$6))</x:f>
        <x:v>1</x:v>
      </x:c>
      <x:c r="N397" s="172" t="str">
        <x:f>IF(A397="","",IFERROR(LOOKUP(2,1/('Scope Review'!$B$5:$B$204=A397),'Scope Review'!$G$5:$G$204),"Not Reviewed"))</x:f>
        <x:v>Not Reviewed</x:v>
      </x:c>
      <x:c r="O397" s="172" t="str">
        <x:f>IF(A397="","",IFERROR(LOOKUP(2,1/('Scope Review'!$B$5:$B$204=A397),'Scope Review'!$H$5:$H$204),""))</x:f>
      </x:c>
      <x:c r="P397" s="172" t="n">
        <x:f>IF(A397="","",IF(AND(C397="executing",N397&lt;&gt;"Confirmed OOS"),M397,0))</x:f>
        <x:v>0</x:v>
      </x:c>
      <x:c r="Q397" s="173" t="str">
        <x:f>IF(A397="","",IFERROR(LOOKUP(2,1/('Engineer Updates'!$B$5:$B$704=A397),'Engineer Updates'!$A$5:$A$704),""))</x:f>
      </x:c>
      <x:c r="R397" s="172" t="str">
        <x:f>IF(A397="","",IFERROR(LOOKUP(2,1/('Engineer Updates'!$B$5:$B$704=A397),'Engineer Updates'!$H$5:$H$704),""))</x:f>
      </x:c>
      <x:c r="S397" s="172" t="str">
        <x:f>IF(A397="","",IFERROR(LOOKUP(2,1/('Engineer Updates'!$B$5:$B$704=A397),'Engineer Updates'!$G$5:$G$704),""))</x:f>
      </x:c>
      <x:c r="T397" s="172" t="str">
        <x:f>IF(A397="","",IFERROR(LOOKUP(2,1/('Engineer Updates'!$B$5:$B$704=A397),'Engineer Updates'!$I$5:$I$704),""))</x:f>
      </x:c>
      <x:c r="U397" s="172" t="str">
        <x:f>IF(A397="","",IFERROR(LOOKUP(2,1/('Engineer Updates'!$B$5:$B$704=A397),'Engineer Updates'!$J$5:$J$704),""))</x:f>
      </x:c>
      <x:c r="V397" s="172" t="str">
        <x:f>IF(A397="","",IFERROR(LOOKUP(2,1/('Engineer Updates'!$B$5:$B$704=A397),'Engineer Updates'!$K$5:$K$704),""))</x:f>
      </x:c>
      <x:c r="W397" s="174" t="str">
        <x:f>IF(A397="","",IFERROR(LOOKUP(2,1/('Engineer Updates'!$B$5:$B$704=A397),'Engineer Updates'!$L$5:$L$704),""))</x:f>
      </x:c>
      <x:c r="X397" s="170" t="str">
        <x:f>IF(A397="","",IF(C397="completed","Completed in CSSP",IF(AND(C397="executing",ISERROR(SEARCH("@",K397))),"Executing without named engineer",IF(AND(N397="Confirmed OOS",C397="executing"),"Confirmed OOS still executing",""))))</x:f>
      </x:c>
      <x:c r="Y397" s="170" t="str">
        <x:f>IF(A397="","",IF(B397="Decommissioning","Raw Decommissioning","Raw Provisioning"))</x:f>
        <x:v>Raw Provisioning</x:v>
      </x:c>
      <x:c r="Z397" s="170" t="str">
        <x:f>IF(A397="","",IF(OR(C397="executing",C397="processing"),"Yes","No"))</x:f>
        <x:v>No</x:v>
      </x:c>
    </x:row>
    <x:row r="398">
      <x:c r="A398" s="170" t="str">
        <x:f>IF(ROWS($A$5:A398)&lt;=COUNTA('Raw Decommissioning'!$B$2:$B$1000),INDEX('Raw Decommissioning'!$B$2:$B$1000,ROWS($A$5:A398)),IF(ROWS($A$5:A398)-COUNTA('Raw Decommissioning'!$B$2:$B$1000)&lt;=COUNTA('Raw Provisioning'!$B$2:$B$1000),INDEX('Raw Provisioning'!$B$2:$B$1000,ROWS($A$5:A398)-COUNTA('Raw Decommissioning'!$B$2:$B$1000)),""))</x:f>
        <x:v>CSSP10494922</x:v>
      </x:c>
      <x:c r="B398" s="170" t="str">
        <x:f>IF(A398="","",IF(ROWS($A$5:A398)&lt;=COUNTA('Raw Decommissioning'!$B$2:$B$1000),"Decommissioning","Provisioning"))</x:f>
        <x:v>Provisioning</x:v>
      </x:c>
      <x:c r="C398" s="170" t="str">
        <x:f>IF(A398="","",IF(B398="Decommissioning",IFERROR(INDEX('Raw Decommissioning'!$E$2:$E$1000,MATCH(A398,'Raw Decommissioning'!$B$2:$B$1000,0)),"Missing from latest raw"),IFERROR(INDEX('Raw Provisioning'!$E$2:$E$1000,MATCH(A398,'Raw Provisioning'!$B$2:$B$1000,0)),"Missing from latest raw")))</x:f>
        <x:v>completed</x:v>
      </x:c>
      <x:c r="D398" s="171" t="n">
        <x:f>IF(A398="","",'Refresh Control'!$B$4)</x:f>
        <x:v>46254</x:v>
      </x:c>
      <x:c r="E398" s="171" t="n">
        <x:f>IF(A398="","",IF(B398="Decommissioning",INDEX('Raw Decommissioning'!$F$2:$F$1000,ROWS($A$5:A398)),INDEX('Raw Provisioning'!$F$2:$F$1000,ROWS($A$5:A398)-COUNTA('Raw Decommissioning'!$B$2:$B$1000))))</x:f>
        <x:v>46021.29724528935</x:v>
      </x:c>
      <x:c r="F398" s="171" t="n">
        <x:f>IF(A398="","",IF(B398="Decommissioning",INDEX('Raw Decommissioning'!$G$2:$G$1000,ROWS($A$5:A398)),INDEX('Raw Provisioning'!$H$2:$H$1000,ROWS($A$5:A398)-COUNTA('Raw Decommissioning'!$B$2:$B$1000))))</x:f>
        <x:v>46035.04392703703</x:v>
      </x:c>
      <x:c r="G398" s="170" t="str">
        <x:f>IF(A398="","",IF(B398="Decommissioning",INDEX('Raw Decommissioning'!$I$2:$I$1000,ROWS($A$5:A398)),INDEX('Raw Provisioning'!$J$2:$J$1000,ROWS($A$5:A398)-COUNTA('Raw Decommissioning'!$B$2:$B$1000))))</x:f>
        <x:v>HSE Intelligence Pod Multimodal AI Vision / Voice - HIPVISION</x:v>
      </x:c>
      <x:c r="H398" s="170" t="str">
        <x:f>IF(A398="","",IF(B398="Decommissioning",INDEX('Raw Decommissioning'!$J$2:$J$1000,ROWS($A$5:A398)),INDEX('Raw Provisioning'!$L$2:$L$1000,ROWS($A$5:A398)-COUNTA('Raw Decommissioning'!$B$2:$B$1000))))</x:f>
        <x:v>Development of HSE Intelligence Pod (HIP) Multimodal AI (Vision, Voice)</x:v>
      </x:c>
      <x:c r="I398" s="170" t="str">
        <x:f>IF(A398="","",IF(B398="Decommissioning",INDEX('Raw Decommissioning'!$AL$2:$AL$1000,ROWS($A$5:A398)),INDEX('Raw Provisioning'!$R$2:$R$1000,ROWS($A$5:A398)-COUNTA('Raw Decommissioning'!$B$2:$B$1000))))</x:f>
        <x:v>S</x:v>
      </x:c>
      <x:c r="J398" s="170" t="str">
        <x:f>IF(A398="","",IF(B398="Decommissioning",INDEX('Raw Decommissioning'!$AG$2:$AG$1000,ROWS($A$5:A398)),INDEX('Raw Provisioning'!$AI$2:$AI$1000,ROWS($A$5:A398)-COUNTA('Raw Decommissioning'!$B$2:$B$1000))))</x:f>
        <x:v>azhan.shazeli@petronas.com</x:v>
      </x:c>
      <x:c r="K398" s="172" t="str">
        <x:f>IF(A398="","",IFERROR(LOOKUP(2,1/('Assignment History'!$B$5:$B$204=A398),'Assignment History'!$D$5:$D$204),IFERROR(VLOOKUP(J398,Configuration!$L$5:$M$50,2,FALSE),J398)))</x:f>
        <x:v>azhan.shazeli@petronas.com</x:v>
      </x:c>
      <x:c r="L398" s="172" t="str">
        <x:f>IF(A398="","",IF(K398=IFERROR(VLOOKUP(J398,Configuration!$L$5:$M$50,2,FALSE),J398),"Snapshot PIC","Replacement PIC"))</x:f>
        <x:v>Snapshot PIC</x:v>
      </x:c>
      <x:c r="M398" s="172" t="n">
        <x:f>IF(A398="","",IFERROR(VLOOKUP(I398,Configuration!$O$5:$P$8,2,FALSE),Configuration!$S$6))</x:f>
        <x:v>1</x:v>
      </x:c>
      <x:c r="N398" s="172" t="str">
        <x:f>IF(A398="","",IFERROR(LOOKUP(2,1/('Scope Review'!$B$5:$B$204=A398),'Scope Review'!$G$5:$G$204),"Not Reviewed"))</x:f>
        <x:v>Not Reviewed</x:v>
      </x:c>
      <x:c r="O398" s="172" t="str">
        <x:f>IF(A398="","",IFERROR(LOOKUP(2,1/('Scope Review'!$B$5:$B$204=A398),'Scope Review'!$H$5:$H$204),""))</x:f>
      </x:c>
      <x:c r="P398" s="172" t="n">
        <x:f>IF(A398="","",IF(AND(C398="executing",N398&lt;&gt;"Confirmed OOS"),M398,0))</x:f>
        <x:v>0</x:v>
      </x:c>
      <x:c r="Q398" s="173" t="str">
        <x:f>IF(A398="","",IFERROR(LOOKUP(2,1/('Engineer Updates'!$B$5:$B$704=A398),'Engineer Updates'!$A$5:$A$704),""))</x:f>
      </x:c>
      <x:c r="R398" s="172" t="str">
        <x:f>IF(A398="","",IFERROR(LOOKUP(2,1/('Engineer Updates'!$B$5:$B$704=A398),'Engineer Updates'!$H$5:$H$704),""))</x:f>
      </x:c>
      <x:c r="S398" s="172" t="str">
        <x:f>IF(A398="","",IFERROR(LOOKUP(2,1/('Engineer Updates'!$B$5:$B$704=A398),'Engineer Updates'!$G$5:$G$704),""))</x:f>
      </x:c>
      <x:c r="T398" s="172" t="str">
        <x:f>IF(A398="","",IFERROR(LOOKUP(2,1/('Engineer Updates'!$B$5:$B$704=A398),'Engineer Updates'!$I$5:$I$704),""))</x:f>
      </x:c>
      <x:c r="U398" s="172" t="str">
        <x:f>IF(A398="","",IFERROR(LOOKUP(2,1/('Engineer Updates'!$B$5:$B$704=A398),'Engineer Updates'!$J$5:$J$704),""))</x:f>
      </x:c>
      <x:c r="V398" s="172" t="str">
        <x:f>IF(A398="","",IFERROR(LOOKUP(2,1/('Engineer Updates'!$B$5:$B$704=A398),'Engineer Updates'!$K$5:$K$704),""))</x:f>
      </x:c>
      <x:c r="W398" s="174" t="str">
        <x:f>IF(A398="","",IFERROR(LOOKUP(2,1/('Engineer Updates'!$B$5:$B$704=A398),'Engineer Updates'!$L$5:$L$704),""))</x:f>
      </x:c>
      <x:c r="X398" s="170" t="str">
        <x:f>IF(A398="","",IF(C398="completed","Completed in CSSP",IF(AND(C398="executing",ISERROR(SEARCH("@",K398))),"Executing without named engineer",IF(AND(N398="Confirmed OOS",C398="executing"),"Confirmed OOS still executing",""))))</x:f>
        <x:v>Completed in CSSP</x:v>
      </x:c>
      <x:c r="Y398" s="170" t="str">
        <x:f>IF(A398="","",IF(B398="Decommissioning","Raw Decommissioning","Raw Provisioning"))</x:f>
        <x:v>Raw Provisioning</x:v>
      </x:c>
      <x:c r="Z398" s="170" t="str">
        <x:f>IF(A398="","",IF(OR(C398="executing",C398="processing"),"Yes","No"))</x:f>
        <x:v>No</x:v>
      </x:c>
    </x:row>
    <x:row r="399">
      <x:c r="A399" s="170" t="str">
        <x:f>IF(ROWS($A$5:A399)&lt;=COUNTA('Raw Decommissioning'!$B$2:$B$1000),INDEX('Raw Decommissioning'!$B$2:$B$1000,ROWS($A$5:A399)),IF(ROWS($A$5:A399)-COUNTA('Raw Decommissioning'!$B$2:$B$1000)&lt;=COUNTA('Raw Provisioning'!$B$2:$B$1000),INDEX('Raw Provisioning'!$B$2:$B$1000,ROWS($A$5:A399)-COUNTA('Raw Decommissioning'!$B$2:$B$1000)),""))</x:f>
        <x:v>CSSP10603892</x:v>
      </x:c>
      <x:c r="B399" s="170" t="str">
        <x:f>IF(A399="","",IF(ROWS($A$5:A399)&lt;=COUNTA('Raw Decommissioning'!$B$2:$B$1000),"Decommissioning","Provisioning"))</x:f>
        <x:v>Provisioning</x:v>
      </x:c>
      <x:c r="C399" s="170" t="str">
        <x:f>IF(A399="","",IF(B399="Decommissioning",IFERROR(INDEX('Raw Decommissioning'!$E$2:$E$1000,MATCH(A399,'Raw Decommissioning'!$B$2:$B$1000,0)),"Missing from latest raw"),IFERROR(INDEX('Raw Provisioning'!$E$2:$E$1000,MATCH(A399,'Raw Provisioning'!$B$2:$B$1000,0)),"Missing from latest raw")))</x:f>
        <x:v>pending</x:v>
      </x:c>
      <x:c r="D399" s="171" t="n">
        <x:f>IF(A399="","",'Refresh Control'!$B$4)</x:f>
        <x:v>46254</x:v>
      </x:c>
      <x:c r="E399" s="171" t="n">
        <x:f>IF(A399="","",IF(B399="Decommissioning",INDEX('Raw Decommissioning'!$F$2:$F$1000,ROWS($A$5:A399)),INDEX('Raw Provisioning'!$F$2:$F$1000,ROWS($A$5:A399)-COUNTA('Raw Decommissioning'!$B$2:$B$1000))))</x:f>
        <x:v>46027.10926525463</x:v>
      </x:c>
      <x:c r="F399" s="171" t="n">
        <x:f>IF(A399="","",IF(B399="Decommissioning",INDEX('Raw Decommissioning'!$G$2:$G$1000,ROWS($A$5:A399)),INDEX('Raw Provisioning'!$H$2:$H$1000,ROWS($A$5:A399)-COUNTA('Raw Decommissioning'!$B$2:$B$1000))))</x:f>
        <x:v>46027.10926525463</x:v>
      </x:c>
      <x:c r="G399" s="170" t="str">
        <x:f>IF(A399="","",IF(B399="Decommissioning",INDEX('Raw Decommissioning'!$I$2:$I$1000,ROWS($A$5:A399)),INDEX('Raw Provisioning'!$J$2:$J$1000,ROWS($A$5:A399)-COUNTA('Raw Decommissioning'!$B$2:$B$1000))))</x:f>
        <x:v>HSE Intelligence Pod Multimodal AI Vision / Voice - HIPVISION</x:v>
      </x:c>
      <x:c r="H399" s="170" t="str">
        <x:f>IF(A399="","",IF(B399="Decommissioning",INDEX('Raw Decommissioning'!$J$2:$J$1000,ROWS($A$5:A399)),INDEX('Raw Provisioning'!$L$2:$L$1000,ROWS($A$5:A399)-COUNTA('Raw Decommissioning'!$B$2:$B$1000))))</x:f>
        <x:v>Development of HSE Intelligence Pod (HIP) Multimodal AI (Vision, Voice)</x:v>
      </x:c>
      <x:c r="I399" s="170" t="str">
        <x:f>IF(A399="","",IF(B399="Decommissioning",INDEX('Raw Decommissioning'!$AL$2:$AL$1000,ROWS($A$5:A399)),INDEX('Raw Provisioning'!$R$2:$R$1000,ROWS($A$5:A399)-COUNTA('Raw Decommissioning'!$B$2:$B$1000))))</x:f>
      </x:c>
      <x:c r="J399" s="170" t="str">
        <x:f>IF(A399="","",IF(B399="Decommissioning",INDEX('Raw Decommissioning'!$AG$2:$AG$1000,ROWS($A$5:A399)),INDEX('Raw Provisioning'!$AI$2:$AI$1000,ROWS($A$5:A399)-COUNTA('Raw Decommissioning'!$B$2:$B$1000))))</x:f>
        <x:v>CCoE Core Services (Public)</x:v>
      </x:c>
      <x:c r="K399" s="172" t="str">
        <x:f>IF(A399="","",IFERROR(LOOKUP(2,1/('Assignment History'!$B$5:$B$204=A399),'Assignment History'!$D$5:$D$204),IFERROR(VLOOKUP(J399,Configuration!$L$5:$M$50,2,FALSE),J399)))</x:f>
        <x:v>CCoE Core Services (Public)</x:v>
      </x:c>
      <x:c r="L399" s="172" t="str">
        <x:f>IF(A399="","",IF(K399=IFERROR(VLOOKUP(J399,Configuration!$L$5:$M$50,2,FALSE),J399),"Snapshot PIC","Replacement PIC"))</x:f>
        <x:v>Snapshot PIC</x:v>
      </x:c>
      <x:c r="M399" s="172" t="n">
        <x:f>IF(A399="","",IFERROR(VLOOKUP(I399,Configuration!$O$5:$P$8,2,FALSE),Configuration!$S$6))</x:f>
        <x:v>2</x:v>
      </x:c>
      <x:c r="N399" s="172" t="str">
        <x:f>IF(A399="","",IFERROR(LOOKUP(2,1/('Scope Review'!$B$5:$B$204=A399),'Scope Review'!$G$5:$G$204),"Not Reviewed"))</x:f>
        <x:v>Not Reviewed</x:v>
      </x:c>
      <x:c r="O399" s="172" t="str">
        <x:f>IF(A399="","",IFERROR(LOOKUP(2,1/('Scope Review'!$B$5:$B$204=A399),'Scope Review'!$H$5:$H$204),""))</x:f>
      </x:c>
      <x:c r="P399" s="172" t="n">
        <x:f>IF(A399="","",IF(AND(C399="executing",N399&lt;&gt;"Confirmed OOS"),M399,0))</x:f>
        <x:v>0</x:v>
      </x:c>
      <x:c r="Q399" s="173" t="str">
        <x:f>IF(A399="","",IFERROR(LOOKUP(2,1/('Engineer Updates'!$B$5:$B$704=A399),'Engineer Updates'!$A$5:$A$704),""))</x:f>
      </x:c>
      <x:c r="R399" s="172" t="str">
        <x:f>IF(A399="","",IFERROR(LOOKUP(2,1/('Engineer Updates'!$B$5:$B$704=A399),'Engineer Updates'!$H$5:$H$704),""))</x:f>
      </x:c>
      <x:c r="S399" s="172" t="str">
        <x:f>IF(A399="","",IFERROR(LOOKUP(2,1/('Engineer Updates'!$B$5:$B$704=A399),'Engineer Updates'!$G$5:$G$704),""))</x:f>
      </x:c>
      <x:c r="T399" s="172" t="str">
        <x:f>IF(A399="","",IFERROR(LOOKUP(2,1/('Engineer Updates'!$B$5:$B$704=A399),'Engineer Updates'!$I$5:$I$704),""))</x:f>
      </x:c>
      <x:c r="U399" s="172" t="str">
        <x:f>IF(A399="","",IFERROR(LOOKUP(2,1/('Engineer Updates'!$B$5:$B$704=A399),'Engineer Updates'!$J$5:$J$704),""))</x:f>
      </x:c>
      <x:c r="V399" s="172" t="str">
        <x:f>IF(A399="","",IFERROR(LOOKUP(2,1/('Engineer Updates'!$B$5:$B$704=A399),'Engineer Updates'!$K$5:$K$704),""))</x:f>
      </x:c>
      <x:c r="W399" s="174" t="str">
        <x:f>IF(A399="","",IFERROR(LOOKUP(2,1/('Engineer Updates'!$B$5:$B$704=A399),'Engineer Updates'!$L$5:$L$704),""))</x:f>
      </x:c>
      <x:c r="X399" s="170" t="str">
        <x:f>IF(A399="","",IF(C399="completed","Completed in CSSP",IF(AND(C399="executing",ISERROR(SEARCH("@",K399))),"Executing without named engineer",IF(AND(N399="Confirmed OOS",C399="executing"),"Confirmed OOS still executing",""))))</x:f>
      </x:c>
      <x:c r="Y399" s="170" t="str">
        <x:f>IF(A399="","",IF(B399="Decommissioning","Raw Decommissioning","Raw Provisioning"))</x:f>
        <x:v>Raw Provisioning</x:v>
      </x:c>
      <x:c r="Z399" s="170" t="str">
        <x:f>IF(A399="","",IF(OR(C399="executing",C399="processing"),"Yes","No"))</x:f>
        <x:v>No</x:v>
      </x:c>
    </x:row>
    <x:row r="400">
      <x:c r="A400" s="170" t="str">
        <x:f>IF(ROWS($A$5:A400)&lt;=COUNTA('Raw Decommissioning'!$B$2:$B$1000),INDEX('Raw Decommissioning'!$B$2:$B$1000,ROWS($A$5:A400)),IF(ROWS($A$5:A400)-COUNTA('Raw Decommissioning'!$B$2:$B$1000)&lt;=COUNTA('Raw Provisioning'!$B$2:$B$1000),INDEX('Raw Provisioning'!$B$2:$B$1000,ROWS($A$5:A400)-COUNTA('Raw Decommissioning'!$B$2:$B$1000)),""))</x:f>
        <x:v>CSSP10577297</x:v>
      </x:c>
      <x:c r="B400" s="170" t="str">
        <x:f>IF(A400="","",IF(ROWS($A$5:A400)&lt;=COUNTA('Raw Decommissioning'!$B$2:$B$1000),"Decommissioning","Provisioning"))</x:f>
        <x:v>Provisioning</x:v>
      </x:c>
      <x:c r="C400" s="170" t="str">
        <x:f>IF(A400="","",IF(B400="Decommissioning",IFERROR(INDEX('Raw Decommissioning'!$E$2:$E$1000,MATCH(A400,'Raw Decommissioning'!$B$2:$B$1000,0)),"Missing from latest raw"),IFERROR(INDEX('Raw Provisioning'!$E$2:$E$1000,MATCH(A400,'Raw Provisioning'!$B$2:$B$1000,0)),"Missing from latest raw")))</x:f>
        <x:v>completed</x:v>
      </x:c>
      <x:c r="D400" s="171" t="n">
        <x:f>IF(A400="","",'Refresh Control'!$B$4)</x:f>
        <x:v>46254</x:v>
      </x:c>
      <x:c r="E400" s="171" t="n">
        <x:f>IF(A400="","",IF(B400="Decommissioning",INDEX('Raw Decommissioning'!$F$2:$F$1000,ROWS($A$5:A400)),INDEX('Raw Provisioning'!$F$2:$F$1000,ROWS($A$5:A400)-COUNTA('Raw Decommissioning'!$B$2:$B$1000))))</x:f>
        <x:v>46028.251716527775</x:v>
      </x:c>
      <x:c r="F400" s="171" t="n">
        <x:f>IF(A400="","",IF(B400="Decommissioning",INDEX('Raw Decommissioning'!$G$2:$G$1000,ROWS($A$5:A400)),INDEX('Raw Provisioning'!$H$2:$H$1000,ROWS($A$5:A400)-COUNTA('Raw Decommissioning'!$B$2:$B$1000))))</x:f>
        <x:v>46052.36657884259</x:v>
      </x:c>
      <x:c r="G400" s="170" t="str">
        <x:f>IF(A400="","",IF(B400="Decommissioning",INDEX('Raw Decommissioning'!$I$2:$I$1000,ROWS($A$5:A400)),INDEX('Raw Provisioning'!$J$2:$J$1000,ROWS($A$5:A400)-COUNTA('Raw Decommissioning'!$B$2:$B$1000))))</x:f>
        <x:v>Electronic Permit To Work - ePTW KPOC</x:v>
      </x:c>
      <x:c r="H400" s="170" t="str">
        <x:f>IF(A400="","",IF(B400="Decommissioning",INDEX('Raw Decommissioning'!$J$2:$J$1000,ROWS($A$5:A400)),INDEX('Raw Provisioning'!$L$2:$L$1000,ROWS($A$5:A400)-COUNTA('Raw Decommissioning'!$B$2:$B$1000))))</x:f>
        <x:v>Implementation of ePTW system and Support &amp; Maintenance for Kebabangan Petroleum Operating Company Sdn. Bhd (KPOC) for Virtus IP Sdn Bhd - ePTW Commercial (Production) (Formelrly known as: ePTW (KPOC))_(Managed)</x:v>
      </x:c>
      <x:c r="I400" s="170" t="str">
        <x:f>IF(A400="","",IF(B400="Decommissioning",INDEX('Raw Decommissioning'!$AL$2:$AL$1000,ROWS($A$5:A400)),INDEX('Raw Provisioning'!$R$2:$R$1000,ROWS($A$5:A400)-COUNTA('Raw Decommissioning'!$B$2:$B$1000))))</x:f>
        <x:v>M</x:v>
      </x:c>
      <x:c r="J400" s="170" t="str">
        <x:f>IF(A400="","",IF(B400="Decommissioning",INDEX('Raw Decommissioning'!$AG$2:$AG$1000,ROWS($A$5:A400)),INDEX('Raw Provisioning'!$AI$2:$AI$1000,ROWS($A$5:A400)-COUNTA('Raw Decommissioning'!$B$2:$B$1000))))</x:f>
        <x:v>muhdfirdaus.muhamad@petronas.com</x:v>
      </x:c>
      <x:c r="K400" s="172" t="str">
        <x:f>IF(A400="","",IFERROR(LOOKUP(2,1/('Assignment History'!$B$5:$B$204=A400),'Assignment History'!$D$5:$D$204),IFERROR(VLOOKUP(J400,Configuration!$L$5:$M$50,2,FALSE),J400)))</x:f>
        <x:v>muhdfirdaus.muhamad@petronas.com</x:v>
      </x:c>
      <x:c r="L400" s="172" t="str">
        <x:f>IF(A400="","",IF(K400=IFERROR(VLOOKUP(J400,Configuration!$L$5:$M$50,2,FALSE),J400),"Snapshot PIC","Replacement PIC"))</x:f>
        <x:v>Snapshot PIC</x:v>
      </x:c>
      <x:c r="M400" s="172" t="n">
        <x:f>IF(A400="","",IFERROR(VLOOKUP(I400,Configuration!$O$5:$P$8,2,FALSE),Configuration!$S$6))</x:f>
        <x:v>2</x:v>
      </x:c>
      <x:c r="N400" s="172" t="str">
        <x:f>IF(A400="","",IFERROR(LOOKUP(2,1/('Scope Review'!$B$5:$B$204=A400),'Scope Review'!$G$5:$G$204),"Not Reviewed"))</x:f>
        <x:v>Not Reviewed</x:v>
      </x:c>
      <x:c r="O400" s="172" t="str">
        <x:f>IF(A400="","",IFERROR(LOOKUP(2,1/('Scope Review'!$B$5:$B$204=A400),'Scope Review'!$H$5:$H$204),""))</x:f>
      </x:c>
      <x:c r="P400" s="172" t="n">
        <x:f>IF(A400="","",IF(AND(C400="executing",N400&lt;&gt;"Confirmed OOS"),M400,0))</x:f>
        <x:v>0</x:v>
      </x:c>
      <x:c r="Q400" s="173" t="str">
        <x:f>IF(A400="","",IFERROR(LOOKUP(2,1/('Engineer Updates'!$B$5:$B$704=A400),'Engineer Updates'!$A$5:$A$704),""))</x:f>
      </x:c>
      <x:c r="R400" s="172" t="str">
        <x:f>IF(A400="","",IFERROR(LOOKUP(2,1/('Engineer Updates'!$B$5:$B$704=A400),'Engineer Updates'!$H$5:$H$704),""))</x:f>
      </x:c>
      <x:c r="S400" s="172" t="str">
        <x:f>IF(A400="","",IFERROR(LOOKUP(2,1/('Engineer Updates'!$B$5:$B$704=A400),'Engineer Updates'!$G$5:$G$704),""))</x:f>
      </x:c>
      <x:c r="T400" s="172" t="str">
        <x:f>IF(A400="","",IFERROR(LOOKUP(2,1/('Engineer Updates'!$B$5:$B$704=A400),'Engineer Updates'!$I$5:$I$704),""))</x:f>
      </x:c>
      <x:c r="U400" s="172" t="str">
        <x:f>IF(A400="","",IFERROR(LOOKUP(2,1/('Engineer Updates'!$B$5:$B$704=A400),'Engineer Updates'!$J$5:$J$704),""))</x:f>
      </x:c>
      <x:c r="V400" s="172" t="str">
        <x:f>IF(A400="","",IFERROR(LOOKUP(2,1/('Engineer Updates'!$B$5:$B$704=A400),'Engineer Updates'!$K$5:$K$704),""))</x:f>
      </x:c>
      <x:c r="W400" s="174" t="str">
        <x:f>IF(A400="","",IFERROR(LOOKUP(2,1/('Engineer Updates'!$B$5:$B$704=A400),'Engineer Updates'!$L$5:$L$704),""))</x:f>
      </x:c>
      <x:c r="X400" s="170" t="str">
        <x:f>IF(A400="","",IF(C400="completed","Completed in CSSP",IF(AND(C400="executing",ISERROR(SEARCH("@",K400))),"Executing without named engineer",IF(AND(N400="Confirmed OOS",C400="executing"),"Confirmed OOS still executing",""))))</x:f>
        <x:v>Completed in CSSP</x:v>
      </x:c>
      <x:c r="Y400" s="170" t="str">
        <x:f>IF(A400="","",IF(B400="Decommissioning","Raw Decommissioning","Raw Provisioning"))</x:f>
        <x:v>Raw Provisioning</x:v>
      </x:c>
      <x:c r="Z400" s="170" t="str">
        <x:f>IF(A400="","",IF(OR(C400="executing",C400="processing"),"Yes","No"))</x:f>
        <x:v>No</x:v>
      </x:c>
    </x:row>
    <x:row r="401">
      <x:c r="A401" s="170" t="str">
        <x:f>IF(ROWS($A$5:A401)&lt;=COUNTA('Raw Decommissioning'!$B$2:$B$1000),INDEX('Raw Decommissioning'!$B$2:$B$1000,ROWS($A$5:A401)),IF(ROWS($A$5:A401)-COUNTA('Raw Decommissioning'!$B$2:$B$1000)&lt;=COUNTA('Raw Provisioning'!$B$2:$B$1000),INDEX('Raw Provisioning'!$B$2:$B$1000,ROWS($A$5:A401)-COUNTA('Raw Decommissioning'!$B$2:$B$1000)),""))</x:f>
        <x:v>CSSP10601579</x:v>
      </x:c>
      <x:c r="B401" s="170" t="str">
        <x:f>IF(A401="","",IF(ROWS($A$5:A401)&lt;=COUNTA('Raw Decommissioning'!$B$2:$B$1000),"Decommissioning","Provisioning"))</x:f>
        <x:v>Provisioning</x:v>
      </x:c>
      <x:c r="C401" s="170" t="str">
        <x:f>IF(A401="","",IF(B401="Decommissioning",IFERROR(INDEX('Raw Decommissioning'!$E$2:$E$1000,MATCH(A401,'Raw Decommissioning'!$B$2:$B$1000,0)),"Missing from latest raw"),IFERROR(INDEX('Raw Provisioning'!$E$2:$E$1000,MATCH(A401,'Raw Provisioning'!$B$2:$B$1000,0)),"Missing from latest raw")))</x:f>
        <x:v>completed</x:v>
      </x:c>
      <x:c r="D401" s="171" t="n">
        <x:f>IF(A401="","",'Refresh Control'!$B$4)</x:f>
        <x:v>46254</x:v>
      </x:c>
      <x:c r="E401" s="171" t="n">
        <x:f>IF(A401="","",IF(B401="Decommissioning",INDEX('Raw Decommissioning'!$F$2:$F$1000,ROWS($A$5:A401)),INDEX('Raw Provisioning'!$F$2:$F$1000,ROWS($A$5:A401)-COUNTA('Raw Decommissioning'!$B$2:$B$1000))))</x:f>
        <x:v>46029.14098484954</x:v>
      </x:c>
      <x:c r="F401" s="171" t="n">
        <x:f>IF(A401="","",IF(B401="Decommissioning",INDEX('Raw Decommissioning'!$G$2:$G$1000,ROWS($A$5:A401)),INDEX('Raw Provisioning'!$H$2:$H$1000,ROWS($A$5:A401)-COUNTA('Raw Decommissioning'!$B$2:$B$1000))))</x:f>
        <x:v>46042.09728675926</x:v>
      </x:c>
      <x:c r="G401" s="170" t="str">
        <x:f>IF(A401="","",IF(B401="Decommissioning",INDEX('Raw Decommissioning'!$I$2:$I$1000,ROWS($A$5:A401)),INDEX('Raw Provisioning'!$J$2:$J$1000,ROWS($A$5:A401)-COUNTA('Raw Decommissioning'!$B$2:$B$1000))))</x:f>
        <x:v>HSE Intelligence Pod - Smart Advisor - HIP SA</x:v>
      </x:c>
      <x:c r="H401" s="170" t="str">
        <x:f>IF(A401="","",IF(B401="Decommissioning",INDEX('Raw Decommissioning'!$J$2:$J$1000,ROWS($A$5:A401)),INDEX('Raw Provisioning'!$L$2:$L$1000,ROWS($A$5:A401)-COUNTA('Raw Decommissioning'!$B$2:$B$1000))))</x:f>
        <x:v>HSE Intelligence Pod - Smart Advisor</x:v>
      </x:c>
      <x:c r="I401" s="170" t="str">
        <x:f>IF(A401="","",IF(B401="Decommissioning",INDEX('Raw Decommissioning'!$AL$2:$AL$1000,ROWS($A$5:A401)),INDEX('Raw Provisioning'!$R$2:$R$1000,ROWS($A$5:A401)-COUNTA('Raw Decommissioning'!$B$2:$B$1000))))</x:f>
        <x:v>S</x:v>
      </x:c>
      <x:c r="J401" s="170" t="str">
        <x:f>IF(A401="","",IF(B401="Decommissioning",INDEX('Raw Decommissioning'!$AG$2:$AG$1000,ROWS($A$5:A401)),INDEX('Raw Provisioning'!$AI$2:$AI$1000,ROWS($A$5:A401)-COUNTA('Raw Decommissioning'!$B$2:$B$1000))))</x:f>
        <x:v>izham.ajmaan@petronas.com</x:v>
      </x:c>
      <x:c r="K401" s="172" t="str">
        <x:f>IF(A401="","",IFERROR(LOOKUP(2,1/('Assignment History'!$B$5:$B$204=A401),'Assignment History'!$D$5:$D$204),IFERROR(VLOOKUP(J401,Configuration!$L$5:$M$50,2,FALSE),J401)))</x:f>
        <x:v>izham.ajmaan@petronas.com</x:v>
      </x:c>
      <x:c r="L401" s="172" t="str">
        <x:f>IF(A401="","",IF(K401=IFERROR(VLOOKUP(J401,Configuration!$L$5:$M$50,2,FALSE),J401),"Snapshot PIC","Replacement PIC"))</x:f>
        <x:v>Snapshot PIC</x:v>
      </x:c>
      <x:c r="M401" s="172" t="n">
        <x:f>IF(A401="","",IFERROR(VLOOKUP(I401,Configuration!$O$5:$P$8,2,FALSE),Configuration!$S$6))</x:f>
        <x:v>1</x:v>
      </x:c>
      <x:c r="N401" s="172" t="str">
        <x:f>IF(A401="","",IFERROR(LOOKUP(2,1/('Scope Review'!$B$5:$B$204=A401),'Scope Review'!$G$5:$G$204),"Not Reviewed"))</x:f>
        <x:v>Not Reviewed</x:v>
      </x:c>
      <x:c r="O401" s="172" t="str">
        <x:f>IF(A401="","",IFERROR(LOOKUP(2,1/('Scope Review'!$B$5:$B$204=A401),'Scope Review'!$H$5:$H$204),""))</x:f>
      </x:c>
      <x:c r="P401" s="172" t="n">
        <x:f>IF(A401="","",IF(AND(C401="executing",N401&lt;&gt;"Confirmed OOS"),M401,0))</x:f>
        <x:v>0</x:v>
      </x:c>
      <x:c r="Q401" s="173" t="str">
        <x:f>IF(A401="","",IFERROR(LOOKUP(2,1/('Engineer Updates'!$B$5:$B$704=A401),'Engineer Updates'!$A$5:$A$704),""))</x:f>
      </x:c>
      <x:c r="R401" s="172" t="str">
        <x:f>IF(A401="","",IFERROR(LOOKUP(2,1/('Engineer Updates'!$B$5:$B$704=A401),'Engineer Updates'!$H$5:$H$704),""))</x:f>
      </x:c>
      <x:c r="S401" s="172" t="str">
        <x:f>IF(A401="","",IFERROR(LOOKUP(2,1/('Engineer Updates'!$B$5:$B$704=A401),'Engineer Updates'!$G$5:$G$704),""))</x:f>
      </x:c>
      <x:c r="T401" s="172" t="str">
        <x:f>IF(A401="","",IFERROR(LOOKUP(2,1/('Engineer Updates'!$B$5:$B$704=A401),'Engineer Updates'!$I$5:$I$704),""))</x:f>
      </x:c>
      <x:c r="U401" s="172" t="str">
        <x:f>IF(A401="","",IFERROR(LOOKUP(2,1/('Engineer Updates'!$B$5:$B$704=A401),'Engineer Updates'!$J$5:$J$704),""))</x:f>
      </x:c>
      <x:c r="V401" s="172" t="str">
        <x:f>IF(A401="","",IFERROR(LOOKUP(2,1/('Engineer Updates'!$B$5:$B$704=A401),'Engineer Updates'!$K$5:$K$704),""))</x:f>
      </x:c>
      <x:c r="W401" s="174" t="str">
        <x:f>IF(A401="","",IFERROR(LOOKUP(2,1/('Engineer Updates'!$B$5:$B$704=A401),'Engineer Updates'!$L$5:$L$704),""))</x:f>
      </x:c>
      <x:c r="X401" s="170" t="str">
        <x:f>IF(A401="","",IF(C401="completed","Completed in CSSP",IF(AND(C401="executing",ISERROR(SEARCH("@",K401))),"Executing without named engineer",IF(AND(N401="Confirmed OOS",C401="executing"),"Confirmed OOS still executing",""))))</x:f>
        <x:v>Completed in CSSP</x:v>
      </x:c>
      <x:c r="Y401" s="170" t="str">
        <x:f>IF(A401="","",IF(B401="Decommissioning","Raw Decommissioning","Raw Provisioning"))</x:f>
        <x:v>Raw Provisioning</x:v>
      </x:c>
      <x:c r="Z401" s="170" t="str">
        <x:f>IF(A401="","",IF(OR(C401="executing",C401="processing"),"Yes","No"))</x:f>
        <x:v>No</x:v>
      </x:c>
    </x:row>
    <x:row r="402">
      <x:c r="A402" s="170" t="str">
        <x:f>IF(ROWS($A$5:A402)&lt;=COUNTA('Raw Decommissioning'!$B$2:$B$1000),INDEX('Raw Decommissioning'!$B$2:$B$1000,ROWS($A$5:A402)),IF(ROWS($A$5:A402)-COUNTA('Raw Decommissioning'!$B$2:$B$1000)&lt;=COUNTA('Raw Provisioning'!$B$2:$B$1000),INDEX('Raw Provisioning'!$B$2:$B$1000,ROWS($A$5:A402)-COUNTA('Raw Decommissioning'!$B$2:$B$1000)),""))</x:f>
        <x:v>CSSP10794553</x:v>
      </x:c>
      <x:c r="B402" s="170" t="str">
        <x:f>IF(A402="","",IF(ROWS($A$5:A402)&lt;=COUNTA('Raw Decommissioning'!$B$2:$B$1000),"Decommissioning","Provisioning"))</x:f>
        <x:v>Provisioning</x:v>
      </x:c>
      <x:c r="C402" s="170" t="str">
        <x:f>IF(A402="","",IF(B402="Decommissioning",IFERROR(INDEX('Raw Decommissioning'!$E$2:$E$1000,MATCH(A402,'Raw Decommissioning'!$B$2:$B$1000,0)),"Missing from latest raw"),IFERROR(INDEX('Raw Provisioning'!$E$2:$E$1000,MATCH(A402,'Raw Provisioning'!$B$2:$B$1000,0)),"Missing from latest raw")))</x:f>
        <x:v>completed</x:v>
      </x:c>
      <x:c r="D402" s="171" t="n">
        <x:f>IF(A402="","",'Refresh Control'!$B$4)</x:f>
        <x:v>46254</x:v>
      </x:c>
      <x:c r="E402" s="171" t="n">
        <x:f>IF(A402="","",IF(B402="Decommissioning",INDEX('Raw Decommissioning'!$F$2:$F$1000,ROWS($A$5:A402)),INDEX('Raw Provisioning'!$F$2:$F$1000,ROWS($A$5:A402)-COUNTA('Raw Decommissioning'!$B$2:$B$1000))))</x:f>
        <x:v>46029.143836875</x:v>
      </x:c>
      <x:c r="F402" s="171" t="n">
        <x:f>IF(A402="","",IF(B402="Decommissioning",INDEX('Raw Decommissioning'!$G$2:$G$1000,ROWS($A$5:A402)),INDEX('Raw Provisioning'!$H$2:$H$1000,ROWS($A$5:A402)-COUNTA('Raw Decommissioning'!$B$2:$B$1000))))</x:f>
        <x:v>46052.06383466435</x:v>
      </x:c>
      <x:c r="G402" s="170" t="str">
        <x:f>IF(A402="","",IF(B402="Decommissioning",INDEX('Raw Decommissioning'!$I$2:$I$1000,ROWS($A$5:A402)),INDEX('Raw Provisioning'!$J$2:$J$1000,ROWS($A$5:A402)-COUNTA('Raw Decommissioning'!$B$2:$B$1000))))</x:f>
        <x:v>HSE Intelligence Pod - Smart Advisor - HIP SA</x:v>
      </x:c>
      <x:c r="H402" s="170" t="str">
        <x:f>IF(A402="","",IF(B402="Decommissioning",INDEX('Raw Decommissioning'!$J$2:$J$1000,ROWS($A$5:A402)),INDEX('Raw Provisioning'!$L$2:$L$1000,ROWS($A$5:A402)-COUNTA('Raw Decommissioning'!$B$2:$B$1000))))</x:f>
        <x:v>HSE Intelligence Pod - Smart Advisor</x:v>
      </x:c>
      <x:c r="I402" s="170" t="str">
        <x:f>IF(A402="","",IF(B402="Decommissioning",INDEX('Raw Decommissioning'!$AL$2:$AL$1000,ROWS($A$5:A402)),INDEX('Raw Provisioning'!$R$2:$R$1000,ROWS($A$5:A402)-COUNTA('Raw Decommissioning'!$B$2:$B$1000))))</x:f>
        <x:v>M</x:v>
      </x:c>
      <x:c r="J402" s="170" t="str">
        <x:f>IF(A402="","",IF(B402="Decommissioning",INDEX('Raw Decommissioning'!$AG$2:$AG$1000,ROWS($A$5:A402)),INDEX('Raw Provisioning'!$AI$2:$AI$1000,ROWS($A$5:A402)-COUNTA('Raw Decommissioning'!$B$2:$B$1000))))</x:f>
        <x:v>azhan.shazeli@petronas.com</x:v>
      </x:c>
      <x:c r="K402" s="172" t="str">
        <x:f>IF(A402="","",IFERROR(LOOKUP(2,1/('Assignment History'!$B$5:$B$204=A402),'Assignment History'!$D$5:$D$204),IFERROR(VLOOKUP(J402,Configuration!$L$5:$M$50,2,FALSE),J402)))</x:f>
        <x:v>azhan.shazeli@petronas.com</x:v>
      </x:c>
      <x:c r="L402" s="172" t="str">
        <x:f>IF(A402="","",IF(K402=IFERROR(VLOOKUP(J402,Configuration!$L$5:$M$50,2,FALSE),J402),"Snapshot PIC","Replacement PIC"))</x:f>
        <x:v>Snapshot PIC</x:v>
      </x:c>
      <x:c r="M402" s="172" t="n">
        <x:f>IF(A402="","",IFERROR(VLOOKUP(I402,Configuration!$O$5:$P$8,2,FALSE),Configuration!$S$6))</x:f>
        <x:v>2</x:v>
      </x:c>
      <x:c r="N402" s="172" t="str">
        <x:f>IF(A402="","",IFERROR(LOOKUP(2,1/('Scope Review'!$B$5:$B$204=A402),'Scope Review'!$G$5:$G$204),"Not Reviewed"))</x:f>
        <x:v>Not Reviewed</x:v>
      </x:c>
      <x:c r="O402" s="172" t="str">
        <x:f>IF(A402="","",IFERROR(LOOKUP(2,1/('Scope Review'!$B$5:$B$204=A402),'Scope Review'!$H$5:$H$204),""))</x:f>
      </x:c>
      <x:c r="P402" s="172" t="n">
        <x:f>IF(A402="","",IF(AND(C402="executing",N402&lt;&gt;"Confirmed OOS"),M402,0))</x:f>
        <x:v>0</x:v>
      </x:c>
      <x:c r="Q402" s="173" t="str">
        <x:f>IF(A402="","",IFERROR(LOOKUP(2,1/('Engineer Updates'!$B$5:$B$704=A402),'Engineer Updates'!$A$5:$A$704),""))</x:f>
      </x:c>
      <x:c r="R402" s="172" t="str">
        <x:f>IF(A402="","",IFERROR(LOOKUP(2,1/('Engineer Updates'!$B$5:$B$704=A402),'Engineer Updates'!$H$5:$H$704),""))</x:f>
      </x:c>
      <x:c r="S402" s="172" t="str">
        <x:f>IF(A402="","",IFERROR(LOOKUP(2,1/('Engineer Updates'!$B$5:$B$704=A402),'Engineer Updates'!$G$5:$G$704),""))</x:f>
      </x:c>
      <x:c r="T402" s="172" t="str">
        <x:f>IF(A402="","",IFERROR(LOOKUP(2,1/('Engineer Updates'!$B$5:$B$704=A402),'Engineer Updates'!$I$5:$I$704),""))</x:f>
      </x:c>
      <x:c r="U402" s="172" t="str">
        <x:f>IF(A402="","",IFERROR(LOOKUP(2,1/('Engineer Updates'!$B$5:$B$704=A402),'Engineer Updates'!$J$5:$J$704),""))</x:f>
      </x:c>
      <x:c r="V402" s="172" t="str">
        <x:f>IF(A402="","",IFERROR(LOOKUP(2,1/('Engineer Updates'!$B$5:$B$704=A402),'Engineer Updates'!$K$5:$K$704),""))</x:f>
      </x:c>
      <x:c r="W402" s="174" t="str">
        <x:f>IF(A402="","",IFERROR(LOOKUP(2,1/('Engineer Updates'!$B$5:$B$704=A402),'Engineer Updates'!$L$5:$L$704),""))</x:f>
      </x:c>
      <x:c r="X402" s="170" t="str">
        <x:f>IF(A402="","",IF(C402="completed","Completed in CSSP",IF(AND(C402="executing",ISERROR(SEARCH("@",K402))),"Executing without named engineer",IF(AND(N402="Confirmed OOS",C402="executing"),"Confirmed OOS still executing",""))))</x:f>
        <x:v>Completed in CSSP</x:v>
      </x:c>
      <x:c r="Y402" s="170" t="str">
        <x:f>IF(A402="","",IF(B402="Decommissioning","Raw Decommissioning","Raw Provisioning"))</x:f>
        <x:v>Raw Provisioning</x:v>
      </x:c>
      <x:c r="Z402" s="170" t="str">
        <x:f>IF(A402="","",IF(OR(C402="executing",C402="processing"),"Yes","No"))</x:f>
        <x:v>No</x:v>
      </x:c>
    </x:row>
    <x:row r="403">
      <x:c r="A403" s="170" t="str">
        <x:f>IF(ROWS($A$5:A403)&lt;=COUNTA('Raw Decommissioning'!$B$2:$B$1000),INDEX('Raw Decommissioning'!$B$2:$B$1000,ROWS($A$5:A403)),IF(ROWS($A$5:A403)-COUNTA('Raw Decommissioning'!$B$2:$B$1000)&lt;=COUNTA('Raw Provisioning'!$B$2:$B$1000),INDEX('Raw Provisioning'!$B$2:$B$1000,ROWS($A$5:A403)-COUNTA('Raw Decommissioning'!$B$2:$B$1000)),""))</x:f>
        <x:v>CSSP10347506</x:v>
      </x:c>
      <x:c r="B403" s="170" t="str">
        <x:f>IF(A403="","",IF(ROWS($A$5:A403)&lt;=COUNTA('Raw Decommissioning'!$B$2:$B$1000),"Decommissioning","Provisioning"))</x:f>
        <x:v>Provisioning</x:v>
      </x:c>
      <x:c r="C403" s="170" t="str">
        <x:f>IF(A403="","",IF(B403="Decommissioning",IFERROR(INDEX('Raw Decommissioning'!$E$2:$E$1000,MATCH(A403,'Raw Decommissioning'!$B$2:$B$1000,0)),"Missing from latest raw"),IFERROR(INDEX('Raw Provisioning'!$E$2:$E$1000,MATCH(A403,'Raw Provisioning'!$B$2:$B$1000,0)),"Missing from latest raw")))</x:f>
        <x:v>completed</x:v>
      </x:c>
      <x:c r="D403" s="171" t="n">
        <x:f>IF(A403="","",'Refresh Control'!$B$4)</x:f>
        <x:v>46254</x:v>
      </x:c>
      <x:c r="E403" s="171" t="n">
        <x:f>IF(A403="","",IF(B403="Decommissioning",INDEX('Raw Decommissioning'!$F$2:$F$1000,ROWS($A$5:A403)),INDEX('Raw Provisioning'!$F$2:$F$1000,ROWS($A$5:A403)-COUNTA('Raw Decommissioning'!$B$2:$B$1000))))</x:f>
        <x:v>46029.16760851852</x:v>
      </x:c>
      <x:c r="F403" s="171" t="n">
        <x:f>IF(A403="","",IF(B403="Decommissioning",INDEX('Raw Decommissioning'!$G$2:$G$1000,ROWS($A$5:A403)),INDEX('Raw Provisioning'!$H$2:$H$1000,ROWS($A$5:A403)-COUNTA('Raw Decommissioning'!$B$2:$B$1000))))</x:f>
        <x:v>46042.1488409375</x:v>
      </x:c>
      <x:c r="G403" s="170" t="str">
        <x:f>IF(A403="","",IF(B403="Decommissioning",INDEX('Raw Decommissioning'!$I$2:$I$1000,ROWS($A$5:A403)),INDEX('Raw Provisioning'!$J$2:$J$1000,ROWS($A$5:A403)-COUNTA('Raw Decommissioning'!$B$2:$B$1000))))</x:f>
        <x:v>Yayasan PETRONAS</x:v>
      </x:c>
      <x:c r="H403" s="170" t="str">
        <x:f>IF(A403="","",IF(B403="Decommissioning",INDEX('Raw Decommissioning'!$J$2:$J$1000,ROWS($A$5:A403)),INDEX('Raw Provisioning'!$L$2:$L$1000,ROWS($A$5:A403)-COUNTA('Raw Decommissioning'!$B$2:$B$1000))))</x:f>
        <x:v>Provisioning of Microsoft Azure Cloud for Yayasan PETRONAS Website for Yayasan PETRONAS</x:v>
      </x:c>
      <x:c r="I403" s="170" t="str">
        <x:f>IF(A403="","",IF(B403="Decommissioning",INDEX('Raw Decommissioning'!$AL$2:$AL$1000,ROWS($A$5:A403)),INDEX('Raw Provisioning'!$R$2:$R$1000,ROWS($A$5:A403)-COUNTA('Raw Decommissioning'!$B$2:$B$1000))))</x:f>
        <x:v>S</x:v>
      </x:c>
      <x:c r="J403" s="170" t="str">
        <x:f>IF(A403="","",IF(B403="Decommissioning",INDEX('Raw Decommissioning'!$AG$2:$AG$1000,ROWS($A$5:A403)),INDEX('Raw Provisioning'!$AI$2:$AI$1000,ROWS($A$5:A403)-COUNTA('Raw Decommissioning'!$B$2:$B$1000))))</x:f>
        <x:v>fatinamirah.mjonik@petronas.com</x:v>
      </x:c>
      <x:c r="K403" s="172" t="str">
        <x:f>IF(A403="","",IFERROR(LOOKUP(2,1/('Assignment History'!$B$5:$B$204=A403),'Assignment History'!$D$5:$D$204),IFERROR(VLOOKUP(J403,Configuration!$L$5:$M$50,2,FALSE),J403)))</x:f>
        <x:v>fatinamirah.mjonik@petronas.com</x:v>
      </x:c>
      <x:c r="L403" s="172" t="str">
        <x:f>IF(A403="","",IF(K403=IFERROR(VLOOKUP(J403,Configuration!$L$5:$M$50,2,FALSE),J403),"Snapshot PIC","Replacement PIC"))</x:f>
        <x:v>Snapshot PIC</x:v>
      </x:c>
      <x:c r="M403" s="172" t="n">
        <x:f>IF(A403="","",IFERROR(VLOOKUP(I403,Configuration!$O$5:$P$8,2,FALSE),Configuration!$S$6))</x:f>
        <x:v>1</x:v>
      </x:c>
      <x:c r="N403" s="172" t="str">
        <x:f>IF(A403="","",IFERROR(LOOKUP(2,1/('Scope Review'!$B$5:$B$204=A403),'Scope Review'!$G$5:$G$204),"Not Reviewed"))</x:f>
        <x:v>Not Reviewed</x:v>
      </x:c>
      <x:c r="O403" s="172" t="str">
        <x:f>IF(A403="","",IFERROR(LOOKUP(2,1/('Scope Review'!$B$5:$B$204=A403),'Scope Review'!$H$5:$H$204),""))</x:f>
      </x:c>
      <x:c r="P403" s="172" t="n">
        <x:f>IF(A403="","",IF(AND(C403="executing",N403&lt;&gt;"Confirmed OOS"),M403,0))</x:f>
        <x:v>0</x:v>
      </x:c>
      <x:c r="Q403" s="173" t="str">
        <x:f>IF(A403="","",IFERROR(LOOKUP(2,1/('Engineer Updates'!$B$5:$B$704=A403),'Engineer Updates'!$A$5:$A$704),""))</x:f>
      </x:c>
      <x:c r="R403" s="172" t="str">
        <x:f>IF(A403="","",IFERROR(LOOKUP(2,1/('Engineer Updates'!$B$5:$B$704=A403),'Engineer Updates'!$H$5:$H$704),""))</x:f>
      </x:c>
      <x:c r="S403" s="172" t="str">
        <x:f>IF(A403="","",IFERROR(LOOKUP(2,1/('Engineer Updates'!$B$5:$B$704=A403),'Engineer Updates'!$G$5:$G$704),""))</x:f>
      </x:c>
      <x:c r="T403" s="172" t="str">
        <x:f>IF(A403="","",IFERROR(LOOKUP(2,1/('Engineer Updates'!$B$5:$B$704=A403),'Engineer Updates'!$I$5:$I$704),""))</x:f>
      </x:c>
      <x:c r="U403" s="172" t="str">
        <x:f>IF(A403="","",IFERROR(LOOKUP(2,1/('Engineer Updates'!$B$5:$B$704=A403),'Engineer Updates'!$J$5:$J$704),""))</x:f>
      </x:c>
      <x:c r="V403" s="172" t="str">
        <x:f>IF(A403="","",IFERROR(LOOKUP(2,1/('Engineer Updates'!$B$5:$B$704=A403),'Engineer Updates'!$K$5:$K$704),""))</x:f>
      </x:c>
      <x:c r="W403" s="174" t="str">
        <x:f>IF(A403="","",IFERROR(LOOKUP(2,1/('Engineer Updates'!$B$5:$B$704=A403),'Engineer Updates'!$L$5:$L$704),""))</x:f>
      </x:c>
      <x:c r="X403" s="170" t="str">
        <x:f>IF(A403="","",IF(C403="completed","Completed in CSSP",IF(AND(C403="executing",ISERROR(SEARCH("@",K403))),"Executing without named engineer",IF(AND(N403="Confirmed OOS",C403="executing"),"Confirmed OOS still executing",""))))</x:f>
        <x:v>Completed in CSSP</x:v>
      </x:c>
      <x:c r="Y403" s="170" t="str">
        <x:f>IF(A403="","",IF(B403="Decommissioning","Raw Decommissioning","Raw Provisioning"))</x:f>
        <x:v>Raw Provisioning</x:v>
      </x:c>
      <x:c r="Z403" s="170" t="str">
        <x:f>IF(A403="","",IF(OR(C403="executing",C403="processing"),"Yes","No"))</x:f>
        <x:v>No</x:v>
      </x:c>
    </x:row>
    <x:row r="404">
      <x:c r="A404" s="170" t="str">
        <x:f>IF(ROWS($A$5:A404)&lt;=COUNTA('Raw Decommissioning'!$B$2:$B$1000),INDEX('Raw Decommissioning'!$B$2:$B$1000,ROWS($A$5:A404)),IF(ROWS($A$5:A404)-COUNTA('Raw Decommissioning'!$B$2:$B$1000)&lt;=COUNTA('Raw Provisioning'!$B$2:$B$1000),INDEX('Raw Provisioning'!$B$2:$B$1000,ROWS($A$5:A404)-COUNTA('Raw Decommissioning'!$B$2:$B$1000)),""))</x:f>
        <x:v>CSSP10636896</x:v>
      </x:c>
      <x:c r="B404" s="170" t="str">
        <x:f>IF(A404="","",IF(ROWS($A$5:A404)&lt;=COUNTA('Raw Decommissioning'!$B$2:$B$1000),"Decommissioning","Provisioning"))</x:f>
        <x:v>Provisioning</x:v>
      </x:c>
      <x:c r="C404" s="170" t="str">
        <x:f>IF(A404="","",IF(B404="Decommissioning",IFERROR(INDEX('Raw Decommissioning'!$E$2:$E$1000,MATCH(A404,'Raw Decommissioning'!$B$2:$B$1000,0)),"Missing from latest raw"),IFERROR(INDEX('Raw Provisioning'!$E$2:$E$1000,MATCH(A404,'Raw Provisioning'!$B$2:$B$1000,0)),"Missing from latest raw")))</x:f>
        <x:v>completed</x:v>
      </x:c>
      <x:c r="D404" s="171" t="n">
        <x:f>IF(A404="","",'Refresh Control'!$B$4)</x:f>
        <x:v>46254</x:v>
      </x:c>
      <x:c r="E404" s="171" t="n">
        <x:f>IF(A404="","",IF(B404="Decommissioning",INDEX('Raw Decommissioning'!$F$2:$F$1000,ROWS($A$5:A404)),INDEX('Raw Provisioning'!$F$2:$F$1000,ROWS($A$5:A404)-COUNTA('Raw Decommissioning'!$B$2:$B$1000))))</x:f>
        <x:v>46030.0947506713</x:v>
      </x:c>
      <x:c r="F404" s="171" t="n">
        <x:f>IF(A404="","",IF(B404="Decommissioning",INDEX('Raw Decommissioning'!$G$2:$G$1000,ROWS($A$5:A404)),INDEX('Raw Provisioning'!$H$2:$H$1000,ROWS($A$5:A404)-COUNTA('Raw Decommissioning'!$B$2:$B$1000))))</x:f>
        <x:v>46052.34768141204</x:v>
      </x:c>
      <x:c r="G404" s="170" t="str">
        <x:f>IF(A404="","",IF(B404="Decommissioning",INDEX('Raw Decommissioning'!$I$2:$I$1000,ROWS($A$5:A404)),INDEX('Raw Provisioning'!$J$2:$J$1000,ROWS($A$5:A404)-COUNTA('Raw Decommissioning'!$B$2:$B$1000))))</x:f>
        <x:v>COMPASS</x:v>
      </x:c>
      <x:c r="H404" s="170" t="str">
        <x:f>IF(A404="","",IF(B404="Decommissioning",INDEX('Raw Decommissioning'!$J$2:$J$1000,ROWS($A$5:A404)),INDEX('Raw Provisioning'!$L$2:$L$1000,ROWS($A$5:A404)-COUNTA('Raw Decommissioning'!$B$2:$B$1000))))</x:f>
        <x:v>COMPASS Phase 2</x:v>
      </x:c>
      <x:c r="I404" s="170" t="str">
        <x:f>IF(A404="","",IF(B404="Decommissioning",INDEX('Raw Decommissioning'!$AL$2:$AL$1000,ROWS($A$5:A404)),INDEX('Raw Provisioning'!$R$2:$R$1000,ROWS($A$5:A404)-COUNTA('Raw Decommissioning'!$B$2:$B$1000))))</x:f>
        <x:v>M</x:v>
      </x:c>
      <x:c r="J404" s="170" t="str">
        <x:f>IF(A404="","",IF(B404="Decommissioning",INDEX('Raw Decommissioning'!$AG$2:$AG$1000,ROWS($A$5:A404)),INDEX('Raw Provisioning'!$AI$2:$AI$1000,ROWS($A$5:A404)-COUNTA('Raw Decommissioning'!$B$2:$B$1000))))</x:f>
        <x:v>mhafizi.madnan@petronas.com</x:v>
      </x:c>
      <x:c r="K404" s="172" t="str">
        <x:f>IF(A404="","",IFERROR(LOOKUP(2,1/('Assignment History'!$B$5:$B$204=A404),'Assignment History'!$D$5:$D$204),IFERROR(VLOOKUP(J404,Configuration!$L$5:$M$50,2,FALSE),J404)))</x:f>
        <x:v>mhafizi.madnan@petronas.com</x:v>
      </x:c>
      <x:c r="L404" s="172" t="str">
        <x:f>IF(A404="","",IF(K404=IFERROR(VLOOKUP(J404,Configuration!$L$5:$M$50,2,FALSE),J404),"Snapshot PIC","Replacement PIC"))</x:f>
        <x:v>Snapshot PIC</x:v>
      </x:c>
      <x:c r="M404" s="172" t="n">
        <x:f>IF(A404="","",IFERROR(VLOOKUP(I404,Configuration!$O$5:$P$8,2,FALSE),Configuration!$S$6))</x:f>
        <x:v>2</x:v>
      </x:c>
      <x:c r="N404" s="172" t="str">
        <x:f>IF(A404="","",IFERROR(LOOKUP(2,1/('Scope Review'!$B$5:$B$204=A404),'Scope Review'!$G$5:$G$204),"Not Reviewed"))</x:f>
        <x:v>Not Reviewed</x:v>
      </x:c>
      <x:c r="O404" s="172" t="str">
        <x:f>IF(A404="","",IFERROR(LOOKUP(2,1/('Scope Review'!$B$5:$B$204=A404),'Scope Review'!$H$5:$H$204),""))</x:f>
      </x:c>
      <x:c r="P404" s="172" t="n">
        <x:f>IF(A404="","",IF(AND(C404="executing",N404&lt;&gt;"Confirmed OOS"),M404,0))</x:f>
        <x:v>0</x:v>
      </x:c>
      <x:c r="Q404" s="173" t="str">
        <x:f>IF(A404="","",IFERROR(LOOKUP(2,1/('Engineer Updates'!$B$5:$B$704=A404),'Engineer Updates'!$A$5:$A$704),""))</x:f>
      </x:c>
      <x:c r="R404" s="172" t="str">
        <x:f>IF(A404="","",IFERROR(LOOKUP(2,1/('Engineer Updates'!$B$5:$B$704=A404),'Engineer Updates'!$H$5:$H$704),""))</x:f>
      </x:c>
      <x:c r="S404" s="172" t="str">
        <x:f>IF(A404="","",IFERROR(LOOKUP(2,1/('Engineer Updates'!$B$5:$B$704=A404),'Engineer Updates'!$G$5:$G$704),""))</x:f>
      </x:c>
      <x:c r="T404" s="172" t="str">
        <x:f>IF(A404="","",IFERROR(LOOKUP(2,1/('Engineer Updates'!$B$5:$B$704=A404),'Engineer Updates'!$I$5:$I$704),""))</x:f>
      </x:c>
      <x:c r="U404" s="172" t="str">
        <x:f>IF(A404="","",IFERROR(LOOKUP(2,1/('Engineer Updates'!$B$5:$B$704=A404),'Engineer Updates'!$J$5:$J$704),""))</x:f>
      </x:c>
      <x:c r="V404" s="172" t="str">
        <x:f>IF(A404="","",IFERROR(LOOKUP(2,1/('Engineer Updates'!$B$5:$B$704=A404),'Engineer Updates'!$K$5:$K$704),""))</x:f>
      </x:c>
      <x:c r="W404" s="174" t="str">
        <x:f>IF(A404="","",IFERROR(LOOKUP(2,1/('Engineer Updates'!$B$5:$B$704=A404),'Engineer Updates'!$L$5:$L$704),""))</x:f>
      </x:c>
      <x:c r="X404" s="170" t="str">
        <x:f>IF(A404="","",IF(C404="completed","Completed in CSSP",IF(AND(C404="executing",ISERROR(SEARCH("@",K404))),"Executing without named engineer",IF(AND(N404="Confirmed OOS",C404="executing"),"Confirmed OOS still executing",""))))</x:f>
        <x:v>Completed in CSSP</x:v>
      </x:c>
      <x:c r="Y404" s="170" t="str">
        <x:f>IF(A404="","",IF(B404="Decommissioning","Raw Decommissioning","Raw Provisioning"))</x:f>
        <x:v>Raw Provisioning</x:v>
      </x:c>
      <x:c r="Z404" s="170" t="str">
        <x:f>IF(A404="","",IF(OR(C404="executing",C404="processing"),"Yes","No"))</x:f>
        <x:v>No</x:v>
      </x:c>
    </x:row>
    <x:row r="405">
      <x:c r="A405" s="170" t="str">
        <x:f>IF(ROWS($A$5:A405)&lt;=COUNTA('Raw Decommissioning'!$B$2:$B$1000),INDEX('Raw Decommissioning'!$B$2:$B$1000,ROWS($A$5:A405)),IF(ROWS($A$5:A405)-COUNTA('Raw Decommissioning'!$B$2:$B$1000)&lt;=COUNTA('Raw Provisioning'!$B$2:$B$1000),INDEX('Raw Provisioning'!$B$2:$B$1000,ROWS($A$5:A405)-COUNTA('Raw Decommissioning'!$B$2:$B$1000)),""))</x:f>
        <x:v>CSSP10823957</x:v>
      </x:c>
      <x:c r="B405" s="170" t="str">
        <x:f>IF(A405="","",IF(ROWS($A$5:A405)&lt;=COUNTA('Raw Decommissioning'!$B$2:$B$1000),"Decommissioning","Provisioning"))</x:f>
        <x:v>Provisioning</x:v>
      </x:c>
      <x:c r="C405" s="170" t="str">
        <x:f>IF(A405="","",IF(B405="Decommissioning",IFERROR(INDEX('Raw Decommissioning'!$E$2:$E$1000,MATCH(A405,'Raw Decommissioning'!$B$2:$B$1000,0)),"Missing from latest raw"),IFERROR(INDEX('Raw Provisioning'!$E$2:$E$1000,MATCH(A405,'Raw Provisioning'!$B$2:$B$1000,0)),"Missing from latest raw")))</x:f>
        <x:v>completed</x:v>
      </x:c>
      <x:c r="D405" s="171" t="n">
        <x:f>IF(A405="","",'Refresh Control'!$B$4)</x:f>
        <x:v>46254</x:v>
      </x:c>
      <x:c r="E405" s="171" t="n">
        <x:f>IF(A405="","",IF(B405="Decommissioning",INDEX('Raw Decommissioning'!$F$2:$F$1000,ROWS($A$5:A405)),INDEX('Raw Provisioning'!$F$2:$F$1000,ROWS($A$5:A405)-COUNTA('Raw Decommissioning'!$B$2:$B$1000))))</x:f>
        <x:v>46030.34857350695</x:v>
      </x:c>
      <x:c r="F405" s="171" t="n">
        <x:f>IF(A405="","",IF(B405="Decommissioning",INDEX('Raw Decommissioning'!$G$2:$G$1000,ROWS($A$5:A405)),INDEX('Raw Provisioning'!$H$2:$H$1000,ROWS($A$5:A405)-COUNTA('Raw Decommissioning'!$B$2:$B$1000))))</x:f>
        <x:v>46059.11141832176</x:v>
      </x:c>
      <x:c r="G405" s="170" t="str">
        <x:f>IF(A405="","",IF(B405="Decommissioning",INDEX('Raw Decommissioning'!$I$2:$I$1000,ROWS($A$5:A405)),INDEX('Raw Provisioning'!$J$2:$J$1000,ROWS($A$5:A405)-COUNTA('Raw Decommissioning'!$B$2:$B$1000))))</x:f>
        <x:v>ProSource</x:v>
      </x:c>
      <x:c r="H405" s="170" t="str">
        <x:f>IF(A405="","",IF(B405="Decommissioning",INDEX('Raw Decommissioning'!$J$2:$J$1000,ROWS($A$5:A405)),INDEX('Raw Provisioning'!$L$2:$L$1000,ROWS($A$5:A405)-COUNTA('Raw Decommissioning'!$B$2:$B$1000))))</x:f>
        <x:v>Provisioning of Infrastructure for Prosource and Qumulo Storage Management System for UTDI</x:v>
      </x:c>
      <x:c r="I405" s="170" t="str">
        <x:f>IF(A405="","",IF(B405="Decommissioning",INDEX('Raw Decommissioning'!$AL$2:$AL$1000,ROWS($A$5:A405)),INDEX('Raw Provisioning'!$R$2:$R$1000,ROWS($A$5:A405)-COUNTA('Raw Decommissioning'!$B$2:$B$1000))))</x:f>
        <x:v>L</x:v>
      </x:c>
      <x:c r="J405" s="170" t="str">
        <x:f>IF(A405="","",IF(B405="Decommissioning",INDEX('Raw Decommissioning'!$AG$2:$AG$1000,ROWS($A$5:A405)),INDEX('Raw Provisioning'!$AI$2:$AI$1000,ROWS($A$5:A405)-COUNTA('Raw Decommissioning'!$B$2:$B$1000))))</x:f>
        <x:v>badri.shaharudin@petronas.com</x:v>
      </x:c>
      <x:c r="K405" s="172" t="str">
        <x:f>IF(A405="","",IFERROR(LOOKUP(2,1/('Assignment History'!$B$5:$B$204=A405),'Assignment History'!$D$5:$D$204),IFERROR(VLOOKUP(J405,Configuration!$L$5:$M$50,2,FALSE),J405)))</x:f>
        <x:v>badri.shaharudin@petronas.com</x:v>
      </x:c>
      <x:c r="L405" s="172" t="str">
        <x:f>IF(A405="","",IF(K405=IFERROR(VLOOKUP(J405,Configuration!$L$5:$M$50,2,FALSE),J405),"Snapshot PIC","Replacement PIC"))</x:f>
        <x:v>Snapshot PIC</x:v>
      </x:c>
      <x:c r="M405" s="172" t="n">
        <x:f>IF(A405="","",IFERROR(VLOOKUP(I405,Configuration!$O$5:$P$8,2,FALSE),Configuration!$S$6))</x:f>
        <x:v>3</x:v>
      </x:c>
      <x:c r="N405" s="172" t="str">
        <x:f>IF(A405="","",IFERROR(LOOKUP(2,1/('Scope Review'!$B$5:$B$204=A405),'Scope Review'!$G$5:$G$204),"Not Reviewed"))</x:f>
        <x:v>Not Reviewed</x:v>
      </x:c>
      <x:c r="O405" s="172" t="str">
        <x:f>IF(A405="","",IFERROR(LOOKUP(2,1/('Scope Review'!$B$5:$B$204=A405),'Scope Review'!$H$5:$H$204),""))</x:f>
      </x:c>
      <x:c r="P405" s="172" t="n">
        <x:f>IF(A405="","",IF(AND(C405="executing",N405&lt;&gt;"Confirmed OOS"),M405,0))</x:f>
        <x:v>0</x:v>
      </x:c>
      <x:c r="Q405" s="173" t="str">
        <x:f>IF(A405="","",IFERROR(LOOKUP(2,1/('Engineer Updates'!$B$5:$B$704=A405),'Engineer Updates'!$A$5:$A$704),""))</x:f>
      </x:c>
      <x:c r="R405" s="172" t="str">
        <x:f>IF(A405="","",IFERROR(LOOKUP(2,1/('Engineer Updates'!$B$5:$B$704=A405),'Engineer Updates'!$H$5:$H$704),""))</x:f>
      </x:c>
      <x:c r="S405" s="172" t="str">
        <x:f>IF(A405="","",IFERROR(LOOKUP(2,1/('Engineer Updates'!$B$5:$B$704=A405),'Engineer Updates'!$G$5:$G$704),""))</x:f>
      </x:c>
      <x:c r="T405" s="172" t="str">
        <x:f>IF(A405="","",IFERROR(LOOKUP(2,1/('Engineer Updates'!$B$5:$B$704=A405),'Engineer Updates'!$I$5:$I$704),""))</x:f>
      </x:c>
      <x:c r="U405" s="172" t="str">
        <x:f>IF(A405="","",IFERROR(LOOKUP(2,1/('Engineer Updates'!$B$5:$B$704=A405),'Engineer Updates'!$J$5:$J$704),""))</x:f>
      </x:c>
      <x:c r="V405" s="172" t="str">
        <x:f>IF(A405="","",IFERROR(LOOKUP(2,1/('Engineer Updates'!$B$5:$B$704=A405),'Engineer Updates'!$K$5:$K$704),""))</x:f>
      </x:c>
      <x:c r="W405" s="174" t="str">
        <x:f>IF(A405="","",IFERROR(LOOKUP(2,1/('Engineer Updates'!$B$5:$B$704=A405),'Engineer Updates'!$L$5:$L$704),""))</x:f>
      </x:c>
      <x:c r="X405" s="170" t="str">
        <x:f>IF(A405="","",IF(C405="completed","Completed in CSSP",IF(AND(C405="executing",ISERROR(SEARCH("@",K405))),"Executing without named engineer",IF(AND(N405="Confirmed OOS",C405="executing"),"Confirmed OOS still executing",""))))</x:f>
        <x:v>Completed in CSSP</x:v>
      </x:c>
      <x:c r="Y405" s="170" t="str">
        <x:f>IF(A405="","",IF(B405="Decommissioning","Raw Decommissioning","Raw Provisioning"))</x:f>
        <x:v>Raw Provisioning</x:v>
      </x:c>
      <x:c r="Z405" s="170" t="str">
        <x:f>IF(A405="","",IF(OR(C405="executing",C405="processing"),"Yes","No"))</x:f>
        <x:v>No</x:v>
      </x:c>
    </x:row>
    <x:row r="406">
      <x:c r="A406" s="170" t="str">
        <x:f>IF(ROWS($A$5:A406)&lt;=COUNTA('Raw Decommissioning'!$B$2:$B$1000),INDEX('Raw Decommissioning'!$B$2:$B$1000,ROWS($A$5:A406)),IF(ROWS($A$5:A406)-COUNTA('Raw Decommissioning'!$B$2:$B$1000)&lt;=COUNTA('Raw Provisioning'!$B$2:$B$1000),INDEX('Raw Provisioning'!$B$2:$B$1000,ROWS($A$5:A406)-COUNTA('Raw Decommissioning'!$B$2:$B$1000)),""))</x:f>
        <x:v>CSSP10625196</x:v>
      </x:c>
      <x:c r="B406" s="170" t="str">
        <x:f>IF(A406="","",IF(ROWS($A$5:A406)&lt;=COUNTA('Raw Decommissioning'!$B$2:$B$1000),"Decommissioning","Provisioning"))</x:f>
        <x:v>Provisioning</x:v>
      </x:c>
      <x:c r="C406" s="170" t="str">
        <x:f>IF(A406="","",IF(B406="Decommissioning",IFERROR(INDEX('Raw Decommissioning'!$E$2:$E$1000,MATCH(A406,'Raw Decommissioning'!$B$2:$B$1000,0)),"Missing from latest raw"),IFERROR(INDEX('Raw Provisioning'!$E$2:$E$1000,MATCH(A406,'Raw Provisioning'!$B$2:$B$1000,0)),"Missing from latest raw")))</x:f>
        <x:v>completed</x:v>
      </x:c>
      <x:c r="D406" s="171" t="n">
        <x:f>IF(A406="","",'Refresh Control'!$B$4)</x:f>
        <x:v>46254</x:v>
      </x:c>
      <x:c r="E406" s="171" t="n">
        <x:f>IF(A406="","",IF(B406="Decommissioning",INDEX('Raw Decommissioning'!$F$2:$F$1000,ROWS($A$5:A406)),INDEX('Raw Provisioning'!$F$2:$F$1000,ROWS($A$5:A406)-COUNTA('Raw Decommissioning'!$B$2:$B$1000))))</x:f>
        <x:v>46030.34964483797</x:v>
      </x:c>
      <x:c r="F406" s="171" t="n">
        <x:f>IF(A406="","",IF(B406="Decommissioning",INDEX('Raw Decommissioning'!$G$2:$G$1000,ROWS($A$5:A406)),INDEX('Raw Provisioning'!$H$2:$H$1000,ROWS($A$5:A406)-COUNTA('Raw Decommissioning'!$B$2:$B$1000))))</x:f>
        <x:v>46059.11093726852</x:v>
      </x:c>
      <x:c r="G406" s="170" t="str">
        <x:f>IF(A406="","",IF(B406="Decommissioning",INDEX('Raw Decommissioning'!$I$2:$I$1000,ROWS($A$5:A406)),INDEX('Raw Provisioning'!$J$2:$J$1000,ROWS($A$5:A406)-COUNTA('Raw Decommissioning'!$B$2:$B$1000))))</x:f>
        <x:v>Qumulo</x:v>
      </x:c>
      <x:c r="H406" s="170" t="str">
        <x:f>IF(A406="","",IF(B406="Decommissioning",INDEX('Raw Decommissioning'!$J$2:$J$1000,ROWS($A$5:A406)),INDEX('Raw Provisioning'!$L$2:$L$1000,ROWS($A$5:A406)-COUNTA('Raw Decommissioning'!$B$2:$B$1000))))</x:f>
        <x:v>Provisioning of Infrastructure for Prosource and Qumulo Storage Management System for UTDI</x:v>
      </x:c>
      <x:c r="I406" s="170" t="str">
        <x:f>IF(A406="","",IF(B406="Decommissioning",INDEX('Raw Decommissioning'!$AL$2:$AL$1000,ROWS($A$5:A406)),INDEX('Raw Provisioning'!$R$2:$R$1000,ROWS($A$5:A406)-COUNTA('Raw Decommissioning'!$B$2:$B$1000))))</x:f>
        <x:v>L</x:v>
      </x:c>
      <x:c r="J406" s="170" t="str">
        <x:f>IF(A406="","",IF(B406="Decommissioning",INDEX('Raw Decommissioning'!$AG$2:$AG$1000,ROWS($A$5:A406)),INDEX('Raw Provisioning'!$AI$2:$AI$1000,ROWS($A$5:A406)-COUNTA('Raw Decommissioning'!$B$2:$B$1000))))</x:f>
        <x:v>badri.shaharudin@petronas.com</x:v>
      </x:c>
      <x:c r="K406" s="172" t="str">
        <x:f>IF(A406="","",IFERROR(LOOKUP(2,1/('Assignment History'!$B$5:$B$204=A406),'Assignment History'!$D$5:$D$204),IFERROR(VLOOKUP(J406,Configuration!$L$5:$M$50,2,FALSE),J406)))</x:f>
        <x:v>badri.shaharudin@petronas.com</x:v>
      </x:c>
      <x:c r="L406" s="172" t="str">
        <x:f>IF(A406="","",IF(K406=IFERROR(VLOOKUP(J406,Configuration!$L$5:$M$50,2,FALSE),J406),"Snapshot PIC","Replacement PIC"))</x:f>
        <x:v>Snapshot PIC</x:v>
      </x:c>
      <x:c r="M406" s="172" t="n">
        <x:f>IF(A406="","",IFERROR(VLOOKUP(I406,Configuration!$O$5:$P$8,2,FALSE),Configuration!$S$6))</x:f>
        <x:v>3</x:v>
      </x:c>
      <x:c r="N406" s="172" t="str">
        <x:f>IF(A406="","",IFERROR(LOOKUP(2,1/('Scope Review'!$B$5:$B$204=A406),'Scope Review'!$G$5:$G$204),"Not Reviewed"))</x:f>
        <x:v>Not Reviewed</x:v>
      </x:c>
      <x:c r="O406" s="172" t="str">
        <x:f>IF(A406="","",IFERROR(LOOKUP(2,1/('Scope Review'!$B$5:$B$204=A406),'Scope Review'!$H$5:$H$204),""))</x:f>
      </x:c>
      <x:c r="P406" s="172" t="n">
        <x:f>IF(A406="","",IF(AND(C406="executing",N406&lt;&gt;"Confirmed OOS"),M406,0))</x:f>
        <x:v>0</x:v>
      </x:c>
      <x:c r="Q406" s="173" t="str">
        <x:f>IF(A406="","",IFERROR(LOOKUP(2,1/('Engineer Updates'!$B$5:$B$704=A406),'Engineer Updates'!$A$5:$A$704),""))</x:f>
      </x:c>
      <x:c r="R406" s="172" t="str">
        <x:f>IF(A406="","",IFERROR(LOOKUP(2,1/('Engineer Updates'!$B$5:$B$704=A406),'Engineer Updates'!$H$5:$H$704),""))</x:f>
      </x:c>
      <x:c r="S406" s="172" t="str">
        <x:f>IF(A406="","",IFERROR(LOOKUP(2,1/('Engineer Updates'!$B$5:$B$704=A406),'Engineer Updates'!$G$5:$G$704),""))</x:f>
      </x:c>
      <x:c r="T406" s="172" t="str">
        <x:f>IF(A406="","",IFERROR(LOOKUP(2,1/('Engineer Updates'!$B$5:$B$704=A406),'Engineer Updates'!$I$5:$I$704),""))</x:f>
      </x:c>
      <x:c r="U406" s="172" t="str">
        <x:f>IF(A406="","",IFERROR(LOOKUP(2,1/('Engineer Updates'!$B$5:$B$704=A406),'Engineer Updates'!$J$5:$J$704),""))</x:f>
      </x:c>
      <x:c r="V406" s="172" t="str">
        <x:f>IF(A406="","",IFERROR(LOOKUP(2,1/('Engineer Updates'!$B$5:$B$704=A406),'Engineer Updates'!$K$5:$K$704),""))</x:f>
      </x:c>
      <x:c r="W406" s="174" t="str">
        <x:f>IF(A406="","",IFERROR(LOOKUP(2,1/('Engineer Updates'!$B$5:$B$704=A406),'Engineer Updates'!$L$5:$L$704),""))</x:f>
      </x:c>
      <x:c r="X406" s="170" t="str">
        <x:f>IF(A406="","",IF(C406="completed","Completed in CSSP",IF(AND(C406="executing",ISERROR(SEARCH("@",K406))),"Executing without named engineer",IF(AND(N406="Confirmed OOS",C406="executing"),"Confirmed OOS still executing",""))))</x:f>
        <x:v>Completed in CSSP</x:v>
      </x:c>
      <x:c r="Y406" s="170" t="str">
        <x:f>IF(A406="","",IF(B406="Decommissioning","Raw Decommissioning","Raw Provisioning"))</x:f>
        <x:v>Raw Provisioning</x:v>
      </x:c>
      <x:c r="Z406" s="170" t="str">
        <x:f>IF(A406="","",IF(OR(C406="executing",C406="processing"),"Yes","No"))</x:f>
        <x:v>No</x:v>
      </x:c>
    </x:row>
    <x:row r="407">
      <x:c r="A407" s="170" t="str">
        <x:f>IF(ROWS($A$5:A407)&lt;=COUNTA('Raw Decommissioning'!$B$2:$B$1000),INDEX('Raw Decommissioning'!$B$2:$B$1000,ROWS($A$5:A407)),IF(ROWS($A$5:A407)-COUNTA('Raw Decommissioning'!$B$2:$B$1000)&lt;=COUNTA('Raw Provisioning'!$B$2:$B$1000),INDEX('Raw Provisioning'!$B$2:$B$1000,ROWS($A$5:A407)-COUNTA('Raw Decommissioning'!$B$2:$B$1000)),""))</x:f>
        <x:v>CSSP10904562</x:v>
      </x:c>
      <x:c r="B407" s="170" t="str">
        <x:f>IF(A407="","",IF(ROWS($A$5:A407)&lt;=COUNTA('Raw Decommissioning'!$B$2:$B$1000),"Decommissioning","Provisioning"))</x:f>
        <x:v>Provisioning</x:v>
      </x:c>
      <x:c r="C407" s="170" t="str">
        <x:f>IF(A407="","",IF(B407="Decommissioning",IFERROR(INDEX('Raw Decommissioning'!$E$2:$E$1000,MATCH(A407,'Raw Decommissioning'!$B$2:$B$1000,0)),"Missing from latest raw"),IFERROR(INDEX('Raw Provisioning'!$E$2:$E$1000,MATCH(A407,'Raw Provisioning'!$B$2:$B$1000,0)),"Missing from latest raw")))</x:f>
        <x:v>completed</x:v>
      </x:c>
      <x:c r="D407" s="171" t="n">
        <x:f>IF(A407="","",'Refresh Control'!$B$4)</x:f>
        <x:v>46254</x:v>
      </x:c>
      <x:c r="E407" s="171" t="n">
        <x:f>IF(A407="","",IF(B407="Decommissioning",INDEX('Raw Decommissioning'!$F$2:$F$1000,ROWS($A$5:A407)),INDEX('Raw Provisioning'!$F$2:$F$1000,ROWS($A$5:A407)-COUNTA('Raw Decommissioning'!$B$2:$B$1000))))</x:f>
        <x:v>46030.382989618054</x:v>
      </x:c>
      <x:c r="F407" s="171" t="n">
        <x:f>IF(A407="","",IF(B407="Decommissioning",INDEX('Raw Decommissioning'!$G$2:$G$1000,ROWS($A$5:A407)),INDEX('Raw Provisioning'!$H$2:$H$1000,ROWS($A$5:A407)-COUNTA('Raw Decommissioning'!$B$2:$B$1000))))</x:f>
        <x:v>46064.14321138889</x:v>
      </x:c>
      <x:c r="G407" s="170" t="str">
        <x:f>IF(A407="","",IF(B407="Decommissioning",INDEX('Raw Decommissioning'!$I$2:$I$1000,ROWS($A$5:A407)),INDEX('Raw Provisioning'!$J$2:$J$1000,ROWS($A$5:A407)-COUNTA('Raw Decommissioning'!$B$2:$B$1000))))</x:f>
        <x:v>PDB Data &amp; Intelligence Platform</x:v>
      </x:c>
      <x:c r="H407" s="170" t="str">
        <x:f>IF(A407="","",IF(B407="Decommissioning",INDEX('Raw Decommissioning'!$J$2:$J$1000,ROWS($A$5:A407)),INDEX('Raw Provisioning'!$L$2:$L$1000,ROWS($A$5:A407)-COUNTA('Raw Decommissioning'!$B$2:$B$1000))))</x:f>
        <x:v>PDB Data &amp; Intelligence Platform</x:v>
      </x:c>
      <x:c r="I407" s="170" t="str">
        <x:f>IF(A407="","",IF(B407="Decommissioning",INDEX('Raw Decommissioning'!$AL$2:$AL$1000,ROWS($A$5:A407)),INDEX('Raw Provisioning'!$R$2:$R$1000,ROWS($A$5:A407)-COUNTA('Raw Decommissioning'!$B$2:$B$1000))))</x:f>
        <x:v>L</x:v>
      </x:c>
      <x:c r="J407" s="170" t="str">
        <x:f>IF(A407="","",IF(B407="Decommissioning",INDEX('Raw Decommissioning'!$AG$2:$AG$1000,ROWS($A$5:A407)),INDEX('Raw Provisioning'!$AI$2:$AI$1000,ROWS($A$5:A407)-COUNTA('Raw Decommissioning'!$B$2:$B$1000))))</x:f>
        <x:v>mhafizi.madnan@petronas.com</x:v>
      </x:c>
      <x:c r="K407" s="172" t="str">
        <x:f>IF(A407="","",IFERROR(LOOKUP(2,1/('Assignment History'!$B$5:$B$204=A407),'Assignment History'!$D$5:$D$204),IFERROR(VLOOKUP(J407,Configuration!$L$5:$M$50,2,FALSE),J407)))</x:f>
        <x:v>mhafizi.madnan@petronas.com</x:v>
      </x:c>
      <x:c r="L407" s="172" t="str">
        <x:f>IF(A407="","",IF(K407=IFERROR(VLOOKUP(J407,Configuration!$L$5:$M$50,2,FALSE),J407),"Snapshot PIC","Replacement PIC"))</x:f>
        <x:v>Snapshot PIC</x:v>
      </x:c>
      <x:c r="M407" s="172" t="n">
        <x:f>IF(A407="","",IFERROR(VLOOKUP(I407,Configuration!$O$5:$P$8,2,FALSE),Configuration!$S$6))</x:f>
        <x:v>3</x:v>
      </x:c>
      <x:c r="N407" s="172" t="str">
        <x:f>IF(A407="","",IFERROR(LOOKUP(2,1/('Scope Review'!$B$5:$B$204=A407),'Scope Review'!$G$5:$G$204),"Not Reviewed"))</x:f>
        <x:v>Not Reviewed</x:v>
      </x:c>
      <x:c r="O407" s="172" t="str">
        <x:f>IF(A407="","",IFERROR(LOOKUP(2,1/('Scope Review'!$B$5:$B$204=A407),'Scope Review'!$H$5:$H$204),""))</x:f>
      </x:c>
      <x:c r="P407" s="172" t="n">
        <x:f>IF(A407="","",IF(AND(C407="executing",N407&lt;&gt;"Confirmed OOS"),M407,0))</x:f>
        <x:v>0</x:v>
      </x:c>
      <x:c r="Q407" s="173" t="str">
        <x:f>IF(A407="","",IFERROR(LOOKUP(2,1/('Engineer Updates'!$B$5:$B$704=A407),'Engineer Updates'!$A$5:$A$704),""))</x:f>
      </x:c>
      <x:c r="R407" s="172" t="str">
        <x:f>IF(A407="","",IFERROR(LOOKUP(2,1/('Engineer Updates'!$B$5:$B$704=A407),'Engineer Updates'!$H$5:$H$704),""))</x:f>
      </x:c>
      <x:c r="S407" s="172" t="str">
        <x:f>IF(A407="","",IFERROR(LOOKUP(2,1/('Engineer Updates'!$B$5:$B$704=A407),'Engineer Updates'!$G$5:$G$704),""))</x:f>
      </x:c>
      <x:c r="T407" s="172" t="str">
        <x:f>IF(A407="","",IFERROR(LOOKUP(2,1/('Engineer Updates'!$B$5:$B$704=A407),'Engineer Updates'!$I$5:$I$704),""))</x:f>
      </x:c>
      <x:c r="U407" s="172" t="str">
        <x:f>IF(A407="","",IFERROR(LOOKUP(2,1/('Engineer Updates'!$B$5:$B$704=A407),'Engineer Updates'!$J$5:$J$704),""))</x:f>
      </x:c>
      <x:c r="V407" s="172" t="str">
        <x:f>IF(A407="","",IFERROR(LOOKUP(2,1/('Engineer Updates'!$B$5:$B$704=A407),'Engineer Updates'!$K$5:$K$704),""))</x:f>
      </x:c>
      <x:c r="W407" s="174" t="str">
        <x:f>IF(A407="","",IFERROR(LOOKUP(2,1/('Engineer Updates'!$B$5:$B$704=A407),'Engineer Updates'!$L$5:$L$704),""))</x:f>
      </x:c>
      <x:c r="X407" s="170" t="str">
        <x:f>IF(A407="","",IF(C407="completed","Completed in CSSP",IF(AND(C407="executing",ISERROR(SEARCH("@",K407))),"Executing without named engineer",IF(AND(N407="Confirmed OOS",C407="executing"),"Confirmed OOS still executing",""))))</x:f>
        <x:v>Completed in CSSP</x:v>
      </x:c>
      <x:c r="Y407" s="170" t="str">
        <x:f>IF(A407="","",IF(B407="Decommissioning","Raw Decommissioning","Raw Provisioning"))</x:f>
        <x:v>Raw Provisioning</x:v>
      </x:c>
      <x:c r="Z407" s="170" t="str">
        <x:f>IF(A407="","",IF(OR(C407="executing",C407="processing"),"Yes","No"))</x:f>
        <x:v>No</x:v>
      </x:c>
    </x:row>
    <x:row r="408">
      <x:c r="A408" s="170" t="str">
        <x:f>IF(ROWS($A$5:A408)&lt;=COUNTA('Raw Decommissioning'!$B$2:$B$1000),INDEX('Raw Decommissioning'!$B$2:$B$1000,ROWS($A$5:A408)),IF(ROWS($A$5:A408)-COUNTA('Raw Decommissioning'!$B$2:$B$1000)&lt;=COUNTA('Raw Provisioning'!$B$2:$B$1000),INDEX('Raw Provisioning'!$B$2:$B$1000,ROWS($A$5:A408)-COUNTA('Raw Decommissioning'!$B$2:$B$1000)),""))</x:f>
        <x:v>CSSP10391326</x:v>
      </x:c>
      <x:c r="B408" s="170" t="str">
        <x:f>IF(A408="","",IF(ROWS($A$5:A408)&lt;=COUNTA('Raw Decommissioning'!$B$2:$B$1000),"Decommissioning","Provisioning"))</x:f>
        <x:v>Provisioning</x:v>
      </x:c>
      <x:c r="C408" s="170" t="str">
        <x:f>IF(A408="","",IF(B408="Decommissioning",IFERROR(INDEX('Raw Decommissioning'!$E$2:$E$1000,MATCH(A408,'Raw Decommissioning'!$B$2:$B$1000,0)),"Missing from latest raw"),IFERROR(INDEX('Raw Provisioning'!$E$2:$E$1000,MATCH(A408,'Raw Provisioning'!$B$2:$B$1000,0)),"Missing from latest raw")))</x:f>
        <x:v>completed</x:v>
      </x:c>
      <x:c r="D408" s="171" t="n">
        <x:f>IF(A408="","",'Refresh Control'!$B$4)</x:f>
        <x:v>46254</x:v>
      </x:c>
      <x:c r="E408" s="171" t="n">
        <x:f>IF(A408="","",IF(B408="Decommissioning",INDEX('Raw Decommissioning'!$F$2:$F$1000,ROWS($A$5:A408)),INDEX('Raw Provisioning'!$F$2:$F$1000,ROWS($A$5:A408)-COUNTA('Raw Decommissioning'!$B$2:$B$1000))))</x:f>
        <x:v>46030.40226717592</x:v>
      </x:c>
      <x:c r="F408" s="171" t="n">
        <x:f>IF(A408="","",IF(B408="Decommissioning",INDEX('Raw Decommissioning'!$G$2:$G$1000,ROWS($A$5:A408)),INDEX('Raw Provisioning'!$H$2:$H$1000,ROWS($A$5:A408)-COUNTA('Raw Decommissioning'!$B$2:$B$1000))))</x:f>
        <x:v>46058.26339652778</x:v>
      </x:c>
      <x:c r="G408" s="170" t="str">
        <x:f>IF(A408="","",IF(B408="Decommissioning",INDEX('Raw Decommissioning'!$I$2:$I$1000,ROWS($A$5:A408)),INDEX('Raw Provisioning'!$J$2:$J$1000,ROWS($A$5:A408)-COUNTA('Raw Decommissioning'!$B$2:$B$1000))))</x:f>
        <x:v>Azure Cloud Hosting for KLCC Group Intranet and Internet</x:v>
      </x:c>
      <x:c r="H408" s="170" t="str">
        <x:f>IF(A408="","",IF(B408="Decommissioning",INDEX('Raw Decommissioning'!$J$2:$J$1000,ROWS($A$5:A408)),INDEX('Raw Provisioning'!$L$2:$L$1000,ROWS($A$5:A408)-COUNTA('Raw Decommissioning'!$B$2:$B$1000))))</x:f>
        <x:v>Provision of Azure Cloud Hosting for KLCC Group Intranet and Internet</x:v>
      </x:c>
      <x:c r="I408" s="170" t="str">
        <x:f>IF(A408="","",IF(B408="Decommissioning",INDEX('Raw Decommissioning'!$AL$2:$AL$1000,ROWS($A$5:A408)),INDEX('Raw Provisioning'!$R$2:$R$1000,ROWS($A$5:A408)-COUNTA('Raw Decommissioning'!$B$2:$B$1000))))</x:f>
        <x:v>M</x:v>
      </x:c>
      <x:c r="J408" s="170" t="str">
        <x:f>IF(A408="","",IF(B408="Decommissioning",INDEX('Raw Decommissioning'!$AG$2:$AG$1000,ROWS($A$5:A408)),INDEX('Raw Provisioning'!$AI$2:$AI$1000,ROWS($A$5:A408)-COUNTA('Raw Decommissioning'!$B$2:$B$1000))))</x:f>
        <x:v>mhaslan.abuhassan@petronas.com</x:v>
      </x:c>
      <x:c r="K408" s="172" t="str">
        <x:f>IF(A408="","",IFERROR(LOOKUP(2,1/('Assignment History'!$B$5:$B$204=A408),'Assignment History'!$D$5:$D$204),IFERROR(VLOOKUP(J408,Configuration!$L$5:$M$50,2,FALSE),J408)))</x:f>
        <x:v>mhaslan.abuhassan@petronas.com</x:v>
      </x:c>
      <x:c r="L408" s="172" t="str">
        <x:f>IF(A408="","",IF(K408=IFERROR(VLOOKUP(J408,Configuration!$L$5:$M$50,2,FALSE),J408),"Snapshot PIC","Replacement PIC"))</x:f>
        <x:v>Snapshot PIC</x:v>
      </x:c>
      <x:c r="M408" s="172" t="n">
        <x:f>IF(A408="","",IFERROR(VLOOKUP(I408,Configuration!$O$5:$P$8,2,FALSE),Configuration!$S$6))</x:f>
        <x:v>2</x:v>
      </x:c>
      <x:c r="N408" s="172" t="str">
        <x:f>IF(A408="","",IFERROR(LOOKUP(2,1/('Scope Review'!$B$5:$B$204=A408),'Scope Review'!$G$5:$G$204),"Not Reviewed"))</x:f>
        <x:v>Not Reviewed</x:v>
      </x:c>
      <x:c r="O408" s="172" t="str">
        <x:f>IF(A408="","",IFERROR(LOOKUP(2,1/('Scope Review'!$B$5:$B$204=A408),'Scope Review'!$H$5:$H$204),""))</x:f>
      </x:c>
      <x:c r="P408" s="172" t="n">
        <x:f>IF(A408="","",IF(AND(C408="executing",N408&lt;&gt;"Confirmed OOS"),M408,0))</x:f>
        <x:v>0</x:v>
      </x:c>
      <x:c r="Q408" s="173" t="str">
        <x:f>IF(A408="","",IFERROR(LOOKUP(2,1/('Engineer Updates'!$B$5:$B$704=A408),'Engineer Updates'!$A$5:$A$704),""))</x:f>
      </x:c>
      <x:c r="R408" s="172" t="str">
        <x:f>IF(A408="","",IFERROR(LOOKUP(2,1/('Engineer Updates'!$B$5:$B$704=A408),'Engineer Updates'!$H$5:$H$704),""))</x:f>
      </x:c>
      <x:c r="S408" s="172" t="str">
        <x:f>IF(A408="","",IFERROR(LOOKUP(2,1/('Engineer Updates'!$B$5:$B$704=A408),'Engineer Updates'!$G$5:$G$704),""))</x:f>
      </x:c>
      <x:c r="T408" s="172" t="str">
        <x:f>IF(A408="","",IFERROR(LOOKUP(2,1/('Engineer Updates'!$B$5:$B$704=A408),'Engineer Updates'!$I$5:$I$704),""))</x:f>
      </x:c>
      <x:c r="U408" s="172" t="str">
        <x:f>IF(A408="","",IFERROR(LOOKUP(2,1/('Engineer Updates'!$B$5:$B$704=A408),'Engineer Updates'!$J$5:$J$704),""))</x:f>
      </x:c>
      <x:c r="V408" s="172" t="str">
        <x:f>IF(A408="","",IFERROR(LOOKUP(2,1/('Engineer Updates'!$B$5:$B$704=A408),'Engineer Updates'!$K$5:$K$704),""))</x:f>
      </x:c>
      <x:c r="W408" s="174" t="str">
        <x:f>IF(A408="","",IFERROR(LOOKUP(2,1/('Engineer Updates'!$B$5:$B$704=A408),'Engineer Updates'!$L$5:$L$704),""))</x:f>
      </x:c>
      <x:c r="X408" s="170" t="str">
        <x:f>IF(A408="","",IF(C408="completed","Completed in CSSP",IF(AND(C408="executing",ISERROR(SEARCH("@",K408))),"Executing without named engineer",IF(AND(N408="Confirmed OOS",C408="executing"),"Confirmed OOS still executing",""))))</x:f>
        <x:v>Completed in CSSP</x:v>
      </x:c>
      <x:c r="Y408" s="170" t="str">
        <x:f>IF(A408="","",IF(B408="Decommissioning","Raw Decommissioning","Raw Provisioning"))</x:f>
        <x:v>Raw Provisioning</x:v>
      </x:c>
      <x:c r="Z408" s="170" t="str">
        <x:f>IF(A408="","",IF(OR(C408="executing",C408="processing"),"Yes","No"))</x:f>
        <x:v>No</x:v>
      </x:c>
    </x:row>
    <x:row r="409">
      <x:c r="A409" s="170" t="str">
        <x:f>IF(ROWS($A$5:A409)&lt;=COUNTA('Raw Decommissioning'!$B$2:$B$1000),INDEX('Raw Decommissioning'!$B$2:$B$1000,ROWS($A$5:A409)),IF(ROWS($A$5:A409)-COUNTA('Raw Decommissioning'!$B$2:$B$1000)&lt;=COUNTA('Raw Provisioning'!$B$2:$B$1000),INDEX('Raw Provisioning'!$B$2:$B$1000,ROWS($A$5:A409)-COUNTA('Raw Decommissioning'!$B$2:$B$1000)),""))</x:f>
        <x:v>CSSP10608230</x:v>
      </x:c>
      <x:c r="B409" s="170" t="str">
        <x:f>IF(A409="","",IF(ROWS($A$5:A409)&lt;=COUNTA('Raw Decommissioning'!$B$2:$B$1000),"Decommissioning","Provisioning"))</x:f>
        <x:v>Provisioning</x:v>
      </x:c>
      <x:c r="C409" s="170" t="str">
        <x:f>IF(A409="","",IF(B409="Decommissioning",IFERROR(INDEX('Raw Decommissioning'!$E$2:$E$1000,MATCH(A409,'Raw Decommissioning'!$B$2:$B$1000,0)),"Missing from latest raw"),IFERROR(INDEX('Raw Provisioning'!$E$2:$E$1000,MATCH(A409,'Raw Provisioning'!$B$2:$B$1000,0)),"Missing from latest raw")))</x:f>
        <x:v>completed</x:v>
      </x:c>
      <x:c r="D409" s="171" t="n">
        <x:f>IF(A409="","",'Refresh Control'!$B$4)</x:f>
        <x:v>46254</x:v>
      </x:c>
      <x:c r="E409" s="171" t="n">
        <x:f>IF(A409="","",IF(B409="Decommissioning",INDEX('Raw Decommissioning'!$F$2:$F$1000,ROWS($A$5:A409)),INDEX('Raw Provisioning'!$F$2:$F$1000,ROWS($A$5:A409)-COUNTA('Raw Decommissioning'!$B$2:$B$1000))))</x:f>
        <x:v>46030.40318162037</x:v>
      </x:c>
      <x:c r="F409" s="171" t="n">
        <x:f>IF(A409="","",IF(B409="Decommissioning",INDEX('Raw Decommissioning'!$G$2:$G$1000,ROWS($A$5:A409)),INDEX('Raw Provisioning'!$H$2:$H$1000,ROWS($A$5:A409)-COUNTA('Raw Decommissioning'!$B$2:$B$1000))))</x:f>
        <x:v>46058.26401905093</x:v>
      </x:c>
      <x:c r="G409" s="170" t="str">
        <x:f>IF(A409="","",IF(B409="Decommissioning",INDEX('Raw Decommissioning'!$I$2:$I$1000,ROWS($A$5:A409)),INDEX('Raw Provisioning'!$J$2:$J$1000,ROWS($A$5:A409)-COUNTA('Raw Decommissioning'!$B$2:$B$1000))))</x:f>
        <x:v>Azure Cloud Hosting for KLCC Group Intranet and Internet</x:v>
      </x:c>
      <x:c r="H409" s="170" t="str">
        <x:f>IF(A409="","",IF(B409="Decommissioning",INDEX('Raw Decommissioning'!$J$2:$J$1000,ROWS($A$5:A409)),INDEX('Raw Provisioning'!$L$2:$L$1000,ROWS($A$5:A409)-COUNTA('Raw Decommissioning'!$B$2:$B$1000))))</x:f>
        <x:v>Provision of Azure Cloud Hosting for KLCC Group Intranet and Internet</x:v>
      </x:c>
      <x:c r="I409" s="170" t="str">
        <x:f>IF(A409="","",IF(B409="Decommissioning",INDEX('Raw Decommissioning'!$AL$2:$AL$1000,ROWS($A$5:A409)),INDEX('Raw Provisioning'!$R$2:$R$1000,ROWS($A$5:A409)-COUNTA('Raw Decommissioning'!$B$2:$B$1000))))</x:f>
        <x:v>M</x:v>
      </x:c>
      <x:c r="J409" s="170" t="str">
        <x:f>IF(A409="","",IF(B409="Decommissioning",INDEX('Raw Decommissioning'!$AG$2:$AG$1000,ROWS($A$5:A409)),INDEX('Raw Provisioning'!$AI$2:$AI$1000,ROWS($A$5:A409)-COUNTA('Raw Decommissioning'!$B$2:$B$1000))))</x:f>
        <x:v>mhaslan.abuhassan@petronas.com</x:v>
      </x:c>
      <x:c r="K409" s="172" t="str">
        <x:f>IF(A409="","",IFERROR(LOOKUP(2,1/('Assignment History'!$B$5:$B$204=A409),'Assignment History'!$D$5:$D$204),IFERROR(VLOOKUP(J409,Configuration!$L$5:$M$50,2,FALSE),J409)))</x:f>
        <x:v>mhaslan.abuhassan@petronas.com</x:v>
      </x:c>
      <x:c r="L409" s="172" t="str">
        <x:f>IF(A409="","",IF(K409=IFERROR(VLOOKUP(J409,Configuration!$L$5:$M$50,2,FALSE),J409),"Snapshot PIC","Replacement PIC"))</x:f>
        <x:v>Snapshot PIC</x:v>
      </x:c>
      <x:c r="M409" s="172" t="n">
        <x:f>IF(A409="","",IFERROR(VLOOKUP(I409,Configuration!$O$5:$P$8,2,FALSE),Configuration!$S$6))</x:f>
        <x:v>2</x:v>
      </x:c>
      <x:c r="N409" s="172" t="str">
        <x:f>IF(A409="","",IFERROR(LOOKUP(2,1/('Scope Review'!$B$5:$B$204=A409),'Scope Review'!$G$5:$G$204),"Not Reviewed"))</x:f>
        <x:v>Not Reviewed</x:v>
      </x:c>
      <x:c r="O409" s="172" t="str">
        <x:f>IF(A409="","",IFERROR(LOOKUP(2,1/('Scope Review'!$B$5:$B$204=A409),'Scope Review'!$H$5:$H$204),""))</x:f>
      </x:c>
      <x:c r="P409" s="172" t="n">
        <x:f>IF(A409="","",IF(AND(C409="executing",N409&lt;&gt;"Confirmed OOS"),M409,0))</x:f>
        <x:v>0</x:v>
      </x:c>
      <x:c r="Q409" s="173" t="str">
        <x:f>IF(A409="","",IFERROR(LOOKUP(2,1/('Engineer Updates'!$B$5:$B$704=A409),'Engineer Updates'!$A$5:$A$704),""))</x:f>
      </x:c>
      <x:c r="R409" s="172" t="str">
        <x:f>IF(A409="","",IFERROR(LOOKUP(2,1/('Engineer Updates'!$B$5:$B$704=A409),'Engineer Updates'!$H$5:$H$704),""))</x:f>
      </x:c>
      <x:c r="S409" s="172" t="str">
        <x:f>IF(A409="","",IFERROR(LOOKUP(2,1/('Engineer Updates'!$B$5:$B$704=A409),'Engineer Updates'!$G$5:$G$704),""))</x:f>
      </x:c>
      <x:c r="T409" s="172" t="str">
        <x:f>IF(A409="","",IFERROR(LOOKUP(2,1/('Engineer Updates'!$B$5:$B$704=A409),'Engineer Updates'!$I$5:$I$704),""))</x:f>
      </x:c>
      <x:c r="U409" s="172" t="str">
        <x:f>IF(A409="","",IFERROR(LOOKUP(2,1/('Engineer Updates'!$B$5:$B$704=A409),'Engineer Updates'!$J$5:$J$704),""))</x:f>
      </x:c>
      <x:c r="V409" s="172" t="str">
        <x:f>IF(A409="","",IFERROR(LOOKUP(2,1/('Engineer Updates'!$B$5:$B$704=A409),'Engineer Updates'!$K$5:$K$704),""))</x:f>
      </x:c>
      <x:c r="W409" s="174" t="str">
        <x:f>IF(A409="","",IFERROR(LOOKUP(2,1/('Engineer Updates'!$B$5:$B$704=A409),'Engineer Updates'!$L$5:$L$704),""))</x:f>
      </x:c>
      <x:c r="X409" s="170" t="str">
        <x:f>IF(A409="","",IF(C409="completed","Completed in CSSP",IF(AND(C409="executing",ISERROR(SEARCH("@",K409))),"Executing without named engineer",IF(AND(N409="Confirmed OOS",C409="executing"),"Confirmed OOS still executing",""))))</x:f>
        <x:v>Completed in CSSP</x:v>
      </x:c>
      <x:c r="Y409" s="170" t="str">
        <x:f>IF(A409="","",IF(B409="Decommissioning","Raw Decommissioning","Raw Provisioning"))</x:f>
        <x:v>Raw Provisioning</x:v>
      </x:c>
      <x:c r="Z409" s="170" t="str">
        <x:f>IF(A409="","",IF(OR(C409="executing",C409="processing"),"Yes","No"))</x:f>
        <x:v>No</x:v>
      </x:c>
    </x:row>
    <x:row r="410">
      <x:c r="A410" s="170" t="str">
        <x:f>IF(ROWS($A$5:A410)&lt;=COUNTA('Raw Decommissioning'!$B$2:$B$1000),INDEX('Raw Decommissioning'!$B$2:$B$1000,ROWS($A$5:A410)),IF(ROWS($A$5:A410)-COUNTA('Raw Decommissioning'!$B$2:$B$1000)&lt;=COUNTA('Raw Provisioning'!$B$2:$B$1000),INDEX('Raw Provisioning'!$B$2:$B$1000,ROWS($A$5:A410)-COUNTA('Raw Decommissioning'!$B$2:$B$1000)),""))</x:f>
        <x:v>CSSP10579375</x:v>
      </x:c>
      <x:c r="B410" s="170" t="str">
        <x:f>IF(A410="","",IF(ROWS($A$5:A410)&lt;=COUNTA('Raw Decommissioning'!$B$2:$B$1000),"Decommissioning","Provisioning"))</x:f>
        <x:v>Provisioning</x:v>
      </x:c>
      <x:c r="C410" s="170" t="str">
        <x:f>IF(A410="","",IF(B410="Decommissioning",IFERROR(INDEX('Raw Decommissioning'!$E$2:$E$1000,MATCH(A410,'Raw Decommissioning'!$B$2:$B$1000,0)),"Missing from latest raw"),IFERROR(INDEX('Raw Provisioning'!$E$2:$E$1000,MATCH(A410,'Raw Provisioning'!$B$2:$B$1000,0)),"Missing from latest raw")))</x:f>
        <x:v>rejected</x:v>
      </x:c>
      <x:c r="D410" s="171" t="n">
        <x:f>IF(A410="","",'Refresh Control'!$B$4)</x:f>
        <x:v>46254</x:v>
      </x:c>
      <x:c r="E410" s="171" t="n">
        <x:f>IF(A410="","",IF(B410="Decommissioning",INDEX('Raw Decommissioning'!$F$2:$F$1000,ROWS($A$5:A410)),INDEX('Raw Provisioning'!$F$2:$F$1000,ROWS($A$5:A410)-COUNTA('Raw Decommissioning'!$B$2:$B$1000))))</x:f>
        <x:v>46031.37160666667</x:v>
      </x:c>
      <x:c r="F410" s="171" t="n">
        <x:f>IF(A410="","",IF(B410="Decommissioning",INDEX('Raw Decommissioning'!$G$2:$G$1000,ROWS($A$5:A410)),INDEX('Raw Provisioning'!$H$2:$H$1000,ROWS($A$5:A410)-COUNTA('Raw Decommissioning'!$B$2:$B$1000))))</x:f>
        <x:v>46044.070796597225</x:v>
      </x:c>
      <x:c r="G410" s="170" t="str">
        <x:f>IF(A410="","",IF(B410="Decommissioning",INDEX('Raw Decommissioning'!$I$2:$I$1000,ROWS($A$5:A410)),INDEX('Raw Provisioning'!$J$2:$J$1000,ROWS($A$5:A410)-COUNTA('Raw Decommissioning'!$B$2:$B$1000))))</x:f>
        <x:v>Mygenie</x:v>
      </x:c>
      <x:c r="H410" s="170" t="str">
        <x:f>IF(A410="","",IF(B410="Decommissioning",INDEX('Raw Decommissioning'!$J$2:$J$1000,ROWS($A$5:A410)),INDEX('Raw Provisioning'!$L$2:$L$1000,ROWS($A$5:A410)-COUNTA('Raw Decommissioning'!$B$2:$B$1000))))</x:f>
        <x:v>Cloud Migration Program - Mygenie+ Admin Portal</x:v>
      </x:c>
      <x:c r="I410" s="170" t="str">
        <x:f>IF(A410="","",IF(B410="Decommissioning",INDEX('Raw Decommissioning'!$AL$2:$AL$1000,ROWS($A$5:A410)),INDEX('Raw Provisioning'!$R$2:$R$1000,ROWS($A$5:A410)-COUNTA('Raw Decommissioning'!$B$2:$B$1000))))</x:f>
      </x:c>
      <x:c r="J410" s="170" t="str">
        <x:f>IF(A410="","",IF(B410="Decommissioning",INDEX('Raw Decommissioning'!$AG$2:$AG$1000,ROWS($A$5:A410)),INDEX('Raw Provisioning'!$AI$2:$AI$1000,ROWS($A$5:A410)-COUNTA('Raw Decommissioning'!$B$2:$B$1000))))</x:f>
        <x:v>CCoE Core Services (Public)</x:v>
      </x:c>
      <x:c r="K410" s="172" t="str">
        <x:f>IF(A410="","",IFERROR(LOOKUP(2,1/('Assignment History'!$B$5:$B$204=A410),'Assignment History'!$D$5:$D$204),IFERROR(VLOOKUP(J410,Configuration!$L$5:$M$50,2,FALSE),J410)))</x:f>
        <x:v>CCoE Core Services (Public)</x:v>
      </x:c>
      <x:c r="L410" s="172" t="str">
        <x:f>IF(A410="","",IF(K410=IFERROR(VLOOKUP(J410,Configuration!$L$5:$M$50,2,FALSE),J410),"Snapshot PIC","Replacement PIC"))</x:f>
        <x:v>Snapshot PIC</x:v>
      </x:c>
      <x:c r="M410" s="172" t="n">
        <x:f>IF(A410="","",IFERROR(VLOOKUP(I410,Configuration!$O$5:$P$8,2,FALSE),Configuration!$S$6))</x:f>
        <x:v>2</x:v>
      </x:c>
      <x:c r="N410" s="172" t="str">
        <x:f>IF(A410="","",IFERROR(LOOKUP(2,1/('Scope Review'!$B$5:$B$204=A410),'Scope Review'!$G$5:$G$204),"Not Reviewed"))</x:f>
        <x:v>Not Reviewed</x:v>
      </x:c>
      <x:c r="O410" s="172" t="str">
        <x:f>IF(A410="","",IFERROR(LOOKUP(2,1/('Scope Review'!$B$5:$B$204=A410),'Scope Review'!$H$5:$H$204),""))</x:f>
      </x:c>
      <x:c r="P410" s="172" t="n">
        <x:f>IF(A410="","",IF(AND(C410="executing",N410&lt;&gt;"Confirmed OOS"),M410,0))</x:f>
        <x:v>0</x:v>
      </x:c>
      <x:c r="Q410" s="173" t="str">
        <x:f>IF(A410="","",IFERROR(LOOKUP(2,1/('Engineer Updates'!$B$5:$B$704=A410),'Engineer Updates'!$A$5:$A$704),""))</x:f>
      </x:c>
      <x:c r="R410" s="172" t="str">
        <x:f>IF(A410="","",IFERROR(LOOKUP(2,1/('Engineer Updates'!$B$5:$B$704=A410),'Engineer Updates'!$H$5:$H$704),""))</x:f>
      </x:c>
      <x:c r="S410" s="172" t="str">
        <x:f>IF(A410="","",IFERROR(LOOKUP(2,1/('Engineer Updates'!$B$5:$B$704=A410),'Engineer Updates'!$G$5:$G$704),""))</x:f>
      </x:c>
      <x:c r="T410" s="172" t="str">
        <x:f>IF(A410="","",IFERROR(LOOKUP(2,1/('Engineer Updates'!$B$5:$B$704=A410),'Engineer Updates'!$I$5:$I$704),""))</x:f>
      </x:c>
      <x:c r="U410" s="172" t="str">
        <x:f>IF(A410="","",IFERROR(LOOKUP(2,1/('Engineer Updates'!$B$5:$B$704=A410),'Engineer Updates'!$J$5:$J$704),""))</x:f>
      </x:c>
      <x:c r="V410" s="172" t="str">
        <x:f>IF(A410="","",IFERROR(LOOKUP(2,1/('Engineer Updates'!$B$5:$B$704=A410),'Engineer Updates'!$K$5:$K$704),""))</x:f>
      </x:c>
      <x:c r="W410" s="174" t="str">
        <x:f>IF(A410="","",IFERROR(LOOKUP(2,1/('Engineer Updates'!$B$5:$B$704=A410),'Engineer Updates'!$L$5:$L$704),""))</x:f>
      </x:c>
      <x:c r="X410" s="170" t="str">
        <x:f>IF(A410="","",IF(C410="completed","Completed in CSSP",IF(AND(C410="executing",ISERROR(SEARCH("@",K410))),"Executing without named engineer",IF(AND(N410="Confirmed OOS",C410="executing"),"Confirmed OOS still executing",""))))</x:f>
      </x:c>
      <x:c r="Y410" s="170" t="str">
        <x:f>IF(A410="","",IF(B410="Decommissioning","Raw Decommissioning","Raw Provisioning"))</x:f>
        <x:v>Raw Provisioning</x:v>
      </x:c>
      <x:c r="Z410" s="170" t="str">
        <x:f>IF(A410="","",IF(OR(C410="executing",C410="processing"),"Yes","No"))</x:f>
        <x:v>No</x:v>
      </x:c>
    </x:row>
    <x:row r="411">
      <x:c r="A411" s="170" t="str">
        <x:f>IF(ROWS($A$5:A411)&lt;=COUNTA('Raw Decommissioning'!$B$2:$B$1000),INDEX('Raw Decommissioning'!$B$2:$B$1000,ROWS($A$5:A411)),IF(ROWS($A$5:A411)-COUNTA('Raw Decommissioning'!$B$2:$B$1000)&lt;=COUNTA('Raw Provisioning'!$B$2:$B$1000),INDEX('Raw Provisioning'!$B$2:$B$1000,ROWS($A$5:A411)-COUNTA('Raw Decommissioning'!$B$2:$B$1000)),""))</x:f>
        <x:v>CSSP10518956</x:v>
      </x:c>
      <x:c r="B411" s="170" t="str">
        <x:f>IF(A411="","",IF(ROWS($A$5:A411)&lt;=COUNTA('Raw Decommissioning'!$B$2:$B$1000),"Decommissioning","Provisioning"))</x:f>
        <x:v>Provisioning</x:v>
      </x:c>
      <x:c r="C411" s="170" t="str">
        <x:f>IF(A411="","",IF(B411="Decommissioning",IFERROR(INDEX('Raw Decommissioning'!$E$2:$E$1000,MATCH(A411,'Raw Decommissioning'!$B$2:$B$1000,0)),"Missing from latest raw"),IFERROR(INDEX('Raw Provisioning'!$E$2:$E$1000,MATCH(A411,'Raw Provisioning'!$B$2:$B$1000,0)),"Missing from latest raw")))</x:f>
        <x:v>completed</x:v>
      </x:c>
      <x:c r="D411" s="171" t="n">
        <x:f>IF(A411="","",'Refresh Control'!$B$4)</x:f>
        <x:v>46254</x:v>
      </x:c>
      <x:c r="E411" s="171" t="n">
        <x:f>IF(A411="","",IF(B411="Decommissioning",INDEX('Raw Decommissioning'!$F$2:$F$1000,ROWS($A$5:A411)),INDEX('Raw Provisioning'!$F$2:$F$1000,ROWS($A$5:A411)-COUNTA('Raw Decommissioning'!$B$2:$B$1000))))</x:f>
        <x:v>46034.075134583334</x:v>
      </x:c>
      <x:c r="F411" s="171" t="n">
        <x:f>IF(A411="","",IF(B411="Decommissioning",INDEX('Raw Decommissioning'!$G$2:$G$1000,ROWS($A$5:A411)),INDEX('Raw Provisioning'!$H$2:$H$1000,ROWS($A$5:A411)-COUNTA('Raw Decommissioning'!$B$2:$B$1000))))</x:f>
        <x:v>46036.18383059028</x:v>
      </x:c>
      <x:c r="G411" s="170" t="str">
        <x:f>IF(A411="","",IF(B411="Decommissioning",INDEX('Raw Decommissioning'!$I$2:$I$1000,ROWS($A$5:A411)),INDEX('Raw Provisioning'!$J$2:$J$1000,ROWS($A$5:A411)-COUNTA('Raw Decommissioning'!$B$2:$B$1000))))</x:f>
        <x:v>Cloud Self Service Portal - CSSP</x:v>
      </x:c>
      <x:c r="H411" s="170" t="str">
        <x:f>IF(A411="","",IF(B411="Decommissioning",INDEX('Raw Decommissioning'!$J$2:$J$1000,ROWS($A$5:A411)),INDEX('Raw Provisioning'!$L$2:$L$1000,ROWS($A$5:A411)-COUNTA('Raw Decommissioning'!$B$2:$B$1000))))</x:f>
        <x:v>CloudSSP</x:v>
      </x:c>
      <x:c r="I411" s="170" t="str">
        <x:f>IF(A411="","",IF(B411="Decommissioning",INDEX('Raw Decommissioning'!$AL$2:$AL$1000,ROWS($A$5:A411)),INDEX('Raw Provisioning'!$R$2:$R$1000,ROWS($A$5:A411)-COUNTA('Raw Decommissioning'!$B$2:$B$1000))))</x:f>
        <x:v>S</x:v>
      </x:c>
      <x:c r="J411" s="170" t="str">
        <x:f>IF(A411="","",IF(B411="Decommissioning",INDEX('Raw Decommissioning'!$AG$2:$AG$1000,ROWS($A$5:A411)),INDEX('Raw Provisioning'!$AI$2:$AI$1000,ROWS($A$5:A411)-COUNTA('Raw Decommissioning'!$B$2:$B$1000))))</x:f>
        <x:v>afnanfarhan.dzaharud@petronas.com</x:v>
      </x:c>
      <x:c r="K411" s="172" t="str">
        <x:f>IF(A411="","",IFERROR(LOOKUP(2,1/('Assignment History'!$B$5:$B$204=A411),'Assignment History'!$D$5:$D$204),IFERROR(VLOOKUP(J411,Configuration!$L$5:$M$50,2,FALSE),J411)))</x:f>
        <x:v>afnanfarhan.dzaharud@petronas.com</x:v>
      </x:c>
      <x:c r="L411" s="172" t="str">
        <x:f>IF(A411="","",IF(K411=IFERROR(VLOOKUP(J411,Configuration!$L$5:$M$50,2,FALSE),J411),"Snapshot PIC","Replacement PIC"))</x:f>
        <x:v>Snapshot PIC</x:v>
      </x:c>
      <x:c r="M411" s="172" t="n">
        <x:f>IF(A411="","",IFERROR(VLOOKUP(I411,Configuration!$O$5:$P$8,2,FALSE),Configuration!$S$6))</x:f>
        <x:v>1</x:v>
      </x:c>
      <x:c r="N411" s="172" t="str">
        <x:f>IF(A411="","",IFERROR(LOOKUP(2,1/('Scope Review'!$B$5:$B$204=A411),'Scope Review'!$G$5:$G$204),"Not Reviewed"))</x:f>
        <x:v>Not Reviewed</x:v>
      </x:c>
      <x:c r="O411" s="172" t="str">
        <x:f>IF(A411="","",IFERROR(LOOKUP(2,1/('Scope Review'!$B$5:$B$204=A411),'Scope Review'!$H$5:$H$204),""))</x:f>
      </x:c>
      <x:c r="P411" s="172" t="n">
        <x:f>IF(A411="","",IF(AND(C411="executing",N411&lt;&gt;"Confirmed OOS"),M411,0))</x:f>
        <x:v>0</x:v>
      </x:c>
      <x:c r="Q411" s="173" t="str">
        <x:f>IF(A411="","",IFERROR(LOOKUP(2,1/('Engineer Updates'!$B$5:$B$704=A411),'Engineer Updates'!$A$5:$A$704),""))</x:f>
      </x:c>
      <x:c r="R411" s="172" t="str">
        <x:f>IF(A411="","",IFERROR(LOOKUP(2,1/('Engineer Updates'!$B$5:$B$704=A411),'Engineer Updates'!$H$5:$H$704),""))</x:f>
      </x:c>
      <x:c r="S411" s="172" t="str">
        <x:f>IF(A411="","",IFERROR(LOOKUP(2,1/('Engineer Updates'!$B$5:$B$704=A411),'Engineer Updates'!$G$5:$G$704),""))</x:f>
      </x:c>
      <x:c r="T411" s="172" t="str">
        <x:f>IF(A411="","",IFERROR(LOOKUP(2,1/('Engineer Updates'!$B$5:$B$704=A411),'Engineer Updates'!$I$5:$I$704),""))</x:f>
      </x:c>
      <x:c r="U411" s="172" t="str">
        <x:f>IF(A411="","",IFERROR(LOOKUP(2,1/('Engineer Updates'!$B$5:$B$704=A411),'Engineer Updates'!$J$5:$J$704),""))</x:f>
      </x:c>
      <x:c r="V411" s="172" t="str">
        <x:f>IF(A411="","",IFERROR(LOOKUP(2,1/('Engineer Updates'!$B$5:$B$704=A411),'Engineer Updates'!$K$5:$K$704),""))</x:f>
      </x:c>
      <x:c r="W411" s="174" t="str">
        <x:f>IF(A411="","",IFERROR(LOOKUP(2,1/('Engineer Updates'!$B$5:$B$704=A411),'Engineer Updates'!$L$5:$L$704),""))</x:f>
      </x:c>
      <x:c r="X411" s="170" t="str">
        <x:f>IF(A411="","",IF(C411="completed","Completed in CSSP",IF(AND(C411="executing",ISERROR(SEARCH("@",K411))),"Executing without named engineer",IF(AND(N411="Confirmed OOS",C411="executing"),"Confirmed OOS still executing",""))))</x:f>
        <x:v>Completed in CSSP</x:v>
      </x:c>
      <x:c r="Y411" s="170" t="str">
        <x:f>IF(A411="","",IF(B411="Decommissioning","Raw Decommissioning","Raw Provisioning"))</x:f>
        <x:v>Raw Provisioning</x:v>
      </x:c>
      <x:c r="Z411" s="170" t="str">
        <x:f>IF(A411="","",IF(OR(C411="executing",C411="processing"),"Yes","No"))</x:f>
        <x:v>No</x:v>
      </x:c>
    </x:row>
    <x:row r="412">
      <x:c r="A412" s="170" t="str">
        <x:f>IF(ROWS($A$5:A412)&lt;=COUNTA('Raw Decommissioning'!$B$2:$B$1000),INDEX('Raw Decommissioning'!$B$2:$B$1000,ROWS($A$5:A412)),IF(ROWS($A$5:A412)-COUNTA('Raw Decommissioning'!$B$2:$B$1000)&lt;=COUNTA('Raw Provisioning'!$B$2:$B$1000),INDEX('Raw Provisioning'!$B$2:$B$1000,ROWS($A$5:A412)-COUNTA('Raw Decommissioning'!$B$2:$B$1000)),""))</x:f>
        <x:v>CSSP10788217</x:v>
      </x:c>
      <x:c r="B412" s="170" t="str">
        <x:f>IF(A412="","",IF(ROWS($A$5:A412)&lt;=COUNTA('Raw Decommissioning'!$B$2:$B$1000),"Decommissioning","Provisioning"))</x:f>
        <x:v>Provisioning</x:v>
      </x:c>
      <x:c r="C412" s="170" t="str">
        <x:f>IF(A412="","",IF(B412="Decommissioning",IFERROR(INDEX('Raw Decommissioning'!$E$2:$E$1000,MATCH(A412,'Raw Decommissioning'!$B$2:$B$1000,0)),"Missing from latest raw"),IFERROR(INDEX('Raw Provisioning'!$E$2:$E$1000,MATCH(A412,'Raw Provisioning'!$B$2:$B$1000,0)),"Missing from latest raw")))</x:f>
        <x:v>completed</x:v>
      </x:c>
      <x:c r="D412" s="171" t="n">
        <x:f>IF(A412="","",'Refresh Control'!$B$4)</x:f>
        <x:v>46254</x:v>
      </x:c>
      <x:c r="E412" s="171" t="n">
        <x:f>IF(A412="","",IF(B412="Decommissioning",INDEX('Raw Decommissioning'!$F$2:$F$1000,ROWS($A$5:A412)),INDEX('Raw Provisioning'!$F$2:$F$1000,ROWS($A$5:A412)-COUNTA('Raw Decommissioning'!$B$2:$B$1000))))</x:f>
        <x:v>46034.18004216435</x:v>
      </x:c>
      <x:c r="F412" s="171" t="n">
        <x:f>IF(A412="","",IF(B412="Decommissioning",INDEX('Raw Decommissioning'!$G$2:$G$1000,ROWS($A$5:A412)),INDEX('Raw Provisioning'!$H$2:$H$1000,ROWS($A$5:A412)-COUNTA('Raw Decommissioning'!$B$2:$B$1000))))</x:f>
        <x:v>46064.17130173611</x:v>
      </x:c>
      <x:c r="G412" s="170" t="str">
        <x:f>IF(A412="","",IF(B412="Decommissioning",INDEX('Raw Decommissioning'!$I$2:$I$1000,ROWS($A$5:A412)),INDEX('Raw Provisioning'!$J$2:$J$1000,ROWS($A$5:A412)-COUNTA('Raw Decommissioning'!$B$2:$B$1000))))</x:f>
        <x:v>Enterprise Data Hub - EDH</x:v>
      </x:c>
      <x:c r="H412" s="170" t="str">
        <x:f>IF(A412="","",IF(B412="Decommissioning",INDEX('Raw Decommissioning'!$J$2:$J$1000,ROWS($A$5:A412)),INDEX('Raw Provisioning'!$L$2:$L$1000,ROWS($A$5:A412)-COUNTA('Raw Decommissioning'!$B$2:$B$1000))))</x:f>
        <x:v>PETRONAS Enterprise Data Hub</x:v>
      </x:c>
      <x:c r="I412" s="170" t="str">
        <x:f>IF(A412="","",IF(B412="Decommissioning",INDEX('Raw Decommissioning'!$AL$2:$AL$1000,ROWS($A$5:A412)),INDEX('Raw Provisioning'!$R$2:$R$1000,ROWS($A$5:A412)-COUNTA('Raw Decommissioning'!$B$2:$B$1000))))</x:f>
        <x:v>S</x:v>
      </x:c>
      <x:c r="J412" s="170" t="str">
        <x:f>IF(A412="","",IF(B412="Decommissioning",INDEX('Raw Decommissioning'!$AG$2:$AG$1000,ROWS($A$5:A412)),INDEX('Raw Provisioning'!$AI$2:$AI$1000,ROWS($A$5:A412)-COUNTA('Raw Decommissioning'!$B$2:$B$1000))))</x:f>
        <x:v>wanahmadfaizal.wanm@petronas.com</x:v>
      </x:c>
      <x:c r="K412" s="172" t="str">
        <x:f>IF(A412="","",IFERROR(LOOKUP(2,1/('Assignment History'!$B$5:$B$204=A412),'Assignment History'!$D$5:$D$204),IFERROR(VLOOKUP(J412,Configuration!$L$5:$M$50,2,FALSE),J412)))</x:f>
        <x:v>wanahmadfaizal.wanm@petronas.com</x:v>
      </x:c>
      <x:c r="L412" s="172" t="str">
        <x:f>IF(A412="","",IF(K412=IFERROR(VLOOKUP(J412,Configuration!$L$5:$M$50,2,FALSE),J412),"Snapshot PIC","Replacement PIC"))</x:f>
        <x:v>Snapshot PIC</x:v>
      </x:c>
      <x:c r="M412" s="172" t="n">
        <x:f>IF(A412="","",IFERROR(VLOOKUP(I412,Configuration!$O$5:$P$8,2,FALSE),Configuration!$S$6))</x:f>
        <x:v>1</x:v>
      </x:c>
      <x:c r="N412" s="172" t="str">
        <x:f>IF(A412="","",IFERROR(LOOKUP(2,1/('Scope Review'!$B$5:$B$204=A412),'Scope Review'!$G$5:$G$204),"Not Reviewed"))</x:f>
        <x:v>Not Reviewed</x:v>
      </x:c>
      <x:c r="O412" s="172" t="str">
        <x:f>IF(A412="","",IFERROR(LOOKUP(2,1/('Scope Review'!$B$5:$B$204=A412),'Scope Review'!$H$5:$H$204),""))</x:f>
      </x:c>
      <x:c r="P412" s="172" t="n">
        <x:f>IF(A412="","",IF(AND(C412="executing",N412&lt;&gt;"Confirmed OOS"),M412,0))</x:f>
        <x:v>0</x:v>
      </x:c>
      <x:c r="Q412" s="173" t="str">
        <x:f>IF(A412="","",IFERROR(LOOKUP(2,1/('Engineer Updates'!$B$5:$B$704=A412),'Engineer Updates'!$A$5:$A$704),""))</x:f>
      </x:c>
      <x:c r="R412" s="172" t="str">
        <x:f>IF(A412="","",IFERROR(LOOKUP(2,1/('Engineer Updates'!$B$5:$B$704=A412),'Engineer Updates'!$H$5:$H$704),""))</x:f>
      </x:c>
      <x:c r="S412" s="172" t="str">
        <x:f>IF(A412="","",IFERROR(LOOKUP(2,1/('Engineer Updates'!$B$5:$B$704=A412),'Engineer Updates'!$G$5:$G$704),""))</x:f>
      </x:c>
      <x:c r="T412" s="172" t="str">
        <x:f>IF(A412="","",IFERROR(LOOKUP(2,1/('Engineer Updates'!$B$5:$B$704=A412),'Engineer Updates'!$I$5:$I$704),""))</x:f>
      </x:c>
      <x:c r="U412" s="172" t="str">
        <x:f>IF(A412="","",IFERROR(LOOKUP(2,1/('Engineer Updates'!$B$5:$B$704=A412),'Engineer Updates'!$J$5:$J$704),""))</x:f>
      </x:c>
      <x:c r="V412" s="172" t="str">
        <x:f>IF(A412="","",IFERROR(LOOKUP(2,1/('Engineer Updates'!$B$5:$B$704=A412),'Engineer Updates'!$K$5:$K$704),""))</x:f>
      </x:c>
      <x:c r="W412" s="174" t="str">
        <x:f>IF(A412="","",IFERROR(LOOKUP(2,1/('Engineer Updates'!$B$5:$B$704=A412),'Engineer Updates'!$L$5:$L$704),""))</x:f>
      </x:c>
      <x:c r="X412" s="170" t="str">
        <x:f>IF(A412="","",IF(C412="completed","Completed in CSSP",IF(AND(C412="executing",ISERROR(SEARCH("@",K412))),"Executing without named engineer",IF(AND(N412="Confirmed OOS",C412="executing"),"Confirmed OOS still executing",""))))</x:f>
        <x:v>Completed in CSSP</x:v>
      </x:c>
      <x:c r="Y412" s="170" t="str">
        <x:f>IF(A412="","",IF(B412="Decommissioning","Raw Decommissioning","Raw Provisioning"))</x:f>
        <x:v>Raw Provisioning</x:v>
      </x:c>
      <x:c r="Z412" s="170" t="str">
        <x:f>IF(A412="","",IF(OR(C412="executing",C412="processing"),"Yes","No"))</x:f>
        <x:v>No</x:v>
      </x:c>
    </x:row>
    <x:row r="413">
      <x:c r="A413" s="170" t="str">
        <x:f>IF(ROWS($A$5:A413)&lt;=COUNTA('Raw Decommissioning'!$B$2:$B$1000),INDEX('Raw Decommissioning'!$B$2:$B$1000,ROWS($A$5:A413)),IF(ROWS($A$5:A413)-COUNTA('Raw Decommissioning'!$B$2:$B$1000)&lt;=COUNTA('Raw Provisioning'!$B$2:$B$1000),INDEX('Raw Provisioning'!$B$2:$B$1000,ROWS($A$5:A413)-COUNTA('Raw Decommissioning'!$B$2:$B$1000)),""))</x:f>
        <x:v>CSSP10283005</x:v>
      </x:c>
      <x:c r="B413" s="170" t="str">
        <x:f>IF(A413="","",IF(ROWS($A$5:A413)&lt;=COUNTA('Raw Decommissioning'!$B$2:$B$1000),"Decommissioning","Provisioning"))</x:f>
        <x:v>Provisioning</x:v>
      </x:c>
      <x:c r="C413" s="170" t="str">
        <x:f>IF(A413="","",IF(B413="Decommissioning",IFERROR(INDEX('Raw Decommissioning'!$E$2:$E$1000,MATCH(A413,'Raw Decommissioning'!$B$2:$B$1000,0)),"Missing from latest raw"),IFERROR(INDEX('Raw Provisioning'!$E$2:$E$1000,MATCH(A413,'Raw Provisioning'!$B$2:$B$1000,0)),"Missing from latest raw")))</x:f>
        <x:v>completed</x:v>
      </x:c>
      <x:c r="D413" s="171" t="n">
        <x:f>IF(A413="","",'Refresh Control'!$B$4)</x:f>
        <x:v>46254</x:v>
      </x:c>
      <x:c r="E413" s="171" t="n">
        <x:f>IF(A413="","",IF(B413="Decommissioning",INDEX('Raw Decommissioning'!$F$2:$F$1000,ROWS($A$5:A413)),INDEX('Raw Provisioning'!$F$2:$F$1000,ROWS($A$5:A413)-COUNTA('Raw Decommissioning'!$B$2:$B$1000))))</x:f>
        <x:v>46035.317188009256</x:v>
      </x:c>
      <x:c r="F413" s="171" t="n">
        <x:f>IF(A413="","",IF(B413="Decommissioning",INDEX('Raw Decommissioning'!$G$2:$G$1000,ROWS($A$5:A413)),INDEX('Raw Provisioning'!$H$2:$H$1000,ROWS($A$5:A413)-COUNTA('Raw Decommissioning'!$B$2:$B$1000))))</x:f>
        <x:v>46064.286271944446</x:v>
      </x:c>
      <x:c r="G413" s="170" t="str">
        <x:f>IF(A413="","",IF(B413="Decommissioning",INDEX('Raw Decommissioning'!$I$2:$I$1000,ROWS($A$5:A413)),INDEX('Raw Provisioning'!$J$2:$J$1000,ROWS($A$5:A413)-COUNTA('Raw Decommissioning'!$B$2:$B$1000))))</x:f>
        <x:v>Data Science Advanced Analytics</x:v>
      </x:c>
      <x:c r="H413" s="170" t="str">
        <x:f>IF(A413="","",IF(B413="Decommissioning",INDEX('Raw Decommissioning'!$J$2:$J$1000,ROWS($A$5:A413)),INDEX('Raw Provisioning'!$L$2:$L$1000,ROWS($A$5:A413)-COUNTA('Raw Decommissioning'!$B$2:$B$1000))))</x:f>
        <x:v>Provisioning Dedicated Advanced Analytics subscription (Terraform-enabled Azure Cloud Infrastructure) for Data Science Department</x:v>
      </x:c>
      <x:c r="I413" s="170" t="str">
        <x:f>IF(A413="","",IF(B413="Decommissioning",INDEX('Raw Decommissioning'!$AL$2:$AL$1000,ROWS($A$5:A413)),INDEX('Raw Provisioning'!$R$2:$R$1000,ROWS($A$5:A413)-COUNTA('Raw Decommissioning'!$B$2:$B$1000))))</x:f>
        <x:v>M</x:v>
      </x:c>
      <x:c r="J413" s="170" t="str">
        <x:f>IF(A413="","",IF(B413="Decommissioning",INDEX('Raw Decommissioning'!$AG$2:$AG$1000,ROWS($A$5:A413)),INDEX('Raw Provisioning'!$AI$2:$AI$1000,ROWS($A$5:A413)-COUNTA('Raw Decommissioning'!$B$2:$B$1000))))</x:f>
        <x:v>norhamizah.hasni@petronas.com</x:v>
      </x:c>
      <x:c r="K413" s="172" t="str">
        <x:f>IF(A413="","",IFERROR(LOOKUP(2,1/('Assignment History'!$B$5:$B$204=A413),'Assignment History'!$D$5:$D$204),IFERROR(VLOOKUP(J413,Configuration!$L$5:$M$50,2,FALSE),J413)))</x:f>
        <x:v>norhamizah.hasni@petronas.com</x:v>
      </x:c>
      <x:c r="L413" s="172" t="str">
        <x:f>IF(A413="","",IF(K413=IFERROR(VLOOKUP(J413,Configuration!$L$5:$M$50,2,FALSE),J413),"Snapshot PIC","Replacement PIC"))</x:f>
        <x:v>Snapshot PIC</x:v>
      </x:c>
      <x:c r="M413" s="172" t="n">
        <x:f>IF(A413="","",IFERROR(VLOOKUP(I413,Configuration!$O$5:$P$8,2,FALSE),Configuration!$S$6))</x:f>
        <x:v>2</x:v>
      </x:c>
      <x:c r="N413" s="172" t="str">
        <x:f>IF(A413="","",IFERROR(LOOKUP(2,1/('Scope Review'!$B$5:$B$204=A413),'Scope Review'!$G$5:$G$204),"Not Reviewed"))</x:f>
        <x:v>Not Reviewed</x:v>
      </x:c>
      <x:c r="O413" s="172" t="str">
        <x:f>IF(A413="","",IFERROR(LOOKUP(2,1/('Scope Review'!$B$5:$B$204=A413),'Scope Review'!$H$5:$H$204),""))</x:f>
      </x:c>
      <x:c r="P413" s="172" t="n">
        <x:f>IF(A413="","",IF(AND(C413="executing",N413&lt;&gt;"Confirmed OOS"),M413,0))</x:f>
        <x:v>0</x:v>
      </x:c>
      <x:c r="Q413" s="173" t="str">
        <x:f>IF(A413="","",IFERROR(LOOKUP(2,1/('Engineer Updates'!$B$5:$B$704=A413),'Engineer Updates'!$A$5:$A$704),""))</x:f>
      </x:c>
      <x:c r="R413" s="172" t="str">
        <x:f>IF(A413="","",IFERROR(LOOKUP(2,1/('Engineer Updates'!$B$5:$B$704=A413),'Engineer Updates'!$H$5:$H$704),""))</x:f>
      </x:c>
      <x:c r="S413" s="172" t="str">
        <x:f>IF(A413="","",IFERROR(LOOKUP(2,1/('Engineer Updates'!$B$5:$B$704=A413),'Engineer Updates'!$G$5:$G$704),""))</x:f>
      </x:c>
      <x:c r="T413" s="172" t="str">
        <x:f>IF(A413="","",IFERROR(LOOKUP(2,1/('Engineer Updates'!$B$5:$B$704=A413),'Engineer Updates'!$I$5:$I$704),""))</x:f>
      </x:c>
      <x:c r="U413" s="172" t="str">
        <x:f>IF(A413="","",IFERROR(LOOKUP(2,1/('Engineer Updates'!$B$5:$B$704=A413),'Engineer Updates'!$J$5:$J$704),""))</x:f>
      </x:c>
      <x:c r="V413" s="172" t="str">
        <x:f>IF(A413="","",IFERROR(LOOKUP(2,1/('Engineer Updates'!$B$5:$B$704=A413),'Engineer Updates'!$K$5:$K$704),""))</x:f>
      </x:c>
      <x:c r="W413" s="174" t="str">
        <x:f>IF(A413="","",IFERROR(LOOKUP(2,1/('Engineer Updates'!$B$5:$B$704=A413),'Engineer Updates'!$L$5:$L$704),""))</x:f>
      </x:c>
      <x:c r="X413" s="170" t="str">
        <x:f>IF(A413="","",IF(C413="completed","Completed in CSSP",IF(AND(C413="executing",ISERROR(SEARCH("@",K413))),"Executing without named engineer",IF(AND(N413="Confirmed OOS",C413="executing"),"Confirmed OOS still executing",""))))</x:f>
        <x:v>Completed in CSSP</x:v>
      </x:c>
      <x:c r="Y413" s="170" t="str">
        <x:f>IF(A413="","",IF(B413="Decommissioning","Raw Decommissioning","Raw Provisioning"))</x:f>
        <x:v>Raw Provisioning</x:v>
      </x:c>
      <x:c r="Z413" s="170" t="str">
        <x:f>IF(A413="","",IF(OR(C413="executing",C413="processing"),"Yes","No"))</x:f>
        <x:v>No</x:v>
      </x:c>
    </x:row>
    <x:row r="414">
      <x:c r="A414" s="170" t="str">
        <x:f>IF(ROWS($A$5:A414)&lt;=COUNTA('Raw Decommissioning'!$B$2:$B$1000),INDEX('Raw Decommissioning'!$B$2:$B$1000,ROWS($A$5:A414)),IF(ROWS($A$5:A414)-COUNTA('Raw Decommissioning'!$B$2:$B$1000)&lt;=COUNTA('Raw Provisioning'!$B$2:$B$1000),INDEX('Raw Provisioning'!$B$2:$B$1000,ROWS($A$5:A414)-COUNTA('Raw Decommissioning'!$B$2:$B$1000)),""))</x:f>
        <x:v>CSSP10387983</x:v>
      </x:c>
      <x:c r="B414" s="170" t="str">
        <x:f>IF(A414="","",IF(ROWS($A$5:A414)&lt;=COUNTA('Raw Decommissioning'!$B$2:$B$1000),"Decommissioning","Provisioning"))</x:f>
        <x:v>Provisioning</x:v>
      </x:c>
      <x:c r="C414" s="170" t="str">
        <x:f>IF(A414="","",IF(B414="Decommissioning",IFERROR(INDEX('Raw Decommissioning'!$E$2:$E$1000,MATCH(A414,'Raw Decommissioning'!$B$2:$B$1000,0)),"Missing from latest raw"),IFERROR(INDEX('Raw Provisioning'!$E$2:$E$1000,MATCH(A414,'Raw Provisioning'!$B$2:$B$1000,0)),"Missing from latest raw")))</x:f>
        <x:v>completed</x:v>
      </x:c>
      <x:c r="D414" s="171" t="n">
        <x:f>IF(A414="","",'Refresh Control'!$B$4)</x:f>
        <x:v>46254</x:v>
      </x:c>
      <x:c r="E414" s="171" t="n">
        <x:f>IF(A414="","",IF(B414="Decommissioning",INDEX('Raw Decommissioning'!$F$2:$F$1000,ROWS($A$5:A414)),INDEX('Raw Provisioning'!$F$2:$F$1000,ROWS($A$5:A414)-COUNTA('Raw Decommissioning'!$B$2:$B$1000))))</x:f>
        <x:v>46035.325043784724</x:v>
      </x:c>
      <x:c r="F414" s="171" t="n">
        <x:f>IF(A414="","",IF(B414="Decommissioning",INDEX('Raw Decommissioning'!$G$2:$G$1000,ROWS($A$5:A414)),INDEX('Raw Provisioning'!$H$2:$H$1000,ROWS($A$5:A414)-COUNTA('Raw Decommissioning'!$B$2:$B$1000))))</x:f>
        <x:v>46062.27088791667</x:v>
      </x:c>
      <x:c r="G414" s="170" t="str">
        <x:f>IF(A414="","",IF(B414="Decommissioning",INDEX('Raw Decommissioning'!$I$2:$I$1000,ROWS($A$5:A414)),INDEX('Raw Provisioning'!$J$2:$J$1000,ROWS($A$5:A414)-COUNTA('Raw Decommissioning'!$B$2:$B$1000))))</x:f>
        <x:v>Data Science Advanced Analytics</x:v>
      </x:c>
      <x:c r="H414" s="170" t="str">
        <x:f>IF(A414="","",IF(B414="Decommissioning",INDEX('Raw Decommissioning'!$J$2:$J$1000,ROWS($A$5:A414)),INDEX('Raw Provisioning'!$L$2:$L$1000,ROWS($A$5:A414)-COUNTA('Raw Decommissioning'!$B$2:$B$1000))))</x:f>
        <x:v>Provisioning Dedicated Advanced Analytics subscription (Terraform-enabled Azure Cloud Infrastructure) for Data Science Department</x:v>
      </x:c>
      <x:c r="I414" s="170" t="str">
        <x:f>IF(A414="","",IF(B414="Decommissioning",INDEX('Raw Decommissioning'!$AL$2:$AL$1000,ROWS($A$5:A414)),INDEX('Raw Provisioning'!$R$2:$R$1000,ROWS($A$5:A414)-COUNTA('Raw Decommissioning'!$B$2:$B$1000))))</x:f>
        <x:v>L</x:v>
      </x:c>
      <x:c r="J414" s="170" t="str">
        <x:f>IF(A414="","",IF(B414="Decommissioning",INDEX('Raw Decommissioning'!$AG$2:$AG$1000,ROWS($A$5:A414)),INDEX('Raw Provisioning'!$AI$2:$AI$1000,ROWS($A$5:A414)-COUNTA('Raw Decommissioning'!$B$2:$B$1000))))</x:f>
        <x:v>fathulrahman.misba@petronas.com</x:v>
      </x:c>
      <x:c r="K414" s="172" t="str">
        <x:f>IF(A414="","",IFERROR(LOOKUP(2,1/('Assignment History'!$B$5:$B$204=A414),'Assignment History'!$D$5:$D$204),IFERROR(VLOOKUP(J414,Configuration!$L$5:$M$50,2,FALSE),J414)))</x:f>
        <x:v>fathulrahman.misba@petronas.com</x:v>
      </x:c>
      <x:c r="L414" s="172" t="str">
        <x:f>IF(A414="","",IF(K414=IFERROR(VLOOKUP(J414,Configuration!$L$5:$M$50,2,FALSE),J414),"Snapshot PIC","Replacement PIC"))</x:f>
        <x:v>Snapshot PIC</x:v>
      </x:c>
      <x:c r="M414" s="172" t="n">
        <x:f>IF(A414="","",IFERROR(VLOOKUP(I414,Configuration!$O$5:$P$8,2,FALSE),Configuration!$S$6))</x:f>
        <x:v>3</x:v>
      </x:c>
      <x:c r="N414" s="172" t="str">
        <x:f>IF(A414="","",IFERROR(LOOKUP(2,1/('Scope Review'!$B$5:$B$204=A414),'Scope Review'!$G$5:$G$204),"Not Reviewed"))</x:f>
        <x:v>Not Reviewed</x:v>
      </x:c>
      <x:c r="O414" s="172" t="str">
        <x:f>IF(A414="","",IFERROR(LOOKUP(2,1/('Scope Review'!$B$5:$B$204=A414),'Scope Review'!$H$5:$H$204),""))</x:f>
      </x:c>
      <x:c r="P414" s="172" t="n">
        <x:f>IF(A414="","",IF(AND(C414="executing",N414&lt;&gt;"Confirmed OOS"),M414,0))</x:f>
        <x:v>0</x:v>
      </x:c>
      <x:c r="Q414" s="173" t="str">
        <x:f>IF(A414="","",IFERROR(LOOKUP(2,1/('Engineer Updates'!$B$5:$B$704=A414),'Engineer Updates'!$A$5:$A$704),""))</x:f>
      </x:c>
      <x:c r="R414" s="172" t="str">
        <x:f>IF(A414="","",IFERROR(LOOKUP(2,1/('Engineer Updates'!$B$5:$B$704=A414),'Engineer Updates'!$H$5:$H$704),""))</x:f>
      </x:c>
      <x:c r="S414" s="172" t="str">
        <x:f>IF(A414="","",IFERROR(LOOKUP(2,1/('Engineer Updates'!$B$5:$B$704=A414),'Engineer Updates'!$G$5:$G$704),""))</x:f>
      </x:c>
      <x:c r="T414" s="172" t="str">
        <x:f>IF(A414="","",IFERROR(LOOKUP(2,1/('Engineer Updates'!$B$5:$B$704=A414),'Engineer Updates'!$I$5:$I$704),""))</x:f>
      </x:c>
      <x:c r="U414" s="172" t="str">
        <x:f>IF(A414="","",IFERROR(LOOKUP(2,1/('Engineer Updates'!$B$5:$B$704=A414),'Engineer Updates'!$J$5:$J$704),""))</x:f>
      </x:c>
      <x:c r="V414" s="172" t="str">
        <x:f>IF(A414="","",IFERROR(LOOKUP(2,1/('Engineer Updates'!$B$5:$B$704=A414),'Engineer Updates'!$K$5:$K$704),""))</x:f>
      </x:c>
      <x:c r="W414" s="174" t="str">
        <x:f>IF(A414="","",IFERROR(LOOKUP(2,1/('Engineer Updates'!$B$5:$B$704=A414),'Engineer Updates'!$L$5:$L$704),""))</x:f>
      </x:c>
      <x:c r="X414" s="170" t="str">
        <x:f>IF(A414="","",IF(C414="completed","Completed in CSSP",IF(AND(C414="executing",ISERROR(SEARCH("@",K414))),"Executing without named engineer",IF(AND(N414="Confirmed OOS",C414="executing"),"Confirmed OOS still executing",""))))</x:f>
        <x:v>Completed in CSSP</x:v>
      </x:c>
      <x:c r="Y414" s="170" t="str">
        <x:f>IF(A414="","",IF(B414="Decommissioning","Raw Decommissioning","Raw Provisioning"))</x:f>
        <x:v>Raw Provisioning</x:v>
      </x:c>
      <x:c r="Z414" s="170" t="str">
        <x:f>IF(A414="","",IF(OR(C414="executing",C414="processing"),"Yes","No"))</x:f>
        <x:v>No</x:v>
      </x:c>
    </x:row>
    <x:row r="415">
      <x:c r="A415" s="170" t="str">
        <x:f>IF(ROWS($A$5:A415)&lt;=COUNTA('Raw Decommissioning'!$B$2:$B$1000),INDEX('Raw Decommissioning'!$B$2:$B$1000,ROWS($A$5:A415)),IF(ROWS($A$5:A415)-COUNTA('Raw Decommissioning'!$B$2:$B$1000)&lt;=COUNTA('Raw Provisioning'!$B$2:$B$1000),INDEX('Raw Provisioning'!$B$2:$B$1000,ROWS($A$5:A415)-COUNTA('Raw Decommissioning'!$B$2:$B$1000)),""))</x:f>
        <x:v>CSSP10331232</x:v>
      </x:c>
      <x:c r="B415" s="170" t="str">
        <x:f>IF(A415="","",IF(ROWS($A$5:A415)&lt;=COUNTA('Raw Decommissioning'!$B$2:$B$1000),"Decommissioning","Provisioning"))</x:f>
        <x:v>Provisioning</x:v>
      </x:c>
      <x:c r="C415" s="170" t="str">
        <x:f>IF(A415="","",IF(B415="Decommissioning",IFERROR(INDEX('Raw Decommissioning'!$E$2:$E$1000,MATCH(A415,'Raw Decommissioning'!$B$2:$B$1000,0)),"Missing from latest raw"),IFERROR(INDEX('Raw Provisioning'!$E$2:$E$1000,MATCH(A415,'Raw Provisioning'!$B$2:$B$1000,0)),"Missing from latest raw")))</x:f>
        <x:v>completed</x:v>
      </x:c>
      <x:c r="D415" s="171" t="n">
        <x:f>IF(A415="","",'Refresh Control'!$B$4)</x:f>
        <x:v>46254</x:v>
      </x:c>
      <x:c r="E415" s="171" t="n">
        <x:f>IF(A415="","",IF(B415="Decommissioning",INDEX('Raw Decommissioning'!$F$2:$F$1000,ROWS($A$5:A415)),INDEX('Raw Provisioning'!$F$2:$F$1000,ROWS($A$5:A415)-COUNTA('Raw Decommissioning'!$B$2:$B$1000))))</x:f>
        <x:v>46035.40910582176</x:v>
      </x:c>
      <x:c r="F415" s="171" t="n">
        <x:f>IF(A415="","",IF(B415="Decommissioning",INDEX('Raw Decommissioning'!$G$2:$G$1000,ROWS($A$5:A415)),INDEX('Raw Provisioning'!$H$2:$H$1000,ROWS($A$5:A415)-COUNTA('Raw Decommissioning'!$B$2:$B$1000))))</x:f>
        <x:v>46064.28719232639</x:v>
      </x:c>
      <x:c r="G415" s="170" t="str">
        <x:f>IF(A415="","",IF(B415="Decommissioning",INDEX('Raw Decommissioning'!$I$2:$I$1000,ROWS($A$5:A415)),INDEX('Raw Provisioning'!$J$2:$J$1000,ROWS($A$5:A415)-COUNTA('Raw Decommissioning'!$B$2:$B$1000))))</x:f>
        <x:v>Price Management Tool - PMT</x:v>
      </x:c>
      <x:c r="H415" s="170" t="str">
        <x:f>IF(A415="","",IF(B415="Decommissioning",INDEX('Raw Decommissioning'!$J$2:$J$1000,ROWS($A$5:A415)),INDEX('Raw Provisioning'!$L$2:$L$1000,ROWS($A$5:A415)-COUNTA('Raw Decommissioning'!$B$2:$B$1000))))</x:f>
        <x:v>Provision of Support &amp; Maintenance for Price Management Tool (PMT) 2.0 for PCML</x:v>
      </x:c>
      <x:c r="I415" s="170" t="str">
        <x:f>IF(A415="","",IF(B415="Decommissioning",INDEX('Raw Decommissioning'!$AL$2:$AL$1000,ROWS($A$5:A415)),INDEX('Raw Provisioning'!$R$2:$R$1000,ROWS($A$5:A415)-COUNTA('Raw Decommissioning'!$B$2:$B$1000))))</x:f>
        <x:v>M</x:v>
      </x:c>
      <x:c r="J415" s="170" t="str">
        <x:f>IF(A415="","",IF(B415="Decommissioning",INDEX('Raw Decommissioning'!$AG$2:$AG$1000,ROWS($A$5:A415)),INDEX('Raw Provisioning'!$AI$2:$AI$1000,ROWS($A$5:A415)-COUNTA('Raw Decommissioning'!$B$2:$B$1000))))</x:f>
        <x:v>norhamizah.hasni@petronas.com</x:v>
      </x:c>
      <x:c r="K415" s="172" t="str">
        <x:f>IF(A415="","",IFERROR(LOOKUP(2,1/('Assignment History'!$B$5:$B$204=A415),'Assignment History'!$D$5:$D$204),IFERROR(VLOOKUP(J415,Configuration!$L$5:$M$50,2,FALSE),J415)))</x:f>
        <x:v>norhamizah.hasni@petronas.com</x:v>
      </x:c>
      <x:c r="L415" s="172" t="str">
        <x:f>IF(A415="","",IF(K415=IFERROR(VLOOKUP(J415,Configuration!$L$5:$M$50,2,FALSE),J415),"Snapshot PIC","Replacement PIC"))</x:f>
        <x:v>Snapshot PIC</x:v>
      </x:c>
      <x:c r="M415" s="172" t="n">
        <x:f>IF(A415="","",IFERROR(VLOOKUP(I415,Configuration!$O$5:$P$8,2,FALSE),Configuration!$S$6))</x:f>
        <x:v>2</x:v>
      </x:c>
      <x:c r="N415" s="172" t="str">
        <x:f>IF(A415="","",IFERROR(LOOKUP(2,1/('Scope Review'!$B$5:$B$204=A415),'Scope Review'!$G$5:$G$204),"Not Reviewed"))</x:f>
        <x:v>Not Reviewed</x:v>
      </x:c>
      <x:c r="O415" s="172" t="str">
        <x:f>IF(A415="","",IFERROR(LOOKUP(2,1/('Scope Review'!$B$5:$B$204=A415),'Scope Review'!$H$5:$H$204),""))</x:f>
      </x:c>
      <x:c r="P415" s="172" t="n">
        <x:f>IF(A415="","",IF(AND(C415="executing",N415&lt;&gt;"Confirmed OOS"),M415,0))</x:f>
        <x:v>0</x:v>
      </x:c>
      <x:c r="Q415" s="173" t="str">
        <x:f>IF(A415="","",IFERROR(LOOKUP(2,1/('Engineer Updates'!$B$5:$B$704=A415),'Engineer Updates'!$A$5:$A$704),""))</x:f>
      </x:c>
      <x:c r="R415" s="172" t="str">
        <x:f>IF(A415="","",IFERROR(LOOKUP(2,1/('Engineer Updates'!$B$5:$B$704=A415),'Engineer Updates'!$H$5:$H$704),""))</x:f>
      </x:c>
      <x:c r="S415" s="172" t="str">
        <x:f>IF(A415="","",IFERROR(LOOKUP(2,1/('Engineer Updates'!$B$5:$B$704=A415),'Engineer Updates'!$G$5:$G$704),""))</x:f>
      </x:c>
      <x:c r="T415" s="172" t="str">
        <x:f>IF(A415="","",IFERROR(LOOKUP(2,1/('Engineer Updates'!$B$5:$B$704=A415),'Engineer Updates'!$I$5:$I$704),""))</x:f>
      </x:c>
      <x:c r="U415" s="172" t="str">
        <x:f>IF(A415="","",IFERROR(LOOKUP(2,1/('Engineer Updates'!$B$5:$B$704=A415),'Engineer Updates'!$J$5:$J$704),""))</x:f>
      </x:c>
      <x:c r="V415" s="172" t="str">
        <x:f>IF(A415="","",IFERROR(LOOKUP(2,1/('Engineer Updates'!$B$5:$B$704=A415),'Engineer Updates'!$K$5:$K$704),""))</x:f>
      </x:c>
      <x:c r="W415" s="174" t="str">
        <x:f>IF(A415="","",IFERROR(LOOKUP(2,1/('Engineer Updates'!$B$5:$B$704=A415),'Engineer Updates'!$L$5:$L$704),""))</x:f>
      </x:c>
      <x:c r="X415" s="170" t="str">
        <x:f>IF(A415="","",IF(C415="completed","Completed in CSSP",IF(AND(C415="executing",ISERROR(SEARCH("@",K415))),"Executing without named engineer",IF(AND(N415="Confirmed OOS",C415="executing"),"Confirmed OOS still executing",""))))</x:f>
        <x:v>Completed in CSSP</x:v>
      </x:c>
      <x:c r="Y415" s="170" t="str">
        <x:f>IF(A415="","",IF(B415="Decommissioning","Raw Decommissioning","Raw Provisioning"))</x:f>
        <x:v>Raw Provisioning</x:v>
      </x:c>
      <x:c r="Z415" s="170" t="str">
        <x:f>IF(A415="","",IF(OR(C415="executing",C415="processing"),"Yes","No"))</x:f>
        <x:v>No</x:v>
      </x:c>
    </x:row>
    <x:row r="416">
      <x:c r="A416" s="170" t="str">
        <x:f>IF(ROWS($A$5:A416)&lt;=COUNTA('Raw Decommissioning'!$B$2:$B$1000),INDEX('Raw Decommissioning'!$B$2:$B$1000,ROWS($A$5:A416)),IF(ROWS($A$5:A416)-COUNTA('Raw Decommissioning'!$B$2:$B$1000)&lt;=COUNTA('Raw Provisioning'!$B$2:$B$1000),INDEX('Raw Provisioning'!$B$2:$B$1000,ROWS($A$5:A416)-COUNTA('Raw Decommissioning'!$B$2:$B$1000)),""))</x:f>
        <x:v>CSSP10646457</x:v>
      </x:c>
      <x:c r="B416" s="170" t="str">
        <x:f>IF(A416="","",IF(ROWS($A$5:A416)&lt;=COUNTA('Raw Decommissioning'!$B$2:$B$1000),"Decommissioning","Provisioning"))</x:f>
        <x:v>Provisioning</x:v>
      </x:c>
      <x:c r="C416" s="170" t="str">
        <x:f>IF(A416="","",IF(B416="Decommissioning",IFERROR(INDEX('Raw Decommissioning'!$E$2:$E$1000,MATCH(A416,'Raw Decommissioning'!$B$2:$B$1000,0)),"Missing from latest raw"),IFERROR(INDEX('Raw Provisioning'!$E$2:$E$1000,MATCH(A416,'Raw Provisioning'!$B$2:$B$1000,0)),"Missing from latest raw")))</x:f>
        <x:v>rejected</x:v>
      </x:c>
      <x:c r="D416" s="171" t="n">
        <x:f>IF(A416="","",'Refresh Control'!$B$4)</x:f>
        <x:v>46254</x:v>
      </x:c>
      <x:c r="E416" s="171" t="n">
        <x:f>IF(A416="","",IF(B416="Decommissioning",INDEX('Raw Decommissioning'!$F$2:$F$1000,ROWS($A$5:A416)),INDEX('Raw Provisioning'!$F$2:$F$1000,ROWS($A$5:A416)-COUNTA('Raw Decommissioning'!$B$2:$B$1000))))</x:f>
        <x:v>46043.34170347222</x:v>
      </x:c>
      <x:c r="F416" s="171" t="n">
        <x:f>IF(A416="","",IF(B416="Decommissioning",INDEX('Raw Decommissioning'!$G$2:$G$1000,ROWS($A$5:A416)),INDEX('Raw Provisioning'!$H$2:$H$1000,ROWS($A$5:A416)-COUNTA('Raw Decommissioning'!$B$2:$B$1000))))</x:f>
        <x:v>46050.12726059028</x:v>
      </x:c>
      <x:c r="G416" s="170" t="str">
        <x:f>IF(A416="","",IF(B416="Decommissioning",INDEX('Raw Decommissioning'!$I$2:$I$1000,ROWS($A$5:A416)),INDEX('Raw Provisioning'!$J$2:$J$1000,ROWS($A$5:A416)-COUNTA('Raw Decommissioning'!$B$2:$B$1000))))</x:f>
        <x:v>TEA</x:v>
      </x:c>
      <x:c r="H416" s="170" t="str">
        <x:f>IF(A416="","",IF(B416="Decommissioning",INDEX('Raw Decommissioning'!$J$2:$J$1000,ROWS($A$5:A416)),INDEX('Raw Provisioning'!$L$2:$L$1000,ROWS($A$5:A416)-COUNTA('Raw Decommissioning'!$B$2:$B$1000))))</x:f>
        <x:v>PDB landing zone TEA Application</x:v>
      </x:c>
      <x:c r="I416" s="170" t="str">
        <x:f>IF(A416="","",IF(B416="Decommissioning",INDEX('Raw Decommissioning'!$AL$2:$AL$1000,ROWS($A$5:A416)),INDEX('Raw Provisioning'!$R$2:$R$1000,ROWS($A$5:A416)-COUNTA('Raw Decommissioning'!$B$2:$B$1000))))</x:f>
      </x:c>
      <x:c r="J416" s="170" t="str">
        <x:f>IF(A416="","",IF(B416="Decommissioning",INDEX('Raw Decommissioning'!$AG$2:$AG$1000,ROWS($A$5:A416)),INDEX('Raw Provisioning'!$AI$2:$AI$1000,ROWS($A$5:A416)-COUNTA('Raw Decommissioning'!$B$2:$B$1000))))</x:f>
        <x:v>CCoE Core Services (Public)</x:v>
      </x:c>
      <x:c r="K416" s="172" t="str">
        <x:f>IF(A416="","",IFERROR(LOOKUP(2,1/('Assignment History'!$B$5:$B$204=A416),'Assignment History'!$D$5:$D$204),IFERROR(VLOOKUP(J416,Configuration!$L$5:$M$50,2,FALSE),J416)))</x:f>
        <x:v>CCoE Core Services (Public)</x:v>
      </x:c>
      <x:c r="L416" s="172" t="str">
        <x:f>IF(A416="","",IF(K416=IFERROR(VLOOKUP(J416,Configuration!$L$5:$M$50,2,FALSE),J416),"Snapshot PIC","Replacement PIC"))</x:f>
        <x:v>Snapshot PIC</x:v>
      </x:c>
      <x:c r="M416" s="172" t="n">
        <x:f>IF(A416="","",IFERROR(VLOOKUP(I416,Configuration!$O$5:$P$8,2,FALSE),Configuration!$S$6))</x:f>
        <x:v>2</x:v>
      </x:c>
      <x:c r="N416" s="172" t="str">
        <x:f>IF(A416="","",IFERROR(LOOKUP(2,1/('Scope Review'!$B$5:$B$204=A416),'Scope Review'!$G$5:$G$204),"Not Reviewed"))</x:f>
        <x:v>Not Reviewed</x:v>
      </x:c>
      <x:c r="O416" s="172" t="str">
        <x:f>IF(A416="","",IFERROR(LOOKUP(2,1/('Scope Review'!$B$5:$B$204=A416),'Scope Review'!$H$5:$H$204),""))</x:f>
      </x:c>
      <x:c r="P416" s="172" t="n">
        <x:f>IF(A416="","",IF(AND(C416="executing",N416&lt;&gt;"Confirmed OOS"),M416,0))</x:f>
        <x:v>0</x:v>
      </x:c>
      <x:c r="Q416" s="173" t="str">
        <x:f>IF(A416="","",IFERROR(LOOKUP(2,1/('Engineer Updates'!$B$5:$B$704=A416),'Engineer Updates'!$A$5:$A$704),""))</x:f>
      </x:c>
      <x:c r="R416" s="172" t="str">
        <x:f>IF(A416="","",IFERROR(LOOKUP(2,1/('Engineer Updates'!$B$5:$B$704=A416),'Engineer Updates'!$H$5:$H$704),""))</x:f>
      </x:c>
      <x:c r="S416" s="172" t="str">
        <x:f>IF(A416="","",IFERROR(LOOKUP(2,1/('Engineer Updates'!$B$5:$B$704=A416),'Engineer Updates'!$G$5:$G$704),""))</x:f>
      </x:c>
      <x:c r="T416" s="172" t="str">
        <x:f>IF(A416="","",IFERROR(LOOKUP(2,1/('Engineer Updates'!$B$5:$B$704=A416),'Engineer Updates'!$I$5:$I$704),""))</x:f>
      </x:c>
      <x:c r="U416" s="172" t="str">
        <x:f>IF(A416="","",IFERROR(LOOKUP(2,1/('Engineer Updates'!$B$5:$B$704=A416),'Engineer Updates'!$J$5:$J$704),""))</x:f>
      </x:c>
      <x:c r="V416" s="172" t="str">
        <x:f>IF(A416="","",IFERROR(LOOKUP(2,1/('Engineer Updates'!$B$5:$B$704=A416),'Engineer Updates'!$K$5:$K$704),""))</x:f>
      </x:c>
      <x:c r="W416" s="174" t="str">
        <x:f>IF(A416="","",IFERROR(LOOKUP(2,1/('Engineer Updates'!$B$5:$B$704=A416),'Engineer Updates'!$L$5:$L$704),""))</x:f>
      </x:c>
      <x:c r="X416" s="170" t="str">
        <x:f>IF(A416="","",IF(C416="completed","Completed in CSSP",IF(AND(C416="executing",ISERROR(SEARCH("@",K416))),"Executing without named engineer",IF(AND(N416="Confirmed OOS",C416="executing"),"Confirmed OOS still executing",""))))</x:f>
      </x:c>
      <x:c r="Y416" s="170" t="str">
        <x:f>IF(A416="","",IF(B416="Decommissioning","Raw Decommissioning","Raw Provisioning"))</x:f>
        <x:v>Raw Provisioning</x:v>
      </x:c>
      <x:c r="Z416" s="170" t="str">
        <x:f>IF(A416="","",IF(OR(C416="executing",C416="processing"),"Yes","No"))</x:f>
        <x:v>No</x:v>
      </x:c>
    </x:row>
    <x:row r="417">
      <x:c r="A417" s="170" t="str">
        <x:f>IF(ROWS($A$5:A417)&lt;=COUNTA('Raw Decommissioning'!$B$2:$B$1000),INDEX('Raw Decommissioning'!$B$2:$B$1000,ROWS($A$5:A417)),IF(ROWS($A$5:A417)-COUNTA('Raw Decommissioning'!$B$2:$B$1000)&lt;=COUNTA('Raw Provisioning'!$B$2:$B$1000),INDEX('Raw Provisioning'!$B$2:$B$1000,ROWS($A$5:A417)-COUNTA('Raw Decommissioning'!$B$2:$B$1000)),""))</x:f>
        <x:v>CSSP10772940</x:v>
      </x:c>
      <x:c r="B417" s="170" t="str">
        <x:f>IF(A417="","",IF(ROWS($A$5:A417)&lt;=COUNTA('Raw Decommissioning'!$B$2:$B$1000),"Decommissioning","Provisioning"))</x:f>
        <x:v>Provisioning</x:v>
      </x:c>
      <x:c r="C417" s="170" t="str">
        <x:f>IF(A417="","",IF(B417="Decommissioning",IFERROR(INDEX('Raw Decommissioning'!$E$2:$E$1000,MATCH(A417,'Raw Decommissioning'!$B$2:$B$1000,0)),"Missing from latest raw"),IFERROR(INDEX('Raw Provisioning'!$E$2:$E$1000,MATCH(A417,'Raw Provisioning'!$B$2:$B$1000,0)),"Missing from latest raw")))</x:f>
        <x:v>completed</x:v>
      </x:c>
      <x:c r="D417" s="171" t="n">
        <x:f>IF(A417="","",'Refresh Control'!$B$4)</x:f>
        <x:v>46254</x:v>
      </x:c>
      <x:c r="E417" s="171" t="n">
        <x:f>IF(A417="","",IF(B417="Decommissioning",INDEX('Raw Decommissioning'!$F$2:$F$1000,ROWS($A$5:A417)),INDEX('Raw Provisioning'!$F$2:$F$1000,ROWS($A$5:A417)-COUNTA('Raw Decommissioning'!$B$2:$B$1000))))</x:f>
        <x:v>46043.35117908565</x:v>
      </x:c>
      <x:c r="F417" s="171" t="n">
        <x:f>IF(A417="","",IF(B417="Decommissioning",INDEX('Raw Decommissioning'!$G$2:$G$1000,ROWS($A$5:A417)),INDEX('Raw Provisioning'!$H$2:$H$1000,ROWS($A$5:A417)-COUNTA('Raw Decommissioning'!$B$2:$B$1000))))</x:f>
        <x:v>46050.17899443287</x:v>
      </x:c>
      <x:c r="G417" s="170" t="str">
        <x:f>IF(A417="","",IF(B417="Decommissioning",INDEX('Raw Decommissioning'!$I$2:$I$1000,ROWS($A$5:A417)),INDEX('Raw Provisioning'!$J$2:$J$1000,ROWS($A$5:A417)-COUNTA('Raw Decommissioning'!$B$2:$B$1000))))</x:f>
        <x:v>Lab Information Management System - LIMS PCGB</x:v>
      </x:c>
      <x:c r="H417" s="170" t="str">
        <x:f>IF(A417="","",IF(B417="Decommissioning",INDEX('Raw Decommissioning'!$J$2:$J$1000,ROWS($A$5:A417)),INDEX('Raw Provisioning'!$L$2:$L$1000,ROWS($A$5:A417)-COUNTA('Raw Decommissioning'!$B$2:$B$1000))))</x:f>
        <x:v>Provisioning of Virtual Machine for LIMS with ELN for STAR+ Project for PCGB</x:v>
      </x:c>
      <x:c r="I417" s="170" t="str">
        <x:f>IF(A417="","",IF(B417="Decommissioning",INDEX('Raw Decommissioning'!$AL$2:$AL$1000,ROWS($A$5:A417)),INDEX('Raw Provisioning'!$R$2:$R$1000,ROWS($A$5:A417)-COUNTA('Raw Decommissioning'!$B$2:$B$1000))))</x:f>
        <x:v>S</x:v>
      </x:c>
      <x:c r="J417" s="170" t="str">
        <x:f>IF(A417="","",IF(B417="Decommissioning",INDEX('Raw Decommissioning'!$AG$2:$AG$1000,ROWS($A$5:A417)),INDEX('Raw Provisioning'!$AI$2:$AI$1000,ROWS($A$5:A417)-COUNTA('Raw Decommissioning'!$B$2:$B$1000))))</x:f>
        <x:v>akhmal.roslan@petronas.com</x:v>
      </x:c>
      <x:c r="K417" s="172" t="str">
        <x:f>IF(A417="","",IFERROR(LOOKUP(2,1/('Assignment History'!$B$5:$B$204=A417),'Assignment History'!$D$5:$D$204),IFERROR(VLOOKUP(J417,Configuration!$L$5:$M$50,2,FALSE),J417)))</x:f>
        <x:v>akhmal.roslan@petronas.com</x:v>
      </x:c>
      <x:c r="L417" s="172" t="str">
        <x:f>IF(A417="","",IF(K417=IFERROR(VLOOKUP(J417,Configuration!$L$5:$M$50,2,FALSE),J417),"Snapshot PIC","Replacement PIC"))</x:f>
        <x:v>Snapshot PIC</x:v>
      </x:c>
      <x:c r="M417" s="172" t="n">
        <x:f>IF(A417="","",IFERROR(VLOOKUP(I417,Configuration!$O$5:$P$8,2,FALSE),Configuration!$S$6))</x:f>
        <x:v>1</x:v>
      </x:c>
      <x:c r="N417" s="172" t="str">
        <x:f>IF(A417="","",IFERROR(LOOKUP(2,1/('Scope Review'!$B$5:$B$204=A417),'Scope Review'!$G$5:$G$204),"Not Reviewed"))</x:f>
        <x:v>Not Reviewed</x:v>
      </x:c>
      <x:c r="O417" s="172" t="str">
        <x:f>IF(A417="","",IFERROR(LOOKUP(2,1/('Scope Review'!$B$5:$B$204=A417),'Scope Review'!$H$5:$H$204),""))</x:f>
      </x:c>
      <x:c r="P417" s="172" t="n">
        <x:f>IF(A417="","",IF(AND(C417="executing",N417&lt;&gt;"Confirmed OOS"),M417,0))</x:f>
        <x:v>0</x:v>
      </x:c>
      <x:c r="Q417" s="173" t="str">
        <x:f>IF(A417="","",IFERROR(LOOKUP(2,1/('Engineer Updates'!$B$5:$B$704=A417),'Engineer Updates'!$A$5:$A$704),""))</x:f>
      </x:c>
      <x:c r="R417" s="172" t="str">
        <x:f>IF(A417="","",IFERROR(LOOKUP(2,1/('Engineer Updates'!$B$5:$B$704=A417),'Engineer Updates'!$H$5:$H$704),""))</x:f>
      </x:c>
      <x:c r="S417" s="172" t="str">
        <x:f>IF(A417="","",IFERROR(LOOKUP(2,1/('Engineer Updates'!$B$5:$B$704=A417),'Engineer Updates'!$G$5:$G$704),""))</x:f>
      </x:c>
      <x:c r="T417" s="172" t="str">
        <x:f>IF(A417="","",IFERROR(LOOKUP(2,1/('Engineer Updates'!$B$5:$B$704=A417),'Engineer Updates'!$I$5:$I$704),""))</x:f>
      </x:c>
      <x:c r="U417" s="172" t="str">
        <x:f>IF(A417="","",IFERROR(LOOKUP(2,1/('Engineer Updates'!$B$5:$B$704=A417),'Engineer Updates'!$J$5:$J$704),""))</x:f>
      </x:c>
      <x:c r="V417" s="172" t="str">
        <x:f>IF(A417="","",IFERROR(LOOKUP(2,1/('Engineer Updates'!$B$5:$B$704=A417),'Engineer Updates'!$K$5:$K$704),""))</x:f>
      </x:c>
      <x:c r="W417" s="174" t="str">
        <x:f>IF(A417="","",IFERROR(LOOKUP(2,1/('Engineer Updates'!$B$5:$B$704=A417),'Engineer Updates'!$L$5:$L$704),""))</x:f>
      </x:c>
      <x:c r="X417" s="170" t="str">
        <x:f>IF(A417="","",IF(C417="completed","Completed in CSSP",IF(AND(C417="executing",ISERROR(SEARCH("@",K417))),"Executing without named engineer",IF(AND(N417="Confirmed OOS",C417="executing"),"Confirmed OOS still executing",""))))</x:f>
        <x:v>Completed in CSSP</x:v>
      </x:c>
      <x:c r="Y417" s="170" t="str">
        <x:f>IF(A417="","",IF(B417="Decommissioning","Raw Decommissioning","Raw Provisioning"))</x:f>
        <x:v>Raw Provisioning</x:v>
      </x:c>
      <x:c r="Z417" s="170" t="str">
        <x:f>IF(A417="","",IF(OR(C417="executing",C417="processing"),"Yes","No"))</x:f>
        <x:v>No</x:v>
      </x:c>
    </x:row>
    <x:row r="418">
      <x:c r="A418" s="170" t="str">
        <x:f>IF(ROWS($A$5:A418)&lt;=COUNTA('Raw Decommissioning'!$B$2:$B$1000),INDEX('Raw Decommissioning'!$B$2:$B$1000,ROWS($A$5:A418)),IF(ROWS($A$5:A418)-COUNTA('Raw Decommissioning'!$B$2:$B$1000)&lt;=COUNTA('Raw Provisioning'!$B$2:$B$1000),INDEX('Raw Provisioning'!$B$2:$B$1000,ROWS($A$5:A418)-COUNTA('Raw Decommissioning'!$B$2:$B$1000)),""))</x:f>
        <x:v>CSSP10986022</x:v>
      </x:c>
      <x:c r="B418" s="170" t="str">
        <x:f>IF(A418="","",IF(ROWS($A$5:A418)&lt;=COUNTA('Raw Decommissioning'!$B$2:$B$1000),"Decommissioning","Provisioning"))</x:f>
        <x:v>Provisioning</x:v>
      </x:c>
      <x:c r="C418" s="170" t="str">
        <x:f>IF(A418="","",IF(B418="Decommissioning",IFERROR(INDEX('Raw Decommissioning'!$E$2:$E$1000,MATCH(A418,'Raw Decommissioning'!$B$2:$B$1000,0)),"Missing from latest raw"),IFERROR(INDEX('Raw Provisioning'!$E$2:$E$1000,MATCH(A418,'Raw Provisioning'!$B$2:$B$1000,0)),"Missing from latest raw")))</x:f>
        <x:v>rejected</x:v>
      </x:c>
      <x:c r="D418" s="171" t="n">
        <x:f>IF(A418="","",'Refresh Control'!$B$4)</x:f>
        <x:v>46254</x:v>
      </x:c>
      <x:c r="E418" s="171" t="n">
        <x:f>IF(A418="","",IF(B418="Decommissioning",INDEX('Raw Decommissioning'!$F$2:$F$1000,ROWS($A$5:A418)),INDEX('Raw Provisioning'!$F$2:$F$1000,ROWS($A$5:A418)-COUNTA('Raw Decommissioning'!$B$2:$B$1000))))</x:f>
        <x:v>46050.264532395835</x:v>
      </x:c>
      <x:c r="F418" s="171" t="n">
        <x:f>IF(A418="","",IF(B418="Decommissioning",INDEX('Raw Decommissioning'!$G$2:$G$1000,ROWS($A$5:A418)),INDEX('Raw Provisioning'!$H$2:$H$1000,ROWS($A$5:A418)-COUNTA('Raw Decommissioning'!$B$2:$B$1000))))</x:f>
        <x:v>46050.30232278935</x:v>
      </x:c>
      <x:c r="G418" s="170" t="str">
        <x:f>IF(A418="","",IF(B418="Decommissioning",INDEX('Raw Decommissioning'!$I$2:$I$1000,ROWS($A$5:A418)),INDEX('Raw Provisioning'!$J$2:$J$1000,ROWS($A$5:A418)-COUNTA('Raw Decommissioning'!$B$2:$B$1000))))</x:f>
        <x:v>Plant State Integrity - PSI PCOGD</x:v>
      </x:c>
      <x:c r="H418" s="170" t="str">
        <x:f>IF(A418="","",IF(B418="Decommissioning",INDEX('Raw Decommissioning'!$J$2:$J$1000,ROWS($A$5:A418)),INDEX('Raw Provisioning'!$L$2:$L$1000,ROWS($A$5:A418)-COUNTA('Raw Decommissioning'!$B$2:$B$1000))))</x:f>
        <x:v>Provisioning Server for RTOT Upgrading for PCOGD</x:v>
      </x:c>
      <x:c r="I418" s="170" t="str">
        <x:f>IF(A418="","",IF(B418="Decommissioning",INDEX('Raw Decommissioning'!$AL$2:$AL$1000,ROWS($A$5:A418)),INDEX('Raw Provisioning'!$R$2:$R$1000,ROWS($A$5:A418)-COUNTA('Raw Decommissioning'!$B$2:$B$1000))))</x:f>
      </x:c>
      <x:c r="J418" s="170" t="str">
        <x:f>IF(A418="","",IF(B418="Decommissioning",INDEX('Raw Decommissioning'!$AG$2:$AG$1000,ROWS($A$5:A418)),INDEX('Raw Provisioning'!$AI$2:$AI$1000,ROWS($A$5:A418)-COUNTA('Raw Decommissioning'!$B$2:$B$1000))))</x:f>
        <x:v>CCoE Core Services (Public)</x:v>
      </x:c>
      <x:c r="K418" s="172" t="str">
        <x:f>IF(A418="","",IFERROR(LOOKUP(2,1/('Assignment History'!$B$5:$B$204=A418),'Assignment History'!$D$5:$D$204),IFERROR(VLOOKUP(J418,Configuration!$L$5:$M$50,2,FALSE),J418)))</x:f>
        <x:v>CCoE Core Services (Public)</x:v>
      </x:c>
      <x:c r="L418" s="172" t="str">
        <x:f>IF(A418="","",IF(K418=IFERROR(VLOOKUP(J418,Configuration!$L$5:$M$50,2,FALSE),J418),"Snapshot PIC","Replacement PIC"))</x:f>
        <x:v>Snapshot PIC</x:v>
      </x:c>
      <x:c r="M418" s="172" t="n">
        <x:f>IF(A418="","",IFERROR(VLOOKUP(I418,Configuration!$O$5:$P$8,2,FALSE),Configuration!$S$6))</x:f>
        <x:v>2</x:v>
      </x:c>
      <x:c r="N418" s="172" t="str">
        <x:f>IF(A418="","",IFERROR(LOOKUP(2,1/('Scope Review'!$B$5:$B$204=A418),'Scope Review'!$G$5:$G$204),"Not Reviewed"))</x:f>
        <x:v>Not Reviewed</x:v>
      </x:c>
      <x:c r="O418" s="172" t="str">
        <x:f>IF(A418="","",IFERROR(LOOKUP(2,1/('Scope Review'!$B$5:$B$204=A418),'Scope Review'!$H$5:$H$204),""))</x:f>
      </x:c>
      <x:c r="P418" s="172" t="n">
        <x:f>IF(A418="","",IF(AND(C418="executing",N418&lt;&gt;"Confirmed OOS"),M418,0))</x:f>
        <x:v>0</x:v>
      </x:c>
      <x:c r="Q418" s="173" t="str">
        <x:f>IF(A418="","",IFERROR(LOOKUP(2,1/('Engineer Updates'!$B$5:$B$704=A418),'Engineer Updates'!$A$5:$A$704),""))</x:f>
      </x:c>
      <x:c r="R418" s="172" t="str">
        <x:f>IF(A418="","",IFERROR(LOOKUP(2,1/('Engineer Updates'!$B$5:$B$704=A418),'Engineer Updates'!$H$5:$H$704),""))</x:f>
      </x:c>
      <x:c r="S418" s="172" t="str">
        <x:f>IF(A418="","",IFERROR(LOOKUP(2,1/('Engineer Updates'!$B$5:$B$704=A418),'Engineer Updates'!$G$5:$G$704),""))</x:f>
      </x:c>
      <x:c r="T418" s="172" t="str">
        <x:f>IF(A418="","",IFERROR(LOOKUP(2,1/('Engineer Updates'!$B$5:$B$704=A418),'Engineer Updates'!$I$5:$I$704),""))</x:f>
      </x:c>
      <x:c r="U418" s="172" t="str">
        <x:f>IF(A418="","",IFERROR(LOOKUP(2,1/('Engineer Updates'!$B$5:$B$704=A418),'Engineer Updates'!$J$5:$J$704),""))</x:f>
      </x:c>
      <x:c r="V418" s="172" t="str">
        <x:f>IF(A418="","",IFERROR(LOOKUP(2,1/('Engineer Updates'!$B$5:$B$704=A418),'Engineer Updates'!$K$5:$K$704),""))</x:f>
      </x:c>
      <x:c r="W418" s="174" t="str">
        <x:f>IF(A418="","",IFERROR(LOOKUP(2,1/('Engineer Updates'!$B$5:$B$704=A418),'Engineer Updates'!$L$5:$L$704),""))</x:f>
      </x:c>
      <x:c r="X418" s="170" t="str">
        <x:f>IF(A418="","",IF(C418="completed","Completed in CSSP",IF(AND(C418="executing",ISERROR(SEARCH("@",K418))),"Executing without named engineer",IF(AND(N418="Confirmed OOS",C418="executing"),"Confirmed OOS still executing",""))))</x:f>
      </x:c>
      <x:c r="Y418" s="170" t="str">
        <x:f>IF(A418="","",IF(B418="Decommissioning","Raw Decommissioning","Raw Provisioning"))</x:f>
        <x:v>Raw Provisioning</x:v>
      </x:c>
      <x:c r="Z418" s="170" t="str">
        <x:f>IF(A418="","",IF(OR(C418="executing",C418="processing"),"Yes","No"))</x:f>
        <x:v>No</x:v>
      </x:c>
    </x:row>
    <x:row r="419">
      <x:c r="A419" s="170" t="str">
        <x:f>IF(ROWS($A$5:A419)&lt;=COUNTA('Raw Decommissioning'!$B$2:$B$1000),INDEX('Raw Decommissioning'!$B$2:$B$1000,ROWS($A$5:A419)),IF(ROWS($A$5:A419)-COUNTA('Raw Decommissioning'!$B$2:$B$1000)&lt;=COUNTA('Raw Provisioning'!$B$2:$B$1000),INDEX('Raw Provisioning'!$B$2:$B$1000,ROWS($A$5:A419)-COUNTA('Raw Decommissioning'!$B$2:$B$1000)),""))</x:f>
        <x:v>CSSP10155550</x:v>
      </x:c>
      <x:c r="B419" s="170" t="str">
        <x:f>IF(A419="","",IF(ROWS($A$5:A419)&lt;=COUNTA('Raw Decommissioning'!$B$2:$B$1000),"Decommissioning","Provisioning"))</x:f>
        <x:v>Provisioning</x:v>
      </x:c>
      <x:c r="C419" s="170" t="str">
        <x:f>IF(A419="","",IF(B419="Decommissioning",IFERROR(INDEX('Raw Decommissioning'!$E$2:$E$1000,MATCH(A419,'Raw Decommissioning'!$B$2:$B$1000,0)),"Missing from latest raw"),IFERROR(INDEX('Raw Provisioning'!$E$2:$E$1000,MATCH(A419,'Raw Provisioning'!$B$2:$B$1000,0)),"Missing from latest raw")))</x:f>
        <x:v>completed</x:v>
      </x:c>
      <x:c r="D419" s="171" t="n">
        <x:f>IF(A419="","",'Refresh Control'!$B$4)</x:f>
        <x:v>46254</x:v>
      </x:c>
      <x:c r="E419" s="171" t="n">
        <x:f>IF(A419="","",IF(B419="Decommissioning",INDEX('Raw Decommissioning'!$F$2:$F$1000,ROWS($A$5:A419)),INDEX('Raw Provisioning'!$F$2:$F$1000,ROWS($A$5:A419)-COUNTA('Raw Decommissioning'!$B$2:$B$1000))))</x:f>
        <x:v>46050.32672013889</x:v>
      </x:c>
      <x:c r="F419" s="171" t="n">
        <x:f>IF(A419="","",IF(B419="Decommissioning",INDEX('Raw Decommissioning'!$G$2:$G$1000,ROWS($A$5:A419)),INDEX('Raw Provisioning'!$H$2:$H$1000,ROWS($A$5:A419)-COUNTA('Raw Decommissioning'!$B$2:$B$1000))))</x:f>
        <x:v>46059.20812232639</x:v>
      </x:c>
      <x:c r="G419" s="170" t="str">
        <x:f>IF(A419="","",IF(B419="Decommissioning",INDEX('Raw Decommissioning'!$I$2:$I$1000,ROWS($A$5:A419)),INDEX('Raw Provisioning'!$J$2:$J$1000,ROWS($A$5:A419)-COUNTA('Raw Decommissioning'!$B$2:$B$1000))))</x:f>
        <x:v>Plant State Integrity - PSI PCOGD</x:v>
      </x:c>
      <x:c r="H419" s="170" t="str">
        <x:f>IF(A419="","",IF(B419="Decommissioning",INDEX('Raw Decommissioning'!$J$2:$J$1000,ROWS($A$5:A419)),INDEX('Raw Provisioning'!$L$2:$L$1000,ROWS($A$5:A419)-COUNTA('Raw Decommissioning'!$B$2:$B$1000))))</x:f>
        <x:v>Provisioning Server for RTOT Upgrading for PCOGD</x:v>
      </x:c>
      <x:c r="I419" s="170" t="str">
        <x:f>IF(A419="","",IF(B419="Decommissioning",INDEX('Raw Decommissioning'!$AL$2:$AL$1000,ROWS($A$5:A419)),INDEX('Raw Provisioning'!$R$2:$R$1000,ROWS($A$5:A419)-COUNTA('Raw Decommissioning'!$B$2:$B$1000))))</x:f>
        <x:v>S</x:v>
      </x:c>
      <x:c r="J419" s="170" t="str">
        <x:f>IF(A419="","",IF(B419="Decommissioning",INDEX('Raw Decommissioning'!$AG$2:$AG$1000,ROWS($A$5:A419)),INDEX('Raw Provisioning'!$AI$2:$AI$1000,ROWS($A$5:A419)-COUNTA('Raw Decommissioning'!$B$2:$B$1000))))</x:f>
        <x:v>fatinamirah.mjonik@petronas.com</x:v>
      </x:c>
      <x:c r="K419" s="172" t="str">
        <x:f>IF(A419="","",IFERROR(LOOKUP(2,1/('Assignment History'!$B$5:$B$204=A419),'Assignment History'!$D$5:$D$204),IFERROR(VLOOKUP(J419,Configuration!$L$5:$M$50,2,FALSE),J419)))</x:f>
        <x:v>fatinamirah.mjonik@petronas.com</x:v>
      </x:c>
      <x:c r="L419" s="172" t="str">
        <x:f>IF(A419="","",IF(K419=IFERROR(VLOOKUP(J419,Configuration!$L$5:$M$50,2,FALSE),J419),"Snapshot PIC","Replacement PIC"))</x:f>
        <x:v>Snapshot PIC</x:v>
      </x:c>
      <x:c r="M419" s="172" t="n">
        <x:f>IF(A419="","",IFERROR(VLOOKUP(I419,Configuration!$O$5:$P$8,2,FALSE),Configuration!$S$6))</x:f>
        <x:v>1</x:v>
      </x:c>
      <x:c r="N419" s="172" t="str">
        <x:f>IF(A419="","",IFERROR(LOOKUP(2,1/('Scope Review'!$B$5:$B$204=A419),'Scope Review'!$G$5:$G$204),"Not Reviewed"))</x:f>
        <x:v>Not Reviewed</x:v>
      </x:c>
      <x:c r="O419" s="172" t="str">
        <x:f>IF(A419="","",IFERROR(LOOKUP(2,1/('Scope Review'!$B$5:$B$204=A419),'Scope Review'!$H$5:$H$204),""))</x:f>
      </x:c>
      <x:c r="P419" s="172" t="n">
        <x:f>IF(A419="","",IF(AND(C419="executing",N419&lt;&gt;"Confirmed OOS"),M419,0))</x:f>
        <x:v>0</x:v>
      </x:c>
      <x:c r="Q419" s="173" t="str">
        <x:f>IF(A419="","",IFERROR(LOOKUP(2,1/('Engineer Updates'!$B$5:$B$704=A419),'Engineer Updates'!$A$5:$A$704),""))</x:f>
      </x:c>
      <x:c r="R419" s="172" t="str">
        <x:f>IF(A419="","",IFERROR(LOOKUP(2,1/('Engineer Updates'!$B$5:$B$704=A419),'Engineer Updates'!$H$5:$H$704),""))</x:f>
      </x:c>
      <x:c r="S419" s="172" t="str">
        <x:f>IF(A419="","",IFERROR(LOOKUP(2,1/('Engineer Updates'!$B$5:$B$704=A419),'Engineer Updates'!$G$5:$G$704),""))</x:f>
      </x:c>
      <x:c r="T419" s="172" t="str">
        <x:f>IF(A419="","",IFERROR(LOOKUP(2,1/('Engineer Updates'!$B$5:$B$704=A419),'Engineer Updates'!$I$5:$I$704),""))</x:f>
      </x:c>
      <x:c r="U419" s="172" t="str">
        <x:f>IF(A419="","",IFERROR(LOOKUP(2,1/('Engineer Updates'!$B$5:$B$704=A419),'Engineer Updates'!$J$5:$J$704),""))</x:f>
      </x:c>
      <x:c r="V419" s="172" t="str">
        <x:f>IF(A419="","",IFERROR(LOOKUP(2,1/('Engineer Updates'!$B$5:$B$704=A419),'Engineer Updates'!$K$5:$K$704),""))</x:f>
      </x:c>
      <x:c r="W419" s="174" t="str">
        <x:f>IF(A419="","",IFERROR(LOOKUP(2,1/('Engineer Updates'!$B$5:$B$704=A419),'Engineer Updates'!$L$5:$L$704),""))</x:f>
      </x:c>
      <x:c r="X419" s="170" t="str">
        <x:f>IF(A419="","",IF(C419="completed","Completed in CSSP",IF(AND(C419="executing",ISERROR(SEARCH("@",K419))),"Executing without named engineer",IF(AND(N419="Confirmed OOS",C419="executing"),"Confirmed OOS still executing",""))))</x:f>
        <x:v>Completed in CSSP</x:v>
      </x:c>
      <x:c r="Y419" s="170" t="str">
        <x:f>IF(A419="","",IF(B419="Decommissioning","Raw Decommissioning","Raw Provisioning"))</x:f>
        <x:v>Raw Provisioning</x:v>
      </x:c>
      <x:c r="Z419" s="170" t="str">
        <x:f>IF(A419="","",IF(OR(C419="executing",C419="processing"),"Yes","No"))</x:f>
        <x:v>No</x:v>
      </x:c>
    </x:row>
    <x:row r="420">
      <x:c r="A420" s="170" t="str">
        <x:f>IF(ROWS($A$5:A420)&lt;=COUNTA('Raw Decommissioning'!$B$2:$B$1000),INDEX('Raw Decommissioning'!$B$2:$B$1000,ROWS($A$5:A420)),IF(ROWS($A$5:A420)-COUNTA('Raw Decommissioning'!$B$2:$B$1000)&lt;=COUNTA('Raw Provisioning'!$B$2:$B$1000),INDEX('Raw Provisioning'!$B$2:$B$1000,ROWS($A$5:A420)-COUNTA('Raw Decommissioning'!$B$2:$B$1000)),""))</x:f>
        <x:v>CSSP10994966</x:v>
      </x:c>
      <x:c r="B420" s="170" t="str">
        <x:f>IF(A420="","",IF(ROWS($A$5:A420)&lt;=COUNTA('Raw Decommissioning'!$B$2:$B$1000),"Decommissioning","Provisioning"))</x:f>
        <x:v>Provisioning</x:v>
      </x:c>
      <x:c r="C420" s="170" t="str">
        <x:f>IF(A420="","",IF(B420="Decommissioning",IFERROR(INDEX('Raw Decommissioning'!$E$2:$E$1000,MATCH(A420,'Raw Decommissioning'!$B$2:$B$1000,0)),"Missing from latest raw"),IFERROR(INDEX('Raw Provisioning'!$E$2:$E$1000,MATCH(A420,'Raw Provisioning'!$B$2:$B$1000,0)),"Missing from latest raw")))</x:f>
        <x:v>rejected</x:v>
      </x:c>
      <x:c r="D420" s="171" t="n">
        <x:f>IF(A420="","",'Refresh Control'!$B$4)</x:f>
        <x:v>46254</x:v>
      </x:c>
      <x:c r="E420" s="171" t="n">
        <x:f>IF(A420="","",IF(B420="Decommissioning",INDEX('Raw Decommissioning'!$F$2:$F$1000,ROWS($A$5:A420)),INDEX('Raw Provisioning'!$F$2:$F$1000,ROWS($A$5:A420)-COUNTA('Raw Decommissioning'!$B$2:$B$1000))))</x:f>
        <x:v>46058.179556030096</x:v>
      </x:c>
      <x:c r="F420" s="171" t="n">
        <x:f>IF(A420="","",IF(B420="Decommissioning",INDEX('Raw Decommissioning'!$G$2:$G$1000,ROWS($A$5:A420)),INDEX('Raw Provisioning'!$H$2:$H$1000,ROWS($A$5:A420)-COUNTA('Raw Decommissioning'!$B$2:$B$1000))))</x:f>
        <x:v>46111.17450508102</x:v>
      </x:c>
      <x:c r="G420" s="170" t="str">
        <x:f>IF(A420="","",IF(B420="Decommissioning",INDEX('Raw Decommissioning'!$I$2:$I$1000,ROWS($A$5:A420)),INDEX('Raw Provisioning'!$J$2:$J$1000,ROWS($A$5:A420)-COUNTA('Raw Decommissioning'!$B$2:$B$1000))))</x:f>
        <x:v>Plant Information - PI Vestigo</x:v>
      </x:c>
      <x:c r="H420" s="170" t="str">
        <x:f>IF(A420="","",IF(B420="Decommissioning",INDEX('Raw Decommissioning'!$J$2:$J$1000,ROWS($A$5:A420)),INDEX('Raw Provisioning'!$L$2:$L$1000,ROWS($A$5:A420)-COUNTA('Raw Decommissioning'!$B$2:$B$1000))))</x:f>
        <x:v>Cloud Migration Program - PI Vestigo</x:v>
      </x:c>
      <x:c r="I420" s="170" t="str">
        <x:f>IF(A420="","",IF(B420="Decommissioning",INDEX('Raw Decommissioning'!$AL$2:$AL$1000,ROWS($A$5:A420)),INDEX('Raw Provisioning'!$R$2:$R$1000,ROWS($A$5:A420)-COUNTA('Raw Decommissioning'!$B$2:$B$1000))))</x:f>
        <x:v>M</x:v>
      </x:c>
      <x:c r="J420" s="170" t="str">
        <x:f>IF(A420="","",IF(B420="Decommissioning",INDEX('Raw Decommissioning'!$AG$2:$AG$1000,ROWS($A$5:A420)),INDEX('Raw Provisioning'!$AI$2:$AI$1000,ROWS($A$5:A420)-COUNTA('Raw Decommissioning'!$B$2:$B$1000))))</x:f>
        <x:v>ahmadfirdaus.adnan@petronas.com</x:v>
      </x:c>
      <x:c r="K420" s="172" t="str">
        <x:f>IF(A420="","",IFERROR(LOOKUP(2,1/('Assignment History'!$B$5:$B$204=A420),'Assignment History'!$D$5:$D$204),IFERROR(VLOOKUP(J420,Configuration!$L$5:$M$50,2,FALSE),J420)))</x:f>
        <x:v>ahmadfirdaus.adnan@petronas.com</x:v>
      </x:c>
      <x:c r="L420" s="172" t="str">
        <x:f>IF(A420="","",IF(K420=IFERROR(VLOOKUP(J420,Configuration!$L$5:$M$50,2,FALSE),J420),"Snapshot PIC","Replacement PIC"))</x:f>
        <x:v>Snapshot PIC</x:v>
      </x:c>
      <x:c r="M420" s="172" t="n">
        <x:f>IF(A420="","",IFERROR(VLOOKUP(I420,Configuration!$O$5:$P$8,2,FALSE),Configuration!$S$6))</x:f>
        <x:v>2</x:v>
      </x:c>
      <x:c r="N420" s="172" t="str">
        <x:f>IF(A420="","",IFERROR(LOOKUP(2,1/('Scope Review'!$B$5:$B$204=A420),'Scope Review'!$G$5:$G$204),"Not Reviewed"))</x:f>
        <x:v>Not Reviewed</x:v>
      </x:c>
      <x:c r="O420" s="172" t="str">
        <x:f>IF(A420="","",IFERROR(LOOKUP(2,1/('Scope Review'!$B$5:$B$204=A420),'Scope Review'!$H$5:$H$204),""))</x:f>
      </x:c>
      <x:c r="P420" s="172" t="n">
        <x:f>IF(A420="","",IF(AND(C420="executing",N420&lt;&gt;"Confirmed OOS"),M420,0))</x:f>
        <x:v>0</x:v>
      </x:c>
      <x:c r="Q420" s="173" t="str">
        <x:f>IF(A420="","",IFERROR(LOOKUP(2,1/('Engineer Updates'!$B$5:$B$704=A420),'Engineer Updates'!$A$5:$A$704),""))</x:f>
      </x:c>
      <x:c r="R420" s="172" t="str">
        <x:f>IF(A420="","",IFERROR(LOOKUP(2,1/('Engineer Updates'!$B$5:$B$704=A420),'Engineer Updates'!$H$5:$H$704),""))</x:f>
      </x:c>
      <x:c r="S420" s="172" t="str">
        <x:f>IF(A420="","",IFERROR(LOOKUP(2,1/('Engineer Updates'!$B$5:$B$704=A420),'Engineer Updates'!$G$5:$G$704),""))</x:f>
      </x:c>
      <x:c r="T420" s="172" t="str">
        <x:f>IF(A420="","",IFERROR(LOOKUP(2,1/('Engineer Updates'!$B$5:$B$704=A420),'Engineer Updates'!$I$5:$I$704),""))</x:f>
      </x:c>
      <x:c r="U420" s="172" t="str">
        <x:f>IF(A420="","",IFERROR(LOOKUP(2,1/('Engineer Updates'!$B$5:$B$704=A420),'Engineer Updates'!$J$5:$J$704),""))</x:f>
      </x:c>
      <x:c r="V420" s="172" t="str">
        <x:f>IF(A420="","",IFERROR(LOOKUP(2,1/('Engineer Updates'!$B$5:$B$704=A420),'Engineer Updates'!$K$5:$K$704),""))</x:f>
      </x:c>
      <x:c r="W420" s="174" t="str">
        <x:f>IF(A420="","",IFERROR(LOOKUP(2,1/('Engineer Updates'!$B$5:$B$704=A420),'Engineer Updates'!$L$5:$L$704),""))</x:f>
      </x:c>
      <x:c r="X420" s="170" t="str">
        <x:f>IF(A420="","",IF(C420="completed","Completed in CSSP",IF(AND(C420="executing",ISERROR(SEARCH("@",K420))),"Executing without named engineer",IF(AND(N420="Confirmed OOS",C420="executing"),"Confirmed OOS still executing",""))))</x:f>
      </x:c>
      <x:c r="Y420" s="170" t="str">
        <x:f>IF(A420="","",IF(B420="Decommissioning","Raw Decommissioning","Raw Provisioning"))</x:f>
        <x:v>Raw Provisioning</x:v>
      </x:c>
      <x:c r="Z420" s="170" t="str">
        <x:f>IF(A420="","",IF(OR(C420="executing",C420="processing"),"Yes","No"))</x:f>
        <x:v>No</x:v>
      </x:c>
    </x:row>
    <x:row r="421">
      <x:c r="A421" s="170" t="str">
        <x:f>IF(ROWS($A$5:A421)&lt;=COUNTA('Raw Decommissioning'!$B$2:$B$1000),INDEX('Raw Decommissioning'!$B$2:$B$1000,ROWS($A$5:A421)),IF(ROWS($A$5:A421)-COUNTA('Raw Decommissioning'!$B$2:$B$1000)&lt;=COUNTA('Raw Provisioning'!$B$2:$B$1000),INDEX('Raw Provisioning'!$B$2:$B$1000,ROWS($A$5:A421)-COUNTA('Raw Decommissioning'!$B$2:$B$1000)),""))</x:f>
        <x:v>CSSP10683335</x:v>
      </x:c>
      <x:c r="B421" s="170" t="str">
        <x:f>IF(A421="","",IF(ROWS($A$5:A421)&lt;=COUNTA('Raw Decommissioning'!$B$2:$B$1000),"Decommissioning","Provisioning"))</x:f>
        <x:v>Provisioning</x:v>
      </x:c>
      <x:c r="C421" s="170" t="str">
        <x:f>IF(A421="","",IF(B421="Decommissioning",IFERROR(INDEX('Raw Decommissioning'!$E$2:$E$1000,MATCH(A421,'Raw Decommissioning'!$B$2:$B$1000,0)),"Missing from latest raw"),IFERROR(INDEX('Raw Provisioning'!$E$2:$E$1000,MATCH(A421,'Raw Provisioning'!$B$2:$B$1000,0)),"Missing from latest raw")))</x:f>
        <x:v>completed</x:v>
      </x:c>
      <x:c r="D421" s="171" t="n">
        <x:f>IF(A421="","",'Refresh Control'!$B$4)</x:f>
        <x:v>46254</x:v>
      </x:c>
      <x:c r="E421" s="171" t="n">
        <x:f>IF(A421="","",IF(B421="Decommissioning",INDEX('Raw Decommissioning'!$F$2:$F$1000,ROWS($A$5:A421)),INDEX('Raw Provisioning'!$F$2:$F$1000,ROWS($A$5:A421)-COUNTA('Raw Decommissioning'!$B$2:$B$1000))))</x:f>
        <x:v>46062.1332174537</x:v>
      </x:c>
      <x:c r="F421" s="171" t="n">
        <x:f>IF(A421="","",IF(B421="Decommissioning",INDEX('Raw Decommissioning'!$G$2:$G$1000,ROWS($A$5:A421)),INDEX('Raw Provisioning'!$H$2:$H$1000,ROWS($A$5:A421)-COUNTA('Raw Decommissioning'!$B$2:$B$1000))))</x:f>
        <x:v>46091.30116416667</x:v>
      </x:c>
      <x:c r="G421" s="170" t="str">
        <x:f>IF(A421="","",IF(B421="Decommissioning",INDEX('Raw Decommissioning'!$I$2:$I$1000,ROWS($A$5:A421)),INDEX('Raw Provisioning'!$J$2:$J$1000,ROWS($A$5:A421)-COUNTA('Raw Decommissioning'!$B$2:$B$1000))))</x:f>
        <x:v>Plant Information - PI BASIL PCMTBE</x:v>
      </x:c>
      <x:c r="H421" s="170" t="str">
        <x:f>IF(A421="","",IF(B421="Decommissioning",INDEX('Raw Decommissioning'!$J$2:$J$1000,ROWS($A$5:A421)),INDEX('Raw Provisioning'!$L$2:$L$1000,ROWS($A$5:A421)-COUNTA('Raw Decommissioning'!$B$2:$B$1000))))</x:f>
        <x:v>Provisioning of PI &amp; BASIL Plant Infrastructure for PETRONAS Chemicals MTBE</x:v>
      </x:c>
      <x:c r="I421" s="170" t="str">
        <x:f>IF(A421="","",IF(B421="Decommissioning",INDEX('Raw Decommissioning'!$AL$2:$AL$1000,ROWS($A$5:A421)),INDEX('Raw Provisioning'!$R$2:$R$1000,ROWS($A$5:A421)-COUNTA('Raw Decommissioning'!$B$2:$B$1000))))</x:f>
        <x:v>M</x:v>
      </x:c>
      <x:c r="J421" s="170" t="str">
        <x:f>IF(A421="","",IF(B421="Decommissioning",INDEX('Raw Decommissioning'!$AG$2:$AG$1000,ROWS($A$5:A421)),INDEX('Raw Provisioning'!$AI$2:$AI$1000,ROWS($A$5:A421)-COUNTA('Raw Decommissioning'!$B$2:$B$1000))))</x:f>
        <x:v>amin.manshor@petronas.com</x:v>
      </x:c>
      <x:c r="K421" s="172" t="str">
        <x:f>IF(A421="","",IFERROR(LOOKUP(2,1/('Assignment History'!$B$5:$B$204=A421),'Assignment History'!$D$5:$D$204),IFERROR(VLOOKUP(J421,Configuration!$L$5:$M$50,2,FALSE),J421)))</x:f>
        <x:v>amin.manshor@petronas.com</x:v>
      </x:c>
      <x:c r="L421" s="172" t="str">
        <x:f>IF(A421="","",IF(K421=IFERROR(VLOOKUP(J421,Configuration!$L$5:$M$50,2,FALSE),J421),"Snapshot PIC","Replacement PIC"))</x:f>
        <x:v>Snapshot PIC</x:v>
      </x:c>
      <x:c r="M421" s="172" t="n">
        <x:f>IF(A421="","",IFERROR(VLOOKUP(I421,Configuration!$O$5:$P$8,2,FALSE),Configuration!$S$6))</x:f>
        <x:v>2</x:v>
      </x:c>
      <x:c r="N421" s="172" t="str">
        <x:f>IF(A421="","",IFERROR(LOOKUP(2,1/('Scope Review'!$B$5:$B$204=A421),'Scope Review'!$G$5:$G$204),"Not Reviewed"))</x:f>
        <x:v>Not Reviewed</x:v>
      </x:c>
      <x:c r="O421" s="172" t="str">
        <x:f>IF(A421="","",IFERROR(LOOKUP(2,1/('Scope Review'!$B$5:$B$204=A421),'Scope Review'!$H$5:$H$204),""))</x:f>
      </x:c>
      <x:c r="P421" s="172" t="n">
        <x:f>IF(A421="","",IF(AND(C421="executing",N421&lt;&gt;"Confirmed OOS"),M421,0))</x:f>
        <x:v>0</x:v>
      </x:c>
      <x:c r="Q421" s="173" t="str">
        <x:f>IF(A421="","",IFERROR(LOOKUP(2,1/('Engineer Updates'!$B$5:$B$704=A421),'Engineer Updates'!$A$5:$A$704),""))</x:f>
      </x:c>
      <x:c r="R421" s="172" t="str">
        <x:f>IF(A421="","",IFERROR(LOOKUP(2,1/('Engineer Updates'!$B$5:$B$704=A421),'Engineer Updates'!$H$5:$H$704),""))</x:f>
      </x:c>
      <x:c r="S421" s="172" t="str">
        <x:f>IF(A421="","",IFERROR(LOOKUP(2,1/('Engineer Updates'!$B$5:$B$704=A421),'Engineer Updates'!$G$5:$G$704),""))</x:f>
      </x:c>
      <x:c r="T421" s="172" t="str">
        <x:f>IF(A421="","",IFERROR(LOOKUP(2,1/('Engineer Updates'!$B$5:$B$704=A421),'Engineer Updates'!$I$5:$I$704),""))</x:f>
      </x:c>
      <x:c r="U421" s="172" t="str">
        <x:f>IF(A421="","",IFERROR(LOOKUP(2,1/('Engineer Updates'!$B$5:$B$704=A421),'Engineer Updates'!$J$5:$J$704),""))</x:f>
      </x:c>
      <x:c r="V421" s="172" t="str">
        <x:f>IF(A421="","",IFERROR(LOOKUP(2,1/('Engineer Updates'!$B$5:$B$704=A421),'Engineer Updates'!$K$5:$K$704),""))</x:f>
      </x:c>
      <x:c r="W421" s="174" t="str">
        <x:f>IF(A421="","",IFERROR(LOOKUP(2,1/('Engineer Updates'!$B$5:$B$704=A421),'Engineer Updates'!$L$5:$L$704),""))</x:f>
      </x:c>
      <x:c r="X421" s="170" t="str">
        <x:f>IF(A421="","",IF(C421="completed","Completed in CSSP",IF(AND(C421="executing",ISERROR(SEARCH("@",K421))),"Executing without named engineer",IF(AND(N421="Confirmed OOS",C421="executing"),"Confirmed OOS still executing",""))))</x:f>
        <x:v>Completed in CSSP</x:v>
      </x:c>
      <x:c r="Y421" s="170" t="str">
        <x:f>IF(A421="","",IF(B421="Decommissioning","Raw Decommissioning","Raw Provisioning"))</x:f>
        <x:v>Raw Provisioning</x:v>
      </x:c>
      <x:c r="Z421" s="170" t="str">
        <x:f>IF(A421="","",IF(OR(C421="executing",C421="processing"),"Yes","No"))</x:f>
        <x:v>No</x:v>
      </x:c>
    </x:row>
    <x:row r="422">
      <x:c r="A422" s="170" t="str">
        <x:f>IF(ROWS($A$5:A422)&lt;=COUNTA('Raw Decommissioning'!$B$2:$B$1000),INDEX('Raw Decommissioning'!$B$2:$B$1000,ROWS($A$5:A422)),IF(ROWS($A$5:A422)-COUNTA('Raw Decommissioning'!$B$2:$B$1000)&lt;=COUNTA('Raw Provisioning'!$B$2:$B$1000),INDEX('Raw Provisioning'!$B$2:$B$1000,ROWS($A$5:A422)-COUNTA('Raw Decommissioning'!$B$2:$B$1000)),""))</x:f>
        <x:v>CSSP10142017</x:v>
      </x:c>
      <x:c r="B422" s="170" t="str">
        <x:f>IF(A422="","",IF(ROWS($A$5:A422)&lt;=COUNTA('Raw Decommissioning'!$B$2:$B$1000),"Decommissioning","Provisioning"))</x:f>
        <x:v>Provisioning</x:v>
      </x:c>
      <x:c r="C422" s="170" t="str">
        <x:f>IF(A422="","",IF(B422="Decommissioning",IFERROR(INDEX('Raw Decommissioning'!$E$2:$E$1000,MATCH(A422,'Raw Decommissioning'!$B$2:$B$1000,0)),"Missing from latest raw"),IFERROR(INDEX('Raw Provisioning'!$E$2:$E$1000,MATCH(A422,'Raw Provisioning'!$B$2:$B$1000,0)),"Missing from latest raw")))</x:f>
        <x:v>completed</x:v>
      </x:c>
      <x:c r="D422" s="171" t="n">
        <x:f>IF(A422="","",'Refresh Control'!$B$4)</x:f>
        <x:v>46254</x:v>
      </x:c>
      <x:c r="E422" s="171" t="n">
        <x:f>IF(A422="","",IF(B422="Decommissioning",INDEX('Raw Decommissioning'!$F$2:$F$1000,ROWS($A$5:A422)),INDEX('Raw Provisioning'!$F$2:$F$1000,ROWS($A$5:A422)-COUNTA('Raw Decommissioning'!$B$2:$B$1000))))</x:f>
        <x:v>46062.371390844906</x:v>
      </x:c>
      <x:c r="F422" s="171" t="n">
        <x:f>IF(A422="","",IF(B422="Decommissioning",INDEX('Raw Decommissioning'!$G$2:$G$1000,ROWS($A$5:A422)),INDEX('Raw Provisioning'!$H$2:$H$1000,ROWS($A$5:A422)-COUNTA('Raw Decommissioning'!$B$2:$B$1000))))</x:f>
        <x:v>46072.196785555556</x:v>
      </x:c>
      <x:c r="G422" s="170" t="str">
        <x:f>IF(A422="","",IF(B422="Decommissioning",INDEX('Raw Decommissioning'!$I$2:$I$1000,ROWS($A$5:A422)),INDEX('Raw Provisioning'!$J$2:$J$1000,ROWS($A$5:A422)-COUNTA('Raw Decommissioning'!$B$2:$B$1000))))</x:f>
        <x:v>AI Enablement Framework</x:v>
      </x:c>
      <x:c r="H422" s="170" t="str">
        <x:f>IF(A422="","",IF(B422="Decommissioning",INDEX('Raw Decommissioning'!$J$2:$J$1000,ROWS($A$5:A422)),INDEX('Raw Provisioning'!$L$2:$L$1000,ROWS($A$5:A422)-COUNTA('Raw Decommissioning'!$B$2:$B$1000))))</x:f>
        <x:v>Support and Maintenance for AI Enablement Framework 2023-2024 for PDB</x:v>
      </x:c>
      <x:c r="I422" s="170" t="str">
        <x:f>IF(A422="","",IF(B422="Decommissioning",INDEX('Raw Decommissioning'!$AL$2:$AL$1000,ROWS($A$5:A422)),INDEX('Raw Provisioning'!$R$2:$R$1000,ROWS($A$5:A422)-COUNTA('Raw Decommissioning'!$B$2:$B$1000))))</x:f>
        <x:v>S</x:v>
      </x:c>
      <x:c r="J422" s="170" t="str">
        <x:f>IF(A422="","",IF(B422="Decommissioning",INDEX('Raw Decommissioning'!$AG$2:$AG$1000,ROWS($A$5:A422)),INDEX('Raw Provisioning'!$AI$2:$AI$1000,ROWS($A$5:A422)-COUNTA('Raw Decommissioning'!$B$2:$B$1000))))</x:f>
        <x:v>syazali.saad@petronas.com</x:v>
      </x:c>
      <x:c r="K422" s="172" t="str">
        <x:f>IF(A422="","",IFERROR(LOOKUP(2,1/('Assignment History'!$B$5:$B$204=A422),'Assignment History'!$D$5:$D$204),IFERROR(VLOOKUP(J422,Configuration!$L$5:$M$50,2,FALSE),J422)))</x:f>
        <x:v>syazali.saad@petronas.com</x:v>
      </x:c>
      <x:c r="L422" s="172" t="str">
        <x:f>IF(A422="","",IF(K422=IFERROR(VLOOKUP(J422,Configuration!$L$5:$M$50,2,FALSE),J422),"Snapshot PIC","Replacement PIC"))</x:f>
        <x:v>Snapshot PIC</x:v>
      </x:c>
      <x:c r="M422" s="172" t="n">
        <x:f>IF(A422="","",IFERROR(VLOOKUP(I422,Configuration!$O$5:$P$8,2,FALSE),Configuration!$S$6))</x:f>
        <x:v>1</x:v>
      </x:c>
      <x:c r="N422" s="172" t="str">
        <x:f>IF(A422="","",IFERROR(LOOKUP(2,1/('Scope Review'!$B$5:$B$204=A422),'Scope Review'!$G$5:$G$204),"Not Reviewed"))</x:f>
        <x:v>Not Reviewed</x:v>
      </x:c>
      <x:c r="O422" s="172" t="str">
        <x:f>IF(A422="","",IFERROR(LOOKUP(2,1/('Scope Review'!$B$5:$B$204=A422),'Scope Review'!$H$5:$H$204),""))</x:f>
      </x:c>
      <x:c r="P422" s="172" t="n">
        <x:f>IF(A422="","",IF(AND(C422="executing",N422&lt;&gt;"Confirmed OOS"),M422,0))</x:f>
        <x:v>0</x:v>
      </x:c>
      <x:c r="Q422" s="173" t="str">
        <x:f>IF(A422="","",IFERROR(LOOKUP(2,1/('Engineer Updates'!$B$5:$B$704=A422),'Engineer Updates'!$A$5:$A$704),""))</x:f>
      </x:c>
      <x:c r="R422" s="172" t="str">
        <x:f>IF(A422="","",IFERROR(LOOKUP(2,1/('Engineer Updates'!$B$5:$B$704=A422),'Engineer Updates'!$H$5:$H$704),""))</x:f>
      </x:c>
      <x:c r="S422" s="172" t="str">
        <x:f>IF(A422="","",IFERROR(LOOKUP(2,1/('Engineer Updates'!$B$5:$B$704=A422),'Engineer Updates'!$G$5:$G$704),""))</x:f>
      </x:c>
      <x:c r="T422" s="172" t="str">
        <x:f>IF(A422="","",IFERROR(LOOKUP(2,1/('Engineer Updates'!$B$5:$B$704=A422),'Engineer Updates'!$I$5:$I$704),""))</x:f>
      </x:c>
      <x:c r="U422" s="172" t="str">
        <x:f>IF(A422="","",IFERROR(LOOKUP(2,1/('Engineer Updates'!$B$5:$B$704=A422),'Engineer Updates'!$J$5:$J$704),""))</x:f>
      </x:c>
      <x:c r="V422" s="172" t="str">
        <x:f>IF(A422="","",IFERROR(LOOKUP(2,1/('Engineer Updates'!$B$5:$B$704=A422),'Engineer Updates'!$K$5:$K$704),""))</x:f>
      </x:c>
      <x:c r="W422" s="174" t="str">
        <x:f>IF(A422="","",IFERROR(LOOKUP(2,1/('Engineer Updates'!$B$5:$B$704=A422),'Engineer Updates'!$L$5:$L$704),""))</x:f>
      </x:c>
      <x:c r="X422" s="170" t="str">
        <x:f>IF(A422="","",IF(C422="completed","Completed in CSSP",IF(AND(C422="executing",ISERROR(SEARCH("@",K422))),"Executing without named engineer",IF(AND(N422="Confirmed OOS",C422="executing"),"Confirmed OOS still executing",""))))</x:f>
        <x:v>Completed in CSSP</x:v>
      </x:c>
      <x:c r="Y422" s="170" t="str">
        <x:f>IF(A422="","",IF(B422="Decommissioning","Raw Decommissioning","Raw Provisioning"))</x:f>
        <x:v>Raw Provisioning</x:v>
      </x:c>
      <x:c r="Z422" s="170" t="str">
        <x:f>IF(A422="","",IF(OR(C422="executing",C422="processing"),"Yes","No"))</x:f>
        <x:v>No</x:v>
      </x:c>
    </x:row>
    <x:row r="423">
      <x:c r="A423" s="170" t="str">
        <x:f>IF(ROWS($A$5:A423)&lt;=COUNTA('Raw Decommissioning'!$B$2:$B$1000),INDEX('Raw Decommissioning'!$B$2:$B$1000,ROWS($A$5:A423)),IF(ROWS($A$5:A423)-COUNTA('Raw Decommissioning'!$B$2:$B$1000)&lt;=COUNTA('Raw Provisioning'!$B$2:$B$1000),INDEX('Raw Provisioning'!$B$2:$B$1000,ROWS($A$5:A423)-COUNTA('Raw Decommissioning'!$B$2:$B$1000)),""))</x:f>
        <x:v>CSSP10205419</x:v>
      </x:c>
      <x:c r="B423" s="170" t="str">
        <x:f>IF(A423="","",IF(ROWS($A$5:A423)&lt;=COUNTA('Raw Decommissioning'!$B$2:$B$1000),"Decommissioning","Provisioning"))</x:f>
        <x:v>Provisioning</x:v>
      </x:c>
      <x:c r="C423" s="170" t="str">
        <x:f>IF(A423="","",IF(B423="Decommissioning",IFERROR(INDEX('Raw Decommissioning'!$E$2:$E$1000,MATCH(A423,'Raw Decommissioning'!$B$2:$B$1000,0)),"Missing from latest raw"),IFERROR(INDEX('Raw Provisioning'!$E$2:$E$1000,MATCH(A423,'Raw Provisioning'!$B$2:$B$1000,0)),"Missing from latest raw")))</x:f>
        <x:v>completed</x:v>
      </x:c>
      <x:c r="D423" s="171" t="n">
        <x:f>IF(A423="","",'Refresh Control'!$B$4)</x:f>
        <x:v>46254</x:v>
      </x:c>
      <x:c r="E423" s="171" t="n">
        <x:f>IF(A423="","",IF(B423="Decommissioning",INDEX('Raw Decommissioning'!$F$2:$F$1000,ROWS($A$5:A423)),INDEX('Raw Provisioning'!$F$2:$F$1000,ROWS($A$5:A423)-COUNTA('Raw Decommissioning'!$B$2:$B$1000))))</x:f>
        <x:v>46062.41020395833</x:v>
      </x:c>
      <x:c r="F423" s="171" t="n">
        <x:f>IF(A423="","",IF(B423="Decommissioning",INDEX('Raw Decommissioning'!$G$2:$G$1000,ROWS($A$5:A423)),INDEX('Raw Provisioning'!$H$2:$H$1000,ROWS($A$5:A423)-COUNTA('Raw Decommissioning'!$B$2:$B$1000))))</x:f>
        <x:v>46198.14503666667</x:v>
      </x:c>
      <x:c r="G423" s="170" t="str">
        <x:f>IF(A423="","",IF(B423="Decommissioning",INDEX('Raw Decommissioning'!$I$2:$I$1000,ROWS($A$5:A423)),INDEX('Raw Provisioning'!$J$2:$J$1000,ROWS($A$5:A423)-COUNTA('Raw Decommissioning'!$B$2:$B$1000))))</x:f>
        <x:v>MyPROData</x:v>
      </x:c>
      <x:c r="H423" s="170" t="str">
        <x:f>IF(A423="","",IF(B423="Decommissioning",INDEX('Raw Decommissioning'!$J$2:$J$1000,ROWS($A$5:A423)),INDEX('Raw Provisioning'!$L$2:$L$1000,ROWS($A$5:A423)-COUNTA('Raw Decommissioning'!$B$2:$B$1000))))</x:f>
        <x:v>Shared Support Services (SecOps) myPROdata FY2025 for Malaysia Petroleum Management (MPM)</x:v>
      </x:c>
      <x:c r="I423" s="170" t="str">
        <x:f>IF(A423="","",IF(B423="Decommissioning",INDEX('Raw Decommissioning'!$AL$2:$AL$1000,ROWS($A$5:A423)),INDEX('Raw Provisioning'!$R$2:$R$1000,ROWS($A$5:A423)-COUNTA('Raw Decommissioning'!$B$2:$B$1000))))</x:f>
        <x:v>S</x:v>
      </x:c>
      <x:c r="J423" s="170" t="str">
        <x:f>IF(A423="","",IF(B423="Decommissioning",INDEX('Raw Decommissioning'!$AG$2:$AG$1000,ROWS($A$5:A423)),INDEX('Raw Provisioning'!$AI$2:$AI$1000,ROWS($A$5:A423)-COUNTA('Raw Decommissioning'!$B$2:$B$1000))))</x:f>
        <x:v>ahmadfirdaus.adnan@petronas.com</x:v>
      </x:c>
      <x:c r="K423" s="172" t="str">
        <x:f>IF(A423="","",IFERROR(LOOKUP(2,1/('Assignment History'!$B$5:$B$204=A423),'Assignment History'!$D$5:$D$204),IFERROR(VLOOKUP(J423,Configuration!$L$5:$M$50,2,FALSE),J423)))</x:f>
        <x:v>ahmadfirdaus.adnan@petronas.com</x:v>
      </x:c>
      <x:c r="L423" s="172" t="str">
        <x:f>IF(A423="","",IF(K423=IFERROR(VLOOKUP(J423,Configuration!$L$5:$M$50,2,FALSE),J423),"Snapshot PIC","Replacement PIC"))</x:f>
        <x:v>Snapshot PIC</x:v>
      </x:c>
      <x:c r="M423" s="172" t="n">
        <x:f>IF(A423="","",IFERROR(VLOOKUP(I423,Configuration!$O$5:$P$8,2,FALSE),Configuration!$S$6))</x:f>
        <x:v>1</x:v>
      </x:c>
      <x:c r="N423" s="172" t="str">
        <x:f>IF(A423="","",IFERROR(LOOKUP(2,1/('Scope Review'!$B$5:$B$204=A423),'Scope Review'!$G$5:$G$204),"Not Reviewed"))</x:f>
        <x:v>Not Reviewed</x:v>
      </x:c>
      <x:c r="O423" s="172" t="str">
        <x:f>IF(A423="","",IFERROR(LOOKUP(2,1/('Scope Review'!$B$5:$B$204=A423),'Scope Review'!$H$5:$H$204),""))</x:f>
      </x:c>
      <x:c r="P423" s="172" t="n">
        <x:f>IF(A423="","",IF(AND(C423="executing",N423&lt;&gt;"Confirmed OOS"),M423,0))</x:f>
        <x:v>0</x:v>
      </x:c>
      <x:c r="Q423" s="173" t="str">
        <x:f>IF(A423="","",IFERROR(LOOKUP(2,1/('Engineer Updates'!$B$5:$B$704=A423),'Engineer Updates'!$A$5:$A$704),""))</x:f>
      </x:c>
      <x:c r="R423" s="172" t="str">
        <x:f>IF(A423="","",IFERROR(LOOKUP(2,1/('Engineer Updates'!$B$5:$B$704=A423),'Engineer Updates'!$H$5:$H$704),""))</x:f>
      </x:c>
      <x:c r="S423" s="172" t="str">
        <x:f>IF(A423="","",IFERROR(LOOKUP(2,1/('Engineer Updates'!$B$5:$B$704=A423),'Engineer Updates'!$G$5:$G$704),""))</x:f>
      </x:c>
      <x:c r="T423" s="172" t="str">
        <x:f>IF(A423="","",IFERROR(LOOKUP(2,1/('Engineer Updates'!$B$5:$B$704=A423),'Engineer Updates'!$I$5:$I$704),""))</x:f>
      </x:c>
      <x:c r="U423" s="172" t="str">
        <x:f>IF(A423="","",IFERROR(LOOKUP(2,1/('Engineer Updates'!$B$5:$B$704=A423),'Engineer Updates'!$J$5:$J$704),""))</x:f>
      </x:c>
      <x:c r="V423" s="172" t="str">
        <x:f>IF(A423="","",IFERROR(LOOKUP(2,1/('Engineer Updates'!$B$5:$B$704=A423),'Engineer Updates'!$K$5:$K$704),""))</x:f>
      </x:c>
      <x:c r="W423" s="174" t="str">
        <x:f>IF(A423="","",IFERROR(LOOKUP(2,1/('Engineer Updates'!$B$5:$B$704=A423),'Engineer Updates'!$L$5:$L$704),""))</x:f>
      </x:c>
      <x:c r="X423" s="170" t="str">
        <x:f>IF(A423="","",IF(C423="completed","Completed in CSSP",IF(AND(C423="executing",ISERROR(SEARCH("@",K423))),"Executing without named engineer",IF(AND(N423="Confirmed OOS",C423="executing"),"Confirmed OOS still executing",""))))</x:f>
        <x:v>Completed in CSSP</x:v>
      </x:c>
      <x:c r="Y423" s="170" t="str">
        <x:f>IF(A423="","",IF(B423="Decommissioning","Raw Decommissioning","Raw Provisioning"))</x:f>
        <x:v>Raw Provisioning</x:v>
      </x:c>
      <x:c r="Z423" s="170" t="str">
        <x:f>IF(A423="","",IF(OR(C423="executing",C423="processing"),"Yes","No"))</x:f>
        <x:v>No</x:v>
      </x:c>
    </x:row>
    <x:row r="424">
      <x:c r="A424" s="170" t="str">
        <x:f>IF(ROWS($A$5:A424)&lt;=COUNTA('Raw Decommissioning'!$B$2:$B$1000),INDEX('Raw Decommissioning'!$B$2:$B$1000,ROWS($A$5:A424)),IF(ROWS($A$5:A424)-COUNTA('Raw Decommissioning'!$B$2:$B$1000)&lt;=COUNTA('Raw Provisioning'!$B$2:$B$1000),INDEX('Raw Provisioning'!$B$2:$B$1000,ROWS($A$5:A424)-COUNTA('Raw Decommissioning'!$B$2:$B$1000)),""))</x:f>
        <x:v>CSSP10881366</x:v>
      </x:c>
      <x:c r="B424" s="170" t="str">
        <x:f>IF(A424="","",IF(ROWS($A$5:A424)&lt;=COUNTA('Raw Decommissioning'!$B$2:$B$1000),"Decommissioning","Provisioning"))</x:f>
        <x:v>Provisioning</x:v>
      </x:c>
      <x:c r="C424" s="170" t="str">
        <x:f>IF(A424="","",IF(B424="Decommissioning",IFERROR(INDEX('Raw Decommissioning'!$E$2:$E$1000,MATCH(A424,'Raw Decommissioning'!$B$2:$B$1000,0)),"Missing from latest raw"),IFERROR(INDEX('Raw Provisioning'!$E$2:$E$1000,MATCH(A424,'Raw Provisioning'!$B$2:$B$1000,0)),"Missing from latest raw")))</x:f>
        <x:v>completed</x:v>
      </x:c>
      <x:c r="D424" s="171" t="n">
        <x:f>IF(A424="","",'Refresh Control'!$B$4)</x:f>
        <x:v>46254</x:v>
      </x:c>
      <x:c r="E424" s="171" t="n">
        <x:f>IF(A424="","",IF(B424="Decommissioning",INDEX('Raw Decommissioning'!$F$2:$F$1000,ROWS($A$5:A424)),INDEX('Raw Provisioning'!$F$2:$F$1000,ROWS($A$5:A424)-COUNTA('Raw Decommissioning'!$B$2:$B$1000))))</x:f>
        <x:v>46063.148371076386</x:v>
      </x:c>
      <x:c r="F424" s="171" t="n">
        <x:f>IF(A424="","",IF(B424="Decommissioning",INDEX('Raw Decommissioning'!$G$2:$G$1000,ROWS($A$5:A424)),INDEX('Raw Provisioning'!$H$2:$H$1000,ROWS($A$5:A424)-COUNTA('Raw Decommissioning'!$B$2:$B$1000))))</x:f>
        <x:v>46072.25235241898</x:v>
      </x:c>
      <x:c r="G424" s="170" t="str">
        <x:f>IF(A424="","",IF(B424="Decommissioning",INDEX('Raw Decommissioning'!$I$2:$I$1000,ROWS($A$5:A424)),INDEX('Raw Provisioning'!$J$2:$J$1000,ROWS($A$5:A424)-COUNTA('Raw Decommissioning'!$B$2:$B$1000))))</x:f>
        <x:v>AI Enablement Framework</x:v>
      </x:c>
      <x:c r="H424" s="170" t="str">
        <x:f>IF(A424="","",IF(B424="Decommissioning",INDEX('Raw Decommissioning'!$J$2:$J$1000,ROWS($A$5:A424)),INDEX('Raw Provisioning'!$L$2:$L$1000,ROWS($A$5:A424)-COUNTA('Raw Decommissioning'!$B$2:$B$1000))))</x:f>
        <x:v>Support and Maintenance for AI Enablement Framework 2023-2024 for PDB</x:v>
      </x:c>
      <x:c r="I424" s="170" t="str">
        <x:f>IF(A424="","",IF(B424="Decommissioning",INDEX('Raw Decommissioning'!$AL$2:$AL$1000,ROWS($A$5:A424)),INDEX('Raw Provisioning'!$R$2:$R$1000,ROWS($A$5:A424)-COUNTA('Raw Decommissioning'!$B$2:$B$1000))))</x:f>
        <x:v>S</x:v>
      </x:c>
      <x:c r="J424" s="170" t="str">
        <x:f>IF(A424="","",IF(B424="Decommissioning",INDEX('Raw Decommissioning'!$AG$2:$AG$1000,ROWS($A$5:A424)),INDEX('Raw Provisioning'!$AI$2:$AI$1000,ROWS($A$5:A424)-COUNTA('Raw Decommissioning'!$B$2:$B$1000))))</x:f>
        <x:v>syazali.saad@petronas.com</x:v>
      </x:c>
      <x:c r="K424" s="172" t="str">
        <x:f>IF(A424="","",IFERROR(LOOKUP(2,1/('Assignment History'!$B$5:$B$204=A424),'Assignment History'!$D$5:$D$204),IFERROR(VLOOKUP(J424,Configuration!$L$5:$M$50,2,FALSE),J424)))</x:f>
        <x:v>syazali.saad@petronas.com</x:v>
      </x:c>
      <x:c r="L424" s="172" t="str">
        <x:f>IF(A424="","",IF(K424=IFERROR(VLOOKUP(J424,Configuration!$L$5:$M$50,2,FALSE),J424),"Snapshot PIC","Replacement PIC"))</x:f>
        <x:v>Snapshot PIC</x:v>
      </x:c>
      <x:c r="M424" s="172" t="n">
        <x:f>IF(A424="","",IFERROR(VLOOKUP(I424,Configuration!$O$5:$P$8,2,FALSE),Configuration!$S$6))</x:f>
        <x:v>1</x:v>
      </x:c>
      <x:c r="N424" s="172" t="str">
        <x:f>IF(A424="","",IFERROR(LOOKUP(2,1/('Scope Review'!$B$5:$B$204=A424),'Scope Review'!$G$5:$G$204),"Not Reviewed"))</x:f>
        <x:v>Not Reviewed</x:v>
      </x:c>
      <x:c r="O424" s="172" t="str">
        <x:f>IF(A424="","",IFERROR(LOOKUP(2,1/('Scope Review'!$B$5:$B$204=A424),'Scope Review'!$H$5:$H$204),""))</x:f>
      </x:c>
      <x:c r="P424" s="172" t="n">
        <x:f>IF(A424="","",IF(AND(C424="executing",N424&lt;&gt;"Confirmed OOS"),M424,0))</x:f>
        <x:v>0</x:v>
      </x:c>
      <x:c r="Q424" s="173" t="str">
        <x:f>IF(A424="","",IFERROR(LOOKUP(2,1/('Engineer Updates'!$B$5:$B$704=A424),'Engineer Updates'!$A$5:$A$704),""))</x:f>
      </x:c>
      <x:c r="R424" s="172" t="str">
        <x:f>IF(A424="","",IFERROR(LOOKUP(2,1/('Engineer Updates'!$B$5:$B$704=A424),'Engineer Updates'!$H$5:$H$704),""))</x:f>
      </x:c>
      <x:c r="S424" s="172" t="str">
        <x:f>IF(A424="","",IFERROR(LOOKUP(2,1/('Engineer Updates'!$B$5:$B$704=A424),'Engineer Updates'!$G$5:$G$704),""))</x:f>
      </x:c>
      <x:c r="T424" s="172" t="str">
        <x:f>IF(A424="","",IFERROR(LOOKUP(2,1/('Engineer Updates'!$B$5:$B$704=A424),'Engineer Updates'!$I$5:$I$704),""))</x:f>
      </x:c>
      <x:c r="U424" s="172" t="str">
        <x:f>IF(A424="","",IFERROR(LOOKUP(2,1/('Engineer Updates'!$B$5:$B$704=A424),'Engineer Updates'!$J$5:$J$704),""))</x:f>
      </x:c>
      <x:c r="V424" s="172" t="str">
        <x:f>IF(A424="","",IFERROR(LOOKUP(2,1/('Engineer Updates'!$B$5:$B$704=A424),'Engineer Updates'!$K$5:$K$704),""))</x:f>
      </x:c>
      <x:c r="W424" s="174" t="str">
        <x:f>IF(A424="","",IFERROR(LOOKUP(2,1/('Engineer Updates'!$B$5:$B$704=A424),'Engineer Updates'!$L$5:$L$704),""))</x:f>
      </x:c>
      <x:c r="X424" s="170" t="str">
        <x:f>IF(A424="","",IF(C424="completed","Completed in CSSP",IF(AND(C424="executing",ISERROR(SEARCH("@",K424))),"Executing without named engineer",IF(AND(N424="Confirmed OOS",C424="executing"),"Confirmed OOS still executing",""))))</x:f>
        <x:v>Completed in CSSP</x:v>
      </x:c>
      <x:c r="Y424" s="170" t="str">
        <x:f>IF(A424="","",IF(B424="Decommissioning","Raw Decommissioning","Raw Provisioning"))</x:f>
        <x:v>Raw Provisioning</x:v>
      </x:c>
      <x:c r="Z424" s="170" t="str">
        <x:f>IF(A424="","",IF(OR(C424="executing",C424="processing"),"Yes","No"))</x:f>
        <x:v>No</x:v>
      </x:c>
    </x:row>
    <x:row r="425">
      <x:c r="A425" s="170" t="str">
        <x:f>IF(ROWS($A$5:A425)&lt;=COUNTA('Raw Decommissioning'!$B$2:$B$1000),INDEX('Raw Decommissioning'!$B$2:$B$1000,ROWS($A$5:A425)),IF(ROWS($A$5:A425)-COUNTA('Raw Decommissioning'!$B$2:$B$1000)&lt;=COUNTA('Raw Provisioning'!$B$2:$B$1000),INDEX('Raw Provisioning'!$B$2:$B$1000,ROWS($A$5:A425)-COUNTA('Raw Decommissioning'!$B$2:$B$1000)),""))</x:f>
        <x:v>CSSP10270528</x:v>
      </x:c>
      <x:c r="B425" s="170" t="str">
        <x:f>IF(A425="","",IF(ROWS($A$5:A425)&lt;=COUNTA('Raw Decommissioning'!$B$2:$B$1000),"Decommissioning","Provisioning"))</x:f>
        <x:v>Provisioning</x:v>
      </x:c>
      <x:c r="C425" s="170" t="str">
        <x:f>IF(A425="","",IF(B425="Decommissioning",IFERROR(INDEX('Raw Decommissioning'!$E$2:$E$1000,MATCH(A425,'Raw Decommissioning'!$B$2:$B$1000,0)),"Missing from latest raw"),IFERROR(INDEX('Raw Provisioning'!$E$2:$E$1000,MATCH(A425,'Raw Provisioning'!$B$2:$B$1000,0)),"Missing from latest raw")))</x:f>
        <x:v>rejected</x:v>
      </x:c>
      <x:c r="D425" s="171" t="n">
        <x:f>IF(A425="","",'Refresh Control'!$B$4)</x:f>
        <x:v>46254</x:v>
      </x:c>
      <x:c r="E425" s="171" t="n">
        <x:f>IF(A425="","",IF(B425="Decommissioning",INDEX('Raw Decommissioning'!$F$2:$F$1000,ROWS($A$5:A425)),INDEX('Raw Provisioning'!$F$2:$F$1000,ROWS($A$5:A425)-COUNTA('Raw Decommissioning'!$B$2:$B$1000))))</x:f>
        <x:v>46063.31018040509</x:v>
      </x:c>
      <x:c r="F425" s="171" t="n">
        <x:f>IF(A425="","",IF(B425="Decommissioning",INDEX('Raw Decommissioning'!$G$2:$G$1000,ROWS($A$5:A425)),INDEX('Raw Provisioning'!$H$2:$H$1000,ROWS($A$5:A425)-COUNTA('Raw Decommissioning'!$B$2:$B$1000))))</x:f>
        <x:v>46069.339945671294</x:v>
      </x:c>
      <x:c r="G425" s="170" t="str">
        <x:f>IF(A425="","",IF(B425="Decommissioning",INDEX('Raw Decommissioning'!$I$2:$I$1000,ROWS($A$5:A425)),INDEX('Raw Provisioning'!$J$2:$J$1000,ROWS($A$5:A425)-COUNTA('Raw Decommissioning'!$B$2:$B$1000))))</x:f>
        <x:v>Plant Information - PI CHOPI UPSTREAM</x:v>
      </x:c>
      <x:c r="H425" s="170" t="str">
        <x:f>IF(A425="","",IF(B425="Decommissioning",INDEX('Raw Decommissioning'!$J$2:$J$1000,ROWS($A$5:A425)),INDEX('Raw Provisioning'!$L$2:$L$1000,ROWS($A$5:A425)-COUNTA('Raw Decommissioning'!$B$2:$B$1000))))</x:f>
        <x:v>Cloud Migration Program - PI Upstream</x:v>
      </x:c>
      <x:c r="I425" s="170" t="str">
        <x:f>IF(A425="","",IF(B425="Decommissioning",INDEX('Raw Decommissioning'!$AL$2:$AL$1000,ROWS($A$5:A425)),INDEX('Raw Provisioning'!$R$2:$R$1000,ROWS($A$5:A425)-COUNTA('Raw Decommissioning'!$B$2:$B$1000))))</x:f>
      </x:c>
      <x:c r="J425" s="170" t="str">
        <x:f>IF(A425="","",IF(B425="Decommissioning",INDEX('Raw Decommissioning'!$AG$2:$AG$1000,ROWS($A$5:A425)),INDEX('Raw Provisioning'!$AI$2:$AI$1000,ROWS($A$5:A425)-COUNTA('Raw Decommissioning'!$B$2:$B$1000))))</x:f>
        <x:v>CCoE Core Services (Public)</x:v>
      </x:c>
      <x:c r="K425" s="172" t="str">
        <x:f>IF(A425="","",IFERROR(LOOKUP(2,1/('Assignment History'!$B$5:$B$204=A425),'Assignment History'!$D$5:$D$204),IFERROR(VLOOKUP(J425,Configuration!$L$5:$M$50,2,FALSE),J425)))</x:f>
        <x:v>CCoE Core Services (Public)</x:v>
      </x:c>
      <x:c r="L425" s="172" t="str">
        <x:f>IF(A425="","",IF(K425=IFERROR(VLOOKUP(J425,Configuration!$L$5:$M$50,2,FALSE),J425),"Snapshot PIC","Replacement PIC"))</x:f>
        <x:v>Snapshot PIC</x:v>
      </x:c>
      <x:c r="M425" s="172" t="n">
        <x:f>IF(A425="","",IFERROR(VLOOKUP(I425,Configuration!$O$5:$P$8,2,FALSE),Configuration!$S$6))</x:f>
        <x:v>2</x:v>
      </x:c>
      <x:c r="N425" s="172" t="str">
        <x:f>IF(A425="","",IFERROR(LOOKUP(2,1/('Scope Review'!$B$5:$B$204=A425),'Scope Review'!$G$5:$G$204),"Not Reviewed"))</x:f>
        <x:v>Not Reviewed</x:v>
      </x:c>
      <x:c r="O425" s="172" t="str">
        <x:f>IF(A425="","",IFERROR(LOOKUP(2,1/('Scope Review'!$B$5:$B$204=A425),'Scope Review'!$H$5:$H$204),""))</x:f>
      </x:c>
      <x:c r="P425" s="172" t="n">
        <x:f>IF(A425="","",IF(AND(C425="executing",N425&lt;&gt;"Confirmed OOS"),M425,0))</x:f>
        <x:v>0</x:v>
      </x:c>
      <x:c r="Q425" s="173" t="str">
        <x:f>IF(A425="","",IFERROR(LOOKUP(2,1/('Engineer Updates'!$B$5:$B$704=A425),'Engineer Updates'!$A$5:$A$704),""))</x:f>
      </x:c>
      <x:c r="R425" s="172" t="str">
        <x:f>IF(A425="","",IFERROR(LOOKUP(2,1/('Engineer Updates'!$B$5:$B$704=A425),'Engineer Updates'!$H$5:$H$704),""))</x:f>
      </x:c>
      <x:c r="S425" s="172" t="str">
        <x:f>IF(A425="","",IFERROR(LOOKUP(2,1/('Engineer Updates'!$B$5:$B$704=A425),'Engineer Updates'!$G$5:$G$704),""))</x:f>
      </x:c>
      <x:c r="T425" s="172" t="str">
        <x:f>IF(A425="","",IFERROR(LOOKUP(2,1/('Engineer Updates'!$B$5:$B$704=A425),'Engineer Updates'!$I$5:$I$704),""))</x:f>
      </x:c>
      <x:c r="U425" s="172" t="str">
        <x:f>IF(A425="","",IFERROR(LOOKUP(2,1/('Engineer Updates'!$B$5:$B$704=A425),'Engineer Updates'!$J$5:$J$704),""))</x:f>
      </x:c>
      <x:c r="V425" s="172" t="str">
        <x:f>IF(A425="","",IFERROR(LOOKUP(2,1/('Engineer Updates'!$B$5:$B$704=A425),'Engineer Updates'!$K$5:$K$704),""))</x:f>
      </x:c>
      <x:c r="W425" s="174" t="str">
        <x:f>IF(A425="","",IFERROR(LOOKUP(2,1/('Engineer Updates'!$B$5:$B$704=A425),'Engineer Updates'!$L$5:$L$704),""))</x:f>
      </x:c>
      <x:c r="X425" s="170" t="str">
        <x:f>IF(A425="","",IF(C425="completed","Completed in CSSP",IF(AND(C425="executing",ISERROR(SEARCH("@",K425))),"Executing without named engineer",IF(AND(N425="Confirmed OOS",C425="executing"),"Confirmed OOS still executing",""))))</x:f>
      </x:c>
      <x:c r="Y425" s="170" t="str">
        <x:f>IF(A425="","",IF(B425="Decommissioning","Raw Decommissioning","Raw Provisioning"))</x:f>
        <x:v>Raw Provisioning</x:v>
      </x:c>
      <x:c r="Z425" s="170" t="str">
        <x:f>IF(A425="","",IF(OR(C425="executing",C425="processing"),"Yes","No"))</x:f>
        <x:v>No</x:v>
      </x:c>
    </x:row>
    <x:row r="426">
      <x:c r="A426" s="170" t="str">
        <x:f>IF(ROWS($A$5:A426)&lt;=COUNTA('Raw Decommissioning'!$B$2:$B$1000),INDEX('Raw Decommissioning'!$B$2:$B$1000,ROWS($A$5:A426)),IF(ROWS($A$5:A426)-COUNTA('Raw Decommissioning'!$B$2:$B$1000)&lt;=COUNTA('Raw Provisioning'!$B$2:$B$1000),INDEX('Raw Provisioning'!$B$2:$B$1000,ROWS($A$5:A426)-COUNTA('Raw Decommissioning'!$B$2:$B$1000)),""))</x:f>
        <x:v>CSSP10965749</x:v>
      </x:c>
      <x:c r="B426" s="170" t="str">
        <x:f>IF(A426="","",IF(ROWS($A$5:A426)&lt;=COUNTA('Raw Decommissioning'!$B$2:$B$1000),"Decommissioning","Provisioning"))</x:f>
        <x:v>Provisioning</x:v>
      </x:c>
      <x:c r="C426" s="170" t="str">
        <x:f>IF(A426="","",IF(B426="Decommissioning",IFERROR(INDEX('Raw Decommissioning'!$E$2:$E$1000,MATCH(A426,'Raw Decommissioning'!$B$2:$B$1000,0)),"Missing from latest raw"),IFERROR(INDEX('Raw Provisioning'!$E$2:$E$1000,MATCH(A426,'Raw Provisioning'!$B$2:$B$1000,0)),"Missing from latest raw")))</x:f>
        <x:v>completed</x:v>
      </x:c>
      <x:c r="D426" s="171" t="n">
        <x:f>IF(A426="","",'Refresh Control'!$B$4)</x:f>
        <x:v>46254</x:v>
      </x:c>
      <x:c r="E426" s="171" t="n">
        <x:f>IF(A426="","",IF(B426="Decommissioning",INDEX('Raw Decommissioning'!$F$2:$F$1000,ROWS($A$5:A426)),INDEX('Raw Provisioning'!$F$2:$F$1000,ROWS($A$5:A426)-COUNTA('Raw Decommissioning'!$B$2:$B$1000))))</x:f>
        <x:v>46064.14412848379</x:v>
      </x:c>
      <x:c r="F426" s="171" t="n">
        <x:f>IF(A426="","",IF(B426="Decommissioning",INDEX('Raw Decommissioning'!$G$2:$G$1000,ROWS($A$5:A426)),INDEX('Raw Provisioning'!$H$2:$H$1000,ROWS($A$5:A426)-COUNTA('Raw Decommissioning'!$B$2:$B$1000))))</x:f>
        <x:v>46082.29721815972</x:v>
      </x:c>
      <x:c r="G426" s="170" t="str">
        <x:f>IF(A426="","",IF(B426="Decommissioning",INDEX('Raw Decommissioning'!$I$2:$I$1000,ROWS($A$5:A426)),INDEX('Raw Provisioning'!$J$2:$J$1000,ROWS($A$5:A426)-COUNTA('Raw Decommissioning'!$B$2:$B$1000))))</x:f>
        <x:v>Mygenie</x:v>
      </x:c>
      <x:c r="H426" s="170" t="str">
        <x:f>IF(A426="","",IF(B426="Decommissioning",INDEX('Raw Decommissioning'!$J$2:$J$1000,ROWS($A$5:A426)),INDEX('Raw Provisioning'!$L$2:$L$1000,ROWS($A$5:A426)-COUNTA('Raw Decommissioning'!$B$2:$B$1000))))</x:f>
        <x:v>Cloud Migration Program - Mygenie+ Admin Portal</x:v>
      </x:c>
      <x:c r="I426" s="170" t="str">
        <x:f>IF(A426="","",IF(B426="Decommissioning",INDEX('Raw Decommissioning'!$AL$2:$AL$1000,ROWS($A$5:A426)),INDEX('Raw Provisioning'!$R$2:$R$1000,ROWS($A$5:A426)-COUNTA('Raw Decommissioning'!$B$2:$B$1000))))</x:f>
        <x:v>M</x:v>
      </x:c>
      <x:c r="J426" s="170" t="str">
        <x:f>IF(A426="","",IF(B426="Decommissioning",INDEX('Raw Decommissioning'!$AG$2:$AG$1000,ROWS($A$5:A426)),INDEX('Raw Provisioning'!$AI$2:$AI$1000,ROWS($A$5:A426)-COUNTA('Raw Decommissioning'!$B$2:$B$1000))))</x:f>
        <x:v>azhan.shazeli@petronas.com</x:v>
      </x:c>
      <x:c r="K426" s="172" t="str">
        <x:f>IF(A426="","",IFERROR(LOOKUP(2,1/('Assignment History'!$B$5:$B$204=A426),'Assignment History'!$D$5:$D$204),IFERROR(VLOOKUP(J426,Configuration!$L$5:$M$50,2,FALSE),J426)))</x:f>
        <x:v>azhan.shazeli@petronas.com</x:v>
      </x:c>
      <x:c r="L426" s="172" t="str">
        <x:f>IF(A426="","",IF(K426=IFERROR(VLOOKUP(J426,Configuration!$L$5:$M$50,2,FALSE),J426),"Snapshot PIC","Replacement PIC"))</x:f>
        <x:v>Snapshot PIC</x:v>
      </x:c>
      <x:c r="M426" s="172" t="n">
        <x:f>IF(A426="","",IFERROR(VLOOKUP(I426,Configuration!$O$5:$P$8,2,FALSE),Configuration!$S$6))</x:f>
        <x:v>2</x:v>
      </x:c>
      <x:c r="N426" s="172" t="str">
        <x:f>IF(A426="","",IFERROR(LOOKUP(2,1/('Scope Review'!$B$5:$B$204=A426),'Scope Review'!$G$5:$G$204),"Not Reviewed"))</x:f>
        <x:v>Not Reviewed</x:v>
      </x:c>
      <x:c r="O426" s="172" t="str">
        <x:f>IF(A426="","",IFERROR(LOOKUP(2,1/('Scope Review'!$B$5:$B$204=A426),'Scope Review'!$H$5:$H$204),""))</x:f>
      </x:c>
      <x:c r="P426" s="172" t="n">
        <x:f>IF(A426="","",IF(AND(C426="executing",N426&lt;&gt;"Confirmed OOS"),M426,0))</x:f>
        <x:v>0</x:v>
      </x:c>
      <x:c r="Q426" s="173" t="str">
        <x:f>IF(A426="","",IFERROR(LOOKUP(2,1/('Engineer Updates'!$B$5:$B$704=A426),'Engineer Updates'!$A$5:$A$704),""))</x:f>
      </x:c>
      <x:c r="R426" s="172" t="str">
        <x:f>IF(A426="","",IFERROR(LOOKUP(2,1/('Engineer Updates'!$B$5:$B$704=A426),'Engineer Updates'!$H$5:$H$704),""))</x:f>
      </x:c>
      <x:c r="S426" s="172" t="str">
        <x:f>IF(A426="","",IFERROR(LOOKUP(2,1/('Engineer Updates'!$B$5:$B$704=A426),'Engineer Updates'!$G$5:$G$704),""))</x:f>
      </x:c>
      <x:c r="T426" s="172" t="str">
        <x:f>IF(A426="","",IFERROR(LOOKUP(2,1/('Engineer Updates'!$B$5:$B$704=A426),'Engineer Updates'!$I$5:$I$704),""))</x:f>
      </x:c>
      <x:c r="U426" s="172" t="str">
        <x:f>IF(A426="","",IFERROR(LOOKUP(2,1/('Engineer Updates'!$B$5:$B$704=A426),'Engineer Updates'!$J$5:$J$704),""))</x:f>
      </x:c>
      <x:c r="V426" s="172" t="str">
        <x:f>IF(A426="","",IFERROR(LOOKUP(2,1/('Engineer Updates'!$B$5:$B$704=A426),'Engineer Updates'!$K$5:$K$704),""))</x:f>
      </x:c>
      <x:c r="W426" s="174" t="str">
        <x:f>IF(A426="","",IFERROR(LOOKUP(2,1/('Engineer Updates'!$B$5:$B$704=A426),'Engineer Updates'!$L$5:$L$704),""))</x:f>
      </x:c>
      <x:c r="X426" s="170" t="str">
        <x:f>IF(A426="","",IF(C426="completed","Completed in CSSP",IF(AND(C426="executing",ISERROR(SEARCH("@",K426))),"Executing without named engineer",IF(AND(N426="Confirmed OOS",C426="executing"),"Confirmed OOS still executing",""))))</x:f>
        <x:v>Completed in CSSP</x:v>
      </x:c>
      <x:c r="Y426" s="170" t="str">
        <x:f>IF(A426="","",IF(B426="Decommissioning","Raw Decommissioning","Raw Provisioning"))</x:f>
        <x:v>Raw Provisioning</x:v>
      </x:c>
      <x:c r="Z426" s="170" t="str">
        <x:f>IF(A426="","",IF(OR(C426="executing",C426="processing"),"Yes","No"))</x:f>
        <x:v>No</x:v>
      </x:c>
    </x:row>
    <x:row r="427">
      <x:c r="A427" s="170" t="str">
        <x:f>IF(ROWS($A$5:A427)&lt;=COUNTA('Raw Decommissioning'!$B$2:$B$1000),INDEX('Raw Decommissioning'!$B$2:$B$1000,ROWS($A$5:A427)),IF(ROWS($A$5:A427)-COUNTA('Raw Decommissioning'!$B$2:$B$1000)&lt;=COUNTA('Raw Provisioning'!$B$2:$B$1000),INDEX('Raw Provisioning'!$B$2:$B$1000,ROWS($A$5:A427)-COUNTA('Raw Decommissioning'!$B$2:$B$1000)),""))</x:f>
        <x:v>CSSP10629844</x:v>
      </x:c>
      <x:c r="B427" s="170" t="str">
        <x:f>IF(A427="","",IF(ROWS($A$5:A427)&lt;=COUNTA('Raw Decommissioning'!$B$2:$B$1000),"Decommissioning","Provisioning"))</x:f>
        <x:v>Provisioning</x:v>
      </x:c>
      <x:c r="C427" s="170" t="str">
        <x:f>IF(A427="","",IF(B427="Decommissioning",IFERROR(INDEX('Raw Decommissioning'!$E$2:$E$1000,MATCH(A427,'Raw Decommissioning'!$B$2:$B$1000,0)),"Missing from latest raw"),IFERROR(INDEX('Raw Provisioning'!$E$2:$E$1000,MATCH(A427,'Raw Provisioning'!$B$2:$B$1000,0)),"Missing from latest raw")))</x:f>
        <x:v>completed</x:v>
      </x:c>
      <x:c r="D427" s="171" t="n">
        <x:f>IF(A427="","",'Refresh Control'!$B$4)</x:f>
        <x:v>46254</x:v>
      </x:c>
      <x:c r="E427" s="171" t="n">
        <x:f>IF(A427="","",IF(B427="Decommissioning",INDEX('Raw Decommissioning'!$F$2:$F$1000,ROWS($A$5:A427)),INDEX('Raw Provisioning'!$F$2:$F$1000,ROWS($A$5:A427)-COUNTA('Raw Decommissioning'!$B$2:$B$1000))))</x:f>
        <x:v>46064.1953858912</x:v>
      </x:c>
      <x:c r="F427" s="171" t="n">
        <x:f>IF(A427="","",IF(B427="Decommissioning",INDEX('Raw Decommissioning'!$G$2:$G$1000,ROWS($A$5:A427)),INDEX('Raw Provisioning'!$H$2:$H$1000,ROWS($A$5:A427)-COUNTA('Raw Decommissioning'!$B$2:$B$1000))))</x:f>
        <x:v>46073.09537077546</x:v>
      </x:c>
      <x:c r="G427" s="170" t="str">
        <x:f>IF(A427="","",IF(B427="Decommissioning",INDEX('Raw Decommissioning'!$I$2:$I$1000,ROWS($A$5:A427)),INDEX('Raw Provisioning'!$J$2:$J$1000,ROWS($A$5:A427)-COUNTA('Raw Decommissioning'!$B$2:$B$1000))))</x:f>
        <x:v>ArBiTra PTLCL</x:v>
      </x:c>
      <x:c r="H427" s="170" t="str">
        <x:f>IF(A427="","",IF(B427="Decommissioning",INDEX('Raw Decommissioning'!$J$2:$J$1000,ROWS($A$5:A427)),INDEX('Raw Provisioning'!$L$2:$L$1000,ROWS($A$5:A427)-COUNTA('Raw Decommissioning'!$B$2:$B$1000))))</x:f>
        <x:v>Provision of Professional Service, Software License and Infra for ArBiTra (OVC &amp; LVC) 2025 for PTLCL</x:v>
      </x:c>
      <x:c r="I427" s="170" t="str">
        <x:f>IF(A427="","",IF(B427="Decommissioning",INDEX('Raw Decommissioning'!$AL$2:$AL$1000,ROWS($A$5:A427)),INDEX('Raw Provisioning'!$R$2:$R$1000,ROWS($A$5:A427)-COUNTA('Raw Decommissioning'!$B$2:$B$1000))))</x:f>
        <x:v>M</x:v>
      </x:c>
      <x:c r="J427" s="170" t="str">
        <x:f>IF(A427="","",IF(B427="Decommissioning",INDEX('Raw Decommissioning'!$AG$2:$AG$1000,ROWS($A$5:A427)),INDEX('Raw Provisioning'!$AI$2:$AI$1000,ROWS($A$5:A427)-COUNTA('Raw Decommissioning'!$B$2:$B$1000))))</x:f>
        <x:v>fathulrahman.misba@petronas.com</x:v>
      </x:c>
      <x:c r="K427" s="172" t="str">
        <x:f>IF(A427="","",IFERROR(LOOKUP(2,1/('Assignment History'!$B$5:$B$204=A427),'Assignment History'!$D$5:$D$204),IFERROR(VLOOKUP(J427,Configuration!$L$5:$M$50,2,FALSE),J427)))</x:f>
        <x:v>fathulrahman.misba@petronas.com</x:v>
      </x:c>
      <x:c r="L427" s="172" t="str">
        <x:f>IF(A427="","",IF(K427=IFERROR(VLOOKUP(J427,Configuration!$L$5:$M$50,2,FALSE),J427),"Snapshot PIC","Replacement PIC"))</x:f>
        <x:v>Snapshot PIC</x:v>
      </x:c>
      <x:c r="M427" s="172" t="n">
        <x:f>IF(A427="","",IFERROR(VLOOKUP(I427,Configuration!$O$5:$P$8,2,FALSE),Configuration!$S$6))</x:f>
        <x:v>2</x:v>
      </x:c>
      <x:c r="N427" s="172" t="str">
        <x:f>IF(A427="","",IFERROR(LOOKUP(2,1/('Scope Review'!$B$5:$B$204=A427),'Scope Review'!$G$5:$G$204),"Not Reviewed"))</x:f>
        <x:v>Not Reviewed</x:v>
      </x:c>
      <x:c r="O427" s="172" t="str">
        <x:f>IF(A427="","",IFERROR(LOOKUP(2,1/('Scope Review'!$B$5:$B$204=A427),'Scope Review'!$H$5:$H$204),""))</x:f>
      </x:c>
      <x:c r="P427" s="172" t="n">
        <x:f>IF(A427="","",IF(AND(C427="executing",N427&lt;&gt;"Confirmed OOS"),M427,0))</x:f>
        <x:v>0</x:v>
      </x:c>
      <x:c r="Q427" s="173" t="str">
        <x:f>IF(A427="","",IFERROR(LOOKUP(2,1/('Engineer Updates'!$B$5:$B$704=A427),'Engineer Updates'!$A$5:$A$704),""))</x:f>
      </x:c>
      <x:c r="R427" s="172" t="str">
        <x:f>IF(A427="","",IFERROR(LOOKUP(2,1/('Engineer Updates'!$B$5:$B$704=A427),'Engineer Updates'!$H$5:$H$704),""))</x:f>
      </x:c>
      <x:c r="S427" s="172" t="str">
        <x:f>IF(A427="","",IFERROR(LOOKUP(2,1/('Engineer Updates'!$B$5:$B$704=A427),'Engineer Updates'!$G$5:$G$704),""))</x:f>
      </x:c>
      <x:c r="T427" s="172" t="str">
        <x:f>IF(A427="","",IFERROR(LOOKUP(2,1/('Engineer Updates'!$B$5:$B$704=A427),'Engineer Updates'!$I$5:$I$704),""))</x:f>
      </x:c>
      <x:c r="U427" s="172" t="str">
        <x:f>IF(A427="","",IFERROR(LOOKUP(2,1/('Engineer Updates'!$B$5:$B$704=A427),'Engineer Updates'!$J$5:$J$704),""))</x:f>
      </x:c>
      <x:c r="V427" s="172" t="str">
        <x:f>IF(A427="","",IFERROR(LOOKUP(2,1/('Engineer Updates'!$B$5:$B$704=A427),'Engineer Updates'!$K$5:$K$704),""))</x:f>
      </x:c>
      <x:c r="W427" s="174" t="str">
        <x:f>IF(A427="","",IFERROR(LOOKUP(2,1/('Engineer Updates'!$B$5:$B$704=A427),'Engineer Updates'!$L$5:$L$704),""))</x:f>
      </x:c>
      <x:c r="X427" s="170" t="str">
        <x:f>IF(A427="","",IF(C427="completed","Completed in CSSP",IF(AND(C427="executing",ISERROR(SEARCH("@",K427))),"Executing without named engineer",IF(AND(N427="Confirmed OOS",C427="executing"),"Confirmed OOS still executing",""))))</x:f>
        <x:v>Completed in CSSP</x:v>
      </x:c>
      <x:c r="Y427" s="170" t="str">
        <x:f>IF(A427="","",IF(B427="Decommissioning","Raw Decommissioning","Raw Provisioning"))</x:f>
        <x:v>Raw Provisioning</x:v>
      </x:c>
      <x:c r="Z427" s="170" t="str">
        <x:f>IF(A427="","",IF(OR(C427="executing",C427="processing"),"Yes","No"))</x:f>
        <x:v>No</x:v>
      </x:c>
    </x:row>
    <x:row r="428">
      <x:c r="A428" s="170" t="str">
        <x:f>IF(ROWS($A$5:A428)&lt;=COUNTA('Raw Decommissioning'!$B$2:$B$1000),INDEX('Raw Decommissioning'!$B$2:$B$1000,ROWS($A$5:A428)),IF(ROWS($A$5:A428)-COUNTA('Raw Decommissioning'!$B$2:$B$1000)&lt;=COUNTA('Raw Provisioning'!$B$2:$B$1000),INDEX('Raw Provisioning'!$B$2:$B$1000,ROWS($A$5:A428)-COUNTA('Raw Decommissioning'!$B$2:$B$1000)),""))</x:f>
        <x:v>CSSP10799733</x:v>
      </x:c>
      <x:c r="B428" s="170" t="str">
        <x:f>IF(A428="","",IF(ROWS($A$5:A428)&lt;=COUNTA('Raw Decommissioning'!$B$2:$B$1000),"Decommissioning","Provisioning"))</x:f>
        <x:v>Provisioning</x:v>
      </x:c>
      <x:c r="C428" s="170" t="str">
        <x:f>IF(A428="","",IF(B428="Decommissioning",IFERROR(INDEX('Raw Decommissioning'!$E$2:$E$1000,MATCH(A428,'Raw Decommissioning'!$B$2:$B$1000,0)),"Missing from latest raw"),IFERROR(INDEX('Raw Provisioning'!$E$2:$E$1000,MATCH(A428,'Raw Provisioning'!$B$2:$B$1000,0)),"Missing from latest raw")))</x:f>
        <x:v>completed</x:v>
      </x:c>
      <x:c r="D428" s="171" t="n">
        <x:f>IF(A428="","",'Refresh Control'!$B$4)</x:f>
        <x:v>46254</x:v>
      </x:c>
      <x:c r="E428" s="171" t="n">
        <x:f>IF(A428="","",IF(B428="Decommissioning",INDEX('Raw Decommissioning'!$F$2:$F$1000,ROWS($A$5:A428)),INDEX('Raw Provisioning'!$F$2:$F$1000,ROWS($A$5:A428)-COUNTA('Raw Decommissioning'!$B$2:$B$1000))))</x:f>
        <x:v>46064.305340416664</x:v>
      </x:c>
      <x:c r="F428" s="171" t="n">
        <x:f>IF(A428="","",IF(B428="Decommissioning",INDEX('Raw Decommissioning'!$G$2:$G$1000,ROWS($A$5:A428)),INDEX('Raw Provisioning'!$H$2:$H$1000,ROWS($A$5:A428)-COUNTA('Raw Decommissioning'!$B$2:$B$1000))))</x:f>
        <x:v>46112.118893321756</x:v>
      </x:c>
      <x:c r="G428" s="170" t="str">
        <x:f>IF(A428="","",IF(B428="Decommissioning",INDEX('Raw Decommissioning'!$I$2:$I$1000,ROWS($A$5:A428)),INDEX('Raw Provisioning'!$J$2:$J$1000,ROWS($A$5:A428)-COUNTA('Raw Decommissioning'!$B$2:$B$1000))))</x:f>
        <x:v>HSE Intelligence Pod Multimodal AI Vision / Voice - HIPVISION</x:v>
      </x:c>
      <x:c r="H428" s="170" t="str">
        <x:f>IF(A428="","",IF(B428="Decommissioning",INDEX('Raw Decommissioning'!$J$2:$J$1000,ROWS($A$5:A428)),INDEX('Raw Provisioning'!$L$2:$L$1000,ROWS($A$5:A428)-COUNTA('Raw Decommissioning'!$B$2:$B$1000))))</x:f>
        <x:v>Development of HSE Intelligence Pod (HIP) Multimodal AI (Vision, Voice)</x:v>
      </x:c>
      <x:c r="I428" s="170" t="str">
        <x:f>IF(A428="","",IF(B428="Decommissioning",INDEX('Raw Decommissioning'!$AL$2:$AL$1000,ROWS($A$5:A428)),INDEX('Raw Provisioning'!$R$2:$R$1000,ROWS($A$5:A428)-COUNTA('Raw Decommissioning'!$B$2:$B$1000))))</x:f>
        <x:v>L</x:v>
      </x:c>
      <x:c r="J428" s="170" t="str">
        <x:f>IF(A428="","",IF(B428="Decommissioning",INDEX('Raw Decommissioning'!$AG$2:$AG$1000,ROWS($A$5:A428)),INDEX('Raw Provisioning'!$AI$2:$AI$1000,ROWS($A$5:A428)-COUNTA('Raw Decommissioning'!$B$2:$B$1000))))</x:f>
        <x:v>fathulrahman.misba@petronas.com</x:v>
      </x:c>
      <x:c r="K428" s="172" t="str">
        <x:f>IF(A428="","",IFERROR(LOOKUP(2,1/('Assignment History'!$B$5:$B$204=A428),'Assignment History'!$D$5:$D$204),IFERROR(VLOOKUP(J428,Configuration!$L$5:$M$50,2,FALSE),J428)))</x:f>
        <x:v>fathulrahman.misba@petronas.com</x:v>
      </x:c>
      <x:c r="L428" s="172" t="str">
        <x:f>IF(A428="","",IF(K428=IFERROR(VLOOKUP(J428,Configuration!$L$5:$M$50,2,FALSE),J428),"Snapshot PIC","Replacement PIC"))</x:f>
        <x:v>Snapshot PIC</x:v>
      </x:c>
      <x:c r="M428" s="172" t="n">
        <x:f>IF(A428="","",IFERROR(VLOOKUP(I428,Configuration!$O$5:$P$8,2,FALSE),Configuration!$S$6))</x:f>
        <x:v>3</x:v>
      </x:c>
      <x:c r="N428" s="172" t="str">
        <x:f>IF(A428="","",IFERROR(LOOKUP(2,1/('Scope Review'!$B$5:$B$204=A428),'Scope Review'!$G$5:$G$204),"Not Reviewed"))</x:f>
        <x:v>Not Reviewed</x:v>
      </x:c>
      <x:c r="O428" s="172" t="str">
        <x:f>IF(A428="","",IFERROR(LOOKUP(2,1/('Scope Review'!$B$5:$B$204=A428),'Scope Review'!$H$5:$H$204),""))</x:f>
      </x:c>
      <x:c r="P428" s="172" t="n">
        <x:f>IF(A428="","",IF(AND(C428="executing",N428&lt;&gt;"Confirmed OOS"),M428,0))</x:f>
        <x:v>0</x:v>
      </x:c>
      <x:c r="Q428" s="173" t="str">
        <x:f>IF(A428="","",IFERROR(LOOKUP(2,1/('Engineer Updates'!$B$5:$B$704=A428),'Engineer Updates'!$A$5:$A$704),""))</x:f>
      </x:c>
      <x:c r="R428" s="172" t="str">
        <x:f>IF(A428="","",IFERROR(LOOKUP(2,1/('Engineer Updates'!$B$5:$B$704=A428),'Engineer Updates'!$H$5:$H$704),""))</x:f>
      </x:c>
      <x:c r="S428" s="172" t="str">
        <x:f>IF(A428="","",IFERROR(LOOKUP(2,1/('Engineer Updates'!$B$5:$B$704=A428),'Engineer Updates'!$G$5:$G$704),""))</x:f>
      </x:c>
      <x:c r="T428" s="172" t="str">
        <x:f>IF(A428="","",IFERROR(LOOKUP(2,1/('Engineer Updates'!$B$5:$B$704=A428),'Engineer Updates'!$I$5:$I$704),""))</x:f>
      </x:c>
      <x:c r="U428" s="172" t="str">
        <x:f>IF(A428="","",IFERROR(LOOKUP(2,1/('Engineer Updates'!$B$5:$B$704=A428),'Engineer Updates'!$J$5:$J$704),""))</x:f>
      </x:c>
      <x:c r="V428" s="172" t="str">
        <x:f>IF(A428="","",IFERROR(LOOKUP(2,1/('Engineer Updates'!$B$5:$B$704=A428),'Engineer Updates'!$K$5:$K$704),""))</x:f>
      </x:c>
      <x:c r="W428" s="174" t="str">
        <x:f>IF(A428="","",IFERROR(LOOKUP(2,1/('Engineer Updates'!$B$5:$B$704=A428),'Engineer Updates'!$L$5:$L$704),""))</x:f>
      </x:c>
      <x:c r="X428" s="170" t="str">
        <x:f>IF(A428="","",IF(C428="completed","Completed in CSSP",IF(AND(C428="executing",ISERROR(SEARCH("@",K428))),"Executing without named engineer",IF(AND(N428="Confirmed OOS",C428="executing"),"Confirmed OOS still executing",""))))</x:f>
        <x:v>Completed in CSSP</x:v>
      </x:c>
      <x:c r="Y428" s="170" t="str">
        <x:f>IF(A428="","",IF(B428="Decommissioning","Raw Decommissioning","Raw Provisioning"))</x:f>
        <x:v>Raw Provisioning</x:v>
      </x:c>
      <x:c r="Z428" s="170" t="str">
        <x:f>IF(A428="","",IF(OR(C428="executing",C428="processing"),"Yes","No"))</x:f>
        <x:v>No</x:v>
      </x:c>
    </x:row>
    <x:row r="429">
      <x:c r="A429" s="170" t="str">
        <x:f>IF(ROWS($A$5:A429)&lt;=COUNTA('Raw Decommissioning'!$B$2:$B$1000),INDEX('Raw Decommissioning'!$B$2:$B$1000,ROWS($A$5:A429)),IF(ROWS($A$5:A429)-COUNTA('Raw Decommissioning'!$B$2:$B$1000)&lt;=COUNTA('Raw Provisioning'!$B$2:$B$1000),INDEX('Raw Provisioning'!$B$2:$B$1000,ROWS($A$5:A429)-COUNTA('Raw Decommissioning'!$B$2:$B$1000)),""))</x:f>
        <x:v>CSSP10500225</x:v>
      </x:c>
      <x:c r="B429" s="170" t="str">
        <x:f>IF(A429="","",IF(ROWS($A$5:A429)&lt;=COUNTA('Raw Decommissioning'!$B$2:$B$1000),"Decommissioning","Provisioning"))</x:f>
        <x:v>Provisioning</x:v>
      </x:c>
      <x:c r="C429" s="170" t="str">
        <x:f>IF(A429="","",IF(B429="Decommissioning",IFERROR(INDEX('Raw Decommissioning'!$E$2:$E$1000,MATCH(A429,'Raw Decommissioning'!$B$2:$B$1000,0)),"Missing from latest raw"),IFERROR(INDEX('Raw Provisioning'!$E$2:$E$1000,MATCH(A429,'Raw Provisioning'!$B$2:$B$1000,0)),"Missing from latest raw")))</x:f>
        <x:v>completed</x:v>
      </x:c>
      <x:c r="D429" s="171" t="n">
        <x:f>IF(A429="","",'Refresh Control'!$B$4)</x:f>
        <x:v>46254</x:v>
      </x:c>
      <x:c r="E429" s="171" t="n">
        <x:f>IF(A429="","",IF(B429="Decommissioning",INDEX('Raw Decommissioning'!$F$2:$F$1000,ROWS($A$5:A429)),INDEX('Raw Provisioning'!$F$2:$F$1000,ROWS($A$5:A429)-COUNTA('Raw Decommissioning'!$B$2:$B$1000))))</x:f>
        <x:v>46065.42225866898</x:v>
      </x:c>
      <x:c r="F429" s="171" t="n">
        <x:f>IF(A429="","",IF(B429="Decommissioning",INDEX('Raw Decommissioning'!$G$2:$G$1000,ROWS($A$5:A429)),INDEX('Raw Provisioning'!$H$2:$H$1000,ROWS($A$5:A429)-COUNTA('Raw Decommissioning'!$B$2:$B$1000))))</x:f>
        <x:v>46090.078410243055</x:v>
      </x:c>
      <x:c r="G429" s="170" t="str">
        <x:f>IF(A429="","",IF(B429="Decommissioning",INDEX('Raw Decommissioning'!$I$2:$I$1000,ROWS($A$5:A429)),INDEX('Raw Provisioning'!$J$2:$J$1000,ROWS($A$5:A429)-COUNTA('Raw Decommissioning'!$B$2:$B$1000))))</x:f>
        <x:v>HSE Intelligence Pod - Smart Advisor - HIP SA</x:v>
      </x:c>
      <x:c r="H429" s="170" t="str">
        <x:f>IF(A429="","",IF(B429="Decommissioning",INDEX('Raw Decommissioning'!$J$2:$J$1000,ROWS($A$5:A429)),INDEX('Raw Provisioning'!$L$2:$L$1000,ROWS($A$5:A429)-COUNTA('Raw Decommissioning'!$B$2:$B$1000))))</x:f>
        <x:v>HSE Intelligence Pod - Smart Advisor</x:v>
      </x:c>
      <x:c r="I429" s="170" t="str">
        <x:f>IF(A429="","",IF(B429="Decommissioning",INDEX('Raw Decommissioning'!$AL$2:$AL$1000,ROWS($A$5:A429)),INDEX('Raw Provisioning'!$R$2:$R$1000,ROWS($A$5:A429)-COUNTA('Raw Decommissioning'!$B$2:$B$1000))))</x:f>
        <x:v>M</x:v>
      </x:c>
      <x:c r="J429" s="170" t="str">
        <x:f>IF(A429="","",IF(B429="Decommissioning",INDEX('Raw Decommissioning'!$AG$2:$AG$1000,ROWS($A$5:A429)),INDEX('Raw Provisioning'!$AI$2:$AI$1000,ROWS($A$5:A429)-COUNTA('Raw Decommissioning'!$B$2:$B$1000))))</x:f>
        <x:v>muhdfirdaus.muhamad@petronas.com</x:v>
      </x:c>
      <x:c r="K429" s="172" t="str">
        <x:f>IF(A429="","",IFERROR(LOOKUP(2,1/('Assignment History'!$B$5:$B$204=A429),'Assignment History'!$D$5:$D$204),IFERROR(VLOOKUP(J429,Configuration!$L$5:$M$50,2,FALSE),J429)))</x:f>
        <x:v>muhdfirdaus.muhamad@petronas.com</x:v>
      </x:c>
      <x:c r="L429" s="172" t="str">
        <x:f>IF(A429="","",IF(K429=IFERROR(VLOOKUP(J429,Configuration!$L$5:$M$50,2,FALSE),J429),"Snapshot PIC","Replacement PIC"))</x:f>
        <x:v>Snapshot PIC</x:v>
      </x:c>
      <x:c r="M429" s="172" t="n">
        <x:f>IF(A429="","",IFERROR(VLOOKUP(I429,Configuration!$O$5:$P$8,2,FALSE),Configuration!$S$6))</x:f>
        <x:v>2</x:v>
      </x:c>
      <x:c r="N429" s="172" t="str">
        <x:f>IF(A429="","",IFERROR(LOOKUP(2,1/('Scope Review'!$B$5:$B$204=A429),'Scope Review'!$G$5:$G$204),"Not Reviewed"))</x:f>
        <x:v>Not Reviewed</x:v>
      </x:c>
      <x:c r="O429" s="172" t="str">
        <x:f>IF(A429="","",IFERROR(LOOKUP(2,1/('Scope Review'!$B$5:$B$204=A429),'Scope Review'!$H$5:$H$204),""))</x:f>
      </x:c>
      <x:c r="P429" s="172" t="n">
        <x:f>IF(A429="","",IF(AND(C429="executing",N429&lt;&gt;"Confirmed OOS"),M429,0))</x:f>
        <x:v>0</x:v>
      </x:c>
      <x:c r="Q429" s="173" t="str">
        <x:f>IF(A429="","",IFERROR(LOOKUP(2,1/('Engineer Updates'!$B$5:$B$704=A429),'Engineer Updates'!$A$5:$A$704),""))</x:f>
      </x:c>
      <x:c r="R429" s="172" t="str">
        <x:f>IF(A429="","",IFERROR(LOOKUP(2,1/('Engineer Updates'!$B$5:$B$704=A429),'Engineer Updates'!$H$5:$H$704),""))</x:f>
      </x:c>
      <x:c r="S429" s="172" t="str">
        <x:f>IF(A429="","",IFERROR(LOOKUP(2,1/('Engineer Updates'!$B$5:$B$704=A429),'Engineer Updates'!$G$5:$G$704),""))</x:f>
      </x:c>
      <x:c r="T429" s="172" t="str">
        <x:f>IF(A429="","",IFERROR(LOOKUP(2,1/('Engineer Updates'!$B$5:$B$704=A429),'Engineer Updates'!$I$5:$I$704),""))</x:f>
      </x:c>
      <x:c r="U429" s="172" t="str">
        <x:f>IF(A429="","",IFERROR(LOOKUP(2,1/('Engineer Updates'!$B$5:$B$704=A429),'Engineer Updates'!$J$5:$J$704),""))</x:f>
      </x:c>
      <x:c r="V429" s="172" t="str">
        <x:f>IF(A429="","",IFERROR(LOOKUP(2,1/('Engineer Updates'!$B$5:$B$704=A429),'Engineer Updates'!$K$5:$K$704),""))</x:f>
      </x:c>
      <x:c r="W429" s="174" t="str">
        <x:f>IF(A429="","",IFERROR(LOOKUP(2,1/('Engineer Updates'!$B$5:$B$704=A429),'Engineer Updates'!$L$5:$L$704),""))</x:f>
      </x:c>
      <x:c r="X429" s="170" t="str">
        <x:f>IF(A429="","",IF(C429="completed","Completed in CSSP",IF(AND(C429="executing",ISERROR(SEARCH("@",K429))),"Executing without named engineer",IF(AND(N429="Confirmed OOS",C429="executing"),"Confirmed OOS still executing",""))))</x:f>
        <x:v>Completed in CSSP</x:v>
      </x:c>
      <x:c r="Y429" s="170" t="str">
        <x:f>IF(A429="","",IF(B429="Decommissioning","Raw Decommissioning","Raw Provisioning"))</x:f>
        <x:v>Raw Provisioning</x:v>
      </x:c>
      <x:c r="Z429" s="170" t="str">
        <x:f>IF(A429="","",IF(OR(C429="executing",C429="processing"),"Yes","No"))</x:f>
        <x:v>No</x:v>
      </x:c>
    </x:row>
    <x:row r="430">
      <x:c r="A430" s="170" t="str">
        <x:f>IF(ROWS($A$5:A430)&lt;=COUNTA('Raw Decommissioning'!$B$2:$B$1000),INDEX('Raw Decommissioning'!$B$2:$B$1000,ROWS($A$5:A430)),IF(ROWS($A$5:A430)-COUNTA('Raw Decommissioning'!$B$2:$B$1000)&lt;=COUNTA('Raw Provisioning'!$B$2:$B$1000),INDEX('Raw Provisioning'!$B$2:$B$1000,ROWS($A$5:A430)-COUNTA('Raw Decommissioning'!$B$2:$B$1000)),""))</x:f>
        <x:v>CSSP10984525</x:v>
      </x:c>
      <x:c r="B430" s="170" t="str">
        <x:f>IF(A430="","",IF(ROWS($A$5:A430)&lt;=COUNTA('Raw Decommissioning'!$B$2:$B$1000),"Decommissioning","Provisioning"))</x:f>
        <x:v>Provisioning</x:v>
      </x:c>
      <x:c r="C430" s="170" t="str">
        <x:f>IF(A430="","",IF(B430="Decommissioning",IFERROR(INDEX('Raw Decommissioning'!$E$2:$E$1000,MATCH(A430,'Raw Decommissioning'!$B$2:$B$1000,0)),"Missing from latest raw"),IFERROR(INDEX('Raw Provisioning'!$E$2:$E$1000,MATCH(A430,'Raw Provisioning'!$B$2:$B$1000,0)),"Missing from latest raw")))</x:f>
        <x:v>completed</x:v>
      </x:c>
      <x:c r="D430" s="171" t="n">
        <x:f>IF(A430="","",'Refresh Control'!$B$4)</x:f>
        <x:v>46254</x:v>
      </x:c>
      <x:c r="E430" s="171" t="n">
        <x:f>IF(A430="","",IF(B430="Decommissioning",INDEX('Raw Decommissioning'!$F$2:$F$1000,ROWS($A$5:A430)),INDEX('Raw Provisioning'!$F$2:$F$1000,ROWS($A$5:A430)-COUNTA('Raw Decommissioning'!$B$2:$B$1000))))</x:f>
        <x:v>46066.310932106484</x:v>
      </x:c>
      <x:c r="F430" s="171" t="n">
        <x:f>IF(A430="","",IF(B430="Decommissioning",INDEX('Raw Decommissioning'!$G$2:$G$1000,ROWS($A$5:A430)),INDEX('Raw Provisioning'!$H$2:$H$1000,ROWS($A$5:A430)-COUNTA('Raw Decommissioning'!$B$2:$B$1000))))</x:f>
        <x:v>46067.74636615741</x:v>
      </x:c>
      <x:c r="G430" s="170" t="str">
        <x:f>IF(A430="","",IF(B430="Decommissioning",INDEX('Raw Decommissioning'!$I$2:$I$1000,ROWS($A$5:A430)),INDEX('Raw Provisioning'!$J$2:$J$1000,ROWS($A$5:A430)-COUNTA('Raw Decommissioning'!$B$2:$B$1000))))</x:f>
        <x:v>Barrier Management and Work Control - BMWC Downstream</x:v>
      </x:c>
      <x:c r="H430" s="170" t="str">
        <x:f>IF(A430="","",IF(B430="Decommissioning",INDEX('Raw Decommissioning'!$J$2:$J$1000,ROWS($A$5:A430)),INDEX('Raw Provisioning'!$L$2:$L$1000,ROWS($A$5:A430)-COUNTA('Raw Decommissioning'!$B$2:$B$1000))))</x:f>
        <x:v>Pilot implementation of Proscient Work Control and Barrier Management for MRC and PPTSB</x:v>
      </x:c>
      <x:c r="I430" s="170" t="str">
        <x:f>IF(A430="","",IF(B430="Decommissioning",INDEX('Raw Decommissioning'!$AL$2:$AL$1000,ROWS($A$5:A430)),INDEX('Raw Provisioning'!$R$2:$R$1000,ROWS($A$5:A430)-COUNTA('Raw Decommissioning'!$B$2:$B$1000))))</x:f>
        <x:v>S</x:v>
      </x:c>
      <x:c r="J430" s="170" t="str">
        <x:f>IF(A430="","",IF(B430="Decommissioning",INDEX('Raw Decommissioning'!$AG$2:$AG$1000,ROWS($A$5:A430)),INDEX('Raw Provisioning'!$AI$2:$AI$1000,ROWS($A$5:A430)-COUNTA('Raw Decommissioning'!$B$2:$B$1000))))</x:f>
        <x:v>ahmadfirdaus.adnan@petronas.com</x:v>
      </x:c>
      <x:c r="K430" s="172" t="str">
        <x:f>IF(A430="","",IFERROR(LOOKUP(2,1/('Assignment History'!$B$5:$B$204=A430),'Assignment History'!$D$5:$D$204),IFERROR(VLOOKUP(J430,Configuration!$L$5:$M$50,2,FALSE),J430)))</x:f>
        <x:v>ahmadfirdaus.adnan@petronas.com</x:v>
      </x:c>
      <x:c r="L430" s="172" t="str">
        <x:f>IF(A430="","",IF(K430=IFERROR(VLOOKUP(J430,Configuration!$L$5:$M$50,2,FALSE),J430),"Snapshot PIC","Replacement PIC"))</x:f>
        <x:v>Snapshot PIC</x:v>
      </x:c>
      <x:c r="M430" s="172" t="n">
        <x:f>IF(A430="","",IFERROR(VLOOKUP(I430,Configuration!$O$5:$P$8,2,FALSE),Configuration!$S$6))</x:f>
        <x:v>1</x:v>
      </x:c>
      <x:c r="N430" s="172" t="str">
        <x:f>IF(A430="","",IFERROR(LOOKUP(2,1/('Scope Review'!$B$5:$B$204=A430),'Scope Review'!$G$5:$G$204),"Not Reviewed"))</x:f>
        <x:v>Not Reviewed</x:v>
      </x:c>
      <x:c r="O430" s="172" t="str">
        <x:f>IF(A430="","",IFERROR(LOOKUP(2,1/('Scope Review'!$B$5:$B$204=A430),'Scope Review'!$H$5:$H$204),""))</x:f>
      </x:c>
      <x:c r="P430" s="172" t="n">
        <x:f>IF(A430="","",IF(AND(C430="executing",N430&lt;&gt;"Confirmed OOS"),M430,0))</x:f>
        <x:v>0</x:v>
      </x:c>
      <x:c r="Q430" s="173" t="str">
        <x:f>IF(A430="","",IFERROR(LOOKUP(2,1/('Engineer Updates'!$B$5:$B$704=A430),'Engineer Updates'!$A$5:$A$704),""))</x:f>
      </x:c>
      <x:c r="R430" s="172" t="str">
        <x:f>IF(A430="","",IFERROR(LOOKUP(2,1/('Engineer Updates'!$B$5:$B$704=A430),'Engineer Updates'!$H$5:$H$704),""))</x:f>
      </x:c>
      <x:c r="S430" s="172" t="str">
        <x:f>IF(A430="","",IFERROR(LOOKUP(2,1/('Engineer Updates'!$B$5:$B$704=A430),'Engineer Updates'!$G$5:$G$704),""))</x:f>
      </x:c>
      <x:c r="T430" s="172" t="str">
        <x:f>IF(A430="","",IFERROR(LOOKUP(2,1/('Engineer Updates'!$B$5:$B$704=A430),'Engineer Updates'!$I$5:$I$704),""))</x:f>
      </x:c>
      <x:c r="U430" s="172" t="str">
        <x:f>IF(A430="","",IFERROR(LOOKUP(2,1/('Engineer Updates'!$B$5:$B$704=A430),'Engineer Updates'!$J$5:$J$704),""))</x:f>
      </x:c>
      <x:c r="V430" s="172" t="str">
        <x:f>IF(A430="","",IFERROR(LOOKUP(2,1/('Engineer Updates'!$B$5:$B$704=A430),'Engineer Updates'!$K$5:$K$704),""))</x:f>
      </x:c>
      <x:c r="W430" s="174" t="str">
        <x:f>IF(A430="","",IFERROR(LOOKUP(2,1/('Engineer Updates'!$B$5:$B$704=A430),'Engineer Updates'!$L$5:$L$704),""))</x:f>
      </x:c>
      <x:c r="X430" s="170" t="str">
        <x:f>IF(A430="","",IF(C430="completed","Completed in CSSP",IF(AND(C430="executing",ISERROR(SEARCH("@",K430))),"Executing without named engineer",IF(AND(N430="Confirmed OOS",C430="executing"),"Confirmed OOS still executing",""))))</x:f>
        <x:v>Completed in CSSP</x:v>
      </x:c>
      <x:c r="Y430" s="170" t="str">
        <x:f>IF(A430="","",IF(B430="Decommissioning","Raw Decommissioning","Raw Provisioning"))</x:f>
        <x:v>Raw Provisioning</x:v>
      </x:c>
      <x:c r="Z430" s="170" t="str">
        <x:f>IF(A430="","",IF(OR(C430="executing",C430="processing"),"Yes","No"))</x:f>
        <x:v>No</x:v>
      </x:c>
    </x:row>
    <x:row r="431">
      <x:c r="A431" s="170" t="str">
        <x:f>IF(ROWS($A$5:A431)&lt;=COUNTA('Raw Decommissioning'!$B$2:$B$1000),INDEX('Raw Decommissioning'!$B$2:$B$1000,ROWS($A$5:A431)),IF(ROWS($A$5:A431)-COUNTA('Raw Decommissioning'!$B$2:$B$1000)&lt;=COUNTA('Raw Provisioning'!$B$2:$B$1000),INDEX('Raw Provisioning'!$B$2:$B$1000,ROWS($A$5:A431)-COUNTA('Raw Decommissioning'!$B$2:$B$1000)),""))</x:f>
        <x:v>CSSP10441451</x:v>
      </x:c>
      <x:c r="B431" s="170" t="str">
        <x:f>IF(A431="","",IF(ROWS($A$5:A431)&lt;=COUNTA('Raw Decommissioning'!$B$2:$B$1000),"Decommissioning","Provisioning"))</x:f>
        <x:v>Provisioning</x:v>
      </x:c>
      <x:c r="C431" s="170" t="str">
        <x:f>IF(A431="","",IF(B431="Decommissioning",IFERROR(INDEX('Raw Decommissioning'!$E$2:$E$1000,MATCH(A431,'Raw Decommissioning'!$B$2:$B$1000,0)),"Missing from latest raw"),IFERROR(INDEX('Raw Provisioning'!$E$2:$E$1000,MATCH(A431,'Raw Provisioning'!$B$2:$B$1000,0)),"Missing from latest raw")))</x:f>
        <x:v>completed</x:v>
      </x:c>
      <x:c r="D431" s="171" t="n">
        <x:f>IF(A431="","",'Refresh Control'!$B$4)</x:f>
        <x:v>46254</x:v>
      </x:c>
      <x:c r="E431" s="171" t="n">
        <x:f>IF(A431="","",IF(B431="Decommissioning",INDEX('Raw Decommissioning'!$F$2:$F$1000,ROWS($A$5:A431)),INDEX('Raw Provisioning'!$F$2:$F$1000,ROWS($A$5:A431)-COUNTA('Raw Decommissioning'!$B$2:$B$1000))))</x:f>
        <x:v>46069.197641597224</x:v>
      </x:c>
      <x:c r="F431" s="171" t="n">
        <x:f>IF(A431="","",IF(B431="Decommissioning",INDEX('Raw Decommissioning'!$G$2:$G$1000,ROWS($A$5:A431)),INDEX('Raw Provisioning'!$H$2:$H$1000,ROWS($A$5:A431)-COUNTA('Raw Decommissioning'!$B$2:$B$1000))))</x:f>
        <x:v>46090.07774414352</x:v>
      </x:c>
      <x:c r="G431" s="170" t="str">
        <x:f>IF(A431="","",IF(B431="Decommissioning",INDEX('Raw Decommissioning'!$I$2:$I$1000,ROWS($A$5:A431)),INDEX('Raw Provisioning'!$J$2:$J$1000,ROWS($A$5:A431)-COUNTA('Raw Decommissioning'!$B$2:$B$1000))))</x:f>
        <x:v>HSE Intelligence Pod - Smart Advisor - HIP SA</x:v>
      </x:c>
      <x:c r="H431" s="170" t="str">
        <x:f>IF(A431="","",IF(B431="Decommissioning",INDEX('Raw Decommissioning'!$J$2:$J$1000,ROWS($A$5:A431)),INDEX('Raw Provisioning'!$L$2:$L$1000,ROWS($A$5:A431)-COUNTA('Raw Decommissioning'!$B$2:$B$1000))))</x:f>
        <x:v>HSE Intelligence Pod - Smart Advisor</x:v>
      </x:c>
      <x:c r="I431" s="170" t="str">
        <x:f>IF(A431="","",IF(B431="Decommissioning",INDEX('Raw Decommissioning'!$AL$2:$AL$1000,ROWS($A$5:A431)),INDEX('Raw Provisioning'!$R$2:$R$1000,ROWS($A$5:A431)-COUNTA('Raw Decommissioning'!$B$2:$B$1000))))</x:f>
        <x:v>M</x:v>
      </x:c>
      <x:c r="J431" s="170" t="str">
        <x:f>IF(A431="","",IF(B431="Decommissioning",INDEX('Raw Decommissioning'!$AG$2:$AG$1000,ROWS($A$5:A431)),INDEX('Raw Provisioning'!$AI$2:$AI$1000,ROWS($A$5:A431)-COUNTA('Raw Decommissioning'!$B$2:$B$1000))))</x:f>
        <x:v>muhdfirdaus.muhamad@petronas.com</x:v>
      </x:c>
      <x:c r="K431" s="172" t="str">
        <x:f>IF(A431="","",IFERROR(LOOKUP(2,1/('Assignment History'!$B$5:$B$204=A431),'Assignment History'!$D$5:$D$204),IFERROR(VLOOKUP(J431,Configuration!$L$5:$M$50,2,FALSE),J431)))</x:f>
        <x:v>muhdfirdaus.muhamad@petronas.com</x:v>
      </x:c>
      <x:c r="L431" s="172" t="str">
        <x:f>IF(A431="","",IF(K431=IFERROR(VLOOKUP(J431,Configuration!$L$5:$M$50,2,FALSE),J431),"Snapshot PIC","Replacement PIC"))</x:f>
        <x:v>Snapshot PIC</x:v>
      </x:c>
      <x:c r="M431" s="172" t="n">
        <x:f>IF(A431="","",IFERROR(VLOOKUP(I431,Configuration!$O$5:$P$8,2,FALSE),Configuration!$S$6))</x:f>
        <x:v>2</x:v>
      </x:c>
      <x:c r="N431" s="172" t="str">
        <x:f>IF(A431="","",IFERROR(LOOKUP(2,1/('Scope Review'!$B$5:$B$204=A431),'Scope Review'!$G$5:$G$204),"Not Reviewed"))</x:f>
        <x:v>Not Reviewed</x:v>
      </x:c>
      <x:c r="O431" s="172" t="str">
        <x:f>IF(A431="","",IFERROR(LOOKUP(2,1/('Scope Review'!$B$5:$B$204=A431),'Scope Review'!$H$5:$H$204),""))</x:f>
      </x:c>
      <x:c r="P431" s="172" t="n">
        <x:f>IF(A431="","",IF(AND(C431="executing",N431&lt;&gt;"Confirmed OOS"),M431,0))</x:f>
        <x:v>0</x:v>
      </x:c>
      <x:c r="Q431" s="173" t="str">
        <x:f>IF(A431="","",IFERROR(LOOKUP(2,1/('Engineer Updates'!$B$5:$B$704=A431),'Engineer Updates'!$A$5:$A$704),""))</x:f>
      </x:c>
      <x:c r="R431" s="172" t="str">
        <x:f>IF(A431="","",IFERROR(LOOKUP(2,1/('Engineer Updates'!$B$5:$B$704=A431),'Engineer Updates'!$H$5:$H$704),""))</x:f>
      </x:c>
      <x:c r="S431" s="172" t="str">
        <x:f>IF(A431="","",IFERROR(LOOKUP(2,1/('Engineer Updates'!$B$5:$B$704=A431),'Engineer Updates'!$G$5:$G$704),""))</x:f>
      </x:c>
      <x:c r="T431" s="172" t="str">
        <x:f>IF(A431="","",IFERROR(LOOKUP(2,1/('Engineer Updates'!$B$5:$B$704=A431),'Engineer Updates'!$I$5:$I$704),""))</x:f>
      </x:c>
      <x:c r="U431" s="172" t="str">
        <x:f>IF(A431="","",IFERROR(LOOKUP(2,1/('Engineer Updates'!$B$5:$B$704=A431),'Engineer Updates'!$J$5:$J$704),""))</x:f>
      </x:c>
      <x:c r="V431" s="172" t="str">
        <x:f>IF(A431="","",IFERROR(LOOKUP(2,1/('Engineer Updates'!$B$5:$B$704=A431),'Engineer Updates'!$K$5:$K$704),""))</x:f>
      </x:c>
      <x:c r="W431" s="174" t="str">
        <x:f>IF(A431="","",IFERROR(LOOKUP(2,1/('Engineer Updates'!$B$5:$B$704=A431),'Engineer Updates'!$L$5:$L$704),""))</x:f>
      </x:c>
      <x:c r="X431" s="170" t="str">
        <x:f>IF(A431="","",IF(C431="completed","Completed in CSSP",IF(AND(C431="executing",ISERROR(SEARCH("@",K431))),"Executing without named engineer",IF(AND(N431="Confirmed OOS",C431="executing"),"Confirmed OOS still executing",""))))</x:f>
        <x:v>Completed in CSSP</x:v>
      </x:c>
      <x:c r="Y431" s="170" t="str">
        <x:f>IF(A431="","",IF(B431="Decommissioning","Raw Decommissioning","Raw Provisioning"))</x:f>
        <x:v>Raw Provisioning</x:v>
      </x:c>
      <x:c r="Z431" s="170" t="str">
        <x:f>IF(A431="","",IF(OR(C431="executing",C431="processing"),"Yes","No"))</x:f>
        <x:v>No</x:v>
      </x:c>
    </x:row>
    <x:row r="432">
      <x:c r="A432" s="170" t="str">
        <x:f>IF(ROWS($A$5:A432)&lt;=COUNTA('Raw Decommissioning'!$B$2:$B$1000),INDEX('Raw Decommissioning'!$B$2:$B$1000,ROWS($A$5:A432)),IF(ROWS($A$5:A432)-COUNTA('Raw Decommissioning'!$B$2:$B$1000)&lt;=COUNTA('Raw Provisioning'!$B$2:$B$1000),INDEX('Raw Provisioning'!$B$2:$B$1000,ROWS($A$5:A432)-COUNTA('Raw Decommissioning'!$B$2:$B$1000)),""))</x:f>
        <x:v>CSSP10954631</x:v>
      </x:c>
      <x:c r="B432" s="170" t="str">
        <x:f>IF(A432="","",IF(ROWS($A$5:A432)&lt;=COUNTA('Raw Decommissioning'!$B$2:$B$1000),"Decommissioning","Provisioning"))</x:f>
        <x:v>Provisioning</x:v>
      </x:c>
      <x:c r="C432" s="170" t="str">
        <x:f>IF(A432="","",IF(B432="Decommissioning",IFERROR(INDEX('Raw Decommissioning'!$E$2:$E$1000,MATCH(A432,'Raw Decommissioning'!$B$2:$B$1000,0)),"Missing from latest raw"),IFERROR(INDEX('Raw Provisioning'!$E$2:$E$1000,MATCH(A432,'Raw Provisioning'!$B$2:$B$1000,0)),"Missing from latest raw")))</x:f>
        <x:v>completed</x:v>
      </x:c>
      <x:c r="D432" s="171" t="n">
        <x:f>IF(A432="","",'Refresh Control'!$B$4)</x:f>
        <x:v>46254</x:v>
      </x:c>
      <x:c r="E432" s="171" t="n">
        <x:f>IF(A432="","",IF(B432="Decommissioning",INDEX('Raw Decommissioning'!$F$2:$F$1000,ROWS($A$5:A432)),INDEX('Raw Provisioning'!$F$2:$F$1000,ROWS($A$5:A432)-COUNTA('Raw Decommissioning'!$B$2:$B$1000))))</x:f>
        <x:v>46069.30460880787</x:v>
      </x:c>
      <x:c r="F432" s="171" t="n">
        <x:f>IF(A432="","",IF(B432="Decommissioning",INDEX('Raw Decommissioning'!$G$2:$G$1000,ROWS($A$5:A432)),INDEX('Raw Provisioning'!$H$2:$H$1000,ROWS($A$5:A432)-COUNTA('Raw Decommissioning'!$B$2:$B$1000))))</x:f>
        <x:v>46114.18826326389</x:v>
      </x:c>
      <x:c r="G432" s="170" t="str">
        <x:f>IF(A432="","",IF(B432="Decommissioning",INDEX('Raw Decommissioning'!$I$2:$I$1000,ROWS($A$5:A432)),INDEX('Raw Provisioning'!$J$2:$J$1000,ROWS($A$5:A432)-COUNTA('Raw Decommissioning'!$B$2:$B$1000))))</x:f>
        <x:v>HSE Intelligence Pod Multimodal AI Vision / Voice - HIPVISION</x:v>
      </x:c>
      <x:c r="H432" s="170" t="str">
        <x:f>IF(A432="","",IF(B432="Decommissioning",INDEX('Raw Decommissioning'!$J$2:$J$1000,ROWS($A$5:A432)),INDEX('Raw Provisioning'!$L$2:$L$1000,ROWS($A$5:A432)-COUNTA('Raw Decommissioning'!$B$2:$B$1000))))</x:f>
        <x:v>Development of HSE Intelligence Pod (HIP) Multimodal AI (Vision, Voice)</x:v>
      </x:c>
      <x:c r="I432" s="170" t="str">
        <x:f>IF(A432="","",IF(B432="Decommissioning",INDEX('Raw Decommissioning'!$AL$2:$AL$1000,ROWS($A$5:A432)),INDEX('Raw Provisioning'!$R$2:$R$1000,ROWS($A$5:A432)-COUNTA('Raw Decommissioning'!$B$2:$B$1000))))</x:f>
        <x:v>L</x:v>
      </x:c>
      <x:c r="J432" s="170" t="str">
        <x:f>IF(A432="","",IF(B432="Decommissioning",INDEX('Raw Decommissioning'!$AG$2:$AG$1000,ROWS($A$5:A432)),INDEX('Raw Provisioning'!$AI$2:$AI$1000,ROWS($A$5:A432)-COUNTA('Raw Decommissioning'!$B$2:$B$1000))))</x:f>
        <x:v>izham.ajmaan@petronas.com</x:v>
      </x:c>
      <x:c r="K432" s="172" t="str">
        <x:f>IF(A432="","",IFERROR(LOOKUP(2,1/('Assignment History'!$B$5:$B$204=A432),'Assignment History'!$D$5:$D$204),IFERROR(VLOOKUP(J432,Configuration!$L$5:$M$50,2,FALSE),J432)))</x:f>
        <x:v>izham.ajmaan@petronas.com</x:v>
      </x:c>
      <x:c r="L432" s="172" t="str">
        <x:f>IF(A432="","",IF(K432=IFERROR(VLOOKUP(J432,Configuration!$L$5:$M$50,2,FALSE),J432),"Snapshot PIC","Replacement PIC"))</x:f>
        <x:v>Snapshot PIC</x:v>
      </x:c>
      <x:c r="M432" s="172" t="n">
        <x:f>IF(A432="","",IFERROR(VLOOKUP(I432,Configuration!$O$5:$P$8,2,FALSE),Configuration!$S$6))</x:f>
        <x:v>3</x:v>
      </x:c>
      <x:c r="N432" s="172" t="str">
        <x:f>IF(A432="","",IFERROR(LOOKUP(2,1/('Scope Review'!$B$5:$B$204=A432),'Scope Review'!$G$5:$G$204),"Not Reviewed"))</x:f>
        <x:v>Not Reviewed</x:v>
      </x:c>
      <x:c r="O432" s="172" t="str">
        <x:f>IF(A432="","",IFERROR(LOOKUP(2,1/('Scope Review'!$B$5:$B$204=A432),'Scope Review'!$H$5:$H$204),""))</x:f>
      </x:c>
      <x:c r="P432" s="172" t="n">
        <x:f>IF(A432="","",IF(AND(C432="executing",N432&lt;&gt;"Confirmed OOS"),M432,0))</x:f>
        <x:v>0</x:v>
      </x:c>
      <x:c r="Q432" s="173" t="str">
        <x:f>IF(A432="","",IFERROR(LOOKUP(2,1/('Engineer Updates'!$B$5:$B$704=A432),'Engineer Updates'!$A$5:$A$704),""))</x:f>
      </x:c>
      <x:c r="R432" s="172" t="str">
        <x:f>IF(A432="","",IFERROR(LOOKUP(2,1/('Engineer Updates'!$B$5:$B$704=A432),'Engineer Updates'!$H$5:$H$704),""))</x:f>
      </x:c>
      <x:c r="S432" s="172" t="str">
        <x:f>IF(A432="","",IFERROR(LOOKUP(2,1/('Engineer Updates'!$B$5:$B$704=A432),'Engineer Updates'!$G$5:$G$704),""))</x:f>
      </x:c>
      <x:c r="T432" s="172" t="str">
        <x:f>IF(A432="","",IFERROR(LOOKUP(2,1/('Engineer Updates'!$B$5:$B$704=A432),'Engineer Updates'!$I$5:$I$704),""))</x:f>
      </x:c>
      <x:c r="U432" s="172" t="str">
        <x:f>IF(A432="","",IFERROR(LOOKUP(2,1/('Engineer Updates'!$B$5:$B$704=A432),'Engineer Updates'!$J$5:$J$704),""))</x:f>
      </x:c>
      <x:c r="V432" s="172" t="str">
        <x:f>IF(A432="","",IFERROR(LOOKUP(2,1/('Engineer Updates'!$B$5:$B$704=A432),'Engineer Updates'!$K$5:$K$704),""))</x:f>
      </x:c>
      <x:c r="W432" s="174" t="str">
        <x:f>IF(A432="","",IFERROR(LOOKUP(2,1/('Engineer Updates'!$B$5:$B$704=A432),'Engineer Updates'!$L$5:$L$704),""))</x:f>
      </x:c>
      <x:c r="X432" s="170" t="str">
        <x:f>IF(A432="","",IF(C432="completed","Completed in CSSP",IF(AND(C432="executing",ISERROR(SEARCH("@",K432))),"Executing without named engineer",IF(AND(N432="Confirmed OOS",C432="executing"),"Confirmed OOS still executing",""))))</x:f>
        <x:v>Completed in CSSP</x:v>
      </x:c>
      <x:c r="Y432" s="170" t="str">
        <x:f>IF(A432="","",IF(B432="Decommissioning","Raw Decommissioning","Raw Provisioning"))</x:f>
        <x:v>Raw Provisioning</x:v>
      </x:c>
      <x:c r="Z432" s="170" t="str">
        <x:f>IF(A432="","",IF(OR(C432="executing",C432="processing"),"Yes","No"))</x:f>
        <x:v>No</x:v>
      </x:c>
    </x:row>
    <x:row r="433">
      <x:c r="A433" s="170" t="str">
        <x:f>IF(ROWS($A$5:A433)&lt;=COUNTA('Raw Decommissioning'!$B$2:$B$1000),INDEX('Raw Decommissioning'!$B$2:$B$1000,ROWS($A$5:A433)),IF(ROWS($A$5:A433)-COUNTA('Raw Decommissioning'!$B$2:$B$1000)&lt;=COUNTA('Raw Provisioning'!$B$2:$B$1000),INDEX('Raw Provisioning'!$B$2:$B$1000,ROWS($A$5:A433)-COUNTA('Raw Decommissioning'!$B$2:$B$1000)),""))</x:f>
        <x:v>CSSP10620386</x:v>
      </x:c>
      <x:c r="B433" s="170" t="str">
        <x:f>IF(A433="","",IF(ROWS($A$5:A433)&lt;=COUNTA('Raw Decommissioning'!$B$2:$B$1000),"Decommissioning","Provisioning"))</x:f>
        <x:v>Provisioning</x:v>
      </x:c>
      <x:c r="C433" s="170" t="str">
        <x:f>IF(A433="","",IF(B433="Decommissioning",IFERROR(INDEX('Raw Decommissioning'!$E$2:$E$1000,MATCH(A433,'Raw Decommissioning'!$B$2:$B$1000,0)),"Missing from latest raw"),IFERROR(INDEX('Raw Provisioning'!$E$2:$E$1000,MATCH(A433,'Raw Provisioning'!$B$2:$B$1000,0)),"Missing from latest raw")))</x:f>
        <x:v>completed</x:v>
      </x:c>
      <x:c r="D433" s="171" t="n">
        <x:f>IF(A433="","",'Refresh Control'!$B$4)</x:f>
        <x:v>46254</x:v>
      </x:c>
      <x:c r="E433" s="171" t="n">
        <x:f>IF(A433="","",IF(B433="Decommissioning",INDEX('Raw Decommissioning'!$F$2:$F$1000,ROWS($A$5:A433)),INDEX('Raw Provisioning'!$F$2:$F$1000,ROWS($A$5:A433)-COUNTA('Raw Decommissioning'!$B$2:$B$1000))))</x:f>
        <x:v>46073.32463443287</x:v>
      </x:c>
      <x:c r="F433" s="171" t="n">
        <x:f>IF(A433="","",IF(B433="Decommissioning",INDEX('Raw Decommissioning'!$G$2:$G$1000,ROWS($A$5:A433)),INDEX('Raw Provisioning'!$H$2:$H$1000,ROWS($A$5:A433)-COUNTA('Raw Decommissioning'!$B$2:$B$1000))))</x:f>
        <x:v>46092.17548827546</x:v>
      </x:c>
      <x:c r="G433" s="170" t="str">
        <x:f>IF(A433="","",IF(B433="Decommissioning",INDEX('Raw Decommissioning'!$I$2:$I$1000,ROWS($A$5:A433)),INDEX('Raw Provisioning'!$J$2:$J$1000,ROWS($A$5:A433)-COUNTA('Raw Decommissioning'!$B$2:$B$1000))))</x:f>
        <x:v>Plant Information - PI CHOPI UPSTREAM</x:v>
      </x:c>
      <x:c r="H433" s="170" t="str">
        <x:f>IF(A433="","",IF(B433="Decommissioning",INDEX('Raw Decommissioning'!$J$2:$J$1000,ROWS($A$5:A433)),INDEX('Raw Provisioning'!$L$2:$L$1000,ROWS($A$5:A433)-COUNTA('Raw Decommissioning'!$B$2:$B$1000))))</x:f>
        <x:v>Cloud Migration Program - PI Upstream</x:v>
      </x:c>
      <x:c r="I433" s="170" t="str">
        <x:f>IF(A433="","",IF(B433="Decommissioning",INDEX('Raw Decommissioning'!$AL$2:$AL$1000,ROWS($A$5:A433)),INDEX('Raw Provisioning'!$R$2:$R$1000,ROWS($A$5:A433)-COUNTA('Raw Decommissioning'!$B$2:$B$1000))))</x:f>
        <x:v>M</x:v>
      </x:c>
      <x:c r="J433" s="170" t="str">
        <x:f>IF(A433="","",IF(B433="Decommissioning",INDEX('Raw Decommissioning'!$AG$2:$AG$1000,ROWS($A$5:A433)),INDEX('Raw Provisioning'!$AI$2:$AI$1000,ROWS($A$5:A433)-COUNTA('Raw Decommissioning'!$B$2:$B$1000))))</x:f>
        <x:v>izzat.romainor@petronas.com</x:v>
      </x:c>
      <x:c r="K433" s="172" t="str">
        <x:f>IF(A433="","",IFERROR(LOOKUP(2,1/('Assignment History'!$B$5:$B$204=A433),'Assignment History'!$D$5:$D$204),IFERROR(VLOOKUP(J433,Configuration!$L$5:$M$50,2,FALSE),J433)))</x:f>
        <x:v>izzat.romainor@petronas.com</x:v>
      </x:c>
      <x:c r="L433" s="172" t="str">
        <x:f>IF(A433="","",IF(K433=IFERROR(VLOOKUP(J433,Configuration!$L$5:$M$50,2,FALSE),J433),"Snapshot PIC","Replacement PIC"))</x:f>
        <x:v>Snapshot PIC</x:v>
      </x:c>
      <x:c r="M433" s="172" t="n">
        <x:f>IF(A433="","",IFERROR(VLOOKUP(I433,Configuration!$O$5:$P$8,2,FALSE),Configuration!$S$6))</x:f>
        <x:v>2</x:v>
      </x:c>
      <x:c r="N433" s="172" t="str">
        <x:f>IF(A433="","",IFERROR(LOOKUP(2,1/('Scope Review'!$B$5:$B$204=A433),'Scope Review'!$G$5:$G$204),"Not Reviewed"))</x:f>
        <x:v>Not Reviewed</x:v>
      </x:c>
      <x:c r="O433" s="172" t="str">
        <x:f>IF(A433="","",IFERROR(LOOKUP(2,1/('Scope Review'!$B$5:$B$204=A433),'Scope Review'!$H$5:$H$204),""))</x:f>
      </x:c>
      <x:c r="P433" s="172" t="n">
        <x:f>IF(A433="","",IF(AND(C433="executing",N433&lt;&gt;"Confirmed OOS"),M433,0))</x:f>
        <x:v>0</x:v>
      </x:c>
      <x:c r="Q433" s="173" t="str">
        <x:f>IF(A433="","",IFERROR(LOOKUP(2,1/('Engineer Updates'!$B$5:$B$704=A433),'Engineer Updates'!$A$5:$A$704),""))</x:f>
      </x:c>
      <x:c r="R433" s="172" t="str">
        <x:f>IF(A433="","",IFERROR(LOOKUP(2,1/('Engineer Updates'!$B$5:$B$704=A433),'Engineer Updates'!$H$5:$H$704),""))</x:f>
      </x:c>
      <x:c r="S433" s="172" t="str">
        <x:f>IF(A433="","",IFERROR(LOOKUP(2,1/('Engineer Updates'!$B$5:$B$704=A433),'Engineer Updates'!$G$5:$G$704),""))</x:f>
      </x:c>
      <x:c r="T433" s="172" t="str">
        <x:f>IF(A433="","",IFERROR(LOOKUP(2,1/('Engineer Updates'!$B$5:$B$704=A433),'Engineer Updates'!$I$5:$I$704),""))</x:f>
      </x:c>
      <x:c r="U433" s="172" t="str">
        <x:f>IF(A433="","",IFERROR(LOOKUP(2,1/('Engineer Updates'!$B$5:$B$704=A433),'Engineer Updates'!$J$5:$J$704),""))</x:f>
      </x:c>
      <x:c r="V433" s="172" t="str">
        <x:f>IF(A433="","",IFERROR(LOOKUP(2,1/('Engineer Updates'!$B$5:$B$704=A433),'Engineer Updates'!$K$5:$K$704),""))</x:f>
      </x:c>
      <x:c r="W433" s="174" t="str">
        <x:f>IF(A433="","",IFERROR(LOOKUP(2,1/('Engineer Updates'!$B$5:$B$704=A433),'Engineer Updates'!$L$5:$L$704),""))</x:f>
      </x:c>
      <x:c r="X433" s="170" t="str">
        <x:f>IF(A433="","",IF(C433="completed","Completed in CSSP",IF(AND(C433="executing",ISERROR(SEARCH("@",K433))),"Executing without named engineer",IF(AND(N433="Confirmed OOS",C433="executing"),"Confirmed OOS still executing",""))))</x:f>
        <x:v>Completed in CSSP</x:v>
      </x:c>
      <x:c r="Y433" s="170" t="str">
        <x:f>IF(A433="","",IF(B433="Decommissioning","Raw Decommissioning","Raw Provisioning"))</x:f>
        <x:v>Raw Provisioning</x:v>
      </x:c>
      <x:c r="Z433" s="170" t="str">
        <x:f>IF(A433="","",IF(OR(C433="executing",C433="processing"),"Yes","No"))</x:f>
        <x:v>No</x:v>
      </x:c>
    </x:row>
    <x:row r="434">
      <x:c r="A434" s="170" t="str">
        <x:f>IF(ROWS($A$5:A434)&lt;=COUNTA('Raw Decommissioning'!$B$2:$B$1000),INDEX('Raw Decommissioning'!$B$2:$B$1000,ROWS($A$5:A434)),IF(ROWS($A$5:A434)-COUNTA('Raw Decommissioning'!$B$2:$B$1000)&lt;=COUNTA('Raw Provisioning'!$B$2:$B$1000),INDEX('Raw Provisioning'!$B$2:$B$1000,ROWS($A$5:A434)-COUNTA('Raw Decommissioning'!$B$2:$B$1000)),""))</x:f>
        <x:v>CSSP10936246</x:v>
      </x:c>
      <x:c r="B434" s="170" t="str">
        <x:f>IF(A434="","",IF(ROWS($A$5:A434)&lt;=COUNTA('Raw Decommissioning'!$B$2:$B$1000),"Decommissioning","Provisioning"))</x:f>
        <x:v>Provisioning</x:v>
      </x:c>
      <x:c r="C434" s="170" t="str">
        <x:f>IF(A434="","",IF(B434="Decommissioning",IFERROR(INDEX('Raw Decommissioning'!$E$2:$E$1000,MATCH(A434,'Raw Decommissioning'!$B$2:$B$1000,0)),"Missing from latest raw"),IFERROR(INDEX('Raw Provisioning'!$E$2:$E$1000,MATCH(A434,'Raw Provisioning'!$B$2:$B$1000,0)),"Missing from latest raw")))</x:f>
        <x:v>completed</x:v>
      </x:c>
      <x:c r="D434" s="171" t="n">
        <x:f>IF(A434="","",'Refresh Control'!$B$4)</x:f>
        <x:v>46254</x:v>
      </x:c>
      <x:c r="E434" s="171" t="n">
        <x:f>IF(A434="","",IF(B434="Decommissioning",INDEX('Raw Decommissioning'!$F$2:$F$1000,ROWS($A$5:A434)),INDEX('Raw Provisioning'!$F$2:$F$1000,ROWS($A$5:A434)-COUNTA('Raw Decommissioning'!$B$2:$B$1000))))</x:f>
        <x:v>46076.172252094904</x:v>
      </x:c>
      <x:c r="F434" s="171" t="n">
        <x:f>IF(A434="","",IF(B434="Decommissioning",INDEX('Raw Decommissioning'!$G$2:$G$1000,ROWS($A$5:A434)),INDEX('Raw Provisioning'!$H$2:$H$1000,ROWS($A$5:A434)-COUNTA('Raw Decommissioning'!$B$2:$B$1000))))</x:f>
        <x:v>46097.36706614583</x:v>
      </x:c>
      <x:c r="G434" s="170" t="str">
        <x:f>IF(A434="","",IF(B434="Decommissioning",INDEX('Raw Decommissioning'!$I$2:$I$1000,ROWS($A$5:A434)),INDEX('Raw Provisioning'!$J$2:$J$1000,ROWS($A$5:A434)-COUNTA('Raw Decommissioning'!$B$2:$B$1000))))</x:f>
        <x:v>Common DevOps</x:v>
      </x:c>
      <x:c r="H434" s="170" t="str">
        <x:f>IF(A434="","",IF(B434="Decommissioning",INDEX('Raw Decommissioning'!$J$2:$J$1000,ROWS($A$5:A434)),INDEX('Raw Provisioning'!$L$2:$L$1000,ROWS($A$5:A434)-COUNTA('Raw Decommissioning'!$B$2:$B$1000))))</x:f>
        <x:v>Common DevOps (VS-petronasvsts-Group)</x:v>
      </x:c>
      <x:c r="I434" s="170" t="str">
        <x:f>IF(A434="","",IF(B434="Decommissioning",INDEX('Raw Decommissioning'!$AL$2:$AL$1000,ROWS($A$5:A434)),INDEX('Raw Provisioning'!$R$2:$R$1000,ROWS($A$5:A434)-COUNTA('Raw Decommissioning'!$B$2:$B$1000))))</x:f>
        <x:v>M</x:v>
      </x:c>
      <x:c r="J434" s="170" t="str">
        <x:f>IF(A434="","",IF(B434="Decommissioning",INDEX('Raw Decommissioning'!$AG$2:$AG$1000,ROWS($A$5:A434)),INDEX('Raw Provisioning'!$AI$2:$AI$1000,ROWS($A$5:A434)-COUNTA('Raw Decommissioning'!$B$2:$B$1000))))</x:f>
        <x:v>akhmal.roslan@petronas.com</x:v>
      </x:c>
      <x:c r="K434" s="172" t="str">
        <x:f>IF(A434="","",IFERROR(LOOKUP(2,1/('Assignment History'!$B$5:$B$204=A434),'Assignment History'!$D$5:$D$204),IFERROR(VLOOKUP(J434,Configuration!$L$5:$M$50,2,FALSE),J434)))</x:f>
        <x:v>akhmal.roslan@petronas.com</x:v>
      </x:c>
      <x:c r="L434" s="172" t="str">
        <x:f>IF(A434="","",IF(K434=IFERROR(VLOOKUP(J434,Configuration!$L$5:$M$50,2,FALSE),J434),"Snapshot PIC","Replacement PIC"))</x:f>
        <x:v>Snapshot PIC</x:v>
      </x:c>
      <x:c r="M434" s="172" t="n">
        <x:f>IF(A434="","",IFERROR(VLOOKUP(I434,Configuration!$O$5:$P$8,2,FALSE),Configuration!$S$6))</x:f>
        <x:v>2</x:v>
      </x:c>
      <x:c r="N434" s="172" t="str">
        <x:f>IF(A434="","",IFERROR(LOOKUP(2,1/('Scope Review'!$B$5:$B$204=A434),'Scope Review'!$G$5:$G$204),"Not Reviewed"))</x:f>
        <x:v>Not Reviewed</x:v>
      </x:c>
      <x:c r="O434" s="172" t="str">
        <x:f>IF(A434="","",IFERROR(LOOKUP(2,1/('Scope Review'!$B$5:$B$204=A434),'Scope Review'!$H$5:$H$204),""))</x:f>
      </x:c>
      <x:c r="P434" s="172" t="n">
        <x:f>IF(A434="","",IF(AND(C434="executing",N434&lt;&gt;"Confirmed OOS"),M434,0))</x:f>
        <x:v>0</x:v>
      </x:c>
      <x:c r="Q434" s="173" t="str">
        <x:f>IF(A434="","",IFERROR(LOOKUP(2,1/('Engineer Updates'!$B$5:$B$704=A434),'Engineer Updates'!$A$5:$A$704),""))</x:f>
      </x:c>
      <x:c r="R434" s="172" t="str">
        <x:f>IF(A434="","",IFERROR(LOOKUP(2,1/('Engineer Updates'!$B$5:$B$704=A434),'Engineer Updates'!$H$5:$H$704),""))</x:f>
      </x:c>
      <x:c r="S434" s="172" t="str">
        <x:f>IF(A434="","",IFERROR(LOOKUP(2,1/('Engineer Updates'!$B$5:$B$704=A434),'Engineer Updates'!$G$5:$G$704),""))</x:f>
      </x:c>
      <x:c r="T434" s="172" t="str">
        <x:f>IF(A434="","",IFERROR(LOOKUP(2,1/('Engineer Updates'!$B$5:$B$704=A434),'Engineer Updates'!$I$5:$I$704),""))</x:f>
      </x:c>
      <x:c r="U434" s="172" t="str">
        <x:f>IF(A434="","",IFERROR(LOOKUP(2,1/('Engineer Updates'!$B$5:$B$704=A434),'Engineer Updates'!$J$5:$J$704),""))</x:f>
      </x:c>
      <x:c r="V434" s="172" t="str">
        <x:f>IF(A434="","",IFERROR(LOOKUP(2,1/('Engineer Updates'!$B$5:$B$704=A434),'Engineer Updates'!$K$5:$K$704),""))</x:f>
      </x:c>
      <x:c r="W434" s="174" t="str">
        <x:f>IF(A434="","",IFERROR(LOOKUP(2,1/('Engineer Updates'!$B$5:$B$704=A434),'Engineer Updates'!$L$5:$L$704),""))</x:f>
      </x:c>
      <x:c r="X434" s="170" t="str">
        <x:f>IF(A434="","",IF(C434="completed","Completed in CSSP",IF(AND(C434="executing",ISERROR(SEARCH("@",K434))),"Executing without named engineer",IF(AND(N434="Confirmed OOS",C434="executing"),"Confirmed OOS still executing",""))))</x:f>
        <x:v>Completed in CSSP</x:v>
      </x:c>
      <x:c r="Y434" s="170" t="str">
        <x:f>IF(A434="","",IF(B434="Decommissioning","Raw Decommissioning","Raw Provisioning"))</x:f>
        <x:v>Raw Provisioning</x:v>
      </x:c>
      <x:c r="Z434" s="170" t="str">
        <x:f>IF(A434="","",IF(OR(C434="executing",C434="processing"),"Yes","No"))</x:f>
        <x:v>No</x:v>
      </x:c>
    </x:row>
    <x:row r="435">
      <x:c r="A435" s="170" t="str">
        <x:f>IF(ROWS($A$5:A435)&lt;=COUNTA('Raw Decommissioning'!$B$2:$B$1000),INDEX('Raw Decommissioning'!$B$2:$B$1000,ROWS($A$5:A435)),IF(ROWS($A$5:A435)-COUNTA('Raw Decommissioning'!$B$2:$B$1000)&lt;=COUNTA('Raw Provisioning'!$B$2:$B$1000),INDEX('Raw Provisioning'!$B$2:$B$1000,ROWS($A$5:A435)-COUNTA('Raw Decommissioning'!$B$2:$B$1000)),""))</x:f>
        <x:v>CSSP10505264</x:v>
      </x:c>
      <x:c r="B435" s="170" t="str">
        <x:f>IF(A435="","",IF(ROWS($A$5:A435)&lt;=COUNTA('Raw Decommissioning'!$B$2:$B$1000),"Decommissioning","Provisioning"))</x:f>
        <x:v>Provisioning</x:v>
      </x:c>
      <x:c r="C435" s="170" t="str">
        <x:f>IF(A435="","",IF(B435="Decommissioning",IFERROR(INDEX('Raw Decommissioning'!$E$2:$E$1000,MATCH(A435,'Raw Decommissioning'!$B$2:$B$1000,0)),"Missing from latest raw"),IFERROR(INDEX('Raw Provisioning'!$E$2:$E$1000,MATCH(A435,'Raw Provisioning'!$B$2:$B$1000,0)),"Missing from latest raw")))</x:f>
        <x:v>rejected</x:v>
      </x:c>
      <x:c r="D435" s="171" t="n">
        <x:f>IF(A435="","",'Refresh Control'!$B$4)</x:f>
        <x:v>46254</x:v>
      </x:c>
      <x:c r="E435" s="171" t="n">
        <x:f>IF(A435="","",IF(B435="Decommissioning",INDEX('Raw Decommissioning'!$F$2:$F$1000,ROWS($A$5:A435)),INDEX('Raw Provisioning'!$F$2:$F$1000,ROWS($A$5:A435)-COUNTA('Raw Decommissioning'!$B$2:$B$1000))))</x:f>
        <x:v>46076.25043788194</x:v>
      </x:c>
      <x:c r="F435" s="171" t="n">
        <x:f>IF(A435="","",IF(B435="Decommissioning",INDEX('Raw Decommissioning'!$G$2:$G$1000,ROWS($A$5:A435)),INDEX('Raw Provisioning'!$H$2:$H$1000,ROWS($A$5:A435)-COUNTA('Raw Decommissioning'!$B$2:$B$1000))))</x:f>
        <x:v>46098.08090732639</x:v>
      </x:c>
      <x:c r="G435" s="170" t="str">
        <x:f>IF(A435="","",IF(B435="Decommissioning",INDEX('Raw Decommissioning'!$I$2:$I$1000,ROWS($A$5:A435)),INDEX('Raw Provisioning'!$J$2:$J$1000,ROWS($A$5:A435)-COUNTA('Raw Decommissioning'!$B$2:$B$1000))))</x:f>
        <x:v>PDB Data &amp; Intelligence Platform</x:v>
      </x:c>
      <x:c r="H435" s="170" t="str">
        <x:f>IF(A435="","",IF(B435="Decommissioning",INDEX('Raw Decommissioning'!$J$2:$J$1000,ROWS($A$5:A435)),INDEX('Raw Provisioning'!$L$2:$L$1000,ROWS($A$5:A435)-COUNTA('Raw Decommissioning'!$B$2:$B$1000))))</x:f>
        <x:v>PDB Data &amp; Intelligence Platform</x:v>
      </x:c>
      <x:c r="I435" s="170" t="str">
        <x:f>IF(A435="","",IF(B435="Decommissioning",INDEX('Raw Decommissioning'!$AL$2:$AL$1000,ROWS($A$5:A435)),INDEX('Raw Provisioning'!$R$2:$R$1000,ROWS($A$5:A435)-COUNTA('Raw Decommissioning'!$B$2:$B$1000))))</x:f>
      </x:c>
      <x:c r="J435" s="170" t="str">
        <x:f>IF(A435="","",IF(B435="Decommissioning",INDEX('Raw Decommissioning'!$AG$2:$AG$1000,ROWS($A$5:A435)),INDEX('Raw Provisioning'!$AI$2:$AI$1000,ROWS($A$5:A435)-COUNTA('Raw Decommissioning'!$B$2:$B$1000))))</x:f>
        <x:v>CCoE Core Services (Public)</x:v>
      </x:c>
      <x:c r="K435" s="172" t="str">
        <x:f>IF(A435="","",IFERROR(LOOKUP(2,1/('Assignment History'!$B$5:$B$204=A435),'Assignment History'!$D$5:$D$204),IFERROR(VLOOKUP(J435,Configuration!$L$5:$M$50,2,FALSE),J435)))</x:f>
        <x:v>CCoE Core Services (Public)</x:v>
      </x:c>
      <x:c r="L435" s="172" t="str">
        <x:f>IF(A435="","",IF(K435=IFERROR(VLOOKUP(J435,Configuration!$L$5:$M$50,2,FALSE),J435),"Snapshot PIC","Replacement PIC"))</x:f>
        <x:v>Snapshot PIC</x:v>
      </x:c>
      <x:c r="M435" s="172" t="n">
        <x:f>IF(A435="","",IFERROR(VLOOKUP(I435,Configuration!$O$5:$P$8,2,FALSE),Configuration!$S$6))</x:f>
        <x:v>2</x:v>
      </x:c>
      <x:c r="N435" s="172" t="str">
        <x:f>IF(A435="","",IFERROR(LOOKUP(2,1/('Scope Review'!$B$5:$B$204=A435),'Scope Review'!$G$5:$G$204),"Not Reviewed"))</x:f>
        <x:v>Not Reviewed</x:v>
      </x:c>
      <x:c r="O435" s="172" t="str">
        <x:f>IF(A435="","",IFERROR(LOOKUP(2,1/('Scope Review'!$B$5:$B$204=A435),'Scope Review'!$H$5:$H$204),""))</x:f>
      </x:c>
      <x:c r="P435" s="172" t="n">
        <x:f>IF(A435="","",IF(AND(C435="executing",N435&lt;&gt;"Confirmed OOS"),M435,0))</x:f>
        <x:v>0</x:v>
      </x:c>
      <x:c r="Q435" s="173" t="str">
        <x:f>IF(A435="","",IFERROR(LOOKUP(2,1/('Engineer Updates'!$B$5:$B$704=A435),'Engineer Updates'!$A$5:$A$704),""))</x:f>
      </x:c>
      <x:c r="R435" s="172" t="str">
        <x:f>IF(A435="","",IFERROR(LOOKUP(2,1/('Engineer Updates'!$B$5:$B$704=A435),'Engineer Updates'!$H$5:$H$704),""))</x:f>
      </x:c>
      <x:c r="S435" s="172" t="str">
        <x:f>IF(A435="","",IFERROR(LOOKUP(2,1/('Engineer Updates'!$B$5:$B$704=A435),'Engineer Updates'!$G$5:$G$704),""))</x:f>
      </x:c>
      <x:c r="T435" s="172" t="str">
        <x:f>IF(A435="","",IFERROR(LOOKUP(2,1/('Engineer Updates'!$B$5:$B$704=A435),'Engineer Updates'!$I$5:$I$704),""))</x:f>
      </x:c>
      <x:c r="U435" s="172" t="str">
        <x:f>IF(A435="","",IFERROR(LOOKUP(2,1/('Engineer Updates'!$B$5:$B$704=A435),'Engineer Updates'!$J$5:$J$704),""))</x:f>
      </x:c>
      <x:c r="V435" s="172" t="str">
        <x:f>IF(A435="","",IFERROR(LOOKUP(2,1/('Engineer Updates'!$B$5:$B$704=A435),'Engineer Updates'!$K$5:$K$704),""))</x:f>
      </x:c>
      <x:c r="W435" s="174" t="str">
        <x:f>IF(A435="","",IFERROR(LOOKUP(2,1/('Engineer Updates'!$B$5:$B$704=A435),'Engineer Updates'!$L$5:$L$704),""))</x:f>
      </x:c>
      <x:c r="X435" s="170" t="str">
        <x:f>IF(A435="","",IF(C435="completed","Completed in CSSP",IF(AND(C435="executing",ISERROR(SEARCH("@",K435))),"Executing without named engineer",IF(AND(N435="Confirmed OOS",C435="executing"),"Confirmed OOS still executing",""))))</x:f>
      </x:c>
      <x:c r="Y435" s="170" t="str">
        <x:f>IF(A435="","",IF(B435="Decommissioning","Raw Decommissioning","Raw Provisioning"))</x:f>
        <x:v>Raw Provisioning</x:v>
      </x:c>
      <x:c r="Z435" s="170" t="str">
        <x:f>IF(A435="","",IF(OR(C435="executing",C435="processing"),"Yes","No"))</x:f>
        <x:v>No</x:v>
      </x:c>
    </x:row>
    <x:row r="436">
      <x:c r="A436" s="170" t="str">
        <x:f>IF(ROWS($A$5:A436)&lt;=COUNTA('Raw Decommissioning'!$B$2:$B$1000),INDEX('Raw Decommissioning'!$B$2:$B$1000,ROWS($A$5:A436)),IF(ROWS($A$5:A436)-COUNTA('Raw Decommissioning'!$B$2:$B$1000)&lt;=COUNTA('Raw Provisioning'!$B$2:$B$1000),INDEX('Raw Provisioning'!$B$2:$B$1000,ROWS($A$5:A436)-COUNTA('Raw Decommissioning'!$B$2:$B$1000)),""))</x:f>
        <x:v>CSSP10772786</x:v>
      </x:c>
      <x:c r="B436" s="170" t="str">
        <x:f>IF(A436="","",IF(ROWS($A$5:A436)&lt;=COUNTA('Raw Decommissioning'!$B$2:$B$1000),"Decommissioning","Provisioning"))</x:f>
        <x:v>Provisioning</x:v>
      </x:c>
      <x:c r="C436" s="170" t="str">
        <x:f>IF(A436="","",IF(B436="Decommissioning",IFERROR(INDEX('Raw Decommissioning'!$E$2:$E$1000,MATCH(A436,'Raw Decommissioning'!$B$2:$B$1000,0)),"Missing from latest raw"),IFERROR(INDEX('Raw Provisioning'!$E$2:$E$1000,MATCH(A436,'Raw Provisioning'!$B$2:$B$1000,0)),"Missing from latest raw")))</x:f>
        <x:v>completed</x:v>
      </x:c>
      <x:c r="D436" s="171" t="n">
        <x:f>IF(A436="","",'Refresh Control'!$B$4)</x:f>
        <x:v>46254</x:v>
      </x:c>
      <x:c r="E436" s="171" t="n">
        <x:f>IF(A436="","",IF(B436="Decommissioning",INDEX('Raw Decommissioning'!$F$2:$F$1000,ROWS($A$5:A436)),INDEX('Raw Provisioning'!$F$2:$F$1000,ROWS($A$5:A436)-COUNTA('Raw Decommissioning'!$B$2:$B$1000))))</x:f>
        <x:v>46077.304119444445</x:v>
      </x:c>
      <x:c r="F436" s="171" t="n">
        <x:f>IF(A436="","",IF(B436="Decommissioning",INDEX('Raw Decommissioning'!$G$2:$G$1000,ROWS($A$5:A436)),INDEX('Raw Provisioning'!$H$2:$H$1000,ROWS($A$5:A436)-COUNTA('Raw Decommissioning'!$B$2:$B$1000))))</x:f>
        <x:v>46094.27951479167</x:v>
      </x:c>
      <x:c r="G436" s="170" t="str">
        <x:f>IF(A436="","",IF(B436="Decommissioning",INDEX('Raw Decommissioning'!$I$2:$I$1000,ROWS($A$5:A436)),INDEX('Raw Provisioning'!$J$2:$J$1000,ROWS($A$5:A436)-COUNTA('Raw Decommissioning'!$B$2:$B$1000))))</x:f>
        <x:v>Enhancement of Enhanced Resource Monetization by Artificial Intelligence - ERMAI Phase 3 for Malaysia Petroleum Management - MPM</x:v>
      </x:c>
      <x:c r="H436" s="170" t="str">
        <x:f>IF(A436="","",IF(B436="Decommissioning",INDEX('Raw Decommissioning'!$J$2:$J$1000,ROWS($A$5:A436)),INDEX('Raw Provisioning'!$L$2:$L$1000,ROWS($A$5:A436)-COUNTA('Raw Decommissioning'!$B$2:$B$1000))))</x:f>
        <x:v>Enhancement of Enhanced Resource Monetization by Artificial Intelligence (ERMAI) Phase 4</x:v>
      </x:c>
      <x:c r="I436" s="170" t="str">
        <x:f>IF(A436="","",IF(B436="Decommissioning",INDEX('Raw Decommissioning'!$AL$2:$AL$1000,ROWS($A$5:A436)),INDEX('Raw Provisioning'!$R$2:$R$1000,ROWS($A$5:A436)-COUNTA('Raw Decommissioning'!$B$2:$B$1000))))</x:f>
        <x:v>M</x:v>
      </x:c>
      <x:c r="J436" s="170" t="str">
        <x:f>IF(A436="","",IF(B436="Decommissioning",INDEX('Raw Decommissioning'!$AG$2:$AG$1000,ROWS($A$5:A436)),INDEX('Raw Provisioning'!$AI$2:$AI$1000,ROWS($A$5:A436)-COUNTA('Raw Decommissioning'!$B$2:$B$1000))))</x:f>
        <x:v>badri.shaharudin@petronas.com</x:v>
      </x:c>
      <x:c r="K436" s="172" t="str">
        <x:f>IF(A436="","",IFERROR(LOOKUP(2,1/('Assignment History'!$B$5:$B$204=A436),'Assignment History'!$D$5:$D$204),IFERROR(VLOOKUP(J436,Configuration!$L$5:$M$50,2,FALSE),J436)))</x:f>
        <x:v>badri.shaharudin@petronas.com</x:v>
      </x:c>
      <x:c r="L436" s="172" t="str">
        <x:f>IF(A436="","",IF(K436=IFERROR(VLOOKUP(J436,Configuration!$L$5:$M$50,2,FALSE),J436),"Snapshot PIC","Replacement PIC"))</x:f>
        <x:v>Snapshot PIC</x:v>
      </x:c>
      <x:c r="M436" s="172" t="n">
        <x:f>IF(A436="","",IFERROR(VLOOKUP(I436,Configuration!$O$5:$P$8,2,FALSE),Configuration!$S$6))</x:f>
        <x:v>2</x:v>
      </x:c>
      <x:c r="N436" s="172" t="str">
        <x:f>IF(A436="","",IFERROR(LOOKUP(2,1/('Scope Review'!$B$5:$B$204=A436),'Scope Review'!$G$5:$G$204),"Not Reviewed"))</x:f>
        <x:v>Not Reviewed</x:v>
      </x:c>
      <x:c r="O436" s="172" t="str">
        <x:f>IF(A436="","",IFERROR(LOOKUP(2,1/('Scope Review'!$B$5:$B$204=A436),'Scope Review'!$H$5:$H$204),""))</x:f>
      </x:c>
      <x:c r="P436" s="172" t="n">
        <x:f>IF(A436="","",IF(AND(C436="executing",N436&lt;&gt;"Confirmed OOS"),M436,0))</x:f>
        <x:v>0</x:v>
      </x:c>
      <x:c r="Q436" s="173" t="str">
        <x:f>IF(A436="","",IFERROR(LOOKUP(2,1/('Engineer Updates'!$B$5:$B$704=A436),'Engineer Updates'!$A$5:$A$704),""))</x:f>
      </x:c>
      <x:c r="R436" s="172" t="str">
        <x:f>IF(A436="","",IFERROR(LOOKUP(2,1/('Engineer Updates'!$B$5:$B$704=A436),'Engineer Updates'!$H$5:$H$704),""))</x:f>
      </x:c>
      <x:c r="S436" s="172" t="str">
        <x:f>IF(A436="","",IFERROR(LOOKUP(2,1/('Engineer Updates'!$B$5:$B$704=A436),'Engineer Updates'!$G$5:$G$704),""))</x:f>
      </x:c>
      <x:c r="T436" s="172" t="str">
        <x:f>IF(A436="","",IFERROR(LOOKUP(2,1/('Engineer Updates'!$B$5:$B$704=A436),'Engineer Updates'!$I$5:$I$704),""))</x:f>
      </x:c>
      <x:c r="U436" s="172" t="str">
        <x:f>IF(A436="","",IFERROR(LOOKUP(2,1/('Engineer Updates'!$B$5:$B$704=A436),'Engineer Updates'!$J$5:$J$704),""))</x:f>
      </x:c>
      <x:c r="V436" s="172" t="str">
        <x:f>IF(A436="","",IFERROR(LOOKUP(2,1/('Engineer Updates'!$B$5:$B$704=A436),'Engineer Updates'!$K$5:$K$704),""))</x:f>
      </x:c>
      <x:c r="W436" s="174" t="str">
        <x:f>IF(A436="","",IFERROR(LOOKUP(2,1/('Engineer Updates'!$B$5:$B$704=A436),'Engineer Updates'!$L$5:$L$704),""))</x:f>
      </x:c>
      <x:c r="X436" s="170" t="str">
        <x:f>IF(A436="","",IF(C436="completed","Completed in CSSP",IF(AND(C436="executing",ISERROR(SEARCH("@",K436))),"Executing without named engineer",IF(AND(N436="Confirmed OOS",C436="executing"),"Confirmed OOS still executing",""))))</x:f>
        <x:v>Completed in CSSP</x:v>
      </x:c>
      <x:c r="Y436" s="170" t="str">
        <x:f>IF(A436="","",IF(B436="Decommissioning","Raw Decommissioning","Raw Provisioning"))</x:f>
        <x:v>Raw Provisioning</x:v>
      </x:c>
      <x:c r="Z436" s="170" t="str">
        <x:f>IF(A436="","",IF(OR(C436="executing",C436="processing"),"Yes","No"))</x:f>
        <x:v>No</x:v>
      </x:c>
    </x:row>
    <x:row r="437">
      <x:c r="A437" s="170" t="str">
        <x:f>IF(ROWS($A$5:A437)&lt;=COUNTA('Raw Decommissioning'!$B$2:$B$1000),INDEX('Raw Decommissioning'!$B$2:$B$1000,ROWS($A$5:A437)),IF(ROWS($A$5:A437)-COUNTA('Raw Decommissioning'!$B$2:$B$1000)&lt;=COUNTA('Raw Provisioning'!$B$2:$B$1000),INDEX('Raw Provisioning'!$B$2:$B$1000,ROWS($A$5:A437)-COUNTA('Raw Decommissioning'!$B$2:$B$1000)),""))</x:f>
        <x:v>CSSP10604853</x:v>
      </x:c>
      <x:c r="B437" s="170" t="str">
        <x:f>IF(A437="","",IF(ROWS($A$5:A437)&lt;=COUNTA('Raw Decommissioning'!$B$2:$B$1000),"Decommissioning","Provisioning"))</x:f>
        <x:v>Provisioning</x:v>
      </x:c>
      <x:c r="C437" s="170" t="str">
        <x:f>IF(A437="","",IF(B437="Decommissioning",IFERROR(INDEX('Raw Decommissioning'!$E$2:$E$1000,MATCH(A437,'Raw Decommissioning'!$B$2:$B$1000,0)),"Missing from latest raw"),IFERROR(INDEX('Raw Provisioning'!$E$2:$E$1000,MATCH(A437,'Raw Provisioning'!$B$2:$B$1000,0)),"Missing from latest raw")))</x:f>
        <x:v>completed</x:v>
      </x:c>
      <x:c r="D437" s="171" t="n">
        <x:f>IF(A437="","",'Refresh Control'!$B$4)</x:f>
        <x:v>46254</x:v>
      </x:c>
      <x:c r="E437" s="171" t="n">
        <x:f>IF(A437="","",IF(B437="Decommissioning",INDEX('Raw Decommissioning'!$F$2:$F$1000,ROWS($A$5:A437)),INDEX('Raw Provisioning'!$F$2:$F$1000,ROWS($A$5:A437)-COUNTA('Raw Decommissioning'!$B$2:$B$1000))))</x:f>
        <x:v>46078.01204931713</x:v>
      </x:c>
      <x:c r="F437" s="171" t="n">
        <x:f>IF(A437="","",IF(B437="Decommissioning",INDEX('Raw Decommissioning'!$G$2:$G$1000,ROWS($A$5:A437)),INDEX('Raw Provisioning'!$H$2:$H$1000,ROWS($A$5:A437)-COUNTA('Raw Decommissioning'!$B$2:$B$1000))))</x:f>
        <x:v>46219.06947282407</x:v>
      </x:c>
      <x:c r="G437" s="170" t="str">
        <x:f>IF(A437="","",IF(B437="Decommissioning",INDEX('Raw Decommissioning'!$I$2:$I$1000,ROWS($A$5:A437)),INDEX('Raw Provisioning'!$J$2:$J$1000,ROWS($A$5:A437)-COUNTA('Raw Decommissioning'!$B$2:$B$1000))))</x:f>
        <x:v>Malaysian Financial Reporting Standards - MFRS</x:v>
      </x:c>
      <x:c r="H437" s="170" t="str">
        <x:f>IF(A437="","",IF(B437="Decommissioning",INDEX('Raw Decommissioning'!$J$2:$J$1000,ROWS($A$5:A437)),INDEX('Raw Provisioning'!$L$2:$L$1000,ROWS($A$5:A437)-COUNTA('Raw Decommissioning'!$B$2:$B$1000))))</x:f>
        <x:v>Implementation Malaysian Financial Reporting Standards (MFRS) Statutory Reporting (MFRS16) for PETRONAS Group of Companies</x:v>
      </x:c>
      <x:c r="I437" s="170" t="str">
        <x:f>IF(A437="","",IF(B437="Decommissioning",INDEX('Raw Decommissioning'!$AL$2:$AL$1000,ROWS($A$5:A437)),INDEX('Raw Provisioning'!$R$2:$R$1000,ROWS($A$5:A437)-COUNTA('Raw Decommissioning'!$B$2:$B$1000))))</x:f>
        <x:v>S</x:v>
      </x:c>
      <x:c r="J437" s="170" t="str">
        <x:f>IF(A437="","",IF(B437="Decommissioning",INDEX('Raw Decommissioning'!$AG$2:$AG$1000,ROWS($A$5:A437)),INDEX('Raw Provisioning'!$AI$2:$AI$1000,ROWS($A$5:A437)-COUNTA('Raw Decommissioning'!$B$2:$B$1000))))</x:f>
        <x:v>muhdfirdaus.muhamad@petronas.com</x:v>
      </x:c>
      <x:c r="K437" s="172" t="str">
        <x:f>IF(A437="","",IFERROR(LOOKUP(2,1/('Assignment History'!$B$5:$B$204=A437),'Assignment History'!$D$5:$D$204),IFERROR(VLOOKUP(J437,Configuration!$L$5:$M$50,2,FALSE),J437)))</x:f>
        <x:v>muhdfirdaus.muhamad@petronas.com</x:v>
      </x:c>
      <x:c r="L437" s="172" t="str">
        <x:f>IF(A437="","",IF(K437=IFERROR(VLOOKUP(J437,Configuration!$L$5:$M$50,2,FALSE),J437),"Snapshot PIC","Replacement PIC"))</x:f>
        <x:v>Snapshot PIC</x:v>
      </x:c>
      <x:c r="M437" s="172" t="n">
        <x:f>IF(A437="","",IFERROR(VLOOKUP(I437,Configuration!$O$5:$P$8,2,FALSE),Configuration!$S$6))</x:f>
        <x:v>1</x:v>
      </x:c>
      <x:c r="N437" s="172" t="str">
        <x:f>IF(A437="","",IFERROR(LOOKUP(2,1/('Scope Review'!$B$5:$B$204=A437),'Scope Review'!$G$5:$G$204),"Not Reviewed"))</x:f>
        <x:v>Not Reviewed</x:v>
      </x:c>
      <x:c r="O437" s="172" t="str">
        <x:f>IF(A437="","",IFERROR(LOOKUP(2,1/('Scope Review'!$B$5:$B$204=A437),'Scope Review'!$H$5:$H$204),""))</x:f>
      </x:c>
      <x:c r="P437" s="172" t="n">
        <x:f>IF(A437="","",IF(AND(C437="executing",N437&lt;&gt;"Confirmed OOS"),M437,0))</x:f>
        <x:v>0</x:v>
      </x:c>
      <x:c r="Q437" s="173" t="str">
        <x:f>IF(A437="","",IFERROR(LOOKUP(2,1/('Engineer Updates'!$B$5:$B$704=A437),'Engineer Updates'!$A$5:$A$704),""))</x:f>
      </x:c>
      <x:c r="R437" s="172" t="str">
        <x:f>IF(A437="","",IFERROR(LOOKUP(2,1/('Engineer Updates'!$B$5:$B$704=A437),'Engineer Updates'!$H$5:$H$704),""))</x:f>
      </x:c>
      <x:c r="S437" s="172" t="str">
        <x:f>IF(A437="","",IFERROR(LOOKUP(2,1/('Engineer Updates'!$B$5:$B$704=A437),'Engineer Updates'!$G$5:$G$704),""))</x:f>
      </x:c>
      <x:c r="T437" s="172" t="str">
        <x:f>IF(A437="","",IFERROR(LOOKUP(2,1/('Engineer Updates'!$B$5:$B$704=A437),'Engineer Updates'!$I$5:$I$704),""))</x:f>
      </x:c>
      <x:c r="U437" s="172" t="str">
        <x:f>IF(A437="","",IFERROR(LOOKUP(2,1/('Engineer Updates'!$B$5:$B$704=A437),'Engineer Updates'!$J$5:$J$704),""))</x:f>
      </x:c>
      <x:c r="V437" s="172" t="str">
        <x:f>IF(A437="","",IFERROR(LOOKUP(2,1/('Engineer Updates'!$B$5:$B$704=A437),'Engineer Updates'!$K$5:$K$704),""))</x:f>
      </x:c>
      <x:c r="W437" s="174" t="str">
        <x:f>IF(A437="","",IFERROR(LOOKUP(2,1/('Engineer Updates'!$B$5:$B$704=A437),'Engineer Updates'!$L$5:$L$704),""))</x:f>
      </x:c>
      <x:c r="X437" s="170" t="str">
        <x:f>IF(A437="","",IF(C437="completed","Completed in CSSP",IF(AND(C437="executing",ISERROR(SEARCH("@",K437))),"Executing without named engineer",IF(AND(N437="Confirmed OOS",C437="executing"),"Confirmed OOS still executing",""))))</x:f>
        <x:v>Completed in CSSP</x:v>
      </x:c>
      <x:c r="Y437" s="170" t="str">
        <x:f>IF(A437="","",IF(B437="Decommissioning","Raw Decommissioning","Raw Provisioning"))</x:f>
        <x:v>Raw Provisioning</x:v>
      </x:c>
      <x:c r="Z437" s="170" t="str">
        <x:f>IF(A437="","",IF(OR(C437="executing",C437="processing"),"Yes","No"))</x:f>
        <x:v>No</x:v>
      </x:c>
    </x:row>
    <x:row r="438">
      <x:c r="A438" s="170" t="str">
        <x:f>IF(ROWS($A$5:A438)&lt;=COUNTA('Raw Decommissioning'!$B$2:$B$1000),INDEX('Raw Decommissioning'!$B$2:$B$1000,ROWS($A$5:A438)),IF(ROWS($A$5:A438)-COUNTA('Raw Decommissioning'!$B$2:$B$1000)&lt;=COUNTA('Raw Provisioning'!$B$2:$B$1000),INDEX('Raw Provisioning'!$B$2:$B$1000,ROWS($A$5:A438)-COUNTA('Raw Decommissioning'!$B$2:$B$1000)),""))</x:f>
        <x:v>CSSP10479891</x:v>
      </x:c>
      <x:c r="B438" s="170" t="str">
        <x:f>IF(A438="","",IF(ROWS($A$5:A438)&lt;=COUNTA('Raw Decommissioning'!$B$2:$B$1000),"Decommissioning","Provisioning"))</x:f>
        <x:v>Provisioning</x:v>
      </x:c>
      <x:c r="C438" s="170" t="str">
        <x:f>IF(A438="","",IF(B438="Decommissioning",IFERROR(INDEX('Raw Decommissioning'!$E$2:$E$1000,MATCH(A438,'Raw Decommissioning'!$B$2:$B$1000,0)),"Missing from latest raw"),IFERROR(INDEX('Raw Provisioning'!$E$2:$E$1000,MATCH(A438,'Raw Provisioning'!$B$2:$B$1000,0)),"Missing from latest raw")))</x:f>
        <x:v>completed</x:v>
      </x:c>
      <x:c r="D438" s="171" t="n">
        <x:f>IF(A438="","",'Refresh Control'!$B$4)</x:f>
        <x:v>46254</x:v>
      </x:c>
      <x:c r="E438" s="171" t="n">
        <x:f>IF(A438="","",IF(B438="Decommissioning",INDEX('Raw Decommissioning'!$F$2:$F$1000,ROWS($A$5:A438)),INDEX('Raw Provisioning'!$F$2:$F$1000,ROWS($A$5:A438)-COUNTA('Raw Decommissioning'!$B$2:$B$1000))))</x:f>
        <x:v>46078.14108998843</x:v>
      </x:c>
      <x:c r="F438" s="171" t="n">
        <x:f>IF(A438="","",IF(B438="Decommissioning",INDEX('Raw Decommissioning'!$G$2:$G$1000,ROWS($A$5:A438)),INDEX('Raw Provisioning'!$H$2:$H$1000,ROWS($A$5:A438)-COUNTA('Raw Decommissioning'!$B$2:$B$1000))))</x:f>
        <x:v>46091.35855693287</x:v>
      </x:c>
      <x:c r="G438" s="170" t="str">
        <x:f>IF(A438="","",IF(B438="Decommissioning",INDEX('Raw Decommissioning'!$I$2:$I$1000,ROWS($A$5:A438)),INDEX('Raw Provisioning'!$J$2:$J$1000,ROWS($A$5:A438)-COUNTA('Raw Decommissioning'!$B$2:$B$1000))))</x:f>
        <x:v>Integrated Asset Modelling - IAM</x:v>
      </x:c>
      <x:c r="H438" s="170" t="str">
        <x:f>IF(A438="","",IF(B438="Decommissioning",INDEX('Raw Decommissioning'!$J$2:$J$1000,ROWS($A$5:A438)),INDEX('Raw Provisioning'!$L$2:$L$1000,ROWS($A$5:A438)-COUNTA('Raw Decommissioning'!$B$2:$B$1000))))</x:f>
        <x:v>Implementation of development, testing and production server for Integrated Asset Modelling (IAM) for COE, PCSB</x:v>
      </x:c>
      <x:c r="I438" s="170" t="str">
        <x:f>IF(A438="","",IF(B438="Decommissioning",INDEX('Raw Decommissioning'!$AL$2:$AL$1000,ROWS($A$5:A438)),INDEX('Raw Provisioning'!$R$2:$R$1000,ROWS($A$5:A438)-COUNTA('Raw Decommissioning'!$B$2:$B$1000))))</x:f>
        <x:v>M</x:v>
      </x:c>
      <x:c r="J438" s="170" t="str">
        <x:f>IF(A438="","",IF(B438="Decommissioning",INDEX('Raw Decommissioning'!$AG$2:$AG$1000,ROWS($A$5:A438)),INDEX('Raw Provisioning'!$AI$2:$AI$1000,ROWS($A$5:A438)-COUNTA('Raw Decommissioning'!$B$2:$B$1000))))</x:f>
        <x:v>syazali.saad@petronas.com</x:v>
      </x:c>
      <x:c r="K438" s="172" t="str">
        <x:f>IF(A438="","",IFERROR(LOOKUP(2,1/('Assignment History'!$B$5:$B$204=A438),'Assignment History'!$D$5:$D$204),IFERROR(VLOOKUP(J438,Configuration!$L$5:$M$50,2,FALSE),J438)))</x:f>
        <x:v>syazali.saad@petronas.com</x:v>
      </x:c>
      <x:c r="L438" s="172" t="str">
        <x:f>IF(A438="","",IF(K438=IFERROR(VLOOKUP(J438,Configuration!$L$5:$M$50,2,FALSE),J438),"Snapshot PIC","Replacement PIC"))</x:f>
        <x:v>Snapshot PIC</x:v>
      </x:c>
      <x:c r="M438" s="172" t="n">
        <x:f>IF(A438="","",IFERROR(VLOOKUP(I438,Configuration!$O$5:$P$8,2,FALSE),Configuration!$S$6))</x:f>
        <x:v>2</x:v>
      </x:c>
      <x:c r="N438" s="172" t="str">
        <x:f>IF(A438="","",IFERROR(LOOKUP(2,1/('Scope Review'!$B$5:$B$204=A438),'Scope Review'!$G$5:$G$204),"Not Reviewed"))</x:f>
        <x:v>Not Reviewed</x:v>
      </x:c>
      <x:c r="O438" s="172" t="str">
        <x:f>IF(A438="","",IFERROR(LOOKUP(2,1/('Scope Review'!$B$5:$B$204=A438),'Scope Review'!$H$5:$H$204),""))</x:f>
      </x:c>
      <x:c r="P438" s="172" t="n">
        <x:f>IF(A438="","",IF(AND(C438="executing",N438&lt;&gt;"Confirmed OOS"),M438,0))</x:f>
        <x:v>0</x:v>
      </x:c>
      <x:c r="Q438" s="173" t="str">
        <x:f>IF(A438="","",IFERROR(LOOKUP(2,1/('Engineer Updates'!$B$5:$B$704=A438),'Engineer Updates'!$A$5:$A$704),""))</x:f>
      </x:c>
      <x:c r="R438" s="172" t="str">
        <x:f>IF(A438="","",IFERROR(LOOKUP(2,1/('Engineer Updates'!$B$5:$B$704=A438),'Engineer Updates'!$H$5:$H$704),""))</x:f>
      </x:c>
      <x:c r="S438" s="172" t="str">
        <x:f>IF(A438="","",IFERROR(LOOKUP(2,1/('Engineer Updates'!$B$5:$B$704=A438),'Engineer Updates'!$G$5:$G$704),""))</x:f>
      </x:c>
      <x:c r="T438" s="172" t="str">
        <x:f>IF(A438="","",IFERROR(LOOKUP(2,1/('Engineer Updates'!$B$5:$B$704=A438),'Engineer Updates'!$I$5:$I$704),""))</x:f>
      </x:c>
      <x:c r="U438" s="172" t="str">
        <x:f>IF(A438="","",IFERROR(LOOKUP(2,1/('Engineer Updates'!$B$5:$B$704=A438),'Engineer Updates'!$J$5:$J$704),""))</x:f>
      </x:c>
      <x:c r="V438" s="172" t="str">
        <x:f>IF(A438="","",IFERROR(LOOKUP(2,1/('Engineer Updates'!$B$5:$B$704=A438),'Engineer Updates'!$K$5:$K$704),""))</x:f>
      </x:c>
      <x:c r="W438" s="174" t="str">
        <x:f>IF(A438="","",IFERROR(LOOKUP(2,1/('Engineer Updates'!$B$5:$B$704=A438),'Engineer Updates'!$L$5:$L$704),""))</x:f>
      </x:c>
      <x:c r="X438" s="170" t="str">
        <x:f>IF(A438="","",IF(C438="completed","Completed in CSSP",IF(AND(C438="executing",ISERROR(SEARCH("@",K438))),"Executing without named engineer",IF(AND(N438="Confirmed OOS",C438="executing"),"Confirmed OOS still executing",""))))</x:f>
        <x:v>Completed in CSSP</x:v>
      </x:c>
      <x:c r="Y438" s="170" t="str">
        <x:f>IF(A438="","",IF(B438="Decommissioning","Raw Decommissioning","Raw Provisioning"))</x:f>
        <x:v>Raw Provisioning</x:v>
      </x:c>
      <x:c r="Z438" s="170" t="str">
        <x:f>IF(A438="","",IF(OR(C438="executing",C438="processing"),"Yes","No"))</x:f>
        <x:v>No</x:v>
      </x:c>
    </x:row>
    <x:row r="439">
      <x:c r="A439" s="170" t="str">
        <x:f>IF(ROWS($A$5:A439)&lt;=COUNTA('Raw Decommissioning'!$B$2:$B$1000),INDEX('Raw Decommissioning'!$B$2:$B$1000,ROWS($A$5:A439)),IF(ROWS($A$5:A439)-COUNTA('Raw Decommissioning'!$B$2:$B$1000)&lt;=COUNTA('Raw Provisioning'!$B$2:$B$1000),INDEX('Raw Provisioning'!$B$2:$B$1000,ROWS($A$5:A439)-COUNTA('Raw Decommissioning'!$B$2:$B$1000)),""))</x:f>
        <x:v>CSSP10519899</x:v>
      </x:c>
      <x:c r="B439" s="170" t="str">
        <x:f>IF(A439="","",IF(ROWS($A$5:A439)&lt;=COUNTA('Raw Decommissioning'!$B$2:$B$1000),"Decommissioning","Provisioning"))</x:f>
        <x:v>Provisioning</x:v>
      </x:c>
      <x:c r="C439" s="170" t="str">
        <x:f>IF(A439="","",IF(B439="Decommissioning",IFERROR(INDEX('Raw Decommissioning'!$E$2:$E$1000,MATCH(A439,'Raw Decommissioning'!$B$2:$B$1000,0)),"Missing from latest raw"),IFERROR(INDEX('Raw Provisioning'!$E$2:$E$1000,MATCH(A439,'Raw Provisioning'!$B$2:$B$1000,0)),"Missing from latest raw")))</x:f>
        <x:v>completed</x:v>
      </x:c>
      <x:c r="D439" s="171" t="n">
        <x:f>IF(A439="","",'Refresh Control'!$B$4)</x:f>
        <x:v>46254</x:v>
      </x:c>
      <x:c r="E439" s="171" t="n">
        <x:f>IF(A439="","",IF(B439="Decommissioning",INDEX('Raw Decommissioning'!$F$2:$F$1000,ROWS($A$5:A439)),INDEX('Raw Provisioning'!$F$2:$F$1000,ROWS($A$5:A439)-COUNTA('Raw Decommissioning'!$B$2:$B$1000))))</x:f>
        <x:v>46078.25724853009</x:v>
      </x:c>
      <x:c r="F439" s="171" t="n">
        <x:f>IF(A439="","",IF(B439="Decommissioning",INDEX('Raw Decommissioning'!$G$2:$G$1000,ROWS($A$5:A439)),INDEX('Raw Provisioning'!$H$2:$H$1000,ROWS($A$5:A439)-COUNTA('Raw Decommissioning'!$B$2:$B$1000))))</x:f>
        <x:v>46079.240320474535</x:v>
      </x:c>
      <x:c r="G439" s="170" t="str">
        <x:f>IF(A439="","",IF(B439="Decommissioning",INDEX('Raw Decommissioning'!$I$2:$I$1000,ROWS($A$5:A439)),INDEX('Raw Provisioning'!$J$2:$J$1000,ROWS($A$5:A439)-COUNTA('Raw Decommissioning'!$B$2:$B$1000))))</x:f>
        <x:v>Common IAC Landing Zone</x:v>
      </x:c>
      <x:c r="H439" s="170" t="str">
        <x:f>IF(A439="","",IF(B439="Decommissioning",INDEX('Raw Decommissioning'!$J$2:$J$1000,ROWS($A$5:A439)),INDEX('Raw Provisioning'!$L$2:$L$1000,ROWS($A$5:A439)-COUNTA('Raw Decommissioning'!$B$2:$B$1000))))</x:f>
        <x:v>Cloud Migration Azure Infrastructure for New Landing Zone</x:v>
      </x:c>
      <x:c r="I439" s="170" t="str">
        <x:f>IF(A439="","",IF(B439="Decommissioning",INDEX('Raw Decommissioning'!$AL$2:$AL$1000,ROWS($A$5:A439)),INDEX('Raw Provisioning'!$R$2:$R$1000,ROWS($A$5:A439)-COUNTA('Raw Decommissioning'!$B$2:$B$1000))))</x:f>
        <x:v>S</x:v>
      </x:c>
      <x:c r="J439" s="170" t="str">
        <x:f>IF(A439="","",IF(B439="Decommissioning",INDEX('Raw Decommissioning'!$AG$2:$AG$1000,ROWS($A$5:A439)),INDEX('Raw Provisioning'!$AI$2:$AI$1000,ROWS($A$5:A439)-COUNTA('Raw Decommissioning'!$B$2:$B$1000))))</x:f>
        <x:v>mhaslan.abuhassan@petronas.com</x:v>
      </x:c>
      <x:c r="K439" s="172" t="str">
        <x:f>IF(A439="","",IFERROR(LOOKUP(2,1/('Assignment History'!$B$5:$B$204=A439),'Assignment History'!$D$5:$D$204),IFERROR(VLOOKUP(J439,Configuration!$L$5:$M$50,2,FALSE),J439)))</x:f>
        <x:v>mhaslan.abuhassan@petronas.com</x:v>
      </x:c>
      <x:c r="L439" s="172" t="str">
        <x:f>IF(A439="","",IF(K439=IFERROR(VLOOKUP(J439,Configuration!$L$5:$M$50,2,FALSE),J439),"Snapshot PIC","Replacement PIC"))</x:f>
        <x:v>Snapshot PIC</x:v>
      </x:c>
      <x:c r="M439" s="172" t="n">
        <x:f>IF(A439="","",IFERROR(VLOOKUP(I439,Configuration!$O$5:$P$8,2,FALSE),Configuration!$S$6))</x:f>
        <x:v>1</x:v>
      </x:c>
      <x:c r="N439" s="172" t="str">
        <x:f>IF(A439="","",IFERROR(LOOKUP(2,1/('Scope Review'!$B$5:$B$204=A439),'Scope Review'!$G$5:$G$204),"Not Reviewed"))</x:f>
        <x:v>Not Reviewed</x:v>
      </x:c>
      <x:c r="O439" s="172" t="str">
        <x:f>IF(A439="","",IFERROR(LOOKUP(2,1/('Scope Review'!$B$5:$B$204=A439),'Scope Review'!$H$5:$H$204),""))</x:f>
      </x:c>
      <x:c r="P439" s="172" t="n">
        <x:f>IF(A439="","",IF(AND(C439="executing",N439&lt;&gt;"Confirmed OOS"),M439,0))</x:f>
        <x:v>0</x:v>
      </x:c>
      <x:c r="Q439" s="173" t="str">
        <x:f>IF(A439="","",IFERROR(LOOKUP(2,1/('Engineer Updates'!$B$5:$B$704=A439),'Engineer Updates'!$A$5:$A$704),""))</x:f>
      </x:c>
      <x:c r="R439" s="172" t="str">
        <x:f>IF(A439="","",IFERROR(LOOKUP(2,1/('Engineer Updates'!$B$5:$B$704=A439),'Engineer Updates'!$H$5:$H$704),""))</x:f>
      </x:c>
      <x:c r="S439" s="172" t="str">
        <x:f>IF(A439="","",IFERROR(LOOKUP(2,1/('Engineer Updates'!$B$5:$B$704=A439),'Engineer Updates'!$G$5:$G$704),""))</x:f>
      </x:c>
      <x:c r="T439" s="172" t="str">
        <x:f>IF(A439="","",IFERROR(LOOKUP(2,1/('Engineer Updates'!$B$5:$B$704=A439),'Engineer Updates'!$I$5:$I$704),""))</x:f>
      </x:c>
      <x:c r="U439" s="172" t="str">
        <x:f>IF(A439="","",IFERROR(LOOKUP(2,1/('Engineer Updates'!$B$5:$B$704=A439),'Engineer Updates'!$J$5:$J$704),""))</x:f>
      </x:c>
      <x:c r="V439" s="172" t="str">
        <x:f>IF(A439="","",IFERROR(LOOKUP(2,1/('Engineer Updates'!$B$5:$B$704=A439),'Engineer Updates'!$K$5:$K$704),""))</x:f>
      </x:c>
      <x:c r="W439" s="174" t="str">
        <x:f>IF(A439="","",IFERROR(LOOKUP(2,1/('Engineer Updates'!$B$5:$B$704=A439),'Engineer Updates'!$L$5:$L$704),""))</x:f>
      </x:c>
      <x:c r="X439" s="170" t="str">
        <x:f>IF(A439="","",IF(C439="completed","Completed in CSSP",IF(AND(C439="executing",ISERROR(SEARCH("@",K439))),"Executing without named engineer",IF(AND(N439="Confirmed OOS",C439="executing"),"Confirmed OOS still executing",""))))</x:f>
        <x:v>Completed in CSSP</x:v>
      </x:c>
      <x:c r="Y439" s="170" t="str">
        <x:f>IF(A439="","",IF(B439="Decommissioning","Raw Decommissioning","Raw Provisioning"))</x:f>
        <x:v>Raw Provisioning</x:v>
      </x:c>
      <x:c r="Z439" s="170" t="str">
        <x:f>IF(A439="","",IF(OR(C439="executing",C439="processing"),"Yes","No"))</x:f>
        <x:v>No</x:v>
      </x:c>
    </x:row>
    <x:row r="440">
      <x:c r="A440" s="170" t="str">
        <x:f>IF(ROWS($A$5:A440)&lt;=COUNTA('Raw Decommissioning'!$B$2:$B$1000),INDEX('Raw Decommissioning'!$B$2:$B$1000,ROWS($A$5:A440)),IF(ROWS($A$5:A440)-COUNTA('Raw Decommissioning'!$B$2:$B$1000)&lt;=COUNTA('Raw Provisioning'!$B$2:$B$1000),INDEX('Raw Provisioning'!$B$2:$B$1000,ROWS($A$5:A440)-COUNTA('Raw Decommissioning'!$B$2:$B$1000)),""))</x:f>
        <x:v>CSSP10859404</x:v>
      </x:c>
      <x:c r="B440" s="170" t="str">
        <x:f>IF(A440="","",IF(ROWS($A$5:A440)&lt;=COUNTA('Raw Decommissioning'!$B$2:$B$1000),"Decommissioning","Provisioning"))</x:f>
        <x:v>Provisioning</x:v>
      </x:c>
      <x:c r="C440" s="170" t="str">
        <x:f>IF(A440="","",IF(B440="Decommissioning",IFERROR(INDEX('Raw Decommissioning'!$E$2:$E$1000,MATCH(A440,'Raw Decommissioning'!$B$2:$B$1000,0)),"Missing from latest raw"),IFERROR(INDEX('Raw Provisioning'!$E$2:$E$1000,MATCH(A440,'Raw Provisioning'!$B$2:$B$1000,0)),"Missing from latest raw")))</x:f>
        <x:v>completed</x:v>
      </x:c>
      <x:c r="D440" s="171" t="n">
        <x:f>IF(A440="","",'Refresh Control'!$B$4)</x:f>
        <x:v>46254</x:v>
      </x:c>
      <x:c r="E440" s="171" t="n">
        <x:f>IF(A440="","",IF(B440="Decommissioning",INDEX('Raw Decommissioning'!$F$2:$F$1000,ROWS($A$5:A440)),INDEX('Raw Provisioning'!$F$2:$F$1000,ROWS($A$5:A440)-COUNTA('Raw Decommissioning'!$B$2:$B$1000))))</x:f>
        <x:v>46078.25961990741</x:v>
      </x:c>
      <x:c r="F440" s="171" t="n">
        <x:f>IF(A440="","",IF(B440="Decommissioning",INDEX('Raw Decommissioning'!$G$2:$G$1000,ROWS($A$5:A440)),INDEX('Raw Provisioning'!$H$2:$H$1000,ROWS($A$5:A440)-COUNTA('Raw Decommissioning'!$B$2:$B$1000))))</x:f>
        <x:v>46142.147448125</x:v>
      </x:c>
      <x:c r="G440" s="170" t="str">
        <x:f>IF(A440="","",IF(B440="Decommissioning",INDEX('Raw Decommissioning'!$I$2:$I$1000,ROWS($A$5:A440)),INDEX('Raw Provisioning'!$J$2:$J$1000,ROWS($A$5:A440)-COUNTA('Raw Decommissioning'!$B$2:$B$1000))))</x:f>
        <x:v>Common IAC Landing Zone</x:v>
      </x:c>
      <x:c r="H440" s="170" t="str">
        <x:f>IF(A440="","",IF(B440="Decommissioning",INDEX('Raw Decommissioning'!$J$2:$J$1000,ROWS($A$5:A440)),INDEX('Raw Provisioning'!$L$2:$L$1000,ROWS($A$5:A440)-COUNTA('Raw Decommissioning'!$B$2:$B$1000))))</x:f>
        <x:v>Cloud Migration Azure Infrastructure for New Landing Zone</x:v>
      </x:c>
      <x:c r="I440" s="170" t="str">
        <x:f>IF(A440="","",IF(B440="Decommissioning",INDEX('Raw Decommissioning'!$AL$2:$AL$1000,ROWS($A$5:A440)),INDEX('Raw Provisioning'!$R$2:$R$1000,ROWS($A$5:A440)-COUNTA('Raw Decommissioning'!$B$2:$B$1000))))</x:f>
        <x:v>S</x:v>
      </x:c>
      <x:c r="J440" s="170" t="str">
        <x:f>IF(A440="","",IF(B440="Decommissioning",INDEX('Raw Decommissioning'!$AG$2:$AG$1000,ROWS($A$5:A440)),INDEX('Raw Provisioning'!$AI$2:$AI$1000,ROWS($A$5:A440)-COUNTA('Raw Decommissioning'!$B$2:$B$1000))))</x:f>
        <x:v>syazali.saad@petronas.com</x:v>
      </x:c>
      <x:c r="K440" s="172" t="str">
        <x:f>IF(A440="","",IFERROR(LOOKUP(2,1/('Assignment History'!$B$5:$B$204=A440),'Assignment History'!$D$5:$D$204),IFERROR(VLOOKUP(J440,Configuration!$L$5:$M$50,2,FALSE),J440)))</x:f>
        <x:v>syazali.saad@petronas.com</x:v>
      </x:c>
      <x:c r="L440" s="172" t="str">
        <x:f>IF(A440="","",IF(K440=IFERROR(VLOOKUP(J440,Configuration!$L$5:$M$50,2,FALSE),J440),"Snapshot PIC","Replacement PIC"))</x:f>
        <x:v>Snapshot PIC</x:v>
      </x:c>
      <x:c r="M440" s="172" t="n">
        <x:f>IF(A440="","",IFERROR(VLOOKUP(I440,Configuration!$O$5:$P$8,2,FALSE),Configuration!$S$6))</x:f>
        <x:v>1</x:v>
      </x:c>
      <x:c r="N440" s="172" t="str">
        <x:f>IF(A440="","",IFERROR(LOOKUP(2,1/('Scope Review'!$B$5:$B$204=A440),'Scope Review'!$G$5:$G$204),"Not Reviewed"))</x:f>
        <x:v>Not Reviewed</x:v>
      </x:c>
      <x:c r="O440" s="172" t="str">
        <x:f>IF(A440="","",IFERROR(LOOKUP(2,1/('Scope Review'!$B$5:$B$204=A440),'Scope Review'!$H$5:$H$204),""))</x:f>
      </x:c>
      <x:c r="P440" s="172" t="n">
        <x:f>IF(A440="","",IF(AND(C440="executing",N440&lt;&gt;"Confirmed OOS"),M440,0))</x:f>
        <x:v>0</x:v>
      </x:c>
      <x:c r="Q440" s="173" t="str">
        <x:f>IF(A440="","",IFERROR(LOOKUP(2,1/('Engineer Updates'!$B$5:$B$704=A440),'Engineer Updates'!$A$5:$A$704),""))</x:f>
      </x:c>
      <x:c r="R440" s="172" t="str">
        <x:f>IF(A440="","",IFERROR(LOOKUP(2,1/('Engineer Updates'!$B$5:$B$704=A440),'Engineer Updates'!$H$5:$H$704),""))</x:f>
      </x:c>
      <x:c r="S440" s="172" t="str">
        <x:f>IF(A440="","",IFERROR(LOOKUP(2,1/('Engineer Updates'!$B$5:$B$704=A440),'Engineer Updates'!$G$5:$G$704),""))</x:f>
      </x:c>
      <x:c r="T440" s="172" t="str">
        <x:f>IF(A440="","",IFERROR(LOOKUP(2,1/('Engineer Updates'!$B$5:$B$704=A440),'Engineer Updates'!$I$5:$I$704),""))</x:f>
      </x:c>
      <x:c r="U440" s="172" t="str">
        <x:f>IF(A440="","",IFERROR(LOOKUP(2,1/('Engineer Updates'!$B$5:$B$704=A440),'Engineer Updates'!$J$5:$J$704),""))</x:f>
      </x:c>
      <x:c r="V440" s="172" t="str">
        <x:f>IF(A440="","",IFERROR(LOOKUP(2,1/('Engineer Updates'!$B$5:$B$704=A440),'Engineer Updates'!$K$5:$K$704),""))</x:f>
      </x:c>
      <x:c r="W440" s="174" t="str">
        <x:f>IF(A440="","",IFERROR(LOOKUP(2,1/('Engineer Updates'!$B$5:$B$704=A440),'Engineer Updates'!$L$5:$L$704),""))</x:f>
      </x:c>
      <x:c r="X440" s="170" t="str">
        <x:f>IF(A440="","",IF(C440="completed","Completed in CSSP",IF(AND(C440="executing",ISERROR(SEARCH("@",K440))),"Executing without named engineer",IF(AND(N440="Confirmed OOS",C440="executing"),"Confirmed OOS still executing",""))))</x:f>
        <x:v>Completed in CSSP</x:v>
      </x:c>
      <x:c r="Y440" s="170" t="str">
        <x:f>IF(A440="","",IF(B440="Decommissioning","Raw Decommissioning","Raw Provisioning"))</x:f>
        <x:v>Raw Provisioning</x:v>
      </x:c>
      <x:c r="Z440" s="170" t="str">
        <x:f>IF(A440="","",IF(OR(C440="executing",C440="processing"),"Yes","No"))</x:f>
        <x:v>No</x:v>
      </x:c>
    </x:row>
    <x:row r="441">
      <x:c r="A441" s="170" t="str">
        <x:f>IF(ROWS($A$5:A441)&lt;=COUNTA('Raw Decommissioning'!$B$2:$B$1000),INDEX('Raw Decommissioning'!$B$2:$B$1000,ROWS($A$5:A441)),IF(ROWS($A$5:A441)-COUNTA('Raw Decommissioning'!$B$2:$B$1000)&lt;=COUNTA('Raw Provisioning'!$B$2:$B$1000),INDEX('Raw Provisioning'!$B$2:$B$1000,ROWS($A$5:A441)-COUNTA('Raw Decommissioning'!$B$2:$B$1000)),""))</x:f>
        <x:v>CSSP10551255</x:v>
      </x:c>
      <x:c r="B441" s="170" t="str">
        <x:f>IF(A441="","",IF(ROWS($A$5:A441)&lt;=COUNTA('Raw Decommissioning'!$B$2:$B$1000),"Decommissioning","Provisioning"))</x:f>
        <x:v>Provisioning</x:v>
      </x:c>
      <x:c r="C441" s="170" t="str">
        <x:f>IF(A441="","",IF(B441="Decommissioning",IFERROR(INDEX('Raw Decommissioning'!$E$2:$E$1000,MATCH(A441,'Raw Decommissioning'!$B$2:$B$1000,0)),"Missing from latest raw"),IFERROR(INDEX('Raw Provisioning'!$E$2:$E$1000,MATCH(A441,'Raw Provisioning'!$B$2:$B$1000,0)),"Missing from latest raw")))</x:f>
        <x:v>completed</x:v>
      </x:c>
      <x:c r="D441" s="171" t="n">
        <x:f>IF(A441="","",'Refresh Control'!$B$4)</x:f>
        <x:v>46254</x:v>
      </x:c>
      <x:c r="E441" s="171" t="n">
        <x:f>IF(A441="","",IF(B441="Decommissioning",INDEX('Raw Decommissioning'!$F$2:$F$1000,ROWS($A$5:A441)),INDEX('Raw Provisioning'!$F$2:$F$1000,ROWS($A$5:A441)-COUNTA('Raw Decommissioning'!$B$2:$B$1000))))</x:f>
        <x:v>46079.31732019676</x:v>
      </x:c>
      <x:c r="F441" s="171" t="n">
        <x:f>IF(A441="","",IF(B441="Decommissioning",INDEX('Raw Decommissioning'!$G$2:$G$1000,ROWS($A$5:A441)),INDEX('Raw Provisioning'!$H$2:$H$1000,ROWS($A$5:A441)-COUNTA('Raw Decommissioning'!$B$2:$B$1000))))</x:f>
        <x:v>46092.031580462964</x:v>
      </x:c>
      <x:c r="G441" s="170" t="str">
        <x:f>IF(A441="","",IF(B441="Decommissioning",INDEX('Raw Decommissioning'!$I$2:$I$1000,ROWS($A$5:A441)),INDEX('Raw Provisioning'!$J$2:$J$1000,ROWS($A$5:A441)-COUNTA('Raw Decommissioning'!$B$2:$B$1000))))</x:f>
        <x:v>PETRONAS Global Website</x:v>
      </x:c>
      <x:c r="H441" s="170" t="str">
        <x:f>IF(A441="","",IF(B441="Decommissioning",INDEX('Raw Decommissioning'!$J$2:$J$1000,ROWS($A$5:A441)),INDEX('Raw Provisioning'!$L$2:$L$1000,ROWS($A$5:A441)-COUNTA('Raw Decommissioning'!$B$2:$B$1000))))</x:f>
        <x:v>Mitigation of Cyber Security Risk &amp; Application Compatibility Issue for PETRONAS Global Website​</x:v>
      </x:c>
      <x:c r="I441" s="170" t="str">
        <x:f>IF(A441="","",IF(B441="Decommissioning",INDEX('Raw Decommissioning'!$AL$2:$AL$1000,ROWS($A$5:A441)),INDEX('Raw Provisioning'!$R$2:$R$1000,ROWS($A$5:A441)-COUNTA('Raw Decommissioning'!$B$2:$B$1000))))</x:f>
        <x:v>M</x:v>
      </x:c>
      <x:c r="J441" s="170" t="str">
        <x:f>IF(A441="","",IF(B441="Decommissioning",INDEX('Raw Decommissioning'!$AG$2:$AG$1000,ROWS($A$5:A441)),INDEX('Raw Provisioning'!$AI$2:$AI$1000,ROWS($A$5:A441)-COUNTA('Raw Decommissioning'!$B$2:$B$1000))))</x:f>
        <x:v>mfirdaus.fadlizam@petronas.com</x:v>
      </x:c>
      <x:c r="K441" s="172" t="str">
        <x:f>IF(A441="","",IFERROR(LOOKUP(2,1/('Assignment History'!$B$5:$B$204=A441),'Assignment History'!$D$5:$D$204),IFERROR(VLOOKUP(J441,Configuration!$L$5:$M$50,2,FALSE),J441)))</x:f>
        <x:v>mfirdaus.fadlizam@petronas.com</x:v>
      </x:c>
      <x:c r="L441" s="172" t="str">
        <x:f>IF(A441="","",IF(K441=IFERROR(VLOOKUP(J441,Configuration!$L$5:$M$50,2,FALSE),J441),"Snapshot PIC","Replacement PIC"))</x:f>
        <x:v>Snapshot PIC</x:v>
      </x:c>
      <x:c r="M441" s="172" t="n">
        <x:f>IF(A441="","",IFERROR(VLOOKUP(I441,Configuration!$O$5:$P$8,2,FALSE),Configuration!$S$6))</x:f>
        <x:v>2</x:v>
      </x:c>
      <x:c r="N441" s="172" t="str">
        <x:f>IF(A441="","",IFERROR(LOOKUP(2,1/('Scope Review'!$B$5:$B$204=A441),'Scope Review'!$G$5:$G$204),"Not Reviewed"))</x:f>
        <x:v>Not Reviewed</x:v>
      </x:c>
      <x:c r="O441" s="172" t="str">
        <x:f>IF(A441="","",IFERROR(LOOKUP(2,1/('Scope Review'!$B$5:$B$204=A441),'Scope Review'!$H$5:$H$204),""))</x:f>
      </x:c>
      <x:c r="P441" s="172" t="n">
        <x:f>IF(A441="","",IF(AND(C441="executing",N441&lt;&gt;"Confirmed OOS"),M441,0))</x:f>
        <x:v>0</x:v>
      </x:c>
      <x:c r="Q441" s="173" t="str">
        <x:f>IF(A441="","",IFERROR(LOOKUP(2,1/('Engineer Updates'!$B$5:$B$704=A441),'Engineer Updates'!$A$5:$A$704),""))</x:f>
      </x:c>
      <x:c r="R441" s="172" t="str">
        <x:f>IF(A441="","",IFERROR(LOOKUP(2,1/('Engineer Updates'!$B$5:$B$704=A441),'Engineer Updates'!$H$5:$H$704),""))</x:f>
      </x:c>
      <x:c r="S441" s="172" t="str">
        <x:f>IF(A441="","",IFERROR(LOOKUP(2,1/('Engineer Updates'!$B$5:$B$704=A441),'Engineer Updates'!$G$5:$G$704),""))</x:f>
      </x:c>
      <x:c r="T441" s="172" t="str">
        <x:f>IF(A441="","",IFERROR(LOOKUP(2,1/('Engineer Updates'!$B$5:$B$704=A441),'Engineer Updates'!$I$5:$I$704),""))</x:f>
      </x:c>
      <x:c r="U441" s="172" t="str">
        <x:f>IF(A441="","",IFERROR(LOOKUP(2,1/('Engineer Updates'!$B$5:$B$704=A441),'Engineer Updates'!$J$5:$J$704),""))</x:f>
      </x:c>
      <x:c r="V441" s="172" t="str">
        <x:f>IF(A441="","",IFERROR(LOOKUP(2,1/('Engineer Updates'!$B$5:$B$704=A441),'Engineer Updates'!$K$5:$K$704),""))</x:f>
      </x:c>
      <x:c r="W441" s="174" t="str">
        <x:f>IF(A441="","",IFERROR(LOOKUP(2,1/('Engineer Updates'!$B$5:$B$704=A441),'Engineer Updates'!$L$5:$L$704),""))</x:f>
      </x:c>
      <x:c r="X441" s="170" t="str">
        <x:f>IF(A441="","",IF(C441="completed","Completed in CSSP",IF(AND(C441="executing",ISERROR(SEARCH("@",K441))),"Executing without named engineer",IF(AND(N441="Confirmed OOS",C441="executing"),"Confirmed OOS still executing",""))))</x:f>
        <x:v>Completed in CSSP</x:v>
      </x:c>
      <x:c r="Y441" s="170" t="str">
        <x:f>IF(A441="","",IF(B441="Decommissioning","Raw Decommissioning","Raw Provisioning"))</x:f>
        <x:v>Raw Provisioning</x:v>
      </x:c>
      <x:c r="Z441" s="170" t="str">
        <x:f>IF(A441="","",IF(OR(C441="executing",C441="processing"),"Yes","No"))</x:f>
        <x:v>No</x:v>
      </x:c>
    </x:row>
    <x:row r="442">
      <x:c r="A442" s="170" t="str">
        <x:f>IF(ROWS($A$5:A442)&lt;=COUNTA('Raw Decommissioning'!$B$2:$B$1000),INDEX('Raw Decommissioning'!$B$2:$B$1000,ROWS($A$5:A442)),IF(ROWS($A$5:A442)-COUNTA('Raw Decommissioning'!$B$2:$B$1000)&lt;=COUNTA('Raw Provisioning'!$B$2:$B$1000),INDEX('Raw Provisioning'!$B$2:$B$1000,ROWS($A$5:A442)-COUNTA('Raw Decommissioning'!$B$2:$B$1000)),""))</x:f>
        <x:v>CSSP10816410</x:v>
      </x:c>
      <x:c r="B442" s="170" t="str">
        <x:f>IF(A442="","",IF(ROWS($A$5:A442)&lt;=COUNTA('Raw Decommissioning'!$B$2:$B$1000),"Decommissioning","Provisioning"))</x:f>
        <x:v>Provisioning</x:v>
      </x:c>
      <x:c r="C442" s="170" t="str">
        <x:f>IF(A442="","",IF(B442="Decommissioning",IFERROR(INDEX('Raw Decommissioning'!$E$2:$E$1000,MATCH(A442,'Raw Decommissioning'!$B$2:$B$1000,0)),"Missing from latest raw"),IFERROR(INDEX('Raw Provisioning'!$E$2:$E$1000,MATCH(A442,'Raw Provisioning'!$B$2:$B$1000,0)),"Missing from latest raw")))</x:f>
        <x:v>completed</x:v>
      </x:c>
      <x:c r="D442" s="171" t="n">
        <x:f>IF(A442="","",'Refresh Control'!$B$4)</x:f>
        <x:v>46254</x:v>
      </x:c>
      <x:c r="E442" s="171" t="n">
        <x:f>IF(A442="","",IF(B442="Decommissioning",INDEX('Raw Decommissioning'!$F$2:$F$1000,ROWS($A$5:A442)),INDEX('Raw Provisioning'!$F$2:$F$1000,ROWS($A$5:A442)-COUNTA('Raw Decommissioning'!$B$2:$B$1000))))</x:f>
        <x:v>46079.319074907406</x:v>
      </x:c>
      <x:c r="F442" s="171" t="n">
        <x:f>IF(A442="","",IF(B442="Decommissioning",INDEX('Raw Decommissioning'!$G$2:$G$1000,ROWS($A$5:A442)),INDEX('Raw Provisioning'!$H$2:$H$1000,ROWS($A$5:A442)-COUNTA('Raw Decommissioning'!$B$2:$B$1000))))</x:f>
        <x:v>46092.287532800925</x:v>
      </x:c>
      <x:c r="G442" s="170" t="str">
        <x:f>IF(A442="","",IF(B442="Decommissioning",INDEX('Raw Decommissioning'!$I$2:$I$1000,ROWS($A$5:A442)),INDEX('Raw Provisioning'!$J$2:$J$1000,ROWS($A$5:A442)-COUNTA('Raw Decommissioning'!$B$2:$B$1000))))</x:f>
        <x:v>PETRONAS Global Website</x:v>
      </x:c>
      <x:c r="H442" s="170" t="str">
        <x:f>IF(A442="","",IF(B442="Decommissioning",INDEX('Raw Decommissioning'!$J$2:$J$1000,ROWS($A$5:A442)),INDEX('Raw Provisioning'!$L$2:$L$1000,ROWS($A$5:A442)-COUNTA('Raw Decommissioning'!$B$2:$B$1000))))</x:f>
        <x:v>Mitigation of Cyber Security Risk &amp; Application Compatibility Issue for PETRONAS Global Website​</x:v>
      </x:c>
      <x:c r="I442" s="170" t="str">
        <x:f>IF(A442="","",IF(B442="Decommissioning",INDEX('Raw Decommissioning'!$AL$2:$AL$1000,ROWS($A$5:A442)),INDEX('Raw Provisioning'!$R$2:$R$1000,ROWS($A$5:A442)-COUNTA('Raw Decommissioning'!$B$2:$B$1000))))</x:f>
        <x:v>M</x:v>
      </x:c>
      <x:c r="J442" s="170" t="str">
        <x:f>IF(A442="","",IF(B442="Decommissioning",INDEX('Raw Decommissioning'!$AG$2:$AG$1000,ROWS($A$5:A442)),INDEX('Raw Provisioning'!$AI$2:$AI$1000,ROWS($A$5:A442)-COUNTA('Raw Decommissioning'!$B$2:$B$1000))))</x:f>
        <x:v>mfirdaus.fadlizam@petronas.com</x:v>
      </x:c>
      <x:c r="K442" s="172" t="str">
        <x:f>IF(A442="","",IFERROR(LOOKUP(2,1/('Assignment History'!$B$5:$B$204=A442),'Assignment History'!$D$5:$D$204),IFERROR(VLOOKUP(J442,Configuration!$L$5:$M$50,2,FALSE),J442)))</x:f>
        <x:v>mfirdaus.fadlizam@petronas.com</x:v>
      </x:c>
      <x:c r="L442" s="172" t="str">
        <x:f>IF(A442="","",IF(K442=IFERROR(VLOOKUP(J442,Configuration!$L$5:$M$50,2,FALSE),J442),"Snapshot PIC","Replacement PIC"))</x:f>
        <x:v>Snapshot PIC</x:v>
      </x:c>
      <x:c r="M442" s="172" t="n">
        <x:f>IF(A442="","",IFERROR(VLOOKUP(I442,Configuration!$O$5:$P$8,2,FALSE),Configuration!$S$6))</x:f>
        <x:v>2</x:v>
      </x:c>
      <x:c r="N442" s="172" t="str">
        <x:f>IF(A442="","",IFERROR(LOOKUP(2,1/('Scope Review'!$B$5:$B$204=A442),'Scope Review'!$G$5:$G$204),"Not Reviewed"))</x:f>
        <x:v>Not Reviewed</x:v>
      </x:c>
      <x:c r="O442" s="172" t="str">
        <x:f>IF(A442="","",IFERROR(LOOKUP(2,1/('Scope Review'!$B$5:$B$204=A442),'Scope Review'!$H$5:$H$204),""))</x:f>
      </x:c>
      <x:c r="P442" s="172" t="n">
        <x:f>IF(A442="","",IF(AND(C442="executing",N442&lt;&gt;"Confirmed OOS"),M442,0))</x:f>
        <x:v>0</x:v>
      </x:c>
      <x:c r="Q442" s="173" t="str">
        <x:f>IF(A442="","",IFERROR(LOOKUP(2,1/('Engineer Updates'!$B$5:$B$704=A442),'Engineer Updates'!$A$5:$A$704),""))</x:f>
      </x:c>
      <x:c r="R442" s="172" t="str">
        <x:f>IF(A442="","",IFERROR(LOOKUP(2,1/('Engineer Updates'!$B$5:$B$704=A442),'Engineer Updates'!$H$5:$H$704),""))</x:f>
      </x:c>
      <x:c r="S442" s="172" t="str">
        <x:f>IF(A442="","",IFERROR(LOOKUP(2,1/('Engineer Updates'!$B$5:$B$704=A442),'Engineer Updates'!$G$5:$G$704),""))</x:f>
      </x:c>
      <x:c r="T442" s="172" t="str">
        <x:f>IF(A442="","",IFERROR(LOOKUP(2,1/('Engineer Updates'!$B$5:$B$704=A442),'Engineer Updates'!$I$5:$I$704),""))</x:f>
      </x:c>
      <x:c r="U442" s="172" t="str">
        <x:f>IF(A442="","",IFERROR(LOOKUP(2,1/('Engineer Updates'!$B$5:$B$704=A442),'Engineer Updates'!$J$5:$J$704),""))</x:f>
      </x:c>
      <x:c r="V442" s="172" t="str">
        <x:f>IF(A442="","",IFERROR(LOOKUP(2,1/('Engineer Updates'!$B$5:$B$704=A442),'Engineer Updates'!$K$5:$K$704),""))</x:f>
      </x:c>
      <x:c r="W442" s="174" t="str">
        <x:f>IF(A442="","",IFERROR(LOOKUP(2,1/('Engineer Updates'!$B$5:$B$704=A442),'Engineer Updates'!$L$5:$L$704),""))</x:f>
      </x:c>
      <x:c r="X442" s="170" t="str">
        <x:f>IF(A442="","",IF(C442="completed","Completed in CSSP",IF(AND(C442="executing",ISERROR(SEARCH("@",K442))),"Executing without named engineer",IF(AND(N442="Confirmed OOS",C442="executing"),"Confirmed OOS still executing",""))))</x:f>
        <x:v>Completed in CSSP</x:v>
      </x:c>
      <x:c r="Y442" s="170" t="str">
        <x:f>IF(A442="","",IF(B442="Decommissioning","Raw Decommissioning","Raw Provisioning"))</x:f>
        <x:v>Raw Provisioning</x:v>
      </x:c>
      <x:c r="Z442" s="170" t="str">
        <x:f>IF(A442="","",IF(OR(C442="executing",C442="processing"),"Yes","No"))</x:f>
        <x:v>No</x:v>
      </x:c>
    </x:row>
    <x:row r="443">
      <x:c r="A443" s="170" t="str">
        <x:f>IF(ROWS($A$5:A443)&lt;=COUNTA('Raw Decommissioning'!$B$2:$B$1000),INDEX('Raw Decommissioning'!$B$2:$B$1000,ROWS($A$5:A443)),IF(ROWS($A$5:A443)-COUNTA('Raw Decommissioning'!$B$2:$B$1000)&lt;=COUNTA('Raw Provisioning'!$B$2:$B$1000),INDEX('Raw Provisioning'!$B$2:$B$1000,ROWS($A$5:A443)-COUNTA('Raw Decommissioning'!$B$2:$B$1000)),""))</x:f>
        <x:v>CSSP10789839</x:v>
      </x:c>
      <x:c r="B443" s="170" t="str">
        <x:f>IF(A443="","",IF(ROWS($A$5:A443)&lt;=COUNTA('Raw Decommissioning'!$B$2:$B$1000),"Decommissioning","Provisioning"))</x:f>
        <x:v>Provisioning</x:v>
      </x:c>
      <x:c r="C443" s="170" t="str">
        <x:f>IF(A443="","",IF(B443="Decommissioning",IFERROR(INDEX('Raw Decommissioning'!$E$2:$E$1000,MATCH(A443,'Raw Decommissioning'!$B$2:$B$1000,0)),"Missing from latest raw"),IFERROR(INDEX('Raw Provisioning'!$E$2:$E$1000,MATCH(A443,'Raw Provisioning'!$B$2:$B$1000,0)),"Missing from latest raw")))</x:f>
        <x:v>completed</x:v>
      </x:c>
      <x:c r="D443" s="171" t="n">
        <x:f>IF(A443="","",'Refresh Control'!$B$4)</x:f>
        <x:v>46254</x:v>
      </x:c>
      <x:c r="E443" s="171" t="n">
        <x:f>IF(A443="","",IF(B443="Decommissioning",INDEX('Raw Decommissioning'!$F$2:$F$1000,ROWS($A$5:A443)),INDEX('Raw Provisioning'!$F$2:$F$1000,ROWS($A$5:A443)-COUNTA('Raw Decommissioning'!$B$2:$B$1000))))</x:f>
        <x:v>46080.18392519676</x:v>
      </x:c>
      <x:c r="F443" s="171" t="n">
        <x:f>IF(A443="","",IF(B443="Decommissioning",INDEX('Raw Decommissioning'!$G$2:$G$1000,ROWS($A$5:A443)),INDEX('Raw Provisioning'!$H$2:$H$1000,ROWS($A$5:A443)-COUNTA('Raw Decommissioning'!$B$2:$B$1000))))</x:f>
        <x:v>46094.59160650463</x:v>
      </x:c>
      <x:c r="G443" s="170" t="str">
        <x:f>IF(A443="","",IF(B443="Decommissioning",INDEX('Raw Decommissioning'!$I$2:$I$1000,ROWS($A$5:A443)),INDEX('Raw Provisioning'!$J$2:$J$1000,ROWS($A$5:A443)-COUNTA('Raw Decommissioning'!$B$2:$B$1000))))</x:f>
        <x:v>RADIAN</x:v>
      </x:c>
      <x:c r="H443" s="170" t="str">
        <x:f>IF(A443="","",IF(B443="Decommissioning",INDEX('Raw Decommissioning'!$J$2:$J$1000,ROWS($A$5:A443)),INDEX('Raw Provisioning'!$L$2:$L$1000,ROWS($A$5:A443)-COUNTA('Raw Decommissioning'!$B$2:$B$1000))))</x:f>
        <x:v>Real-Time Advisory &amp; Drilling Insight via Artificial Neural Intelligence (RADIAN) for 
Wells formerly known HSPM</x:v>
      </x:c>
      <x:c r="I443" s="170" t="str">
        <x:f>IF(A443="","",IF(B443="Decommissioning",INDEX('Raw Decommissioning'!$AL$2:$AL$1000,ROWS($A$5:A443)),INDEX('Raw Provisioning'!$R$2:$R$1000,ROWS($A$5:A443)-COUNTA('Raw Decommissioning'!$B$2:$B$1000))))</x:f>
        <x:v>L</x:v>
      </x:c>
      <x:c r="J443" s="170" t="str">
        <x:f>IF(A443="","",IF(B443="Decommissioning",INDEX('Raw Decommissioning'!$AG$2:$AG$1000,ROWS($A$5:A443)),INDEX('Raw Provisioning'!$AI$2:$AI$1000,ROWS($A$5:A443)-COUNTA('Raw Decommissioning'!$B$2:$B$1000))))</x:f>
        <x:v>badri.shaharudin@petronas.com</x:v>
      </x:c>
      <x:c r="K443" s="172" t="str">
        <x:f>IF(A443="","",IFERROR(LOOKUP(2,1/('Assignment History'!$B$5:$B$204=A443),'Assignment History'!$D$5:$D$204),IFERROR(VLOOKUP(J443,Configuration!$L$5:$M$50,2,FALSE),J443)))</x:f>
        <x:v>badri.shaharudin@petronas.com</x:v>
      </x:c>
      <x:c r="L443" s="172" t="str">
        <x:f>IF(A443="","",IF(K443=IFERROR(VLOOKUP(J443,Configuration!$L$5:$M$50,2,FALSE),J443),"Snapshot PIC","Replacement PIC"))</x:f>
        <x:v>Snapshot PIC</x:v>
      </x:c>
      <x:c r="M443" s="172" t="n">
        <x:f>IF(A443="","",IFERROR(VLOOKUP(I443,Configuration!$O$5:$P$8,2,FALSE),Configuration!$S$6))</x:f>
        <x:v>3</x:v>
      </x:c>
      <x:c r="N443" s="172" t="str">
        <x:f>IF(A443="","",IFERROR(LOOKUP(2,1/('Scope Review'!$B$5:$B$204=A443),'Scope Review'!$G$5:$G$204),"Not Reviewed"))</x:f>
        <x:v>Not Reviewed</x:v>
      </x:c>
      <x:c r="O443" s="172" t="str">
        <x:f>IF(A443="","",IFERROR(LOOKUP(2,1/('Scope Review'!$B$5:$B$204=A443),'Scope Review'!$H$5:$H$204),""))</x:f>
      </x:c>
      <x:c r="P443" s="172" t="n">
        <x:f>IF(A443="","",IF(AND(C443="executing",N443&lt;&gt;"Confirmed OOS"),M443,0))</x:f>
        <x:v>0</x:v>
      </x:c>
      <x:c r="Q443" s="173" t="str">
        <x:f>IF(A443="","",IFERROR(LOOKUP(2,1/('Engineer Updates'!$B$5:$B$704=A443),'Engineer Updates'!$A$5:$A$704),""))</x:f>
      </x:c>
      <x:c r="R443" s="172" t="str">
        <x:f>IF(A443="","",IFERROR(LOOKUP(2,1/('Engineer Updates'!$B$5:$B$704=A443),'Engineer Updates'!$H$5:$H$704),""))</x:f>
      </x:c>
      <x:c r="S443" s="172" t="str">
        <x:f>IF(A443="","",IFERROR(LOOKUP(2,1/('Engineer Updates'!$B$5:$B$704=A443),'Engineer Updates'!$G$5:$G$704),""))</x:f>
      </x:c>
      <x:c r="T443" s="172" t="str">
        <x:f>IF(A443="","",IFERROR(LOOKUP(2,1/('Engineer Updates'!$B$5:$B$704=A443),'Engineer Updates'!$I$5:$I$704),""))</x:f>
      </x:c>
      <x:c r="U443" s="172" t="str">
        <x:f>IF(A443="","",IFERROR(LOOKUP(2,1/('Engineer Updates'!$B$5:$B$704=A443),'Engineer Updates'!$J$5:$J$704),""))</x:f>
      </x:c>
      <x:c r="V443" s="172" t="str">
        <x:f>IF(A443="","",IFERROR(LOOKUP(2,1/('Engineer Updates'!$B$5:$B$704=A443),'Engineer Updates'!$K$5:$K$704),""))</x:f>
      </x:c>
      <x:c r="W443" s="174" t="str">
        <x:f>IF(A443="","",IFERROR(LOOKUP(2,1/('Engineer Updates'!$B$5:$B$704=A443),'Engineer Updates'!$L$5:$L$704),""))</x:f>
      </x:c>
      <x:c r="X443" s="170" t="str">
        <x:f>IF(A443="","",IF(C443="completed","Completed in CSSP",IF(AND(C443="executing",ISERROR(SEARCH("@",K443))),"Executing without named engineer",IF(AND(N443="Confirmed OOS",C443="executing"),"Confirmed OOS still executing",""))))</x:f>
        <x:v>Completed in CSSP</x:v>
      </x:c>
      <x:c r="Y443" s="170" t="str">
        <x:f>IF(A443="","",IF(B443="Decommissioning","Raw Decommissioning","Raw Provisioning"))</x:f>
        <x:v>Raw Provisioning</x:v>
      </x:c>
      <x:c r="Z443" s="170" t="str">
        <x:f>IF(A443="","",IF(OR(C443="executing",C443="processing"),"Yes","No"))</x:f>
        <x:v>No</x:v>
      </x:c>
    </x:row>
    <x:row r="444">
      <x:c r="A444" s="170" t="str">
        <x:f>IF(ROWS($A$5:A444)&lt;=COUNTA('Raw Decommissioning'!$B$2:$B$1000),INDEX('Raw Decommissioning'!$B$2:$B$1000,ROWS($A$5:A444)),IF(ROWS($A$5:A444)-COUNTA('Raw Decommissioning'!$B$2:$B$1000)&lt;=COUNTA('Raw Provisioning'!$B$2:$B$1000),INDEX('Raw Provisioning'!$B$2:$B$1000,ROWS($A$5:A444)-COUNTA('Raw Decommissioning'!$B$2:$B$1000)),""))</x:f>
        <x:v>CSSP10722868</x:v>
      </x:c>
      <x:c r="B444" s="170" t="str">
        <x:f>IF(A444="","",IF(ROWS($A$5:A444)&lt;=COUNTA('Raw Decommissioning'!$B$2:$B$1000),"Decommissioning","Provisioning"))</x:f>
        <x:v>Provisioning</x:v>
      </x:c>
      <x:c r="C444" s="170" t="str">
        <x:f>IF(A444="","",IF(B444="Decommissioning",IFERROR(INDEX('Raw Decommissioning'!$E$2:$E$1000,MATCH(A444,'Raw Decommissioning'!$B$2:$B$1000,0)),"Missing from latest raw"),IFERROR(INDEX('Raw Provisioning'!$E$2:$E$1000,MATCH(A444,'Raw Provisioning'!$B$2:$B$1000,0)),"Missing from latest raw")))</x:f>
        <x:v>completed</x:v>
      </x:c>
      <x:c r="D444" s="171" t="n">
        <x:f>IF(A444="","",'Refresh Control'!$B$4)</x:f>
        <x:v>46254</x:v>
      </x:c>
      <x:c r="E444" s="171" t="n">
        <x:f>IF(A444="","",IF(B444="Decommissioning",INDEX('Raw Decommissioning'!$F$2:$F$1000,ROWS($A$5:A444)),INDEX('Raw Provisioning'!$F$2:$F$1000,ROWS($A$5:A444)-COUNTA('Raw Decommissioning'!$B$2:$B$1000))))</x:f>
        <x:v>46083.17626547454</x:v>
      </x:c>
      <x:c r="F444" s="171" t="n">
        <x:f>IF(A444="","",IF(B444="Decommissioning",INDEX('Raw Decommissioning'!$G$2:$G$1000,ROWS($A$5:A444)),INDEX('Raw Provisioning'!$H$2:$H$1000,ROWS($A$5:A444)-COUNTA('Raw Decommissioning'!$B$2:$B$1000))))</x:f>
        <x:v>46163.05790170139</x:v>
      </x:c>
      <x:c r="G444" s="170" t="str">
        <x:f>IF(A444="","",IF(B444="Decommissioning",INDEX('Raw Decommissioning'!$I$2:$I$1000,ROWS($A$5:A444)),INDEX('Raw Provisioning'!$J$2:$J$1000,ROWS($A$5:A444)-COUNTA('Raw Decommissioning'!$B$2:$B$1000))))</x:f>
        <x:v>RADIAN</x:v>
      </x:c>
      <x:c r="H444" s="170" t="str">
        <x:f>IF(A444="","",IF(B444="Decommissioning",INDEX('Raw Decommissioning'!$J$2:$J$1000,ROWS($A$5:A444)),INDEX('Raw Provisioning'!$L$2:$L$1000,ROWS($A$5:A444)-COUNTA('Raw Decommissioning'!$B$2:$B$1000))))</x:f>
        <x:v>Real-Time Advisory &amp; Drilling Insight via Artificial Neural Intelligence (RADIAN) for 
Wells formerly known HSPM</x:v>
      </x:c>
      <x:c r="I444" s="170" t="str">
        <x:f>IF(A444="","",IF(B444="Decommissioning",INDEX('Raw Decommissioning'!$AL$2:$AL$1000,ROWS($A$5:A444)),INDEX('Raw Provisioning'!$R$2:$R$1000,ROWS($A$5:A444)-COUNTA('Raw Decommissioning'!$B$2:$B$1000))))</x:f>
        <x:v>L</x:v>
      </x:c>
      <x:c r="J444" s="170" t="str">
        <x:f>IF(A444="","",IF(B444="Decommissioning",INDEX('Raw Decommissioning'!$AG$2:$AG$1000,ROWS($A$5:A444)),INDEX('Raw Provisioning'!$AI$2:$AI$1000,ROWS($A$5:A444)-COUNTA('Raw Decommissioning'!$B$2:$B$1000))))</x:f>
        <x:v>yeonghunn.ho@petronas.com</x:v>
      </x:c>
      <x:c r="K444" s="172" t="str">
        <x:f>IF(A444="","",IFERROR(LOOKUP(2,1/('Assignment History'!$B$5:$B$204=A444),'Assignment History'!$D$5:$D$204),IFERROR(VLOOKUP(J444,Configuration!$L$5:$M$50,2,FALSE),J444)))</x:f>
        <x:v>yeonghunn.ho@petronas.com</x:v>
      </x:c>
      <x:c r="L444" s="172" t="str">
        <x:f>IF(A444="","",IF(K444=IFERROR(VLOOKUP(J444,Configuration!$L$5:$M$50,2,FALSE),J444),"Snapshot PIC","Replacement PIC"))</x:f>
        <x:v>Snapshot PIC</x:v>
      </x:c>
      <x:c r="M444" s="172" t="n">
        <x:f>IF(A444="","",IFERROR(VLOOKUP(I444,Configuration!$O$5:$P$8,2,FALSE),Configuration!$S$6))</x:f>
        <x:v>3</x:v>
      </x:c>
      <x:c r="N444" s="172" t="str">
        <x:f>IF(A444="","",IFERROR(LOOKUP(2,1/('Scope Review'!$B$5:$B$204=A444),'Scope Review'!$G$5:$G$204),"Not Reviewed"))</x:f>
        <x:v>Not Reviewed</x:v>
      </x:c>
      <x:c r="O444" s="172" t="str">
        <x:f>IF(A444="","",IFERROR(LOOKUP(2,1/('Scope Review'!$B$5:$B$204=A444),'Scope Review'!$H$5:$H$204),""))</x:f>
      </x:c>
      <x:c r="P444" s="172" t="n">
        <x:f>IF(A444="","",IF(AND(C444="executing",N444&lt;&gt;"Confirmed OOS"),M444,0))</x:f>
        <x:v>0</x:v>
      </x:c>
      <x:c r="Q444" s="173" t="str">
        <x:f>IF(A444="","",IFERROR(LOOKUP(2,1/('Engineer Updates'!$B$5:$B$704=A444),'Engineer Updates'!$A$5:$A$704),""))</x:f>
      </x:c>
      <x:c r="R444" s="172" t="str">
        <x:f>IF(A444="","",IFERROR(LOOKUP(2,1/('Engineer Updates'!$B$5:$B$704=A444),'Engineer Updates'!$H$5:$H$704),""))</x:f>
      </x:c>
      <x:c r="S444" s="172" t="str">
        <x:f>IF(A444="","",IFERROR(LOOKUP(2,1/('Engineer Updates'!$B$5:$B$704=A444),'Engineer Updates'!$G$5:$G$704),""))</x:f>
      </x:c>
      <x:c r="T444" s="172" t="str">
        <x:f>IF(A444="","",IFERROR(LOOKUP(2,1/('Engineer Updates'!$B$5:$B$704=A444),'Engineer Updates'!$I$5:$I$704),""))</x:f>
      </x:c>
      <x:c r="U444" s="172" t="str">
        <x:f>IF(A444="","",IFERROR(LOOKUP(2,1/('Engineer Updates'!$B$5:$B$704=A444),'Engineer Updates'!$J$5:$J$704),""))</x:f>
      </x:c>
      <x:c r="V444" s="172" t="str">
        <x:f>IF(A444="","",IFERROR(LOOKUP(2,1/('Engineer Updates'!$B$5:$B$704=A444),'Engineer Updates'!$K$5:$K$704),""))</x:f>
      </x:c>
      <x:c r="W444" s="174" t="str">
        <x:f>IF(A444="","",IFERROR(LOOKUP(2,1/('Engineer Updates'!$B$5:$B$704=A444),'Engineer Updates'!$L$5:$L$704),""))</x:f>
      </x:c>
      <x:c r="X444" s="170" t="str">
        <x:f>IF(A444="","",IF(C444="completed","Completed in CSSP",IF(AND(C444="executing",ISERROR(SEARCH("@",K444))),"Executing without named engineer",IF(AND(N444="Confirmed OOS",C444="executing"),"Confirmed OOS still executing",""))))</x:f>
        <x:v>Completed in CSSP</x:v>
      </x:c>
      <x:c r="Y444" s="170" t="str">
        <x:f>IF(A444="","",IF(B444="Decommissioning","Raw Decommissioning","Raw Provisioning"))</x:f>
        <x:v>Raw Provisioning</x:v>
      </x:c>
      <x:c r="Z444" s="170" t="str">
        <x:f>IF(A444="","",IF(OR(C444="executing",C444="processing"),"Yes","No"))</x:f>
        <x:v>No</x:v>
      </x:c>
    </x:row>
    <x:row r="445">
      <x:c r="A445" s="170" t="str">
        <x:f>IF(ROWS($A$5:A445)&lt;=COUNTA('Raw Decommissioning'!$B$2:$B$1000),INDEX('Raw Decommissioning'!$B$2:$B$1000,ROWS($A$5:A445)),IF(ROWS($A$5:A445)-COUNTA('Raw Decommissioning'!$B$2:$B$1000)&lt;=COUNTA('Raw Provisioning'!$B$2:$B$1000),INDEX('Raw Provisioning'!$B$2:$B$1000,ROWS($A$5:A445)-COUNTA('Raw Decommissioning'!$B$2:$B$1000)),""))</x:f>
        <x:v>CSSP10120195</x:v>
      </x:c>
      <x:c r="B445" s="170" t="str">
        <x:f>IF(A445="","",IF(ROWS($A$5:A445)&lt;=COUNTA('Raw Decommissioning'!$B$2:$B$1000),"Decommissioning","Provisioning"))</x:f>
        <x:v>Provisioning</x:v>
      </x:c>
      <x:c r="C445" s="170" t="str">
        <x:f>IF(A445="","",IF(B445="Decommissioning",IFERROR(INDEX('Raw Decommissioning'!$E$2:$E$1000,MATCH(A445,'Raw Decommissioning'!$B$2:$B$1000,0)),"Missing from latest raw"),IFERROR(INDEX('Raw Provisioning'!$E$2:$E$1000,MATCH(A445,'Raw Provisioning'!$B$2:$B$1000,0)),"Missing from latest raw")))</x:f>
        <x:v>completed</x:v>
      </x:c>
      <x:c r="D445" s="171" t="n">
        <x:f>IF(A445="","",'Refresh Control'!$B$4)</x:f>
        <x:v>46254</x:v>
      </x:c>
      <x:c r="E445" s="171" t="n">
        <x:f>IF(A445="","",IF(B445="Decommissioning",INDEX('Raw Decommissioning'!$F$2:$F$1000,ROWS($A$5:A445)),INDEX('Raw Provisioning'!$F$2:$F$1000,ROWS($A$5:A445)-COUNTA('Raw Decommissioning'!$B$2:$B$1000))))</x:f>
        <x:v>46083.20441600694</x:v>
      </x:c>
      <x:c r="F445" s="171" t="n">
        <x:f>IF(A445="","",IF(B445="Decommissioning",INDEX('Raw Decommissioning'!$G$2:$G$1000,ROWS($A$5:A445)),INDEX('Raw Provisioning'!$H$2:$H$1000,ROWS($A$5:A445)-COUNTA('Raw Decommissioning'!$B$2:$B$1000))))</x:f>
        <x:v>46112.11971087963</x:v>
      </x:c>
      <x:c r="G445" s="170" t="str">
        <x:f>IF(A445="","",IF(B445="Decommissioning",INDEX('Raw Decommissioning'!$I$2:$I$1000,ROWS($A$5:A445)),INDEX('Raw Provisioning'!$J$2:$J$1000,ROWS($A$5:A445)-COUNTA('Raw Decommissioning'!$B$2:$B$1000))))</x:f>
        <x:v>Common IAC Landing Zone</x:v>
      </x:c>
      <x:c r="H445" s="170" t="str">
        <x:f>IF(A445="","",IF(B445="Decommissioning",INDEX('Raw Decommissioning'!$J$2:$J$1000,ROWS($A$5:A445)),INDEX('Raw Provisioning'!$L$2:$L$1000,ROWS($A$5:A445)-COUNTA('Raw Decommissioning'!$B$2:$B$1000))))</x:f>
        <x:v>Cloud Migration Azure Infrastructure for New Landing Zone</x:v>
      </x:c>
      <x:c r="I445" s="170" t="str">
        <x:f>IF(A445="","",IF(B445="Decommissioning",INDEX('Raw Decommissioning'!$AL$2:$AL$1000,ROWS($A$5:A445)),INDEX('Raw Provisioning'!$R$2:$R$1000,ROWS($A$5:A445)-COUNTA('Raw Decommissioning'!$B$2:$B$1000))))</x:f>
        <x:v>M</x:v>
      </x:c>
      <x:c r="J445" s="170" t="str">
        <x:f>IF(A445="","",IF(B445="Decommissioning",INDEX('Raw Decommissioning'!$AG$2:$AG$1000,ROWS($A$5:A445)),INDEX('Raw Provisioning'!$AI$2:$AI$1000,ROWS($A$5:A445)-COUNTA('Raw Decommissioning'!$B$2:$B$1000))))</x:f>
        <x:v>fathulrahman.misba@petronas.com</x:v>
      </x:c>
      <x:c r="K445" s="172" t="str">
        <x:f>IF(A445="","",IFERROR(LOOKUP(2,1/('Assignment History'!$B$5:$B$204=A445),'Assignment History'!$D$5:$D$204),IFERROR(VLOOKUP(J445,Configuration!$L$5:$M$50,2,FALSE),J445)))</x:f>
        <x:v>fathulrahman.misba@petronas.com</x:v>
      </x:c>
      <x:c r="L445" s="172" t="str">
        <x:f>IF(A445="","",IF(K445=IFERROR(VLOOKUP(J445,Configuration!$L$5:$M$50,2,FALSE),J445),"Snapshot PIC","Replacement PIC"))</x:f>
        <x:v>Snapshot PIC</x:v>
      </x:c>
      <x:c r="M445" s="172" t="n">
        <x:f>IF(A445="","",IFERROR(VLOOKUP(I445,Configuration!$O$5:$P$8,2,FALSE),Configuration!$S$6))</x:f>
        <x:v>2</x:v>
      </x:c>
      <x:c r="N445" s="172" t="str">
        <x:f>IF(A445="","",IFERROR(LOOKUP(2,1/('Scope Review'!$B$5:$B$204=A445),'Scope Review'!$G$5:$G$204),"Not Reviewed"))</x:f>
        <x:v>Not Reviewed</x:v>
      </x:c>
      <x:c r="O445" s="172" t="str">
        <x:f>IF(A445="","",IFERROR(LOOKUP(2,1/('Scope Review'!$B$5:$B$204=A445),'Scope Review'!$H$5:$H$204),""))</x:f>
      </x:c>
      <x:c r="P445" s="172" t="n">
        <x:f>IF(A445="","",IF(AND(C445="executing",N445&lt;&gt;"Confirmed OOS"),M445,0))</x:f>
        <x:v>0</x:v>
      </x:c>
      <x:c r="Q445" s="173" t="str">
        <x:f>IF(A445="","",IFERROR(LOOKUP(2,1/('Engineer Updates'!$B$5:$B$704=A445),'Engineer Updates'!$A$5:$A$704),""))</x:f>
      </x:c>
      <x:c r="R445" s="172" t="str">
        <x:f>IF(A445="","",IFERROR(LOOKUP(2,1/('Engineer Updates'!$B$5:$B$704=A445),'Engineer Updates'!$H$5:$H$704),""))</x:f>
      </x:c>
      <x:c r="S445" s="172" t="str">
        <x:f>IF(A445="","",IFERROR(LOOKUP(2,1/('Engineer Updates'!$B$5:$B$704=A445),'Engineer Updates'!$G$5:$G$704),""))</x:f>
      </x:c>
      <x:c r="T445" s="172" t="str">
        <x:f>IF(A445="","",IFERROR(LOOKUP(2,1/('Engineer Updates'!$B$5:$B$704=A445),'Engineer Updates'!$I$5:$I$704),""))</x:f>
      </x:c>
      <x:c r="U445" s="172" t="str">
        <x:f>IF(A445="","",IFERROR(LOOKUP(2,1/('Engineer Updates'!$B$5:$B$704=A445),'Engineer Updates'!$J$5:$J$704),""))</x:f>
      </x:c>
      <x:c r="V445" s="172" t="str">
        <x:f>IF(A445="","",IFERROR(LOOKUP(2,1/('Engineer Updates'!$B$5:$B$704=A445),'Engineer Updates'!$K$5:$K$704),""))</x:f>
      </x:c>
      <x:c r="W445" s="174" t="str">
        <x:f>IF(A445="","",IFERROR(LOOKUP(2,1/('Engineer Updates'!$B$5:$B$704=A445),'Engineer Updates'!$L$5:$L$704),""))</x:f>
      </x:c>
      <x:c r="X445" s="170" t="str">
        <x:f>IF(A445="","",IF(C445="completed","Completed in CSSP",IF(AND(C445="executing",ISERROR(SEARCH("@",K445))),"Executing without named engineer",IF(AND(N445="Confirmed OOS",C445="executing"),"Confirmed OOS still executing",""))))</x:f>
        <x:v>Completed in CSSP</x:v>
      </x:c>
      <x:c r="Y445" s="170" t="str">
        <x:f>IF(A445="","",IF(B445="Decommissioning","Raw Decommissioning","Raw Provisioning"))</x:f>
        <x:v>Raw Provisioning</x:v>
      </x:c>
      <x:c r="Z445" s="170" t="str">
        <x:f>IF(A445="","",IF(OR(C445="executing",C445="processing"),"Yes","No"))</x:f>
        <x:v>No</x:v>
      </x:c>
    </x:row>
    <x:row r="446">
      <x:c r="A446" s="170" t="str">
        <x:f>IF(ROWS($A$5:A446)&lt;=COUNTA('Raw Decommissioning'!$B$2:$B$1000),INDEX('Raw Decommissioning'!$B$2:$B$1000,ROWS($A$5:A446)),IF(ROWS($A$5:A446)-COUNTA('Raw Decommissioning'!$B$2:$B$1000)&lt;=COUNTA('Raw Provisioning'!$B$2:$B$1000),INDEX('Raw Provisioning'!$B$2:$B$1000,ROWS($A$5:A446)-COUNTA('Raw Decommissioning'!$B$2:$B$1000)),""))</x:f>
        <x:v>CSSP10940354</x:v>
      </x:c>
      <x:c r="B446" s="170" t="str">
        <x:f>IF(A446="","",IF(ROWS($A$5:A446)&lt;=COUNTA('Raw Decommissioning'!$B$2:$B$1000),"Decommissioning","Provisioning"))</x:f>
        <x:v>Provisioning</x:v>
      </x:c>
      <x:c r="C446" s="170" t="str">
        <x:f>IF(A446="","",IF(B446="Decommissioning",IFERROR(INDEX('Raw Decommissioning'!$E$2:$E$1000,MATCH(A446,'Raw Decommissioning'!$B$2:$B$1000,0)),"Missing from latest raw"),IFERROR(INDEX('Raw Provisioning'!$E$2:$E$1000,MATCH(A446,'Raw Provisioning'!$B$2:$B$1000,0)),"Missing from latest raw")))</x:f>
        <x:v>completed</x:v>
      </x:c>
      <x:c r="D446" s="171" t="n">
        <x:f>IF(A446="","",'Refresh Control'!$B$4)</x:f>
        <x:v>46254</x:v>
      </x:c>
      <x:c r="E446" s="171" t="n">
        <x:f>IF(A446="","",IF(B446="Decommissioning",INDEX('Raw Decommissioning'!$F$2:$F$1000,ROWS($A$5:A446)),INDEX('Raw Provisioning'!$F$2:$F$1000,ROWS($A$5:A446)-COUNTA('Raw Decommissioning'!$B$2:$B$1000))))</x:f>
        <x:v>46083.20457517361</x:v>
      </x:c>
      <x:c r="F446" s="171" t="n">
        <x:f>IF(A446="","",IF(B446="Decommissioning",INDEX('Raw Decommissioning'!$G$2:$G$1000,ROWS($A$5:A446)),INDEX('Raw Provisioning'!$H$2:$H$1000,ROWS($A$5:A446)-COUNTA('Raw Decommissioning'!$B$2:$B$1000))))</x:f>
        <x:v>46112.11983229167</x:v>
      </x:c>
      <x:c r="G446" s="170" t="str">
        <x:f>IF(A446="","",IF(B446="Decommissioning",INDEX('Raw Decommissioning'!$I$2:$I$1000,ROWS($A$5:A446)),INDEX('Raw Provisioning'!$J$2:$J$1000,ROWS($A$5:A446)-COUNTA('Raw Decommissioning'!$B$2:$B$1000))))</x:f>
        <x:v>Common IAC Landing Zone</x:v>
      </x:c>
      <x:c r="H446" s="170" t="str">
        <x:f>IF(A446="","",IF(B446="Decommissioning",INDEX('Raw Decommissioning'!$J$2:$J$1000,ROWS($A$5:A446)),INDEX('Raw Provisioning'!$L$2:$L$1000,ROWS($A$5:A446)-COUNTA('Raw Decommissioning'!$B$2:$B$1000))))</x:f>
        <x:v>Cloud Migration Azure Infrastructure for New Landing Zone</x:v>
      </x:c>
      <x:c r="I446" s="170" t="str">
        <x:f>IF(A446="","",IF(B446="Decommissioning",INDEX('Raw Decommissioning'!$AL$2:$AL$1000,ROWS($A$5:A446)),INDEX('Raw Provisioning'!$R$2:$R$1000,ROWS($A$5:A446)-COUNTA('Raw Decommissioning'!$B$2:$B$1000))))</x:f>
        <x:v>M</x:v>
      </x:c>
      <x:c r="J446" s="170" t="str">
        <x:f>IF(A446="","",IF(B446="Decommissioning",INDEX('Raw Decommissioning'!$AG$2:$AG$1000,ROWS($A$5:A446)),INDEX('Raw Provisioning'!$AI$2:$AI$1000,ROWS($A$5:A446)-COUNTA('Raw Decommissioning'!$B$2:$B$1000))))</x:f>
        <x:v>fathulrahman.misba@petronas.com</x:v>
      </x:c>
      <x:c r="K446" s="172" t="str">
        <x:f>IF(A446="","",IFERROR(LOOKUP(2,1/('Assignment History'!$B$5:$B$204=A446),'Assignment History'!$D$5:$D$204),IFERROR(VLOOKUP(J446,Configuration!$L$5:$M$50,2,FALSE),J446)))</x:f>
        <x:v>fathulrahman.misba@petronas.com</x:v>
      </x:c>
      <x:c r="L446" s="172" t="str">
        <x:f>IF(A446="","",IF(K446=IFERROR(VLOOKUP(J446,Configuration!$L$5:$M$50,2,FALSE),J446),"Snapshot PIC","Replacement PIC"))</x:f>
        <x:v>Snapshot PIC</x:v>
      </x:c>
      <x:c r="M446" s="172" t="n">
        <x:f>IF(A446="","",IFERROR(VLOOKUP(I446,Configuration!$O$5:$P$8,2,FALSE),Configuration!$S$6))</x:f>
        <x:v>2</x:v>
      </x:c>
      <x:c r="N446" s="172" t="str">
        <x:f>IF(A446="","",IFERROR(LOOKUP(2,1/('Scope Review'!$B$5:$B$204=A446),'Scope Review'!$G$5:$G$204),"Not Reviewed"))</x:f>
        <x:v>Not Reviewed</x:v>
      </x:c>
      <x:c r="O446" s="172" t="str">
        <x:f>IF(A446="","",IFERROR(LOOKUP(2,1/('Scope Review'!$B$5:$B$204=A446),'Scope Review'!$H$5:$H$204),""))</x:f>
      </x:c>
      <x:c r="P446" s="172" t="n">
        <x:f>IF(A446="","",IF(AND(C446="executing",N446&lt;&gt;"Confirmed OOS"),M446,0))</x:f>
        <x:v>0</x:v>
      </x:c>
      <x:c r="Q446" s="173" t="str">
        <x:f>IF(A446="","",IFERROR(LOOKUP(2,1/('Engineer Updates'!$B$5:$B$704=A446),'Engineer Updates'!$A$5:$A$704),""))</x:f>
      </x:c>
      <x:c r="R446" s="172" t="str">
        <x:f>IF(A446="","",IFERROR(LOOKUP(2,1/('Engineer Updates'!$B$5:$B$704=A446),'Engineer Updates'!$H$5:$H$704),""))</x:f>
      </x:c>
      <x:c r="S446" s="172" t="str">
        <x:f>IF(A446="","",IFERROR(LOOKUP(2,1/('Engineer Updates'!$B$5:$B$704=A446),'Engineer Updates'!$G$5:$G$704),""))</x:f>
      </x:c>
      <x:c r="T446" s="172" t="str">
        <x:f>IF(A446="","",IFERROR(LOOKUP(2,1/('Engineer Updates'!$B$5:$B$704=A446),'Engineer Updates'!$I$5:$I$704),""))</x:f>
      </x:c>
      <x:c r="U446" s="172" t="str">
        <x:f>IF(A446="","",IFERROR(LOOKUP(2,1/('Engineer Updates'!$B$5:$B$704=A446),'Engineer Updates'!$J$5:$J$704),""))</x:f>
      </x:c>
      <x:c r="V446" s="172" t="str">
        <x:f>IF(A446="","",IFERROR(LOOKUP(2,1/('Engineer Updates'!$B$5:$B$704=A446),'Engineer Updates'!$K$5:$K$704),""))</x:f>
      </x:c>
      <x:c r="W446" s="174" t="str">
        <x:f>IF(A446="","",IFERROR(LOOKUP(2,1/('Engineer Updates'!$B$5:$B$704=A446),'Engineer Updates'!$L$5:$L$704),""))</x:f>
      </x:c>
      <x:c r="X446" s="170" t="str">
        <x:f>IF(A446="","",IF(C446="completed","Completed in CSSP",IF(AND(C446="executing",ISERROR(SEARCH("@",K446))),"Executing without named engineer",IF(AND(N446="Confirmed OOS",C446="executing"),"Confirmed OOS still executing",""))))</x:f>
        <x:v>Completed in CSSP</x:v>
      </x:c>
      <x:c r="Y446" s="170" t="str">
        <x:f>IF(A446="","",IF(B446="Decommissioning","Raw Decommissioning","Raw Provisioning"))</x:f>
        <x:v>Raw Provisioning</x:v>
      </x:c>
      <x:c r="Z446" s="170" t="str">
        <x:f>IF(A446="","",IF(OR(C446="executing",C446="processing"),"Yes","No"))</x:f>
        <x:v>No</x:v>
      </x:c>
    </x:row>
    <x:row r="447">
      <x:c r="A447" s="170" t="str">
        <x:f>IF(ROWS($A$5:A447)&lt;=COUNTA('Raw Decommissioning'!$B$2:$B$1000),INDEX('Raw Decommissioning'!$B$2:$B$1000,ROWS($A$5:A447)),IF(ROWS($A$5:A447)-COUNTA('Raw Decommissioning'!$B$2:$B$1000)&lt;=COUNTA('Raw Provisioning'!$B$2:$B$1000),INDEX('Raw Provisioning'!$B$2:$B$1000,ROWS($A$5:A447)-COUNTA('Raw Decommissioning'!$B$2:$B$1000)),""))</x:f>
        <x:v>CSSP10297682</x:v>
      </x:c>
      <x:c r="B447" s="170" t="str">
        <x:f>IF(A447="","",IF(ROWS($A$5:A447)&lt;=COUNTA('Raw Decommissioning'!$B$2:$B$1000),"Decommissioning","Provisioning"))</x:f>
        <x:v>Provisioning</x:v>
      </x:c>
      <x:c r="C447" s="170" t="str">
        <x:f>IF(A447="","",IF(B447="Decommissioning",IFERROR(INDEX('Raw Decommissioning'!$E$2:$E$1000,MATCH(A447,'Raw Decommissioning'!$B$2:$B$1000,0)),"Missing from latest raw"),IFERROR(INDEX('Raw Provisioning'!$E$2:$E$1000,MATCH(A447,'Raw Provisioning'!$B$2:$B$1000,0)),"Missing from latest raw")))</x:f>
        <x:v>completed</x:v>
      </x:c>
      <x:c r="D447" s="171" t="n">
        <x:f>IF(A447="","",'Refresh Control'!$B$4)</x:f>
        <x:v>46254</x:v>
      </x:c>
      <x:c r="E447" s="171" t="n">
        <x:f>IF(A447="","",IF(B447="Decommissioning",INDEX('Raw Decommissioning'!$F$2:$F$1000,ROWS($A$5:A447)),INDEX('Raw Provisioning'!$F$2:$F$1000,ROWS($A$5:A447)-COUNTA('Raw Decommissioning'!$B$2:$B$1000))))</x:f>
        <x:v>46083.205160763886</x:v>
      </x:c>
      <x:c r="F447" s="171" t="n">
        <x:f>IF(A447="","",IF(B447="Decommissioning",INDEX('Raw Decommissioning'!$G$2:$G$1000,ROWS($A$5:A447)),INDEX('Raw Provisioning'!$H$2:$H$1000,ROWS($A$5:A447)-COUNTA('Raw Decommissioning'!$B$2:$B$1000))))</x:f>
        <x:v>46093.17662170139</x:v>
      </x:c>
      <x:c r="G447" s="170" t="str">
        <x:f>IF(A447="","",IF(B447="Decommissioning",INDEX('Raw Decommissioning'!$I$2:$I$1000,ROWS($A$5:A447)),INDEX('Raw Provisioning'!$J$2:$J$1000,ROWS($A$5:A447)-COUNTA('Raw Decommissioning'!$B$2:$B$1000))))</x:f>
        <x:v>Azure Machine Learning - PRPC</x:v>
      </x:c>
      <x:c r="H447" s="170" t="str">
        <x:f>IF(A447="","",IF(B447="Decommissioning",INDEX('Raw Decommissioning'!$J$2:$J$1000,ROWS($A$5:A447)),INDEX('Raw Provisioning'!$L$2:$L$1000,ROWS($A$5:A447)-COUNTA('Raw Decommissioning'!$B$2:$B$1000))))</x:f>
        <x:v>Run &amp; Maintain Citizen Analytics Use Cases for PRPC</x:v>
      </x:c>
      <x:c r="I447" s="170" t="str">
        <x:f>IF(A447="","",IF(B447="Decommissioning",INDEX('Raw Decommissioning'!$AL$2:$AL$1000,ROWS($A$5:A447)),INDEX('Raw Provisioning'!$R$2:$R$1000,ROWS($A$5:A447)-COUNTA('Raw Decommissioning'!$B$2:$B$1000))))</x:f>
        <x:v>S</x:v>
      </x:c>
      <x:c r="J447" s="170" t="str">
        <x:f>IF(A447="","",IF(B447="Decommissioning",INDEX('Raw Decommissioning'!$AG$2:$AG$1000,ROWS($A$5:A447)),INDEX('Raw Provisioning'!$AI$2:$AI$1000,ROWS($A$5:A447)-COUNTA('Raw Decommissioning'!$B$2:$B$1000))))</x:f>
        <x:v>norhamizah.hasni@petronas.com</x:v>
      </x:c>
      <x:c r="K447" s="172" t="str">
        <x:f>IF(A447="","",IFERROR(LOOKUP(2,1/('Assignment History'!$B$5:$B$204=A447),'Assignment History'!$D$5:$D$204),IFERROR(VLOOKUP(J447,Configuration!$L$5:$M$50,2,FALSE),J447)))</x:f>
        <x:v>norhamizah.hasni@petronas.com</x:v>
      </x:c>
      <x:c r="L447" s="172" t="str">
        <x:f>IF(A447="","",IF(K447=IFERROR(VLOOKUP(J447,Configuration!$L$5:$M$50,2,FALSE),J447),"Snapshot PIC","Replacement PIC"))</x:f>
        <x:v>Snapshot PIC</x:v>
      </x:c>
      <x:c r="M447" s="172" t="n">
        <x:f>IF(A447="","",IFERROR(VLOOKUP(I447,Configuration!$O$5:$P$8,2,FALSE),Configuration!$S$6))</x:f>
        <x:v>1</x:v>
      </x:c>
      <x:c r="N447" s="172" t="str">
        <x:f>IF(A447="","",IFERROR(LOOKUP(2,1/('Scope Review'!$B$5:$B$204=A447),'Scope Review'!$G$5:$G$204),"Not Reviewed"))</x:f>
        <x:v>Not Reviewed</x:v>
      </x:c>
      <x:c r="O447" s="172" t="str">
        <x:f>IF(A447="","",IFERROR(LOOKUP(2,1/('Scope Review'!$B$5:$B$204=A447),'Scope Review'!$H$5:$H$204),""))</x:f>
      </x:c>
      <x:c r="P447" s="172" t="n">
        <x:f>IF(A447="","",IF(AND(C447="executing",N447&lt;&gt;"Confirmed OOS"),M447,0))</x:f>
        <x:v>0</x:v>
      </x:c>
      <x:c r="Q447" s="173" t="str">
        <x:f>IF(A447="","",IFERROR(LOOKUP(2,1/('Engineer Updates'!$B$5:$B$704=A447),'Engineer Updates'!$A$5:$A$704),""))</x:f>
      </x:c>
      <x:c r="R447" s="172" t="str">
        <x:f>IF(A447="","",IFERROR(LOOKUP(2,1/('Engineer Updates'!$B$5:$B$704=A447),'Engineer Updates'!$H$5:$H$704),""))</x:f>
      </x:c>
      <x:c r="S447" s="172" t="str">
        <x:f>IF(A447="","",IFERROR(LOOKUP(2,1/('Engineer Updates'!$B$5:$B$704=A447),'Engineer Updates'!$G$5:$G$704),""))</x:f>
      </x:c>
      <x:c r="T447" s="172" t="str">
        <x:f>IF(A447="","",IFERROR(LOOKUP(2,1/('Engineer Updates'!$B$5:$B$704=A447),'Engineer Updates'!$I$5:$I$704),""))</x:f>
      </x:c>
      <x:c r="U447" s="172" t="str">
        <x:f>IF(A447="","",IFERROR(LOOKUP(2,1/('Engineer Updates'!$B$5:$B$704=A447),'Engineer Updates'!$J$5:$J$704),""))</x:f>
      </x:c>
      <x:c r="V447" s="172" t="str">
        <x:f>IF(A447="","",IFERROR(LOOKUP(2,1/('Engineer Updates'!$B$5:$B$704=A447),'Engineer Updates'!$K$5:$K$704),""))</x:f>
      </x:c>
      <x:c r="W447" s="174" t="str">
        <x:f>IF(A447="","",IFERROR(LOOKUP(2,1/('Engineer Updates'!$B$5:$B$704=A447),'Engineer Updates'!$L$5:$L$704),""))</x:f>
      </x:c>
      <x:c r="X447" s="170" t="str">
        <x:f>IF(A447="","",IF(C447="completed","Completed in CSSP",IF(AND(C447="executing",ISERROR(SEARCH("@",K447))),"Executing without named engineer",IF(AND(N447="Confirmed OOS",C447="executing"),"Confirmed OOS still executing",""))))</x:f>
        <x:v>Completed in CSSP</x:v>
      </x:c>
      <x:c r="Y447" s="170" t="str">
        <x:f>IF(A447="","",IF(B447="Decommissioning","Raw Decommissioning","Raw Provisioning"))</x:f>
        <x:v>Raw Provisioning</x:v>
      </x:c>
      <x:c r="Z447" s="170" t="str">
        <x:f>IF(A447="","",IF(OR(C447="executing",C447="processing"),"Yes","No"))</x:f>
        <x:v>No</x:v>
      </x:c>
    </x:row>
    <x:row r="448">
      <x:c r="A448" s="170" t="str">
        <x:f>IF(ROWS($A$5:A448)&lt;=COUNTA('Raw Decommissioning'!$B$2:$B$1000),INDEX('Raw Decommissioning'!$B$2:$B$1000,ROWS($A$5:A448)),IF(ROWS($A$5:A448)-COUNTA('Raw Decommissioning'!$B$2:$B$1000)&lt;=COUNTA('Raw Provisioning'!$B$2:$B$1000),INDEX('Raw Provisioning'!$B$2:$B$1000,ROWS($A$5:A448)-COUNTA('Raw Decommissioning'!$B$2:$B$1000)),""))</x:f>
        <x:v>CSSP10328144</x:v>
      </x:c>
      <x:c r="B448" s="170" t="str">
        <x:f>IF(A448="","",IF(ROWS($A$5:A448)&lt;=COUNTA('Raw Decommissioning'!$B$2:$B$1000),"Decommissioning","Provisioning"))</x:f>
        <x:v>Provisioning</x:v>
      </x:c>
      <x:c r="C448" s="170" t="str">
        <x:f>IF(A448="","",IF(B448="Decommissioning",IFERROR(INDEX('Raw Decommissioning'!$E$2:$E$1000,MATCH(A448,'Raw Decommissioning'!$B$2:$B$1000,0)),"Missing from latest raw"),IFERROR(INDEX('Raw Provisioning'!$E$2:$E$1000,MATCH(A448,'Raw Provisioning'!$B$2:$B$1000,0)),"Missing from latest raw")))</x:f>
        <x:v>completed</x:v>
      </x:c>
      <x:c r="D448" s="171" t="n">
        <x:f>IF(A448="","",'Refresh Control'!$B$4)</x:f>
        <x:v>46254</x:v>
      </x:c>
      <x:c r="E448" s="171" t="n">
        <x:f>IF(A448="","",IF(B448="Decommissioning",INDEX('Raw Decommissioning'!$F$2:$F$1000,ROWS($A$5:A448)),INDEX('Raw Provisioning'!$F$2:$F$1000,ROWS($A$5:A448)-COUNTA('Raw Decommissioning'!$B$2:$B$1000))))</x:f>
        <x:v>46083.205393171294</x:v>
      </x:c>
      <x:c r="F448" s="171" t="n">
        <x:f>IF(A448="","",IF(B448="Decommissioning",INDEX('Raw Decommissioning'!$G$2:$G$1000,ROWS($A$5:A448)),INDEX('Raw Provisioning'!$H$2:$H$1000,ROWS($A$5:A448)-COUNTA('Raw Decommissioning'!$B$2:$B$1000))))</x:f>
        <x:v>46092.37002739583</x:v>
      </x:c>
      <x:c r="G448" s="170" t="str">
        <x:f>IF(A448="","",IF(B448="Decommissioning",INDEX('Raw Decommissioning'!$I$2:$I$1000,ROWS($A$5:A448)),INDEX('Raw Provisioning'!$J$2:$J$1000,ROWS($A$5:A448)-COUNTA('Raw Decommissioning'!$B$2:$B$1000))))</x:f>
        <x:v>TEA</x:v>
      </x:c>
      <x:c r="H448" s="170" t="str">
        <x:f>IF(A448="","",IF(B448="Decommissioning",INDEX('Raw Decommissioning'!$J$2:$J$1000,ROWS($A$5:A448)),INDEX('Raw Provisioning'!$L$2:$L$1000,ROWS($A$5:A448)-COUNTA('Raw Decommissioning'!$B$2:$B$1000))))</x:f>
        <x:v>PDB landing zone TEA Application</x:v>
      </x:c>
      <x:c r="I448" s="170" t="str">
        <x:f>IF(A448="","",IF(B448="Decommissioning",INDEX('Raw Decommissioning'!$AL$2:$AL$1000,ROWS($A$5:A448)),INDEX('Raw Provisioning'!$R$2:$R$1000,ROWS($A$5:A448)-COUNTA('Raw Decommissioning'!$B$2:$B$1000))))</x:f>
        <x:v>L</x:v>
      </x:c>
      <x:c r="J448" s="170" t="str">
        <x:f>IF(A448="","",IF(B448="Decommissioning",INDEX('Raw Decommissioning'!$AG$2:$AG$1000,ROWS($A$5:A448)),INDEX('Raw Provisioning'!$AI$2:$AI$1000,ROWS($A$5:A448)-COUNTA('Raw Decommissioning'!$B$2:$B$1000))))</x:f>
        <x:v>mhafizi.madnan@petronas.com</x:v>
      </x:c>
      <x:c r="K448" s="172" t="str">
        <x:f>IF(A448="","",IFERROR(LOOKUP(2,1/('Assignment History'!$B$5:$B$204=A448),'Assignment History'!$D$5:$D$204),IFERROR(VLOOKUP(J448,Configuration!$L$5:$M$50,2,FALSE),J448)))</x:f>
        <x:v>mhafizi.madnan@petronas.com</x:v>
      </x:c>
      <x:c r="L448" s="172" t="str">
        <x:f>IF(A448="","",IF(K448=IFERROR(VLOOKUP(J448,Configuration!$L$5:$M$50,2,FALSE),J448),"Snapshot PIC","Replacement PIC"))</x:f>
        <x:v>Snapshot PIC</x:v>
      </x:c>
      <x:c r="M448" s="172" t="n">
        <x:f>IF(A448="","",IFERROR(VLOOKUP(I448,Configuration!$O$5:$P$8,2,FALSE),Configuration!$S$6))</x:f>
        <x:v>3</x:v>
      </x:c>
      <x:c r="N448" s="172" t="str">
        <x:f>IF(A448="","",IFERROR(LOOKUP(2,1/('Scope Review'!$B$5:$B$204=A448),'Scope Review'!$G$5:$G$204),"Not Reviewed"))</x:f>
        <x:v>Not Reviewed</x:v>
      </x:c>
      <x:c r="O448" s="172" t="str">
        <x:f>IF(A448="","",IFERROR(LOOKUP(2,1/('Scope Review'!$B$5:$B$204=A448),'Scope Review'!$H$5:$H$204),""))</x:f>
      </x:c>
      <x:c r="P448" s="172" t="n">
        <x:f>IF(A448="","",IF(AND(C448="executing",N448&lt;&gt;"Confirmed OOS"),M448,0))</x:f>
        <x:v>0</x:v>
      </x:c>
      <x:c r="Q448" s="173" t="str">
        <x:f>IF(A448="","",IFERROR(LOOKUP(2,1/('Engineer Updates'!$B$5:$B$704=A448),'Engineer Updates'!$A$5:$A$704),""))</x:f>
      </x:c>
      <x:c r="R448" s="172" t="str">
        <x:f>IF(A448="","",IFERROR(LOOKUP(2,1/('Engineer Updates'!$B$5:$B$704=A448),'Engineer Updates'!$H$5:$H$704),""))</x:f>
      </x:c>
      <x:c r="S448" s="172" t="str">
        <x:f>IF(A448="","",IFERROR(LOOKUP(2,1/('Engineer Updates'!$B$5:$B$704=A448),'Engineer Updates'!$G$5:$G$704),""))</x:f>
      </x:c>
      <x:c r="T448" s="172" t="str">
        <x:f>IF(A448="","",IFERROR(LOOKUP(2,1/('Engineer Updates'!$B$5:$B$704=A448),'Engineer Updates'!$I$5:$I$704),""))</x:f>
      </x:c>
      <x:c r="U448" s="172" t="str">
        <x:f>IF(A448="","",IFERROR(LOOKUP(2,1/('Engineer Updates'!$B$5:$B$704=A448),'Engineer Updates'!$J$5:$J$704),""))</x:f>
      </x:c>
      <x:c r="V448" s="172" t="str">
        <x:f>IF(A448="","",IFERROR(LOOKUP(2,1/('Engineer Updates'!$B$5:$B$704=A448),'Engineer Updates'!$K$5:$K$704),""))</x:f>
      </x:c>
      <x:c r="W448" s="174" t="str">
        <x:f>IF(A448="","",IFERROR(LOOKUP(2,1/('Engineer Updates'!$B$5:$B$704=A448),'Engineer Updates'!$L$5:$L$704),""))</x:f>
      </x:c>
      <x:c r="X448" s="170" t="str">
        <x:f>IF(A448="","",IF(C448="completed","Completed in CSSP",IF(AND(C448="executing",ISERROR(SEARCH("@",K448))),"Executing without named engineer",IF(AND(N448="Confirmed OOS",C448="executing"),"Confirmed OOS still executing",""))))</x:f>
        <x:v>Completed in CSSP</x:v>
      </x:c>
      <x:c r="Y448" s="170" t="str">
        <x:f>IF(A448="","",IF(B448="Decommissioning","Raw Decommissioning","Raw Provisioning"))</x:f>
        <x:v>Raw Provisioning</x:v>
      </x:c>
      <x:c r="Z448" s="170" t="str">
        <x:f>IF(A448="","",IF(OR(C448="executing",C448="processing"),"Yes","No"))</x:f>
        <x:v>No</x:v>
      </x:c>
    </x:row>
    <x:row r="449">
      <x:c r="A449" s="170" t="str">
        <x:f>IF(ROWS($A$5:A449)&lt;=COUNTA('Raw Decommissioning'!$B$2:$B$1000),INDEX('Raw Decommissioning'!$B$2:$B$1000,ROWS($A$5:A449)),IF(ROWS($A$5:A449)-COUNTA('Raw Decommissioning'!$B$2:$B$1000)&lt;=COUNTA('Raw Provisioning'!$B$2:$B$1000),INDEX('Raw Provisioning'!$B$2:$B$1000,ROWS($A$5:A449)-COUNTA('Raw Decommissioning'!$B$2:$B$1000)),""))</x:f>
        <x:v>CSSP10931399</x:v>
      </x:c>
      <x:c r="B449" s="170" t="str">
        <x:f>IF(A449="","",IF(ROWS($A$5:A449)&lt;=COUNTA('Raw Decommissioning'!$B$2:$B$1000),"Decommissioning","Provisioning"))</x:f>
        <x:v>Provisioning</x:v>
      </x:c>
      <x:c r="C449" s="170" t="str">
        <x:f>IF(A449="","",IF(B449="Decommissioning",IFERROR(INDEX('Raw Decommissioning'!$E$2:$E$1000,MATCH(A449,'Raw Decommissioning'!$B$2:$B$1000,0)),"Missing from latest raw"),IFERROR(INDEX('Raw Provisioning'!$E$2:$E$1000,MATCH(A449,'Raw Provisioning'!$B$2:$B$1000,0)),"Missing from latest raw")))</x:f>
        <x:v>completed</x:v>
      </x:c>
      <x:c r="D449" s="171" t="n">
        <x:f>IF(A449="","",'Refresh Control'!$B$4)</x:f>
        <x:v>46254</x:v>
      </x:c>
      <x:c r="E449" s="171" t="n">
        <x:f>IF(A449="","",IF(B449="Decommissioning",INDEX('Raw Decommissioning'!$F$2:$F$1000,ROWS($A$5:A449)),INDEX('Raw Provisioning'!$F$2:$F$1000,ROWS($A$5:A449)-COUNTA('Raw Decommissioning'!$B$2:$B$1000))))</x:f>
        <x:v>46083.20585806713</x:v>
      </x:c>
      <x:c r="F449" s="171" t="n">
        <x:f>IF(A449="","",IF(B449="Decommissioning",INDEX('Raw Decommissioning'!$G$2:$G$1000,ROWS($A$5:A449)),INDEX('Raw Provisioning'!$H$2:$H$1000,ROWS($A$5:A449)-COUNTA('Raw Decommissioning'!$B$2:$B$1000))))</x:f>
        <x:v>46112.12000188657</x:v>
      </x:c>
      <x:c r="G449" s="170" t="str">
        <x:f>IF(A449="","",IF(B449="Decommissioning",INDEX('Raw Decommissioning'!$I$2:$I$1000,ROWS($A$5:A449)),INDEX('Raw Provisioning'!$J$2:$J$1000,ROWS($A$5:A449)-COUNTA('Raw Decommissioning'!$B$2:$B$1000))))</x:f>
        <x:v>Common IAC Landing Zone</x:v>
      </x:c>
      <x:c r="H449" s="170" t="str">
        <x:f>IF(A449="","",IF(B449="Decommissioning",INDEX('Raw Decommissioning'!$J$2:$J$1000,ROWS($A$5:A449)),INDEX('Raw Provisioning'!$L$2:$L$1000,ROWS($A$5:A449)-COUNTA('Raw Decommissioning'!$B$2:$B$1000))))</x:f>
        <x:v>Cloud Migration Azure Infrastructure for New Landing Zone</x:v>
      </x:c>
      <x:c r="I449" s="170" t="str">
        <x:f>IF(A449="","",IF(B449="Decommissioning",INDEX('Raw Decommissioning'!$AL$2:$AL$1000,ROWS($A$5:A449)),INDEX('Raw Provisioning'!$R$2:$R$1000,ROWS($A$5:A449)-COUNTA('Raw Decommissioning'!$B$2:$B$1000))))</x:f>
        <x:v>M</x:v>
      </x:c>
      <x:c r="J449" s="170" t="str">
        <x:f>IF(A449="","",IF(B449="Decommissioning",INDEX('Raw Decommissioning'!$AG$2:$AG$1000,ROWS($A$5:A449)),INDEX('Raw Provisioning'!$AI$2:$AI$1000,ROWS($A$5:A449)-COUNTA('Raw Decommissioning'!$B$2:$B$1000))))</x:f>
        <x:v>fathulrahman.misba@petronas.com</x:v>
      </x:c>
      <x:c r="K449" s="172" t="str">
        <x:f>IF(A449="","",IFERROR(LOOKUP(2,1/('Assignment History'!$B$5:$B$204=A449),'Assignment History'!$D$5:$D$204),IFERROR(VLOOKUP(J449,Configuration!$L$5:$M$50,2,FALSE),J449)))</x:f>
        <x:v>fathulrahman.misba@petronas.com</x:v>
      </x:c>
      <x:c r="L449" s="172" t="str">
        <x:f>IF(A449="","",IF(K449=IFERROR(VLOOKUP(J449,Configuration!$L$5:$M$50,2,FALSE),J449),"Snapshot PIC","Replacement PIC"))</x:f>
        <x:v>Snapshot PIC</x:v>
      </x:c>
      <x:c r="M449" s="172" t="n">
        <x:f>IF(A449="","",IFERROR(VLOOKUP(I449,Configuration!$O$5:$P$8,2,FALSE),Configuration!$S$6))</x:f>
        <x:v>2</x:v>
      </x:c>
      <x:c r="N449" s="172" t="str">
        <x:f>IF(A449="","",IFERROR(LOOKUP(2,1/('Scope Review'!$B$5:$B$204=A449),'Scope Review'!$G$5:$G$204),"Not Reviewed"))</x:f>
        <x:v>Not Reviewed</x:v>
      </x:c>
      <x:c r="O449" s="172" t="str">
        <x:f>IF(A449="","",IFERROR(LOOKUP(2,1/('Scope Review'!$B$5:$B$204=A449),'Scope Review'!$H$5:$H$204),""))</x:f>
      </x:c>
      <x:c r="P449" s="172" t="n">
        <x:f>IF(A449="","",IF(AND(C449="executing",N449&lt;&gt;"Confirmed OOS"),M449,0))</x:f>
        <x:v>0</x:v>
      </x:c>
      <x:c r="Q449" s="173" t="str">
        <x:f>IF(A449="","",IFERROR(LOOKUP(2,1/('Engineer Updates'!$B$5:$B$704=A449),'Engineer Updates'!$A$5:$A$704),""))</x:f>
      </x:c>
      <x:c r="R449" s="172" t="str">
        <x:f>IF(A449="","",IFERROR(LOOKUP(2,1/('Engineer Updates'!$B$5:$B$704=A449),'Engineer Updates'!$H$5:$H$704),""))</x:f>
      </x:c>
      <x:c r="S449" s="172" t="str">
        <x:f>IF(A449="","",IFERROR(LOOKUP(2,1/('Engineer Updates'!$B$5:$B$704=A449),'Engineer Updates'!$G$5:$G$704),""))</x:f>
      </x:c>
      <x:c r="T449" s="172" t="str">
        <x:f>IF(A449="","",IFERROR(LOOKUP(2,1/('Engineer Updates'!$B$5:$B$704=A449),'Engineer Updates'!$I$5:$I$704),""))</x:f>
      </x:c>
      <x:c r="U449" s="172" t="str">
        <x:f>IF(A449="","",IFERROR(LOOKUP(2,1/('Engineer Updates'!$B$5:$B$704=A449),'Engineer Updates'!$J$5:$J$704),""))</x:f>
      </x:c>
      <x:c r="V449" s="172" t="str">
        <x:f>IF(A449="","",IFERROR(LOOKUP(2,1/('Engineer Updates'!$B$5:$B$704=A449),'Engineer Updates'!$K$5:$K$704),""))</x:f>
      </x:c>
      <x:c r="W449" s="174" t="str">
        <x:f>IF(A449="","",IFERROR(LOOKUP(2,1/('Engineer Updates'!$B$5:$B$704=A449),'Engineer Updates'!$L$5:$L$704),""))</x:f>
      </x:c>
      <x:c r="X449" s="170" t="str">
        <x:f>IF(A449="","",IF(C449="completed","Completed in CSSP",IF(AND(C449="executing",ISERROR(SEARCH("@",K449))),"Executing without named engineer",IF(AND(N449="Confirmed OOS",C449="executing"),"Confirmed OOS still executing",""))))</x:f>
        <x:v>Completed in CSSP</x:v>
      </x:c>
      <x:c r="Y449" s="170" t="str">
        <x:f>IF(A449="","",IF(B449="Decommissioning","Raw Decommissioning","Raw Provisioning"))</x:f>
        <x:v>Raw Provisioning</x:v>
      </x:c>
      <x:c r="Z449" s="170" t="str">
        <x:f>IF(A449="","",IF(OR(C449="executing",C449="processing"),"Yes","No"))</x:f>
        <x:v>No</x:v>
      </x:c>
    </x:row>
    <x:row r="450">
      <x:c r="A450" s="170" t="str">
        <x:f>IF(ROWS($A$5:A450)&lt;=COUNTA('Raw Decommissioning'!$B$2:$B$1000),INDEX('Raw Decommissioning'!$B$2:$B$1000,ROWS($A$5:A450)),IF(ROWS($A$5:A450)-COUNTA('Raw Decommissioning'!$B$2:$B$1000)&lt;=COUNTA('Raw Provisioning'!$B$2:$B$1000),INDEX('Raw Provisioning'!$B$2:$B$1000,ROWS($A$5:A450)-COUNTA('Raw Decommissioning'!$B$2:$B$1000)),""))</x:f>
        <x:v>CSSP10391617</x:v>
      </x:c>
      <x:c r="B450" s="170" t="str">
        <x:f>IF(A450="","",IF(ROWS($A$5:A450)&lt;=COUNTA('Raw Decommissioning'!$B$2:$B$1000),"Decommissioning","Provisioning"))</x:f>
        <x:v>Provisioning</x:v>
      </x:c>
      <x:c r="C450" s="170" t="str">
        <x:f>IF(A450="","",IF(B450="Decommissioning",IFERROR(INDEX('Raw Decommissioning'!$E$2:$E$1000,MATCH(A450,'Raw Decommissioning'!$B$2:$B$1000,0)),"Missing from latest raw"),IFERROR(INDEX('Raw Provisioning'!$E$2:$E$1000,MATCH(A450,'Raw Provisioning'!$B$2:$B$1000,0)),"Missing from latest raw")))</x:f>
        <x:v>completed</x:v>
      </x:c>
      <x:c r="D450" s="171" t="n">
        <x:f>IF(A450="","",'Refresh Control'!$B$4)</x:f>
        <x:v>46254</x:v>
      </x:c>
      <x:c r="E450" s="171" t="n">
        <x:f>IF(A450="","",IF(B450="Decommissioning",INDEX('Raw Decommissioning'!$F$2:$F$1000,ROWS($A$5:A450)),INDEX('Raw Provisioning'!$F$2:$F$1000,ROWS($A$5:A450)-COUNTA('Raw Decommissioning'!$B$2:$B$1000))))</x:f>
        <x:v>46083.20594104167</x:v>
      </x:c>
      <x:c r="F450" s="171" t="n">
        <x:f>IF(A450="","",IF(B450="Decommissioning",INDEX('Raw Decommissioning'!$G$2:$G$1000,ROWS($A$5:A450)),INDEX('Raw Provisioning'!$H$2:$H$1000,ROWS($A$5:A450)-COUNTA('Raw Decommissioning'!$B$2:$B$1000))))</x:f>
        <x:v>46112.12061932871</x:v>
      </x:c>
      <x:c r="G450" s="170" t="str">
        <x:f>IF(A450="","",IF(B450="Decommissioning",INDEX('Raw Decommissioning'!$I$2:$I$1000,ROWS($A$5:A450)),INDEX('Raw Provisioning'!$J$2:$J$1000,ROWS($A$5:A450)-COUNTA('Raw Decommissioning'!$B$2:$B$1000))))</x:f>
        <x:v>Common IAC Landing Zone</x:v>
      </x:c>
      <x:c r="H450" s="170" t="str">
        <x:f>IF(A450="","",IF(B450="Decommissioning",INDEX('Raw Decommissioning'!$J$2:$J$1000,ROWS($A$5:A450)),INDEX('Raw Provisioning'!$L$2:$L$1000,ROWS($A$5:A450)-COUNTA('Raw Decommissioning'!$B$2:$B$1000))))</x:f>
        <x:v>Cloud Migration Azure Infrastructure for New Landing Zone</x:v>
      </x:c>
      <x:c r="I450" s="170" t="str">
        <x:f>IF(A450="","",IF(B450="Decommissioning",INDEX('Raw Decommissioning'!$AL$2:$AL$1000,ROWS($A$5:A450)),INDEX('Raw Provisioning'!$R$2:$R$1000,ROWS($A$5:A450)-COUNTA('Raw Decommissioning'!$B$2:$B$1000))))</x:f>
        <x:v>M</x:v>
      </x:c>
      <x:c r="J450" s="170" t="str">
        <x:f>IF(A450="","",IF(B450="Decommissioning",INDEX('Raw Decommissioning'!$AG$2:$AG$1000,ROWS($A$5:A450)),INDEX('Raw Provisioning'!$AI$2:$AI$1000,ROWS($A$5:A450)-COUNTA('Raw Decommissioning'!$B$2:$B$1000))))</x:f>
        <x:v>fathulrahman.misba@petronas.com</x:v>
      </x:c>
      <x:c r="K450" s="172" t="str">
        <x:f>IF(A450="","",IFERROR(LOOKUP(2,1/('Assignment History'!$B$5:$B$204=A450),'Assignment History'!$D$5:$D$204),IFERROR(VLOOKUP(J450,Configuration!$L$5:$M$50,2,FALSE),J450)))</x:f>
        <x:v>fathulrahman.misba@petronas.com</x:v>
      </x:c>
      <x:c r="L450" s="172" t="str">
        <x:f>IF(A450="","",IF(K450=IFERROR(VLOOKUP(J450,Configuration!$L$5:$M$50,2,FALSE),J450),"Snapshot PIC","Replacement PIC"))</x:f>
        <x:v>Snapshot PIC</x:v>
      </x:c>
      <x:c r="M450" s="172" t="n">
        <x:f>IF(A450="","",IFERROR(VLOOKUP(I450,Configuration!$O$5:$P$8,2,FALSE),Configuration!$S$6))</x:f>
        <x:v>2</x:v>
      </x:c>
      <x:c r="N450" s="172" t="str">
        <x:f>IF(A450="","",IFERROR(LOOKUP(2,1/('Scope Review'!$B$5:$B$204=A450),'Scope Review'!$G$5:$G$204),"Not Reviewed"))</x:f>
        <x:v>Not Reviewed</x:v>
      </x:c>
      <x:c r="O450" s="172" t="str">
        <x:f>IF(A450="","",IFERROR(LOOKUP(2,1/('Scope Review'!$B$5:$B$204=A450),'Scope Review'!$H$5:$H$204),""))</x:f>
      </x:c>
      <x:c r="P450" s="172" t="n">
        <x:f>IF(A450="","",IF(AND(C450="executing",N450&lt;&gt;"Confirmed OOS"),M450,0))</x:f>
        <x:v>0</x:v>
      </x:c>
      <x:c r="Q450" s="173" t="str">
        <x:f>IF(A450="","",IFERROR(LOOKUP(2,1/('Engineer Updates'!$B$5:$B$704=A450),'Engineer Updates'!$A$5:$A$704),""))</x:f>
      </x:c>
      <x:c r="R450" s="172" t="str">
        <x:f>IF(A450="","",IFERROR(LOOKUP(2,1/('Engineer Updates'!$B$5:$B$704=A450),'Engineer Updates'!$H$5:$H$704),""))</x:f>
      </x:c>
      <x:c r="S450" s="172" t="str">
        <x:f>IF(A450="","",IFERROR(LOOKUP(2,1/('Engineer Updates'!$B$5:$B$704=A450),'Engineer Updates'!$G$5:$G$704),""))</x:f>
      </x:c>
      <x:c r="T450" s="172" t="str">
        <x:f>IF(A450="","",IFERROR(LOOKUP(2,1/('Engineer Updates'!$B$5:$B$704=A450),'Engineer Updates'!$I$5:$I$704),""))</x:f>
      </x:c>
      <x:c r="U450" s="172" t="str">
        <x:f>IF(A450="","",IFERROR(LOOKUP(2,1/('Engineer Updates'!$B$5:$B$704=A450),'Engineer Updates'!$J$5:$J$704),""))</x:f>
      </x:c>
      <x:c r="V450" s="172" t="str">
        <x:f>IF(A450="","",IFERROR(LOOKUP(2,1/('Engineer Updates'!$B$5:$B$704=A450),'Engineer Updates'!$K$5:$K$704),""))</x:f>
      </x:c>
      <x:c r="W450" s="174" t="str">
        <x:f>IF(A450="","",IFERROR(LOOKUP(2,1/('Engineer Updates'!$B$5:$B$704=A450),'Engineer Updates'!$L$5:$L$704),""))</x:f>
      </x:c>
      <x:c r="X450" s="170" t="str">
        <x:f>IF(A450="","",IF(C450="completed","Completed in CSSP",IF(AND(C450="executing",ISERROR(SEARCH("@",K450))),"Executing without named engineer",IF(AND(N450="Confirmed OOS",C450="executing"),"Confirmed OOS still executing",""))))</x:f>
        <x:v>Completed in CSSP</x:v>
      </x:c>
      <x:c r="Y450" s="170" t="str">
        <x:f>IF(A450="","",IF(B450="Decommissioning","Raw Decommissioning","Raw Provisioning"))</x:f>
        <x:v>Raw Provisioning</x:v>
      </x:c>
      <x:c r="Z450" s="170" t="str">
        <x:f>IF(A450="","",IF(OR(C450="executing",C450="processing"),"Yes","No"))</x:f>
        <x:v>No</x:v>
      </x:c>
    </x:row>
    <x:row r="451">
      <x:c r="A451" s="170" t="str">
        <x:f>IF(ROWS($A$5:A451)&lt;=COUNTA('Raw Decommissioning'!$B$2:$B$1000),INDEX('Raw Decommissioning'!$B$2:$B$1000,ROWS($A$5:A451)),IF(ROWS($A$5:A451)-COUNTA('Raw Decommissioning'!$B$2:$B$1000)&lt;=COUNTA('Raw Provisioning'!$B$2:$B$1000),INDEX('Raw Provisioning'!$B$2:$B$1000,ROWS($A$5:A451)-COUNTA('Raw Decommissioning'!$B$2:$B$1000)),""))</x:f>
        <x:v>CSSP10196936</x:v>
      </x:c>
      <x:c r="B451" s="170" t="str">
        <x:f>IF(A451="","",IF(ROWS($A$5:A451)&lt;=COUNTA('Raw Decommissioning'!$B$2:$B$1000),"Decommissioning","Provisioning"))</x:f>
        <x:v>Provisioning</x:v>
      </x:c>
      <x:c r="C451" s="170" t="str">
        <x:f>IF(A451="","",IF(B451="Decommissioning",IFERROR(INDEX('Raw Decommissioning'!$E$2:$E$1000,MATCH(A451,'Raw Decommissioning'!$B$2:$B$1000,0)),"Missing from latest raw"),IFERROR(INDEX('Raw Provisioning'!$E$2:$E$1000,MATCH(A451,'Raw Provisioning'!$B$2:$B$1000,0)),"Missing from latest raw")))</x:f>
        <x:v>completed</x:v>
      </x:c>
      <x:c r="D451" s="171" t="n">
        <x:f>IF(A451="","",'Refresh Control'!$B$4)</x:f>
        <x:v>46254</x:v>
      </x:c>
      <x:c r="E451" s="171" t="n">
        <x:f>IF(A451="","",IF(B451="Decommissioning",INDEX('Raw Decommissioning'!$F$2:$F$1000,ROWS($A$5:A451)),INDEX('Raw Provisioning'!$F$2:$F$1000,ROWS($A$5:A451)-COUNTA('Raw Decommissioning'!$B$2:$B$1000))))</x:f>
        <x:v>46083.27134497685</x:v>
      </x:c>
      <x:c r="F451" s="171" t="n">
        <x:f>IF(A451="","",IF(B451="Decommissioning",INDEX('Raw Decommissioning'!$G$2:$G$1000,ROWS($A$5:A451)),INDEX('Raw Provisioning'!$H$2:$H$1000,ROWS($A$5:A451)-COUNTA('Raw Decommissioning'!$B$2:$B$1000))))</x:f>
        <x:v>46092.126240081016</x:v>
      </x:c>
      <x:c r="G451" s="170" t="str">
        <x:f>IF(A451="","",IF(B451="Decommissioning",INDEX('Raw Decommissioning'!$I$2:$I$1000,ROWS($A$5:A451)),INDEX('Raw Provisioning'!$J$2:$J$1000,ROWS($A$5:A451)-COUNTA('Raw Decommissioning'!$B$2:$B$1000))))</x:f>
        <x:v>Alpha Oil</x:v>
      </x:c>
      <x:c r="H451" s="170" t="str">
        <x:f>IF(A451="","",IF(B451="Decommissioning",INDEX('Raw Decommissioning'!$J$2:$J$1000,ROWS($A$5:A451)),INDEX('Raw Provisioning'!$L$2:$L$1000,ROWS($A$5:A451)-COUNTA('Raw Decommissioning'!$B$2:$B$1000))))</x:f>
        <x:v>Support Services of Alpha Oil – WS2 DevSecOps for Malaysia Petroleum Management (MPM)</x:v>
      </x:c>
      <x:c r="I451" s="170" t="str">
        <x:f>IF(A451="","",IF(B451="Decommissioning",INDEX('Raw Decommissioning'!$AL$2:$AL$1000,ROWS($A$5:A451)),INDEX('Raw Provisioning'!$R$2:$R$1000,ROWS($A$5:A451)-COUNTA('Raw Decommissioning'!$B$2:$B$1000))))</x:f>
        <x:v>S</x:v>
      </x:c>
      <x:c r="J451" s="170" t="str">
        <x:f>IF(A451="","",IF(B451="Decommissioning",INDEX('Raw Decommissioning'!$AG$2:$AG$1000,ROWS($A$5:A451)),INDEX('Raw Provisioning'!$AI$2:$AI$1000,ROWS($A$5:A451)-COUNTA('Raw Decommissioning'!$B$2:$B$1000))))</x:f>
        <x:v>amin.manshor@petronas.com</x:v>
      </x:c>
      <x:c r="K451" s="172" t="str">
        <x:f>IF(A451="","",IFERROR(LOOKUP(2,1/('Assignment History'!$B$5:$B$204=A451),'Assignment History'!$D$5:$D$204),IFERROR(VLOOKUP(J451,Configuration!$L$5:$M$50,2,FALSE),J451)))</x:f>
        <x:v>amin.manshor@petronas.com</x:v>
      </x:c>
      <x:c r="L451" s="172" t="str">
        <x:f>IF(A451="","",IF(K451=IFERROR(VLOOKUP(J451,Configuration!$L$5:$M$50,2,FALSE),J451),"Snapshot PIC","Replacement PIC"))</x:f>
        <x:v>Snapshot PIC</x:v>
      </x:c>
      <x:c r="M451" s="172" t="n">
        <x:f>IF(A451="","",IFERROR(VLOOKUP(I451,Configuration!$O$5:$P$8,2,FALSE),Configuration!$S$6))</x:f>
        <x:v>1</x:v>
      </x:c>
      <x:c r="N451" s="172" t="str">
        <x:f>IF(A451="","",IFERROR(LOOKUP(2,1/('Scope Review'!$B$5:$B$204=A451),'Scope Review'!$G$5:$G$204),"Not Reviewed"))</x:f>
        <x:v>Not Reviewed</x:v>
      </x:c>
      <x:c r="O451" s="172" t="str">
        <x:f>IF(A451="","",IFERROR(LOOKUP(2,1/('Scope Review'!$B$5:$B$204=A451),'Scope Review'!$H$5:$H$204),""))</x:f>
      </x:c>
      <x:c r="P451" s="172" t="n">
        <x:f>IF(A451="","",IF(AND(C451="executing",N451&lt;&gt;"Confirmed OOS"),M451,0))</x:f>
        <x:v>0</x:v>
      </x:c>
      <x:c r="Q451" s="173" t="str">
        <x:f>IF(A451="","",IFERROR(LOOKUP(2,1/('Engineer Updates'!$B$5:$B$704=A451),'Engineer Updates'!$A$5:$A$704),""))</x:f>
      </x:c>
      <x:c r="R451" s="172" t="str">
        <x:f>IF(A451="","",IFERROR(LOOKUP(2,1/('Engineer Updates'!$B$5:$B$704=A451),'Engineer Updates'!$H$5:$H$704),""))</x:f>
      </x:c>
      <x:c r="S451" s="172" t="str">
        <x:f>IF(A451="","",IFERROR(LOOKUP(2,1/('Engineer Updates'!$B$5:$B$704=A451),'Engineer Updates'!$G$5:$G$704),""))</x:f>
      </x:c>
      <x:c r="T451" s="172" t="str">
        <x:f>IF(A451="","",IFERROR(LOOKUP(2,1/('Engineer Updates'!$B$5:$B$704=A451),'Engineer Updates'!$I$5:$I$704),""))</x:f>
      </x:c>
      <x:c r="U451" s="172" t="str">
        <x:f>IF(A451="","",IFERROR(LOOKUP(2,1/('Engineer Updates'!$B$5:$B$704=A451),'Engineer Updates'!$J$5:$J$704),""))</x:f>
      </x:c>
      <x:c r="V451" s="172" t="str">
        <x:f>IF(A451="","",IFERROR(LOOKUP(2,1/('Engineer Updates'!$B$5:$B$704=A451),'Engineer Updates'!$K$5:$K$704),""))</x:f>
      </x:c>
      <x:c r="W451" s="174" t="str">
        <x:f>IF(A451="","",IFERROR(LOOKUP(2,1/('Engineer Updates'!$B$5:$B$704=A451),'Engineer Updates'!$L$5:$L$704),""))</x:f>
      </x:c>
      <x:c r="X451" s="170" t="str">
        <x:f>IF(A451="","",IF(C451="completed","Completed in CSSP",IF(AND(C451="executing",ISERROR(SEARCH("@",K451))),"Executing without named engineer",IF(AND(N451="Confirmed OOS",C451="executing"),"Confirmed OOS still executing",""))))</x:f>
        <x:v>Completed in CSSP</x:v>
      </x:c>
      <x:c r="Y451" s="170" t="str">
        <x:f>IF(A451="","",IF(B451="Decommissioning","Raw Decommissioning","Raw Provisioning"))</x:f>
        <x:v>Raw Provisioning</x:v>
      </x:c>
      <x:c r="Z451" s="170" t="str">
        <x:f>IF(A451="","",IF(OR(C451="executing",C451="processing"),"Yes","No"))</x:f>
        <x:v>No</x:v>
      </x:c>
    </x:row>
    <x:row r="452">
      <x:c r="A452" s="170" t="str">
        <x:f>IF(ROWS($A$5:A452)&lt;=COUNTA('Raw Decommissioning'!$B$2:$B$1000),INDEX('Raw Decommissioning'!$B$2:$B$1000,ROWS($A$5:A452)),IF(ROWS($A$5:A452)-COUNTA('Raw Decommissioning'!$B$2:$B$1000)&lt;=COUNTA('Raw Provisioning'!$B$2:$B$1000),INDEX('Raw Provisioning'!$B$2:$B$1000,ROWS($A$5:A452)-COUNTA('Raw Decommissioning'!$B$2:$B$1000)),""))</x:f>
        <x:v>CSSP10535228</x:v>
      </x:c>
      <x:c r="B452" s="170" t="str">
        <x:f>IF(A452="","",IF(ROWS($A$5:A452)&lt;=COUNTA('Raw Decommissioning'!$B$2:$B$1000),"Decommissioning","Provisioning"))</x:f>
        <x:v>Provisioning</x:v>
      </x:c>
      <x:c r="C452" s="170" t="str">
        <x:f>IF(A452="","",IF(B452="Decommissioning",IFERROR(INDEX('Raw Decommissioning'!$E$2:$E$1000,MATCH(A452,'Raw Decommissioning'!$B$2:$B$1000,0)),"Missing from latest raw"),IFERROR(INDEX('Raw Provisioning'!$E$2:$E$1000,MATCH(A452,'Raw Provisioning'!$B$2:$B$1000,0)),"Missing from latest raw")))</x:f>
        <x:v>completed</x:v>
      </x:c>
      <x:c r="D452" s="171" t="n">
        <x:f>IF(A452="","",'Refresh Control'!$B$4)</x:f>
        <x:v>46254</x:v>
      </x:c>
      <x:c r="E452" s="171" t="n">
        <x:f>IF(A452="","",IF(B452="Decommissioning",INDEX('Raw Decommissioning'!$F$2:$F$1000,ROWS($A$5:A452)),INDEX('Raw Provisioning'!$F$2:$F$1000,ROWS($A$5:A452)-COUNTA('Raw Decommissioning'!$B$2:$B$1000))))</x:f>
        <x:v>46086.09832063657</x:v>
      </x:c>
      <x:c r="F452" s="171" t="n">
        <x:f>IF(A452="","",IF(B452="Decommissioning",INDEX('Raw Decommissioning'!$G$2:$G$1000,ROWS($A$5:A452)),INDEX('Raw Provisioning'!$H$2:$H$1000,ROWS($A$5:A452)-COUNTA('Raw Decommissioning'!$B$2:$B$1000))))</x:f>
        <x:v>46098.008077199076</x:v>
      </x:c>
      <x:c r="G452" s="170" t="str">
        <x:f>IF(A452="","",IF(B452="Decommissioning",INDEX('Raw Decommissioning'!$I$2:$I$1000,ROWS($A$5:A452)),INDEX('Raw Provisioning'!$J$2:$J$1000,ROWS($A$5:A452)-COUNTA('Raw Decommissioning'!$B$2:$B$1000))))</x:f>
        <x:v>Azure Machine Learning - PRPC</x:v>
      </x:c>
      <x:c r="H452" s="170" t="str">
        <x:f>IF(A452="","",IF(B452="Decommissioning",INDEX('Raw Decommissioning'!$J$2:$J$1000,ROWS($A$5:A452)),INDEX('Raw Provisioning'!$L$2:$L$1000,ROWS($A$5:A452)-COUNTA('Raw Decommissioning'!$B$2:$B$1000))))</x:f>
        <x:v>Run &amp; Maintain Citizen Analytics Use Cases for PRPC</x:v>
      </x:c>
      <x:c r="I452" s="170" t="str">
        <x:f>IF(A452="","",IF(B452="Decommissioning",INDEX('Raw Decommissioning'!$AL$2:$AL$1000,ROWS($A$5:A452)),INDEX('Raw Provisioning'!$R$2:$R$1000,ROWS($A$5:A452)-COUNTA('Raw Decommissioning'!$B$2:$B$1000))))</x:f>
        <x:v>S</x:v>
      </x:c>
      <x:c r="J452" s="170" t="str">
        <x:f>IF(A452="","",IF(B452="Decommissioning",INDEX('Raw Decommissioning'!$AG$2:$AG$1000,ROWS($A$5:A452)),INDEX('Raw Provisioning'!$AI$2:$AI$1000,ROWS($A$5:A452)-COUNTA('Raw Decommissioning'!$B$2:$B$1000))))</x:f>
        <x:v>azhan.shazeli@petronas.com</x:v>
      </x:c>
      <x:c r="K452" s="172" t="str">
        <x:f>IF(A452="","",IFERROR(LOOKUP(2,1/('Assignment History'!$B$5:$B$204=A452),'Assignment History'!$D$5:$D$204),IFERROR(VLOOKUP(J452,Configuration!$L$5:$M$50,2,FALSE),J452)))</x:f>
        <x:v>azhan.shazeli@petronas.com</x:v>
      </x:c>
      <x:c r="L452" s="172" t="str">
        <x:f>IF(A452="","",IF(K452=IFERROR(VLOOKUP(J452,Configuration!$L$5:$M$50,2,FALSE),J452),"Snapshot PIC","Replacement PIC"))</x:f>
        <x:v>Snapshot PIC</x:v>
      </x:c>
      <x:c r="M452" s="172" t="n">
        <x:f>IF(A452="","",IFERROR(VLOOKUP(I452,Configuration!$O$5:$P$8,2,FALSE),Configuration!$S$6))</x:f>
        <x:v>1</x:v>
      </x:c>
      <x:c r="N452" s="172" t="str">
        <x:f>IF(A452="","",IFERROR(LOOKUP(2,1/('Scope Review'!$B$5:$B$204=A452),'Scope Review'!$G$5:$G$204),"Not Reviewed"))</x:f>
        <x:v>Not Reviewed</x:v>
      </x:c>
      <x:c r="O452" s="172" t="str">
        <x:f>IF(A452="","",IFERROR(LOOKUP(2,1/('Scope Review'!$B$5:$B$204=A452),'Scope Review'!$H$5:$H$204),""))</x:f>
      </x:c>
      <x:c r="P452" s="172" t="n">
        <x:f>IF(A452="","",IF(AND(C452="executing",N452&lt;&gt;"Confirmed OOS"),M452,0))</x:f>
        <x:v>0</x:v>
      </x:c>
      <x:c r="Q452" s="173" t="str">
        <x:f>IF(A452="","",IFERROR(LOOKUP(2,1/('Engineer Updates'!$B$5:$B$704=A452),'Engineer Updates'!$A$5:$A$704),""))</x:f>
      </x:c>
      <x:c r="R452" s="172" t="str">
        <x:f>IF(A452="","",IFERROR(LOOKUP(2,1/('Engineer Updates'!$B$5:$B$704=A452),'Engineer Updates'!$H$5:$H$704),""))</x:f>
      </x:c>
      <x:c r="S452" s="172" t="str">
        <x:f>IF(A452="","",IFERROR(LOOKUP(2,1/('Engineer Updates'!$B$5:$B$704=A452),'Engineer Updates'!$G$5:$G$704),""))</x:f>
      </x:c>
      <x:c r="T452" s="172" t="str">
        <x:f>IF(A452="","",IFERROR(LOOKUP(2,1/('Engineer Updates'!$B$5:$B$704=A452),'Engineer Updates'!$I$5:$I$704),""))</x:f>
      </x:c>
      <x:c r="U452" s="172" t="str">
        <x:f>IF(A452="","",IFERROR(LOOKUP(2,1/('Engineer Updates'!$B$5:$B$704=A452),'Engineer Updates'!$J$5:$J$704),""))</x:f>
      </x:c>
      <x:c r="V452" s="172" t="str">
        <x:f>IF(A452="","",IFERROR(LOOKUP(2,1/('Engineer Updates'!$B$5:$B$704=A452),'Engineer Updates'!$K$5:$K$704),""))</x:f>
      </x:c>
      <x:c r="W452" s="174" t="str">
        <x:f>IF(A452="","",IFERROR(LOOKUP(2,1/('Engineer Updates'!$B$5:$B$704=A452),'Engineer Updates'!$L$5:$L$704),""))</x:f>
      </x:c>
      <x:c r="X452" s="170" t="str">
        <x:f>IF(A452="","",IF(C452="completed","Completed in CSSP",IF(AND(C452="executing",ISERROR(SEARCH("@",K452))),"Executing without named engineer",IF(AND(N452="Confirmed OOS",C452="executing"),"Confirmed OOS still executing",""))))</x:f>
        <x:v>Completed in CSSP</x:v>
      </x:c>
      <x:c r="Y452" s="170" t="str">
        <x:f>IF(A452="","",IF(B452="Decommissioning","Raw Decommissioning","Raw Provisioning"))</x:f>
        <x:v>Raw Provisioning</x:v>
      </x:c>
      <x:c r="Z452" s="170" t="str">
        <x:f>IF(A452="","",IF(OR(C452="executing",C452="processing"),"Yes","No"))</x:f>
        <x:v>No</x:v>
      </x:c>
    </x:row>
    <x:row r="453">
      <x:c r="A453" s="170" t="str">
        <x:f>IF(ROWS($A$5:A453)&lt;=COUNTA('Raw Decommissioning'!$B$2:$B$1000),INDEX('Raw Decommissioning'!$B$2:$B$1000,ROWS($A$5:A453)),IF(ROWS($A$5:A453)-COUNTA('Raw Decommissioning'!$B$2:$B$1000)&lt;=COUNTA('Raw Provisioning'!$B$2:$B$1000),INDEX('Raw Provisioning'!$B$2:$B$1000,ROWS($A$5:A453)-COUNTA('Raw Decommissioning'!$B$2:$B$1000)),""))</x:f>
        <x:v>CSSP10447421</x:v>
      </x:c>
      <x:c r="B453" s="170" t="str">
        <x:f>IF(A453="","",IF(ROWS($A$5:A453)&lt;=COUNTA('Raw Decommissioning'!$B$2:$B$1000),"Decommissioning","Provisioning"))</x:f>
        <x:v>Provisioning</x:v>
      </x:c>
      <x:c r="C453" s="170" t="str">
        <x:f>IF(A453="","",IF(B453="Decommissioning",IFERROR(INDEX('Raw Decommissioning'!$E$2:$E$1000,MATCH(A453,'Raw Decommissioning'!$B$2:$B$1000,0)),"Missing from latest raw"),IFERROR(INDEX('Raw Provisioning'!$E$2:$E$1000,MATCH(A453,'Raw Provisioning'!$B$2:$B$1000,0)),"Missing from latest raw")))</x:f>
        <x:v>completed</x:v>
      </x:c>
      <x:c r="D453" s="171" t="n">
        <x:f>IF(A453="","",'Refresh Control'!$B$4)</x:f>
        <x:v>46254</x:v>
      </x:c>
      <x:c r="E453" s="171" t="n">
        <x:f>IF(A453="","",IF(B453="Decommissioning",INDEX('Raw Decommissioning'!$F$2:$F$1000,ROWS($A$5:A453)),INDEX('Raw Provisioning'!$F$2:$F$1000,ROWS($A$5:A453)-COUNTA('Raw Decommissioning'!$B$2:$B$1000))))</x:f>
        <x:v>46086.26346570602</x:v>
      </x:c>
      <x:c r="F453" s="171" t="n">
        <x:f>IF(A453="","",IF(B453="Decommissioning",INDEX('Raw Decommissioning'!$G$2:$G$1000,ROWS($A$5:A453)),INDEX('Raw Provisioning'!$H$2:$H$1000,ROWS($A$5:A453)-COUNTA('Raw Decommissioning'!$B$2:$B$1000))))</x:f>
        <x:v>46097.12368866898</x:v>
      </x:c>
      <x:c r="G453" s="170" t="str">
        <x:f>IF(A453="","",IF(B453="Decommissioning",INDEX('Raw Decommissioning'!$I$2:$I$1000,ROWS($A$5:A453)),INDEX('Raw Provisioning'!$J$2:$J$1000,ROWS($A$5:A453)-COUNTA('Raw Decommissioning'!$B$2:$B$1000))))</x:f>
        <x:v>Plant Information - PI Vestigo</x:v>
      </x:c>
      <x:c r="H453" s="170" t="str">
        <x:f>IF(A453="","",IF(B453="Decommissioning",INDEX('Raw Decommissioning'!$J$2:$J$1000,ROWS($A$5:A453)),INDEX('Raw Provisioning'!$L$2:$L$1000,ROWS($A$5:A453)-COUNTA('Raw Decommissioning'!$B$2:$B$1000))))</x:f>
        <x:v>Cloud Migration Program - PI Vestigo</x:v>
      </x:c>
      <x:c r="I453" s="170" t="str">
        <x:f>IF(A453="","",IF(B453="Decommissioning",INDEX('Raw Decommissioning'!$AL$2:$AL$1000,ROWS($A$5:A453)),INDEX('Raw Provisioning'!$R$2:$R$1000,ROWS($A$5:A453)-COUNTA('Raw Decommissioning'!$B$2:$B$1000))))</x:f>
        <x:v>M</x:v>
      </x:c>
      <x:c r="J453" s="170" t="str">
        <x:f>IF(A453="","",IF(B453="Decommissioning",INDEX('Raw Decommissioning'!$AG$2:$AG$1000,ROWS($A$5:A453)),INDEX('Raw Provisioning'!$AI$2:$AI$1000,ROWS($A$5:A453)-COUNTA('Raw Decommissioning'!$B$2:$B$1000))))</x:f>
        <x:v>syazali.saad@petronas.com</x:v>
      </x:c>
      <x:c r="K453" s="172" t="str">
        <x:f>IF(A453="","",IFERROR(LOOKUP(2,1/('Assignment History'!$B$5:$B$204=A453),'Assignment History'!$D$5:$D$204),IFERROR(VLOOKUP(J453,Configuration!$L$5:$M$50,2,FALSE),J453)))</x:f>
        <x:v>syazali.saad@petronas.com</x:v>
      </x:c>
      <x:c r="L453" s="172" t="str">
        <x:f>IF(A453="","",IF(K453=IFERROR(VLOOKUP(J453,Configuration!$L$5:$M$50,2,FALSE),J453),"Snapshot PIC","Replacement PIC"))</x:f>
        <x:v>Snapshot PIC</x:v>
      </x:c>
      <x:c r="M453" s="172" t="n">
        <x:f>IF(A453="","",IFERROR(VLOOKUP(I453,Configuration!$O$5:$P$8,2,FALSE),Configuration!$S$6))</x:f>
        <x:v>2</x:v>
      </x:c>
      <x:c r="N453" s="172" t="str">
        <x:f>IF(A453="","",IFERROR(LOOKUP(2,1/('Scope Review'!$B$5:$B$204=A453),'Scope Review'!$G$5:$G$204),"Not Reviewed"))</x:f>
        <x:v>Not Reviewed</x:v>
      </x:c>
      <x:c r="O453" s="172" t="str">
        <x:f>IF(A453="","",IFERROR(LOOKUP(2,1/('Scope Review'!$B$5:$B$204=A453),'Scope Review'!$H$5:$H$204),""))</x:f>
      </x:c>
      <x:c r="P453" s="172" t="n">
        <x:f>IF(A453="","",IF(AND(C453="executing",N453&lt;&gt;"Confirmed OOS"),M453,0))</x:f>
        <x:v>0</x:v>
      </x:c>
      <x:c r="Q453" s="173" t="str">
        <x:f>IF(A453="","",IFERROR(LOOKUP(2,1/('Engineer Updates'!$B$5:$B$704=A453),'Engineer Updates'!$A$5:$A$704),""))</x:f>
      </x:c>
      <x:c r="R453" s="172" t="str">
        <x:f>IF(A453="","",IFERROR(LOOKUP(2,1/('Engineer Updates'!$B$5:$B$704=A453),'Engineer Updates'!$H$5:$H$704),""))</x:f>
      </x:c>
      <x:c r="S453" s="172" t="str">
        <x:f>IF(A453="","",IFERROR(LOOKUP(2,1/('Engineer Updates'!$B$5:$B$704=A453),'Engineer Updates'!$G$5:$G$704),""))</x:f>
      </x:c>
      <x:c r="T453" s="172" t="str">
        <x:f>IF(A453="","",IFERROR(LOOKUP(2,1/('Engineer Updates'!$B$5:$B$704=A453),'Engineer Updates'!$I$5:$I$704),""))</x:f>
      </x:c>
      <x:c r="U453" s="172" t="str">
        <x:f>IF(A453="","",IFERROR(LOOKUP(2,1/('Engineer Updates'!$B$5:$B$704=A453),'Engineer Updates'!$J$5:$J$704),""))</x:f>
      </x:c>
      <x:c r="V453" s="172" t="str">
        <x:f>IF(A453="","",IFERROR(LOOKUP(2,1/('Engineer Updates'!$B$5:$B$704=A453),'Engineer Updates'!$K$5:$K$704),""))</x:f>
      </x:c>
      <x:c r="W453" s="174" t="str">
        <x:f>IF(A453="","",IFERROR(LOOKUP(2,1/('Engineer Updates'!$B$5:$B$704=A453),'Engineer Updates'!$L$5:$L$704),""))</x:f>
      </x:c>
      <x:c r="X453" s="170" t="str">
        <x:f>IF(A453="","",IF(C453="completed","Completed in CSSP",IF(AND(C453="executing",ISERROR(SEARCH("@",K453))),"Executing without named engineer",IF(AND(N453="Confirmed OOS",C453="executing"),"Confirmed OOS still executing",""))))</x:f>
        <x:v>Completed in CSSP</x:v>
      </x:c>
      <x:c r="Y453" s="170" t="str">
        <x:f>IF(A453="","",IF(B453="Decommissioning","Raw Decommissioning","Raw Provisioning"))</x:f>
        <x:v>Raw Provisioning</x:v>
      </x:c>
      <x:c r="Z453" s="170" t="str">
        <x:f>IF(A453="","",IF(OR(C453="executing",C453="processing"),"Yes","No"))</x:f>
        <x:v>No</x:v>
      </x:c>
    </x:row>
    <x:row r="454">
      <x:c r="A454" s="170" t="str">
        <x:f>IF(ROWS($A$5:A454)&lt;=COUNTA('Raw Decommissioning'!$B$2:$B$1000),INDEX('Raw Decommissioning'!$B$2:$B$1000,ROWS($A$5:A454)),IF(ROWS($A$5:A454)-COUNTA('Raw Decommissioning'!$B$2:$B$1000)&lt;=COUNTA('Raw Provisioning'!$B$2:$B$1000),INDEX('Raw Provisioning'!$B$2:$B$1000,ROWS($A$5:A454)-COUNTA('Raw Decommissioning'!$B$2:$B$1000)),""))</x:f>
        <x:v>CSSP10489794</x:v>
      </x:c>
      <x:c r="B454" s="170" t="str">
        <x:f>IF(A454="","",IF(ROWS($A$5:A454)&lt;=COUNTA('Raw Decommissioning'!$B$2:$B$1000),"Decommissioning","Provisioning"))</x:f>
        <x:v>Provisioning</x:v>
      </x:c>
      <x:c r="C454" s="170" t="str">
        <x:f>IF(A454="","",IF(B454="Decommissioning",IFERROR(INDEX('Raw Decommissioning'!$E$2:$E$1000,MATCH(A454,'Raw Decommissioning'!$B$2:$B$1000,0)),"Missing from latest raw"),IFERROR(INDEX('Raw Provisioning'!$E$2:$E$1000,MATCH(A454,'Raw Provisioning'!$B$2:$B$1000,0)),"Missing from latest raw")))</x:f>
        <x:v>completed</x:v>
      </x:c>
      <x:c r="D454" s="171" t="n">
        <x:f>IF(A454="","",'Refresh Control'!$B$4)</x:f>
        <x:v>46254</x:v>
      </x:c>
      <x:c r="E454" s="171" t="n">
        <x:f>IF(A454="","",IF(B454="Decommissioning",INDEX('Raw Decommissioning'!$F$2:$F$1000,ROWS($A$5:A454)),INDEX('Raw Provisioning'!$F$2:$F$1000,ROWS($A$5:A454)-COUNTA('Raw Decommissioning'!$B$2:$B$1000))))</x:f>
        <x:v>46086.30530608796</x:v>
      </x:c>
      <x:c r="F454" s="171" t="n">
        <x:f>IF(A454="","",IF(B454="Decommissioning",INDEX('Raw Decommissioning'!$G$2:$G$1000,ROWS($A$5:A454)),INDEX('Raw Provisioning'!$H$2:$H$1000,ROWS($A$5:A454)-COUNTA('Raw Decommissioning'!$B$2:$B$1000))))</x:f>
        <x:v>46100.39461304398</x:v>
      </x:c>
      <x:c r="G454" s="170" t="str">
        <x:f>IF(A454="","",IF(B454="Decommissioning",INDEX('Raw Decommissioning'!$I$2:$I$1000,ROWS($A$5:A454)),INDEX('Raw Provisioning'!$J$2:$J$1000,ROWS($A$5:A454)-COUNTA('Raw Decommissioning'!$B$2:$B$1000))))</x:f>
        <x:v>Outsystem - Citizen Developer Program</x:v>
      </x:c>
      <x:c r="H454" s="170" t="str">
        <x:f>IF(A454="","",IF(B454="Decommissioning",INDEX('Raw Decommissioning'!$J$2:$J$1000,ROWS($A$5:A454)),INDEX('Raw Provisioning'!$L$2:$L$1000,ROWS($A$5:A454)-COUNTA('Raw Decommissioning'!$B$2:$B$1000))))</x:f>
        <x:v>Citizen Developer Program - OutSystems Standard edition (150 AOs)</x:v>
      </x:c>
      <x:c r="I454" s="170" t="str">
        <x:f>IF(A454="","",IF(B454="Decommissioning",INDEX('Raw Decommissioning'!$AL$2:$AL$1000,ROWS($A$5:A454)),INDEX('Raw Provisioning'!$R$2:$R$1000,ROWS($A$5:A454)-COUNTA('Raw Decommissioning'!$B$2:$B$1000))))</x:f>
        <x:v>M</x:v>
      </x:c>
      <x:c r="J454" s="170" t="str">
        <x:f>IF(A454="","",IF(B454="Decommissioning",INDEX('Raw Decommissioning'!$AG$2:$AG$1000,ROWS($A$5:A454)),INDEX('Raw Provisioning'!$AI$2:$AI$1000,ROWS($A$5:A454)-COUNTA('Raw Decommissioning'!$B$2:$B$1000))))</x:f>
        <x:v>faiz.noorhasim@petronas.com</x:v>
      </x:c>
      <x:c r="K454" s="172" t="str">
        <x:f>IF(A454="","",IFERROR(LOOKUP(2,1/('Assignment History'!$B$5:$B$204=A454),'Assignment History'!$D$5:$D$204),IFERROR(VLOOKUP(J454,Configuration!$L$5:$M$50,2,FALSE),J454)))</x:f>
        <x:v>faiz.noorhasim@petronas.com</x:v>
      </x:c>
      <x:c r="L454" s="172" t="str">
        <x:f>IF(A454="","",IF(K454=IFERROR(VLOOKUP(J454,Configuration!$L$5:$M$50,2,FALSE),J454),"Snapshot PIC","Replacement PIC"))</x:f>
        <x:v>Snapshot PIC</x:v>
      </x:c>
      <x:c r="M454" s="172" t="n">
        <x:f>IF(A454="","",IFERROR(VLOOKUP(I454,Configuration!$O$5:$P$8,2,FALSE),Configuration!$S$6))</x:f>
        <x:v>2</x:v>
      </x:c>
      <x:c r="N454" s="172" t="str">
        <x:f>IF(A454="","",IFERROR(LOOKUP(2,1/('Scope Review'!$B$5:$B$204=A454),'Scope Review'!$G$5:$G$204),"Not Reviewed"))</x:f>
        <x:v>Not Reviewed</x:v>
      </x:c>
      <x:c r="O454" s="172" t="str">
        <x:f>IF(A454="","",IFERROR(LOOKUP(2,1/('Scope Review'!$B$5:$B$204=A454),'Scope Review'!$H$5:$H$204),""))</x:f>
      </x:c>
      <x:c r="P454" s="172" t="n">
        <x:f>IF(A454="","",IF(AND(C454="executing",N454&lt;&gt;"Confirmed OOS"),M454,0))</x:f>
        <x:v>0</x:v>
      </x:c>
      <x:c r="Q454" s="173" t="str">
        <x:f>IF(A454="","",IFERROR(LOOKUP(2,1/('Engineer Updates'!$B$5:$B$704=A454),'Engineer Updates'!$A$5:$A$704),""))</x:f>
      </x:c>
      <x:c r="R454" s="172" t="str">
        <x:f>IF(A454="","",IFERROR(LOOKUP(2,1/('Engineer Updates'!$B$5:$B$704=A454),'Engineer Updates'!$H$5:$H$704),""))</x:f>
      </x:c>
      <x:c r="S454" s="172" t="str">
        <x:f>IF(A454="","",IFERROR(LOOKUP(2,1/('Engineer Updates'!$B$5:$B$704=A454),'Engineer Updates'!$G$5:$G$704),""))</x:f>
      </x:c>
      <x:c r="T454" s="172" t="str">
        <x:f>IF(A454="","",IFERROR(LOOKUP(2,1/('Engineer Updates'!$B$5:$B$704=A454),'Engineer Updates'!$I$5:$I$704),""))</x:f>
      </x:c>
      <x:c r="U454" s="172" t="str">
        <x:f>IF(A454="","",IFERROR(LOOKUP(2,1/('Engineer Updates'!$B$5:$B$704=A454),'Engineer Updates'!$J$5:$J$704),""))</x:f>
      </x:c>
      <x:c r="V454" s="172" t="str">
        <x:f>IF(A454="","",IFERROR(LOOKUP(2,1/('Engineer Updates'!$B$5:$B$704=A454),'Engineer Updates'!$K$5:$K$704),""))</x:f>
      </x:c>
      <x:c r="W454" s="174" t="str">
        <x:f>IF(A454="","",IFERROR(LOOKUP(2,1/('Engineer Updates'!$B$5:$B$704=A454),'Engineer Updates'!$L$5:$L$704),""))</x:f>
      </x:c>
      <x:c r="X454" s="170" t="str">
        <x:f>IF(A454="","",IF(C454="completed","Completed in CSSP",IF(AND(C454="executing",ISERROR(SEARCH("@",K454))),"Executing without named engineer",IF(AND(N454="Confirmed OOS",C454="executing"),"Confirmed OOS still executing",""))))</x:f>
        <x:v>Completed in CSSP</x:v>
      </x:c>
      <x:c r="Y454" s="170" t="str">
        <x:f>IF(A454="","",IF(B454="Decommissioning","Raw Decommissioning","Raw Provisioning"))</x:f>
        <x:v>Raw Provisioning</x:v>
      </x:c>
      <x:c r="Z454" s="170" t="str">
        <x:f>IF(A454="","",IF(OR(C454="executing",C454="processing"),"Yes","No"))</x:f>
        <x:v>No</x:v>
      </x:c>
    </x:row>
    <x:row r="455">
      <x:c r="A455" s="170" t="str">
        <x:f>IF(ROWS($A$5:A455)&lt;=COUNTA('Raw Decommissioning'!$B$2:$B$1000),INDEX('Raw Decommissioning'!$B$2:$B$1000,ROWS($A$5:A455)),IF(ROWS($A$5:A455)-COUNTA('Raw Decommissioning'!$B$2:$B$1000)&lt;=COUNTA('Raw Provisioning'!$B$2:$B$1000),INDEX('Raw Provisioning'!$B$2:$B$1000,ROWS($A$5:A455)-COUNTA('Raw Decommissioning'!$B$2:$B$1000)),""))</x:f>
        <x:v>CSSP10732023</x:v>
      </x:c>
      <x:c r="B455" s="170" t="str">
        <x:f>IF(A455="","",IF(ROWS($A$5:A455)&lt;=COUNTA('Raw Decommissioning'!$B$2:$B$1000),"Decommissioning","Provisioning"))</x:f>
        <x:v>Provisioning</x:v>
      </x:c>
      <x:c r="C455" s="170" t="str">
        <x:f>IF(A455="","",IF(B455="Decommissioning",IFERROR(INDEX('Raw Decommissioning'!$E$2:$E$1000,MATCH(A455,'Raw Decommissioning'!$B$2:$B$1000,0)),"Missing from latest raw"),IFERROR(INDEX('Raw Provisioning'!$E$2:$E$1000,MATCH(A455,'Raw Provisioning'!$B$2:$B$1000,0)),"Missing from latest raw")))</x:f>
        <x:v>completed</x:v>
      </x:c>
      <x:c r="D455" s="171" t="n">
        <x:f>IF(A455="","",'Refresh Control'!$B$4)</x:f>
        <x:v>46254</x:v>
      </x:c>
      <x:c r="E455" s="171" t="n">
        <x:f>IF(A455="","",IF(B455="Decommissioning",INDEX('Raw Decommissioning'!$F$2:$F$1000,ROWS($A$5:A455)),INDEX('Raw Provisioning'!$F$2:$F$1000,ROWS($A$5:A455)-COUNTA('Raw Decommissioning'!$B$2:$B$1000))))</x:f>
        <x:v>46087.00287318287</x:v>
      </x:c>
      <x:c r="F455" s="171" t="n">
        <x:f>IF(A455="","",IF(B455="Decommissioning",INDEX('Raw Decommissioning'!$G$2:$G$1000,ROWS($A$5:A455)),INDEX('Raw Provisioning'!$H$2:$H$1000,ROWS($A$5:A455)-COUNTA('Raw Decommissioning'!$B$2:$B$1000))))</x:f>
        <x:v>46088.708198900466</x:v>
      </x:c>
      <x:c r="G455" s="170" t="str">
        <x:f>IF(A455="","",IF(B455="Decommissioning",INDEX('Raw Decommissioning'!$I$2:$I$1000,ROWS($A$5:A455)),INDEX('Raw Provisioning'!$J$2:$J$1000,ROWS($A$5:A455)-COUNTA('Raw Decommissioning'!$B$2:$B$1000))))</x:f>
        <x:v>SAP 50 ECC6</x:v>
      </x:c>
      <x:c r="H455" s="170" t="str">
        <x:f>IF(A455="","",IF(B455="Decommissioning",INDEX('Raw Decommissioning'!$J$2:$J$1000,ROWS($A$5:A455)),INDEX('Raw Provisioning'!$L$2:$L$1000,ROWS($A$5:A455)-COUNTA('Raw Decommissioning'!$B$2:$B$1000))))</x:f>
        <x:v>S/4HANA Technical Conversion and Migration of SAP Systems P30 and P50</x:v>
      </x:c>
      <x:c r="I455" s="170" t="str">
        <x:f>IF(A455="","",IF(B455="Decommissioning",INDEX('Raw Decommissioning'!$AL$2:$AL$1000,ROWS($A$5:A455)),INDEX('Raw Provisioning'!$R$2:$R$1000,ROWS($A$5:A455)-COUNTA('Raw Decommissioning'!$B$2:$B$1000))))</x:f>
        <x:v>S</x:v>
      </x:c>
      <x:c r="J455" s="170" t="str">
        <x:f>IF(A455="","",IF(B455="Decommissioning",INDEX('Raw Decommissioning'!$AG$2:$AG$1000,ROWS($A$5:A455)),INDEX('Raw Provisioning'!$AI$2:$AI$1000,ROWS($A$5:A455)-COUNTA('Raw Decommissioning'!$B$2:$B$1000))))</x:f>
        <x:v>faiz.noorhasim@petronas.com</x:v>
      </x:c>
      <x:c r="K455" s="172" t="str">
        <x:f>IF(A455="","",IFERROR(LOOKUP(2,1/('Assignment History'!$B$5:$B$204=A455),'Assignment History'!$D$5:$D$204),IFERROR(VLOOKUP(J455,Configuration!$L$5:$M$50,2,FALSE),J455)))</x:f>
        <x:v>faiz.noorhasim@petronas.com</x:v>
      </x:c>
      <x:c r="L455" s="172" t="str">
        <x:f>IF(A455="","",IF(K455=IFERROR(VLOOKUP(J455,Configuration!$L$5:$M$50,2,FALSE),J455),"Snapshot PIC","Replacement PIC"))</x:f>
        <x:v>Snapshot PIC</x:v>
      </x:c>
      <x:c r="M455" s="172" t="n">
        <x:f>IF(A455="","",IFERROR(VLOOKUP(I455,Configuration!$O$5:$P$8,2,FALSE),Configuration!$S$6))</x:f>
        <x:v>1</x:v>
      </x:c>
      <x:c r="N455" s="172" t="str">
        <x:f>IF(A455="","",IFERROR(LOOKUP(2,1/('Scope Review'!$B$5:$B$204=A455),'Scope Review'!$G$5:$G$204),"Not Reviewed"))</x:f>
        <x:v>Not Reviewed</x:v>
      </x:c>
      <x:c r="O455" s="172" t="str">
        <x:f>IF(A455="","",IFERROR(LOOKUP(2,1/('Scope Review'!$B$5:$B$204=A455),'Scope Review'!$H$5:$H$204),""))</x:f>
      </x:c>
      <x:c r="P455" s="172" t="n">
        <x:f>IF(A455="","",IF(AND(C455="executing",N455&lt;&gt;"Confirmed OOS"),M455,0))</x:f>
        <x:v>0</x:v>
      </x:c>
      <x:c r="Q455" s="173" t="str">
        <x:f>IF(A455="","",IFERROR(LOOKUP(2,1/('Engineer Updates'!$B$5:$B$704=A455),'Engineer Updates'!$A$5:$A$704),""))</x:f>
      </x:c>
      <x:c r="R455" s="172" t="str">
        <x:f>IF(A455="","",IFERROR(LOOKUP(2,1/('Engineer Updates'!$B$5:$B$704=A455),'Engineer Updates'!$H$5:$H$704),""))</x:f>
      </x:c>
      <x:c r="S455" s="172" t="str">
        <x:f>IF(A455="","",IFERROR(LOOKUP(2,1/('Engineer Updates'!$B$5:$B$704=A455),'Engineer Updates'!$G$5:$G$704),""))</x:f>
      </x:c>
      <x:c r="T455" s="172" t="str">
        <x:f>IF(A455="","",IFERROR(LOOKUP(2,1/('Engineer Updates'!$B$5:$B$704=A455),'Engineer Updates'!$I$5:$I$704),""))</x:f>
      </x:c>
      <x:c r="U455" s="172" t="str">
        <x:f>IF(A455="","",IFERROR(LOOKUP(2,1/('Engineer Updates'!$B$5:$B$704=A455),'Engineer Updates'!$J$5:$J$704),""))</x:f>
      </x:c>
      <x:c r="V455" s="172" t="str">
        <x:f>IF(A455="","",IFERROR(LOOKUP(2,1/('Engineer Updates'!$B$5:$B$704=A455),'Engineer Updates'!$K$5:$K$704),""))</x:f>
      </x:c>
      <x:c r="W455" s="174" t="str">
        <x:f>IF(A455="","",IFERROR(LOOKUP(2,1/('Engineer Updates'!$B$5:$B$704=A455),'Engineer Updates'!$L$5:$L$704),""))</x:f>
      </x:c>
      <x:c r="X455" s="170" t="str">
        <x:f>IF(A455="","",IF(C455="completed","Completed in CSSP",IF(AND(C455="executing",ISERROR(SEARCH("@",K455))),"Executing without named engineer",IF(AND(N455="Confirmed OOS",C455="executing"),"Confirmed OOS still executing",""))))</x:f>
        <x:v>Completed in CSSP</x:v>
      </x:c>
      <x:c r="Y455" s="170" t="str">
        <x:f>IF(A455="","",IF(B455="Decommissioning","Raw Decommissioning","Raw Provisioning"))</x:f>
        <x:v>Raw Provisioning</x:v>
      </x:c>
      <x:c r="Z455" s="170" t="str">
        <x:f>IF(A455="","",IF(OR(C455="executing",C455="processing"),"Yes","No"))</x:f>
        <x:v>No</x:v>
      </x:c>
    </x:row>
    <x:row r="456">
      <x:c r="A456" s="170" t="str">
        <x:f>IF(ROWS($A$5:A456)&lt;=COUNTA('Raw Decommissioning'!$B$2:$B$1000),INDEX('Raw Decommissioning'!$B$2:$B$1000,ROWS($A$5:A456)),IF(ROWS($A$5:A456)-COUNTA('Raw Decommissioning'!$B$2:$B$1000)&lt;=COUNTA('Raw Provisioning'!$B$2:$B$1000),INDEX('Raw Provisioning'!$B$2:$B$1000,ROWS($A$5:A456)-COUNTA('Raw Decommissioning'!$B$2:$B$1000)),""))</x:f>
        <x:v>CSSP10398565</x:v>
      </x:c>
      <x:c r="B456" s="170" t="str">
        <x:f>IF(A456="","",IF(ROWS($A$5:A456)&lt;=COUNTA('Raw Decommissioning'!$B$2:$B$1000),"Decommissioning","Provisioning"))</x:f>
        <x:v>Provisioning</x:v>
      </x:c>
      <x:c r="C456" s="170" t="str">
        <x:f>IF(A456="","",IF(B456="Decommissioning",IFERROR(INDEX('Raw Decommissioning'!$E$2:$E$1000,MATCH(A456,'Raw Decommissioning'!$B$2:$B$1000,0)),"Missing from latest raw"),IFERROR(INDEX('Raw Provisioning'!$E$2:$E$1000,MATCH(A456,'Raw Provisioning'!$B$2:$B$1000,0)),"Missing from latest raw")))</x:f>
        <x:v>completed</x:v>
      </x:c>
      <x:c r="D456" s="171" t="n">
        <x:f>IF(A456="","",'Refresh Control'!$B$4)</x:f>
        <x:v>46254</x:v>
      </x:c>
      <x:c r="E456" s="171" t="n">
        <x:f>IF(A456="","",IF(B456="Decommissioning",INDEX('Raw Decommissioning'!$F$2:$F$1000,ROWS($A$5:A456)),INDEX('Raw Provisioning'!$F$2:$F$1000,ROWS($A$5:A456)-COUNTA('Raw Decommissioning'!$B$2:$B$1000))))</x:f>
        <x:v>46090.168200092594</x:v>
      </x:c>
      <x:c r="F456" s="171" t="n">
        <x:f>IF(A456="","",IF(B456="Decommissioning",INDEX('Raw Decommissioning'!$G$2:$G$1000,ROWS($A$5:A456)),INDEX('Raw Provisioning'!$H$2:$H$1000,ROWS($A$5:A456)-COUNTA('Raw Decommissioning'!$B$2:$B$1000))))</x:f>
        <x:v>46129.086684988426</x:v>
      </x:c>
      <x:c r="G456" s="170" t="str">
        <x:f>IF(A456="","",IF(B456="Decommissioning",INDEX('Raw Decommissioning'!$I$2:$I$1000,ROWS($A$5:A456)),INDEX('Raw Provisioning'!$J$2:$J$1000,ROWS($A$5:A456)-COUNTA('Raw Decommissioning'!$B$2:$B$1000))))</x:f>
        <x:v>PDB Data &amp; Intelligence Platform</x:v>
      </x:c>
      <x:c r="H456" s="170" t="str">
        <x:f>IF(A456="","",IF(B456="Decommissioning",INDEX('Raw Decommissioning'!$J$2:$J$1000,ROWS($A$5:A456)),INDEX('Raw Provisioning'!$L$2:$L$1000,ROWS($A$5:A456)-COUNTA('Raw Decommissioning'!$B$2:$B$1000))))</x:f>
        <x:v>PDB Data &amp; Intelligence Platform</x:v>
      </x:c>
      <x:c r="I456" s="170" t="str">
        <x:f>IF(A456="","",IF(B456="Decommissioning",INDEX('Raw Decommissioning'!$AL$2:$AL$1000,ROWS($A$5:A456)),INDEX('Raw Provisioning'!$R$2:$R$1000,ROWS($A$5:A456)-COUNTA('Raw Decommissioning'!$B$2:$B$1000))))</x:f>
        <x:v>L</x:v>
      </x:c>
      <x:c r="J456" s="170" t="str">
        <x:f>IF(A456="","",IF(B456="Decommissioning",INDEX('Raw Decommissioning'!$AG$2:$AG$1000,ROWS($A$5:A456)),INDEX('Raw Provisioning'!$AI$2:$AI$1000,ROWS($A$5:A456)-COUNTA('Raw Decommissioning'!$B$2:$B$1000))))</x:f>
        <x:v>amin.manshor@petronas.com</x:v>
      </x:c>
      <x:c r="K456" s="172" t="str">
        <x:f>IF(A456="","",IFERROR(LOOKUP(2,1/('Assignment History'!$B$5:$B$204=A456),'Assignment History'!$D$5:$D$204),IFERROR(VLOOKUP(J456,Configuration!$L$5:$M$50,2,FALSE),J456)))</x:f>
        <x:v>amin.manshor@petronas.com</x:v>
      </x:c>
      <x:c r="L456" s="172" t="str">
        <x:f>IF(A456="","",IF(K456=IFERROR(VLOOKUP(J456,Configuration!$L$5:$M$50,2,FALSE),J456),"Snapshot PIC","Replacement PIC"))</x:f>
        <x:v>Snapshot PIC</x:v>
      </x:c>
      <x:c r="M456" s="172" t="n">
        <x:f>IF(A456="","",IFERROR(VLOOKUP(I456,Configuration!$O$5:$P$8,2,FALSE),Configuration!$S$6))</x:f>
        <x:v>3</x:v>
      </x:c>
      <x:c r="N456" s="172" t="str">
        <x:f>IF(A456="","",IFERROR(LOOKUP(2,1/('Scope Review'!$B$5:$B$204=A456),'Scope Review'!$G$5:$G$204),"Not Reviewed"))</x:f>
        <x:v>Not Reviewed</x:v>
      </x:c>
      <x:c r="O456" s="172" t="str">
        <x:f>IF(A456="","",IFERROR(LOOKUP(2,1/('Scope Review'!$B$5:$B$204=A456),'Scope Review'!$H$5:$H$204),""))</x:f>
      </x:c>
      <x:c r="P456" s="172" t="n">
        <x:f>IF(A456="","",IF(AND(C456="executing",N456&lt;&gt;"Confirmed OOS"),M456,0))</x:f>
        <x:v>0</x:v>
      </x:c>
      <x:c r="Q456" s="173" t="str">
        <x:f>IF(A456="","",IFERROR(LOOKUP(2,1/('Engineer Updates'!$B$5:$B$704=A456),'Engineer Updates'!$A$5:$A$704),""))</x:f>
      </x:c>
      <x:c r="R456" s="172" t="str">
        <x:f>IF(A456="","",IFERROR(LOOKUP(2,1/('Engineer Updates'!$B$5:$B$704=A456),'Engineer Updates'!$H$5:$H$704),""))</x:f>
      </x:c>
      <x:c r="S456" s="172" t="str">
        <x:f>IF(A456="","",IFERROR(LOOKUP(2,1/('Engineer Updates'!$B$5:$B$704=A456),'Engineer Updates'!$G$5:$G$704),""))</x:f>
      </x:c>
      <x:c r="T456" s="172" t="str">
        <x:f>IF(A456="","",IFERROR(LOOKUP(2,1/('Engineer Updates'!$B$5:$B$704=A456),'Engineer Updates'!$I$5:$I$704),""))</x:f>
      </x:c>
      <x:c r="U456" s="172" t="str">
        <x:f>IF(A456="","",IFERROR(LOOKUP(2,1/('Engineer Updates'!$B$5:$B$704=A456),'Engineer Updates'!$J$5:$J$704),""))</x:f>
      </x:c>
      <x:c r="V456" s="172" t="str">
        <x:f>IF(A456="","",IFERROR(LOOKUP(2,1/('Engineer Updates'!$B$5:$B$704=A456),'Engineer Updates'!$K$5:$K$704),""))</x:f>
      </x:c>
      <x:c r="W456" s="174" t="str">
        <x:f>IF(A456="","",IFERROR(LOOKUP(2,1/('Engineer Updates'!$B$5:$B$704=A456),'Engineer Updates'!$L$5:$L$704),""))</x:f>
      </x:c>
      <x:c r="X456" s="170" t="str">
        <x:f>IF(A456="","",IF(C456="completed","Completed in CSSP",IF(AND(C456="executing",ISERROR(SEARCH("@",K456))),"Executing without named engineer",IF(AND(N456="Confirmed OOS",C456="executing"),"Confirmed OOS still executing",""))))</x:f>
        <x:v>Completed in CSSP</x:v>
      </x:c>
      <x:c r="Y456" s="170" t="str">
        <x:f>IF(A456="","",IF(B456="Decommissioning","Raw Decommissioning","Raw Provisioning"))</x:f>
        <x:v>Raw Provisioning</x:v>
      </x:c>
      <x:c r="Z456" s="170" t="str">
        <x:f>IF(A456="","",IF(OR(C456="executing",C456="processing"),"Yes","No"))</x:f>
        <x:v>No</x:v>
      </x:c>
    </x:row>
    <x:row r="457">
      <x:c r="A457" s="170" t="str">
        <x:f>IF(ROWS($A$5:A457)&lt;=COUNTA('Raw Decommissioning'!$B$2:$B$1000),INDEX('Raw Decommissioning'!$B$2:$B$1000,ROWS($A$5:A457)),IF(ROWS($A$5:A457)-COUNTA('Raw Decommissioning'!$B$2:$B$1000)&lt;=COUNTA('Raw Provisioning'!$B$2:$B$1000),INDEX('Raw Provisioning'!$B$2:$B$1000,ROWS($A$5:A457)-COUNTA('Raw Decommissioning'!$B$2:$B$1000)),""))</x:f>
        <x:v>CSSP10114358</x:v>
      </x:c>
      <x:c r="B457" s="170" t="str">
        <x:f>IF(A457="","",IF(ROWS($A$5:A457)&lt;=COUNTA('Raw Decommissioning'!$B$2:$B$1000),"Decommissioning","Provisioning"))</x:f>
        <x:v>Provisioning</x:v>
      </x:c>
      <x:c r="C457" s="170" t="str">
        <x:f>IF(A457="","",IF(B457="Decommissioning",IFERROR(INDEX('Raw Decommissioning'!$E$2:$E$1000,MATCH(A457,'Raw Decommissioning'!$B$2:$B$1000,0)),"Missing from latest raw"),IFERROR(INDEX('Raw Provisioning'!$E$2:$E$1000,MATCH(A457,'Raw Provisioning'!$B$2:$B$1000,0)),"Missing from latest raw")))</x:f>
        <x:v>completed</x:v>
      </x:c>
      <x:c r="D457" s="171" t="n">
        <x:f>IF(A457="","",'Refresh Control'!$B$4)</x:f>
        <x:v>46254</x:v>
      </x:c>
      <x:c r="E457" s="171" t="n">
        <x:f>IF(A457="","",IF(B457="Decommissioning",INDEX('Raw Decommissioning'!$F$2:$F$1000,ROWS($A$5:A457)),INDEX('Raw Provisioning'!$F$2:$F$1000,ROWS($A$5:A457)-COUNTA('Raw Decommissioning'!$B$2:$B$1000))))</x:f>
        <x:v>46090.16904212963</x:v>
      </x:c>
      <x:c r="F457" s="171" t="n">
        <x:f>IF(A457="","",IF(B457="Decommissioning",INDEX('Raw Decommissioning'!$G$2:$G$1000,ROWS($A$5:A457)),INDEX('Raw Provisioning'!$H$2:$H$1000,ROWS($A$5:A457)-COUNTA('Raw Decommissioning'!$B$2:$B$1000))))</x:f>
        <x:v>46129.087061631944</x:v>
      </x:c>
      <x:c r="G457" s="170" t="str">
        <x:f>IF(A457="","",IF(B457="Decommissioning",INDEX('Raw Decommissioning'!$I$2:$I$1000,ROWS($A$5:A457)),INDEX('Raw Provisioning'!$J$2:$J$1000,ROWS($A$5:A457)-COUNTA('Raw Decommissioning'!$B$2:$B$1000))))</x:f>
        <x:v>PDB Data &amp; Intelligence Platform</x:v>
      </x:c>
      <x:c r="H457" s="170" t="str">
        <x:f>IF(A457="","",IF(B457="Decommissioning",INDEX('Raw Decommissioning'!$J$2:$J$1000,ROWS($A$5:A457)),INDEX('Raw Provisioning'!$L$2:$L$1000,ROWS($A$5:A457)-COUNTA('Raw Decommissioning'!$B$2:$B$1000))))</x:f>
        <x:v>PDB Data &amp; Intelligence Platform</x:v>
      </x:c>
      <x:c r="I457" s="170" t="str">
        <x:f>IF(A457="","",IF(B457="Decommissioning",INDEX('Raw Decommissioning'!$AL$2:$AL$1000,ROWS($A$5:A457)),INDEX('Raw Provisioning'!$R$2:$R$1000,ROWS($A$5:A457)-COUNTA('Raw Decommissioning'!$B$2:$B$1000))))</x:f>
        <x:v>L</x:v>
      </x:c>
      <x:c r="J457" s="170" t="str">
        <x:f>IF(A457="","",IF(B457="Decommissioning",INDEX('Raw Decommissioning'!$AG$2:$AG$1000,ROWS($A$5:A457)),INDEX('Raw Provisioning'!$AI$2:$AI$1000,ROWS($A$5:A457)-COUNTA('Raw Decommissioning'!$B$2:$B$1000))))</x:f>
        <x:v>amin.manshor@petronas.com</x:v>
      </x:c>
      <x:c r="K457" s="172" t="str">
        <x:f>IF(A457="","",IFERROR(LOOKUP(2,1/('Assignment History'!$B$5:$B$204=A457),'Assignment History'!$D$5:$D$204),IFERROR(VLOOKUP(J457,Configuration!$L$5:$M$50,2,FALSE),J457)))</x:f>
        <x:v>amin.manshor@petronas.com</x:v>
      </x:c>
      <x:c r="L457" s="172" t="str">
        <x:f>IF(A457="","",IF(K457=IFERROR(VLOOKUP(J457,Configuration!$L$5:$M$50,2,FALSE),J457),"Snapshot PIC","Replacement PIC"))</x:f>
        <x:v>Snapshot PIC</x:v>
      </x:c>
      <x:c r="M457" s="172" t="n">
        <x:f>IF(A457="","",IFERROR(VLOOKUP(I457,Configuration!$O$5:$P$8,2,FALSE),Configuration!$S$6))</x:f>
        <x:v>3</x:v>
      </x:c>
      <x:c r="N457" s="172" t="str">
        <x:f>IF(A457="","",IFERROR(LOOKUP(2,1/('Scope Review'!$B$5:$B$204=A457),'Scope Review'!$G$5:$G$204),"Not Reviewed"))</x:f>
        <x:v>Not Reviewed</x:v>
      </x:c>
      <x:c r="O457" s="172" t="str">
        <x:f>IF(A457="","",IFERROR(LOOKUP(2,1/('Scope Review'!$B$5:$B$204=A457),'Scope Review'!$H$5:$H$204),""))</x:f>
      </x:c>
      <x:c r="P457" s="172" t="n">
        <x:f>IF(A457="","",IF(AND(C457="executing",N457&lt;&gt;"Confirmed OOS"),M457,0))</x:f>
        <x:v>0</x:v>
      </x:c>
      <x:c r="Q457" s="173" t="str">
        <x:f>IF(A457="","",IFERROR(LOOKUP(2,1/('Engineer Updates'!$B$5:$B$704=A457),'Engineer Updates'!$A$5:$A$704),""))</x:f>
      </x:c>
      <x:c r="R457" s="172" t="str">
        <x:f>IF(A457="","",IFERROR(LOOKUP(2,1/('Engineer Updates'!$B$5:$B$704=A457),'Engineer Updates'!$H$5:$H$704),""))</x:f>
      </x:c>
      <x:c r="S457" s="172" t="str">
        <x:f>IF(A457="","",IFERROR(LOOKUP(2,1/('Engineer Updates'!$B$5:$B$704=A457),'Engineer Updates'!$G$5:$G$704),""))</x:f>
      </x:c>
      <x:c r="T457" s="172" t="str">
        <x:f>IF(A457="","",IFERROR(LOOKUP(2,1/('Engineer Updates'!$B$5:$B$704=A457),'Engineer Updates'!$I$5:$I$704),""))</x:f>
      </x:c>
      <x:c r="U457" s="172" t="str">
        <x:f>IF(A457="","",IFERROR(LOOKUP(2,1/('Engineer Updates'!$B$5:$B$704=A457),'Engineer Updates'!$J$5:$J$704),""))</x:f>
      </x:c>
      <x:c r="V457" s="172" t="str">
        <x:f>IF(A457="","",IFERROR(LOOKUP(2,1/('Engineer Updates'!$B$5:$B$704=A457),'Engineer Updates'!$K$5:$K$704),""))</x:f>
      </x:c>
      <x:c r="W457" s="174" t="str">
        <x:f>IF(A457="","",IFERROR(LOOKUP(2,1/('Engineer Updates'!$B$5:$B$704=A457),'Engineer Updates'!$L$5:$L$704),""))</x:f>
      </x:c>
      <x:c r="X457" s="170" t="str">
        <x:f>IF(A457="","",IF(C457="completed","Completed in CSSP",IF(AND(C457="executing",ISERROR(SEARCH("@",K457))),"Executing without named engineer",IF(AND(N457="Confirmed OOS",C457="executing"),"Confirmed OOS still executing",""))))</x:f>
        <x:v>Completed in CSSP</x:v>
      </x:c>
      <x:c r="Y457" s="170" t="str">
        <x:f>IF(A457="","",IF(B457="Decommissioning","Raw Decommissioning","Raw Provisioning"))</x:f>
        <x:v>Raw Provisioning</x:v>
      </x:c>
      <x:c r="Z457" s="170" t="str">
        <x:f>IF(A457="","",IF(OR(C457="executing",C457="processing"),"Yes","No"))</x:f>
        <x:v>No</x:v>
      </x:c>
    </x:row>
    <x:row r="458">
      <x:c r="A458" s="170" t="str">
        <x:f>IF(ROWS($A$5:A458)&lt;=COUNTA('Raw Decommissioning'!$B$2:$B$1000),INDEX('Raw Decommissioning'!$B$2:$B$1000,ROWS($A$5:A458)),IF(ROWS($A$5:A458)-COUNTA('Raw Decommissioning'!$B$2:$B$1000)&lt;=COUNTA('Raw Provisioning'!$B$2:$B$1000),INDEX('Raw Provisioning'!$B$2:$B$1000,ROWS($A$5:A458)-COUNTA('Raw Decommissioning'!$B$2:$B$1000)),""))</x:f>
        <x:v>CSSP10448286</x:v>
      </x:c>
      <x:c r="B458" s="170" t="str">
        <x:f>IF(A458="","",IF(ROWS($A$5:A458)&lt;=COUNTA('Raw Decommissioning'!$B$2:$B$1000),"Decommissioning","Provisioning"))</x:f>
        <x:v>Provisioning</x:v>
      </x:c>
      <x:c r="C458" s="170" t="str">
        <x:f>IF(A458="","",IF(B458="Decommissioning",IFERROR(INDEX('Raw Decommissioning'!$E$2:$E$1000,MATCH(A458,'Raw Decommissioning'!$B$2:$B$1000,0)),"Missing from latest raw"),IFERROR(INDEX('Raw Provisioning'!$E$2:$E$1000,MATCH(A458,'Raw Provisioning'!$B$2:$B$1000,0)),"Missing from latest raw")))</x:f>
        <x:v>rejected</x:v>
      </x:c>
      <x:c r="D458" s="171" t="n">
        <x:f>IF(A458="","",'Refresh Control'!$B$4)</x:f>
        <x:v>46254</x:v>
      </x:c>
      <x:c r="E458" s="171" t="n">
        <x:f>IF(A458="","",IF(B458="Decommissioning",INDEX('Raw Decommissioning'!$F$2:$F$1000,ROWS($A$5:A458)),INDEX('Raw Provisioning'!$F$2:$F$1000,ROWS($A$5:A458)-COUNTA('Raw Decommissioning'!$B$2:$B$1000))))</x:f>
        <x:v>46090.28968721065</x:v>
      </x:c>
      <x:c r="F458" s="171" t="n">
        <x:f>IF(A458="","",IF(B458="Decommissioning",INDEX('Raw Decommissioning'!$G$2:$G$1000,ROWS($A$5:A458)),INDEX('Raw Provisioning'!$H$2:$H$1000,ROWS($A$5:A458)-COUNTA('Raw Decommissioning'!$B$2:$B$1000))))</x:f>
        <x:v>46125.279041932874</x:v>
      </x:c>
      <x:c r="G458" s="170" t="str">
        <x:f>IF(A458="","",IF(B458="Decommissioning",INDEX('Raw Decommissioning'!$I$2:$I$1000,ROWS($A$5:A458)),INDEX('Raw Provisioning'!$J$2:$J$1000,ROWS($A$5:A458)-COUNTA('Raw Decommissioning'!$B$2:$B$1000))))</x:f>
        <x:v>Integrated Asset Modelling - IAM</x:v>
      </x:c>
      <x:c r="H458" s="170" t="str">
        <x:f>IF(A458="","",IF(B458="Decommissioning",INDEX('Raw Decommissioning'!$J$2:$J$1000,ROWS($A$5:A458)),INDEX('Raw Provisioning'!$L$2:$L$1000,ROWS($A$5:A458)-COUNTA('Raw Decommissioning'!$B$2:$B$1000))))</x:f>
        <x:v>Implementation of development, testing and production server for Integrated Asset Modelling (IAM) for COE, PCSB</x:v>
      </x:c>
      <x:c r="I458" s="170" t="str">
        <x:f>IF(A458="","",IF(B458="Decommissioning",INDEX('Raw Decommissioning'!$AL$2:$AL$1000,ROWS($A$5:A458)),INDEX('Raw Provisioning'!$R$2:$R$1000,ROWS($A$5:A458)-COUNTA('Raw Decommissioning'!$B$2:$B$1000))))</x:f>
      </x:c>
      <x:c r="J458" s="170" t="str">
        <x:f>IF(A458="","",IF(B458="Decommissioning",INDEX('Raw Decommissioning'!$AG$2:$AG$1000,ROWS($A$5:A458)),INDEX('Raw Provisioning'!$AI$2:$AI$1000,ROWS($A$5:A458)-COUNTA('Raw Decommissioning'!$B$2:$B$1000))))</x:f>
        <x:v>CCoE Core Services (Public)</x:v>
      </x:c>
      <x:c r="K458" s="172" t="str">
        <x:f>IF(A458="","",IFERROR(LOOKUP(2,1/('Assignment History'!$B$5:$B$204=A458),'Assignment History'!$D$5:$D$204),IFERROR(VLOOKUP(J458,Configuration!$L$5:$M$50,2,FALSE),J458)))</x:f>
        <x:v>CCoE Core Services (Public)</x:v>
      </x:c>
      <x:c r="L458" s="172" t="str">
        <x:f>IF(A458="","",IF(K458=IFERROR(VLOOKUP(J458,Configuration!$L$5:$M$50,2,FALSE),J458),"Snapshot PIC","Replacement PIC"))</x:f>
        <x:v>Snapshot PIC</x:v>
      </x:c>
      <x:c r="M458" s="172" t="n">
        <x:f>IF(A458="","",IFERROR(VLOOKUP(I458,Configuration!$O$5:$P$8,2,FALSE),Configuration!$S$6))</x:f>
        <x:v>2</x:v>
      </x:c>
      <x:c r="N458" s="172" t="str">
        <x:f>IF(A458="","",IFERROR(LOOKUP(2,1/('Scope Review'!$B$5:$B$204=A458),'Scope Review'!$G$5:$G$204),"Not Reviewed"))</x:f>
        <x:v>Not Reviewed</x:v>
      </x:c>
      <x:c r="O458" s="172" t="str">
        <x:f>IF(A458="","",IFERROR(LOOKUP(2,1/('Scope Review'!$B$5:$B$204=A458),'Scope Review'!$H$5:$H$204),""))</x:f>
      </x:c>
      <x:c r="P458" s="172" t="n">
        <x:f>IF(A458="","",IF(AND(C458="executing",N458&lt;&gt;"Confirmed OOS"),M458,0))</x:f>
        <x:v>0</x:v>
      </x:c>
      <x:c r="Q458" s="173" t="str">
        <x:f>IF(A458="","",IFERROR(LOOKUP(2,1/('Engineer Updates'!$B$5:$B$704=A458),'Engineer Updates'!$A$5:$A$704),""))</x:f>
      </x:c>
      <x:c r="R458" s="172" t="str">
        <x:f>IF(A458="","",IFERROR(LOOKUP(2,1/('Engineer Updates'!$B$5:$B$704=A458),'Engineer Updates'!$H$5:$H$704),""))</x:f>
      </x:c>
      <x:c r="S458" s="172" t="str">
        <x:f>IF(A458="","",IFERROR(LOOKUP(2,1/('Engineer Updates'!$B$5:$B$704=A458),'Engineer Updates'!$G$5:$G$704),""))</x:f>
      </x:c>
      <x:c r="T458" s="172" t="str">
        <x:f>IF(A458="","",IFERROR(LOOKUP(2,1/('Engineer Updates'!$B$5:$B$704=A458),'Engineer Updates'!$I$5:$I$704),""))</x:f>
      </x:c>
      <x:c r="U458" s="172" t="str">
        <x:f>IF(A458="","",IFERROR(LOOKUP(2,1/('Engineer Updates'!$B$5:$B$704=A458),'Engineer Updates'!$J$5:$J$704),""))</x:f>
      </x:c>
      <x:c r="V458" s="172" t="str">
        <x:f>IF(A458="","",IFERROR(LOOKUP(2,1/('Engineer Updates'!$B$5:$B$704=A458),'Engineer Updates'!$K$5:$K$704),""))</x:f>
      </x:c>
      <x:c r="W458" s="174" t="str">
        <x:f>IF(A458="","",IFERROR(LOOKUP(2,1/('Engineer Updates'!$B$5:$B$704=A458),'Engineer Updates'!$L$5:$L$704),""))</x:f>
      </x:c>
      <x:c r="X458" s="170" t="str">
        <x:f>IF(A458="","",IF(C458="completed","Completed in CSSP",IF(AND(C458="executing",ISERROR(SEARCH("@",K458))),"Executing without named engineer",IF(AND(N458="Confirmed OOS",C458="executing"),"Confirmed OOS still executing",""))))</x:f>
      </x:c>
      <x:c r="Y458" s="170" t="str">
        <x:f>IF(A458="","",IF(B458="Decommissioning","Raw Decommissioning","Raw Provisioning"))</x:f>
        <x:v>Raw Provisioning</x:v>
      </x:c>
      <x:c r="Z458" s="170" t="str">
        <x:f>IF(A458="","",IF(OR(C458="executing",C458="processing"),"Yes","No"))</x:f>
        <x:v>No</x:v>
      </x:c>
    </x:row>
    <x:row r="459">
      <x:c r="A459" s="170" t="str">
        <x:f>IF(ROWS($A$5:A459)&lt;=COUNTA('Raw Decommissioning'!$B$2:$B$1000),INDEX('Raw Decommissioning'!$B$2:$B$1000,ROWS($A$5:A459)),IF(ROWS($A$5:A459)-COUNTA('Raw Decommissioning'!$B$2:$B$1000)&lt;=COUNTA('Raw Provisioning'!$B$2:$B$1000),INDEX('Raw Provisioning'!$B$2:$B$1000,ROWS($A$5:A459)-COUNTA('Raw Decommissioning'!$B$2:$B$1000)),""))</x:f>
        <x:v>CSSP10683664</x:v>
      </x:c>
      <x:c r="B459" s="170" t="str">
        <x:f>IF(A459="","",IF(ROWS($A$5:A459)&lt;=COUNTA('Raw Decommissioning'!$B$2:$B$1000),"Decommissioning","Provisioning"))</x:f>
        <x:v>Provisioning</x:v>
      </x:c>
      <x:c r="C459" s="170" t="str">
        <x:f>IF(A459="","",IF(B459="Decommissioning",IFERROR(INDEX('Raw Decommissioning'!$E$2:$E$1000,MATCH(A459,'Raw Decommissioning'!$B$2:$B$1000,0)),"Missing from latest raw"),IFERROR(INDEX('Raw Provisioning'!$E$2:$E$1000,MATCH(A459,'Raw Provisioning'!$B$2:$B$1000,0)),"Missing from latest raw")))</x:f>
        <x:v>rejected</x:v>
      </x:c>
      <x:c r="D459" s="171" t="n">
        <x:f>IF(A459="","",'Refresh Control'!$B$4)</x:f>
        <x:v>46254</x:v>
      </x:c>
      <x:c r="E459" s="171" t="n">
        <x:f>IF(A459="","",IF(B459="Decommissioning",INDEX('Raw Decommissioning'!$F$2:$F$1000,ROWS($A$5:A459)),INDEX('Raw Provisioning'!$F$2:$F$1000,ROWS($A$5:A459)-COUNTA('Raw Decommissioning'!$B$2:$B$1000))))</x:f>
        <x:v>46090.31258621528</x:v>
      </x:c>
      <x:c r="F459" s="171" t="n">
        <x:f>IF(A459="","",IF(B459="Decommissioning",INDEX('Raw Decommissioning'!$G$2:$G$1000,ROWS($A$5:A459)),INDEX('Raw Provisioning'!$H$2:$H$1000,ROWS($A$5:A459)-COUNTA('Raw Decommissioning'!$B$2:$B$1000))))</x:f>
        <x:v>46091.28956038194</x:v>
      </x:c>
      <x:c r="G459" s="170" t="str">
        <x:f>IF(A459="","",IF(B459="Decommissioning",INDEX('Raw Decommissioning'!$I$2:$I$1000,ROWS($A$5:A459)),INDEX('Raw Provisioning'!$J$2:$J$1000,ROWS($A$5:A459)-COUNTA('Raw Decommissioning'!$B$2:$B$1000))))</x:f>
        <x:v>Augmented Gas Nomination Ecosystem - AGNES</x:v>
      </x:c>
      <x:c r="H459" s="170" t="str">
        <x:f>IF(A459="","",IF(B459="Decommissioning",INDEX('Raw Decommissioning'!$J$2:$J$1000,ROWS($A$5:A459)),INDEX('Raw Provisioning'!$L$2:$L$1000,ROWS($A$5:A459)-COUNTA('Raw Decommissioning'!$B$2:$B$1000))))</x:f>
        <x:v>Establishment of Augmented Gas Nomination EcoSystem (AGNES) DevSecOps for Malaysia Petroleum Management (MPM)</x:v>
      </x:c>
      <x:c r="I459" s="170" t="str">
        <x:f>IF(A459="","",IF(B459="Decommissioning",INDEX('Raw Decommissioning'!$AL$2:$AL$1000,ROWS($A$5:A459)),INDEX('Raw Provisioning'!$R$2:$R$1000,ROWS($A$5:A459)-COUNTA('Raw Decommissioning'!$B$2:$B$1000))))</x:f>
      </x:c>
      <x:c r="J459" s="170" t="str">
        <x:f>IF(A459="","",IF(B459="Decommissioning",INDEX('Raw Decommissioning'!$AG$2:$AG$1000,ROWS($A$5:A459)),INDEX('Raw Provisioning'!$AI$2:$AI$1000,ROWS($A$5:A459)-COUNTA('Raw Decommissioning'!$B$2:$B$1000))))</x:f>
        <x:v>CCoE Core Services (Public)</x:v>
      </x:c>
      <x:c r="K459" s="172" t="str">
        <x:f>IF(A459="","",IFERROR(LOOKUP(2,1/('Assignment History'!$B$5:$B$204=A459),'Assignment History'!$D$5:$D$204),IFERROR(VLOOKUP(J459,Configuration!$L$5:$M$50,2,FALSE),J459)))</x:f>
        <x:v>CCoE Core Services (Public)</x:v>
      </x:c>
      <x:c r="L459" s="172" t="str">
        <x:f>IF(A459="","",IF(K459=IFERROR(VLOOKUP(J459,Configuration!$L$5:$M$50,2,FALSE),J459),"Snapshot PIC","Replacement PIC"))</x:f>
        <x:v>Snapshot PIC</x:v>
      </x:c>
      <x:c r="M459" s="172" t="n">
        <x:f>IF(A459="","",IFERROR(VLOOKUP(I459,Configuration!$O$5:$P$8,2,FALSE),Configuration!$S$6))</x:f>
        <x:v>2</x:v>
      </x:c>
      <x:c r="N459" s="172" t="str">
        <x:f>IF(A459="","",IFERROR(LOOKUP(2,1/('Scope Review'!$B$5:$B$204=A459),'Scope Review'!$G$5:$G$204),"Not Reviewed"))</x:f>
        <x:v>Not Reviewed</x:v>
      </x:c>
      <x:c r="O459" s="172" t="str">
        <x:f>IF(A459="","",IFERROR(LOOKUP(2,1/('Scope Review'!$B$5:$B$204=A459),'Scope Review'!$H$5:$H$204),""))</x:f>
      </x:c>
      <x:c r="P459" s="172" t="n">
        <x:f>IF(A459="","",IF(AND(C459="executing",N459&lt;&gt;"Confirmed OOS"),M459,0))</x:f>
        <x:v>0</x:v>
      </x:c>
      <x:c r="Q459" s="173" t="str">
        <x:f>IF(A459="","",IFERROR(LOOKUP(2,1/('Engineer Updates'!$B$5:$B$704=A459),'Engineer Updates'!$A$5:$A$704),""))</x:f>
      </x:c>
      <x:c r="R459" s="172" t="str">
        <x:f>IF(A459="","",IFERROR(LOOKUP(2,1/('Engineer Updates'!$B$5:$B$704=A459),'Engineer Updates'!$H$5:$H$704),""))</x:f>
      </x:c>
      <x:c r="S459" s="172" t="str">
        <x:f>IF(A459="","",IFERROR(LOOKUP(2,1/('Engineer Updates'!$B$5:$B$704=A459),'Engineer Updates'!$G$5:$G$704),""))</x:f>
      </x:c>
      <x:c r="T459" s="172" t="str">
        <x:f>IF(A459="","",IFERROR(LOOKUP(2,1/('Engineer Updates'!$B$5:$B$704=A459),'Engineer Updates'!$I$5:$I$704),""))</x:f>
      </x:c>
      <x:c r="U459" s="172" t="str">
        <x:f>IF(A459="","",IFERROR(LOOKUP(2,1/('Engineer Updates'!$B$5:$B$704=A459),'Engineer Updates'!$J$5:$J$704),""))</x:f>
      </x:c>
      <x:c r="V459" s="172" t="str">
        <x:f>IF(A459="","",IFERROR(LOOKUP(2,1/('Engineer Updates'!$B$5:$B$704=A459),'Engineer Updates'!$K$5:$K$704),""))</x:f>
      </x:c>
      <x:c r="W459" s="174" t="str">
        <x:f>IF(A459="","",IFERROR(LOOKUP(2,1/('Engineer Updates'!$B$5:$B$704=A459),'Engineer Updates'!$L$5:$L$704),""))</x:f>
      </x:c>
      <x:c r="X459" s="170" t="str">
        <x:f>IF(A459="","",IF(C459="completed","Completed in CSSP",IF(AND(C459="executing",ISERROR(SEARCH("@",K459))),"Executing without named engineer",IF(AND(N459="Confirmed OOS",C459="executing"),"Confirmed OOS still executing",""))))</x:f>
      </x:c>
      <x:c r="Y459" s="170" t="str">
        <x:f>IF(A459="","",IF(B459="Decommissioning","Raw Decommissioning","Raw Provisioning"))</x:f>
        <x:v>Raw Provisioning</x:v>
      </x:c>
      <x:c r="Z459" s="170" t="str">
        <x:f>IF(A459="","",IF(OR(C459="executing",C459="processing"),"Yes","No"))</x:f>
        <x:v>No</x:v>
      </x:c>
    </x:row>
    <x:row r="460">
      <x:c r="A460" s="170" t="str">
        <x:f>IF(ROWS($A$5:A460)&lt;=COUNTA('Raw Decommissioning'!$B$2:$B$1000),INDEX('Raw Decommissioning'!$B$2:$B$1000,ROWS($A$5:A460)),IF(ROWS($A$5:A460)-COUNTA('Raw Decommissioning'!$B$2:$B$1000)&lt;=COUNTA('Raw Provisioning'!$B$2:$B$1000),INDEX('Raw Provisioning'!$B$2:$B$1000,ROWS($A$5:A460)-COUNTA('Raw Decommissioning'!$B$2:$B$1000)),""))</x:f>
        <x:v>CSSP10958937</x:v>
      </x:c>
      <x:c r="B460" s="170" t="str">
        <x:f>IF(A460="","",IF(ROWS($A$5:A460)&lt;=COUNTA('Raw Decommissioning'!$B$2:$B$1000),"Decommissioning","Provisioning"))</x:f>
        <x:v>Provisioning</x:v>
      </x:c>
      <x:c r="C460" s="170" t="str">
        <x:f>IF(A460="","",IF(B460="Decommissioning",IFERROR(INDEX('Raw Decommissioning'!$E$2:$E$1000,MATCH(A460,'Raw Decommissioning'!$B$2:$B$1000,0)),"Missing from latest raw"),IFERROR(INDEX('Raw Provisioning'!$E$2:$E$1000,MATCH(A460,'Raw Provisioning'!$B$2:$B$1000,0)),"Missing from latest raw")))</x:f>
        <x:v>completed</x:v>
      </x:c>
      <x:c r="D460" s="171" t="n">
        <x:f>IF(A460="","",'Refresh Control'!$B$4)</x:f>
        <x:v>46254</x:v>
      </x:c>
      <x:c r="E460" s="171" t="n">
        <x:f>IF(A460="","",IF(B460="Decommissioning",INDEX('Raw Decommissioning'!$F$2:$F$1000,ROWS($A$5:A460)),INDEX('Raw Provisioning'!$F$2:$F$1000,ROWS($A$5:A460)-COUNTA('Raw Decommissioning'!$B$2:$B$1000))))</x:f>
        <x:v>46090.330007094904</x:v>
      </x:c>
      <x:c r="F460" s="171" t="n">
        <x:f>IF(A460="","",IF(B460="Decommissioning",INDEX('Raw Decommissioning'!$G$2:$G$1000,ROWS($A$5:A460)),INDEX('Raw Provisioning'!$H$2:$H$1000,ROWS($A$5:A460)-COUNTA('Raw Decommissioning'!$B$2:$B$1000))))</x:f>
        <x:v>46135.33716791667</x:v>
      </x:c>
      <x:c r="G460" s="170" t="str">
        <x:f>IF(A460="","",IF(B460="Decommissioning",INDEX('Raw Decommissioning'!$I$2:$I$1000,ROWS($A$5:A460)),INDEX('Raw Provisioning'!$J$2:$J$1000,ROWS($A$5:A460)-COUNTA('Raw Decommissioning'!$B$2:$B$1000))))</x:f>
        <x:v>MyProcure</x:v>
      </x:c>
      <x:c r="H460" s="170" t="str">
        <x:f>IF(A460="","",IF(B460="Decommissioning",INDEX('Raw Decommissioning'!$J$2:$J$1000,ROWS($A$5:A460)),INDEX('Raw Provisioning'!$L$2:$L$1000,ROWS($A$5:A460)-COUNTA('Raw Decommissioning'!$B$2:$B$1000))))</x:f>
        <x:v>Procurement Innovation Through Automation And Procurement Marketplace</x:v>
      </x:c>
      <x:c r="I460" s="170" t="str">
        <x:f>IF(A460="","",IF(B460="Decommissioning",INDEX('Raw Decommissioning'!$AL$2:$AL$1000,ROWS($A$5:A460)),INDEX('Raw Provisioning'!$R$2:$R$1000,ROWS($A$5:A460)-COUNTA('Raw Decommissioning'!$B$2:$B$1000))))</x:f>
        <x:v>L</x:v>
      </x:c>
      <x:c r="J460" s="170" t="str">
        <x:f>IF(A460="","",IF(B460="Decommissioning",INDEX('Raw Decommissioning'!$AG$2:$AG$1000,ROWS($A$5:A460)),INDEX('Raw Provisioning'!$AI$2:$AI$1000,ROWS($A$5:A460)-COUNTA('Raw Decommissioning'!$B$2:$B$1000))))</x:f>
        <x:v>akhmal.roslan@petronas.com</x:v>
      </x:c>
      <x:c r="K460" s="172" t="str">
        <x:f>IF(A460="","",IFERROR(LOOKUP(2,1/('Assignment History'!$B$5:$B$204=A460),'Assignment History'!$D$5:$D$204),IFERROR(VLOOKUP(J460,Configuration!$L$5:$M$50,2,FALSE),J460)))</x:f>
        <x:v>akhmal.roslan@petronas.com</x:v>
      </x:c>
      <x:c r="L460" s="172" t="str">
        <x:f>IF(A460="","",IF(K460=IFERROR(VLOOKUP(J460,Configuration!$L$5:$M$50,2,FALSE),J460),"Snapshot PIC","Replacement PIC"))</x:f>
        <x:v>Snapshot PIC</x:v>
      </x:c>
      <x:c r="M460" s="172" t="n">
        <x:f>IF(A460="","",IFERROR(VLOOKUP(I460,Configuration!$O$5:$P$8,2,FALSE),Configuration!$S$6))</x:f>
        <x:v>3</x:v>
      </x:c>
      <x:c r="N460" s="172" t="str">
        <x:f>IF(A460="","",IFERROR(LOOKUP(2,1/('Scope Review'!$B$5:$B$204=A460),'Scope Review'!$G$5:$G$204),"Not Reviewed"))</x:f>
        <x:v>Not Reviewed</x:v>
      </x:c>
      <x:c r="O460" s="172" t="str">
        <x:f>IF(A460="","",IFERROR(LOOKUP(2,1/('Scope Review'!$B$5:$B$204=A460),'Scope Review'!$H$5:$H$204),""))</x:f>
      </x:c>
      <x:c r="P460" s="172" t="n">
        <x:f>IF(A460="","",IF(AND(C460="executing",N460&lt;&gt;"Confirmed OOS"),M460,0))</x:f>
        <x:v>0</x:v>
      </x:c>
      <x:c r="Q460" s="173" t="str">
        <x:f>IF(A460="","",IFERROR(LOOKUP(2,1/('Engineer Updates'!$B$5:$B$704=A460),'Engineer Updates'!$A$5:$A$704),""))</x:f>
      </x:c>
      <x:c r="R460" s="172" t="str">
        <x:f>IF(A460="","",IFERROR(LOOKUP(2,1/('Engineer Updates'!$B$5:$B$704=A460),'Engineer Updates'!$H$5:$H$704),""))</x:f>
      </x:c>
      <x:c r="S460" s="172" t="str">
        <x:f>IF(A460="","",IFERROR(LOOKUP(2,1/('Engineer Updates'!$B$5:$B$704=A460),'Engineer Updates'!$G$5:$G$704),""))</x:f>
      </x:c>
      <x:c r="T460" s="172" t="str">
        <x:f>IF(A460="","",IFERROR(LOOKUP(2,1/('Engineer Updates'!$B$5:$B$704=A460),'Engineer Updates'!$I$5:$I$704),""))</x:f>
      </x:c>
      <x:c r="U460" s="172" t="str">
        <x:f>IF(A460="","",IFERROR(LOOKUP(2,1/('Engineer Updates'!$B$5:$B$704=A460),'Engineer Updates'!$J$5:$J$704),""))</x:f>
      </x:c>
      <x:c r="V460" s="172" t="str">
        <x:f>IF(A460="","",IFERROR(LOOKUP(2,1/('Engineer Updates'!$B$5:$B$704=A460),'Engineer Updates'!$K$5:$K$704),""))</x:f>
      </x:c>
      <x:c r="W460" s="174" t="str">
        <x:f>IF(A460="","",IFERROR(LOOKUP(2,1/('Engineer Updates'!$B$5:$B$704=A460),'Engineer Updates'!$L$5:$L$704),""))</x:f>
      </x:c>
      <x:c r="X460" s="170" t="str">
        <x:f>IF(A460="","",IF(C460="completed","Completed in CSSP",IF(AND(C460="executing",ISERROR(SEARCH("@",K460))),"Executing without named engineer",IF(AND(N460="Confirmed OOS",C460="executing"),"Confirmed OOS still executing",""))))</x:f>
        <x:v>Completed in CSSP</x:v>
      </x:c>
      <x:c r="Y460" s="170" t="str">
        <x:f>IF(A460="","",IF(B460="Decommissioning","Raw Decommissioning","Raw Provisioning"))</x:f>
        <x:v>Raw Provisioning</x:v>
      </x:c>
      <x:c r="Z460" s="170" t="str">
        <x:f>IF(A460="","",IF(OR(C460="executing",C460="processing"),"Yes","No"))</x:f>
        <x:v>No</x:v>
      </x:c>
    </x:row>
    <x:row r="461">
      <x:c r="A461" s="170" t="str">
        <x:f>IF(ROWS($A$5:A461)&lt;=COUNTA('Raw Decommissioning'!$B$2:$B$1000),INDEX('Raw Decommissioning'!$B$2:$B$1000,ROWS($A$5:A461)),IF(ROWS($A$5:A461)-COUNTA('Raw Decommissioning'!$B$2:$B$1000)&lt;=COUNTA('Raw Provisioning'!$B$2:$B$1000),INDEX('Raw Provisioning'!$B$2:$B$1000,ROWS($A$5:A461)-COUNTA('Raw Decommissioning'!$B$2:$B$1000)),""))</x:f>
        <x:v>CSSP10354764</x:v>
      </x:c>
      <x:c r="B461" s="170" t="str">
        <x:f>IF(A461="","",IF(ROWS($A$5:A461)&lt;=COUNTA('Raw Decommissioning'!$B$2:$B$1000),"Decommissioning","Provisioning"))</x:f>
        <x:v>Provisioning</x:v>
      </x:c>
      <x:c r="C461" s="170" t="str">
        <x:f>IF(A461="","",IF(B461="Decommissioning",IFERROR(INDEX('Raw Decommissioning'!$E$2:$E$1000,MATCH(A461,'Raw Decommissioning'!$B$2:$B$1000,0)),"Missing from latest raw"),IFERROR(INDEX('Raw Provisioning'!$E$2:$E$1000,MATCH(A461,'Raw Provisioning'!$B$2:$B$1000,0)),"Missing from latest raw")))</x:f>
        <x:v>completed</x:v>
      </x:c>
      <x:c r="D461" s="171" t="n">
        <x:f>IF(A461="","",'Refresh Control'!$B$4)</x:f>
        <x:v>46254</x:v>
      </x:c>
      <x:c r="E461" s="171" t="n">
        <x:f>IF(A461="","",IF(B461="Decommissioning",INDEX('Raw Decommissioning'!$F$2:$F$1000,ROWS($A$5:A461)),INDEX('Raw Provisioning'!$F$2:$F$1000,ROWS($A$5:A461)-COUNTA('Raw Decommissioning'!$B$2:$B$1000))))</x:f>
        <x:v>46091.11752489583</x:v>
      </x:c>
      <x:c r="F461" s="171" t="n">
        <x:f>IF(A461="","",IF(B461="Decommissioning",INDEX('Raw Decommissioning'!$G$2:$G$1000,ROWS($A$5:A461)),INDEX('Raw Provisioning'!$H$2:$H$1000,ROWS($A$5:A461)-COUNTA('Raw Decommissioning'!$B$2:$B$1000))))</x:f>
        <x:v>46121.26929103009</x:v>
      </x:c>
      <x:c r="G461" s="170" t="str">
        <x:f>IF(A461="","",IF(B461="Decommissioning",INDEX('Raw Decommissioning'!$I$2:$I$1000,ROWS($A$5:A461)),INDEX('Raw Provisioning'!$J$2:$J$1000,ROWS($A$5:A461)-COUNTA('Raw Decommissioning'!$B$2:$B$1000))))</x:f>
        <x:v>Augmented Gas Nomination Ecosystem - AGNES</x:v>
      </x:c>
      <x:c r="H461" s="170" t="str">
        <x:f>IF(A461="","",IF(B461="Decommissioning",INDEX('Raw Decommissioning'!$J$2:$J$1000,ROWS($A$5:A461)),INDEX('Raw Provisioning'!$L$2:$L$1000,ROWS($A$5:A461)-COUNTA('Raw Decommissioning'!$B$2:$B$1000))))</x:f>
        <x:v>Establishment of Augmented Gas Nomination EcoSystem (AGNES) DevSecOps for Malaysia Petroleum Management (MPM)</x:v>
      </x:c>
      <x:c r="I461" s="170" t="str">
        <x:f>IF(A461="","",IF(B461="Decommissioning",INDEX('Raw Decommissioning'!$AL$2:$AL$1000,ROWS($A$5:A461)),INDEX('Raw Provisioning'!$R$2:$R$1000,ROWS($A$5:A461)-COUNTA('Raw Decommissioning'!$B$2:$B$1000))))</x:f>
        <x:v>M</x:v>
      </x:c>
      <x:c r="J461" s="170" t="str">
        <x:f>IF(A461="","",IF(B461="Decommissioning",INDEX('Raw Decommissioning'!$AG$2:$AG$1000,ROWS($A$5:A461)),INDEX('Raw Provisioning'!$AI$2:$AI$1000,ROWS($A$5:A461)-COUNTA('Raw Decommissioning'!$B$2:$B$1000))))</x:f>
        <x:v>mhafizi.madnan@petronas.com</x:v>
      </x:c>
      <x:c r="K461" s="172" t="str">
        <x:f>IF(A461="","",IFERROR(LOOKUP(2,1/('Assignment History'!$B$5:$B$204=A461),'Assignment History'!$D$5:$D$204),IFERROR(VLOOKUP(J461,Configuration!$L$5:$M$50,2,FALSE),J461)))</x:f>
        <x:v>mhafizi.madnan@petronas.com</x:v>
      </x:c>
      <x:c r="L461" s="172" t="str">
        <x:f>IF(A461="","",IF(K461=IFERROR(VLOOKUP(J461,Configuration!$L$5:$M$50,2,FALSE),J461),"Snapshot PIC","Replacement PIC"))</x:f>
        <x:v>Snapshot PIC</x:v>
      </x:c>
      <x:c r="M461" s="172" t="n">
        <x:f>IF(A461="","",IFERROR(VLOOKUP(I461,Configuration!$O$5:$P$8,2,FALSE),Configuration!$S$6))</x:f>
        <x:v>2</x:v>
      </x:c>
      <x:c r="N461" s="172" t="str">
        <x:f>IF(A461="","",IFERROR(LOOKUP(2,1/('Scope Review'!$B$5:$B$204=A461),'Scope Review'!$G$5:$G$204),"Not Reviewed"))</x:f>
        <x:v>Not Reviewed</x:v>
      </x:c>
      <x:c r="O461" s="172" t="str">
        <x:f>IF(A461="","",IFERROR(LOOKUP(2,1/('Scope Review'!$B$5:$B$204=A461),'Scope Review'!$H$5:$H$204),""))</x:f>
      </x:c>
      <x:c r="P461" s="172" t="n">
        <x:f>IF(A461="","",IF(AND(C461="executing",N461&lt;&gt;"Confirmed OOS"),M461,0))</x:f>
        <x:v>0</x:v>
      </x:c>
      <x:c r="Q461" s="173" t="str">
        <x:f>IF(A461="","",IFERROR(LOOKUP(2,1/('Engineer Updates'!$B$5:$B$704=A461),'Engineer Updates'!$A$5:$A$704),""))</x:f>
      </x:c>
      <x:c r="R461" s="172" t="str">
        <x:f>IF(A461="","",IFERROR(LOOKUP(2,1/('Engineer Updates'!$B$5:$B$704=A461),'Engineer Updates'!$H$5:$H$704),""))</x:f>
      </x:c>
      <x:c r="S461" s="172" t="str">
        <x:f>IF(A461="","",IFERROR(LOOKUP(2,1/('Engineer Updates'!$B$5:$B$704=A461),'Engineer Updates'!$G$5:$G$704),""))</x:f>
      </x:c>
      <x:c r="T461" s="172" t="str">
        <x:f>IF(A461="","",IFERROR(LOOKUP(2,1/('Engineer Updates'!$B$5:$B$704=A461),'Engineer Updates'!$I$5:$I$704),""))</x:f>
      </x:c>
      <x:c r="U461" s="172" t="str">
        <x:f>IF(A461="","",IFERROR(LOOKUP(2,1/('Engineer Updates'!$B$5:$B$704=A461),'Engineer Updates'!$J$5:$J$704),""))</x:f>
      </x:c>
      <x:c r="V461" s="172" t="str">
        <x:f>IF(A461="","",IFERROR(LOOKUP(2,1/('Engineer Updates'!$B$5:$B$704=A461),'Engineer Updates'!$K$5:$K$704),""))</x:f>
      </x:c>
      <x:c r="W461" s="174" t="str">
        <x:f>IF(A461="","",IFERROR(LOOKUP(2,1/('Engineer Updates'!$B$5:$B$704=A461),'Engineer Updates'!$L$5:$L$704),""))</x:f>
      </x:c>
      <x:c r="X461" s="170" t="str">
        <x:f>IF(A461="","",IF(C461="completed","Completed in CSSP",IF(AND(C461="executing",ISERROR(SEARCH("@",K461))),"Executing without named engineer",IF(AND(N461="Confirmed OOS",C461="executing"),"Confirmed OOS still executing",""))))</x:f>
        <x:v>Completed in CSSP</x:v>
      </x:c>
      <x:c r="Y461" s="170" t="str">
        <x:f>IF(A461="","",IF(B461="Decommissioning","Raw Decommissioning","Raw Provisioning"))</x:f>
        <x:v>Raw Provisioning</x:v>
      </x:c>
      <x:c r="Z461" s="170" t="str">
        <x:f>IF(A461="","",IF(OR(C461="executing",C461="processing"),"Yes","No"))</x:f>
        <x:v>No</x:v>
      </x:c>
    </x:row>
    <x:row r="462">
      <x:c r="A462" s="170" t="str">
        <x:f>IF(ROWS($A$5:A462)&lt;=COUNTA('Raw Decommissioning'!$B$2:$B$1000),INDEX('Raw Decommissioning'!$B$2:$B$1000,ROWS($A$5:A462)),IF(ROWS($A$5:A462)-COUNTA('Raw Decommissioning'!$B$2:$B$1000)&lt;=COUNTA('Raw Provisioning'!$B$2:$B$1000),INDEX('Raw Provisioning'!$B$2:$B$1000,ROWS($A$5:A462)-COUNTA('Raw Decommissioning'!$B$2:$B$1000)),""))</x:f>
        <x:v>CSSP10205245</x:v>
      </x:c>
      <x:c r="B462" s="170" t="str">
        <x:f>IF(A462="","",IF(ROWS($A$5:A462)&lt;=COUNTA('Raw Decommissioning'!$B$2:$B$1000),"Decommissioning","Provisioning"))</x:f>
        <x:v>Provisioning</x:v>
      </x:c>
      <x:c r="C462" s="170" t="str">
        <x:f>IF(A462="","",IF(B462="Decommissioning",IFERROR(INDEX('Raw Decommissioning'!$E$2:$E$1000,MATCH(A462,'Raw Decommissioning'!$B$2:$B$1000,0)),"Missing from latest raw"),IFERROR(INDEX('Raw Provisioning'!$E$2:$E$1000,MATCH(A462,'Raw Provisioning'!$B$2:$B$1000,0)),"Missing from latest raw")))</x:f>
        <x:v>completed</x:v>
      </x:c>
      <x:c r="D462" s="171" t="n">
        <x:f>IF(A462="","",'Refresh Control'!$B$4)</x:f>
        <x:v>46254</x:v>
      </x:c>
      <x:c r="E462" s="171" t="n">
        <x:f>IF(A462="","",IF(B462="Decommissioning",INDEX('Raw Decommissioning'!$F$2:$F$1000,ROWS($A$5:A462)),INDEX('Raw Provisioning'!$F$2:$F$1000,ROWS($A$5:A462)-COUNTA('Raw Decommissioning'!$B$2:$B$1000))))</x:f>
        <x:v>46091.181582453704</x:v>
      </x:c>
      <x:c r="F462" s="171" t="n">
        <x:f>IF(A462="","",IF(B462="Decommissioning",INDEX('Raw Decommissioning'!$G$2:$G$1000,ROWS($A$5:A462)),INDEX('Raw Provisioning'!$H$2:$H$1000,ROWS($A$5:A462)-COUNTA('Raw Decommissioning'!$B$2:$B$1000))))</x:f>
        <x:v>46094.59188033565</x:v>
      </x:c>
      <x:c r="G462" s="170" t="str">
        <x:f>IF(A462="","",IF(B462="Decommissioning",INDEX('Raw Decommissioning'!$I$2:$I$1000,ROWS($A$5:A462)),INDEX('Raw Provisioning'!$J$2:$J$1000,ROWS($A$5:A462)-COUNTA('Raw Decommissioning'!$B$2:$B$1000))))</x:f>
        <x:v>Integrated Asset Modelling - IAM</x:v>
      </x:c>
      <x:c r="H462" s="170" t="str">
        <x:f>IF(A462="","",IF(B462="Decommissioning",INDEX('Raw Decommissioning'!$J$2:$J$1000,ROWS($A$5:A462)),INDEX('Raw Provisioning'!$L$2:$L$1000,ROWS($A$5:A462)-COUNTA('Raw Decommissioning'!$B$2:$B$1000))))</x:f>
        <x:v>Implementation of development, testing and production server for Integrated Asset Modelling (IAM) for COE, PCSB</x:v>
      </x:c>
      <x:c r="I462" s="170" t="str">
        <x:f>IF(A462="","",IF(B462="Decommissioning",INDEX('Raw Decommissioning'!$AL$2:$AL$1000,ROWS($A$5:A462)),INDEX('Raw Provisioning'!$R$2:$R$1000,ROWS($A$5:A462)-COUNTA('Raw Decommissioning'!$B$2:$B$1000))))</x:f>
        <x:v>M</x:v>
      </x:c>
      <x:c r="J462" s="170" t="str">
        <x:f>IF(A462="","",IF(B462="Decommissioning",INDEX('Raw Decommissioning'!$AG$2:$AG$1000,ROWS($A$5:A462)),INDEX('Raw Provisioning'!$AI$2:$AI$1000,ROWS($A$5:A462)-COUNTA('Raw Decommissioning'!$B$2:$B$1000))))</x:f>
        <x:v>badri.shaharudin@petronas.com</x:v>
      </x:c>
      <x:c r="K462" s="172" t="str">
        <x:f>IF(A462="","",IFERROR(LOOKUP(2,1/('Assignment History'!$B$5:$B$204=A462),'Assignment History'!$D$5:$D$204),IFERROR(VLOOKUP(J462,Configuration!$L$5:$M$50,2,FALSE),J462)))</x:f>
        <x:v>badri.shaharudin@petronas.com</x:v>
      </x:c>
      <x:c r="L462" s="172" t="str">
        <x:f>IF(A462="","",IF(K462=IFERROR(VLOOKUP(J462,Configuration!$L$5:$M$50,2,FALSE),J462),"Snapshot PIC","Replacement PIC"))</x:f>
        <x:v>Snapshot PIC</x:v>
      </x:c>
      <x:c r="M462" s="172" t="n">
        <x:f>IF(A462="","",IFERROR(VLOOKUP(I462,Configuration!$O$5:$P$8,2,FALSE),Configuration!$S$6))</x:f>
        <x:v>2</x:v>
      </x:c>
      <x:c r="N462" s="172" t="str">
        <x:f>IF(A462="","",IFERROR(LOOKUP(2,1/('Scope Review'!$B$5:$B$204=A462),'Scope Review'!$G$5:$G$204),"Not Reviewed"))</x:f>
        <x:v>Not Reviewed</x:v>
      </x:c>
      <x:c r="O462" s="172" t="str">
        <x:f>IF(A462="","",IFERROR(LOOKUP(2,1/('Scope Review'!$B$5:$B$204=A462),'Scope Review'!$H$5:$H$204),""))</x:f>
      </x:c>
      <x:c r="P462" s="172" t="n">
        <x:f>IF(A462="","",IF(AND(C462="executing",N462&lt;&gt;"Confirmed OOS"),M462,0))</x:f>
        <x:v>0</x:v>
      </x:c>
      <x:c r="Q462" s="173" t="str">
        <x:f>IF(A462="","",IFERROR(LOOKUP(2,1/('Engineer Updates'!$B$5:$B$704=A462),'Engineer Updates'!$A$5:$A$704),""))</x:f>
      </x:c>
      <x:c r="R462" s="172" t="str">
        <x:f>IF(A462="","",IFERROR(LOOKUP(2,1/('Engineer Updates'!$B$5:$B$704=A462),'Engineer Updates'!$H$5:$H$704),""))</x:f>
      </x:c>
      <x:c r="S462" s="172" t="str">
        <x:f>IF(A462="","",IFERROR(LOOKUP(2,1/('Engineer Updates'!$B$5:$B$704=A462),'Engineer Updates'!$G$5:$G$704),""))</x:f>
      </x:c>
      <x:c r="T462" s="172" t="str">
        <x:f>IF(A462="","",IFERROR(LOOKUP(2,1/('Engineer Updates'!$B$5:$B$704=A462),'Engineer Updates'!$I$5:$I$704),""))</x:f>
      </x:c>
      <x:c r="U462" s="172" t="str">
        <x:f>IF(A462="","",IFERROR(LOOKUP(2,1/('Engineer Updates'!$B$5:$B$704=A462),'Engineer Updates'!$J$5:$J$704),""))</x:f>
      </x:c>
      <x:c r="V462" s="172" t="str">
        <x:f>IF(A462="","",IFERROR(LOOKUP(2,1/('Engineer Updates'!$B$5:$B$704=A462),'Engineer Updates'!$K$5:$K$704),""))</x:f>
      </x:c>
      <x:c r="W462" s="174" t="str">
        <x:f>IF(A462="","",IFERROR(LOOKUP(2,1/('Engineer Updates'!$B$5:$B$704=A462),'Engineer Updates'!$L$5:$L$704),""))</x:f>
      </x:c>
      <x:c r="X462" s="170" t="str">
        <x:f>IF(A462="","",IF(C462="completed","Completed in CSSP",IF(AND(C462="executing",ISERROR(SEARCH("@",K462))),"Executing without named engineer",IF(AND(N462="Confirmed OOS",C462="executing"),"Confirmed OOS still executing",""))))</x:f>
        <x:v>Completed in CSSP</x:v>
      </x:c>
      <x:c r="Y462" s="170" t="str">
        <x:f>IF(A462="","",IF(B462="Decommissioning","Raw Decommissioning","Raw Provisioning"))</x:f>
        <x:v>Raw Provisioning</x:v>
      </x:c>
      <x:c r="Z462" s="170" t="str">
        <x:f>IF(A462="","",IF(OR(C462="executing",C462="processing"),"Yes","No"))</x:f>
        <x:v>No</x:v>
      </x:c>
    </x:row>
    <x:row r="463">
      <x:c r="A463" s="170" t="str">
        <x:f>IF(ROWS($A$5:A463)&lt;=COUNTA('Raw Decommissioning'!$B$2:$B$1000),INDEX('Raw Decommissioning'!$B$2:$B$1000,ROWS($A$5:A463)),IF(ROWS($A$5:A463)-COUNTA('Raw Decommissioning'!$B$2:$B$1000)&lt;=COUNTA('Raw Provisioning'!$B$2:$B$1000),INDEX('Raw Provisioning'!$B$2:$B$1000,ROWS($A$5:A463)-COUNTA('Raw Decommissioning'!$B$2:$B$1000)),""))</x:f>
        <x:v>CSSP10900651</x:v>
      </x:c>
      <x:c r="B463" s="170" t="str">
        <x:f>IF(A463="","",IF(ROWS($A$5:A463)&lt;=COUNTA('Raw Decommissioning'!$B$2:$B$1000),"Decommissioning","Provisioning"))</x:f>
        <x:v>Provisioning</x:v>
      </x:c>
      <x:c r="C463" s="170" t="str">
        <x:f>IF(A463="","",IF(B463="Decommissioning",IFERROR(INDEX('Raw Decommissioning'!$E$2:$E$1000,MATCH(A463,'Raw Decommissioning'!$B$2:$B$1000,0)),"Missing from latest raw"),IFERROR(INDEX('Raw Provisioning'!$E$2:$E$1000,MATCH(A463,'Raw Provisioning'!$B$2:$B$1000,0)),"Missing from latest raw")))</x:f>
        <x:v>completed</x:v>
      </x:c>
      <x:c r="D463" s="171" t="n">
        <x:f>IF(A463="","",'Refresh Control'!$B$4)</x:f>
        <x:v>46254</x:v>
      </x:c>
      <x:c r="E463" s="171" t="n">
        <x:f>IF(A463="","",IF(B463="Decommissioning",INDEX('Raw Decommissioning'!$F$2:$F$1000,ROWS($A$5:A463)),INDEX('Raw Provisioning'!$F$2:$F$1000,ROWS($A$5:A463)-COUNTA('Raw Decommissioning'!$B$2:$B$1000))))</x:f>
        <x:v>46091.35896886574</x:v>
      </x:c>
      <x:c r="F463" s="171" t="n">
        <x:f>IF(A463="","",IF(B463="Decommissioning",INDEX('Raw Decommissioning'!$G$2:$G$1000,ROWS($A$5:A463)),INDEX('Raw Provisioning'!$H$2:$H$1000,ROWS($A$5:A463)-COUNTA('Raw Decommissioning'!$B$2:$B$1000))))</x:f>
        <x:v>46132.1585028125</x:v>
      </x:c>
      <x:c r="G463" s="170" t="str">
        <x:f>IF(A463="","",IF(B463="Decommissioning",INDEX('Raw Decommissioning'!$I$2:$I$1000,ROWS($A$5:A463)),INDEX('Raw Provisioning'!$J$2:$J$1000,ROWS($A$5:A463)-COUNTA('Raw Decommissioning'!$B$2:$B$1000))))</x:f>
        <x:v>Integrated Asset Modelling - IAM</x:v>
      </x:c>
      <x:c r="H463" s="170" t="str">
        <x:f>IF(A463="","",IF(B463="Decommissioning",INDEX('Raw Decommissioning'!$J$2:$J$1000,ROWS($A$5:A463)),INDEX('Raw Provisioning'!$L$2:$L$1000,ROWS($A$5:A463)-COUNTA('Raw Decommissioning'!$B$2:$B$1000))))</x:f>
        <x:v>Upstream Model Management</x:v>
      </x:c>
      <x:c r="I463" s="170" t="str">
        <x:f>IF(A463="","",IF(B463="Decommissioning",INDEX('Raw Decommissioning'!$AL$2:$AL$1000,ROWS($A$5:A463)),INDEX('Raw Provisioning'!$R$2:$R$1000,ROWS($A$5:A463)-COUNTA('Raw Decommissioning'!$B$2:$B$1000))))</x:f>
        <x:v>M</x:v>
      </x:c>
      <x:c r="J463" s="170" t="str">
        <x:f>IF(A463="","",IF(B463="Decommissioning",INDEX('Raw Decommissioning'!$AG$2:$AG$1000,ROWS($A$5:A463)),INDEX('Raw Provisioning'!$AI$2:$AI$1000,ROWS($A$5:A463)-COUNTA('Raw Decommissioning'!$B$2:$B$1000))))</x:f>
        <x:v>badri.shaharudin@petronas.com</x:v>
      </x:c>
      <x:c r="K463" s="172" t="str">
        <x:f>IF(A463="","",IFERROR(LOOKUP(2,1/('Assignment History'!$B$5:$B$204=A463),'Assignment History'!$D$5:$D$204),IFERROR(VLOOKUP(J463,Configuration!$L$5:$M$50,2,FALSE),J463)))</x:f>
        <x:v>badri.shaharudin@petronas.com</x:v>
      </x:c>
      <x:c r="L463" s="172" t="str">
        <x:f>IF(A463="","",IF(K463=IFERROR(VLOOKUP(J463,Configuration!$L$5:$M$50,2,FALSE),J463),"Snapshot PIC","Replacement PIC"))</x:f>
        <x:v>Snapshot PIC</x:v>
      </x:c>
      <x:c r="M463" s="172" t="n">
        <x:f>IF(A463="","",IFERROR(VLOOKUP(I463,Configuration!$O$5:$P$8,2,FALSE),Configuration!$S$6))</x:f>
        <x:v>2</x:v>
      </x:c>
      <x:c r="N463" s="172" t="str">
        <x:f>IF(A463="","",IFERROR(LOOKUP(2,1/('Scope Review'!$B$5:$B$204=A463),'Scope Review'!$G$5:$G$204),"Not Reviewed"))</x:f>
        <x:v>Not Reviewed</x:v>
      </x:c>
      <x:c r="O463" s="172" t="str">
        <x:f>IF(A463="","",IFERROR(LOOKUP(2,1/('Scope Review'!$B$5:$B$204=A463),'Scope Review'!$H$5:$H$204),""))</x:f>
      </x:c>
      <x:c r="P463" s="172" t="n">
        <x:f>IF(A463="","",IF(AND(C463="executing",N463&lt;&gt;"Confirmed OOS"),M463,0))</x:f>
        <x:v>0</x:v>
      </x:c>
      <x:c r="Q463" s="173" t="str">
        <x:f>IF(A463="","",IFERROR(LOOKUP(2,1/('Engineer Updates'!$B$5:$B$704=A463),'Engineer Updates'!$A$5:$A$704),""))</x:f>
      </x:c>
      <x:c r="R463" s="172" t="str">
        <x:f>IF(A463="","",IFERROR(LOOKUP(2,1/('Engineer Updates'!$B$5:$B$704=A463),'Engineer Updates'!$H$5:$H$704),""))</x:f>
      </x:c>
      <x:c r="S463" s="172" t="str">
        <x:f>IF(A463="","",IFERROR(LOOKUP(2,1/('Engineer Updates'!$B$5:$B$704=A463),'Engineer Updates'!$G$5:$G$704),""))</x:f>
      </x:c>
      <x:c r="T463" s="172" t="str">
        <x:f>IF(A463="","",IFERROR(LOOKUP(2,1/('Engineer Updates'!$B$5:$B$704=A463),'Engineer Updates'!$I$5:$I$704),""))</x:f>
      </x:c>
      <x:c r="U463" s="172" t="str">
        <x:f>IF(A463="","",IFERROR(LOOKUP(2,1/('Engineer Updates'!$B$5:$B$704=A463),'Engineer Updates'!$J$5:$J$704),""))</x:f>
      </x:c>
      <x:c r="V463" s="172" t="str">
        <x:f>IF(A463="","",IFERROR(LOOKUP(2,1/('Engineer Updates'!$B$5:$B$704=A463),'Engineer Updates'!$K$5:$K$704),""))</x:f>
      </x:c>
      <x:c r="W463" s="174" t="str">
        <x:f>IF(A463="","",IFERROR(LOOKUP(2,1/('Engineer Updates'!$B$5:$B$704=A463),'Engineer Updates'!$L$5:$L$704),""))</x:f>
      </x:c>
      <x:c r="X463" s="170" t="str">
        <x:f>IF(A463="","",IF(C463="completed","Completed in CSSP",IF(AND(C463="executing",ISERROR(SEARCH("@",K463))),"Executing without named engineer",IF(AND(N463="Confirmed OOS",C463="executing"),"Confirmed OOS still executing",""))))</x:f>
        <x:v>Completed in CSSP</x:v>
      </x:c>
      <x:c r="Y463" s="170" t="str">
        <x:f>IF(A463="","",IF(B463="Decommissioning","Raw Decommissioning","Raw Provisioning"))</x:f>
        <x:v>Raw Provisioning</x:v>
      </x:c>
      <x:c r="Z463" s="170" t="str">
        <x:f>IF(A463="","",IF(OR(C463="executing",C463="processing"),"Yes","No"))</x:f>
        <x:v>No</x:v>
      </x:c>
    </x:row>
    <x:row r="464">
      <x:c r="A464" s="170" t="str">
        <x:f>IF(ROWS($A$5:A464)&lt;=COUNTA('Raw Decommissioning'!$B$2:$B$1000),INDEX('Raw Decommissioning'!$B$2:$B$1000,ROWS($A$5:A464)),IF(ROWS($A$5:A464)-COUNTA('Raw Decommissioning'!$B$2:$B$1000)&lt;=COUNTA('Raw Provisioning'!$B$2:$B$1000),INDEX('Raw Provisioning'!$B$2:$B$1000,ROWS($A$5:A464)-COUNTA('Raw Decommissioning'!$B$2:$B$1000)),""))</x:f>
        <x:v>CSSP10573691</x:v>
      </x:c>
      <x:c r="B464" s="170" t="str">
        <x:f>IF(A464="","",IF(ROWS($A$5:A464)&lt;=COUNTA('Raw Decommissioning'!$B$2:$B$1000),"Decommissioning","Provisioning"))</x:f>
        <x:v>Provisioning</x:v>
      </x:c>
      <x:c r="C464" s="170" t="str">
        <x:f>IF(A464="","",IF(B464="Decommissioning",IFERROR(INDEX('Raw Decommissioning'!$E$2:$E$1000,MATCH(A464,'Raw Decommissioning'!$B$2:$B$1000,0)),"Missing from latest raw"),IFERROR(INDEX('Raw Provisioning'!$E$2:$E$1000,MATCH(A464,'Raw Provisioning'!$B$2:$B$1000,0)),"Missing from latest raw")))</x:f>
        <x:v>completed</x:v>
      </x:c>
      <x:c r="D464" s="171" t="n">
        <x:f>IF(A464="","",'Refresh Control'!$B$4)</x:f>
        <x:v>46254</x:v>
      </x:c>
      <x:c r="E464" s="171" t="n">
        <x:f>IF(A464="","",IF(B464="Decommissioning",INDEX('Raw Decommissioning'!$F$2:$F$1000,ROWS($A$5:A464)),INDEX('Raw Provisioning'!$F$2:$F$1000,ROWS($A$5:A464)-COUNTA('Raw Decommissioning'!$B$2:$B$1000))))</x:f>
        <x:v>46092.10369614583</x:v>
      </x:c>
      <x:c r="F464" s="171" t="n">
        <x:f>IF(A464="","",IF(B464="Decommissioning",INDEX('Raw Decommissioning'!$G$2:$G$1000,ROWS($A$5:A464)),INDEX('Raw Provisioning'!$H$2:$H$1000,ROWS($A$5:A464)-COUNTA('Raw Decommissioning'!$B$2:$B$1000))))</x:f>
        <x:v>46105.024373622684</x:v>
      </x:c>
      <x:c r="G464" s="170" t="str">
        <x:f>IF(A464="","",IF(B464="Decommissioning",INDEX('Raw Decommissioning'!$I$2:$I$1000,ROWS($A$5:A464)),INDEX('Raw Provisioning'!$J$2:$J$1000,ROWS($A$5:A464)-COUNTA('Raw Decommissioning'!$B$2:$B$1000))))</x:f>
        <x:v>Meeting Experience System - MEET</x:v>
      </x:c>
      <x:c r="H464" s="170" t="str">
        <x:f>IF(A464="","",IF(B464="Decommissioning",INDEX('Raw Decommissioning'!$J$2:$J$1000,ROWS($A$5:A464)),INDEX('Raw Provisioning'!$L$2:$L$1000,ROWS($A$5:A464)-COUNTA('Raw Decommissioning'!$B$2:$B$1000))))</x:f>
        <x:v>Meeting Experience System (MEET) Enhancement</x:v>
      </x:c>
      <x:c r="I464" s="170" t="str">
        <x:f>IF(A464="","",IF(B464="Decommissioning",INDEX('Raw Decommissioning'!$AL$2:$AL$1000,ROWS($A$5:A464)),INDEX('Raw Provisioning'!$R$2:$R$1000,ROWS($A$5:A464)-COUNTA('Raw Decommissioning'!$B$2:$B$1000))))</x:f>
        <x:v>S</x:v>
      </x:c>
      <x:c r="J464" s="170" t="str">
        <x:f>IF(A464="","",IF(B464="Decommissioning",INDEX('Raw Decommissioning'!$AG$2:$AG$1000,ROWS($A$5:A464)),INDEX('Raw Provisioning'!$AI$2:$AI$1000,ROWS($A$5:A464)-COUNTA('Raw Decommissioning'!$B$2:$B$1000))))</x:f>
        <x:v>afnanfarhan.dzaharud@petronas.com</x:v>
      </x:c>
      <x:c r="K464" s="172" t="str">
        <x:f>IF(A464="","",IFERROR(LOOKUP(2,1/('Assignment History'!$B$5:$B$204=A464),'Assignment History'!$D$5:$D$204),IFERROR(VLOOKUP(J464,Configuration!$L$5:$M$50,2,FALSE),J464)))</x:f>
        <x:v>afnanfarhan.dzaharud@petronas.com</x:v>
      </x:c>
      <x:c r="L464" s="172" t="str">
        <x:f>IF(A464="","",IF(K464=IFERROR(VLOOKUP(J464,Configuration!$L$5:$M$50,2,FALSE),J464),"Snapshot PIC","Replacement PIC"))</x:f>
        <x:v>Snapshot PIC</x:v>
      </x:c>
      <x:c r="M464" s="172" t="n">
        <x:f>IF(A464="","",IFERROR(VLOOKUP(I464,Configuration!$O$5:$P$8,2,FALSE),Configuration!$S$6))</x:f>
        <x:v>1</x:v>
      </x:c>
      <x:c r="N464" s="172" t="str">
        <x:f>IF(A464="","",IFERROR(LOOKUP(2,1/('Scope Review'!$B$5:$B$204=A464),'Scope Review'!$G$5:$G$204),"Not Reviewed"))</x:f>
        <x:v>Not Reviewed</x:v>
      </x:c>
      <x:c r="O464" s="172" t="str">
        <x:f>IF(A464="","",IFERROR(LOOKUP(2,1/('Scope Review'!$B$5:$B$204=A464),'Scope Review'!$H$5:$H$204),""))</x:f>
      </x:c>
      <x:c r="P464" s="172" t="n">
        <x:f>IF(A464="","",IF(AND(C464="executing",N464&lt;&gt;"Confirmed OOS"),M464,0))</x:f>
        <x:v>0</x:v>
      </x:c>
      <x:c r="Q464" s="173" t="str">
        <x:f>IF(A464="","",IFERROR(LOOKUP(2,1/('Engineer Updates'!$B$5:$B$704=A464),'Engineer Updates'!$A$5:$A$704),""))</x:f>
      </x:c>
      <x:c r="R464" s="172" t="str">
        <x:f>IF(A464="","",IFERROR(LOOKUP(2,1/('Engineer Updates'!$B$5:$B$704=A464),'Engineer Updates'!$H$5:$H$704),""))</x:f>
      </x:c>
      <x:c r="S464" s="172" t="str">
        <x:f>IF(A464="","",IFERROR(LOOKUP(2,1/('Engineer Updates'!$B$5:$B$704=A464),'Engineer Updates'!$G$5:$G$704),""))</x:f>
      </x:c>
      <x:c r="T464" s="172" t="str">
        <x:f>IF(A464="","",IFERROR(LOOKUP(2,1/('Engineer Updates'!$B$5:$B$704=A464),'Engineer Updates'!$I$5:$I$704),""))</x:f>
      </x:c>
      <x:c r="U464" s="172" t="str">
        <x:f>IF(A464="","",IFERROR(LOOKUP(2,1/('Engineer Updates'!$B$5:$B$704=A464),'Engineer Updates'!$J$5:$J$704),""))</x:f>
      </x:c>
      <x:c r="V464" s="172" t="str">
        <x:f>IF(A464="","",IFERROR(LOOKUP(2,1/('Engineer Updates'!$B$5:$B$704=A464),'Engineer Updates'!$K$5:$K$704),""))</x:f>
      </x:c>
      <x:c r="W464" s="174" t="str">
        <x:f>IF(A464="","",IFERROR(LOOKUP(2,1/('Engineer Updates'!$B$5:$B$704=A464),'Engineer Updates'!$L$5:$L$704),""))</x:f>
      </x:c>
      <x:c r="X464" s="170" t="str">
        <x:f>IF(A464="","",IF(C464="completed","Completed in CSSP",IF(AND(C464="executing",ISERROR(SEARCH("@",K464))),"Executing without named engineer",IF(AND(N464="Confirmed OOS",C464="executing"),"Confirmed OOS still executing",""))))</x:f>
        <x:v>Completed in CSSP</x:v>
      </x:c>
      <x:c r="Y464" s="170" t="str">
        <x:f>IF(A464="","",IF(B464="Decommissioning","Raw Decommissioning","Raw Provisioning"))</x:f>
        <x:v>Raw Provisioning</x:v>
      </x:c>
      <x:c r="Z464" s="170" t="str">
        <x:f>IF(A464="","",IF(OR(C464="executing",C464="processing"),"Yes","No"))</x:f>
        <x:v>No</x:v>
      </x:c>
    </x:row>
    <x:row r="465">
      <x:c r="A465" s="170" t="str">
        <x:f>IF(ROWS($A$5:A465)&lt;=COUNTA('Raw Decommissioning'!$B$2:$B$1000),INDEX('Raw Decommissioning'!$B$2:$B$1000,ROWS($A$5:A465)),IF(ROWS($A$5:A465)-COUNTA('Raw Decommissioning'!$B$2:$B$1000)&lt;=COUNTA('Raw Provisioning'!$B$2:$B$1000),INDEX('Raw Provisioning'!$B$2:$B$1000,ROWS($A$5:A465)-COUNTA('Raw Decommissioning'!$B$2:$B$1000)),""))</x:f>
        <x:v>CSSP10418243</x:v>
      </x:c>
      <x:c r="B465" s="170" t="str">
        <x:f>IF(A465="","",IF(ROWS($A$5:A465)&lt;=COUNTA('Raw Decommissioning'!$B$2:$B$1000),"Decommissioning","Provisioning"))</x:f>
        <x:v>Provisioning</x:v>
      </x:c>
      <x:c r="C465" s="170" t="str">
        <x:f>IF(A465="","",IF(B465="Decommissioning",IFERROR(INDEX('Raw Decommissioning'!$E$2:$E$1000,MATCH(A465,'Raw Decommissioning'!$B$2:$B$1000,0)),"Missing from latest raw"),IFERROR(INDEX('Raw Provisioning'!$E$2:$E$1000,MATCH(A465,'Raw Provisioning'!$B$2:$B$1000,0)),"Missing from latest raw")))</x:f>
        <x:v>completed</x:v>
      </x:c>
      <x:c r="D465" s="171" t="n">
        <x:f>IF(A465="","",'Refresh Control'!$B$4)</x:f>
        <x:v>46254</x:v>
      </x:c>
      <x:c r="E465" s="171" t="n">
        <x:f>IF(A465="","",IF(B465="Decommissioning",INDEX('Raw Decommissioning'!$F$2:$F$1000,ROWS($A$5:A465)),INDEX('Raw Provisioning'!$F$2:$F$1000,ROWS($A$5:A465)-COUNTA('Raw Decommissioning'!$B$2:$B$1000))))</x:f>
        <x:v>46092.15468086806</x:v>
      </x:c>
      <x:c r="F465" s="171" t="n">
        <x:f>IF(A465="","",IF(B465="Decommissioning",INDEX('Raw Decommissioning'!$G$2:$G$1000,ROWS($A$5:A465)),INDEX('Raw Provisioning'!$H$2:$H$1000,ROWS($A$5:A465)-COUNTA('Raw Decommissioning'!$B$2:$B$1000))))</x:f>
        <x:v>46119.168626921295</x:v>
      </x:c>
      <x:c r="G465" s="170" t="str">
        <x:f>IF(A465="","",IF(B465="Decommissioning",INDEX('Raw Decommissioning'!$I$2:$I$1000,ROWS($A$5:A465)),INDEX('Raw Provisioning'!$J$2:$J$1000,ROWS($A$5:A465)-COUNTA('Raw Decommissioning'!$B$2:$B$1000))))</x:f>
        <x:v>MyMILLORA</x:v>
      </x:c>
      <x:c r="H465" s="170" t="str">
        <x:f>IF(A465="","",IF(B465="Decommissioning",INDEX('Raw Decommissioning'!$J$2:$J$1000,ROWS($A$5:A465)),INDEX('Raw Provisioning'!$L$2:$L$1000,ROWS($A$5:A465)-COUNTA('Raw Decommissioning'!$B$2:$B$1000))))</x:f>
        <x:v>myMILLORA ‐ PD&amp;T One Stop Solution Offerings Platform (MVP 1) For Petroliam Nasional Berhad</x:v>
      </x:c>
      <x:c r="I465" s="170" t="str">
        <x:f>IF(A465="","",IF(B465="Decommissioning",INDEX('Raw Decommissioning'!$AL$2:$AL$1000,ROWS($A$5:A465)),INDEX('Raw Provisioning'!$R$2:$R$1000,ROWS($A$5:A465)-COUNTA('Raw Decommissioning'!$B$2:$B$1000))))</x:f>
        <x:v>M</x:v>
      </x:c>
      <x:c r="J465" s="170" t="str">
        <x:f>IF(A465="","",IF(B465="Decommissioning",INDEX('Raw Decommissioning'!$AG$2:$AG$1000,ROWS($A$5:A465)),INDEX('Raw Provisioning'!$AI$2:$AI$1000,ROWS($A$5:A465)-COUNTA('Raw Decommissioning'!$B$2:$B$1000))))</x:f>
        <x:v>akhmal.roslan@petronas.com</x:v>
      </x:c>
      <x:c r="K465" s="172" t="str">
        <x:f>IF(A465="","",IFERROR(LOOKUP(2,1/('Assignment History'!$B$5:$B$204=A465),'Assignment History'!$D$5:$D$204),IFERROR(VLOOKUP(J465,Configuration!$L$5:$M$50,2,FALSE),J465)))</x:f>
        <x:v>akhmal.roslan@petronas.com</x:v>
      </x:c>
      <x:c r="L465" s="172" t="str">
        <x:f>IF(A465="","",IF(K465=IFERROR(VLOOKUP(J465,Configuration!$L$5:$M$50,2,FALSE),J465),"Snapshot PIC","Replacement PIC"))</x:f>
        <x:v>Snapshot PIC</x:v>
      </x:c>
      <x:c r="M465" s="172" t="n">
        <x:f>IF(A465="","",IFERROR(VLOOKUP(I465,Configuration!$O$5:$P$8,2,FALSE),Configuration!$S$6))</x:f>
        <x:v>2</x:v>
      </x:c>
      <x:c r="N465" s="172" t="str">
        <x:f>IF(A465="","",IFERROR(LOOKUP(2,1/('Scope Review'!$B$5:$B$204=A465),'Scope Review'!$G$5:$G$204),"Not Reviewed"))</x:f>
        <x:v>Not Reviewed</x:v>
      </x:c>
      <x:c r="O465" s="172" t="str">
        <x:f>IF(A465="","",IFERROR(LOOKUP(2,1/('Scope Review'!$B$5:$B$204=A465),'Scope Review'!$H$5:$H$204),""))</x:f>
      </x:c>
      <x:c r="P465" s="172" t="n">
        <x:f>IF(A465="","",IF(AND(C465="executing",N465&lt;&gt;"Confirmed OOS"),M465,0))</x:f>
        <x:v>0</x:v>
      </x:c>
      <x:c r="Q465" s="173" t="str">
        <x:f>IF(A465="","",IFERROR(LOOKUP(2,1/('Engineer Updates'!$B$5:$B$704=A465),'Engineer Updates'!$A$5:$A$704),""))</x:f>
      </x:c>
      <x:c r="R465" s="172" t="str">
        <x:f>IF(A465="","",IFERROR(LOOKUP(2,1/('Engineer Updates'!$B$5:$B$704=A465),'Engineer Updates'!$H$5:$H$704),""))</x:f>
      </x:c>
      <x:c r="S465" s="172" t="str">
        <x:f>IF(A465="","",IFERROR(LOOKUP(2,1/('Engineer Updates'!$B$5:$B$704=A465),'Engineer Updates'!$G$5:$G$704),""))</x:f>
      </x:c>
      <x:c r="T465" s="172" t="str">
        <x:f>IF(A465="","",IFERROR(LOOKUP(2,1/('Engineer Updates'!$B$5:$B$704=A465),'Engineer Updates'!$I$5:$I$704),""))</x:f>
      </x:c>
      <x:c r="U465" s="172" t="str">
        <x:f>IF(A465="","",IFERROR(LOOKUP(2,1/('Engineer Updates'!$B$5:$B$704=A465),'Engineer Updates'!$J$5:$J$704),""))</x:f>
      </x:c>
      <x:c r="V465" s="172" t="str">
        <x:f>IF(A465="","",IFERROR(LOOKUP(2,1/('Engineer Updates'!$B$5:$B$704=A465),'Engineer Updates'!$K$5:$K$704),""))</x:f>
      </x:c>
      <x:c r="W465" s="174" t="str">
        <x:f>IF(A465="","",IFERROR(LOOKUP(2,1/('Engineer Updates'!$B$5:$B$704=A465),'Engineer Updates'!$L$5:$L$704),""))</x:f>
      </x:c>
      <x:c r="X465" s="170" t="str">
        <x:f>IF(A465="","",IF(C465="completed","Completed in CSSP",IF(AND(C465="executing",ISERROR(SEARCH("@",K465))),"Executing without named engineer",IF(AND(N465="Confirmed OOS",C465="executing"),"Confirmed OOS still executing",""))))</x:f>
        <x:v>Completed in CSSP</x:v>
      </x:c>
      <x:c r="Y465" s="170" t="str">
        <x:f>IF(A465="","",IF(B465="Decommissioning","Raw Decommissioning","Raw Provisioning"))</x:f>
        <x:v>Raw Provisioning</x:v>
      </x:c>
      <x:c r="Z465" s="170" t="str">
        <x:f>IF(A465="","",IF(OR(C465="executing",C465="processing"),"Yes","No"))</x:f>
        <x:v>No</x:v>
      </x:c>
    </x:row>
    <x:row r="466">
      <x:c r="A466" s="170" t="str">
        <x:f>IF(ROWS($A$5:A466)&lt;=COUNTA('Raw Decommissioning'!$B$2:$B$1000),INDEX('Raw Decommissioning'!$B$2:$B$1000,ROWS($A$5:A466)),IF(ROWS($A$5:A466)-COUNTA('Raw Decommissioning'!$B$2:$B$1000)&lt;=COUNTA('Raw Provisioning'!$B$2:$B$1000),INDEX('Raw Provisioning'!$B$2:$B$1000,ROWS($A$5:A466)-COUNTA('Raw Decommissioning'!$B$2:$B$1000)),""))</x:f>
        <x:v>CSSP10906743</x:v>
      </x:c>
      <x:c r="B466" s="170" t="str">
        <x:f>IF(A466="","",IF(ROWS($A$5:A466)&lt;=COUNTA('Raw Decommissioning'!$B$2:$B$1000),"Decommissioning","Provisioning"))</x:f>
        <x:v>Provisioning</x:v>
      </x:c>
      <x:c r="C466" s="170" t="str">
        <x:f>IF(A466="","",IF(B466="Decommissioning",IFERROR(INDEX('Raw Decommissioning'!$E$2:$E$1000,MATCH(A466,'Raw Decommissioning'!$B$2:$B$1000,0)),"Missing from latest raw"),IFERROR(INDEX('Raw Provisioning'!$E$2:$E$1000,MATCH(A466,'Raw Provisioning'!$B$2:$B$1000,0)),"Missing from latest raw")))</x:f>
        <x:v>completed</x:v>
      </x:c>
      <x:c r="D466" s="171" t="n">
        <x:f>IF(A466="","",'Refresh Control'!$B$4)</x:f>
        <x:v>46254</x:v>
      </x:c>
      <x:c r="E466" s="171" t="n">
        <x:f>IF(A466="","",IF(B466="Decommissioning",INDEX('Raw Decommissioning'!$F$2:$F$1000,ROWS($A$5:A466)),INDEX('Raw Provisioning'!$F$2:$F$1000,ROWS($A$5:A466)-COUNTA('Raw Decommissioning'!$B$2:$B$1000))))</x:f>
        <x:v>46092.41585387731</x:v>
      </x:c>
      <x:c r="F466" s="171" t="n">
        <x:f>IF(A466="","",IF(B466="Decommissioning",INDEX('Raw Decommissioning'!$G$2:$G$1000,ROWS($A$5:A466)),INDEX('Raw Provisioning'!$H$2:$H$1000,ROWS($A$5:A466)-COUNTA('Raw Decommissioning'!$B$2:$B$1000))))</x:f>
        <x:v>46098.19408023148</x:v>
      </x:c>
      <x:c r="G466" s="170" t="str">
        <x:f>IF(A466="","",IF(B466="Decommissioning",INDEX('Raw Decommissioning'!$I$2:$I$1000,ROWS($A$5:A466)),INDEX('Raw Provisioning'!$J$2:$J$1000,ROWS($A$5:A466)-COUNTA('Raw Decommissioning'!$B$2:$B$1000))))</x:f>
        <x:v>MyPROData</x:v>
      </x:c>
      <x:c r="H466" s="170" t="str">
        <x:f>IF(A466="","",IF(B466="Decommissioning",INDEX('Raw Decommissioning'!$J$2:$J$1000,ROWS($A$5:A466)),INDEX('Raw Provisioning'!$L$2:$L$1000,ROWS($A$5:A466)-COUNTA('Raw Decommissioning'!$B$2:$B$1000))))</x:f>
        <x:v>Shared Support Services (SecOps) myPROdata FY2025 for Malaysia Petroleum Management (MPM)</x:v>
      </x:c>
      <x:c r="I466" s="170" t="str">
        <x:f>IF(A466="","",IF(B466="Decommissioning",INDEX('Raw Decommissioning'!$AL$2:$AL$1000,ROWS($A$5:A466)),INDEX('Raw Provisioning'!$R$2:$R$1000,ROWS($A$5:A466)-COUNTA('Raw Decommissioning'!$B$2:$B$1000))))</x:f>
        <x:v>S</x:v>
      </x:c>
      <x:c r="J466" s="170" t="str">
        <x:f>IF(A466="","",IF(B466="Decommissioning",INDEX('Raw Decommissioning'!$AG$2:$AG$1000,ROWS($A$5:A466)),INDEX('Raw Provisioning'!$AI$2:$AI$1000,ROWS($A$5:A466)-COUNTA('Raw Decommissioning'!$B$2:$B$1000))))</x:f>
        <x:v>muhdfirdaus.muhamad@petronas.com</x:v>
      </x:c>
      <x:c r="K466" s="172" t="str">
        <x:f>IF(A466="","",IFERROR(LOOKUP(2,1/('Assignment History'!$B$5:$B$204=A466),'Assignment History'!$D$5:$D$204),IFERROR(VLOOKUP(J466,Configuration!$L$5:$M$50,2,FALSE),J466)))</x:f>
        <x:v>muhdfirdaus.muhamad@petronas.com</x:v>
      </x:c>
      <x:c r="L466" s="172" t="str">
        <x:f>IF(A466="","",IF(K466=IFERROR(VLOOKUP(J466,Configuration!$L$5:$M$50,2,FALSE),J466),"Snapshot PIC","Replacement PIC"))</x:f>
        <x:v>Snapshot PIC</x:v>
      </x:c>
      <x:c r="M466" s="172" t="n">
        <x:f>IF(A466="","",IFERROR(VLOOKUP(I466,Configuration!$O$5:$P$8,2,FALSE),Configuration!$S$6))</x:f>
        <x:v>1</x:v>
      </x:c>
      <x:c r="N466" s="172" t="str">
        <x:f>IF(A466="","",IFERROR(LOOKUP(2,1/('Scope Review'!$B$5:$B$204=A466),'Scope Review'!$G$5:$G$204),"Not Reviewed"))</x:f>
        <x:v>Not Reviewed</x:v>
      </x:c>
      <x:c r="O466" s="172" t="str">
        <x:f>IF(A466="","",IFERROR(LOOKUP(2,1/('Scope Review'!$B$5:$B$204=A466),'Scope Review'!$H$5:$H$204),""))</x:f>
      </x:c>
      <x:c r="P466" s="172" t="n">
        <x:f>IF(A466="","",IF(AND(C466="executing",N466&lt;&gt;"Confirmed OOS"),M466,0))</x:f>
        <x:v>0</x:v>
      </x:c>
      <x:c r="Q466" s="173" t="str">
        <x:f>IF(A466="","",IFERROR(LOOKUP(2,1/('Engineer Updates'!$B$5:$B$704=A466),'Engineer Updates'!$A$5:$A$704),""))</x:f>
      </x:c>
      <x:c r="R466" s="172" t="str">
        <x:f>IF(A466="","",IFERROR(LOOKUP(2,1/('Engineer Updates'!$B$5:$B$704=A466),'Engineer Updates'!$H$5:$H$704),""))</x:f>
      </x:c>
      <x:c r="S466" s="172" t="str">
        <x:f>IF(A466="","",IFERROR(LOOKUP(2,1/('Engineer Updates'!$B$5:$B$704=A466),'Engineer Updates'!$G$5:$G$704),""))</x:f>
      </x:c>
      <x:c r="T466" s="172" t="str">
        <x:f>IF(A466="","",IFERROR(LOOKUP(2,1/('Engineer Updates'!$B$5:$B$704=A466),'Engineer Updates'!$I$5:$I$704),""))</x:f>
      </x:c>
      <x:c r="U466" s="172" t="str">
        <x:f>IF(A466="","",IFERROR(LOOKUP(2,1/('Engineer Updates'!$B$5:$B$704=A466),'Engineer Updates'!$J$5:$J$704),""))</x:f>
      </x:c>
      <x:c r="V466" s="172" t="str">
        <x:f>IF(A466="","",IFERROR(LOOKUP(2,1/('Engineer Updates'!$B$5:$B$704=A466),'Engineer Updates'!$K$5:$K$704),""))</x:f>
      </x:c>
      <x:c r="W466" s="174" t="str">
        <x:f>IF(A466="","",IFERROR(LOOKUP(2,1/('Engineer Updates'!$B$5:$B$704=A466),'Engineer Updates'!$L$5:$L$704),""))</x:f>
      </x:c>
      <x:c r="X466" s="170" t="str">
        <x:f>IF(A466="","",IF(C466="completed","Completed in CSSP",IF(AND(C466="executing",ISERROR(SEARCH("@",K466))),"Executing without named engineer",IF(AND(N466="Confirmed OOS",C466="executing"),"Confirmed OOS still executing",""))))</x:f>
        <x:v>Completed in CSSP</x:v>
      </x:c>
      <x:c r="Y466" s="170" t="str">
        <x:f>IF(A466="","",IF(B466="Decommissioning","Raw Decommissioning","Raw Provisioning"))</x:f>
        <x:v>Raw Provisioning</x:v>
      </x:c>
      <x:c r="Z466" s="170" t="str">
        <x:f>IF(A466="","",IF(OR(C466="executing",C466="processing"),"Yes","No"))</x:f>
        <x:v>No</x:v>
      </x:c>
    </x:row>
    <x:row r="467">
      <x:c r="A467" s="170" t="str">
        <x:f>IF(ROWS($A$5:A467)&lt;=COUNTA('Raw Decommissioning'!$B$2:$B$1000),INDEX('Raw Decommissioning'!$B$2:$B$1000,ROWS($A$5:A467)),IF(ROWS($A$5:A467)-COUNTA('Raw Decommissioning'!$B$2:$B$1000)&lt;=COUNTA('Raw Provisioning'!$B$2:$B$1000),INDEX('Raw Provisioning'!$B$2:$B$1000,ROWS($A$5:A467)-COUNTA('Raw Decommissioning'!$B$2:$B$1000)),""))</x:f>
        <x:v>CSSP10219795</x:v>
      </x:c>
      <x:c r="B467" s="170" t="str">
        <x:f>IF(A467="","",IF(ROWS($A$5:A467)&lt;=COUNTA('Raw Decommissioning'!$B$2:$B$1000),"Decommissioning","Provisioning"))</x:f>
        <x:v>Provisioning</x:v>
      </x:c>
      <x:c r="C467" s="170" t="str">
        <x:f>IF(A467="","",IF(B467="Decommissioning",IFERROR(INDEX('Raw Decommissioning'!$E$2:$E$1000,MATCH(A467,'Raw Decommissioning'!$B$2:$B$1000,0)),"Missing from latest raw"),IFERROR(INDEX('Raw Provisioning'!$E$2:$E$1000,MATCH(A467,'Raw Provisioning'!$B$2:$B$1000,0)),"Missing from latest raw")))</x:f>
        <x:v>completed</x:v>
      </x:c>
      <x:c r="D467" s="171" t="n">
        <x:f>IF(A467="","",'Refresh Control'!$B$4)</x:f>
        <x:v>46254</x:v>
      </x:c>
      <x:c r="E467" s="171" t="n">
        <x:f>IF(A467="","",IF(B467="Decommissioning",INDEX('Raw Decommissioning'!$F$2:$F$1000,ROWS($A$5:A467)),INDEX('Raw Provisioning'!$F$2:$F$1000,ROWS($A$5:A467)-COUNTA('Raw Decommissioning'!$B$2:$B$1000))))</x:f>
        <x:v>46093.239640486114</x:v>
      </x:c>
      <x:c r="F467" s="171" t="n">
        <x:f>IF(A467="","",IF(B467="Decommissioning",INDEX('Raw Decommissioning'!$G$2:$G$1000,ROWS($A$5:A467)),INDEX('Raw Provisioning'!$H$2:$H$1000,ROWS($A$5:A467)-COUNTA('Raw Decommissioning'!$B$2:$B$1000))))</x:f>
        <x:v>46132.01783788195</x:v>
      </x:c>
      <x:c r="G467" s="170" t="str">
        <x:f>IF(A467="","",IF(B467="Decommissioning",INDEX('Raw Decommissioning'!$I$2:$I$1000,ROWS($A$5:A467)),INDEX('Raw Provisioning'!$J$2:$J$1000,ROWS($A$5:A467)-COUNTA('Raw Decommissioning'!$B$2:$B$1000))))</x:f>
        <x:v>Azure Machine Learning - PCIHBV</x:v>
      </x:c>
      <x:c r="H467" s="170" t="str">
        <x:f>IF(A467="","",IF(B467="Decommissioning",INDEX('Raw Decommissioning'!$J$2:$J$1000,ROWS($A$5:A467)),INDEX('Raw Provisioning'!$L$2:$L$1000,ROWS($A$5:A467)-COUNTA('Raw Decommissioning'!$B$2:$B$1000))))</x:f>
        <x:v>Support, Services &amp; Subscription of Azure Machine Learning for Pipeline Pigging Frequency Prediction at PCIHBV</x:v>
      </x:c>
      <x:c r="I467" s="170" t="str">
        <x:f>IF(A467="","",IF(B467="Decommissioning",INDEX('Raw Decommissioning'!$AL$2:$AL$1000,ROWS($A$5:A467)),INDEX('Raw Provisioning'!$R$2:$R$1000,ROWS($A$5:A467)-COUNTA('Raw Decommissioning'!$B$2:$B$1000))))</x:f>
        <x:v>M</x:v>
      </x:c>
      <x:c r="J467" s="170" t="str">
        <x:f>IF(A467="","",IF(B467="Decommissioning",INDEX('Raw Decommissioning'!$AG$2:$AG$1000,ROWS($A$5:A467)),INDEX('Raw Provisioning'!$AI$2:$AI$1000,ROWS($A$5:A467)-COUNTA('Raw Decommissioning'!$B$2:$B$1000))))</x:f>
        <x:v>azhan.shazeli@petronas.com</x:v>
      </x:c>
      <x:c r="K467" s="172" t="str">
        <x:f>IF(A467="","",IFERROR(LOOKUP(2,1/('Assignment History'!$B$5:$B$204=A467),'Assignment History'!$D$5:$D$204),IFERROR(VLOOKUP(J467,Configuration!$L$5:$M$50,2,FALSE),J467)))</x:f>
        <x:v>azhan.shazeli@petronas.com</x:v>
      </x:c>
      <x:c r="L467" s="172" t="str">
        <x:f>IF(A467="","",IF(K467=IFERROR(VLOOKUP(J467,Configuration!$L$5:$M$50,2,FALSE),J467),"Snapshot PIC","Replacement PIC"))</x:f>
        <x:v>Snapshot PIC</x:v>
      </x:c>
      <x:c r="M467" s="172" t="n">
        <x:f>IF(A467="","",IFERROR(VLOOKUP(I467,Configuration!$O$5:$P$8,2,FALSE),Configuration!$S$6))</x:f>
        <x:v>2</x:v>
      </x:c>
      <x:c r="N467" s="172" t="str">
        <x:f>IF(A467="","",IFERROR(LOOKUP(2,1/('Scope Review'!$B$5:$B$204=A467),'Scope Review'!$G$5:$G$204),"Not Reviewed"))</x:f>
        <x:v>Not Reviewed</x:v>
      </x:c>
      <x:c r="O467" s="172" t="str">
        <x:f>IF(A467="","",IFERROR(LOOKUP(2,1/('Scope Review'!$B$5:$B$204=A467),'Scope Review'!$H$5:$H$204),""))</x:f>
      </x:c>
      <x:c r="P467" s="172" t="n">
        <x:f>IF(A467="","",IF(AND(C467="executing",N467&lt;&gt;"Confirmed OOS"),M467,0))</x:f>
        <x:v>0</x:v>
      </x:c>
      <x:c r="Q467" s="173" t="str">
        <x:f>IF(A467="","",IFERROR(LOOKUP(2,1/('Engineer Updates'!$B$5:$B$704=A467),'Engineer Updates'!$A$5:$A$704),""))</x:f>
      </x:c>
      <x:c r="R467" s="172" t="str">
        <x:f>IF(A467="","",IFERROR(LOOKUP(2,1/('Engineer Updates'!$B$5:$B$704=A467),'Engineer Updates'!$H$5:$H$704),""))</x:f>
      </x:c>
      <x:c r="S467" s="172" t="str">
        <x:f>IF(A467="","",IFERROR(LOOKUP(2,1/('Engineer Updates'!$B$5:$B$704=A467),'Engineer Updates'!$G$5:$G$704),""))</x:f>
      </x:c>
      <x:c r="T467" s="172" t="str">
        <x:f>IF(A467="","",IFERROR(LOOKUP(2,1/('Engineer Updates'!$B$5:$B$704=A467),'Engineer Updates'!$I$5:$I$704),""))</x:f>
      </x:c>
      <x:c r="U467" s="172" t="str">
        <x:f>IF(A467="","",IFERROR(LOOKUP(2,1/('Engineer Updates'!$B$5:$B$704=A467),'Engineer Updates'!$J$5:$J$704),""))</x:f>
      </x:c>
      <x:c r="V467" s="172" t="str">
        <x:f>IF(A467="","",IFERROR(LOOKUP(2,1/('Engineer Updates'!$B$5:$B$704=A467),'Engineer Updates'!$K$5:$K$704),""))</x:f>
      </x:c>
      <x:c r="W467" s="174" t="str">
        <x:f>IF(A467="","",IFERROR(LOOKUP(2,1/('Engineer Updates'!$B$5:$B$704=A467),'Engineer Updates'!$L$5:$L$704),""))</x:f>
      </x:c>
      <x:c r="X467" s="170" t="str">
        <x:f>IF(A467="","",IF(C467="completed","Completed in CSSP",IF(AND(C467="executing",ISERROR(SEARCH("@",K467))),"Executing without named engineer",IF(AND(N467="Confirmed OOS",C467="executing"),"Confirmed OOS still executing",""))))</x:f>
        <x:v>Completed in CSSP</x:v>
      </x:c>
      <x:c r="Y467" s="170" t="str">
        <x:f>IF(A467="","",IF(B467="Decommissioning","Raw Decommissioning","Raw Provisioning"))</x:f>
        <x:v>Raw Provisioning</x:v>
      </x:c>
      <x:c r="Z467" s="170" t="str">
        <x:f>IF(A467="","",IF(OR(C467="executing",C467="processing"),"Yes","No"))</x:f>
        <x:v>No</x:v>
      </x:c>
    </x:row>
    <x:row r="468">
      <x:c r="A468" s="170" t="str">
        <x:f>IF(ROWS($A$5:A468)&lt;=COUNTA('Raw Decommissioning'!$B$2:$B$1000),INDEX('Raw Decommissioning'!$B$2:$B$1000,ROWS($A$5:A468)),IF(ROWS($A$5:A468)-COUNTA('Raw Decommissioning'!$B$2:$B$1000)&lt;=COUNTA('Raw Provisioning'!$B$2:$B$1000),INDEX('Raw Provisioning'!$B$2:$B$1000,ROWS($A$5:A468)-COUNTA('Raw Decommissioning'!$B$2:$B$1000)),""))</x:f>
        <x:v>CSSP10488606</x:v>
      </x:c>
      <x:c r="B468" s="170" t="str">
        <x:f>IF(A468="","",IF(ROWS($A$5:A468)&lt;=COUNTA('Raw Decommissioning'!$B$2:$B$1000),"Decommissioning","Provisioning"))</x:f>
        <x:v>Provisioning</x:v>
      </x:c>
      <x:c r="C468" s="170" t="str">
        <x:f>IF(A468="","",IF(B468="Decommissioning",IFERROR(INDEX('Raw Decommissioning'!$E$2:$E$1000,MATCH(A468,'Raw Decommissioning'!$B$2:$B$1000,0)),"Missing from latest raw"),IFERROR(INDEX('Raw Provisioning'!$E$2:$E$1000,MATCH(A468,'Raw Provisioning'!$B$2:$B$1000,0)),"Missing from latest raw")))</x:f>
        <x:v>completed</x:v>
      </x:c>
      <x:c r="D468" s="171" t="n">
        <x:f>IF(A468="","",'Refresh Control'!$B$4)</x:f>
        <x:v>46254</x:v>
      </x:c>
      <x:c r="E468" s="171" t="n">
        <x:f>IF(A468="","",IF(B468="Decommissioning",INDEX('Raw Decommissioning'!$F$2:$F$1000,ROWS($A$5:A468)),INDEX('Raw Provisioning'!$F$2:$F$1000,ROWS($A$5:A468)-COUNTA('Raw Decommissioning'!$B$2:$B$1000))))</x:f>
        <x:v>46094.093478622686</x:v>
      </x:c>
      <x:c r="F468" s="171" t="n">
        <x:f>IF(A468="","",IF(B468="Decommissioning",INDEX('Raw Decommissioning'!$G$2:$G$1000,ROWS($A$5:A468)),INDEX('Raw Provisioning'!$H$2:$H$1000,ROWS($A$5:A468)-COUNTA('Raw Decommissioning'!$B$2:$B$1000))))</x:f>
        <x:v>46121.268734606485</x:v>
      </x:c>
      <x:c r="G468" s="170" t="str">
        <x:f>IF(A468="","",IF(B468="Decommissioning",INDEX('Raw Decommissioning'!$I$2:$I$1000,ROWS($A$5:A468)),INDEX('Raw Provisioning'!$J$2:$J$1000,ROWS($A$5:A468)-COUNTA('Raw Decommissioning'!$B$2:$B$1000))))</x:f>
        <x:v>Augmented Gas Nomination Ecosystem - AGNES</x:v>
      </x:c>
      <x:c r="H468" s="170" t="str">
        <x:f>IF(A468="","",IF(B468="Decommissioning",INDEX('Raw Decommissioning'!$J$2:$J$1000,ROWS($A$5:A468)),INDEX('Raw Provisioning'!$L$2:$L$1000,ROWS($A$5:A468)-COUNTA('Raw Decommissioning'!$B$2:$B$1000))))</x:f>
        <x:v>Establishment of Augmented Gas Nomination EcoSystem (AGNES) DevSecOps for Malaysia Petroleum Management (MPM)</x:v>
      </x:c>
      <x:c r="I468" s="170" t="str">
        <x:f>IF(A468="","",IF(B468="Decommissioning",INDEX('Raw Decommissioning'!$AL$2:$AL$1000,ROWS($A$5:A468)),INDEX('Raw Provisioning'!$R$2:$R$1000,ROWS($A$5:A468)-COUNTA('Raw Decommissioning'!$B$2:$B$1000))))</x:f>
        <x:v>M</x:v>
      </x:c>
      <x:c r="J468" s="170" t="str">
        <x:f>IF(A468="","",IF(B468="Decommissioning",INDEX('Raw Decommissioning'!$AG$2:$AG$1000,ROWS($A$5:A468)),INDEX('Raw Provisioning'!$AI$2:$AI$1000,ROWS($A$5:A468)-COUNTA('Raw Decommissioning'!$B$2:$B$1000))))</x:f>
        <x:v>mhafizi.madnan@petronas.com</x:v>
      </x:c>
      <x:c r="K468" s="172" t="str">
        <x:f>IF(A468="","",IFERROR(LOOKUP(2,1/('Assignment History'!$B$5:$B$204=A468),'Assignment History'!$D$5:$D$204),IFERROR(VLOOKUP(J468,Configuration!$L$5:$M$50,2,FALSE),J468)))</x:f>
        <x:v>mhafizi.madnan@petronas.com</x:v>
      </x:c>
      <x:c r="L468" s="172" t="str">
        <x:f>IF(A468="","",IF(K468=IFERROR(VLOOKUP(J468,Configuration!$L$5:$M$50,2,FALSE),J468),"Snapshot PIC","Replacement PIC"))</x:f>
        <x:v>Snapshot PIC</x:v>
      </x:c>
      <x:c r="M468" s="172" t="n">
        <x:f>IF(A468="","",IFERROR(VLOOKUP(I468,Configuration!$O$5:$P$8,2,FALSE),Configuration!$S$6))</x:f>
        <x:v>2</x:v>
      </x:c>
      <x:c r="N468" s="172" t="str">
        <x:f>IF(A468="","",IFERROR(LOOKUP(2,1/('Scope Review'!$B$5:$B$204=A468),'Scope Review'!$G$5:$G$204),"Not Reviewed"))</x:f>
        <x:v>Not Reviewed</x:v>
      </x:c>
      <x:c r="O468" s="172" t="str">
        <x:f>IF(A468="","",IFERROR(LOOKUP(2,1/('Scope Review'!$B$5:$B$204=A468),'Scope Review'!$H$5:$H$204),""))</x:f>
      </x:c>
      <x:c r="P468" s="172" t="n">
        <x:f>IF(A468="","",IF(AND(C468="executing",N468&lt;&gt;"Confirmed OOS"),M468,0))</x:f>
        <x:v>0</x:v>
      </x:c>
      <x:c r="Q468" s="173" t="str">
        <x:f>IF(A468="","",IFERROR(LOOKUP(2,1/('Engineer Updates'!$B$5:$B$704=A468),'Engineer Updates'!$A$5:$A$704),""))</x:f>
      </x:c>
      <x:c r="R468" s="172" t="str">
        <x:f>IF(A468="","",IFERROR(LOOKUP(2,1/('Engineer Updates'!$B$5:$B$704=A468),'Engineer Updates'!$H$5:$H$704),""))</x:f>
      </x:c>
      <x:c r="S468" s="172" t="str">
        <x:f>IF(A468="","",IFERROR(LOOKUP(2,1/('Engineer Updates'!$B$5:$B$704=A468),'Engineer Updates'!$G$5:$G$704),""))</x:f>
      </x:c>
      <x:c r="T468" s="172" t="str">
        <x:f>IF(A468="","",IFERROR(LOOKUP(2,1/('Engineer Updates'!$B$5:$B$704=A468),'Engineer Updates'!$I$5:$I$704),""))</x:f>
      </x:c>
      <x:c r="U468" s="172" t="str">
        <x:f>IF(A468="","",IFERROR(LOOKUP(2,1/('Engineer Updates'!$B$5:$B$704=A468),'Engineer Updates'!$J$5:$J$704),""))</x:f>
      </x:c>
      <x:c r="V468" s="172" t="str">
        <x:f>IF(A468="","",IFERROR(LOOKUP(2,1/('Engineer Updates'!$B$5:$B$704=A468),'Engineer Updates'!$K$5:$K$704),""))</x:f>
      </x:c>
      <x:c r="W468" s="174" t="str">
        <x:f>IF(A468="","",IFERROR(LOOKUP(2,1/('Engineer Updates'!$B$5:$B$704=A468),'Engineer Updates'!$L$5:$L$704),""))</x:f>
      </x:c>
      <x:c r="X468" s="170" t="str">
        <x:f>IF(A468="","",IF(C468="completed","Completed in CSSP",IF(AND(C468="executing",ISERROR(SEARCH("@",K468))),"Executing without named engineer",IF(AND(N468="Confirmed OOS",C468="executing"),"Confirmed OOS still executing",""))))</x:f>
        <x:v>Completed in CSSP</x:v>
      </x:c>
      <x:c r="Y468" s="170" t="str">
        <x:f>IF(A468="","",IF(B468="Decommissioning","Raw Decommissioning","Raw Provisioning"))</x:f>
        <x:v>Raw Provisioning</x:v>
      </x:c>
      <x:c r="Z468" s="170" t="str">
        <x:f>IF(A468="","",IF(OR(C468="executing",C468="processing"),"Yes","No"))</x:f>
        <x:v>No</x:v>
      </x:c>
    </x:row>
    <x:row r="469">
      <x:c r="A469" s="170" t="str">
        <x:f>IF(ROWS($A$5:A469)&lt;=COUNTA('Raw Decommissioning'!$B$2:$B$1000),INDEX('Raw Decommissioning'!$B$2:$B$1000,ROWS($A$5:A469)),IF(ROWS($A$5:A469)-COUNTA('Raw Decommissioning'!$B$2:$B$1000)&lt;=COUNTA('Raw Provisioning'!$B$2:$B$1000),INDEX('Raw Provisioning'!$B$2:$B$1000,ROWS($A$5:A469)-COUNTA('Raw Decommissioning'!$B$2:$B$1000)),""))</x:f>
        <x:v>CSSP10900243</x:v>
      </x:c>
      <x:c r="B469" s="170" t="str">
        <x:f>IF(A469="","",IF(ROWS($A$5:A469)&lt;=COUNTA('Raw Decommissioning'!$B$2:$B$1000),"Decommissioning","Provisioning"))</x:f>
        <x:v>Provisioning</x:v>
      </x:c>
      <x:c r="C469" s="170" t="str">
        <x:f>IF(A469="","",IF(B469="Decommissioning",IFERROR(INDEX('Raw Decommissioning'!$E$2:$E$1000,MATCH(A469,'Raw Decommissioning'!$B$2:$B$1000,0)),"Missing from latest raw"),IFERROR(INDEX('Raw Provisioning'!$E$2:$E$1000,MATCH(A469,'Raw Provisioning'!$B$2:$B$1000,0)),"Missing from latest raw")))</x:f>
        <x:v>pending</x:v>
      </x:c>
      <x:c r="D469" s="171" t="n">
        <x:f>IF(A469="","",'Refresh Control'!$B$4)</x:f>
        <x:v>46254</x:v>
      </x:c>
      <x:c r="E469" s="171" t="n">
        <x:f>IF(A469="","",IF(B469="Decommissioning",INDEX('Raw Decommissioning'!$F$2:$F$1000,ROWS($A$5:A469)),INDEX('Raw Provisioning'!$F$2:$F$1000,ROWS($A$5:A469)-COUNTA('Raw Decommissioning'!$B$2:$B$1000))))</x:f>
        <x:v>46094.44255471065</x:v>
      </x:c>
      <x:c r="F469" s="171" t="n">
        <x:f>IF(A469="","",IF(B469="Decommissioning",INDEX('Raw Decommissioning'!$G$2:$G$1000,ROWS($A$5:A469)),INDEX('Raw Provisioning'!$H$2:$H$1000,ROWS($A$5:A469)-COUNTA('Raw Decommissioning'!$B$2:$B$1000))))</x:f>
        <x:v>46219.26860325231</x:v>
      </x:c>
      <x:c r="G469" s="170" t="str">
        <x:f>IF(A469="","",IF(B469="Decommissioning",INDEX('Raw Decommissioning'!$I$2:$I$1000,ROWS($A$5:A469)),INDEX('Raw Provisioning'!$J$2:$J$1000,ROWS($A$5:A469)-COUNTA('Raw Decommissioning'!$B$2:$B$1000))))</x:f>
        <x:v>MyRISK</x:v>
      </x:c>
      <x:c r="H469" s="170" t="str">
        <x:f>IF(A469="","",IF(B469="Decommissioning",INDEX('Raw Decommissioning'!$J$2:$J$1000,ROWS($A$5:A469)),INDEX('Raw Provisioning'!$L$2:$L$1000,ROWS($A$5:A469)-COUNTA('Raw Decommissioning'!$B$2:$B$1000))))</x:f>
        <x:v>[myRISK] Implementation of Integrated Risk Management System for Group Risk Management</x:v>
      </x:c>
      <x:c r="I469" s="170" t="str">
        <x:f>IF(A469="","",IF(B469="Decommissioning",INDEX('Raw Decommissioning'!$AL$2:$AL$1000,ROWS($A$5:A469)),INDEX('Raw Provisioning'!$R$2:$R$1000,ROWS($A$5:A469)-COUNTA('Raw Decommissioning'!$B$2:$B$1000))))</x:f>
        <x:v>M</x:v>
      </x:c>
      <x:c r="J469" s="170" t="str">
        <x:f>IF(A469="","",IF(B469="Decommissioning",INDEX('Raw Decommissioning'!$AG$2:$AG$1000,ROWS($A$5:A469)),INDEX('Raw Provisioning'!$AI$2:$AI$1000,ROWS($A$5:A469)-COUNTA('Raw Decommissioning'!$B$2:$B$1000))))</x:f>
        <x:v>CCoE Core Services (Public)</x:v>
      </x:c>
      <x:c r="K469" s="172" t="str">
        <x:f>IF(A469="","",IFERROR(LOOKUP(2,1/('Assignment History'!$B$5:$B$204=A469),'Assignment History'!$D$5:$D$204),IFERROR(VLOOKUP(J469,Configuration!$L$5:$M$50,2,FALSE),J469)))</x:f>
        <x:v>CCoE Core Services (Public)</x:v>
      </x:c>
      <x:c r="L469" s="172" t="str">
        <x:f>IF(A469="","",IF(K469=IFERROR(VLOOKUP(J469,Configuration!$L$5:$M$50,2,FALSE),J469),"Snapshot PIC","Replacement PIC"))</x:f>
        <x:v>Snapshot PIC</x:v>
      </x:c>
      <x:c r="M469" s="172" t="n">
        <x:f>IF(A469="","",IFERROR(VLOOKUP(I469,Configuration!$O$5:$P$8,2,FALSE),Configuration!$S$6))</x:f>
        <x:v>2</x:v>
      </x:c>
      <x:c r="N469" s="172" t="str">
        <x:f>IF(A469="","",IFERROR(LOOKUP(2,1/('Scope Review'!$B$5:$B$204=A469),'Scope Review'!$G$5:$G$204),"Not Reviewed"))</x:f>
        <x:v>Not Reviewed</x:v>
      </x:c>
      <x:c r="O469" s="172" t="str">
        <x:f>IF(A469="","",IFERROR(LOOKUP(2,1/('Scope Review'!$B$5:$B$204=A469),'Scope Review'!$H$5:$H$204),""))</x:f>
      </x:c>
      <x:c r="P469" s="172" t="n">
        <x:f>IF(A469="","",IF(AND(C469="executing",N469&lt;&gt;"Confirmed OOS"),M469,0))</x:f>
        <x:v>0</x:v>
      </x:c>
      <x:c r="Q469" s="173" t="str">
        <x:f>IF(A469="","",IFERROR(LOOKUP(2,1/('Engineer Updates'!$B$5:$B$704=A469),'Engineer Updates'!$A$5:$A$704),""))</x:f>
      </x:c>
      <x:c r="R469" s="172" t="str">
        <x:f>IF(A469="","",IFERROR(LOOKUP(2,1/('Engineer Updates'!$B$5:$B$704=A469),'Engineer Updates'!$H$5:$H$704),""))</x:f>
      </x:c>
      <x:c r="S469" s="172" t="str">
        <x:f>IF(A469="","",IFERROR(LOOKUP(2,1/('Engineer Updates'!$B$5:$B$704=A469),'Engineer Updates'!$G$5:$G$704),""))</x:f>
      </x:c>
      <x:c r="T469" s="172" t="str">
        <x:f>IF(A469="","",IFERROR(LOOKUP(2,1/('Engineer Updates'!$B$5:$B$704=A469),'Engineer Updates'!$I$5:$I$704),""))</x:f>
      </x:c>
      <x:c r="U469" s="172" t="str">
        <x:f>IF(A469="","",IFERROR(LOOKUP(2,1/('Engineer Updates'!$B$5:$B$704=A469),'Engineer Updates'!$J$5:$J$704),""))</x:f>
      </x:c>
      <x:c r="V469" s="172" t="str">
        <x:f>IF(A469="","",IFERROR(LOOKUP(2,1/('Engineer Updates'!$B$5:$B$704=A469),'Engineer Updates'!$K$5:$K$704),""))</x:f>
      </x:c>
      <x:c r="W469" s="174" t="str">
        <x:f>IF(A469="","",IFERROR(LOOKUP(2,1/('Engineer Updates'!$B$5:$B$704=A469),'Engineer Updates'!$L$5:$L$704),""))</x:f>
      </x:c>
      <x:c r="X469" s="170" t="str">
        <x:f>IF(A469="","",IF(C469="completed","Completed in CSSP",IF(AND(C469="executing",ISERROR(SEARCH("@",K469))),"Executing without named engineer",IF(AND(N469="Confirmed OOS",C469="executing"),"Confirmed OOS still executing",""))))</x:f>
      </x:c>
      <x:c r="Y469" s="170" t="str">
        <x:f>IF(A469="","",IF(B469="Decommissioning","Raw Decommissioning","Raw Provisioning"))</x:f>
        <x:v>Raw Provisioning</x:v>
      </x:c>
      <x:c r="Z469" s="170" t="str">
        <x:f>IF(A469="","",IF(OR(C469="executing",C469="processing"),"Yes","No"))</x:f>
        <x:v>No</x:v>
      </x:c>
    </x:row>
    <x:row r="470">
      <x:c r="A470" s="170" t="str">
        <x:f>IF(ROWS($A$5:A470)&lt;=COUNTA('Raw Decommissioning'!$B$2:$B$1000),INDEX('Raw Decommissioning'!$B$2:$B$1000,ROWS($A$5:A470)),IF(ROWS($A$5:A470)-COUNTA('Raw Decommissioning'!$B$2:$B$1000)&lt;=COUNTA('Raw Provisioning'!$B$2:$B$1000),INDEX('Raw Provisioning'!$B$2:$B$1000,ROWS($A$5:A470)-COUNTA('Raw Decommissioning'!$B$2:$B$1000)),""))</x:f>
        <x:v>CSSP10732948</x:v>
      </x:c>
      <x:c r="B470" s="170" t="str">
        <x:f>IF(A470="","",IF(ROWS($A$5:A470)&lt;=COUNTA('Raw Decommissioning'!$B$2:$B$1000),"Decommissioning","Provisioning"))</x:f>
        <x:v>Provisioning</x:v>
      </x:c>
      <x:c r="C470" s="170" t="str">
        <x:f>IF(A470="","",IF(B470="Decommissioning",IFERROR(INDEX('Raw Decommissioning'!$E$2:$E$1000,MATCH(A470,'Raw Decommissioning'!$B$2:$B$1000,0)),"Missing from latest raw"),IFERROR(INDEX('Raw Provisioning'!$E$2:$E$1000,MATCH(A470,'Raw Provisioning'!$B$2:$B$1000,0)),"Missing from latest raw")))</x:f>
        <x:v>completed</x:v>
      </x:c>
      <x:c r="D470" s="171" t="n">
        <x:f>IF(A470="","",'Refresh Control'!$B$4)</x:f>
        <x:v>46254</x:v>
      </x:c>
      <x:c r="E470" s="171" t="n">
        <x:f>IF(A470="","",IF(B470="Decommissioning",INDEX('Raw Decommissioning'!$F$2:$F$1000,ROWS($A$5:A470)),INDEX('Raw Provisioning'!$F$2:$F$1000,ROWS($A$5:A470)-COUNTA('Raw Decommissioning'!$B$2:$B$1000))))</x:f>
        <x:v>46098.36659048611</x:v>
      </x:c>
      <x:c r="F470" s="171" t="n">
        <x:f>IF(A470="","",IF(B470="Decommissioning",INDEX('Raw Decommissioning'!$G$2:$G$1000,ROWS($A$5:A470)),INDEX('Raw Provisioning'!$H$2:$H$1000,ROWS($A$5:A470)-COUNTA('Raw Decommissioning'!$B$2:$B$1000))))</x:f>
        <x:v>46127.06642403935</x:v>
      </x:c>
      <x:c r="G470" s="170" t="str">
        <x:f>IF(A470="","",IF(B470="Decommissioning",INDEX('Raw Decommissioning'!$I$2:$I$1000,ROWS($A$5:A470)),INDEX('Raw Provisioning'!$J$2:$J$1000,ROWS($A$5:A470)-COUNTA('Raw Decommissioning'!$B$2:$B$1000))))</x:f>
        <x:v>Process Director for BRB</x:v>
      </x:c>
      <x:c r="H470" s="170" t="str">
        <x:f>IF(A470="","",IF(B470="Decommissioning",INDEX('Raw Decommissioning'!$J$2:$J$1000,ROWS($A$5:A470)),INDEX('Raw Provisioning'!$L$2:$L$1000,ROWS($A$5:A470)-COUNTA('Raw Decommissioning'!$B$2:$B$1000))))</x:f>
        <x:v>Implementation of Invoice Processing for BRB</x:v>
      </x:c>
      <x:c r="I470" s="170" t="str">
        <x:f>IF(A470="","",IF(B470="Decommissioning",INDEX('Raw Decommissioning'!$AL$2:$AL$1000,ROWS($A$5:A470)),INDEX('Raw Provisioning'!$R$2:$R$1000,ROWS($A$5:A470)-COUNTA('Raw Decommissioning'!$B$2:$B$1000))))</x:f>
        <x:v>M</x:v>
      </x:c>
      <x:c r="J470" s="170" t="str">
        <x:f>IF(A470="","",IF(B470="Decommissioning",INDEX('Raw Decommissioning'!$AG$2:$AG$1000,ROWS($A$5:A470)),INDEX('Raw Provisioning'!$AI$2:$AI$1000,ROWS($A$5:A470)-COUNTA('Raw Decommissioning'!$B$2:$B$1000))))</x:f>
        <x:v>darliz.zainol@petronas.com</x:v>
      </x:c>
      <x:c r="K470" s="172" t="str">
        <x:f>IF(A470="","",IFERROR(LOOKUP(2,1/('Assignment History'!$B$5:$B$204=A470),'Assignment History'!$D$5:$D$204),IFERROR(VLOOKUP(J470,Configuration!$L$5:$M$50,2,FALSE),J470)))</x:f>
        <x:v>darliz.zainol@petronas.com</x:v>
      </x:c>
      <x:c r="L470" s="172" t="str">
        <x:f>IF(A470="","",IF(K470=IFERROR(VLOOKUP(J470,Configuration!$L$5:$M$50,2,FALSE),J470),"Snapshot PIC","Replacement PIC"))</x:f>
        <x:v>Snapshot PIC</x:v>
      </x:c>
      <x:c r="M470" s="172" t="n">
        <x:f>IF(A470="","",IFERROR(VLOOKUP(I470,Configuration!$O$5:$P$8,2,FALSE),Configuration!$S$6))</x:f>
        <x:v>2</x:v>
      </x:c>
      <x:c r="N470" s="172" t="str">
        <x:f>IF(A470="","",IFERROR(LOOKUP(2,1/('Scope Review'!$B$5:$B$204=A470),'Scope Review'!$G$5:$G$204),"Not Reviewed"))</x:f>
        <x:v>Not Reviewed</x:v>
      </x:c>
      <x:c r="O470" s="172" t="str">
        <x:f>IF(A470="","",IFERROR(LOOKUP(2,1/('Scope Review'!$B$5:$B$204=A470),'Scope Review'!$H$5:$H$204),""))</x:f>
      </x:c>
      <x:c r="P470" s="172" t="n">
        <x:f>IF(A470="","",IF(AND(C470="executing",N470&lt;&gt;"Confirmed OOS"),M470,0))</x:f>
        <x:v>0</x:v>
      </x:c>
      <x:c r="Q470" s="173" t="str">
        <x:f>IF(A470="","",IFERROR(LOOKUP(2,1/('Engineer Updates'!$B$5:$B$704=A470),'Engineer Updates'!$A$5:$A$704),""))</x:f>
      </x:c>
      <x:c r="R470" s="172" t="str">
        <x:f>IF(A470="","",IFERROR(LOOKUP(2,1/('Engineer Updates'!$B$5:$B$704=A470),'Engineer Updates'!$H$5:$H$704),""))</x:f>
      </x:c>
      <x:c r="S470" s="172" t="str">
        <x:f>IF(A470="","",IFERROR(LOOKUP(2,1/('Engineer Updates'!$B$5:$B$704=A470),'Engineer Updates'!$G$5:$G$704),""))</x:f>
      </x:c>
      <x:c r="T470" s="172" t="str">
        <x:f>IF(A470="","",IFERROR(LOOKUP(2,1/('Engineer Updates'!$B$5:$B$704=A470),'Engineer Updates'!$I$5:$I$704),""))</x:f>
      </x:c>
      <x:c r="U470" s="172" t="str">
        <x:f>IF(A470="","",IFERROR(LOOKUP(2,1/('Engineer Updates'!$B$5:$B$704=A470),'Engineer Updates'!$J$5:$J$704),""))</x:f>
      </x:c>
      <x:c r="V470" s="172" t="str">
        <x:f>IF(A470="","",IFERROR(LOOKUP(2,1/('Engineer Updates'!$B$5:$B$704=A470),'Engineer Updates'!$K$5:$K$704),""))</x:f>
      </x:c>
      <x:c r="W470" s="174" t="str">
        <x:f>IF(A470="","",IFERROR(LOOKUP(2,1/('Engineer Updates'!$B$5:$B$704=A470),'Engineer Updates'!$L$5:$L$704),""))</x:f>
      </x:c>
      <x:c r="X470" s="170" t="str">
        <x:f>IF(A470="","",IF(C470="completed","Completed in CSSP",IF(AND(C470="executing",ISERROR(SEARCH("@",K470))),"Executing without named engineer",IF(AND(N470="Confirmed OOS",C470="executing"),"Confirmed OOS still executing",""))))</x:f>
        <x:v>Completed in CSSP</x:v>
      </x:c>
      <x:c r="Y470" s="170" t="str">
        <x:f>IF(A470="","",IF(B470="Decommissioning","Raw Decommissioning","Raw Provisioning"))</x:f>
        <x:v>Raw Provisioning</x:v>
      </x:c>
      <x:c r="Z470" s="170" t="str">
        <x:f>IF(A470="","",IF(OR(C470="executing",C470="processing"),"Yes","No"))</x:f>
        <x:v>No</x:v>
      </x:c>
    </x:row>
    <x:row r="471">
      <x:c r="A471" s="170" t="str">
        <x:f>IF(ROWS($A$5:A471)&lt;=COUNTA('Raw Decommissioning'!$B$2:$B$1000),INDEX('Raw Decommissioning'!$B$2:$B$1000,ROWS($A$5:A471)),IF(ROWS($A$5:A471)-COUNTA('Raw Decommissioning'!$B$2:$B$1000)&lt;=COUNTA('Raw Provisioning'!$B$2:$B$1000),INDEX('Raw Provisioning'!$B$2:$B$1000,ROWS($A$5:A471)-COUNTA('Raw Decommissioning'!$B$2:$B$1000)),""))</x:f>
        <x:v>CSSP10264005</x:v>
      </x:c>
      <x:c r="B471" s="170" t="str">
        <x:f>IF(A471="","",IF(ROWS($A$5:A471)&lt;=COUNTA('Raw Decommissioning'!$B$2:$B$1000),"Decommissioning","Provisioning"))</x:f>
        <x:v>Provisioning</x:v>
      </x:c>
      <x:c r="C471" s="170" t="str">
        <x:f>IF(A471="","",IF(B471="Decommissioning",IFERROR(INDEX('Raw Decommissioning'!$E$2:$E$1000,MATCH(A471,'Raw Decommissioning'!$B$2:$B$1000,0)),"Missing from latest raw"),IFERROR(INDEX('Raw Provisioning'!$E$2:$E$1000,MATCH(A471,'Raw Provisioning'!$B$2:$B$1000,0)),"Missing from latest raw")))</x:f>
        <x:v>rejected</x:v>
      </x:c>
      <x:c r="D471" s="171" t="n">
        <x:f>IF(A471="","",'Refresh Control'!$B$4)</x:f>
        <x:v>46254</x:v>
      </x:c>
      <x:c r="E471" s="171" t="n">
        <x:f>IF(A471="","",IF(B471="Decommissioning",INDEX('Raw Decommissioning'!$F$2:$F$1000,ROWS($A$5:A471)),INDEX('Raw Provisioning'!$F$2:$F$1000,ROWS($A$5:A471)-COUNTA('Raw Decommissioning'!$B$2:$B$1000))))</x:f>
        <x:v>46106.04699793981</x:v>
      </x:c>
      <x:c r="F471" s="171" t="n">
        <x:f>IF(A471="","",IF(B471="Decommissioning",INDEX('Raw Decommissioning'!$G$2:$G$1000,ROWS($A$5:A471)),INDEX('Raw Provisioning'!$H$2:$H$1000,ROWS($A$5:A471)-COUNTA('Raw Decommissioning'!$B$2:$B$1000))))</x:f>
        <x:v>46126.32882079861</x:v>
      </x:c>
      <x:c r="G471" s="170" t="str">
        <x:f>IF(A471="","",IF(B471="Decommissioning",INDEX('Raw Decommissioning'!$I$2:$I$1000,ROWS($A$5:A471)),INDEX('Raw Provisioning'!$J$2:$J$1000,ROWS($A$5:A471)-COUNTA('Raw Decommissioning'!$B$2:$B$1000))))</x:f>
        <x:v>PDB Data &amp; Intelligence Platform</x:v>
      </x:c>
      <x:c r="H471" s="170" t="str">
        <x:f>IF(A471="","",IF(B471="Decommissioning",INDEX('Raw Decommissioning'!$J$2:$J$1000,ROWS($A$5:A471)),INDEX('Raw Provisioning'!$L$2:$L$1000,ROWS($A$5:A471)-COUNTA('Raw Decommissioning'!$B$2:$B$1000))))</x:f>
        <x:v>PDB Data &amp; Intelligence Platform</x:v>
      </x:c>
      <x:c r="I471" s="170" t="str">
        <x:f>IF(A471="","",IF(B471="Decommissioning",INDEX('Raw Decommissioning'!$AL$2:$AL$1000,ROWS($A$5:A471)),INDEX('Raw Provisioning'!$R$2:$R$1000,ROWS($A$5:A471)-COUNTA('Raw Decommissioning'!$B$2:$B$1000))))</x:f>
        <x:v>M</x:v>
      </x:c>
      <x:c r="J471" s="170" t="str">
        <x:f>IF(A471="","",IF(B471="Decommissioning",INDEX('Raw Decommissioning'!$AG$2:$AG$1000,ROWS($A$5:A471)),INDEX('Raw Provisioning'!$AI$2:$AI$1000,ROWS($A$5:A471)-COUNTA('Raw Decommissioning'!$B$2:$B$1000))))</x:f>
        <x:v>afnanfarhan.dzaharud@petronas.com</x:v>
      </x:c>
      <x:c r="K471" s="172" t="str">
        <x:f>IF(A471="","",IFERROR(LOOKUP(2,1/('Assignment History'!$B$5:$B$204=A471),'Assignment History'!$D$5:$D$204),IFERROR(VLOOKUP(J471,Configuration!$L$5:$M$50,2,FALSE),J471)))</x:f>
        <x:v>afnanfarhan.dzaharud@petronas.com</x:v>
      </x:c>
      <x:c r="L471" s="172" t="str">
        <x:f>IF(A471="","",IF(K471=IFERROR(VLOOKUP(J471,Configuration!$L$5:$M$50,2,FALSE),J471),"Snapshot PIC","Replacement PIC"))</x:f>
        <x:v>Snapshot PIC</x:v>
      </x:c>
      <x:c r="M471" s="172" t="n">
        <x:f>IF(A471="","",IFERROR(VLOOKUP(I471,Configuration!$O$5:$P$8,2,FALSE),Configuration!$S$6))</x:f>
        <x:v>2</x:v>
      </x:c>
      <x:c r="N471" s="172" t="str">
        <x:f>IF(A471="","",IFERROR(LOOKUP(2,1/('Scope Review'!$B$5:$B$204=A471),'Scope Review'!$G$5:$G$204),"Not Reviewed"))</x:f>
        <x:v>Not Reviewed</x:v>
      </x:c>
      <x:c r="O471" s="172" t="str">
        <x:f>IF(A471="","",IFERROR(LOOKUP(2,1/('Scope Review'!$B$5:$B$204=A471),'Scope Review'!$H$5:$H$204),""))</x:f>
      </x:c>
      <x:c r="P471" s="172" t="n">
        <x:f>IF(A471="","",IF(AND(C471="executing",N471&lt;&gt;"Confirmed OOS"),M471,0))</x:f>
        <x:v>0</x:v>
      </x:c>
      <x:c r="Q471" s="173" t="str">
        <x:f>IF(A471="","",IFERROR(LOOKUP(2,1/('Engineer Updates'!$B$5:$B$704=A471),'Engineer Updates'!$A$5:$A$704),""))</x:f>
      </x:c>
      <x:c r="R471" s="172" t="str">
        <x:f>IF(A471="","",IFERROR(LOOKUP(2,1/('Engineer Updates'!$B$5:$B$704=A471),'Engineer Updates'!$H$5:$H$704),""))</x:f>
      </x:c>
      <x:c r="S471" s="172" t="str">
        <x:f>IF(A471="","",IFERROR(LOOKUP(2,1/('Engineer Updates'!$B$5:$B$704=A471),'Engineer Updates'!$G$5:$G$704),""))</x:f>
      </x:c>
      <x:c r="T471" s="172" t="str">
        <x:f>IF(A471="","",IFERROR(LOOKUP(2,1/('Engineer Updates'!$B$5:$B$704=A471),'Engineer Updates'!$I$5:$I$704),""))</x:f>
      </x:c>
      <x:c r="U471" s="172" t="str">
        <x:f>IF(A471="","",IFERROR(LOOKUP(2,1/('Engineer Updates'!$B$5:$B$704=A471),'Engineer Updates'!$J$5:$J$704),""))</x:f>
      </x:c>
      <x:c r="V471" s="172" t="str">
        <x:f>IF(A471="","",IFERROR(LOOKUP(2,1/('Engineer Updates'!$B$5:$B$704=A471),'Engineer Updates'!$K$5:$K$704),""))</x:f>
      </x:c>
      <x:c r="W471" s="174" t="str">
        <x:f>IF(A471="","",IFERROR(LOOKUP(2,1/('Engineer Updates'!$B$5:$B$704=A471),'Engineer Updates'!$L$5:$L$704),""))</x:f>
      </x:c>
      <x:c r="X471" s="170" t="str">
        <x:f>IF(A471="","",IF(C471="completed","Completed in CSSP",IF(AND(C471="executing",ISERROR(SEARCH("@",K471))),"Executing without named engineer",IF(AND(N471="Confirmed OOS",C471="executing"),"Confirmed OOS still executing",""))))</x:f>
      </x:c>
      <x:c r="Y471" s="170" t="str">
        <x:f>IF(A471="","",IF(B471="Decommissioning","Raw Decommissioning","Raw Provisioning"))</x:f>
        <x:v>Raw Provisioning</x:v>
      </x:c>
      <x:c r="Z471" s="170" t="str">
        <x:f>IF(A471="","",IF(OR(C471="executing",C471="processing"),"Yes","No"))</x:f>
        <x:v>No</x:v>
      </x:c>
    </x:row>
    <x:row r="472">
      <x:c r="A472" s="170" t="str">
        <x:f>IF(ROWS($A$5:A472)&lt;=COUNTA('Raw Decommissioning'!$B$2:$B$1000),INDEX('Raw Decommissioning'!$B$2:$B$1000,ROWS($A$5:A472)),IF(ROWS($A$5:A472)-COUNTA('Raw Decommissioning'!$B$2:$B$1000)&lt;=COUNTA('Raw Provisioning'!$B$2:$B$1000),INDEX('Raw Provisioning'!$B$2:$B$1000,ROWS($A$5:A472)-COUNTA('Raw Decommissioning'!$B$2:$B$1000)),""))</x:f>
        <x:v>CSSP10308393</x:v>
      </x:c>
      <x:c r="B472" s="170" t="str">
        <x:f>IF(A472="","",IF(ROWS($A$5:A472)&lt;=COUNTA('Raw Decommissioning'!$B$2:$B$1000),"Decommissioning","Provisioning"))</x:f>
        <x:v>Provisioning</x:v>
      </x:c>
      <x:c r="C472" s="170" t="str">
        <x:f>IF(A472="","",IF(B472="Decommissioning",IFERROR(INDEX('Raw Decommissioning'!$E$2:$E$1000,MATCH(A472,'Raw Decommissioning'!$B$2:$B$1000,0)),"Missing from latest raw"),IFERROR(INDEX('Raw Provisioning'!$E$2:$E$1000,MATCH(A472,'Raw Provisioning'!$B$2:$B$1000,0)),"Missing from latest raw")))</x:f>
        <x:v>completed</x:v>
      </x:c>
      <x:c r="D472" s="171" t="n">
        <x:f>IF(A472="","",'Refresh Control'!$B$4)</x:f>
        <x:v>46254</x:v>
      </x:c>
      <x:c r="E472" s="171" t="n">
        <x:f>IF(A472="","",IF(B472="Decommissioning",INDEX('Raw Decommissioning'!$F$2:$F$1000,ROWS($A$5:A472)),INDEX('Raw Provisioning'!$F$2:$F$1000,ROWS($A$5:A472)-COUNTA('Raw Decommissioning'!$B$2:$B$1000))))</x:f>
        <x:v>46111.12135234954</x:v>
      </x:c>
      <x:c r="F472" s="171" t="n">
        <x:f>IF(A472="","",IF(B472="Decommissioning",INDEX('Raw Decommissioning'!$G$2:$G$1000,ROWS($A$5:A472)),INDEX('Raw Provisioning'!$H$2:$H$1000,ROWS($A$5:A472)-COUNTA('Raw Decommissioning'!$B$2:$B$1000))))</x:f>
        <x:v>46114.187422511575</x:v>
      </x:c>
      <x:c r="G472" s="170" t="str">
        <x:f>IF(A472="","",IF(B472="Decommissioning",INDEX('Raw Decommissioning'!$I$2:$I$1000,ROWS($A$5:A472)),INDEX('Raw Provisioning'!$J$2:$J$1000,ROWS($A$5:A472)-COUNTA('Raw Decommissioning'!$B$2:$B$1000))))</x:f>
        <x:v>AI Enablement Framework</x:v>
      </x:c>
      <x:c r="H472" s="170" t="str">
        <x:f>IF(A472="","",IF(B472="Decommissioning",INDEX('Raw Decommissioning'!$J$2:$J$1000,ROWS($A$5:A472)),INDEX('Raw Provisioning'!$L$2:$L$1000,ROWS($A$5:A472)-COUNTA('Raw Decommissioning'!$B$2:$B$1000))))</x:f>
        <x:v>Support and Maintenance for AI Enablement Framework 2023-2024 for PDB</x:v>
      </x:c>
      <x:c r="I472" s="170" t="str">
        <x:f>IF(A472="","",IF(B472="Decommissioning",INDEX('Raw Decommissioning'!$AL$2:$AL$1000,ROWS($A$5:A472)),INDEX('Raw Provisioning'!$R$2:$R$1000,ROWS($A$5:A472)-COUNTA('Raw Decommissioning'!$B$2:$B$1000))))</x:f>
        <x:v>S</x:v>
      </x:c>
      <x:c r="J472" s="170" t="str">
        <x:f>IF(A472="","",IF(B472="Decommissioning",INDEX('Raw Decommissioning'!$AG$2:$AG$1000,ROWS($A$5:A472)),INDEX('Raw Provisioning'!$AI$2:$AI$1000,ROWS($A$5:A472)-COUNTA('Raw Decommissioning'!$B$2:$B$1000))))</x:f>
        <x:v>izham.ajmaan@petronas.com</x:v>
      </x:c>
      <x:c r="K472" s="172" t="str">
        <x:f>IF(A472="","",IFERROR(LOOKUP(2,1/('Assignment History'!$B$5:$B$204=A472),'Assignment History'!$D$5:$D$204),IFERROR(VLOOKUP(J472,Configuration!$L$5:$M$50,2,FALSE),J472)))</x:f>
        <x:v>izham.ajmaan@petronas.com</x:v>
      </x:c>
      <x:c r="L472" s="172" t="str">
        <x:f>IF(A472="","",IF(K472=IFERROR(VLOOKUP(J472,Configuration!$L$5:$M$50,2,FALSE),J472),"Snapshot PIC","Replacement PIC"))</x:f>
        <x:v>Snapshot PIC</x:v>
      </x:c>
      <x:c r="M472" s="172" t="n">
        <x:f>IF(A472="","",IFERROR(VLOOKUP(I472,Configuration!$O$5:$P$8,2,FALSE),Configuration!$S$6))</x:f>
        <x:v>1</x:v>
      </x:c>
      <x:c r="N472" s="172" t="str">
        <x:f>IF(A472="","",IFERROR(LOOKUP(2,1/('Scope Review'!$B$5:$B$204=A472),'Scope Review'!$G$5:$G$204),"Not Reviewed"))</x:f>
        <x:v>Not Reviewed</x:v>
      </x:c>
      <x:c r="O472" s="172" t="str">
        <x:f>IF(A472="","",IFERROR(LOOKUP(2,1/('Scope Review'!$B$5:$B$204=A472),'Scope Review'!$H$5:$H$204),""))</x:f>
      </x:c>
      <x:c r="P472" s="172" t="n">
        <x:f>IF(A472="","",IF(AND(C472="executing",N472&lt;&gt;"Confirmed OOS"),M472,0))</x:f>
        <x:v>0</x:v>
      </x:c>
      <x:c r="Q472" s="173" t="str">
        <x:f>IF(A472="","",IFERROR(LOOKUP(2,1/('Engineer Updates'!$B$5:$B$704=A472),'Engineer Updates'!$A$5:$A$704),""))</x:f>
      </x:c>
      <x:c r="R472" s="172" t="str">
        <x:f>IF(A472="","",IFERROR(LOOKUP(2,1/('Engineer Updates'!$B$5:$B$704=A472),'Engineer Updates'!$H$5:$H$704),""))</x:f>
      </x:c>
      <x:c r="S472" s="172" t="str">
        <x:f>IF(A472="","",IFERROR(LOOKUP(2,1/('Engineer Updates'!$B$5:$B$704=A472),'Engineer Updates'!$G$5:$G$704),""))</x:f>
      </x:c>
      <x:c r="T472" s="172" t="str">
        <x:f>IF(A472="","",IFERROR(LOOKUP(2,1/('Engineer Updates'!$B$5:$B$704=A472),'Engineer Updates'!$I$5:$I$704),""))</x:f>
      </x:c>
      <x:c r="U472" s="172" t="str">
        <x:f>IF(A472="","",IFERROR(LOOKUP(2,1/('Engineer Updates'!$B$5:$B$704=A472),'Engineer Updates'!$J$5:$J$704),""))</x:f>
      </x:c>
      <x:c r="V472" s="172" t="str">
        <x:f>IF(A472="","",IFERROR(LOOKUP(2,1/('Engineer Updates'!$B$5:$B$704=A472),'Engineer Updates'!$K$5:$K$704),""))</x:f>
      </x:c>
      <x:c r="W472" s="174" t="str">
        <x:f>IF(A472="","",IFERROR(LOOKUP(2,1/('Engineer Updates'!$B$5:$B$704=A472),'Engineer Updates'!$L$5:$L$704),""))</x:f>
      </x:c>
      <x:c r="X472" s="170" t="str">
        <x:f>IF(A472="","",IF(C472="completed","Completed in CSSP",IF(AND(C472="executing",ISERROR(SEARCH("@",K472))),"Executing without named engineer",IF(AND(N472="Confirmed OOS",C472="executing"),"Confirmed OOS still executing",""))))</x:f>
        <x:v>Completed in CSSP</x:v>
      </x:c>
      <x:c r="Y472" s="170" t="str">
        <x:f>IF(A472="","",IF(B472="Decommissioning","Raw Decommissioning","Raw Provisioning"))</x:f>
        <x:v>Raw Provisioning</x:v>
      </x:c>
      <x:c r="Z472" s="170" t="str">
        <x:f>IF(A472="","",IF(OR(C472="executing",C472="processing"),"Yes","No"))</x:f>
        <x:v>No</x:v>
      </x:c>
    </x:row>
    <x:row r="473">
      <x:c r="A473" s="170" t="str">
        <x:f>IF(ROWS($A$5:A473)&lt;=COUNTA('Raw Decommissioning'!$B$2:$B$1000),INDEX('Raw Decommissioning'!$B$2:$B$1000,ROWS($A$5:A473)),IF(ROWS($A$5:A473)-COUNTA('Raw Decommissioning'!$B$2:$B$1000)&lt;=COUNTA('Raw Provisioning'!$B$2:$B$1000),INDEX('Raw Provisioning'!$B$2:$B$1000,ROWS($A$5:A473)-COUNTA('Raw Decommissioning'!$B$2:$B$1000)),""))</x:f>
        <x:v>CSSP10944972</x:v>
      </x:c>
      <x:c r="B473" s="170" t="str">
        <x:f>IF(A473="","",IF(ROWS($A$5:A473)&lt;=COUNTA('Raw Decommissioning'!$B$2:$B$1000),"Decommissioning","Provisioning"))</x:f>
        <x:v>Provisioning</x:v>
      </x:c>
      <x:c r="C473" s="170" t="str">
        <x:f>IF(A473="","",IF(B473="Decommissioning",IFERROR(INDEX('Raw Decommissioning'!$E$2:$E$1000,MATCH(A473,'Raw Decommissioning'!$B$2:$B$1000,0)),"Missing from latest raw"),IFERROR(INDEX('Raw Provisioning'!$E$2:$E$1000,MATCH(A473,'Raw Provisioning'!$B$2:$B$1000,0)),"Missing from latest raw")))</x:f>
        <x:v>completed</x:v>
      </x:c>
      <x:c r="D473" s="171" t="n">
        <x:f>IF(A473="","",'Refresh Control'!$B$4)</x:f>
        <x:v>46254</x:v>
      </x:c>
      <x:c r="E473" s="171" t="n">
        <x:f>IF(A473="","",IF(B473="Decommissioning",INDEX('Raw Decommissioning'!$F$2:$F$1000,ROWS($A$5:A473)),INDEX('Raw Provisioning'!$F$2:$F$1000,ROWS($A$5:A473)-COUNTA('Raw Decommissioning'!$B$2:$B$1000))))</x:f>
        <x:v>46111.15700936343</x:v>
      </x:c>
      <x:c r="F473" s="171" t="n">
        <x:f>IF(A473="","",IF(B473="Decommissioning",INDEX('Raw Decommissioning'!$G$2:$G$1000,ROWS($A$5:A473)),INDEX('Raw Provisioning'!$H$2:$H$1000,ROWS($A$5:A473)-COUNTA('Raw Decommissioning'!$B$2:$B$1000))))</x:f>
        <x:v>46141.63561224537</x:v>
      </x:c>
      <x:c r="G473" s="170" t="str">
        <x:f>IF(A473="","",IF(B473="Decommissioning",INDEX('Raw Decommissioning'!$I$2:$I$1000,ROWS($A$5:A473)),INDEX('Raw Provisioning'!$J$2:$J$1000,ROWS($A$5:A473)-COUNTA('Raw Decommissioning'!$B$2:$B$1000))))</x:f>
        <x:v>Authorization For Expenditure Management System - AFEMS VESTIGO</x:v>
      </x:c>
      <x:c r="H473" s="170" t="str">
        <x:f>IF(A473="","",IF(B473="Decommissioning",INDEX('Raw Decommissioning'!$J$2:$J$1000,ROWS($A$5:A473)),INDEX('Raw Provisioning'!$L$2:$L$1000,ROWS($A$5:A473)-COUNTA('Raw Decommissioning'!$B$2:$B$1000))))</x:f>
        <x:v>Estrella OT Vestigo AFEMS Implementation</x:v>
      </x:c>
      <x:c r="I473" s="170" t="str">
        <x:f>IF(A473="","",IF(B473="Decommissioning",INDEX('Raw Decommissioning'!$AL$2:$AL$1000,ROWS($A$5:A473)),INDEX('Raw Provisioning'!$R$2:$R$1000,ROWS($A$5:A473)-COUNTA('Raw Decommissioning'!$B$2:$B$1000))))</x:f>
        <x:v>M</x:v>
      </x:c>
      <x:c r="J473" s="170" t="str">
        <x:f>IF(A473="","",IF(B473="Decommissioning",INDEX('Raw Decommissioning'!$AG$2:$AG$1000,ROWS($A$5:A473)),INDEX('Raw Provisioning'!$AI$2:$AI$1000,ROWS($A$5:A473)-COUNTA('Raw Decommissioning'!$B$2:$B$1000))))</x:f>
        <x:v>akhmal.roslan@petronas.com</x:v>
      </x:c>
      <x:c r="K473" s="172" t="str">
        <x:f>IF(A473="","",IFERROR(LOOKUP(2,1/('Assignment History'!$B$5:$B$204=A473),'Assignment History'!$D$5:$D$204),IFERROR(VLOOKUP(J473,Configuration!$L$5:$M$50,2,FALSE),J473)))</x:f>
        <x:v>akhmal.roslan@petronas.com</x:v>
      </x:c>
      <x:c r="L473" s="172" t="str">
        <x:f>IF(A473="","",IF(K473=IFERROR(VLOOKUP(J473,Configuration!$L$5:$M$50,2,FALSE),J473),"Snapshot PIC","Replacement PIC"))</x:f>
        <x:v>Snapshot PIC</x:v>
      </x:c>
      <x:c r="M473" s="172" t="n">
        <x:f>IF(A473="","",IFERROR(VLOOKUP(I473,Configuration!$O$5:$P$8,2,FALSE),Configuration!$S$6))</x:f>
        <x:v>2</x:v>
      </x:c>
      <x:c r="N473" s="172" t="str">
        <x:f>IF(A473="","",IFERROR(LOOKUP(2,1/('Scope Review'!$B$5:$B$204=A473),'Scope Review'!$G$5:$G$204),"Not Reviewed"))</x:f>
        <x:v>Not Reviewed</x:v>
      </x:c>
      <x:c r="O473" s="172" t="str">
        <x:f>IF(A473="","",IFERROR(LOOKUP(2,1/('Scope Review'!$B$5:$B$204=A473),'Scope Review'!$H$5:$H$204),""))</x:f>
      </x:c>
      <x:c r="P473" s="172" t="n">
        <x:f>IF(A473="","",IF(AND(C473="executing",N473&lt;&gt;"Confirmed OOS"),M473,0))</x:f>
        <x:v>0</x:v>
      </x:c>
      <x:c r="Q473" s="173" t="str">
        <x:f>IF(A473="","",IFERROR(LOOKUP(2,1/('Engineer Updates'!$B$5:$B$704=A473),'Engineer Updates'!$A$5:$A$704),""))</x:f>
      </x:c>
      <x:c r="R473" s="172" t="str">
        <x:f>IF(A473="","",IFERROR(LOOKUP(2,1/('Engineer Updates'!$B$5:$B$704=A473),'Engineer Updates'!$H$5:$H$704),""))</x:f>
      </x:c>
      <x:c r="S473" s="172" t="str">
        <x:f>IF(A473="","",IFERROR(LOOKUP(2,1/('Engineer Updates'!$B$5:$B$704=A473),'Engineer Updates'!$G$5:$G$704),""))</x:f>
      </x:c>
      <x:c r="T473" s="172" t="str">
        <x:f>IF(A473="","",IFERROR(LOOKUP(2,1/('Engineer Updates'!$B$5:$B$704=A473),'Engineer Updates'!$I$5:$I$704),""))</x:f>
      </x:c>
      <x:c r="U473" s="172" t="str">
        <x:f>IF(A473="","",IFERROR(LOOKUP(2,1/('Engineer Updates'!$B$5:$B$704=A473),'Engineer Updates'!$J$5:$J$704),""))</x:f>
      </x:c>
      <x:c r="V473" s="172" t="str">
        <x:f>IF(A473="","",IFERROR(LOOKUP(2,1/('Engineer Updates'!$B$5:$B$704=A473),'Engineer Updates'!$K$5:$K$704),""))</x:f>
      </x:c>
      <x:c r="W473" s="174" t="str">
        <x:f>IF(A473="","",IFERROR(LOOKUP(2,1/('Engineer Updates'!$B$5:$B$704=A473),'Engineer Updates'!$L$5:$L$704),""))</x:f>
      </x:c>
      <x:c r="X473" s="170" t="str">
        <x:f>IF(A473="","",IF(C473="completed","Completed in CSSP",IF(AND(C473="executing",ISERROR(SEARCH("@",K473))),"Executing without named engineer",IF(AND(N473="Confirmed OOS",C473="executing"),"Confirmed OOS still executing",""))))</x:f>
        <x:v>Completed in CSSP</x:v>
      </x:c>
      <x:c r="Y473" s="170" t="str">
        <x:f>IF(A473="","",IF(B473="Decommissioning","Raw Decommissioning","Raw Provisioning"))</x:f>
        <x:v>Raw Provisioning</x:v>
      </x:c>
      <x:c r="Z473" s="170" t="str">
        <x:f>IF(A473="","",IF(OR(C473="executing",C473="processing"),"Yes","No"))</x:f>
        <x:v>No</x:v>
      </x:c>
    </x:row>
    <x:row r="474">
      <x:c r="A474" s="170" t="str">
        <x:f>IF(ROWS($A$5:A474)&lt;=COUNTA('Raw Decommissioning'!$B$2:$B$1000),INDEX('Raw Decommissioning'!$B$2:$B$1000,ROWS($A$5:A474)),IF(ROWS($A$5:A474)-COUNTA('Raw Decommissioning'!$B$2:$B$1000)&lt;=COUNTA('Raw Provisioning'!$B$2:$B$1000),INDEX('Raw Provisioning'!$B$2:$B$1000,ROWS($A$5:A474)-COUNTA('Raw Decommissioning'!$B$2:$B$1000)),""))</x:f>
        <x:v>CSSP10903969</x:v>
      </x:c>
      <x:c r="B474" s="170" t="str">
        <x:f>IF(A474="","",IF(ROWS($A$5:A474)&lt;=COUNTA('Raw Decommissioning'!$B$2:$B$1000),"Decommissioning","Provisioning"))</x:f>
        <x:v>Provisioning</x:v>
      </x:c>
      <x:c r="C474" s="170" t="str">
        <x:f>IF(A474="","",IF(B474="Decommissioning",IFERROR(INDEX('Raw Decommissioning'!$E$2:$E$1000,MATCH(A474,'Raw Decommissioning'!$B$2:$B$1000,0)),"Missing from latest raw"),IFERROR(INDEX('Raw Provisioning'!$E$2:$E$1000,MATCH(A474,'Raw Provisioning'!$B$2:$B$1000,0)),"Missing from latest raw")))</x:f>
        <x:v>completed</x:v>
      </x:c>
      <x:c r="D474" s="171" t="n">
        <x:f>IF(A474="","",'Refresh Control'!$B$4)</x:f>
        <x:v>46254</x:v>
      </x:c>
      <x:c r="E474" s="171" t="n">
        <x:f>IF(A474="","",IF(B474="Decommissioning",INDEX('Raw Decommissioning'!$F$2:$F$1000,ROWS($A$5:A474)),INDEX('Raw Provisioning'!$F$2:$F$1000,ROWS($A$5:A474)-COUNTA('Raw Decommissioning'!$B$2:$B$1000))))</x:f>
        <x:v>46111.158345578704</x:v>
      </x:c>
      <x:c r="F474" s="171" t="n">
        <x:f>IF(A474="","",IF(B474="Decommissioning",INDEX('Raw Decommissioning'!$G$2:$G$1000,ROWS($A$5:A474)),INDEX('Raw Provisioning'!$H$2:$H$1000,ROWS($A$5:A474)-COUNTA('Raw Decommissioning'!$B$2:$B$1000))))</x:f>
        <x:v>46135.33755108796</x:v>
      </x:c>
      <x:c r="G474" s="170" t="str">
        <x:f>IF(A474="","",IF(B474="Decommissioning",INDEX('Raw Decommissioning'!$I$2:$I$1000,ROWS($A$5:A474)),INDEX('Raw Provisioning'!$J$2:$J$1000,ROWS($A$5:A474)-COUNTA('Raw Decommissioning'!$B$2:$B$1000))))</x:f>
        <x:v>Authorization For Expenditure Management System - AFEMS VESTIGO</x:v>
      </x:c>
      <x:c r="H474" s="170" t="str">
        <x:f>IF(A474="","",IF(B474="Decommissioning",INDEX('Raw Decommissioning'!$J$2:$J$1000,ROWS($A$5:A474)),INDEX('Raw Provisioning'!$L$2:$L$1000,ROWS($A$5:A474)-COUNTA('Raw Decommissioning'!$B$2:$B$1000))))</x:f>
        <x:v>Estrella OT Vestigo AFEMS Implementation</x:v>
      </x:c>
      <x:c r="I474" s="170" t="str">
        <x:f>IF(A474="","",IF(B474="Decommissioning",INDEX('Raw Decommissioning'!$AL$2:$AL$1000,ROWS($A$5:A474)),INDEX('Raw Provisioning'!$R$2:$R$1000,ROWS($A$5:A474)-COUNTA('Raw Decommissioning'!$B$2:$B$1000))))</x:f>
        <x:v>L</x:v>
      </x:c>
      <x:c r="J474" s="170" t="str">
        <x:f>IF(A474="","",IF(B474="Decommissioning",INDEX('Raw Decommissioning'!$AG$2:$AG$1000,ROWS($A$5:A474)),INDEX('Raw Provisioning'!$AI$2:$AI$1000,ROWS($A$5:A474)-COUNTA('Raw Decommissioning'!$B$2:$B$1000))))</x:f>
        <x:v>akhmal.roslan@petronas.com</x:v>
      </x:c>
      <x:c r="K474" s="172" t="str">
        <x:f>IF(A474="","",IFERROR(LOOKUP(2,1/('Assignment History'!$B$5:$B$204=A474),'Assignment History'!$D$5:$D$204),IFERROR(VLOOKUP(J474,Configuration!$L$5:$M$50,2,FALSE),J474)))</x:f>
        <x:v>akhmal.roslan@petronas.com</x:v>
      </x:c>
      <x:c r="L474" s="172" t="str">
        <x:f>IF(A474="","",IF(K474=IFERROR(VLOOKUP(J474,Configuration!$L$5:$M$50,2,FALSE),J474),"Snapshot PIC","Replacement PIC"))</x:f>
        <x:v>Snapshot PIC</x:v>
      </x:c>
      <x:c r="M474" s="172" t="n">
        <x:f>IF(A474="","",IFERROR(VLOOKUP(I474,Configuration!$O$5:$P$8,2,FALSE),Configuration!$S$6))</x:f>
        <x:v>3</x:v>
      </x:c>
      <x:c r="N474" s="172" t="str">
        <x:f>IF(A474="","",IFERROR(LOOKUP(2,1/('Scope Review'!$B$5:$B$204=A474),'Scope Review'!$G$5:$G$204),"Not Reviewed"))</x:f>
        <x:v>Not Reviewed</x:v>
      </x:c>
      <x:c r="O474" s="172" t="str">
        <x:f>IF(A474="","",IFERROR(LOOKUP(2,1/('Scope Review'!$B$5:$B$204=A474),'Scope Review'!$H$5:$H$204),""))</x:f>
      </x:c>
      <x:c r="P474" s="172" t="n">
        <x:f>IF(A474="","",IF(AND(C474="executing",N474&lt;&gt;"Confirmed OOS"),M474,0))</x:f>
        <x:v>0</x:v>
      </x:c>
      <x:c r="Q474" s="173" t="str">
        <x:f>IF(A474="","",IFERROR(LOOKUP(2,1/('Engineer Updates'!$B$5:$B$704=A474),'Engineer Updates'!$A$5:$A$704),""))</x:f>
      </x:c>
      <x:c r="R474" s="172" t="str">
        <x:f>IF(A474="","",IFERROR(LOOKUP(2,1/('Engineer Updates'!$B$5:$B$704=A474),'Engineer Updates'!$H$5:$H$704),""))</x:f>
      </x:c>
      <x:c r="S474" s="172" t="str">
        <x:f>IF(A474="","",IFERROR(LOOKUP(2,1/('Engineer Updates'!$B$5:$B$704=A474),'Engineer Updates'!$G$5:$G$704),""))</x:f>
      </x:c>
      <x:c r="T474" s="172" t="str">
        <x:f>IF(A474="","",IFERROR(LOOKUP(2,1/('Engineer Updates'!$B$5:$B$704=A474),'Engineer Updates'!$I$5:$I$704),""))</x:f>
      </x:c>
      <x:c r="U474" s="172" t="str">
        <x:f>IF(A474="","",IFERROR(LOOKUP(2,1/('Engineer Updates'!$B$5:$B$704=A474),'Engineer Updates'!$J$5:$J$704),""))</x:f>
      </x:c>
      <x:c r="V474" s="172" t="str">
        <x:f>IF(A474="","",IFERROR(LOOKUP(2,1/('Engineer Updates'!$B$5:$B$704=A474),'Engineer Updates'!$K$5:$K$704),""))</x:f>
      </x:c>
      <x:c r="W474" s="174" t="str">
        <x:f>IF(A474="","",IFERROR(LOOKUP(2,1/('Engineer Updates'!$B$5:$B$704=A474),'Engineer Updates'!$L$5:$L$704),""))</x:f>
      </x:c>
      <x:c r="X474" s="170" t="str">
        <x:f>IF(A474="","",IF(C474="completed","Completed in CSSP",IF(AND(C474="executing",ISERROR(SEARCH("@",K474))),"Executing without named engineer",IF(AND(N474="Confirmed OOS",C474="executing"),"Confirmed OOS still executing",""))))</x:f>
        <x:v>Completed in CSSP</x:v>
      </x:c>
      <x:c r="Y474" s="170" t="str">
        <x:f>IF(A474="","",IF(B474="Decommissioning","Raw Decommissioning","Raw Provisioning"))</x:f>
        <x:v>Raw Provisioning</x:v>
      </x:c>
      <x:c r="Z474" s="170" t="str">
        <x:f>IF(A474="","",IF(OR(C474="executing",C474="processing"),"Yes","No"))</x:f>
        <x:v>No</x:v>
      </x:c>
    </x:row>
    <x:row r="475">
      <x:c r="A475" s="170" t="str">
        <x:f>IF(ROWS($A$5:A475)&lt;=COUNTA('Raw Decommissioning'!$B$2:$B$1000),INDEX('Raw Decommissioning'!$B$2:$B$1000,ROWS($A$5:A475)),IF(ROWS($A$5:A475)-COUNTA('Raw Decommissioning'!$B$2:$B$1000)&lt;=COUNTA('Raw Provisioning'!$B$2:$B$1000),INDEX('Raw Provisioning'!$B$2:$B$1000,ROWS($A$5:A475)-COUNTA('Raw Decommissioning'!$B$2:$B$1000)),""))</x:f>
        <x:v>CSSP10561171</x:v>
      </x:c>
      <x:c r="B475" s="170" t="str">
        <x:f>IF(A475="","",IF(ROWS($A$5:A475)&lt;=COUNTA('Raw Decommissioning'!$B$2:$B$1000),"Decommissioning","Provisioning"))</x:f>
        <x:v>Provisioning</x:v>
      </x:c>
      <x:c r="C475" s="170" t="str">
        <x:f>IF(A475="","",IF(B475="Decommissioning",IFERROR(INDEX('Raw Decommissioning'!$E$2:$E$1000,MATCH(A475,'Raw Decommissioning'!$B$2:$B$1000,0)),"Missing from latest raw"),IFERROR(INDEX('Raw Provisioning'!$E$2:$E$1000,MATCH(A475,'Raw Provisioning'!$B$2:$B$1000,0)),"Missing from latest raw")))</x:f>
        <x:v>completed</x:v>
      </x:c>
      <x:c r="D475" s="171" t="n">
        <x:f>IF(A475="","",'Refresh Control'!$B$4)</x:f>
        <x:v>46254</x:v>
      </x:c>
      <x:c r="E475" s="171" t="n">
        <x:f>IF(A475="","",IF(B475="Decommissioning",INDEX('Raw Decommissioning'!$F$2:$F$1000,ROWS($A$5:A475)),INDEX('Raw Provisioning'!$F$2:$F$1000,ROWS($A$5:A475)-COUNTA('Raw Decommissioning'!$B$2:$B$1000))))</x:f>
        <x:v>46112.095105243054</x:v>
      </x:c>
      <x:c r="F475" s="171" t="n">
        <x:f>IF(A475="","",IF(B475="Decommissioning",INDEX('Raw Decommissioning'!$G$2:$G$1000,ROWS($A$5:A475)),INDEX('Raw Provisioning'!$H$2:$H$1000,ROWS($A$5:A475)-COUNTA('Raw Decommissioning'!$B$2:$B$1000))))</x:f>
        <x:v>46219.07059761574</x:v>
      </x:c>
      <x:c r="G475" s="170" t="str">
        <x:f>IF(A475="","",IF(B475="Decommissioning",INDEX('Raw Decommissioning'!$I$2:$I$1000,ROWS($A$5:A475)),INDEX('Raw Provisioning'!$J$2:$J$1000,ROWS($A$5:A475)-COUNTA('Raw Decommissioning'!$B$2:$B$1000))))</x:f>
        <x:v>Plant Information - PI Vestigo</x:v>
      </x:c>
      <x:c r="H475" s="170" t="str">
        <x:f>IF(A475="","",IF(B475="Decommissioning",INDEX('Raw Decommissioning'!$J$2:$J$1000,ROWS($A$5:A475)),INDEX('Raw Provisioning'!$L$2:$L$1000,ROWS($A$5:A475)-COUNTA('Raw Decommissioning'!$B$2:$B$1000))))</x:f>
        <x:v>Cloud Migration Program - PI Vestigo</x:v>
      </x:c>
      <x:c r="I475" s="170" t="str">
        <x:f>IF(A475="","",IF(B475="Decommissioning",INDEX('Raw Decommissioning'!$AL$2:$AL$1000,ROWS($A$5:A475)),INDEX('Raw Provisioning'!$R$2:$R$1000,ROWS($A$5:A475)-COUNTA('Raw Decommissioning'!$B$2:$B$1000))))</x:f>
        <x:v>S</x:v>
      </x:c>
      <x:c r="J475" s="170" t="str">
        <x:f>IF(A475="","",IF(B475="Decommissioning",INDEX('Raw Decommissioning'!$AG$2:$AG$1000,ROWS($A$5:A475)),INDEX('Raw Provisioning'!$AI$2:$AI$1000,ROWS($A$5:A475)-COUNTA('Raw Decommissioning'!$B$2:$B$1000))))</x:f>
        <x:v>muhdfirdaus.muhamad@petronas.com</x:v>
      </x:c>
      <x:c r="K475" s="172" t="str">
        <x:f>IF(A475="","",IFERROR(LOOKUP(2,1/('Assignment History'!$B$5:$B$204=A475),'Assignment History'!$D$5:$D$204),IFERROR(VLOOKUP(J475,Configuration!$L$5:$M$50,2,FALSE),J475)))</x:f>
        <x:v>muhdfirdaus.muhamad@petronas.com</x:v>
      </x:c>
      <x:c r="L475" s="172" t="str">
        <x:f>IF(A475="","",IF(K475=IFERROR(VLOOKUP(J475,Configuration!$L$5:$M$50,2,FALSE),J475),"Snapshot PIC","Replacement PIC"))</x:f>
        <x:v>Snapshot PIC</x:v>
      </x:c>
      <x:c r="M475" s="172" t="n">
        <x:f>IF(A475="","",IFERROR(VLOOKUP(I475,Configuration!$O$5:$P$8,2,FALSE),Configuration!$S$6))</x:f>
        <x:v>1</x:v>
      </x:c>
      <x:c r="N475" s="172" t="str">
        <x:f>IF(A475="","",IFERROR(LOOKUP(2,1/('Scope Review'!$B$5:$B$204=A475),'Scope Review'!$G$5:$G$204),"Not Reviewed"))</x:f>
        <x:v>Not Reviewed</x:v>
      </x:c>
      <x:c r="O475" s="172" t="str">
        <x:f>IF(A475="","",IFERROR(LOOKUP(2,1/('Scope Review'!$B$5:$B$204=A475),'Scope Review'!$H$5:$H$204),""))</x:f>
      </x:c>
      <x:c r="P475" s="172" t="n">
        <x:f>IF(A475="","",IF(AND(C475="executing",N475&lt;&gt;"Confirmed OOS"),M475,0))</x:f>
        <x:v>0</x:v>
      </x:c>
      <x:c r="Q475" s="173" t="str">
        <x:f>IF(A475="","",IFERROR(LOOKUP(2,1/('Engineer Updates'!$B$5:$B$704=A475),'Engineer Updates'!$A$5:$A$704),""))</x:f>
      </x:c>
      <x:c r="R475" s="172" t="str">
        <x:f>IF(A475="","",IFERROR(LOOKUP(2,1/('Engineer Updates'!$B$5:$B$704=A475),'Engineer Updates'!$H$5:$H$704),""))</x:f>
      </x:c>
      <x:c r="S475" s="172" t="str">
        <x:f>IF(A475="","",IFERROR(LOOKUP(2,1/('Engineer Updates'!$B$5:$B$704=A475),'Engineer Updates'!$G$5:$G$704),""))</x:f>
      </x:c>
      <x:c r="T475" s="172" t="str">
        <x:f>IF(A475="","",IFERROR(LOOKUP(2,1/('Engineer Updates'!$B$5:$B$704=A475),'Engineer Updates'!$I$5:$I$704),""))</x:f>
      </x:c>
      <x:c r="U475" s="172" t="str">
        <x:f>IF(A475="","",IFERROR(LOOKUP(2,1/('Engineer Updates'!$B$5:$B$704=A475),'Engineer Updates'!$J$5:$J$704),""))</x:f>
      </x:c>
      <x:c r="V475" s="172" t="str">
        <x:f>IF(A475="","",IFERROR(LOOKUP(2,1/('Engineer Updates'!$B$5:$B$704=A475),'Engineer Updates'!$K$5:$K$704),""))</x:f>
      </x:c>
      <x:c r="W475" s="174" t="str">
        <x:f>IF(A475="","",IFERROR(LOOKUP(2,1/('Engineer Updates'!$B$5:$B$704=A475),'Engineer Updates'!$L$5:$L$704),""))</x:f>
      </x:c>
      <x:c r="X475" s="170" t="str">
        <x:f>IF(A475="","",IF(C475="completed","Completed in CSSP",IF(AND(C475="executing",ISERROR(SEARCH("@",K475))),"Executing without named engineer",IF(AND(N475="Confirmed OOS",C475="executing"),"Confirmed OOS still executing",""))))</x:f>
        <x:v>Completed in CSSP</x:v>
      </x:c>
      <x:c r="Y475" s="170" t="str">
        <x:f>IF(A475="","",IF(B475="Decommissioning","Raw Decommissioning","Raw Provisioning"))</x:f>
        <x:v>Raw Provisioning</x:v>
      </x:c>
      <x:c r="Z475" s="170" t="str">
        <x:f>IF(A475="","",IF(OR(C475="executing",C475="processing"),"Yes","No"))</x:f>
        <x:v>No</x:v>
      </x:c>
    </x:row>
    <x:row r="476">
      <x:c r="A476" s="170" t="str">
        <x:f>IF(ROWS($A$5:A476)&lt;=COUNTA('Raw Decommissioning'!$B$2:$B$1000),INDEX('Raw Decommissioning'!$B$2:$B$1000,ROWS($A$5:A476)),IF(ROWS($A$5:A476)-COUNTA('Raw Decommissioning'!$B$2:$B$1000)&lt;=COUNTA('Raw Provisioning'!$B$2:$B$1000),INDEX('Raw Provisioning'!$B$2:$B$1000,ROWS($A$5:A476)-COUNTA('Raw Decommissioning'!$B$2:$B$1000)),""))</x:f>
        <x:v>CSSP10524027</x:v>
      </x:c>
      <x:c r="B476" s="170" t="str">
        <x:f>IF(A476="","",IF(ROWS($A$5:A476)&lt;=COUNTA('Raw Decommissioning'!$B$2:$B$1000),"Decommissioning","Provisioning"))</x:f>
        <x:v>Provisioning</x:v>
      </x:c>
      <x:c r="C476" s="170" t="str">
        <x:f>IF(A476="","",IF(B476="Decommissioning",IFERROR(INDEX('Raw Decommissioning'!$E$2:$E$1000,MATCH(A476,'Raw Decommissioning'!$B$2:$B$1000,0)),"Missing from latest raw"),IFERROR(INDEX('Raw Provisioning'!$E$2:$E$1000,MATCH(A476,'Raw Provisioning'!$B$2:$B$1000,0)),"Missing from latest raw")))</x:f>
        <x:v>completed</x:v>
      </x:c>
      <x:c r="D476" s="171" t="n">
        <x:f>IF(A476="","",'Refresh Control'!$B$4)</x:f>
        <x:v>46254</x:v>
      </x:c>
      <x:c r="E476" s="171" t="n">
        <x:f>IF(A476="","",IF(B476="Decommissioning",INDEX('Raw Decommissioning'!$F$2:$F$1000,ROWS($A$5:A476)),INDEX('Raw Provisioning'!$F$2:$F$1000,ROWS($A$5:A476)-COUNTA('Raw Decommissioning'!$B$2:$B$1000))))</x:f>
        <x:v>46113.1400465625</x:v>
      </x:c>
      <x:c r="F476" s="171" t="n">
        <x:f>IF(A476="","",IF(B476="Decommissioning",INDEX('Raw Decommissioning'!$G$2:$G$1000,ROWS($A$5:A476)),INDEX('Raw Provisioning'!$H$2:$H$1000,ROWS($A$5:A476)-COUNTA('Raw Decommissioning'!$B$2:$B$1000))))</x:f>
        <x:v>46126.08062800926</x:v>
      </x:c>
      <x:c r="G476" s="170" t="str">
        <x:f>IF(A476="","",IF(B476="Decommissioning",INDEX('Raw Decommissioning'!$I$2:$I$1000,ROWS($A$5:A476)),INDEX('Raw Provisioning'!$J$2:$J$1000,ROWS($A$5:A476)-COUNTA('Raw Decommissioning'!$B$2:$B$1000))))</x:f>
        <x:v>Augmented Gas Nomination Ecosystem - AGNES</x:v>
      </x:c>
      <x:c r="H476" s="170" t="str">
        <x:f>IF(A476="","",IF(B476="Decommissioning",INDEX('Raw Decommissioning'!$J$2:$J$1000,ROWS($A$5:A476)),INDEX('Raw Provisioning'!$L$2:$L$1000,ROWS($A$5:A476)-COUNTA('Raw Decommissioning'!$B$2:$B$1000))))</x:f>
        <x:v>Establishment of Augmented Gas Nomination EcoSystem (AGNES) DevSecOps for Malaysia Petroleum Management (MPM)</x:v>
      </x:c>
      <x:c r="I476" s="170" t="str">
        <x:f>IF(A476="","",IF(B476="Decommissioning",INDEX('Raw Decommissioning'!$AL$2:$AL$1000,ROWS($A$5:A476)),INDEX('Raw Provisioning'!$R$2:$R$1000,ROWS($A$5:A476)-COUNTA('Raw Decommissioning'!$B$2:$B$1000))))</x:f>
        <x:v>M</x:v>
      </x:c>
      <x:c r="J476" s="170" t="str">
        <x:f>IF(A476="","",IF(B476="Decommissioning",INDEX('Raw Decommissioning'!$AG$2:$AG$1000,ROWS($A$5:A476)),INDEX('Raw Provisioning'!$AI$2:$AI$1000,ROWS($A$5:A476)-COUNTA('Raw Decommissioning'!$B$2:$B$1000))))</x:f>
        <x:v>mhafizi.madnan@petronas.com</x:v>
      </x:c>
      <x:c r="K476" s="172" t="str">
        <x:f>IF(A476="","",IFERROR(LOOKUP(2,1/('Assignment History'!$B$5:$B$204=A476),'Assignment History'!$D$5:$D$204),IFERROR(VLOOKUP(J476,Configuration!$L$5:$M$50,2,FALSE),J476)))</x:f>
        <x:v>mhafizi.madnan@petronas.com</x:v>
      </x:c>
      <x:c r="L476" s="172" t="str">
        <x:f>IF(A476="","",IF(K476=IFERROR(VLOOKUP(J476,Configuration!$L$5:$M$50,2,FALSE),J476),"Snapshot PIC","Replacement PIC"))</x:f>
        <x:v>Snapshot PIC</x:v>
      </x:c>
      <x:c r="M476" s="172" t="n">
        <x:f>IF(A476="","",IFERROR(VLOOKUP(I476,Configuration!$O$5:$P$8,2,FALSE),Configuration!$S$6))</x:f>
        <x:v>2</x:v>
      </x:c>
      <x:c r="N476" s="172" t="str">
        <x:f>IF(A476="","",IFERROR(LOOKUP(2,1/('Scope Review'!$B$5:$B$204=A476),'Scope Review'!$G$5:$G$204),"Not Reviewed"))</x:f>
        <x:v>Not Reviewed</x:v>
      </x:c>
      <x:c r="O476" s="172" t="str">
        <x:f>IF(A476="","",IFERROR(LOOKUP(2,1/('Scope Review'!$B$5:$B$204=A476),'Scope Review'!$H$5:$H$204),""))</x:f>
      </x:c>
      <x:c r="P476" s="172" t="n">
        <x:f>IF(A476="","",IF(AND(C476="executing",N476&lt;&gt;"Confirmed OOS"),M476,0))</x:f>
        <x:v>0</x:v>
      </x:c>
      <x:c r="Q476" s="173" t="str">
        <x:f>IF(A476="","",IFERROR(LOOKUP(2,1/('Engineer Updates'!$B$5:$B$704=A476),'Engineer Updates'!$A$5:$A$704),""))</x:f>
      </x:c>
      <x:c r="R476" s="172" t="str">
        <x:f>IF(A476="","",IFERROR(LOOKUP(2,1/('Engineer Updates'!$B$5:$B$704=A476),'Engineer Updates'!$H$5:$H$704),""))</x:f>
      </x:c>
      <x:c r="S476" s="172" t="str">
        <x:f>IF(A476="","",IFERROR(LOOKUP(2,1/('Engineer Updates'!$B$5:$B$704=A476),'Engineer Updates'!$G$5:$G$704),""))</x:f>
      </x:c>
      <x:c r="T476" s="172" t="str">
        <x:f>IF(A476="","",IFERROR(LOOKUP(2,1/('Engineer Updates'!$B$5:$B$704=A476),'Engineer Updates'!$I$5:$I$704),""))</x:f>
      </x:c>
      <x:c r="U476" s="172" t="str">
        <x:f>IF(A476="","",IFERROR(LOOKUP(2,1/('Engineer Updates'!$B$5:$B$704=A476),'Engineer Updates'!$J$5:$J$704),""))</x:f>
      </x:c>
      <x:c r="V476" s="172" t="str">
        <x:f>IF(A476="","",IFERROR(LOOKUP(2,1/('Engineer Updates'!$B$5:$B$704=A476),'Engineer Updates'!$K$5:$K$704),""))</x:f>
      </x:c>
      <x:c r="W476" s="174" t="str">
        <x:f>IF(A476="","",IFERROR(LOOKUP(2,1/('Engineer Updates'!$B$5:$B$704=A476),'Engineer Updates'!$L$5:$L$704),""))</x:f>
      </x:c>
      <x:c r="X476" s="170" t="str">
        <x:f>IF(A476="","",IF(C476="completed","Completed in CSSP",IF(AND(C476="executing",ISERROR(SEARCH("@",K476))),"Executing without named engineer",IF(AND(N476="Confirmed OOS",C476="executing"),"Confirmed OOS still executing",""))))</x:f>
        <x:v>Completed in CSSP</x:v>
      </x:c>
      <x:c r="Y476" s="170" t="str">
        <x:f>IF(A476="","",IF(B476="Decommissioning","Raw Decommissioning","Raw Provisioning"))</x:f>
        <x:v>Raw Provisioning</x:v>
      </x:c>
      <x:c r="Z476" s="170" t="str">
        <x:f>IF(A476="","",IF(OR(C476="executing",C476="processing"),"Yes","No"))</x:f>
        <x:v>No</x:v>
      </x:c>
    </x:row>
    <x:row r="477">
      <x:c r="A477" s="170" t="str">
        <x:f>IF(ROWS($A$5:A477)&lt;=COUNTA('Raw Decommissioning'!$B$2:$B$1000),INDEX('Raw Decommissioning'!$B$2:$B$1000,ROWS($A$5:A477)),IF(ROWS($A$5:A477)-COUNTA('Raw Decommissioning'!$B$2:$B$1000)&lt;=COUNTA('Raw Provisioning'!$B$2:$B$1000),INDEX('Raw Provisioning'!$B$2:$B$1000,ROWS($A$5:A477)-COUNTA('Raw Decommissioning'!$B$2:$B$1000)),""))</x:f>
        <x:v>CSSP10922302</x:v>
      </x:c>
      <x:c r="B477" s="170" t="str">
        <x:f>IF(A477="","",IF(ROWS($A$5:A477)&lt;=COUNTA('Raw Decommissioning'!$B$2:$B$1000),"Decommissioning","Provisioning"))</x:f>
        <x:v>Provisioning</x:v>
      </x:c>
      <x:c r="C477" s="170" t="str">
        <x:f>IF(A477="","",IF(B477="Decommissioning",IFERROR(INDEX('Raw Decommissioning'!$E$2:$E$1000,MATCH(A477,'Raw Decommissioning'!$B$2:$B$1000,0)),"Missing from latest raw"),IFERROR(INDEX('Raw Provisioning'!$E$2:$E$1000,MATCH(A477,'Raw Provisioning'!$B$2:$B$1000,0)),"Missing from latest raw")))</x:f>
        <x:v>completed</x:v>
      </x:c>
      <x:c r="D477" s="171" t="n">
        <x:f>IF(A477="","",'Refresh Control'!$B$4)</x:f>
        <x:v>46254</x:v>
      </x:c>
      <x:c r="E477" s="171" t="n">
        <x:f>IF(A477="","",IF(B477="Decommissioning",INDEX('Raw Decommissioning'!$F$2:$F$1000,ROWS($A$5:A477)),INDEX('Raw Provisioning'!$F$2:$F$1000,ROWS($A$5:A477)-COUNTA('Raw Decommissioning'!$B$2:$B$1000))))</x:f>
        <x:v>46113.251506597226</x:v>
      </x:c>
      <x:c r="F477" s="171" t="n">
        <x:f>IF(A477="","",IF(B477="Decommissioning",INDEX('Raw Decommissioning'!$G$2:$G$1000,ROWS($A$5:A477)),INDEX('Raw Provisioning'!$H$2:$H$1000,ROWS($A$5:A477)-COUNTA('Raw Decommissioning'!$B$2:$B$1000))))</x:f>
        <x:v>46149.26341049768</x:v>
      </x:c>
      <x:c r="G477" s="170" t="str">
        <x:f>IF(A477="","",IF(B477="Decommissioning",INDEX('Raw Decommissioning'!$I$2:$I$1000,ROWS($A$5:A477)),INDEX('Raw Provisioning'!$J$2:$J$1000,ROWS($A$5:A477)-COUNTA('Raw Decommissioning'!$B$2:$B$1000))))</x:f>
        <x:v>PlanningSpace</x:v>
      </x:c>
      <x:c r="H477" s="170" t="str">
        <x:f>IF(A477="","",IF(B477="Decommissioning",INDEX('Raw Decommissioning'!$J$2:$J$1000,ROWS($A$5:A477)),INDEX('Raw Provisioning'!$L$2:$L$1000,ROWS($A$5:A477)-COUNTA('Raw Decommissioning'!$B$2:$B$1000))))</x:f>
        <x:v>Cloud Migration-Planning Space</x:v>
      </x:c>
      <x:c r="I477" s="170" t="str">
        <x:f>IF(A477="","",IF(B477="Decommissioning",INDEX('Raw Decommissioning'!$AL$2:$AL$1000,ROWS($A$5:A477)),INDEX('Raw Provisioning'!$R$2:$R$1000,ROWS($A$5:A477)-COUNTA('Raw Decommissioning'!$B$2:$B$1000))))</x:f>
        <x:v>M</x:v>
      </x:c>
      <x:c r="J477" s="170" t="str">
        <x:f>IF(A477="","",IF(B477="Decommissioning",INDEX('Raw Decommissioning'!$AG$2:$AG$1000,ROWS($A$5:A477)),INDEX('Raw Provisioning'!$AI$2:$AI$1000,ROWS($A$5:A477)-COUNTA('Raw Decommissioning'!$B$2:$B$1000))))</x:f>
        <x:v>izham.ajmaan@petronas.com</x:v>
      </x:c>
      <x:c r="K477" s="172" t="str">
        <x:f>IF(A477="","",IFERROR(LOOKUP(2,1/('Assignment History'!$B$5:$B$204=A477),'Assignment History'!$D$5:$D$204),IFERROR(VLOOKUP(J477,Configuration!$L$5:$M$50,2,FALSE),J477)))</x:f>
        <x:v>izham.ajmaan@petronas.com</x:v>
      </x:c>
      <x:c r="L477" s="172" t="str">
        <x:f>IF(A477="","",IF(K477=IFERROR(VLOOKUP(J477,Configuration!$L$5:$M$50,2,FALSE),J477),"Snapshot PIC","Replacement PIC"))</x:f>
        <x:v>Snapshot PIC</x:v>
      </x:c>
      <x:c r="M477" s="172" t="n">
        <x:f>IF(A477="","",IFERROR(VLOOKUP(I477,Configuration!$O$5:$P$8,2,FALSE),Configuration!$S$6))</x:f>
        <x:v>2</x:v>
      </x:c>
      <x:c r="N477" s="172" t="str">
        <x:f>IF(A477="","",IFERROR(LOOKUP(2,1/('Scope Review'!$B$5:$B$204=A477),'Scope Review'!$G$5:$G$204),"Not Reviewed"))</x:f>
        <x:v>Not Reviewed</x:v>
      </x:c>
      <x:c r="O477" s="172" t="str">
        <x:f>IF(A477="","",IFERROR(LOOKUP(2,1/('Scope Review'!$B$5:$B$204=A477),'Scope Review'!$H$5:$H$204),""))</x:f>
      </x:c>
      <x:c r="P477" s="172" t="n">
        <x:f>IF(A477="","",IF(AND(C477="executing",N477&lt;&gt;"Confirmed OOS"),M477,0))</x:f>
        <x:v>0</x:v>
      </x:c>
      <x:c r="Q477" s="173" t="str">
        <x:f>IF(A477="","",IFERROR(LOOKUP(2,1/('Engineer Updates'!$B$5:$B$704=A477),'Engineer Updates'!$A$5:$A$704),""))</x:f>
      </x:c>
      <x:c r="R477" s="172" t="str">
        <x:f>IF(A477="","",IFERROR(LOOKUP(2,1/('Engineer Updates'!$B$5:$B$704=A477),'Engineer Updates'!$H$5:$H$704),""))</x:f>
      </x:c>
      <x:c r="S477" s="172" t="str">
        <x:f>IF(A477="","",IFERROR(LOOKUP(2,1/('Engineer Updates'!$B$5:$B$704=A477),'Engineer Updates'!$G$5:$G$704),""))</x:f>
      </x:c>
      <x:c r="T477" s="172" t="str">
        <x:f>IF(A477="","",IFERROR(LOOKUP(2,1/('Engineer Updates'!$B$5:$B$704=A477),'Engineer Updates'!$I$5:$I$704),""))</x:f>
      </x:c>
      <x:c r="U477" s="172" t="str">
        <x:f>IF(A477="","",IFERROR(LOOKUP(2,1/('Engineer Updates'!$B$5:$B$704=A477),'Engineer Updates'!$J$5:$J$704),""))</x:f>
      </x:c>
      <x:c r="V477" s="172" t="str">
        <x:f>IF(A477="","",IFERROR(LOOKUP(2,1/('Engineer Updates'!$B$5:$B$704=A477),'Engineer Updates'!$K$5:$K$704),""))</x:f>
      </x:c>
      <x:c r="W477" s="174" t="str">
        <x:f>IF(A477="","",IFERROR(LOOKUP(2,1/('Engineer Updates'!$B$5:$B$704=A477),'Engineer Updates'!$L$5:$L$704),""))</x:f>
      </x:c>
      <x:c r="X477" s="170" t="str">
        <x:f>IF(A477="","",IF(C477="completed","Completed in CSSP",IF(AND(C477="executing",ISERROR(SEARCH("@",K477))),"Executing without named engineer",IF(AND(N477="Confirmed OOS",C477="executing"),"Confirmed OOS still executing",""))))</x:f>
        <x:v>Completed in CSSP</x:v>
      </x:c>
      <x:c r="Y477" s="170" t="str">
        <x:f>IF(A477="","",IF(B477="Decommissioning","Raw Decommissioning","Raw Provisioning"))</x:f>
        <x:v>Raw Provisioning</x:v>
      </x:c>
      <x:c r="Z477" s="170" t="str">
        <x:f>IF(A477="","",IF(OR(C477="executing",C477="processing"),"Yes","No"))</x:f>
        <x:v>No</x:v>
      </x:c>
    </x:row>
    <x:row r="478">
      <x:c r="A478" s="170" t="str">
        <x:f>IF(ROWS($A$5:A478)&lt;=COUNTA('Raw Decommissioning'!$B$2:$B$1000),INDEX('Raw Decommissioning'!$B$2:$B$1000,ROWS($A$5:A478)),IF(ROWS($A$5:A478)-COUNTA('Raw Decommissioning'!$B$2:$B$1000)&lt;=COUNTA('Raw Provisioning'!$B$2:$B$1000),INDEX('Raw Provisioning'!$B$2:$B$1000,ROWS($A$5:A478)-COUNTA('Raw Decommissioning'!$B$2:$B$1000)),""))</x:f>
        <x:v>CSSP10479593</x:v>
      </x:c>
      <x:c r="B478" s="170" t="str">
        <x:f>IF(A478="","",IF(ROWS($A$5:A478)&lt;=COUNTA('Raw Decommissioning'!$B$2:$B$1000),"Decommissioning","Provisioning"))</x:f>
        <x:v>Provisioning</x:v>
      </x:c>
      <x:c r="C478" s="170" t="str">
        <x:f>IF(A478="","",IF(B478="Decommissioning",IFERROR(INDEX('Raw Decommissioning'!$E$2:$E$1000,MATCH(A478,'Raw Decommissioning'!$B$2:$B$1000,0)),"Missing from latest raw"),IFERROR(INDEX('Raw Provisioning'!$E$2:$E$1000,MATCH(A478,'Raw Provisioning'!$B$2:$B$1000,0)),"Missing from latest raw")))</x:f>
        <x:v>pending</x:v>
      </x:c>
      <x:c r="D478" s="171" t="n">
        <x:f>IF(A478="","",'Refresh Control'!$B$4)</x:f>
        <x:v>46254</x:v>
      </x:c>
      <x:c r="E478" s="171" t="n">
        <x:f>IF(A478="","",IF(B478="Decommissioning",INDEX('Raw Decommissioning'!$F$2:$F$1000,ROWS($A$5:A478)),INDEX('Raw Provisioning'!$F$2:$F$1000,ROWS($A$5:A478)-COUNTA('Raw Decommissioning'!$B$2:$B$1000))))</x:f>
        <x:v>46114.15745918982</x:v>
      </x:c>
      <x:c r="F478" s="171" t="n">
        <x:f>IF(A478="","",IF(B478="Decommissioning",INDEX('Raw Decommissioning'!$G$2:$G$1000,ROWS($A$5:A478)),INDEX('Raw Provisioning'!$H$2:$H$1000,ROWS($A$5:A478)-COUNTA('Raw Decommissioning'!$B$2:$B$1000))))</x:f>
        <x:v>46114.15745918982</x:v>
      </x:c>
      <x:c r="G478" s="170" t="str">
        <x:f>IF(A478="","",IF(B478="Decommissioning",INDEX('Raw Decommissioning'!$I$2:$I$1000,ROWS($A$5:A478)),INDEX('Raw Provisioning'!$J$2:$J$1000,ROWS($A$5:A478)-COUNTA('Raw Decommissioning'!$B$2:$B$1000))))</x:f>
        <x:v>Subsurface Sand Management and Rock Mechanics - SMRM</x:v>
      </x:c>
      <x:c r="H478" s="170" t="str">
        <x:f>IF(A478="","",IF(B478="Decommissioning",INDEX('Raw Decommissioning'!$J$2:$J$1000,ROWS($A$5:A478)),INDEX('Raw Provisioning'!$L$2:$L$1000,ROWS($A$5:A478)-COUNTA('Raw Decommissioning'!$B$2:$B$1000))))</x:f>
        <x:v>Intelligent Sand Management System (iSAND) Enhancement for Malaysia Petroleum Management (MPM)</x:v>
      </x:c>
      <x:c r="I478" s="170" t="str">
        <x:f>IF(A478="","",IF(B478="Decommissioning",INDEX('Raw Decommissioning'!$AL$2:$AL$1000,ROWS($A$5:A478)),INDEX('Raw Provisioning'!$R$2:$R$1000,ROWS($A$5:A478)-COUNTA('Raw Decommissioning'!$B$2:$B$1000))))</x:f>
      </x:c>
      <x:c r="J478" s="170" t="str">
        <x:f>IF(A478="","",IF(B478="Decommissioning",INDEX('Raw Decommissioning'!$AG$2:$AG$1000,ROWS($A$5:A478)),INDEX('Raw Provisioning'!$AI$2:$AI$1000,ROWS($A$5:A478)-COUNTA('Raw Decommissioning'!$B$2:$B$1000))))</x:f>
        <x:v>CCoE Core Services (Public)</x:v>
      </x:c>
      <x:c r="K478" s="172" t="str">
        <x:f>IF(A478="","",IFERROR(LOOKUP(2,1/('Assignment History'!$B$5:$B$204=A478),'Assignment History'!$D$5:$D$204),IFERROR(VLOOKUP(J478,Configuration!$L$5:$M$50,2,FALSE),J478)))</x:f>
        <x:v>CCoE Core Services (Public)</x:v>
      </x:c>
      <x:c r="L478" s="172" t="str">
        <x:f>IF(A478="","",IF(K478=IFERROR(VLOOKUP(J478,Configuration!$L$5:$M$50,2,FALSE),J478),"Snapshot PIC","Replacement PIC"))</x:f>
        <x:v>Snapshot PIC</x:v>
      </x:c>
      <x:c r="M478" s="172" t="n">
        <x:f>IF(A478="","",IFERROR(VLOOKUP(I478,Configuration!$O$5:$P$8,2,FALSE),Configuration!$S$6))</x:f>
        <x:v>2</x:v>
      </x:c>
      <x:c r="N478" s="172" t="str">
        <x:f>IF(A478="","",IFERROR(LOOKUP(2,1/('Scope Review'!$B$5:$B$204=A478),'Scope Review'!$G$5:$G$204),"Not Reviewed"))</x:f>
        <x:v>Not Reviewed</x:v>
      </x:c>
      <x:c r="O478" s="172" t="str">
        <x:f>IF(A478="","",IFERROR(LOOKUP(2,1/('Scope Review'!$B$5:$B$204=A478),'Scope Review'!$H$5:$H$204),""))</x:f>
      </x:c>
      <x:c r="P478" s="172" t="n">
        <x:f>IF(A478="","",IF(AND(C478="executing",N478&lt;&gt;"Confirmed OOS"),M478,0))</x:f>
        <x:v>0</x:v>
      </x:c>
      <x:c r="Q478" s="173" t="str">
        <x:f>IF(A478="","",IFERROR(LOOKUP(2,1/('Engineer Updates'!$B$5:$B$704=A478),'Engineer Updates'!$A$5:$A$704),""))</x:f>
      </x:c>
      <x:c r="R478" s="172" t="str">
        <x:f>IF(A478="","",IFERROR(LOOKUP(2,1/('Engineer Updates'!$B$5:$B$704=A478),'Engineer Updates'!$H$5:$H$704),""))</x:f>
      </x:c>
      <x:c r="S478" s="172" t="str">
        <x:f>IF(A478="","",IFERROR(LOOKUP(2,1/('Engineer Updates'!$B$5:$B$704=A478),'Engineer Updates'!$G$5:$G$704),""))</x:f>
      </x:c>
      <x:c r="T478" s="172" t="str">
        <x:f>IF(A478="","",IFERROR(LOOKUP(2,1/('Engineer Updates'!$B$5:$B$704=A478),'Engineer Updates'!$I$5:$I$704),""))</x:f>
      </x:c>
      <x:c r="U478" s="172" t="str">
        <x:f>IF(A478="","",IFERROR(LOOKUP(2,1/('Engineer Updates'!$B$5:$B$704=A478),'Engineer Updates'!$J$5:$J$704),""))</x:f>
      </x:c>
      <x:c r="V478" s="172" t="str">
        <x:f>IF(A478="","",IFERROR(LOOKUP(2,1/('Engineer Updates'!$B$5:$B$704=A478),'Engineer Updates'!$K$5:$K$704),""))</x:f>
      </x:c>
      <x:c r="W478" s="174" t="str">
        <x:f>IF(A478="","",IFERROR(LOOKUP(2,1/('Engineer Updates'!$B$5:$B$704=A478),'Engineer Updates'!$L$5:$L$704),""))</x:f>
      </x:c>
      <x:c r="X478" s="170" t="str">
        <x:f>IF(A478="","",IF(C478="completed","Completed in CSSP",IF(AND(C478="executing",ISERROR(SEARCH("@",K478))),"Executing without named engineer",IF(AND(N478="Confirmed OOS",C478="executing"),"Confirmed OOS still executing",""))))</x:f>
      </x:c>
      <x:c r="Y478" s="170" t="str">
        <x:f>IF(A478="","",IF(B478="Decommissioning","Raw Decommissioning","Raw Provisioning"))</x:f>
        <x:v>Raw Provisioning</x:v>
      </x:c>
      <x:c r="Z478" s="170" t="str">
        <x:f>IF(A478="","",IF(OR(C478="executing",C478="processing"),"Yes","No"))</x:f>
        <x:v>No</x:v>
      </x:c>
    </x:row>
    <x:row r="479">
      <x:c r="A479" s="170" t="str">
        <x:f>IF(ROWS($A$5:A479)&lt;=COUNTA('Raw Decommissioning'!$B$2:$B$1000),INDEX('Raw Decommissioning'!$B$2:$B$1000,ROWS($A$5:A479)),IF(ROWS($A$5:A479)-COUNTA('Raw Decommissioning'!$B$2:$B$1000)&lt;=COUNTA('Raw Provisioning'!$B$2:$B$1000),INDEX('Raw Provisioning'!$B$2:$B$1000,ROWS($A$5:A479)-COUNTA('Raw Decommissioning'!$B$2:$B$1000)),""))</x:f>
        <x:v>CSSP10339640</x:v>
      </x:c>
      <x:c r="B479" s="170" t="str">
        <x:f>IF(A479="","",IF(ROWS($A$5:A479)&lt;=COUNTA('Raw Decommissioning'!$B$2:$B$1000),"Decommissioning","Provisioning"))</x:f>
        <x:v>Provisioning</x:v>
      </x:c>
      <x:c r="C479" s="170" t="str">
        <x:f>IF(A479="","",IF(B479="Decommissioning",IFERROR(INDEX('Raw Decommissioning'!$E$2:$E$1000,MATCH(A479,'Raw Decommissioning'!$B$2:$B$1000,0)),"Missing from latest raw"),IFERROR(INDEX('Raw Provisioning'!$E$2:$E$1000,MATCH(A479,'Raw Provisioning'!$B$2:$B$1000,0)),"Missing from latest raw")))</x:f>
        <x:v>completed</x:v>
      </x:c>
      <x:c r="D479" s="171" t="n">
        <x:f>IF(A479="","",'Refresh Control'!$B$4)</x:f>
        <x:v>46254</x:v>
      </x:c>
      <x:c r="E479" s="171" t="n">
        <x:f>IF(A479="","",IF(B479="Decommissioning",INDEX('Raw Decommissioning'!$F$2:$F$1000,ROWS($A$5:A479)),INDEX('Raw Provisioning'!$F$2:$F$1000,ROWS($A$5:A479)-COUNTA('Raw Decommissioning'!$B$2:$B$1000))))</x:f>
        <x:v>46114.19464947917</x:v>
      </x:c>
      <x:c r="F479" s="171" t="n">
        <x:f>IF(A479="","",IF(B479="Decommissioning",INDEX('Raw Decommissioning'!$G$2:$G$1000,ROWS($A$5:A479)),INDEX('Raw Provisioning'!$H$2:$H$1000,ROWS($A$5:A479)-COUNTA('Raw Decommissioning'!$B$2:$B$1000))))</x:f>
        <x:v>46219.137729918984</x:v>
      </x:c>
      <x:c r="G479" s="170" t="str">
        <x:f>IF(A479="","",IF(B479="Decommissioning",INDEX('Raw Decommissioning'!$I$2:$I$1000,ROWS($A$5:A479)),INDEX('Raw Provisioning'!$J$2:$J$1000,ROWS($A$5:A479)-COUNTA('Raw Decommissioning'!$B$2:$B$1000))))</x:f>
        <x:v>SAP 30 ECC6</x:v>
      </x:c>
      <x:c r="H479" s="170" t="str">
        <x:f>IF(A479="","",IF(B479="Decommissioning",INDEX('Raw Decommissioning'!$J$2:$J$1000,ROWS($A$5:A479)),INDEX('Raw Provisioning'!$L$2:$L$1000,ROWS($A$5:A479)-COUNTA('Raw Decommissioning'!$B$2:$B$1000))))</x:f>
        <x:v>S/4HANA Technical Conversion and Migration of SAP Systems P30 and P50</x:v>
      </x:c>
      <x:c r="I479" s="170" t="str">
        <x:f>IF(A479="","",IF(B479="Decommissioning",INDEX('Raw Decommissioning'!$AL$2:$AL$1000,ROWS($A$5:A479)),INDEX('Raw Provisioning'!$R$2:$R$1000,ROWS($A$5:A479)-COUNTA('Raw Decommissioning'!$B$2:$B$1000))))</x:f>
        <x:v>M</x:v>
      </x:c>
      <x:c r="J479" s="170" t="str">
        <x:f>IF(A479="","",IF(B479="Decommissioning",INDEX('Raw Decommissioning'!$AG$2:$AG$1000,ROWS($A$5:A479)),INDEX('Raw Provisioning'!$AI$2:$AI$1000,ROWS($A$5:A479)-COUNTA('Raw Decommissioning'!$B$2:$B$1000))))</x:f>
        <x:v>ahmadfirdaus.adnan@petronas.com</x:v>
      </x:c>
      <x:c r="K479" s="172" t="str">
        <x:f>IF(A479="","",IFERROR(LOOKUP(2,1/('Assignment History'!$B$5:$B$204=A479),'Assignment History'!$D$5:$D$204),IFERROR(VLOOKUP(J479,Configuration!$L$5:$M$50,2,FALSE),J479)))</x:f>
        <x:v>ahmadfirdaus.adnan@petronas.com</x:v>
      </x:c>
      <x:c r="L479" s="172" t="str">
        <x:f>IF(A479="","",IF(K479=IFERROR(VLOOKUP(J479,Configuration!$L$5:$M$50,2,FALSE),J479),"Snapshot PIC","Replacement PIC"))</x:f>
        <x:v>Snapshot PIC</x:v>
      </x:c>
      <x:c r="M479" s="172" t="n">
        <x:f>IF(A479="","",IFERROR(VLOOKUP(I479,Configuration!$O$5:$P$8,2,FALSE),Configuration!$S$6))</x:f>
        <x:v>2</x:v>
      </x:c>
      <x:c r="N479" s="172" t="str">
        <x:f>IF(A479="","",IFERROR(LOOKUP(2,1/('Scope Review'!$B$5:$B$204=A479),'Scope Review'!$G$5:$G$204),"Not Reviewed"))</x:f>
        <x:v>Not Reviewed</x:v>
      </x:c>
      <x:c r="O479" s="172" t="str">
        <x:f>IF(A479="","",IFERROR(LOOKUP(2,1/('Scope Review'!$B$5:$B$204=A479),'Scope Review'!$H$5:$H$204),""))</x:f>
      </x:c>
      <x:c r="P479" s="172" t="n">
        <x:f>IF(A479="","",IF(AND(C479="executing",N479&lt;&gt;"Confirmed OOS"),M479,0))</x:f>
        <x:v>0</x:v>
      </x:c>
      <x:c r="Q479" s="173" t="str">
        <x:f>IF(A479="","",IFERROR(LOOKUP(2,1/('Engineer Updates'!$B$5:$B$704=A479),'Engineer Updates'!$A$5:$A$704),""))</x:f>
      </x:c>
      <x:c r="R479" s="172" t="str">
        <x:f>IF(A479="","",IFERROR(LOOKUP(2,1/('Engineer Updates'!$B$5:$B$704=A479),'Engineer Updates'!$H$5:$H$704),""))</x:f>
      </x:c>
      <x:c r="S479" s="172" t="str">
        <x:f>IF(A479="","",IFERROR(LOOKUP(2,1/('Engineer Updates'!$B$5:$B$704=A479),'Engineer Updates'!$G$5:$G$704),""))</x:f>
      </x:c>
      <x:c r="T479" s="172" t="str">
        <x:f>IF(A479="","",IFERROR(LOOKUP(2,1/('Engineer Updates'!$B$5:$B$704=A479),'Engineer Updates'!$I$5:$I$704),""))</x:f>
      </x:c>
      <x:c r="U479" s="172" t="str">
        <x:f>IF(A479="","",IFERROR(LOOKUP(2,1/('Engineer Updates'!$B$5:$B$704=A479),'Engineer Updates'!$J$5:$J$704),""))</x:f>
      </x:c>
      <x:c r="V479" s="172" t="str">
        <x:f>IF(A479="","",IFERROR(LOOKUP(2,1/('Engineer Updates'!$B$5:$B$704=A479),'Engineer Updates'!$K$5:$K$704),""))</x:f>
      </x:c>
      <x:c r="W479" s="174" t="str">
        <x:f>IF(A479="","",IFERROR(LOOKUP(2,1/('Engineer Updates'!$B$5:$B$704=A479),'Engineer Updates'!$L$5:$L$704),""))</x:f>
      </x:c>
      <x:c r="X479" s="170" t="str">
        <x:f>IF(A479="","",IF(C479="completed","Completed in CSSP",IF(AND(C479="executing",ISERROR(SEARCH("@",K479))),"Executing without named engineer",IF(AND(N479="Confirmed OOS",C479="executing"),"Confirmed OOS still executing",""))))</x:f>
        <x:v>Completed in CSSP</x:v>
      </x:c>
      <x:c r="Y479" s="170" t="str">
        <x:f>IF(A479="","",IF(B479="Decommissioning","Raw Decommissioning","Raw Provisioning"))</x:f>
        <x:v>Raw Provisioning</x:v>
      </x:c>
      <x:c r="Z479" s="170" t="str">
        <x:f>IF(A479="","",IF(OR(C479="executing",C479="processing"),"Yes","No"))</x:f>
        <x:v>No</x:v>
      </x:c>
    </x:row>
    <x:row r="480">
      <x:c r="A480" s="170" t="str">
        <x:f>IF(ROWS($A$5:A480)&lt;=COUNTA('Raw Decommissioning'!$B$2:$B$1000),INDEX('Raw Decommissioning'!$B$2:$B$1000,ROWS($A$5:A480)),IF(ROWS($A$5:A480)-COUNTA('Raw Decommissioning'!$B$2:$B$1000)&lt;=COUNTA('Raw Provisioning'!$B$2:$B$1000),INDEX('Raw Provisioning'!$B$2:$B$1000,ROWS($A$5:A480)-COUNTA('Raw Decommissioning'!$B$2:$B$1000)),""))</x:f>
        <x:v>CSSP10902778</x:v>
      </x:c>
      <x:c r="B480" s="170" t="str">
        <x:f>IF(A480="","",IF(ROWS($A$5:A480)&lt;=COUNTA('Raw Decommissioning'!$B$2:$B$1000),"Decommissioning","Provisioning"))</x:f>
        <x:v>Provisioning</x:v>
      </x:c>
      <x:c r="C480" s="170" t="str">
        <x:f>IF(A480="","",IF(B480="Decommissioning",IFERROR(INDEX('Raw Decommissioning'!$E$2:$E$1000,MATCH(A480,'Raw Decommissioning'!$B$2:$B$1000,0)),"Missing from latest raw"),IFERROR(INDEX('Raw Provisioning'!$E$2:$E$1000,MATCH(A480,'Raw Provisioning'!$B$2:$B$1000,0)),"Missing from latest raw")))</x:f>
        <x:v>completed</x:v>
      </x:c>
      <x:c r="D480" s="171" t="n">
        <x:f>IF(A480="","",'Refresh Control'!$B$4)</x:f>
        <x:v>46254</x:v>
      </x:c>
      <x:c r="E480" s="171" t="n">
        <x:f>IF(A480="","",IF(B480="Decommissioning",INDEX('Raw Decommissioning'!$F$2:$F$1000,ROWS($A$5:A480)),INDEX('Raw Provisioning'!$F$2:$F$1000,ROWS($A$5:A480)-COUNTA('Raw Decommissioning'!$B$2:$B$1000))))</x:f>
        <x:v>46114.26833974537</x:v>
      </x:c>
      <x:c r="F480" s="171" t="n">
        <x:f>IF(A480="","",IF(B480="Decommissioning",INDEX('Raw Decommissioning'!$G$2:$G$1000,ROWS($A$5:A480)),INDEX('Raw Provisioning'!$H$2:$H$1000,ROWS($A$5:A480)-COUNTA('Raw Decommissioning'!$B$2:$B$1000))))</x:f>
        <x:v>46129.08733767361</x:v>
      </x:c>
      <x:c r="G480" s="170" t="str">
        <x:f>IF(A480="","",IF(B480="Decommissioning",INDEX('Raw Decommissioning'!$I$2:$I$1000,ROWS($A$5:A480)),INDEX('Raw Provisioning'!$J$2:$J$1000,ROWS($A$5:A480)-COUNTA('Raw Decommissioning'!$B$2:$B$1000))))</x:f>
        <x:v>RADIAN</x:v>
      </x:c>
      <x:c r="H480" s="170" t="str">
        <x:f>IF(A480="","",IF(B480="Decommissioning",INDEX('Raw Decommissioning'!$J$2:$J$1000,ROWS($A$5:A480)),INDEX('Raw Provisioning'!$L$2:$L$1000,ROWS($A$5:A480)-COUNTA('Raw Decommissioning'!$B$2:$B$1000))))</x:f>
        <x:v>Real-Time Advisory &amp; Drilling Insight via Artificial Neural Intelligence (RADIAN) for 
Wells formerly known HSPM</x:v>
      </x:c>
      <x:c r="I480" s="170" t="str">
        <x:f>IF(A480="","",IF(B480="Decommissioning",INDEX('Raw Decommissioning'!$AL$2:$AL$1000,ROWS($A$5:A480)),INDEX('Raw Provisioning'!$R$2:$R$1000,ROWS($A$5:A480)-COUNTA('Raw Decommissioning'!$B$2:$B$1000))))</x:f>
        <x:v>S</x:v>
      </x:c>
      <x:c r="J480" s="170" t="str">
        <x:f>IF(A480="","",IF(B480="Decommissioning",INDEX('Raw Decommissioning'!$AG$2:$AG$1000,ROWS($A$5:A480)),INDEX('Raw Provisioning'!$AI$2:$AI$1000,ROWS($A$5:A480)-COUNTA('Raw Decommissioning'!$B$2:$B$1000))))</x:f>
        <x:v>amin.manshor@petronas.com</x:v>
      </x:c>
      <x:c r="K480" s="172" t="str">
        <x:f>IF(A480="","",IFERROR(LOOKUP(2,1/('Assignment History'!$B$5:$B$204=A480),'Assignment History'!$D$5:$D$204),IFERROR(VLOOKUP(J480,Configuration!$L$5:$M$50,2,FALSE),J480)))</x:f>
        <x:v>amin.manshor@petronas.com</x:v>
      </x:c>
      <x:c r="L480" s="172" t="str">
        <x:f>IF(A480="","",IF(K480=IFERROR(VLOOKUP(J480,Configuration!$L$5:$M$50,2,FALSE),J480),"Snapshot PIC","Replacement PIC"))</x:f>
        <x:v>Snapshot PIC</x:v>
      </x:c>
      <x:c r="M480" s="172" t="n">
        <x:f>IF(A480="","",IFERROR(VLOOKUP(I480,Configuration!$O$5:$P$8,2,FALSE),Configuration!$S$6))</x:f>
        <x:v>1</x:v>
      </x:c>
      <x:c r="N480" s="172" t="str">
        <x:f>IF(A480="","",IFERROR(LOOKUP(2,1/('Scope Review'!$B$5:$B$204=A480),'Scope Review'!$G$5:$G$204),"Not Reviewed"))</x:f>
        <x:v>Not Reviewed</x:v>
      </x:c>
      <x:c r="O480" s="172" t="str">
        <x:f>IF(A480="","",IFERROR(LOOKUP(2,1/('Scope Review'!$B$5:$B$204=A480),'Scope Review'!$H$5:$H$204),""))</x:f>
      </x:c>
      <x:c r="P480" s="172" t="n">
        <x:f>IF(A480="","",IF(AND(C480="executing",N480&lt;&gt;"Confirmed OOS"),M480,0))</x:f>
        <x:v>0</x:v>
      </x:c>
      <x:c r="Q480" s="173" t="str">
        <x:f>IF(A480="","",IFERROR(LOOKUP(2,1/('Engineer Updates'!$B$5:$B$704=A480),'Engineer Updates'!$A$5:$A$704),""))</x:f>
      </x:c>
      <x:c r="R480" s="172" t="str">
        <x:f>IF(A480="","",IFERROR(LOOKUP(2,1/('Engineer Updates'!$B$5:$B$704=A480),'Engineer Updates'!$H$5:$H$704),""))</x:f>
      </x:c>
      <x:c r="S480" s="172" t="str">
        <x:f>IF(A480="","",IFERROR(LOOKUP(2,1/('Engineer Updates'!$B$5:$B$704=A480),'Engineer Updates'!$G$5:$G$704),""))</x:f>
      </x:c>
      <x:c r="T480" s="172" t="str">
        <x:f>IF(A480="","",IFERROR(LOOKUP(2,1/('Engineer Updates'!$B$5:$B$704=A480),'Engineer Updates'!$I$5:$I$704),""))</x:f>
      </x:c>
      <x:c r="U480" s="172" t="str">
        <x:f>IF(A480="","",IFERROR(LOOKUP(2,1/('Engineer Updates'!$B$5:$B$704=A480),'Engineer Updates'!$J$5:$J$704),""))</x:f>
      </x:c>
      <x:c r="V480" s="172" t="str">
        <x:f>IF(A480="","",IFERROR(LOOKUP(2,1/('Engineer Updates'!$B$5:$B$704=A480),'Engineer Updates'!$K$5:$K$704),""))</x:f>
      </x:c>
      <x:c r="W480" s="174" t="str">
        <x:f>IF(A480="","",IFERROR(LOOKUP(2,1/('Engineer Updates'!$B$5:$B$704=A480),'Engineer Updates'!$L$5:$L$704),""))</x:f>
      </x:c>
      <x:c r="X480" s="170" t="str">
        <x:f>IF(A480="","",IF(C480="completed","Completed in CSSP",IF(AND(C480="executing",ISERROR(SEARCH("@",K480))),"Executing without named engineer",IF(AND(N480="Confirmed OOS",C480="executing"),"Confirmed OOS still executing",""))))</x:f>
        <x:v>Completed in CSSP</x:v>
      </x:c>
      <x:c r="Y480" s="170" t="str">
        <x:f>IF(A480="","",IF(B480="Decommissioning","Raw Decommissioning","Raw Provisioning"))</x:f>
        <x:v>Raw Provisioning</x:v>
      </x:c>
      <x:c r="Z480" s="170" t="str">
        <x:f>IF(A480="","",IF(OR(C480="executing",C480="processing"),"Yes","No"))</x:f>
        <x:v>No</x:v>
      </x:c>
    </x:row>
    <x:row r="481">
      <x:c r="A481" s="170" t="str">
        <x:f>IF(ROWS($A$5:A481)&lt;=COUNTA('Raw Decommissioning'!$B$2:$B$1000),INDEX('Raw Decommissioning'!$B$2:$B$1000,ROWS($A$5:A481)),IF(ROWS($A$5:A481)-COUNTA('Raw Decommissioning'!$B$2:$B$1000)&lt;=COUNTA('Raw Provisioning'!$B$2:$B$1000),INDEX('Raw Provisioning'!$B$2:$B$1000,ROWS($A$5:A481)-COUNTA('Raw Decommissioning'!$B$2:$B$1000)),""))</x:f>
        <x:v>CSSP10769881</x:v>
      </x:c>
      <x:c r="B481" s="170" t="str">
        <x:f>IF(A481="","",IF(ROWS($A$5:A481)&lt;=COUNTA('Raw Decommissioning'!$B$2:$B$1000),"Decommissioning","Provisioning"))</x:f>
        <x:v>Provisioning</x:v>
      </x:c>
      <x:c r="C481" s="170" t="str">
        <x:f>IF(A481="","",IF(B481="Decommissioning",IFERROR(INDEX('Raw Decommissioning'!$E$2:$E$1000,MATCH(A481,'Raw Decommissioning'!$B$2:$B$1000,0)),"Missing from latest raw"),IFERROR(INDEX('Raw Provisioning'!$E$2:$E$1000,MATCH(A481,'Raw Provisioning'!$B$2:$B$1000,0)),"Missing from latest raw")))</x:f>
        <x:v>completed</x:v>
      </x:c>
      <x:c r="D481" s="171" t="n">
        <x:f>IF(A481="","",'Refresh Control'!$B$4)</x:f>
        <x:v>46254</x:v>
      </x:c>
      <x:c r="E481" s="171" t="n">
        <x:f>IF(A481="","",IF(B481="Decommissioning",INDEX('Raw Decommissioning'!$F$2:$F$1000,ROWS($A$5:A481)),INDEX('Raw Provisioning'!$F$2:$F$1000,ROWS($A$5:A481)-COUNTA('Raw Decommissioning'!$B$2:$B$1000))))</x:f>
        <x:v>46114.36075008102</x:v>
      </x:c>
      <x:c r="F481" s="171" t="n">
        <x:f>IF(A481="","",IF(B481="Decommissioning",INDEX('Raw Decommissioning'!$G$2:$G$1000,ROWS($A$5:A481)),INDEX('Raw Provisioning'!$H$2:$H$1000,ROWS($A$5:A481)-COUNTA('Raw Decommissioning'!$B$2:$B$1000))))</x:f>
        <x:v>46122.131456944444</x:v>
      </x:c>
      <x:c r="G481" s="170" t="str">
        <x:f>IF(A481="","",IF(B481="Decommissioning",INDEX('Raw Decommissioning'!$I$2:$I$1000,ROWS($A$5:A481)),INDEX('Raw Provisioning'!$J$2:$J$1000,ROWS($A$5:A481)-COUNTA('Raw Decommissioning'!$B$2:$B$1000))))</x:f>
        <x:v>PETRONAS360 PRO</x:v>
      </x:c>
      <x:c r="H481" s="170" t="str">
        <x:f>IF(A481="","",IF(B481="Decommissioning",INDEX('Raw Decommissioning'!$J$2:$J$1000,ROWS($A$5:A481)),INDEX('Raw Provisioning'!$L$2:$L$1000,ROWS($A$5:A481)-COUNTA('Raw Decommissioning'!$B$2:$B$1000))))</x:f>
        <x:v>MS Fabric License for PETRONAS360 PRO POC</x:v>
      </x:c>
      <x:c r="I481" s="170" t="str">
        <x:f>IF(A481="","",IF(B481="Decommissioning",INDEX('Raw Decommissioning'!$AL$2:$AL$1000,ROWS($A$5:A481)),INDEX('Raw Provisioning'!$R$2:$R$1000,ROWS($A$5:A481)-COUNTA('Raw Decommissioning'!$B$2:$B$1000))))</x:f>
        <x:v>S</x:v>
      </x:c>
      <x:c r="J481" s="170" t="str">
        <x:f>IF(A481="","",IF(B481="Decommissioning",INDEX('Raw Decommissioning'!$AG$2:$AG$1000,ROWS($A$5:A481)),INDEX('Raw Provisioning'!$AI$2:$AI$1000,ROWS($A$5:A481)-COUNTA('Raw Decommissioning'!$B$2:$B$1000))))</x:f>
        <x:v>muhdfirdaus.muhamad@petronas.com</x:v>
      </x:c>
      <x:c r="K481" s="172" t="str">
        <x:f>IF(A481="","",IFERROR(LOOKUP(2,1/('Assignment History'!$B$5:$B$204=A481),'Assignment History'!$D$5:$D$204),IFERROR(VLOOKUP(J481,Configuration!$L$5:$M$50,2,FALSE),J481)))</x:f>
        <x:v>muhdfirdaus.muhamad@petronas.com</x:v>
      </x:c>
      <x:c r="L481" s="172" t="str">
        <x:f>IF(A481="","",IF(K481=IFERROR(VLOOKUP(J481,Configuration!$L$5:$M$50,2,FALSE),J481),"Snapshot PIC","Replacement PIC"))</x:f>
        <x:v>Snapshot PIC</x:v>
      </x:c>
      <x:c r="M481" s="172" t="n">
        <x:f>IF(A481="","",IFERROR(VLOOKUP(I481,Configuration!$O$5:$P$8,2,FALSE),Configuration!$S$6))</x:f>
        <x:v>1</x:v>
      </x:c>
      <x:c r="N481" s="172" t="str">
        <x:f>IF(A481="","",IFERROR(LOOKUP(2,1/('Scope Review'!$B$5:$B$204=A481),'Scope Review'!$G$5:$G$204),"Not Reviewed"))</x:f>
        <x:v>Not Reviewed</x:v>
      </x:c>
      <x:c r="O481" s="172" t="str">
        <x:f>IF(A481="","",IFERROR(LOOKUP(2,1/('Scope Review'!$B$5:$B$204=A481),'Scope Review'!$H$5:$H$204),""))</x:f>
      </x:c>
      <x:c r="P481" s="172" t="n">
        <x:f>IF(A481="","",IF(AND(C481="executing",N481&lt;&gt;"Confirmed OOS"),M481,0))</x:f>
        <x:v>0</x:v>
      </x:c>
      <x:c r="Q481" s="173" t="str">
        <x:f>IF(A481="","",IFERROR(LOOKUP(2,1/('Engineer Updates'!$B$5:$B$704=A481),'Engineer Updates'!$A$5:$A$704),""))</x:f>
      </x:c>
      <x:c r="R481" s="172" t="str">
        <x:f>IF(A481="","",IFERROR(LOOKUP(2,1/('Engineer Updates'!$B$5:$B$704=A481),'Engineer Updates'!$H$5:$H$704),""))</x:f>
      </x:c>
      <x:c r="S481" s="172" t="str">
        <x:f>IF(A481="","",IFERROR(LOOKUP(2,1/('Engineer Updates'!$B$5:$B$704=A481),'Engineer Updates'!$G$5:$G$704),""))</x:f>
      </x:c>
      <x:c r="T481" s="172" t="str">
        <x:f>IF(A481="","",IFERROR(LOOKUP(2,1/('Engineer Updates'!$B$5:$B$704=A481),'Engineer Updates'!$I$5:$I$704),""))</x:f>
      </x:c>
      <x:c r="U481" s="172" t="str">
        <x:f>IF(A481="","",IFERROR(LOOKUP(2,1/('Engineer Updates'!$B$5:$B$704=A481),'Engineer Updates'!$J$5:$J$704),""))</x:f>
      </x:c>
      <x:c r="V481" s="172" t="str">
        <x:f>IF(A481="","",IFERROR(LOOKUP(2,1/('Engineer Updates'!$B$5:$B$704=A481),'Engineer Updates'!$K$5:$K$704),""))</x:f>
      </x:c>
      <x:c r="W481" s="174" t="str">
        <x:f>IF(A481="","",IFERROR(LOOKUP(2,1/('Engineer Updates'!$B$5:$B$704=A481),'Engineer Updates'!$L$5:$L$704),""))</x:f>
      </x:c>
      <x:c r="X481" s="170" t="str">
        <x:f>IF(A481="","",IF(C481="completed","Completed in CSSP",IF(AND(C481="executing",ISERROR(SEARCH("@",K481))),"Executing without named engineer",IF(AND(N481="Confirmed OOS",C481="executing"),"Confirmed OOS still executing",""))))</x:f>
        <x:v>Completed in CSSP</x:v>
      </x:c>
      <x:c r="Y481" s="170" t="str">
        <x:f>IF(A481="","",IF(B481="Decommissioning","Raw Decommissioning","Raw Provisioning"))</x:f>
        <x:v>Raw Provisioning</x:v>
      </x:c>
      <x:c r="Z481" s="170" t="str">
        <x:f>IF(A481="","",IF(OR(C481="executing",C481="processing"),"Yes","No"))</x:f>
        <x:v>No</x:v>
      </x:c>
    </x:row>
    <x:row r="482">
      <x:c r="A482" s="170" t="str">
        <x:f>IF(ROWS($A$5:A482)&lt;=COUNTA('Raw Decommissioning'!$B$2:$B$1000),INDEX('Raw Decommissioning'!$B$2:$B$1000,ROWS($A$5:A482)),IF(ROWS($A$5:A482)-COUNTA('Raw Decommissioning'!$B$2:$B$1000)&lt;=COUNTA('Raw Provisioning'!$B$2:$B$1000),INDEX('Raw Provisioning'!$B$2:$B$1000,ROWS($A$5:A482)-COUNTA('Raw Decommissioning'!$B$2:$B$1000)),""))</x:f>
        <x:v>CSSP10237634</x:v>
      </x:c>
      <x:c r="B482" s="170" t="str">
        <x:f>IF(A482="","",IF(ROWS($A$5:A482)&lt;=COUNTA('Raw Decommissioning'!$B$2:$B$1000),"Decommissioning","Provisioning"))</x:f>
        <x:v>Provisioning</x:v>
      </x:c>
      <x:c r="C482" s="170" t="str">
        <x:f>IF(A482="","",IF(B482="Decommissioning",IFERROR(INDEX('Raw Decommissioning'!$E$2:$E$1000,MATCH(A482,'Raw Decommissioning'!$B$2:$B$1000,0)),"Missing from latest raw"),IFERROR(INDEX('Raw Provisioning'!$E$2:$E$1000,MATCH(A482,'Raw Provisioning'!$B$2:$B$1000,0)),"Missing from latest raw")))</x:f>
        <x:v>completed</x:v>
      </x:c>
      <x:c r="D482" s="171" t="n">
        <x:f>IF(A482="","",'Refresh Control'!$B$4)</x:f>
        <x:v>46254</x:v>
      </x:c>
      <x:c r="E482" s="171" t="n">
        <x:f>IF(A482="","",IF(B482="Decommissioning",INDEX('Raw Decommissioning'!$F$2:$F$1000,ROWS($A$5:A482)),INDEX('Raw Provisioning'!$F$2:$F$1000,ROWS($A$5:A482)-COUNTA('Raw Decommissioning'!$B$2:$B$1000))))</x:f>
        <x:v>46115.106471527775</x:v>
      </x:c>
      <x:c r="F482" s="171" t="n">
        <x:f>IF(A482="","",IF(B482="Decommissioning",INDEX('Raw Decommissioning'!$G$2:$G$1000,ROWS($A$5:A482)),INDEX('Raw Provisioning'!$H$2:$H$1000,ROWS($A$5:A482)-COUNTA('Raw Decommissioning'!$B$2:$B$1000))))</x:f>
        <x:v>46126.07633645833</x:v>
      </x:c>
      <x:c r="G482" s="170" t="str">
        <x:f>IF(A482="","",IF(B482="Decommissioning",INDEX('Raw Decommissioning'!$I$2:$I$1000,ROWS($A$5:A482)),INDEX('Raw Provisioning'!$J$2:$J$1000,ROWS($A$5:A482)-COUNTA('Raw Decommissioning'!$B$2:$B$1000))))</x:f>
        <x:v>Augmented Gas Nomination Ecosystem - AGNES</x:v>
      </x:c>
      <x:c r="H482" s="170" t="str">
        <x:f>IF(A482="","",IF(B482="Decommissioning",INDEX('Raw Decommissioning'!$J$2:$J$1000,ROWS($A$5:A482)),INDEX('Raw Provisioning'!$L$2:$L$1000,ROWS($A$5:A482)-COUNTA('Raw Decommissioning'!$B$2:$B$1000))))</x:f>
        <x:v>Establishment of Augmented Gas Nomination EcoSystem (AGNES) DevSecOps for Malaysia Petroleum Management (MPM)</x:v>
      </x:c>
      <x:c r="I482" s="170" t="str">
        <x:f>IF(A482="","",IF(B482="Decommissioning",INDEX('Raw Decommissioning'!$AL$2:$AL$1000,ROWS($A$5:A482)),INDEX('Raw Provisioning'!$R$2:$R$1000,ROWS($A$5:A482)-COUNTA('Raw Decommissioning'!$B$2:$B$1000))))</x:f>
        <x:v>M</x:v>
      </x:c>
      <x:c r="J482" s="170" t="str">
        <x:f>IF(A482="","",IF(B482="Decommissioning",INDEX('Raw Decommissioning'!$AG$2:$AG$1000,ROWS($A$5:A482)),INDEX('Raw Provisioning'!$AI$2:$AI$1000,ROWS($A$5:A482)-COUNTA('Raw Decommissioning'!$B$2:$B$1000))))</x:f>
        <x:v>mhafizi.madnan@petronas.com</x:v>
      </x:c>
      <x:c r="K482" s="172" t="str">
        <x:f>IF(A482="","",IFERROR(LOOKUP(2,1/('Assignment History'!$B$5:$B$204=A482),'Assignment History'!$D$5:$D$204),IFERROR(VLOOKUP(J482,Configuration!$L$5:$M$50,2,FALSE),J482)))</x:f>
        <x:v>mhafizi.madnan@petronas.com</x:v>
      </x:c>
      <x:c r="L482" s="172" t="str">
        <x:f>IF(A482="","",IF(K482=IFERROR(VLOOKUP(J482,Configuration!$L$5:$M$50,2,FALSE),J482),"Snapshot PIC","Replacement PIC"))</x:f>
        <x:v>Snapshot PIC</x:v>
      </x:c>
      <x:c r="M482" s="172" t="n">
        <x:f>IF(A482="","",IFERROR(VLOOKUP(I482,Configuration!$O$5:$P$8,2,FALSE),Configuration!$S$6))</x:f>
        <x:v>2</x:v>
      </x:c>
      <x:c r="N482" s="172" t="str">
        <x:f>IF(A482="","",IFERROR(LOOKUP(2,1/('Scope Review'!$B$5:$B$204=A482),'Scope Review'!$G$5:$G$204),"Not Reviewed"))</x:f>
        <x:v>Not Reviewed</x:v>
      </x:c>
      <x:c r="O482" s="172" t="str">
        <x:f>IF(A482="","",IFERROR(LOOKUP(2,1/('Scope Review'!$B$5:$B$204=A482),'Scope Review'!$H$5:$H$204),""))</x:f>
      </x:c>
      <x:c r="P482" s="172" t="n">
        <x:f>IF(A482="","",IF(AND(C482="executing",N482&lt;&gt;"Confirmed OOS"),M482,0))</x:f>
        <x:v>0</x:v>
      </x:c>
      <x:c r="Q482" s="173" t="str">
        <x:f>IF(A482="","",IFERROR(LOOKUP(2,1/('Engineer Updates'!$B$5:$B$704=A482),'Engineer Updates'!$A$5:$A$704),""))</x:f>
      </x:c>
      <x:c r="R482" s="172" t="str">
        <x:f>IF(A482="","",IFERROR(LOOKUP(2,1/('Engineer Updates'!$B$5:$B$704=A482),'Engineer Updates'!$H$5:$H$704),""))</x:f>
      </x:c>
      <x:c r="S482" s="172" t="str">
        <x:f>IF(A482="","",IFERROR(LOOKUP(2,1/('Engineer Updates'!$B$5:$B$704=A482),'Engineer Updates'!$G$5:$G$704),""))</x:f>
      </x:c>
      <x:c r="T482" s="172" t="str">
        <x:f>IF(A482="","",IFERROR(LOOKUP(2,1/('Engineer Updates'!$B$5:$B$704=A482),'Engineer Updates'!$I$5:$I$704),""))</x:f>
      </x:c>
      <x:c r="U482" s="172" t="str">
        <x:f>IF(A482="","",IFERROR(LOOKUP(2,1/('Engineer Updates'!$B$5:$B$704=A482),'Engineer Updates'!$J$5:$J$704),""))</x:f>
      </x:c>
      <x:c r="V482" s="172" t="str">
        <x:f>IF(A482="","",IFERROR(LOOKUP(2,1/('Engineer Updates'!$B$5:$B$704=A482),'Engineer Updates'!$K$5:$K$704),""))</x:f>
      </x:c>
      <x:c r="W482" s="174" t="str">
        <x:f>IF(A482="","",IFERROR(LOOKUP(2,1/('Engineer Updates'!$B$5:$B$704=A482),'Engineer Updates'!$L$5:$L$704),""))</x:f>
      </x:c>
      <x:c r="X482" s="170" t="str">
        <x:f>IF(A482="","",IF(C482="completed","Completed in CSSP",IF(AND(C482="executing",ISERROR(SEARCH("@",K482))),"Executing without named engineer",IF(AND(N482="Confirmed OOS",C482="executing"),"Confirmed OOS still executing",""))))</x:f>
        <x:v>Completed in CSSP</x:v>
      </x:c>
      <x:c r="Y482" s="170" t="str">
        <x:f>IF(A482="","",IF(B482="Decommissioning","Raw Decommissioning","Raw Provisioning"))</x:f>
        <x:v>Raw Provisioning</x:v>
      </x:c>
      <x:c r="Z482" s="170" t="str">
        <x:f>IF(A482="","",IF(OR(C482="executing",C482="processing"),"Yes","No"))</x:f>
        <x:v>No</x:v>
      </x:c>
    </x:row>
    <x:row r="483">
      <x:c r="A483" s="170" t="str">
        <x:f>IF(ROWS($A$5:A483)&lt;=COUNTA('Raw Decommissioning'!$B$2:$B$1000),INDEX('Raw Decommissioning'!$B$2:$B$1000,ROWS($A$5:A483)),IF(ROWS($A$5:A483)-COUNTA('Raw Decommissioning'!$B$2:$B$1000)&lt;=COUNTA('Raw Provisioning'!$B$2:$B$1000),INDEX('Raw Provisioning'!$B$2:$B$1000,ROWS($A$5:A483)-COUNTA('Raw Decommissioning'!$B$2:$B$1000)),""))</x:f>
        <x:v>CSSP10397504</x:v>
      </x:c>
      <x:c r="B483" s="170" t="str">
        <x:f>IF(A483="","",IF(ROWS($A$5:A483)&lt;=COUNTA('Raw Decommissioning'!$B$2:$B$1000),"Decommissioning","Provisioning"))</x:f>
        <x:v>Provisioning</x:v>
      </x:c>
      <x:c r="C483" s="170" t="str">
        <x:f>IF(A483="","",IF(B483="Decommissioning",IFERROR(INDEX('Raw Decommissioning'!$E$2:$E$1000,MATCH(A483,'Raw Decommissioning'!$B$2:$B$1000,0)),"Missing from latest raw"),IFERROR(INDEX('Raw Provisioning'!$E$2:$E$1000,MATCH(A483,'Raw Provisioning'!$B$2:$B$1000,0)),"Missing from latest raw")))</x:f>
        <x:v>completed</x:v>
      </x:c>
      <x:c r="D483" s="171" t="n">
        <x:f>IF(A483="","",'Refresh Control'!$B$4)</x:f>
        <x:v>46254</x:v>
      </x:c>
      <x:c r="E483" s="171" t="n">
        <x:f>IF(A483="","",IF(B483="Decommissioning",INDEX('Raw Decommissioning'!$F$2:$F$1000,ROWS($A$5:A483)),INDEX('Raw Provisioning'!$F$2:$F$1000,ROWS($A$5:A483)-COUNTA('Raw Decommissioning'!$B$2:$B$1000))))</x:f>
        <x:v>46119.088592939814</x:v>
      </x:c>
      <x:c r="F483" s="171" t="n">
        <x:f>IF(A483="","",IF(B483="Decommissioning",INDEX('Raw Decommissioning'!$G$2:$G$1000,ROWS($A$5:A483)),INDEX('Raw Provisioning'!$H$2:$H$1000,ROWS($A$5:A483)-COUNTA('Raw Decommissioning'!$B$2:$B$1000))))</x:f>
        <x:v>46132.018281979166</x:v>
      </x:c>
      <x:c r="G483" s="170" t="str">
        <x:f>IF(A483="","",IF(B483="Decommissioning",INDEX('Raw Decommissioning'!$I$2:$I$1000,ROWS($A$5:A483)),INDEX('Raw Provisioning'!$J$2:$J$1000,ROWS($A$5:A483)-COUNTA('Raw Decommissioning'!$B$2:$B$1000))))</x:f>
        <x:v>AI Enablement Framework</x:v>
      </x:c>
      <x:c r="H483" s="170" t="str">
        <x:f>IF(A483="","",IF(B483="Decommissioning",INDEX('Raw Decommissioning'!$J$2:$J$1000,ROWS($A$5:A483)),INDEX('Raw Provisioning'!$L$2:$L$1000,ROWS($A$5:A483)-COUNTA('Raw Decommissioning'!$B$2:$B$1000))))</x:f>
        <x:v>Support and Maintenance for AI Enablement Framework 2023-2024 for PDB</x:v>
      </x:c>
      <x:c r="I483" s="170" t="str">
        <x:f>IF(A483="","",IF(B483="Decommissioning",INDEX('Raw Decommissioning'!$AL$2:$AL$1000,ROWS($A$5:A483)),INDEX('Raw Provisioning'!$R$2:$R$1000,ROWS($A$5:A483)-COUNTA('Raw Decommissioning'!$B$2:$B$1000))))</x:f>
        <x:v>S</x:v>
      </x:c>
      <x:c r="J483" s="170" t="str">
        <x:f>IF(A483="","",IF(B483="Decommissioning",INDEX('Raw Decommissioning'!$AG$2:$AG$1000,ROWS($A$5:A483)),INDEX('Raw Provisioning'!$AI$2:$AI$1000,ROWS($A$5:A483)-COUNTA('Raw Decommissioning'!$B$2:$B$1000))))</x:f>
        <x:v>azhan.shazeli@petronas.com</x:v>
      </x:c>
      <x:c r="K483" s="172" t="str">
        <x:f>IF(A483="","",IFERROR(LOOKUP(2,1/('Assignment History'!$B$5:$B$204=A483),'Assignment History'!$D$5:$D$204),IFERROR(VLOOKUP(J483,Configuration!$L$5:$M$50,2,FALSE),J483)))</x:f>
        <x:v>azhan.shazeli@petronas.com</x:v>
      </x:c>
      <x:c r="L483" s="172" t="str">
        <x:f>IF(A483="","",IF(K483=IFERROR(VLOOKUP(J483,Configuration!$L$5:$M$50,2,FALSE),J483),"Snapshot PIC","Replacement PIC"))</x:f>
        <x:v>Snapshot PIC</x:v>
      </x:c>
      <x:c r="M483" s="172" t="n">
        <x:f>IF(A483="","",IFERROR(VLOOKUP(I483,Configuration!$O$5:$P$8,2,FALSE),Configuration!$S$6))</x:f>
        <x:v>1</x:v>
      </x:c>
      <x:c r="N483" s="172" t="str">
        <x:f>IF(A483="","",IFERROR(LOOKUP(2,1/('Scope Review'!$B$5:$B$204=A483),'Scope Review'!$G$5:$G$204),"Not Reviewed"))</x:f>
        <x:v>Not Reviewed</x:v>
      </x:c>
      <x:c r="O483" s="172" t="str">
        <x:f>IF(A483="","",IFERROR(LOOKUP(2,1/('Scope Review'!$B$5:$B$204=A483),'Scope Review'!$H$5:$H$204),""))</x:f>
      </x:c>
      <x:c r="P483" s="172" t="n">
        <x:f>IF(A483="","",IF(AND(C483="executing",N483&lt;&gt;"Confirmed OOS"),M483,0))</x:f>
        <x:v>0</x:v>
      </x:c>
      <x:c r="Q483" s="173" t="str">
        <x:f>IF(A483="","",IFERROR(LOOKUP(2,1/('Engineer Updates'!$B$5:$B$704=A483),'Engineer Updates'!$A$5:$A$704),""))</x:f>
      </x:c>
      <x:c r="R483" s="172" t="str">
        <x:f>IF(A483="","",IFERROR(LOOKUP(2,1/('Engineer Updates'!$B$5:$B$704=A483),'Engineer Updates'!$H$5:$H$704),""))</x:f>
      </x:c>
      <x:c r="S483" s="172" t="str">
        <x:f>IF(A483="","",IFERROR(LOOKUP(2,1/('Engineer Updates'!$B$5:$B$704=A483),'Engineer Updates'!$G$5:$G$704),""))</x:f>
      </x:c>
      <x:c r="T483" s="172" t="str">
        <x:f>IF(A483="","",IFERROR(LOOKUP(2,1/('Engineer Updates'!$B$5:$B$704=A483),'Engineer Updates'!$I$5:$I$704),""))</x:f>
      </x:c>
      <x:c r="U483" s="172" t="str">
        <x:f>IF(A483="","",IFERROR(LOOKUP(2,1/('Engineer Updates'!$B$5:$B$704=A483),'Engineer Updates'!$J$5:$J$704),""))</x:f>
      </x:c>
      <x:c r="V483" s="172" t="str">
        <x:f>IF(A483="","",IFERROR(LOOKUP(2,1/('Engineer Updates'!$B$5:$B$704=A483),'Engineer Updates'!$K$5:$K$704),""))</x:f>
      </x:c>
      <x:c r="W483" s="174" t="str">
        <x:f>IF(A483="","",IFERROR(LOOKUP(2,1/('Engineer Updates'!$B$5:$B$704=A483),'Engineer Updates'!$L$5:$L$704),""))</x:f>
      </x:c>
      <x:c r="X483" s="170" t="str">
        <x:f>IF(A483="","",IF(C483="completed","Completed in CSSP",IF(AND(C483="executing",ISERROR(SEARCH("@",K483))),"Executing without named engineer",IF(AND(N483="Confirmed OOS",C483="executing"),"Confirmed OOS still executing",""))))</x:f>
        <x:v>Completed in CSSP</x:v>
      </x:c>
      <x:c r="Y483" s="170" t="str">
        <x:f>IF(A483="","",IF(B483="Decommissioning","Raw Decommissioning","Raw Provisioning"))</x:f>
        <x:v>Raw Provisioning</x:v>
      </x:c>
      <x:c r="Z483" s="170" t="str">
        <x:f>IF(A483="","",IF(OR(C483="executing",C483="processing"),"Yes","No"))</x:f>
        <x:v>No</x:v>
      </x:c>
    </x:row>
    <x:row r="484">
      <x:c r="A484" s="170" t="str">
        <x:f>IF(ROWS($A$5:A484)&lt;=COUNTA('Raw Decommissioning'!$B$2:$B$1000),INDEX('Raw Decommissioning'!$B$2:$B$1000,ROWS($A$5:A484)),IF(ROWS($A$5:A484)-COUNTA('Raw Decommissioning'!$B$2:$B$1000)&lt;=COUNTA('Raw Provisioning'!$B$2:$B$1000),INDEX('Raw Provisioning'!$B$2:$B$1000,ROWS($A$5:A484)-COUNTA('Raw Decommissioning'!$B$2:$B$1000)),""))</x:f>
        <x:v>CSSP10104844</x:v>
      </x:c>
      <x:c r="B484" s="170" t="str">
        <x:f>IF(A484="","",IF(ROWS($A$5:A484)&lt;=COUNTA('Raw Decommissioning'!$B$2:$B$1000),"Decommissioning","Provisioning"))</x:f>
        <x:v>Provisioning</x:v>
      </x:c>
      <x:c r="C484" s="170" t="str">
        <x:f>IF(A484="","",IF(B484="Decommissioning",IFERROR(INDEX('Raw Decommissioning'!$E$2:$E$1000,MATCH(A484,'Raw Decommissioning'!$B$2:$B$1000,0)),"Missing from latest raw"),IFERROR(INDEX('Raw Provisioning'!$E$2:$E$1000,MATCH(A484,'Raw Provisioning'!$B$2:$B$1000,0)),"Missing from latest raw")))</x:f>
        <x:v>completed</x:v>
      </x:c>
      <x:c r="D484" s="171" t="n">
        <x:f>IF(A484="","",'Refresh Control'!$B$4)</x:f>
        <x:v>46254</x:v>
      </x:c>
      <x:c r="E484" s="171" t="n">
        <x:f>IF(A484="","",IF(B484="Decommissioning",INDEX('Raw Decommissioning'!$F$2:$F$1000,ROWS($A$5:A484)),INDEX('Raw Provisioning'!$F$2:$F$1000,ROWS($A$5:A484)-COUNTA('Raw Decommissioning'!$B$2:$B$1000))))</x:f>
        <x:v>46119.153086701386</x:v>
      </x:c>
      <x:c r="F484" s="171" t="n">
        <x:f>IF(A484="","",IF(B484="Decommissioning",INDEX('Raw Decommissioning'!$G$2:$G$1000,ROWS($A$5:A484)),INDEX('Raw Provisioning'!$H$2:$H$1000,ROWS($A$5:A484)-COUNTA('Raw Decommissioning'!$B$2:$B$1000))))</x:f>
        <x:v>46126.10800678241</x:v>
      </x:c>
      <x:c r="G484" s="170" t="str">
        <x:f>IF(A484="","",IF(B484="Decommissioning",INDEX('Raw Decommissioning'!$I$2:$I$1000,ROWS($A$5:A484)),INDEX('Raw Provisioning'!$J$2:$J$1000,ROWS($A$5:A484)-COUNTA('Raw Decommissioning'!$B$2:$B$1000))))</x:f>
        <x:v>MyPROData</x:v>
      </x:c>
      <x:c r="H484" s="170" t="str">
        <x:f>IF(A484="","",IF(B484="Decommissioning",INDEX('Raw Decommissioning'!$J$2:$J$1000,ROWS($A$5:A484)),INDEX('Raw Provisioning'!$L$2:$L$1000,ROWS($A$5:A484)-COUNTA('Raw Decommissioning'!$B$2:$B$1000))))</x:f>
        <x:v>Shared Support Services (SecOps) myPROdata FY2025 for Malaysia Petroleum Management (MPM)</x:v>
      </x:c>
      <x:c r="I484" s="170" t="str">
        <x:f>IF(A484="","",IF(B484="Decommissioning",INDEX('Raw Decommissioning'!$AL$2:$AL$1000,ROWS($A$5:A484)),INDEX('Raw Provisioning'!$R$2:$R$1000,ROWS($A$5:A484)-COUNTA('Raw Decommissioning'!$B$2:$B$1000))))</x:f>
        <x:v>M</x:v>
      </x:c>
      <x:c r="J484" s="170" t="str">
        <x:f>IF(A484="","",IF(B484="Decommissioning",INDEX('Raw Decommissioning'!$AG$2:$AG$1000,ROWS($A$5:A484)),INDEX('Raw Provisioning'!$AI$2:$AI$1000,ROWS($A$5:A484)-COUNTA('Raw Decommissioning'!$B$2:$B$1000))))</x:f>
        <x:v>izham.ajmaan@petronas.com</x:v>
      </x:c>
      <x:c r="K484" s="172" t="str">
        <x:f>IF(A484="","",IFERROR(LOOKUP(2,1/('Assignment History'!$B$5:$B$204=A484),'Assignment History'!$D$5:$D$204),IFERROR(VLOOKUP(J484,Configuration!$L$5:$M$50,2,FALSE),J484)))</x:f>
        <x:v>izham.ajmaan@petronas.com</x:v>
      </x:c>
      <x:c r="L484" s="172" t="str">
        <x:f>IF(A484="","",IF(K484=IFERROR(VLOOKUP(J484,Configuration!$L$5:$M$50,2,FALSE),J484),"Snapshot PIC","Replacement PIC"))</x:f>
        <x:v>Snapshot PIC</x:v>
      </x:c>
      <x:c r="M484" s="172" t="n">
        <x:f>IF(A484="","",IFERROR(VLOOKUP(I484,Configuration!$O$5:$P$8,2,FALSE),Configuration!$S$6))</x:f>
        <x:v>2</x:v>
      </x:c>
      <x:c r="N484" s="172" t="str">
        <x:f>IF(A484="","",IFERROR(LOOKUP(2,1/('Scope Review'!$B$5:$B$204=A484),'Scope Review'!$G$5:$G$204),"Not Reviewed"))</x:f>
        <x:v>Not Reviewed</x:v>
      </x:c>
      <x:c r="O484" s="172" t="str">
        <x:f>IF(A484="","",IFERROR(LOOKUP(2,1/('Scope Review'!$B$5:$B$204=A484),'Scope Review'!$H$5:$H$204),""))</x:f>
      </x:c>
      <x:c r="P484" s="172" t="n">
        <x:f>IF(A484="","",IF(AND(C484="executing",N484&lt;&gt;"Confirmed OOS"),M484,0))</x:f>
        <x:v>0</x:v>
      </x:c>
      <x:c r="Q484" s="173" t="str">
        <x:f>IF(A484="","",IFERROR(LOOKUP(2,1/('Engineer Updates'!$B$5:$B$704=A484),'Engineer Updates'!$A$5:$A$704),""))</x:f>
      </x:c>
      <x:c r="R484" s="172" t="str">
        <x:f>IF(A484="","",IFERROR(LOOKUP(2,1/('Engineer Updates'!$B$5:$B$704=A484),'Engineer Updates'!$H$5:$H$704),""))</x:f>
      </x:c>
      <x:c r="S484" s="172" t="str">
        <x:f>IF(A484="","",IFERROR(LOOKUP(2,1/('Engineer Updates'!$B$5:$B$704=A484),'Engineer Updates'!$G$5:$G$704),""))</x:f>
      </x:c>
      <x:c r="T484" s="172" t="str">
        <x:f>IF(A484="","",IFERROR(LOOKUP(2,1/('Engineer Updates'!$B$5:$B$704=A484),'Engineer Updates'!$I$5:$I$704),""))</x:f>
      </x:c>
      <x:c r="U484" s="172" t="str">
        <x:f>IF(A484="","",IFERROR(LOOKUP(2,1/('Engineer Updates'!$B$5:$B$704=A484),'Engineer Updates'!$J$5:$J$704),""))</x:f>
      </x:c>
      <x:c r="V484" s="172" t="str">
        <x:f>IF(A484="","",IFERROR(LOOKUP(2,1/('Engineer Updates'!$B$5:$B$704=A484),'Engineer Updates'!$K$5:$K$704),""))</x:f>
      </x:c>
      <x:c r="W484" s="174" t="str">
        <x:f>IF(A484="","",IFERROR(LOOKUP(2,1/('Engineer Updates'!$B$5:$B$704=A484),'Engineer Updates'!$L$5:$L$704),""))</x:f>
      </x:c>
      <x:c r="X484" s="170" t="str">
        <x:f>IF(A484="","",IF(C484="completed","Completed in CSSP",IF(AND(C484="executing",ISERROR(SEARCH("@",K484))),"Executing without named engineer",IF(AND(N484="Confirmed OOS",C484="executing"),"Confirmed OOS still executing",""))))</x:f>
        <x:v>Completed in CSSP</x:v>
      </x:c>
      <x:c r="Y484" s="170" t="str">
        <x:f>IF(A484="","",IF(B484="Decommissioning","Raw Decommissioning","Raw Provisioning"))</x:f>
        <x:v>Raw Provisioning</x:v>
      </x:c>
      <x:c r="Z484" s="170" t="str">
        <x:f>IF(A484="","",IF(OR(C484="executing",C484="processing"),"Yes","No"))</x:f>
        <x:v>No</x:v>
      </x:c>
    </x:row>
    <x:row r="485">
      <x:c r="A485" s="170" t="str">
        <x:f>IF(ROWS($A$5:A485)&lt;=COUNTA('Raw Decommissioning'!$B$2:$B$1000),INDEX('Raw Decommissioning'!$B$2:$B$1000,ROWS($A$5:A485)),IF(ROWS($A$5:A485)-COUNTA('Raw Decommissioning'!$B$2:$B$1000)&lt;=COUNTA('Raw Provisioning'!$B$2:$B$1000),INDEX('Raw Provisioning'!$B$2:$B$1000,ROWS($A$5:A485)-COUNTA('Raw Decommissioning'!$B$2:$B$1000)),""))</x:f>
        <x:v>CSSP10326926</x:v>
      </x:c>
      <x:c r="B485" s="170" t="str">
        <x:f>IF(A485="","",IF(ROWS($A$5:A485)&lt;=COUNTA('Raw Decommissioning'!$B$2:$B$1000),"Decommissioning","Provisioning"))</x:f>
        <x:v>Provisioning</x:v>
      </x:c>
      <x:c r="C485" s="170" t="str">
        <x:f>IF(A485="","",IF(B485="Decommissioning",IFERROR(INDEX('Raw Decommissioning'!$E$2:$E$1000,MATCH(A485,'Raw Decommissioning'!$B$2:$B$1000,0)),"Missing from latest raw"),IFERROR(INDEX('Raw Provisioning'!$E$2:$E$1000,MATCH(A485,'Raw Provisioning'!$B$2:$B$1000,0)),"Missing from latest raw")))</x:f>
        <x:v>completed</x:v>
      </x:c>
      <x:c r="D485" s="171" t="n">
        <x:f>IF(A485="","",'Refresh Control'!$B$4)</x:f>
        <x:v>46254</x:v>
      </x:c>
      <x:c r="E485" s="171" t="n">
        <x:f>IF(A485="","",IF(B485="Decommissioning",INDEX('Raw Decommissioning'!$F$2:$F$1000,ROWS($A$5:A485)),INDEX('Raw Provisioning'!$F$2:$F$1000,ROWS($A$5:A485)-COUNTA('Raw Decommissioning'!$B$2:$B$1000))))</x:f>
        <x:v>46119.32990670139</x:v>
      </x:c>
      <x:c r="F485" s="171" t="n">
        <x:f>IF(A485="","",IF(B485="Decommissioning",INDEX('Raw Decommissioning'!$G$2:$G$1000,ROWS($A$5:A485)),INDEX('Raw Provisioning'!$H$2:$H$1000,ROWS($A$5:A485)-COUNTA('Raw Decommissioning'!$B$2:$B$1000))))</x:f>
        <x:v>46128.38205564815</x:v>
      </x:c>
      <x:c r="G485" s="170" t="str">
        <x:f>IF(A485="","",IF(B485="Decommissioning",INDEX('Raw Decommissioning'!$I$2:$I$1000,ROWS($A$5:A485)),INDEX('Raw Provisioning'!$J$2:$J$1000,ROWS($A$5:A485)-COUNTA('Raw Decommissioning'!$B$2:$B$1000))))</x:f>
        <x:v>OASIS Infra provisioning</x:v>
      </x:c>
      <x:c r="H485" s="170" t="str">
        <x:f>IF(A485="","",IF(B485="Decommissioning",INDEX('Raw Decommissioning'!$J$2:$J$1000,ROWS($A$5:A485)),INDEX('Raw Provisioning'!$L$2:$L$1000,ROWS($A$5:A485)-COUNTA('Raw Decommissioning'!$B$2:$B$1000))))</x:f>
        <x:v>OASIS Infra provisioning</x:v>
      </x:c>
      <x:c r="I485" s="170" t="str">
        <x:f>IF(A485="","",IF(B485="Decommissioning",INDEX('Raw Decommissioning'!$AL$2:$AL$1000,ROWS($A$5:A485)),INDEX('Raw Provisioning'!$R$2:$R$1000,ROWS($A$5:A485)-COUNTA('Raw Decommissioning'!$B$2:$B$1000))))</x:f>
        <x:v>S</x:v>
      </x:c>
      <x:c r="J485" s="170" t="str">
        <x:f>IF(A485="","",IF(B485="Decommissioning",INDEX('Raw Decommissioning'!$AG$2:$AG$1000,ROWS($A$5:A485)),INDEX('Raw Provisioning'!$AI$2:$AI$1000,ROWS($A$5:A485)-COUNTA('Raw Decommissioning'!$B$2:$B$1000))))</x:f>
        <x:v>akhmal.roslan@petronas.com</x:v>
      </x:c>
      <x:c r="K485" s="172" t="str">
        <x:f>IF(A485="","",IFERROR(LOOKUP(2,1/('Assignment History'!$B$5:$B$204=A485),'Assignment History'!$D$5:$D$204),IFERROR(VLOOKUP(J485,Configuration!$L$5:$M$50,2,FALSE),J485)))</x:f>
        <x:v>akhmal.roslan@petronas.com</x:v>
      </x:c>
      <x:c r="L485" s="172" t="str">
        <x:f>IF(A485="","",IF(K485=IFERROR(VLOOKUP(J485,Configuration!$L$5:$M$50,2,FALSE),J485),"Snapshot PIC","Replacement PIC"))</x:f>
        <x:v>Snapshot PIC</x:v>
      </x:c>
      <x:c r="M485" s="172" t="n">
        <x:f>IF(A485="","",IFERROR(VLOOKUP(I485,Configuration!$O$5:$P$8,2,FALSE),Configuration!$S$6))</x:f>
        <x:v>1</x:v>
      </x:c>
      <x:c r="N485" s="172" t="str">
        <x:f>IF(A485="","",IFERROR(LOOKUP(2,1/('Scope Review'!$B$5:$B$204=A485),'Scope Review'!$G$5:$G$204),"Not Reviewed"))</x:f>
        <x:v>Not Reviewed</x:v>
      </x:c>
      <x:c r="O485" s="172" t="str">
        <x:f>IF(A485="","",IFERROR(LOOKUP(2,1/('Scope Review'!$B$5:$B$204=A485),'Scope Review'!$H$5:$H$204),""))</x:f>
      </x:c>
      <x:c r="P485" s="172" t="n">
        <x:f>IF(A485="","",IF(AND(C485="executing",N485&lt;&gt;"Confirmed OOS"),M485,0))</x:f>
        <x:v>0</x:v>
      </x:c>
      <x:c r="Q485" s="173" t="str">
        <x:f>IF(A485="","",IFERROR(LOOKUP(2,1/('Engineer Updates'!$B$5:$B$704=A485),'Engineer Updates'!$A$5:$A$704),""))</x:f>
      </x:c>
      <x:c r="R485" s="172" t="str">
        <x:f>IF(A485="","",IFERROR(LOOKUP(2,1/('Engineer Updates'!$B$5:$B$704=A485),'Engineer Updates'!$H$5:$H$704),""))</x:f>
      </x:c>
      <x:c r="S485" s="172" t="str">
        <x:f>IF(A485="","",IFERROR(LOOKUP(2,1/('Engineer Updates'!$B$5:$B$704=A485),'Engineer Updates'!$G$5:$G$704),""))</x:f>
      </x:c>
      <x:c r="T485" s="172" t="str">
        <x:f>IF(A485="","",IFERROR(LOOKUP(2,1/('Engineer Updates'!$B$5:$B$704=A485),'Engineer Updates'!$I$5:$I$704),""))</x:f>
      </x:c>
      <x:c r="U485" s="172" t="str">
        <x:f>IF(A485="","",IFERROR(LOOKUP(2,1/('Engineer Updates'!$B$5:$B$704=A485),'Engineer Updates'!$J$5:$J$704),""))</x:f>
      </x:c>
      <x:c r="V485" s="172" t="str">
        <x:f>IF(A485="","",IFERROR(LOOKUP(2,1/('Engineer Updates'!$B$5:$B$704=A485),'Engineer Updates'!$K$5:$K$704),""))</x:f>
      </x:c>
      <x:c r="W485" s="174" t="str">
        <x:f>IF(A485="","",IFERROR(LOOKUP(2,1/('Engineer Updates'!$B$5:$B$704=A485),'Engineer Updates'!$L$5:$L$704),""))</x:f>
      </x:c>
      <x:c r="X485" s="170" t="str">
        <x:f>IF(A485="","",IF(C485="completed","Completed in CSSP",IF(AND(C485="executing",ISERROR(SEARCH("@",K485))),"Executing without named engineer",IF(AND(N485="Confirmed OOS",C485="executing"),"Confirmed OOS still executing",""))))</x:f>
        <x:v>Completed in CSSP</x:v>
      </x:c>
      <x:c r="Y485" s="170" t="str">
        <x:f>IF(A485="","",IF(B485="Decommissioning","Raw Decommissioning","Raw Provisioning"))</x:f>
        <x:v>Raw Provisioning</x:v>
      </x:c>
      <x:c r="Z485" s="170" t="str">
        <x:f>IF(A485="","",IF(OR(C485="executing",C485="processing"),"Yes","No"))</x:f>
        <x:v>No</x:v>
      </x:c>
    </x:row>
    <x:row r="486">
      <x:c r="A486" s="170" t="str">
        <x:f>IF(ROWS($A$5:A486)&lt;=COUNTA('Raw Decommissioning'!$B$2:$B$1000),INDEX('Raw Decommissioning'!$B$2:$B$1000,ROWS($A$5:A486)),IF(ROWS($A$5:A486)-COUNTA('Raw Decommissioning'!$B$2:$B$1000)&lt;=COUNTA('Raw Provisioning'!$B$2:$B$1000),INDEX('Raw Provisioning'!$B$2:$B$1000,ROWS($A$5:A486)-COUNTA('Raw Decommissioning'!$B$2:$B$1000)),""))</x:f>
        <x:v>CSSP10441441</x:v>
      </x:c>
      <x:c r="B486" s="170" t="str">
        <x:f>IF(A486="","",IF(ROWS($A$5:A486)&lt;=COUNTA('Raw Decommissioning'!$B$2:$B$1000),"Decommissioning","Provisioning"))</x:f>
        <x:v>Provisioning</x:v>
      </x:c>
      <x:c r="C486" s="170" t="str">
        <x:f>IF(A486="","",IF(B486="Decommissioning",IFERROR(INDEX('Raw Decommissioning'!$E$2:$E$1000,MATCH(A486,'Raw Decommissioning'!$B$2:$B$1000,0)),"Missing from latest raw"),IFERROR(INDEX('Raw Provisioning'!$E$2:$E$1000,MATCH(A486,'Raw Provisioning'!$B$2:$B$1000,0)),"Missing from latest raw")))</x:f>
        <x:v>completed</x:v>
      </x:c>
      <x:c r="D486" s="171" t="n">
        <x:f>IF(A486="","",'Refresh Control'!$B$4)</x:f>
        <x:v>46254</x:v>
      </x:c>
      <x:c r="E486" s="171" t="n">
        <x:f>IF(A486="","",IF(B486="Decommissioning",INDEX('Raw Decommissioning'!$F$2:$F$1000,ROWS($A$5:A486)),INDEX('Raw Provisioning'!$F$2:$F$1000,ROWS($A$5:A486)-COUNTA('Raw Decommissioning'!$B$2:$B$1000))))</x:f>
        <x:v>46122.211081284724</x:v>
      </x:c>
      <x:c r="F486" s="171" t="n">
        <x:f>IF(A486="","",IF(B486="Decommissioning",INDEX('Raw Decommissioning'!$G$2:$G$1000,ROWS($A$5:A486)),INDEX('Raw Provisioning'!$H$2:$H$1000,ROWS($A$5:A486)-COUNTA('Raw Decommissioning'!$B$2:$B$1000))))</x:f>
        <x:v>46133.11610574074</x:v>
      </x:c>
      <x:c r="G486" s="170" t="str">
        <x:f>IF(A486="","",IF(B486="Decommissioning",INDEX('Raw Decommissioning'!$I$2:$I$1000,ROWS($A$5:A486)),INDEX('Raw Provisioning'!$J$2:$J$1000,ROWS($A$5:A486)-COUNTA('Raw Decommissioning'!$B$2:$B$1000))))</x:f>
        <x:v>Process Director for BRB</x:v>
      </x:c>
      <x:c r="H486" s="170" t="str">
        <x:f>IF(A486="","",IF(B486="Decommissioning",INDEX('Raw Decommissioning'!$J$2:$J$1000,ROWS($A$5:A486)),INDEX('Raw Provisioning'!$L$2:$L$1000,ROWS($A$5:A486)-COUNTA('Raw Decommissioning'!$B$2:$B$1000))))</x:f>
        <x:v>Implementation of Invoice Processing for BRB</x:v>
      </x:c>
      <x:c r="I486" s="170" t="str">
        <x:f>IF(A486="","",IF(B486="Decommissioning",INDEX('Raw Decommissioning'!$AL$2:$AL$1000,ROWS($A$5:A486)),INDEX('Raw Provisioning'!$R$2:$R$1000,ROWS($A$5:A486)-COUNTA('Raw Decommissioning'!$B$2:$B$1000))))</x:f>
        <x:v>S</x:v>
      </x:c>
      <x:c r="J486" s="170" t="str">
        <x:f>IF(A486="","",IF(B486="Decommissioning",INDEX('Raw Decommissioning'!$AG$2:$AG$1000,ROWS($A$5:A486)),INDEX('Raw Provisioning'!$AI$2:$AI$1000,ROWS($A$5:A486)-COUNTA('Raw Decommissioning'!$B$2:$B$1000))))</x:f>
        <x:v>darliz.zainol@petronas.com</x:v>
      </x:c>
      <x:c r="K486" s="172" t="str">
        <x:f>IF(A486="","",IFERROR(LOOKUP(2,1/('Assignment History'!$B$5:$B$204=A486),'Assignment History'!$D$5:$D$204),IFERROR(VLOOKUP(J486,Configuration!$L$5:$M$50,2,FALSE),J486)))</x:f>
        <x:v>darliz.zainol@petronas.com</x:v>
      </x:c>
      <x:c r="L486" s="172" t="str">
        <x:f>IF(A486="","",IF(K486=IFERROR(VLOOKUP(J486,Configuration!$L$5:$M$50,2,FALSE),J486),"Snapshot PIC","Replacement PIC"))</x:f>
        <x:v>Snapshot PIC</x:v>
      </x:c>
      <x:c r="M486" s="172" t="n">
        <x:f>IF(A486="","",IFERROR(VLOOKUP(I486,Configuration!$O$5:$P$8,2,FALSE),Configuration!$S$6))</x:f>
        <x:v>1</x:v>
      </x:c>
      <x:c r="N486" s="172" t="str">
        <x:f>IF(A486="","",IFERROR(LOOKUP(2,1/('Scope Review'!$B$5:$B$204=A486),'Scope Review'!$G$5:$G$204),"Not Reviewed"))</x:f>
        <x:v>Not Reviewed</x:v>
      </x:c>
      <x:c r="O486" s="172" t="str">
        <x:f>IF(A486="","",IFERROR(LOOKUP(2,1/('Scope Review'!$B$5:$B$204=A486),'Scope Review'!$H$5:$H$204),""))</x:f>
      </x:c>
      <x:c r="P486" s="172" t="n">
        <x:f>IF(A486="","",IF(AND(C486="executing",N486&lt;&gt;"Confirmed OOS"),M486,0))</x:f>
        <x:v>0</x:v>
      </x:c>
      <x:c r="Q486" s="173" t="str">
        <x:f>IF(A486="","",IFERROR(LOOKUP(2,1/('Engineer Updates'!$B$5:$B$704=A486),'Engineer Updates'!$A$5:$A$704),""))</x:f>
      </x:c>
      <x:c r="R486" s="172" t="str">
        <x:f>IF(A486="","",IFERROR(LOOKUP(2,1/('Engineer Updates'!$B$5:$B$704=A486),'Engineer Updates'!$H$5:$H$704),""))</x:f>
      </x:c>
      <x:c r="S486" s="172" t="str">
        <x:f>IF(A486="","",IFERROR(LOOKUP(2,1/('Engineer Updates'!$B$5:$B$704=A486),'Engineer Updates'!$G$5:$G$704),""))</x:f>
      </x:c>
      <x:c r="T486" s="172" t="str">
        <x:f>IF(A486="","",IFERROR(LOOKUP(2,1/('Engineer Updates'!$B$5:$B$704=A486),'Engineer Updates'!$I$5:$I$704),""))</x:f>
      </x:c>
      <x:c r="U486" s="172" t="str">
        <x:f>IF(A486="","",IFERROR(LOOKUP(2,1/('Engineer Updates'!$B$5:$B$704=A486),'Engineer Updates'!$J$5:$J$704),""))</x:f>
      </x:c>
      <x:c r="V486" s="172" t="str">
        <x:f>IF(A486="","",IFERROR(LOOKUP(2,1/('Engineer Updates'!$B$5:$B$704=A486),'Engineer Updates'!$K$5:$K$704),""))</x:f>
      </x:c>
      <x:c r="W486" s="174" t="str">
        <x:f>IF(A486="","",IFERROR(LOOKUP(2,1/('Engineer Updates'!$B$5:$B$704=A486),'Engineer Updates'!$L$5:$L$704),""))</x:f>
      </x:c>
      <x:c r="X486" s="170" t="str">
        <x:f>IF(A486="","",IF(C486="completed","Completed in CSSP",IF(AND(C486="executing",ISERROR(SEARCH("@",K486))),"Executing without named engineer",IF(AND(N486="Confirmed OOS",C486="executing"),"Confirmed OOS still executing",""))))</x:f>
        <x:v>Completed in CSSP</x:v>
      </x:c>
      <x:c r="Y486" s="170" t="str">
        <x:f>IF(A486="","",IF(B486="Decommissioning","Raw Decommissioning","Raw Provisioning"))</x:f>
        <x:v>Raw Provisioning</x:v>
      </x:c>
      <x:c r="Z486" s="170" t="str">
        <x:f>IF(A486="","",IF(OR(C486="executing",C486="processing"),"Yes","No"))</x:f>
        <x:v>No</x:v>
      </x:c>
    </x:row>
    <x:row r="487">
      <x:c r="A487" s="170" t="str">
        <x:f>IF(ROWS($A$5:A487)&lt;=COUNTA('Raw Decommissioning'!$B$2:$B$1000),INDEX('Raw Decommissioning'!$B$2:$B$1000,ROWS($A$5:A487)),IF(ROWS($A$5:A487)-COUNTA('Raw Decommissioning'!$B$2:$B$1000)&lt;=COUNTA('Raw Provisioning'!$B$2:$B$1000),INDEX('Raw Provisioning'!$B$2:$B$1000,ROWS($A$5:A487)-COUNTA('Raw Decommissioning'!$B$2:$B$1000)),""))</x:f>
        <x:v>CSSP10663979</x:v>
      </x:c>
      <x:c r="B487" s="170" t="str">
        <x:f>IF(A487="","",IF(ROWS($A$5:A487)&lt;=COUNTA('Raw Decommissioning'!$B$2:$B$1000),"Decommissioning","Provisioning"))</x:f>
        <x:v>Provisioning</x:v>
      </x:c>
      <x:c r="C487" s="170" t="str">
        <x:f>IF(A487="","",IF(B487="Decommissioning",IFERROR(INDEX('Raw Decommissioning'!$E$2:$E$1000,MATCH(A487,'Raw Decommissioning'!$B$2:$B$1000,0)),"Missing from latest raw"),IFERROR(INDEX('Raw Provisioning'!$E$2:$E$1000,MATCH(A487,'Raw Provisioning'!$B$2:$B$1000,0)),"Missing from latest raw")))</x:f>
        <x:v>completed</x:v>
      </x:c>
      <x:c r="D487" s="171" t="n">
        <x:f>IF(A487="","",'Refresh Control'!$B$4)</x:f>
        <x:v>46254</x:v>
      </x:c>
      <x:c r="E487" s="171" t="n">
        <x:f>IF(A487="","",IF(B487="Decommissioning",INDEX('Raw Decommissioning'!$F$2:$F$1000,ROWS($A$5:A487)),INDEX('Raw Provisioning'!$F$2:$F$1000,ROWS($A$5:A487)-COUNTA('Raw Decommissioning'!$B$2:$B$1000))))</x:f>
        <x:v>46122.41706356481</x:v>
      </x:c>
      <x:c r="F487" s="171" t="n">
        <x:f>IF(A487="","",IF(B487="Decommissioning",INDEX('Raw Decommissioning'!$G$2:$G$1000,ROWS($A$5:A487)),INDEX('Raw Provisioning'!$H$2:$H$1000,ROWS($A$5:A487)-COUNTA('Raw Decommissioning'!$B$2:$B$1000))))</x:f>
        <x:v>46140.43065508102</x:v>
      </x:c>
      <x:c r="G487" s="170" t="str">
        <x:f>IF(A487="","",IF(B487="Decommissioning",INDEX('Raw Decommissioning'!$I$2:$I$1000,ROWS($A$5:A487)),INDEX('Raw Provisioning'!$J$2:$J$1000,ROWS($A$5:A487)-COUNTA('Raw Decommissioning'!$B$2:$B$1000))))</x:f>
        <x:v>Zidane OVC</x:v>
      </x:c>
      <x:c r="H487" s="170" t="str">
        <x:f>IF(A487="","",IF(B487="Decommissioning",INDEX('Raw Decommissioning'!$J$2:$J$1000,ROWS($A$5:A487)),INDEX('Raw Provisioning'!$L$2:$L$1000,ROWS($A$5:A487)-COUNTA('Raw Decommissioning'!$B$2:$B$1000))))</x:f>
        <x:v>Provision of Professional Service, Software License and Infra for ArBiTra (OVC &amp; LVC) 2025 for PTLCL</x:v>
      </x:c>
      <x:c r="I487" s="170" t="str">
        <x:f>IF(A487="","",IF(B487="Decommissioning",INDEX('Raw Decommissioning'!$AL$2:$AL$1000,ROWS($A$5:A487)),INDEX('Raw Provisioning'!$R$2:$R$1000,ROWS($A$5:A487)-COUNTA('Raw Decommissioning'!$B$2:$B$1000))))</x:f>
        <x:v>L</x:v>
      </x:c>
      <x:c r="J487" s="170" t="str">
        <x:f>IF(A487="","",IF(B487="Decommissioning",INDEX('Raw Decommissioning'!$AG$2:$AG$1000,ROWS($A$5:A487)),INDEX('Raw Provisioning'!$AI$2:$AI$1000,ROWS($A$5:A487)-COUNTA('Raw Decommissioning'!$B$2:$B$1000))))</x:f>
        <x:v>badri.shaharudin@petronas.com</x:v>
      </x:c>
      <x:c r="K487" s="172" t="str">
        <x:f>IF(A487="","",IFERROR(LOOKUP(2,1/('Assignment History'!$B$5:$B$204=A487),'Assignment History'!$D$5:$D$204),IFERROR(VLOOKUP(J487,Configuration!$L$5:$M$50,2,FALSE),J487)))</x:f>
        <x:v>badri.shaharudin@petronas.com</x:v>
      </x:c>
      <x:c r="L487" s="172" t="str">
        <x:f>IF(A487="","",IF(K487=IFERROR(VLOOKUP(J487,Configuration!$L$5:$M$50,2,FALSE),J487),"Snapshot PIC","Replacement PIC"))</x:f>
        <x:v>Snapshot PIC</x:v>
      </x:c>
      <x:c r="M487" s="172" t="n">
        <x:f>IF(A487="","",IFERROR(VLOOKUP(I487,Configuration!$O$5:$P$8,2,FALSE),Configuration!$S$6))</x:f>
        <x:v>3</x:v>
      </x:c>
      <x:c r="N487" s="172" t="str">
        <x:f>IF(A487="","",IFERROR(LOOKUP(2,1/('Scope Review'!$B$5:$B$204=A487),'Scope Review'!$G$5:$G$204),"Not Reviewed"))</x:f>
        <x:v>Not Reviewed</x:v>
      </x:c>
      <x:c r="O487" s="172" t="str">
        <x:f>IF(A487="","",IFERROR(LOOKUP(2,1/('Scope Review'!$B$5:$B$204=A487),'Scope Review'!$H$5:$H$204),""))</x:f>
      </x:c>
      <x:c r="P487" s="172" t="n">
        <x:f>IF(A487="","",IF(AND(C487="executing",N487&lt;&gt;"Confirmed OOS"),M487,0))</x:f>
        <x:v>0</x:v>
      </x:c>
      <x:c r="Q487" s="173" t="str">
        <x:f>IF(A487="","",IFERROR(LOOKUP(2,1/('Engineer Updates'!$B$5:$B$704=A487),'Engineer Updates'!$A$5:$A$704),""))</x:f>
      </x:c>
      <x:c r="R487" s="172" t="str">
        <x:f>IF(A487="","",IFERROR(LOOKUP(2,1/('Engineer Updates'!$B$5:$B$704=A487),'Engineer Updates'!$H$5:$H$704),""))</x:f>
      </x:c>
      <x:c r="S487" s="172" t="str">
        <x:f>IF(A487="","",IFERROR(LOOKUP(2,1/('Engineer Updates'!$B$5:$B$704=A487),'Engineer Updates'!$G$5:$G$704),""))</x:f>
      </x:c>
      <x:c r="T487" s="172" t="str">
        <x:f>IF(A487="","",IFERROR(LOOKUP(2,1/('Engineer Updates'!$B$5:$B$704=A487),'Engineer Updates'!$I$5:$I$704),""))</x:f>
      </x:c>
      <x:c r="U487" s="172" t="str">
        <x:f>IF(A487="","",IFERROR(LOOKUP(2,1/('Engineer Updates'!$B$5:$B$704=A487),'Engineer Updates'!$J$5:$J$704),""))</x:f>
      </x:c>
      <x:c r="V487" s="172" t="str">
        <x:f>IF(A487="","",IFERROR(LOOKUP(2,1/('Engineer Updates'!$B$5:$B$704=A487),'Engineer Updates'!$K$5:$K$704),""))</x:f>
      </x:c>
      <x:c r="W487" s="174" t="str">
        <x:f>IF(A487="","",IFERROR(LOOKUP(2,1/('Engineer Updates'!$B$5:$B$704=A487),'Engineer Updates'!$L$5:$L$704),""))</x:f>
      </x:c>
      <x:c r="X487" s="170" t="str">
        <x:f>IF(A487="","",IF(C487="completed","Completed in CSSP",IF(AND(C487="executing",ISERROR(SEARCH("@",K487))),"Executing without named engineer",IF(AND(N487="Confirmed OOS",C487="executing"),"Confirmed OOS still executing",""))))</x:f>
        <x:v>Completed in CSSP</x:v>
      </x:c>
      <x:c r="Y487" s="170" t="str">
        <x:f>IF(A487="","",IF(B487="Decommissioning","Raw Decommissioning","Raw Provisioning"))</x:f>
        <x:v>Raw Provisioning</x:v>
      </x:c>
      <x:c r="Z487" s="170" t="str">
        <x:f>IF(A487="","",IF(OR(C487="executing",C487="processing"),"Yes","No"))</x:f>
        <x:v>No</x:v>
      </x:c>
    </x:row>
    <x:row r="488">
      <x:c r="A488" s="170" t="str">
        <x:f>IF(ROWS($A$5:A488)&lt;=COUNTA('Raw Decommissioning'!$B$2:$B$1000),INDEX('Raw Decommissioning'!$B$2:$B$1000,ROWS($A$5:A488)),IF(ROWS($A$5:A488)-COUNTA('Raw Decommissioning'!$B$2:$B$1000)&lt;=COUNTA('Raw Provisioning'!$B$2:$B$1000),INDEX('Raw Provisioning'!$B$2:$B$1000,ROWS($A$5:A488)-COUNTA('Raw Decommissioning'!$B$2:$B$1000)),""))</x:f>
        <x:v>CSSP10882869</x:v>
      </x:c>
      <x:c r="B488" s="170" t="str">
        <x:f>IF(A488="","",IF(ROWS($A$5:A488)&lt;=COUNTA('Raw Decommissioning'!$B$2:$B$1000),"Decommissioning","Provisioning"))</x:f>
        <x:v>Provisioning</x:v>
      </x:c>
      <x:c r="C488" s="170" t="str">
        <x:f>IF(A488="","",IF(B488="Decommissioning",IFERROR(INDEX('Raw Decommissioning'!$E$2:$E$1000,MATCH(A488,'Raw Decommissioning'!$B$2:$B$1000,0)),"Missing from latest raw"),IFERROR(INDEX('Raw Provisioning'!$E$2:$E$1000,MATCH(A488,'Raw Provisioning'!$B$2:$B$1000,0)),"Missing from latest raw")))</x:f>
        <x:v>completed</x:v>
      </x:c>
      <x:c r="D488" s="171" t="n">
        <x:f>IF(A488="","",'Refresh Control'!$B$4)</x:f>
        <x:v>46254</x:v>
      </x:c>
      <x:c r="E488" s="171" t="n">
        <x:f>IF(A488="","",IF(B488="Decommissioning",INDEX('Raw Decommissioning'!$F$2:$F$1000,ROWS($A$5:A488)),INDEX('Raw Provisioning'!$F$2:$F$1000,ROWS($A$5:A488)-COUNTA('Raw Decommissioning'!$B$2:$B$1000))))</x:f>
        <x:v>46125.19915158565</x:v>
      </x:c>
      <x:c r="F488" s="171" t="n">
        <x:f>IF(A488="","",IF(B488="Decommissioning",INDEX('Raw Decommissioning'!$G$2:$G$1000,ROWS($A$5:A488)),INDEX('Raw Provisioning'!$H$2:$H$1000,ROWS($A$5:A488)-COUNTA('Raw Decommissioning'!$B$2:$B$1000))))</x:f>
        <x:v>46197.109712777776</x:v>
      </x:c>
      <x:c r="G488" s="170" t="str">
        <x:f>IF(A488="","",IF(B488="Decommissioning",INDEX('Raw Decommissioning'!$I$2:$I$1000,ROWS($A$5:A488)),INDEX('Raw Provisioning'!$J$2:$J$1000,ROWS($A$5:A488)-COUNTA('Raw Decommissioning'!$B$2:$B$1000))))</x:f>
        <x:v>Enhancement of Enhanced Resource Monetization by Artificial Intelligence - ERMAI Phase 3 for Malaysia Petroleum Management - MPM</x:v>
      </x:c>
      <x:c r="H488" s="170" t="str">
        <x:f>IF(A488="","",IF(B488="Decommissioning",INDEX('Raw Decommissioning'!$J$2:$J$1000,ROWS($A$5:A488)),INDEX('Raw Provisioning'!$L$2:$L$1000,ROWS($A$5:A488)-COUNTA('Raw Decommissioning'!$B$2:$B$1000))))</x:f>
        <x:v>Enhancement of Enhanced Resource Monetization by Artificial Intelligence (ERMAI) Phase 4</x:v>
      </x:c>
      <x:c r="I488" s="170" t="str">
        <x:f>IF(A488="","",IF(B488="Decommissioning",INDEX('Raw Decommissioning'!$AL$2:$AL$1000,ROWS($A$5:A488)),INDEX('Raw Provisioning'!$R$2:$R$1000,ROWS($A$5:A488)-COUNTA('Raw Decommissioning'!$B$2:$B$1000))))</x:f>
        <x:v>M</x:v>
      </x:c>
      <x:c r="J488" s="170" t="str">
        <x:f>IF(A488="","",IF(B488="Decommissioning",INDEX('Raw Decommissioning'!$AG$2:$AG$1000,ROWS($A$5:A488)),INDEX('Raw Provisioning'!$AI$2:$AI$1000,ROWS($A$5:A488)-COUNTA('Raw Decommissioning'!$B$2:$B$1000))))</x:f>
        <x:v>amin.manshor@petronas.com</x:v>
      </x:c>
      <x:c r="K488" s="172" t="str">
        <x:f>IF(A488="","",IFERROR(LOOKUP(2,1/('Assignment History'!$B$5:$B$204=A488),'Assignment History'!$D$5:$D$204),IFERROR(VLOOKUP(J488,Configuration!$L$5:$M$50,2,FALSE),J488)))</x:f>
        <x:v>amin.manshor@petronas.com</x:v>
      </x:c>
      <x:c r="L488" s="172" t="str">
        <x:f>IF(A488="","",IF(K488=IFERROR(VLOOKUP(J488,Configuration!$L$5:$M$50,2,FALSE),J488),"Snapshot PIC","Replacement PIC"))</x:f>
        <x:v>Snapshot PIC</x:v>
      </x:c>
      <x:c r="M488" s="172" t="n">
        <x:f>IF(A488="","",IFERROR(VLOOKUP(I488,Configuration!$O$5:$P$8,2,FALSE),Configuration!$S$6))</x:f>
        <x:v>2</x:v>
      </x:c>
      <x:c r="N488" s="172" t="str">
        <x:f>IF(A488="","",IFERROR(LOOKUP(2,1/('Scope Review'!$B$5:$B$204=A488),'Scope Review'!$G$5:$G$204),"Not Reviewed"))</x:f>
        <x:v>Not Reviewed</x:v>
      </x:c>
      <x:c r="O488" s="172" t="str">
        <x:f>IF(A488="","",IFERROR(LOOKUP(2,1/('Scope Review'!$B$5:$B$204=A488),'Scope Review'!$H$5:$H$204),""))</x:f>
      </x:c>
      <x:c r="P488" s="172" t="n">
        <x:f>IF(A488="","",IF(AND(C488="executing",N488&lt;&gt;"Confirmed OOS"),M488,0))</x:f>
        <x:v>0</x:v>
      </x:c>
      <x:c r="Q488" s="173" t="str">
        <x:f>IF(A488="","",IFERROR(LOOKUP(2,1/('Engineer Updates'!$B$5:$B$704=A488),'Engineer Updates'!$A$5:$A$704),""))</x:f>
      </x:c>
      <x:c r="R488" s="172" t="str">
        <x:f>IF(A488="","",IFERROR(LOOKUP(2,1/('Engineer Updates'!$B$5:$B$704=A488),'Engineer Updates'!$H$5:$H$704),""))</x:f>
      </x:c>
      <x:c r="S488" s="172" t="str">
        <x:f>IF(A488="","",IFERROR(LOOKUP(2,1/('Engineer Updates'!$B$5:$B$704=A488),'Engineer Updates'!$G$5:$G$704),""))</x:f>
      </x:c>
      <x:c r="T488" s="172" t="str">
        <x:f>IF(A488="","",IFERROR(LOOKUP(2,1/('Engineer Updates'!$B$5:$B$704=A488),'Engineer Updates'!$I$5:$I$704),""))</x:f>
      </x:c>
      <x:c r="U488" s="172" t="str">
        <x:f>IF(A488="","",IFERROR(LOOKUP(2,1/('Engineer Updates'!$B$5:$B$704=A488),'Engineer Updates'!$J$5:$J$704),""))</x:f>
      </x:c>
      <x:c r="V488" s="172" t="str">
        <x:f>IF(A488="","",IFERROR(LOOKUP(2,1/('Engineer Updates'!$B$5:$B$704=A488),'Engineer Updates'!$K$5:$K$704),""))</x:f>
      </x:c>
      <x:c r="W488" s="174" t="str">
        <x:f>IF(A488="","",IFERROR(LOOKUP(2,1/('Engineer Updates'!$B$5:$B$704=A488),'Engineer Updates'!$L$5:$L$704),""))</x:f>
      </x:c>
      <x:c r="X488" s="170" t="str">
        <x:f>IF(A488="","",IF(C488="completed","Completed in CSSP",IF(AND(C488="executing",ISERROR(SEARCH("@",K488))),"Executing without named engineer",IF(AND(N488="Confirmed OOS",C488="executing"),"Confirmed OOS still executing",""))))</x:f>
        <x:v>Completed in CSSP</x:v>
      </x:c>
      <x:c r="Y488" s="170" t="str">
        <x:f>IF(A488="","",IF(B488="Decommissioning","Raw Decommissioning","Raw Provisioning"))</x:f>
        <x:v>Raw Provisioning</x:v>
      </x:c>
      <x:c r="Z488" s="170" t="str">
        <x:f>IF(A488="","",IF(OR(C488="executing",C488="processing"),"Yes","No"))</x:f>
        <x:v>No</x:v>
      </x:c>
    </x:row>
    <x:row r="489">
      <x:c r="A489" s="170" t="str">
        <x:f>IF(ROWS($A$5:A489)&lt;=COUNTA('Raw Decommissioning'!$B$2:$B$1000),INDEX('Raw Decommissioning'!$B$2:$B$1000,ROWS($A$5:A489)),IF(ROWS($A$5:A489)-COUNTA('Raw Decommissioning'!$B$2:$B$1000)&lt;=COUNTA('Raw Provisioning'!$B$2:$B$1000),INDEX('Raw Provisioning'!$B$2:$B$1000,ROWS($A$5:A489)-COUNTA('Raw Decommissioning'!$B$2:$B$1000)),""))</x:f>
        <x:v>CSSP10114358</x:v>
      </x:c>
      <x:c r="B489" s="170" t="str">
        <x:f>IF(A489="","",IF(ROWS($A$5:A489)&lt;=COUNTA('Raw Decommissioning'!$B$2:$B$1000),"Decommissioning","Provisioning"))</x:f>
        <x:v>Provisioning</x:v>
      </x:c>
      <x:c r="C489" s="170" t="str">
        <x:f>IF(A489="","",IF(B489="Decommissioning",IFERROR(INDEX('Raw Decommissioning'!$E$2:$E$1000,MATCH(A489,'Raw Decommissioning'!$B$2:$B$1000,0)),"Missing from latest raw"),IFERROR(INDEX('Raw Provisioning'!$E$2:$E$1000,MATCH(A489,'Raw Provisioning'!$B$2:$B$1000,0)),"Missing from latest raw")))</x:f>
        <x:v>completed</x:v>
      </x:c>
      <x:c r="D489" s="171" t="n">
        <x:f>IF(A489="","",'Refresh Control'!$B$4)</x:f>
        <x:v>46254</x:v>
      </x:c>
      <x:c r="E489" s="171" t="n">
        <x:f>IF(A489="","",IF(B489="Decommissioning",INDEX('Raw Decommissioning'!$F$2:$F$1000,ROWS($A$5:A489)),INDEX('Raw Provisioning'!$F$2:$F$1000,ROWS($A$5:A489)-COUNTA('Raw Decommissioning'!$B$2:$B$1000))))</x:f>
        <x:v>46125.20157803241</x:v>
      </x:c>
      <x:c r="F489" s="171" t="n">
        <x:f>IF(A489="","",IF(B489="Decommissioning",INDEX('Raw Decommissioning'!$G$2:$G$1000,ROWS($A$5:A489)),INDEX('Raw Provisioning'!$H$2:$H$1000,ROWS($A$5:A489)-COUNTA('Raw Decommissioning'!$B$2:$B$1000))))</x:f>
        <x:v>46197.109078877314</x:v>
      </x:c>
      <x:c r="G489" s="170" t="str">
        <x:f>IF(A489="","",IF(B489="Decommissioning",INDEX('Raw Decommissioning'!$I$2:$I$1000,ROWS($A$5:A489)),INDEX('Raw Provisioning'!$J$2:$J$1000,ROWS($A$5:A489)-COUNTA('Raw Decommissioning'!$B$2:$B$1000))))</x:f>
        <x:v>Enhancement of Enhanced Resource Monetization by Artificial Intelligence - ERMAI Phase 3 for Malaysia Petroleum Management - MPM</x:v>
      </x:c>
      <x:c r="H489" s="170" t="str">
        <x:f>IF(A489="","",IF(B489="Decommissioning",INDEX('Raw Decommissioning'!$J$2:$J$1000,ROWS($A$5:A489)),INDEX('Raw Provisioning'!$L$2:$L$1000,ROWS($A$5:A489)-COUNTA('Raw Decommissioning'!$B$2:$B$1000))))</x:f>
        <x:v>Enhancement of Enhanced Resource Monetization by Artificial Intelligence (ERMAI) Phase 4</x:v>
      </x:c>
      <x:c r="I489" s="170" t="str">
        <x:f>IF(A489="","",IF(B489="Decommissioning",INDEX('Raw Decommissioning'!$AL$2:$AL$1000,ROWS($A$5:A489)),INDEX('Raw Provisioning'!$R$2:$R$1000,ROWS($A$5:A489)-COUNTA('Raw Decommissioning'!$B$2:$B$1000))))</x:f>
        <x:v>M</x:v>
      </x:c>
      <x:c r="J489" s="170" t="str">
        <x:f>IF(A489="","",IF(B489="Decommissioning",INDEX('Raw Decommissioning'!$AG$2:$AG$1000,ROWS($A$5:A489)),INDEX('Raw Provisioning'!$AI$2:$AI$1000,ROWS($A$5:A489)-COUNTA('Raw Decommissioning'!$B$2:$B$1000))))</x:f>
        <x:v>amin.manshor@petronas.com</x:v>
      </x:c>
      <x:c r="K489" s="172" t="str">
        <x:f>IF(A489="","",IFERROR(LOOKUP(2,1/('Assignment History'!$B$5:$B$204=A489),'Assignment History'!$D$5:$D$204),IFERROR(VLOOKUP(J489,Configuration!$L$5:$M$50,2,FALSE),J489)))</x:f>
        <x:v>amin.manshor@petronas.com</x:v>
      </x:c>
      <x:c r="L489" s="172" t="str">
        <x:f>IF(A489="","",IF(K489=IFERROR(VLOOKUP(J489,Configuration!$L$5:$M$50,2,FALSE),J489),"Snapshot PIC","Replacement PIC"))</x:f>
        <x:v>Snapshot PIC</x:v>
      </x:c>
      <x:c r="M489" s="172" t="n">
        <x:f>IF(A489="","",IFERROR(VLOOKUP(I489,Configuration!$O$5:$P$8,2,FALSE),Configuration!$S$6))</x:f>
        <x:v>2</x:v>
      </x:c>
      <x:c r="N489" s="172" t="str">
        <x:f>IF(A489="","",IFERROR(LOOKUP(2,1/('Scope Review'!$B$5:$B$204=A489),'Scope Review'!$G$5:$G$204),"Not Reviewed"))</x:f>
        <x:v>Not Reviewed</x:v>
      </x:c>
      <x:c r="O489" s="172" t="str">
        <x:f>IF(A489="","",IFERROR(LOOKUP(2,1/('Scope Review'!$B$5:$B$204=A489),'Scope Review'!$H$5:$H$204),""))</x:f>
      </x:c>
      <x:c r="P489" s="172" t="n">
        <x:f>IF(A489="","",IF(AND(C489="executing",N489&lt;&gt;"Confirmed OOS"),M489,0))</x:f>
        <x:v>0</x:v>
      </x:c>
      <x:c r="Q489" s="173" t="str">
        <x:f>IF(A489="","",IFERROR(LOOKUP(2,1/('Engineer Updates'!$B$5:$B$704=A489),'Engineer Updates'!$A$5:$A$704),""))</x:f>
      </x:c>
      <x:c r="R489" s="172" t="str">
        <x:f>IF(A489="","",IFERROR(LOOKUP(2,1/('Engineer Updates'!$B$5:$B$704=A489),'Engineer Updates'!$H$5:$H$704),""))</x:f>
      </x:c>
      <x:c r="S489" s="172" t="str">
        <x:f>IF(A489="","",IFERROR(LOOKUP(2,1/('Engineer Updates'!$B$5:$B$704=A489),'Engineer Updates'!$G$5:$G$704),""))</x:f>
      </x:c>
      <x:c r="T489" s="172" t="str">
        <x:f>IF(A489="","",IFERROR(LOOKUP(2,1/('Engineer Updates'!$B$5:$B$704=A489),'Engineer Updates'!$I$5:$I$704),""))</x:f>
      </x:c>
      <x:c r="U489" s="172" t="str">
        <x:f>IF(A489="","",IFERROR(LOOKUP(2,1/('Engineer Updates'!$B$5:$B$704=A489),'Engineer Updates'!$J$5:$J$704),""))</x:f>
      </x:c>
      <x:c r="V489" s="172" t="str">
        <x:f>IF(A489="","",IFERROR(LOOKUP(2,1/('Engineer Updates'!$B$5:$B$704=A489),'Engineer Updates'!$K$5:$K$704),""))</x:f>
      </x:c>
      <x:c r="W489" s="174" t="str">
        <x:f>IF(A489="","",IFERROR(LOOKUP(2,1/('Engineer Updates'!$B$5:$B$704=A489),'Engineer Updates'!$L$5:$L$704),""))</x:f>
      </x:c>
      <x:c r="X489" s="170" t="str">
        <x:f>IF(A489="","",IF(C489="completed","Completed in CSSP",IF(AND(C489="executing",ISERROR(SEARCH("@",K489))),"Executing without named engineer",IF(AND(N489="Confirmed OOS",C489="executing"),"Confirmed OOS still executing",""))))</x:f>
        <x:v>Completed in CSSP</x:v>
      </x:c>
      <x:c r="Y489" s="170" t="str">
        <x:f>IF(A489="","",IF(B489="Decommissioning","Raw Decommissioning","Raw Provisioning"))</x:f>
        <x:v>Raw Provisioning</x:v>
      </x:c>
      <x:c r="Z489" s="170" t="str">
        <x:f>IF(A489="","",IF(OR(C489="executing",C489="processing"),"Yes","No"))</x:f>
        <x:v>No</x:v>
      </x:c>
    </x:row>
    <x:row r="490">
      <x:c r="A490" s="170" t="str">
        <x:f>IF(ROWS($A$5:A490)&lt;=COUNTA('Raw Decommissioning'!$B$2:$B$1000),INDEX('Raw Decommissioning'!$B$2:$B$1000,ROWS($A$5:A490)),IF(ROWS($A$5:A490)-COUNTA('Raw Decommissioning'!$B$2:$B$1000)&lt;=COUNTA('Raw Provisioning'!$B$2:$B$1000),INDEX('Raw Provisioning'!$B$2:$B$1000,ROWS($A$5:A490)-COUNTA('Raw Decommissioning'!$B$2:$B$1000)),""))</x:f>
        <x:v>CSSP10357340</x:v>
      </x:c>
      <x:c r="B490" s="170" t="str">
        <x:f>IF(A490="","",IF(ROWS($A$5:A490)&lt;=COUNTA('Raw Decommissioning'!$B$2:$B$1000),"Decommissioning","Provisioning"))</x:f>
        <x:v>Provisioning</x:v>
      </x:c>
      <x:c r="C490" s="170" t="str">
        <x:f>IF(A490="","",IF(B490="Decommissioning",IFERROR(INDEX('Raw Decommissioning'!$E$2:$E$1000,MATCH(A490,'Raw Decommissioning'!$B$2:$B$1000,0)),"Missing from latest raw"),IFERROR(INDEX('Raw Provisioning'!$E$2:$E$1000,MATCH(A490,'Raw Provisioning'!$B$2:$B$1000,0)),"Missing from latest raw")))</x:f>
        <x:v>completed</x:v>
      </x:c>
      <x:c r="D490" s="171" t="n">
        <x:f>IF(A490="","",'Refresh Control'!$B$4)</x:f>
        <x:v>46254</x:v>
      </x:c>
      <x:c r="E490" s="171" t="n">
        <x:f>IF(A490="","",IF(B490="Decommissioning",INDEX('Raw Decommissioning'!$F$2:$F$1000,ROWS($A$5:A490)),INDEX('Raw Provisioning'!$F$2:$F$1000,ROWS($A$5:A490)-COUNTA('Raw Decommissioning'!$B$2:$B$1000))))</x:f>
        <x:v>46125.32927065972</x:v>
      </x:c>
      <x:c r="F490" s="171" t="n">
        <x:f>IF(A490="","",IF(B490="Decommissioning",INDEX('Raw Decommissioning'!$G$2:$G$1000,ROWS($A$5:A490)),INDEX('Raw Provisioning'!$H$2:$H$1000,ROWS($A$5:A490)-COUNTA('Raw Decommissioning'!$B$2:$B$1000))))</x:f>
        <x:v>46128.07968361111</x:v>
      </x:c>
      <x:c r="G490" s="170" t="str">
        <x:f>IF(A490="","",IF(B490="Decommissioning",INDEX('Raw Decommissioning'!$I$2:$I$1000,ROWS($A$5:A490)),INDEX('Raw Provisioning'!$J$2:$J$1000,ROWS($A$5:A490)-COUNTA('Raw Decommissioning'!$B$2:$B$1000))))</x:f>
        <x:v>Business Intelligence Reporting and Analytic - BIRA</x:v>
      </x:c>
      <x:c r="H490" s="170" t="str">
        <x:f>IF(A490="","",IF(B490="Decommissioning",INDEX('Raw Decommissioning'!$J$2:$J$1000,ROWS($A$5:A490)),INDEX('Raw Provisioning'!$L$2:$L$1000,ROWS($A$5:A490)-COUNTA('Raw Decommissioning'!$B$2:$B$1000))))</x:f>
        <x:v>Cloud Migration- BIRA (Business Intelligence Reporting &amp; Analytic)</x:v>
      </x:c>
      <x:c r="I490" s="170" t="str">
        <x:f>IF(A490="","",IF(B490="Decommissioning",INDEX('Raw Decommissioning'!$AL$2:$AL$1000,ROWS($A$5:A490)),INDEX('Raw Provisioning'!$R$2:$R$1000,ROWS($A$5:A490)-COUNTA('Raw Decommissioning'!$B$2:$B$1000))))</x:f>
        <x:v>M</x:v>
      </x:c>
      <x:c r="J490" s="170" t="str">
        <x:f>IF(A490="","",IF(B490="Decommissioning",INDEX('Raw Decommissioning'!$AG$2:$AG$1000,ROWS($A$5:A490)),INDEX('Raw Provisioning'!$AI$2:$AI$1000,ROWS($A$5:A490)-COUNTA('Raw Decommissioning'!$B$2:$B$1000))))</x:f>
        <x:v>badri.shaharudin@petronas.com</x:v>
      </x:c>
      <x:c r="K490" s="172" t="str">
        <x:f>IF(A490="","",IFERROR(LOOKUP(2,1/('Assignment History'!$B$5:$B$204=A490),'Assignment History'!$D$5:$D$204),IFERROR(VLOOKUP(J490,Configuration!$L$5:$M$50,2,FALSE),J490)))</x:f>
        <x:v>badri.shaharudin@petronas.com</x:v>
      </x:c>
      <x:c r="L490" s="172" t="str">
        <x:f>IF(A490="","",IF(K490=IFERROR(VLOOKUP(J490,Configuration!$L$5:$M$50,2,FALSE),J490),"Snapshot PIC","Replacement PIC"))</x:f>
        <x:v>Snapshot PIC</x:v>
      </x:c>
      <x:c r="M490" s="172" t="n">
        <x:f>IF(A490="","",IFERROR(VLOOKUP(I490,Configuration!$O$5:$P$8,2,FALSE),Configuration!$S$6))</x:f>
        <x:v>2</x:v>
      </x:c>
      <x:c r="N490" s="172" t="str">
        <x:f>IF(A490="","",IFERROR(LOOKUP(2,1/('Scope Review'!$B$5:$B$204=A490),'Scope Review'!$G$5:$G$204),"Not Reviewed"))</x:f>
        <x:v>Not Reviewed</x:v>
      </x:c>
      <x:c r="O490" s="172" t="str">
        <x:f>IF(A490="","",IFERROR(LOOKUP(2,1/('Scope Review'!$B$5:$B$204=A490),'Scope Review'!$H$5:$H$204),""))</x:f>
      </x:c>
      <x:c r="P490" s="172" t="n">
        <x:f>IF(A490="","",IF(AND(C490="executing",N490&lt;&gt;"Confirmed OOS"),M490,0))</x:f>
        <x:v>0</x:v>
      </x:c>
      <x:c r="Q490" s="173" t="str">
        <x:f>IF(A490="","",IFERROR(LOOKUP(2,1/('Engineer Updates'!$B$5:$B$704=A490),'Engineer Updates'!$A$5:$A$704),""))</x:f>
      </x:c>
      <x:c r="R490" s="172" t="str">
        <x:f>IF(A490="","",IFERROR(LOOKUP(2,1/('Engineer Updates'!$B$5:$B$704=A490),'Engineer Updates'!$H$5:$H$704),""))</x:f>
      </x:c>
      <x:c r="S490" s="172" t="str">
        <x:f>IF(A490="","",IFERROR(LOOKUP(2,1/('Engineer Updates'!$B$5:$B$704=A490),'Engineer Updates'!$G$5:$G$704),""))</x:f>
      </x:c>
      <x:c r="T490" s="172" t="str">
        <x:f>IF(A490="","",IFERROR(LOOKUP(2,1/('Engineer Updates'!$B$5:$B$704=A490),'Engineer Updates'!$I$5:$I$704),""))</x:f>
      </x:c>
      <x:c r="U490" s="172" t="str">
        <x:f>IF(A490="","",IFERROR(LOOKUP(2,1/('Engineer Updates'!$B$5:$B$704=A490),'Engineer Updates'!$J$5:$J$704),""))</x:f>
      </x:c>
      <x:c r="V490" s="172" t="str">
        <x:f>IF(A490="","",IFERROR(LOOKUP(2,1/('Engineer Updates'!$B$5:$B$704=A490),'Engineer Updates'!$K$5:$K$704),""))</x:f>
      </x:c>
      <x:c r="W490" s="174" t="str">
        <x:f>IF(A490="","",IFERROR(LOOKUP(2,1/('Engineer Updates'!$B$5:$B$704=A490),'Engineer Updates'!$L$5:$L$704),""))</x:f>
      </x:c>
      <x:c r="X490" s="170" t="str">
        <x:f>IF(A490="","",IF(C490="completed","Completed in CSSP",IF(AND(C490="executing",ISERROR(SEARCH("@",K490))),"Executing without named engineer",IF(AND(N490="Confirmed OOS",C490="executing"),"Confirmed OOS still executing",""))))</x:f>
        <x:v>Completed in CSSP</x:v>
      </x:c>
      <x:c r="Y490" s="170" t="str">
        <x:f>IF(A490="","",IF(B490="Decommissioning","Raw Decommissioning","Raw Provisioning"))</x:f>
        <x:v>Raw Provisioning</x:v>
      </x:c>
      <x:c r="Z490" s="170" t="str">
        <x:f>IF(A490="","",IF(OR(C490="executing",C490="processing"),"Yes","No"))</x:f>
        <x:v>No</x:v>
      </x:c>
    </x:row>
    <x:row r="491">
      <x:c r="A491" s="170" t="str">
        <x:f>IF(ROWS($A$5:A491)&lt;=COUNTA('Raw Decommissioning'!$B$2:$B$1000),INDEX('Raw Decommissioning'!$B$2:$B$1000,ROWS($A$5:A491)),IF(ROWS($A$5:A491)-COUNTA('Raw Decommissioning'!$B$2:$B$1000)&lt;=COUNTA('Raw Provisioning'!$B$2:$B$1000),INDEX('Raw Provisioning'!$B$2:$B$1000,ROWS($A$5:A491)-COUNTA('Raw Decommissioning'!$B$2:$B$1000)),""))</x:f>
        <x:v>CSSP10542659</x:v>
      </x:c>
      <x:c r="B491" s="170" t="str">
        <x:f>IF(A491="","",IF(ROWS($A$5:A491)&lt;=COUNTA('Raw Decommissioning'!$B$2:$B$1000),"Decommissioning","Provisioning"))</x:f>
        <x:v>Provisioning</x:v>
      </x:c>
      <x:c r="C491" s="170" t="str">
        <x:f>IF(A491="","",IF(B491="Decommissioning",IFERROR(INDEX('Raw Decommissioning'!$E$2:$E$1000,MATCH(A491,'Raw Decommissioning'!$B$2:$B$1000,0)),"Missing from latest raw"),IFERROR(INDEX('Raw Provisioning'!$E$2:$E$1000,MATCH(A491,'Raw Provisioning'!$B$2:$B$1000,0)),"Missing from latest raw")))</x:f>
        <x:v>completed</x:v>
      </x:c>
      <x:c r="D491" s="171" t="n">
        <x:f>IF(A491="","",'Refresh Control'!$B$4)</x:f>
        <x:v>46254</x:v>
      </x:c>
      <x:c r="E491" s="171" t="n">
        <x:f>IF(A491="","",IF(B491="Decommissioning",INDEX('Raw Decommissioning'!$F$2:$F$1000,ROWS($A$5:A491)),INDEX('Raw Provisioning'!$F$2:$F$1000,ROWS($A$5:A491)-COUNTA('Raw Decommissioning'!$B$2:$B$1000))))</x:f>
        <x:v>46126.30799417824</x:v>
      </x:c>
      <x:c r="F491" s="171" t="n">
        <x:f>IF(A491="","",IF(B491="Decommissioning",INDEX('Raw Decommissioning'!$G$2:$G$1000,ROWS($A$5:A491)),INDEX('Raw Provisioning'!$H$2:$H$1000,ROWS($A$5:A491)-COUNTA('Raw Decommissioning'!$B$2:$B$1000))))</x:f>
        <x:v>46133.48180388889</x:v>
      </x:c>
      <x:c r="G491" s="170" t="str">
        <x:f>IF(A491="","",IF(B491="Decommissioning",INDEX('Raw Decommissioning'!$I$2:$I$1000,ROWS($A$5:A491)),INDEX('Raw Provisioning'!$J$2:$J$1000,ROWS($A$5:A491)-COUNTA('Raw Decommissioning'!$B$2:$B$1000))))</x:f>
        <x:v>COMPASS</x:v>
      </x:c>
      <x:c r="H491" s="170" t="str">
        <x:f>IF(A491="","",IF(B491="Decommissioning",INDEX('Raw Decommissioning'!$J$2:$J$1000,ROWS($A$5:A491)),INDEX('Raw Provisioning'!$L$2:$L$1000,ROWS($A$5:A491)-COUNTA('Raw Decommissioning'!$B$2:$B$1000))))</x:f>
        <x:v>COMPASS Phase 2</x:v>
      </x:c>
      <x:c r="I491" s="170" t="str">
        <x:f>IF(A491="","",IF(B491="Decommissioning",INDEX('Raw Decommissioning'!$AL$2:$AL$1000,ROWS($A$5:A491)),INDEX('Raw Provisioning'!$R$2:$R$1000,ROWS($A$5:A491)-COUNTA('Raw Decommissioning'!$B$2:$B$1000))))</x:f>
        <x:v>M</x:v>
      </x:c>
      <x:c r="J491" s="170" t="str">
        <x:f>IF(A491="","",IF(B491="Decommissioning",INDEX('Raw Decommissioning'!$AG$2:$AG$1000,ROWS($A$5:A491)),INDEX('Raw Provisioning'!$AI$2:$AI$1000,ROWS($A$5:A491)-COUNTA('Raw Decommissioning'!$B$2:$B$1000))))</x:f>
        <x:v>afnanfarhan.dzaharud@petronas.com</x:v>
      </x:c>
      <x:c r="K491" s="172" t="str">
        <x:f>IF(A491="","",IFERROR(LOOKUP(2,1/('Assignment History'!$B$5:$B$204=A491),'Assignment History'!$D$5:$D$204),IFERROR(VLOOKUP(J491,Configuration!$L$5:$M$50,2,FALSE),J491)))</x:f>
        <x:v>afnanfarhan.dzaharud@petronas.com</x:v>
      </x:c>
      <x:c r="L491" s="172" t="str">
        <x:f>IF(A491="","",IF(K491=IFERROR(VLOOKUP(J491,Configuration!$L$5:$M$50,2,FALSE),J491),"Snapshot PIC","Replacement PIC"))</x:f>
        <x:v>Snapshot PIC</x:v>
      </x:c>
      <x:c r="M491" s="172" t="n">
        <x:f>IF(A491="","",IFERROR(VLOOKUP(I491,Configuration!$O$5:$P$8,2,FALSE),Configuration!$S$6))</x:f>
        <x:v>2</x:v>
      </x:c>
      <x:c r="N491" s="172" t="str">
        <x:f>IF(A491="","",IFERROR(LOOKUP(2,1/('Scope Review'!$B$5:$B$204=A491),'Scope Review'!$G$5:$G$204),"Not Reviewed"))</x:f>
        <x:v>Not Reviewed</x:v>
      </x:c>
      <x:c r="O491" s="172" t="str">
        <x:f>IF(A491="","",IFERROR(LOOKUP(2,1/('Scope Review'!$B$5:$B$204=A491),'Scope Review'!$H$5:$H$204),""))</x:f>
      </x:c>
      <x:c r="P491" s="172" t="n">
        <x:f>IF(A491="","",IF(AND(C491="executing",N491&lt;&gt;"Confirmed OOS"),M491,0))</x:f>
        <x:v>0</x:v>
      </x:c>
      <x:c r="Q491" s="173" t="str">
        <x:f>IF(A491="","",IFERROR(LOOKUP(2,1/('Engineer Updates'!$B$5:$B$704=A491),'Engineer Updates'!$A$5:$A$704),""))</x:f>
      </x:c>
      <x:c r="R491" s="172" t="str">
        <x:f>IF(A491="","",IFERROR(LOOKUP(2,1/('Engineer Updates'!$B$5:$B$704=A491),'Engineer Updates'!$H$5:$H$704),""))</x:f>
      </x:c>
      <x:c r="S491" s="172" t="str">
        <x:f>IF(A491="","",IFERROR(LOOKUP(2,1/('Engineer Updates'!$B$5:$B$704=A491),'Engineer Updates'!$G$5:$G$704),""))</x:f>
      </x:c>
      <x:c r="T491" s="172" t="str">
        <x:f>IF(A491="","",IFERROR(LOOKUP(2,1/('Engineer Updates'!$B$5:$B$704=A491),'Engineer Updates'!$I$5:$I$704),""))</x:f>
      </x:c>
      <x:c r="U491" s="172" t="str">
        <x:f>IF(A491="","",IFERROR(LOOKUP(2,1/('Engineer Updates'!$B$5:$B$704=A491),'Engineer Updates'!$J$5:$J$704),""))</x:f>
      </x:c>
      <x:c r="V491" s="172" t="str">
        <x:f>IF(A491="","",IFERROR(LOOKUP(2,1/('Engineer Updates'!$B$5:$B$704=A491),'Engineer Updates'!$K$5:$K$704),""))</x:f>
      </x:c>
      <x:c r="W491" s="174" t="str">
        <x:f>IF(A491="","",IFERROR(LOOKUP(2,1/('Engineer Updates'!$B$5:$B$704=A491),'Engineer Updates'!$L$5:$L$704),""))</x:f>
      </x:c>
      <x:c r="X491" s="170" t="str">
        <x:f>IF(A491="","",IF(C491="completed","Completed in CSSP",IF(AND(C491="executing",ISERROR(SEARCH("@",K491))),"Executing without named engineer",IF(AND(N491="Confirmed OOS",C491="executing"),"Confirmed OOS still executing",""))))</x:f>
        <x:v>Completed in CSSP</x:v>
      </x:c>
      <x:c r="Y491" s="170" t="str">
        <x:f>IF(A491="","",IF(B491="Decommissioning","Raw Decommissioning","Raw Provisioning"))</x:f>
        <x:v>Raw Provisioning</x:v>
      </x:c>
      <x:c r="Z491" s="170" t="str">
        <x:f>IF(A491="","",IF(OR(C491="executing",C491="processing"),"Yes","No"))</x:f>
        <x:v>No</x:v>
      </x:c>
    </x:row>
    <x:row r="492">
      <x:c r="A492" s="170" t="str">
        <x:f>IF(ROWS($A$5:A492)&lt;=COUNTA('Raw Decommissioning'!$B$2:$B$1000),INDEX('Raw Decommissioning'!$B$2:$B$1000,ROWS($A$5:A492)),IF(ROWS($A$5:A492)-COUNTA('Raw Decommissioning'!$B$2:$B$1000)&lt;=COUNTA('Raw Provisioning'!$B$2:$B$1000),INDEX('Raw Provisioning'!$B$2:$B$1000,ROWS($A$5:A492)-COUNTA('Raw Decommissioning'!$B$2:$B$1000)),""))</x:f>
        <x:v>CSSP10399247</x:v>
      </x:c>
      <x:c r="B492" s="170" t="str">
        <x:f>IF(A492="","",IF(ROWS($A$5:A492)&lt;=COUNTA('Raw Decommissioning'!$B$2:$B$1000),"Decommissioning","Provisioning"))</x:f>
        <x:v>Provisioning</x:v>
      </x:c>
      <x:c r="C492" s="170" t="str">
        <x:f>IF(A492="","",IF(B492="Decommissioning",IFERROR(INDEX('Raw Decommissioning'!$E$2:$E$1000,MATCH(A492,'Raw Decommissioning'!$B$2:$B$1000,0)),"Missing from latest raw"),IFERROR(INDEX('Raw Provisioning'!$E$2:$E$1000,MATCH(A492,'Raw Provisioning'!$B$2:$B$1000,0)),"Missing from latest raw")))</x:f>
        <x:v>rejected</x:v>
      </x:c>
      <x:c r="D492" s="171" t="n">
        <x:f>IF(A492="","",'Refresh Control'!$B$4)</x:f>
        <x:v>46254</x:v>
      </x:c>
      <x:c r="E492" s="171" t="n">
        <x:f>IF(A492="","",IF(B492="Decommissioning",INDEX('Raw Decommissioning'!$F$2:$F$1000,ROWS($A$5:A492)),INDEX('Raw Provisioning'!$F$2:$F$1000,ROWS($A$5:A492)-COUNTA('Raw Decommissioning'!$B$2:$B$1000))))</x:f>
        <x:v>46127.109772222226</x:v>
      </x:c>
      <x:c r="F492" s="171" t="n">
        <x:f>IF(A492="","",IF(B492="Decommissioning",INDEX('Raw Decommissioning'!$G$2:$G$1000,ROWS($A$5:A492)),INDEX('Raw Provisioning'!$H$2:$H$1000,ROWS($A$5:A492)-COUNTA('Raw Decommissioning'!$B$2:$B$1000))))</x:f>
        <x:v>46133.16098832176</x:v>
      </x:c>
      <x:c r="G492" s="170" t="str">
        <x:f>IF(A492="","",IF(B492="Decommissioning",INDEX('Raw Decommissioning'!$I$2:$I$1000,ROWS($A$5:A492)),INDEX('Raw Provisioning'!$J$2:$J$1000,ROWS($A$5:A492)-COUNTA('Raw Decommissioning'!$B$2:$B$1000))))</x:f>
        <x:v>Subsurface Sand Management and Rock Mechanics - SMRM</x:v>
      </x:c>
      <x:c r="H492" s="170" t="str">
        <x:f>IF(A492="","",IF(B492="Decommissioning",INDEX('Raw Decommissioning'!$J$2:$J$1000,ROWS($A$5:A492)),INDEX('Raw Provisioning'!$L$2:$L$1000,ROWS($A$5:A492)-COUNTA('Raw Decommissioning'!$B$2:$B$1000))))</x:f>
        <x:v>Intelligent Sand Management System (iSAND) Enhancement for Malaysia Petroleum Management (MPM)</x:v>
      </x:c>
      <x:c r="I492" s="170" t="str">
        <x:f>IF(A492="","",IF(B492="Decommissioning",INDEX('Raw Decommissioning'!$AL$2:$AL$1000,ROWS($A$5:A492)),INDEX('Raw Provisioning'!$R$2:$R$1000,ROWS($A$5:A492)-COUNTA('Raw Decommissioning'!$B$2:$B$1000))))</x:f>
      </x:c>
      <x:c r="J492" s="170" t="str">
        <x:f>IF(A492="","",IF(B492="Decommissioning",INDEX('Raw Decommissioning'!$AG$2:$AG$1000,ROWS($A$5:A492)),INDEX('Raw Provisioning'!$AI$2:$AI$1000,ROWS($A$5:A492)-COUNTA('Raw Decommissioning'!$B$2:$B$1000))))</x:f>
        <x:v>CCoE Core Services (Public)</x:v>
      </x:c>
      <x:c r="K492" s="172" t="str">
        <x:f>IF(A492="","",IFERROR(LOOKUP(2,1/('Assignment History'!$B$5:$B$204=A492),'Assignment History'!$D$5:$D$204),IFERROR(VLOOKUP(J492,Configuration!$L$5:$M$50,2,FALSE),J492)))</x:f>
        <x:v>CCoE Core Services (Public)</x:v>
      </x:c>
      <x:c r="L492" s="172" t="str">
        <x:f>IF(A492="","",IF(K492=IFERROR(VLOOKUP(J492,Configuration!$L$5:$M$50,2,FALSE),J492),"Snapshot PIC","Replacement PIC"))</x:f>
        <x:v>Snapshot PIC</x:v>
      </x:c>
      <x:c r="M492" s="172" t="n">
        <x:f>IF(A492="","",IFERROR(VLOOKUP(I492,Configuration!$O$5:$P$8,2,FALSE),Configuration!$S$6))</x:f>
        <x:v>2</x:v>
      </x:c>
      <x:c r="N492" s="172" t="str">
        <x:f>IF(A492="","",IFERROR(LOOKUP(2,1/('Scope Review'!$B$5:$B$204=A492),'Scope Review'!$G$5:$G$204),"Not Reviewed"))</x:f>
        <x:v>Not Reviewed</x:v>
      </x:c>
      <x:c r="O492" s="172" t="str">
        <x:f>IF(A492="","",IFERROR(LOOKUP(2,1/('Scope Review'!$B$5:$B$204=A492),'Scope Review'!$H$5:$H$204),""))</x:f>
      </x:c>
      <x:c r="P492" s="172" t="n">
        <x:f>IF(A492="","",IF(AND(C492="executing",N492&lt;&gt;"Confirmed OOS"),M492,0))</x:f>
        <x:v>0</x:v>
      </x:c>
      <x:c r="Q492" s="173" t="str">
        <x:f>IF(A492="","",IFERROR(LOOKUP(2,1/('Engineer Updates'!$B$5:$B$704=A492),'Engineer Updates'!$A$5:$A$704),""))</x:f>
      </x:c>
      <x:c r="R492" s="172" t="str">
        <x:f>IF(A492="","",IFERROR(LOOKUP(2,1/('Engineer Updates'!$B$5:$B$704=A492),'Engineer Updates'!$H$5:$H$704),""))</x:f>
      </x:c>
      <x:c r="S492" s="172" t="str">
        <x:f>IF(A492="","",IFERROR(LOOKUP(2,1/('Engineer Updates'!$B$5:$B$704=A492),'Engineer Updates'!$G$5:$G$704),""))</x:f>
      </x:c>
      <x:c r="T492" s="172" t="str">
        <x:f>IF(A492="","",IFERROR(LOOKUP(2,1/('Engineer Updates'!$B$5:$B$704=A492),'Engineer Updates'!$I$5:$I$704),""))</x:f>
      </x:c>
      <x:c r="U492" s="172" t="str">
        <x:f>IF(A492="","",IFERROR(LOOKUP(2,1/('Engineer Updates'!$B$5:$B$704=A492),'Engineer Updates'!$J$5:$J$704),""))</x:f>
      </x:c>
      <x:c r="V492" s="172" t="str">
        <x:f>IF(A492="","",IFERROR(LOOKUP(2,1/('Engineer Updates'!$B$5:$B$704=A492),'Engineer Updates'!$K$5:$K$704),""))</x:f>
      </x:c>
      <x:c r="W492" s="174" t="str">
        <x:f>IF(A492="","",IFERROR(LOOKUP(2,1/('Engineer Updates'!$B$5:$B$704=A492),'Engineer Updates'!$L$5:$L$704),""))</x:f>
      </x:c>
      <x:c r="X492" s="170" t="str">
        <x:f>IF(A492="","",IF(C492="completed","Completed in CSSP",IF(AND(C492="executing",ISERROR(SEARCH("@",K492))),"Executing without named engineer",IF(AND(N492="Confirmed OOS",C492="executing"),"Confirmed OOS still executing",""))))</x:f>
      </x:c>
      <x:c r="Y492" s="170" t="str">
        <x:f>IF(A492="","",IF(B492="Decommissioning","Raw Decommissioning","Raw Provisioning"))</x:f>
        <x:v>Raw Provisioning</x:v>
      </x:c>
      <x:c r="Z492" s="170" t="str">
        <x:f>IF(A492="","",IF(OR(C492="executing",C492="processing"),"Yes","No"))</x:f>
        <x:v>No</x:v>
      </x:c>
    </x:row>
    <x:row r="493">
      <x:c r="A493" s="170" t="str">
        <x:f>IF(ROWS($A$5:A493)&lt;=COUNTA('Raw Decommissioning'!$B$2:$B$1000),INDEX('Raw Decommissioning'!$B$2:$B$1000,ROWS($A$5:A493)),IF(ROWS($A$5:A493)-COUNTA('Raw Decommissioning'!$B$2:$B$1000)&lt;=COUNTA('Raw Provisioning'!$B$2:$B$1000),INDEX('Raw Provisioning'!$B$2:$B$1000,ROWS($A$5:A493)-COUNTA('Raw Decommissioning'!$B$2:$B$1000)),""))</x:f>
        <x:v>CSSP10486910</x:v>
      </x:c>
      <x:c r="B493" s="170" t="str">
        <x:f>IF(A493="","",IF(ROWS($A$5:A493)&lt;=COUNTA('Raw Decommissioning'!$B$2:$B$1000),"Decommissioning","Provisioning"))</x:f>
        <x:v>Provisioning</x:v>
      </x:c>
      <x:c r="C493" s="170" t="str">
        <x:f>IF(A493="","",IF(B493="Decommissioning",IFERROR(INDEX('Raw Decommissioning'!$E$2:$E$1000,MATCH(A493,'Raw Decommissioning'!$B$2:$B$1000,0)),"Missing from latest raw"),IFERROR(INDEX('Raw Provisioning'!$E$2:$E$1000,MATCH(A493,'Raw Provisioning'!$B$2:$B$1000,0)),"Missing from latest raw")))</x:f>
        <x:v>rejected</x:v>
      </x:c>
      <x:c r="D493" s="171" t="n">
        <x:f>IF(A493="","",'Refresh Control'!$B$4)</x:f>
        <x:v>46254</x:v>
      </x:c>
      <x:c r="E493" s="171" t="n">
        <x:f>IF(A493="","",IF(B493="Decommissioning",INDEX('Raw Decommissioning'!$F$2:$F$1000,ROWS($A$5:A493)),INDEX('Raw Provisioning'!$F$2:$F$1000,ROWS($A$5:A493)-COUNTA('Raw Decommissioning'!$B$2:$B$1000))))</x:f>
        <x:v>46127.32310712963</x:v>
      </x:c>
      <x:c r="F493" s="171" t="n">
        <x:f>IF(A493="","",IF(B493="Decommissioning",INDEX('Raw Decommissioning'!$G$2:$G$1000,ROWS($A$5:A493)),INDEX('Raw Provisioning'!$H$2:$H$1000,ROWS($A$5:A493)-COUNTA('Raw Decommissioning'!$B$2:$B$1000))))</x:f>
        <x:v>46176.04978674769</x:v>
      </x:c>
      <x:c r="G493" s="170" t="str">
        <x:f>IF(A493="","",IF(B493="Decommissioning",INDEX('Raw Decommissioning'!$I$2:$I$1000,ROWS($A$5:A493)),INDEX('Raw Provisioning'!$J$2:$J$1000,ROWS($A$5:A493)-COUNTA('Raw Decommissioning'!$B$2:$B$1000))))</x:f>
        <x:v>Cloud Self Service Portal - CSSP</x:v>
      </x:c>
      <x:c r="H493" s="170" t="str">
        <x:f>IF(A493="","",IF(B493="Decommissioning",INDEX('Raw Decommissioning'!$J$2:$J$1000,ROWS($A$5:A493)),INDEX('Raw Provisioning'!$L$2:$L$1000,ROWS($A$5:A493)-COUNTA('Raw Decommissioning'!$B$2:$B$1000))))</x:f>
        <x:v>CloudSSP</x:v>
      </x:c>
      <x:c r="I493" s="170" t="str">
        <x:f>IF(A493="","",IF(B493="Decommissioning",INDEX('Raw Decommissioning'!$AL$2:$AL$1000,ROWS($A$5:A493)),INDEX('Raw Provisioning'!$R$2:$R$1000,ROWS($A$5:A493)-COUNTA('Raw Decommissioning'!$B$2:$B$1000))))</x:f>
      </x:c>
      <x:c r="J493" s="170" t="str">
        <x:f>IF(A493="","",IF(B493="Decommissioning",INDEX('Raw Decommissioning'!$AG$2:$AG$1000,ROWS($A$5:A493)),INDEX('Raw Provisioning'!$AI$2:$AI$1000,ROWS($A$5:A493)-COUNTA('Raw Decommissioning'!$B$2:$B$1000))))</x:f>
        <x:v>CCoE Core Services (Public)</x:v>
      </x:c>
      <x:c r="K493" s="172" t="str">
        <x:f>IF(A493="","",IFERROR(LOOKUP(2,1/('Assignment History'!$B$5:$B$204=A493),'Assignment History'!$D$5:$D$204),IFERROR(VLOOKUP(J493,Configuration!$L$5:$M$50,2,FALSE),J493)))</x:f>
        <x:v>CCoE Core Services (Public)</x:v>
      </x:c>
      <x:c r="L493" s="172" t="str">
        <x:f>IF(A493="","",IF(K493=IFERROR(VLOOKUP(J493,Configuration!$L$5:$M$50,2,FALSE),J493),"Snapshot PIC","Replacement PIC"))</x:f>
        <x:v>Snapshot PIC</x:v>
      </x:c>
      <x:c r="M493" s="172" t="n">
        <x:f>IF(A493="","",IFERROR(VLOOKUP(I493,Configuration!$O$5:$P$8,2,FALSE),Configuration!$S$6))</x:f>
        <x:v>2</x:v>
      </x:c>
      <x:c r="N493" s="172" t="str">
        <x:f>IF(A493="","",IFERROR(LOOKUP(2,1/('Scope Review'!$B$5:$B$204=A493),'Scope Review'!$G$5:$G$204),"Not Reviewed"))</x:f>
        <x:v>Not Reviewed</x:v>
      </x:c>
      <x:c r="O493" s="172" t="str">
        <x:f>IF(A493="","",IFERROR(LOOKUP(2,1/('Scope Review'!$B$5:$B$204=A493),'Scope Review'!$H$5:$H$204),""))</x:f>
      </x:c>
      <x:c r="P493" s="172" t="n">
        <x:f>IF(A493="","",IF(AND(C493="executing",N493&lt;&gt;"Confirmed OOS"),M493,0))</x:f>
        <x:v>0</x:v>
      </x:c>
      <x:c r="Q493" s="173" t="str">
        <x:f>IF(A493="","",IFERROR(LOOKUP(2,1/('Engineer Updates'!$B$5:$B$704=A493),'Engineer Updates'!$A$5:$A$704),""))</x:f>
      </x:c>
      <x:c r="R493" s="172" t="str">
        <x:f>IF(A493="","",IFERROR(LOOKUP(2,1/('Engineer Updates'!$B$5:$B$704=A493),'Engineer Updates'!$H$5:$H$704),""))</x:f>
      </x:c>
      <x:c r="S493" s="172" t="str">
        <x:f>IF(A493="","",IFERROR(LOOKUP(2,1/('Engineer Updates'!$B$5:$B$704=A493),'Engineer Updates'!$G$5:$G$704),""))</x:f>
      </x:c>
      <x:c r="T493" s="172" t="str">
        <x:f>IF(A493="","",IFERROR(LOOKUP(2,1/('Engineer Updates'!$B$5:$B$704=A493),'Engineer Updates'!$I$5:$I$704),""))</x:f>
      </x:c>
      <x:c r="U493" s="172" t="str">
        <x:f>IF(A493="","",IFERROR(LOOKUP(2,1/('Engineer Updates'!$B$5:$B$704=A493),'Engineer Updates'!$J$5:$J$704),""))</x:f>
      </x:c>
      <x:c r="V493" s="172" t="str">
        <x:f>IF(A493="","",IFERROR(LOOKUP(2,1/('Engineer Updates'!$B$5:$B$704=A493),'Engineer Updates'!$K$5:$K$704),""))</x:f>
      </x:c>
      <x:c r="W493" s="174" t="str">
        <x:f>IF(A493="","",IFERROR(LOOKUP(2,1/('Engineer Updates'!$B$5:$B$704=A493),'Engineer Updates'!$L$5:$L$704),""))</x:f>
      </x:c>
      <x:c r="X493" s="170" t="str">
        <x:f>IF(A493="","",IF(C493="completed","Completed in CSSP",IF(AND(C493="executing",ISERROR(SEARCH("@",K493))),"Executing without named engineer",IF(AND(N493="Confirmed OOS",C493="executing"),"Confirmed OOS still executing",""))))</x:f>
      </x:c>
      <x:c r="Y493" s="170" t="str">
        <x:f>IF(A493="","",IF(B493="Decommissioning","Raw Decommissioning","Raw Provisioning"))</x:f>
        <x:v>Raw Provisioning</x:v>
      </x:c>
      <x:c r="Z493" s="170" t="str">
        <x:f>IF(A493="","",IF(OR(C493="executing",C493="processing"),"Yes","No"))</x:f>
        <x:v>No</x:v>
      </x:c>
    </x:row>
    <x:row r="494">
      <x:c r="A494" s="170" t="str">
        <x:f>IF(ROWS($A$5:A494)&lt;=COUNTA('Raw Decommissioning'!$B$2:$B$1000),INDEX('Raw Decommissioning'!$B$2:$B$1000,ROWS($A$5:A494)),IF(ROWS($A$5:A494)-COUNTA('Raw Decommissioning'!$B$2:$B$1000)&lt;=COUNTA('Raw Provisioning'!$B$2:$B$1000),INDEX('Raw Provisioning'!$B$2:$B$1000,ROWS($A$5:A494)-COUNTA('Raw Decommissioning'!$B$2:$B$1000)),""))</x:f>
        <x:v>CSSP10502441</x:v>
      </x:c>
      <x:c r="B494" s="170" t="str">
        <x:f>IF(A494="","",IF(ROWS($A$5:A494)&lt;=COUNTA('Raw Decommissioning'!$B$2:$B$1000),"Decommissioning","Provisioning"))</x:f>
        <x:v>Provisioning</x:v>
      </x:c>
      <x:c r="C494" s="170" t="str">
        <x:f>IF(A494="","",IF(B494="Decommissioning",IFERROR(INDEX('Raw Decommissioning'!$E$2:$E$1000,MATCH(A494,'Raw Decommissioning'!$B$2:$B$1000,0)),"Missing from latest raw"),IFERROR(INDEX('Raw Provisioning'!$E$2:$E$1000,MATCH(A494,'Raw Provisioning'!$B$2:$B$1000,0)),"Missing from latest raw")))</x:f>
        <x:v>completed</x:v>
      </x:c>
      <x:c r="D494" s="171" t="n">
        <x:f>IF(A494="","",'Refresh Control'!$B$4)</x:f>
        <x:v>46254</x:v>
      </x:c>
      <x:c r="E494" s="171" t="n">
        <x:f>IF(A494="","",IF(B494="Decommissioning",INDEX('Raw Decommissioning'!$F$2:$F$1000,ROWS($A$5:A494)),INDEX('Raw Provisioning'!$F$2:$F$1000,ROWS($A$5:A494)-COUNTA('Raw Decommissioning'!$B$2:$B$1000))))</x:f>
        <x:v>46127.57784291667</x:v>
      </x:c>
      <x:c r="F494" s="171" t="n">
        <x:f>IF(A494="","",IF(B494="Decommissioning",INDEX('Raw Decommissioning'!$G$2:$G$1000,ROWS($A$5:A494)),INDEX('Raw Provisioning'!$H$2:$H$1000,ROWS($A$5:A494)-COUNTA('Raw Decommissioning'!$B$2:$B$1000))))</x:f>
        <x:v>46141.11018185185</x:v>
      </x:c>
      <x:c r="G494" s="170" t="str">
        <x:f>IF(A494="","",IF(B494="Decommissioning",INDEX('Raw Decommissioning'!$I$2:$I$1000,ROWS($A$5:A494)),INDEX('Raw Provisioning'!$J$2:$J$1000,ROWS($A$5:A494)-COUNTA('Raw Decommissioning'!$B$2:$B$1000))))</x:f>
        <x:v>Augmented Gas Nomination Ecosystem - AGNES</x:v>
      </x:c>
      <x:c r="H494" s="170" t="str">
        <x:f>IF(A494="","",IF(B494="Decommissioning",INDEX('Raw Decommissioning'!$J$2:$J$1000,ROWS($A$5:A494)),INDEX('Raw Provisioning'!$L$2:$L$1000,ROWS($A$5:A494)-COUNTA('Raw Decommissioning'!$B$2:$B$1000))))</x:f>
        <x:v>Procurement for Deployment of Augmented Gas Nomination Ecosystem (AGNES) at PMA</x:v>
      </x:c>
      <x:c r="I494" s="170" t="str">
        <x:f>IF(A494="","",IF(B494="Decommissioning",INDEX('Raw Decommissioning'!$AL$2:$AL$1000,ROWS($A$5:A494)),INDEX('Raw Provisioning'!$R$2:$R$1000,ROWS($A$5:A494)-COUNTA('Raw Decommissioning'!$B$2:$B$1000))))</x:f>
        <x:v>M</x:v>
      </x:c>
      <x:c r="J494" s="170" t="str">
        <x:f>IF(A494="","",IF(B494="Decommissioning",INDEX('Raw Decommissioning'!$AG$2:$AG$1000,ROWS($A$5:A494)),INDEX('Raw Provisioning'!$AI$2:$AI$1000,ROWS($A$5:A494)-COUNTA('Raw Decommissioning'!$B$2:$B$1000))))</x:f>
        <x:v>yeonghunn.ho@petronas.com</x:v>
      </x:c>
      <x:c r="K494" s="172" t="str">
        <x:f>IF(A494="","",IFERROR(LOOKUP(2,1/('Assignment History'!$B$5:$B$204=A494),'Assignment History'!$D$5:$D$204),IFERROR(VLOOKUP(J494,Configuration!$L$5:$M$50,2,FALSE),J494)))</x:f>
        <x:v>yeonghunn.ho@petronas.com</x:v>
      </x:c>
      <x:c r="L494" s="172" t="str">
        <x:f>IF(A494="","",IF(K494=IFERROR(VLOOKUP(J494,Configuration!$L$5:$M$50,2,FALSE),J494),"Snapshot PIC","Replacement PIC"))</x:f>
        <x:v>Snapshot PIC</x:v>
      </x:c>
      <x:c r="M494" s="172" t="n">
        <x:f>IF(A494="","",IFERROR(VLOOKUP(I494,Configuration!$O$5:$P$8,2,FALSE),Configuration!$S$6))</x:f>
        <x:v>2</x:v>
      </x:c>
      <x:c r="N494" s="172" t="str">
        <x:f>IF(A494="","",IFERROR(LOOKUP(2,1/('Scope Review'!$B$5:$B$204=A494),'Scope Review'!$G$5:$G$204),"Not Reviewed"))</x:f>
        <x:v>Not Reviewed</x:v>
      </x:c>
      <x:c r="O494" s="172" t="str">
        <x:f>IF(A494="","",IFERROR(LOOKUP(2,1/('Scope Review'!$B$5:$B$204=A494),'Scope Review'!$H$5:$H$204),""))</x:f>
      </x:c>
      <x:c r="P494" s="172" t="n">
        <x:f>IF(A494="","",IF(AND(C494="executing",N494&lt;&gt;"Confirmed OOS"),M494,0))</x:f>
        <x:v>0</x:v>
      </x:c>
      <x:c r="Q494" s="173" t="str">
        <x:f>IF(A494="","",IFERROR(LOOKUP(2,1/('Engineer Updates'!$B$5:$B$704=A494),'Engineer Updates'!$A$5:$A$704),""))</x:f>
      </x:c>
      <x:c r="R494" s="172" t="str">
        <x:f>IF(A494="","",IFERROR(LOOKUP(2,1/('Engineer Updates'!$B$5:$B$704=A494),'Engineer Updates'!$H$5:$H$704),""))</x:f>
      </x:c>
      <x:c r="S494" s="172" t="str">
        <x:f>IF(A494="","",IFERROR(LOOKUP(2,1/('Engineer Updates'!$B$5:$B$704=A494),'Engineer Updates'!$G$5:$G$704),""))</x:f>
      </x:c>
      <x:c r="T494" s="172" t="str">
        <x:f>IF(A494="","",IFERROR(LOOKUP(2,1/('Engineer Updates'!$B$5:$B$704=A494),'Engineer Updates'!$I$5:$I$704),""))</x:f>
      </x:c>
      <x:c r="U494" s="172" t="str">
        <x:f>IF(A494="","",IFERROR(LOOKUP(2,1/('Engineer Updates'!$B$5:$B$704=A494),'Engineer Updates'!$J$5:$J$704),""))</x:f>
      </x:c>
      <x:c r="V494" s="172" t="str">
        <x:f>IF(A494="","",IFERROR(LOOKUP(2,1/('Engineer Updates'!$B$5:$B$704=A494),'Engineer Updates'!$K$5:$K$704),""))</x:f>
      </x:c>
      <x:c r="W494" s="174" t="str">
        <x:f>IF(A494="","",IFERROR(LOOKUP(2,1/('Engineer Updates'!$B$5:$B$704=A494),'Engineer Updates'!$L$5:$L$704),""))</x:f>
      </x:c>
      <x:c r="X494" s="170" t="str">
        <x:f>IF(A494="","",IF(C494="completed","Completed in CSSP",IF(AND(C494="executing",ISERROR(SEARCH("@",K494))),"Executing without named engineer",IF(AND(N494="Confirmed OOS",C494="executing"),"Confirmed OOS still executing",""))))</x:f>
        <x:v>Completed in CSSP</x:v>
      </x:c>
      <x:c r="Y494" s="170" t="str">
        <x:f>IF(A494="","",IF(B494="Decommissioning","Raw Decommissioning","Raw Provisioning"))</x:f>
        <x:v>Raw Provisioning</x:v>
      </x:c>
      <x:c r="Z494" s="170" t="str">
        <x:f>IF(A494="","",IF(OR(C494="executing",C494="processing"),"Yes","No"))</x:f>
        <x:v>No</x:v>
      </x:c>
    </x:row>
    <x:row r="495">
      <x:c r="A495" s="170" t="str">
        <x:f>IF(ROWS($A$5:A495)&lt;=COUNTA('Raw Decommissioning'!$B$2:$B$1000),INDEX('Raw Decommissioning'!$B$2:$B$1000,ROWS($A$5:A495)),IF(ROWS($A$5:A495)-COUNTA('Raw Decommissioning'!$B$2:$B$1000)&lt;=COUNTA('Raw Provisioning'!$B$2:$B$1000),INDEX('Raw Provisioning'!$B$2:$B$1000,ROWS($A$5:A495)-COUNTA('Raw Decommissioning'!$B$2:$B$1000)),""))</x:f>
        <x:v>CSSP10814403</x:v>
      </x:c>
      <x:c r="B495" s="170" t="str">
        <x:f>IF(A495="","",IF(ROWS($A$5:A495)&lt;=COUNTA('Raw Decommissioning'!$B$2:$B$1000),"Decommissioning","Provisioning"))</x:f>
        <x:v>Provisioning</x:v>
      </x:c>
      <x:c r="C495" s="170" t="str">
        <x:f>IF(A495="","",IF(B495="Decommissioning",IFERROR(INDEX('Raw Decommissioning'!$E$2:$E$1000,MATCH(A495,'Raw Decommissioning'!$B$2:$B$1000,0)),"Missing from latest raw"),IFERROR(INDEX('Raw Provisioning'!$E$2:$E$1000,MATCH(A495,'Raw Provisioning'!$B$2:$B$1000,0)),"Missing from latest raw")))</x:f>
        <x:v>completed</x:v>
      </x:c>
      <x:c r="D495" s="171" t="n">
        <x:f>IF(A495="","",'Refresh Control'!$B$4)</x:f>
        <x:v>46254</x:v>
      </x:c>
      <x:c r="E495" s="171" t="n">
        <x:f>IF(A495="","",IF(B495="Decommissioning",INDEX('Raw Decommissioning'!$F$2:$F$1000,ROWS($A$5:A495)),INDEX('Raw Provisioning'!$F$2:$F$1000,ROWS($A$5:A495)-COUNTA('Raw Decommissioning'!$B$2:$B$1000))))</x:f>
        <x:v>46127.580483530095</x:v>
      </x:c>
      <x:c r="F495" s="171" t="n">
        <x:f>IF(A495="","",IF(B495="Decommissioning",INDEX('Raw Decommissioning'!$G$2:$G$1000,ROWS($A$5:A495)),INDEX('Raw Provisioning'!$H$2:$H$1000,ROWS($A$5:A495)-COUNTA('Raw Decommissioning'!$B$2:$B$1000))))</x:f>
        <x:v>46141.11061059028</x:v>
      </x:c>
      <x:c r="G495" s="170" t="str">
        <x:f>IF(A495="","",IF(B495="Decommissioning",INDEX('Raw Decommissioning'!$I$2:$I$1000,ROWS($A$5:A495)),INDEX('Raw Provisioning'!$J$2:$J$1000,ROWS($A$5:A495)-COUNTA('Raw Decommissioning'!$B$2:$B$1000))))</x:f>
        <x:v>Augmented Gas Nomination Ecosystem - AGNES</x:v>
      </x:c>
      <x:c r="H495" s="170" t="str">
        <x:f>IF(A495="","",IF(B495="Decommissioning",INDEX('Raw Decommissioning'!$J$2:$J$1000,ROWS($A$5:A495)),INDEX('Raw Provisioning'!$L$2:$L$1000,ROWS($A$5:A495)-COUNTA('Raw Decommissioning'!$B$2:$B$1000))))</x:f>
        <x:v>Procurement for Deployment of Augmented Gas Nomination Ecosystem (AGNES) at PMA</x:v>
      </x:c>
      <x:c r="I495" s="170" t="str">
        <x:f>IF(A495="","",IF(B495="Decommissioning",INDEX('Raw Decommissioning'!$AL$2:$AL$1000,ROWS($A$5:A495)),INDEX('Raw Provisioning'!$R$2:$R$1000,ROWS($A$5:A495)-COUNTA('Raw Decommissioning'!$B$2:$B$1000))))</x:f>
        <x:v>M</x:v>
      </x:c>
      <x:c r="J495" s="170" t="str">
        <x:f>IF(A495="","",IF(B495="Decommissioning",INDEX('Raw Decommissioning'!$AG$2:$AG$1000,ROWS($A$5:A495)),INDEX('Raw Provisioning'!$AI$2:$AI$1000,ROWS($A$5:A495)-COUNTA('Raw Decommissioning'!$B$2:$B$1000))))</x:f>
        <x:v>yeonghunn.ho@petronas.com</x:v>
      </x:c>
      <x:c r="K495" s="172" t="str">
        <x:f>IF(A495="","",IFERROR(LOOKUP(2,1/('Assignment History'!$B$5:$B$204=A495),'Assignment History'!$D$5:$D$204),IFERROR(VLOOKUP(J495,Configuration!$L$5:$M$50,2,FALSE),J495)))</x:f>
        <x:v>yeonghunn.ho@petronas.com</x:v>
      </x:c>
      <x:c r="L495" s="172" t="str">
        <x:f>IF(A495="","",IF(K495=IFERROR(VLOOKUP(J495,Configuration!$L$5:$M$50,2,FALSE),J495),"Snapshot PIC","Replacement PIC"))</x:f>
        <x:v>Snapshot PIC</x:v>
      </x:c>
      <x:c r="M495" s="172" t="n">
        <x:f>IF(A495="","",IFERROR(VLOOKUP(I495,Configuration!$O$5:$P$8,2,FALSE),Configuration!$S$6))</x:f>
        <x:v>2</x:v>
      </x:c>
      <x:c r="N495" s="172" t="str">
        <x:f>IF(A495="","",IFERROR(LOOKUP(2,1/('Scope Review'!$B$5:$B$204=A495),'Scope Review'!$G$5:$G$204),"Not Reviewed"))</x:f>
        <x:v>Not Reviewed</x:v>
      </x:c>
      <x:c r="O495" s="172" t="str">
        <x:f>IF(A495="","",IFERROR(LOOKUP(2,1/('Scope Review'!$B$5:$B$204=A495),'Scope Review'!$H$5:$H$204),""))</x:f>
      </x:c>
      <x:c r="P495" s="172" t="n">
        <x:f>IF(A495="","",IF(AND(C495="executing",N495&lt;&gt;"Confirmed OOS"),M495,0))</x:f>
        <x:v>0</x:v>
      </x:c>
      <x:c r="Q495" s="173" t="str">
        <x:f>IF(A495="","",IFERROR(LOOKUP(2,1/('Engineer Updates'!$B$5:$B$704=A495),'Engineer Updates'!$A$5:$A$704),""))</x:f>
      </x:c>
      <x:c r="R495" s="172" t="str">
        <x:f>IF(A495="","",IFERROR(LOOKUP(2,1/('Engineer Updates'!$B$5:$B$704=A495),'Engineer Updates'!$H$5:$H$704),""))</x:f>
      </x:c>
      <x:c r="S495" s="172" t="str">
        <x:f>IF(A495="","",IFERROR(LOOKUP(2,1/('Engineer Updates'!$B$5:$B$704=A495),'Engineer Updates'!$G$5:$G$704),""))</x:f>
      </x:c>
      <x:c r="T495" s="172" t="str">
        <x:f>IF(A495="","",IFERROR(LOOKUP(2,1/('Engineer Updates'!$B$5:$B$704=A495),'Engineer Updates'!$I$5:$I$704),""))</x:f>
      </x:c>
      <x:c r="U495" s="172" t="str">
        <x:f>IF(A495="","",IFERROR(LOOKUP(2,1/('Engineer Updates'!$B$5:$B$704=A495),'Engineer Updates'!$J$5:$J$704),""))</x:f>
      </x:c>
      <x:c r="V495" s="172" t="str">
        <x:f>IF(A495="","",IFERROR(LOOKUP(2,1/('Engineer Updates'!$B$5:$B$704=A495),'Engineer Updates'!$K$5:$K$704),""))</x:f>
      </x:c>
      <x:c r="W495" s="174" t="str">
        <x:f>IF(A495="","",IFERROR(LOOKUP(2,1/('Engineer Updates'!$B$5:$B$704=A495),'Engineer Updates'!$L$5:$L$704),""))</x:f>
      </x:c>
      <x:c r="X495" s="170" t="str">
        <x:f>IF(A495="","",IF(C495="completed","Completed in CSSP",IF(AND(C495="executing",ISERROR(SEARCH("@",K495))),"Executing without named engineer",IF(AND(N495="Confirmed OOS",C495="executing"),"Confirmed OOS still executing",""))))</x:f>
        <x:v>Completed in CSSP</x:v>
      </x:c>
      <x:c r="Y495" s="170" t="str">
        <x:f>IF(A495="","",IF(B495="Decommissioning","Raw Decommissioning","Raw Provisioning"))</x:f>
        <x:v>Raw Provisioning</x:v>
      </x:c>
      <x:c r="Z495" s="170" t="str">
        <x:f>IF(A495="","",IF(OR(C495="executing",C495="processing"),"Yes","No"))</x:f>
        <x:v>No</x:v>
      </x:c>
    </x:row>
    <x:row r="496">
      <x:c r="A496" s="170" t="str">
        <x:f>IF(ROWS($A$5:A496)&lt;=COUNTA('Raw Decommissioning'!$B$2:$B$1000),INDEX('Raw Decommissioning'!$B$2:$B$1000,ROWS($A$5:A496)),IF(ROWS($A$5:A496)-COUNTA('Raw Decommissioning'!$B$2:$B$1000)&lt;=COUNTA('Raw Provisioning'!$B$2:$B$1000),INDEX('Raw Provisioning'!$B$2:$B$1000,ROWS($A$5:A496)-COUNTA('Raw Decommissioning'!$B$2:$B$1000)),""))</x:f>
        <x:v>CSSP10775394</x:v>
      </x:c>
      <x:c r="B496" s="170" t="str">
        <x:f>IF(A496="","",IF(ROWS($A$5:A496)&lt;=COUNTA('Raw Decommissioning'!$B$2:$B$1000),"Decommissioning","Provisioning"))</x:f>
        <x:v>Provisioning</x:v>
      </x:c>
      <x:c r="C496" s="170" t="str">
        <x:f>IF(A496="","",IF(B496="Decommissioning",IFERROR(INDEX('Raw Decommissioning'!$E$2:$E$1000,MATCH(A496,'Raw Decommissioning'!$B$2:$B$1000,0)),"Missing from latest raw"),IFERROR(INDEX('Raw Provisioning'!$E$2:$E$1000,MATCH(A496,'Raw Provisioning'!$B$2:$B$1000,0)),"Missing from latest raw")))</x:f>
        <x:v>completed</x:v>
      </x:c>
      <x:c r="D496" s="171" t="n">
        <x:f>IF(A496="","",'Refresh Control'!$B$4)</x:f>
        <x:v>46254</x:v>
      </x:c>
      <x:c r="E496" s="171" t="n">
        <x:f>IF(A496="","",IF(B496="Decommissioning",INDEX('Raw Decommissioning'!$F$2:$F$1000,ROWS($A$5:A496)),INDEX('Raw Provisioning'!$F$2:$F$1000,ROWS($A$5:A496)-COUNTA('Raw Decommissioning'!$B$2:$B$1000))))</x:f>
        <x:v>46129.332351655095</x:v>
      </x:c>
      <x:c r="F496" s="171" t="n">
        <x:f>IF(A496="","",IF(B496="Decommissioning",INDEX('Raw Decommissioning'!$G$2:$G$1000,ROWS($A$5:A496)),INDEX('Raw Provisioning'!$H$2:$H$1000,ROWS($A$5:A496)-COUNTA('Raw Decommissioning'!$B$2:$B$1000))))</x:f>
        <x:v>46133.40220747685</x:v>
      </x:c>
      <x:c r="G496" s="170" t="str">
        <x:f>IF(A496="","",IF(B496="Decommissioning",INDEX('Raw Decommissioning'!$I$2:$I$1000,ROWS($A$5:A496)),INDEX('Raw Provisioning'!$J$2:$J$1000,ROWS($A$5:A496)-COUNTA('Raw Decommissioning'!$B$2:$B$1000))))</x:f>
        <x:v>OASIS Infra provisioning</x:v>
      </x:c>
      <x:c r="H496" s="170" t="str">
        <x:f>IF(A496="","",IF(B496="Decommissioning",INDEX('Raw Decommissioning'!$J$2:$J$1000,ROWS($A$5:A496)),INDEX('Raw Provisioning'!$L$2:$L$1000,ROWS($A$5:A496)-COUNTA('Raw Decommissioning'!$B$2:$B$1000))))</x:f>
        <x:v>OASIS Infra provisioning</x:v>
      </x:c>
      <x:c r="I496" s="170" t="str">
        <x:f>IF(A496="","",IF(B496="Decommissioning",INDEX('Raw Decommissioning'!$AL$2:$AL$1000,ROWS($A$5:A496)),INDEX('Raw Provisioning'!$R$2:$R$1000,ROWS($A$5:A496)-COUNTA('Raw Decommissioning'!$B$2:$B$1000))))</x:f>
        <x:v>M</x:v>
      </x:c>
      <x:c r="J496" s="170" t="str">
        <x:f>IF(A496="","",IF(B496="Decommissioning",INDEX('Raw Decommissioning'!$AG$2:$AG$1000,ROWS($A$5:A496)),INDEX('Raw Provisioning'!$AI$2:$AI$1000,ROWS($A$5:A496)-COUNTA('Raw Decommissioning'!$B$2:$B$1000))))</x:f>
        <x:v>badri.shaharudin@petronas.com</x:v>
      </x:c>
      <x:c r="K496" s="172" t="str">
        <x:f>IF(A496="","",IFERROR(LOOKUP(2,1/('Assignment History'!$B$5:$B$204=A496),'Assignment History'!$D$5:$D$204),IFERROR(VLOOKUP(J496,Configuration!$L$5:$M$50,2,FALSE),J496)))</x:f>
        <x:v>badri.shaharudin@petronas.com</x:v>
      </x:c>
      <x:c r="L496" s="172" t="str">
        <x:f>IF(A496="","",IF(K496=IFERROR(VLOOKUP(J496,Configuration!$L$5:$M$50,2,FALSE),J496),"Snapshot PIC","Replacement PIC"))</x:f>
        <x:v>Snapshot PIC</x:v>
      </x:c>
      <x:c r="M496" s="172" t="n">
        <x:f>IF(A496="","",IFERROR(VLOOKUP(I496,Configuration!$O$5:$P$8,2,FALSE),Configuration!$S$6))</x:f>
        <x:v>2</x:v>
      </x:c>
      <x:c r="N496" s="172" t="str">
        <x:f>IF(A496="","",IFERROR(LOOKUP(2,1/('Scope Review'!$B$5:$B$204=A496),'Scope Review'!$G$5:$G$204),"Not Reviewed"))</x:f>
        <x:v>Not Reviewed</x:v>
      </x:c>
      <x:c r="O496" s="172" t="str">
        <x:f>IF(A496="","",IFERROR(LOOKUP(2,1/('Scope Review'!$B$5:$B$204=A496),'Scope Review'!$H$5:$H$204),""))</x:f>
      </x:c>
      <x:c r="P496" s="172" t="n">
        <x:f>IF(A496="","",IF(AND(C496="executing",N496&lt;&gt;"Confirmed OOS"),M496,0))</x:f>
        <x:v>0</x:v>
      </x:c>
      <x:c r="Q496" s="173" t="str">
        <x:f>IF(A496="","",IFERROR(LOOKUP(2,1/('Engineer Updates'!$B$5:$B$704=A496),'Engineer Updates'!$A$5:$A$704),""))</x:f>
      </x:c>
      <x:c r="R496" s="172" t="str">
        <x:f>IF(A496="","",IFERROR(LOOKUP(2,1/('Engineer Updates'!$B$5:$B$704=A496),'Engineer Updates'!$H$5:$H$704),""))</x:f>
      </x:c>
      <x:c r="S496" s="172" t="str">
        <x:f>IF(A496="","",IFERROR(LOOKUP(2,1/('Engineer Updates'!$B$5:$B$704=A496),'Engineer Updates'!$G$5:$G$704),""))</x:f>
      </x:c>
      <x:c r="T496" s="172" t="str">
        <x:f>IF(A496="","",IFERROR(LOOKUP(2,1/('Engineer Updates'!$B$5:$B$704=A496),'Engineer Updates'!$I$5:$I$704),""))</x:f>
      </x:c>
      <x:c r="U496" s="172" t="str">
        <x:f>IF(A496="","",IFERROR(LOOKUP(2,1/('Engineer Updates'!$B$5:$B$704=A496),'Engineer Updates'!$J$5:$J$704),""))</x:f>
      </x:c>
      <x:c r="V496" s="172" t="str">
        <x:f>IF(A496="","",IFERROR(LOOKUP(2,1/('Engineer Updates'!$B$5:$B$704=A496),'Engineer Updates'!$K$5:$K$704),""))</x:f>
      </x:c>
      <x:c r="W496" s="174" t="str">
        <x:f>IF(A496="","",IFERROR(LOOKUP(2,1/('Engineer Updates'!$B$5:$B$704=A496),'Engineer Updates'!$L$5:$L$704),""))</x:f>
      </x:c>
      <x:c r="X496" s="170" t="str">
        <x:f>IF(A496="","",IF(C496="completed","Completed in CSSP",IF(AND(C496="executing",ISERROR(SEARCH("@",K496))),"Executing without named engineer",IF(AND(N496="Confirmed OOS",C496="executing"),"Confirmed OOS still executing",""))))</x:f>
        <x:v>Completed in CSSP</x:v>
      </x:c>
      <x:c r="Y496" s="170" t="str">
        <x:f>IF(A496="","",IF(B496="Decommissioning","Raw Decommissioning","Raw Provisioning"))</x:f>
        <x:v>Raw Provisioning</x:v>
      </x:c>
      <x:c r="Z496" s="170" t="str">
        <x:f>IF(A496="","",IF(OR(C496="executing",C496="processing"),"Yes","No"))</x:f>
        <x:v>No</x:v>
      </x:c>
    </x:row>
    <x:row r="497">
      <x:c r="A497" s="170" t="str">
        <x:f>IF(ROWS($A$5:A497)&lt;=COUNTA('Raw Decommissioning'!$B$2:$B$1000),INDEX('Raw Decommissioning'!$B$2:$B$1000,ROWS($A$5:A497)),IF(ROWS($A$5:A497)-COUNTA('Raw Decommissioning'!$B$2:$B$1000)&lt;=COUNTA('Raw Provisioning'!$B$2:$B$1000),INDEX('Raw Provisioning'!$B$2:$B$1000,ROWS($A$5:A497)-COUNTA('Raw Decommissioning'!$B$2:$B$1000)),""))</x:f>
        <x:v>CSSP10474051</x:v>
      </x:c>
      <x:c r="B497" s="170" t="str">
        <x:f>IF(A497="","",IF(ROWS($A$5:A497)&lt;=COUNTA('Raw Decommissioning'!$B$2:$B$1000),"Decommissioning","Provisioning"))</x:f>
        <x:v>Provisioning</x:v>
      </x:c>
      <x:c r="C497" s="170" t="str">
        <x:f>IF(A497="","",IF(B497="Decommissioning",IFERROR(INDEX('Raw Decommissioning'!$E$2:$E$1000,MATCH(A497,'Raw Decommissioning'!$B$2:$B$1000,0)),"Missing from latest raw"),IFERROR(INDEX('Raw Provisioning'!$E$2:$E$1000,MATCH(A497,'Raw Provisioning'!$B$2:$B$1000,0)),"Missing from latest raw")))</x:f>
        <x:v>completed</x:v>
      </x:c>
      <x:c r="D497" s="171" t="n">
        <x:f>IF(A497="","",'Refresh Control'!$B$4)</x:f>
        <x:v>46254</x:v>
      </x:c>
      <x:c r="E497" s="171" t="n">
        <x:f>IF(A497="","",IF(B497="Decommissioning",INDEX('Raw Decommissioning'!$F$2:$F$1000,ROWS($A$5:A497)),INDEX('Raw Provisioning'!$F$2:$F$1000,ROWS($A$5:A497)-COUNTA('Raw Decommissioning'!$B$2:$B$1000))))</x:f>
        <x:v>46129.339125914354</x:v>
      </x:c>
      <x:c r="F497" s="171" t="n">
        <x:f>IF(A497="","",IF(B497="Decommissioning",INDEX('Raw Decommissioning'!$G$2:$G$1000,ROWS($A$5:A497)),INDEX('Raw Provisioning'!$H$2:$H$1000,ROWS($A$5:A497)-COUNTA('Raw Decommissioning'!$B$2:$B$1000))))</x:f>
        <x:v>46198.124934976855</x:v>
      </x:c>
      <x:c r="G497" s="170" t="str">
        <x:f>IF(A497="","",IF(B497="Decommissioning",INDEX('Raw Decommissioning'!$I$2:$I$1000,ROWS($A$5:A497)),INDEX('Raw Provisioning'!$J$2:$J$1000,ROWS($A$5:A497)-COUNTA('Raw Decommissioning'!$B$2:$B$1000))))</x:f>
        <x:v>PETRONAS Engineering Data Management System - P-EDMS GTS</x:v>
      </x:c>
      <x:c r="H497" s="170" t="str">
        <x:f>IF(A497="","",IF(B497="Decommissioning",INDEX('Raw Decommissioning'!$J$2:$J$1000,ROWS($A$5:A497)),INDEX('Raw Provisioning'!$L$2:$L$1000,ROWS($A$5:A497)-COUNTA('Raw Decommissioning'!$B$2:$B$1000))))</x:f>
        <x:v>Cloud Migration Program - P-EDMS</x:v>
      </x:c>
      <x:c r="I497" s="170" t="str">
        <x:f>IF(A497="","",IF(B497="Decommissioning",INDEX('Raw Decommissioning'!$AL$2:$AL$1000,ROWS($A$5:A497)),INDEX('Raw Provisioning'!$R$2:$R$1000,ROWS($A$5:A497)-COUNTA('Raw Decommissioning'!$B$2:$B$1000))))</x:f>
        <x:v>M</x:v>
      </x:c>
      <x:c r="J497" s="170" t="str">
        <x:f>IF(A497="","",IF(B497="Decommissioning",INDEX('Raw Decommissioning'!$AG$2:$AG$1000,ROWS($A$5:A497)),INDEX('Raw Provisioning'!$AI$2:$AI$1000,ROWS($A$5:A497)-COUNTA('Raw Decommissioning'!$B$2:$B$1000))))</x:f>
        <x:v>ahmadfirdaus.adnan@petronas.com</x:v>
      </x:c>
      <x:c r="K497" s="172" t="str">
        <x:f>IF(A497="","",IFERROR(LOOKUP(2,1/('Assignment History'!$B$5:$B$204=A497),'Assignment History'!$D$5:$D$204),IFERROR(VLOOKUP(J497,Configuration!$L$5:$M$50,2,FALSE),J497)))</x:f>
        <x:v>ahmadfirdaus.adnan@petronas.com</x:v>
      </x:c>
      <x:c r="L497" s="172" t="str">
        <x:f>IF(A497="","",IF(K497=IFERROR(VLOOKUP(J497,Configuration!$L$5:$M$50,2,FALSE),J497),"Snapshot PIC","Replacement PIC"))</x:f>
        <x:v>Snapshot PIC</x:v>
      </x:c>
      <x:c r="M497" s="172" t="n">
        <x:f>IF(A497="","",IFERROR(VLOOKUP(I497,Configuration!$O$5:$P$8,2,FALSE),Configuration!$S$6))</x:f>
        <x:v>2</x:v>
      </x:c>
      <x:c r="N497" s="172" t="str">
        <x:f>IF(A497="","",IFERROR(LOOKUP(2,1/('Scope Review'!$B$5:$B$204=A497),'Scope Review'!$G$5:$G$204),"Not Reviewed"))</x:f>
        <x:v>Not Reviewed</x:v>
      </x:c>
      <x:c r="O497" s="172" t="str">
        <x:f>IF(A497="","",IFERROR(LOOKUP(2,1/('Scope Review'!$B$5:$B$204=A497),'Scope Review'!$H$5:$H$204),""))</x:f>
      </x:c>
      <x:c r="P497" s="172" t="n">
        <x:f>IF(A497="","",IF(AND(C497="executing",N497&lt;&gt;"Confirmed OOS"),M497,0))</x:f>
        <x:v>0</x:v>
      </x:c>
      <x:c r="Q497" s="173" t="str">
        <x:f>IF(A497="","",IFERROR(LOOKUP(2,1/('Engineer Updates'!$B$5:$B$704=A497),'Engineer Updates'!$A$5:$A$704),""))</x:f>
      </x:c>
      <x:c r="R497" s="172" t="str">
        <x:f>IF(A497="","",IFERROR(LOOKUP(2,1/('Engineer Updates'!$B$5:$B$704=A497),'Engineer Updates'!$H$5:$H$704),""))</x:f>
      </x:c>
      <x:c r="S497" s="172" t="str">
        <x:f>IF(A497="","",IFERROR(LOOKUP(2,1/('Engineer Updates'!$B$5:$B$704=A497),'Engineer Updates'!$G$5:$G$704),""))</x:f>
      </x:c>
      <x:c r="T497" s="172" t="str">
        <x:f>IF(A497="","",IFERROR(LOOKUP(2,1/('Engineer Updates'!$B$5:$B$704=A497),'Engineer Updates'!$I$5:$I$704),""))</x:f>
      </x:c>
      <x:c r="U497" s="172" t="str">
        <x:f>IF(A497="","",IFERROR(LOOKUP(2,1/('Engineer Updates'!$B$5:$B$704=A497),'Engineer Updates'!$J$5:$J$704),""))</x:f>
      </x:c>
      <x:c r="V497" s="172" t="str">
        <x:f>IF(A497="","",IFERROR(LOOKUP(2,1/('Engineer Updates'!$B$5:$B$704=A497),'Engineer Updates'!$K$5:$K$704),""))</x:f>
      </x:c>
      <x:c r="W497" s="174" t="str">
        <x:f>IF(A497="","",IFERROR(LOOKUP(2,1/('Engineer Updates'!$B$5:$B$704=A497),'Engineer Updates'!$L$5:$L$704),""))</x:f>
      </x:c>
      <x:c r="X497" s="170" t="str">
        <x:f>IF(A497="","",IF(C497="completed","Completed in CSSP",IF(AND(C497="executing",ISERROR(SEARCH("@",K497))),"Executing without named engineer",IF(AND(N497="Confirmed OOS",C497="executing"),"Confirmed OOS still executing",""))))</x:f>
        <x:v>Completed in CSSP</x:v>
      </x:c>
      <x:c r="Y497" s="170" t="str">
        <x:f>IF(A497="","",IF(B497="Decommissioning","Raw Decommissioning","Raw Provisioning"))</x:f>
        <x:v>Raw Provisioning</x:v>
      </x:c>
      <x:c r="Z497" s="170" t="str">
        <x:f>IF(A497="","",IF(OR(C497="executing",C497="processing"),"Yes","No"))</x:f>
        <x:v>No</x:v>
      </x:c>
    </x:row>
    <x:row r="498">
      <x:c r="A498" s="170" t="str">
        <x:f>IF(ROWS($A$5:A498)&lt;=COUNTA('Raw Decommissioning'!$B$2:$B$1000),INDEX('Raw Decommissioning'!$B$2:$B$1000,ROWS($A$5:A498)),IF(ROWS($A$5:A498)-COUNTA('Raw Decommissioning'!$B$2:$B$1000)&lt;=COUNTA('Raw Provisioning'!$B$2:$B$1000),INDEX('Raw Provisioning'!$B$2:$B$1000,ROWS($A$5:A498)-COUNTA('Raw Decommissioning'!$B$2:$B$1000)),""))</x:f>
        <x:v>CSSP10945611</x:v>
      </x:c>
      <x:c r="B498" s="170" t="str">
        <x:f>IF(A498="","",IF(ROWS($A$5:A498)&lt;=COUNTA('Raw Decommissioning'!$B$2:$B$1000),"Decommissioning","Provisioning"))</x:f>
        <x:v>Provisioning</x:v>
      </x:c>
      <x:c r="C498" s="170" t="str">
        <x:f>IF(A498="","",IF(B498="Decommissioning",IFERROR(INDEX('Raw Decommissioning'!$E$2:$E$1000,MATCH(A498,'Raw Decommissioning'!$B$2:$B$1000,0)),"Missing from latest raw"),IFERROR(INDEX('Raw Provisioning'!$E$2:$E$1000,MATCH(A498,'Raw Provisioning'!$B$2:$B$1000,0)),"Missing from latest raw")))</x:f>
        <x:v>completed</x:v>
      </x:c>
      <x:c r="D498" s="171" t="n">
        <x:f>IF(A498="","",'Refresh Control'!$B$4)</x:f>
        <x:v>46254</x:v>
      </x:c>
      <x:c r="E498" s="171" t="n">
        <x:f>IF(A498="","",IF(B498="Decommissioning",INDEX('Raw Decommissioning'!$F$2:$F$1000,ROWS($A$5:A498)),INDEX('Raw Provisioning'!$F$2:$F$1000,ROWS($A$5:A498)-COUNTA('Raw Decommissioning'!$B$2:$B$1000))))</x:f>
        <x:v>46129.35443363426</x:v>
      </x:c>
      <x:c r="F498" s="171" t="n">
        <x:f>IF(A498="","",IF(B498="Decommissioning",INDEX('Raw Decommissioning'!$G$2:$G$1000,ROWS($A$5:A498)),INDEX('Raw Provisioning'!$H$2:$H$1000,ROWS($A$5:A498)-COUNTA('Raw Decommissioning'!$B$2:$B$1000))))</x:f>
        <x:v>46140.25402273148</x:v>
      </x:c>
      <x:c r="G498" s="170" t="str">
        <x:f>IF(A498="","",IF(B498="Decommissioning",INDEX('Raw Decommissioning'!$I$2:$I$1000,ROWS($A$5:A498)),INDEX('Raw Provisioning'!$J$2:$J$1000,ROWS($A$5:A498)-COUNTA('Raw Decommissioning'!$B$2:$B$1000))))</x:f>
        <x:v>Mygenie</x:v>
      </x:c>
      <x:c r="H498" s="170" t="str">
        <x:f>IF(A498="","",IF(B498="Decommissioning",INDEX('Raw Decommissioning'!$J$2:$J$1000,ROWS($A$5:A498)),INDEX('Raw Provisioning'!$L$2:$L$1000,ROWS($A$5:A498)-COUNTA('Raw Decommissioning'!$B$2:$B$1000))))</x:f>
        <x:v>Cloud Migration Program - Mygenie+ Admin Portal</x:v>
      </x:c>
      <x:c r="I498" s="170" t="str">
        <x:f>IF(A498="","",IF(B498="Decommissioning",INDEX('Raw Decommissioning'!$AL$2:$AL$1000,ROWS($A$5:A498)),INDEX('Raw Provisioning'!$R$2:$R$1000,ROWS($A$5:A498)-COUNTA('Raw Decommissioning'!$B$2:$B$1000))))</x:f>
        <x:v>S</x:v>
      </x:c>
      <x:c r="J498" s="170" t="str">
        <x:f>IF(A498="","",IF(B498="Decommissioning",INDEX('Raw Decommissioning'!$AG$2:$AG$1000,ROWS($A$5:A498)),INDEX('Raw Provisioning'!$AI$2:$AI$1000,ROWS($A$5:A498)-COUNTA('Raw Decommissioning'!$B$2:$B$1000))))</x:f>
        <x:v>muhdfirdaus.muhamad@petronas.com</x:v>
      </x:c>
      <x:c r="K498" s="172" t="str">
        <x:f>IF(A498="","",IFERROR(LOOKUP(2,1/('Assignment History'!$B$5:$B$204=A498),'Assignment History'!$D$5:$D$204),IFERROR(VLOOKUP(J498,Configuration!$L$5:$M$50,2,FALSE),J498)))</x:f>
        <x:v>muhdfirdaus.muhamad@petronas.com</x:v>
      </x:c>
      <x:c r="L498" s="172" t="str">
        <x:f>IF(A498="","",IF(K498=IFERROR(VLOOKUP(J498,Configuration!$L$5:$M$50,2,FALSE),J498),"Snapshot PIC","Replacement PIC"))</x:f>
        <x:v>Snapshot PIC</x:v>
      </x:c>
      <x:c r="M498" s="172" t="n">
        <x:f>IF(A498="","",IFERROR(VLOOKUP(I498,Configuration!$O$5:$P$8,2,FALSE),Configuration!$S$6))</x:f>
        <x:v>1</x:v>
      </x:c>
      <x:c r="N498" s="172" t="str">
        <x:f>IF(A498="","",IFERROR(LOOKUP(2,1/('Scope Review'!$B$5:$B$204=A498),'Scope Review'!$G$5:$G$204),"Not Reviewed"))</x:f>
        <x:v>Not Reviewed</x:v>
      </x:c>
      <x:c r="O498" s="172" t="str">
        <x:f>IF(A498="","",IFERROR(LOOKUP(2,1/('Scope Review'!$B$5:$B$204=A498),'Scope Review'!$H$5:$H$204),""))</x:f>
      </x:c>
      <x:c r="P498" s="172" t="n">
        <x:f>IF(A498="","",IF(AND(C498="executing",N498&lt;&gt;"Confirmed OOS"),M498,0))</x:f>
        <x:v>0</x:v>
      </x:c>
      <x:c r="Q498" s="173" t="str">
        <x:f>IF(A498="","",IFERROR(LOOKUP(2,1/('Engineer Updates'!$B$5:$B$704=A498),'Engineer Updates'!$A$5:$A$704),""))</x:f>
      </x:c>
      <x:c r="R498" s="172" t="str">
        <x:f>IF(A498="","",IFERROR(LOOKUP(2,1/('Engineer Updates'!$B$5:$B$704=A498),'Engineer Updates'!$H$5:$H$704),""))</x:f>
      </x:c>
      <x:c r="S498" s="172" t="str">
        <x:f>IF(A498="","",IFERROR(LOOKUP(2,1/('Engineer Updates'!$B$5:$B$704=A498),'Engineer Updates'!$G$5:$G$704),""))</x:f>
      </x:c>
      <x:c r="T498" s="172" t="str">
        <x:f>IF(A498="","",IFERROR(LOOKUP(2,1/('Engineer Updates'!$B$5:$B$704=A498),'Engineer Updates'!$I$5:$I$704),""))</x:f>
      </x:c>
      <x:c r="U498" s="172" t="str">
        <x:f>IF(A498="","",IFERROR(LOOKUP(2,1/('Engineer Updates'!$B$5:$B$704=A498),'Engineer Updates'!$J$5:$J$704),""))</x:f>
      </x:c>
      <x:c r="V498" s="172" t="str">
        <x:f>IF(A498="","",IFERROR(LOOKUP(2,1/('Engineer Updates'!$B$5:$B$704=A498),'Engineer Updates'!$K$5:$K$704),""))</x:f>
      </x:c>
      <x:c r="W498" s="174" t="str">
        <x:f>IF(A498="","",IFERROR(LOOKUP(2,1/('Engineer Updates'!$B$5:$B$704=A498),'Engineer Updates'!$L$5:$L$704),""))</x:f>
      </x:c>
      <x:c r="X498" s="170" t="str">
        <x:f>IF(A498="","",IF(C498="completed","Completed in CSSP",IF(AND(C498="executing",ISERROR(SEARCH("@",K498))),"Executing without named engineer",IF(AND(N498="Confirmed OOS",C498="executing"),"Confirmed OOS still executing",""))))</x:f>
        <x:v>Completed in CSSP</x:v>
      </x:c>
      <x:c r="Y498" s="170" t="str">
        <x:f>IF(A498="","",IF(B498="Decommissioning","Raw Decommissioning","Raw Provisioning"))</x:f>
        <x:v>Raw Provisioning</x:v>
      </x:c>
      <x:c r="Z498" s="170" t="str">
        <x:f>IF(A498="","",IF(OR(C498="executing",C498="processing"),"Yes","No"))</x:f>
        <x:v>No</x:v>
      </x:c>
    </x:row>
    <x:row r="499">
      <x:c r="A499" s="170" t="str">
        <x:f>IF(ROWS($A$5:A499)&lt;=COUNTA('Raw Decommissioning'!$B$2:$B$1000),INDEX('Raw Decommissioning'!$B$2:$B$1000,ROWS($A$5:A499)),IF(ROWS($A$5:A499)-COUNTA('Raw Decommissioning'!$B$2:$B$1000)&lt;=COUNTA('Raw Provisioning'!$B$2:$B$1000),INDEX('Raw Provisioning'!$B$2:$B$1000,ROWS($A$5:A499)-COUNTA('Raw Decommissioning'!$B$2:$B$1000)),""))</x:f>
        <x:v>CSSP10433585</x:v>
      </x:c>
      <x:c r="B499" s="170" t="str">
        <x:f>IF(A499="","",IF(ROWS($A$5:A499)&lt;=COUNTA('Raw Decommissioning'!$B$2:$B$1000),"Decommissioning","Provisioning"))</x:f>
        <x:v>Provisioning</x:v>
      </x:c>
      <x:c r="C499" s="170" t="str">
        <x:f>IF(A499="","",IF(B499="Decommissioning",IFERROR(INDEX('Raw Decommissioning'!$E$2:$E$1000,MATCH(A499,'Raw Decommissioning'!$B$2:$B$1000,0)),"Missing from latest raw"),IFERROR(INDEX('Raw Provisioning'!$E$2:$E$1000,MATCH(A499,'Raw Provisioning'!$B$2:$B$1000,0)),"Missing from latest raw")))</x:f>
        <x:v>completed</x:v>
      </x:c>
      <x:c r="D499" s="171" t="n">
        <x:f>IF(A499="","",'Refresh Control'!$B$4)</x:f>
        <x:v>46254</x:v>
      </x:c>
      <x:c r="E499" s="171" t="n">
        <x:f>IF(A499="","",IF(B499="Decommissioning",INDEX('Raw Decommissioning'!$F$2:$F$1000,ROWS($A$5:A499)),INDEX('Raw Provisioning'!$F$2:$F$1000,ROWS($A$5:A499)-COUNTA('Raw Decommissioning'!$B$2:$B$1000))))</x:f>
        <x:v>46132.20935846065</x:v>
      </x:c>
      <x:c r="F499" s="171" t="n">
        <x:f>IF(A499="","",IF(B499="Decommissioning",INDEX('Raw Decommissioning'!$G$2:$G$1000,ROWS($A$5:A499)),INDEX('Raw Provisioning'!$H$2:$H$1000,ROWS($A$5:A499)-COUNTA('Raw Decommissioning'!$B$2:$B$1000))))</x:f>
        <x:v>46149.03722005787</x:v>
      </x:c>
      <x:c r="G499" s="170" t="str">
        <x:f>IF(A499="","",IF(B499="Decommissioning",INDEX('Raw Decommissioning'!$I$2:$I$1000,ROWS($A$5:A499)),INDEX('Raw Provisioning'!$J$2:$J$1000,ROWS($A$5:A499)-COUNTA('Raw Decommissioning'!$B$2:$B$1000))))</x:f>
        <x:v>M365 Provisioning Engine - PE</x:v>
      </x:c>
      <x:c r="H499" s="170" t="str">
        <x:f>IF(A499="","",IF(B499="Decommissioning",INDEX('Raw Decommissioning'!$J$2:$J$1000,ROWS($A$5:A499)),INDEX('Raw Provisioning'!$L$2:$L$1000,ROWS($A$5:A499)-COUNTA('Raw Decommissioning'!$B$2:$B$1000))))</x:f>
        <x:v>Productivity Platform Hub</x:v>
      </x:c>
      <x:c r="I499" s="170" t="str">
        <x:f>IF(A499="","",IF(B499="Decommissioning",INDEX('Raw Decommissioning'!$AL$2:$AL$1000,ROWS($A$5:A499)),INDEX('Raw Provisioning'!$R$2:$R$1000,ROWS($A$5:A499)-COUNTA('Raw Decommissioning'!$B$2:$B$1000))))</x:f>
        <x:v>S</x:v>
      </x:c>
      <x:c r="J499" s="170" t="str">
        <x:f>IF(A499="","",IF(B499="Decommissioning",INDEX('Raw Decommissioning'!$AG$2:$AG$1000,ROWS($A$5:A499)),INDEX('Raw Provisioning'!$AI$2:$AI$1000,ROWS($A$5:A499)-COUNTA('Raw Decommissioning'!$B$2:$B$1000))))</x:f>
        <x:v>azhan.shazeli@petronas.com</x:v>
      </x:c>
      <x:c r="K499" s="172" t="str">
        <x:f>IF(A499="","",IFERROR(LOOKUP(2,1/('Assignment History'!$B$5:$B$204=A499),'Assignment History'!$D$5:$D$204),IFERROR(VLOOKUP(J499,Configuration!$L$5:$M$50,2,FALSE),J499)))</x:f>
        <x:v>azhan.shazeli@petronas.com</x:v>
      </x:c>
      <x:c r="L499" s="172" t="str">
        <x:f>IF(A499="","",IF(K499=IFERROR(VLOOKUP(J499,Configuration!$L$5:$M$50,2,FALSE),J499),"Snapshot PIC","Replacement PIC"))</x:f>
        <x:v>Snapshot PIC</x:v>
      </x:c>
      <x:c r="M499" s="172" t="n">
        <x:f>IF(A499="","",IFERROR(VLOOKUP(I499,Configuration!$O$5:$P$8,2,FALSE),Configuration!$S$6))</x:f>
        <x:v>1</x:v>
      </x:c>
      <x:c r="N499" s="172" t="str">
        <x:f>IF(A499="","",IFERROR(LOOKUP(2,1/('Scope Review'!$B$5:$B$204=A499),'Scope Review'!$G$5:$G$204),"Not Reviewed"))</x:f>
        <x:v>Not Reviewed</x:v>
      </x:c>
      <x:c r="O499" s="172" t="str">
        <x:f>IF(A499="","",IFERROR(LOOKUP(2,1/('Scope Review'!$B$5:$B$204=A499),'Scope Review'!$H$5:$H$204),""))</x:f>
      </x:c>
      <x:c r="P499" s="172" t="n">
        <x:f>IF(A499="","",IF(AND(C499="executing",N499&lt;&gt;"Confirmed OOS"),M499,0))</x:f>
        <x:v>0</x:v>
      </x:c>
      <x:c r="Q499" s="173" t="str">
        <x:f>IF(A499="","",IFERROR(LOOKUP(2,1/('Engineer Updates'!$B$5:$B$704=A499),'Engineer Updates'!$A$5:$A$704),""))</x:f>
      </x:c>
      <x:c r="R499" s="172" t="str">
        <x:f>IF(A499="","",IFERROR(LOOKUP(2,1/('Engineer Updates'!$B$5:$B$704=A499),'Engineer Updates'!$H$5:$H$704),""))</x:f>
      </x:c>
      <x:c r="S499" s="172" t="str">
        <x:f>IF(A499="","",IFERROR(LOOKUP(2,1/('Engineer Updates'!$B$5:$B$704=A499),'Engineer Updates'!$G$5:$G$704),""))</x:f>
      </x:c>
      <x:c r="T499" s="172" t="str">
        <x:f>IF(A499="","",IFERROR(LOOKUP(2,1/('Engineer Updates'!$B$5:$B$704=A499),'Engineer Updates'!$I$5:$I$704),""))</x:f>
      </x:c>
      <x:c r="U499" s="172" t="str">
        <x:f>IF(A499="","",IFERROR(LOOKUP(2,1/('Engineer Updates'!$B$5:$B$704=A499),'Engineer Updates'!$J$5:$J$704),""))</x:f>
      </x:c>
      <x:c r="V499" s="172" t="str">
        <x:f>IF(A499="","",IFERROR(LOOKUP(2,1/('Engineer Updates'!$B$5:$B$704=A499),'Engineer Updates'!$K$5:$K$704),""))</x:f>
      </x:c>
      <x:c r="W499" s="174" t="str">
        <x:f>IF(A499="","",IFERROR(LOOKUP(2,1/('Engineer Updates'!$B$5:$B$704=A499),'Engineer Updates'!$L$5:$L$704),""))</x:f>
      </x:c>
      <x:c r="X499" s="170" t="str">
        <x:f>IF(A499="","",IF(C499="completed","Completed in CSSP",IF(AND(C499="executing",ISERROR(SEARCH("@",K499))),"Executing without named engineer",IF(AND(N499="Confirmed OOS",C499="executing"),"Confirmed OOS still executing",""))))</x:f>
        <x:v>Completed in CSSP</x:v>
      </x:c>
      <x:c r="Y499" s="170" t="str">
        <x:f>IF(A499="","",IF(B499="Decommissioning","Raw Decommissioning","Raw Provisioning"))</x:f>
        <x:v>Raw Provisioning</x:v>
      </x:c>
      <x:c r="Z499" s="170" t="str">
        <x:f>IF(A499="","",IF(OR(C499="executing",C499="processing"),"Yes","No"))</x:f>
        <x:v>No</x:v>
      </x:c>
    </x:row>
    <x:row r="500">
      <x:c r="A500" s="170" t="str">
        <x:f>IF(ROWS($A$5:A500)&lt;=COUNTA('Raw Decommissioning'!$B$2:$B$1000),INDEX('Raw Decommissioning'!$B$2:$B$1000,ROWS($A$5:A500)),IF(ROWS($A$5:A500)-COUNTA('Raw Decommissioning'!$B$2:$B$1000)&lt;=COUNTA('Raw Provisioning'!$B$2:$B$1000),INDEX('Raw Provisioning'!$B$2:$B$1000,ROWS($A$5:A500)-COUNTA('Raw Decommissioning'!$B$2:$B$1000)),""))</x:f>
        <x:v>CSSP10186972</x:v>
      </x:c>
      <x:c r="B500" s="170" t="str">
        <x:f>IF(A500="","",IF(ROWS($A$5:A500)&lt;=COUNTA('Raw Decommissioning'!$B$2:$B$1000),"Decommissioning","Provisioning"))</x:f>
        <x:v>Provisioning</x:v>
      </x:c>
      <x:c r="C500" s="170" t="str">
        <x:f>IF(A500="","",IF(B500="Decommissioning",IFERROR(INDEX('Raw Decommissioning'!$E$2:$E$1000,MATCH(A500,'Raw Decommissioning'!$B$2:$B$1000,0)),"Missing from latest raw"),IFERROR(INDEX('Raw Provisioning'!$E$2:$E$1000,MATCH(A500,'Raw Provisioning'!$B$2:$B$1000,0)),"Missing from latest raw")))</x:f>
        <x:v>completed</x:v>
      </x:c>
      <x:c r="D500" s="171" t="n">
        <x:f>IF(A500="","",'Refresh Control'!$B$4)</x:f>
        <x:v>46254</x:v>
      </x:c>
      <x:c r="E500" s="171" t="n">
        <x:f>IF(A500="","",IF(B500="Decommissioning",INDEX('Raw Decommissioning'!$F$2:$F$1000,ROWS($A$5:A500)),INDEX('Raw Provisioning'!$F$2:$F$1000,ROWS($A$5:A500)-COUNTA('Raw Decommissioning'!$B$2:$B$1000))))</x:f>
        <x:v>46133.093222627314</x:v>
      </x:c>
      <x:c r="F500" s="171" t="n">
        <x:f>IF(A500="","",IF(B500="Decommissioning",INDEX('Raw Decommissioning'!$G$2:$G$1000,ROWS($A$5:A500)),INDEX('Raw Provisioning'!$H$2:$H$1000,ROWS($A$5:A500)-COUNTA('Raw Decommissioning'!$B$2:$B$1000))))</x:f>
        <x:v>46167.356639641206</x:v>
      </x:c>
      <x:c r="G500" s="170" t="str">
        <x:f>IF(A500="","",IF(B500="Decommissioning",INDEX('Raw Decommissioning'!$I$2:$I$1000,ROWS($A$5:A500)),INDEX('Raw Provisioning'!$J$2:$J$1000,ROWS($A$5:A500)-COUNTA('Raw Decommissioning'!$B$2:$B$1000))))</x:f>
        <x:v>Predictive Rotating Equipment Analytics - PROTEAN BRMC</x:v>
      </x:c>
      <x:c r="H500" s="170" t="str">
        <x:f>IF(A500="","",IF(B500="Decommissioning",INDEX('Raw Decommissioning'!$J$2:$J$1000,ROWS($A$5:A500)),INDEX('Raw Provisioning'!$L$2:$L$1000,ROWS($A$5:A500)-COUNTA('Raw Decommissioning'!$B$2:$B$1000))))</x:f>
        <x:v>PROTEAN BRMC SI</x:v>
      </x:c>
      <x:c r="I500" s="170" t="str">
        <x:f>IF(A500="","",IF(B500="Decommissioning",INDEX('Raw Decommissioning'!$AL$2:$AL$1000,ROWS($A$5:A500)),INDEX('Raw Provisioning'!$R$2:$R$1000,ROWS($A$5:A500)-COUNTA('Raw Decommissioning'!$B$2:$B$1000))))</x:f>
        <x:v>S</x:v>
      </x:c>
      <x:c r="J500" s="170" t="str">
        <x:f>IF(A500="","",IF(B500="Decommissioning",INDEX('Raw Decommissioning'!$AG$2:$AG$1000,ROWS($A$5:A500)),INDEX('Raw Provisioning'!$AI$2:$AI$1000,ROWS($A$5:A500)-COUNTA('Raw Decommissioning'!$B$2:$B$1000))))</x:f>
        <x:v>muhdfirdaus.muhamad@petronas.com</x:v>
      </x:c>
      <x:c r="K500" s="172" t="str">
        <x:f>IF(A500="","",IFERROR(LOOKUP(2,1/('Assignment History'!$B$5:$B$204=A500),'Assignment History'!$D$5:$D$204),IFERROR(VLOOKUP(J500,Configuration!$L$5:$M$50,2,FALSE),J500)))</x:f>
        <x:v>muhdfirdaus.muhamad@petronas.com</x:v>
      </x:c>
      <x:c r="L500" s="172" t="str">
        <x:f>IF(A500="","",IF(K500=IFERROR(VLOOKUP(J500,Configuration!$L$5:$M$50,2,FALSE),J500),"Snapshot PIC","Replacement PIC"))</x:f>
        <x:v>Snapshot PIC</x:v>
      </x:c>
      <x:c r="M500" s="172" t="n">
        <x:f>IF(A500="","",IFERROR(VLOOKUP(I500,Configuration!$O$5:$P$8,2,FALSE),Configuration!$S$6))</x:f>
        <x:v>1</x:v>
      </x:c>
      <x:c r="N500" s="172" t="str">
        <x:f>IF(A500="","",IFERROR(LOOKUP(2,1/('Scope Review'!$B$5:$B$204=A500),'Scope Review'!$G$5:$G$204),"Not Reviewed"))</x:f>
        <x:v>Not Reviewed</x:v>
      </x:c>
      <x:c r="O500" s="172" t="str">
        <x:f>IF(A500="","",IFERROR(LOOKUP(2,1/('Scope Review'!$B$5:$B$204=A500),'Scope Review'!$H$5:$H$204),""))</x:f>
      </x:c>
      <x:c r="P500" s="172" t="n">
        <x:f>IF(A500="","",IF(AND(C500="executing",N500&lt;&gt;"Confirmed OOS"),M500,0))</x:f>
        <x:v>0</x:v>
      </x:c>
      <x:c r="Q500" s="173" t="str">
        <x:f>IF(A500="","",IFERROR(LOOKUP(2,1/('Engineer Updates'!$B$5:$B$704=A500),'Engineer Updates'!$A$5:$A$704),""))</x:f>
      </x:c>
      <x:c r="R500" s="172" t="str">
        <x:f>IF(A500="","",IFERROR(LOOKUP(2,1/('Engineer Updates'!$B$5:$B$704=A500),'Engineer Updates'!$H$5:$H$704),""))</x:f>
      </x:c>
      <x:c r="S500" s="172" t="str">
        <x:f>IF(A500="","",IFERROR(LOOKUP(2,1/('Engineer Updates'!$B$5:$B$704=A500),'Engineer Updates'!$G$5:$G$704),""))</x:f>
      </x:c>
      <x:c r="T500" s="172" t="str">
        <x:f>IF(A500="","",IFERROR(LOOKUP(2,1/('Engineer Updates'!$B$5:$B$704=A500),'Engineer Updates'!$I$5:$I$704),""))</x:f>
      </x:c>
      <x:c r="U500" s="172" t="str">
        <x:f>IF(A500="","",IFERROR(LOOKUP(2,1/('Engineer Updates'!$B$5:$B$704=A500),'Engineer Updates'!$J$5:$J$704),""))</x:f>
      </x:c>
      <x:c r="V500" s="172" t="str">
        <x:f>IF(A500="","",IFERROR(LOOKUP(2,1/('Engineer Updates'!$B$5:$B$704=A500),'Engineer Updates'!$K$5:$K$704),""))</x:f>
      </x:c>
      <x:c r="W500" s="174" t="str">
        <x:f>IF(A500="","",IFERROR(LOOKUP(2,1/('Engineer Updates'!$B$5:$B$704=A500),'Engineer Updates'!$L$5:$L$704),""))</x:f>
      </x:c>
      <x:c r="X500" s="170" t="str">
        <x:f>IF(A500="","",IF(C500="completed","Completed in CSSP",IF(AND(C500="executing",ISERROR(SEARCH("@",K500))),"Executing without named engineer",IF(AND(N500="Confirmed OOS",C500="executing"),"Confirmed OOS still executing",""))))</x:f>
        <x:v>Completed in CSSP</x:v>
      </x:c>
      <x:c r="Y500" s="170" t="str">
        <x:f>IF(A500="","",IF(B500="Decommissioning","Raw Decommissioning","Raw Provisioning"))</x:f>
        <x:v>Raw Provisioning</x:v>
      </x:c>
      <x:c r="Z500" s="170" t="str">
        <x:f>IF(A500="","",IF(OR(C500="executing",C500="processing"),"Yes","No"))</x:f>
        <x:v>No</x:v>
      </x:c>
    </x:row>
    <x:row r="501">
      <x:c r="A501" s="170" t="str">
        <x:f>IF(ROWS($A$5:A501)&lt;=COUNTA('Raw Decommissioning'!$B$2:$B$1000),INDEX('Raw Decommissioning'!$B$2:$B$1000,ROWS($A$5:A501)),IF(ROWS($A$5:A501)-COUNTA('Raw Decommissioning'!$B$2:$B$1000)&lt;=COUNTA('Raw Provisioning'!$B$2:$B$1000),INDEX('Raw Provisioning'!$B$2:$B$1000,ROWS($A$5:A501)-COUNTA('Raw Decommissioning'!$B$2:$B$1000)),""))</x:f>
        <x:v>CSSP10335168</x:v>
      </x:c>
      <x:c r="B501" s="170" t="str">
        <x:f>IF(A501="","",IF(ROWS($A$5:A501)&lt;=COUNTA('Raw Decommissioning'!$B$2:$B$1000),"Decommissioning","Provisioning"))</x:f>
        <x:v>Provisioning</x:v>
      </x:c>
      <x:c r="C501" s="170" t="str">
        <x:f>IF(A501="","",IF(B501="Decommissioning",IFERROR(INDEX('Raw Decommissioning'!$E$2:$E$1000,MATCH(A501,'Raw Decommissioning'!$B$2:$B$1000,0)),"Missing from latest raw"),IFERROR(INDEX('Raw Provisioning'!$E$2:$E$1000,MATCH(A501,'Raw Provisioning'!$B$2:$B$1000,0)),"Missing from latest raw")))</x:f>
        <x:v>completed</x:v>
      </x:c>
      <x:c r="D501" s="171" t="n">
        <x:f>IF(A501="","",'Refresh Control'!$B$4)</x:f>
        <x:v>46254</x:v>
      </x:c>
      <x:c r="E501" s="171" t="n">
        <x:f>IF(A501="","",IF(B501="Decommissioning",INDEX('Raw Decommissioning'!$F$2:$F$1000,ROWS($A$5:A501)),INDEX('Raw Provisioning'!$F$2:$F$1000,ROWS($A$5:A501)-COUNTA('Raw Decommissioning'!$B$2:$B$1000))))</x:f>
        <x:v>46133.10650270833</x:v>
      </x:c>
      <x:c r="F501" s="171" t="n">
        <x:f>IF(A501="","",IF(B501="Decommissioning",INDEX('Raw Decommissioning'!$G$2:$G$1000,ROWS($A$5:A501)),INDEX('Raw Provisioning'!$H$2:$H$1000,ROWS($A$5:A501)-COUNTA('Raw Decommissioning'!$B$2:$B$1000))))</x:f>
        <x:v>46135.31911398148</x:v>
      </x:c>
      <x:c r="G501" s="170" t="str">
        <x:f>IF(A501="","",IF(B501="Decommissioning",INDEX('Raw Decommissioning'!$I$2:$I$1000,ROWS($A$5:A501)),INDEX('Raw Provisioning'!$J$2:$J$1000,ROWS($A$5:A501)-COUNTA('Raw Decommissioning'!$B$2:$B$1000))))</x:f>
        <x:v>RADIAN</x:v>
      </x:c>
      <x:c r="H501" s="170" t="str">
        <x:f>IF(A501="","",IF(B501="Decommissioning",INDEX('Raw Decommissioning'!$J$2:$J$1000,ROWS($A$5:A501)),INDEX('Raw Provisioning'!$L$2:$L$1000,ROWS($A$5:A501)-COUNTA('Raw Decommissioning'!$B$2:$B$1000))))</x:f>
        <x:v>Real-Time Advisory &amp; Drilling Insight via Artificial Neural Intelligence (RADIAN) for 
Wells formerly known HSPM</x:v>
      </x:c>
      <x:c r="I501" s="170" t="str">
        <x:f>IF(A501="","",IF(B501="Decommissioning",INDEX('Raw Decommissioning'!$AL$2:$AL$1000,ROWS($A$5:A501)),INDEX('Raw Provisioning'!$R$2:$R$1000,ROWS($A$5:A501)-COUNTA('Raw Decommissioning'!$B$2:$B$1000))))</x:f>
        <x:v>S</x:v>
      </x:c>
      <x:c r="J501" s="170" t="str">
        <x:f>IF(A501="","",IF(B501="Decommissioning",INDEX('Raw Decommissioning'!$AG$2:$AG$1000,ROWS($A$5:A501)),INDEX('Raw Provisioning'!$AI$2:$AI$1000,ROWS($A$5:A501)-COUNTA('Raw Decommissioning'!$B$2:$B$1000))))</x:f>
        <x:v>chunwu.lim@petronas.com</x:v>
      </x:c>
      <x:c r="K501" s="172" t="str">
        <x:f>IF(A501="","",IFERROR(LOOKUP(2,1/('Assignment History'!$B$5:$B$204=A501),'Assignment History'!$D$5:$D$204),IFERROR(VLOOKUP(J501,Configuration!$L$5:$M$50,2,FALSE),J501)))</x:f>
        <x:v>chunwu.lim@petronas.com</x:v>
      </x:c>
      <x:c r="L501" s="172" t="str">
        <x:f>IF(A501="","",IF(K501=IFERROR(VLOOKUP(J501,Configuration!$L$5:$M$50,2,FALSE),J501),"Snapshot PIC","Replacement PIC"))</x:f>
        <x:v>Snapshot PIC</x:v>
      </x:c>
      <x:c r="M501" s="172" t="n">
        <x:f>IF(A501="","",IFERROR(VLOOKUP(I501,Configuration!$O$5:$P$8,2,FALSE),Configuration!$S$6))</x:f>
        <x:v>1</x:v>
      </x:c>
      <x:c r="N501" s="172" t="str">
        <x:f>IF(A501="","",IFERROR(LOOKUP(2,1/('Scope Review'!$B$5:$B$204=A501),'Scope Review'!$G$5:$G$204),"Not Reviewed"))</x:f>
        <x:v>Not Reviewed</x:v>
      </x:c>
      <x:c r="O501" s="172" t="str">
        <x:f>IF(A501="","",IFERROR(LOOKUP(2,1/('Scope Review'!$B$5:$B$204=A501),'Scope Review'!$H$5:$H$204),""))</x:f>
      </x:c>
      <x:c r="P501" s="172" t="n">
        <x:f>IF(A501="","",IF(AND(C501="executing",N501&lt;&gt;"Confirmed OOS"),M501,0))</x:f>
        <x:v>0</x:v>
      </x:c>
      <x:c r="Q501" s="173" t="str">
        <x:f>IF(A501="","",IFERROR(LOOKUP(2,1/('Engineer Updates'!$B$5:$B$704=A501),'Engineer Updates'!$A$5:$A$704),""))</x:f>
      </x:c>
      <x:c r="R501" s="172" t="str">
        <x:f>IF(A501="","",IFERROR(LOOKUP(2,1/('Engineer Updates'!$B$5:$B$704=A501),'Engineer Updates'!$H$5:$H$704),""))</x:f>
      </x:c>
      <x:c r="S501" s="172" t="str">
        <x:f>IF(A501="","",IFERROR(LOOKUP(2,1/('Engineer Updates'!$B$5:$B$704=A501),'Engineer Updates'!$G$5:$G$704),""))</x:f>
      </x:c>
      <x:c r="T501" s="172" t="str">
        <x:f>IF(A501="","",IFERROR(LOOKUP(2,1/('Engineer Updates'!$B$5:$B$704=A501),'Engineer Updates'!$I$5:$I$704),""))</x:f>
      </x:c>
      <x:c r="U501" s="172" t="str">
        <x:f>IF(A501="","",IFERROR(LOOKUP(2,1/('Engineer Updates'!$B$5:$B$704=A501),'Engineer Updates'!$J$5:$J$704),""))</x:f>
      </x:c>
      <x:c r="V501" s="172" t="str">
        <x:f>IF(A501="","",IFERROR(LOOKUP(2,1/('Engineer Updates'!$B$5:$B$704=A501),'Engineer Updates'!$K$5:$K$704),""))</x:f>
      </x:c>
      <x:c r="W501" s="174" t="str">
        <x:f>IF(A501="","",IFERROR(LOOKUP(2,1/('Engineer Updates'!$B$5:$B$704=A501),'Engineer Updates'!$L$5:$L$704),""))</x:f>
      </x:c>
      <x:c r="X501" s="170" t="str">
        <x:f>IF(A501="","",IF(C501="completed","Completed in CSSP",IF(AND(C501="executing",ISERROR(SEARCH("@",K501))),"Executing without named engineer",IF(AND(N501="Confirmed OOS",C501="executing"),"Confirmed OOS still executing",""))))</x:f>
        <x:v>Completed in CSSP</x:v>
      </x:c>
      <x:c r="Y501" s="170" t="str">
        <x:f>IF(A501="","",IF(B501="Decommissioning","Raw Decommissioning","Raw Provisioning"))</x:f>
        <x:v>Raw Provisioning</x:v>
      </x:c>
      <x:c r="Z501" s="170" t="str">
        <x:f>IF(A501="","",IF(OR(C501="executing",C501="processing"),"Yes","No"))</x:f>
        <x:v>No</x:v>
      </x:c>
    </x:row>
    <x:row r="502">
      <x:c r="A502" s="170" t="str">
        <x:f>IF(ROWS($A$5:A502)&lt;=COUNTA('Raw Decommissioning'!$B$2:$B$1000),INDEX('Raw Decommissioning'!$B$2:$B$1000,ROWS($A$5:A502)),IF(ROWS($A$5:A502)-COUNTA('Raw Decommissioning'!$B$2:$B$1000)&lt;=COUNTA('Raw Provisioning'!$B$2:$B$1000),INDEX('Raw Provisioning'!$B$2:$B$1000,ROWS($A$5:A502)-COUNTA('Raw Decommissioning'!$B$2:$B$1000)),""))</x:f>
        <x:v>CSSP10489931</x:v>
      </x:c>
      <x:c r="B502" s="170" t="str">
        <x:f>IF(A502="","",IF(ROWS($A$5:A502)&lt;=COUNTA('Raw Decommissioning'!$B$2:$B$1000),"Decommissioning","Provisioning"))</x:f>
        <x:v>Provisioning</x:v>
      </x:c>
      <x:c r="C502" s="170" t="str">
        <x:f>IF(A502="","",IF(B502="Decommissioning",IFERROR(INDEX('Raw Decommissioning'!$E$2:$E$1000,MATCH(A502,'Raw Decommissioning'!$B$2:$B$1000,0)),"Missing from latest raw"),IFERROR(INDEX('Raw Provisioning'!$E$2:$E$1000,MATCH(A502,'Raw Provisioning'!$B$2:$B$1000,0)),"Missing from latest raw")))</x:f>
        <x:v>completed</x:v>
      </x:c>
      <x:c r="D502" s="171" t="n">
        <x:f>IF(A502="","",'Refresh Control'!$B$4)</x:f>
        <x:v>46254</x:v>
      </x:c>
      <x:c r="E502" s="171" t="n">
        <x:f>IF(A502="","",IF(B502="Decommissioning",INDEX('Raw Decommissioning'!$F$2:$F$1000,ROWS($A$5:A502)),INDEX('Raw Provisioning'!$F$2:$F$1000,ROWS($A$5:A502)-COUNTA('Raw Decommissioning'!$B$2:$B$1000))))</x:f>
        <x:v>46133.152506990744</x:v>
      </x:c>
      <x:c r="F502" s="171" t="n">
        <x:f>IF(A502="","",IF(B502="Decommissioning",INDEX('Raw Decommissioning'!$G$2:$G$1000,ROWS($A$5:A502)),INDEX('Raw Provisioning'!$H$2:$H$1000,ROWS($A$5:A502)-COUNTA('Raw Decommissioning'!$B$2:$B$1000))))</x:f>
        <x:v>46141.121513425926</x:v>
      </x:c>
      <x:c r="G502" s="170" t="str">
        <x:f>IF(A502="","",IF(B502="Decommissioning",INDEX('Raw Decommissioning'!$I$2:$I$1000,ROWS($A$5:A502)),INDEX('Raw Provisioning'!$J$2:$J$1000,ROWS($A$5:A502)-COUNTA('Raw Decommissioning'!$B$2:$B$1000))))</x:f>
        <x:v>Digital Intelligence Center - DIC</x:v>
      </x:c>
      <x:c r="H502" s="170" t="str">
        <x:f>IF(A502="","",IF(B502="Decommissioning",INDEX('Raw Decommissioning'!$J$2:$J$1000,ROWS($A$5:A502)),INDEX('Raw Provisioning'!$L$2:$L$1000,ROWS($A$5:A502)-COUNTA('Raw Decommissioning'!$B$2:$B$1000))))</x:f>
        <x:v>Deployment of Digital Intelligence Center (DIC) for Malaysia Petroleum Management (MPM)</x:v>
      </x:c>
      <x:c r="I502" s="170" t="str">
        <x:f>IF(A502="","",IF(B502="Decommissioning",INDEX('Raw Decommissioning'!$AL$2:$AL$1000,ROWS($A$5:A502)),INDEX('Raw Provisioning'!$R$2:$R$1000,ROWS($A$5:A502)-COUNTA('Raw Decommissioning'!$B$2:$B$1000))))</x:f>
        <x:v>S</x:v>
      </x:c>
      <x:c r="J502" s="170" t="str">
        <x:f>IF(A502="","",IF(B502="Decommissioning",INDEX('Raw Decommissioning'!$AG$2:$AG$1000,ROWS($A$5:A502)),INDEX('Raw Provisioning'!$AI$2:$AI$1000,ROWS($A$5:A502)-COUNTA('Raw Decommissioning'!$B$2:$B$1000))))</x:f>
        <x:v>mhafizi.madnan@petronas.com</x:v>
      </x:c>
      <x:c r="K502" s="172" t="str">
        <x:f>IF(A502="","",IFERROR(LOOKUP(2,1/('Assignment History'!$B$5:$B$204=A502),'Assignment History'!$D$5:$D$204),IFERROR(VLOOKUP(J502,Configuration!$L$5:$M$50,2,FALSE),J502)))</x:f>
        <x:v>mhafizi.madnan@petronas.com</x:v>
      </x:c>
      <x:c r="L502" s="172" t="str">
        <x:f>IF(A502="","",IF(K502=IFERROR(VLOOKUP(J502,Configuration!$L$5:$M$50,2,FALSE),J502),"Snapshot PIC","Replacement PIC"))</x:f>
        <x:v>Snapshot PIC</x:v>
      </x:c>
      <x:c r="M502" s="172" t="n">
        <x:f>IF(A502="","",IFERROR(VLOOKUP(I502,Configuration!$O$5:$P$8,2,FALSE),Configuration!$S$6))</x:f>
        <x:v>1</x:v>
      </x:c>
      <x:c r="N502" s="172" t="str">
        <x:f>IF(A502="","",IFERROR(LOOKUP(2,1/('Scope Review'!$B$5:$B$204=A502),'Scope Review'!$G$5:$G$204),"Not Reviewed"))</x:f>
        <x:v>Not Reviewed</x:v>
      </x:c>
      <x:c r="O502" s="172" t="str">
        <x:f>IF(A502="","",IFERROR(LOOKUP(2,1/('Scope Review'!$B$5:$B$204=A502),'Scope Review'!$H$5:$H$204),""))</x:f>
      </x:c>
      <x:c r="P502" s="172" t="n">
        <x:f>IF(A502="","",IF(AND(C502="executing",N502&lt;&gt;"Confirmed OOS"),M502,0))</x:f>
        <x:v>0</x:v>
      </x:c>
      <x:c r="Q502" s="173" t="str">
        <x:f>IF(A502="","",IFERROR(LOOKUP(2,1/('Engineer Updates'!$B$5:$B$704=A502),'Engineer Updates'!$A$5:$A$704),""))</x:f>
      </x:c>
      <x:c r="R502" s="172" t="str">
        <x:f>IF(A502="","",IFERROR(LOOKUP(2,1/('Engineer Updates'!$B$5:$B$704=A502),'Engineer Updates'!$H$5:$H$704),""))</x:f>
      </x:c>
      <x:c r="S502" s="172" t="str">
        <x:f>IF(A502="","",IFERROR(LOOKUP(2,1/('Engineer Updates'!$B$5:$B$704=A502),'Engineer Updates'!$G$5:$G$704),""))</x:f>
      </x:c>
      <x:c r="T502" s="172" t="str">
        <x:f>IF(A502="","",IFERROR(LOOKUP(2,1/('Engineer Updates'!$B$5:$B$704=A502),'Engineer Updates'!$I$5:$I$704),""))</x:f>
      </x:c>
      <x:c r="U502" s="172" t="str">
        <x:f>IF(A502="","",IFERROR(LOOKUP(2,1/('Engineer Updates'!$B$5:$B$704=A502),'Engineer Updates'!$J$5:$J$704),""))</x:f>
      </x:c>
      <x:c r="V502" s="172" t="str">
        <x:f>IF(A502="","",IFERROR(LOOKUP(2,1/('Engineer Updates'!$B$5:$B$704=A502),'Engineer Updates'!$K$5:$K$704),""))</x:f>
      </x:c>
      <x:c r="W502" s="174" t="str">
        <x:f>IF(A502="","",IFERROR(LOOKUP(2,1/('Engineer Updates'!$B$5:$B$704=A502),'Engineer Updates'!$L$5:$L$704),""))</x:f>
      </x:c>
      <x:c r="X502" s="170" t="str">
        <x:f>IF(A502="","",IF(C502="completed","Completed in CSSP",IF(AND(C502="executing",ISERROR(SEARCH("@",K502))),"Executing without named engineer",IF(AND(N502="Confirmed OOS",C502="executing"),"Confirmed OOS still executing",""))))</x:f>
        <x:v>Completed in CSSP</x:v>
      </x:c>
      <x:c r="Y502" s="170" t="str">
        <x:f>IF(A502="","",IF(B502="Decommissioning","Raw Decommissioning","Raw Provisioning"))</x:f>
        <x:v>Raw Provisioning</x:v>
      </x:c>
      <x:c r="Z502" s="170" t="str">
        <x:f>IF(A502="","",IF(OR(C502="executing",C502="processing"),"Yes","No"))</x:f>
        <x:v>No</x:v>
      </x:c>
    </x:row>
    <x:row r="503">
      <x:c r="A503" s="170" t="str">
        <x:f>IF(ROWS($A$5:A503)&lt;=COUNTA('Raw Decommissioning'!$B$2:$B$1000),INDEX('Raw Decommissioning'!$B$2:$B$1000,ROWS($A$5:A503)),IF(ROWS($A$5:A503)-COUNTA('Raw Decommissioning'!$B$2:$B$1000)&lt;=COUNTA('Raw Provisioning'!$B$2:$B$1000),INDEX('Raw Provisioning'!$B$2:$B$1000,ROWS($A$5:A503)-COUNTA('Raw Decommissioning'!$B$2:$B$1000)),""))</x:f>
        <x:v>CSSP10547846</x:v>
      </x:c>
      <x:c r="B503" s="170" t="str">
        <x:f>IF(A503="","",IF(ROWS($A$5:A503)&lt;=COUNTA('Raw Decommissioning'!$B$2:$B$1000),"Decommissioning","Provisioning"))</x:f>
        <x:v>Provisioning</x:v>
      </x:c>
      <x:c r="C503" s="170" t="str">
        <x:f>IF(A503="","",IF(B503="Decommissioning",IFERROR(INDEX('Raw Decommissioning'!$E$2:$E$1000,MATCH(A503,'Raw Decommissioning'!$B$2:$B$1000,0)),"Missing from latest raw"),IFERROR(INDEX('Raw Provisioning'!$E$2:$E$1000,MATCH(A503,'Raw Provisioning'!$B$2:$B$1000,0)),"Missing from latest raw")))</x:f>
        <x:v>completed</x:v>
      </x:c>
      <x:c r="D503" s="171" t="n">
        <x:f>IF(A503="","",'Refresh Control'!$B$4)</x:f>
        <x:v>46254</x:v>
      </x:c>
      <x:c r="E503" s="171" t="n">
        <x:f>IF(A503="","",IF(B503="Decommissioning",INDEX('Raw Decommissioning'!$F$2:$F$1000,ROWS($A$5:A503)),INDEX('Raw Provisioning'!$F$2:$F$1000,ROWS($A$5:A503)-COUNTA('Raw Decommissioning'!$B$2:$B$1000))))</x:f>
        <x:v>46134.11422584491</x:v>
      </x:c>
      <x:c r="F503" s="171" t="n">
        <x:f>IF(A503="","",IF(B503="Decommissioning",INDEX('Raw Decommissioning'!$G$2:$G$1000,ROWS($A$5:A503)),INDEX('Raw Provisioning'!$H$2:$H$1000,ROWS($A$5:A503)-COUNTA('Raw Decommissioning'!$B$2:$B$1000))))</x:f>
        <x:v>46155.17787675926</x:v>
      </x:c>
      <x:c r="G503" s="170" t="str">
        <x:f>IF(A503="","",IF(B503="Decommissioning",INDEX('Raw Decommissioning'!$I$2:$I$1000,ROWS($A$5:A503)),INDEX('Raw Provisioning'!$J$2:$J$1000,ROWS($A$5:A503)-COUNTA('Raw Decommissioning'!$B$2:$B$1000))))</x:f>
        <x:v>MyProcure</x:v>
      </x:c>
      <x:c r="H503" s="170" t="str">
        <x:f>IF(A503="","",IF(B503="Decommissioning",INDEX('Raw Decommissioning'!$J$2:$J$1000,ROWS($A$5:A503)),INDEX('Raw Provisioning'!$L$2:$L$1000,ROWS($A$5:A503)-COUNTA('Raw Decommissioning'!$B$2:$B$1000))))</x:f>
        <x:v>Procurement Innovation Through Automation And Procurement Marketplace</x:v>
      </x:c>
      <x:c r="I503" s="170" t="str">
        <x:f>IF(A503="","",IF(B503="Decommissioning",INDEX('Raw Decommissioning'!$AL$2:$AL$1000,ROWS($A$5:A503)),INDEX('Raw Provisioning'!$R$2:$R$1000,ROWS($A$5:A503)-COUNTA('Raw Decommissioning'!$B$2:$B$1000))))</x:f>
        <x:v>L</x:v>
      </x:c>
      <x:c r="J503" s="170" t="str">
        <x:f>IF(A503="","",IF(B503="Decommissioning",INDEX('Raw Decommissioning'!$AG$2:$AG$1000,ROWS($A$5:A503)),INDEX('Raw Provisioning'!$AI$2:$AI$1000,ROWS($A$5:A503)-COUNTA('Raw Decommissioning'!$B$2:$B$1000))))</x:f>
        <x:v>akhmal.roslan@petronas.com</x:v>
      </x:c>
      <x:c r="K503" s="172" t="str">
        <x:f>IF(A503="","",IFERROR(LOOKUP(2,1/('Assignment History'!$B$5:$B$204=A503),'Assignment History'!$D$5:$D$204),IFERROR(VLOOKUP(J503,Configuration!$L$5:$M$50,2,FALSE),J503)))</x:f>
        <x:v>akhmal.roslan@petronas.com</x:v>
      </x:c>
      <x:c r="L503" s="172" t="str">
        <x:f>IF(A503="","",IF(K503=IFERROR(VLOOKUP(J503,Configuration!$L$5:$M$50,2,FALSE),J503),"Snapshot PIC","Replacement PIC"))</x:f>
        <x:v>Snapshot PIC</x:v>
      </x:c>
      <x:c r="M503" s="172" t="n">
        <x:f>IF(A503="","",IFERROR(VLOOKUP(I503,Configuration!$O$5:$P$8,2,FALSE),Configuration!$S$6))</x:f>
        <x:v>3</x:v>
      </x:c>
      <x:c r="N503" s="172" t="str">
        <x:f>IF(A503="","",IFERROR(LOOKUP(2,1/('Scope Review'!$B$5:$B$204=A503),'Scope Review'!$G$5:$G$204),"Not Reviewed"))</x:f>
        <x:v>Not Reviewed</x:v>
      </x:c>
      <x:c r="O503" s="172" t="str">
        <x:f>IF(A503="","",IFERROR(LOOKUP(2,1/('Scope Review'!$B$5:$B$204=A503),'Scope Review'!$H$5:$H$204),""))</x:f>
      </x:c>
      <x:c r="P503" s="172" t="n">
        <x:f>IF(A503="","",IF(AND(C503="executing",N503&lt;&gt;"Confirmed OOS"),M503,0))</x:f>
        <x:v>0</x:v>
      </x:c>
      <x:c r="Q503" s="173" t="str">
        <x:f>IF(A503="","",IFERROR(LOOKUP(2,1/('Engineer Updates'!$B$5:$B$704=A503),'Engineer Updates'!$A$5:$A$704),""))</x:f>
      </x:c>
      <x:c r="R503" s="172" t="str">
        <x:f>IF(A503="","",IFERROR(LOOKUP(2,1/('Engineer Updates'!$B$5:$B$704=A503),'Engineer Updates'!$H$5:$H$704),""))</x:f>
      </x:c>
      <x:c r="S503" s="172" t="str">
        <x:f>IF(A503="","",IFERROR(LOOKUP(2,1/('Engineer Updates'!$B$5:$B$704=A503),'Engineer Updates'!$G$5:$G$704),""))</x:f>
      </x:c>
      <x:c r="T503" s="172" t="str">
        <x:f>IF(A503="","",IFERROR(LOOKUP(2,1/('Engineer Updates'!$B$5:$B$704=A503),'Engineer Updates'!$I$5:$I$704),""))</x:f>
      </x:c>
      <x:c r="U503" s="172" t="str">
        <x:f>IF(A503="","",IFERROR(LOOKUP(2,1/('Engineer Updates'!$B$5:$B$704=A503),'Engineer Updates'!$J$5:$J$704),""))</x:f>
      </x:c>
      <x:c r="V503" s="172" t="str">
        <x:f>IF(A503="","",IFERROR(LOOKUP(2,1/('Engineer Updates'!$B$5:$B$704=A503),'Engineer Updates'!$K$5:$K$704),""))</x:f>
      </x:c>
      <x:c r="W503" s="174" t="str">
        <x:f>IF(A503="","",IFERROR(LOOKUP(2,1/('Engineer Updates'!$B$5:$B$704=A503),'Engineer Updates'!$L$5:$L$704),""))</x:f>
      </x:c>
      <x:c r="X503" s="170" t="str">
        <x:f>IF(A503="","",IF(C503="completed","Completed in CSSP",IF(AND(C503="executing",ISERROR(SEARCH("@",K503))),"Executing without named engineer",IF(AND(N503="Confirmed OOS",C503="executing"),"Confirmed OOS still executing",""))))</x:f>
        <x:v>Completed in CSSP</x:v>
      </x:c>
      <x:c r="Y503" s="170" t="str">
        <x:f>IF(A503="","",IF(B503="Decommissioning","Raw Decommissioning","Raw Provisioning"))</x:f>
        <x:v>Raw Provisioning</x:v>
      </x:c>
      <x:c r="Z503" s="170" t="str">
        <x:f>IF(A503="","",IF(OR(C503="executing",C503="processing"),"Yes","No"))</x:f>
        <x:v>No</x:v>
      </x:c>
    </x:row>
    <x:row r="504">
      <x:c r="A504" s="170" t="str">
        <x:f>IF(ROWS($A$5:A504)&lt;=COUNTA('Raw Decommissioning'!$B$2:$B$1000),INDEX('Raw Decommissioning'!$B$2:$B$1000,ROWS($A$5:A504)),IF(ROWS($A$5:A504)-COUNTA('Raw Decommissioning'!$B$2:$B$1000)&lt;=COUNTA('Raw Provisioning'!$B$2:$B$1000),INDEX('Raw Provisioning'!$B$2:$B$1000,ROWS($A$5:A504)-COUNTA('Raw Decommissioning'!$B$2:$B$1000)),""))</x:f>
        <x:v>CSSP10697511</x:v>
      </x:c>
      <x:c r="B504" s="170" t="str">
        <x:f>IF(A504="","",IF(ROWS($A$5:A504)&lt;=COUNTA('Raw Decommissioning'!$B$2:$B$1000),"Decommissioning","Provisioning"))</x:f>
        <x:v>Provisioning</x:v>
      </x:c>
      <x:c r="C504" s="170" t="str">
        <x:f>IF(A504="","",IF(B504="Decommissioning",IFERROR(INDEX('Raw Decommissioning'!$E$2:$E$1000,MATCH(A504,'Raw Decommissioning'!$B$2:$B$1000,0)),"Missing from latest raw"),IFERROR(INDEX('Raw Provisioning'!$E$2:$E$1000,MATCH(A504,'Raw Provisioning'!$B$2:$B$1000,0)),"Missing from latest raw")))</x:f>
        <x:v>completed</x:v>
      </x:c>
      <x:c r="D504" s="171" t="n">
        <x:f>IF(A504="","",'Refresh Control'!$B$4)</x:f>
        <x:v>46254</x:v>
      </x:c>
      <x:c r="E504" s="171" t="n">
        <x:f>IF(A504="","",IF(B504="Decommissioning",INDEX('Raw Decommissioning'!$F$2:$F$1000,ROWS($A$5:A504)),INDEX('Raw Provisioning'!$F$2:$F$1000,ROWS($A$5:A504)-COUNTA('Raw Decommissioning'!$B$2:$B$1000))))</x:f>
        <x:v>46135.11258994213</x:v>
      </x:c>
      <x:c r="F504" s="171" t="n">
        <x:f>IF(A504="","",IF(B504="Decommissioning",INDEX('Raw Decommissioning'!$G$2:$G$1000,ROWS($A$5:A504)),INDEX('Raw Provisioning'!$H$2:$H$1000,ROWS($A$5:A504)-COUNTA('Raw Decommissioning'!$B$2:$B$1000))))</x:f>
        <x:v>46204.25907130787</x:v>
      </x:c>
      <x:c r="G504" s="170" t="str">
        <x:f>IF(A504="","",IF(B504="Decommissioning",INDEX('Raw Decommissioning'!$I$2:$I$1000,ROWS($A$5:A504)),INDEX('Raw Provisioning'!$J$2:$J$1000,ROWS($A$5:A504)-COUNTA('Raw Decommissioning'!$B$2:$B$1000))))</x:f>
        <x:v>PETRONAS Education Sponsorship Programme Web</x:v>
      </x:c>
      <x:c r="H504" s="170" t="str">
        <x:f>IF(A504="","",IF(B504="Decommissioning",INDEX('Raw Decommissioning'!$J$2:$J$1000,ROWS($A$5:A504)),INDEX('Raw Provisioning'!$L$2:$L$1000,ROWS($A$5:A504)-COUNTA('Raw Decommissioning'!$B$2:$B$1000))))</x:f>
        <x:v>Cloud Migration Program - PETRONAS Education Sponsorship Programme ESMS.NET 2.0</x:v>
      </x:c>
      <x:c r="I504" s="170" t="str">
        <x:f>IF(A504="","",IF(B504="Decommissioning",INDEX('Raw Decommissioning'!$AL$2:$AL$1000,ROWS($A$5:A504)),INDEX('Raw Provisioning'!$R$2:$R$1000,ROWS($A$5:A504)-COUNTA('Raw Decommissioning'!$B$2:$B$1000))))</x:f>
        <x:v>S</x:v>
      </x:c>
      <x:c r="J504" s="170" t="str">
        <x:f>IF(A504="","",IF(B504="Decommissioning",INDEX('Raw Decommissioning'!$AG$2:$AG$1000,ROWS($A$5:A504)),INDEX('Raw Provisioning'!$AI$2:$AI$1000,ROWS($A$5:A504)-COUNTA('Raw Decommissioning'!$B$2:$B$1000))))</x:f>
        <x:v>izham.ajmaan@petronas.com</x:v>
      </x:c>
      <x:c r="K504" s="172" t="str">
        <x:f>IF(A504="","",IFERROR(LOOKUP(2,1/('Assignment History'!$B$5:$B$204=A504),'Assignment History'!$D$5:$D$204),IFERROR(VLOOKUP(J504,Configuration!$L$5:$M$50,2,FALSE),J504)))</x:f>
        <x:v>izham.ajmaan@petronas.com</x:v>
      </x:c>
      <x:c r="L504" s="172" t="str">
        <x:f>IF(A504="","",IF(K504=IFERROR(VLOOKUP(J504,Configuration!$L$5:$M$50,2,FALSE),J504),"Snapshot PIC","Replacement PIC"))</x:f>
        <x:v>Snapshot PIC</x:v>
      </x:c>
      <x:c r="M504" s="172" t="n">
        <x:f>IF(A504="","",IFERROR(VLOOKUP(I504,Configuration!$O$5:$P$8,2,FALSE),Configuration!$S$6))</x:f>
        <x:v>1</x:v>
      </x:c>
      <x:c r="N504" s="172" t="str">
        <x:f>IF(A504="","",IFERROR(LOOKUP(2,1/('Scope Review'!$B$5:$B$204=A504),'Scope Review'!$G$5:$G$204),"Not Reviewed"))</x:f>
        <x:v>Not Reviewed</x:v>
      </x:c>
      <x:c r="O504" s="172" t="str">
        <x:f>IF(A504="","",IFERROR(LOOKUP(2,1/('Scope Review'!$B$5:$B$204=A504),'Scope Review'!$H$5:$H$204),""))</x:f>
      </x:c>
      <x:c r="P504" s="172" t="n">
        <x:f>IF(A504="","",IF(AND(C504="executing",N504&lt;&gt;"Confirmed OOS"),M504,0))</x:f>
        <x:v>0</x:v>
      </x:c>
      <x:c r="Q504" s="173" t="str">
        <x:f>IF(A504="","",IFERROR(LOOKUP(2,1/('Engineer Updates'!$B$5:$B$704=A504),'Engineer Updates'!$A$5:$A$704),""))</x:f>
      </x:c>
      <x:c r="R504" s="172" t="str">
        <x:f>IF(A504="","",IFERROR(LOOKUP(2,1/('Engineer Updates'!$B$5:$B$704=A504),'Engineer Updates'!$H$5:$H$704),""))</x:f>
      </x:c>
      <x:c r="S504" s="172" t="str">
        <x:f>IF(A504="","",IFERROR(LOOKUP(2,1/('Engineer Updates'!$B$5:$B$704=A504),'Engineer Updates'!$G$5:$G$704),""))</x:f>
      </x:c>
      <x:c r="T504" s="172" t="str">
        <x:f>IF(A504="","",IFERROR(LOOKUP(2,1/('Engineer Updates'!$B$5:$B$704=A504),'Engineer Updates'!$I$5:$I$704),""))</x:f>
      </x:c>
      <x:c r="U504" s="172" t="str">
        <x:f>IF(A504="","",IFERROR(LOOKUP(2,1/('Engineer Updates'!$B$5:$B$704=A504),'Engineer Updates'!$J$5:$J$704),""))</x:f>
      </x:c>
      <x:c r="V504" s="172" t="str">
        <x:f>IF(A504="","",IFERROR(LOOKUP(2,1/('Engineer Updates'!$B$5:$B$704=A504),'Engineer Updates'!$K$5:$K$704),""))</x:f>
      </x:c>
      <x:c r="W504" s="174" t="str">
        <x:f>IF(A504="","",IFERROR(LOOKUP(2,1/('Engineer Updates'!$B$5:$B$704=A504),'Engineer Updates'!$L$5:$L$704),""))</x:f>
      </x:c>
      <x:c r="X504" s="170" t="str">
        <x:f>IF(A504="","",IF(C504="completed","Completed in CSSP",IF(AND(C504="executing",ISERROR(SEARCH("@",K504))),"Executing without named engineer",IF(AND(N504="Confirmed OOS",C504="executing"),"Confirmed OOS still executing",""))))</x:f>
        <x:v>Completed in CSSP</x:v>
      </x:c>
      <x:c r="Y504" s="170" t="str">
        <x:f>IF(A504="","",IF(B504="Decommissioning","Raw Decommissioning","Raw Provisioning"))</x:f>
        <x:v>Raw Provisioning</x:v>
      </x:c>
      <x:c r="Z504" s="170" t="str">
        <x:f>IF(A504="","",IF(OR(C504="executing",C504="processing"),"Yes","No"))</x:f>
        <x:v>No</x:v>
      </x:c>
    </x:row>
    <x:row r="505">
      <x:c r="A505" s="170" t="str">
        <x:f>IF(ROWS($A$5:A505)&lt;=COUNTA('Raw Decommissioning'!$B$2:$B$1000),INDEX('Raw Decommissioning'!$B$2:$B$1000,ROWS($A$5:A505)),IF(ROWS($A$5:A505)-COUNTA('Raw Decommissioning'!$B$2:$B$1000)&lt;=COUNTA('Raw Provisioning'!$B$2:$B$1000),INDEX('Raw Provisioning'!$B$2:$B$1000,ROWS($A$5:A505)-COUNTA('Raw Decommissioning'!$B$2:$B$1000)),""))</x:f>
        <x:v>CSSP10594123</x:v>
      </x:c>
      <x:c r="B505" s="170" t="str">
        <x:f>IF(A505="","",IF(ROWS($A$5:A505)&lt;=COUNTA('Raw Decommissioning'!$B$2:$B$1000),"Decommissioning","Provisioning"))</x:f>
        <x:v>Provisioning</x:v>
      </x:c>
      <x:c r="C505" s="170" t="str">
        <x:f>IF(A505="","",IF(B505="Decommissioning",IFERROR(INDEX('Raw Decommissioning'!$E$2:$E$1000,MATCH(A505,'Raw Decommissioning'!$B$2:$B$1000,0)),"Missing from latest raw"),IFERROR(INDEX('Raw Provisioning'!$E$2:$E$1000,MATCH(A505,'Raw Provisioning'!$B$2:$B$1000,0)),"Missing from latest raw")))</x:f>
        <x:v>completed</x:v>
      </x:c>
      <x:c r="D505" s="171" t="n">
        <x:f>IF(A505="","",'Refresh Control'!$B$4)</x:f>
        <x:v>46254</x:v>
      </x:c>
      <x:c r="E505" s="171" t="n">
        <x:f>IF(A505="","",IF(B505="Decommissioning",INDEX('Raw Decommissioning'!$F$2:$F$1000,ROWS($A$5:A505)),INDEX('Raw Provisioning'!$F$2:$F$1000,ROWS($A$5:A505)-COUNTA('Raw Decommissioning'!$B$2:$B$1000))))</x:f>
        <x:v>46135.350320335645</x:v>
      </x:c>
      <x:c r="F505" s="171" t="n">
        <x:f>IF(A505="","",IF(B505="Decommissioning",INDEX('Raw Decommissioning'!$G$2:$G$1000,ROWS($A$5:A505)),INDEX('Raw Provisioning'!$H$2:$H$1000,ROWS($A$5:A505)-COUNTA('Raw Decommissioning'!$B$2:$B$1000))))</x:f>
        <x:v>46153.10953412037</x:v>
      </x:c>
      <x:c r="G505" s="170" t="str">
        <x:f>IF(A505="","",IF(B505="Decommissioning",INDEX('Raw Decommissioning'!$I$2:$I$1000,ROWS($A$5:A505)),INDEX('Raw Provisioning'!$J$2:$J$1000,ROWS($A$5:A505)-COUNTA('Raw Decommissioning'!$B$2:$B$1000))))</x:f>
        <x:v>Azure Machine Learning - PRPC</x:v>
      </x:c>
      <x:c r="H505" s="170" t="str">
        <x:f>IF(A505="","",IF(B505="Decommissioning",INDEX('Raw Decommissioning'!$J$2:$J$1000,ROWS($A$5:A505)),INDEX('Raw Provisioning'!$L$2:$L$1000,ROWS($A$5:A505)-COUNTA('Raw Decommissioning'!$B$2:$B$1000))))</x:f>
        <x:v>Run &amp; Maintain Citizen Analytics Use Cases for PRPC</x:v>
      </x:c>
      <x:c r="I505" s="170" t="str">
        <x:f>IF(A505="","",IF(B505="Decommissioning",INDEX('Raw Decommissioning'!$AL$2:$AL$1000,ROWS($A$5:A505)),INDEX('Raw Provisioning'!$R$2:$R$1000,ROWS($A$5:A505)-COUNTA('Raw Decommissioning'!$B$2:$B$1000))))</x:f>
        <x:v>S</x:v>
      </x:c>
      <x:c r="J505" s="170" t="str">
        <x:f>IF(A505="","",IF(B505="Decommissioning",INDEX('Raw Decommissioning'!$AG$2:$AG$1000,ROWS($A$5:A505)),INDEX('Raw Provisioning'!$AI$2:$AI$1000,ROWS($A$5:A505)-COUNTA('Raw Decommissioning'!$B$2:$B$1000))))</x:f>
        <x:v>azhan.shazeli@petronas.com</x:v>
      </x:c>
      <x:c r="K505" s="172" t="str">
        <x:f>IF(A505="","",IFERROR(LOOKUP(2,1/('Assignment History'!$B$5:$B$204=A505),'Assignment History'!$D$5:$D$204),IFERROR(VLOOKUP(J505,Configuration!$L$5:$M$50,2,FALSE),J505)))</x:f>
        <x:v>azhan.shazeli@petronas.com</x:v>
      </x:c>
      <x:c r="L505" s="172" t="str">
        <x:f>IF(A505="","",IF(K505=IFERROR(VLOOKUP(J505,Configuration!$L$5:$M$50,2,FALSE),J505),"Snapshot PIC","Replacement PIC"))</x:f>
        <x:v>Snapshot PIC</x:v>
      </x:c>
      <x:c r="M505" s="172" t="n">
        <x:f>IF(A505="","",IFERROR(VLOOKUP(I505,Configuration!$O$5:$P$8,2,FALSE),Configuration!$S$6))</x:f>
        <x:v>1</x:v>
      </x:c>
      <x:c r="N505" s="172" t="str">
        <x:f>IF(A505="","",IFERROR(LOOKUP(2,1/('Scope Review'!$B$5:$B$204=A505),'Scope Review'!$G$5:$G$204),"Not Reviewed"))</x:f>
        <x:v>Not Reviewed</x:v>
      </x:c>
      <x:c r="O505" s="172" t="str">
        <x:f>IF(A505="","",IFERROR(LOOKUP(2,1/('Scope Review'!$B$5:$B$204=A505),'Scope Review'!$H$5:$H$204),""))</x:f>
      </x:c>
      <x:c r="P505" s="172" t="n">
        <x:f>IF(A505="","",IF(AND(C505="executing",N505&lt;&gt;"Confirmed OOS"),M505,0))</x:f>
        <x:v>0</x:v>
      </x:c>
      <x:c r="Q505" s="173" t="str">
        <x:f>IF(A505="","",IFERROR(LOOKUP(2,1/('Engineer Updates'!$B$5:$B$704=A505),'Engineer Updates'!$A$5:$A$704),""))</x:f>
      </x:c>
      <x:c r="R505" s="172" t="str">
        <x:f>IF(A505="","",IFERROR(LOOKUP(2,1/('Engineer Updates'!$B$5:$B$704=A505),'Engineer Updates'!$H$5:$H$704),""))</x:f>
      </x:c>
      <x:c r="S505" s="172" t="str">
        <x:f>IF(A505="","",IFERROR(LOOKUP(2,1/('Engineer Updates'!$B$5:$B$704=A505),'Engineer Updates'!$G$5:$G$704),""))</x:f>
      </x:c>
      <x:c r="T505" s="172" t="str">
        <x:f>IF(A505="","",IFERROR(LOOKUP(2,1/('Engineer Updates'!$B$5:$B$704=A505),'Engineer Updates'!$I$5:$I$704),""))</x:f>
      </x:c>
      <x:c r="U505" s="172" t="str">
        <x:f>IF(A505="","",IFERROR(LOOKUP(2,1/('Engineer Updates'!$B$5:$B$704=A505),'Engineer Updates'!$J$5:$J$704),""))</x:f>
      </x:c>
      <x:c r="V505" s="172" t="str">
        <x:f>IF(A505="","",IFERROR(LOOKUP(2,1/('Engineer Updates'!$B$5:$B$704=A505),'Engineer Updates'!$K$5:$K$704),""))</x:f>
      </x:c>
      <x:c r="W505" s="174" t="str">
        <x:f>IF(A505="","",IFERROR(LOOKUP(2,1/('Engineer Updates'!$B$5:$B$704=A505),'Engineer Updates'!$L$5:$L$704),""))</x:f>
      </x:c>
      <x:c r="X505" s="170" t="str">
        <x:f>IF(A505="","",IF(C505="completed","Completed in CSSP",IF(AND(C505="executing",ISERROR(SEARCH("@",K505))),"Executing without named engineer",IF(AND(N505="Confirmed OOS",C505="executing"),"Confirmed OOS still executing",""))))</x:f>
        <x:v>Completed in CSSP</x:v>
      </x:c>
      <x:c r="Y505" s="170" t="str">
        <x:f>IF(A505="","",IF(B505="Decommissioning","Raw Decommissioning","Raw Provisioning"))</x:f>
        <x:v>Raw Provisioning</x:v>
      </x:c>
      <x:c r="Z505" s="170" t="str">
        <x:f>IF(A505="","",IF(OR(C505="executing",C505="processing"),"Yes","No"))</x:f>
        <x:v>No</x:v>
      </x:c>
    </x:row>
    <x:row r="506">
      <x:c r="A506" s="170" t="str">
        <x:f>IF(ROWS($A$5:A506)&lt;=COUNTA('Raw Decommissioning'!$B$2:$B$1000),INDEX('Raw Decommissioning'!$B$2:$B$1000,ROWS($A$5:A506)),IF(ROWS($A$5:A506)-COUNTA('Raw Decommissioning'!$B$2:$B$1000)&lt;=COUNTA('Raw Provisioning'!$B$2:$B$1000),INDEX('Raw Provisioning'!$B$2:$B$1000,ROWS($A$5:A506)-COUNTA('Raw Decommissioning'!$B$2:$B$1000)),""))</x:f>
        <x:v>CSSP10893583</x:v>
      </x:c>
      <x:c r="B506" s="170" t="str">
        <x:f>IF(A506="","",IF(ROWS($A$5:A506)&lt;=COUNTA('Raw Decommissioning'!$B$2:$B$1000),"Decommissioning","Provisioning"))</x:f>
        <x:v>Provisioning</x:v>
      </x:c>
      <x:c r="C506" s="170" t="str">
        <x:f>IF(A506="","",IF(B506="Decommissioning",IFERROR(INDEX('Raw Decommissioning'!$E$2:$E$1000,MATCH(A506,'Raw Decommissioning'!$B$2:$B$1000,0)),"Missing from latest raw"),IFERROR(INDEX('Raw Provisioning'!$E$2:$E$1000,MATCH(A506,'Raw Provisioning'!$B$2:$B$1000,0)),"Missing from latest raw")))</x:f>
        <x:v>rejected</x:v>
      </x:c>
      <x:c r="D506" s="171" t="n">
        <x:f>IF(A506="","",'Refresh Control'!$B$4)</x:f>
        <x:v>46254</x:v>
      </x:c>
      <x:c r="E506" s="171" t="n">
        <x:f>IF(A506="","",IF(B506="Decommissioning",INDEX('Raw Decommissioning'!$F$2:$F$1000,ROWS($A$5:A506)),INDEX('Raw Provisioning'!$F$2:$F$1000,ROWS($A$5:A506)-COUNTA('Raw Decommissioning'!$B$2:$B$1000))))</x:f>
        <x:v>46138.6525341088</x:v>
      </x:c>
      <x:c r="F506" s="171" t="n">
        <x:f>IF(A506="","",IF(B506="Decommissioning",INDEX('Raw Decommissioning'!$G$2:$G$1000,ROWS($A$5:A506)),INDEX('Raw Provisioning'!$H$2:$H$1000,ROWS($A$5:A506)-COUNTA('Raw Decommissioning'!$B$2:$B$1000))))</x:f>
        <x:v>46147.16422601852</x:v>
      </x:c>
      <x:c r="G506" s="170" t="str">
        <x:f>IF(A506="","",IF(B506="Decommissioning",INDEX('Raw Decommissioning'!$I$2:$I$1000,ROWS($A$5:A506)),INDEX('Raw Provisioning'!$J$2:$J$1000,ROWS($A$5:A506)-COUNTA('Raw Decommissioning'!$B$2:$B$1000))))</x:f>
        <x:v>Enterprise Application Observability</x:v>
      </x:c>
      <x:c r="H506" s="170" t="str">
        <x:f>IF(A506="","",IF(B506="Decommissioning",INDEX('Raw Decommissioning'!$J$2:$J$1000,ROWS($A$5:A506)),INDEX('Raw Provisioning'!$L$2:$L$1000,ROWS($A$5:A506)-COUNTA('Raw Decommissioning'!$B$2:$B$1000))))</x:f>
        <x:v>Enterprise Application Observability</x:v>
      </x:c>
      <x:c r="I506" s="170" t="str">
        <x:f>IF(A506="","",IF(B506="Decommissioning",INDEX('Raw Decommissioning'!$AL$2:$AL$1000,ROWS($A$5:A506)),INDEX('Raw Provisioning'!$R$2:$R$1000,ROWS($A$5:A506)-COUNTA('Raw Decommissioning'!$B$2:$B$1000))))</x:f>
      </x:c>
      <x:c r="J506" s="170" t="str">
        <x:f>IF(A506="","",IF(B506="Decommissioning",INDEX('Raw Decommissioning'!$AG$2:$AG$1000,ROWS($A$5:A506)),INDEX('Raw Provisioning'!$AI$2:$AI$1000,ROWS($A$5:A506)-COUNTA('Raw Decommissioning'!$B$2:$B$1000))))</x:f>
        <x:v>CCoE Core Services (Public)</x:v>
      </x:c>
      <x:c r="K506" s="172" t="str">
        <x:f>IF(A506="","",IFERROR(LOOKUP(2,1/('Assignment History'!$B$5:$B$204=A506),'Assignment History'!$D$5:$D$204),IFERROR(VLOOKUP(J506,Configuration!$L$5:$M$50,2,FALSE),J506)))</x:f>
        <x:v>CCoE Core Services (Public)</x:v>
      </x:c>
      <x:c r="L506" s="172" t="str">
        <x:f>IF(A506="","",IF(K506=IFERROR(VLOOKUP(J506,Configuration!$L$5:$M$50,2,FALSE),J506),"Snapshot PIC","Replacement PIC"))</x:f>
        <x:v>Snapshot PIC</x:v>
      </x:c>
      <x:c r="M506" s="172" t="n">
        <x:f>IF(A506="","",IFERROR(VLOOKUP(I506,Configuration!$O$5:$P$8,2,FALSE),Configuration!$S$6))</x:f>
        <x:v>2</x:v>
      </x:c>
      <x:c r="N506" s="172" t="str">
        <x:f>IF(A506="","",IFERROR(LOOKUP(2,1/('Scope Review'!$B$5:$B$204=A506),'Scope Review'!$G$5:$G$204),"Not Reviewed"))</x:f>
        <x:v>Not Reviewed</x:v>
      </x:c>
      <x:c r="O506" s="172" t="str">
        <x:f>IF(A506="","",IFERROR(LOOKUP(2,1/('Scope Review'!$B$5:$B$204=A506),'Scope Review'!$H$5:$H$204),""))</x:f>
      </x:c>
      <x:c r="P506" s="172" t="n">
        <x:f>IF(A506="","",IF(AND(C506="executing",N506&lt;&gt;"Confirmed OOS"),M506,0))</x:f>
        <x:v>0</x:v>
      </x:c>
      <x:c r="Q506" s="173" t="str">
        <x:f>IF(A506="","",IFERROR(LOOKUP(2,1/('Engineer Updates'!$B$5:$B$704=A506),'Engineer Updates'!$A$5:$A$704),""))</x:f>
      </x:c>
      <x:c r="R506" s="172" t="str">
        <x:f>IF(A506="","",IFERROR(LOOKUP(2,1/('Engineer Updates'!$B$5:$B$704=A506),'Engineer Updates'!$H$5:$H$704),""))</x:f>
      </x:c>
      <x:c r="S506" s="172" t="str">
        <x:f>IF(A506="","",IFERROR(LOOKUP(2,1/('Engineer Updates'!$B$5:$B$704=A506),'Engineer Updates'!$G$5:$G$704),""))</x:f>
      </x:c>
      <x:c r="T506" s="172" t="str">
        <x:f>IF(A506="","",IFERROR(LOOKUP(2,1/('Engineer Updates'!$B$5:$B$704=A506),'Engineer Updates'!$I$5:$I$704),""))</x:f>
      </x:c>
      <x:c r="U506" s="172" t="str">
        <x:f>IF(A506="","",IFERROR(LOOKUP(2,1/('Engineer Updates'!$B$5:$B$704=A506),'Engineer Updates'!$J$5:$J$704),""))</x:f>
      </x:c>
      <x:c r="V506" s="172" t="str">
        <x:f>IF(A506="","",IFERROR(LOOKUP(2,1/('Engineer Updates'!$B$5:$B$704=A506),'Engineer Updates'!$K$5:$K$704),""))</x:f>
      </x:c>
      <x:c r="W506" s="174" t="str">
        <x:f>IF(A506="","",IFERROR(LOOKUP(2,1/('Engineer Updates'!$B$5:$B$704=A506),'Engineer Updates'!$L$5:$L$704),""))</x:f>
      </x:c>
      <x:c r="X506" s="170" t="str">
        <x:f>IF(A506="","",IF(C506="completed","Completed in CSSP",IF(AND(C506="executing",ISERROR(SEARCH("@",K506))),"Executing without named engineer",IF(AND(N506="Confirmed OOS",C506="executing"),"Confirmed OOS still executing",""))))</x:f>
      </x:c>
      <x:c r="Y506" s="170" t="str">
        <x:f>IF(A506="","",IF(B506="Decommissioning","Raw Decommissioning","Raw Provisioning"))</x:f>
        <x:v>Raw Provisioning</x:v>
      </x:c>
      <x:c r="Z506" s="170" t="str">
        <x:f>IF(A506="","",IF(OR(C506="executing",C506="processing"),"Yes","No"))</x:f>
        <x:v>No</x:v>
      </x:c>
    </x:row>
    <x:row r="507">
      <x:c r="A507" s="170" t="str">
        <x:f>IF(ROWS($A$5:A507)&lt;=COUNTA('Raw Decommissioning'!$B$2:$B$1000),INDEX('Raw Decommissioning'!$B$2:$B$1000,ROWS($A$5:A507)),IF(ROWS($A$5:A507)-COUNTA('Raw Decommissioning'!$B$2:$B$1000)&lt;=COUNTA('Raw Provisioning'!$B$2:$B$1000),INDEX('Raw Provisioning'!$B$2:$B$1000,ROWS($A$5:A507)-COUNTA('Raw Decommissioning'!$B$2:$B$1000)),""))</x:f>
        <x:v>CSSP10407326</x:v>
      </x:c>
      <x:c r="B507" s="170" t="str">
        <x:f>IF(A507="","",IF(ROWS($A$5:A507)&lt;=COUNTA('Raw Decommissioning'!$B$2:$B$1000),"Decommissioning","Provisioning"))</x:f>
        <x:v>Provisioning</x:v>
      </x:c>
      <x:c r="C507" s="170" t="str">
        <x:f>IF(A507="","",IF(B507="Decommissioning",IFERROR(INDEX('Raw Decommissioning'!$E$2:$E$1000,MATCH(A507,'Raw Decommissioning'!$B$2:$B$1000,0)),"Missing from latest raw"),IFERROR(INDEX('Raw Provisioning'!$E$2:$E$1000,MATCH(A507,'Raw Provisioning'!$B$2:$B$1000,0)),"Missing from latest raw")))</x:f>
        <x:v>completed</x:v>
      </x:c>
      <x:c r="D507" s="171" t="n">
        <x:f>IF(A507="","",'Refresh Control'!$B$4)</x:f>
        <x:v>46254</x:v>
      </x:c>
      <x:c r="E507" s="171" t="n">
        <x:f>IF(A507="","",IF(B507="Decommissioning",INDEX('Raw Decommissioning'!$F$2:$F$1000,ROWS($A$5:A507)),INDEX('Raw Provisioning'!$F$2:$F$1000,ROWS($A$5:A507)-COUNTA('Raw Decommissioning'!$B$2:$B$1000))))</x:f>
        <x:v>46139.954115381945</x:v>
      </x:c>
      <x:c r="F507" s="171" t="n">
        <x:f>IF(A507="","",IF(B507="Decommissioning",INDEX('Raw Decommissioning'!$G$2:$G$1000,ROWS($A$5:A507)),INDEX('Raw Provisioning'!$H$2:$H$1000,ROWS($A$5:A507)-COUNTA('Raw Decommissioning'!$B$2:$B$1000))))</x:f>
        <x:v>46167.07282755787</x:v>
      </x:c>
      <x:c r="G507" s="170" t="str">
        <x:f>IF(A507="","",IF(B507="Decommissioning",INDEX('Raw Decommissioning'!$I$2:$I$1000,ROWS($A$5:A507)),INDEX('Raw Provisioning'!$J$2:$J$1000,ROWS($A$5:A507)-COUNTA('Raw Decommissioning'!$B$2:$B$1000))))</x:f>
        <x:v>MyPROData</x:v>
      </x:c>
      <x:c r="H507" s="170" t="str">
        <x:f>IF(A507="","",IF(B507="Decommissioning",INDEX('Raw Decommissioning'!$J$2:$J$1000,ROWS($A$5:A507)),INDEX('Raw Provisioning'!$L$2:$L$1000,ROWS($A$5:A507)-COUNTA('Raw Decommissioning'!$B$2:$B$1000))))</x:f>
        <x:v>Shared Support Services (SecOps) myPROdata FY2025 for Malaysia Petroleum Management (MPM)</x:v>
      </x:c>
      <x:c r="I507" s="170" t="str">
        <x:f>IF(A507="","",IF(B507="Decommissioning",INDEX('Raw Decommissioning'!$AL$2:$AL$1000,ROWS($A$5:A507)),INDEX('Raw Provisioning'!$R$2:$R$1000,ROWS($A$5:A507)-COUNTA('Raw Decommissioning'!$B$2:$B$1000))))</x:f>
        <x:v>M</x:v>
      </x:c>
      <x:c r="J507" s="170" t="str">
        <x:f>IF(A507="","",IF(B507="Decommissioning",INDEX('Raw Decommissioning'!$AG$2:$AG$1000,ROWS($A$5:A507)),INDEX('Raw Provisioning'!$AI$2:$AI$1000,ROWS($A$5:A507)-COUNTA('Raw Decommissioning'!$B$2:$B$1000))))</x:f>
        <x:v>badri.shaharudin@petronas.com</x:v>
      </x:c>
      <x:c r="K507" s="172" t="str">
        <x:f>IF(A507="","",IFERROR(LOOKUP(2,1/('Assignment History'!$B$5:$B$204=A507),'Assignment History'!$D$5:$D$204),IFERROR(VLOOKUP(J507,Configuration!$L$5:$M$50,2,FALSE),J507)))</x:f>
        <x:v>badri.shaharudin@petronas.com</x:v>
      </x:c>
      <x:c r="L507" s="172" t="str">
        <x:f>IF(A507="","",IF(K507=IFERROR(VLOOKUP(J507,Configuration!$L$5:$M$50,2,FALSE),J507),"Snapshot PIC","Replacement PIC"))</x:f>
        <x:v>Snapshot PIC</x:v>
      </x:c>
      <x:c r="M507" s="172" t="n">
        <x:f>IF(A507="","",IFERROR(VLOOKUP(I507,Configuration!$O$5:$P$8,2,FALSE),Configuration!$S$6))</x:f>
        <x:v>2</x:v>
      </x:c>
      <x:c r="N507" s="172" t="str">
        <x:f>IF(A507="","",IFERROR(LOOKUP(2,1/('Scope Review'!$B$5:$B$204=A507),'Scope Review'!$G$5:$G$204),"Not Reviewed"))</x:f>
        <x:v>Not Reviewed</x:v>
      </x:c>
      <x:c r="O507" s="172" t="str">
        <x:f>IF(A507="","",IFERROR(LOOKUP(2,1/('Scope Review'!$B$5:$B$204=A507),'Scope Review'!$H$5:$H$204),""))</x:f>
      </x:c>
      <x:c r="P507" s="172" t="n">
        <x:f>IF(A507="","",IF(AND(C507="executing",N507&lt;&gt;"Confirmed OOS"),M507,0))</x:f>
        <x:v>0</x:v>
      </x:c>
      <x:c r="Q507" s="173" t="str">
        <x:f>IF(A507="","",IFERROR(LOOKUP(2,1/('Engineer Updates'!$B$5:$B$704=A507),'Engineer Updates'!$A$5:$A$704),""))</x:f>
      </x:c>
      <x:c r="R507" s="172" t="str">
        <x:f>IF(A507="","",IFERROR(LOOKUP(2,1/('Engineer Updates'!$B$5:$B$704=A507),'Engineer Updates'!$H$5:$H$704),""))</x:f>
      </x:c>
      <x:c r="S507" s="172" t="str">
        <x:f>IF(A507="","",IFERROR(LOOKUP(2,1/('Engineer Updates'!$B$5:$B$704=A507),'Engineer Updates'!$G$5:$G$704),""))</x:f>
      </x:c>
      <x:c r="T507" s="172" t="str">
        <x:f>IF(A507="","",IFERROR(LOOKUP(2,1/('Engineer Updates'!$B$5:$B$704=A507),'Engineer Updates'!$I$5:$I$704),""))</x:f>
      </x:c>
      <x:c r="U507" s="172" t="str">
        <x:f>IF(A507="","",IFERROR(LOOKUP(2,1/('Engineer Updates'!$B$5:$B$704=A507),'Engineer Updates'!$J$5:$J$704),""))</x:f>
      </x:c>
      <x:c r="V507" s="172" t="str">
        <x:f>IF(A507="","",IFERROR(LOOKUP(2,1/('Engineer Updates'!$B$5:$B$704=A507),'Engineer Updates'!$K$5:$K$704),""))</x:f>
      </x:c>
      <x:c r="W507" s="174" t="str">
        <x:f>IF(A507="","",IFERROR(LOOKUP(2,1/('Engineer Updates'!$B$5:$B$704=A507),'Engineer Updates'!$L$5:$L$704),""))</x:f>
      </x:c>
      <x:c r="X507" s="170" t="str">
        <x:f>IF(A507="","",IF(C507="completed","Completed in CSSP",IF(AND(C507="executing",ISERROR(SEARCH("@",K507))),"Executing without named engineer",IF(AND(N507="Confirmed OOS",C507="executing"),"Confirmed OOS still executing",""))))</x:f>
        <x:v>Completed in CSSP</x:v>
      </x:c>
      <x:c r="Y507" s="170" t="str">
        <x:f>IF(A507="","",IF(B507="Decommissioning","Raw Decommissioning","Raw Provisioning"))</x:f>
        <x:v>Raw Provisioning</x:v>
      </x:c>
      <x:c r="Z507" s="170" t="str">
        <x:f>IF(A507="","",IF(OR(C507="executing",C507="processing"),"Yes","No"))</x:f>
        <x:v>No</x:v>
      </x:c>
    </x:row>
    <x:row r="508">
      <x:c r="A508" s="170" t="str">
        <x:f>IF(ROWS($A$5:A508)&lt;=COUNTA('Raw Decommissioning'!$B$2:$B$1000),INDEX('Raw Decommissioning'!$B$2:$B$1000,ROWS($A$5:A508)),IF(ROWS($A$5:A508)-COUNTA('Raw Decommissioning'!$B$2:$B$1000)&lt;=COUNTA('Raw Provisioning'!$B$2:$B$1000),INDEX('Raw Provisioning'!$B$2:$B$1000,ROWS($A$5:A508)-COUNTA('Raw Decommissioning'!$B$2:$B$1000)),""))</x:f>
        <x:v>CSSP10574214</x:v>
      </x:c>
      <x:c r="B508" s="170" t="str">
        <x:f>IF(A508="","",IF(ROWS($A$5:A508)&lt;=COUNTA('Raw Decommissioning'!$B$2:$B$1000),"Decommissioning","Provisioning"))</x:f>
        <x:v>Provisioning</x:v>
      </x:c>
      <x:c r="C508" s="170" t="str">
        <x:f>IF(A508="","",IF(B508="Decommissioning",IFERROR(INDEX('Raw Decommissioning'!$E$2:$E$1000,MATCH(A508,'Raw Decommissioning'!$B$2:$B$1000,0)),"Missing from latest raw"),IFERROR(INDEX('Raw Provisioning'!$E$2:$E$1000,MATCH(A508,'Raw Provisioning'!$B$2:$B$1000,0)),"Missing from latest raw")))</x:f>
        <x:v>completed</x:v>
      </x:c>
      <x:c r="D508" s="171" t="n">
        <x:f>IF(A508="","",'Refresh Control'!$B$4)</x:f>
        <x:v>46254</x:v>
      </x:c>
      <x:c r="E508" s="171" t="n">
        <x:f>IF(A508="","",IF(B508="Decommissioning",INDEX('Raw Decommissioning'!$F$2:$F$1000,ROWS($A$5:A508)),INDEX('Raw Provisioning'!$F$2:$F$1000,ROWS($A$5:A508)-COUNTA('Raw Decommissioning'!$B$2:$B$1000))))</x:f>
        <x:v>46140.07837681713</x:v>
      </x:c>
      <x:c r="F508" s="171" t="n">
        <x:f>IF(A508="","",IF(B508="Decommissioning",INDEX('Raw Decommissioning'!$G$2:$G$1000,ROWS($A$5:A508)),INDEX('Raw Provisioning'!$H$2:$H$1000,ROWS($A$5:A508)-COUNTA('Raw Decommissioning'!$B$2:$B$1000))))</x:f>
        <x:v>46167.027652372686</x:v>
      </x:c>
      <x:c r="G508" s="170" t="str">
        <x:f>IF(A508="","",IF(B508="Decommissioning",INDEX('Raw Decommissioning'!$I$2:$I$1000,ROWS($A$5:A508)),INDEX('Raw Provisioning'!$J$2:$J$1000,ROWS($A$5:A508)-COUNTA('Raw Decommissioning'!$B$2:$B$1000))))</x:f>
        <x:v>Sharing Knowledge Information and Lesson Learnt - SKILL</x:v>
      </x:c>
      <x:c r="H508" s="170" t="str">
        <x:f>IF(A508="","",IF(B508="Decommissioning",INDEX('Raw Decommissioning'!$J$2:$J$1000,ROWS($A$5:A508)),INDEX('Raw Provisioning'!$L$2:$L$1000,ROWS($A$5:A508)-COUNTA('Raw Decommissioning'!$B$2:$B$1000))))</x:f>
        <x:v>Enhancement of Sharing Knowledge Information &amp; Lessons Learnt (SKILL) System for PD&amp;T</x:v>
      </x:c>
      <x:c r="I508" s="170" t="str">
        <x:f>IF(A508="","",IF(B508="Decommissioning",INDEX('Raw Decommissioning'!$AL$2:$AL$1000,ROWS($A$5:A508)),INDEX('Raw Provisioning'!$R$2:$R$1000,ROWS($A$5:A508)-COUNTA('Raw Decommissioning'!$B$2:$B$1000))))</x:f>
        <x:v>L</x:v>
      </x:c>
      <x:c r="J508" s="170" t="str">
        <x:f>IF(A508="","",IF(B508="Decommissioning",INDEX('Raw Decommissioning'!$AG$2:$AG$1000,ROWS($A$5:A508)),INDEX('Raw Provisioning'!$AI$2:$AI$1000,ROWS($A$5:A508)-COUNTA('Raw Decommissioning'!$B$2:$B$1000))))</x:f>
        <x:v>yeonghunn.ho@petronas.com</x:v>
      </x:c>
      <x:c r="K508" s="172" t="str">
        <x:f>IF(A508="","",IFERROR(LOOKUP(2,1/('Assignment History'!$B$5:$B$204=A508),'Assignment History'!$D$5:$D$204),IFERROR(VLOOKUP(J508,Configuration!$L$5:$M$50,2,FALSE),J508)))</x:f>
        <x:v>yeonghunn.ho@petronas.com</x:v>
      </x:c>
      <x:c r="L508" s="172" t="str">
        <x:f>IF(A508="","",IF(K508=IFERROR(VLOOKUP(J508,Configuration!$L$5:$M$50,2,FALSE),J508),"Snapshot PIC","Replacement PIC"))</x:f>
        <x:v>Snapshot PIC</x:v>
      </x:c>
      <x:c r="M508" s="172" t="n">
        <x:f>IF(A508="","",IFERROR(VLOOKUP(I508,Configuration!$O$5:$P$8,2,FALSE),Configuration!$S$6))</x:f>
        <x:v>3</x:v>
      </x:c>
      <x:c r="N508" s="172" t="str">
        <x:f>IF(A508="","",IFERROR(LOOKUP(2,1/('Scope Review'!$B$5:$B$204=A508),'Scope Review'!$G$5:$G$204),"Not Reviewed"))</x:f>
        <x:v>Not Reviewed</x:v>
      </x:c>
      <x:c r="O508" s="172" t="str">
        <x:f>IF(A508="","",IFERROR(LOOKUP(2,1/('Scope Review'!$B$5:$B$204=A508),'Scope Review'!$H$5:$H$204),""))</x:f>
      </x:c>
      <x:c r="P508" s="172" t="n">
        <x:f>IF(A508="","",IF(AND(C508="executing",N508&lt;&gt;"Confirmed OOS"),M508,0))</x:f>
        <x:v>0</x:v>
      </x:c>
      <x:c r="Q508" s="173" t="str">
        <x:f>IF(A508="","",IFERROR(LOOKUP(2,1/('Engineer Updates'!$B$5:$B$704=A508),'Engineer Updates'!$A$5:$A$704),""))</x:f>
      </x:c>
      <x:c r="R508" s="172" t="str">
        <x:f>IF(A508="","",IFERROR(LOOKUP(2,1/('Engineer Updates'!$B$5:$B$704=A508),'Engineer Updates'!$H$5:$H$704),""))</x:f>
      </x:c>
      <x:c r="S508" s="172" t="str">
        <x:f>IF(A508="","",IFERROR(LOOKUP(2,1/('Engineer Updates'!$B$5:$B$704=A508),'Engineer Updates'!$G$5:$G$704),""))</x:f>
      </x:c>
      <x:c r="T508" s="172" t="str">
        <x:f>IF(A508="","",IFERROR(LOOKUP(2,1/('Engineer Updates'!$B$5:$B$704=A508),'Engineer Updates'!$I$5:$I$704),""))</x:f>
      </x:c>
      <x:c r="U508" s="172" t="str">
        <x:f>IF(A508="","",IFERROR(LOOKUP(2,1/('Engineer Updates'!$B$5:$B$704=A508),'Engineer Updates'!$J$5:$J$704),""))</x:f>
      </x:c>
      <x:c r="V508" s="172" t="str">
        <x:f>IF(A508="","",IFERROR(LOOKUP(2,1/('Engineer Updates'!$B$5:$B$704=A508),'Engineer Updates'!$K$5:$K$704),""))</x:f>
      </x:c>
      <x:c r="W508" s="174" t="str">
        <x:f>IF(A508="","",IFERROR(LOOKUP(2,1/('Engineer Updates'!$B$5:$B$704=A508),'Engineer Updates'!$L$5:$L$704),""))</x:f>
      </x:c>
      <x:c r="X508" s="170" t="str">
        <x:f>IF(A508="","",IF(C508="completed","Completed in CSSP",IF(AND(C508="executing",ISERROR(SEARCH("@",K508))),"Executing without named engineer",IF(AND(N508="Confirmed OOS",C508="executing"),"Confirmed OOS still executing",""))))</x:f>
        <x:v>Completed in CSSP</x:v>
      </x:c>
      <x:c r="Y508" s="170" t="str">
        <x:f>IF(A508="","",IF(B508="Decommissioning","Raw Decommissioning","Raw Provisioning"))</x:f>
        <x:v>Raw Provisioning</x:v>
      </x:c>
      <x:c r="Z508" s="170" t="str">
        <x:f>IF(A508="","",IF(OR(C508="executing",C508="processing"),"Yes","No"))</x:f>
        <x:v>No</x:v>
      </x:c>
    </x:row>
    <x:row r="509">
      <x:c r="A509" s="170" t="str">
        <x:f>IF(ROWS($A$5:A509)&lt;=COUNTA('Raw Decommissioning'!$B$2:$B$1000),INDEX('Raw Decommissioning'!$B$2:$B$1000,ROWS($A$5:A509)),IF(ROWS($A$5:A509)-COUNTA('Raw Decommissioning'!$B$2:$B$1000)&lt;=COUNTA('Raw Provisioning'!$B$2:$B$1000),INDEX('Raw Provisioning'!$B$2:$B$1000,ROWS($A$5:A509)-COUNTA('Raw Decommissioning'!$B$2:$B$1000)),""))</x:f>
        <x:v>CSSP10698884</x:v>
      </x:c>
      <x:c r="B509" s="170" t="str">
        <x:f>IF(A509="","",IF(ROWS($A$5:A509)&lt;=COUNTA('Raw Decommissioning'!$B$2:$B$1000),"Decommissioning","Provisioning"))</x:f>
        <x:v>Provisioning</x:v>
      </x:c>
      <x:c r="C509" s="170" t="str">
        <x:f>IF(A509="","",IF(B509="Decommissioning",IFERROR(INDEX('Raw Decommissioning'!$E$2:$E$1000,MATCH(A509,'Raw Decommissioning'!$B$2:$B$1000,0)),"Missing from latest raw"),IFERROR(INDEX('Raw Provisioning'!$E$2:$E$1000,MATCH(A509,'Raw Provisioning'!$B$2:$B$1000,0)),"Missing from latest raw")))</x:f>
        <x:v>completed</x:v>
      </x:c>
      <x:c r="D509" s="171" t="n">
        <x:f>IF(A509="","",'Refresh Control'!$B$4)</x:f>
        <x:v>46254</x:v>
      </x:c>
      <x:c r="E509" s="171" t="n">
        <x:f>IF(A509="","",IF(B509="Decommissioning",INDEX('Raw Decommissioning'!$F$2:$F$1000,ROWS($A$5:A509)),INDEX('Raw Provisioning'!$F$2:$F$1000,ROWS($A$5:A509)-COUNTA('Raw Decommissioning'!$B$2:$B$1000))))</x:f>
        <x:v>46140.2778531713</x:v>
      </x:c>
      <x:c r="F509" s="171" t="n">
        <x:f>IF(A509="","",IF(B509="Decommissioning",INDEX('Raw Decommissioning'!$G$2:$G$1000,ROWS($A$5:A509)),INDEX('Raw Provisioning'!$H$2:$H$1000,ROWS($A$5:A509)-COUNTA('Raw Decommissioning'!$B$2:$B$1000))))</x:f>
        <x:v>46219.10640052083</x:v>
      </x:c>
      <x:c r="G509" s="170" t="str">
        <x:f>IF(A509="","",IF(B509="Decommissioning",INDEX('Raw Decommissioning'!$I$2:$I$1000,ROWS($A$5:A509)),INDEX('Raw Provisioning'!$J$2:$J$1000,ROWS($A$5:A509)-COUNTA('Raw Decommissioning'!$B$2:$B$1000))))</x:f>
        <x:v>GPE Digital Platform</x:v>
      </x:c>
      <x:c r="H509" s="170" t="str">
        <x:f>IF(A509="","",IF(B509="Decommissioning",INDEX('Raw Decommissioning'!$J$2:$J$1000,ROWS($A$5:A509)),INDEX('Raw Provisioning'!$L$2:$L$1000,ROWS($A$5:A509)-COUNTA('Raw Decommissioning'!$B$2:$B$1000))))</x:f>
        <x:v>Quality Suite</x:v>
      </x:c>
      <x:c r="I509" s="170" t="str">
        <x:f>IF(A509="","",IF(B509="Decommissioning",INDEX('Raw Decommissioning'!$AL$2:$AL$1000,ROWS($A$5:A509)),INDEX('Raw Provisioning'!$R$2:$R$1000,ROWS($A$5:A509)-COUNTA('Raw Decommissioning'!$B$2:$B$1000))))</x:f>
        <x:v>L</x:v>
      </x:c>
      <x:c r="J509" s="170" t="str">
        <x:f>IF(A509="","",IF(B509="Decommissioning",INDEX('Raw Decommissioning'!$AG$2:$AG$1000,ROWS($A$5:A509)),INDEX('Raw Provisioning'!$AI$2:$AI$1000,ROWS($A$5:A509)-COUNTA('Raw Decommissioning'!$B$2:$B$1000))))</x:f>
        <x:v>mhafizi.madnan@petronas.com</x:v>
      </x:c>
      <x:c r="K509" s="172" t="str">
        <x:f>IF(A509="","",IFERROR(LOOKUP(2,1/('Assignment History'!$B$5:$B$204=A509),'Assignment History'!$D$5:$D$204),IFERROR(VLOOKUP(J509,Configuration!$L$5:$M$50,2,FALSE),J509)))</x:f>
        <x:v>mhafizi.madnan@petronas.com</x:v>
      </x:c>
      <x:c r="L509" s="172" t="str">
        <x:f>IF(A509="","",IF(K509=IFERROR(VLOOKUP(J509,Configuration!$L$5:$M$50,2,FALSE),J509),"Snapshot PIC","Replacement PIC"))</x:f>
        <x:v>Snapshot PIC</x:v>
      </x:c>
      <x:c r="M509" s="172" t="n">
        <x:f>IF(A509="","",IFERROR(VLOOKUP(I509,Configuration!$O$5:$P$8,2,FALSE),Configuration!$S$6))</x:f>
        <x:v>3</x:v>
      </x:c>
      <x:c r="N509" s="172" t="str">
        <x:f>IF(A509="","",IFERROR(LOOKUP(2,1/('Scope Review'!$B$5:$B$204=A509),'Scope Review'!$G$5:$G$204),"Not Reviewed"))</x:f>
        <x:v>Not Reviewed</x:v>
      </x:c>
      <x:c r="O509" s="172" t="str">
        <x:f>IF(A509="","",IFERROR(LOOKUP(2,1/('Scope Review'!$B$5:$B$204=A509),'Scope Review'!$H$5:$H$204),""))</x:f>
      </x:c>
      <x:c r="P509" s="172" t="n">
        <x:f>IF(A509="","",IF(AND(C509="executing",N509&lt;&gt;"Confirmed OOS"),M509,0))</x:f>
        <x:v>0</x:v>
      </x:c>
      <x:c r="Q509" s="173" t="str">
        <x:f>IF(A509="","",IFERROR(LOOKUP(2,1/('Engineer Updates'!$B$5:$B$704=A509),'Engineer Updates'!$A$5:$A$704),""))</x:f>
      </x:c>
      <x:c r="R509" s="172" t="str">
        <x:f>IF(A509="","",IFERROR(LOOKUP(2,1/('Engineer Updates'!$B$5:$B$704=A509),'Engineer Updates'!$H$5:$H$704),""))</x:f>
      </x:c>
      <x:c r="S509" s="172" t="str">
        <x:f>IF(A509="","",IFERROR(LOOKUP(2,1/('Engineer Updates'!$B$5:$B$704=A509),'Engineer Updates'!$G$5:$G$704),""))</x:f>
      </x:c>
      <x:c r="T509" s="172" t="str">
        <x:f>IF(A509="","",IFERROR(LOOKUP(2,1/('Engineer Updates'!$B$5:$B$704=A509),'Engineer Updates'!$I$5:$I$704),""))</x:f>
      </x:c>
      <x:c r="U509" s="172" t="str">
        <x:f>IF(A509="","",IFERROR(LOOKUP(2,1/('Engineer Updates'!$B$5:$B$704=A509),'Engineer Updates'!$J$5:$J$704),""))</x:f>
      </x:c>
      <x:c r="V509" s="172" t="str">
        <x:f>IF(A509="","",IFERROR(LOOKUP(2,1/('Engineer Updates'!$B$5:$B$704=A509),'Engineer Updates'!$K$5:$K$704),""))</x:f>
      </x:c>
      <x:c r="W509" s="174" t="str">
        <x:f>IF(A509="","",IFERROR(LOOKUP(2,1/('Engineer Updates'!$B$5:$B$704=A509),'Engineer Updates'!$L$5:$L$704),""))</x:f>
      </x:c>
      <x:c r="X509" s="170" t="str">
        <x:f>IF(A509="","",IF(C509="completed","Completed in CSSP",IF(AND(C509="executing",ISERROR(SEARCH("@",K509))),"Executing without named engineer",IF(AND(N509="Confirmed OOS",C509="executing"),"Confirmed OOS still executing",""))))</x:f>
        <x:v>Completed in CSSP</x:v>
      </x:c>
      <x:c r="Y509" s="170" t="str">
        <x:f>IF(A509="","",IF(B509="Decommissioning","Raw Decommissioning","Raw Provisioning"))</x:f>
        <x:v>Raw Provisioning</x:v>
      </x:c>
      <x:c r="Z509" s="170" t="str">
        <x:f>IF(A509="","",IF(OR(C509="executing",C509="processing"),"Yes","No"))</x:f>
        <x:v>No</x:v>
      </x:c>
    </x:row>
    <x:row r="510">
      <x:c r="A510" s="170" t="str">
        <x:f>IF(ROWS($A$5:A510)&lt;=COUNTA('Raw Decommissioning'!$B$2:$B$1000),INDEX('Raw Decommissioning'!$B$2:$B$1000,ROWS($A$5:A510)),IF(ROWS($A$5:A510)-COUNTA('Raw Decommissioning'!$B$2:$B$1000)&lt;=COUNTA('Raw Provisioning'!$B$2:$B$1000),INDEX('Raw Provisioning'!$B$2:$B$1000,ROWS($A$5:A510)-COUNTA('Raw Decommissioning'!$B$2:$B$1000)),""))</x:f>
        <x:v>CSSP10673286</x:v>
      </x:c>
      <x:c r="B510" s="170" t="str">
        <x:f>IF(A510="","",IF(ROWS($A$5:A510)&lt;=COUNTA('Raw Decommissioning'!$B$2:$B$1000),"Decommissioning","Provisioning"))</x:f>
        <x:v>Provisioning</x:v>
      </x:c>
      <x:c r="C510" s="170" t="str">
        <x:f>IF(A510="","",IF(B510="Decommissioning",IFERROR(INDEX('Raw Decommissioning'!$E$2:$E$1000,MATCH(A510,'Raw Decommissioning'!$B$2:$B$1000,0)),"Missing from latest raw"),IFERROR(INDEX('Raw Provisioning'!$E$2:$E$1000,MATCH(A510,'Raw Provisioning'!$B$2:$B$1000,0)),"Missing from latest raw")))</x:f>
        <x:v>completed</x:v>
      </x:c>
      <x:c r="D510" s="171" t="n">
        <x:f>IF(A510="","",'Refresh Control'!$B$4)</x:f>
        <x:v>46254</x:v>
      </x:c>
      <x:c r="E510" s="171" t="n">
        <x:f>IF(A510="","",IF(B510="Decommissioning",INDEX('Raw Decommissioning'!$F$2:$F$1000,ROWS($A$5:A510)),INDEX('Raw Provisioning'!$F$2:$F$1000,ROWS($A$5:A510)-COUNTA('Raw Decommissioning'!$B$2:$B$1000))))</x:f>
        <x:v>46142.28472123843</x:v>
      </x:c>
      <x:c r="F510" s="171" t="n">
        <x:f>IF(A510="","",IF(B510="Decommissioning",INDEX('Raw Decommissioning'!$G$2:$G$1000,ROWS($A$5:A510)),INDEX('Raw Provisioning'!$H$2:$H$1000,ROWS($A$5:A510)-COUNTA('Raw Decommissioning'!$B$2:$B$1000))))</x:f>
        <x:v>46150.09196381945</x:v>
      </x:c>
      <x:c r="G510" s="170" t="str">
        <x:f>IF(A510="","",IF(B510="Decommissioning",INDEX('Raw Decommissioning'!$I$2:$I$1000,ROWS($A$5:A510)),INDEX('Raw Provisioning'!$J$2:$J$1000,ROWS($A$5:A510)-COUNTA('Raw Decommissioning'!$B$2:$B$1000))))</x:f>
        <x:v>Wells DROID for ENIGMA</x:v>
      </x:c>
      <x:c r="H510" s="170" t="str">
        <x:f>IF(A510="","",IF(B510="Decommissioning",INDEX('Raw Decommissioning'!$J$2:$J$1000,ROWS($A$5:A510)),INDEX('Raw Provisioning'!$L$2:$L$1000,ROWS($A$5:A510)-COUNTA('Raw Decommissioning'!$B$2:$B$1000))))</x:f>
        <x:v>ENIGMA JV: Implementation of Wells System and Data for MacCo - DROIDS</x:v>
      </x:c>
      <x:c r="I510" s="170" t="str">
        <x:f>IF(A510="","",IF(B510="Decommissioning",INDEX('Raw Decommissioning'!$AL$2:$AL$1000,ROWS($A$5:A510)),INDEX('Raw Provisioning'!$R$2:$R$1000,ROWS($A$5:A510)-COUNTA('Raw Decommissioning'!$B$2:$B$1000))))</x:f>
        <x:v>M</x:v>
      </x:c>
      <x:c r="J510" s="170" t="str">
        <x:f>IF(A510="","",IF(B510="Decommissioning",INDEX('Raw Decommissioning'!$AG$2:$AG$1000,ROWS($A$5:A510)),INDEX('Raw Provisioning'!$AI$2:$AI$1000,ROWS($A$5:A510)-COUNTA('Raw Decommissioning'!$B$2:$B$1000))))</x:f>
        <x:v>badri.shaharudin@petronas.com</x:v>
      </x:c>
      <x:c r="K510" s="172" t="str">
        <x:f>IF(A510="","",IFERROR(LOOKUP(2,1/('Assignment History'!$B$5:$B$204=A510),'Assignment History'!$D$5:$D$204),IFERROR(VLOOKUP(J510,Configuration!$L$5:$M$50,2,FALSE),J510)))</x:f>
        <x:v>badri.shaharudin@petronas.com</x:v>
      </x:c>
      <x:c r="L510" s="172" t="str">
        <x:f>IF(A510="","",IF(K510=IFERROR(VLOOKUP(J510,Configuration!$L$5:$M$50,2,FALSE),J510),"Snapshot PIC","Replacement PIC"))</x:f>
        <x:v>Snapshot PIC</x:v>
      </x:c>
      <x:c r="M510" s="172" t="n">
        <x:f>IF(A510="","",IFERROR(VLOOKUP(I510,Configuration!$O$5:$P$8,2,FALSE),Configuration!$S$6))</x:f>
        <x:v>2</x:v>
      </x:c>
      <x:c r="N510" s="172" t="str">
        <x:f>IF(A510="","",IFERROR(LOOKUP(2,1/('Scope Review'!$B$5:$B$204=A510),'Scope Review'!$G$5:$G$204),"Not Reviewed"))</x:f>
        <x:v>Not Reviewed</x:v>
      </x:c>
      <x:c r="O510" s="172" t="str">
        <x:f>IF(A510="","",IFERROR(LOOKUP(2,1/('Scope Review'!$B$5:$B$204=A510),'Scope Review'!$H$5:$H$204),""))</x:f>
      </x:c>
      <x:c r="P510" s="172" t="n">
        <x:f>IF(A510="","",IF(AND(C510="executing",N510&lt;&gt;"Confirmed OOS"),M510,0))</x:f>
        <x:v>0</x:v>
      </x:c>
      <x:c r="Q510" s="173" t="str">
        <x:f>IF(A510="","",IFERROR(LOOKUP(2,1/('Engineer Updates'!$B$5:$B$704=A510),'Engineer Updates'!$A$5:$A$704),""))</x:f>
      </x:c>
      <x:c r="R510" s="172" t="str">
        <x:f>IF(A510="","",IFERROR(LOOKUP(2,1/('Engineer Updates'!$B$5:$B$704=A510),'Engineer Updates'!$H$5:$H$704),""))</x:f>
      </x:c>
      <x:c r="S510" s="172" t="str">
        <x:f>IF(A510="","",IFERROR(LOOKUP(2,1/('Engineer Updates'!$B$5:$B$704=A510),'Engineer Updates'!$G$5:$G$704),""))</x:f>
      </x:c>
      <x:c r="T510" s="172" t="str">
        <x:f>IF(A510="","",IFERROR(LOOKUP(2,1/('Engineer Updates'!$B$5:$B$704=A510),'Engineer Updates'!$I$5:$I$704),""))</x:f>
      </x:c>
      <x:c r="U510" s="172" t="str">
        <x:f>IF(A510="","",IFERROR(LOOKUP(2,1/('Engineer Updates'!$B$5:$B$704=A510),'Engineer Updates'!$J$5:$J$704),""))</x:f>
      </x:c>
      <x:c r="V510" s="172" t="str">
        <x:f>IF(A510="","",IFERROR(LOOKUP(2,1/('Engineer Updates'!$B$5:$B$704=A510),'Engineer Updates'!$K$5:$K$704),""))</x:f>
      </x:c>
      <x:c r="W510" s="174" t="str">
        <x:f>IF(A510="","",IFERROR(LOOKUP(2,1/('Engineer Updates'!$B$5:$B$704=A510),'Engineer Updates'!$L$5:$L$704),""))</x:f>
      </x:c>
      <x:c r="X510" s="170" t="str">
        <x:f>IF(A510="","",IF(C510="completed","Completed in CSSP",IF(AND(C510="executing",ISERROR(SEARCH("@",K510))),"Executing without named engineer",IF(AND(N510="Confirmed OOS",C510="executing"),"Confirmed OOS still executing",""))))</x:f>
        <x:v>Completed in CSSP</x:v>
      </x:c>
      <x:c r="Y510" s="170" t="str">
        <x:f>IF(A510="","",IF(B510="Decommissioning","Raw Decommissioning","Raw Provisioning"))</x:f>
        <x:v>Raw Provisioning</x:v>
      </x:c>
      <x:c r="Z510" s="170" t="str">
        <x:f>IF(A510="","",IF(OR(C510="executing",C510="processing"),"Yes","No"))</x:f>
        <x:v>No</x:v>
      </x:c>
    </x:row>
    <x:row r="511">
      <x:c r="A511" s="170" t="str">
        <x:f>IF(ROWS($A$5:A511)&lt;=COUNTA('Raw Decommissioning'!$B$2:$B$1000),INDEX('Raw Decommissioning'!$B$2:$B$1000,ROWS($A$5:A511)),IF(ROWS($A$5:A511)-COUNTA('Raw Decommissioning'!$B$2:$B$1000)&lt;=COUNTA('Raw Provisioning'!$B$2:$B$1000),INDEX('Raw Provisioning'!$B$2:$B$1000,ROWS($A$5:A511)-COUNTA('Raw Decommissioning'!$B$2:$B$1000)),""))</x:f>
        <x:v>CSSP10771558</x:v>
      </x:c>
      <x:c r="B511" s="170" t="str">
        <x:f>IF(A511="","",IF(ROWS($A$5:A511)&lt;=COUNTA('Raw Decommissioning'!$B$2:$B$1000),"Decommissioning","Provisioning"))</x:f>
        <x:v>Provisioning</x:v>
      </x:c>
      <x:c r="C511" s="170" t="str">
        <x:f>IF(A511="","",IF(B511="Decommissioning",IFERROR(INDEX('Raw Decommissioning'!$E$2:$E$1000,MATCH(A511,'Raw Decommissioning'!$B$2:$B$1000,0)),"Missing from latest raw"),IFERROR(INDEX('Raw Provisioning'!$E$2:$E$1000,MATCH(A511,'Raw Provisioning'!$B$2:$B$1000,0)),"Missing from latest raw")))</x:f>
        <x:v>rejected</x:v>
      </x:c>
      <x:c r="D511" s="171" t="n">
        <x:f>IF(A511="","",'Refresh Control'!$B$4)</x:f>
        <x:v>46254</x:v>
      </x:c>
      <x:c r="E511" s="171" t="n">
        <x:f>IF(A511="","",IF(B511="Decommissioning",INDEX('Raw Decommissioning'!$F$2:$F$1000,ROWS($A$5:A511)),INDEX('Raw Provisioning'!$F$2:$F$1000,ROWS($A$5:A511)-COUNTA('Raw Decommissioning'!$B$2:$B$1000))))</x:f>
        <x:v>46147.08069387732</x:v>
      </x:c>
      <x:c r="F511" s="171" t="n">
        <x:f>IF(A511="","",IF(B511="Decommissioning",INDEX('Raw Decommissioning'!$G$2:$G$1000,ROWS($A$5:A511)),INDEX('Raw Provisioning'!$H$2:$H$1000,ROWS($A$5:A511)-COUNTA('Raw Decommissioning'!$B$2:$B$1000))))</x:f>
        <x:v>46155.39030363426</x:v>
      </x:c>
      <x:c r="G511" s="170" t="str">
        <x:f>IF(A511="","",IF(B511="Decommissioning",INDEX('Raw Decommissioning'!$I$2:$I$1000,ROWS($A$5:A511)),INDEX('Raw Provisioning'!$J$2:$J$1000,ROWS($A$5:A511)-COUNTA('Raw Decommissioning'!$B$2:$B$1000))))</x:f>
        <x:v>MyPROData</x:v>
      </x:c>
      <x:c r="H511" s="170" t="str">
        <x:f>IF(A511="","",IF(B511="Decommissioning",INDEX('Raw Decommissioning'!$J$2:$J$1000,ROWS($A$5:A511)),INDEX('Raw Provisioning'!$L$2:$L$1000,ROWS($A$5:A511)-COUNTA('Raw Decommissioning'!$B$2:$B$1000))))</x:f>
        <x:v>Shared Support Services (SecOps) myPROdata FY2025 for Malaysia Petroleum Management (MPM)</x:v>
      </x:c>
      <x:c r="I511" s="170" t="str">
        <x:f>IF(A511="","",IF(B511="Decommissioning",INDEX('Raw Decommissioning'!$AL$2:$AL$1000,ROWS($A$5:A511)),INDEX('Raw Provisioning'!$R$2:$R$1000,ROWS($A$5:A511)-COUNTA('Raw Decommissioning'!$B$2:$B$1000))))</x:f>
      </x:c>
      <x:c r="J511" s="170" t="str">
        <x:f>IF(A511="","",IF(B511="Decommissioning",INDEX('Raw Decommissioning'!$AG$2:$AG$1000,ROWS($A$5:A511)),INDEX('Raw Provisioning'!$AI$2:$AI$1000,ROWS($A$5:A511)-COUNTA('Raw Decommissioning'!$B$2:$B$1000))))</x:f>
        <x:v>CCoE Core Services (Public)</x:v>
      </x:c>
      <x:c r="K511" s="172" t="str">
        <x:f>IF(A511="","",IFERROR(LOOKUP(2,1/('Assignment History'!$B$5:$B$204=A511),'Assignment History'!$D$5:$D$204),IFERROR(VLOOKUP(J511,Configuration!$L$5:$M$50,2,FALSE),J511)))</x:f>
        <x:v>CCoE Core Services (Public)</x:v>
      </x:c>
      <x:c r="L511" s="172" t="str">
        <x:f>IF(A511="","",IF(K511=IFERROR(VLOOKUP(J511,Configuration!$L$5:$M$50,2,FALSE),J511),"Snapshot PIC","Replacement PIC"))</x:f>
        <x:v>Snapshot PIC</x:v>
      </x:c>
      <x:c r="M511" s="172" t="n">
        <x:f>IF(A511="","",IFERROR(VLOOKUP(I511,Configuration!$O$5:$P$8,2,FALSE),Configuration!$S$6))</x:f>
        <x:v>2</x:v>
      </x:c>
      <x:c r="N511" s="172" t="str">
        <x:f>IF(A511="","",IFERROR(LOOKUP(2,1/('Scope Review'!$B$5:$B$204=A511),'Scope Review'!$G$5:$G$204),"Not Reviewed"))</x:f>
        <x:v>Not Reviewed</x:v>
      </x:c>
      <x:c r="O511" s="172" t="str">
        <x:f>IF(A511="","",IFERROR(LOOKUP(2,1/('Scope Review'!$B$5:$B$204=A511),'Scope Review'!$H$5:$H$204),""))</x:f>
      </x:c>
      <x:c r="P511" s="172" t="n">
        <x:f>IF(A511="","",IF(AND(C511="executing",N511&lt;&gt;"Confirmed OOS"),M511,0))</x:f>
        <x:v>0</x:v>
      </x:c>
      <x:c r="Q511" s="173" t="str">
        <x:f>IF(A511="","",IFERROR(LOOKUP(2,1/('Engineer Updates'!$B$5:$B$704=A511),'Engineer Updates'!$A$5:$A$704),""))</x:f>
      </x:c>
      <x:c r="R511" s="172" t="str">
        <x:f>IF(A511="","",IFERROR(LOOKUP(2,1/('Engineer Updates'!$B$5:$B$704=A511),'Engineer Updates'!$H$5:$H$704),""))</x:f>
      </x:c>
      <x:c r="S511" s="172" t="str">
        <x:f>IF(A511="","",IFERROR(LOOKUP(2,1/('Engineer Updates'!$B$5:$B$704=A511),'Engineer Updates'!$G$5:$G$704),""))</x:f>
      </x:c>
      <x:c r="T511" s="172" t="str">
        <x:f>IF(A511="","",IFERROR(LOOKUP(2,1/('Engineer Updates'!$B$5:$B$704=A511),'Engineer Updates'!$I$5:$I$704),""))</x:f>
      </x:c>
      <x:c r="U511" s="172" t="str">
        <x:f>IF(A511="","",IFERROR(LOOKUP(2,1/('Engineer Updates'!$B$5:$B$704=A511),'Engineer Updates'!$J$5:$J$704),""))</x:f>
      </x:c>
      <x:c r="V511" s="172" t="str">
        <x:f>IF(A511="","",IFERROR(LOOKUP(2,1/('Engineer Updates'!$B$5:$B$704=A511),'Engineer Updates'!$K$5:$K$704),""))</x:f>
      </x:c>
      <x:c r="W511" s="174" t="str">
        <x:f>IF(A511="","",IFERROR(LOOKUP(2,1/('Engineer Updates'!$B$5:$B$704=A511),'Engineer Updates'!$L$5:$L$704),""))</x:f>
      </x:c>
      <x:c r="X511" s="170" t="str">
        <x:f>IF(A511="","",IF(C511="completed","Completed in CSSP",IF(AND(C511="executing",ISERROR(SEARCH("@",K511))),"Executing without named engineer",IF(AND(N511="Confirmed OOS",C511="executing"),"Confirmed OOS still executing",""))))</x:f>
      </x:c>
      <x:c r="Y511" s="170" t="str">
        <x:f>IF(A511="","",IF(B511="Decommissioning","Raw Decommissioning","Raw Provisioning"))</x:f>
        <x:v>Raw Provisioning</x:v>
      </x:c>
      <x:c r="Z511" s="170" t="str">
        <x:f>IF(A511="","",IF(OR(C511="executing",C511="processing"),"Yes","No"))</x:f>
        <x:v>No</x:v>
      </x:c>
    </x:row>
    <x:row r="512">
      <x:c r="A512" s="170" t="str">
        <x:f>IF(ROWS($A$5:A512)&lt;=COUNTA('Raw Decommissioning'!$B$2:$B$1000),INDEX('Raw Decommissioning'!$B$2:$B$1000,ROWS($A$5:A512)),IF(ROWS($A$5:A512)-COUNTA('Raw Decommissioning'!$B$2:$B$1000)&lt;=COUNTA('Raw Provisioning'!$B$2:$B$1000),INDEX('Raw Provisioning'!$B$2:$B$1000,ROWS($A$5:A512)-COUNTA('Raw Decommissioning'!$B$2:$B$1000)),""))</x:f>
        <x:v>CSSP10718591</x:v>
      </x:c>
      <x:c r="B512" s="170" t="str">
        <x:f>IF(A512="","",IF(ROWS($A$5:A512)&lt;=COUNTA('Raw Decommissioning'!$B$2:$B$1000),"Decommissioning","Provisioning"))</x:f>
        <x:v>Provisioning</x:v>
      </x:c>
      <x:c r="C512" s="170" t="str">
        <x:f>IF(A512="","",IF(B512="Decommissioning",IFERROR(INDEX('Raw Decommissioning'!$E$2:$E$1000,MATCH(A512,'Raw Decommissioning'!$B$2:$B$1000,0)),"Missing from latest raw"),IFERROR(INDEX('Raw Provisioning'!$E$2:$E$1000,MATCH(A512,'Raw Provisioning'!$B$2:$B$1000,0)),"Missing from latest raw")))</x:f>
        <x:v>pending</x:v>
      </x:c>
      <x:c r="D512" s="171" t="n">
        <x:f>IF(A512="","",'Refresh Control'!$B$4)</x:f>
        <x:v>46254</x:v>
      </x:c>
      <x:c r="E512" s="171" t="n">
        <x:f>IF(A512="","",IF(B512="Decommissioning",INDEX('Raw Decommissioning'!$F$2:$F$1000,ROWS($A$5:A512)),INDEX('Raw Provisioning'!$F$2:$F$1000,ROWS($A$5:A512)-COUNTA('Raw Decommissioning'!$B$2:$B$1000))))</x:f>
        <x:v>46147.12077461806</x:v>
      </x:c>
      <x:c r="F512" s="171" t="n">
        <x:f>IF(A512="","",IF(B512="Decommissioning",INDEX('Raw Decommissioning'!$G$2:$G$1000,ROWS($A$5:A512)),INDEX('Raw Provisioning'!$H$2:$H$1000,ROWS($A$5:A512)-COUNTA('Raw Decommissioning'!$B$2:$B$1000))))</x:f>
        <x:v>46147.12077461806</x:v>
      </x:c>
      <x:c r="G512" s="170" t="str">
        <x:f>IF(A512="","",IF(B512="Decommissioning",INDEX('Raw Decommissioning'!$I$2:$I$1000,ROWS($A$5:A512)),INDEX('Raw Provisioning'!$J$2:$J$1000,ROWS($A$5:A512)-COUNTA('Raw Decommissioning'!$B$2:$B$1000))))</x:f>
        <x:v>Offshore Logistics Venture - OLV</x:v>
      </x:c>
      <x:c r="H512" s="170" t="str">
        <x:f>IF(A512="","",IF(B512="Decommissioning",INDEX('Raw Decommissioning'!$J$2:$J$1000,ROWS($A$5:A512)),INDEX('Raw Provisioning'!$L$2:$L$1000,ROWS($A$5:A512)-COUNTA('Raw Decommissioning'!$B$2:$B$1000))))</x:f>
        <x:v>Offshore Logistics Venture (OLV) Incubation</x:v>
      </x:c>
      <x:c r="I512" s="170" t="str">
        <x:f>IF(A512="","",IF(B512="Decommissioning",INDEX('Raw Decommissioning'!$AL$2:$AL$1000,ROWS($A$5:A512)),INDEX('Raw Provisioning'!$R$2:$R$1000,ROWS($A$5:A512)-COUNTA('Raw Decommissioning'!$B$2:$B$1000))))</x:f>
      </x:c>
      <x:c r="J512" s="170" t="str">
        <x:f>IF(A512="","",IF(B512="Decommissioning",INDEX('Raw Decommissioning'!$AG$2:$AG$1000,ROWS($A$5:A512)),INDEX('Raw Provisioning'!$AI$2:$AI$1000,ROWS($A$5:A512)-COUNTA('Raw Decommissioning'!$B$2:$B$1000))))</x:f>
        <x:v>CCoE Core Services (Public)</x:v>
      </x:c>
      <x:c r="K512" s="172" t="str">
        <x:f>IF(A512="","",IFERROR(LOOKUP(2,1/('Assignment History'!$B$5:$B$204=A512),'Assignment History'!$D$5:$D$204),IFERROR(VLOOKUP(J512,Configuration!$L$5:$M$50,2,FALSE),J512)))</x:f>
        <x:v>CCoE Core Services (Public)</x:v>
      </x:c>
      <x:c r="L512" s="172" t="str">
        <x:f>IF(A512="","",IF(K512=IFERROR(VLOOKUP(J512,Configuration!$L$5:$M$50,2,FALSE),J512),"Snapshot PIC","Replacement PIC"))</x:f>
        <x:v>Snapshot PIC</x:v>
      </x:c>
      <x:c r="M512" s="172" t="n">
        <x:f>IF(A512="","",IFERROR(VLOOKUP(I512,Configuration!$O$5:$P$8,2,FALSE),Configuration!$S$6))</x:f>
        <x:v>2</x:v>
      </x:c>
      <x:c r="N512" s="172" t="str">
        <x:f>IF(A512="","",IFERROR(LOOKUP(2,1/('Scope Review'!$B$5:$B$204=A512),'Scope Review'!$G$5:$G$204),"Not Reviewed"))</x:f>
        <x:v>Not Reviewed</x:v>
      </x:c>
      <x:c r="O512" s="172" t="str">
        <x:f>IF(A512="","",IFERROR(LOOKUP(2,1/('Scope Review'!$B$5:$B$204=A512),'Scope Review'!$H$5:$H$204),""))</x:f>
      </x:c>
      <x:c r="P512" s="172" t="n">
        <x:f>IF(A512="","",IF(AND(C512="executing",N512&lt;&gt;"Confirmed OOS"),M512,0))</x:f>
        <x:v>0</x:v>
      </x:c>
      <x:c r="Q512" s="173" t="str">
        <x:f>IF(A512="","",IFERROR(LOOKUP(2,1/('Engineer Updates'!$B$5:$B$704=A512),'Engineer Updates'!$A$5:$A$704),""))</x:f>
      </x:c>
      <x:c r="R512" s="172" t="str">
        <x:f>IF(A512="","",IFERROR(LOOKUP(2,1/('Engineer Updates'!$B$5:$B$704=A512),'Engineer Updates'!$H$5:$H$704),""))</x:f>
      </x:c>
      <x:c r="S512" s="172" t="str">
        <x:f>IF(A512="","",IFERROR(LOOKUP(2,1/('Engineer Updates'!$B$5:$B$704=A512),'Engineer Updates'!$G$5:$G$704),""))</x:f>
      </x:c>
      <x:c r="T512" s="172" t="str">
        <x:f>IF(A512="","",IFERROR(LOOKUP(2,1/('Engineer Updates'!$B$5:$B$704=A512),'Engineer Updates'!$I$5:$I$704),""))</x:f>
      </x:c>
      <x:c r="U512" s="172" t="str">
        <x:f>IF(A512="","",IFERROR(LOOKUP(2,1/('Engineer Updates'!$B$5:$B$704=A512),'Engineer Updates'!$J$5:$J$704),""))</x:f>
      </x:c>
      <x:c r="V512" s="172" t="str">
        <x:f>IF(A512="","",IFERROR(LOOKUP(2,1/('Engineer Updates'!$B$5:$B$704=A512),'Engineer Updates'!$K$5:$K$704),""))</x:f>
      </x:c>
      <x:c r="W512" s="174" t="str">
        <x:f>IF(A512="","",IFERROR(LOOKUP(2,1/('Engineer Updates'!$B$5:$B$704=A512),'Engineer Updates'!$L$5:$L$704),""))</x:f>
      </x:c>
      <x:c r="X512" s="170" t="str">
        <x:f>IF(A512="","",IF(C512="completed","Completed in CSSP",IF(AND(C512="executing",ISERROR(SEARCH("@",K512))),"Executing without named engineer",IF(AND(N512="Confirmed OOS",C512="executing"),"Confirmed OOS still executing",""))))</x:f>
      </x:c>
      <x:c r="Y512" s="170" t="str">
        <x:f>IF(A512="","",IF(B512="Decommissioning","Raw Decommissioning","Raw Provisioning"))</x:f>
        <x:v>Raw Provisioning</x:v>
      </x:c>
      <x:c r="Z512" s="170" t="str">
        <x:f>IF(A512="","",IF(OR(C512="executing",C512="processing"),"Yes","No"))</x:f>
        <x:v>No</x:v>
      </x:c>
    </x:row>
    <x:row r="513">
      <x:c r="A513" s="170" t="str">
        <x:f>IF(ROWS($A$5:A513)&lt;=COUNTA('Raw Decommissioning'!$B$2:$B$1000),INDEX('Raw Decommissioning'!$B$2:$B$1000,ROWS($A$5:A513)),IF(ROWS($A$5:A513)-COUNTA('Raw Decommissioning'!$B$2:$B$1000)&lt;=COUNTA('Raw Provisioning'!$B$2:$B$1000),INDEX('Raw Provisioning'!$B$2:$B$1000,ROWS($A$5:A513)-COUNTA('Raw Decommissioning'!$B$2:$B$1000)),""))</x:f>
        <x:v>CSSP10206240</x:v>
      </x:c>
      <x:c r="B513" s="170" t="str">
        <x:f>IF(A513="","",IF(ROWS($A$5:A513)&lt;=COUNTA('Raw Decommissioning'!$B$2:$B$1000),"Decommissioning","Provisioning"))</x:f>
        <x:v>Provisioning</x:v>
      </x:c>
      <x:c r="C513" s="170" t="str">
        <x:f>IF(A513="","",IF(B513="Decommissioning",IFERROR(INDEX('Raw Decommissioning'!$E$2:$E$1000,MATCH(A513,'Raw Decommissioning'!$B$2:$B$1000,0)),"Missing from latest raw"),IFERROR(INDEX('Raw Provisioning'!$E$2:$E$1000,MATCH(A513,'Raw Provisioning'!$B$2:$B$1000,0)),"Missing from latest raw")))</x:f>
        <x:v>rejected</x:v>
      </x:c>
      <x:c r="D513" s="171" t="n">
        <x:f>IF(A513="","",'Refresh Control'!$B$4)</x:f>
        <x:v>46254</x:v>
      </x:c>
      <x:c r="E513" s="171" t="n">
        <x:f>IF(A513="","",IF(B513="Decommissioning",INDEX('Raw Decommissioning'!$F$2:$F$1000,ROWS($A$5:A513)),INDEX('Raw Provisioning'!$F$2:$F$1000,ROWS($A$5:A513)-COUNTA('Raw Decommissioning'!$B$2:$B$1000))))</x:f>
        <x:v>46147.192312928244</x:v>
      </x:c>
      <x:c r="F513" s="171" t="n">
        <x:f>IF(A513="","",IF(B513="Decommissioning",INDEX('Raw Decommissioning'!$G$2:$G$1000,ROWS($A$5:A513)),INDEX('Raw Provisioning'!$H$2:$H$1000,ROWS($A$5:A513)-COUNTA('Raw Decommissioning'!$B$2:$B$1000))))</x:f>
        <x:v>46162.06632479167</x:v>
      </x:c>
      <x:c r="G513" s="170" t="str">
        <x:f>IF(A513="","",IF(B513="Decommissioning",INDEX('Raw Decommissioning'!$I$2:$I$1000,ROWS($A$5:A513)),INDEX('Raw Provisioning'!$J$2:$J$1000,ROWS($A$5:A513)-COUNTA('Raw Decommissioning'!$B$2:$B$1000))))</x:f>
        <x:v>MyProcure</x:v>
      </x:c>
      <x:c r="H513" s="170" t="str">
        <x:f>IF(A513="","",IF(B513="Decommissioning",INDEX('Raw Decommissioning'!$J$2:$J$1000,ROWS($A$5:A513)),INDEX('Raw Provisioning'!$L$2:$L$1000,ROWS($A$5:A513)-COUNTA('Raw Decommissioning'!$B$2:$B$1000))))</x:f>
        <x:v>Procurement Innovation Through Automation And Procurement Marketplace</x:v>
      </x:c>
      <x:c r="I513" s="170" t="str">
        <x:f>IF(A513="","",IF(B513="Decommissioning",INDEX('Raw Decommissioning'!$AL$2:$AL$1000,ROWS($A$5:A513)),INDEX('Raw Provisioning'!$R$2:$R$1000,ROWS($A$5:A513)-COUNTA('Raw Decommissioning'!$B$2:$B$1000))))</x:f>
      </x:c>
      <x:c r="J513" s="170" t="str">
        <x:f>IF(A513="","",IF(B513="Decommissioning",INDEX('Raw Decommissioning'!$AG$2:$AG$1000,ROWS($A$5:A513)),INDEX('Raw Provisioning'!$AI$2:$AI$1000,ROWS($A$5:A513)-COUNTA('Raw Decommissioning'!$B$2:$B$1000))))</x:f>
        <x:v>CCoE Core Services (Public)</x:v>
      </x:c>
      <x:c r="K513" s="172" t="str">
        <x:f>IF(A513="","",IFERROR(LOOKUP(2,1/('Assignment History'!$B$5:$B$204=A513),'Assignment History'!$D$5:$D$204),IFERROR(VLOOKUP(J513,Configuration!$L$5:$M$50,2,FALSE),J513)))</x:f>
        <x:v>CCoE Core Services (Public)</x:v>
      </x:c>
      <x:c r="L513" s="172" t="str">
        <x:f>IF(A513="","",IF(K513=IFERROR(VLOOKUP(J513,Configuration!$L$5:$M$50,2,FALSE),J513),"Snapshot PIC","Replacement PIC"))</x:f>
        <x:v>Snapshot PIC</x:v>
      </x:c>
      <x:c r="M513" s="172" t="n">
        <x:f>IF(A513="","",IFERROR(VLOOKUP(I513,Configuration!$O$5:$P$8,2,FALSE),Configuration!$S$6))</x:f>
        <x:v>2</x:v>
      </x:c>
      <x:c r="N513" s="172" t="str">
        <x:f>IF(A513="","",IFERROR(LOOKUP(2,1/('Scope Review'!$B$5:$B$204=A513),'Scope Review'!$G$5:$G$204),"Not Reviewed"))</x:f>
        <x:v>Not Reviewed</x:v>
      </x:c>
      <x:c r="O513" s="172" t="str">
        <x:f>IF(A513="","",IFERROR(LOOKUP(2,1/('Scope Review'!$B$5:$B$204=A513),'Scope Review'!$H$5:$H$204),""))</x:f>
      </x:c>
      <x:c r="P513" s="172" t="n">
        <x:f>IF(A513="","",IF(AND(C513="executing",N513&lt;&gt;"Confirmed OOS"),M513,0))</x:f>
        <x:v>0</x:v>
      </x:c>
      <x:c r="Q513" s="173" t="str">
        <x:f>IF(A513="","",IFERROR(LOOKUP(2,1/('Engineer Updates'!$B$5:$B$704=A513),'Engineer Updates'!$A$5:$A$704),""))</x:f>
      </x:c>
      <x:c r="R513" s="172" t="str">
        <x:f>IF(A513="","",IFERROR(LOOKUP(2,1/('Engineer Updates'!$B$5:$B$704=A513),'Engineer Updates'!$H$5:$H$704),""))</x:f>
      </x:c>
      <x:c r="S513" s="172" t="str">
        <x:f>IF(A513="","",IFERROR(LOOKUP(2,1/('Engineer Updates'!$B$5:$B$704=A513),'Engineer Updates'!$G$5:$G$704),""))</x:f>
      </x:c>
      <x:c r="T513" s="172" t="str">
        <x:f>IF(A513="","",IFERROR(LOOKUP(2,1/('Engineer Updates'!$B$5:$B$704=A513),'Engineer Updates'!$I$5:$I$704),""))</x:f>
      </x:c>
      <x:c r="U513" s="172" t="str">
        <x:f>IF(A513="","",IFERROR(LOOKUP(2,1/('Engineer Updates'!$B$5:$B$704=A513),'Engineer Updates'!$J$5:$J$704),""))</x:f>
      </x:c>
      <x:c r="V513" s="172" t="str">
        <x:f>IF(A513="","",IFERROR(LOOKUP(2,1/('Engineer Updates'!$B$5:$B$704=A513),'Engineer Updates'!$K$5:$K$704),""))</x:f>
      </x:c>
      <x:c r="W513" s="174" t="str">
        <x:f>IF(A513="","",IFERROR(LOOKUP(2,1/('Engineer Updates'!$B$5:$B$704=A513),'Engineer Updates'!$L$5:$L$704),""))</x:f>
      </x:c>
      <x:c r="X513" s="170" t="str">
        <x:f>IF(A513="","",IF(C513="completed","Completed in CSSP",IF(AND(C513="executing",ISERROR(SEARCH("@",K513))),"Executing without named engineer",IF(AND(N513="Confirmed OOS",C513="executing"),"Confirmed OOS still executing",""))))</x:f>
      </x:c>
      <x:c r="Y513" s="170" t="str">
        <x:f>IF(A513="","",IF(B513="Decommissioning","Raw Decommissioning","Raw Provisioning"))</x:f>
        <x:v>Raw Provisioning</x:v>
      </x:c>
      <x:c r="Z513" s="170" t="str">
        <x:f>IF(A513="","",IF(OR(C513="executing",C513="processing"),"Yes","No"))</x:f>
        <x:v>No</x:v>
      </x:c>
    </x:row>
    <x:row r="514">
      <x:c r="A514" s="170" t="str">
        <x:f>IF(ROWS($A$5:A514)&lt;=COUNTA('Raw Decommissioning'!$B$2:$B$1000),INDEX('Raw Decommissioning'!$B$2:$B$1000,ROWS($A$5:A514)),IF(ROWS($A$5:A514)-COUNTA('Raw Decommissioning'!$B$2:$B$1000)&lt;=COUNTA('Raw Provisioning'!$B$2:$B$1000),INDEX('Raw Provisioning'!$B$2:$B$1000,ROWS($A$5:A514)-COUNTA('Raw Decommissioning'!$B$2:$B$1000)),""))</x:f>
        <x:v>CSSP10825599</x:v>
      </x:c>
      <x:c r="B514" s="170" t="str">
        <x:f>IF(A514="","",IF(ROWS($A$5:A514)&lt;=COUNTA('Raw Decommissioning'!$B$2:$B$1000),"Decommissioning","Provisioning"))</x:f>
        <x:v>Provisioning</x:v>
      </x:c>
      <x:c r="C514" s="170" t="str">
        <x:f>IF(A514="","",IF(B514="Decommissioning",IFERROR(INDEX('Raw Decommissioning'!$E$2:$E$1000,MATCH(A514,'Raw Decommissioning'!$B$2:$B$1000,0)),"Missing from latest raw"),IFERROR(INDEX('Raw Provisioning'!$E$2:$E$1000,MATCH(A514,'Raw Provisioning'!$B$2:$B$1000,0)),"Missing from latest raw")))</x:f>
        <x:v>completed</x:v>
      </x:c>
      <x:c r="D514" s="171" t="n">
        <x:f>IF(A514="","",'Refresh Control'!$B$4)</x:f>
        <x:v>46254</x:v>
      </x:c>
      <x:c r="E514" s="171" t="n">
        <x:f>IF(A514="","",IF(B514="Decommissioning",INDEX('Raw Decommissioning'!$F$2:$F$1000,ROWS($A$5:A514)),INDEX('Raw Provisioning'!$F$2:$F$1000,ROWS($A$5:A514)-COUNTA('Raw Decommissioning'!$B$2:$B$1000))))</x:f>
        <x:v>46147.1952871875</x:v>
      </x:c>
      <x:c r="F514" s="171" t="n">
        <x:f>IF(A514="","",IF(B514="Decommissioning",INDEX('Raw Decommissioning'!$G$2:$G$1000,ROWS($A$5:A514)),INDEX('Raw Provisioning'!$H$2:$H$1000,ROWS($A$5:A514)-COUNTA('Raw Decommissioning'!$B$2:$B$1000))))</x:f>
        <x:v>46230.12594078704</x:v>
      </x:c>
      <x:c r="G514" s="170" t="str">
        <x:f>IF(A514="","",IF(B514="Decommissioning",INDEX('Raw Decommissioning'!$I$2:$I$1000,ROWS($A$5:A514)),INDEX('Raw Provisioning'!$J$2:$J$1000,ROWS($A$5:A514)-COUNTA('Raw Decommissioning'!$B$2:$B$1000))))</x:f>
        <x:v>MyProcure</x:v>
      </x:c>
      <x:c r="H514" s="170" t="str">
        <x:f>IF(A514="","",IF(B514="Decommissioning",INDEX('Raw Decommissioning'!$J$2:$J$1000,ROWS($A$5:A514)),INDEX('Raw Provisioning'!$L$2:$L$1000,ROWS($A$5:A514)-COUNTA('Raw Decommissioning'!$B$2:$B$1000))))</x:f>
        <x:v>Procurement Innovation Through Automation And Procurement Marketplace</x:v>
      </x:c>
      <x:c r="I514" s="170" t="str">
        <x:f>IF(A514="","",IF(B514="Decommissioning",INDEX('Raw Decommissioning'!$AL$2:$AL$1000,ROWS($A$5:A514)),INDEX('Raw Provisioning'!$R$2:$R$1000,ROWS($A$5:A514)-COUNTA('Raw Decommissioning'!$B$2:$B$1000))))</x:f>
        <x:v>L</x:v>
      </x:c>
      <x:c r="J514" s="170" t="str">
        <x:f>IF(A514="","",IF(B514="Decommissioning",INDEX('Raw Decommissioning'!$AG$2:$AG$1000,ROWS($A$5:A514)),INDEX('Raw Provisioning'!$AI$2:$AI$1000,ROWS($A$5:A514)-COUNTA('Raw Decommissioning'!$B$2:$B$1000))))</x:f>
        <x:v>mhafizi.madnan@petronas.com</x:v>
      </x:c>
      <x:c r="K514" s="172" t="str">
        <x:f>IF(A514="","",IFERROR(LOOKUP(2,1/('Assignment History'!$B$5:$B$204=A514),'Assignment History'!$D$5:$D$204),IFERROR(VLOOKUP(J514,Configuration!$L$5:$M$50,2,FALSE),J514)))</x:f>
        <x:v>mhafizi.madnan@petronas.com</x:v>
      </x:c>
      <x:c r="L514" s="172" t="str">
        <x:f>IF(A514="","",IF(K514=IFERROR(VLOOKUP(J514,Configuration!$L$5:$M$50,2,FALSE),J514),"Snapshot PIC","Replacement PIC"))</x:f>
        <x:v>Snapshot PIC</x:v>
      </x:c>
      <x:c r="M514" s="172" t="n">
        <x:f>IF(A514="","",IFERROR(VLOOKUP(I514,Configuration!$O$5:$P$8,2,FALSE),Configuration!$S$6))</x:f>
        <x:v>3</x:v>
      </x:c>
      <x:c r="N514" s="172" t="str">
        <x:f>IF(A514="","",IFERROR(LOOKUP(2,1/('Scope Review'!$B$5:$B$204=A514),'Scope Review'!$G$5:$G$204),"Not Reviewed"))</x:f>
        <x:v>Not Reviewed</x:v>
      </x:c>
      <x:c r="O514" s="172" t="str">
        <x:f>IF(A514="","",IFERROR(LOOKUP(2,1/('Scope Review'!$B$5:$B$204=A514),'Scope Review'!$H$5:$H$204),""))</x:f>
      </x:c>
      <x:c r="P514" s="172" t="n">
        <x:f>IF(A514="","",IF(AND(C514="executing",N514&lt;&gt;"Confirmed OOS"),M514,0))</x:f>
        <x:v>0</x:v>
      </x:c>
      <x:c r="Q514" s="173" t="str">
        <x:f>IF(A514="","",IFERROR(LOOKUP(2,1/('Engineer Updates'!$B$5:$B$704=A514),'Engineer Updates'!$A$5:$A$704),""))</x:f>
      </x:c>
      <x:c r="R514" s="172" t="str">
        <x:f>IF(A514="","",IFERROR(LOOKUP(2,1/('Engineer Updates'!$B$5:$B$704=A514),'Engineer Updates'!$H$5:$H$704),""))</x:f>
      </x:c>
      <x:c r="S514" s="172" t="str">
        <x:f>IF(A514="","",IFERROR(LOOKUP(2,1/('Engineer Updates'!$B$5:$B$704=A514),'Engineer Updates'!$G$5:$G$704),""))</x:f>
      </x:c>
      <x:c r="T514" s="172" t="str">
        <x:f>IF(A514="","",IFERROR(LOOKUP(2,1/('Engineer Updates'!$B$5:$B$704=A514),'Engineer Updates'!$I$5:$I$704),""))</x:f>
      </x:c>
      <x:c r="U514" s="172" t="str">
        <x:f>IF(A514="","",IFERROR(LOOKUP(2,1/('Engineer Updates'!$B$5:$B$704=A514),'Engineer Updates'!$J$5:$J$704),""))</x:f>
      </x:c>
      <x:c r="V514" s="172" t="str">
        <x:f>IF(A514="","",IFERROR(LOOKUP(2,1/('Engineer Updates'!$B$5:$B$704=A514),'Engineer Updates'!$K$5:$K$704),""))</x:f>
      </x:c>
      <x:c r="W514" s="174" t="str">
        <x:f>IF(A514="","",IFERROR(LOOKUP(2,1/('Engineer Updates'!$B$5:$B$704=A514),'Engineer Updates'!$L$5:$L$704),""))</x:f>
      </x:c>
      <x:c r="X514" s="170" t="str">
        <x:f>IF(A514="","",IF(C514="completed","Completed in CSSP",IF(AND(C514="executing",ISERROR(SEARCH("@",K514))),"Executing without named engineer",IF(AND(N514="Confirmed OOS",C514="executing"),"Confirmed OOS still executing",""))))</x:f>
        <x:v>Completed in CSSP</x:v>
      </x:c>
      <x:c r="Y514" s="170" t="str">
        <x:f>IF(A514="","",IF(B514="Decommissioning","Raw Decommissioning","Raw Provisioning"))</x:f>
        <x:v>Raw Provisioning</x:v>
      </x:c>
      <x:c r="Z514" s="170" t="str">
        <x:f>IF(A514="","",IF(OR(C514="executing",C514="processing"),"Yes","No"))</x:f>
        <x:v>No</x:v>
      </x:c>
    </x:row>
    <x:row r="515">
      <x:c r="A515" s="170" t="str">
        <x:f>IF(ROWS($A$5:A515)&lt;=COUNTA('Raw Decommissioning'!$B$2:$B$1000),INDEX('Raw Decommissioning'!$B$2:$B$1000,ROWS($A$5:A515)),IF(ROWS($A$5:A515)-COUNTA('Raw Decommissioning'!$B$2:$B$1000)&lt;=COUNTA('Raw Provisioning'!$B$2:$B$1000),INDEX('Raw Provisioning'!$B$2:$B$1000,ROWS($A$5:A515)-COUNTA('Raw Decommissioning'!$B$2:$B$1000)),""))</x:f>
        <x:v>CSSP10903999</x:v>
      </x:c>
      <x:c r="B515" s="170" t="str">
        <x:f>IF(A515="","",IF(ROWS($A$5:A515)&lt;=COUNTA('Raw Decommissioning'!$B$2:$B$1000),"Decommissioning","Provisioning"))</x:f>
        <x:v>Provisioning</x:v>
      </x:c>
      <x:c r="C515" s="170" t="str">
        <x:f>IF(A515="","",IF(B515="Decommissioning",IFERROR(INDEX('Raw Decommissioning'!$E$2:$E$1000,MATCH(A515,'Raw Decommissioning'!$B$2:$B$1000,0)),"Missing from latest raw"),IFERROR(INDEX('Raw Provisioning'!$E$2:$E$1000,MATCH(A515,'Raw Provisioning'!$B$2:$B$1000,0)),"Missing from latest raw")))</x:f>
        <x:v>completed</x:v>
      </x:c>
      <x:c r="D515" s="171" t="n">
        <x:f>IF(A515="","",'Refresh Control'!$B$4)</x:f>
        <x:v>46254</x:v>
      </x:c>
      <x:c r="E515" s="171" t="n">
        <x:f>IF(A515="","",IF(B515="Decommissioning",INDEX('Raw Decommissioning'!$F$2:$F$1000,ROWS($A$5:A515)),INDEX('Raw Provisioning'!$F$2:$F$1000,ROWS($A$5:A515)-COUNTA('Raw Decommissioning'!$B$2:$B$1000))))</x:f>
        <x:v>46147.19608101852</x:v>
      </x:c>
      <x:c r="F515" s="171" t="n">
        <x:f>IF(A515="","",IF(B515="Decommissioning",INDEX('Raw Decommissioning'!$G$2:$G$1000,ROWS($A$5:A515)),INDEX('Raw Provisioning'!$H$2:$H$1000,ROWS($A$5:A515)-COUNTA('Raw Decommissioning'!$B$2:$B$1000))))</x:f>
        <x:v>46230.12553769676</x:v>
      </x:c>
      <x:c r="G515" s="170" t="str">
        <x:f>IF(A515="","",IF(B515="Decommissioning",INDEX('Raw Decommissioning'!$I$2:$I$1000,ROWS($A$5:A515)),INDEX('Raw Provisioning'!$J$2:$J$1000,ROWS($A$5:A515)-COUNTA('Raw Decommissioning'!$B$2:$B$1000))))</x:f>
        <x:v>MyProcure</x:v>
      </x:c>
      <x:c r="H515" s="170" t="str">
        <x:f>IF(A515="","",IF(B515="Decommissioning",INDEX('Raw Decommissioning'!$J$2:$J$1000,ROWS($A$5:A515)),INDEX('Raw Provisioning'!$L$2:$L$1000,ROWS($A$5:A515)-COUNTA('Raw Decommissioning'!$B$2:$B$1000))))</x:f>
        <x:v>Procurement Innovation Through Automation And Procurement Marketplace</x:v>
      </x:c>
      <x:c r="I515" s="170" t="str">
        <x:f>IF(A515="","",IF(B515="Decommissioning",INDEX('Raw Decommissioning'!$AL$2:$AL$1000,ROWS($A$5:A515)),INDEX('Raw Provisioning'!$R$2:$R$1000,ROWS($A$5:A515)-COUNTA('Raw Decommissioning'!$B$2:$B$1000))))</x:f>
        <x:v>L</x:v>
      </x:c>
      <x:c r="J515" s="170" t="str">
        <x:f>IF(A515="","",IF(B515="Decommissioning",INDEX('Raw Decommissioning'!$AG$2:$AG$1000,ROWS($A$5:A515)),INDEX('Raw Provisioning'!$AI$2:$AI$1000,ROWS($A$5:A515)-COUNTA('Raw Decommissioning'!$B$2:$B$1000))))</x:f>
        <x:v>mhafizi.madnan@petronas.com</x:v>
      </x:c>
      <x:c r="K515" s="172" t="str">
        <x:f>IF(A515="","",IFERROR(LOOKUP(2,1/('Assignment History'!$B$5:$B$204=A515),'Assignment History'!$D$5:$D$204),IFERROR(VLOOKUP(J515,Configuration!$L$5:$M$50,2,FALSE),J515)))</x:f>
        <x:v>mhafizi.madnan@petronas.com</x:v>
      </x:c>
      <x:c r="L515" s="172" t="str">
        <x:f>IF(A515="","",IF(K515=IFERROR(VLOOKUP(J515,Configuration!$L$5:$M$50,2,FALSE),J515),"Snapshot PIC","Replacement PIC"))</x:f>
        <x:v>Snapshot PIC</x:v>
      </x:c>
      <x:c r="M515" s="172" t="n">
        <x:f>IF(A515="","",IFERROR(VLOOKUP(I515,Configuration!$O$5:$P$8,2,FALSE),Configuration!$S$6))</x:f>
        <x:v>3</x:v>
      </x:c>
      <x:c r="N515" s="172" t="str">
        <x:f>IF(A515="","",IFERROR(LOOKUP(2,1/('Scope Review'!$B$5:$B$204=A515),'Scope Review'!$G$5:$G$204),"Not Reviewed"))</x:f>
        <x:v>Not Reviewed</x:v>
      </x:c>
      <x:c r="O515" s="172" t="str">
        <x:f>IF(A515="","",IFERROR(LOOKUP(2,1/('Scope Review'!$B$5:$B$204=A515),'Scope Review'!$H$5:$H$204),""))</x:f>
      </x:c>
      <x:c r="P515" s="172" t="n">
        <x:f>IF(A515="","",IF(AND(C515="executing",N515&lt;&gt;"Confirmed OOS"),M515,0))</x:f>
        <x:v>0</x:v>
      </x:c>
      <x:c r="Q515" s="173" t="str">
        <x:f>IF(A515="","",IFERROR(LOOKUP(2,1/('Engineer Updates'!$B$5:$B$704=A515),'Engineer Updates'!$A$5:$A$704),""))</x:f>
      </x:c>
      <x:c r="R515" s="172" t="str">
        <x:f>IF(A515="","",IFERROR(LOOKUP(2,1/('Engineer Updates'!$B$5:$B$704=A515),'Engineer Updates'!$H$5:$H$704),""))</x:f>
      </x:c>
      <x:c r="S515" s="172" t="str">
        <x:f>IF(A515="","",IFERROR(LOOKUP(2,1/('Engineer Updates'!$B$5:$B$704=A515),'Engineer Updates'!$G$5:$G$704),""))</x:f>
      </x:c>
      <x:c r="T515" s="172" t="str">
        <x:f>IF(A515="","",IFERROR(LOOKUP(2,1/('Engineer Updates'!$B$5:$B$704=A515),'Engineer Updates'!$I$5:$I$704),""))</x:f>
      </x:c>
      <x:c r="U515" s="172" t="str">
        <x:f>IF(A515="","",IFERROR(LOOKUP(2,1/('Engineer Updates'!$B$5:$B$704=A515),'Engineer Updates'!$J$5:$J$704),""))</x:f>
      </x:c>
      <x:c r="V515" s="172" t="str">
        <x:f>IF(A515="","",IFERROR(LOOKUP(2,1/('Engineer Updates'!$B$5:$B$704=A515),'Engineer Updates'!$K$5:$K$704),""))</x:f>
      </x:c>
      <x:c r="W515" s="174" t="str">
        <x:f>IF(A515="","",IFERROR(LOOKUP(2,1/('Engineer Updates'!$B$5:$B$704=A515),'Engineer Updates'!$L$5:$L$704),""))</x:f>
      </x:c>
      <x:c r="X515" s="170" t="str">
        <x:f>IF(A515="","",IF(C515="completed","Completed in CSSP",IF(AND(C515="executing",ISERROR(SEARCH("@",K515))),"Executing without named engineer",IF(AND(N515="Confirmed OOS",C515="executing"),"Confirmed OOS still executing",""))))</x:f>
        <x:v>Completed in CSSP</x:v>
      </x:c>
      <x:c r="Y515" s="170" t="str">
        <x:f>IF(A515="","",IF(B515="Decommissioning","Raw Decommissioning","Raw Provisioning"))</x:f>
        <x:v>Raw Provisioning</x:v>
      </x:c>
      <x:c r="Z515" s="170" t="str">
        <x:f>IF(A515="","",IF(OR(C515="executing",C515="processing"),"Yes","No"))</x:f>
        <x:v>No</x:v>
      </x:c>
    </x:row>
    <x:row r="516">
      <x:c r="A516" s="170" t="str">
        <x:f>IF(ROWS($A$5:A516)&lt;=COUNTA('Raw Decommissioning'!$B$2:$B$1000),INDEX('Raw Decommissioning'!$B$2:$B$1000,ROWS($A$5:A516)),IF(ROWS($A$5:A516)-COUNTA('Raw Decommissioning'!$B$2:$B$1000)&lt;=COUNTA('Raw Provisioning'!$B$2:$B$1000),INDEX('Raw Provisioning'!$B$2:$B$1000,ROWS($A$5:A516)-COUNTA('Raw Decommissioning'!$B$2:$B$1000)),""))</x:f>
        <x:v>CSSP10807730</x:v>
      </x:c>
      <x:c r="B516" s="170" t="str">
        <x:f>IF(A516="","",IF(ROWS($A$5:A516)&lt;=COUNTA('Raw Decommissioning'!$B$2:$B$1000),"Decommissioning","Provisioning"))</x:f>
        <x:v>Provisioning</x:v>
      </x:c>
      <x:c r="C516" s="170" t="str">
        <x:f>IF(A516="","",IF(B516="Decommissioning",IFERROR(INDEX('Raw Decommissioning'!$E$2:$E$1000,MATCH(A516,'Raw Decommissioning'!$B$2:$B$1000,0)),"Missing from latest raw"),IFERROR(INDEX('Raw Provisioning'!$E$2:$E$1000,MATCH(A516,'Raw Provisioning'!$B$2:$B$1000,0)),"Missing from latest raw")))</x:f>
        <x:v>completed</x:v>
      </x:c>
      <x:c r="D516" s="171" t="n">
        <x:f>IF(A516="","",'Refresh Control'!$B$4)</x:f>
        <x:v>46254</x:v>
      </x:c>
      <x:c r="E516" s="171" t="n">
        <x:f>IF(A516="","",IF(B516="Decommissioning",INDEX('Raw Decommissioning'!$F$2:$F$1000,ROWS($A$5:A516)),INDEX('Raw Provisioning'!$F$2:$F$1000,ROWS($A$5:A516)-COUNTA('Raw Decommissioning'!$B$2:$B$1000))))</x:f>
        <x:v>46147.196865115744</x:v>
      </x:c>
      <x:c r="F516" s="171" t="n">
        <x:f>IF(A516="","",IF(B516="Decommissioning",INDEX('Raw Decommissioning'!$G$2:$G$1000,ROWS($A$5:A516)),INDEX('Raw Provisioning'!$H$2:$H$1000,ROWS($A$5:A516)-COUNTA('Raw Decommissioning'!$B$2:$B$1000))))</x:f>
        <x:v>46224.104881458334</x:v>
      </x:c>
      <x:c r="G516" s="170" t="str">
        <x:f>IF(A516="","",IF(B516="Decommissioning",INDEX('Raw Decommissioning'!$I$2:$I$1000,ROWS($A$5:A516)),INDEX('Raw Provisioning'!$J$2:$J$1000,ROWS($A$5:A516)-COUNTA('Raw Decommissioning'!$B$2:$B$1000))))</x:f>
        <x:v>MyProcure</x:v>
      </x:c>
      <x:c r="H516" s="170" t="str">
        <x:f>IF(A516="","",IF(B516="Decommissioning",INDEX('Raw Decommissioning'!$J$2:$J$1000,ROWS($A$5:A516)),INDEX('Raw Provisioning'!$L$2:$L$1000,ROWS($A$5:A516)-COUNTA('Raw Decommissioning'!$B$2:$B$1000))))</x:f>
        <x:v>Procurement Innovation Through Automation And Procurement Marketplace</x:v>
      </x:c>
      <x:c r="I516" s="170" t="str">
        <x:f>IF(A516="","",IF(B516="Decommissioning",INDEX('Raw Decommissioning'!$AL$2:$AL$1000,ROWS($A$5:A516)),INDEX('Raw Provisioning'!$R$2:$R$1000,ROWS($A$5:A516)-COUNTA('Raw Decommissioning'!$B$2:$B$1000))))</x:f>
        <x:v>L</x:v>
      </x:c>
      <x:c r="J516" s="170" t="str">
        <x:f>IF(A516="","",IF(B516="Decommissioning",INDEX('Raw Decommissioning'!$AG$2:$AG$1000,ROWS($A$5:A516)),INDEX('Raw Provisioning'!$AI$2:$AI$1000,ROWS($A$5:A516)-COUNTA('Raw Decommissioning'!$B$2:$B$1000))))</x:f>
        <x:v>mhafizi.madnan@petronas.com</x:v>
      </x:c>
      <x:c r="K516" s="172" t="str">
        <x:f>IF(A516="","",IFERROR(LOOKUP(2,1/('Assignment History'!$B$5:$B$204=A516),'Assignment History'!$D$5:$D$204),IFERROR(VLOOKUP(J516,Configuration!$L$5:$M$50,2,FALSE),J516)))</x:f>
        <x:v>mhafizi.madnan@petronas.com</x:v>
      </x:c>
      <x:c r="L516" s="172" t="str">
        <x:f>IF(A516="","",IF(K516=IFERROR(VLOOKUP(J516,Configuration!$L$5:$M$50,2,FALSE),J516),"Snapshot PIC","Replacement PIC"))</x:f>
        <x:v>Snapshot PIC</x:v>
      </x:c>
      <x:c r="M516" s="172" t="n">
        <x:f>IF(A516="","",IFERROR(VLOOKUP(I516,Configuration!$O$5:$P$8,2,FALSE),Configuration!$S$6))</x:f>
        <x:v>3</x:v>
      </x:c>
      <x:c r="N516" s="172" t="str">
        <x:f>IF(A516="","",IFERROR(LOOKUP(2,1/('Scope Review'!$B$5:$B$204=A516),'Scope Review'!$G$5:$G$204),"Not Reviewed"))</x:f>
        <x:v>Not Reviewed</x:v>
      </x:c>
      <x:c r="O516" s="172" t="str">
        <x:f>IF(A516="","",IFERROR(LOOKUP(2,1/('Scope Review'!$B$5:$B$204=A516),'Scope Review'!$H$5:$H$204),""))</x:f>
      </x:c>
      <x:c r="P516" s="172" t="n">
        <x:f>IF(A516="","",IF(AND(C516="executing",N516&lt;&gt;"Confirmed OOS"),M516,0))</x:f>
        <x:v>0</x:v>
      </x:c>
      <x:c r="Q516" s="173" t="str">
        <x:f>IF(A516="","",IFERROR(LOOKUP(2,1/('Engineer Updates'!$B$5:$B$704=A516),'Engineer Updates'!$A$5:$A$704),""))</x:f>
      </x:c>
      <x:c r="R516" s="172" t="str">
        <x:f>IF(A516="","",IFERROR(LOOKUP(2,1/('Engineer Updates'!$B$5:$B$704=A516),'Engineer Updates'!$H$5:$H$704),""))</x:f>
      </x:c>
      <x:c r="S516" s="172" t="str">
        <x:f>IF(A516="","",IFERROR(LOOKUP(2,1/('Engineer Updates'!$B$5:$B$704=A516),'Engineer Updates'!$G$5:$G$704),""))</x:f>
      </x:c>
      <x:c r="T516" s="172" t="str">
        <x:f>IF(A516="","",IFERROR(LOOKUP(2,1/('Engineer Updates'!$B$5:$B$704=A516),'Engineer Updates'!$I$5:$I$704),""))</x:f>
      </x:c>
      <x:c r="U516" s="172" t="str">
        <x:f>IF(A516="","",IFERROR(LOOKUP(2,1/('Engineer Updates'!$B$5:$B$704=A516),'Engineer Updates'!$J$5:$J$704),""))</x:f>
      </x:c>
      <x:c r="V516" s="172" t="str">
        <x:f>IF(A516="","",IFERROR(LOOKUP(2,1/('Engineer Updates'!$B$5:$B$704=A516),'Engineer Updates'!$K$5:$K$704),""))</x:f>
      </x:c>
      <x:c r="W516" s="174" t="str">
        <x:f>IF(A516="","",IFERROR(LOOKUP(2,1/('Engineer Updates'!$B$5:$B$704=A516),'Engineer Updates'!$L$5:$L$704),""))</x:f>
      </x:c>
      <x:c r="X516" s="170" t="str">
        <x:f>IF(A516="","",IF(C516="completed","Completed in CSSP",IF(AND(C516="executing",ISERROR(SEARCH("@",K516))),"Executing without named engineer",IF(AND(N516="Confirmed OOS",C516="executing"),"Confirmed OOS still executing",""))))</x:f>
        <x:v>Completed in CSSP</x:v>
      </x:c>
      <x:c r="Y516" s="170" t="str">
        <x:f>IF(A516="","",IF(B516="Decommissioning","Raw Decommissioning","Raw Provisioning"))</x:f>
        <x:v>Raw Provisioning</x:v>
      </x:c>
      <x:c r="Z516" s="170" t="str">
        <x:f>IF(A516="","",IF(OR(C516="executing",C516="processing"),"Yes","No"))</x:f>
        <x:v>No</x:v>
      </x:c>
    </x:row>
    <x:row r="517">
      <x:c r="A517" s="170" t="str">
        <x:f>IF(ROWS($A$5:A517)&lt;=COUNTA('Raw Decommissioning'!$B$2:$B$1000),INDEX('Raw Decommissioning'!$B$2:$B$1000,ROWS($A$5:A517)),IF(ROWS($A$5:A517)-COUNTA('Raw Decommissioning'!$B$2:$B$1000)&lt;=COUNTA('Raw Provisioning'!$B$2:$B$1000),INDEX('Raw Provisioning'!$B$2:$B$1000,ROWS($A$5:A517)-COUNTA('Raw Decommissioning'!$B$2:$B$1000)),""))</x:f>
        <x:v>CSSP10229026</x:v>
      </x:c>
      <x:c r="B517" s="170" t="str">
        <x:f>IF(A517="","",IF(ROWS($A$5:A517)&lt;=COUNTA('Raw Decommissioning'!$B$2:$B$1000),"Decommissioning","Provisioning"))</x:f>
        <x:v>Provisioning</x:v>
      </x:c>
      <x:c r="C517" s="170" t="str">
        <x:f>IF(A517="","",IF(B517="Decommissioning",IFERROR(INDEX('Raw Decommissioning'!$E$2:$E$1000,MATCH(A517,'Raw Decommissioning'!$B$2:$B$1000,0)),"Missing from latest raw"),IFERROR(INDEX('Raw Provisioning'!$E$2:$E$1000,MATCH(A517,'Raw Provisioning'!$B$2:$B$1000,0)),"Missing from latest raw")))</x:f>
        <x:v>completed</x:v>
      </x:c>
      <x:c r="D517" s="171" t="n">
        <x:f>IF(A517="","",'Refresh Control'!$B$4)</x:f>
        <x:v>46254</x:v>
      </x:c>
      <x:c r="E517" s="171" t="n">
        <x:f>IF(A517="","",IF(B517="Decommissioning",INDEX('Raw Decommissioning'!$F$2:$F$1000,ROWS($A$5:A517)),INDEX('Raw Provisioning'!$F$2:$F$1000,ROWS($A$5:A517)-COUNTA('Raw Decommissioning'!$B$2:$B$1000))))</x:f>
        <x:v>46148.071698900465</x:v>
      </x:c>
      <x:c r="F517" s="171" t="n">
        <x:f>IF(A517="","",IF(B517="Decommissioning",INDEX('Raw Decommissioning'!$G$2:$G$1000,ROWS($A$5:A517)),INDEX('Raw Provisioning'!$H$2:$H$1000,ROWS($A$5:A517)-COUNTA('Raw Decommissioning'!$B$2:$B$1000))))</x:f>
        <x:v>46197.10533356482</x:v>
      </x:c>
      <x:c r="G517" s="170" t="str">
        <x:f>IF(A517="","",IF(B517="Decommissioning",INDEX('Raw Decommissioning'!$I$2:$I$1000,ROWS($A$5:A517)),INDEX('Raw Provisioning'!$J$2:$J$1000,ROWS($A$5:A517)-COUNTA('Raw Decommissioning'!$B$2:$B$1000))))</x:f>
        <x:v>myMesra</x:v>
      </x:c>
      <x:c r="H517" s="170" t="str">
        <x:f>IF(A517="","",IF(B517="Decommissioning",INDEX('Raw Decommissioning'!$J$2:$J$1000,ROWS($A$5:A517)),INDEX('Raw Provisioning'!$L$2:$L$1000,ROWS($A$5:A517)-COUNTA('Raw Decommissioning'!$B$2:$B$1000))))</x:f>
        <x:v>MyMesra Platform Stabilisation &amp; Infrastructure Carve‑Out</x:v>
      </x:c>
      <x:c r="I517" s="170" t="str">
        <x:f>IF(A517="","",IF(B517="Decommissioning",INDEX('Raw Decommissioning'!$AL$2:$AL$1000,ROWS($A$5:A517)),INDEX('Raw Provisioning'!$R$2:$R$1000,ROWS($A$5:A517)-COUNTA('Raw Decommissioning'!$B$2:$B$1000))))</x:f>
        <x:v>M</x:v>
      </x:c>
      <x:c r="J517" s="170" t="str">
        <x:f>IF(A517="","",IF(B517="Decommissioning",INDEX('Raw Decommissioning'!$AG$2:$AG$1000,ROWS($A$5:A517)),INDEX('Raw Provisioning'!$AI$2:$AI$1000,ROWS($A$5:A517)-COUNTA('Raw Decommissioning'!$B$2:$B$1000))))</x:f>
        <x:v>izham.ajmaan@petronas.com</x:v>
      </x:c>
      <x:c r="K517" s="172" t="str">
        <x:f>IF(A517="","",IFERROR(LOOKUP(2,1/('Assignment History'!$B$5:$B$204=A517),'Assignment History'!$D$5:$D$204),IFERROR(VLOOKUP(J517,Configuration!$L$5:$M$50,2,FALSE),J517)))</x:f>
        <x:v>izham.ajmaan@petronas.com</x:v>
      </x:c>
      <x:c r="L517" s="172" t="str">
        <x:f>IF(A517="","",IF(K517=IFERROR(VLOOKUP(J517,Configuration!$L$5:$M$50,2,FALSE),J517),"Snapshot PIC","Replacement PIC"))</x:f>
        <x:v>Snapshot PIC</x:v>
      </x:c>
      <x:c r="M517" s="172" t="n">
        <x:f>IF(A517="","",IFERROR(VLOOKUP(I517,Configuration!$O$5:$P$8,2,FALSE),Configuration!$S$6))</x:f>
        <x:v>2</x:v>
      </x:c>
      <x:c r="N517" s="172" t="str">
        <x:f>IF(A517="","",IFERROR(LOOKUP(2,1/('Scope Review'!$B$5:$B$204=A517),'Scope Review'!$G$5:$G$204),"Not Reviewed"))</x:f>
        <x:v>Not Reviewed</x:v>
      </x:c>
      <x:c r="O517" s="172" t="str">
        <x:f>IF(A517="","",IFERROR(LOOKUP(2,1/('Scope Review'!$B$5:$B$204=A517),'Scope Review'!$H$5:$H$204),""))</x:f>
      </x:c>
      <x:c r="P517" s="172" t="n">
        <x:f>IF(A517="","",IF(AND(C517="executing",N517&lt;&gt;"Confirmed OOS"),M517,0))</x:f>
        <x:v>0</x:v>
      </x:c>
      <x:c r="Q517" s="173" t="str">
        <x:f>IF(A517="","",IFERROR(LOOKUP(2,1/('Engineer Updates'!$B$5:$B$704=A517),'Engineer Updates'!$A$5:$A$704),""))</x:f>
      </x:c>
      <x:c r="R517" s="172" t="str">
        <x:f>IF(A517="","",IFERROR(LOOKUP(2,1/('Engineer Updates'!$B$5:$B$704=A517),'Engineer Updates'!$H$5:$H$704),""))</x:f>
      </x:c>
      <x:c r="S517" s="172" t="str">
        <x:f>IF(A517="","",IFERROR(LOOKUP(2,1/('Engineer Updates'!$B$5:$B$704=A517),'Engineer Updates'!$G$5:$G$704),""))</x:f>
      </x:c>
      <x:c r="T517" s="172" t="str">
        <x:f>IF(A517="","",IFERROR(LOOKUP(2,1/('Engineer Updates'!$B$5:$B$704=A517),'Engineer Updates'!$I$5:$I$704),""))</x:f>
      </x:c>
      <x:c r="U517" s="172" t="str">
        <x:f>IF(A517="","",IFERROR(LOOKUP(2,1/('Engineer Updates'!$B$5:$B$704=A517),'Engineer Updates'!$J$5:$J$704),""))</x:f>
      </x:c>
      <x:c r="V517" s="172" t="str">
        <x:f>IF(A517="","",IFERROR(LOOKUP(2,1/('Engineer Updates'!$B$5:$B$704=A517),'Engineer Updates'!$K$5:$K$704),""))</x:f>
      </x:c>
      <x:c r="W517" s="174" t="str">
        <x:f>IF(A517="","",IFERROR(LOOKUP(2,1/('Engineer Updates'!$B$5:$B$704=A517),'Engineer Updates'!$L$5:$L$704),""))</x:f>
      </x:c>
      <x:c r="X517" s="170" t="str">
        <x:f>IF(A517="","",IF(C517="completed","Completed in CSSP",IF(AND(C517="executing",ISERROR(SEARCH("@",K517))),"Executing without named engineer",IF(AND(N517="Confirmed OOS",C517="executing"),"Confirmed OOS still executing",""))))</x:f>
        <x:v>Completed in CSSP</x:v>
      </x:c>
      <x:c r="Y517" s="170" t="str">
        <x:f>IF(A517="","",IF(B517="Decommissioning","Raw Decommissioning","Raw Provisioning"))</x:f>
        <x:v>Raw Provisioning</x:v>
      </x:c>
      <x:c r="Z517" s="170" t="str">
        <x:f>IF(A517="","",IF(OR(C517="executing",C517="processing"),"Yes","No"))</x:f>
        <x:v>No</x:v>
      </x:c>
    </x:row>
    <x:row r="518">
      <x:c r="A518" s="170" t="str">
        <x:f>IF(ROWS($A$5:A518)&lt;=COUNTA('Raw Decommissioning'!$B$2:$B$1000),INDEX('Raw Decommissioning'!$B$2:$B$1000,ROWS($A$5:A518)),IF(ROWS($A$5:A518)-COUNTA('Raw Decommissioning'!$B$2:$B$1000)&lt;=COUNTA('Raw Provisioning'!$B$2:$B$1000),INDEX('Raw Provisioning'!$B$2:$B$1000,ROWS($A$5:A518)-COUNTA('Raw Decommissioning'!$B$2:$B$1000)),""))</x:f>
        <x:v>CSSP10470896</x:v>
      </x:c>
      <x:c r="B518" s="170" t="str">
        <x:f>IF(A518="","",IF(ROWS($A$5:A518)&lt;=COUNTA('Raw Decommissioning'!$B$2:$B$1000),"Decommissioning","Provisioning"))</x:f>
        <x:v>Provisioning</x:v>
      </x:c>
      <x:c r="C518" s="170" t="str">
        <x:f>IF(A518="","",IF(B518="Decommissioning",IFERROR(INDEX('Raw Decommissioning'!$E$2:$E$1000,MATCH(A518,'Raw Decommissioning'!$B$2:$B$1000,0)),"Missing from latest raw"),IFERROR(INDEX('Raw Provisioning'!$E$2:$E$1000,MATCH(A518,'Raw Provisioning'!$B$2:$B$1000,0)),"Missing from latest raw")))</x:f>
        <x:v>completed</x:v>
      </x:c>
      <x:c r="D518" s="171" t="n">
        <x:f>IF(A518="","",'Refresh Control'!$B$4)</x:f>
        <x:v>46254</x:v>
      </x:c>
      <x:c r="E518" s="171" t="n">
        <x:f>IF(A518="","",IF(B518="Decommissioning",INDEX('Raw Decommissioning'!$F$2:$F$1000,ROWS($A$5:A518)),INDEX('Raw Provisioning'!$F$2:$F$1000,ROWS($A$5:A518)-COUNTA('Raw Decommissioning'!$B$2:$B$1000))))</x:f>
        <x:v>46148.07356416667</x:v>
      </x:c>
      <x:c r="F518" s="171" t="n">
        <x:f>IF(A518="","",IF(B518="Decommissioning",INDEX('Raw Decommissioning'!$G$2:$G$1000,ROWS($A$5:A518)),INDEX('Raw Provisioning'!$H$2:$H$1000,ROWS($A$5:A518)-COUNTA('Raw Decommissioning'!$B$2:$B$1000))))</x:f>
        <x:v>46212.24296023148</x:v>
      </x:c>
      <x:c r="G518" s="170" t="str">
        <x:f>IF(A518="","",IF(B518="Decommissioning",INDEX('Raw Decommissioning'!$I$2:$I$1000,ROWS($A$5:A518)),INDEX('Raw Provisioning'!$J$2:$J$1000,ROWS($A$5:A518)-COUNTA('Raw Decommissioning'!$B$2:$B$1000))))</x:f>
        <x:v>myMesra</x:v>
      </x:c>
      <x:c r="H518" s="170" t="str">
        <x:f>IF(A518="","",IF(B518="Decommissioning",INDEX('Raw Decommissioning'!$J$2:$J$1000,ROWS($A$5:A518)),INDEX('Raw Provisioning'!$L$2:$L$1000,ROWS($A$5:A518)-COUNTA('Raw Decommissioning'!$B$2:$B$1000))))</x:f>
        <x:v>MyMesra Platform Stabilisation &amp; Infrastructure Carve‑Out</x:v>
      </x:c>
      <x:c r="I518" s="170" t="str">
        <x:f>IF(A518="","",IF(B518="Decommissioning",INDEX('Raw Decommissioning'!$AL$2:$AL$1000,ROWS($A$5:A518)),INDEX('Raw Provisioning'!$R$2:$R$1000,ROWS($A$5:A518)-COUNTA('Raw Decommissioning'!$B$2:$B$1000))))</x:f>
        <x:v>M</x:v>
      </x:c>
      <x:c r="J518" s="170" t="str">
        <x:f>IF(A518="","",IF(B518="Decommissioning",INDEX('Raw Decommissioning'!$AG$2:$AG$1000,ROWS($A$5:A518)),INDEX('Raw Provisioning'!$AI$2:$AI$1000,ROWS($A$5:A518)-COUNTA('Raw Decommissioning'!$B$2:$B$1000))))</x:f>
        <x:v>izham.ajmaan@petronas.com</x:v>
      </x:c>
      <x:c r="K518" s="172" t="str">
        <x:f>IF(A518="","",IFERROR(LOOKUP(2,1/('Assignment History'!$B$5:$B$204=A518),'Assignment History'!$D$5:$D$204),IFERROR(VLOOKUP(J518,Configuration!$L$5:$M$50,2,FALSE),J518)))</x:f>
        <x:v>izham.ajmaan@petronas.com</x:v>
      </x:c>
      <x:c r="L518" s="172" t="str">
        <x:f>IF(A518="","",IF(K518=IFERROR(VLOOKUP(J518,Configuration!$L$5:$M$50,2,FALSE),J518),"Snapshot PIC","Replacement PIC"))</x:f>
        <x:v>Snapshot PIC</x:v>
      </x:c>
      <x:c r="M518" s="172" t="n">
        <x:f>IF(A518="","",IFERROR(VLOOKUP(I518,Configuration!$O$5:$P$8,2,FALSE),Configuration!$S$6))</x:f>
        <x:v>2</x:v>
      </x:c>
      <x:c r="N518" s="172" t="str">
        <x:f>IF(A518="","",IFERROR(LOOKUP(2,1/('Scope Review'!$B$5:$B$204=A518),'Scope Review'!$G$5:$G$204),"Not Reviewed"))</x:f>
        <x:v>Not Reviewed</x:v>
      </x:c>
      <x:c r="O518" s="172" t="str">
        <x:f>IF(A518="","",IFERROR(LOOKUP(2,1/('Scope Review'!$B$5:$B$204=A518),'Scope Review'!$H$5:$H$204),""))</x:f>
      </x:c>
      <x:c r="P518" s="172" t="n">
        <x:f>IF(A518="","",IF(AND(C518="executing",N518&lt;&gt;"Confirmed OOS"),M518,0))</x:f>
        <x:v>0</x:v>
      </x:c>
      <x:c r="Q518" s="173" t="str">
        <x:f>IF(A518="","",IFERROR(LOOKUP(2,1/('Engineer Updates'!$B$5:$B$704=A518),'Engineer Updates'!$A$5:$A$704),""))</x:f>
      </x:c>
      <x:c r="R518" s="172" t="str">
        <x:f>IF(A518="","",IFERROR(LOOKUP(2,1/('Engineer Updates'!$B$5:$B$704=A518),'Engineer Updates'!$H$5:$H$704),""))</x:f>
      </x:c>
      <x:c r="S518" s="172" t="str">
        <x:f>IF(A518="","",IFERROR(LOOKUP(2,1/('Engineer Updates'!$B$5:$B$704=A518),'Engineer Updates'!$G$5:$G$704),""))</x:f>
      </x:c>
      <x:c r="T518" s="172" t="str">
        <x:f>IF(A518="","",IFERROR(LOOKUP(2,1/('Engineer Updates'!$B$5:$B$704=A518),'Engineer Updates'!$I$5:$I$704),""))</x:f>
      </x:c>
      <x:c r="U518" s="172" t="str">
        <x:f>IF(A518="","",IFERROR(LOOKUP(2,1/('Engineer Updates'!$B$5:$B$704=A518),'Engineer Updates'!$J$5:$J$704),""))</x:f>
      </x:c>
      <x:c r="V518" s="172" t="str">
        <x:f>IF(A518="","",IFERROR(LOOKUP(2,1/('Engineer Updates'!$B$5:$B$704=A518),'Engineer Updates'!$K$5:$K$704),""))</x:f>
      </x:c>
      <x:c r="W518" s="174" t="str">
        <x:f>IF(A518="","",IFERROR(LOOKUP(2,1/('Engineer Updates'!$B$5:$B$704=A518),'Engineer Updates'!$L$5:$L$704),""))</x:f>
      </x:c>
      <x:c r="X518" s="170" t="str">
        <x:f>IF(A518="","",IF(C518="completed","Completed in CSSP",IF(AND(C518="executing",ISERROR(SEARCH("@",K518))),"Executing without named engineer",IF(AND(N518="Confirmed OOS",C518="executing"),"Confirmed OOS still executing",""))))</x:f>
        <x:v>Completed in CSSP</x:v>
      </x:c>
      <x:c r="Y518" s="170" t="str">
        <x:f>IF(A518="","",IF(B518="Decommissioning","Raw Decommissioning","Raw Provisioning"))</x:f>
        <x:v>Raw Provisioning</x:v>
      </x:c>
      <x:c r="Z518" s="170" t="str">
        <x:f>IF(A518="","",IF(OR(C518="executing",C518="processing"),"Yes","No"))</x:f>
        <x:v>No</x:v>
      </x:c>
    </x:row>
    <x:row r="519">
      <x:c r="A519" s="170" t="str">
        <x:f>IF(ROWS($A$5:A519)&lt;=COUNTA('Raw Decommissioning'!$B$2:$B$1000),INDEX('Raw Decommissioning'!$B$2:$B$1000,ROWS($A$5:A519)),IF(ROWS($A$5:A519)-COUNTA('Raw Decommissioning'!$B$2:$B$1000)&lt;=COUNTA('Raw Provisioning'!$B$2:$B$1000),INDEX('Raw Provisioning'!$B$2:$B$1000,ROWS($A$5:A519)-COUNTA('Raw Decommissioning'!$B$2:$B$1000)),""))</x:f>
        <x:v>CSSP10941412</x:v>
      </x:c>
      <x:c r="B519" s="170" t="str">
        <x:f>IF(A519="","",IF(ROWS($A$5:A519)&lt;=COUNTA('Raw Decommissioning'!$B$2:$B$1000),"Decommissioning","Provisioning"))</x:f>
        <x:v>Provisioning</x:v>
      </x:c>
      <x:c r="C519" s="170" t="str">
        <x:f>IF(A519="","",IF(B519="Decommissioning",IFERROR(INDEX('Raw Decommissioning'!$E$2:$E$1000,MATCH(A519,'Raw Decommissioning'!$B$2:$B$1000,0)),"Missing from latest raw"),IFERROR(INDEX('Raw Provisioning'!$E$2:$E$1000,MATCH(A519,'Raw Provisioning'!$B$2:$B$1000,0)),"Missing from latest raw")))</x:f>
        <x:v>completed</x:v>
      </x:c>
      <x:c r="D519" s="171" t="n">
        <x:f>IF(A519="","",'Refresh Control'!$B$4)</x:f>
        <x:v>46254</x:v>
      </x:c>
      <x:c r="E519" s="171" t="n">
        <x:f>IF(A519="","",IF(B519="Decommissioning",INDEX('Raw Decommissioning'!$F$2:$F$1000,ROWS($A$5:A519)),INDEX('Raw Provisioning'!$F$2:$F$1000,ROWS($A$5:A519)-COUNTA('Raw Decommissioning'!$B$2:$B$1000))))</x:f>
        <x:v>46148.089793900464</x:v>
      </x:c>
      <x:c r="F519" s="171" t="n">
        <x:f>IF(A519="","",IF(B519="Decommissioning",INDEX('Raw Decommissioning'!$G$2:$G$1000,ROWS($A$5:A519)),INDEX('Raw Provisioning'!$H$2:$H$1000,ROWS($A$5:A519)-COUNTA('Raw Decommissioning'!$B$2:$B$1000))))</x:f>
        <x:v>46167.34860997685</x:v>
      </x:c>
      <x:c r="G519" s="170" t="str">
        <x:f>IF(A519="","",IF(B519="Decommissioning",INDEX('Raw Decommissioning'!$I$2:$I$1000,ROWS($A$5:A519)),INDEX('Raw Provisioning'!$J$2:$J$1000,ROWS($A$5:A519)-COUNTA('Raw Decommissioning'!$B$2:$B$1000))))</x:f>
        <x:v>PETRONAS Unified Search and Personal Assistant - PUSPA for REAL</x:v>
      </x:c>
      <x:c r="H519" s="170" t="str">
        <x:f>IF(A519="","",IF(B519="Decommissioning",INDEX('Raw Decommissioning'!$J$2:$J$1000,ROWS($A$5:A519)),INDEX('Raw Provisioning'!$L$2:$L$1000,ROWS($A$5:A519)-COUNTA('Raw Decommissioning'!$B$2:$B$1000))))</x:f>
        <x:v>PETRONAS Unified Search and Personal Assistant (PUSPA) EPIC 1 and EPIC 2 Development</x:v>
      </x:c>
      <x:c r="I519" s="170" t="str">
        <x:f>IF(A519="","",IF(B519="Decommissioning",INDEX('Raw Decommissioning'!$AL$2:$AL$1000,ROWS($A$5:A519)),INDEX('Raw Provisioning'!$R$2:$R$1000,ROWS($A$5:A519)-COUNTA('Raw Decommissioning'!$B$2:$B$1000))))</x:f>
        <x:v>S</x:v>
      </x:c>
      <x:c r="J519" s="170" t="str">
        <x:f>IF(A519="","",IF(B519="Decommissioning",INDEX('Raw Decommissioning'!$AG$2:$AG$1000,ROWS($A$5:A519)),INDEX('Raw Provisioning'!$AI$2:$AI$1000,ROWS($A$5:A519)-COUNTA('Raw Decommissioning'!$B$2:$B$1000))))</x:f>
        <x:v>muhdfirdaus.muhamad@petronas.com</x:v>
      </x:c>
      <x:c r="K519" s="172" t="str">
        <x:f>IF(A519="","",IFERROR(LOOKUP(2,1/('Assignment History'!$B$5:$B$204=A519),'Assignment History'!$D$5:$D$204),IFERROR(VLOOKUP(J519,Configuration!$L$5:$M$50,2,FALSE),J519)))</x:f>
        <x:v>muhdfirdaus.muhamad@petronas.com</x:v>
      </x:c>
      <x:c r="L519" s="172" t="str">
        <x:f>IF(A519="","",IF(K519=IFERROR(VLOOKUP(J519,Configuration!$L$5:$M$50,2,FALSE),J519),"Snapshot PIC","Replacement PIC"))</x:f>
        <x:v>Snapshot PIC</x:v>
      </x:c>
      <x:c r="M519" s="172" t="n">
        <x:f>IF(A519="","",IFERROR(VLOOKUP(I519,Configuration!$O$5:$P$8,2,FALSE),Configuration!$S$6))</x:f>
        <x:v>1</x:v>
      </x:c>
      <x:c r="N519" s="172" t="str">
        <x:f>IF(A519="","",IFERROR(LOOKUP(2,1/('Scope Review'!$B$5:$B$204=A519),'Scope Review'!$G$5:$G$204),"Not Reviewed"))</x:f>
        <x:v>Not Reviewed</x:v>
      </x:c>
      <x:c r="O519" s="172" t="str">
        <x:f>IF(A519="","",IFERROR(LOOKUP(2,1/('Scope Review'!$B$5:$B$204=A519),'Scope Review'!$H$5:$H$204),""))</x:f>
      </x:c>
      <x:c r="P519" s="172" t="n">
        <x:f>IF(A519="","",IF(AND(C519="executing",N519&lt;&gt;"Confirmed OOS"),M519,0))</x:f>
        <x:v>0</x:v>
      </x:c>
      <x:c r="Q519" s="173" t="str">
        <x:f>IF(A519="","",IFERROR(LOOKUP(2,1/('Engineer Updates'!$B$5:$B$704=A519),'Engineer Updates'!$A$5:$A$704),""))</x:f>
      </x:c>
      <x:c r="R519" s="172" t="str">
        <x:f>IF(A519="","",IFERROR(LOOKUP(2,1/('Engineer Updates'!$B$5:$B$704=A519),'Engineer Updates'!$H$5:$H$704),""))</x:f>
      </x:c>
      <x:c r="S519" s="172" t="str">
        <x:f>IF(A519="","",IFERROR(LOOKUP(2,1/('Engineer Updates'!$B$5:$B$704=A519),'Engineer Updates'!$G$5:$G$704),""))</x:f>
      </x:c>
      <x:c r="T519" s="172" t="str">
        <x:f>IF(A519="","",IFERROR(LOOKUP(2,1/('Engineer Updates'!$B$5:$B$704=A519),'Engineer Updates'!$I$5:$I$704),""))</x:f>
      </x:c>
      <x:c r="U519" s="172" t="str">
        <x:f>IF(A519="","",IFERROR(LOOKUP(2,1/('Engineer Updates'!$B$5:$B$704=A519),'Engineer Updates'!$J$5:$J$704),""))</x:f>
      </x:c>
      <x:c r="V519" s="172" t="str">
        <x:f>IF(A519="","",IFERROR(LOOKUP(2,1/('Engineer Updates'!$B$5:$B$704=A519),'Engineer Updates'!$K$5:$K$704),""))</x:f>
      </x:c>
      <x:c r="W519" s="174" t="str">
        <x:f>IF(A519="","",IFERROR(LOOKUP(2,1/('Engineer Updates'!$B$5:$B$704=A519),'Engineer Updates'!$L$5:$L$704),""))</x:f>
      </x:c>
      <x:c r="X519" s="170" t="str">
        <x:f>IF(A519="","",IF(C519="completed","Completed in CSSP",IF(AND(C519="executing",ISERROR(SEARCH("@",K519))),"Executing without named engineer",IF(AND(N519="Confirmed OOS",C519="executing"),"Confirmed OOS still executing",""))))</x:f>
        <x:v>Completed in CSSP</x:v>
      </x:c>
      <x:c r="Y519" s="170" t="str">
        <x:f>IF(A519="","",IF(B519="Decommissioning","Raw Decommissioning","Raw Provisioning"))</x:f>
        <x:v>Raw Provisioning</x:v>
      </x:c>
      <x:c r="Z519" s="170" t="str">
        <x:f>IF(A519="","",IF(OR(C519="executing",C519="processing"),"Yes","No"))</x:f>
        <x:v>No</x:v>
      </x:c>
    </x:row>
    <x:row r="520">
      <x:c r="A520" s="170" t="str">
        <x:f>IF(ROWS($A$5:A520)&lt;=COUNTA('Raw Decommissioning'!$B$2:$B$1000),INDEX('Raw Decommissioning'!$B$2:$B$1000,ROWS($A$5:A520)),IF(ROWS($A$5:A520)-COUNTA('Raw Decommissioning'!$B$2:$B$1000)&lt;=COUNTA('Raw Provisioning'!$B$2:$B$1000),INDEX('Raw Provisioning'!$B$2:$B$1000,ROWS($A$5:A520)-COUNTA('Raw Decommissioning'!$B$2:$B$1000)),""))</x:f>
        <x:v>CSSP10759375</x:v>
      </x:c>
      <x:c r="B520" s="170" t="str">
        <x:f>IF(A520="","",IF(ROWS($A$5:A520)&lt;=COUNTA('Raw Decommissioning'!$B$2:$B$1000),"Decommissioning","Provisioning"))</x:f>
        <x:v>Provisioning</x:v>
      </x:c>
      <x:c r="C520" s="170" t="str">
        <x:f>IF(A520="","",IF(B520="Decommissioning",IFERROR(INDEX('Raw Decommissioning'!$E$2:$E$1000,MATCH(A520,'Raw Decommissioning'!$B$2:$B$1000,0)),"Missing from latest raw"),IFERROR(INDEX('Raw Provisioning'!$E$2:$E$1000,MATCH(A520,'Raw Provisioning'!$B$2:$B$1000,0)),"Missing from latest raw")))</x:f>
        <x:v>completed</x:v>
      </x:c>
      <x:c r="D520" s="171" t="n">
        <x:f>IF(A520="","",'Refresh Control'!$B$4)</x:f>
        <x:v>46254</x:v>
      </x:c>
      <x:c r="E520" s="171" t="n">
        <x:f>IF(A520="","",IF(B520="Decommissioning",INDEX('Raw Decommissioning'!$F$2:$F$1000,ROWS($A$5:A520)),INDEX('Raw Provisioning'!$F$2:$F$1000,ROWS($A$5:A520)-COUNTA('Raw Decommissioning'!$B$2:$B$1000))))</x:f>
        <x:v>46148.29802596065</x:v>
      </x:c>
      <x:c r="F520" s="171" t="n">
        <x:f>IF(A520="","",IF(B520="Decommissioning",INDEX('Raw Decommissioning'!$G$2:$G$1000,ROWS($A$5:A520)),INDEX('Raw Provisioning'!$H$2:$H$1000,ROWS($A$5:A520)-COUNTA('Raw Decommissioning'!$B$2:$B$1000))))</x:f>
        <x:v>46188.33211322917</x:v>
      </x:c>
      <x:c r="G520" s="170" t="str">
        <x:f>IF(A520="","",IF(B520="Decommissioning",INDEX('Raw Decommissioning'!$I$2:$I$1000,ROWS($A$5:A520)),INDEX('Raw Provisioning'!$J$2:$J$1000,ROWS($A$5:A520)-COUNTA('Raw Decommissioning'!$B$2:$B$1000))))</x:f>
        <x:v>HSE Intelligence Pod - Smart Advisor - HIP SA</x:v>
      </x:c>
      <x:c r="H520" s="170" t="str">
        <x:f>IF(A520="","",IF(B520="Decommissioning",INDEX('Raw Decommissioning'!$J$2:$J$1000,ROWS($A$5:A520)),INDEX('Raw Provisioning'!$L$2:$L$1000,ROWS($A$5:A520)-COUNTA('Raw Decommissioning'!$B$2:$B$1000))))</x:f>
        <x:v>HSE Intelligence Pod - Smart Advisor</x:v>
      </x:c>
      <x:c r="I520" s="170" t="str">
        <x:f>IF(A520="","",IF(B520="Decommissioning",INDEX('Raw Decommissioning'!$AL$2:$AL$1000,ROWS($A$5:A520)),INDEX('Raw Provisioning'!$R$2:$R$1000,ROWS($A$5:A520)-COUNTA('Raw Decommissioning'!$B$2:$B$1000))))</x:f>
        <x:v>S</x:v>
      </x:c>
      <x:c r="J520" s="170" t="str">
        <x:f>IF(A520="","",IF(B520="Decommissioning",INDEX('Raw Decommissioning'!$AG$2:$AG$1000,ROWS($A$5:A520)),INDEX('Raw Provisioning'!$AI$2:$AI$1000,ROWS($A$5:A520)-COUNTA('Raw Decommissioning'!$B$2:$B$1000))))</x:f>
        <x:v>akhmal.roslan@petronas.com</x:v>
      </x:c>
      <x:c r="K520" s="172" t="str">
        <x:f>IF(A520="","",IFERROR(LOOKUP(2,1/('Assignment History'!$B$5:$B$204=A520),'Assignment History'!$D$5:$D$204),IFERROR(VLOOKUP(J520,Configuration!$L$5:$M$50,2,FALSE),J520)))</x:f>
        <x:v>akhmal.roslan@petronas.com</x:v>
      </x:c>
      <x:c r="L520" s="172" t="str">
        <x:f>IF(A520="","",IF(K520=IFERROR(VLOOKUP(J520,Configuration!$L$5:$M$50,2,FALSE),J520),"Snapshot PIC","Replacement PIC"))</x:f>
        <x:v>Snapshot PIC</x:v>
      </x:c>
      <x:c r="M520" s="172" t="n">
        <x:f>IF(A520="","",IFERROR(VLOOKUP(I520,Configuration!$O$5:$P$8,2,FALSE),Configuration!$S$6))</x:f>
        <x:v>1</x:v>
      </x:c>
      <x:c r="N520" s="172" t="str">
        <x:f>IF(A520="","",IFERROR(LOOKUP(2,1/('Scope Review'!$B$5:$B$204=A520),'Scope Review'!$G$5:$G$204),"Not Reviewed"))</x:f>
        <x:v>Not Reviewed</x:v>
      </x:c>
      <x:c r="O520" s="172" t="str">
        <x:f>IF(A520="","",IFERROR(LOOKUP(2,1/('Scope Review'!$B$5:$B$204=A520),'Scope Review'!$H$5:$H$204),""))</x:f>
      </x:c>
      <x:c r="P520" s="172" t="n">
        <x:f>IF(A520="","",IF(AND(C520="executing",N520&lt;&gt;"Confirmed OOS"),M520,0))</x:f>
        <x:v>0</x:v>
      </x:c>
      <x:c r="Q520" s="173" t="str">
        <x:f>IF(A520="","",IFERROR(LOOKUP(2,1/('Engineer Updates'!$B$5:$B$704=A520),'Engineer Updates'!$A$5:$A$704),""))</x:f>
      </x:c>
      <x:c r="R520" s="172" t="str">
        <x:f>IF(A520="","",IFERROR(LOOKUP(2,1/('Engineer Updates'!$B$5:$B$704=A520),'Engineer Updates'!$H$5:$H$704),""))</x:f>
      </x:c>
      <x:c r="S520" s="172" t="str">
        <x:f>IF(A520="","",IFERROR(LOOKUP(2,1/('Engineer Updates'!$B$5:$B$704=A520),'Engineer Updates'!$G$5:$G$704),""))</x:f>
      </x:c>
      <x:c r="T520" s="172" t="str">
        <x:f>IF(A520="","",IFERROR(LOOKUP(2,1/('Engineer Updates'!$B$5:$B$704=A520),'Engineer Updates'!$I$5:$I$704),""))</x:f>
      </x:c>
      <x:c r="U520" s="172" t="str">
        <x:f>IF(A520="","",IFERROR(LOOKUP(2,1/('Engineer Updates'!$B$5:$B$704=A520),'Engineer Updates'!$J$5:$J$704),""))</x:f>
      </x:c>
      <x:c r="V520" s="172" t="str">
        <x:f>IF(A520="","",IFERROR(LOOKUP(2,1/('Engineer Updates'!$B$5:$B$704=A520),'Engineer Updates'!$K$5:$K$704),""))</x:f>
      </x:c>
      <x:c r="W520" s="174" t="str">
        <x:f>IF(A520="","",IFERROR(LOOKUP(2,1/('Engineer Updates'!$B$5:$B$704=A520),'Engineer Updates'!$L$5:$L$704),""))</x:f>
      </x:c>
      <x:c r="X520" s="170" t="str">
        <x:f>IF(A520="","",IF(C520="completed","Completed in CSSP",IF(AND(C520="executing",ISERROR(SEARCH("@",K520))),"Executing without named engineer",IF(AND(N520="Confirmed OOS",C520="executing"),"Confirmed OOS still executing",""))))</x:f>
        <x:v>Completed in CSSP</x:v>
      </x:c>
      <x:c r="Y520" s="170" t="str">
        <x:f>IF(A520="","",IF(B520="Decommissioning","Raw Decommissioning","Raw Provisioning"))</x:f>
        <x:v>Raw Provisioning</x:v>
      </x:c>
      <x:c r="Z520" s="170" t="str">
        <x:f>IF(A520="","",IF(OR(C520="executing",C520="processing"),"Yes","No"))</x:f>
        <x:v>No</x:v>
      </x:c>
    </x:row>
    <x:row r="521">
      <x:c r="A521" s="170" t="str">
        <x:f>IF(ROWS($A$5:A521)&lt;=COUNTA('Raw Decommissioning'!$B$2:$B$1000),INDEX('Raw Decommissioning'!$B$2:$B$1000,ROWS($A$5:A521)),IF(ROWS($A$5:A521)-COUNTA('Raw Decommissioning'!$B$2:$B$1000)&lt;=COUNTA('Raw Provisioning'!$B$2:$B$1000),INDEX('Raw Provisioning'!$B$2:$B$1000,ROWS($A$5:A521)-COUNTA('Raw Decommissioning'!$B$2:$B$1000)),""))</x:f>
        <x:v>CSSP10455927</x:v>
      </x:c>
      <x:c r="B521" s="170" t="str">
        <x:f>IF(A521="","",IF(ROWS($A$5:A521)&lt;=COUNTA('Raw Decommissioning'!$B$2:$B$1000),"Decommissioning","Provisioning"))</x:f>
        <x:v>Provisioning</x:v>
      </x:c>
      <x:c r="C521" s="170" t="str">
        <x:f>IF(A521="","",IF(B521="Decommissioning",IFERROR(INDEX('Raw Decommissioning'!$E$2:$E$1000,MATCH(A521,'Raw Decommissioning'!$B$2:$B$1000,0)),"Missing from latest raw"),IFERROR(INDEX('Raw Provisioning'!$E$2:$E$1000,MATCH(A521,'Raw Provisioning'!$B$2:$B$1000,0)),"Missing from latest raw")))</x:f>
        <x:v>rejected</x:v>
      </x:c>
      <x:c r="D521" s="171" t="n">
        <x:f>IF(A521="","",'Refresh Control'!$B$4)</x:f>
        <x:v>46254</x:v>
      </x:c>
      <x:c r="E521" s="171" t="n">
        <x:f>IF(A521="","",IF(B521="Decommissioning",INDEX('Raw Decommissioning'!$F$2:$F$1000,ROWS($A$5:A521)),INDEX('Raw Provisioning'!$F$2:$F$1000,ROWS($A$5:A521)-COUNTA('Raw Decommissioning'!$B$2:$B$1000))))</x:f>
        <x:v>46149.07433380787</x:v>
      </x:c>
      <x:c r="F521" s="171" t="n">
        <x:f>IF(A521="","",IF(B521="Decommissioning",INDEX('Raw Decommissioning'!$G$2:$G$1000,ROWS($A$5:A521)),INDEX('Raw Provisioning'!$H$2:$H$1000,ROWS($A$5:A521)-COUNTA('Raw Decommissioning'!$B$2:$B$1000))))</x:f>
        <x:v>46155.39281039352</x:v>
      </x:c>
      <x:c r="G521" s="170" t="str">
        <x:f>IF(A521="","",IF(B521="Decommissioning",INDEX('Raw Decommissioning'!$I$2:$I$1000,ROWS($A$5:A521)),INDEX('Raw Provisioning'!$J$2:$J$1000,ROWS($A$5:A521)-COUNTA('Raw Decommissioning'!$B$2:$B$1000))))</x:f>
        <x:v>Malaysia Bid Round Online Portal</x:v>
      </x:c>
      <x:c r="H521" s="170" t="str">
        <x:f>IF(A521="","",IF(B521="Decommissioning",INDEX('Raw Decommissioning'!$J$2:$J$1000,ROWS($A$5:A521)),INDEX('Raw Provisioning'!$L$2:$L$1000,ROWS($A$5:A521)-COUNTA('Raw Decommissioning'!$B$2:$B$1000))))</x:f>
        <x:v>Malaysia Bid Round Online Portal</x:v>
      </x:c>
      <x:c r="I521" s="170" t="str">
        <x:f>IF(A521="","",IF(B521="Decommissioning",INDEX('Raw Decommissioning'!$AL$2:$AL$1000,ROWS($A$5:A521)),INDEX('Raw Provisioning'!$R$2:$R$1000,ROWS($A$5:A521)-COUNTA('Raw Decommissioning'!$B$2:$B$1000))))</x:f>
      </x:c>
      <x:c r="J521" s="170" t="str">
        <x:f>IF(A521="","",IF(B521="Decommissioning",INDEX('Raw Decommissioning'!$AG$2:$AG$1000,ROWS($A$5:A521)),INDEX('Raw Provisioning'!$AI$2:$AI$1000,ROWS($A$5:A521)-COUNTA('Raw Decommissioning'!$B$2:$B$1000))))</x:f>
        <x:v>CCoE Core Services (Public)</x:v>
      </x:c>
      <x:c r="K521" s="172" t="str">
        <x:f>IF(A521="","",IFERROR(LOOKUP(2,1/('Assignment History'!$B$5:$B$204=A521),'Assignment History'!$D$5:$D$204),IFERROR(VLOOKUP(J521,Configuration!$L$5:$M$50,2,FALSE),J521)))</x:f>
        <x:v>CCoE Core Services (Public)</x:v>
      </x:c>
      <x:c r="L521" s="172" t="str">
        <x:f>IF(A521="","",IF(K521=IFERROR(VLOOKUP(J521,Configuration!$L$5:$M$50,2,FALSE),J521),"Snapshot PIC","Replacement PIC"))</x:f>
        <x:v>Snapshot PIC</x:v>
      </x:c>
      <x:c r="M521" s="172" t="n">
        <x:f>IF(A521="","",IFERROR(VLOOKUP(I521,Configuration!$O$5:$P$8,2,FALSE),Configuration!$S$6))</x:f>
        <x:v>2</x:v>
      </x:c>
      <x:c r="N521" s="172" t="str">
        <x:f>IF(A521="","",IFERROR(LOOKUP(2,1/('Scope Review'!$B$5:$B$204=A521),'Scope Review'!$G$5:$G$204),"Not Reviewed"))</x:f>
        <x:v>Not Reviewed</x:v>
      </x:c>
      <x:c r="O521" s="172" t="str">
        <x:f>IF(A521="","",IFERROR(LOOKUP(2,1/('Scope Review'!$B$5:$B$204=A521),'Scope Review'!$H$5:$H$204),""))</x:f>
      </x:c>
      <x:c r="P521" s="172" t="n">
        <x:f>IF(A521="","",IF(AND(C521="executing",N521&lt;&gt;"Confirmed OOS"),M521,0))</x:f>
        <x:v>0</x:v>
      </x:c>
      <x:c r="Q521" s="173" t="str">
        <x:f>IF(A521="","",IFERROR(LOOKUP(2,1/('Engineer Updates'!$B$5:$B$704=A521),'Engineer Updates'!$A$5:$A$704),""))</x:f>
      </x:c>
      <x:c r="R521" s="172" t="str">
        <x:f>IF(A521="","",IFERROR(LOOKUP(2,1/('Engineer Updates'!$B$5:$B$704=A521),'Engineer Updates'!$H$5:$H$704),""))</x:f>
      </x:c>
      <x:c r="S521" s="172" t="str">
        <x:f>IF(A521="","",IFERROR(LOOKUP(2,1/('Engineer Updates'!$B$5:$B$704=A521),'Engineer Updates'!$G$5:$G$704),""))</x:f>
      </x:c>
      <x:c r="T521" s="172" t="str">
        <x:f>IF(A521="","",IFERROR(LOOKUP(2,1/('Engineer Updates'!$B$5:$B$704=A521),'Engineer Updates'!$I$5:$I$704),""))</x:f>
      </x:c>
      <x:c r="U521" s="172" t="str">
        <x:f>IF(A521="","",IFERROR(LOOKUP(2,1/('Engineer Updates'!$B$5:$B$704=A521),'Engineer Updates'!$J$5:$J$704),""))</x:f>
      </x:c>
      <x:c r="V521" s="172" t="str">
        <x:f>IF(A521="","",IFERROR(LOOKUP(2,1/('Engineer Updates'!$B$5:$B$704=A521),'Engineer Updates'!$K$5:$K$704),""))</x:f>
      </x:c>
      <x:c r="W521" s="174" t="str">
        <x:f>IF(A521="","",IFERROR(LOOKUP(2,1/('Engineer Updates'!$B$5:$B$704=A521),'Engineer Updates'!$L$5:$L$704),""))</x:f>
      </x:c>
      <x:c r="X521" s="170" t="str">
        <x:f>IF(A521="","",IF(C521="completed","Completed in CSSP",IF(AND(C521="executing",ISERROR(SEARCH("@",K521))),"Executing without named engineer",IF(AND(N521="Confirmed OOS",C521="executing"),"Confirmed OOS still executing",""))))</x:f>
      </x:c>
      <x:c r="Y521" s="170" t="str">
        <x:f>IF(A521="","",IF(B521="Decommissioning","Raw Decommissioning","Raw Provisioning"))</x:f>
        <x:v>Raw Provisioning</x:v>
      </x:c>
      <x:c r="Z521" s="170" t="str">
        <x:f>IF(A521="","",IF(OR(C521="executing",C521="processing"),"Yes","No"))</x:f>
        <x:v>No</x:v>
      </x:c>
    </x:row>
    <x:row r="522">
      <x:c r="A522" s="170" t="str">
        <x:f>IF(ROWS($A$5:A522)&lt;=COUNTA('Raw Decommissioning'!$B$2:$B$1000),INDEX('Raw Decommissioning'!$B$2:$B$1000,ROWS($A$5:A522)),IF(ROWS($A$5:A522)-COUNTA('Raw Decommissioning'!$B$2:$B$1000)&lt;=COUNTA('Raw Provisioning'!$B$2:$B$1000),INDEX('Raw Provisioning'!$B$2:$B$1000,ROWS($A$5:A522)-COUNTA('Raw Decommissioning'!$B$2:$B$1000)),""))</x:f>
        <x:v>CSSP10470481</x:v>
      </x:c>
      <x:c r="B522" s="170" t="str">
        <x:f>IF(A522="","",IF(ROWS($A$5:A522)&lt;=COUNTA('Raw Decommissioning'!$B$2:$B$1000),"Decommissioning","Provisioning"))</x:f>
        <x:v>Provisioning</x:v>
      </x:c>
      <x:c r="C522" s="170" t="str">
        <x:f>IF(A522="","",IF(B522="Decommissioning",IFERROR(INDEX('Raw Decommissioning'!$E$2:$E$1000,MATCH(A522,'Raw Decommissioning'!$B$2:$B$1000,0)),"Missing from latest raw"),IFERROR(INDEX('Raw Provisioning'!$E$2:$E$1000,MATCH(A522,'Raw Provisioning'!$B$2:$B$1000,0)),"Missing from latest raw")))</x:f>
        <x:v>rejected</x:v>
      </x:c>
      <x:c r="D522" s="171" t="n">
        <x:f>IF(A522="","",'Refresh Control'!$B$4)</x:f>
        <x:v>46254</x:v>
      </x:c>
      <x:c r="E522" s="171" t="n">
        <x:f>IF(A522="","",IF(B522="Decommissioning",INDEX('Raw Decommissioning'!$F$2:$F$1000,ROWS($A$5:A522)),INDEX('Raw Provisioning'!$F$2:$F$1000,ROWS($A$5:A522)-COUNTA('Raw Decommissioning'!$B$2:$B$1000))))</x:f>
        <x:v>46149.138175520835</x:v>
      </x:c>
      <x:c r="F522" s="171" t="n">
        <x:f>IF(A522="","",IF(B522="Decommissioning",INDEX('Raw Decommissioning'!$G$2:$G$1000,ROWS($A$5:A522)),INDEX('Raw Provisioning'!$H$2:$H$1000,ROWS($A$5:A522)-COUNTA('Raw Decommissioning'!$B$2:$B$1000))))</x:f>
        <x:v>46162.3536346875</x:v>
      </x:c>
      <x:c r="G522" s="170" t="str">
        <x:f>IF(A522="","",IF(B522="Decommissioning",INDEX('Raw Decommissioning'!$I$2:$I$1000,ROWS($A$5:A522)),INDEX('Raw Provisioning'!$J$2:$J$1000,ROWS($A$5:A522)-COUNTA('Raw Decommissioning'!$B$2:$B$1000))))</x:f>
        <x:v>Alpha Oil</x:v>
      </x:c>
      <x:c r="H522" s="170" t="str">
        <x:f>IF(A522="","",IF(B522="Decommissioning",INDEX('Raw Decommissioning'!$J$2:$J$1000,ROWS($A$5:A522)),INDEX('Raw Provisioning'!$L$2:$L$1000,ROWS($A$5:A522)-COUNTA('Raw Decommissioning'!$B$2:$B$1000))))</x:f>
        <x:v>Support Services of Alpha Oil – WS2 DevSecOps for Malaysia Petroleum Management (MPM)</x:v>
      </x:c>
      <x:c r="I522" s="170" t="str">
        <x:f>IF(A522="","",IF(B522="Decommissioning",INDEX('Raw Decommissioning'!$AL$2:$AL$1000,ROWS($A$5:A522)),INDEX('Raw Provisioning'!$R$2:$R$1000,ROWS($A$5:A522)-COUNTA('Raw Decommissioning'!$B$2:$B$1000))))</x:f>
      </x:c>
      <x:c r="J522" s="170" t="str">
        <x:f>IF(A522="","",IF(B522="Decommissioning",INDEX('Raw Decommissioning'!$AG$2:$AG$1000,ROWS($A$5:A522)),INDEX('Raw Provisioning'!$AI$2:$AI$1000,ROWS($A$5:A522)-COUNTA('Raw Decommissioning'!$B$2:$B$1000))))</x:f>
        <x:v>CCoE Core Services (Public)</x:v>
      </x:c>
      <x:c r="K522" s="172" t="str">
        <x:f>IF(A522="","",IFERROR(LOOKUP(2,1/('Assignment History'!$B$5:$B$204=A522),'Assignment History'!$D$5:$D$204),IFERROR(VLOOKUP(J522,Configuration!$L$5:$M$50,2,FALSE),J522)))</x:f>
        <x:v>CCoE Core Services (Public)</x:v>
      </x:c>
      <x:c r="L522" s="172" t="str">
        <x:f>IF(A522="","",IF(K522=IFERROR(VLOOKUP(J522,Configuration!$L$5:$M$50,2,FALSE),J522),"Snapshot PIC","Replacement PIC"))</x:f>
        <x:v>Snapshot PIC</x:v>
      </x:c>
      <x:c r="M522" s="172" t="n">
        <x:f>IF(A522="","",IFERROR(VLOOKUP(I522,Configuration!$O$5:$P$8,2,FALSE),Configuration!$S$6))</x:f>
        <x:v>2</x:v>
      </x:c>
      <x:c r="N522" s="172" t="str">
        <x:f>IF(A522="","",IFERROR(LOOKUP(2,1/('Scope Review'!$B$5:$B$204=A522),'Scope Review'!$G$5:$G$204),"Not Reviewed"))</x:f>
        <x:v>Not Reviewed</x:v>
      </x:c>
      <x:c r="O522" s="172" t="str">
        <x:f>IF(A522="","",IFERROR(LOOKUP(2,1/('Scope Review'!$B$5:$B$204=A522),'Scope Review'!$H$5:$H$204),""))</x:f>
      </x:c>
      <x:c r="P522" s="172" t="n">
        <x:f>IF(A522="","",IF(AND(C522="executing",N522&lt;&gt;"Confirmed OOS"),M522,0))</x:f>
        <x:v>0</x:v>
      </x:c>
      <x:c r="Q522" s="173" t="str">
        <x:f>IF(A522="","",IFERROR(LOOKUP(2,1/('Engineer Updates'!$B$5:$B$704=A522),'Engineer Updates'!$A$5:$A$704),""))</x:f>
      </x:c>
      <x:c r="R522" s="172" t="str">
        <x:f>IF(A522="","",IFERROR(LOOKUP(2,1/('Engineer Updates'!$B$5:$B$704=A522),'Engineer Updates'!$H$5:$H$704),""))</x:f>
      </x:c>
      <x:c r="S522" s="172" t="str">
        <x:f>IF(A522="","",IFERROR(LOOKUP(2,1/('Engineer Updates'!$B$5:$B$704=A522),'Engineer Updates'!$G$5:$G$704),""))</x:f>
      </x:c>
      <x:c r="T522" s="172" t="str">
        <x:f>IF(A522="","",IFERROR(LOOKUP(2,1/('Engineer Updates'!$B$5:$B$704=A522),'Engineer Updates'!$I$5:$I$704),""))</x:f>
      </x:c>
      <x:c r="U522" s="172" t="str">
        <x:f>IF(A522="","",IFERROR(LOOKUP(2,1/('Engineer Updates'!$B$5:$B$704=A522),'Engineer Updates'!$J$5:$J$704),""))</x:f>
      </x:c>
      <x:c r="V522" s="172" t="str">
        <x:f>IF(A522="","",IFERROR(LOOKUP(2,1/('Engineer Updates'!$B$5:$B$704=A522),'Engineer Updates'!$K$5:$K$704),""))</x:f>
      </x:c>
      <x:c r="W522" s="174" t="str">
        <x:f>IF(A522="","",IFERROR(LOOKUP(2,1/('Engineer Updates'!$B$5:$B$704=A522),'Engineer Updates'!$L$5:$L$704),""))</x:f>
      </x:c>
      <x:c r="X522" s="170" t="str">
        <x:f>IF(A522="","",IF(C522="completed","Completed in CSSP",IF(AND(C522="executing",ISERROR(SEARCH("@",K522))),"Executing without named engineer",IF(AND(N522="Confirmed OOS",C522="executing"),"Confirmed OOS still executing",""))))</x:f>
      </x:c>
      <x:c r="Y522" s="170" t="str">
        <x:f>IF(A522="","",IF(B522="Decommissioning","Raw Decommissioning","Raw Provisioning"))</x:f>
        <x:v>Raw Provisioning</x:v>
      </x:c>
      <x:c r="Z522" s="170" t="str">
        <x:f>IF(A522="","",IF(OR(C522="executing",C522="processing"),"Yes","No"))</x:f>
        <x:v>No</x:v>
      </x:c>
    </x:row>
    <x:row r="523">
      <x:c r="A523" s="170" t="str">
        <x:f>IF(ROWS($A$5:A523)&lt;=COUNTA('Raw Decommissioning'!$B$2:$B$1000),INDEX('Raw Decommissioning'!$B$2:$B$1000,ROWS($A$5:A523)),IF(ROWS($A$5:A523)-COUNTA('Raw Decommissioning'!$B$2:$B$1000)&lt;=COUNTA('Raw Provisioning'!$B$2:$B$1000),INDEX('Raw Provisioning'!$B$2:$B$1000,ROWS($A$5:A523)-COUNTA('Raw Decommissioning'!$B$2:$B$1000)),""))</x:f>
        <x:v>CSSP10338172</x:v>
      </x:c>
      <x:c r="B523" s="170" t="str">
        <x:f>IF(A523="","",IF(ROWS($A$5:A523)&lt;=COUNTA('Raw Decommissioning'!$B$2:$B$1000),"Decommissioning","Provisioning"))</x:f>
        <x:v>Provisioning</x:v>
      </x:c>
      <x:c r="C523" s="170" t="str">
        <x:f>IF(A523="","",IF(B523="Decommissioning",IFERROR(INDEX('Raw Decommissioning'!$E$2:$E$1000,MATCH(A523,'Raw Decommissioning'!$B$2:$B$1000,0)),"Missing from latest raw"),IFERROR(INDEX('Raw Provisioning'!$E$2:$E$1000,MATCH(A523,'Raw Provisioning'!$B$2:$B$1000,0)),"Missing from latest raw")))</x:f>
        <x:v>rejected</x:v>
      </x:c>
      <x:c r="D523" s="171" t="n">
        <x:f>IF(A523="","",'Refresh Control'!$B$4)</x:f>
        <x:v>46254</x:v>
      </x:c>
      <x:c r="E523" s="171" t="n">
        <x:f>IF(A523="","",IF(B523="Decommissioning",INDEX('Raw Decommissioning'!$F$2:$F$1000,ROWS($A$5:A523)),INDEX('Raw Provisioning'!$F$2:$F$1000,ROWS($A$5:A523)-COUNTA('Raw Decommissioning'!$B$2:$B$1000))))</x:f>
        <x:v>46149.27571039352</x:v>
      </x:c>
      <x:c r="F523" s="171" t="n">
        <x:f>IF(A523="","",IF(B523="Decommissioning",INDEX('Raw Decommissioning'!$G$2:$G$1000,ROWS($A$5:A523)),INDEX('Raw Provisioning'!$H$2:$H$1000,ROWS($A$5:A523)-COUNTA('Raw Decommissioning'!$B$2:$B$1000))))</x:f>
        <x:v>46149.30199493055</x:v>
      </x:c>
      <x:c r="G523" s="170" t="str">
        <x:f>IF(A523="","",IF(B523="Decommissioning",INDEX('Raw Decommissioning'!$I$2:$I$1000,ROWS($A$5:A523)),INDEX('Raw Provisioning'!$J$2:$J$1000,ROWS($A$5:A523)-COUNTA('Raw Decommissioning'!$B$2:$B$1000))))</x:f>
        <x:v>Alpha Oil</x:v>
      </x:c>
      <x:c r="H523" s="170" t="str">
        <x:f>IF(A523="","",IF(B523="Decommissioning",INDEX('Raw Decommissioning'!$J$2:$J$1000,ROWS($A$5:A523)),INDEX('Raw Provisioning'!$L$2:$L$1000,ROWS($A$5:A523)-COUNTA('Raw Decommissioning'!$B$2:$B$1000))))</x:f>
        <x:v>Support Services of Alpha Oil – WS2 DevSecOps for Malaysia Petroleum Management (MPM)</x:v>
      </x:c>
      <x:c r="I523" s="170" t="str">
        <x:f>IF(A523="","",IF(B523="Decommissioning",INDEX('Raw Decommissioning'!$AL$2:$AL$1000,ROWS($A$5:A523)),INDEX('Raw Provisioning'!$R$2:$R$1000,ROWS($A$5:A523)-COUNTA('Raw Decommissioning'!$B$2:$B$1000))))</x:f>
      </x:c>
      <x:c r="J523" s="170" t="str">
        <x:f>IF(A523="","",IF(B523="Decommissioning",INDEX('Raw Decommissioning'!$AG$2:$AG$1000,ROWS($A$5:A523)),INDEX('Raw Provisioning'!$AI$2:$AI$1000,ROWS($A$5:A523)-COUNTA('Raw Decommissioning'!$B$2:$B$1000))))</x:f>
        <x:v>CCoE Core Services (Public)</x:v>
      </x:c>
      <x:c r="K523" s="172" t="str">
        <x:f>IF(A523="","",IFERROR(LOOKUP(2,1/('Assignment History'!$B$5:$B$204=A523),'Assignment History'!$D$5:$D$204),IFERROR(VLOOKUP(J523,Configuration!$L$5:$M$50,2,FALSE),J523)))</x:f>
        <x:v>CCoE Core Services (Public)</x:v>
      </x:c>
      <x:c r="L523" s="172" t="str">
        <x:f>IF(A523="","",IF(K523=IFERROR(VLOOKUP(J523,Configuration!$L$5:$M$50,2,FALSE),J523),"Snapshot PIC","Replacement PIC"))</x:f>
        <x:v>Snapshot PIC</x:v>
      </x:c>
      <x:c r="M523" s="172" t="n">
        <x:f>IF(A523="","",IFERROR(VLOOKUP(I523,Configuration!$O$5:$P$8,2,FALSE),Configuration!$S$6))</x:f>
        <x:v>2</x:v>
      </x:c>
      <x:c r="N523" s="172" t="str">
        <x:f>IF(A523="","",IFERROR(LOOKUP(2,1/('Scope Review'!$B$5:$B$204=A523),'Scope Review'!$G$5:$G$204),"Not Reviewed"))</x:f>
        <x:v>Not Reviewed</x:v>
      </x:c>
      <x:c r="O523" s="172" t="str">
        <x:f>IF(A523="","",IFERROR(LOOKUP(2,1/('Scope Review'!$B$5:$B$204=A523),'Scope Review'!$H$5:$H$204),""))</x:f>
      </x:c>
      <x:c r="P523" s="172" t="n">
        <x:f>IF(A523="","",IF(AND(C523="executing",N523&lt;&gt;"Confirmed OOS"),M523,0))</x:f>
        <x:v>0</x:v>
      </x:c>
      <x:c r="Q523" s="173" t="str">
        <x:f>IF(A523="","",IFERROR(LOOKUP(2,1/('Engineer Updates'!$B$5:$B$704=A523),'Engineer Updates'!$A$5:$A$704),""))</x:f>
      </x:c>
      <x:c r="R523" s="172" t="str">
        <x:f>IF(A523="","",IFERROR(LOOKUP(2,1/('Engineer Updates'!$B$5:$B$704=A523),'Engineer Updates'!$H$5:$H$704),""))</x:f>
      </x:c>
      <x:c r="S523" s="172" t="str">
        <x:f>IF(A523="","",IFERROR(LOOKUP(2,1/('Engineer Updates'!$B$5:$B$704=A523),'Engineer Updates'!$G$5:$G$704),""))</x:f>
      </x:c>
      <x:c r="T523" s="172" t="str">
        <x:f>IF(A523="","",IFERROR(LOOKUP(2,1/('Engineer Updates'!$B$5:$B$704=A523),'Engineer Updates'!$I$5:$I$704),""))</x:f>
      </x:c>
      <x:c r="U523" s="172" t="str">
        <x:f>IF(A523="","",IFERROR(LOOKUP(2,1/('Engineer Updates'!$B$5:$B$704=A523),'Engineer Updates'!$J$5:$J$704),""))</x:f>
      </x:c>
      <x:c r="V523" s="172" t="str">
        <x:f>IF(A523="","",IFERROR(LOOKUP(2,1/('Engineer Updates'!$B$5:$B$704=A523),'Engineer Updates'!$K$5:$K$704),""))</x:f>
      </x:c>
      <x:c r="W523" s="174" t="str">
        <x:f>IF(A523="","",IFERROR(LOOKUP(2,1/('Engineer Updates'!$B$5:$B$704=A523),'Engineer Updates'!$L$5:$L$704),""))</x:f>
      </x:c>
      <x:c r="X523" s="170" t="str">
        <x:f>IF(A523="","",IF(C523="completed","Completed in CSSP",IF(AND(C523="executing",ISERROR(SEARCH("@",K523))),"Executing without named engineer",IF(AND(N523="Confirmed OOS",C523="executing"),"Confirmed OOS still executing",""))))</x:f>
      </x:c>
      <x:c r="Y523" s="170" t="str">
        <x:f>IF(A523="","",IF(B523="Decommissioning","Raw Decommissioning","Raw Provisioning"))</x:f>
        <x:v>Raw Provisioning</x:v>
      </x:c>
      <x:c r="Z523" s="170" t="str">
        <x:f>IF(A523="","",IF(OR(C523="executing",C523="processing"),"Yes","No"))</x:f>
        <x:v>No</x:v>
      </x:c>
    </x:row>
    <x:row r="524">
      <x:c r="A524" s="170" t="str">
        <x:f>IF(ROWS($A$5:A524)&lt;=COUNTA('Raw Decommissioning'!$B$2:$B$1000),INDEX('Raw Decommissioning'!$B$2:$B$1000,ROWS($A$5:A524)),IF(ROWS($A$5:A524)-COUNTA('Raw Decommissioning'!$B$2:$B$1000)&lt;=COUNTA('Raw Provisioning'!$B$2:$B$1000),INDEX('Raw Provisioning'!$B$2:$B$1000,ROWS($A$5:A524)-COUNTA('Raw Decommissioning'!$B$2:$B$1000)),""))</x:f>
        <x:v>CSSP10151727</x:v>
      </x:c>
      <x:c r="B524" s="170" t="str">
        <x:f>IF(A524="","",IF(ROWS($A$5:A524)&lt;=COUNTA('Raw Decommissioning'!$B$2:$B$1000),"Decommissioning","Provisioning"))</x:f>
        <x:v>Provisioning</x:v>
      </x:c>
      <x:c r="C524" s="170" t="str">
        <x:f>IF(A524="","",IF(B524="Decommissioning",IFERROR(INDEX('Raw Decommissioning'!$E$2:$E$1000,MATCH(A524,'Raw Decommissioning'!$B$2:$B$1000,0)),"Missing from latest raw"),IFERROR(INDEX('Raw Provisioning'!$E$2:$E$1000,MATCH(A524,'Raw Provisioning'!$B$2:$B$1000,0)),"Missing from latest raw")))</x:f>
        <x:v>completed</x:v>
      </x:c>
      <x:c r="D524" s="171" t="n">
        <x:f>IF(A524="","",'Refresh Control'!$B$4)</x:f>
        <x:v>46254</x:v>
      </x:c>
      <x:c r="E524" s="171" t="n">
        <x:f>IF(A524="","",IF(B524="Decommissioning",INDEX('Raw Decommissioning'!$F$2:$F$1000,ROWS($A$5:A524)),INDEX('Raw Provisioning'!$F$2:$F$1000,ROWS($A$5:A524)-COUNTA('Raw Decommissioning'!$B$2:$B$1000))))</x:f>
        <x:v>46149.32829445602</x:v>
      </x:c>
      <x:c r="F524" s="171" t="n">
        <x:f>IF(A524="","",IF(B524="Decommissioning",INDEX('Raw Decommissioning'!$G$2:$G$1000,ROWS($A$5:A524)),INDEX('Raw Provisioning'!$H$2:$H$1000,ROWS($A$5:A524)-COUNTA('Raw Decommissioning'!$B$2:$B$1000))))</x:f>
        <x:v>46176.03193304398</x:v>
      </x:c>
      <x:c r="G524" s="170" t="str">
        <x:f>IF(A524="","",IF(B524="Decommissioning",INDEX('Raw Decommissioning'!$I$2:$I$1000,ROWS($A$5:A524)),INDEX('Raw Provisioning'!$J$2:$J$1000,ROWS($A$5:A524)-COUNTA('Raw Decommissioning'!$B$2:$B$1000))))</x:f>
        <x:v>Alpha Oil</x:v>
      </x:c>
      <x:c r="H524" s="170" t="str">
        <x:f>IF(A524="","",IF(B524="Decommissioning",INDEX('Raw Decommissioning'!$J$2:$J$1000,ROWS($A$5:A524)),INDEX('Raw Provisioning'!$L$2:$L$1000,ROWS($A$5:A524)-COUNTA('Raw Decommissioning'!$B$2:$B$1000))))</x:f>
        <x:v>Support Services of Alpha Oil – WS2 DevSecOps for Malaysia Petroleum Management (MPM)</x:v>
      </x:c>
      <x:c r="I524" s="170" t="str">
        <x:f>IF(A524="","",IF(B524="Decommissioning",INDEX('Raw Decommissioning'!$AL$2:$AL$1000,ROWS($A$5:A524)),INDEX('Raw Provisioning'!$R$2:$R$1000,ROWS($A$5:A524)-COUNTA('Raw Decommissioning'!$B$2:$B$1000))))</x:f>
        <x:v>M</x:v>
      </x:c>
      <x:c r="J524" s="170" t="str">
        <x:f>IF(A524="","",IF(B524="Decommissioning",INDEX('Raw Decommissioning'!$AG$2:$AG$1000,ROWS($A$5:A524)),INDEX('Raw Provisioning'!$AI$2:$AI$1000,ROWS($A$5:A524)-COUNTA('Raw Decommissioning'!$B$2:$B$1000))))</x:f>
        <x:v>azhan.shazeli@petronas.com</x:v>
      </x:c>
      <x:c r="K524" s="172" t="str">
        <x:f>IF(A524="","",IFERROR(LOOKUP(2,1/('Assignment History'!$B$5:$B$204=A524),'Assignment History'!$D$5:$D$204),IFERROR(VLOOKUP(J524,Configuration!$L$5:$M$50,2,FALSE),J524)))</x:f>
        <x:v>azhan.shazeli@petronas.com</x:v>
      </x:c>
      <x:c r="L524" s="172" t="str">
        <x:f>IF(A524="","",IF(K524=IFERROR(VLOOKUP(J524,Configuration!$L$5:$M$50,2,FALSE),J524),"Snapshot PIC","Replacement PIC"))</x:f>
        <x:v>Snapshot PIC</x:v>
      </x:c>
      <x:c r="M524" s="172" t="n">
        <x:f>IF(A524="","",IFERROR(VLOOKUP(I524,Configuration!$O$5:$P$8,2,FALSE),Configuration!$S$6))</x:f>
        <x:v>2</x:v>
      </x:c>
      <x:c r="N524" s="172" t="str">
        <x:f>IF(A524="","",IFERROR(LOOKUP(2,1/('Scope Review'!$B$5:$B$204=A524),'Scope Review'!$G$5:$G$204),"Not Reviewed"))</x:f>
        <x:v>Not Reviewed</x:v>
      </x:c>
      <x:c r="O524" s="172" t="str">
        <x:f>IF(A524="","",IFERROR(LOOKUP(2,1/('Scope Review'!$B$5:$B$204=A524),'Scope Review'!$H$5:$H$204),""))</x:f>
      </x:c>
      <x:c r="P524" s="172" t="n">
        <x:f>IF(A524="","",IF(AND(C524="executing",N524&lt;&gt;"Confirmed OOS"),M524,0))</x:f>
        <x:v>0</x:v>
      </x:c>
      <x:c r="Q524" s="173" t="str">
        <x:f>IF(A524="","",IFERROR(LOOKUP(2,1/('Engineer Updates'!$B$5:$B$704=A524),'Engineer Updates'!$A$5:$A$704),""))</x:f>
      </x:c>
      <x:c r="R524" s="172" t="str">
        <x:f>IF(A524="","",IFERROR(LOOKUP(2,1/('Engineer Updates'!$B$5:$B$704=A524),'Engineer Updates'!$H$5:$H$704),""))</x:f>
      </x:c>
      <x:c r="S524" s="172" t="str">
        <x:f>IF(A524="","",IFERROR(LOOKUP(2,1/('Engineer Updates'!$B$5:$B$704=A524),'Engineer Updates'!$G$5:$G$704),""))</x:f>
      </x:c>
      <x:c r="T524" s="172" t="str">
        <x:f>IF(A524="","",IFERROR(LOOKUP(2,1/('Engineer Updates'!$B$5:$B$704=A524),'Engineer Updates'!$I$5:$I$704),""))</x:f>
      </x:c>
      <x:c r="U524" s="172" t="str">
        <x:f>IF(A524="","",IFERROR(LOOKUP(2,1/('Engineer Updates'!$B$5:$B$704=A524),'Engineer Updates'!$J$5:$J$704),""))</x:f>
      </x:c>
      <x:c r="V524" s="172" t="str">
        <x:f>IF(A524="","",IFERROR(LOOKUP(2,1/('Engineer Updates'!$B$5:$B$704=A524),'Engineer Updates'!$K$5:$K$704),""))</x:f>
      </x:c>
      <x:c r="W524" s="174" t="str">
        <x:f>IF(A524="","",IFERROR(LOOKUP(2,1/('Engineer Updates'!$B$5:$B$704=A524),'Engineer Updates'!$L$5:$L$704),""))</x:f>
      </x:c>
      <x:c r="X524" s="170" t="str">
        <x:f>IF(A524="","",IF(C524="completed","Completed in CSSP",IF(AND(C524="executing",ISERROR(SEARCH("@",K524))),"Executing without named engineer",IF(AND(N524="Confirmed OOS",C524="executing"),"Confirmed OOS still executing",""))))</x:f>
        <x:v>Completed in CSSP</x:v>
      </x:c>
      <x:c r="Y524" s="170" t="str">
        <x:f>IF(A524="","",IF(B524="Decommissioning","Raw Decommissioning","Raw Provisioning"))</x:f>
        <x:v>Raw Provisioning</x:v>
      </x:c>
      <x:c r="Z524" s="170" t="str">
        <x:f>IF(A524="","",IF(OR(C524="executing",C524="processing"),"Yes","No"))</x:f>
        <x:v>No</x:v>
      </x:c>
    </x:row>
    <x:row r="525">
      <x:c r="A525" s="170" t="str">
        <x:f>IF(ROWS($A$5:A525)&lt;=COUNTA('Raw Decommissioning'!$B$2:$B$1000),INDEX('Raw Decommissioning'!$B$2:$B$1000,ROWS($A$5:A525)),IF(ROWS($A$5:A525)-COUNTA('Raw Decommissioning'!$B$2:$B$1000)&lt;=COUNTA('Raw Provisioning'!$B$2:$B$1000),INDEX('Raw Provisioning'!$B$2:$B$1000,ROWS($A$5:A525)-COUNTA('Raw Decommissioning'!$B$2:$B$1000)),""))</x:f>
        <x:v>CSSP10591107</x:v>
      </x:c>
      <x:c r="B525" s="170" t="str">
        <x:f>IF(A525="","",IF(ROWS($A$5:A525)&lt;=COUNTA('Raw Decommissioning'!$B$2:$B$1000),"Decommissioning","Provisioning"))</x:f>
        <x:v>Provisioning</x:v>
      </x:c>
      <x:c r="C525" s="170" t="str">
        <x:f>IF(A525="","",IF(B525="Decommissioning",IFERROR(INDEX('Raw Decommissioning'!$E$2:$E$1000,MATCH(A525,'Raw Decommissioning'!$B$2:$B$1000,0)),"Missing from latest raw"),IFERROR(INDEX('Raw Provisioning'!$E$2:$E$1000,MATCH(A525,'Raw Provisioning'!$B$2:$B$1000,0)),"Missing from latest raw")))</x:f>
        <x:v>completed</x:v>
      </x:c>
      <x:c r="D525" s="171" t="n">
        <x:f>IF(A525="","",'Refresh Control'!$B$4)</x:f>
        <x:v>46254</x:v>
      </x:c>
      <x:c r="E525" s="171" t="n">
        <x:f>IF(A525="","",IF(B525="Decommissioning",INDEX('Raw Decommissioning'!$F$2:$F$1000,ROWS($A$5:A525)),INDEX('Raw Provisioning'!$F$2:$F$1000,ROWS($A$5:A525)-COUNTA('Raw Decommissioning'!$B$2:$B$1000))))</x:f>
        <x:v>46150.06564219907</x:v>
      </x:c>
      <x:c r="F525" s="171" t="n">
        <x:f>IF(A525="","",IF(B525="Decommissioning",INDEX('Raw Decommissioning'!$G$2:$G$1000,ROWS($A$5:A525)),INDEX('Raw Provisioning'!$H$2:$H$1000,ROWS($A$5:A525)-COUNTA('Raw Decommissioning'!$B$2:$B$1000))))</x:f>
        <x:v>46191.31970961805</x:v>
      </x:c>
      <x:c r="G525" s="170" t="str">
        <x:f>IF(A525="","",IF(B525="Decommissioning",INDEX('Raw Decommissioning'!$I$2:$I$1000,ROWS($A$5:A525)),INDEX('Raw Provisioning'!$J$2:$J$1000,ROWS($A$5:A525)-COUNTA('Raw Decommissioning'!$B$2:$B$1000))))</x:f>
        <x:v>Enterprise Application Observability</x:v>
      </x:c>
      <x:c r="H525" s="170" t="str">
        <x:f>IF(A525="","",IF(B525="Decommissioning",INDEX('Raw Decommissioning'!$J$2:$J$1000,ROWS($A$5:A525)),INDEX('Raw Provisioning'!$L$2:$L$1000,ROWS($A$5:A525)-COUNTA('Raw Decommissioning'!$B$2:$B$1000))))</x:f>
        <x:v>Enterprise Application Observability</x:v>
      </x:c>
      <x:c r="I525" s="170" t="str">
        <x:f>IF(A525="","",IF(B525="Decommissioning",INDEX('Raw Decommissioning'!$AL$2:$AL$1000,ROWS($A$5:A525)),INDEX('Raw Provisioning'!$R$2:$R$1000,ROWS($A$5:A525)-COUNTA('Raw Decommissioning'!$B$2:$B$1000))))</x:f>
        <x:v>L</x:v>
      </x:c>
      <x:c r="J525" s="170" t="str">
        <x:f>IF(A525="","",IF(B525="Decommissioning",INDEX('Raw Decommissioning'!$AG$2:$AG$1000,ROWS($A$5:A525)),INDEX('Raw Provisioning'!$AI$2:$AI$1000,ROWS($A$5:A525)-COUNTA('Raw Decommissioning'!$B$2:$B$1000))))</x:f>
        <x:v>badri.shaharudin@petronas.com</x:v>
      </x:c>
      <x:c r="K525" s="172" t="str">
        <x:f>IF(A525="","",IFERROR(LOOKUP(2,1/('Assignment History'!$B$5:$B$204=A525),'Assignment History'!$D$5:$D$204),IFERROR(VLOOKUP(J525,Configuration!$L$5:$M$50,2,FALSE),J525)))</x:f>
        <x:v>badri.shaharudin@petronas.com</x:v>
      </x:c>
      <x:c r="L525" s="172" t="str">
        <x:f>IF(A525="","",IF(K525=IFERROR(VLOOKUP(J525,Configuration!$L$5:$M$50,2,FALSE),J525),"Snapshot PIC","Replacement PIC"))</x:f>
        <x:v>Snapshot PIC</x:v>
      </x:c>
      <x:c r="M525" s="172" t="n">
        <x:f>IF(A525="","",IFERROR(VLOOKUP(I525,Configuration!$O$5:$P$8,2,FALSE),Configuration!$S$6))</x:f>
        <x:v>3</x:v>
      </x:c>
      <x:c r="N525" s="172" t="str">
        <x:f>IF(A525="","",IFERROR(LOOKUP(2,1/('Scope Review'!$B$5:$B$204=A525),'Scope Review'!$G$5:$G$204),"Not Reviewed"))</x:f>
        <x:v>Not Reviewed</x:v>
      </x:c>
      <x:c r="O525" s="172" t="str">
        <x:f>IF(A525="","",IFERROR(LOOKUP(2,1/('Scope Review'!$B$5:$B$204=A525),'Scope Review'!$H$5:$H$204),""))</x:f>
      </x:c>
      <x:c r="P525" s="172" t="n">
        <x:f>IF(A525="","",IF(AND(C525="executing",N525&lt;&gt;"Confirmed OOS"),M525,0))</x:f>
        <x:v>0</x:v>
      </x:c>
      <x:c r="Q525" s="173" t="str">
        <x:f>IF(A525="","",IFERROR(LOOKUP(2,1/('Engineer Updates'!$B$5:$B$704=A525),'Engineer Updates'!$A$5:$A$704),""))</x:f>
      </x:c>
      <x:c r="R525" s="172" t="str">
        <x:f>IF(A525="","",IFERROR(LOOKUP(2,1/('Engineer Updates'!$B$5:$B$704=A525),'Engineer Updates'!$H$5:$H$704),""))</x:f>
      </x:c>
      <x:c r="S525" s="172" t="str">
        <x:f>IF(A525="","",IFERROR(LOOKUP(2,1/('Engineer Updates'!$B$5:$B$704=A525),'Engineer Updates'!$G$5:$G$704),""))</x:f>
      </x:c>
      <x:c r="T525" s="172" t="str">
        <x:f>IF(A525="","",IFERROR(LOOKUP(2,1/('Engineer Updates'!$B$5:$B$704=A525),'Engineer Updates'!$I$5:$I$704),""))</x:f>
      </x:c>
      <x:c r="U525" s="172" t="str">
        <x:f>IF(A525="","",IFERROR(LOOKUP(2,1/('Engineer Updates'!$B$5:$B$704=A525),'Engineer Updates'!$J$5:$J$704),""))</x:f>
      </x:c>
      <x:c r="V525" s="172" t="str">
        <x:f>IF(A525="","",IFERROR(LOOKUP(2,1/('Engineer Updates'!$B$5:$B$704=A525),'Engineer Updates'!$K$5:$K$704),""))</x:f>
      </x:c>
      <x:c r="W525" s="174" t="str">
        <x:f>IF(A525="","",IFERROR(LOOKUP(2,1/('Engineer Updates'!$B$5:$B$704=A525),'Engineer Updates'!$L$5:$L$704),""))</x:f>
      </x:c>
      <x:c r="X525" s="170" t="str">
        <x:f>IF(A525="","",IF(C525="completed","Completed in CSSP",IF(AND(C525="executing",ISERROR(SEARCH("@",K525))),"Executing without named engineer",IF(AND(N525="Confirmed OOS",C525="executing"),"Confirmed OOS still executing",""))))</x:f>
        <x:v>Completed in CSSP</x:v>
      </x:c>
      <x:c r="Y525" s="170" t="str">
        <x:f>IF(A525="","",IF(B525="Decommissioning","Raw Decommissioning","Raw Provisioning"))</x:f>
        <x:v>Raw Provisioning</x:v>
      </x:c>
      <x:c r="Z525" s="170" t="str">
        <x:f>IF(A525="","",IF(OR(C525="executing",C525="processing"),"Yes","No"))</x:f>
        <x:v>No</x:v>
      </x:c>
    </x:row>
    <x:row r="526">
      <x:c r="A526" s="170" t="str">
        <x:f>IF(ROWS($A$5:A526)&lt;=COUNTA('Raw Decommissioning'!$B$2:$B$1000),INDEX('Raw Decommissioning'!$B$2:$B$1000,ROWS($A$5:A526)),IF(ROWS($A$5:A526)-COUNTA('Raw Decommissioning'!$B$2:$B$1000)&lt;=COUNTA('Raw Provisioning'!$B$2:$B$1000),INDEX('Raw Provisioning'!$B$2:$B$1000,ROWS($A$5:A526)-COUNTA('Raw Decommissioning'!$B$2:$B$1000)),""))</x:f>
        <x:v>CSSP10434143</x:v>
      </x:c>
      <x:c r="B526" s="170" t="str">
        <x:f>IF(A526="","",IF(ROWS($A$5:A526)&lt;=COUNTA('Raw Decommissioning'!$B$2:$B$1000),"Decommissioning","Provisioning"))</x:f>
        <x:v>Provisioning</x:v>
      </x:c>
      <x:c r="C526" s="170" t="str">
        <x:f>IF(A526="","",IF(B526="Decommissioning",IFERROR(INDEX('Raw Decommissioning'!$E$2:$E$1000,MATCH(A526,'Raw Decommissioning'!$B$2:$B$1000,0)),"Missing from latest raw"),IFERROR(INDEX('Raw Provisioning'!$E$2:$E$1000,MATCH(A526,'Raw Provisioning'!$B$2:$B$1000,0)),"Missing from latest raw")))</x:f>
        <x:v>completed</x:v>
      </x:c>
      <x:c r="D526" s="171" t="n">
        <x:f>IF(A526="","",'Refresh Control'!$B$4)</x:f>
        <x:v>46254</x:v>
      </x:c>
      <x:c r="E526" s="171" t="n">
        <x:f>IF(A526="","",IF(B526="Decommissioning",INDEX('Raw Decommissioning'!$F$2:$F$1000,ROWS($A$5:A526)),INDEX('Raw Provisioning'!$F$2:$F$1000,ROWS($A$5:A526)-COUNTA('Raw Decommissioning'!$B$2:$B$1000))))</x:f>
        <x:v>46153.28205913195</x:v>
      </x:c>
      <x:c r="F526" s="171" t="n">
        <x:f>IF(A526="","",IF(B526="Decommissioning",INDEX('Raw Decommissioning'!$G$2:$G$1000,ROWS($A$5:A526)),INDEX('Raw Provisioning'!$H$2:$H$1000,ROWS($A$5:A526)-COUNTA('Raw Decommissioning'!$B$2:$B$1000))))</x:f>
        <x:v>46182.321829560184</x:v>
      </x:c>
      <x:c r="G526" s="170" t="str">
        <x:f>IF(A526="","",IF(B526="Decommissioning",INDEX('Raw Decommissioning'!$I$2:$I$1000,ROWS($A$5:A526)),INDEX('Raw Provisioning'!$J$2:$J$1000,ROWS($A$5:A526)-COUNTA('Raw Decommissioning'!$B$2:$B$1000))))</x:f>
        <x:v>COMPASS</x:v>
      </x:c>
      <x:c r="H526" s="170" t="str">
        <x:f>IF(A526="","",IF(B526="Decommissioning",INDEX('Raw Decommissioning'!$J$2:$J$1000,ROWS($A$5:A526)),INDEX('Raw Provisioning'!$L$2:$L$1000,ROWS($A$5:A526)-COUNTA('Raw Decommissioning'!$B$2:$B$1000))))</x:f>
        <x:v>COMPASS Phase 2</x:v>
      </x:c>
      <x:c r="I526" s="170" t="str">
        <x:f>IF(A526="","",IF(B526="Decommissioning",INDEX('Raw Decommissioning'!$AL$2:$AL$1000,ROWS($A$5:A526)),INDEX('Raw Provisioning'!$R$2:$R$1000,ROWS($A$5:A526)-COUNTA('Raw Decommissioning'!$B$2:$B$1000))))</x:f>
        <x:v>S</x:v>
      </x:c>
      <x:c r="J526" s="170" t="str">
        <x:f>IF(A526="","",IF(B526="Decommissioning",INDEX('Raw Decommissioning'!$AG$2:$AG$1000,ROWS($A$5:A526)),INDEX('Raw Provisioning'!$AI$2:$AI$1000,ROWS($A$5:A526)-COUNTA('Raw Decommissioning'!$B$2:$B$1000))))</x:f>
        <x:v>akhmal.roslan@petronas.com</x:v>
      </x:c>
      <x:c r="K526" s="172" t="str">
        <x:f>IF(A526="","",IFERROR(LOOKUP(2,1/('Assignment History'!$B$5:$B$204=A526),'Assignment History'!$D$5:$D$204),IFERROR(VLOOKUP(J526,Configuration!$L$5:$M$50,2,FALSE),J526)))</x:f>
        <x:v>akhmal.roslan@petronas.com</x:v>
      </x:c>
      <x:c r="L526" s="172" t="str">
        <x:f>IF(A526="","",IF(K526=IFERROR(VLOOKUP(J526,Configuration!$L$5:$M$50,2,FALSE),J526),"Snapshot PIC","Replacement PIC"))</x:f>
        <x:v>Snapshot PIC</x:v>
      </x:c>
      <x:c r="M526" s="172" t="n">
        <x:f>IF(A526="","",IFERROR(VLOOKUP(I526,Configuration!$O$5:$P$8,2,FALSE),Configuration!$S$6))</x:f>
        <x:v>1</x:v>
      </x:c>
      <x:c r="N526" s="172" t="str">
        <x:f>IF(A526="","",IFERROR(LOOKUP(2,1/('Scope Review'!$B$5:$B$204=A526),'Scope Review'!$G$5:$G$204),"Not Reviewed"))</x:f>
        <x:v>Not Reviewed</x:v>
      </x:c>
      <x:c r="O526" s="172" t="str">
        <x:f>IF(A526="","",IFERROR(LOOKUP(2,1/('Scope Review'!$B$5:$B$204=A526),'Scope Review'!$H$5:$H$204),""))</x:f>
      </x:c>
      <x:c r="P526" s="172" t="n">
        <x:f>IF(A526="","",IF(AND(C526="executing",N526&lt;&gt;"Confirmed OOS"),M526,0))</x:f>
        <x:v>0</x:v>
      </x:c>
      <x:c r="Q526" s="173" t="str">
        <x:f>IF(A526="","",IFERROR(LOOKUP(2,1/('Engineer Updates'!$B$5:$B$704=A526),'Engineer Updates'!$A$5:$A$704),""))</x:f>
      </x:c>
      <x:c r="R526" s="172" t="str">
        <x:f>IF(A526="","",IFERROR(LOOKUP(2,1/('Engineer Updates'!$B$5:$B$704=A526),'Engineer Updates'!$H$5:$H$704),""))</x:f>
      </x:c>
      <x:c r="S526" s="172" t="str">
        <x:f>IF(A526="","",IFERROR(LOOKUP(2,1/('Engineer Updates'!$B$5:$B$704=A526),'Engineer Updates'!$G$5:$G$704),""))</x:f>
      </x:c>
      <x:c r="T526" s="172" t="str">
        <x:f>IF(A526="","",IFERROR(LOOKUP(2,1/('Engineer Updates'!$B$5:$B$704=A526),'Engineer Updates'!$I$5:$I$704),""))</x:f>
      </x:c>
      <x:c r="U526" s="172" t="str">
        <x:f>IF(A526="","",IFERROR(LOOKUP(2,1/('Engineer Updates'!$B$5:$B$704=A526),'Engineer Updates'!$J$5:$J$704),""))</x:f>
      </x:c>
      <x:c r="V526" s="172" t="str">
        <x:f>IF(A526="","",IFERROR(LOOKUP(2,1/('Engineer Updates'!$B$5:$B$704=A526),'Engineer Updates'!$K$5:$K$704),""))</x:f>
      </x:c>
      <x:c r="W526" s="174" t="str">
        <x:f>IF(A526="","",IFERROR(LOOKUP(2,1/('Engineer Updates'!$B$5:$B$704=A526),'Engineer Updates'!$L$5:$L$704),""))</x:f>
      </x:c>
      <x:c r="X526" s="170" t="str">
        <x:f>IF(A526="","",IF(C526="completed","Completed in CSSP",IF(AND(C526="executing",ISERROR(SEARCH("@",K526))),"Executing without named engineer",IF(AND(N526="Confirmed OOS",C526="executing"),"Confirmed OOS still executing",""))))</x:f>
        <x:v>Completed in CSSP</x:v>
      </x:c>
      <x:c r="Y526" s="170" t="str">
        <x:f>IF(A526="","",IF(B526="Decommissioning","Raw Decommissioning","Raw Provisioning"))</x:f>
        <x:v>Raw Provisioning</x:v>
      </x:c>
      <x:c r="Z526" s="170" t="str">
        <x:f>IF(A526="","",IF(OR(C526="executing",C526="processing"),"Yes","No"))</x:f>
        <x:v>No</x:v>
      </x:c>
    </x:row>
    <x:row r="527">
      <x:c r="A527" s="170" t="str">
        <x:f>IF(ROWS($A$5:A527)&lt;=COUNTA('Raw Decommissioning'!$B$2:$B$1000),INDEX('Raw Decommissioning'!$B$2:$B$1000,ROWS($A$5:A527)),IF(ROWS($A$5:A527)-COUNTA('Raw Decommissioning'!$B$2:$B$1000)&lt;=COUNTA('Raw Provisioning'!$B$2:$B$1000),INDEX('Raw Provisioning'!$B$2:$B$1000,ROWS($A$5:A527)-COUNTA('Raw Decommissioning'!$B$2:$B$1000)),""))</x:f>
        <x:v>CSSP10714552</x:v>
      </x:c>
      <x:c r="B527" s="170" t="str">
        <x:f>IF(A527="","",IF(ROWS($A$5:A527)&lt;=COUNTA('Raw Decommissioning'!$B$2:$B$1000),"Decommissioning","Provisioning"))</x:f>
        <x:v>Provisioning</x:v>
      </x:c>
      <x:c r="C527" s="170" t="str">
        <x:f>IF(A527="","",IF(B527="Decommissioning",IFERROR(INDEX('Raw Decommissioning'!$E$2:$E$1000,MATCH(A527,'Raw Decommissioning'!$B$2:$B$1000,0)),"Missing from latest raw"),IFERROR(INDEX('Raw Provisioning'!$E$2:$E$1000,MATCH(A527,'Raw Provisioning'!$B$2:$B$1000,0)),"Missing from latest raw")))</x:f>
        <x:v>completed</x:v>
      </x:c>
      <x:c r="D527" s="171" t="n">
        <x:f>IF(A527="","",'Refresh Control'!$B$4)</x:f>
        <x:v>46254</x:v>
      </x:c>
      <x:c r="E527" s="171" t="n">
        <x:f>IF(A527="","",IF(B527="Decommissioning",INDEX('Raw Decommissioning'!$F$2:$F$1000,ROWS($A$5:A527)),INDEX('Raw Provisioning'!$F$2:$F$1000,ROWS($A$5:A527)-COUNTA('Raw Decommissioning'!$B$2:$B$1000))))</x:f>
        <x:v>46154.131849537036</x:v>
      </x:c>
      <x:c r="F527" s="171" t="n">
        <x:f>IF(A527="","",IF(B527="Decommissioning",INDEX('Raw Decommissioning'!$G$2:$G$1000,ROWS($A$5:A527)),INDEX('Raw Provisioning'!$H$2:$H$1000,ROWS($A$5:A527)-COUNTA('Raw Decommissioning'!$B$2:$B$1000))))</x:f>
        <x:v>46204.255536550925</x:v>
      </x:c>
      <x:c r="G527" s="170" t="str">
        <x:f>IF(A527="","",IF(B527="Decommissioning",INDEX('Raw Decommissioning'!$I$2:$I$1000,ROWS($A$5:A527)),INDEX('Raw Provisioning'!$J$2:$J$1000,ROWS($A$5:A527)-COUNTA('Raw Decommissioning'!$B$2:$B$1000))))</x:f>
        <x:v>MyProcure</x:v>
      </x:c>
      <x:c r="H527" s="170" t="str">
        <x:f>IF(A527="","",IF(B527="Decommissioning",INDEX('Raw Decommissioning'!$J$2:$J$1000,ROWS($A$5:A527)),INDEX('Raw Provisioning'!$L$2:$L$1000,ROWS($A$5:A527)-COUNTA('Raw Decommissioning'!$B$2:$B$1000))))</x:f>
        <x:v>Procurement Innovation Through Automation And Procurement Marketplace</x:v>
      </x:c>
      <x:c r="I527" s="170" t="str">
        <x:f>IF(A527="","",IF(B527="Decommissioning",INDEX('Raw Decommissioning'!$AL$2:$AL$1000,ROWS($A$5:A527)),INDEX('Raw Provisioning'!$R$2:$R$1000,ROWS($A$5:A527)-COUNTA('Raw Decommissioning'!$B$2:$B$1000))))</x:f>
        <x:v>S</x:v>
      </x:c>
      <x:c r="J527" s="170" t="str">
        <x:f>IF(A527="","",IF(B527="Decommissioning",INDEX('Raw Decommissioning'!$AG$2:$AG$1000,ROWS($A$5:A527)),INDEX('Raw Provisioning'!$AI$2:$AI$1000,ROWS($A$5:A527)-COUNTA('Raw Decommissioning'!$B$2:$B$1000))))</x:f>
        <x:v>izham.ajmaan@petronas.com</x:v>
      </x:c>
      <x:c r="K527" s="172" t="str">
        <x:f>IF(A527="","",IFERROR(LOOKUP(2,1/('Assignment History'!$B$5:$B$204=A527),'Assignment History'!$D$5:$D$204),IFERROR(VLOOKUP(J527,Configuration!$L$5:$M$50,2,FALSE),J527)))</x:f>
        <x:v>izham.ajmaan@petronas.com</x:v>
      </x:c>
      <x:c r="L527" s="172" t="str">
        <x:f>IF(A527="","",IF(K527=IFERROR(VLOOKUP(J527,Configuration!$L$5:$M$50,2,FALSE),J527),"Snapshot PIC","Replacement PIC"))</x:f>
        <x:v>Snapshot PIC</x:v>
      </x:c>
      <x:c r="M527" s="172" t="n">
        <x:f>IF(A527="","",IFERROR(VLOOKUP(I527,Configuration!$O$5:$P$8,2,FALSE),Configuration!$S$6))</x:f>
        <x:v>1</x:v>
      </x:c>
      <x:c r="N527" s="172" t="str">
        <x:f>IF(A527="","",IFERROR(LOOKUP(2,1/('Scope Review'!$B$5:$B$204=A527),'Scope Review'!$G$5:$G$204),"Not Reviewed"))</x:f>
        <x:v>Not Reviewed</x:v>
      </x:c>
      <x:c r="O527" s="172" t="str">
        <x:f>IF(A527="","",IFERROR(LOOKUP(2,1/('Scope Review'!$B$5:$B$204=A527),'Scope Review'!$H$5:$H$204),""))</x:f>
      </x:c>
      <x:c r="P527" s="172" t="n">
        <x:f>IF(A527="","",IF(AND(C527="executing",N527&lt;&gt;"Confirmed OOS"),M527,0))</x:f>
        <x:v>0</x:v>
      </x:c>
      <x:c r="Q527" s="173" t="str">
        <x:f>IF(A527="","",IFERROR(LOOKUP(2,1/('Engineer Updates'!$B$5:$B$704=A527),'Engineer Updates'!$A$5:$A$704),""))</x:f>
      </x:c>
      <x:c r="R527" s="172" t="str">
        <x:f>IF(A527="","",IFERROR(LOOKUP(2,1/('Engineer Updates'!$B$5:$B$704=A527),'Engineer Updates'!$H$5:$H$704),""))</x:f>
      </x:c>
      <x:c r="S527" s="172" t="str">
        <x:f>IF(A527="","",IFERROR(LOOKUP(2,1/('Engineer Updates'!$B$5:$B$704=A527),'Engineer Updates'!$G$5:$G$704),""))</x:f>
      </x:c>
      <x:c r="T527" s="172" t="str">
        <x:f>IF(A527="","",IFERROR(LOOKUP(2,1/('Engineer Updates'!$B$5:$B$704=A527),'Engineer Updates'!$I$5:$I$704),""))</x:f>
      </x:c>
      <x:c r="U527" s="172" t="str">
        <x:f>IF(A527="","",IFERROR(LOOKUP(2,1/('Engineer Updates'!$B$5:$B$704=A527),'Engineer Updates'!$J$5:$J$704),""))</x:f>
      </x:c>
      <x:c r="V527" s="172" t="str">
        <x:f>IF(A527="","",IFERROR(LOOKUP(2,1/('Engineer Updates'!$B$5:$B$704=A527),'Engineer Updates'!$K$5:$K$704),""))</x:f>
      </x:c>
      <x:c r="W527" s="174" t="str">
        <x:f>IF(A527="","",IFERROR(LOOKUP(2,1/('Engineer Updates'!$B$5:$B$704=A527),'Engineer Updates'!$L$5:$L$704),""))</x:f>
      </x:c>
      <x:c r="X527" s="170" t="str">
        <x:f>IF(A527="","",IF(C527="completed","Completed in CSSP",IF(AND(C527="executing",ISERROR(SEARCH("@",K527))),"Executing without named engineer",IF(AND(N527="Confirmed OOS",C527="executing"),"Confirmed OOS still executing",""))))</x:f>
        <x:v>Completed in CSSP</x:v>
      </x:c>
      <x:c r="Y527" s="170" t="str">
        <x:f>IF(A527="","",IF(B527="Decommissioning","Raw Decommissioning","Raw Provisioning"))</x:f>
        <x:v>Raw Provisioning</x:v>
      </x:c>
      <x:c r="Z527" s="170" t="str">
        <x:f>IF(A527="","",IF(OR(C527="executing",C527="processing"),"Yes","No"))</x:f>
        <x:v>No</x:v>
      </x:c>
    </x:row>
    <x:row r="528">
      <x:c r="A528" s="170" t="str">
        <x:f>IF(ROWS($A$5:A528)&lt;=COUNTA('Raw Decommissioning'!$B$2:$B$1000),INDEX('Raw Decommissioning'!$B$2:$B$1000,ROWS($A$5:A528)),IF(ROWS($A$5:A528)-COUNTA('Raw Decommissioning'!$B$2:$B$1000)&lt;=COUNTA('Raw Provisioning'!$B$2:$B$1000),INDEX('Raw Provisioning'!$B$2:$B$1000,ROWS($A$5:A528)-COUNTA('Raw Decommissioning'!$B$2:$B$1000)),""))</x:f>
        <x:v>CSSP10825896</x:v>
      </x:c>
      <x:c r="B528" s="170" t="str">
        <x:f>IF(A528="","",IF(ROWS($A$5:A528)&lt;=COUNTA('Raw Decommissioning'!$B$2:$B$1000),"Decommissioning","Provisioning"))</x:f>
        <x:v>Provisioning</x:v>
      </x:c>
      <x:c r="C528" s="170" t="str">
        <x:f>IF(A528="","",IF(B528="Decommissioning",IFERROR(INDEX('Raw Decommissioning'!$E$2:$E$1000,MATCH(A528,'Raw Decommissioning'!$B$2:$B$1000,0)),"Missing from latest raw"),IFERROR(INDEX('Raw Provisioning'!$E$2:$E$1000,MATCH(A528,'Raw Provisioning'!$B$2:$B$1000,0)),"Missing from latest raw")))</x:f>
        <x:v>completed</x:v>
      </x:c>
      <x:c r="D528" s="171" t="n">
        <x:f>IF(A528="","",'Refresh Control'!$B$4)</x:f>
        <x:v>46254</x:v>
      </x:c>
      <x:c r="E528" s="171" t="n">
        <x:f>IF(A528="","",IF(B528="Decommissioning",INDEX('Raw Decommissioning'!$F$2:$F$1000,ROWS($A$5:A528)),INDEX('Raw Provisioning'!$F$2:$F$1000,ROWS($A$5:A528)-COUNTA('Raw Decommissioning'!$B$2:$B$1000))))</x:f>
        <x:v>46154.1345971875</x:v>
      </x:c>
      <x:c r="F528" s="171" t="n">
        <x:f>IF(A528="","",IF(B528="Decommissioning",INDEX('Raw Decommissioning'!$G$2:$G$1000,ROWS($A$5:A528)),INDEX('Raw Provisioning'!$H$2:$H$1000,ROWS($A$5:A528)-COUNTA('Raw Decommissioning'!$B$2:$B$1000))))</x:f>
        <x:v>46219.072681157406</x:v>
      </x:c>
      <x:c r="G528" s="170" t="str">
        <x:f>IF(A528="","",IF(B528="Decommissioning",INDEX('Raw Decommissioning'!$I$2:$I$1000,ROWS($A$5:A528)),INDEX('Raw Provisioning'!$J$2:$J$1000,ROWS($A$5:A528)-COUNTA('Raw Decommissioning'!$B$2:$B$1000))))</x:f>
        <x:v>MyProcure</x:v>
      </x:c>
      <x:c r="H528" s="170" t="str">
        <x:f>IF(A528="","",IF(B528="Decommissioning",INDEX('Raw Decommissioning'!$J$2:$J$1000,ROWS($A$5:A528)),INDEX('Raw Provisioning'!$L$2:$L$1000,ROWS($A$5:A528)-COUNTA('Raw Decommissioning'!$B$2:$B$1000))))</x:f>
        <x:v>Procurement Innovation Through Automation And Procurement Marketplace</x:v>
      </x:c>
      <x:c r="I528" s="170" t="str">
        <x:f>IF(A528="","",IF(B528="Decommissioning",INDEX('Raw Decommissioning'!$AL$2:$AL$1000,ROWS($A$5:A528)),INDEX('Raw Provisioning'!$R$2:$R$1000,ROWS($A$5:A528)-COUNTA('Raw Decommissioning'!$B$2:$B$1000))))</x:f>
        <x:v>M</x:v>
      </x:c>
      <x:c r="J528" s="170" t="str">
        <x:f>IF(A528="","",IF(B528="Decommissioning",INDEX('Raw Decommissioning'!$AG$2:$AG$1000,ROWS($A$5:A528)),INDEX('Raw Provisioning'!$AI$2:$AI$1000,ROWS($A$5:A528)-COUNTA('Raw Decommissioning'!$B$2:$B$1000))))</x:f>
        <x:v>muhdfirdaus.muhamad@petronas.com</x:v>
      </x:c>
      <x:c r="K528" s="172" t="str">
        <x:f>IF(A528="","",IFERROR(LOOKUP(2,1/('Assignment History'!$B$5:$B$204=A528),'Assignment History'!$D$5:$D$204),IFERROR(VLOOKUP(J528,Configuration!$L$5:$M$50,2,FALSE),J528)))</x:f>
        <x:v>muhdfirdaus.muhamad@petronas.com</x:v>
      </x:c>
      <x:c r="L528" s="172" t="str">
        <x:f>IF(A528="","",IF(K528=IFERROR(VLOOKUP(J528,Configuration!$L$5:$M$50,2,FALSE),J528),"Snapshot PIC","Replacement PIC"))</x:f>
        <x:v>Snapshot PIC</x:v>
      </x:c>
      <x:c r="M528" s="172" t="n">
        <x:f>IF(A528="","",IFERROR(VLOOKUP(I528,Configuration!$O$5:$P$8,2,FALSE),Configuration!$S$6))</x:f>
        <x:v>2</x:v>
      </x:c>
      <x:c r="N528" s="172" t="str">
        <x:f>IF(A528="","",IFERROR(LOOKUP(2,1/('Scope Review'!$B$5:$B$204=A528),'Scope Review'!$G$5:$G$204),"Not Reviewed"))</x:f>
        <x:v>Not Reviewed</x:v>
      </x:c>
      <x:c r="O528" s="172" t="str">
        <x:f>IF(A528="","",IFERROR(LOOKUP(2,1/('Scope Review'!$B$5:$B$204=A528),'Scope Review'!$H$5:$H$204),""))</x:f>
      </x:c>
      <x:c r="P528" s="172" t="n">
        <x:f>IF(A528="","",IF(AND(C528="executing",N528&lt;&gt;"Confirmed OOS"),M528,0))</x:f>
        <x:v>0</x:v>
      </x:c>
      <x:c r="Q528" s="173" t="str">
        <x:f>IF(A528="","",IFERROR(LOOKUP(2,1/('Engineer Updates'!$B$5:$B$704=A528),'Engineer Updates'!$A$5:$A$704),""))</x:f>
      </x:c>
      <x:c r="R528" s="172" t="str">
        <x:f>IF(A528="","",IFERROR(LOOKUP(2,1/('Engineer Updates'!$B$5:$B$704=A528),'Engineer Updates'!$H$5:$H$704),""))</x:f>
      </x:c>
      <x:c r="S528" s="172" t="str">
        <x:f>IF(A528="","",IFERROR(LOOKUP(2,1/('Engineer Updates'!$B$5:$B$704=A528),'Engineer Updates'!$G$5:$G$704),""))</x:f>
      </x:c>
      <x:c r="T528" s="172" t="str">
        <x:f>IF(A528="","",IFERROR(LOOKUP(2,1/('Engineer Updates'!$B$5:$B$704=A528),'Engineer Updates'!$I$5:$I$704),""))</x:f>
      </x:c>
      <x:c r="U528" s="172" t="str">
        <x:f>IF(A528="","",IFERROR(LOOKUP(2,1/('Engineer Updates'!$B$5:$B$704=A528),'Engineer Updates'!$J$5:$J$704),""))</x:f>
      </x:c>
      <x:c r="V528" s="172" t="str">
        <x:f>IF(A528="","",IFERROR(LOOKUP(2,1/('Engineer Updates'!$B$5:$B$704=A528),'Engineer Updates'!$K$5:$K$704),""))</x:f>
      </x:c>
      <x:c r="W528" s="174" t="str">
        <x:f>IF(A528="","",IFERROR(LOOKUP(2,1/('Engineer Updates'!$B$5:$B$704=A528),'Engineer Updates'!$L$5:$L$704),""))</x:f>
      </x:c>
      <x:c r="X528" s="170" t="str">
        <x:f>IF(A528="","",IF(C528="completed","Completed in CSSP",IF(AND(C528="executing",ISERROR(SEARCH("@",K528))),"Executing without named engineer",IF(AND(N528="Confirmed OOS",C528="executing"),"Confirmed OOS still executing",""))))</x:f>
        <x:v>Completed in CSSP</x:v>
      </x:c>
      <x:c r="Y528" s="170" t="str">
        <x:f>IF(A528="","",IF(B528="Decommissioning","Raw Decommissioning","Raw Provisioning"))</x:f>
        <x:v>Raw Provisioning</x:v>
      </x:c>
      <x:c r="Z528" s="170" t="str">
        <x:f>IF(A528="","",IF(OR(C528="executing",C528="processing"),"Yes","No"))</x:f>
        <x:v>No</x:v>
      </x:c>
    </x:row>
    <x:row r="529">
      <x:c r="A529" s="170" t="str">
        <x:f>IF(ROWS($A$5:A529)&lt;=COUNTA('Raw Decommissioning'!$B$2:$B$1000),INDEX('Raw Decommissioning'!$B$2:$B$1000,ROWS($A$5:A529)),IF(ROWS($A$5:A529)-COUNTA('Raw Decommissioning'!$B$2:$B$1000)&lt;=COUNTA('Raw Provisioning'!$B$2:$B$1000),INDEX('Raw Provisioning'!$B$2:$B$1000,ROWS($A$5:A529)-COUNTA('Raw Decommissioning'!$B$2:$B$1000)),""))</x:f>
        <x:v>CSSP10600937</x:v>
      </x:c>
      <x:c r="B529" s="170" t="str">
        <x:f>IF(A529="","",IF(ROWS($A$5:A529)&lt;=COUNTA('Raw Decommissioning'!$B$2:$B$1000),"Decommissioning","Provisioning"))</x:f>
        <x:v>Provisioning</x:v>
      </x:c>
      <x:c r="C529" s="170" t="str">
        <x:f>IF(A529="","",IF(B529="Decommissioning",IFERROR(INDEX('Raw Decommissioning'!$E$2:$E$1000,MATCH(A529,'Raw Decommissioning'!$B$2:$B$1000,0)),"Missing from latest raw"),IFERROR(INDEX('Raw Provisioning'!$E$2:$E$1000,MATCH(A529,'Raw Provisioning'!$B$2:$B$1000,0)),"Missing from latest raw")))</x:f>
        <x:v>completed</x:v>
      </x:c>
      <x:c r="D529" s="171" t="n">
        <x:f>IF(A529="","",'Refresh Control'!$B$4)</x:f>
        <x:v>46254</x:v>
      </x:c>
      <x:c r="E529" s="171" t="n">
        <x:f>IF(A529="","",IF(B529="Decommissioning",INDEX('Raw Decommissioning'!$F$2:$F$1000,ROWS($A$5:A529)),INDEX('Raw Provisioning'!$F$2:$F$1000,ROWS($A$5:A529)-COUNTA('Raw Decommissioning'!$B$2:$B$1000))))</x:f>
        <x:v>46154.27303761574</x:v>
      </x:c>
      <x:c r="F529" s="171" t="n">
        <x:f>IF(A529="","",IF(B529="Decommissioning",INDEX('Raw Decommissioning'!$G$2:$G$1000,ROWS($A$5:A529)),INDEX('Raw Provisioning'!$H$2:$H$1000,ROWS($A$5:A529)-COUNTA('Raw Decommissioning'!$B$2:$B$1000))))</x:f>
        <x:v>46181.06187644676</x:v>
      </x:c>
      <x:c r="G529" s="170" t="str">
        <x:f>IF(A529="","",IF(B529="Decommissioning",INDEX('Raw Decommissioning'!$I$2:$I$1000,ROWS($A$5:A529)),INDEX('Raw Provisioning'!$J$2:$J$1000,ROWS($A$5:A529)-COUNTA('Raw Decommissioning'!$B$2:$B$1000))))</x:f>
        <x:v>Enterprise Application Observability</x:v>
      </x:c>
      <x:c r="H529" s="170" t="str">
        <x:f>IF(A529="","",IF(B529="Decommissioning",INDEX('Raw Decommissioning'!$J$2:$J$1000,ROWS($A$5:A529)),INDEX('Raw Provisioning'!$L$2:$L$1000,ROWS($A$5:A529)-COUNTA('Raw Decommissioning'!$B$2:$B$1000))))</x:f>
        <x:v>Enterprise Application Observability</x:v>
      </x:c>
      <x:c r="I529" s="170" t="str">
        <x:f>IF(A529="","",IF(B529="Decommissioning",INDEX('Raw Decommissioning'!$AL$2:$AL$1000,ROWS($A$5:A529)),INDEX('Raw Provisioning'!$R$2:$R$1000,ROWS($A$5:A529)-COUNTA('Raw Decommissioning'!$B$2:$B$1000))))</x:f>
        <x:v>L</x:v>
      </x:c>
      <x:c r="J529" s="170" t="str">
        <x:f>IF(A529="","",IF(B529="Decommissioning",INDEX('Raw Decommissioning'!$AG$2:$AG$1000,ROWS($A$5:A529)),INDEX('Raw Provisioning'!$AI$2:$AI$1000,ROWS($A$5:A529)-COUNTA('Raw Decommissioning'!$B$2:$B$1000))))</x:f>
        <x:v>badri.shaharudin@petronas.com</x:v>
      </x:c>
      <x:c r="K529" s="172" t="str">
        <x:f>IF(A529="","",IFERROR(LOOKUP(2,1/('Assignment History'!$B$5:$B$204=A529),'Assignment History'!$D$5:$D$204),IFERROR(VLOOKUP(J529,Configuration!$L$5:$M$50,2,FALSE),J529)))</x:f>
        <x:v>badri.shaharudin@petronas.com</x:v>
      </x:c>
      <x:c r="L529" s="172" t="str">
        <x:f>IF(A529="","",IF(K529=IFERROR(VLOOKUP(J529,Configuration!$L$5:$M$50,2,FALSE),J529),"Snapshot PIC","Replacement PIC"))</x:f>
        <x:v>Snapshot PIC</x:v>
      </x:c>
      <x:c r="M529" s="172" t="n">
        <x:f>IF(A529="","",IFERROR(VLOOKUP(I529,Configuration!$O$5:$P$8,2,FALSE),Configuration!$S$6))</x:f>
        <x:v>3</x:v>
      </x:c>
      <x:c r="N529" s="172" t="str">
        <x:f>IF(A529="","",IFERROR(LOOKUP(2,1/('Scope Review'!$B$5:$B$204=A529),'Scope Review'!$G$5:$G$204),"Not Reviewed"))</x:f>
        <x:v>Not Reviewed</x:v>
      </x:c>
      <x:c r="O529" s="172" t="str">
        <x:f>IF(A529="","",IFERROR(LOOKUP(2,1/('Scope Review'!$B$5:$B$204=A529),'Scope Review'!$H$5:$H$204),""))</x:f>
      </x:c>
      <x:c r="P529" s="172" t="n">
        <x:f>IF(A529="","",IF(AND(C529="executing",N529&lt;&gt;"Confirmed OOS"),M529,0))</x:f>
        <x:v>0</x:v>
      </x:c>
      <x:c r="Q529" s="173" t="str">
        <x:f>IF(A529="","",IFERROR(LOOKUP(2,1/('Engineer Updates'!$B$5:$B$704=A529),'Engineer Updates'!$A$5:$A$704),""))</x:f>
      </x:c>
      <x:c r="R529" s="172" t="str">
        <x:f>IF(A529="","",IFERROR(LOOKUP(2,1/('Engineer Updates'!$B$5:$B$704=A529),'Engineer Updates'!$H$5:$H$704),""))</x:f>
      </x:c>
      <x:c r="S529" s="172" t="str">
        <x:f>IF(A529="","",IFERROR(LOOKUP(2,1/('Engineer Updates'!$B$5:$B$704=A529),'Engineer Updates'!$G$5:$G$704),""))</x:f>
      </x:c>
      <x:c r="T529" s="172" t="str">
        <x:f>IF(A529="","",IFERROR(LOOKUP(2,1/('Engineer Updates'!$B$5:$B$704=A529),'Engineer Updates'!$I$5:$I$704),""))</x:f>
      </x:c>
      <x:c r="U529" s="172" t="str">
        <x:f>IF(A529="","",IFERROR(LOOKUP(2,1/('Engineer Updates'!$B$5:$B$704=A529),'Engineer Updates'!$J$5:$J$704),""))</x:f>
      </x:c>
      <x:c r="V529" s="172" t="str">
        <x:f>IF(A529="","",IFERROR(LOOKUP(2,1/('Engineer Updates'!$B$5:$B$704=A529),'Engineer Updates'!$K$5:$K$704),""))</x:f>
      </x:c>
      <x:c r="W529" s="174" t="str">
        <x:f>IF(A529="","",IFERROR(LOOKUP(2,1/('Engineer Updates'!$B$5:$B$704=A529),'Engineer Updates'!$L$5:$L$704),""))</x:f>
      </x:c>
      <x:c r="X529" s="170" t="str">
        <x:f>IF(A529="","",IF(C529="completed","Completed in CSSP",IF(AND(C529="executing",ISERROR(SEARCH("@",K529))),"Executing without named engineer",IF(AND(N529="Confirmed OOS",C529="executing"),"Confirmed OOS still executing",""))))</x:f>
        <x:v>Completed in CSSP</x:v>
      </x:c>
      <x:c r="Y529" s="170" t="str">
        <x:f>IF(A529="","",IF(B529="Decommissioning","Raw Decommissioning","Raw Provisioning"))</x:f>
        <x:v>Raw Provisioning</x:v>
      </x:c>
      <x:c r="Z529" s="170" t="str">
        <x:f>IF(A529="","",IF(OR(C529="executing",C529="processing"),"Yes","No"))</x:f>
        <x:v>No</x:v>
      </x:c>
    </x:row>
    <x:row r="530">
      <x:c r="A530" s="170" t="str">
        <x:f>IF(ROWS($A$5:A530)&lt;=COUNTA('Raw Decommissioning'!$B$2:$B$1000),INDEX('Raw Decommissioning'!$B$2:$B$1000,ROWS($A$5:A530)),IF(ROWS($A$5:A530)-COUNTA('Raw Decommissioning'!$B$2:$B$1000)&lt;=COUNTA('Raw Provisioning'!$B$2:$B$1000),INDEX('Raw Provisioning'!$B$2:$B$1000,ROWS($A$5:A530)-COUNTA('Raw Decommissioning'!$B$2:$B$1000)),""))</x:f>
        <x:v>CSSP10511275</x:v>
      </x:c>
      <x:c r="B530" s="170" t="str">
        <x:f>IF(A530="","",IF(ROWS($A$5:A530)&lt;=COUNTA('Raw Decommissioning'!$B$2:$B$1000),"Decommissioning","Provisioning"))</x:f>
        <x:v>Provisioning</x:v>
      </x:c>
      <x:c r="C530" s="170" t="str">
        <x:f>IF(A530="","",IF(B530="Decommissioning",IFERROR(INDEX('Raw Decommissioning'!$E$2:$E$1000,MATCH(A530,'Raw Decommissioning'!$B$2:$B$1000,0)),"Missing from latest raw"),IFERROR(INDEX('Raw Provisioning'!$E$2:$E$1000,MATCH(A530,'Raw Provisioning'!$B$2:$B$1000,0)),"Missing from latest raw")))</x:f>
        <x:v>rejected</x:v>
      </x:c>
      <x:c r="D530" s="171" t="n">
        <x:f>IF(A530="","",'Refresh Control'!$B$4)</x:f>
        <x:v>46254</x:v>
      </x:c>
      <x:c r="E530" s="171" t="n">
        <x:f>IF(A530="","",IF(B530="Decommissioning",INDEX('Raw Decommissioning'!$F$2:$F$1000,ROWS($A$5:A530)),INDEX('Raw Provisioning'!$F$2:$F$1000,ROWS($A$5:A530)-COUNTA('Raw Decommissioning'!$B$2:$B$1000))))</x:f>
        <x:v>46154.56921577546</x:v>
      </x:c>
      <x:c r="F530" s="171" t="n">
        <x:f>IF(A530="","",IF(B530="Decommissioning",INDEX('Raw Decommissioning'!$G$2:$G$1000,ROWS($A$5:A530)),INDEX('Raw Provisioning'!$H$2:$H$1000,ROWS($A$5:A530)-COUNTA('Raw Decommissioning'!$B$2:$B$1000))))</x:f>
        <x:v>46162.36776028935</x:v>
      </x:c>
      <x:c r="G530" s="170" t="str">
        <x:f>IF(A530="","",IF(B530="Decommissioning",INDEX('Raw Decommissioning'!$I$2:$I$1000,ROWS($A$5:A530)),INDEX('Raw Provisioning'!$J$2:$J$1000,ROWS($A$5:A530)-COUNTA('Raw Decommissioning'!$B$2:$B$1000))))</x:f>
        <x:v>PETRONAS Integrated Pipeline Integrity Assurance Solutions - i-PIMS</x:v>
      </x:c>
      <x:c r="H530" s="170" t="str">
        <x:f>IF(A530="","",IF(B530="Decommissioning",INDEX('Raw Decommissioning'!$J$2:$J$1000,ROWS($A$5:A530)),INDEX('Raw Provisioning'!$L$2:$L$1000,ROWS($A$5:A530)-COUNTA('Raw Decommissioning'!$B$2:$B$1000))))</x:f>
        <x:v>Implementation of PETRONAS Integrated Pipeline Integrity Assurance Solutions (i-PIMS) Open System at MPM for GTS</x:v>
      </x:c>
      <x:c r="I530" s="170" t="str">
        <x:f>IF(A530="","",IF(B530="Decommissioning",INDEX('Raw Decommissioning'!$AL$2:$AL$1000,ROWS($A$5:A530)),INDEX('Raw Provisioning'!$R$2:$R$1000,ROWS($A$5:A530)-COUNTA('Raw Decommissioning'!$B$2:$B$1000))))</x:f>
        <x:v>M</x:v>
      </x:c>
      <x:c r="J530" s="170" t="str">
        <x:f>IF(A530="","",IF(B530="Decommissioning",INDEX('Raw Decommissioning'!$AG$2:$AG$1000,ROWS($A$5:A530)),INDEX('Raw Provisioning'!$AI$2:$AI$1000,ROWS($A$5:A530)-COUNTA('Raw Decommissioning'!$B$2:$B$1000))))</x:f>
        <x:v>syazali.saad@petronas.com</x:v>
      </x:c>
      <x:c r="K530" s="172" t="str">
        <x:f>IF(A530="","",IFERROR(LOOKUP(2,1/('Assignment History'!$B$5:$B$204=A530),'Assignment History'!$D$5:$D$204),IFERROR(VLOOKUP(J530,Configuration!$L$5:$M$50,2,FALSE),J530)))</x:f>
        <x:v>syazali.saad@petronas.com</x:v>
      </x:c>
      <x:c r="L530" s="172" t="str">
        <x:f>IF(A530="","",IF(K530=IFERROR(VLOOKUP(J530,Configuration!$L$5:$M$50,2,FALSE),J530),"Snapshot PIC","Replacement PIC"))</x:f>
        <x:v>Snapshot PIC</x:v>
      </x:c>
      <x:c r="M530" s="172" t="n">
        <x:f>IF(A530="","",IFERROR(VLOOKUP(I530,Configuration!$O$5:$P$8,2,FALSE),Configuration!$S$6))</x:f>
        <x:v>2</x:v>
      </x:c>
      <x:c r="N530" s="172" t="str">
        <x:f>IF(A530="","",IFERROR(LOOKUP(2,1/('Scope Review'!$B$5:$B$204=A530),'Scope Review'!$G$5:$G$204),"Not Reviewed"))</x:f>
        <x:v>Not Reviewed</x:v>
      </x:c>
      <x:c r="O530" s="172" t="str">
        <x:f>IF(A530="","",IFERROR(LOOKUP(2,1/('Scope Review'!$B$5:$B$204=A530),'Scope Review'!$H$5:$H$204),""))</x:f>
      </x:c>
      <x:c r="P530" s="172" t="n">
        <x:f>IF(A530="","",IF(AND(C530="executing",N530&lt;&gt;"Confirmed OOS"),M530,0))</x:f>
        <x:v>0</x:v>
      </x:c>
      <x:c r="Q530" s="173" t="str">
        <x:f>IF(A530="","",IFERROR(LOOKUP(2,1/('Engineer Updates'!$B$5:$B$704=A530),'Engineer Updates'!$A$5:$A$704),""))</x:f>
      </x:c>
      <x:c r="R530" s="172" t="str">
        <x:f>IF(A530="","",IFERROR(LOOKUP(2,1/('Engineer Updates'!$B$5:$B$704=A530),'Engineer Updates'!$H$5:$H$704),""))</x:f>
      </x:c>
      <x:c r="S530" s="172" t="str">
        <x:f>IF(A530="","",IFERROR(LOOKUP(2,1/('Engineer Updates'!$B$5:$B$704=A530),'Engineer Updates'!$G$5:$G$704),""))</x:f>
      </x:c>
      <x:c r="T530" s="172" t="str">
        <x:f>IF(A530="","",IFERROR(LOOKUP(2,1/('Engineer Updates'!$B$5:$B$704=A530),'Engineer Updates'!$I$5:$I$704),""))</x:f>
      </x:c>
      <x:c r="U530" s="172" t="str">
        <x:f>IF(A530="","",IFERROR(LOOKUP(2,1/('Engineer Updates'!$B$5:$B$704=A530),'Engineer Updates'!$J$5:$J$704),""))</x:f>
      </x:c>
      <x:c r="V530" s="172" t="str">
        <x:f>IF(A530="","",IFERROR(LOOKUP(2,1/('Engineer Updates'!$B$5:$B$704=A530),'Engineer Updates'!$K$5:$K$704),""))</x:f>
      </x:c>
      <x:c r="W530" s="174" t="str">
        <x:f>IF(A530="","",IFERROR(LOOKUP(2,1/('Engineer Updates'!$B$5:$B$704=A530),'Engineer Updates'!$L$5:$L$704),""))</x:f>
      </x:c>
      <x:c r="X530" s="170" t="str">
        <x:f>IF(A530="","",IF(C530="completed","Completed in CSSP",IF(AND(C530="executing",ISERROR(SEARCH("@",K530))),"Executing without named engineer",IF(AND(N530="Confirmed OOS",C530="executing"),"Confirmed OOS still executing",""))))</x:f>
      </x:c>
      <x:c r="Y530" s="170" t="str">
        <x:f>IF(A530="","",IF(B530="Decommissioning","Raw Decommissioning","Raw Provisioning"))</x:f>
        <x:v>Raw Provisioning</x:v>
      </x:c>
      <x:c r="Z530" s="170" t="str">
        <x:f>IF(A530="","",IF(OR(C530="executing",C530="processing"),"Yes","No"))</x:f>
        <x:v>No</x:v>
      </x:c>
    </x:row>
    <x:row r="531">
      <x:c r="A531" s="170" t="str">
        <x:f>IF(ROWS($A$5:A531)&lt;=COUNTA('Raw Decommissioning'!$B$2:$B$1000),INDEX('Raw Decommissioning'!$B$2:$B$1000,ROWS($A$5:A531)),IF(ROWS($A$5:A531)-COUNTA('Raw Decommissioning'!$B$2:$B$1000)&lt;=COUNTA('Raw Provisioning'!$B$2:$B$1000),INDEX('Raw Provisioning'!$B$2:$B$1000,ROWS($A$5:A531)-COUNTA('Raw Decommissioning'!$B$2:$B$1000)),""))</x:f>
        <x:v>CSSP10328365</x:v>
      </x:c>
      <x:c r="B531" s="170" t="str">
        <x:f>IF(A531="","",IF(ROWS($A$5:A531)&lt;=COUNTA('Raw Decommissioning'!$B$2:$B$1000),"Decommissioning","Provisioning"))</x:f>
        <x:v>Provisioning</x:v>
      </x:c>
      <x:c r="C531" s="170" t="str">
        <x:f>IF(A531="","",IF(B531="Decommissioning",IFERROR(INDEX('Raw Decommissioning'!$E$2:$E$1000,MATCH(A531,'Raw Decommissioning'!$B$2:$B$1000,0)),"Missing from latest raw"),IFERROR(INDEX('Raw Provisioning'!$E$2:$E$1000,MATCH(A531,'Raw Provisioning'!$B$2:$B$1000,0)),"Missing from latest raw")))</x:f>
        <x:v>completed</x:v>
      </x:c>
      <x:c r="D531" s="171" t="n">
        <x:f>IF(A531="","",'Refresh Control'!$B$4)</x:f>
        <x:v>46254</x:v>
      </x:c>
      <x:c r="E531" s="171" t="n">
        <x:f>IF(A531="","",IF(B531="Decommissioning",INDEX('Raw Decommissioning'!$F$2:$F$1000,ROWS($A$5:A531)),INDEX('Raw Provisioning'!$F$2:$F$1000,ROWS($A$5:A531)-COUNTA('Raw Decommissioning'!$B$2:$B$1000))))</x:f>
        <x:v>46157.185893912036</x:v>
      </x:c>
      <x:c r="F531" s="171" t="n">
        <x:f>IF(A531="","",IF(B531="Decommissioning",INDEX('Raw Decommissioning'!$G$2:$G$1000,ROWS($A$5:A531)),INDEX('Raw Provisioning'!$H$2:$H$1000,ROWS($A$5:A531)-COUNTA('Raw Decommissioning'!$B$2:$B$1000))))</x:f>
        <x:v>46178.42855795139</x:v>
      </x:c>
      <x:c r="G531" s="170" t="str">
        <x:f>IF(A531="","",IF(B531="Decommissioning",INDEX('Raw Decommissioning'!$I$2:$I$1000,ROWS($A$5:A531)),INDEX('Raw Provisioning'!$J$2:$J$1000,ROWS($A$5:A531)-COUNTA('Raw Decommissioning'!$B$2:$B$1000))))</x:f>
        <x:v>Enhancement of Enhanced Resource Monetization by Artificial Intelligence - ERMAI Phase 3 for Malaysia Petroleum Management - MPM</x:v>
      </x:c>
      <x:c r="H531" s="170" t="str">
        <x:f>IF(A531="","",IF(B531="Decommissioning",INDEX('Raw Decommissioning'!$J$2:$J$1000,ROWS($A$5:A531)),INDEX('Raw Provisioning'!$L$2:$L$1000,ROWS($A$5:A531)-COUNTA('Raw Decommissioning'!$B$2:$B$1000))))</x:f>
        <x:v>Enhancement of Enhanced Resource Monetization by Artificial Intelligence (ERMAI) Phase 4</x:v>
      </x:c>
      <x:c r="I531" s="170" t="str">
        <x:f>IF(A531="","",IF(B531="Decommissioning",INDEX('Raw Decommissioning'!$AL$2:$AL$1000,ROWS($A$5:A531)),INDEX('Raw Provisioning'!$R$2:$R$1000,ROWS($A$5:A531)-COUNTA('Raw Decommissioning'!$B$2:$B$1000))))</x:f>
        <x:v>M</x:v>
      </x:c>
      <x:c r="J531" s="170" t="str">
        <x:f>IF(A531="","",IF(B531="Decommissioning",INDEX('Raw Decommissioning'!$AG$2:$AG$1000,ROWS($A$5:A531)),INDEX('Raw Provisioning'!$AI$2:$AI$1000,ROWS($A$5:A531)-COUNTA('Raw Decommissioning'!$B$2:$B$1000))))</x:f>
        <x:v>akhmal.roslan@petronas.com</x:v>
      </x:c>
      <x:c r="K531" s="172" t="str">
        <x:f>IF(A531="","",IFERROR(LOOKUP(2,1/('Assignment History'!$B$5:$B$204=A531),'Assignment History'!$D$5:$D$204),IFERROR(VLOOKUP(J531,Configuration!$L$5:$M$50,2,FALSE),J531)))</x:f>
        <x:v>akhmal.roslan@petronas.com</x:v>
      </x:c>
      <x:c r="L531" s="172" t="str">
        <x:f>IF(A531="","",IF(K531=IFERROR(VLOOKUP(J531,Configuration!$L$5:$M$50,2,FALSE),J531),"Snapshot PIC","Replacement PIC"))</x:f>
        <x:v>Snapshot PIC</x:v>
      </x:c>
      <x:c r="M531" s="172" t="n">
        <x:f>IF(A531="","",IFERROR(VLOOKUP(I531,Configuration!$O$5:$P$8,2,FALSE),Configuration!$S$6))</x:f>
        <x:v>2</x:v>
      </x:c>
      <x:c r="N531" s="172" t="str">
        <x:f>IF(A531="","",IFERROR(LOOKUP(2,1/('Scope Review'!$B$5:$B$204=A531),'Scope Review'!$G$5:$G$204),"Not Reviewed"))</x:f>
        <x:v>Not Reviewed</x:v>
      </x:c>
      <x:c r="O531" s="172" t="str">
        <x:f>IF(A531="","",IFERROR(LOOKUP(2,1/('Scope Review'!$B$5:$B$204=A531),'Scope Review'!$H$5:$H$204),""))</x:f>
      </x:c>
      <x:c r="P531" s="172" t="n">
        <x:f>IF(A531="","",IF(AND(C531="executing",N531&lt;&gt;"Confirmed OOS"),M531,0))</x:f>
        <x:v>0</x:v>
      </x:c>
      <x:c r="Q531" s="173" t="str">
        <x:f>IF(A531="","",IFERROR(LOOKUP(2,1/('Engineer Updates'!$B$5:$B$704=A531),'Engineer Updates'!$A$5:$A$704),""))</x:f>
      </x:c>
      <x:c r="R531" s="172" t="str">
        <x:f>IF(A531="","",IFERROR(LOOKUP(2,1/('Engineer Updates'!$B$5:$B$704=A531),'Engineer Updates'!$H$5:$H$704),""))</x:f>
      </x:c>
      <x:c r="S531" s="172" t="str">
        <x:f>IF(A531="","",IFERROR(LOOKUP(2,1/('Engineer Updates'!$B$5:$B$704=A531),'Engineer Updates'!$G$5:$G$704),""))</x:f>
      </x:c>
      <x:c r="T531" s="172" t="str">
        <x:f>IF(A531="","",IFERROR(LOOKUP(2,1/('Engineer Updates'!$B$5:$B$704=A531),'Engineer Updates'!$I$5:$I$704),""))</x:f>
      </x:c>
      <x:c r="U531" s="172" t="str">
        <x:f>IF(A531="","",IFERROR(LOOKUP(2,1/('Engineer Updates'!$B$5:$B$704=A531),'Engineer Updates'!$J$5:$J$704),""))</x:f>
      </x:c>
      <x:c r="V531" s="172" t="str">
        <x:f>IF(A531="","",IFERROR(LOOKUP(2,1/('Engineer Updates'!$B$5:$B$704=A531),'Engineer Updates'!$K$5:$K$704),""))</x:f>
      </x:c>
      <x:c r="W531" s="174" t="str">
        <x:f>IF(A531="","",IFERROR(LOOKUP(2,1/('Engineer Updates'!$B$5:$B$704=A531),'Engineer Updates'!$L$5:$L$704),""))</x:f>
      </x:c>
      <x:c r="X531" s="170" t="str">
        <x:f>IF(A531="","",IF(C531="completed","Completed in CSSP",IF(AND(C531="executing",ISERROR(SEARCH("@",K531))),"Executing without named engineer",IF(AND(N531="Confirmed OOS",C531="executing"),"Confirmed OOS still executing",""))))</x:f>
        <x:v>Completed in CSSP</x:v>
      </x:c>
      <x:c r="Y531" s="170" t="str">
        <x:f>IF(A531="","",IF(B531="Decommissioning","Raw Decommissioning","Raw Provisioning"))</x:f>
        <x:v>Raw Provisioning</x:v>
      </x:c>
      <x:c r="Z531" s="170" t="str">
        <x:f>IF(A531="","",IF(OR(C531="executing",C531="processing"),"Yes","No"))</x:f>
        <x:v>No</x:v>
      </x:c>
    </x:row>
    <x:row r="532">
      <x:c r="A532" s="170" t="str">
        <x:f>IF(ROWS($A$5:A532)&lt;=COUNTA('Raw Decommissioning'!$B$2:$B$1000),INDEX('Raw Decommissioning'!$B$2:$B$1000,ROWS($A$5:A532)),IF(ROWS($A$5:A532)-COUNTA('Raw Decommissioning'!$B$2:$B$1000)&lt;=COUNTA('Raw Provisioning'!$B$2:$B$1000),INDEX('Raw Provisioning'!$B$2:$B$1000,ROWS($A$5:A532)-COUNTA('Raw Decommissioning'!$B$2:$B$1000)),""))</x:f>
        <x:v>CSSP10330561</x:v>
      </x:c>
      <x:c r="B532" s="170" t="str">
        <x:f>IF(A532="","",IF(ROWS($A$5:A532)&lt;=COUNTA('Raw Decommissioning'!$B$2:$B$1000),"Decommissioning","Provisioning"))</x:f>
        <x:v>Provisioning</x:v>
      </x:c>
      <x:c r="C532" s="170" t="str">
        <x:f>IF(A532="","",IF(B532="Decommissioning",IFERROR(INDEX('Raw Decommissioning'!$E$2:$E$1000,MATCH(A532,'Raw Decommissioning'!$B$2:$B$1000,0)),"Missing from latest raw"),IFERROR(INDEX('Raw Provisioning'!$E$2:$E$1000,MATCH(A532,'Raw Provisioning'!$B$2:$B$1000,0)),"Missing from latest raw")))</x:f>
        <x:v>completed</x:v>
      </x:c>
      <x:c r="D532" s="171" t="n">
        <x:f>IF(A532="","",'Refresh Control'!$B$4)</x:f>
        <x:v>46254</x:v>
      </x:c>
      <x:c r="E532" s="171" t="n">
        <x:f>IF(A532="","",IF(B532="Decommissioning",INDEX('Raw Decommissioning'!$F$2:$F$1000,ROWS($A$5:A532)),INDEX('Raw Provisioning'!$F$2:$F$1000,ROWS($A$5:A532)-COUNTA('Raw Decommissioning'!$B$2:$B$1000))))</x:f>
        <x:v>46157.340464444445</x:v>
      </x:c>
      <x:c r="F532" s="171" t="n">
        <x:f>IF(A532="","",IF(B532="Decommissioning",INDEX('Raw Decommissioning'!$G$2:$G$1000,ROWS($A$5:A532)),INDEX('Raw Provisioning'!$H$2:$H$1000,ROWS($A$5:A532)-COUNTA('Raw Decommissioning'!$B$2:$B$1000))))</x:f>
        <x:v>46188.060327569445</x:v>
      </x:c>
      <x:c r="G532" s="170" t="str">
        <x:f>IF(A532="","",IF(B532="Decommissioning",INDEX('Raw Decommissioning'!$I$2:$I$1000,ROWS($A$5:A532)),INDEX('Raw Provisioning'!$J$2:$J$1000,ROWS($A$5:A532)-COUNTA('Raw Decommissioning'!$B$2:$B$1000))))</x:f>
        <x:v>Zidane OVC</x:v>
      </x:c>
      <x:c r="H532" s="170" t="str">
        <x:f>IF(A532="","",IF(B532="Decommissioning",INDEX('Raw Decommissioning'!$J$2:$J$1000,ROWS($A$5:A532)),INDEX('Raw Provisioning'!$L$2:$L$1000,ROWS($A$5:A532)-COUNTA('Raw Decommissioning'!$B$2:$B$1000))))</x:f>
        <x:v>Provision of Professional Service, Software License and Infra for ArBiTra (OVC &amp; LVC) 2025 for PTLCL</x:v>
      </x:c>
      <x:c r="I532" s="170" t="str">
        <x:f>IF(A532="","",IF(B532="Decommissioning",INDEX('Raw Decommissioning'!$AL$2:$AL$1000,ROWS($A$5:A532)),INDEX('Raw Provisioning'!$R$2:$R$1000,ROWS($A$5:A532)-COUNTA('Raw Decommissioning'!$B$2:$B$1000))))</x:f>
        <x:v>L</x:v>
      </x:c>
      <x:c r="J532" s="170" t="str">
        <x:f>IF(A532="","",IF(B532="Decommissioning",INDEX('Raw Decommissioning'!$AG$2:$AG$1000,ROWS($A$5:A532)),INDEX('Raw Provisioning'!$AI$2:$AI$1000,ROWS($A$5:A532)-COUNTA('Raw Decommissioning'!$B$2:$B$1000))))</x:f>
        <x:v>yeonghunn.ho@petronas.com</x:v>
      </x:c>
      <x:c r="K532" s="172" t="str">
        <x:f>IF(A532="","",IFERROR(LOOKUP(2,1/('Assignment History'!$B$5:$B$204=A532),'Assignment History'!$D$5:$D$204),IFERROR(VLOOKUP(J532,Configuration!$L$5:$M$50,2,FALSE),J532)))</x:f>
        <x:v>yeonghunn.ho@petronas.com</x:v>
      </x:c>
      <x:c r="L532" s="172" t="str">
        <x:f>IF(A532="","",IF(K532=IFERROR(VLOOKUP(J532,Configuration!$L$5:$M$50,2,FALSE),J532),"Snapshot PIC","Replacement PIC"))</x:f>
        <x:v>Snapshot PIC</x:v>
      </x:c>
      <x:c r="M532" s="172" t="n">
        <x:f>IF(A532="","",IFERROR(VLOOKUP(I532,Configuration!$O$5:$P$8,2,FALSE),Configuration!$S$6))</x:f>
        <x:v>3</x:v>
      </x:c>
      <x:c r="N532" s="172" t="str">
        <x:f>IF(A532="","",IFERROR(LOOKUP(2,1/('Scope Review'!$B$5:$B$204=A532),'Scope Review'!$G$5:$G$204),"Not Reviewed"))</x:f>
        <x:v>Not Reviewed</x:v>
      </x:c>
      <x:c r="O532" s="172" t="str">
        <x:f>IF(A532="","",IFERROR(LOOKUP(2,1/('Scope Review'!$B$5:$B$204=A532),'Scope Review'!$H$5:$H$204),""))</x:f>
      </x:c>
      <x:c r="P532" s="172" t="n">
        <x:f>IF(A532="","",IF(AND(C532="executing",N532&lt;&gt;"Confirmed OOS"),M532,0))</x:f>
        <x:v>0</x:v>
      </x:c>
      <x:c r="Q532" s="173" t="str">
        <x:f>IF(A532="","",IFERROR(LOOKUP(2,1/('Engineer Updates'!$B$5:$B$704=A532),'Engineer Updates'!$A$5:$A$704),""))</x:f>
      </x:c>
      <x:c r="R532" s="172" t="str">
        <x:f>IF(A532="","",IFERROR(LOOKUP(2,1/('Engineer Updates'!$B$5:$B$704=A532),'Engineer Updates'!$H$5:$H$704),""))</x:f>
      </x:c>
      <x:c r="S532" s="172" t="str">
        <x:f>IF(A532="","",IFERROR(LOOKUP(2,1/('Engineer Updates'!$B$5:$B$704=A532),'Engineer Updates'!$G$5:$G$704),""))</x:f>
      </x:c>
      <x:c r="T532" s="172" t="str">
        <x:f>IF(A532="","",IFERROR(LOOKUP(2,1/('Engineer Updates'!$B$5:$B$704=A532),'Engineer Updates'!$I$5:$I$704),""))</x:f>
      </x:c>
      <x:c r="U532" s="172" t="str">
        <x:f>IF(A532="","",IFERROR(LOOKUP(2,1/('Engineer Updates'!$B$5:$B$704=A532),'Engineer Updates'!$J$5:$J$704),""))</x:f>
      </x:c>
      <x:c r="V532" s="172" t="str">
        <x:f>IF(A532="","",IFERROR(LOOKUP(2,1/('Engineer Updates'!$B$5:$B$704=A532),'Engineer Updates'!$K$5:$K$704),""))</x:f>
      </x:c>
      <x:c r="W532" s="174" t="str">
        <x:f>IF(A532="","",IFERROR(LOOKUP(2,1/('Engineer Updates'!$B$5:$B$704=A532),'Engineer Updates'!$L$5:$L$704),""))</x:f>
      </x:c>
      <x:c r="X532" s="170" t="str">
        <x:f>IF(A532="","",IF(C532="completed","Completed in CSSP",IF(AND(C532="executing",ISERROR(SEARCH("@",K532))),"Executing without named engineer",IF(AND(N532="Confirmed OOS",C532="executing"),"Confirmed OOS still executing",""))))</x:f>
        <x:v>Completed in CSSP</x:v>
      </x:c>
      <x:c r="Y532" s="170" t="str">
        <x:f>IF(A532="","",IF(B532="Decommissioning","Raw Decommissioning","Raw Provisioning"))</x:f>
        <x:v>Raw Provisioning</x:v>
      </x:c>
      <x:c r="Z532" s="170" t="str">
        <x:f>IF(A532="","",IF(OR(C532="executing",C532="processing"),"Yes","No"))</x:f>
        <x:v>No</x:v>
      </x:c>
    </x:row>
    <x:row r="533">
      <x:c r="A533" s="170" t="str">
        <x:f>IF(ROWS($A$5:A533)&lt;=COUNTA('Raw Decommissioning'!$B$2:$B$1000),INDEX('Raw Decommissioning'!$B$2:$B$1000,ROWS($A$5:A533)),IF(ROWS($A$5:A533)-COUNTA('Raw Decommissioning'!$B$2:$B$1000)&lt;=COUNTA('Raw Provisioning'!$B$2:$B$1000),INDEX('Raw Provisioning'!$B$2:$B$1000,ROWS($A$5:A533)-COUNTA('Raw Decommissioning'!$B$2:$B$1000)),""))</x:f>
        <x:v>CSSP10350529</x:v>
      </x:c>
      <x:c r="B533" s="170" t="str">
        <x:f>IF(A533="","",IF(ROWS($A$5:A533)&lt;=COUNTA('Raw Decommissioning'!$B$2:$B$1000),"Decommissioning","Provisioning"))</x:f>
        <x:v>Provisioning</x:v>
      </x:c>
      <x:c r="C533" s="170" t="str">
        <x:f>IF(A533="","",IF(B533="Decommissioning",IFERROR(INDEX('Raw Decommissioning'!$E$2:$E$1000,MATCH(A533,'Raw Decommissioning'!$B$2:$B$1000,0)),"Missing from latest raw"),IFERROR(INDEX('Raw Provisioning'!$E$2:$E$1000,MATCH(A533,'Raw Provisioning'!$B$2:$B$1000,0)),"Missing from latest raw")))</x:f>
        <x:v>completed</x:v>
      </x:c>
      <x:c r="D533" s="171" t="n">
        <x:f>IF(A533="","",'Refresh Control'!$B$4)</x:f>
        <x:v>46254</x:v>
      </x:c>
      <x:c r="E533" s="171" t="n">
        <x:f>IF(A533="","",IF(B533="Decommissioning",INDEX('Raw Decommissioning'!$F$2:$F$1000,ROWS($A$5:A533)),INDEX('Raw Provisioning'!$F$2:$F$1000,ROWS($A$5:A533)-COUNTA('Raw Decommissioning'!$B$2:$B$1000))))</x:f>
        <x:v>46160.313517650466</x:v>
      </x:c>
      <x:c r="F533" s="171" t="n">
        <x:f>IF(A533="","",IF(B533="Decommissioning",INDEX('Raw Decommissioning'!$G$2:$G$1000,ROWS($A$5:A533)),INDEX('Raw Provisioning'!$H$2:$H$1000,ROWS($A$5:A533)-COUNTA('Raw Decommissioning'!$B$2:$B$1000))))</x:f>
        <x:v>46219.10674065972</x:v>
      </x:c>
      <x:c r="G533" s="170" t="str">
        <x:f>IF(A533="","",IF(B533="Decommissioning",INDEX('Raw Decommissioning'!$I$2:$I$1000,ROWS($A$5:A533)),INDEX('Raw Provisioning'!$J$2:$J$1000,ROWS($A$5:A533)-COUNTA('Raw Decommissioning'!$B$2:$B$1000))))</x:f>
        <x:v>GPE Digital Platform</x:v>
      </x:c>
      <x:c r="H533" s="170" t="str">
        <x:f>IF(A533="","",IF(B533="Decommissioning",INDEX('Raw Decommissioning'!$J$2:$J$1000,ROWS($A$5:A533)),INDEX('Raw Provisioning'!$L$2:$L$1000,ROWS($A$5:A533)-COUNTA('Raw Decommissioning'!$B$2:$B$1000))))</x:f>
        <x:v>Quality Suite</x:v>
      </x:c>
      <x:c r="I533" s="170" t="str">
        <x:f>IF(A533="","",IF(B533="Decommissioning",INDEX('Raw Decommissioning'!$AL$2:$AL$1000,ROWS($A$5:A533)),INDEX('Raw Provisioning'!$R$2:$R$1000,ROWS($A$5:A533)-COUNTA('Raw Decommissioning'!$B$2:$B$1000))))</x:f>
        <x:v>L</x:v>
      </x:c>
      <x:c r="J533" s="170" t="str">
        <x:f>IF(A533="","",IF(B533="Decommissioning",INDEX('Raw Decommissioning'!$AG$2:$AG$1000,ROWS($A$5:A533)),INDEX('Raw Provisioning'!$AI$2:$AI$1000,ROWS($A$5:A533)-COUNTA('Raw Decommissioning'!$B$2:$B$1000))))</x:f>
        <x:v>mhafizi.madnan@petronas.com</x:v>
      </x:c>
      <x:c r="K533" s="172" t="str">
        <x:f>IF(A533="","",IFERROR(LOOKUP(2,1/('Assignment History'!$B$5:$B$204=A533),'Assignment History'!$D$5:$D$204),IFERROR(VLOOKUP(J533,Configuration!$L$5:$M$50,2,FALSE),J533)))</x:f>
        <x:v>mhafizi.madnan@petronas.com</x:v>
      </x:c>
      <x:c r="L533" s="172" t="str">
        <x:f>IF(A533="","",IF(K533=IFERROR(VLOOKUP(J533,Configuration!$L$5:$M$50,2,FALSE),J533),"Snapshot PIC","Replacement PIC"))</x:f>
        <x:v>Snapshot PIC</x:v>
      </x:c>
      <x:c r="M533" s="172" t="n">
        <x:f>IF(A533="","",IFERROR(VLOOKUP(I533,Configuration!$O$5:$P$8,2,FALSE),Configuration!$S$6))</x:f>
        <x:v>3</x:v>
      </x:c>
      <x:c r="N533" s="172" t="str">
        <x:f>IF(A533="","",IFERROR(LOOKUP(2,1/('Scope Review'!$B$5:$B$204=A533),'Scope Review'!$G$5:$G$204),"Not Reviewed"))</x:f>
        <x:v>Not Reviewed</x:v>
      </x:c>
      <x:c r="O533" s="172" t="str">
        <x:f>IF(A533="","",IFERROR(LOOKUP(2,1/('Scope Review'!$B$5:$B$204=A533),'Scope Review'!$H$5:$H$204),""))</x:f>
      </x:c>
      <x:c r="P533" s="172" t="n">
        <x:f>IF(A533="","",IF(AND(C533="executing",N533&lt;&gt;"Confirmed OOS"),M533,0))</x:f>
        <x:v>0</x:v>
      </x:c>
      <x:c r="Q533" s="173" t="str">
        <x:f>IF(A533="","",IFERROR(LOOKUP(2,1/('Engineer Updates'!$B$5:$B$704=A533),'Engineer Updates'!$A$5:$A$704),""))</x:f>
      </x:c>
      <x:c r="R533" s="172" t="str">
        <x:f>IF(A533="","",IFERROR(LOOKUP(2,1/('Engineer Updates'!$B$5:$B$704=A533),'Engineer Updates'!$H$5:$H$704),""))</x:f>
      </x:c>
      <x:c r="S533" s="172" t="str">
        <x:f>IF(A533="","",IFERROR(LOOKUP(2,1/('Engineer Updates'!$B$5:$B$704=A533),'Engineer Updates'!$G$5:$G$704),""))</x:f>
      </x:c>
      <x:c r="T533" s="172" t="str">
        <x:f>IF(A533="","",IFERROR(LOOKUP(2,1/('Engineer Updates'!$B$5:$B$704=A533),'Engineer Updates'!$I$5:$I$704),""))</x:f>
      </x:c>
      <x:c r="U533" s="172" t="str">
        <x:f>IF(A533="","",IFERROR(LOOKUP(2,1/('Engineer Updates'!$B$5:$B$704=A533),'Engineer Updates'!$J$5:$J$704),""))</x:f>
      </x:c>
      <x:c r="V533" s="172" t="str">
        <x:f>IF(A533="","",IFERROR(LOOKUP(2,1/('Engineer Updates'!$B$5:$B$704=A533),'Engineer Updates'!$K$5:$K$704),""))</x:f>
      </x:c>
      <x:c r="W533" s="174" t="str">
        <x:f>IF(A533="","",IFERROR(LOOKUP(2,1/('Engineer Updates'!$B$5:$B$704=A533),'Engineer Updates'!$L$5:$L$704),""))</x:f>
      </x:c>
      <x:c r="X533" s="170" t="str">
        <x:f>IF(A533="","",IF(C533="completed","Completed in CSSP",IF(AND(C533="executing",ISERROR(SEARCH("@",K533))),"Executing without named engineer",IF(AND(N533="Confirmed OOS",C533="executing"),"Confirmed OOS still executing",""))))</x:f>
        <x:v>Completed in CSSP</x:v>
      </x:c>
      <x:c r="Y533" s="170" t="str">
        <x:f>IF(A533="","",IF(B533="Decommissioning","Raw Decommissioning","Raw Provisioning"))</x:f>
        <x:v>Raw Provisioning</x:v>
      </x:c>
      <x:c r="Z533" s="170" t="str">
        <x:f>IF(A533="","",IF(OR(C533="executing",C533="processing"),"Yes","No"))</x:f>
        <x:v>No</x:v>
      </x:c>
    </x:row>
    <x:row r="534">
      <x:c r="A534" s="170" t="str">
        <x:f>IF(ROWS($A$5:A534)&lt;=COUNTA('Raw Decommissioning'!$B$2:$B$1000),INDEX('Raw Decommissioning'!$B$2:$B$1000,ROWS($A$5:A534)),IF(ROWS($A$5:A534)-COUNTA('Raw Decommissioning'!$B$2:$B$1000)&lt;=COUNTA('Raw Provisioning'!$B$2:$B$1000),INDEX('Raw Provisioning'!$B$2:$B$1000,ROWS($A$5:A534)-COUNTA('Raw Decommissioning'!$B$2:$B$1000)),""))</x:f>
        <x:v>CSSP10126897</x:v>
      </x:c>
      <x:c r="B534" s="170" t="str">
        <x:f>IF(A534="","",IF(ROWS($A$5:A534)&lt;=COUNTA('Raw Decommissioning'!$B$2:$B$1000),"Decommissioning","Provisioning"))</x:f>
        <x:v>Provisioning</x:v>
      </x:c>
      <x:c r="C534" s="170" t="str">
        <x:f>IF(A534="","",IF(B534="Decommissioning",IFERROR(INDEX('Raw Decommissioning'!$E$2:$E$1000,MATCH(A534,'Raw Decommissioning'!$B$2:$B$1000,0)),"Missing from latest raw"),IFERROR(INDEX('Raw Provisioning'!$E$2:$E$1000,MATCH(A534,'Raw Provisioning'!$B$2:$B$1000,0)),"Missing from latest raw")))</x:f>
        <x:v>rejected</x:v>
      </x:c>
      <x:c r="D534" s="171" t="n">
        <x:f>IF(A534="","",'Refresh Control'!$B$4)</x:f>
        <x:v>46254</x:v>
      </x:c>
      <x:c r="E534" s="171" t="n">
        <x:f>IF(A534="","",IF(B534="Decommissioning",INDEX('Raw Decommissioning'!$F$2:$F$1000,ROWS($A$5:A534)),INDEX('Raw Provisioning'!$F$2:$F$1000,ROWS($A$5:A534)-COUNTA('Raw Decommissioning'!$B$2:$B$1000))))</x:f>
        <x:v>46160.39625923611</x:v>
      </x:c>
      <x:c r="F534" s="171" t="n">
        <x:f>IF(A534="","",IF(B534="Decommissioning",INDEX('Raw Decommissioning'!$G$2:$G$1000,ROWS($A$5:A534)),INDEX('Raw Provisioning'!$H$2:$H$1000,ROWS($A$5:A534)-COUNTA('Raw Decommissioning'!$B$2:$B$1000))))</x:f>
        <x:v>46191.32429550926</x:v>
      </x:c>
      <x:c r="G534" s="170" t="str">
        <x:f>IF(A534="","",IF(B534="Decommissioning",INDEX('Raw Decommissioning'!$I$2:$I$1000,ROWS($A$5:A534)),INDEX('Raw Provisioning'!$J$2:$J$1000,ROWS($A$5:A534)-COUNTA('Raw Decommissioning'!$B$2:$B$1000))))</x:f>
        <x:v>GPE Digital Platform</x:v>
      </x:c>
      <x:c r="H534" s="170" t="str">
        <x:f>IF(A534="","",IF(B534="Decommissioning",INDEX('Raw Decommissioning'!$J$2:$J$1000,ROWS($A$5:A534)),INDEX('Raw Provisioning'!$L$2:$L$1000,ROWS($A$5:A534)-COUNTA('Raw Decommissioning'!$B$2:$B$1000))))</x:f>
        <x:v>Quality Suite</x:v>
      </x:c>
      <x:c r="I534" s="170" t="str">
        <x:f>IF(A534="","",IF(B534="Decommissioning",INDEX('Raw Decommissioning'!$AL$2:$AL$1000,ROWS($A$5:A534)),INDEX('Raw Provisioning'!$R$2:$R$1000,ROWS($A$5:A534)-COUNTA('Raw Decommissioning'!$B$2:$B$1000))))</x:f>
      </x:c>
      <x:c r="J534" s="170" t="str">
        <x:f>IF(A534="","",IF(B534="Decommissioning",INDEX('Raw Decommissioning'!$AG$2:$AG$1000,ROWS($A$5:A534)),INDEX('Raw Provisioning'!$AI$2:$AI$1000,ROWS($A$5:A534)-COUNTA('Raw Decommissioning'!$B$2:$B$1000))))</x:f>
        <x:v>CCoE Core Services (Public)</x:v>
      </x:c>
      <x:c r="K534" s="172" t="str">
        <x:f>IF(A534="","",IFERROR(LOOKUP(2,1/('Assignment History'!$B$5:$B$204=A534),'Assignment History'!$D$5:$D$204),IFERROR(VLOOKUP(J534,Configuration!$L$5:$M$50,2,FALSE),J534)))</x:f>
        <x:v>CCoE Core Services (Public)</x:v>
      </x:c>
      <x:c r="L534" s="172" t="str">
        <x:f>IF(A534="","",IF(K534=IFERROR(VLOOKUP(J534,Configuration!$L$5:$M$50,2,FALSE),J534),"Snapshot PIC","Replacement PIC"))</x:f>
        <x:v>Snapshot PIC</x:v>
      </x:c>
      <x:c r="M534" s="172" t="n">
        <x:f>IF(A534="","",IFERROR(VLOOKUP(I534,Configuration!$O$5:$P$8,2,FALSE),Configuration!$S$6))</x:f>
        <x:v>2</x:v>
      </x:c>
      <x:c r="N534" s="172" t="str">
        <x:f>IF(A534="","",IFERROR(LOOKUP(2,1/('Scope Review'!$B$5:$B$204=A534),'Scope Review'!$G$5:$G$204),"Not Reviewed"))</x:f>
        <x:v>Not Reviewed</x:v>
      </x:c>
      <x:c r="O534" s="172" t="str">
        <x:f>IF(A534="","",IFERROR(LOOKUP(2,1/('Scope Review'!$B$5:$B$204=A534),'Scope Review'!$H$5:$H$204),""))</x:f>
      </x:c>
      <x:c r="P534" s="172" t="n">
        <x:f>IF(A534="","",IF(AND(C534="executing",N534&lt;&gt;"Confirmed OOS"),M534,0))</x:f>
        <x:v>0</x:v>
      </x:c>
      <x:c r="Q534" s="173" t="str">
        <x:f>IF(A534="","",IFERROR(LOOKUP(2,1/('Engineer Updates'!$B$5:$B$704=A534),'Engineer Updates'!$A$5:$A$704),""))</x:f>
      </x:c>
      <x:c r="R534" s="172" t="str">
        <x:f>IF(A534="","",IFERROR(LOOKUP(2,1/('Engineer Updates'!$B$5:$B$704=A534),'Engineer Updates'!$H$5:$H$704),""))</x:f>
      </x:c>
      <x:c r="S534" s="172" t="str">
        <x:f>IF(A534="","",IFERROR(LOOKUP(2,1/('Engineer Updates'!$B$5:$B$704=A534),'Engineer Updates'!$G$5:$G$704),""))</x:f>
      </x:c>
      <x:c r="T534" s="172" t="str">
        <x:f>IF(A534="","",IFERROR(LOOKUP(2,1/('Engineer Updates'!$B$5:$B$704=A534),'Engineer Updates'!$I$5:$I$704),""))</x:f>
      </x:c>
      <x:c r="U534" s="172" t="str">
        <x:f>IF(A534="","",IFERROR(LOOKUP(2,1/('Engineer Updates'!$B$5:$B$704=A534),'Engineer Updates'!$J$5:$J$704),""))</x:f>
      </x:c>
      <x:c r="V534" s="172" t="str">
        <x:f>IF(A534="","",IFERROR(LOOKUP(2,1/('Engineer Updates'!$B$5:$B$704=A534),'Engineer Updates'!$K$5:$K$704),""))</x:f>
      </x:c>
      <x:c r="W534" s="174" t="str">
        <x:f>IF(A534="","",IFERROR(LOOKUP(2,1/('Engineer Updates'!$B$5:$B$704=A534),'Engineer Updates'!$L$5:$L$704),""))</x:f>
      </x:c>
      <x:c r="X534" s="170" t="str">
        <x:f>IF(A534="","",IF(C534="completed","Completed in CSSP",IF(AND(C534="executing",ISERROR(SEARCH("@",K534))),"Executing without named engineer",IF(AND(N534="Confirmed OOS",C534="executing"),"Confirmed OOS still executing",""))))</x:f>
      </x:c>
      <x:c r="Y534" s="170" t="str">
        <x:f>IF(A534="","",IF(B534="Decommissioning","Raw Decommissioning","Raw Provisioning"))</x:f>
        <x:v>Raw Provisioning</x:v>
      </x:c>
      <x:c r="Z534" s="170" t="str">
        <x:f>IF(A534="","",IF(OR(C534="executing",C534="processing"),"Yes","No"))</x:f>
        <x:v>No</x:v>
      </x:c>
    </x:row>
    <x:row r="535">
      <x:c r="A535" s="170" t="str">
        <x:f>IF(ROWS($A$5:A535)&lt;=COUNTA('Raw Decommissioning'!$B$2:$B$1000),INDEX('Raw Decommissioning'!$B$2:$B$1000,ROWS($A$5:A535)),IF(ROWS($A$5:A535)-COUNTA('Raw Decommissioning'!$B$2:$B$1000)&lt;=COUNTA('Raw Provisioning'!$B$2:$B$1000),INDEX('Raw Provisioning'!$B$2:$B$1000,ROWS($A$5:A535)-COUNTA('Raw Decommissioning'!$B$2:$B$1000)),""))</x:f>
        <x:v>CSSP10318437</x:v>
      </x:c>
      <x:c r="B535" s="170" t="str">
        <x:f>IF(A535="","",IF(ROWS($A$5:A535)&lt;=COUNTA('Raw Decommissioning'!$B$2:$B$1000),"Decommissioning","Provisioning"))</x:f>
        <x:v>Provisioning</x:v>
      </x:c>
      <x:c r="C535" s="170" t="str">
        <x:f>IF(A535="","",IF(B535="Decommissioning",IFERROR(INDEX('Raw Decommissioning'!$E$2:$E$1000,MATCH(A535,'Raw Decommissioning'!$B$2:$B$1000,0)),"Missing from latest raw"),IFERROR(INDEX('Raw Provisioning'!$E$2:$E$1000,MATCH(A535,'Raw Provisioning'!$B$2:$B$1000,0)),"Missing from latest raw")))</x:f>
        <x:v>completed</x:v>
      </x:c>
      <x:c r="D535" s="171" t="n">
        <x:f>IF(A535="","",'Refresh Control'!$B$4)</x:f>
        <x:v>46254</x:v>
      </x:c>
      <x:c r="E535" s="171" t="n">
        <x:f>IF(A535="","",IF(B535="Decommissioning",INDEX('Raw Decommissioning'!$F$2:$F$1000,ROWS($A$5:A535)),INDEX('Raw Provisioning'!$F$2:$F$1000,ROWS($A$5:A535)-COUNTA('Raw Decommissioning'!$B$2:$B$1000))))</x:f>
        <x:v>46162.40427259259</x:v>
      </x:c>
      <x:c r="F535" s="171" t="n">
        <x:f>IF(A535="","",IF(B535="Decommissioning",INDEX('Raw Decommissioning'!$G$2:$G$1000,ROWS($A$5:A535)),INDEX('Raw Provisioning'!$H$2:$H$1000,ROWS($A$5:A535)-COUNTA('Raw Decommissioning'!$B$2:$B$1000))))</x:f>
        <x:v>46188.06188896991</x:v>
      </x:c>
      <x:c r="G535" s="170" t="str">
        <x:f>IF(A535="","",IF(B535="Decommissioning",INDEX('Raw Decommissioning'!$I$2:$I$1000,ROWS($A$5:A535)),INDEX('Raw Provisioning'!$J$2:$J$1000,ROWS($A$5:A535)-COUNTA('Raw Decommissioning'!$B$2:$B$1000))))</x:f>
        <x:v>COMPASS</x:v>
      </x:c>
      <x:c r="H535" s="170" t="str">
        <x:f>IF(A535="","",IF(B535="Decommissioning",INDEX('Raw Decommissioning'!$J$2:$J$1000,ROWS($A$5:A535)),INDEX('Raw Provisioning'!$L$2:$L$1000,ROWS($A$5:A535)-COUNTA('Raw Decommissioning'!$B$2:$B$1000))))</x:f>
        <x:v>COMPASS Phase 2</x:v>
      </x:c>
      <x:c r="I535" s="170" t="str">
        <x:f>IF(A535="","",IF(B535="Decommissioning",INDEX('Raw Decommissioning'!$AL$2:$AL$1000,ROWS($A$5:A535)),INDEX('Raw Provisioning'!$R$2:$R$1000,ROWS($A$5:A535)-COUNTA('Raw Decommissioning'!$B$2:$B$1000))))</x:f>
        <x:v>M</x:v>
      </x:c>
      <x:c r="J535" s="170" t="str">
        <x:f>IF(A535="","",IF(B535="Decommissioning",INDEX('Raw Decommissioning'!$AG$2:$AG$1000,ROWS($A$5:A535)),INDEX('Raw Provisioning'!$AI$2:$AI$1000,ROWS($A$5:A535)-COUNTA('Raw Decommissioning'!$B$2:$B$1000))))</x:f>
        <x:v>yeonghunn.ho@petronas.com</x:v>
      </x:c>
      <x:c r="K535" s="172" t="str">
        <x:f>IF(A535="","",IFERROR(LOOKUP(2,1/('Assignment History'!$B$5:$B$204=A535),'Assignment History'!$D$5:$D$204),IFERROR(VLOOKUP(J535,Configuration!$L$5:$M$50,2,FALSE),J535)))</x:f>
        <x:v>yeonghunn.ho@petronas.com</x:v>
      </x:c>
      <x:c r="L535" s="172" t="str">
        <x:f>IF(A535="","",IF(K535=IFERROR(VLOOKUP(J535,Configuration!$L$5:$M$50,2,FALSE),J535),"Snapshot PIC","Replacement PIC"))</x:f>
        <x:v>Snapshot PIC</x:v>
      </x:c>
      <x:c r="M535" s="172" t="n">
        <x:f>IF(A535="","",IFERROR(VLOOKUP(I535,Configuration!$O$5:$P$8,2,FALSE),Configuration!$S$6))</x:f>
        <x:v>2</x:v>
      </x:c>
      <x:c r="N535" s="172" t="str">
        <x:f>IF(A535="","",IFERROR(LOOKUP(2,1/('Scope Review'!$B$5:$B$204=A535),'Scope Review'!$G$5:$G$204),"Not Reviewed"))</x:f>
        <x:v>Not Reviewed</x:v>
      </x:c>
      <x:c r="O535" s="172" t="str">
        <x:f>IF(A535="","",IFERROR(LOOKUP(2,1/('Scope Review'!$B$5:$B$204=A535),'Scope Review'!$H$5:$H$204),""))</x:f>
      </x:c>
      <x:c r="P535" s="172" t="n">
        <x:f>IF(A535="","",IF(AND(C535="executing",N535&lt;&gt;"Confirmed OOS"),M535,0))</x:f>
        <x:v>0</x:v>
      </x:c>
      <x:c r="Q535" s="173" t="str">
        <x:f>IF(A535="","",IFERROR(LOOKUP(2,1/('Engineer Updates'!$B$5:$B$704=A535),'Engineer Updates'!$A$5:$A$704),""))</x:f>
      </x:c>
      <x:c r="R535" s="172" t="str">
        <x:f>IF(A535="","",IFERROR(LOOKUP(2,1/('Engineer Updates'!$B$5:$B$704=A535),'Engineer Updates'!$H$5:$H$704),""))</x:f>
      </x:c>
      <x:c r="S535" s="172" t="str">
        <x:f>IF(A535="","",IFERROR(LOOKUP(2,1/('Engineer Updates'!$B$5:$B$704=A535),'Engineer Updates'!$G$5:$G$704),""))</x:f>
      </x:c>
      <x:c r="T535" s="172" t="str">
        <x:f>IF(A535="","",IFERROR(LOOKUP(2,1/('Engineer Updates'!$B$5:$B$704=A535),'Engineer Updates'!$I$5:$I$704),""))</x:f>
      </x:c>
      <x:c r="U535" s="172" t="str">
        <x:f>IF(A535="","",IFERROR(LOOKUP(2,1/('Engineer Updates'!$B$5:$B$704=A535),'Engineer Updates'!$J$5:$J$704),""))</x:f>
      </x:c>
      <x:c r="V535" s="172" t="str">
        <x:f>IF(A535="","",IFERROR(LOOKUP(2,1/('Engineer Updates'!$B$5:$B$704=A535),'Engineer Updates'!$K$5:$K$704),""))</x:f>
      </x:c>
      <x:c r="W535" s="174" t="str">
        <x:f>IF(A535="","",IFERROR(LOOKUP(2,1/('Engineer Updates'!$B$5:$B$704=A535),'Engineer Updates'!$L$5:$L$704),""))</x:f>
      </x:c>
      <x:c r="X535" s="170" t="str">
        <x:f>IF(A535="","",IF(C535="completed","Completed in CSSP",IF(AND(C535="executing",ISERROR(SEARCH("@",K535))),"Executing without named engineer",IF(AND(N535="Confirmed OOS",C535="executing"),"Confirmed OOS still executing",""))))</x:f>
        <x:v>Completed in CSSP</x:v>
      </x:c>
      <x:c r="Y535" s="170" t="str">
        <x:f>IF(A535="","",IF(B535="Decommissioning","Raw Decommissioning","Raw Provisioning"))</x:f>
        <x:v>Raw Provisioning</x:v>
      </x:c>
      <x:c r="Z535" s="170" t="str">
        <x:f>IF(A535="","",IF(OR(C535="executing",C535="processing"),"Yes","No"))</x:f>
        <x:v>No</x:v>
      </x:c>
    </x:row>
    <x:row r="536">
      <x:c r="A536" s="170" t="str">
        <x:f>IF(ROWS($A$5:A536)&lt;=COUNTA('Raw Decommissioning'!$B$2:$B$1000),INDEX('Raw Decommissioning'!$B$2:$B$1000,ROWS($A$5:A536)),IF(ROWS($A$5:A536)-COUNTA('Raw Decommissioning'!$B$2:$B$1000)&lt;=COUNTA('Raw Provisioning'!$B$2:$B$1000),INDEX('Raw Provisioning'!$B$2:$B$1000,ROWS($A$5:A536)-COUNTA('Raw Decommissioning'!$B$2:$B$1000)),""))</x:f>
        <x:v>CSSP10835252</x:v>
      </x:c>
      <x:c r="B536" s="170" t="str">
        <x:f>IF(A536="","",IF(ROWS($A$5:A536)&lt;=COUNTA('Raw Decommissioning'!$B$2:$B$1000),"Decommissioning","Provisioning"))</x:f>
        <x:v>Provisioning</x:v>
      </x:c>
      <x:c r="C536" s="170" t="str">
        <x:f>IF(A536="","",IF(B536="Decommissioning",IFERROR(INDEX('Raw Decommissioning'!$E$2:$E$1000,MATCH(A536,'Raw Decommissioning'!$B$2:$B$1000,0)),"Missing from latest raw"),IFERROR(INDEX('Raw Provisioning'!$E$2:$E$1000,MATCH(A536,'Raw Provisioning'!$B$2:$B$1000,0)),"Missing from latest raw")))</x:f>
        <x:v>completed</x:v>
      </x:c>
      <x:c r="D536" s="171" t="n">
        <x:f>IF(A536="","",'Refresh Control'!$B$4)</x:f>
        <x:v>46254</x:v>
      </x:c>
      <x:c r="E536" s="171" t="n">
        <x:f>IF(A536="","",IF(B536="Decommissioning",INDEX('Raw Decommissioning'!$F$2:$F$1000,ROWS($A$5:A536)),INDEX('Raw Provisioning'!$F$2:$F$1000,ROWS($A$5:A536)-COUNTA('Raw Decommissioning'!$B$2:$B$1000))))</x:f>
        <x:v>46167.12409084491</x:v>
      </x:c>
      <x:c r="F536" s="171" t="n">
        <x:f>IF(A536="","",IF(B536="Decommissioning",INDEX('Raw Decommissioning'!$G$2:$G$1000,ROWS($A$5:A536)),INDEX('Raw Provisioning'!$H$2:$H$1000,ROWS($A$5:A536)-COUNTA('Raw Decommissioning'!$B$2:$B$1000))))</x:f>
        <x:v>46196.152440439815</x:v>
      </x:c>
      <x:c r="G536" s="170" t="str">
        <x:f>IF(A536="","",IF(B536="Decommissioning",INDEX('Raw Decommissioning'!$I$2:$I$1000,ROWS($A$5:A536)),INDEX('Raw Provisioning'!$J$2:$J$1000,ROWS($A$5:A536)-COUNTA('Raw Decommissioning'!$B$2:$B$1000))))</x:f>
        <x:v>Zidane OVC</x:v>
      </x:c>
      <x:c r="H536" s="170" t="str">
        <x:f>IF(A536="","",IF(B536="Decommissioning",INDEX('Raw Decommissioning'!$J$2:$J$1000,ROWS($A$5:A536)),INDEX('Raw Provisioning'!$L$2:$L$1000,ROWS($A$5:A536)-COUNTA('Raw Decommissioning'!$B$2:$B$1000))))</x:f>
        <x:v>Provision of Professional Service, Software License and Infra for ArBiTra (OVC &amp; LVC) 2025 for PTLCL</x:v>
      </x:c>
      <x:c r="I536" s="170" t="str">
        <x:f>IF(A536="","",IF(B536="Decommissioning",INDEX('Raw Decommissioning'!$AL$2:$AL$1000,ROWS($A$5:A536)),INDEX('Raw Provisioning'!$R$2:$R$1000,ROWS($A$5:A536)-COUNTA('Raw Decommissioning'!$B$2:$B$1000))))</x:f>
        <x:v>L</x:v>
      </x:c>
      <x:c r="J536" s="170" t="str">
        <x:f>IF(A536="","",IF(B536="Decommissioning",INDEX('Raw Decommissioning'!$AG$2:$AG$1000,ROWS($A$5:A536)),INDEX('Raw Provisioning'!$AI$2:$AI$1000,ROWS($A$5:A536)-COUNTA('Raw Decommissioning'!$B$2:$B$1000))))</x:f>
        <x:v>yeonghunn.ho@petronas.com</x:v>
      </x:c>
      <x:c r="K536" s="172" t="str">
        <x:f>IF(A536="","",IFERROR(LOOKUP(2,1/('Assignment History'!$B$5:$B$204=A536),'Assignment History'!$D$5:$D$204),IFERROR(VLOOKUP(J536,Configuration!$L$5:$M$50,2,FALSE),J536)))</x:f>
        <x:v>yeonghunn.ho@petronas.com</x:v>
      </x:c>
      <x:c r="L536" s="172" t="str">
        <x:f>IF(A536="","",IF(K536=IFERROR(VLOOKUP(J536,Configuration!$L$5:$M$50,2,FALSE),J536),"Snapshot PIC","Replacement PIC"))</x:f>
        <x:v>Snapshot PIC</x:v>
      </x:c>
      <x:c r="M536" s="172" t="n">
        <x:f>IF(A536="","",IFERROR(VLOOKUP(I536,Configuration!$O$5:$P$8,2,FALSE),Configuration!$S$6))</x:f>
        <x:v>3</x:v>
      </x:c>
      <x:c r="N536" s="172" t="str">
        <x:f>IF(A536="","",IFERROR(LOOKUP(2,1/('Scope Review'!$B$5:$B$204=A536),'Scope Review'!$G$5:$G$204),"Not Reviewed"))</x:f>
        <x:v>Not Reviewed</x:v>
      </x:c>
      <x:c r="O536" s="172" t="str">
        <x:f>IF(A536="","",IFERROR(LOOKUP(2,1/('Scope Review'!$B$5:$B$204=A536),'Scope Review'!$H$5:$H$204),""))</x:f>
      </x:c>
      <x:c r="P536" s="172" t="n">
        <x:f>IF(A536="","",IF(AND(C536="executing",N536&lt;&gt;"Confirmed OOS"),M536,0))</x:f>
        <x:v>0</x:v>
      </x:c>
      <x:c r="Q536" s="173" t="str">
        <x:f>IF(A536="","",IFERROR(LOOKUP(2,1/('Engineer Updates'!$B$5:$B$704=A536),'Engineer Updates'!$A$5:$A$704),""))</x:f>
      </x:c>
      <x:c r="R536" s="172" t="str">
        <x:f>IF(A536="","",IFERROR(LOOKUP(2,1/('Engineer Updates'!$B$5:$B$704=A536),'Engineer Updates'!$H$5:$H$704),""))</x:f>
      </x:c>
      <x:c r="S536" s="172" t="str">
        <x:f>IF(A536="","",IFERROR(LOOKUP(2,1/('Engineer Updates'!$B$5:$B$704=A536),'Engineer Updates'!$G$5:$G$704),""))</x:f>
      </x:c>
      <x:c r="T536" s="172" t="str">
        <x:f>IF(A536="","",IFERROR(LOOKUP(2,1/('Engineer Updates'!$B$5:$B$704=A536),'Engineer Updates'!$I$5:$I$704),""))</x:f>
      </x:c>
      <x:c r="U536" s="172" t="str">
        <x:f>IF(A536="","",IFERROR(LOOKUP(2,1/('Engineer Updates'!$B$5:$B$704=A536),'Engineer Updates'!$J$5:$J$704),""))</x:f>
      </x:c>
      <x:c r="V536" s="172" t="str">
        <x:f>IF(A536="","",IFERROR(LOOKUP(2,1/('Engineer Updates'!$B$5:$B$704=A536),'Engineer Updates'!$K$5:$K$704),""))</x:f>
      </x:c>
      <x:c r="W536" s="174" t="str">
        <x:f>IF(A536="","",IFERROR(LOOKUP(2,1/('Engineer Updates'!$B$5:$B$704=A536),'Engineer Updates'!$L$5:$L$704),""))</x:f>
      </x:c>
      <x:c r="X536" s="170" t="str">
        <x:f>IF(A536="","",IF(C536="completed","Completed in CSSP",IF(AND(C536="executing",ISERROR(SEARCH("@",K536))),"Executing without named engineer",IF(AND(N536="Confirmed OOS",C536="executing"),"Confirmed OOS still executing",""))))</x:f>
        <x:v>Completed in CSSP</x:v>
      </x:c>
      <x:c r="Y536" s="170" t="str">
        <x:f>IF(A536="","",IF(B536="Decommissioning","Raw Decommissioning","Raw Provisioning"))</x:f>
        <x:v>Raw Provisioning</x:v>
      </x:c>
      <x:c r="Z536" s="170" t="str">
        <x:f>IF(A536="","",IF(OR(C536="executing",C536="processing"),"Yes","No"))</x:f>
        <x:v>No</x:v>
      </x:c>
    </x:row>
    <x:row r="537">
      <x:c r="A537" s="170" t="str">
        <x:f>IF(ROWS($A$5:A537)&lt;=COUNTA('Raw Decommissioning'!$B$2:$B$1000),INDEX('Raw Decommissioning'!$B$2:$B$1000,ROWS($A$5:A537)),IF(ROWS($A$5:A537)-COUNTA('Raw Decommissioning'!$B$2:$B$1000)&lt;=COUNTA('Raw Provisioning'!$B$2:$B$1000),INDEX('Raw Provisioning'!$B$2:$B$1000,ROWS($A$5:A537)-COUNTA('Raw Decommissioning'!$B$2:$B$1000)),""))</x:f>
        <x:v>CSSP10509113</x:v>
      </x:c>
      <x:c r="B537" s="170" t="str">
        <x:f>IF(A537="","",IF(ROWS($A$5:A537)&lt;=COUNTA('Raw Decommissioning'!$B$2:$B$1000),"Decommissioning","Provisioning"))</x:f>
        <x:v>Provisioning</x:v>
      </x:c>
      <x:c r="C537" s="170" t="str">
        <x:f>IF(A537="","",IF(B537="Decommissioning",IFERROR(INDEX('Raw Decommissioning'!$E$2:$E$1000,MATCH(A537,'Raw Decommissioning'!$B$2:$B$1000,0)),"Missing from latest raw"),IFERROR(INDEX('Raw Provisioning'!$E$2:$E$1000,MATCH(A537,'Raw Provisioning'!$B$2:$B$1000,0)),"Missing from latest raw")))</x:f>
        <x:v>completed</x:v>
      </x:c>
      <x:c r="D537" s="171" t="n">
        <x:f>IF(A537="","",'Refresh Control'!$B$4)</x:f>
        <x:v>46254</x:v>
      </x:c>
      <x:c r="E537" s="171" t="n">
        <x:f>IF(A537="","",IF(B537="Decommissioning",INDEX('Raw Decommissioning'!$F$2:$F$1000,ROWS($A$5:A537)),INDEX('Raw Provisioning'!$F$2:$F$1000,ROWS($A$5:A537)-COUNTA('Raw Decommissioning'!$B$2:$B$1000))))</x:f>
        <x:v>46168.14363744213</x:v>
      </x:c>
      <x:c r="F537" s="171" t="n">
        <x:f>IF(A537="","",IF(B537="Decommissioning",INDEX('Raw Decommissioning'!$G$2:$G$1000,ROWS($A$5:A537)),INDEX('Raw Provisioning'!$H$2:$H$1000,ROWS($A$5:A537)-COUNTA('Raw Decommissioning'!$B$2:$B$1000))))</x:f>
        <x:v>46191.31937320602</x:v>
      </x:c>
      <x:c r="G537" s="170" t="str">
        <x:f>IF(A537="","",IF(B537="Decommissioning",INDEX('Raw Decommissioning'!$I$2:$I$1000,ROWS($A$5:A537)),INDEX('Raw Provisioning'!$J$2:$J$1000,ROWS($A$5:A537)-COUNTA('Raw Decommissioning'!$B$2:$B$1000))))</x:f>
        <x:v>MyApproval</x:v>
      </x:c>
      <x:c r="H537" s="170" t="str">
        <x:f>IF(A537="","",IF(B537="Decommissioning",INDEX('Raw Decommissioning'!$J$2:$J$1000,ROWS($A$5:A537)),INDEX('Raw Provisioning'!$L$2:$L$1000,ROWS($A$5:A537)-COUNTA('Raw Decommissioning'!$B$2:$B$1000))))</x:f>
        <x:v>myAPPROVAL</x:v>
      </x:c>
      <x:c r="I537" s="170" t="str">
        <x:f>IF(A537="","",IF(B537="Decommissioning",INDEX('Raw Decommissioning'!$AL$2:$AL$1000,ROWS($A$5:A537)),INDEX('Raw Provisioning'!$R$2:$R$1000,ROWS($A$5:A537)-COUNTA('Raw Decommissioning'!$B$2:$B$1000))))</x:f>
        <x:v>S</x:v>
      </x:c>
      <x:c r="J537" s="170" t="str">
        <x:f>IF(A537="","",IF(B537="Decommissioning",INDEX('Raw Decommissioning'!$AG$2:$AG$1000,ROWS($A$5:A537)),INDEX('Raw Provisioning'!$AI$2:$AI$1000,ROWS($A$5:A537)-COUNTA('Raw Decommissioning'!$B$2:$B$1000))))</x:f>
        <x:v>badri.shaharudin@petronas.com</x:v>
      </x:c>
      <x:c r="K537" s="172" t="str">
        <x:f>IF(A537="","",IFERROR(LOOKUP(2,1/('Assignment History'!$B$5:$B$204=A537),'Assignment History'!$D$5:$D$204),IFERROR(VLOOKUP(J537,Configuration!$L$5:$M$50,2,FALSE),J537)))</x:f>
        <x:v>badri.shaharudin@petronas.com</x:v>
      </x:c>
      <x:c r="L537" s="172" t="str">
        <x:f>IF(A537="","",IF(K537=IFERROR(VLOOKUP(J537,Configuration!$L$5:$M$50,2,FALSE),J537),"Snapshot PIC","Replacement PIC"))</x:f>
        <x:v>Snapshot PIC</x:v>
      </x:c>
      <x:c r="M537" s="172" t="n">
        <x:f>IF(A537="","",IFERROR(VLOOKUP(I537,Configuration!$O$5:$P$8,2,FALSE),Configuration!$S$6))</x:f>
        <x:v>1</x:v>
      </x:c>
      <x:c r="N537" s="172" t="str">
        <x:f>IF(A537="","",IFERROR(LOOKUP(2,1/('Scope Review'!$B$5:$B$204=A537),'Scope Review'!$G$5:$G$204),"Not Reviewed"))</x:f>
        <x:v>Not Reviewed</x:v>
      </x:c>
      <x:c r="O537" s="172" t="str">
        <x:f>IF(A537="","",IFERROR(LOOKUP(2,1/('Scope Review'!$B$5:$B$204=A537),'Scope Review'!$H$5:$H$204),""))</x:f>
      </x:c>
      <x:c r="P537" s="172" t="n">
        <x:f>IF(A537="","",IF(AND(C537="executing",N537&lt;&gt;"Confirmed OOS"),M537,0))</x:f>
        <x:v>0</x:v>
      </x:c>
      <x:c r="Q537" s="173" t="str">
        <x:f>IF(A537="","",IFERROR(LOOKUP(2,1/('Engineer Updates'!$B$5:$B$704=A537),'Engineer Updates'!$A$5:$A$704),""))</x:f>
      </x:c>
      <x:c r="R537" s="172" t="str">
        <x:f>IF(A537="","",IFERROR(LOOKUP(2,1/('Engineer Updates'!$B$5:$B$704=A537),'Engineer Updates'!$H$5:$H$704),""))</x:f>
      </x:c>
      <x:c r="S537" s="172" t="str">
        <x:f>IF(A537="","",IFERROR(LOOKUP(2,1/('Engineer Updates'!$B$5:$B$704=A537),'Engineer Updates'!$G$5:$G$704),""))</x:f>
      </x:c>
      <x:c r="T537" s="172" t="str">
        <x:f>IF(A537="","",IFERROR(LOOKUP(2,1/('Engineer Updates'!$B$5:$B$704=A537),'Engineer Updates'!$I$5:$I$704),""))</x:f>
      </x:c>
      <x:c r="U537" s="172" t="str">
        <x:f>IF(A537="","",IFERROR(LOOKUP(2,1/('Engineer Updates'!$B$5:$B$704=A537),'Engineer Updates'!$J$5:$J$704),""))</x:f>
      </x:c>
      <x:c r="V537" s="172" t="str">
        <x:f>IF(A537="","",IFERROR(LOOKUP(2,1/('Engineer Updates'!$B$5:$B$704=A537),'Engineer Updates'!$K$5:$K$704),""))</x:f>
      </x:c>
      <x:c r="W537" s="174" t="str">
        <x:f>IF(A537="","",IFERROR(LOOKUP(2,1/('Engineer Updates'!$B$5:$B$704=A537),'Engineer Updates'!$L$5:$L$704),""))</x:f>
      </x:c>
      <x:c r="X537" s="170" t="str">
        <x:f>IF(A537="","",IF(C537="completed","Completed in CSSP",IF(AND(C537="executing",ISERROR(SEARCH("@",K537))),"Executing without named engineer",IF(AND(N537="Confirmed OOS",C537="executing"),"Confirmed OOS still executing",""))))</x:f>
        <x:v>Completed in CSSP</x:v>
      </x:c>
      <x:c r="Y537" s="170" t="str">
        <x:f>IF(A537="","",IF(B537="Decommissioning","Raw Decommissioning","Raw Provisioning"))</x:f>
        <x:v>Raw Provisioning</x:v>
      </x:c>
      <x:c r="Z537" s="170" t="str">
        <x:f>IF(A537="","",IF(OR(C537="executing",C537="processing"),"Yes","No"))</x:f>
        <x:v>No</x:v>
      </x:c>
    </x:row>
    <x:row r="538">
      <x:c r="A538" s="170" t="str">
        <x:f>IF(ROWS($A$5:A538)&lt;=COUNTA('Raw Decommissioning'!$B$2:$B$1000),INDEX('Raw Decommissioning'!$B$2:$B$1000,ROWS($A$5:A538)),IF(ROWS($A$5:A538)-COUNTA('Raw Decommissioning'!$B$2:$B$1000)&lt;=COUNTA('Raw Provisioning'!$B$2:$B$1000),INDEX('Raw Provisioning'!$B$2:$B$1000,ROWS($A$5:A538)-COUNTA('Raw Decommissioning'!$B$2:$B$1000)),""))</x:f>
        <x:v>CSSP10314804</x:v>
      </x:c>
      <x:c r="B538" s="170" t="str">
        <x:f>IF(A538="","",IF(ROWS($A$5:A538)&lt;=COUNTA('Raw Decommissioning'!$B$2:$B$1000),"Decommissioning","Provisioning"))</x:f>
        <x:v>Provisioning</x:v>
      </x:c>
      <x:c r="C538" s="170" t="str">
        <x:f>IF(A538="","",IF(B538="Decommissioning",IFERROR(INDEX('Raw Decommissioning'!$E$2:$E$1000,MATCH(A538,'Raw Decommissioning'!$B$2:$B$1000,0)),"Missing from latest raw"),IFERROR(INDEX('Raw Provisioning'!$E$2:$E$1000,MATCH(A538,'Raw Provisioning'!$B$2:$B$1000,0)),"Missing from latest raw")))</x:f>
        <x:v>completed</x:v>
      </x:c>
      <x:c r="D538" s="171" t="n">
        <x:f>IF(A538="","",'Refresh Control'!$B$4)</x:f>
        <x:v>46254</x:v>
      </x:c>
      <x:c r="E538" s="171" t="n">
        <x:f>IF(A538="","",IF(B538="Decommissioning",INDEX('Raw Decommissioning'!$F$2:$F$1000,ROWS($A$5:A538)),INDEX('Raw Provisioning'!$F$2:$F$1000,ROWS($A$5:A538)-COUNTA('Raw Decommissioning'!$B$2:$B$1000))))</x:f>
        <x:v>46171.028300439815</x:v>
      </x:c>
      <x:c r="F538" s="171" t="n">
        <x:f>IF(A538="","",IF(B538="Decommissioning",INDEX('Raw Decommissioning'!$G$2:$G$1000,ROWS($A$5:A538)),INDEX('Raw Provisioning'!$H$2:$H$1000,ROWS($A$5:A538)-COUNTA('Raw Decommissioning'!$B$2:$B$1000))))</x:f>
        <x:v>46196.16739190972</x:v>
      </x:c>
      <x:c r="G538" s="170" t="str">
        <x:f>IF(A538="","",IF(B538="Decommissioning",INDEX('Raw Decommissioning'!$I$2:$I$1000,ROWS($A$5:A538)),INDEX('Raw Provisioning'!$J$2:$J$1000,ROWS($A$5:A538)-COUNTA('Raw Decommissioning'!$B$2:$B$1000))))</x:f>
        <x:v>Plant Information - PI Enterprise for ENIGMA SEARAH</x:v>
      </x:c>
      <x:c r="H538" s="170" t="str">
        <x:f>IF(A538="","",IF(B538="Decommissioning",INDEX('Raw Decommissioning'!$J$2:$J$1000,ROWS($A$5:A538)),INDEX('Raw Provisioning'!$L$2:$L$1000,ROWS($A$5:A538)-COUNTA('Raw Decommissioning'!$B$2:$B$1000))))</x:f>
        <x:v>ENIGMA JV (Production): Implementing New Subscriptions for MacCo_PI</x:v>
      </x:c>
      <x:c r="I538" s="170" t="str">
        <x:f>IF(A538="","",IF(B538="Decommissioning",INDEX('Raw Decommissioning'!$AL$2:$AL$1000,ROWS($A$5:A538)),INDEX('Raw Provisioning'!$R$2:$R$1000,ROWS($A$5:A538)-COUNTA('Raw Decommissioning'!$B$2:$B$1000))))</x:f>
        <x:v>M</x:v>
      </x:c>
      <x:c r="J538" s="170" t="str">
        <x:f>IF(A538="","",IF(B538="Decommissioning",INDEX('Raw Decommissioning'!$AG$2:$AG$1000,ROWS($A$5:A538)),INDEX('Raw Provisioning'!$AI$2:$AI$1000,ROWS($A$5:A538)-COUNTA('Raw Decommissioning'!$B$2:$B$1000))))</x:f>
        <x:v>afnanfarhan.dzaharud@petronas.com</x:v>
      </x:c>
      <x:c r="K538" s="172" t="str">
        <x:f>IF(A538="","",IFERROR(LOOKUP(2,1/('Assignment History'!$B$5:$B$204=A538),'Assignment History'!$D$5:$D$204),IFERROR(VLOOKUP(J538,Configuration!$L$5:$M$50,2,FALSE),J538)))</x:f>
        <x:v>afnanfarhan.dzaharud@petronas.com</x:v>
      </x:c>
      <x:c r="L538" s="172" t="str">
        <x:f>IF(A538="","",IF(K538=IFERROR(VLOOKUP(J538,Configuration!$L$5:$M$50,2,FALSE),J538),"Snapshot PIC","Replacement PIC"))</x:f>
        <x:v>Snapshot PIC</x:v>
      </x:c>
      <x:c r="M538" s="172" t="n">
        <x:f>IF(A538="","",IFERROR(VLOOKUP(I538,Configuration!$O$5:$P$8,2,FALSE),Configuration!$S$6))</x:f>
        <x:v>2</x:v>
      </x:c>
      <x:c r="N538" s="172" t="str">
        <x:f>IF(A538="","",IFERROR(LOOKUP(2,1/('Scope Review'!$B$5:$B$204=A538),'Scope Review'!$G$5:$G$204),"Not Reviewed"))</x:f>
        <x:v>Not Reviewed</x:v>
      </x:c>
      <x:c r="O538" s="172" t="str">
        <x:f>IF(A538="","",IFERROR(LOOKUP(2,1/('Scope Review'!$B$5:$B$204=A538),'Scope Review'!$H$5:$H$204),""))</x:f>
      </x:c>
      <x:c r="P538" s="172" t="n">
        <x:f>IF(A538="","",IF(AND(C538="executing",N538&lt;&gt;"Confirmed OOS"),M538,0))</x:f>
        <x:v>0</x:v>
      </x:c>
      <x:c r="Q538" s="173" t="str">
        <x:f>IF(A538="","",IFERROR(LOOKUP(2,1/('Engineer Updates'!$B$5:$B$704=A538),'Engineer Updates'!$A$5:$A$704),""))</x:f>
      </x:c>
      <x:c r="R538" s="172" t="str">
        <x:f>IF(A538="","",IFERROR(LOOKUP(2,1/('Engineer Updates'!$B$5:$B$704=A538),'Engineer Updates'!$H$5:$H$704),""))</x:f>
      </x:c>
      <x:c r="S538" s="172" t="str">
        <x:f>IF(A538="","",IFERROR(LOOKUP(2,1/('Engineer Updates'!$B$5:$B$704=A538),'Engineer Updates'!$G$5:$G$704),""))</x:f>
      </x:c>
      <x:c r="T538" s="172" t="str">
        <x:f>IF(A538="","",IFERROR(LOOKUP(2,1/('Engineer Updates'!$B$5:$B$704=A538),'Engineer Updates'!$I$5:$I$704),""))</x:f>
      </x:c>
      <x:c r="U538" s="172" t="str">
        <x:f>IF(A538="","",IFERROR(LOOKUP(2,1/('Engineer Updates'!$B$5:$B$704=A538),'Engineer Updates'!$J$5:$J$704),""))</x:f>
      </x:c>
      <x:c r="V538" s="172" t="str">
        <x:f>IF(A538="","",IFERROR(LOOKUP(2,1/('Engineer Updates'!$B$5:$B$704=A538),'Engineer Updates'!$K$5:$K$704),""))</x:f>
      </x:c>
      <x:c r="W538" s="174" t="str">
        <x:f>IF(A538="","",IFERROR(LOOKUP(2,1/('Engineer Updates'!$B$5:$B$704=A538),'Engineer Updates'!$L$5:$L$704),""))</x:f>
      </x:c>
      <x:c r="X538" s="170" t="str">
        <x:f>IF(A538="","",IF(C538="completed","Completed in CSSP",IF(AND(C538="executing",ISERROR(SEARCH("@",K538))),"Executing without named engineer",IF(AND(N538="Confirmed OOS",C538="executing"),"Confirmed OOS still executing",""))))</x:f>
        <x:v>Completed in CSSP</x:v>
      </x:c>
      <x:c r="Y538" s="170" t="str">
        <x:f>IF(A538="","",IF(B538="Decommissioning","Raw Decommissioning","Raw Provisioning"))</x:f>
        <x:v>Raw Provisioning</x:v>
      </x:c>
      <x:c r="Z538" s="170" t="str">
        <x:f>IF(A538="","",IF(OR(C538="executing",C538="processing"),"Yes","No"))</x:f>
        <x:v>No</x:v>
      </x:c>
    </x:row>
    <x:row r="539">
      <x:c r="A539" s="170" t="str">
        <x:f>IF(ROWS($A$5:A539)&lt;=COUNTA('Raw Decommissioning'!$B$2:$B$1000),INDEX('Raw Decommissioning'!$B$2:$B$1000,ROWS($A$5:A539)),IF(ROWS($A$5:A539)-COUNTA('Raw Decommissioning'!$B$2:$B$1000)&lt;=COUNTA('Raw Provisioning'!$B$2:$B$1000),INDEX('Raw Provisioning'!$B$2:$B$1000,ROWS($A$5:A539)-COUNTA('Raw Decommissioning'!$B$2:$B$1000)),""))</x:f>
        <x:v>CSSP10906858</x:v>
      </x:c>
      <x:c r="B539" s="170" t="str">
        <x:f>IF(A539="","",IF(ROWS($A$5:A539)&lt;=COUNTA('Raw Decommissioning'!$B$2:$B$1000),"Decommissioning","Provisioning"))</x:f>
        <x:v>Provisioning</x:v>
      </x:c>
      <x:c r="C539" s="170" t="str">
        <x:f>IF(A539="","",IF(B539="Decommissioning",IFERROR(INDEX('Raw Decommissioning'!$E$2:$E$1000,MATCH(A539,'Raw Decommissioning'!$B$2:$B$1000,0)),"Missing from latest raw"),IFERROR(INDEX('Raw Provisioning'!$E$2:$E$1000,MATCH(A539,'Raw Provisioning'!$B$2:$B$1000,0)),"Missing from latest raw")))</x:f>
        <x:v>rejected</x:v>
      </x:c>
      <x:c r="D539" s="171" t="n">
        <x:f>IF(A539="","",'Refresh Control'!$B$4)</x:f>
        <x:v>46254</x:v>
      </x:c>
      <x:c r="E539" s="171" t="n">
        <x:f>IF(A539="","",IF(B539="Decommissioning",INDEX('Raw Decommissioning'!$F$2:$F$1000,ROWS($A$5:A539)),INDEX('Raw Provisioning'!$F$2:$F$1000,ROWS($A$5:A539)-COUNTA('Raw Decommissioning'!$B$2:$B$1000))))</x:f>
        <x:v>46171.364378032406</x:v>
      </x:c>
      <x:c r="F539" s="171" t="n">
        <x:f>IF(A539="","",IF(B539="Decommissioning",INDEX('Raw Decommissioning'!$G$2:$G$1000,ROWS($A$5:A539)),INDEX('Raw Provisioning'!$H$2:$H$1000,ROWS($A$5:A539)-COUNTA('Raw Decommissioning'!$B$2:$B$1000))))</x:f>
        <x:v>46183.31247135417</x:v>
      </x:c>
      <x:c r="G539" s="170" t="str">
        <x:f>IF(A539="","",IF(B539="Decommissioning",INDEX('Raw Decommissioning'!$I$2:$I$1000,ROWS($A$5:A539)),INDEX('Raw Provisioning'!$J$2:$J$1000,ROWS($A$5:A539)-COUNTA('Raw Decommissioning'!$B$2:$B$1000))))</x:f>
        <x:v>Electronic Permit To Work Plus - ePTW+ GHSSE</x:v>
      </x:c>
      <x:c r="H539" s="170" t="str">
        <x:f>IF(A539="","",IF(B539="Decommissioning",INDEX('Raw Decommissioning'!$J$2:$J$1000,ROWS($A$5:A539)),INDEX('Raw Provisioning'!$L$2:$L$1000,ROWS($A$5:A539)-COUNTA('Raw Decommissioning'!$B$2:$B$1000))))</x:f>
        <x:v>Implementation of Enterprise e-Permit to Work (e-PTW+) for GHSSE</x:v>
      </x:c>
      <x:c r="I539" s="170" t="str">
        <x:f>IF(A539="","",IF(B539="Decommissioning",INDEX('Raw Decommissioning'!$AL$2:$AL$1000,ROWS($A$5:A539)),INDEX('Raw Provisioning'!$R$2:$R$1000,ROWS($A$5:A539)-COUNTA('Raw Decommissioning'!$B$2:$B$1000))))</x:f>
      </x:c>
      <x:c r="J539" s="170" t="str">
        <x:f>IF(A539="","",IF(B539="Decommissioning",INDEX('Raw Decommissioning'!$AG$2:$AG$1000,ROWS($A$5:A539)),INDEX('Raw Provisioning'!$AI$2:$AI$1000,ROWS($A$5:A539)-COUNTA('Raw Decommissioning'!$B$2:$B$1000))))</x:f>
        <x:v>CCoE Core Services (Public)</x:v>
      </x:c>
      <x:c r="K539" s="172" t="str">
        <x:f>IF(A539="","",IFERROR(LOOKUP(2,1/('Assignment History'!$B$5:$B$204=A539),'Assignment History'!$D$5:$D$204),IFERROR(VLOOKUP(J539,Configuration!$L$5:$M$50,2,FALSE),J539)))</x:f>
        <x:v>CCoE Core Services (Public)</x:v>
      </x:c>
      <x:c r="L539" s="172" t="str">
        <x:f>IF(A539="","",IF(K539=IFERROR(VLOOKUP(J539,Configuration!$L$5:$M$50,2,FALSE),J539),"Snapshot PIC","Replacement PIC"))</x:f>
        <x:v>Snapshot PIC</x:v>
      </x:c>
      <x:c r="M539" s="172" t="n">
        <x:f>IF(A539="","",IFERROR(VLOOKUP(I539,Configuration!$O$5:$P$8,2,FALSE),Configuration!$S$6))</x:f>
        <x:v>2</x:v>
      </x:c>
      <x:c r="N539" s="172" t="str">
        <x:f>IF(A539="","",IFERROR(LOOKUP(2,1/('Scope Review'!$B$5:$B$204=A539),'Scope Review'!$G$5:$G$204),"Not Reviewed"))</x:f>
        <x:v>Not Reviewed</x:v>
      </x:c>
      <x:c r="O539" s="172" t="str">
        <x:f>IF(A539="","",IFERROR(LOOKUP(2,1/('Scope Review'!$B$5:$B$204=A539),'Scope Review'!$H$5:$H$204),""))</x:f>
      </x:c>
      <x:c r="P539" s="172" t="n">
        <x:f>IF(A539="","",IF(AND(C539="executing",N539&lt;&gt;"Confirmed OOS"),M539,0))</x:f>
        <x:v>0</x:v>
      </x:c>
      <x:c r="Q539" s="173" t="str">
        <x:f>IF(A539="","",IFERROR(LOOKUP(2,1/('Engineer Updates'!$B$5:$B$704=A539),'Engineer Updates'!$A$5:$A$704),""))</x:f>
      </x:c>
      <x:c r="R539" s="172" t="str">
        <x:f>IF(A539="","",IFERROR(LOOKUP(2,1/('Engineer Updates'!$B$5:$B$704=A539),'Engineer Updates'!$H$5:$H$704),""))</x:f>
      </x:c>
      <x:c r="S539" s="172" t="str">
        <x:f>IF(A539="","",IFERROR(LOOKUP(2,1/('Engineer Updates'!$B$5:$B$704=A539),'Engineer Updates'!$G$5:$G$704),""))</x:f>
      </x:c>
      <x:c r="T539" s="172" t="str">
        <x:f>IF(A539="","",IFERROR(LOOKUP(2,1/('Engineer Updates'!$B$5:$B$704=A539),'Engineer Updates'!$I$5:$I$704),""))</x:f>
      </x:c>
      <x:c r="U539" s="172" t="str">
        <x:f>IF(A539="","",IFERROR(LOOKUP(2,1/('Engineer Updates'!$B$5:$B$704=A539),'Engineer Updates'!$J$5:$J$704),""))</x:f>
      </x:c>
      <x:c r="V539" s="172" t="str">
        <x:f>IF(A539="","",IFERROR(LOOKUP(2,1/('Engineer Updates'!$B$5:$B$704=A539),'Engineer Updates'!$K$5:$K$704),""))</x:f>
      </x:c>
      <x:c r="W539" s="174" t="str">
        <x:f>IF(A539="","",IFERROR(LOOKUP(2,1/('Engineer Updates'!$B$5:$B$704=A539),'Engineer Updates'!$L$5:$L$704),""))</x:f>
      </x:c>
      <x:c r="X539" s="170" t="str">
        <x:f>IF(A539="","",IF(C539="completed","Completed in CSSP",IF(AND(C539="executing",ISERROR(SEARCH("@",K539))),"Executing without named engineer",IF(AND(N539="Confirmed OOS",C539="executing"),"Confirmed OOS still executing",""))))</x:f>
      </x:c>
      <x:c r="Y539" s="170" t="str">
        <x:f>IF(A539="","",IF(B539="Decommissioning","Raw Decommissioning","Raw Provisioning"))</x:f>
        <x:v>Raw Provisioning</x:v>
      </x:c>
      <x:c r="Z539" s="170" t="str">
        <x:f>IF(A539="","",IF(OR(C539="executing",C539="processing"),"Yes","No"))</x:f>
        <x:v>No</x:v>
      </x:c>
    </x:row>
    <x:row r="540">
      <x:c r="A540" s="170" t="str">
        <x:f>IF(ROWS($A$5:A540)&lt;=COUNTA('Raw Decommissioning'!$B$2:$B$1000),INDEX('Raw Decommissioning'!$B$2:$B$1000,ROWS($A$5:A540)),IF(ROWS($A$5:A540)-COUNTA('Raw Decommissioning'!$B$2:$B$1000)&lt;=COUNTA('Raw Provisioning'!$B$2:$B$1000),INDEX('Raw Provisioning'!$B$2:$B$1000,ROWS($A$5:A540)-COUNTA('Raw Decommissioning'!$B$2:$B$1000)),""))</x:f>
        <x:v>CSSP10975801</x:v>
      </x:c>
      <x:c r="B540" s="170" t="str">
        <x:f>IF(A540="","",IF(ROWS($A$5:A540)&lt;=COUNTA('Raw Decommissioning'!$B$2:$B$1000),"Decommissioning","Provisioning"))</x:f>
        <x:v>Provisioning</x:v>
      </x:c>
      <x:c r="C540" s="170" t="str">
        <x:f>IF(A540="","",IF(B540="Decommissioning",IFERROR(INDEX('Raw Decommissioning'!$E$2:$E$1000,MATCH(A540,'Raw Decommissioning'!$B$2:$B$1000,0)),"Missing from latest raw"),IFERROR(INDEX('Raw Provisioning'!$E$2:$E$1000,MATCH(A540,'Raw Provisioning'!$B$2:$B$1000,0)),"Missing from latest raw")))</x:f>
        <x:v>completed</x:v>
      </x:c>
      <x:c r="D540" s="171" t="n">
        <x:f>IF(A540="","",'Refresh Control'!$B$4)</x:f>
        <x:v>46254</x:v>
      </x:c>
      <x:c r="E540" s="171" t="n">
        <x:f>IF(A540="","",IF(B540="Decommissioning",INDEX('Raw Decommissioning'!$F$2:$F$1000,ROWS($A$5:A540)),INDEX('Raw Provisioning'!$F$2:$F$1000,ROWS($A$5:A540)-COUNTA('Raw Decommissioning'!$B$2:$B$1000))))</x:f>
        <x:v>46171.367260231484</x:v>
      </x:c>
      <x:c r="F540" s="171" t="n">
        <x:f>IF(A540="","",IF(B540="Decommissioning",INDEX('Raw Decommissioning'!$G$2:$G$1000,ROWS($A$5:A540)),INDEX('Raw Provisioning'!$H$2:$H$1000,ROWS($A$5:A540)-COUNTA('Raw Decommissioning'!$B$2:$B$1000))))</x:f>
        <x:v>46204.24573246528</x:v>
      </x:c>
      <x:c r="G540" s="170" t="str">
        <x:f>IF(A540="","",IF(B540="Decommissioning",INDEX('Raw Decommissioning'!$I$2:$I$1000,ROWS($A$5:A540)),INDEX('Raw Provisioning'!$J$2:$J$1000,ROWS($A$5:A540)-COUNTA('Raw Decommissioning'!$B$2:$B$1000))))</x:f>
        <x:v>Electronic Permit To Work Plus - ePTW+ GHSSE</x:v>
      </x:c>
      <x:c r="H540" s="170" t="str">
        <x:f>IF(A540="","",IF(B540="Decommissioning",INDEX('Raw Decommissioning'!$J$2:$J$1000,ROWS($A$5:A540)),INDEX('Raw Provisioning'!$L$2:$L$1000,ROWS($A$5:A540)-COUNTA('Raw Decommissioning'!$B$2:$B$1000))))</x:f>
        <x:v>Implementation of Enterprise e-Permit to Work (e-PTW+) for GHSSE</x:v>
      </x:c>
      <x:c r="I540" s="170" t="str">
        <x:f>IF(A540="","",IF(B540="Decommissioning",INDEX('Raw Decommissioning'!$AL$2:$AL$1000,ROWS($A$5:A540)),INDEX('Raw Provisioning'!$R$2:$R$1000,ROWS($A$5:A540)-COUNTA('Raw Decommissioning'!$B$2:$B$1000))))</x:f>
        <x:v>S</x:v>
      </x:c>
      <x:c r="J540" s="170" t="str">
        <x:f>IF(A540="","",IF(B540="Decommissioning",INDEX('Raw Decommissioning'!$AG$2:$AG$1000,ROWS($A$5:A540)),INDEX('Raw Provisioning'!$AI$2:$AI$1000,ROWS($A$5:A540)-COUNTA('Raw Decommissioning'!$B$2:$B$1000))))</x:f>
        <x:v>izham.ajmaan@petronas.com</x:v>
      </x:c>
      <x:c r="K540" s="172" t="str">
        <x:f>IF(A540="","",IFERROR(LOOKUP(2,1/('Assignment History'!$B$5:$B$204=A540),'Assignment History'!$D$5:$D$204),IFERROR(VLOOKUP(J540,Configuration!$L$5:$M$50,2,FALSE),J540)))</x:f>
        <x:v>izham.ajmaan@petronas.com</x:v>
      </x:c>
      <x:c r="L540" s="172" t="str">
        <x:f>IF(A540="","",IF(K540=IFERROR(VLOOKUP(J540,Configuration!$L$5:$M$50,2,FALSE),J540),"Snapshot PIC","Replacement PIC"))</x:f>
        <x:v>Snapshot PIC</x:v>
      </x:c>
      <x:c r="M540" s="172" t="n">
        <x:f>IF(A540="","",IFERROR(VLOOKUP(I540,Configuration!$O$5:$P$8,2,FALSE),Configuration!$S$6))</x:f>
        <x:v>1</x:v>
      </x:c>
      <x:c r="N540" s="172" t="str">
        <x:f>IF(A540="","",IFERROR(LOOKUP(2,1/('Scope Review'!$B$5:$B$204=A540),'Scope Review'!$G$5:$G$204),"Not Reviewed"))</x:f>
        <x:v>Not Reviewed</x:v>
      </x:c>
      <x:c r="O540" s="172" t="str">
        <x:f>IF(A540="","",IFERROR(LOOKUP(2,1/('Scope Review'!$B$5:$B$204=A540),'Scope Review'!$H$5:$H$204),""))</x:f>
      </x:c>
      <x:c r="P540" s="172" t="n">
        <x:f>IF(A540="","",IF(AND(C540="executing",N540&lt;&gt;"Confirmed OOS"),M540,0))</x:f>
        <x:v>0</x:v>
      </x:c>
      <x:c r="Q540" s="173" t="str">
        <x:f>IF(A540="","",IFERROR(LOOKUP(2,1/('Engineer Updates'!$B$5:$B$704=A540),'Engineer Updates'!$A$5:$A$704),""))</x:f>
      </x:c>
      <x:c r="R540" s="172" t="str">
        <x:f>IF(A540="","",IFERROR(LOOKUP(2,1/('Engineer Updates'!$B$5:$B$704=A540),'Engineer Updates'!$H$5:$H$704),""))</x:f>
      </x:c>
      <x:c r="S540" s="172" t="str">
        <x:f>IF(A540="","",IFERROR(LOOKUP(2,1/('Engineer Updates'!$B$5:$B$704=A540),'Engineer Updates'!$G$5:$G$704),""))</x:f>
      </x:c>
      <x:c r="T540" s="172" t="str">
        <x:f>IF(A540="","",IFERROR(LOOKUP(2,1/('Engineer Updates'!$B$5:$B$704=A540),'Engineer Updates'!$I$5:$I$704),""))</x:f>
      </x:c>
      <x:c r="U540" s="172" t="str">
        <x:f>IF(A540="","",IFERROR(LOOKUP(2,1/('Engineer Updates'!$B$5:$B$704=A540),'Engineer Updates'!$J$5:$J$704),""))</x:f>
      </x:c>
      <x:c r="V540" s="172" t="str">
        <x:f>IF(A540="","",IFERROR(LOOKUP(2,1/('Engineer Updates'!$B$5:$B$704=A540),'Engineer Updates'!$K$5:$K$704),""))</x:f>
      </x:c>
      <x:c r="W540" s="174" t="str">
        <x:f>IF(A540="","",IFERROR(LOOKUP(2,1/('Engineer Updates'!$B$5:$B$704=A540),'Engineer Updates'!$L$5:$L$704),""))</x:f>
      </x:c>
      <x:c r="X540" s="170" t="str">
        <x:f>IF(A540="","",IF(C540="completed","Completed in CSSP",IF(AND(C540="executing",ISERROR(SEARCH("@",K540))),"Executing without named engineer",IF(AND(N540="Confirmed OOS",C540="executing"),"Confirmed OOS still executing",""))))</x:f>
        <x:v>Completed in CSSP</x:v>
      </x:c>
      <x:c r="Y540" s="170" t="str">
        <x:f>IF(A540="","",IF(B540="Decommissioning","Raw Decommissioning","Raw Provisioning"))</x:f>
        <x:v>Raw Provisioning</x:v>
      </x:c>
      <x:c r="Z540" s="170" t="str">
        <x:f>IF(A540="","",IF(OR(C540="executing",C540="processing"),"Yes","No"))</x:f>
        <x:v>No</x:v>
      </x:c>
    </x:row>
    <x:row r="541">
      <x:c r="A541" s="170" t="str">
        <x:f>IF(ROWS($A$5:A541)&lt;=COUNTA('Raw Decommissioning'!$B$2:$B$1000),INDEX('Raw Decommissioning'!$B$2:$B$1000,ROWS($A$5:A541)),IF(ROWS($A$5:A541)-COUNTA('Raw Decommissioning'!$B$2:$B$1000)&lt;=COUNTA('Raw Provisioning'!$B$2:$B$1000),INDEX('Raw Provisioning'!$B$2:$B$1000,ROWS($A$5:A541)-COUNTA('Raw Decommissioning'!$B$2:$B$1000)),""))</x:f>
        <x:v>CSSP10682219</x:v>
      </x:c>
      <x:c r="B541" s="170" t="str">
        <x:f>IF(A541="","",IF(ROWS($A$5:A541)&lt;=COUNTA('Raw Decommissioning'!$B$2:$B$1000),"Decommissioning","Provisioning"))</x:f>
        <x:v>Provisioning</x:v>
      </x:c>
      <x:c r="C541" s="170" t="str">
        <x:f>IF(A541="","",IF(B541="Decommissioning",IFERROR(INDEX('Raw Decommissioning'!$E$2:$E$1000,MATCH(A541,'Raw Decommissioning'!$B$2:$B$1000,0)),"Missing from latest raw"),IFERROR(INDEX('Raw Provisioning'!$E$2:$E$1000,MATCH(A541,'Raw Provisioning'!$B$2:$B$1000,0)),"Missing from latest raw")))</x:f>
        <x:v>rejected</x:v>
      </x:c>
      <x:c r="D541" s="171" t="n">
        <x:f>IF(A541="","",'Refresh Control'!$B$4)</x:f>
        <x:v>46254</x:v>
      </x:c>
      <x:c r="E541" s="171" t="n">
        <x:f>IF(A541="","",IF(B541="Decommissioning",INDEX('Raw Decommissioning'!$F$2:$F$1000,ROWS($A$5:A541)),INDEX('Raw Provisioning'!$F$2:$F$1000,ROWS($A$5:A541)-COUNTA('Raw Decommissioning'!$B$2:$B$1000))))</x:f>
        <x:v>46177.06789320602</x:v>
      </x:c>
      <x:c r="F541" s="171" t="n">
        <x:f>IF(A541="","",IF(B541="Decommissioning",INDEX('Raw Decommissioning'!$G$2:$G$1000,ROWS($A$5:A541)),INDEX('Raw Provisioning'!$H$2:$H$1000,ROWS($A$5:A541)-COUNTA('Raw Decommissioning'!$B$2:$B$1000))))</x:f>
        <x:v>46183.29246056713</x:v>
      </x:c>
      <x:c r="G541" s="170" t="str">
        <x:f>IF(A541="","",IF(B541="Decommissioning",INDEX('Raw Decommissioning'!$I$2:$I$1000,ROWS($A$5:A541)),INDEX('Raw Provisioning'!$J$2:$J$1000,ROWS($A$5:A541)-COUNTA('Raw Decommissioning'!$B$2:$B$1000))))</x:f>
        <x:v>PiriGIS</x:v>
      </x:c>
      <x:c r="H541" s="170" t="str">
        <x:f>IF(A541="","",IF(B541="Decommissioning",INDEX('Raw Decommissioning'!$J$2:$J$1000,ROWS($A$5:A541)),INDEX('Raw Provisioning'!$L$2:$L$1000,ROWS($A$5:A541)-COUNTA('Raw Decommissioning'!$B$2:$B$1000))))</x:f>
        <x:v>Provision of Geographic Information System Infrastructure in PETRONAS Azure Cloud for Exploration</x:v>
      </x:c>
      <x:c r="I541" s="170" t="str">
        <x:f>IF(A541="","",IF(B541="Decommissioning",INDEX('Raw Decommissioning'!$AL$2:$AL$1000,ROWS($A$5:A541)),INDEX('Raw Provisioning'!$R$2:$R$1000,ROWS($A$5:A541)-COUNTA('Raw Decommissioning'!$B$2:$B$1000))))</x:f>
      </x:c>
      <x:c r="J541" s="170" t="str">
        <x:f>IF(A541="","",IF(B541="Decommissioning",INDEX('Raw Decommissioning'!$AG$2:$AG$1000,ROWS($A$5:A541)),INDEX('Raw Provisioning'!$AI$2:$AI$1000,ROWS($A$5:A541)-COUNTA('Raw Decommissioning'!$B$2:$B$1000))))</x:f>
        <x:v>CCoE Core Services (Public)</x:v>
      </x:c>
      <x:c r="K541" s="172" t="str">
        <x:f>IF(A541="","",IFERROR(LOOKUP(2,1/('Assignment History'!$B$5:$B$204=A541),'Assignment History'!$D$5:$D$204),IFERROR(VLOOKUP(J541,Configuration!$L$5:$M$50,2,FALSE),J541)))</x:f>
        <x:v>CCoE Core Services (Public)</x:v>
      </x:c>
      <x:c r="L541" s="172" t="str">
        <x:f>IF(A541="","",IF(K541=IFERROR(VLOOKUP(J541,Configuration!$L$5:$M$50,2,FALSE),J541),"Snapshot PIC","Replacement PIC"))</x:f>
        <x:v>Snapshot PIC</x:v>
      </x:c>
      <x:c r="M541" s="172" t="n">
        <x:f>IF(A541="","",IFERROR(VLOOKUP(I541,Configuration!$O$5:$P$8,2,FALSE),Configuration!$S$6))</x:f>
        <x:v>2</x:v>
      </x:c>
      <x:c r="N541" s="172" t="str">
        <x:f>IF(A541="","",IFERROR(LOOKUP(2,1/('Scope Review'!$B$5:$B$204=A541),'Scope Review'!$G$5:$G$204),"Not Reviewed"))</x:f>
        <x:v>Not Reviewed</x:v>
      </x:c>
      <x:c r="O541" s="172" t="str">
        <x:f>IF(A541="","",IFERROR(LOOKUP(2,1/('Scope Review'!$B$5:$B$204=A541),'Scope Review'!$H$5:$H$204),""))</x:f>
      </x:c>
      <x:c r="P541" s="172" t="n">
        <x:f>IF(A541="","",IF(AND(C541="executing",N541&lt;&gt;"Confirmed OOS"),M541,0))</x:f>
        <x:v>0</x:v>
      </x:c>
      <x:c r="Q541" s="173" t="str">
        <x:f>IF(A541="","",IFERROR(LOOKUP(2,1/('Engineer Updates'!$B$5:$B$704=A541),'Engineer Updates'!$A$5:$A$704),""))</x:f>
      </x:c>
      <x:c r="R541" s="172" t="str">
        <x:f>IF(A541="","",IFERROR(LOOKUP(2,1/('Engineer Updates'!$B$5:$B$704=A541),'Engineer Updates'!$H$5:$H$704),""))</x:f>
      </x:c>
      <x:c r="S541" s="172" t="str">
        <x:f>IF(A541="","",IFERROR(LOOKUP(2,1/('Engineer Updates'!$B$5:$B$704=A541),'Engineer Updates'!$G$5:$G$704),""))</x:f>
      </x:c>
      <x:c r="T541" s="172" t="str">
        <x:f>IF(A541="","",IFERROR(LOOKUP(2,1/('Engineer Updates'!$B$5:$B$704=A541),'Engineer Updates'!$I$5:$I$704),""))</x:f>
      </x:c>
      <x:c r="U541" s="172" t="str">
        <x:f>IF(A541="","",IFERROR(LOOKUP(2,1/('Engineer Updates'!$B$5:$B$704=A541),'Engineer Updates'!$J$5:$J$704),""))</x:f>
      </x:c>
      <x:c r="V541" s="172" t="str">
        <x:f>IF(A541="","",IFERROR(LOOKUP(2,1/('Engineer Updates'!$B$5:$B$704=A541),'Engineer Updates'!$K$5:$K$704),""))</x:f>
      </x:c>
      <x:c r="W541" s="174" t="str">
        <x:f>IF(A541="","",IFERROR(LOOKUP(2,1/('Engineer Updates'!$B$5:$B$704=A541),'Engineer Updates'!$L$5:$L$704),""))</x:f>
      </x:c>
      <x:c r="X541" s="170" t="str">
        <x:f>IF(A541="","",IF(C541="completed","Completed in CSSP",IF(AND(C541="executing",ISERROR(SEARCH("@",K541))),"Executing without named engineer",IF(AND(N541="Confirmed OOS",C541="executing"),"Confirmed OOS still executing",""))))</x:f>
      </x:c>
      <x:c r="Y541" s="170" t="str">
        <x:f>IF(A541="","",IF(B541="Decommissioning","Raw Decommissioning","Raw Provisioning"))</x:f>
        <x:v>Raw Provisioning</x:v>
      </x:c>
      <x:c r="Z541" s="170" t="str">
        <x:f>IF(A541="","",IF(OR(C541="executing",C541="processing"),"Yes","No"))</x:f>
        <x:v>No</x:v>
      </x:c>
    </x:row>
    <x:row r="542">
      <x:c r="A542" s="170" t="str">
        <x:f>IF(ROWS($A$5:A542)&lt;=COUNTA('Raw Decommissioning'!$B$2:$B$1000),INDEX('Raw Decommissioning'!$B$2:$B$1000,ROWS($A$5:A542)),IF(ROWS($A$5:A542)-COUNTA('Raw Decommissioning'!$B$2:$B$1000)&lt;=COUNTA('Raw Provisioning'!$B$2:$B$1000),INDEX('Raw Provisioning'!$B$2:$B$1000,ROWS($A$5:A542)-COUNTA('Raw Decommissioning'!$B$2:$B$1000)),""))</x:f>
        <x:v>CSSP10367612</x:v>
      </x:c>
      <x:c r="B542" s="170" t="str">
        <x:f>IF(A542="","",IF(ROWS($A$5:A542)&lt;=COUNTA('Raw Decommissioning'!$B$2:$B$1000),"Decommissioning","Provisioning"))</x:f>
        <x:v>Provisioning</x:v>
      </x:c>
      <x:c r="C542" s="170" t="str">
        <x:f>IF(A542="","",IF(B542="Decommissioning",IFERROR(INDEX('Raw Decommissioning'!$E$2:$E$1000,MATCH(A542,'Raw Decommissioning'!$B$2:$B$1000,0)),"Missing from latest raw"),IFERROR(INDEX('Raw Provisioning'!$E$2:$E$1000,MATCH(A542,'Raw Provisioning'!$B$2:$B$1000,0)),"Missing from latest raw")))</x:f>
        <x:v>rejected</x:v>
      </x:c>
      <x:c r="D542" s="171" t="n">
        <x:f>IF(A542="","",'Refresh Control'!$B$4)</x:f>
        <x:v>46254</x:v>
      </x:c>
      <x:c r="E542" s="171" t="n">
        <x:f>IF(A542="","",IF(B542="Decommissioning",INDEX('Raw Decommissioning'!$F$2:$F$1000,ROWS($A$5:A542)),INDEX('Raw Provisioning'!$F$2:$F$1000,ROWS($A$5:A542)-COUNTA('Raw Decommissioning'!$B$2:$B$1000))))</x:f>
        <x:v>46177.28576237269</x:v>
      </x:c>
      <x:c r="F542" s="171" t="n">
        <x:f>IF(A542="","",IF(B542="Decommissioning",INDEX('Raw Decommissioning'!$G$2:$G$1000,ROWS($A$5:A542)),INDEX('Raw Provisioning'!$H$2:$H$1000,ROWS($A$5:A542)-COUNTA('Raw Decommissioning'!$B$2:$B$1000))))</x:f>
        <x:v>46183.29744427084</x:v>
      </x:c>
      <x:c r="G542" s="170" t="str">
        <x:f>IF(A542="","",IF(B542="Decommissioning",INDEX('Raw Decommissioning'!$I$2:$I$1000,ROWS($A$5:A542)),INDEX('Raw Provisioning'!$J$2:$J$1000,ROWS($A$5:A542)-COUNTA('Raw Decommissioning'!$B$2:$B$1000))))</x:f>
        <x:v>Azure Machine Learning - PRPC</x:v>
      </x:c>
      <x:c r="H542" s="170" t="str">
        <x:f>IF(A542="","",IF(B542="Decommissioning",INDEX('Raw Decommissioning'!$J$2:$J$1000,ROWS($A$5:A542)),INDEX('Raw Provisioning'!$L$2:$L$1000,ROWS($A$5:A542)-COUNTA('Raw Decommissioning'!$B$2:$B$1000))))</x:f>
        <x:v>Run &amp; Maintain Citizen Analytics Use Cases for PRPC</x:v>
      </x:c>
      <x:c r="I542" s="170" t="str">
        <x:f>IF(A542="","",IF(B542="Decommissioning",INDEX('Raw Decommissioning'!$AL$2:$AL$1000,ROWS($A$5:A542)),INDEX('Raw Provisioning'!$R$2:$R$1000,ROWS($A$5:A542)-COUNTA('Raw Decommissioning'!$B$2:$B$1000))))</x:f>
      </x:c>
      <x:c r="J542" s="170" t="str">
        <x:f>IF(A542="","",IF(B542="Decommissioning",INDEX('Raw Decommissioning'!$AG$2:$AG$1000,ROWS($A$5:A542)),INDEX('Raw Provisioning'!$AI$2:$AI$1000,ROWS($A$5:A542)-COUNTA('Raw Decommissioning'!$B$2:$B$1000))))</x:f>
        <x:v>CCoE Core Services (Public)</x:v>
      </x:c>
      <x:c r="K542" s="172" t="str">
        <x:f>IF(A542="","",IFERROR(LOOKUP(2,1/('Assignment History'!$B$5:$B$204=A542),'Assignment History'!$D$5:$D$204),IFERROR(VLOOKUP(J542,Configuration!$L$5:$M$50,2,FALSE),J542)))</x:f>
        <x:v>CCoE Core Services (Public)</x:v>
      </x:c>
      <x:c r="L542" s="172" t="str">
        <x:f>IF(A542="","",IF(K542=IFERROR(VLOOKUP(J542,Configuration!$L$5:$M$50,2,FALSE),J542),"Snapshot PIC","Replacement PIC"))</x:f>
        <x:v>Snapshot PIC</x:v>
      </x:c>
      <x:c r="M542" s="172" t="n">
        <x:f>IF(A542="","",IFERROR(VLOOKUP(I542,Configuration!$O$5:$P$8,2,FALSE),Configuration!$S$6))</x:f>
        <x:v>2</x:v>
      </x:c>
      <x:c r="N542" s="172" t="str">
        <x:f>IF(A542="","",IFERROR(LOOKUP(2,1/('Scope Review'!$B$5:$B$204=A542),'Scope Review'!$G$5:$G$204),"Not Reviewed"))</x:f>
        <x:v>Not Reviewed</x:v>
      </x:c>
      <x:c r="O542" s="172" t="str">
        <x:f>IF(A542="","",IFERROR(LOOKUP(2,1/('Scope Review'!$B$5:$B$204=A542),'Scope Review'!$H$5:$H$204),""))</x:f>
      </x:c>
      <x:c r="P542" s="172" t="n">
        <x:f>IF(A542="","",IF(AND(C542="executing",N542&lt;&gt;"Confirmed OOS"),M542,0))</x:f>
        <x:v>0</x:v>
      </x:c>
      <x:c r="Q542" s="173" t="str">
        <x:f>IF(A542="","",IFERROR(LOOKUP(2,1/('Engineer Updates'!$B$5:$B$704=A542),'Engineer Updates'!$A$5:$A$704),""))</x:f>
      </x:c>
      <x:c r="R542" s="172" t="str">
        <x:f>IF(A542="","",IFERROR(LOOKUP(2,1/('Engineer Updates'!$B$5:$B$704=A542),'Engineer Updates'!$H$5:$H$704),""))</x:f>
      </x:c>
      <x:c r="S542" s="172" t="str">
        <x:f>IF(A542="","",IFERROR(LOOKUP(2,1/('Engineer Updates'!$B$5:$B$704=A542),'Engineer Updates'!$G$5:$G$704),""))</x:f>
      </x:c>
      <x:c r="T542" s="172" t="str">
        <x:f>IF(A542="","",IFERROR(LOOKUP(2,1/('Engineer Updates'!$B$5:$B$704=A542),'Engineer Updates'!$I$5:$I$704),""))</x:f>
      </x:c>
      <x:c r="U542" s="172" t="str">
        <x:f>IF(A542="","",IFERROR(LOOKUP(2,1/('Engineer Updates'!$B$5:$B$704=A542),'Engineer Updates'!$J$5:$J$704),""))</x:f>
      </x:c>
      <x:c r="V542" s="172" t="str">
        <x:f>IF(A542="","",IFERROR(LOOKUP(2,1/('Engineer Updates'!$B$5:$B$704=A542),'Engineer Updates'!$K$5:$K$704),""))</x:f>
      </x:c>
      <x:c r="W542" s="174" t="str">
        <x:f>IF(A542="","",IFERROR(LOOKUP(2,1/('Engineer Updates'!$B$5:$B$704=A542),'Engineer Updates'!$L$5:$L$704),""))</x:f>
      </x:c>
      <x:c r="X542" s="170" t="str">
        <x:f>IF(A542="","",IF(C542="completed","Completed in CSSP",IF(AND(C542="executing",ISERROR(SEARCH("@",K542))),"Executing without named engineer",IF(AND(N542="Confirmed OOS",C542="executing"),"Confirmed OOS still executing",""))))</x:f>
      </x:c>
      <x:c r="Y542" s="170" t="str">
        <x:f>IF(A542="","",IF(B542="Decommissioning","Raw Decommissioning","Raw Provisioning"))</x:f>
        <x:v>Raw Provisioning</x:v>
      </x:c>
      <x:c r="Z542" s="170" t="str">
        <x:f>IF(A542="","",IF(OR(C542="executing",C542="processing"),"Yes","No"))</x:f>
        <x:v>No</x:v>
      </x:c>
    </x:row>
    <x:row r="543">
      <x:c r="A543" s="170" t="str">
        <x:f>IF(ROWS($A$5:A543)&lt;=COUNTA('Raw Decommissioning'!$B$2:$B$1000),INDEX('Raw Decommissioning'!$B$2:$B$1000,ROWS($A$5:A543)),IF(ROWS($A$5:A543)-COUNTA('Raw Decommissioning'!$B$2:$B$1000)&lt;=COUNTA('Raw Provisioning'!$B$2:$B$1000),INDEX('Raw Provisioning'!$B$2:$B$1000,ROWS($A$5:A543)-COUNTA('Raw Decommissioning'!$B$2:$B$1000)),""))</x:f>
        <x:v>CSSP10765617</x:v>
      </x:c>
      <x:c r="B543" s="170" t="str">
        <x:f>IF(A543="","",IF(ROWS($A$5:A543)&lt;=COUNTA('Raw Decommissioning'!$B$2:$B$1000),"Decommissioning","Provisioning"))</x:f>
        <x:v>Provisioning</x:v>
      </x:c>
      <x:c r="C543" s="170" t="str">
        <x:f>IF(A543="","",IF(B543="Decommissioning",IFERROR(INDEX('Raw Decommissioning'!$E$2:$E$1000,MATCH(A543,'Raw Decommissioning'!$B$2:$B$1000,0)),"Missing from latest raw"),IFERROR(INDEX('Raw Provisioning'!$E$2:$E$1000,MATCH(A543,'Raw Provisioning'!$B$2:$B$1000,0)),"Missing from latest raw")))</x:f>
        <x:v>completed</x:v>
      </x:c>
      <x:c r="D543" s="171" t="n">
        <x:f>IF(A543="","",'Refresh Control'!$B$4)</x:f>
        <x:v>46254</x:v>
      </x:c>
      <x:c r="E543" s="171" t="n">
        <x:f>IF(A543="","",IF(B543="Decommissioning",INDEX('Raw Decommissioning'!$F$2:$F$1000,ROWS($A$5:A543)),INDEX('Raw Provisioning'!$F$2:$F$1000,ROWS($A$5:A543)-COUNTA('Raw Decommissioning'!$B$2:$B$1000))))</x:f>
        <x:v>46177.306300034725</x:v>
      </x:c>
      <x:c r="F543" s="171" t="n">
        <x:f>IF(A543="","",IF(B543="Decommissioning",INDEX('Raw Decommissioning'!$G$2:$G$1000,ROWS($A$5:A543)),INDEX('Raw Provisioning'!$H$2:$H$1000,ROWS($A$5:A543)-COUNTA('Raw Decommissioning'!$B$2:$B$1000))))</x:f>
        <x:v>46196.34123990741</x:v>
      </x:c>
      <x:c r="G543" s="170" t="str">
        <x:f>IF(A543="","",IF(B543="Decommissioning",INDEX('Raw Decommissioning'!$I$2:$I$1000,ROWS($A$5:A543)),INDEX('Raw Provisioning'!$J$2:$J$1000,ROWS($A$5:A543)-COUNTA('Raw Decommissioning'!$B$2:$B$1000))))</x:f>
        <x:v>Instruments Asset Management - IAMS for ENIGMA SEARAH</x:v>
      </x:c>
      <x:c r="H543" s="170" t="str">
        <x:f>IF(A543="","",IF(B543="Decommissioning",INDEX('Raw Decommissioning'!$J$2:$J$1000,ROWS($A$5:A543)),INDEX('Raw Provisioning'!$L$2:$L$1000,ROWS($A$5:A543)-COUNTA('Raw Decommissioning'!$B$2:$B$1000))))</x:f>
        <x:v>ENIGMA JV (Production): Implementing New Subscriptions for MacCo_IAMS</x:v>
      </x:c>
      <x:c r="I543" s="170" t="str">
        <x:f>IF(A543="","",IF(B543="Decommissioning",INDEX('Raw Decommissioning'!$AL$2:$AL$1000,ROWS($A$5:A543)),INDEX('Raw Provisioning'!$R$2:$R$1000,ROWS($A$5:A543)-COUNTA('Raw Decommissioning'!$B$2:$B$1000))))</x:f>
        <x:v>S</x:v>
      </x:c>
      <x:c r="J543" s="170" t="str">
        <x:f>IF(A543="","",IF(B543="Decommissioning",INDEX('Raw Decommissioning'!$AG$2:$AG$1000,ROWS($A$5:A543)),INDEX('Raw Provisioning'!$AI$2:$AI$1000,ROWS($A$5:A543)-COUNTA('Raw Decommissioning'!$B$2:$B$1000))))</x:f>
        <x:v>mfirdaus.fadlizam@petronas.com</x:v>
      </x:c>
      <x:c r="K543" s="172" t="str">
        <x:f>IF(A543="","",IFERROR(LOOKUP(2,1/('Assignment History'!$B$5:$B$204=A543),'Assignment History'!$D$5:$D$204),IFERROR(VLOOKUP(J543,Configuration!$L$5:$M$50,2,FALSE),J543)))</x:f>
        <x:v>mfirdaus.fadlizam@petronas.com</x:v>
      </x:c>
      <x:c r="L543" s="172" t="str">
        <x:f>IF(A543="","",IF(K543=IFERROR(VLOOKUP(J543,Configuration!$L$5:$M$50,2,FALSE),J543),"Snapshot PIC","Replacement PIC"))</x:f>
        <x:v>Snapshot PIC</x:v>
      </x:c>
      <x:c r="M543" s="172" t="n">
        <x:f>IF(A543="","",IFERROR(VLOOKUP(I543,Configuration!$O$5:$P$8,2,FALSE),Configuration!$S$6))</x:f>
        <x:v>1</x:v>
      </x:c>
      <x:c r="N543" s="172" t="str">
        <x:f>IF(A543="","",IFERROR(LOOKUP(2,1/('Scope Review'!$B$5:$B$204=A543),'Scope Review'!$G$5:$G$204),"Not Reviewed"))</x:f>
        <x:v>Not Reviewed</x:v>
      </x:c>
      <x:c r="O543" s="172" t="str">
        <x:f>IF(A543="","",IFERROR(LOOKUP(2,1/('Scope Review'!$B$5:$B$204=A543),'Scope Review'!$H$5:$H$204),""))</x:f>
      </x:c>
      <x:c r="P543" s="172" t="n">
        <x:f>IF(A543="","",IF(AND(C543="executing",N543&lt;&gt;"Confirmed OOS"),M543,0))</x:f>
        <x:v>0</x:v>
      </x:c>
      <x:c r="Q543" s="173" t="str">
        <x:f>IF(A543="","",IFERROR(LOOKUP(2,1/('Engineer Updates'!$B$5:$B$704=A543),'Engineer Updates'!$A$5:$A$704),""))</x:f>
      </x:c>
      <x:c r="R543" s="172" t="str">
        <x:f>IF(A543="","",IFERROR(LOOKUP(2,1/('Engineer Updates'!$B$5:$B$704=A543),'Engineer Updates'!$H$5:$H$704),""))</x:f>
      </x:c>
      <x:c r="S543" s="172" t="str">
        <x:f>IF(A543="","",IFERROR(LOOKUP(2,1/('Engineer Updates'!$B$5:$B$704=A543),'Engineer Updates'!$G$5:$G$704),""))</x:f>
      </x:c>
      <x:c r="T543" s="172" t="str">
        <x:f>IF(A543="","",IFERROR(LOOKUP(2,1/('Engineer Updates'!$B$5:$B$704=A543),'Engineer Updates'!$I$5:$I$704),""))</x:f>
      </x:c>
      <x:c r="U543" s="172" t="str">
        <x:f>IF(A543="","",IFERROR(LOOKUP(2,1/('Engineer Updates'!$B$5:$B$704=A543),'Engineer Updates'!$J$5:$J$704),""))</x:f>
      </x:c>
      <x:c r="V543" s="172" t="str">
        <x:f>IF(A543="","",IFERROR(LOOKUP(2,1/('Engineer Updates'!$B$5:$B$704=A543),'Engineer Updates'!$K$5:$K$704),""))</x:f>
      </x:c>
      <x:c r="W543" s="174" t="str">
        <x:f>IF(A543="","",IFERROR(LOOKUP(2,1/('Engineer Updates'!$B$5:$B$704=A543),'Engineer Updates'!$L$5:$L$704),""))</x:f>
      </x:c>
      <x:c r="X543" s="170" t="str">
        <x:f>IF(A543="","",IF(C543="completed","Completed in CSSP",IF(AND(C543="executing",ISERROR(SEARCH("@",K543))),"Executing without named engineer",IF(AND(N543="Confirmed OOS",C543="executing"),"Confirmed OOS still executing",""))))</x:f>
        <x:v>Completed in CSSP</x:v>
      </x:c>
      <x:c r="Y543" s="170" t="str">
        <x:f>IF(A543="","",IF(B543="Decommissioning","Raw Decommissioning","Raw Provisioning"))</x:f>
        <x:v>Raw Provisioning</x:v>
      </x:c>
      <x:c r="Z543" s="170" t="str">
        <x:f>IF(A543="","",IF(OR(C543="executing",C543="processing"),"Yes","No"))</x:f>
        <x:v>No</x:v>
      </x:c>
    </x:row>
    <x:row r="544">
      <x:c r="A544" s="170" t="str">
        <x:f>IF(ROWS($A$5:A544)&lt;=COUNTA('Raw Decommissioning'!$B$2:$B$1000),INDEX('Raw Decommissioning'!$B$2:$B$1000,ROWS($A$5:A544)),IF(ROWS($A$5:A544)-COUNTA('Raw Decommissioning'!$B$2:$B$1000)&lt;=COUNTA('Raw Provisioning'!$B$2:$B$1000),INDEX('Raw Provisioning'!$B$2:$B$1000,ROWS($A$5:A544)-COUNTA('Raw Decommissioning'!$B$2:$B$1000)),""))</x:f>
        <x:v>CSSP10340554</x:v>
      </x:c>
      <x:c r="B544" s="170" t="str">
        <x:f>IF(A544="","",IF(ROWS($A$5:A544)&lt;=COUNTA('Raw Decommissioning'!$B$2:$B$1000),"Decommissioning","Provisioning"))</x:f>
        <x:v>Provisioning</x:v>
      </x:c>
      <x:c r="C544" s="170" t="str">
        <x:f>IF(A544="","",IF(B544="Decommissioning",IFERROR(INDEX('Raw Decommissioning'!$E$2:$E$1000,MATCH(A544,'Raw Decommissioning'!$B$2:$B$1000,0)),"Missing from latest raw"),IFERROR(INDEX('Raw Provisioning'!$E$2:$E$1000,MATCH(A544,'Raw Provisioning'!$B$2:$B$1000,0)),"Missing from latest raw")))</x:f>
        <x:v>completed</x:v>
      </x:c>
      <x:c r="D544" s="171" t="n">
        <x:f>IF(A544="","",'Refresh Control'!$B$4)</x:f>
        <x:v>46254</x:v>
      </x:c>
      <x:c r="E544" s="171" t="n">
        <x:f>IF(A544="","",IF(B544="Decommissioning",INDEX('Raw Decommissioning'!$F$2:$F$1000,ROWS($A$5:A544)),INDEX('Raw Provisioning'!$F$2:$F$1000,ROWS($A$5:A544)-COUNTA('Raw Decommissioning'!$B$2:$B$1000))))</x:f>
        <x:v>46177.36093238426</x:v>
      </x:c>
      <x:c r="F544" s="171" t="n">
        <x:f>IF(A544="","",IF(B544="Decommissioning",INDEX('Raw Decommissioning'!$G$2:$G$1000,ROWS($A$5:A544)),INDEX('Raw Provisioning'!$H$2:$H$1000,ROWS($A$5:A544)-COUNTA('Raw Decommissioning'!$B$2:$B$1000))))</x:f>
        <x:v>46196.167311875</x:v>
      </x:c>
      <x:c r="G544" s="170" t="str">
        <x:f>IF(A544="","",IF(B544="Decommissioning",INDEX('Raw Decommissioning'!$I$2:$I$1000,ROWS($A$5:A544)),INDEX('Raw Provisioning'!$J$2:$J$1000,ROWS($A$5:A544)-COUNTA('Raw Decommissioning'!$B$2:$B$1000))))</x:f>
        <x:v>System 1 for ENIGMA SEARAH</x:v>
      </x:c>
      <x:c r="H544" s="170" t="str">
        <x:f>IF(A544="","",IF(B544="Decommissioning",INDEX('Raw Decommissioning'!$J$2:$J$1000,ROWS($A$5:A544)),INDEX('Raw Provisioning'!$L$2:$L$1000,ROWS($A$5:A544)-COUNTA('Raw Decommissioning'!$B$2:$B$1000))))</x:f>
        <x:v>ENIGMA JV (Production): Implementing New Subscriptions for MacCo_System1</x:v>
      </x:c>
      <x:c r="I544" s="170" t="str">
        <x:f>IF(A544="","",IF(B544="Decommissioning",INDEX('Raw Decommissioning'!$AL$2:$AL$1000,ROWS($A$5:A544)),INDEX('Raw Provisioning'!$R$2:$R$1000,ROWS($A$5:A544)-COUNTA('Raw Decommissioning'!$B$2:$B$1000))))</x:f>
        <x:v>S</x:v>
      </x:c>
      <x:c r="J544" s="170" t="str">
        <x:f>IF(A544="","",IF(B544="Decommissioning",INDEX('Raw Decommissioning'!$AG$2:$AG$1000,ROWS($A$5:A544)),INDEX('Raw Provisioning'!$AI$2:$AI$1000,ROWS($A$5:A544)-COUNTA('Raw Decommissioning'!$B$2:$B$1000))))</x:f>
        <x:v>afnanfarhan.dzaharud@petronas.com</x:v>
      </x:c>
      <x:c r="K544" s="172" t="str">
        <x:f>IF(A544="","",IFERROR(LOOKUP(2,1/('Assignment History'!$B$5:$B$204=A544),'Assignment History'!$D$5:$D$204),IFERROR(VLOOKUP(J544,Configuration!$L$5:$M$50,2,FALSE),J544)))</x:f>
        <x:v>afnanfarhan.dzaharud@petronas.com</x:v>
      </x:c>
      <x:c r="L544" s="172" t="str">
        <x:f>IF(A544="","",IF(K544=IFERROR(VLOOKUP(J544,Configuration!$L$5:$M$50,2,FALSE),J544),"Snapshot PIC","Replacement PIC"))</x:f>
        <x:v>Snapshot PIC</x:v>
      </x:c>
      <x:c r="M544" s="172" t="n">
        <x:f>IF(A544="","",IFERROR(VLOOKUP(I544,Configuration!$O$5:$P$8,2,FALSE),Configuration!$S$6))</x:f>
        <x:v>1</x:v>
      </x:c>
      <x:c r="N544" s="172" t="str">
        <x:f>IF(A544="","",IFERROR(LOOKUP(2,1/('Scope Review'!$B$5:$B$204=A544),'Scope Review'!$G$5:$G$204),"Not Reviewed"))</x:f>
        <x:v>Not Reviewed</x:v>
      </x:c>
      <x:c r="O544" s="172" t="str">
        <x:f>IF(A544="","",IFERROR(LOOKUP(2,1/('Scope Review'!$B$5:$B$204=A544),'Scope Review'!$H$5:$H$204),""))</x:f>
      </x:c>
      <x:c r="P544" s="172" t="n">
        <x:f>IF(A544="","",IF(AND(C544="executing",N544&lt;&gt;"Confirmed OOS"),M544,0))</x:f>
        <x:v>0</x:v>
      </x:c>
      <x:c r="Q544" s="173" t="str">
        <x:f>IF(A544="","",IFERROR(LOOKUP(2,1/('Engineer Updates'!$B$5:$B$704=A544),'Engineer Updates'!$A$5:$A$704),""))</x:f>
      </x:c>
      <x:c r="R544" s="172" t="str">
        <x:f>IF(A544="","",IFERROR(LOOKUP(2,1/('Engineer Updates'!$B$5:$B$704=A544),'Engineer Updates'!$H$5:$H$704),""))</x:f>
      </x:c>
      <x:c r="S544" s="172" t="str">
        <x:f>IF(A544="","",IFERROR(LOOKUP(2,1/('Engineer Updates'!$B$5:$B$704=A544),'Engineer Updates'!$G$5:$G$704),""))</x:f>
      </x:c>
      <x:c r="T544" s="172" t="str">
        <x:f>IF(A544="","",IFERROR(LOOKUP(2,1/('Engineer Updates'!$B$5:$B$704=A544),'Engineer Updates'!$I$5:$I$704),""))</x:f>
      </x:c>
      <x:c r="U544" s="172" t="str">
        <x:f>IF(A544="","",IFERROR(LOOKUP(2,1/('Engineer Updates'!$B$5:$B$704=A544),'Engineer Updates'!$J$5:$J$704),""))</x:f>
      </x:c>
      <x:c r="V544" s="172" t="str">
        <x:f>IF(A544="","",IFERROR(LOOKUP(2,1/('Engineer Updates'!$B$5:$B$704=A544),'Engineer Updates'!$K$5:$K$704),""))</x:f>
      </x:c>
      <x:c r="W544" s="174" t="str">
        <x:f>IF(A544="","",IFERROR(LOOKUP(2,1/('Engineer Updates'!$B$5:$B$704=A544),'Engineer Updates'!$L$5:$L$704),""))</x:f>
      </x:c>
      <x:c r="X544" s="170" t="str">
        <x:f>IF(A544="","",IF(C544="completed","Completed in CSSP",IF(AND(C544="executing",ISERROR(SEARCH("@",K544))),"Executing without named engineer",IF(AND(N544="Confirmed OOS",C544="executing"),"Confirmed OOS still executing",""))))</x:f>
        <x:v>Completed in CSSP</x:v>
      </x:c>
      <x:c r="Y544" s="170" t="str">
        <x:f>IF(A544="","",IF(B544="Decommissioning","Raw Decommissioning","Raw Provisioning"))</x:f>
        <x:v>Raw Provisioning</x:v>
      </x:c>
      <x:c r="Z544" s="170" t="str">
        <x:f>IF(A544="","",IF(OR(C544="executing",C544="processing"),"Yes","No"))</x:f>
        <x:v>No</x:v>
      </x:c>
    </x:row>
    <x:row r="545">
      <x:c r="A545" s="170" t="str">
        <x:f>IF(ROWS($A$5:A545)&lt;=COUNTA('Raw Decommissioning'!$B$2:$B$1000),INDEX('Raw Decommissioning'!$B$2:$B$1000,ROWS($A$5:A545)),IF(ROWS($A$5:A545)-COUNTA('Raw Decommissioning'!$B$2:$B$1000)&lt;=COUNTA('Raw Provisioning'!$B$2:$B$1000),INDEX('Raw Provisioning'!$B$2:$B$1000,ROWS($A$5:A545)-COUNTA('Raw Decommissioning'!$B$2:$B$1000)),""))</x:f>
        <x:v>CSSP10132938</x:v>
      </x:c>
      <x:c r="B545" s="170" t="str">
        <x:f>IF(A545="","",IF(ROWS($A$5:A545)&lt;=COUNTA('Raw Decommissioning'!$B$2:$B$1000),"Decommissioning","Provisioning"))</x:f>
        <x:v>Provisioning</x:v>
      </x:c>
      <x:c r="C545" s="170" t="str">
        <x:f>IF(A545="","",IF(B545="Decommissioning",IFERROR(INDEX('Raw Decommissioning'!$E$2:$E$1000,MATCH(A545,'Raw Decommissioning'!$B$2:$B$1000,0)),"Missing from latest raw"),IFERROR(INDEX('Raw Provisioning'!$E$2:$E$1000,MATCH(A545,'Raw Provisioning'!$B$2:$B$1000,0)),"Missing from latest raw")))</x:f>
        <x:v>completed</x:v>
      </x:c>
      <x:c r="D545" s="171" t="n">
        <x:f>IF(A545="","",'Refresh Control'!$B$4)</x:f>
        <x:v>46254</x:v>
      </x:c>
      <x:c r="E545" s="171" t="n">
        <x:f>IF(A545="","",IF(B545="Decommissioning",INDEX('Raw Decommissioning'!$F$2:$F$1000,ROWS($A$5:A545)),INDEX('Raw Provisioning'!$F$2:$F$1000,ROWS($A$5:A545)-COUNTA('Raw Decommissioning'!$B$2:$B$1000))))</x:f>
        <x:v>46177.36156622685</x:v>
      </x:c>
      <x:c r="F545" s="171" t="n">
        <x:f>IF(A545="","",IF(B545="Decommissioning",INDEX('Raw Decommissioning'!$G$2:$G$1000,ROWS($A$5:A545)),INDEX('Raw Provisioning'!$H$2:$H$1000,ROWS($A$5:A545)-COUNTA('Raw Decommissioning'!$B$2:$B$1000))))</x:f>
        <x:v>46196.340316828704</x:v>
      </x:c>
      <x:c r="G545" s="170" t="str">
        <x:f>IF(A545="","",IF(B545="Decommissioning",INDEX('Raw Decommissioning'!$I$2:$I$1000,ROWS($A$5:A545)),INDEX('Raw Provisioning'!$J$2:$J$1000,ROWS($A$5:A545)-COUNTA('Raw Decommissioning'!$B$2:$B$1000))))</x:f>
        <x:v>Predictive Revitalization of Instrumentation to Maximize Efficiency - PRIME for ENIGMA SEARAH</x:v>
      </x:c>
      <x:c r="H545" s="170" t="str">
        <x:f>IF(A545="","",IF(B545="Decommissioning",INDEX('Raw Decommissioning'!$J$2:$J$1000,ROWS($A$5:A545)),INDEX('Raw Provisioning'!$L$2:$L$1000,ROWS($A$5:A545)-COUNTA('Raw Decommissioning'!$B$2:$B$1000))))</x:f>
        <x:v>ENIGMA JV (Production): Implementing New Subscriptions for MacCo_PRIME</x:v>
      </x:c>
      <x:c r="I545" s="170" t="str">
        <x:f>IF(A545="","",IF(B545="Decommissioning",INDEX('Raw Decommissioning'!$AL$2:$AL$1000,ROWS($A$5:A545)),INDEX('Raw Provisioning'!$R$2:$R$1000,ROWS($A$5:A545)-COUNTA('Raw Decommissioning'!$B$2:$B$1000))))</x:f>
        <x:v>M</x:v>
      </x:c>
      <x:c r="J545" s="170" t="str">
        <x:f>IF(A545="","",IF(B545="Decommissioning",INDEX('Raw Decommissioning'!$AG$2:$AG$1000,ROWS($A$5:A545)),INDEX('Raw Provisioning'!$AI$2:$AI$1000,ROWS($A$5:A545)-COUNTA('Raw Decommissioning'!$B$2:$B$1000))))</x:f>
        <x:v>mfirdaus.fadlizam@petronas.com</x:v>
      </x:c>
      <x:c r="K545" s="172" t="str">
        <x:f>IF(A545="","",IFERROR(LOOKUP(2,1/('Assignment History'!$B$5:$B$204=A545),'Assignment History'!$D$5:$D$204),IFERROR(VLOOKUP(J545,Configuration!$L$5:$M$50,2,FALSE),J545)))</x:f>
        <x:v>mfirdaus.fadlizam@petronas.com</x:v>
      </x:c>
      <x:c r="L545" s="172" t="str">
        <x:f>IF(A545="","",IF(K545=IFERROR(VLOOKUP(J545,Configuration!$L$5:$M$50,2,FALSE),J545),"Snapshot PIC","Replacement PIC"))</x:f>
        <x:v>Snapshot PIC</x:v>
      </x:c>
      <x:c r="M545" s="172" t="n">
        <x:f>IF(A545="","",IFERROR(VLOOKUP(I545,Configuration!$O$5:$P$8,2,FALSE),Configuration!$S$6))</x:f>
        <x:v>2</x:v>
      </x:c>
      <x:c r="N545" s="172" t="str">
        <x:f>IF(A545="","",IFERROR(LOOKUP(2,1/('Scope Review'!$B$5:$B$204=A545),'Scope Review'!$G$5:$G$204),"Not Reviewed"))</x:f>
        <x:v>Not Reviewed</x:v>
      </x:c>
      <x:c r="O545" s="172" t="str">
        <x:f>IF(A545="","",IFERROR(LOOKUP(2,1/('Scope Review'!$B$5:$B$204=A545),'Scope Review'!$H$5:$H$204),""))</x:f>
      </x:c>
      <x:c r="P545" s="172" t="n">
        <x:f>IF(A545="","",IF(AND(C545="executing",N545&lt;&gt;"Confirmed OOS"),M545,0))</x:f>
        <x:v>0</x:v>
      </x:c>
      <x:c r="Q545" s="173" t="str">
        <x:f>IF(A545="","",IFERROR(LOOKUP(2,1/('Engineer Updates'!$B$5:$B$704=A545),'Engineer Updates'!$A$5:$A$704),""))</x:f>
      </x:c>
      <x:c r="R545" s="172" t="str">
        <x:f>IF(A545="","",IFERROR(LOOKUP(2,1/('Engineer Updates'!$B$5:$B$704=A545),'Engineer Updates'!$H$5:$H$704),""))</x:f>
      </x:c>
      <x:c r="S545" s="172" t="str">
        <x:f>IF(A545="","",IFERROR(LOOKUP(2,1/('Engineer Updates'!$B$5:$B$704=A545),'Engineer Updates'!$G$5:$G$704),""))</x:f>
      </x:c>
      <x:c r="T545" s="172" t="str">
        <x:f>IF(A545="","",IFERROR(LOOKUP(2,1/('Engineer Updates'!$B$5:$B$704=A545),'Engineer Updates'!$I$5:$I$704),""))</x:f>
      </x:c>
      <x:c r="U545" s="172" t="str">
        <x:f>IF(A545="","",IFERROR(LOOKUP(2,1/('Engineer Updates'!$B$5:$B$704=A545),'Engineer Updates'!$J$5:$J$704),""))</x:f>
      </x:c>
      <x:c r="V545" s="172" t="str">
        <x:f>IF(A545="","",IFERROR(LOOKUP(2,1/('Engineer Updates'!$B$5:$B$704=A545),'Engineer Updates'!$K$5:$K$704),""))</x:f>
      </x:c>
      <x:c r="W545" s="174" t="str">
        <x:f>IF(A545="","",IFERROR(LOOKUP(2,1/('Engineer Updates'!$B$5:$B$704=A545),'Engineer Updates'!$L$5:$L$704),""))</x:f>
      </x:c>
      <x:c r="X545" s="170" t="str">
        <x:f>IF(A545="","",IF(C545="completed","Completed in CSSP",IF(AND(C545="executing",ISERROR(SEARCH("@",K545))),"Executing without named engineer",IF(AND(N545="Confirmed OOS",C545="executing"),"Confirmed OOS still executing",""))))</x:f>
        <x:v>Completed in CSSP</x:v>
      </x:c>
      <x:c r="Y545" s="170" t="str">
        <x:f>IF(A545="","",IF(B545="Decommissioning","Raw Decommissioning","Raw Provisioning"))</x:f>
        <x:v>Raw Provisioning</x:v>
      </x:c>
      <x:c r="Z545" s="170" t="str">
        <x:f>IF(A545="","",IF(OR(C545="executing",C545="processing"),"Yes","No"))</x:f>
        <x:v>No</x:v>
      </x:c>
    </x:row>
    <x:row r="546">
      <x:c r="A546" s="170" t="str">
        <x:f>IF(ROWS($A$5:A546)&lt;=COUNTA('Raw Decommissioning'!$B$2:$B$1000),INDEX('Raw Decommissioning'!$B$2:$B$1000,ROWS($A$5:A546)),IF(ROWS($A$5:A546)-COUNTA('Raw Decommissioning'!$B$2:$B$1000)&lt;=COUNTA('Raw Provisioning'!$B$2:$B$1000),INDEX('Raw Provisioning'!$B$2:$B$1000,ROWS($A$5:A546)-COUNTA('Raw Decommissioning'!$B$2:$B$1000)),""))</x:f>
        <x:v>CSSP10867439</x:v>
      </x:c>
      <x:c r="B546" s="170" t="str">
        <x:f>IF(A546="","",IF(ROWS($A$5:A546)&lt;=COUNTA('Raw Decommissioning'!$B$2:$B$1000),"Decommissioning","Provisioning"))</x:f>
        <x:v>Provisioning</x:v>
      </x:c>
      <x:c r="C546" s="170" t="str">
        <x:f>IF(A546="","",IF(B546="Decommissioning",IFERROR(INDEX('Raw Decommissioning'!$E$2:$E$1000,MATCH(A546,'Raw Decommissioning'!$B$2:$B$1000,0)),"Missing from latest raw"),IFERROR(INDEX('Raw Provisioning'!$E$2:$E$1000,MATCH(A546,'Raw Provisioning'!$B$2:$B$1000,0)),"Missing from latest raw")))</x:f>
        <x:v>completed</x:v>
      </x:c>
      <x:c r="D546" s="171" t="n">
        <x:f>IF(A546="","",'Refresh Control'!$B$4)</x:f>
        <x:v>46254</x:v>
      </x:c>
      <x:c r="E546" s="171" t="n">
        <x:f>IF(A546="","",IF(B546="Decommissioning",INDEX('Raw Decommissioning'!$F$2:$F$1000,ROWS($A$5:A546)),INDEX('Raw Provisioning'!$F$2:$F$1000,ROWS($A$5:A546)-COUNTA('Raw Decommissioning'!$B$2:$B$1000))))</x:f>
        <x:v>46177.406961203706</x:v>
      </x:c>
      <x:c r="F546" s="171" t="n">
        <x:f>IF(A546="","",IF(B546="Decommissioning",INDEX('Raw Decommissioning'!$G$2:$G$1000,ROWS($A$5:A546)),INDEX('Raw Provisioning'!$H$2:$H$1000,ROWS($A$5:A546)-COUNTA('Raw Decommissioning'!$B$2:$B$1000))))</x:f>
        <x:v>46196.341319328705</x:v>
      </x:c>
      <x:c r="G546" s="170" t="str">
        <x:f>IF(A546="","",IF(B546="Decommissioning",INDEX('Raw Decommissioning'!$I$2:$I$1000,ROWS($A$5:A546)),INDEX('Raw Provisioning'!$J$2:$J$1000,ROWS($A$5:A546)-COUNTA('Raw Decommissioning'!$B$2:$B$1000))))</x:f>
        <x:v>Enterprise Document Management System - Power BI for ENIGMA SEARAH</x:v>
      </x:c>
      <x:c r="H546" s="170" t="str">
        <x:f>IF(A546="","",IF(B546="Decommissioning",INDEX('Raw Decommissioning'!$J$2:$J$1000,ROWS($A$5:A546)),INDEX('Raw Provisioning'!$L$2:$L$1000,ROWS($A$5:A546)-COUNTA('Raw Decommissioning'!$B$2:$B$1000))))</x:f>
        <x:v>ENIGMA JV: Enterprise-Document Management (PowerBI) for MacCo</x:v>
      </x:c>
      <x:c r="I546" s="170" t="str">
        <x:f>IF(A546="","",IF(B546="Decommissioning",INDEX('Raw Decommissioning'!$AL$2:$AL$1000,ROWS($A$5:A546)),INDEX('Raw Provisioning'!$R$2:$R$1000,ROWS($A$5:A546)-COUNTA('Raw Decommissioning'!$B$2:$B$1000))))</x:f>
        <x:v>M</x:v>
      </x:c>
      <x:c r="J546" s="170" t="str">
        <x:f>IF(A546="","",IF(B546="Decommissioning",INDEX('Raw Decommissioning'!$AG$2:$AG$1000,ROWS($A$5:A546)),INDEX('Raw Provisioning'!$AI$2:$AI$1000,ROWS($A$5:A546)-COUNTA('Raw Decommissioning'!$B$2:$B$1000))))</x:f>
        <x:v>mfirdaus.fadlizam@petronas.com</x:v>
      </x:c>
      <x:c r="K546" s="172" t="str">
        <x:f>IF(A546="","",IFERROR(LOOKUP(2,1/('Assignment History'!$B$5:$B$204=A546),'Assignment History'!$D$5:$D$204),IFERROR(VLOOKUP(J546,Configuration!$L$5:$M$50,2,FALSE),J546)))</x:f>
        <x:v>mfirdaus.fadlizam@petronas.com</x:v>
      </x:c>
      <x:c r="L546" s="172" t="str">
        <x:f>IF(A546="","",IF(K546=IFERROR(VLOOKUP(J546,Configuration!$L$5:$M$50,2,FALSE),J546),"Snapshot PIC","Replacement PIC"))</x:f>
        <x:v>Snapshot PIC</x:v>
      </x:c>
      <x:c r="M546" s="172" t="n">
        <x:f>IF(A546="","",IFERROR(VLOOKUP(I546,Configuration!$O$5:$P$8,2,FALSE),Configuration!$S$6))</x:f>
        <x:v>2</x:v>
      </x:c>
      <x:c r="N546" s="172" t="str">
        <x:f>IF(A546="","",IFERROR(LOOKUP(2,1/('Scope Review'!$B$5:$B$204=A546),'Scope Review'!$G$5:$G$204),"Not Reviewed"))</x:f>
        <x:v>Not Reviewed</x:v>
      </x:c>
      <x:c r="O546" s="172" t="str">
        <x:f>IF(A546="","",IFERROR(LOOKUP(2,1/('Scope Review'!$B$5:$B$204=A546),'Scope Review'!$H$5:$H$204),""))</x:f>
      </x:c>
      <x:c r="P546" s="172" t="n">
        <x:f>IF(A546="","",IF(AND(C546="executing",N546&lt;&gt;"Confirmed OOS"),M546,0))</x:f>
        <x:v>0</x:v>
      </x:c>
      <x:c r="Q546" s="173" t="str">
        <x:f>IF(A546="","",IFERROR(LOOKUP(2,1/('Engineer Updates'!$B$5:$B$704=A546),'Engineer Updates'!$A$5:$A$704),""))</x:f>
      </x:c>
      <x:c r="R546" s="172" t="str">
        <x:f>IF(A546="","",IFERROR(LOOKUP(2,1/('Engineer Updates'!$B$5:$B$704=A546),'Engineer Updates'!$H$5:$H$704),""))</x:f>
      </x:c>
      <x:c r="S546" s="172" t="str">
        <x:f>IF(A546="","",IFERROR(LOOKUP(2,1/('Engineer Updates'!$B$5:$B$704=A546),'Engineer Updates'!$G$5:$G$704),""))</x:f>
      </x:c>
      <x:c r="T546" s="172" t="str">
        <x:f>IF(A546="","",IFERROR(LOOKUP(2,1/('Engineer Updates'!$B$5:$B$704=A546),'Engineer Updates'!$I$5:$I$704),""))</x:f>
      </x:c>
      <x:c r="U546" s="172" t="str">
        <x:f>IF(A546="","",IFERROR(LOOKUP(2,1/('Engineer Updates'!$B$5:$B$704=A546),'Engineer Updates'!$J$5:$J$704),""))</x:f>
      </x:c>
      <x:c r="V546" s="172" t="str">
        <x:f>IF(A546="","",IFERROR(LOOKUP(2,1/('Engineer Updates'!$B$5:$B$704=A546),'Engineer Updates'!$K$5:$K$704),""))</x:f>
      </x:c>
      <x:c r="W546" s="174" t="str">
        <x:f>IF(A546="","",IFERROR(LOOKUP(2,1/('Engineer Updates'!$B$5:$B$704=A546),'Engineer Updates'!$L$5:$L$704),""))</x:f>
      </x:c>
      <x:c r="X546" s="170" t="str">
        <x:f>IF(A546="","",IF(C546="completed","Completed in CSSP",IF(AND(C546="executing",ISERROR(SEARCH("@",K546))),"Executing without named engineer",IF(AND(N546="Confirmed OOS",C546="executing"),"Confirmed OOS still executing",""))))</x:f>
        <x:v>Completed in CSSP</x:v>
      </x:c>
      <x:c r="Y546" s="170" t="str">
        <x:f>IF(A546="","",IF(B546="Decommissioning","Raw Decommissioning","Raw Provisioning"))</x:f>
        <x:v>Raw Provisioning</x:v>
      </x:c>
      <x:c r="Z546" s="170" t="str">
        <x:f>IF(A546="","",IF(OR(C546="executing",C546="processing"),"Yes","No"))</x:f>
        <x:v>No</x:v>
      </x:c>
    </x:row>
    <x:row r="547">
      <x:c r="A547" s="170" t="str">
        <x:f>IF(ROWS($A$5:A547)&lt;=COUNTA('Raw Decommissioning'!$B$2:$B$1000),INDEX('Raw Decommissioning'!$B$2:$B$1000,ROWS($A$5:A547)),IF(ROWS($A$5:A547)-COUNTA('Raw Decommissioning'!$B$2:$B$1000)&lt;=COUNTA('Raw Provisioning'!$B$2:$B$1000),INDEX('Raw Provisioning'!$B$2:$B$1000,ROWS($A$5:A547)-COUNTA('Raw Decommissioning'!$B$2:$B$1000)),""))</x:f>
        <x:v>CSSP10533757</x:v>
      </x:c>
      <x:c r="B547" s="170" t="str">
        <x:f>IF(A547="","",IF(ROWS($A$5:A547)&lt;=COUNTA('Raw Decommissioning'!$B$2:$B$1000),"Decommissioning","Provisioning"))</x:f>
        <x:v>Provisioning</x:v>
      </x:c>
      <x:c r="C547" s="170" t="str">
        <x:f>IF(A547="","",IF(B547="Decommissioning",IFERROR(INDEX('Raw Decommissioning'!$E$2:$E$1000,MATCH(A547,'Raw Decommissioning'!$B$2:$B$1000,0)),"Missing from latest raw"),IFERROR(INDEX('Raw Provisioning'!$E$2:$E$1000,MATCH(A547,'Raw Provisioning'!$B$2:$B$1000,0)),"Missing from latest raw")))</x:f>
        <x:v>completed</x:v>
      </x:c>
      <x:c r="D547" s="171" t="n">
        <x:f>IF(A547="","",'Refresh Control'!$B$4)</x:f>
        <x:v>46254</x:v>
      </x:c>
      <x:c r="E547" s="171" t="n">
        <x:f>IF(A547="","",IF(B547="Decommissioning",INDEX('Raw Decommissioning'!$F$2:$F$1000,ROWS($A$5:A547)),INDEX('Raw Provisioning'!$F$2:$F$1000,ROWS($A$5:A547)-COUNTA('Raw Decommissioning'!$B$2:$B$1000))))</x:f>
        <x:v>46178.05528262731</x:v>
      </x:c>
      <x:c r="F547" s="171" t="n">
        <x:f>IF(A547="","",IF(B547="Decommissioning",INDEX('Raw Decommissioning'!$G$2:$G$1000,ROWS($A$5:A547)),INDEX('Raw Provisioning'!$H$2:$H$1000,ROWS($A$5:A547)-COUNTA('Raw Decommissioning'!$B$2:$B$1000))))</x:f>
        <x:v>46189.10373012732</x:v>
      </x:c>
      <x:c r="G547" s="170" t="str">
        <x:f>IF(A547="","",IF(B547="Decommissioning",INDEX('Raw Decommissioning'!$I$2:$I$1000,ROWS($A$5:A547)),INDEX('Raw Provisioning'!$J$2:$J$1000,ROWS($A$5:A547)-COUNTA('Raw Decommissioning'!$B$2:$B$1000))))</x:f>
        <x:v>Aveva</x:v>
      </x:c>
      <x:c r="H547" s="170" t="str">
        <x:f>IF(A547="","",IF(B547="Decommissioning",INDEX('Raw Decommissioning'!$J$2:$J$1000,ROWS($A$5:A547)),INDEX('Raw Provisioning'!$L$2:$L$1000,ROWS($A$5:A547)-COUNTA('Raw Decommissioning'!$B$2:$B$1000))))</x:f>
        <x:v>Cloud Migration Program - Aveva</x:v>
      </x:c>
      <x:c r="I547" s="170" t="str">
        <x:f>IF(A547="","",IF(B547="Decommissioning",INDEX('Raw Decommissioning'!$AL$2:$AL$1000,ROWS($A$5:A547)),INDEX('Raw Provisioning'!$R$2:$R$1000,ROWS($A$5:A547)-COUNTA('Raw Decommissioning'!$B$2:$B$1000))))</x:f>
        <x:v>M</x:v>
      </x:c>
      <x:c r="J547" s="170" t="str">
        <x:f>IF(A547="","",IF(B547="Decommissioning",INDEX('Raw Decommissioning'!$AG$2:$AG$1000,ROWS($A$5:A547)),INDEX('Raw Provisioning'!$AI$2:$AI$1000,ROWS($A$5:A547)-COUNTA('Raw Decommissioning'!$B$2:$B$1000))))</x:f>
        <x:v>azhan.shazeli@petronas.com</x:v>
      </x:c>
      <x:c r="K547" s="172" t="str">
        <x:f>IF(A547="","",IFERROR(LOOKUP(2,1/('Assignment History'!$B$5:$B$204=A547),'Assignment History'!$D$5:$D$204),IFERROR(VLOOKUP(J547,Configuration!$L$5:$M$50,2,FALSE),J547)))</x:f>
        <x:v>azhan.shazeli@petronas.com</x:v>
      </x:c>
      <x:c r="L547" s="172" t="str">
        <x:f>IF(A547="","",IF(K547=IFERROR(VLOOKUP(J547,Configuration!$L$5:$M$50,2,FALSE),J547),"Snapshot PIC","Replacement PIC"))</x:f>
        <x:v>Snapshot PIC</x:v>
      </x:c>
      <x:c r="M547" s="172" t="n">
        <x:f>IF(A547="","",IFERROR(VLOOKUP(I547,Configuration!$O$5:$P$8,2,FALSE),Configuration!$S$6))</x:f>
        <x:v>2</x:v>
      </x:c>
      <x:c r="N547" s="172" t="str">
        <x:f>IF(A547="","",IFERROR(LOOKUP(2,1/('Scope Review'!$B$5:$B$204=A547),'Scope Review'!$G$5:$G$204),"Not Reviewed"))</x:f>
        <x:v>Not Reviewed</x:v>
      </x:c>
      <x:c r="O547" s="172" t="str">
        <x:f>IF(A547="","",IFERROR(LOOKUP(2,1/('Scope Review'!$B$5:$B$204=A547),'Scope Review'!$H$5:$H$204),""))</x:f>
      </x:c>
      <x:c r="P547" s="172" t="n">
        <x:f>IF(A547="","",IF(AND(C547="executing",N547&lt;&gt;"Confirmed OOS"),M547,0))</x:f>
        <x:v>0</x:v>
      </x:c>
      <x:c r="Q547" s="173" t="str">
        <x:f>IF(A547="","",IFERROR(LOOKUP(2,1/('Engineer Updates'!$B$5:$B$704=A547),'Engineer Updates'!$A$5:$A$704),""))</x:f>
      </x:c>
      <x:c r="R547" s="172" t="str">
        <x:f>IF(A547="","",IFERROR(LOOKUP(2,1/('Engineer Updates'!$B$5:$B$704=A547),'Engineer Updates'!$H$5:$H$704),""))</x:f>
      </x:c>
      <x:c r="S547" s="172" t="str">
        <x:f>IF(A547="","",IFERROR(LOOKUP(2,1/('Engineer Updates'!$B$5:$B$704=A547),'Engineer Updates'!$G$5:$G$704),""))</x:f>
      </x:c>
      <x:c r="T547" s="172" t="str">
        <x:f>IF(A547="","",IFERROR(LOOKUP(2,1/('Engineer Updates'!$B$5:$B$704=A547),'Engineer Updates'!$I$5:$I$704),""))</x:f>
      </x:c>
      <x:c r="U547" s="172" t="str">
        <x:f>IF(A547="","",IFERROR(LOOKUP(2,1/('Engineer Updates'!$B$5:$B$704=A547),'Engineer Updates'!$J$5:$J$704),""))</x:f>
      </x:c>
      <x:c r="V547" s="172" t="str">
        <x:f>IF(A547="","",IFERROR(LOOKUP(2,1/('Engineer Updates'!$B$5:$B$704=A547),'Engineer Updates'!$K$5:$K$704),""))</x:f>
      </x:c>
      <x:c r="W547" s="174" t="str">
        <x:f>IF(A547="","",IFERROR(LOOKUP(2,1/('Engineer Updates'!$B$5:$B$704=A547),'Engineer Updates'!$L$5:$L$704),""))</x:f>
      </x:c>
      <x:c r="X547" s="170" t="str">
        <x:f>IF(A547="","",IF(C547="completed","Completed in CSSP",IF(AND(C547="executing",ISERROR(SEARCH("@",K547))),"Executing without named engineer",IF(AND(N547="Confirmed OOS",C547="executing"),"Confirmed OOS still executing",""))))</x:f>
        <x:v>Completed in CSSP</x:v>
      </x:c>
      <x:c r="Y547" s="170" t="str">
        <x:f>IF(A547="","",IF(B547="Decommissioning","Raw Decommissioning","Raw Provisioning"))</x:f>
        <x:v>Raw Provisioning</x:v>
      </x:c>
      <x:c r="Z547" s="170" t="str">
        <x:f>IF(A547="","",IF(OR(C547="executing",C547="processing"),"Yes","No"))</x:f>
        <x:v>No</x:v>
      </x:c>
    </x:row>
    <x:row r="548">
      <x:c r="A548" s="170" t="str">
        <x:f>IF(ROWS($A$5:A548)&lt;=COUNTA('Raw Decommissioning'!$B$2:$B$1000),INDEX('Raw Decommissioning'!$B$2:$B$1000,ROWS($A$5:A548)),IF(ROWS($A$5:A548)-COUNTA('Raw Decommissioning'!$B$2:$B$1000)&lt;=COUNTA('Raw Provisioning'!$B$2:$B$1000),INDEX('Raw Provisioning'!$B$2:$B$1000,ROWS($A$5:A548)-COUNTA('Raw Decommissioning'!$B$2:$B$1000)),""))</x:f>
        <x:v>CSSP10881379</x:v>
      </x:c>
      <x:c r="B548" s="170" t="str">
        <x:f>IF(A548="","",IF(ROWS($A$5:A548)&lt;=COUNTA('Raw Decommissioning'!$B$2:$B$1000),"Decommissioning","Provisioning"))</x:f>
        <x:v>Provisioning</x:v>
      </x:c>
      <x:c r="C548" s="170" t="str">
        <x:f>IF(A548="","",IF(B548="Decommissioning",IFERROR(INDEX('Raw Decommissioning'!$E$2:$E$1000,MATCH(A548,'Raw Decommissioning'!$B$2:$B$1000,0)),"Missing from latest raw"),IFERROR(INDEX('Raw Provisioning'!$E$2:$E$1000,MATCH(A548,'Raw Provisioning'!$B$2:$B$1000,0)),"Missing from latest raw")))</x:f>
        <x:v>completed</x:v>
      </x:c>
      <x:c r="D548" s="171" t="n">
        <x:f>IF(A548="","",'Refresh Control'!$B$4)</x:f>
        <x:v>46254</x:v>
      </x:c>
      <x:c r="E548" s="171" t="n">
        <x:f>IF(A548="","",IF(B548="Decommissioning",INDEX('Raw Decommissioning'!$F$2:$F$1000,ROWS($A$5:A548)),INDEX('Raw Provisioning'!$F$2:$F$1000,ROWS($A$5:A548)-COUNTA('Raw Decommissioning'!$B$2:$B$1000))))</x:f>
        <x:v>46178.17505909722</x:v>
      </x:c>
      <x:c r="F548" s="171" t="n">
        <x:f>IF(A548="","",IF(B548="Decommissioning",INDEX('Raw Decommissioning'!$G$2:$G$1000,ROWS($A$5:A548)),INDEX('Raw Provisioning'!$H$2:$H$1000,ROWS($A$5:A548)-COUNTA('Raw Decommissioning'!$B$2:$B$1000))))</x:f>
        <x:v>46204.219643032404</x:v>
      </x:c>
      <x:c r="G548" s="170" t="str">
        <x:f>IF(A548="","",IF(B548="Decommissioning",INDEX('Raw Decommissioning'!$I$2:$I$1000,ROWS($A$5:A548)),INDEX('Raw Provisioning'!$J$2:$J$1000,ROWS($A$5:A548)-COUNTA('Raw Decommissioning'!$B$2:$B$1000))))</x:f>
        <x:v>Predictive Rotating Equipment Analytics - PROTEAN for ENIGMA SEARAH</x:v>
      </x:c>
      <x:c r="H548" s="170" t="str">
        <x:f>IF(A548="","",IF(B548="Decommissioning",INDEX('Raw Decommissioning'!$J$2:$J$1000,ROWS($A$5:A548)),INDEX('Raw Provisioning'!$L$2:$L$1000,ROWS($A$5:A548)-COUNTA('Raw Decommissioning'!$B$2:$B$1000))))</x:f>
        <x:v>ENIGMA JV (Production): Implementing New Subscriptions for MacCo_PROTEAN</x:v>
      </x:c>
      <x:c r="I548" s="170" t="str">
        <x:f>IF(A548="","",IF(B548="Decommissioning",INDEX('Raw Decommissioning'!$AL$2:$AL$1000,ROWS($A$5:A548)),INDEX('Raw Provisioning'!$R$2:$R$1000,ROWS($A$5:A548)-COUNTA('Raw Decommissioning'!$B$2:$B$1000))))</x:f>
        <x:v>M</x:v>
      </x:c>
      <x:c r="J548" s="170" t="str">
        <x:f>IF(A548="","",IF(B548="Decommissioning",INDEX('Raw Decommissioning'!$AG$2:$AG$1000,ROWS($A$5:A548)),INDEX('Raw Provisioning'!$AI$2:$AI$1000,ROWS($A$5:A548)-COUNTA('Raw Decommissioning'!$B$2:$B$1000))))</x:f>
        <x:v>ismail.azman@petronas.com</x:v>
      </x:c>
      <x:c r="K548" s="172" t="str">
        <x:f>IF(A548="","",IFERROR(LOOKUP(2,1/('Assignment History'!$B$5:$B$204=A548),'Assignment History'!$D$5:$D$204),IFERROR(VLOOKUP(J548,Configuration!$L$5:$M$50,2,FALSE),J548)))</x:f>
        <x:v>ismail.azman@petronas.com</x:v>
      </x:c>
      <x:c r="L548" s="172" t="str">
        <x:f>IF(A548="","",IF(K548=IFERROR(VLOOKUP(J548,Configuration!$L$5:$M$50,2,FALSE),J548),"Snapshot PIC","Replacement PIC"))</x:f>
        <x:v>Snapshot PIC</x:v>
      </x:c>
      <x:c r="M548" s="172" t="n">
        <x:f>IF(A548="","",IFERROR(VLOOKUP(I548,Configuration!$O$5:$P$8,2,FALSE),Configuration!$S$6))</x:f>
        <x:v>2</x:v>
      </x:c>
      <x:c r="N548" s="172" t="str">
        <x:f>IF(A548="","",IFERROR(LOOKUP(2,1/('Scope Review'!$B$5:$B$204=A548),'Scope Review'!$G$5:$G$204),"Not Reviewed"))</x:f>
        <x:v>Not Reviewed</x:v>
      </x:c>
      <x:c r="O548" s="172" t="str">
        <x:f>IF(A548="","",IFERROR(LOOKUP(2,1/('Scope Review'!$B$5:$B$204=A548),'Scope Review'!$H$5:$H$204),""))</x:f>
      </x:c>
      <x:c r="P548" s="172" t="n">
        <x:f>IF(A548="","",IF(AND(C548="executing",N548&lt;&gt;"Confirmed OOS"),M548,0))</x:f>
        <x:v>0</x:v>
      </x:c>
      <x:c r="Q548" s="173" t="str">
        <x:f>IF(A548="","",IFERROR(LOOKUP(2,1/('Engineer Updates'!$B$5:$B$704=A548),'Engineer Updates'!$A$5:$A$704),""))</x:f>
      </x:c>
      <x:c r="R548" s="172" t="str">
        <x:f>IF(A548="","",IFERROR(LOOKUP(2,1/('Engineer Updates'!$B$5:$B$704=A548),'Engineer Updates'!$H$5:$H$704),""))</x:f>
      </x:c>
      <x:c r="S548" s="172" t="str">
        <x:f>IF(A548="","",IFERROR(LOOKUP(2,1/('Engineer Updates'!$B$5:$B$704=A548),'Engineer Updates'!$G$5:$G$704),""))</x:f>
      </x:c>
      <x:c r="T548" s="172" t="str">
        <x:f>IF(A548="","",IFERROR(LOOKUP(2,1/('Engineer Updates'!$B$5:$B$704=A548),'Engineer Updates'!$I$5:$I$704),""))</x:f>
      </x:c>
      <x:c r="U548" s="172" t="str">
        <x:f>IF(A548="","",IFERROR(LOOKUP(2,1/('Engineer Updates'!$B$5:$B$704=A548),'Engineer Updates'!$J$5:$J$704),""))</x:f>
      </x:c>
      <x:c r="V548" s="172" t="str">
        <x:f>IF(A548="","",IFERROR(LOOKUP(2,1/('Engineer Updates'!$B$5:$B$704=A548),'Engineer Updates'!$K$5:$K$704),""))</x:f>
      </x:c>
      <x:c r="W548" s="174" t="str">
        <x:f>IF(A548="","",IFERROR(LOOKUP(2,1/('Engineer Updates'!$B$5:$B$704=A548),'Engineer Updates'!$L$5:$L$704),""))</x:f>
      </x:c>
      <x:c r="X548" s="170" t="str">
        <x:f>IF(A548="","",IF(C548="completed","Completed in CSSP",IF(AND(C548="executing",ISERROR(SEARCH("@",K548))),"Executing without named engineer",IF(AND(N548="Confirmed OOS",C548="executing"),"Confirmed OOS still executing",""))))</x:f>
        <x:v>Completed in CSSP</x:v>
      </x:c>
      <x:c r="Y548" s="170" t="str">
        <x:f>IF(A548="","",IF(B548="Decommissioning","Raw Decommissioning","Raw Provisioning"))</x:f>
        <x:v>Raw Provisioning</x:v>
      </x:c>
      <x:c r="Z548" s="170" t="str">
        <x:f>IF(A548="","",IF(OR(C548="executing",C548="processing"),"Yes","No"))</x:f>
        <x:v>No</x:v>
      </x:c>
    </x:row>
    <x:row r="549">
      <x:c r="A549" s="170" t="str">
        <x:f>IF(ROWS($A$5:A549)&lt;=COUNTA('Raw Decommissioning'!$B$2:$B$1000),INDEX('Raw Decommissioning'!$B$2:$B$1000,ROWS($A$5:A549)),IF(ROWS($A$5:A549)-COUNTA('Raw Decommissioning'!$B$2:$B$1000)&lt;=COUNTA('Raw Provisioning'!$B$2:$B$1000),INDEX('Raw Provisioning'!$B$2:$B$1000,ROWS($A$5:A549)-COUNTA('Raw Decommissioning'!$B$2:$B$1000)),""))</x:f>
        <x:v>CSSP10258689</x:v>
      </x:c>
      <x:c r="B549" s="170" t="str">
        <x:f>IF(A549="","",IF(ROWS($A$5:A549)&lt;=COUNTA('Raw Decommissioning'!$B$2:$B$1000),"Decommissioning","Provisioning"))</x:f>
        <x:v>Provisioning</x:v>
      </x:c>
      <x:c r="C549" s="170" t="str">
        <x:f>IF(A549="","",IF(B549="Decommissioning",IFERROR(INDEX('Raw Decommissioning'!$E$2:$E$1000,MATCH(A549,'Raw Decommissioning'!$B$2:$B$1000,0)),"Missing from latest raw"),IFERROR(INDEX('Raw Provisioning'!$E$2:$E$1000,MATCH(A549,'Raw Provisioning'!$B$2:$B$1000,0)),"Missing from latest raw")))</x:f>
        <x:v>completed</x:v>
      </x:c>
      <x:c r="D549" s="171" t="n">
        <x:f>IF(A549="","",'Refresh Control'!$B$4)</x:f>
        <x:v>46254</x:v>
      </x:c>
      <x:c r="E549" s="171" t="n">
        <x:f>IF(A549="","",IF(B549="Decommissioning",INDEX('Raw Decommissioning'!$F$2:$F$1000,ROWS($A$5:A549)),INDEX('Raw Provisioning'!$F$2:$F$1000,ROWS($A$5:A549)-COUNTA('Raw Decommissioning'!$B$2:$B$1000))))</x:f>
        <x:v>46178.302326261575</x:v>
      </x:c>
      <x:c r="F549" s="171" t="n">
        <x:f>IF(A549="","",IF(B549="Decommissioning",INDEX('Raw Decommissioning'!$G$2:$G$1000,ROWS($A$5:A549)),INDEX('Raw Provisioning'!$H$2:$H$1000,ROWS($A$5:A549)-COUNTA('Raw Decommissioning'!$B$2:$B$1000))))</x:f>
        <x:v>46196.16723219908</x:v>
      </x:c>
      <x:c r="G549" s="170" t="str">
        <x:f>IF(A549="","",IF(B549="Decommissioning",INDEX('Raw Decommissioning'!$I$2:$I$1000,ROWS($A$5:A549)),INDEX('Raw Provisioning'!$J$2:$J$1000,ROWS($A$5:A549)-COUNTA('Raw Decommissioning'!$B$2:$B$1000))))</x:f>
        <x:v>NeTool for ENIGMA SEARAH</x:v>
      </x:c>
      <x:c r="H549" s="170" t="str">
        <x:f>IF(A549="","",IF(B549="Decommissioning",INDEX('Raw Decommissioning'!$J$2:$J$1000,ROWS($A$5:A549)),INDEX('Raw Provisioning'!$L$2:$L$1000,ROWS($A$5:A549)-COUNTA('Raw Decommissioning'!$B$2:$B$1000))))</x:f>
        <x:v>ENIGMA JV: Implementation of Wells System and Data for MacCo - NeTool</x:v>
      </x:c>
      <x:c r="I549" s="170" t="str">
        <x:f>IF(A549="","",IF(B549="Decommissioning",INDEX('Raw Decommissioning'!$AL$2:$AL$1000,ROWS($A$5:A549)),INDEX('Raw Provisioning'!$R$2:$R$1000,ROWS($A$5:A549)-COUNTA('Raw Decommissioning'!$B$2:$B$1000))))</x:f>
        <x:v>S</x:v>
      </x:c>
      <x:c r="J549" s="170" t="str">
        <x:f>IF(A549="","",IF(B549="Decommissioning",INDEX('Raw Decommissioning'!$AG$2:$AG$1000,ROWS($A$5:A549)),INDEX('Raw Provisioning'!$AI$2:$AI$1000,ROWS($A$5:A549)-COUNTA('Raw Decommissioning'!$B$2:$B$1000))))</x:f>
        <x:v>afnanfarhan.dzaharud@petronas.com</x:v>
      </x:c>
      <x:c r="K549" s="172" t="str">
        <x:f>IF(A549="","",IFERROR(LOOKUP(2,1/('Assignment History'!$B$5:$B$204=A549),'Assignment History'!$D$5:$D$204),IFERROR(VLOOKUP(J549,Configuration!$L$5:$M$50,2,FALSE),J549)))</x:f>
        <x:v>afnanfarhan.dzaharud@petronas.com</x:v>
      </x:c>
      <x:c r="L549" s="172" t="str">
        <x:f>IF(A549="","",IF(K549=IFERROR(VLOOKUP(J549,Configuration!$L$5:$M$50,2,FALSE),J549),"Snapshot PIC","Replacement PIC"))</x:f>
        <x:v>Snapshot PIC</x:v>
      </x:c>
      <x:c r="M549" s="172" t="n">
        <x:f>IF(A549="","",IFERROR(VLOOKUP(I549,Configuration!$O$5:$P$8,2,FALSE),Configuration!$S$6))</x:f>
        <x:v>1</x:v>
      </x:c>
      <x:c r="N549" s="172" t="str">
        <x:f>IF(A549="","",IFERROR(LOOKUP(2,1/('Scope Review'!$B$5:$B$204=A549),'Scope Review'!$G$5:$G$204),"Not Reviewed"))</x:f>
        <x:v>Not Reviewed</x:v>
      </x:c>
      <x:c r="O549" s="172" t="str">
        <x:f>IF(A549="","",IFERROR(LOOKUP(2,1/('Scope Review'!$B$5:$B$204=A549),'Scope Review'!$H$5:$H$204),""))</x:f>
      </x:c>
      <x:c r="P549" s="172" t="n">
        <x:f>IF(A549="","",IF(AND(C549="executing",N549&lt;&gt;"Confirmed OOS"),M549,0))</x:f>
        <x:v>0</x:v>
      </x:c>
      <x:c r="Q549" s="173" t="str">
        <x:f>IF(A549="","",IFERROR(LOOKUP(2,1/('Engineer Updates'!$B$5:$B$704=A549),'Engineer Updates'!$A$5:$A$704),""))</x:f>
      </x:c>
      <x:c r="R549" s="172" t="str">
        <x:f>IF(A549="","",IFERROR(LOOKUP(2,1/('Engineer Updates'!$B$5:$B$704=A549),'Engineer Updates'!$H$5:$H$704),""))</x:f>
      </x:c>
      <x:c r="S549" s="172" t="str">
        <x:f>IF(A549="","",IFERROR(LOOKUP(2,1/('Engineer Updates'!$B$5:$B$704=A549),'Engineer Updates'!$G$5:$G$704),""))</x:f>
      </x:c>
      <x:c r="T549" s="172" t="str">
        <x:f>IF(A549="","",IFERROR(LOOKUP(2,1/('Engineer Updates'!$B$5:$B$704=A549),'Engineer Updates'!$I$5:$I$704),""))</x:f>
      </x:c>
      <x:c r="U549" s="172" t="str">
        <x:f>IF(A549="","",IFERROR(LOOKUP(2,1/('Engineer Updates'!$B$5:$B$704=A549),'Engineer Updates'!$J$5:$J$704),""))</x:f>
      </x:c>
      <x:c r="V549" s="172" t="str">
        <x:f>IF(A549="","",IFERROR(LOOKUP(2,1/('Engineer Updates'!$B$5:$B$704=A549),'Engineer Updates'!$K$5:$K$704),""))</x:f>
      </x:c>
      <x:c r="W549" s="174" t="str">
        <x:f>IF(A549="","",IFERROR(LOOKUP(2,1/('Engineer Updates'!$B$5:$B$704=A549),'Engineer Updates'!$L$5:$L$704),""))</x:f>
      </x:c>
      <x:c r="X549" s="170" t="str">
        <x:f>IF(A549="","",IF(C549="completed","Completed in CSSP",IF(AND(C549="executing",ISERROR(SEARCH("@",K549))),"Executing without named engineer",IF(AND(N549="Confirmed OOS",C549="executing"),"Confirmed OOS still executing",""))))</x:f>
        <x:v>Completed in CSSP</x:v>
      </x:c>
      <x:c r="Y549" s="170" t="str">
        <x:f>IF(A549="","",IF(B549="Decommissioning","Raw Decommissioning","Raw Provisioning"))</x:f>
        <x:v>Raw Provisioning</x:v>
      </x:c>
      <x:c r="Z549" s="170" t="str">
        <x:f>IF(A549="","",IF(OR(C549="executing",C549="processing"),"Yes","No"))</x:f>
        <x:v>No</x:v>
      </x:c>
    </x:row>
    <x:row r="550">
      <x:c r="A550" s="170" t="str">
        <x:f>IF(ROWS($A$5:A550)&lt;=COUNTA('Raw Decommissioning'!$B$2:$B$1000),INDEX('Raw Decommissioning'!$B$2:$B$1000,ROWS($A$5:A550)),IF(ROWS($A$5:A550)-COUNTA('Raw Decommissioning'!$B$2:$B$1000)&lt;=COUNTA('Raw Provisioning'!$B$2:$B$1000),INDEX('Raw Provisioning'!$B$2:$B$1000,ROWS($A$5:A550)-COUNTA('Raw Decommissioning'!$B$2:$B$1000)),""))</x:f>
        <x:v>CSSP10240410</x:v>
      </x:c>
      <x:c r="B550" s="170" t="str">
        <x:f>IF(A550="","",IF(ROWS($A$5:A550)&lt;=COUNTA('Raw Decommissioning'!$B$2:$B$1000),"Decommissioning","Provisioning"))</x:f>
        <x:v>Provisioning</x:v>
      </x:c>
      <x:c r="C550" s="170" t="str">
        <x:f>IF(A550="","",IF(B550="Decommissioning",IFERROR(INDEX('Raw Decommissioning'!$E$2:$E$1000,MATCH(A550,'Raw Decommissioning'!$B$2:$B$1000,0)),"Missing from latest raw"),IFERROR(INDEX('Raw Provisioning'!$E$2:$E$1000,MATCH(A550,'Raw Provisioning'!$B$2:$B$1000,0)),"Missing from latest raw")))</x:f>
        <x:v>completed</x:v>
      </x:c>
      <x:c r="D550" s="171" t="n">
        <x:f>IF(A550="","",'Refresh Control'!$B$4)</x:f>
        <x:v>46254</x:v>
      </x:c>
      <x:c r="E550" s="171" t="n">
        <x:f>IF(A550="","",IF(B550="Decommissioning",INDEX('Raw Decommissioning'!$F$2:$F$1000,ROWS($A$5:A550)),INDEX('Raw Provisioning'!$F$2:$F$1000,ROWS($A$5:A550)-COUNTA('Raw Decommissioning'!$B$2:$B$1000))))</x:f>
        <x:v>46182.32776907407</x:v>
      </x:c>
      <x:c r="F550" s="171" t="n">
        <x:f>IF(A550="","",IF(B550="Decommissioning",INDEX('Raw Decommissioning'!$G$2:$G$1000,ROWS($A$5:A550)),INDEX('Raw Provisioning'!$H$2:$H$1000,ROWS($A$5:A550)-COUNTA('Raw Decommissioning'!$B$2:$B$1000))))</x:f>
        <x:v>46199.23307775463</x:v>
      </x:c>
      <x:c r="G550" s="170" t="str">
        <x:f>IF(A550="","",IF(B550="Decommissioning",INDEX('Raw Decommissioning'!$I$2:$I$1000,ROWS($A$5:A550)),INDEX('Raw Provisioning'!$J$2:$J$1000,ROWS($A$5:A550)-COUNTA('Raw Decommissioning'!$B$2:$B$1000))))</x:f>
        <x:v>Right Asset Right Player</x:v>
      </x:c>
      <x:c r="H550" s="170" t="str">
        <x:f>IF(A550="","",IF(B550="Decommissioning",INDEX('Raw Decommissioning'!$J$2:$J$1000,ROWS($A$5:A550)),INDEX('Raw Provisioning'!$L$2:$L$1000,ROWS($A$5:A550)-COUNTA('Raw Decommissioning'!$B$2:$B$1000))))</x:f>
        <x:v>[2026] Technology Consulting for MPM Right Asset Right Player (RARP) Development</x:v>
      </x:c>
      <x:c r="I550" s="170" t="str">
        <x:f>IF(A550="","",IF(B550="Decommissioning",INDEX('Raw Decommissioning'!$AL$2:$AL$1000,ROWS($A$5:A550)),INDEX('Raw Provisioning'!$R$2:$R$1000,ROWS($A$5:A550)-COUNTA('Raw Decommissioning'!$B$2:$B$1000))))</x:f>
        <x:v>L</x:v>
      </x:c>
      <x:c r="J550" s="170" t="str">
        <x:f>IF(A550="","",IF(B550="Decommissioning",INDEX('Raw Decommissioning'!$AG$2:$AG$1000,ROWS($A$5:A550)),INDEX('Raw Provisioning'!$AI$2:$AI$1000,ROWS($A$5:A550)-COUNTA('Raw Decommissioning'!$B$2:$B$1000))))</x:f>
        <x:v>akhmal.roslan@petronas.com</x:v>
      </x:c>
      <x:c r="K550" s="172" t="str">
        <x:f>IF(A550="","",IFERROR(LOOKUP(2,1/('Assignment History'!$B$5:$B$204=A550),'Assignment History'!$D$5:$D$204),IFERROR(VLOOKUP(J550,Configuration!$L$5:$M$50,2,FALSE),J550)))</x:f>
        <x:v>akhmal.roslan@petronas.com</x:v>
      </x:c>
      <x:c r="L550" s="172" t="str">
        <x:f>IF(A550="","",IF(K550=IFERROR(VLOOKUP(J550,Configuration!$L$5:$M$50,2,FALSE),J550),"Snapshot PIC","Replacement PIC"))</x:f>
        <x:v>Snapshot PIC</x:v>
      </x:c>
      <x:c r="M550" s="172" t="n">
        <x:f>IF(A550="","",IFERROR(VLOOKUP(I550,Configuration!$O$5:$P$8,2,FALSE),Configuration!$S$6))</x:f>
        <x:v>3</x:v>
      </x:c>
      <x:c r="N550" s="172" t="str">
        <x:f>IF(A550="","",IFERROR(LOOKUP(2,1/('Scope Review'!$B$5:$B$204=A550),'Scope Review'!$G$5:$G$204),"Not Reviewed"))</x:f>
        <x:v>Not Reviewed</x:v>
      </x:c>
      <x:c r="O550" s="172" t="str">
        <x:f>IF(A550="","",IFERROR(LOOKUP(2,1/('Scope Review'!$B$5:$B$204=A550),'Scope Review'!$H$5:$H$204),""))</x:f>
      </x:c>
      <x:c r="P550" s="172" t="n">
        <x:f>IF(A550="","",IF(AND(C550="executing",N550&lt;&gt;"Confirmed OOS"),M550,0))</x:f>
        <x:v>0</x:v>
      </x:c>
      <x:c r="Q550" s="173" t="str">
        <x:f>IF(A550="","",IFERROR(LOOKUP(2,1/('Engineer Updates'!$B$5:$B$704=A550),'Engineer Updates'!$A$5:$A$704),""))</x:f>
      </x:c>
      <x:c r="R550" s="172" t="str">
        <x:f>IF(A550="","",IFERROR(LOOKUP(2,1/('Engineer Updates'!$B$5:$B$704=A550),'Engineer Updates'!$H$5:$H$704),""))</x:f>
      </x:c>
      <x:c r="S550" s="172" t="str">
        <x:f>IF(A550="","",IFERROR(LOOKUP(2,1/('Engineer Updates'!$B$5:$B$704=A550),'Engineer Updates'!$G$5:$G$704),""))</x:f>
      </x:c>
      <x:c r="T550" s="172" t="str">
        <x:f>IF(A550="","",IFERROR(LOOKUP(2,1/('Engineer Updates'!$B$5:$B$704=A550),'Engineer Updates'!$I$5:$I$704),""))</x:f>
      </x:c>
      <x:c r="U550" s="172" t="str">
        <x:f>IF(A550="","",IFERROR(LOOKUP(2,1/('Engineer Updates'!$B$5:$B$704=A550),'Engineer Updates'!$J$5:$J$704),""))</x:f>
      </x:c>
      <x:c r="V550" s="172" t="str">
        <x:f>IF(A550="","",IFERROR(LOOKUP(2,1/('Engineer Updates'!$B$5:$B$704=A550),'Engineer Updates'!$K$5:$K$704),""))</x:f>
      </x:c>
      <x:c r="W550" s="174" t="str">
        <x:f>IF(A550="","",IFERROR(LOOKUP(2,1/('Engineer Updates'!$B$5:$B$704=A550),'Engineer Updates'!$L$5:$L$704),""))</x:f>
      </x:c>
      <x:c r="X550" s="170" t="str">
        <x:f>IF(A550="","",IF(C550="completed","Completed in CSSP",IF(AND(C550="executing",ISERROR(SEARCH("@",K550))),"Executing without named engineer",IF(AND(N550="Confirmed OOS",C550="executing"),"Confirmed OOS still executing",""))))</x:f>
        <x:v>Completed in CSSP</x:v>
      </x:c>
      <x:c r="Y550" s="170" t="str">
        <x:f>IF(A550="","",IF(B550="Decommissioning","Raw Decommissioning","Raw Provisioning"))</x:f>
        <x:v>Raw Provisioning</x:v>
      </x:c>
      <x:c r="Z550" s="170" t="str">
        <x:f>IF(A550="","",IF(OR(C550="executing",C550="processing"),"Yes","No"))</x:f>
        <x:v>No</x:v>
      </x:c>
    </x:row>
    <x:row r="551">
      <x:c r="A551" s="170" t="str">
        <x:f>IF(ROWS($A$5:A551)&lt;=COUNTA('Raw Decommissioning'!$B$2:$B$1000),INDEX('Raw Decommissioning'!$B$2:$B$1000,ROWS($A$5:A551)),IF(ROWS($A$5:A551)-COUNTA('Raw Decommissioning'!$B$2:$B$1000)&lt;=COUNTA('Raw Provisioning'!$B$2:$B$1000),INDEX('Raw Provisioning'!$B$2:$B$1000,ROWS($A$5:A551)-COUNTA('Raw Decommissioning'!$B$2:$B$1000)),""))</x:f>
        <x:v>CSSP10814753</x:v>
      </x:c>
      <x:c r="B551" s="170" t="str">
        <x:f>IF(A551="","",IF(ROWS($A$5:A551)&lt;=COUNTA('Raw Decommissioning'!$B$2:$B$1000),"Decommissioning","Provisioning"))</x:f>
        <x:v>Provisioning</x:v>
      </x:c>
      <x:c r="C551" s="170" t="str">
        <x:f>IF(A551="","",IF(B551="Decommissioning",IFERROR(INDEX('Raw Decommissioning'!$E$2:$E$1000,MATCH(A551,'Raw Decommissioning'!$B$2:$B$1000,0)),"Missing from latest raw"),IFERROR(INDEX('Raw Provisioning'!$E$2:$E$1000,MATCH(A551,'Raw Provisioning'!$B$2:$B$1000,0)),"Missing from latest raw")))</x:f>
        <x:v>completed</x:v>
      </x:c>
      <x:c r="D551" s="171" t="n">
        <x:f>IF(A551="","",'Refresh Control'!$B$4)</x:f>
        <x:v>46254</x:v>
      </x:c>
      <x:c r="E551" s="171" t="n">
        <x:f>IF(A551="","",IF(B551="Decommissioning",INDEX('Raw Decommissioning'!$F$2:$F$1000,ROWS($A$5:A551)),INDEX('Raw Provisioning'!$F$2:$F$1000,ROWS($A$5:A551)-COUNTA('Raw Decommissioning'!$B$2:$B$1000))))</x:f>
        <x:v>46182.33003168982</x:v>
      </x:c>
      <x:c r="F551" s="171" t="n">
        <x:f>IF(A551="","",IF(B551="Decommissioning",INDEX('Raw Decommissioning'!$G$2:$G$1000,ROWS($A$5:A551)),INDEX('Raw Provisioning'!$H$2:$H$1000,ROWS($A$5:A551)-COUNTA('Raw Decommissioning'!$B$2:$B$1000))))</x:f>
        <x:v>46199.23329621528</x:v>
      </x:c>
      <x:c r="G551" s="170" t="str">
        <x:f>IF(A551="","",IF(B551="Decommissioning",INDEX('Raw Decommissioning'!$I$2:$I$1000,ROWS($A$5:A551)),INDEX('Raw Provisioning'!$J$2:$J$1000,ROWS($A$5:A551)-COUNTA('Raw Decommissioning'!$B$2:$B$1000))))</x:f>
        <x:v>Right Asset Right Player</x:v>
      </x:c>
      <x:c r="H551" s="170" t="str">
        <x:f>IF(A551="","",IF(B551="Decommissioning",INDEX('Raw Decommissioning'!$J$2:$J$1000,ROWS($A$5:A551)),INDEX('Raw Provisioning'!$L$2:$L$1000,ROWS($A$5:A551)-COUNTA('Raw Decommissioning'!$B$2:$B$1000))))</x:f>
        <x:v>[2026] Technology Consulting for MPM Right Asset Right Player (RARP) Development</x:v>
      </x:c>
      <x:c r="I551" s="170" t="str">
        <x:f>IF(A551="","",IF(B551="Decommissioning",INDEX('Raw Decommissioning'!$AL$2:$AL$1000,ROWS($A$5:A551)),INDEX('Raw Provisioning'!$R$2:$R$1000,ROWS($A$5:A551)-COUNTA('Raw Decommissioning'!$B$2:$B$1000))))</x:f>
        <x:v>L</x:v>
      </x:c>
      <x:c r="J551" s="170" t="str">
        <x:f>IF(A551="","",IF(B551="Decommissioning",INDEX('Raw Decommissioning'!$AG$2:$AG$1000,ROWS($A$5:A551)),INDEX('Raw Provisioning'!$AI$2:$AI$1000,ROWS($A$5:A551)-COUNTA('Raw Decommissioning'!$B$2:$B$1000))))</x:f>
        <x:v>akhmal.roslan@petronas.com</x:v>
      </x:c>
      <x:c r="K551" s="172" t="str">
        <x:f>IF(A551="","",IFERROR(LOOKUP(2,1/('Assignment History'!$B$5:$B$204=A551),'Assignment History'!$D$5:$D$204),IFERROR(VLOOKUP(J551,Configuration!$L$5:$M$50,2,FALSE),J551)))</x:f>
        <x:v>akhmal.roslan@petronas.com</x:v>
      </x:c>
      <x:c r="L551" s="172" t="str">
        <x:f>IF(A551="","",IF(K551=IFERROR(VLOOKUP(J551,Configuration!$L$5:$M$50,2,FALSE),J551),"Snapshot PIC","Replacement PIC"))</x:f>
        <x:v>Snapshot PIC</x:v>
      </x:c>
      <x:c r="M551" s="172" t="n">
        <x:f>IF(A551="","",IFERROR(VLOOKUP(I551,Configuration!$O$5:$P$8,2,FALSE),Configuration!$S$6))</x:f>
        <x:v>3</x:v>
      </x:c>
      <x:c r="N551" s="172" t="str">
        <x:f>IF(A551="","",IFERROR(LOOKUP(2,1/('Scope Review'!$B$5:$B$204=A551),'Scope Review'!$G$5:$G$204),"Not Reviewed"))</x:f>
        <x:v>Not Reviewed</x:v>
      </x:c>
      <x:c r="O551" s="172" t="str">
        <x:f>IF(A551="","",IFERROR(LOOKUP(2,1/('Scope Review'!$B$5:$B$204=A551),'Scope Review'!$H$5:$H$204),""))</x:f>
      </x:c>
      <x:c r="P551" s="172" t="n">
        <x:f>IF(A551="","",IF(AND(C551="executing",N551&lt;&gt;"Confirmed OOS"),M551,0))</x:f>
        <x:v>0</x:v>
      </x:c>
      <x:c r="Q551" s="173" t="str">
        <x:f>IF(A551="","",IFERROR(LOOKUP(2,1/('Engineer Updates'!$B$5:$B$704=A551),'Engineer Updates'!$A$5:$A$704),""))</x:f>
      </x:c>
      <x:c r="R551" s="172" t="str">
        <x:f>IF(A551="","",IFERROR(LOOKUP(2,1/('Engineer Updates'!$B$5:$B$704=A551),'Engineer Updates'!$H$5:$H$704),""))</x:f>
      </x:c>
      <x:c r="S551" s="172" t="str">
        <x:f>IF(A551="","",IFERROR(LOOKUP(2,1/('Engineer Updates'!$B$5:$B$704=A551),'Engineer Updates'!$G$5:$G$704),""))</x:f>
      </x:c>
      <x:c r="T551" s="172" t="str">
        <x:f>IF(A551="","",IFERROR(LOOKUP(2,1/('Engineer Updates'!$B$5:$B$704=A551),'Engineer Updates'!$I$5:$I$704),""))</x:f>
      </x:c>
      <x:c r="U551" s="172" t="str">
        <x:f>IF(A551="","",IFERROR(LOOKUP(2,1/('Engineer Updates'!$B$5:$B$704=A551),'Engineer Updates'!$J$5:$J$704),""))</x:f>
      </x:c>
      <x:c r="V551" s="172" t="str">
        <x:f>IF(A551="","",IFERROR(LOOKUP(2,1/('Engineer Updates'!$B$5:$B$704=A551),'Engineer Updates'!$K$5:$K$704),""))</x:f>
      </x:c>
      <x:c r="W551" s="174" t="str">
        <x:f>IF(A551="","",IFERROR(LOOKUP(2,1/('Engineer Updates'!$B$5:$B$704=A551),'Engineer Updates'!$L$5:$L$704),""))</x:f>
      </x:c>
      <x:c r="X551" s="170" t="str">
        <x:f>IF(A551="","",IF(C551="completed","Completed in CSSP",IF(AND(C551="executing",ISERROR(SEARCH("@",K551))),"Executing without named engineer",IF(AND(N551="Confirmed OOS",C551="executing"),"Confirmed OOS still executing",""))))</x:f>
        <x:v>Completed in CSSP</x:v>
      </x:c>
      <x:c r="Y551" s="170" t="str">
        <x:f>IF(A551="","",IF(B551="Decommissioning","Raw Decommissioning","Raw Provisioning"))</x:f>
        <x:v>Raw Provisioning</x:v>
      </x:c>
      <x:c r="Z551" s="170" t="str">
        <x:f>IF(A551="","",IF(OR(C551="executing",C551="processing"),"Yes","No"))</x:f>
        <x:v>No</x:v>
      </x:c>
    </x:row>
    <x:row r="552">
      <x:c r="A552" s="170" t="str">
        <x:f>IF(ROWS($A$5:A552)&lt;=COUNTA('Raw Decommissioning'!$B$2:$B$1000),INDEX('Raw Decommissioning'!$B$2:$B$1000,ROWS($A$5:A552)),IF(ROWS($A$5:A552)-COUNTA('Raw Decommissioning'!$B$2:$B$1000)&lt;=COUNTA('Raw Provisioning'!$B$2:$B$1000),INDEX('Raw Provisioning'!$B$2:$B$1000,ROWS($A$5:A552)-COUNTA('Raw Decommissioning'!$B$2:$B$1000)),""))</x:f>
        <x:v>CSSP10126389</x:v>
      </x:c>
      <x:c r="B552" s="170" t="str">
        <x:f>IF(A552="","",IF(ROWS($A$5:A552)&lt;=COUNTA('Raw Decommissioning'!$B$2:$B$1000),"Decommissioning","Provisioning"))</x:f>
        <x:v>Provisioning</x:v>
      </x:c>
      <x:c r="C552" s="170" t="str">
        <x:f>IF(A552="","",IF(B552="Decommissioning",IFERROR(INDEX('Raw Decommissioning'!$E$2:$E$1000,MATCH(A552,'Raw Decommissioning'!$B$2:$B$1000,0)),"Missing from latest raw"),IFERROR(INDEX('Raw Provisioning'!$E$2:$E$1000,MATCH(A552,'Raw Provisioning'!$B$2:$B$1000,0)),"Missing from latest raw")))</x:f>
        <x:v>completed</x:v>
      </x:c>
      <x:c r="D552" s="171" t="n">
        <x:f>IF(A552="","",'Refresh Control'!$B$4)</x:f>
        <x:v>46254</x:v>
      </x:c>
      <x:c r="E552" s="171" t="n">
        <x:f>IF(A552="","",IF(B552="Decommissioning",INDEX('Raw Decommissioning'!$F$2:$F$1000,ROWS($A$5:A552)),INDEX('Raw Provisioning'!$F$2:$F$1000,ROWS($A$5:A552)-COUNTA('Raw Decommissioning'!$B$2:$B$1000))))</x:f>
        <x:v>46182.33086958333</x:v>
      </x:c>
      <x:c r="F552" s="171" t="n">
        <x:f>IF(A552="","",IF(B552="Decommissioning",INDEX('Raw Decommissioning'!$G$2:$G$1000,ROWS($A$5:A552)),INDEX('Raw Provisioning'!$H$2:$H$1000,ROWS($A$5:A552)-COUNTA('Raw Decommissioning'!$B$2:$B$1000))))</x:f>
        <x:v>46199.23362236111</x:v>
      </x:c>
      <x:c r="G552" s="170" t="str">
        <x:f>IF(A552="","",IF(B552="Decommissioning",INDEX('Raw Decommissioning'!$I$2:$I$1000,ROWS($A$5:A552)),INDEX('Raw Provisioning'!$J$2:$J$1000,ROWS($A$5:A552)-COUNTA('Raw Decommissioning'!$B$2:$B$1000))))</x:f>
        <x:v>Right Asset Right Player</x:v>
      </x:c>
      <x:c r="H552" s="170" t="str">
        <x:f>IF(A552="","",IF(B552="Decommissioning",INDEX('Raw Decommissioning'!$J$2:$J$1000,ROWS($A$5:A552)),INDEX('Raw Provisioning'!$L$2:$L$1000,ROWS($A$5:A552)-COUNTA('Raw Decommissioning'!$B$2:$B$1000))))</x:f>
        <x:v>[2026] Technology Consulting for MPM Right Asset Right Player (RARP) Development</x:v>
      </x:c>
      <x:c r="I552" s="170" t="str">
        <x:f>IF(A552="","",IF(B552="Decommissioning",INDEX('Raw Decommissioning'!$AL$2:$AL$1000,ROWS($A$5:A552)),INDEX('Raw Provisioning'!$R$2:$R$1000,ROWS($A$5:A552)-COUNTA('Raw Decommissioning'!$B$2:$B$1000))))</x:f>
        <x:v>L</x:v>
      </x:c>
      <x:c r="J552" s="170" t="str">
        <x:f>IF(A552="","",IF(B552="Decommissioning",INDEX('Raw Decommissioning'!$AG$2:$AG$1000,ROWS($A$5:A552)),INDEX('Raw Provisioning'!$AI$2:$AI$1000,ROWS($A$5:A552)-COUNTA('Raw Decommissioning'!$B$2:$B$1000))))</x:f>
        <x:v>akhmal.roslan@petronas.com</x:v>
      </x:c>
      <x:c r="K552" s="172" t="str">
        <x:f>IF(A552="","",IFERROR(LOOKUP(2,1/('Assignment History'!$B$5:$B$204=A552),'Assignment History'!$D$5:$D$204),IFERROR(VLOOKUP(J552,Configuration!$L$5:$M$50,2,FALSE),J552)))</x:f>
        <x:v>akhmal.roslan@petronas.com</x:v>
      </x:c>
      <x:c r="L552" s="172" t="str">
        <x:f>IF(A552="","",IF(K552=IFERROR(VLOOKUP(J552,Configuration!$L$5:$M$50,2,FALSE),J552),"Snapshot PIC","Replacement PIC"))</x:f>
        <x:v>Snapshot PIC</x:v>
      </x:c>
      <x:c r="M552" s="172" t="n">
        <x:f>IF(A552="","",IFERROR(VLOOKUP(I552,Configuration!$O$5:$P$8,2,FALSE),Configuration!$S$6))</x:f>
        <x:v>3</x:v>
      </x:c>
      <x:c r="N552" s="172" t="str">
        <x:f>IF(A552="","",IFERROR(LOOKUP(2,1/('Scope Review'!$B$5:$B$204=A552),'Scope Review'!$G$5:$G$204),"Not Reviewed"))</x:f>
        <x:v>Not Reviewed</x:v>
      </x:c>
      <x:c r="O552" s="172" t="str">
        <x:f>IF(A552="","",IFERROR(LOOKUP(2,1/('Scope Review'!$B$5:$B$204=A552),'Scope Review'!$H$5:$H$204),""))</x:f>
      </x:c>
      <x:c r="P552" s="172" t="n">
        <x:f>IF(A552="","",IF(AND(C552="executing",N552&lt;&gt;"Confirmed OOS"),M552,0))</x:f>
        <x:v>0</x:v>
      </x:c>
      <x:c r="Q552" s="173" t="str">
        <x:f>IF(A552="","",IFERROR(LOOKUP(2,1/('Engineer Updates'!$B$5:$B$704=A552),'Engineer Updates'!$A$5:$A$704),""))</x:f>
      </x:c>
      <x:c r="R552" s="172" t="str">
        <x:f>IF(A552="","",IFERROR(LOOKUP(2,1/('Engineer Updates'!$B$5:$B$704=A552),'Engineer Updates'!$H$5:$H$704),""))</x:f>
      </x:c>
      <x:c r="S552" s="172" t="str">
        <x:f>IF(A552="","",IFERROR(LOOKUP(2,1/('Engineer Updates'!$B$5:$B$704=A552),'Engineer Updates'!$G$5:$G$704),""))</x:f>
      </x:c>
      <x:c r="T552" s="172" t="str">
        <x:f>IF(A552="","",IFERROR(LOOKUP(2,1/('Engineer Updates'!$B$5:$B$704=A552),'Engineer Updates'!$I$5:$I$704),""))</x:f>
      </x:c>
      <x:c r="U552" s="172" t="str">
        <x:f>IF(A552="","",IFERROR(LOOKUP(2,1/('Engineer Updates'!$B$5:$B$704=A552),'Engineer Updates'!$J$5:$J$704),""))</x:f>
      </x:c>
      <x:c r="V552" s="172" t="str">
        <x:f>IF(A552="","",IFERROR(LOOKUP(2,1/('Engineer Updates'!$B$5:$B$704=A552),'Engineer Updates'!$K$5:$K$704),""))</x:f>
      </x:c>
      <x:c r="W552" s="174" t="str">
        <x:f>IF(A552="","",IFERROR(LOOKUP(2,1/('Engineer Updates'!$B$5:$B$704=A552),'Engineer Updates'!$L$5:$L$704),""))</x:f>
      </x:c>
      <x:c r="X552" s="170" t="str">
        <x:f>IF(A552="","",IF(C552="completed","Completed in CSSP",IF(AND(C552="executing",ISERROR(SEARCH("@",K552))),"Executing without named engineer",IF(AND(N552="Confirmed OOS",C552="executing"),"Confirmed OOS still executing",""))))</x:f>
        <x:v>Completed in CSSP</x:v>
      </x:c>
      <x:c r="Y552" s="170" t="str">
        <x:f>IF(A552="","",IF(B552="Decommissioning","Raw Decommissioning","Raw Provisioning"))</x:f>
        <x:v>Raw Provisioning</x:v>
      </x:c>
      <x:c r="Z552" s="170" t="str">
        <x:f>IF(A552="","",IF(OR(C552="executing",C552="processing"),"Yes","No"))</x:f>
        <x:v>No</x:v>
      </x:c>
    </x:row>
    <x:row r="553">
      <x:c r="A553" s="170" t="str">
        <x:f>IF(ROWS($A$5:A553)&lt;=COUNTA('Raw Decommissioning'!$B$2:$B$1000),INDEX('Raw Decommissioning'!$B$2:$B$1000,ROWS($A$5:A553)),IF(ROWS($A$5:A553)-COUNTA('Raw Decommissioning'!$B$2:$B$1000)&lt;=COUNTA('Raw Provisioning'!$B$2:$B$1000),INDEX('Raw Provisioning'!$B$2:$B$1000,ROWS($A$5:A553)-COUNTA('Raw Decommissioning'!$B$2:$B$1000)),""))</x:f>
        <x:v>CSSP10689195</x:v>
      </x:c>
      <x:c r="B553" s="170" t="str">
        <x:f>IF(A553="","",IF(ROWS($A$5:A553)&lt;=COUNTA('Raw Decommissioning'!$B$2:$B$1000),"Decommissioning","Provisioning"))</x:f>
        <x:v>Provisioning</x:v>
      </x:c>
      <x:c r="C553" s="170" t="str">
        <x:f>IF(A553="","",IF(B553="Decommissioning",IFERROR(INDEX('Raw Decommissioning'!$E$2:$E$1000,MATCH(A553,'Raw Decommissioning'!$B$2:$B$1000,0)),"Missing from latest raw"),IFERROR(INDEX('Raw Provisioning'!$E$2:$E$1000,MATCH(A553,'Raw Provisioning'!$B$2:$B$1000,0)),"Missing from latest raw")))</x:f>
        <x:v>completed</x:v>
      </x:c>
      <x:c r="D553" s="171" t="n">
        <x:f>IF(A553="","",'Refresh Control'!$B$4)</x:f>
        <x:v>46254</x:v>
      </x:c>
      <x:c r="E553" s="171" t="n">
        <x:f>IF(A553="","",IF(B553="Decommissioning",INDEX('Raw Decommissioning'!$F$2:$F$1000,ROWS($A$5:A553)),INDEX('Raw Provisioning'!$F$2:$F$1000,ROWS($A$5:A553)-COUNTA('Raw Decommissioning'!$B$2:$B$1000))))</x:f>
        <x:v>46183.3854475</x:v>
      </x:c>
      <x:c r="F553" s="171" t="n">
        <x:f>IF(A553="","",IF(B553="Decommissioning",INDEX('Raw Decommissioning'!$G$2:$G$1000,ROWS($A$5:A553)),INDEX('Raw Provisioning'!$H$2:$H$1000,ROWS($A$5:A553)-COUNTA('Raw Decommissioning'!$B$2:$B$1000))))</x:f>
        <x:v>46196.34088435185</x:v>
      </x:c>
      <x:c r="G553" s="170" t="str">
        <x:f>IF(A553="","",IF(B553="Decommissioning",INDEX('Raw Decommissioning'!$I$2:$I$1000,ROWS($A$5:A553)),INDEX('Raw Provisioning'!$J$2:$J$1000,ROWS($A$5:A553)-COUNTA('Raw Decommissioning'!$B$2:$B$1000))))</x:f>
        <x:v>Integrated Asset Modelling - IAM for ENIGMA SEARAH</x:v>
      </x:c>
      <x:c r="H553" s="170" t="str">
        <x:f>IF(A553="","",IF(B553="Decommissioning",INDEX('Raw Decommissioning'!$J$2:$J$1000,ROWS($A$5:A553)),INDEX('Raw Provisioning'!$L$2:$L$1000,ROWS($A$5:A553)-COUNTA('Raw Decommissioning'!$B$2:$B$1000))))</x:f>
        <x:v>ENIGMA JV (Production): Implementing New Subscriptions for MacCo_IAM</x:v>
      </x:c>
      <x:c r="I553" s="170" t="str">
        <x:f>IF(A553="","",IF(B553="Decommissioning",INDEX('Raw Decommissioning'!$AL$2:$AL$1000,ROWS($A$5:A553)),INDEX('Raw Provisioning'!$R$2:$R$1000,ROWS($A$5:A553)-COUNTA('Raw Decommissioning'!$B$2:$B$1000))))</x:f>
        <x:v>M</x:v>
      </x:c>
      <x:c r="J553" s="170" t="str">
        <x:f>IF(A553="","",IF(B553="Decommissioning",INDEX('Raw Decommissioning'!$AG$2:$AG$1000,ROWS($A$5:A553)),INDEX('Raw Provisioning'!$AI$2:$AI$1000,ROWS($A$5:A553)-COUNTA('Raw Decommissioning'!$B$2:$B$1000))))</x:f>
        <x:v>mfirdaus.fadlizam@petronas.com</x:v>
      </x:c>
      <x:c r="K553" s="172" t="str">
        <x:f>IF(A553="","",IFERROR(LOOKUP(2,1/('Assignment History'!$B$5:$B$204=A553),'Assignment History'!$D$5:$D$204),IFERROR(VLOOKUP(J553,Configuration!$L$5:$M$50,2,FALSE),J553)))</x:f>
        <x:v>mfirdaus.fadlizam@petronas.com</x:v>
      </x:c>
      <x:c r="L553" s="172" t="str">
        <x:f>IF(A553="","",IF(K553=IFERROR(VLOOKUP(J553,Configuration!$L$5:$M$50,2,FALSE),J553),"Snapshot PIC","Replacement PIC"))</x:f>
        <x:v>Snapshot PIC</x:v>
      </x:c>
      <x:c r="M553" s="172" t="n">
        <x:f>IF(A553="","",IFERROR(VLOOKUP(I553,Configuration!$O$5:$P$8,2,FALSE),Configuration!$S$6))</x:f>
        <x:v>2</x:v>
      </x:c>
      <x:c r="N553" s="172" t="str">
        <x:f>IF(A553="","",IFERROR(LOOKUP(2,1/('Scope Review'!$B$5:$B$204=A553),'Scope Review'!$G$5:$G$204),"Not Reviewed"))</x:f>
        <x:v>Not Reviewed</x:v>
      </x:c>
      <x:c r="O553" s="172" t="str">
        <x:f>IF(A553="","",IFERROR(LOOKUP(2,1/('Scope Review'!$B$5:$B$204=A553),'Scope Review'!$H$5:$H$204),""))</x:f>
      </x:c>
      <x:c r="P553" s="172" t="n">
        <x:f>IF(A553="","",IF(AND(C553="executing",N553&lt;&gt;"Confirmed OOS"),M553,0))</x:f>
        <x:v>0</x:v>
      </x:c>
      <x:c r="Q553" s="173" t="str">
        <x:f>IF(A553="","",IFERROR(LOOKUP(2,1/('Engineer Updates'!$B$5:$B$704=A553),'Engineer Updates'!$A$5:$A$704),""))</x:f>
      </x:c>
      <x:c r="R553" s="172" t="str">
        <x:f>IF(A553="","",IFERROR(LOOKUP(2,1/('Engineer Updates'!$B$5:$B$704=A553),'Engineer Updates'!$H$5:$H$704),""))</x:f>
      </x:c>
      <x:c r="S553" s="172" t="str">
        <x:f>IF(A553="","",IFERROR(LOOKUP(2,1/('Engineer Updates'!$B$5:$B$704=A553),'Engineer Updates'!$G$5:$G$704),""))</x:f>
      </x:c>
      <x:c r="T553" s="172" t="str">
        <x:f>IF(A553="","",IFERROR(LOOKUP(2,1/('Engineer Updates'!$B$5:$B$704=A553),'Engineer Updates'!$I$5:$I$704),""))</x:f>
      </x:c>
      <x:c r="U553" s="172" t="str">
        <x:f>IF(A553="","",IFERROR(LOOKUP(2,1/('Engineer Updates'!$B$5:$B$704=A553),'Engineer Updates'!$J$5:$J$704),""))</x:f>
      </x:c>
      <x:c r="V553" s="172" t="str">
        <x:f>IF(A553="","",IFERROR(LOOKUP(2,1/('Engineer Updates'!$B$5:$B$704=A553),'Engineer Updates'!$K$5:$K$704),""))</x:f>
      </x:c>
      <x:c r="W553" s="174" t="str">
        <x:f>IF(A553="","",IFERROR(LOOKUP(2,1/('Engineer Updates'!$B$5:$B$704=A553),'Engineer Updates'!$L$5:$L$704),""))</x:f>
      </x:c>
      <x:c r="X553" s="170" t="str">
        <x:f>IF(A553="","",IF(C553="completed","Completed in CSSP",IF(AND(C553="executing",ISERROR(SEARCH("@",K553))),"Executing without named engineer",IF(AND(N553="Confirmed OOS",C553="executing"),"Confirmed OOS still executing",""))))</x:f>
        <x:v>Completed in CSSP</x:v>
      </x:c>
      <x:c r="Y553" s="170" t="str">
        <x:f>IF(A553="","",IF(B553="Decommissioning","Raw Decommissioning","Raw Provisioning"))</x:f>
        <x:v>Raw Provisioning</x:v>
      </x:c>
      <x:c r="Z553" s="170" t="str">
        <x:f>IF(A553="","",IF(OR(C553="executing",C553="processing"),"Yes","No"))</x:f>
        <x:v>No</x:v>
      </x:c>
    </x:row>
    <x:row r="554">
      <x:c r="A554" s="170" t="str">
        <x:f>IF(ROWS($A$5:A554)&lt;=COUNTA('Raw Decommissioning'!$B$2:$B$1000),INDEX('Raw Decommissioning'!$B$2:$B$1000,ROWS($A$5:A554)),IF(ROWS($A$5:A554)-COUNTA('Raw Decommissioning'!$B$2:$B$1000)&lt;=COUNTA('Raw Provisioning'!$B$2:$B$1000),INDEX('Raw Provisioning'!$B$2:$B$1000,ROWS($A$5:A554)-COUNTA('Raw Decommissioning'!$B$2:$B$1000)),""))</x:f>
        <x:v>CSSP10679364</x:v>
      </x:c>
      <x:c r="B554" s="170" t="str">
        <x:f>IF(A554="","",IF(ROWS($A$5:A554)&lt;=COUNTA('Raw Decommissioning'!$B$2:$B$1000),"Decommissioning","Provisioning"))</x:f>
        <x:v>Provisioning</x:v>
      </x:c>
      <x:c r="C554" s="170" t="str">
        <x:f>IF(A554="","",IF(B554="Decommissioning",IFERROR(INDEX('Raw Decommissioning'!$E$2:$E$1000,MATCH(A554,'Raw Decommissioning'!$B$2:$B$1000,0)),"Missing from latest raw"),IFERROR(INDEX('Raw Provisioning'!$E$2:$E$1000,MATCH(A554,'Raw Provisioning'!$B$2:$B$1000,0)),"Missing from latest raw")))</x:f>
        <x:v>completed</x:v>
      </x:c>
      <x:c r="D554" s="171" t="n">
        <x:f>IF(A554="","",'Refresh Control'!$B$4)</x:f>
        <x:v>46254</x:v>
      </x:c>
      <x:c r="E554" s="171" t="n">
        <x:f>IF(A554="","",IF(B554="Decommissioning",INDEX('Raw Decommissioning'!$F$2:$F$1000,ROWS($A$5:A554)),INDEX('Raw Provisioning'!$F$2:$F$1000,ROWS($A$5:A554)-COUNTA('Raw Decommissioning'!$B$2:$B$1000))))</x:f>
        <x:v>46184.093361770836</x:v>
      </x:c>
      <x:c r="F554" s="171" t="n">
        <x:f>IF(A554="","",IF(B554="Decommissioning",INDEX('Raw Decommissioning'!$G$2:$G$1000,ROWS($A$5:A554)),INDEX('Raw Provisioning'!$H$2:$H$1000,ROWS($A$5:A554)-COUNTA('Raw Decommissioning'!$B$2:$B$1000))))</x:f>
        <x:v>46196.167159143515</x:v>
      </x:c>
      <x:c r="G554" s="170" t="str">
        <x:f>IF(A554="","",IF(B554="Decommissioning",INDEX('Raw Decommissioning'!$I$2:$I$1000,ROWS($A$5:A554)),INDEX('Raw Provisioning'!$J$2:$J$1000,ROWS($A$5:A554)-COUNTA('Raw Decommissioning'!$B$2:$B$1000))))</x:f>
        <x:v>Lab Information Management System - LIMS for ENIGMA SEARAH</x:v>
      </x:c>
      <x:c r="H554" s="170" t="str">
        <x:f>IF(A554="","",IF(B554="Decommissioning",INDEX('Raw Decommissioning'!$J$2:$J$1000,ROWS($A$5:A554)),INDEX('Raw Provisioning'!$L$2:$L$1000,ROWS($A$5:A554)-COUNTA('Raw Decommissioning'!$B$2:$B$1000))))</x:f>
        <x:v>ENIGMA JV (Production): Implementing New Subscriptions for MacCo_LIMS</x:v>
      </x:c>
      <x:c r="I554" s="170" t="str">
        <x:f>IF(A554="","",IF(B554="Decommissioning",INDEX('Raw Decommissioning'!$AL$2:$AL$1000,ROWS($A$5:A554)),INDEX('Raw Provisioning'!$R$2:$R$1000,ROWS($A$5:A554)-COUNTA('Raw Decommissioning'!$B$2:$B$1000))))</x:f>
        <x:v>M</x:v>
      </x:c>
      <x:c r="J554" s="170" t="str">
        <x:f>IF(A554="","",IF(B554="Decommissioning",INDEX('Raw Decommissioning'!$AG$2:$AG$1000,ROWS($A$5:A554)),INDEX('Raw Provisioning'!$AI$2:$AI$1000,ROWS($A$5:A554)-COUNTA('Raw Decommissioning'!$B$2:$B$1000))))</x:f>
        <x:v>afnanfarhan.dzaharud@petronas.com</x:v>
      </x:c>
      <x:c r="K554" s="172" t="str">
        <x:f>IF(A554="","",IFERROR(LOOKUP(2,1/('Assignment History'!$B$5:$B$204=A554),'Assignment History'!$D$5:$D$204),IFERROR(VLOOKUP(J554,Configuration!$L$5:$M$50,2,FALSE),J554)))</x:f>
        <x:v>afnanfarhan.dzaharud@petronas.com</x:v>
      </x:c>
      <x:c r="L554" s="172" t="str">
        <x:f>IF(A554="","",IF(K554=IFERROR(VLOOKUP(J554,Configuration!$L$5:$M$50,2,FALSE),J554),"Snapshot PIC","Replacement PIC"))</x:f>
        <x:v>Snapshot PIC</x:v>
      </x:c>
      <x:c r="M554" s="172" t="n">
        <x:f>IF(A554="","",IFERROR(VLOOKUP(I554,Configuration!$O$5:$P$8,2,FALSE),Configuration!$S$6))</x:f>
        <x:v>2</x:v>
      </x:c>
      <x:c r="N554" s="172" t="str">
        <x:f>IF(A554="","",IFERROR(LOOKUP(2,1/('Scope Review'!$B$5:$B$204=A554),'Scope Review'!$G$5:$G$204),"Not Reviewed"))</x:f>
        <x:v>Not Reviewed</x:v>
      </x:c>
      <x:c r="O554" s="172" t="str">
        <x:f>IF(A554="","",IFERROR(LOOKUP(2,1/('Scope Review'!$B$5:$B$204=A554),'Scope Review'!$H$5:$H$204),""))</x:f>
      </x:c>
      <x:c r="P554" s="172" t="n">
        <x:f>IF(A554="","",IF(AND(C554="executing",N554&lt;&gt;"Confirmed OOS"),M554,0))</x:f>
        <x:v>0</x:v>
      </x:c>
      <x:c r="Q554" s="173" t="str">
        <x:f>IF(A554="","",IFERROR(LOOKUP(2,1/('Engineer Updates'!$B$5:$B$704=A554),'Engineer Updates'!$A$5:$A$704),""))</x:f>
      </x:c>
      <x:c r="R554" s="172" t="str">
        <x:f>IF(A554="","",IFERROR(LOOKUP(2,1/('Engineer Updates'!$B$5:$B$704=A554),'Engineer Updates'!$H$5:$H$704),""))</x:f>
      </x:c>
      <x:c r="S554" s="172" t="str">
        <x:f>IF(A554="","",IFERROR(LOOKUP(2,1/('Engineer Updates'!$B$5:$B$704=A554),'Engineer Updates'!$G$5:$G$704),""))</x:f>
      </x:c>
      <x:c r="T554" s="172" t="str">
        <x:f>IF(A554="","",IFERROR(LOOKUP(2,1/('Engineer Updates'!$B$5:$B$704=A554),'Engineer Updates'!$I$5:$I$704),""))</x:f>
      </x:c>
      <x:c r="U554" s="172" t="str">
        <x:f>IF(A554="","",IFERROR(LOOKUP(2,1/('Engineer Updates'!$B$5:$B$704=A554),'Engineer Updates'!$J$5:$J$704),""))</x:f>
      </x:c>
      <x:c r="V554" s="172" t="str">
        <x:f>IF(A554="","",IFERROR(LOOKUP(2,1/('Engineer Updates'!$B$5:$B$704=A554),'Engineer Updates'!$K$5:$K$704),""))</x:f>
      </x:c>
      <x:c r="W554" s="174" t="str">
        <x:f>IF(A554="","",IFERROR(LOOKUP(2,1/('Engineer Updates'!$B$5:$B$704=A554),'Engineer Updates'!$L$5:$L$704),""))</x:f>
      </x:c>
      <x:c r="X554" s="170" t="str">
        <x:f>IF(A554="","",IF(C554="completed","Completed in CSSP",IF(AND(C554="executing",ISERROR(SEARCH("@",K554))),"Executing without named engineer",IF(AND(N554="Confirmed OOS",C554="executing"),"Confirmed OOS still executing",""))))</x:f>
        <x:v>Completed in CSSP</x:v>
      </x:c>
      <x:c r="Y554" s="170" t="str">
        <x:f>IF(A554="","",IF(B554="Decommissioning","Raw Decommissioning","Raw Provisioning"))</x:f>
        <x:v>Raw Provisioning</x:v>
      </x:c>
      <x:c r="Z554" s="170" t="str">
        <x:f>IF(A554="","",IF(OR(C554="executing",C554="processing"),"Yes","No"))</x:f>
        <x:v>No</x:v>
      </x:c>
    </x:row>
    <x:row r="555">
      <x:c r="A555" s="170" t="str">
        <x:f>IF(ROWS($A$5:A555)&lt;=COUNTA('Raw Decommissioning'!$B$2:$B$1000),INDEX('Raw Decommissioning'!$B$2:$B$1000,ROWS($A$5:A555)),IF(ROWS($A$5:A555)-COUNTA('Raw Decommissioning'!$B$2:$B$1000)&lt;=COUNTA('Raw Provisioning'!$B$2:$B$1000),INDEX('Raw Provisioning'!$B$2:$B$1000,ROWS($A$5:A555)-COUNTA('Raw Decommissioning'!$B$2:$B$1000)),""))</x:f>
        <x:v>CSSP10856107</x:v>
      </x:c>
      <x:c r="B555" s="170" t="str">
        <x:f>IF(A555="","",IF(ROWS($A$5:A555)&lt;=COUNTA('Raw Decommissioning'!$B$2:$B$1000),"Decommissioning","Provisioning"))</x:f>
        <x:v>Provisioning</x:v>
      </x:c>
      <x:c r="C555" s="170" t="str">
        <x:f>IF(A555="","",IF(B555="Decommissioning",IFERROR(INDEX('Raw Decommissioning'!$E$2:$E$1000,MATCH(A555,'Raw Decommissioning'!$B$2:$B$1000,0)),"Missing from latest raw"),IFERROR(INDEX('Raw Provisioning'!$E$2:$E$1000,MATCH(A555,'Raw Provisioning'!$B$2:$B$1000,0)),"Missing from latest raw")))</x:f>
        <x:v>completed</x:v>
      </x:c>
      <x:c r="D555" s="171" t="n">
        <x:f>IF(A555="","",'Refresh Control'!$B$4)</x:f>
        <x:v>46254</x:v>
      </x:c>
      <x:c r="E555" s="171" t="n">
        <x:f>IF(A555="","",IF(B555="Decommissioning",INDEX('Raw Decommissioning'!$F$2:$F$1000,ROWS($A$5:A555)),INDEX('Raw Provisioning'!$F$2:$F$1000,ROWS($A$5:A555)-COUNTA('Raw Decommissioning'!$B$2:$B$1000))))</x:f>
        <x:v>46191.31653087963</x:v>
      </x:c>
      <x:c r="F555" s="171" t="n">
        <x:f>IF(A555="","",IF(B555="Decommissioning",INDEX('Raw Decommissioning'!$G$2:$G$1000,ROWS($A$5:A555)),INDEX('Raw Provisioning'!$H$2:$H$1000,ROWS($A$5:A555)-COUNTA('Raw Decommissioning'!$B$2:$B$1000))))</x:f>
        <x:v>46204.112240856484</x:v>
      </x:c>
      <x:c r="G555" s="170" t="str">
        <x:f>IF(A555="","",IF(B555="Decommissioning",INDEX('Raw Decommissioning'!$I$2:$I$1000,ROWS($A$5:A555)),INDEX('Raw Provisioning'!$J$2:$J$1000,ROWS($A$5:A555)-COUNTA('Raw Decommissioning'!$B$2:$B$1000))))</x:f>
        <x:v>GPE Digital Platform</x:v>
      </x:c>
      <x:c r="H555" s="170" t="str">
        <x:f>IF(A555="","",IF(B555="Decommissioning",INDEX('Raw Decommissioning'!$J$2:$J$1000,ROWS($A$5:A555)),INDEX('Raw Provisioning'!$L$2:$L$1000,ROWS($A$5:A555)-COUNTA('Raw Decommissioning'!$B$2:$B$1000))))</x:f>
        <x:v>Quality Suite</x:v>
      </x:c>
      <x:c r="I555" s="170" t="str">
        <x:f>IF(A555="","",IF(B555="Decommissioning",INDEX('Raw Decommissioning'!$AL$2:$AL$1000,ROWS($A$5:A555)),INDEX('Raw Provisioning'!$R$2:$R$1000,ROWS($A$5:A555)-COUNTA('Raw Decommissioning'!$B$2:$B$1000))))</x:f>
        <x:v>M</x:v>
      </x:c>
      <x:c r="J555" s="170" t="str">
        <x:f>IF(A555="","",IF(B555="Decommissioning",INDEX('Raw Decommissioning'!$AG$2:$AG$1000,ROWS($A$5:A555)),INDEX('Raw Provisioning'!$AI$2:$AI$1000,ROWS($A$5:A555)-COUNTA('Raw Decommissioning'!$B$2:$B$1000))))</x:f>
        <x:v>azhan.shazeli@petronas.com</x:v>
      </x:c>
      <x:c r="K555" s="172" t="str">
        <x:f>IF(A555="","",IFERROR(LOOKUP(2,1/('Assignment History'!$B$5:$B$204=A555),'Assignment History'!$D$5:$D$204),IFERROR(VLOOKUP(J555,Configuration!$L$5:$M$50,2,FALSE),J555)))</x:f>
        <x:v>azhan.shazeli@petronas.com</x:v>
      </x:c>
      <x:c r="L555" s="172" t="str">
        <x:f>IF(A555="","",IF(K555=IFERROR(VLOOKUP(J555,Configuration!$L$5:$M$50,2,FALSE),J555),"Snapshot PIC","Replacement PIC"))</x:f>
        <x:v>Snapshot PIC</x:v>
      </x:c>
      <x:c r="M555" s="172" t="n">
        <x:f>IF(A555="","",IFERROR(VLOOKUP(I555,Configuration!$O$5:$P$8,2,FALSE),Configuration!$S$6))</x:f>
        <x:v>2</x:v>
      </x:c>
      <x:c r="N555" s="172" t="str">
        <x:f>IF(A555="","",IFERROR(LOOKUP(2,1/('Scope Review'!$B$5:$B$204=A555),'Scope Review'!$G$5:$G$204),"Not Reviewed"))</x:f>
        <x:v>Not Reviewed</x:v>
      </x:c>
      <x:c r="O555" s="172" t="str">
        <x:f>IF(A555="","",IFERROR(LOOKUP(2,1/('Scope Review'!$B$5:$B$204=A555),'Scope Review'!$H$5:$H$204),""))</x:f>
      </x:c>
      <x:c r="P555" s="172" t="n">
        <x:f>IF(A555="","",IF(AND(C555="executing",N555&lt;&gt;"Confirmed OOS"),M555,0))</x:f>
        <x:v>0</x:v>
      </x:c>
      <x:c r="Q555" s="173" t="str">
        <x:f>IF(A555="","",IFERROR(LOOKUP(2,1/('Engineer Updates'!$B$5:$B$704=A555),'Engineer Updates'!$A$5:$A$704),""))</x:f>
      </x:c>
      <x:c r="R555" s="172" t="str">
        <x:f>IF(A555="","",IFERROR(LOOKUP(2,1/('Engineer Updates'!$B$5:$B$704=A555),'Engineer Updates'!$H$5:$H$704),""))</x:f>
      </x:c>
      <x:c r="S555" s="172" t="str">
        <x:f>IF(A555="","",IFERROR(LOOKUP(2,1/('Engineer Updates'!$B$5:$B$704=A555),'Engineer Updates'!$G$5:$G$704),""))</x:f>
      </x:c>
      <x:c r="T555" s="172" t="str">
        <x:f>IF(A555="","",IFERROR(LOOKUP(2,1/('Engineer Updates'!$B$5:$B$704=A555),'Engineer Updates'!$I$5:$I$704),""))</x:f>
      </x:c>
      <x:c r="U555" s="172" t="str">
        <x:f>IF(A555="","",IFERROR(LOOKUP(2,1/('Engineer Updates'!$B$5:$B$704=A555),'Engineer Updates'!$J$5:$J$704),""))</x:f>
      </x:c>
      <x:c r="V555" s="172" t="str">
        <x:f>IF(A555="","",IFERROR(LOOKUP(2,1/('Engineer Updates'!$B$5:$B$704=A555),'Engineer Updates'!$K$5:$K$704),""))</x:f>
      </x:c>
      <x:c r="W555" s="174" t="str">
        <x:f>IF(A555="","",IFERROR(LOOKUP(2,1/('Engineer Updates'!$B$5:$B$704=A555),'Engineer Updates'!$L$5:$L$704),""))</x:f>
      </x:c>
      <x:c r="X555" s="170" t="str">
        <x:f>IF(A555="","",IF(C555="completed","Completed in CSSP",IF(AND(C555="executing",ISERROR(SEARCH("@",K555))),"Executing without named engineer",IF(AND(N555="Confirmed OOS",C555="executing"),"Confirmed OOS still executing",""))))</x:f>
        <x:v>Completed in CSSP</x:v>
      </x:c>
      <x:c r="Y555" s="170" t="str">
        <x:f>IF(A555="","",IF(B555="Decommissioning","Raw Decommissioning","Raw Provisioning"))</x:f>
        <x:v>Raw Provisioning</x:v>
      </x:c>
      <x:c r="Z555" s="170" t="str">
        <x:f>IF(A555="","",IF(OR(C555="executing",C555="processing"),"Yes","No"))</x:f>
        <x:v>No</x:v>
      </x:c>
    </x:row>
    <x:row r="556">
      <x:c r="A556" s="170" t="str">
        <x:f>IF(ROWS($A$5:A556)&lt;=COUNTA('Raw Decommissioning'!$B$2:$B$1000),INDEX('Raw Decommissioning'!$B$2:$B$1000,ROWS($A$5:A556)),IF(ROWS($A$5:A556)-COUNTA('Raw Decommissioning'!$B$2:$B$1000)&lt;=COUNTA('Raw Provisioning'!$B$2:$B$1000),INDEX('Raw Provisioning'!$B$2:$B$1000,ROWS($A$5:A556)-COUNTA('Raw Decommissioning'!$B$2:$B$1000)),""))</x:f>
        <x:v>CSSP10846792</x:v>
      </x:c>
      <x:c r="B556" s="170" t="str">
        <x:f>IF(A556="","",IF(ROWS($A$5:A556)&lt;=COUNTA('Raw Decommissioning'!$B$2:$B$1000),"Decommissioning","Provisioning"))</x:f>
        <x:v>Provisioning</x:v>
      </x:c>
      <x:c r="C556" s="170" t="str">
        <x:f>IF(A556="","",IF(B556="Decommissioning",IFERROR(INDEX('Raw Decommissioning'!$E$2:$E$1000,MATCH(A556,'Raw Decommissioning'!$B$2:$B$1000,0)),"Missing from latest raw"),IFERROR(INDEX('Raw Provisioning'!$E$2:$E$1000,MATCH(A556,'Raw Provisioning'!$B$2:$B$1000,0)),"Missing from latest raw")))</x:f>
        <x:v>completed</x:v>
      </x:c>
      <x:c r="D556" s="171" t="n">
        <x:f>IF(A556="","",'Refresh Control'!$B$4)</x:f>
        <x:v>46254</x:v>
      </x:c>
      <x:c r="E556" s="171" t="n">
        <x:f>IF(A556="","",IF(B556="Decommissioning",INDEX('Raw Decommissioning'!$F$2:$F$1000,ROWS($A$5:A556)),INDEX('Raw Provisioning'!$F$2:$F$1000,ROWS($A$5:A556)-COUNTA('Raw Decommissioning'!$B$2:$B$1000))))</x:f>
        <x:v>46191.32075788194</x:v>
      </x:c>
      <x:c r="F556" s="171" t="n">
        <x:f>IF(A556="","",IF(B556="Decommissioning",INDEX('Raw Decommissioning'!$G$2:$G$1000,ROWS($A$5:A556)),INDEX('Raw Provisioning'!$H$2:$H$1000,ROWS($A$5:A556)-COUNTA('Raw Decommissioning'!$B$2:$B$1000))))</x:f>
        <x:v>46204.112013784725</x:v>
      </x:c>
      <x:c r="G556" s="170" t="str">
        <x:f>IF(A556="","",IF(B556="Decommissioning",INDEX('Raw Decommissioning'!$I$2:$I$1000,ROWS($A$5:A556)),INDEX('Raw Provisioning'!$J$2:$J$1000,ROWS($A$5:A556)-COUNTA('Raw Decommissioning'!$B$2:$B$1000))))</x:f>
        <x:v>GPE Digital Platform</x:v>
      </x:c>
      <x:c r="H556" s="170" t="str">
        <x:f>IF(A556="","",IF(B556="Decommissioning",INDEX('Raw Decommissioning'!$J$2:$J$1000,ROWS($A$5:A556)),INDEX('Raw Provisioning'!$L$2:$L$1000,ROWS($A$5:A556)-COUNTA('Raw Decommissioning'!$B$2:$B$1000))))</x:f>
        <x:v>Quality Suite</x:v>
      </x:c>
      <x:c r="I556" s="170" t="str">
        <x:f>IF(A556="","",IF(B556="Decommissioning",INDEX('Raw Decommissioning'!$AL$2:$AL$1000,ROWS($A$5:A556)),INDEX('Raw Provisioning'!$R$2:$R$1000,ROWS($A$5:A556)-COUNTA('Raw Decommissioning'!$B$2:$B$1000))))</x:f>
        <x:v>M</x:v>
      </x:c>
      <x:c r="J556" s="170" t="str">
        <x:f>IF(A556="","",IF(B556="Decommissioning",INDEX('Raw Decommissioning'!$AG$2:$AG$1000,ROWS($A$5:A556)),INDEX('Raw Provisioning'!$AI$2:$AI$1000,ROWS($A$5:A556)-COUNTA('Raw Decommissioning'!$B$2:$B$1000))))</x:f>
        <x:v>azhan.shazeli@petronas.com</x:v>
      </x:c>
      <x:c r="K556" s="172" t="str">
        <x:f>IF(A556="","",IFERROR(LOOKUP(2,1/('Assignment History'!$B$5:$B$204=A556),'Assignment History'!$D$5:$D$204),IFERROR(VLOOKUP(J556,Configuration!$L$5:$M$50,2,FALSE),J556)))</x:f>
        <x:v>azhan.shazeli@petronas.com</x:v>
      </x:c>
      <x:c r="L556" s="172" t="str">
        <x:f>IF(A556="","",IF(K556=IFERROR(VLOOKUP(J556,Configuration!$L$5:$M$50,2,FALSE),J556),"Snapshot PIC","Replacement PIC"))</x:f>
        <x:v>Snapshot PIC</x:v>
      </x:c>
      <x:c r="M556" s="172" t="n">
        <x:f>IF(A556="","",IFERROR(VLOOKUP(I556,Configuration!$O$5:$P$8,2,FALSE),Configuration!$S$6))</x:f>
        <x:v>2</x:v>
      </x:c>
      <x:c r="N556" s="172" t="str">
        <x:f>IF(A556="","",IFERROR(LOOKUP(2,1/('Scope Review'!$B$5:$B$204=A556),'Scope Review'!$G$5:$G$204),"Not Reviewed"))</x:f>
        <x:v>Not Reviewed</x:v>
      </x:c>
      <x:c r="O556" s="172" t="str">
        <x:f>IF(A556="","",IFERROR(LOOKUP(2,1/('Scope Review'!$B$5:$B$204=A556),'Scope Review'!$H$5:$H$204),""))</x:f>
      </x:c>
      <x:c r="P556" s="172" t="n">
        <x:f>IF(A556="","",IF(AND(C556="executing",N556&lt;&gt;"Confirmed OOS"),M556,0))</x:f>
        <x:v>0</x:v>
      </x:c>
      <x:c r="Q556" s="173" t="str">
        <x:f>IF(A556="","",IFERROR(LOOKUP(2,1/('Engineer Updates'!$B$5:$B$704=A556),'Engineer Updates'!$A$5:$A$704),""))</x:f>
      </x:c>
      <x:c r="R556" s="172" t="str">
        <x:f>IF(A556="","",IFERROR(LOOKUP(2,1/('Engineer Updates'!$B$5:$B$704=A556),'Engineer Updates'!$H$5:$H$704),""))</x:f>
      </x:c>
      <x:c r="S556" s="172" t="str">
        <x:f>IF(A556="","",IFERROR(LOOKUP(2,1/('Engineer Updates'!$B$5:$B$704=A556),'Engineer Updates'!$G$5:$G$704),""))</x:f>
      </x:c>
      <x:c r="T556" s="172" t="str">
        <x:f>IF(A556="","",IFERROR(LOOKUP(2,1/('Engineer Updates'!$B$5:$B$704=A556),'Engineer Updates'!$I$5:$I$704),""))</x:f>
      </x:c>
      <x:c r="U556" s="172" t="str">
        <x:f>IF(A556="","",IFERROR(LOOKUP(2,1/('Engineer Updates'!$B$5:$B$704=A556),'Engineer Updates'!$J$5:$J$704),""))</x:f>
      </x:c>
      <x:c r="V556" s="172" t="str">
        <x:f>IF(A556="","",IFERROR(LOOKUP(2,1/('Engineer Updates'!$B$5:$B$704=A556),'Engineer Updates'!$K$5:$K$704),""))</x:f>
      </x:c>
      <x:c r="W556" s="174" t="str">
        <x:f>IF(A556="","",IFERROR(LOOKUP(2,1/('Engineer Updates'!$B$5:$B$704=A556),'Engineer Updates'!$L$5:$L$704),""))</x:f>
      </x:c>
      <x:c r="X556" s="170" t="str">
        <x:f>IF(A556="","",IF(C556="completed","Completed in CSSP",IF(AND(C556="executing",ISERROR(SEARCH("@",K556))),"Executing without named engineer",IF(AND(N556="Confirmed OOS",C556="executing"),"Confirmed OOS still executing",""))))</x:f>
        <x:v>Completed in CSSP</x:v>
      </x:c>
      <x:c r="Y556" s="170" t="str">
        <x:f>IF(A556="","",IF(B556="Decommissioning","Raw Decommissioning","Raw Provisioning"))</x:f>
        <x:v>Raw Provisioning</x:v>
      </x:c>
      <x:c r="Z556" s="170" t="str">
        <x:f>IF(A556="","",IF(OR(C556="executing",C556="processing"),"Yes","No"))</x:f>
        <x:v>No</x:v>
      </x:c>
    </x:row>
    <x:row r="557">
      <x:c r="A557" s="170" t="str">
        <x:f>IF(ROWS($A$5:A557)&lt;=COUNTA('Raw Decommissioning'!$B$2:$B$1000),INDEX('Raw Decommissioning'!$B$2:$B$1000,ROWS($A$5:A557)),IF(ROWS($A$5:A557)-COUNTA('Raw Decommissioning'!$B$2:$B$1000)&lt;=COUNTA('Raw Provisioning'!$B$2:$B$1000),INDEX('Raw Provisioning'!$B$2:$B$1000,ROWS($A$5:A557)-COUNTA('Raw Decommissioning'!$B$2:$B$1000)),""))</x:f>
        <x:v>CSSP10346689</x:v>
      </x:c>
      <x:c r="B557" s="170" t="str">
        <x:f>IF(A557="","",IF(ROWS($A$5:A557)&lt;=COUNTA('Raw Decommissioning'!$B$2:$B$1000),"Decommissioning","Provisioning"))</x:f>
        <x:v>Provisioning</x:v>
      </x:c>
      <x:c r="C557" s="170" t="str">
        <x:f>IF(A557="","",IF(B557="Decommissioning",IFERROR(INDEX('Raw Decommissioning'!$E$2:$E$1000,MATCH(A557,'Raw Decommissioning'!$B$2:$B$1000,0)),"Missing from latest raw"),IFERROR(INDEX('Raw Provisioning'!$E$2:$E$1000,MATCH(A557,'Raw Provisioning'!$B$2:$B$1000,0)),"Missing from latest raw")))</x:f>
        <x:v>completed</x:v>
      </x:c>
      <x:c r="D557" s="171" t="n">
        <x:f>IF(A557="","",'Refresh Control'!$B$4)</x:f>
        <x:v>46254</x:v>
      </x:c>
      <x:c r="E557" s="171" t="n">
        <x:f>IF(A557="","",IF(B557="Decommissioning",INDEX('Raw Decommissioning'!$F$2:$F$1000,ROWS($A$5:A557)),INDEX('Raw Provisioning'!$F$2:$F$1000,ROWS($A$5:A557)-COUNTA('Raw Decommissioning'!$B$2:$B$1000))))</x:f>
        <x:v>46191.41466510417</x:v>
      </x:c>
      <x:c r="F557" s="171" t="n">
        <x:f>IF(A557="","",IF(B557="Decommissioning",INDEX('Raw Decommissioning'!$G$2:$G$1000,ROWS($A$5:A557)),INDEX('Raw Provisioning'!$H$2:$H$1000,ROWS($A$5:A557)-COUNTA('Raw Decommissioning'!$B$2:$B$1000))))</x:f>
        <x:v>46218.1341944213</x:v>
      </x:c>
      <x:c r="G557" s="170" t="str">
        <x:f>IF(A557="","",IF(B557="Decommissioning",INDEX('Raw Decommissioning'!$I$2:$I$1000,ROWS($A$5:A557)),INDEX('Raw Provisioning'!$J$2:$J$1000,ROWS($A$5:A557)-COUNTA('Raw Decommissioning'!$B$2:$B$1000))))</x:f>
        <x:v>Zidane OVC</x:v>
      </x:c>
      <x:c r="H557" s="170" t="str">
        <x:f>IF(A557="","",IF(B557="Decommissioning",INDEX('Raw Decommissioning'!$J$2:$J$1000,ROWS($A$5:A557)),INDEX('Raw Provisioning'!$L$2:$L$1000,ROWS($A$5:A557)-COUNTA('Raw Decommissioning'!$B$2:$B$1000))))</x:f>
        <x:v>Provision of Professional Service, Software License and Infra for ArBiTra (OVC &amp; LVC) 2025 for PTLCL</x:v>
      </x:c>
      <x:c r="I557" s="170" t="str">
        <x:f>IF(A557="","",IF(B557="Decommissioning",INDEX('Raw Decommissioning'!$AL$2:$AL$1000,ROWS($A$5:A557)),INDEX('Raw Provisioning'!$R$2:$R$1000,ROWS($A$5:A557)-COUNTA('Raw Decommissioning'!$B$2:$B$1000))))</x:f>
        <x:v>L</x:v>
      </x:c>
      <x:c r="J557" s="170" t="str">
        <x:f>IF(A557="","",IF(B557="Decommissioning",INDEX('Raw Decommissioning'!$AG$2:$AG$1000,ROWS($A$5:A557)),INDEX('Raw Provisioning'!$AI$2:$AI$1000,ROWS($A$5:A557)-COUNTA('Raw Decommissioning'!$B$2:$B$1000))))</x:f>
        <x:v>izzat.romainor@petronas.com</x:v>
      </x:c>
      <x:c r="K557" s="172" t="str">
        <x:f>IF(A557="","",IFERROR(LOOKUP(2,1/('Assignment History'!$B$5:$B$204=A557),'Assignment History'!$D$5:$D$204),IFERROR(VLOOKUP(J557,Configuration!$L$5:$M$50,2,FALSE),J557)))</x:f>
        <x:v>izzat.romainor@petronas.com</x:v>
      </x:c>
      <x:c r="L557" s="172" t="str">
        <x:f>IF(A557="","",IF(K557=IFERROR(VLOOKUP(J557,Configuration!$L$5:$M$50,2,FALSE),J557),"Snapshot PIC","Replacement PIC"))</x:f>
        <x:v>Snapshot PIC</x:v>
      </x:c>
      <x:c r="M557" s="172" t="n">
        <x:f>IF(A557="","",IFERROR(VLOOKUP(I557,Configuration!$O$5:$P$8,2,FALSE),Configuration!$S$6))</x:f>
        <x:v>3</x:v>
      </x:c>
      <x:c r="N557" s="172" t="str">
        <x:f>IF(A557="","",IFERROR(LOOKUP(2,1/('Scope Review'!$B$5:$B$204=A557),'Scope Review'!$G$5:$G$204),"Not Reviewed"))</x:f>
        <x:v>Not Reviewed</x:v>
      </x:c>
      <x:c r="O557" s="172" t="str">
        <x:f>IF(A557="","",IFERROR(LOOKUP(2,1/('Scope Review'!$B$5:$B$204=A557),'Scope Review'!$H$5:$H$204),""))</x:f>
      </x:c>
      <x:c r="P557" s="172" t="n">
        <x:f>IF(A557="","",IF(AND(C557="executing",N557&lt;&gt;"Confirmed OOS"),M557,0))</x:f>
        <x:v>0</x:v>
      </x:c>
      <x:c r="Q557" s="173" t="str">
        <x:f>IF(A557="","",IFERROR(LOOKUP(2,1/('Engineer Updates'!$B$5:$B$704=A557),'Engineer Updates'!$A$5:$A$704),""))</x:f>
      </x:c>
      <x:c r="R557" s="172" t="str">
        <x:f>IF(A557="","",IFERROR(LOOKUP(2,1/('Engineer Updates'!$B$5:$B$704=A557),'Engineer Updates'!$H$5:$H$704),""))</x:f>
      </x:c>
      <x:c r="S557" s="172" t="str">
        <x:f>IF(A557="","",IFERROR(LOOKUP(2,1/('Engineer Updates'!$B$5:$B$704=A557),'Engineer Updates'!$G$5:$G$704),""))</x:f>
      </x:c>
      <x:c r="T557" s="172" t="str">
        <x:f>IF(A557="","",IFERROR(LOOKUP(2,1/('Engineer Updates'!$B$5:$B$704=A557),'Engineer Updates'!$I$5:$I$704),""))</x:f>
      </x:c>
      <x:c r="U557" s="172" t="str">
        <x:f>IF(A557="","",IFERROR(LOOKUP(2,1/('Engineer Updates'!$B$5:$B$704=A557),'Engineer Updates'!$J$5:$J$704),""))</x:f>
      </x:c>
      <x:c r="V557" s="172" t="str">
        <x:f>IF(A557="","",IFERROR(LOOKUP(2,1/('Engineer Updates'!$B$5:$B$704=A557),'Engineer Updates'!$K$5:$K$704),""))</x:f>
      </x:c>
      <x:c r="W557" s="174" t="str">
        <x:f>IF(A557="","",IFERROR(LOOKUP(2,1/('Engineer Updates'!$B$5:$B$704=A557),'Engineer Updates'!$L$5:$L$704),""))</x:f>
      </x:c>
      <x:c r="X557" s="170" t="str">
        <x:f>IF(A557="","",IF(C557="completed","Completed in CSSP",IF(AND(C557="executing",ISERROR(SEARCH("@",K557))),"Executing without named engineer",IF(AND(N557="Confirmed OOS",C557="executing"),"Confirmed OOS still executing",""))))</x:f>
        <x:v>Completed in CSSP</x:v>
      </x:c>
      <x:c r="Y557" s="170" t="str">
        <x:f>IF(A557="","",IF(B557="Decommissioning","Raw Decommissioning","Raw Provisioning"))</x:f>
        <x:v>Raw Provisioning</x:v>
      </x:c>
      <x:c r="Z557" s="170" t="str">
        <x:f>IF(A557="","",IF(OR(C557="executing",C557="processing"),"Yes","No"))</x:f>
        <x:v>No</x:v>
      </x:c>
    </x:row>
    <x:row r="558">
      <x:c r="A558" s="170" t="str">
        <x:f>IF(ROWS($A$5:A558)&lt;=COUNTA('Raw Decommissioning'!$B$2:$B$1000),INDEX('Raw Decommissioning'!$B$2:$B$1000,ROWS($A$5:A558)),IF(ROWS($A$5:A558)-COUNTA('Raw Decommissioning'!$B$2:$B$1000)&lt;=COUNTA('Raw Provisioning'!$B$2:$B$1000),INDEX('Raw Provisioning'!$B$2:$B$1000,ROWS($A$5:A558)-COUNTA('Raw Decommissioning'!$B$2:$B$1000)),""))</x:f>
        <x:v>CSSP10156823</x:v>
      </x:c>
      <x:c r="B558" s="170" t="str">
        <x:f>IF(A558="","",IF(ROWS($A$5:A558)&lt;=COUNTA('Raw Decommissioning'!$B$2:$B$1000),"Decommissioning","Provisioning"))</x:f>
        <x:v>Provisioning</x:v>
      </x:c>
      <x:c r="C558" s="170" t="str">
        <x:f>IF(A558="","",IF(B558="Decommissioning",IFERROR(INDEX('Raw Decommissioning'!$E$2:$E$1000,MATCH(A558,'Raw Decommissioning'!$B$2:$B$1000,0)),"Missing from latest raw"),IFERROR(INDEX('Raw Provisioning'!$E$2:$E$1000,MATCH(A558,'Raw Provisioning'!$B$2:$B$1000,0)),"Missing from latest raw")))</x:f>
        <x:v>rejected</x:v>
      </x:c>
      <x:c r="D558" s="171" t="n">
        <x:f>IF(A558="","",'Refresh Control'!$B$4)</x:f>
        <x:v>46254</x:v>
      </x:c>
      <x:c r="E558" s="171" t="n">
        <x:f>IF(A558="","",IF(B558="Decommissioning",INDEX('Raw Decommissioning'!$F$2:$F$1000,ROWS($A$5:A558)),INDEX('Raw Provisioning'!$F$2:$F$1000,ROWS($A$5:A558)-COUNTA('Raw Decommissioning'!$B$2:$B$1000))))</x:f>
        <x:v>46196.243857685186</x:v>
      </x:c>
      <x:c r="F558" s="171" t="n">
        <x:f>IF(A558="","",IF(B558="Decommissioning",INDEX('Raw Decommissioning'!$G$2:$G$1000,ROWS($A$5:A558)),INDEX('Raw Provisioning'!$H$2:$H$1000,ROWS($A$5:A558)-COUNTA('Raw Decommissioning'!$B$2:$B$1000))))</x:f>
        <x:v>46197.22141547454</x:v>
      </x:c>
      <x:c r="G558" s="170" t="str">
        <x:f>IF(A558="","",IF(B558="Decommissioning",INDEX('Raw Decommissioning'!$I$2:$I$1000,ROWS($A$5:A558)),INDEX('Raw Provisioning'!$J$2:$J$1000,ROWS($A$5:A558)-COUNTA('Raw Decommissioning'!$B$2:$B$1000))))</x:f>
        <x:v>Cyber Security Application Security Testing - ASTFortify</x:v>
      </x:c>
      <x:c r="H558" s="170" t="str">
        <x:f>IF(A558="","",IF(B558="Decommissioning",INDEX('Raw Decommissioning'!$J$2:$J$1000,ROWS($A$5:A558)),INDEX('Raw Provisioning'!$L$2:$L$1000,ROWS($A$5:A558)-COUNTA('Raw Decommissioning'!$B$2:$B$1000))))</x:f>
        <x:v>Fortify AST (Application Security Testing) Tool deployment and integration to DevSecOps framework</x:v>
      </x:c>
      <x:c r="I558" s="170" t="str">
        <x:f>IF(A558="","",IF(B558="Decommissioning",INDEX('Raw Decommissioning'!$AL$2:$AL$1000,ROWS($A$5:A558)),INDEX('Raw Provisioning'!$R$2:$R$1000,ROWS($A$5:A558)-COUNTA('Raw Decommissioning'!$B$2:$B$1000))))</x:f>
      </x:c>
      <x:c r="J558" s="170" t="str">
        <x:f>IF(A558="","",IF(B558="Decommissioning",INDEX('Raw Decommissioning'!$AG$2:$AG$1000,ROWS($A$5:A558)),INDEX('Raw Provisioning'!$AI$2:$AI$1000,ROWS($A$5:A558)-COUNTA('Raw Decommissioning'!$B$2:$B$1000))))</x:f>
        <x:v>CCoE Core Services (Public)</x:v>
      </x:c>
      <x:c r="K558" s="172" t="str">
        <x:f>IF(A558="","",IFERROR(LOOKUP(2,1/('Assignment History'!$B$5:$B$204=A558),'Assignment History'!$D$5:$D$204),IFERROR(VLOOKUP(J558,Configuration!$L$5:$M$50,2,FALSE),J558)))</x:f>
        <x:v>CCoE Core Services (Public)</x:v>
      </x:c>
      <x:c r="L558" s="172" t="str">
        <x:f>IF(A558="","",IF(K558=IFERROR(VLOOKUP(J558,Configuration!$L$5:$M$50,2,FALSE),J558),"Snapshot PIC","Replacement PIC"))</x:f>
        <x:v>Snapshot PIC</x:v>
      </x:c>
      <x:c r="M558" s="172" t="n">
        <x:f>IF(A558="","",IFERROR(VLOOKUP(I558,Configuration!$O$5:$P$8,2,FALSE),Configuration!$S$6))</x:f>
        <x:v>2</x:v>
      </x:c>
      <x:c r="N558" s="172" t="str">
        <x:f>IF(A558="","",IFERROR(LOOKUP(2,1/('Scope Review'!$B$5:$B$204=A558),'Scope Review'!$G$5:$G$204),"Not Reviewed"))</x:f>
        <x:v>Not Reviewed</x:v>
      </x:c>
      <x:c r="O558" s="172" t="str">
        <x:f>IF(A558="","",IFERROR(LOOKUP(2,1/('Scope Review'!$B$5:$B$204=A558),'Scope Review'!$H$5:$H$204),""))</x:f>
      </x:c>
      <x:c r="P558" s="172" t="n">
        <x:f>IF(A558="","",IF(AND(C558="executing",N558&lt;&gt;"Confirmed OOS"),M558,0))</x:f>
        <x:v>0</x:v>
      </x:c>
      <x:c r="Q558" s="173" t="str">
        <x:f>IF(A558="","",IFERROR(LOOKUP(2,1/('Engineer Updates'!$B$5:$B$704=A558),'Engineer Updates'!$A$5:$A$704),""))</x:f>
      </x:c>
      <x:c r="R558" s="172" t="str">
        <x:f>IF(A558="","",IFERROR(LOOKUP(2,1/('Engineer Updates'!$B$5:$B$704=A558),'Engineer Updates'!$H$5:$H$704),""))</x:f>
      </x:c>
      <x:c r="S558" s="172" t="str">
        <x:f>IF(A558="","",IFERROR(LOOKUP(2,1/('Engineer Updates'!$B$5:$B$704=A558),'Engineer Updates'!$G$5:$G$704),""))</x:f>
      </x:c>
      <x:c r="T558" s="172" t="str">
        <x:f>IF(A558="","",IFERROR(LOOKUP(2,1/('Engineer Updates'!$B$5:$B$704=A558),'Engineer Updates'!$I$5:$I$704),""))</x:f>
      </x:c>
      <x:c r="U558" s="172" t="str">
        <x:f>IF(A558="","",IFERROR(LOOKUP(2,1/('Engineer Updates'!$B$5:$B$704=A558),'Engineer Updates'!$J$5:$J$704),""))</x:f>
      </x:c>
      <x:c r="V558" s="172" t="str">
        <x:f>IF(A558="","",IFERROR(LOOKUP(2,1/('Engineer Updates'!$B$5:$B$704=A558),'Engineer Updates'!$K$5:$K$704),""))</x:f>
      </x:c>
      <x:c r="W558" s="174" t="str">
        <x:f>IF(A558="","",IFERROR(LOOKUP(2,1/('Engineer Updates'!$B$5:$B$704=A558),'Engineer Updates'!$L$5:$L$704),""))</x:f>
      </x:c>
      <x:c r="X558" s="170" t="str">
        <x:f>IF(A558="","",IF(C558="completed","Completed in CSSP",IF(AND(C558="executing",ISERROR(SEARCH("@",K558))),"Executing without named engineer",IF(AND(N558="Confirmed OOS",C558="executing"),"Confirmed OOS still executing",""))))</x:f>
      </x:c>
      <x:c r="Y558" s="170" t="str">
        <x:f>IF(A558="","",IF(B558="Decommissioning","Raw Decommissioning","Raw Provisioning"))</x:f>
        <x:v>Raw Provisioning</x:v>
      </x:c>
      <x:c r="Z558" s="170" t="str">
        <x:f>IF(A558="","",IF(OR(C558="executing",C558="processing"),"Yes","No"))</x:f>
        <x:v>No</x:v>
      </x:c>
    </x:row>
    <x:row r="559">
      <x:c r="A559" s="170" t="str">
        <x:f>IF(ROWS($A$5:A559)&lt;=COUNTA('Raw Decommissioning'!$B$2:$B$1000),INDEX('Raw Decommissioning'!$B$2:$B$1000,ROWS($A$5:A559)),IF(ROWS($A$5:A559)-COUNTA('Raw Decommissioning'!$B$2:$B$1000)&lt;=COUNTA('Raw Provisioning'!$B$2:$B$1000),INDEX('Raw Provisioning'!$B$2:$B$1000,ROWS($A$5:A559)-COUNTA('Raw Decommissioning'!$B$2:$B$1000)),""))</x:f>
        <x:v>CSSP10408302</x:v>
      </x:c>
      <x:c r="B559" s="170" t="str">
        <x:f>IF(A559="","",IF(ROWS($A$5:A559)&lt;=COUNTA('Raw Decommissioning'!$B$2:$B$1000),"Decommissioning","Provisioning"))</x:f>
        <x:v>Provisioning</x:v>
      </x:c>
      <x:c r="C559" s="170" t="str">
        <x:f>IF(A559="","",IF(B559="Decommissioning",IFERROR(INDEX('Raw Decommissioning'!$E$2:$E$1000,MATCH(A559,'Raw Decommissioning'!$B$2:$B$1000,0)),"Missing from latest raw"),IFERROR(INDEX('Raw Provisioning'!$E$2:$E$1000,MATCH(A559,'Raw Provisioning'!$B$2:$B$1000,0)),"Missing from latest raw")))</x:f>
        <x:v>rejected</x:v>
      </x:c>
      <x:c r="D559" s="171" t="n">
        <x:f>IF(A559="","",'Refresh Control'!$B$4)</x:f>
        <x:v>46254</x:v>
      </x:c>
      <x:c r="E559" s="171" t="n">
        <x:f>IF(A559="","",IF(B559="Decommissioning",INDEX('Raw Decommissioning'!$F$2:$F$1000,ROWS($A$5:A559)),INDEX('Raw Provisioning'!$F$2:$F$1000,ROWS($A$5:A559)-COUNTA('Raw Decommissioning'!$B$2:$B$1000))))</x:f>
        <x:v>46197.117995706016</x:v>
      </x:c>
      <x:c r="F559" s="171" t="n">
        <x:f>IF(A559="","",IF(B559="Decommissioning",INDEX('Raw Decommissioning'!$G$2:$G$1000,ROWS($A$5:A559)),INDEX('Raw Provisioning'!$H$2:$H$1000,ROWS($A$5:A559)-COUNTA('Raw Decommissioning'!$B$2:$B$1000))))</x:f>
        <x:v>46202.13216947917</x:v>
      </x:c>
      <x:c r="G559" s="170" t="str">
        <x:f>IF(A559="","",IF(B559="Decommissioning",INDEX('Raw Decommissioning'!$I$2:$I$1000,ROWS($A$5:A559)),INDEX('Raw Provisioning'!$J$2:$J$1000,ROWS($A$5:A559)-COUNTA('Raw Decommissioning'!$B$2:$B$1000))))</x:f>
        <x:v>Ansible Enterprise Configuration Management - AECM</x:v>
      </x:c>
      <x:c r="H559" s="170" t="str">
        <x:f>IF(A559="","",IF(B559="Decommissioning",INDEX('Raw Decommissioning'!$J$2:$J$1000,ROWS($A$5:A559)),INDEX('Raw Provisioning'!$L$2:$L$1000,ROWS($A$5:A559)-COUNTA('Raw Decommissioning'!$B$2:$B$1000))))</x:f>
        <x:v>Ansible Enterprise Configuration Management</x:v>
      </x:c>
      <x:c r="I559" s="170" t="str">
        <x:f>IF(A559="","",IF(B559="Decommissioning",INDEX('Raw Decommissioning'!$AL$2:$AL$1000,ROWS($A$5:A559)),INDEX('Raw Provisioning'!$R$2:$R$1000,ROWS($A$5:A559)-COUNTA('Raw Decommissioning'!$B$2:$B$1000))))</x:f>
      </x:c>
      <x:c r="J559" s="170" t="str">
        <x:f>IF(A559="","",IF(B559="Decommissioning",INDEX('Raw Decommissioning'!$AG$2:$AG$1000,ROWS($A$5:A559)),INDEX('Raw Provisioning'!$AI$2:$AI$1000,ROWS($A$5:A559)-COUNTA('Raw Decommissioning'!$B$2:$B$1000))))</x:f>
        <x:v>CCoE Core Services (Public)</x:v>
      </x:c>
      <x:c r="K559" s="172" t="str">
        <x:f>IF(A559="","",IFERROR(LOOKUP(2,1/('Assignment History'!$B$5:$B$204=A559),'Assignment History'!$D$5:$D$204),IFERROR(VLOOKUP(J559,Configuration!$L$5:$M$50,2,FALSE),J559)))</x:f>
        <x:v>CCoE Core Services (Public)</x:v>
      </x:c>
      <x:c r="L559" s="172" t="str">
        <x:f>IF(A559="","",IF(K559=IFERROR(VLOOKUP(J559,Configuration!$L$5:$M$50,2,FALSE),J559),"Snapshot PIC","Replacement PIC"))</x:f>
        <x:v>Snapshot PIC</x:v>
      </x:c>
      <x:c r="M559" s="172" t="n">
        <x:f>IF(A559="","",IFERROR(VLOOKUP(I559,Configuration!$O$5:$P$8,2,FALSE),Configuration!$S$6))</x:f>
        <x:v>2</x:v>
      </x:c>
      <x:c r="N559" s="172" t="str">
        <x:f>IF(A559="","",IFERROR(LOOKUP(2,1/('Scope Review'!$B$5:$B$204=A559),'Scope Review'!$G$5:$G$204),"Not Reviewed"))</x:f>
        <x:v>Not Reviewed</x:v>
      </x:c>
      <x:c r="O559" s="172" t="str">
        <x:f>IF(A559="","",IFERROR(LOOKUP(2,1/('Scope Review'!$B$5:$B$204=A559),'Scope Review'!$H$5:$H$204),""))</x:f>
      </x:c>
      <x:c r="P559" s="172" t="n">
        <x:f>IF(A559="","",IF(AND(C559="executing",N559&lt;&gt;"Confirmed OOS"),M559,0))</x:f>
        <x:v>0</x:v>
      </x:c>
      <x:c r="Q559" s="173" t="str">
        <x:f>IF(A559="","",IFERROR(LOOKUP(2,1/('Engineer Updates'!$B$5:$B$704=A559),'Engineer Updates'!$A$5:$A$704),""))</x:f>
      </x:c>
      <x:c r="R559" s="172" t="str">
        <x:f>IF(A559="","",IFERROR(LOOKUP(2,1/('Engineer Updates'!$B$5:$B$704=A559),'Engineer Updates'!$H$5:$H$704),""))</x:f>
      </x:c>
      <x:c r="S559" s="172" t="str">
        <x:f>IF(A559="","",IFERROR(LOOKUP(2,1/('Engineer Updates'!$B$5:$B$704=A559),'Engineer Updates'!$G$5:$G$704),""))</x:f>
      </x:c>
      <x:c r="T559" s="172" t="str">
        <x:f>IF(A559="","",IFERROR(LOOKUP(2,1/('Engineer Updates'!$B$5:$B$704=A559),'Engineer Updates'!$I$5:$I$704),""))</x:f>
      </x:c>
      <x:c r="U559" s="172" t="str">
        <x:f>IF(A559="","",IFERROR(LOOKUP(2,1/('Engineer Updates'!$B$5:$B$704=A559),'Engineer Updates'!$J$5:$J$704),""))</x:f>
      </x:c>
      <x:c r="V559" s="172" t="str">
        <x:f>IF(A559="","",IFERROR(LOOKUP(2,1/('Engineer Updates'!$B$5:$B$704=A559),'Engineer Updates'!$K$5:$K$704),""))</x:f>
      </x:c>
      <x:c r="W559" s="174" t="str">
        <x:f>IF(A559="","",IFERROR(LOOKUP(2,1/('Engineer Updates'!$B$5:$B$704=A559),'Engineer Updates'!$L$5:$L$704),""))</x:f>
      </x:c>
      <x:c r="X559" s="170" t="str">
        <x:f>IF(A559="","",IF(C559="completed","Completed in CSSP",IF(AND(C559="executing",ISERROR(SEARCH("@",K559))),"Executing without named engineer",IF(AND(N559="Confirmed OOS",C559="executing"),"Confirmed OOS still executing",""))))</x:f>
      </x:c>
      <x:c r="Y559" s="170" t="str">
        <x:f>IF(A559="","",IF(B559="Decommissioning","Raw Decommissioning","Raw Provisioning"))</x:f>
        <x:v>Raw Provisioning</x:v>
      </x:c>
      <x:c r="Z559" s="170" t="str">
        <x:f>IF(A559="","",IF(OR(C559="executing",C559="processing"),"Yes","No"))</x:f>
        <x:v>No</x:v>
      </x:c>
    </x:row>
    <x:row r="560">
      <x:c r="A560" s="170" t="str">
        <x:f>IF(ROWS($A$5:A560)&lt;=COUNTA('Raw Decommissioning'!$B$2:$B$1000),INDEX('Raw Decommissioning'!$B$2:$B$1000,ROWS($A$5:A560)),IF(ROWS($A$5:A560)-COUNTA('Raw Decommissioning'!$B$2:$B$1000)&lt;=COUNTA('Raw Provisioning'!$B$2:$B$1000),INDEX('Raw Provisioning'!$B$2:$B$1000,ROWS($A$5:A560)-COUNTA('Raw Decommissioning'!$B$2:$B$1000)),""))</x:f>
        <x:v>CSSP10577126</x:v>
      </x:c>
      <x:c r="B560" s="170" t="str">
        <x:f>IF(A560="","",IF(ROWS($A$5:A560)&lt;=COUNTA('Raw Decommissioning'!$B$2:$B$1000),"Decommissioning","Provisioning"))</x:f>
        <x:v>Provisioning</x:v>
      </x:c>
      <x:c r="C560" s="170" t="str">
        <x:f>IF(A560="","",IF(B560="Decommissioning",IFERROR(INDEX('Raw Decommissioning'!$E$2:$E$1000,MATCH(A560,'Raw Decommissioning'!$B$2:$B$1000,0)),"Missing from latest raw"),IFERROR(INDEX('Raw Provisioning'!$E$2:$E$1000,MATCH(A560,'Raw Provisioning'!$B$2:$B$1000,0)),"Missing from latest raw")))</x:f>
        <x:v>completed</x:v>
      </x:c>
      <x:c r="D560" s="171" t="n">
        <x:f>IF(A560="","",'Refresh Control'!$B$4)</x:f>
        <x:v>46254</x:v>
      </x:c>
      <x:c r="E560" s="171" t="n">
        <x:f>IF(A560="","",IF(B560="Decommissioning",INDEX('Raw Decommissioning'!$F$2:$F$1000,ROWS($A$5:A560)),INDEX('Raw Provisioning'!$F$2:$F$1000,ROWS($A$5:A560)-COUNTA('Raw Decommissioning'!$B$2:$B$1000))))</x:f>
        <x:v>46198.136387604165</x:v>
      </x:c>
      <x:c r="F560" s="171" t="n">
        <x:f>IF(A560="","",IF(B560="Decommissioning",INDEX('Raw Decommissioning'!$G$2:$G$1000,ROWS($A$5:A560)),INDEX('Raw Provisioning'!$H$2:$H$1000,ROWS($A$5:A560)-COUNTA('Raw Decommissioning'!$B$2:$B$1000))))</x:f>
        <x:v>46250.900932233795</x:v>
      </x:c>
      <x:c r="G560" s="170" t="str">
        <x:f>IF(A560="","",IF(B560="Decommissioning",INDEX('Raw Decommissioning'!$I$2:$I$1000,ROWS($A$5:A560)),INDEX('Raw Provisioning'!$J$2:$J$1000,ROWS($A$5:A560)-COUNTA('Raw Decommissioning'!$B$2:$B$1000))))</x:f>
        <x:v>Regional Service Management Experience Level Agreement - RSM XLA</x:v>
      </x:c>
      <x:c r="H560" s="170" t="str">
        <x:f>IF(A560="","",IF(B560="Decommissioning",INDEX('Raw Decommissioning'!$J$2:$J$1000,ROWS($A$5:A560)),INDEX('Raw Provisioning'!$L$2:$L$1000,ROWS($A$5:A560)-COUNTA('Raw Decommissioning'!$B$2:$B$1000))))</x:f>
        <x:v>Vanguard</x:v>
      </x:c>
      <x:c r="I560" s="170" t="str">
        <x:f>IF(A560="","",IF(B560="Decommissioning",INDEX('Raw Decommissioning'!$AL$2:$AL$1000,ROWS($A$5:A560)),INDEX('Raw Provisioning'!$R$2:$R$1000,ROWS($A$5:A560)-COUNTA('Raw Decommissioning'!$B$2:$B$1000))))</x:f>
        <x:v>M</x:v>
      </x:c>
      <x:c r="J560" s="170" t="str">
        <x:f>IF(A560="","",IF(B560="Decommissioning",INDEX('Raw Decommissioning'!$AG$2:$AG$1000,ROWS($A$5:A560)),INDEX('Raw Provisioning'!$AI$2:$AI$1000,ROWS($A$5:A560)-COUNTA('Raw Decommissioning'!$B$2:$B$1000))))</x:f>
        <x:v>mardiansyah.rayasa@petronas.com</x:v>
      </x:c>
      <x:c r="K560" s="172" t="str">
        <x:f>IF(A560="","",IFERROR(LOOKUP(2,1/('Assignment History'!$B$5:$B$204=A560),'Assignment History'!$D$5:$D$204),IFERROR(VLOOKUP(J560,Configuration!$L$5:$M$50,2,FALSE),J560)))</x:f>
        <x:v>mardiansyah.rayasa@petronas.com</x:v>
      </x:c>
      <x:c r="L560" s="172" t="str">
        <x:f>IF(A560="","",IF(K560=IFERROR(VLOOKUP(J560,Configuration!$L$5:$M$50,2,FALSE),J560),"Snapshot PIC","Replacement PIC"))</x:f>
        <x:v>Snapshot PIC</x:v>
      </x:c>
      <x:c r="M560" s="172" t="n">
        <x:f>IF(A560="","",IFERROR(VLOOKUP(I560,Configuration!$O$5:$P$8,2,FALSE),Configuration!$S$6))</x:f>
        <x:v>2</x:v>
      </x:c>
      <x:c r="N560" s="172" t="str">
        <x:f>IF(A560="","",IFERROR(LOOKUP(2,1/('Scope Review'!$B$5:$B$204=A560),'Scope Review'!$G$5:$G$204),"Not Reviewed"))</x:f>
        <x:v>Not Reviewed</x:v>
      </x:c>
      <x:c r="O560" s="172" t="str">
        <x:f>IF(A560="","",IFERROR(LOOKUP(2,1/('Scope Review'!$B$5:$B$204=A560),'Scope Review'!$H$5:$H$204),""))</x:f>
      </x:c>
      <x:c r="P560" s="172" t="n">
        <x:f>IF(A560="","",IF(AND(C560="executing",N560&lt;&gt;"Confirmed OOS"),M560,0))</x:f>
        <x:v>0</x:v>
      </x:c>
      <x:c r="Q560" s="173" t="str">
        <x:f>IF(A560="","",IFERROR(LOOKUP(2,1/('Engineer Updates'!$B$5:$B$704=A560),'Engineer Updates'!$A$5:$A$704),""))</x:f>
      </x:c>
      <x:c r="R560" s="172" t="str">
        <x:f>IF(A560="","",IFERROR(LOOKUP(2,1/('Engineer Updates'!$B$5:$B$704=A560),'Engineer Updates'!$H$5:$H$704),""))</x:f>
      </x:c>
      <x:c r="S560" s="172" t="str">
        <x:f>IF(A560="","",IFERROR(LOOKUP(2,1/('Engineer Updates'!$B$5:$B$704=A560),'Engineer Updates'!$G$5:$G$704),""))</x:f>
      </x:c>
      <x:c r="T560" s="172" t="str">
        <x:f>IF(A560="","",IFERROR(LOOKUP(2,1/('Engineer Updates'!$B$5:$B$704=A560),'Engineer Updates'!$I$5:$I$704),""))</x:f>
      </x:c>
      <x:c r="U560" s="172" t="str">
        <x:f>IF(A560="","",IFERROR(LOOKUP(2,1/('Engineer Updates'!$B$5:$B$704=A560),'Engineer Updates'!$J$5:$J$704),""))</x:f>
      </x:c>
      <x:c r="V560" s="172" t="str">
        <x:f>IF(A560="","",IFERROR(LOOKUP(2,1/('Engineer Updates'!$B$5:$B$704=A560),'Engineer Updates'!$K$5:$K$704),""))</x:f>
      </x:c>
      <x:c r="W560" s="174" t="str">
        <x:f>IF(A560="","",IFERROR(LOOKUP(2,1/('Engineer Updates'!$B$5:$B$704=A560),'Engineer Updates'!$L$5:$L$704),""))</x:f>
      </x:c>
      <x:c r="X560" s="170" t="str">
        <x:f>IF(A560="","",IF(C560="completed","Completed in CSSP",IF(AND(C560="executing",ISERROR(SEARCH("@",K560))),"Executing without named engineer",IF(AND(N560="Confirmed OOS",C560="executing"),"Confirmed OOS still executing",""))))</x:f>
        <x:v>Completed in CSSP</x:v>
      </x:c>
      <x:c r="Y560" s="170" t="str">
        <x:f>IF(A560="","",IF(B560="Decommissioning","Raw Decommissioning","Raw Provisioning"))</x:f>
        <x:v>Raw Provisioning</x:v>
      </x:c>
      <x:c r="Z560" s="170" t="str">
        <x:f>IF(A560="","",IF(OR(C560="executing",C560="processing"),"Yes","No"))</x:f>
        <x:v>No</x:v>
      </x:c>
    </x:row>
    <x:row r="561">
      <x:c r="A561" s="170" t="str">
        <x:f>IF(ROWS($A$5:A561)&lt;=COUNTA('Raw Decommissioning'!$B$2:$B$1000),INDEX('Raw Decommissioning'!$B$2:$B$1000,ROWS($A$5:A561)),IF(ROWS($A$5:A561)-COUNTA('Raw Decommissioning'!$B$2:$B$1000)&lt;=COUNTA('Raw Provisioning'!$B$2:$B$1000),INDEX('Raw Provisioning'!$B$2:$B$1000,ROWS($A$5:A561)-COUNTA('Raw Decommissioning'!$B$2:$B$1000)),""))</x:f>
        <x:v>CSSP10760217</x:v>
      </x:c>
      <x:c r="B561" s="170" t="str">
        <x:f>IF(A561="","",IF(ROWS($A$5:A561)&lt;=COUNTA('Raw Decommissioning'!$B$2:$B$1000),"Decommissioning","Provisioning"))</x:f>
        <x:v>Provisioning</x:v>
      </x:c>
      <x:c r="C561" s="170" t="str">
        <x:f>IF(A561="","",IF(B561="Decommissioning",IFERROR(INDEX('Raw Decommissioning'!$E$2:$E$1000,MATCH(A561,'Raw Decommissioning'!$B$2:$B$1000,0)),"Missing from latest raw"),IFERROR(INDEX('Raw Provisioning'!$E$2:$E$1000,MATCH(A561,'Raw Provisioning'!$B$2:$B$1000,0)),"Missing from latest raw")))</x:f>
        <x:v>executing</x:v>
      </x:c>
      <x:c r="D561" s="171" t="n">
        <x:f>IF(A561="","",'Refresh Control'!$B$4)</x:f>
        <x:v>46254</x:v>
      </x:c>
      <x:c r="E561" s="171" t="n">
        <x:f>IF(A561="","",IF(B561="Decommissioning",INDEX('Raw Decommissioning'!$F$2:$F$1000,ROWS($A$5:A561)),INDEX('Raw Provisioning'!$F$2:$F$1000,ROWS($A$5:A561)-COUNTA('Raw Decommissioning'!$B$2:$B$1000))))</x:f>
        <x:v>46198.15172267361</x:v>
      </x:c>
      <x:c r="F561" s="171" t="n">
        <x:f>IF(A561="","",IF(B561="Decommissioning",INDEX('Raw Decommissioning'!$G$2:$G$1000,ROWS($A$5:A561)),INDEX('Raw Provisioning'!$H$2:$H$1000,ROWS($A$5:A561)-COUNTA('Raw Decommissioning'!$B$2:$B$1000))))</x:f>
        <x:v>46203.28580130787</x:v>
      </x:c>
      <x:c r="G561" s="170" t="str">
        <x:f>IF(A561="","",IF(B561="Decommissioning",INDEX('Raw Decommissioning'!$I$2:$I$1000,ROWS($A$5:A561)),INDEX('Raw Provisioning'!$J$2:$J$1000,ROWS($A$5:A561)-COUNTA('Raw Decommissioning'!$B$2:$B$1000))))</x:f>
        <x:v>Digital Intelligence Center - DIC</x:v>
      </x:c>
      <x:c r="H561" s="170" t="str">
        <x:f>IF(A561="","",IF(B561="Decommissioning",INDEX('Raw Decommissioning'!$J$2:$J$1000,ROWS($A$5:A561)),INDEX('Raw Provisioning'!$L$2:$L$1000,ROWS($A$5:A561)-COUNTA('Raw Decommissioning'!$B$2:$B$1000))))</x:f>
        <x:v>Deployment of Digital Intelligence Center (DIC) for Malaysia Petroleum Management (MPM)</x:v>
      </x:c>
      <x:c r="I561" s="170" t="str">
        <x:f>IF(A561="","",IF(B561="Decommissioning",INDEX('Raw Decommissioning'!$AL$2:$AL$1000,ROWS($A$5:A561)),INDEX('Raw Provisioning'!$R$2:$R$1000,ROWS($A$5:A561)-COUNTA('Raw Decommissioning'!$B$2:$B$1000))))</x:f>
        <x:v>M</x:v>
      </x:c>
      <x:c r="J561" s="170" t="str">
        <x:f>IF(A561="","",IF(B561="Decommissioning",INDEX('Raw Decommissioning'!$AG$2:$AG$1000,ROWS($A$5:A561)),INDEX('Raw Provisioning'!$AI$2:$AI$1000,ROWS($A$5:A561)-COUNTA('Raw Decommissioning'!$B$2:$B$1000))))</x:f>
        <x:v>abdul.khoir@petronas.com</x:v>
      </x:c>
      <x:c r="K561" s="172" t="str">
        <x:f>IF(A561="","",IFERROR(LOOKUP(2,1/('Assignment History'!$B$5:$B$204=A561),'Assignment History'!$D$5:$D$204),IFERROR(VLOOKUP(J561,Configuration!$L$5:$M$50,2,FALSE),J561)))</x:f>
        <x:v>abdul.khoir@petronas.com</x:v>
      </x:c>
      <x:c r="L561" s="172" t="str">
        <x:f>IF(A561="","",IF(K561=IFERROR(VLOOKUP(J561,Configuration!$L$5:$M$50,2,FALSE),J561),"Snapshot PIC","Replacement PIC"))</x:f>
        <x:v>Snapshot PIC</x:v>
      </x:c>
      <x:c r="M561" s="172" t="n">
        <x:f>IF(A561="","",IFERROR(VLOOKUP(I561,Configuration!$O$5:$P$8,2,FALSE),Configuration!$S$6))</x:f>
        <x:v>2</x:v>
      </x:c>
      <x:c r="N561" s="172" t="str">
        <x:f>IF(A561="","",IFERROR(LOOKUP(2,1/('Scope Review'!$B$5:$B$204=A561),'Scope Review'!$G$5:$G$204),"Not Reviewed"))</x:f>
        <x:v>Not Reviewed</x:v>
      </x:c>
      <x:c r="O561" s="172" t="str">
        <x:f>IF(A561="","",IFERROR(LOOKUP(2,1/('Scope Review'!$B$5:$B$204=A561),'Scope Review'!$H$5:$H$204),""))</x:f>
      </x:c>
      <x:c r="P561" s="172" t="n">
        <x:f>IF(A561="","",IF(AND(C561="executing",N561&lt;&gt;"Confirmed OOS"),M561,0))</x:f>
        <x:v>2</x:v>
      </x:c>
      <x:c r="Q561" s="173" t="n">
        <x:f>IF(A561="","",IFERROR(LOOKUP(2,1/('Engineer Updates'!$B$5:$B$704=A561),'Engineer Updates'!$A$5:$A$704),""))</x:f>
        <x:v>46251</x:v>
      </x:c>
      <x:c r="R561" s="172" t="str">
        <x:f>IF(A561="","",IFERROR(LOOKUP(2,1/('Engineer Updates'!$B$5:$B$704=A561),'Engineer Updates'!$H$5:$H$704),""))</x:f>
        <x:v>Not Started</x:v>
      </x:c>
      <x:c r="S561" s="172" t="str">
        <x:f>IF(A561="","",IFERROR(LOOKUP(2,1/('Engineer Updates'!$B$5:$B$704=A561),'Engineer Updates'!$G$5:$G$704),""))</x:f>
      </x:c>
      <x:c r="T561" s="172" t="str">
        <x:f>IF(A561="","",IFERROR(LOOKUP(2,1/('Engineer Updates'!$B$5:$B$704=A561),'Engineer Updates'!$I$5:$I$704),""))</x:f>
      </x:c>
      <x:c r="U561" s="172" t="str">
        <x:f>IF(A561="","",IFERROR(LOOKUP(2,1/('Engineer Updates'!$B$5:$B$704=A561),'Engineer Updates'!$J$5:$J$704),""))</x:f>
      </x:c>
      <x:c r="V561" s="172" t="str">
        <x:f>IF(A561="","",IFERROR(LOOKUP(2,1/('Engineer Updates'!$B$5:$B$704=A561),'Engineer Updates'!$K$5:$K$704),""))</x:f>
      </x:c>
      <x:c r="W561" s="174" t="str">
        <x:f>IF(A561="","",IFERROR(LOOKUP(2,1/('Engineer Updates'!$B$5:$B$704=A561),'Engineer Updates'!$L$5:$L$704),""))</x:f>
      </x:c>
      <x:c r="X561" s="170" t="str">
        <x:f>IF(A561="","",IF(C561="completed","Completed in CSSP",IF(AND(C561="executing",ISERROR(SEARCH("@",K561))),"Executing without named engineer",IF(AND(N561="Confirmed OOS",C561="executing"),"Confirmed OOS still executing",""))))</x:f>
      </x:c>
      <x:c r="Y561" s="170" t="str">
        <x:f>IF(A561="","",IF(B561="Decommissioning","Raw Decommissioning","Raw Provisioning"))</x:f>
        <x:v>Raw Provisioning</x:v>
      </x:c>
      <x:c r="Z561" s="170" t="str">
        <x:f>IF(A561="","",IF(OR(C561="executing",C561="processing"),"Yes","No"))</x:f>
        <x:v>Yes</x:v>
      </x:c>
    </x:row>
    <x:row r="562">
      <x:c r="A562" s="170" t="str">
        <x:f>IF(ROWS($A$5:A562)&lt;=COUNTA('Raw Decommissioning'!$B$2:$B$1000),INDEX('Raw Decommissioning'!$B$2:$B$1000,ROWS($A$5:A562)),IF(ROWS($A$5:A562)-COUNTA('Raw Decommissioning'!$B$2:$B$1000)&lt;=COUNTA('Raw Provisioning'!$B$2:$B$1000),INDEX('Raw Provisioning'!$B$2:$B$1000,ROWS($A$5:A562)-COUNTA('Raw Decommissioning'!$B$2:$B$1000)),""))</x:f>
        <x:v>CSSP10980096</x:v>
      </x:c>
      <x:c r="B562" s="170" t="str">
        <x:f>IF(A562="","",IF(ROWS($A$5:A562)&lt;=COUNTA('Raw Decommissioning'!$B$2:$B$1000),"Decommissioning","Provisioning"))</x:f>
        <x:v>Provisioning</x:v>
      </x:c>
      <x:c r="C562" s="170" t="str">
        <x:f>IF(A562="","",IF(B562="Decommissioning",IFERROR(INDEX('Raw Decommissioning'!$E$2:$E$1000,MATCH(A562,'Raw Decommissioning'!$B$2:$B$1000,0)),"Missing from latest raw"),IFERROR(INDEX('Raw Provisioning'!$E$2:$E$1000,MATCH(A562,'Raw Provisioning'!$B$2:$B$1000,0)),"Missing from latest raw")))</x:f>
        <x:v>completed</x:v>
      </x:c>
      <x:c r="D562" s="171" t="n">
        <x:f>IF(A562="","",'Refresh Control'!$B$4)</x:f>
        <x:v>46254</x:v>
      </x:c>
      <x:c r="E562" s="171" t="n">
        <x:f>IF(A562="","",IF(B562="Decommissioning",INDEX('Raw Decommissioning'!$F$2:$F$1000,ROWS($A$5:A562)),INDEX('Raw Provisioning'!$F$2:$F$1000,ROWS($A$5:A562)-COUNTA('Raw Decommissioning'!$B$2:$B$1000))))</x:f>
        <x:v>46199.03912863426</x:v>
      </x:c>
      <x:c r="F562" s="171" t="n">
        <x:f>IF(A562="","",IF(B562="Decommissioning",INDEX('Raw Decommissioning'!$G$2:$G$1000,ROWS($A$5:A562)),INDEX('Raw Provisioning'!$H$2:$H$1000,ROWS($A$5:A562)-COUNTA('Raw Decommissioning'!$B$2:$B$1000))))</x:f>
        <x:v>46210.41980679398</x:v>
      </x:c>
      <x:c r="G562" s="170" t="str">
        <x:f>IF(A562="","",IF(B562="Decommissioning",INDEX('Raw Decommissioning'!$I$2:$I$1000,ROWS($A$5:A562)),INDEX('Raw Provisioning'!$J$2:$J$1000,ROWS($A$5:A562)-COUNTA('Raw Decommissioning'!$B$2:$B$1000))))</x:f>
        <x:v>Azure Machine Learning - PRPC</x:v>
      </x:c>
      <x:c r="H562" s="170" t="str">
        <x:f>IF(A562="","",IF(B562="Decommissioning",INDEX('Raw Decommissioning'!$J$2:$J$1000,ROWS($A$5:A562)),INDEX('Raw Provisioning'!$L$2:$L$1000,ROWS($A$5:A562)-COUNTA('Raw Decommissioning'!$B$2:$B$1000))))</x:f>
        <x:v>Run &amp; Maintain Citizen Analytics Use Cases for PRPC</x:v>
      </x:c>
      <x:c r="I562" s="170" t="str">
        <x:f>IF(A562="","",IF(B562="Decommissioning",INDEX('Raw Decommissioning'!$AL$2:$AL$1000,ROWS($A$5:A562)),INDEX('Raw Provisioning'!$R$2:$R$1000,ROWS($A$5:A562)-COUNTA('Raw Decommissioning'!$B$2:$B$1000))))</x:f>
        <x:v>S</x:v>
      </x:c>
      <x:c r="J562" s="170" t="str">
        <x:f>IF(A562="","",IF(B562="Decommissioning",INDEX('Raw Decommissioning'!$AG$2:$AG$1000,ROWS($A$5:A562)),INDEX('Raw Provisioning'!$AI$2:$AI$1000,ROWS($A$5:A562)-COUNTA('Raw Decommissioning'!$B$2:$B$1000))))</x:f>
        <x:v>venkatesh.kalikivayi@petronas.com</x:v>
      </x:c>
      <x:c r="K562" s="172" t="str">
        <x:f>IF(A562="","",IFERROR(LOOKUP(2,1/('Assignment History'!$B$5:$B$204=A562),'Assignment History'!$D$5:$D$204),IFERROR(VLOOKUP(J562,Configuration!$L$5:$M$50,2,FALSE),J562)))</x:f>
        <x:v>venkatesh.kalikivayi@petronas.com</x:v>
      </x:c>
      <x:c r="L562" s="172" t="str">
        <x:f>IF(A562="","",IF(K562=IFERROR(VLOOKUP(J562,Configuration!$L$5:$M$50,2,FALSE),J562),"Snapshot PIC","Replacement PIC"))</x:f>
        <x:v>Snapshot PIC</x:v>
      </x:c>
      <x:c r="M562" s="172" t="n">
        <x:f>IF(A562="","",IFERROR(VLOOKUP(I562,Configuration!$O$5:$P$8,2,FALSE),Configuration!$S$6))</x:f>
        <x:v>1</x:v>
      </x:c>
      <x:c r="N562" s="172" t="str">
        <x:f>IF(A562="","",IFERROR(LOOKUP(2,1/('Scope Review'!$B$5:$B$204=A562),'Scope Review'!$G$5:$G$204),"Not Reviewed"))</x:f>
        <x:v>Not Reviewed</x:v>
      </x:c>
      <x:c r="O562" s="172" t="str">
        <x:f>IF(A562="","",IFERROR(LOOKUP(2,1/('Scope Review'!$B$5:$B$204=A562),'Scope Review'!$H$5:$H$204),""))</x:f>
      </x:c>
      <x:c r="P562" s="172" t="n">
        <x:f>IF(A562="","",IF(AND(C562="executing",N562&lt;&gt;"Confirmed OOS"),M562,0))</x:f>
        <x:v>0</x:v>
      </x:c>
      <x:c r="Q562" s="173" t="str">
        <x:f>IF(A562="","",IFERROR(LOOKUP(2,1/('Engineer Updates'!$B$5:$B$704=A562),'Engineer Updates'!$A$5:$A$704),""))</x:f>
      </x:c>
      <x:c r="R562" s="172" t="str">
        <x:f>IF(A562="","",IFERROR(LOOKUP(2,1/('Engineer Updates'!$B$5:$B$704=A562),'Engineer Updates'!$H$5:$H$704),""))</x:f>
      </x:c>
      <x:c r="S562" s="172" t="str">
        <x:f>IF(A562="","",IFERROR(LOOKUP(2,1/('Engineer Updates'!$B$5:$B$704=A562),'Engineer Updates'!$G$5:$G$704),""))</x:f>
      </x:c>
      <x:c r="T562" s="172" t="str">
        <x:f>IF(A562="","",IFERROR(LOOKUP(2,1/('Engineer Updates'!$B$5:$B$704=A562),'Engineer Updates'!$I$5:$I$704),""))</x:f>
      </x:c>
      <x:c r="U562" s="172" t="str">
        <x:f>IF(A562="","",IFERROR(LOOKUP(2,1/('Engineer Updates'!$B$5:$B$704=A562),'Engineer Updates'!$J$5:$J$704),""))</x:f>
      </x:c>
      <x:c r="V562" s="172" t="str">
        <x:f>IF(A562="","",IFERROR(LOOKUP(2,1/('Engineer Updates'!$B$5:$B$704=A562),'Engineer Updates'!$K$5:$K$704),""))</x:f>
      </x:c>
      <x:c r="W562" s="174" t="str">
        <x:f>IF(A562="","",IFERROR(LOOKUP(2,1/('Engineer Updates'!$B$5:$B$704=A562),'Engineer Updates'!$L$5:$L$704),""))</x:f>
      </x:c>
      <x:c r="X562" s="170" t="str">
        <x:f>IF(A562="","",IF(C562="completed","Completed in CSSP",IF(AND(C562="executing",ISERROR(SEARCH("@",K562))),"Executing without named engineer",IF(AND(N562="Confirmed OOS",C562="executing"),"Confirmed OOS still executing",""))))</x:f>
        <x:v>Completed in CSSP</x:v>
      </x:c>
      <x:c r="Y562" s="170" t="str">
        <x:f>IF(A562="","",IF(B562="Decommissioning","Raw Decommissioning","Raw Provisioning"))</x:f>
        <x:v>Raw Provisioning</x:v>
      </x:c>
      <x:c r="Z562" s="170" t="str">
        <x:f>IF(A562="","",IF(OR(C562="executing",C562="processing"),"Yes","No"))</x:f>
        <x:v>No</x:v>
      </x:c>
    </x:row>
    <x:row r="563">
      <x:c r="A563" s="170" t="str">
        <x:f>IF(ROWS($A$5:A563)&lt;=COUNTA('Raw Decommissioning'!$B$2:$B$1000),INDEX('Raw Decommissioning'!$B$2:$B$1000,ROWS($A$5:A563)),IF(ROWS($A$5:A563)-COUNTA('Raw Decommissioning'!$B$2:$B$1000)&lt;=COUNTA('Raw Provisioning'!$B$2:$B$1000),INDEX('Raw Provisioning'!$B$2:$B$1000,ROWS($A$5:A563)-COUNTA('Raw Decommissioning'!$B$2:$B$1000)),""))</x:f>
        <x:v>CSSP10650272</x:v>
      </x:c>
      <x:c r="B563" s="170" t="str">
        <x:f>IF(A563="","",IF(ROWS($A$5:A563)&lt;=COUNTA('Raw Decommissioning'!$B$2:$B$1000),"Decommissioning","Provisioning"))</x:f>
        <x:v>Provisioning</x:v>
      </x:c>
      <x:c r="C563" s="170" t="str">
        <x:f>IF(A563="","",IF(B563="Decommissioning",IFERROR(INDEX('Raw Decommissioning'!$E$2:$E$1000,MATCH(A563,'Raw Decommissioning'!$B$2:$B$1000,0)),"Missing from latest raw"),IFERROR(INDEX('Raw Provisioning'!$E$2:$E$1000,MATCH(A563,'Raw Provisioning'!$B$2:$B$1000,0)),"Missing from latest raw")))</x:f>
        <x:v>completed</x:v>
      </x:c>
      <x:c r="D563" s="171" t="n">
        <x:f>IF(A563="","",'Refresh Control'!$B$4)</x:f>
        <x:v>46254</x:v>
      </x:c>
      <x:c r="E563" s="171" t="n">
        <x:f>IF(A563="","",IF(B563="Decommissioning",INDEX('Raw Decommissioning'!$F$2:$F$1000,ROWS($A$5:A563)),INDEX('Raw Provisioning'!$F$2:$F$1000,ROWS($A$5:A563)-COUNTA('Raw Decommissioning'!$B$2:$B$1000))))</x:f>
        <x:v>46199.09891605324</x:v>
      </x:c>
      <x:c r="F563" s="171" t="n">
        <x:f>IF(A563="","",IF(B563="Decommissioning",INDEX('Raw Decommissioning'!$G$2:$G$1000,ROWS($A$5:A563)),INDEX('Raw Provisioning'!$H$2:$H$1000,ROWS($A$5:A563)-COUNTA('Raw Decommissioning'!$B$2:$B$1000))))</x:f>
        <x:v>46222.85736018518</x:v>
      </x:c>
      <x:c r="G563" s="170" t="str">
        <x:f>IF(A563="","",IF(B563="Decommissioning",INDEX('Raw Decommissioning'!$I$2:$I$1000,ROWS($A$5:A563)),INDEX('Raw Provisioning'!$J$2:$J$1000,ROWS($A$5:A563)-COUNTA('Raw Decommissioning'!$B$2:$B$1000))))</x:f>
        <x:v>KLCC Data Hub</x:v>
      </x:c>
      <x:c r="H563" s="170" t="str">
        <x:f>IF(A563="","",IF(B563="Decommissioning",INDEX('Raw Decommissioning'!$J$2:$J$1000,ROWS($A$5:A563)),INDEX('Raw Provisioning'!$L$2:$L$1000,ROWS($A$5:A563)-COUNTA('Raw Decommissioning'!$B$2:$B$1000))))</x:f>
        <x:v>Subscription of PETRONAS Microsoft Fabric for KLCCH</x:v>
      </x:c>
      <x:c r="I563" s="170" t="str">
        <x:f>IF(A563="","",IF(B563="Decommissioning",INDEX('Raw Decommissioning'!$AL$2:$AL$1000,ROWS($A$5:A563)),INDEX('Raw Provisioning'!$R$2:$R$1000,ROWS($A$5:A563)-COUNTA('Raw Decommissioning'!$B$2:$B$1000))))</x:f>
        <x:v>S</x:v>
      </x:c>
      <x:c r="J563" s="170" t="str">
        <x:f>IF(A563="","",IF(B563="Decommissioning",INDEX('Raw Decommissioning'!$AG$2:$AG$1000,ROWS($A$5:A563)),INDEX('Raw Provisioning'!$AI$2:$AI$1000,ROWS($A$5:A563)-COUNTA('Raw Decommissioning'!$B$2:$B$1000))))</x:f>
        <x:v>abhishek.bhowate@petronas.com</x:v>
      </x:c>
      <x:c r="K563" s="172" t="str">
        <x:f>IF(A563="","",IFERROR(LOOKUP(2,1/('Assignment History'!$B$5:$B$204=A563),'Assignment History'!$D$5:$D$204),IFERROR(VLOOKUP(J563,Configuration!$L$5:$M$50,2,FALSE),J563)))</x:f>
        <x:v>abhishek.bhowate@petronas.com</x:v>
      </x:c>
      <x:c r="L563" s="172" t="str">
        <x:f>IF(A563="","",IF(K563=IFERROR(VLOOKUP(J563,Configuration!$L$5:$M$50,2,FALSE),J563),"Snapshot PIC","Replacement PIC"))</x:f>
        <x:v>Snapshot PIC</x:v>
      </x:c>
      <x:c r="M563" s="172" t="n">
        <x:f>IF(A563="","",IFERROR(VLOOKUP(I563,Configuration!$O$5:$P$8,2,FALSE),Configuration!$S$6))</x:f>
        <x:v>1</x:v>
      </x:c>
      <x:c r="N563" s="172" t="str">
        <x:f>IF(A563="","",IFERROR(LOOKUP(2,1/('Scope Review'!$B$5:$B$204=A563),'Scope Review'!$G$5:$G$204),"Not Reviewed"))</x:f>
        <x:v>Not Reviewed</x:v>
      </x:c>
      <x:c r="O563" s="172" t="str">
        <x:f>IF(A563="","",IFERROR(LOOKUP(2,1/('Scope Review'!$B$5:$B$204=A563),'Scope Review'!$H$5:$H$204),""))</x:f>
      </x:c>
      <x:c r="P563" s="172" t="n">
        <x:f>IF(A563="","",IF(AND(C563="executing",N563&lt;&gt;"Confirmed OOS"),M563,0))</x:f>
        <x:v>0</x:v>
      </x:c>
      <x:c r="Q563" s="173" t="str">
        <x:f>IF(A563="","",IFERROR(LOOKUP(2,1/('Engineer Updates'!$B$5:$B$704=A563),'Engineer Updates'!$A$5:$A$704),""))</x:f>
      </x:c>
      <x:c r="R563" s="172" t="str">
        <x:f>IF(A563="","",IFERROR(LOOKUP(2,1/('Engineer Updates'!$B$5:$B$704=A563),'Engineer Updates'!$H$5:$H$704),""))</x:f>
      </x:c>
      <x:c r="S563" s="172" t="str">
        <x:f>IF(A563="","",IFERROR(LOOKUP(2,1/('Engineer Updates'!$B$5:$B$704=A563),'Engineer Updates'!$G$5:$G$704),""))</x:f>
      </x:c>
      <x:c r="T563" s="172" t="str">
        <x:f>IF(A563="","",IFERROR(LOOKUP(2,1/('Engineer Updates'!$B$5:$B$704=A563),'Engineer Updates'!$I$5:$I$704),""))</x:f>
      </x:c>
      <x:c r="U563" s="172" t="str">
        <x:f>IF(A563="","",IFERROR(LOOKUP(2,1/('Engineer Updates'!$B$5:$B$704=A563),'Engineer Updates'!$J$5:$J$704),""))</x:f>
      </x:c>
      <x:c r="V563" s="172" t="str">
        <x:f>IF(A563="","",IFERROR(LOOKUP(2,1/('Engineer Updates'!$B$5:$B$704=A563),'Engineer Updates'!$K$5:$K$704),""))</x:f>
      </x:c>
      <x:c r="W563" s="174" t="str">
        <x:f>IF(A563="","",IFERROR(LOOKUP(2,1/('Engineer Updates'!$B$5:$B$704=A563),'Engineer Updates'!$L$5:$L$704),""))</x:f>
      </x:c>
      <x:c r="X563" s="170" t="str">
        <x:f>IF(A563="","",IF(C563="completed","Completed in CSSP",IF(AND(C563="executing",ISERROR(SEARCH("@",K563))),"Executing without named engineer",IF(AND(N563="Confirmed OOS",C563="executing"),"Confirmed OOS still executing",""))))</x:f>
        <x:v>Completed in CSSP</x:v>
      </x:c>
      <x:c r="Y563" s="170" t="str">
        <x:f>IF(A563="","",IF(B563="Decommissioning","Raw Decommissioning","Raw Provisioning"))</x:f>
        <x:v>Raw Provisioning</x:v>
      </x:c>
      <x:c r="Z563" s="170" t="str">
        <x:f>IF(A563="","",IF(OR(C563="executing",C563="processing"),"Yes","No"))</x:f>
        <x:v>No</x:v>
      </x:c>
    </x:row>
    <x:row r="564">
      <x:c r="A564" s="170" t="str">
        <x:f>IF(ROWS($A$5:A564)&lt;=COUNTA('Raw Decommissioning'!$B$2:$B$1000),INDEX('Raw Decommissioning'!$B$2:$B$1000,ROWS($A$5:A564)),IF(ROWS($A$5:A564)-COUNTA('Raw Decommissioning'!$B$2:$B$1000)&lt;=COUNTA('Raw Provisioning'!$B$2:$B$1000),INDEX('Raw Provisioning'!$B$2:$B$1000,ROWS($A$5:A564)-COUNTA('Raw Decommissioning'!$B$2:$B$1000)),""))</x:f>
        <x:v>CSSP10626091</x:v>
      </x:c>
      <x:c r="B564" s="170" t="str">
        <x:f>IF(A564="","",IF(ROWS($A$5:A564)&lt;=COUNTA('Raw Decommissioning'!$B$2:$B$1000),"Decommissioning","Provisioning"))</x:f>
        <x:v>Provisioning</x:v>
      </x:c>
      <x:c r="C564" s="170" t="str">
        <x:f>IF(A564="","",IF(B564="Decommissioning",IFERROR(INDEX('Raw Decommissioning'!$E$2:$E$1000,MATCH(A564,'Raw Decommissioning'!$B$2:$B$1000,0)),"Missing from latest raw"),IFERROR(INDEX('Raw Provisioning'!$E$2:$E$1000,MATCH(A564,'Raw Provisioning'!$B$2:$B$1000,0)),"Missing from latest raw")))</x:f>
        <x:v>completed</x:v>
      </x:c>
      <x:c r="D564" s="171" t="n">
        <x:f>IF(A564="","",'Refresh Control'!$B$4)</x:f>
        <x:v>46254</x:v>
      </x:c>
      <x:c r="E564" s="171" t="n">
        <x:f>IF(A564="","",IF(B564="Decommissioning",INDEX('Raw Decommissioning'!$F$2:$F$1000,ROWS($A$5:A564)),INDEX('Raw Provisioning'!$F$2:$F$1000,ROWS($A$5:A564)-COUNTA('Raw Decommissioning'!$B$2:$B$1000))))</x:f>
        <x:v>46202.241150497684</x:v>
      </x:c>
      <x:c r="F564" s="171" t="n">
        <x:f>IF(A564="","",IF(B564="Decommissioning",INDEX('Raw Decommissioning'!$G$2:$G$1000,ROWS($A$5:A564)),INDEX('Raw Provisioning'!$H$2:$H$1000,ROWS($A$5:A564)-COUNTA('Raw Decommissioning'!$B$2:$B$1000))))</x:f>
        <x:v>46251.06481107639</x:v>
      </x:c>
      <x:c r="G564" s="170" t="str">
        <x:f>IF(A564="","",IF(B564="Decommissioning",INDEX('Raw Decommissioning'!$I$2:$I$1000,ROWS($A$5:A564)),INDEX('Raw Provisioning'!$J$2:$J$1000,ROWS($A$5:A564)-COUNTA('Raw Decommissioning'!$B$2:$B$1000))))</x:f>
        <x:v>Data Fabric Capacity</x:v>
      </x:c>
      <x:c r="H564" s="170" t="str">
        <x:f>IF(A564="","",IF(B564="Decommissioning",INDEX('Raw Decommissioning'!$J$2:$J$1000,ROWS($A$5:A564)),INDEX('Raw Provisioning'!$L$2:$L$1000,ROWS($A$5:A564)-COUNTA('Raw Decommissioning'!$B$2:$B$1000))))</x:f>
        <x:v>Migration of SharePoint Phase 2 for PLISB</x:v>
      </x:c>
      <x:c r="I564" s="170" t="str">
        <x:f>IF(A564="","",IF(B564="Decommissioning",INDEX('Raw Decommissioning'!$AL$2:$AL$1000,ROWS($A$5:A564)),INDEX('Raw Provisioning'!$R$2:$R$1000,ROWS($A$5:A564)-COUNTA('Raw Decommissioning'!$B$2:$B$1000))))</x:f>
        <x:v>S</x:v>
      </x:c>
      <x:c r="J564" s="170" t="str">
        <x:f>IF(A564="","",IF(B564="Decommissioning",INDEX('Raw Decommissioning'!$AG$2:$AG$1000,ROWS($A$5:A564)),INDEX('Raw Provisioning'!$AI$2:$AI$1000,ROWS($A$5:A564)-COUNTA('Raw Decommissioning'!$B$2:$B$1000))))</x:f>
        <x:v>venkatesh.kalikivayi@petronas.com</x:v>
      </x:c>
      <x:c r="K564" s="172" t="str">
        <x:f>IF(A564="","",IFERROR(LOOKUP(2,1/('Assignment History'!$B$5:$B$204=A564),'Assignment History'!$D$5:$D$204),IFERROR(VLOOKUP(J564,Configuration!$L$5:$M$50,2,FALSE),J564)))</x:f>
        <x:v>venkatesh.kalikivayi@petronas.com</x:v>
      </x:c>
      <x:c r="L564" s="172" t="str">
        <x:f>IF(A564="","",IF(K564=IFERROR(VLOOKUP(J564,Configuration!$L$5:$M$50,2,FALSE),J564),"Snapshot PIC","Replacement PIC"))</x:f>
        <x:v>Snapshot PIC</x:v>
      </x:c>
      <x:c r="M564" s="172" t="n">
        <x:f>IF(A564="","",IFERROR(VLOOKUP(I564,Configuration!$O$5:$P$8,2,FALSE),Configuration!$S$6))</x:f>
        <x:v>1</x:v>
      </x:c>
      <x:c r="N564" s="172" t="str">
        <x:f>IF(A564="","",IFERROR(LOOKUP(2,1/('Scope Review'!$B$5:$B$204=A564),'Scope Review'!$G$5:$G$204),"Not Reviewed"))</x:f>
        <x:v>Not Reviewed</x:v>
      </x:c>
      <x:c r="O564" s="172" t="str">
        <x:f>IF(A564="","",IFERROR(LOOKUP(2,1/('Scope Review'!$B$5:$B$204=A564),'Scope Review'!$H$5:$H$204),""))</x:f>
      </x:c>
      <x:c r="P564" s="172" t="n">
        <x:f>IF(A564="","",IF(AND(C564="executing",N564&lt;&gt;"Confirmed OOS"),M564,0))</x:f>
        <x:v>0</x:v>
      </x:c>
      <x:c r="Q564" s="173" t="str">
        <x:f>IF(A564="","",IFERROR(LOOKUP(2,1/('Engineer Updates'!$B$5:$B$704=A564),'Engineer Updates'!$A$5:$A$704),""))</x:f>
      </x:c>
      <x:c r="R564" s="172" t="str">
        <x:f>IF(A564="","",IFERROR(LOOKUP(2,1/('Engineer Updates'!$B$5:$B$704=A564),'Engineer Updates'!$H$5:$H$704),""))</x:f>
      </x:c>
      <x:c r="S564" s="172" t="str">
        <x:f>IF(A564="","",IFERROR(LOOKUP(2,1/('Engineer Updates'!$B$5:$B$704=A564),'Engineer Updates'!$G$5:$G$704),""))</x:f>
      </x:c>
      <x:c r="T564" s="172" t="str">
        <x:f>IF(A564="","",IFERROR(LOOKUP(2,1/('Engineer Updates'!$B$5:$B$704=A564),'Engineer Updates'!$I$5:$I$704),""))</x:f>
      </x:c>
      <x:c r="U564" s="172" t="str">
        <x:f>IF(A564="","",IFERROR(LOOKUP(2,1/('Engineer Updates'!$B$5:$B$704=A564),'Engineer Updates'!$J$5:$J$704),""))</x:f>
      </x:c>
      <x:c r="V564" s="172" t="str">
        <x:f>IF(A564="","",IFERROR(LOOKUP(2,1/('Engineer Updates'!$B$5:$B$704=A564),'Engineer Updates'!$K$5:$K$704),""))</x:f>
      </x:c>
      <x:c r="W564" s="174" t="str">
        <x:f>IF(A564="","",IFERROR(LOOKUP(2,1/('Engineer Updates'!$B$5:$B$704=A564),'Engineer Updates'!$L$5:$L$704),""))</x:f>
      </x:c>
      <x:c r="X564" s="170" t="str">
        <x:f>IF(A564="","",IF(C564="completed","Completed in CSSP",IF(AND(C564="executing",ISERROR(SEARCH("@",K564))),"Executing without named engineer",IF(AND(N564="Confirmed OOS",C564="executing"),"Confirmed OOS still executing",""))))</x:f>
        <x:v>Completed in CSSP</x:v>
      </x:c>
      <x:c r="Y564" s="170" t="str">
        <x:f>IF(A564="","",IF(B564="Decommissioning","Raw Decommissioning","Raw Provisioning"))</x:f>
        <x:v>Raw Provisioning</x:v>
      </x:c>
      <x:c r="Z564" s="170" t="str">
        <x:f>IF(A564="","",IF(OR(C564="executing",C564="processing"),"Yes","No"))</x:f>
        <x:v>No</x:v>
      </x:c>
    </x:row>
    <x:row r="565">
      <x:c r="A565" s="170" t="str">
        <x:f>IF(ROWS($A$5:A565)&lt;=COUNTA('Raw Decommissioning'!$B$2:$B$1000),INDEX('Raw Decommissioning'!$B$2:$B$1000,ROWS($A$5:A565)),IF(ROWS($A$5:A565)-COUNTA('Raw Decommissioning'!$B$2:$B$1000)&lt;=COUNTA('Raw Provisioning'!$B$2:$B$1000),INDEX('Raw Provisioning'!$B$2:$B$1000,ROWS($A$5:A565)-COUNTA('Raw Decommissioning'!$B$2:$B$1000)),""))</x:f>
        <x:v>CSSP10600017</x:v>
      </x:c>
      <x:c r="B565" s="170" t="str">
        <x:f>IF(A565="","",IF(ROWS($A$5:A565)&lt;=COUNTA('Raw Decommissioning'!$B$2:$B$1000),"Decommissioning","Provisioning"))</x:f>
        <x:v>Provisioning</x:v>
      </x:c>
      <x:c r="C565" s="170" t="str">
        <x:f>IF(A565="","",IF(B565="Decommissioning",IFERROR(INDEX('Raw Decommissioning'!$E$2:$E$1000,MATCH(A565,'Raw Decommissioning'!$B$2:$B$1000,0)),"Missing from latest raw"),IFERROR(INDEX('Raw Provisioning'!$E$2:$E$1000,MATCH(A565,'Raw Provisioning'!$B$2:$B$1000,0)),"Missing from latest raw")))</x:f>
        <x:v>completed</x:v>
      </x:c>
      <x:c r="D565" s="171" t="n">
        <x:f>IF(A565="","",'Refresh Control'!$B$4)</x:f>
        <x:v>46254</x:v>
      </x:c>
      <x:c r="E565" s="171" t="n">
        <x:f>IF(A565="","",IF(B565="Decommissioning",INDEX('Raw Decommissioning'!$F$2:$F$1000,ROWS($A$5:A565)),INDEX('Raw Provisioning'!$F$2:$F$1000,ROWS($A$5:A565)-COUNTA('Raw Decommissioning'!$B$2:$B$1000))))</x:f>
        <x:v>46202.26720173611</x:v>
      </x:c>
      <x:c r="F565" s="171" t="n">
        <x:f>IF(A565="","",IF(B565="Decommissioning",INDEX('Raw Decommissioning'!$G$2:$G$1000,ROWS($A$5:A565)),INDEX('Raw Provisioning'!$H$2:$H$1000,ROWS($A$5:A565)-COUNTA('Raw Decommissioning'!$B$2:$B$1000))))</x:f>
        <x:v>46234.146164247686</x:v>
      </x:c>
      <x:c r="G565" s="170" t="str">
        <x:f>IF(A565="","",IF(B565="Decommissioning",INDEX('Raw Decommissioning'!$I$2:$I$1000,ROWS($A$5:A565)),INDEX('Raw Provisioning'!$J$2:$J$1000,ROWS($A$5:A565)-COUNTA('Raw Decommissioning'!$B$2:$B$1000))))</x:f>
        <x:v>Cyber Security SENTINEL</x:v>
      </x:c>
      <x:c r="H565" s="170" t="str">
        <x:f>IF(A565="","",IF(B565="Decommissioning",INDEX('Raw Decommissioning'!$J$2:$J$1000,ROWS($A$5:A565)),INDEX('Raw Provisioning'!$L$2:$L$1000,ROWS($A$5:A565)-COUNTA('Raw Decommissioning'!$B$2:$B$1000))))</x:f>
        <x:v>Onboarding of Centralised Log Collector and Security Information &amp; Event Management (SIEM) for SETEL</x:v>
      </x:c>
      <x:c r="I565" s="170" t="str">
        <x:f>IF(A565="","",IF(B565="Decommissioning",INDEX('Raw Decommissioning'!$AL$2:$AL$1000,ROWS($A$5:A565)),INDEX('Raw Provisioning'!$R$2:$R$1000,ROWS($A$5:A565)-COUNTA('Raw Decommissioning'!$B$2:$B$1000))))</x:f>
        <x:v>M</x:v>
      </x:c>
      <x:c r="J565" s="170" t="str">
        <x:f>IF(A565="","",IF(B565="Decommissioning",INDEX('Raw Decommissioning'!$AG$2:$AG$1000,ROWS($A$5:A565)),INDEX('Raw Provisioning'!$AI$2:$AI$1000,ROWS($A$5:A565)-COUNTA('Raw Decommissioning'!$B$2:$B$1000))))</x:f>
        <x:v>abdul.khoir@petronas.com</x:v>
      </x:c>
      <x:c r="K565" s="172" t="str">
        <x:f>IF(A565="","",IFERROR(LOOKUP(2,1/('Assignment History'!$B$5:$B$204=A565),'Assignment History'!$D$5:$D$204),IFERROR(VLOOKUP(J565,Configuration!$L$5:$M$50,2,FALSE),J565)))</x:f>
        <x:v>abdul.khoir@petronas.com</x:v>
      </x:c>
      <x:c r="L565" s="172" t="str">
        <x:f>IF(A565="","",IF(K565=IFERROR(VLOOKUP(J565,Configuration!$L$5:$M$50,2,FALSE),J565),"Snapshot PIC","Replacement PIC"))</x:f>
        <x:v>Snapshot PIC</x:v>
      </x:c>
      <x:c r="M565" s="172" t="n">
        <x:f>IF(A565="","",IFERROR(VLOOKUP(I565,Configuration!$O$5:$P$8,2,FALSE),Configuration!$S$6))</x:f>
        <x:v>2</x:v>
      </x:c>
      <x:c r="N565" s="172" t="str">
        <x:f>IF(A565="","",IFERROR(LOOKUP(2,1/('Scope Review'!$B$5:$B$204=A565),'Scope Review'!$G$5:$G$204),"Not Reviewed"))</x:f>
        <x:v>Not Reviewed</x:v>
      </x:c>
      <x:c r="O565" s="172" t="str">
        <x:f>IF(A565="","",IFERROR(LOOKUP(2,1/('Scope Review'!$B$5:$B$204=A565),'Scope Review'!$H$5:$H$204),""))</x:f>
      </x:c>
      <x:c r="P565" s="172" t="n">
        <x:f>IF(A565="","",IF(AND(C565="executing",N565&lt;&gt;"Confirmed OOS"),M565,0))</x:f>
        <x:v>0</x:v>
      </x:c>
      <x:c r="Q565" s="173" t="str">
        <x:f>IF(A565="","",IFERROR(LOOKUP(2,1/('Engineer Updates'!$B$5:$B$704=A565),'Engineer Updates'!$A$5:$A$704),""))</x:f>
      </x:c>
      <x:c r="R565" s="172" t="str">
        <x:f>IF(A565="","",IFERROR(LOOKUP(2,1/('Engineer Updates'!$B$5:$B$704=A565),'Engineer Updates'!$H$5:$H$704),""))</x:f>
      </x:c>
      <x:c r="S565" s="172" t="str">
        <x:f>IF(A565="","",IFERROR(LOOKUP(2,1/('Engineer Updates'!$B$5:$B$704=A565),'Engineer Updates'!$G$5:$G$704),""))</x:f>
      </x:c>
      <x:c r="T565" s="172" t="str">
        <x:f>IF(A565="","",IFERROR(LOOKUP(2,1/('Engineer Updates'!$B$5:$B$704=A565),'Engineer Updates'!$I$5:$I$704),""))</x:f>
      </x:c>
      <x:c r="U565" s="172" t="str">
        <x:f>IF(A565="","",IFERROR(LOOKUP(2,1/('Engineer Updates'!$B$5:$B$704=A565),'Engineer Updates'!$J$5:$J$704),""))</x:f>
      </x:c>
      <x:c r="V565" s="172" t="str">
        <x:f>IF(A565="","",IFERROR(LOOKUP(2,1/('Engineer Updates'!$B$5:$B$704=A565),'Engineer Updates'!$K$5:$K$704),""))</x:f>
      </x:c>
      <x:c r="W565" s="174" t="str">
        <x:f>IF(A565="","",IFERROR(LOOKUP(2,1/('Engineer Updates'!$B$5:$B$704=A565),'Engineer Updates'!$L$5:$L$704),""))</x:f>
      </x:c>
      <x:c r="X565" s="170" t="str">
        <x:f>IF(A565="","",IF(C565="completed","Completed in CSSP",IF(AND(C565="executing",ISERROR(SEARCH("@",K565))),"Executing without named engineer",IF(AND(N565="Confirmed OOS",C565="executing"),"Confirmed OOS still executing",""))))</x:f>
        <x:v>Completed in CSSP</x:v>
      </x:c>
      <x:c r="Y565" s="170" t="str">
        <x:f>IF(A565="","",IF(B565="Decommissioning","Raw Decommissioning","Raw Provisioning"))</x:f>
        <x:v>Raw Provisioning</x:v>
      </x:c>
      <x:c r="Z565" s="170" t="str">
        <x:f>IF(A565="","",IF(OR(C565="executing",C565="processing"),"Yes","No"))</x:f>
        <x:v>No</x:v>
      </x:c>
    </x:row>
    <x:row r="566">
      <x:c r="A566" s="170" t="str">
        <x:f>IF(ROWS($A$5:A566)&lt;=COUNTA('Raw Decommissioning'!$B$2:$B$1000),INDEX('Raw Decommissioning'!$B$2:$B$1000,ROWS($A$5:A566)),IF(ROWS($A$5:A566)-COUNTA('Raw Decommissioning'!$B$2:$B$1000)&lt;=COUNTA('Raw Provisioning'!$B$2:$B$1000),INDEX('Raw Provisioning'!$B$2:$B$1000,ROWS($A$5:A566)-COUNTA('Raw Decommissioning'!$B$2:$B$1000)),""))</x:f>
        <x:v>CSSP10131317</x:v>
      </x:c>
      <x:c r="B566" s="170" t="str">
        <x:f>IF(A566="","",IF(ROWS($A$5:A566)&lt;=COUNTA('Raw Decommissioning'!$B$2:$B$1000),"Decommissioning","Provisioning"))</x:f>
        <x:v>Provisioning</x:v>
      </x:c>
      <x:c r="C566" s="170" t="str">
        <x:f>IF(A566="","",IF(B566="Decommissioning",IFERROR(INDEX('Raw Decommissioning'!$E$2:$E$1000,MATCH(A566,'Raw Decommissioning'!$B$2:$B$1000,0)),"Missing from latest raw"),IFERROR(INDEX('Raw Provisioning'!$E$2:$E$1000,MATCH(A566,'Raw Provisioning'!$B$2:$B$1000,0)),"Missing from latest raw")))</x:f>
        <x:v>completed</x:v>
      </x:c>
      <x:c r="D566" s="171" t="n">
        <x:f>IF(A566="","",'Refresh Control'!$B$4)</x:f>
        <x:v>46254</x:v>
      </x:c>
      <x:c r="E566" s="171" t="n">
        <x:f>IF(A566="","",IF(B566="Decommissioning",INDEX('Raw Decommissioning'!$F$2:$F$1000,ROWS($A$5:A566)),INDEX('Raw Provisioning'!$F$2:$F$1000,ROWS($A$5:A566)-COUNTA('Raw Decommissioning'!$B$2:$B$1000))))</x:f>
        <x:v>46203.07579394676</x:v>
      </x:c>
      <x:c r="F566" s="171" t="n">
        <x:f>IF(A566="","",IF(B566="Decommissioning",INDEX('Raw Decommissioning'!$G$2:$G$1000,ROWS($A$5:A566)),INDEX('Raw Provisioning'!$H$2:$H$1000,ROWS($A$5:A566)-COUNTA('Raw Decommissioning'!$B$2:$B$1000))))</x:f>
        <x:v>46233.58587310185</x:v>
      </x:c>
      <x:c r="G566" s="170" t="str">
        <x:f>IF(A566="","",IF(B566="Decommissioning",INDEX('Raw Decommissioning'!$I$2:$I$1000,ROWS($A$5:A566)),INDEX('Raw Provisioning'!$J$2:$J$1000,ROWS($A$5:A566)-COUNTA('Raw Decommissioning'!$B$2:$B$1000))))</x:f>
        <x:v>Ansible Enterprise Configuration Management - AECM</x:v>
      </x:c>
      <x:c r="H566" s="170" t="str">
        <x:f>IF(A566="","",IF(B566="Decommissioning",INDEX('Raw Decommissioning'!$J$2:$J$1000,ROWS($A$5:A566)),INDEX('Raw Provisioning'!$L$2:$L$1000,ROWS($A$5:A566)-COUNTA('Raw Decommissioning'!$B$2:$B$1000))))</x:f>
        <x:v>Ansible Enterprise Configuration Management</x:v>
      </x:c>
      <x:c r="I566" s="170" t="str">
        <x:f>IF(A566="","",IF(B566="Decommissioning",INDEX('Raw Decommissioning'!$AL$2:$AL$1000,ROWS($A$5:A566)),INDEX('Raw Provisioning'!$R$2:$R$1000,ROWS($A$5:A566)-COUNTA('Raw Decommissioning'!$B$2:$B$1000))))</x:f>
        <x:v>S</x:v>
      </x:c>
      <x:c r="J566" s="170" t="str">
        <x:f>IF(A566="","",IF(B566="Decommissioning",INDEX('Raw Decommissioning'!$AG$2:$AG$1000,ROWS($A$5:A566)),INDEX('Raw Provisioning'!$AI$2:$AI$1000,ROWS($A$5:A566)-COUNTA('Raw Decommissioning'!$B$2:$B$1000))))</x:f>
        <x:v>venkatesh.kalikivayi@petronas.com</x:v>
      </x:c>
      <x:c r="K566" s="172" t="str">
        <x:f>IF(A566="","",IFERROR(LOOKUP(2,1/('Assignment History'!$B$5:$B$204=A566),'Assignment History'!$D$5:$D$204),IFERROR(VLOOKUP(J566,Configuration!$L$5:$M$50,2,FALSE),J566)))</x:f>
        <x:v>venkatesh.kalikivayi@petronas.com</x:v>
      </x:c>
      <x:c r="L566" s="172" t="str">
        <x:f>IF(A566="","",IF(K566=IFERROR(VLOOKUP(J566,Configuration!$L$5:$M$50,2,FALSE),J566),"Snapshot PIC","Replacement PIC"))</x:f>
        <x:v>Snapshot PIC</x:v>
      </x:c>
      <x:c r="M566" s="172" t="n">
        <x:f>IF(A566="","",IFERROR(VLOOKUP(I566,Configuration!$O$5:$P$8,2,FALSE),Configuration!$S$6))</x:f>
        <x:v>1</x:v>
      </x:c>
      <x:c r="N566" s="172" t="str">
        <x:f>IF(A566="","",IFERROR(LOOKUP(2,1/('Scope Review'!$B$5:$B$204=A566),'Scope Review'!$G$5:$G$204),"Not Reviewed"))</x:f>
        <x:v>Not Reviewed</x:v>
      </x:c>
      <x:c r="O566" s="172" t="str">
        <x:f>IF(A566="","",IFERROR(LOOKUP(2,1/('Scope Review'!$B$5:$B$204=A566),'Scope Review'!$H$5:$H$204),""))</x:f>
      </x:c>
      <x:c r="P566" s="172" t="n">
        <x:f>IF(A566="","",IF(AND(C566="executing",N566&lt;&gt;"Confirmed OOS"),M566,0))</x:f>
        <x:v>0</x:v>
      </x:c>
      <x:c r="Q566" s="173" t="str">
        <x:f>IF(A566="","",IFERROR(LOOKUP(2,1/('Engineer Updates'!$B$5:$B$704=A566),'Engineer Updates'!$A$5:$A$704),""))</x:f>
      </x:c>
      <x:c r="R566" s="172" t="str">
        <x:f>IF(A566="","",IFERROR(LOOKUP(2,1/('Engineer Updates'!$B$5:$B$704=A566),'Engineer Updates'!$H$5:$H$704),""))</x:f>
      </x:c>
      <x:c r="S566" s="172" t="str">
        <x:f>IF(A566="","",IFERROR(LOOKUP(2,1/('Engineer Updates'!$B$5:$B$704=A566),'Engineer Updates'!$G$5:$G$704),""))</x:f>
      </x:c>
      <x:c r="T566" s="172" t="str">
        <x:f>IF(A566="","",IFERROR(LOOKUP(2,1/('Engineer Updates'!$B$5:$B$704=A566),'Engineer Updates'!$I$5:$I$704),""))</x:f>
      </x:c>
      <x:c r="U566" s="172" t="str">
        <x:f>IF(A566="","",IFERROR(LOOKUP(2,1/('Engineer Updates'!$B$5:$B$704=A566),'Engineer Updates'!$J$5:$J$704),""))</x:f>
      </x:c>
      <x:c r="V566" s="172" t="str">
        <x:f>IF(A566="","",IFERROR(LOOKUP(2,1/('Engineer Updates'!$B$5:$B$704=A566),'Engineer Updates'!$K$5:$K$704),""))</x:f>
      </x:c>
      <x:c r="W566" s="174" t="str">
        <x:f>IF(A566="","",IFERROR(LOOKUP(2,1/('Engineer Updates'!$B$5:$B$704=A566),'Engineer Updates'!$L$5:$L$704),""))</x:f>
      </x:c>
      <x:c r="X566" s="170" t="str">
        <x:f>IF(A566="","",IF(C566="completed","Completed in CSSP",IF(AND(C566="executing",ISERROR(SEARCH("@",K566))),"Executing without named engineer",IF(AND(N566="Confirmed OOS",C566="executing"),"Confirmed OOS still executing",""))))</x:f>
        <x:v>Completed in CSSP</x:v>
      </x:c>
      <x:c r="Y566" s="170" t="str">
        <x:f>IF(A566="","",IF(B566="Decommissioning","Raw Decommissioning","Raw Provisioning"))</x:f>
        <x:v>Raw Provisioning</x:v>
      </x:c>
      <x:c r="Z566" s="170" t="str">
        <x:f>IF(A566="","",IF(OR(C566="executing",C566="processing"),"Yes","No"))</x:f>
        <x:v>No</x:v>
      </x:c>
    </x:row>
    <x:row r="567">
      <x:c r="A567" s="170" t="str">
        <x:f>IF(ROWS($A$5:A567)&lt;=COUNTA('Raw Decommissioning'!$B$2:$B$1000),INDEX('Raw Decommissioning'!$B$2:$B$1000,ROWS($A$5:A567)),IF(ROWS($A$5:A567)-COUNTA('Raw Decommissioning'!$B$2:$B$1000)&lt;=COUNTA('Raw Provisioning'!$B$2:$B$1000),INDEX('Raw Provisioning'!$B$2:$B$1000,ROWS($A$5:A567)-COUNTA('Raw Decommissioning'!$B$2:$B$1000)),""))</x:f>
        <x:v>CSSP10771930</x:v>
      </x:c>
      <x:c r="B567" s="170" t="str">
        <x:f>IF(A567="","",IF(ROWS($A$5:A567)&lt;=COUNTA('Raw Decommissioning'!$B$2:$B$1000),"Decommissioning","Provisioning"))</x:f>
        <x:v>Provisioning</x:v>
      </x:c>
      <x:c r="C567" s="170" t="str">
        <x:f>IF(A567="","",IF(B567="Decommissioning",IFERROR(INDEX('Raw Decommissioning'!$E$2:$E$1000,MATCH(A567,'Raw Decommissioning'!$B$2:$B$1000,0)),"Missing from latest raw"),IFERROR(INDEX('Raw Provisioning'!$E$2:$E$1000,MATCH(A567,'Raw Provisioning'!$B$2:$B$1000,0)),"Missing from latest raw")))</x:f>
        <x:v>executing</x:v>
      </x:c>
      <x:c r="D567" s="171" t="n">
        <x:f>IF(A567="","",'Refresh Control'!$B$4)</x:f>
        <x:v>46254</x:v>
      </x:c>
      <x:c r="E567" s="171" t="n">
        <x:f>IF(A567="","",IF(B567="Decommissioning",INDEX('Raw Decommissioning'!$F$2:$F$1000,ROWS($A$5:A567)),INDEX('Raw Provisioning'!$F$2:$F$1000,ROWS($A$5:A567)-COUNTA('Raw Decommissioning'!$B$2:$B$1000))))</x:f>
        <x:v>46204.16299113426</x:v>
      </x:c>
      <x:c r="F567" s="171" t="n">
        <x:f>IF(A567="","",IF(B567="Decommissioning",INDEX('Raw Decommissioning'!$G$2:$G$1000,ROWS($A$5:A567)),INDEX('Raw Provisioning'!$H$2:$H$1000,ROWS($A$5:A567)-COUNTA('Raw Decommissioning'!$B$2:$B$1000))))</x:f>
        <x:v>46222.85543998842</x:v>
      </x:c>
      <x:c r="G567" s="170" t="str">
        <x:f>IF(A567="","",IF(B567="Decommissioning",INDEX('Raw Decommissioning'!$I$2:$I$1000,ROWS($A$5:A567)),INDEX('Raw Provisioning'!$J$2:$J$1000,ROWS($A$5:A567)-COUNTA('Raw Decommissioning'!$B$2:$B$1000))))</x:f>
        <x:v>KLCC Data Hub</x:v>
      </x:c>
      <x:c r="H567" s="170" t="str">
        <x:f>IF(A567="","",IF(B567="Decommissioning",INDEX('Raw Decommissioning'!$J$2:$J$1000,ROWS($A$5:A567)),INDEX('Raw Provisioning'!$L$2:$L$1000,ROWS($A$5:A567)-COUNTA('Raw Decommissioning'!$B$2:$B$1000))))</x:f>
        <x:v>Subscription of PETRONAS Microsoft Fabric for KLCCH</x:v>
      </x:c>
      <x:c r="I567" s="170" t="str">
        <x:f>IF(A567="","",IF(B567="Decommissioning",INDEX('Raw Decommissioning'!$AL$2:$AL$1000,ROWS($A$5:A567)),INDEX('Raw Provisioning'!$R$2:$R$1000,ROWS($A$5:A567)-COUNTA('Raw Decommissioning'!$B$2:$B$1000))))</x:f>
        <x:v>S</x:v>
      </x:c>
      <x:c r="J567" s="170" t="str">
        <x:f>IF(A567="","",IF(B567="Decommissioning",INDEX('Raw Decommissioning'!$AG$2:$AG$1000,ROWS($A$5:A567)),INDEX('Raw Provisioning'!$AI$2:$AI$1000,ROWS($A$5:A567)-COUNTA('Raw Decommissioning'!$B$2:$B$1000))))</x:f>
        <x:v>K.saktivelu@petronas.com</x:v>
      </x:c>
      <x:c r="K567" s="172" t="str">
        <x:f>IF(A567="","",IFERROR(LOOKUP(2,1/('Assignment History'!$B$5:$B$204=A567),'Assignment History'!$D$5:$D$204),IFERROR(VLOOKUP(J567,Configuration!$L$5:$M$50,2,FALSE),J567)))</x:f>
        <x:v>k.saktivelu@petronas.com</x:v>
      </x:c>
      <x:c r="L567" s="172" t="str">
        <x:f>IF(A567="","",IF(K567=IFERROR(VLOOKUP(J567,Configuration!$L$5:$M$50,2,FALSE),J567),"Snapshot PIC","Replacement PIC"))</x:f>
        <x:v>Snapshot PIC</x:v>
      </x:c>
      <x:c r="M567" s="172" t="n">
        <x:f>IF(A567="","",IFERROR(VLOOKUP(I567,Configuration!$O$5:$P$8,2,FALSE),Configuration!$S$6))</x:f>
        <x:v>1</x:v>
      </x:c>
      <x:c r="N567" s="172" t="str">
        <x:f>IF(A567="","",IFERROR(LOOKUP(2,1/('Scope Review'!$B$5:$B$204=A567),'Scope Review'!$G$5:$G$204),"Not Reviewed"))</x:f>
        <x:v>Not Reviewed</x:v>
      </x:c>
      <x:c r="O567" s="172" t="str">
        <x:f>IF(A567="","",IFERROR(LOOKUP(2,1/('Scope Review'!$B$5:$B$204=A567),'Scope Review'!$H$5:$H$204),""))</x:f>
      </x:c>
      <x:c r="P567" s="172" t="n">
        <x:f>IF(A567="","",IF(AND(C567="executing",N567&lt;&gt;"Confirmed OOS"),M567,0))</x:f>
        <x:v>1</x:v>
      </x:c>
      <x:c r="Q567" s="173" t="n">
        <x:f>IF(A567="","",IFERROR(LOOKUP(2,1/('Engineer Updates'!$B$5:$B$704=A567),'Engineer Updates'!$A$5:$A$704),""))</x:f>
        <x:v>46251</x:v>
      </x:c>
      <x:c r="R567" s="172" t="str">
        <x:f>IF(A567="","",IFERROR(LOOKUP(2,1/('Engineer Updates'!$B$5:$B$704=A567),'Engineer Updates'!$H$5:$H$704),""))</x:f>
        <x:v>Not Started</x:v>
      </x:c>
      <x:c r="S567" s="172" t="str">
        <x:f>IF(A567="","",IFERROR(LOOKUP(2,1/('Engineer Updates'!$B$5:$B$704=A567),'Engineer Updates'!$G$5:$G$704),""))</x:f>
      </x:c>
      <x:c r="T567" s="172" t="str">
        <x:f>IF(A567="","",IFERROR(LOOKUP(2,1/('Engineer Updates'!$B$5:$B$704=A567),'Engineer Updates'!$I$5:$I$704),""))</x:f>
      </x:c>
      <x:c r="U567" s="172" t="str">
        <x:f>IF(A567="","",IFERROR(LOOKUP(2,1/('Engineer Updates'!$B$5:$B$704=A567),'Engineer Updates'!$J$5:$J$704),""))</x:f>
      </x:c>
      <x:c r="V567" s="172" t="str">
        <x:f>IF(A567="","",IFERROR(LOOKUP(2,1/('Engineer Updates'!$B$5:$B$704=A567),'Engineer Updates'!$K$5:$K$704),""))</x:f>
      </x:c>
      <x:c r="W567" s="174" t="str">
        <x:f>IF(A567="","",IFERROR(LOOKUP(2,1/('Engineer Updates'!$B$5:$B$704=A567),'Engineer Updates'!$L$5:$L$704),""))</x:f>
      </x:c>
      <x:c r="X567" s="170" t="str">
        <x:f>IF(A567="","",IF(C567="completed","Completed in CSSP",IF(AND(C567="executing",ISERROR(SEARCH("@",K567))),"Executing without named engineer",IF(AND(N567="Confirmed OOS",C567="executing"),"Confirmed OOS still executing",""))))</x:f>
      </x:c>
      <x:c r="Y567" s="170" t="str">
        <x:f>IF(A567="","",IF(B567="Decommissioning","Raw Decommissioning","Raw Provisioning"))</x:f>
        <x:v>Raw Provisioning</x:v>
      </x:c>
      <x:c r="Z567" s="170" t="str">
        <x:f>IF(A567="","",IF(OR(C567="executing",C567="processing"),"Yes","No"))</x:f>
        <x:v>Yes</x:v>
      </x:c>
    </x:row>
    <x:row r="568">
      <x:c r="A568" s="170" t="str">
        <x:f>IF(ROWS($A$5:A568)&lt;=COUNTA('Raw Decommissioning'!$B$2:$B$1000),INDEX('Raw Decommissioning'!$B$2:$B$1000,ROWS($A$5:A568)),IF(ROWS($A$5:A568)-COUNTA('Raw Decommissioning'!$B$2:$B$1000)&lt;=COUNTA('Raw Provisioning'!$B$2:$B$1000),INDEX('Raw Provisioning'!$B$2:$B$1000,ROWS($A$5:A568)-COUNTA('Raw Decommissioning'!$B$2:$B$1000)),""))</x:f>
        <x:v>CSSP10166697</x:v>
      </x:c>
      <x:c r="B568" s="170" t="str">
        <x:f>IF(A568="","",IF(ROWS($A$5:A568)&lt;=COUNTA('Raw Decommissioning'!$B$2:$B$1000),"Decommissioning","Provisioning"))</x:f>
        <x:v>Provisioning</x:v>
      </x:c>
      <x:c r="C568" s="170" t="str">
        <x:f>IF(A568="","",IF(B568="Decommissioning",IFERROR(INDEX('Raw Decommissioning'!$E$2:$E$1000,MATCH(A568,'Raw Decommissioning'!$B$2:$B$1000,0)),"Missing from latest raw"),IFERROR(INDEX('Raw Provisioning'!$E$2:$E$1000,MATCH(A568,'Raw Provisioning'!$B$2:$B$1000,0)),"Missing from latest raw")))</x:f>
        <x:v>executing</x:v>
      </x:c>
      <x:c r="D568" s="171" t="n">
        <x:f>IF(A568="","",'Refresh Control'!$B$4)</x:f>
        <x:v>46254</x:v>
      </x:c>
      <x:c r="E568" s="171" t="n">
        <x:f>IF(A568="","",IF(B568="Decommissioning",INDEX('Raw Decommissioning'!$F$2:$F$1000,ROWS($A$5:A568)),INDEX('Raw Provisioning'!$F$2:$F$1000,ROWS($A$5:A568)-COUNTA('Raw Decommissioning'!$B$2:$B$1000))))</x:f>
        <x:v>46204.16397262731</x:v>
      </x:c>
      <x:c r="F568" s="171" t="n">
        <x:f>IF(A568="","",IF(B568="Decommissioning",INDEX('Raw Decommissioning'!$G$2:$G$1000,ROWS($A$5:A568)),INDEX('Raw Provisioning'!$H$2:$H$1000,ROWS($A$5:A568)-COUNTA('Raw Decommissioning'!$B$2:$B$1000))))</x:f>
        <x:v>46222.85478372685</x:v>
      </x:c>
      <x:c r="G568" s="170" t="str">
        <x:f>IF(A568="","",IF(B568="Decommissioning",INDEX('Raw Decommissioning'!$I$2:$I$1000,ROWS($A$5:A568)),INDEX('Raw Provisioning'!$J$2:$J$1000,ROWS($A$5:A568)-COUNTA('Raw Decommissioning'!$B$2:$B$1000))))</x:f>
        <x:v>KLCC Data Hub</x:v>
      </x:c>
      <x:c r="H568" s="170" t="str">
        <x:f>IF(A568="","",IF(B568="Decommissioning",INDEX('Raw Decommissioning'!$J$2:$J$1000,ROWS($A$5:A568)),INDEX('Raw Provisioning'!$L$2:$L$1000,ROWS($A$5:A568)-COUNTA('Raw Decommissioning'!$B$2:$B$1000))))</x:f>
        <x:v>Subscription of PETRONAS Microsoft Fabric for KLCCH</x:v>
      </x:c>
      <x:c r="I568" s="170" t="str">
        <x:f>IF(A568="","",IF(B568="Decommissioning",INDEX('Raw Decommissioning'!$AL$2:$AL$1000,ROWS($A$5:A568)),INDEX('Raw Provisioning'!$R$2:$R$1000,ROWS($A$5:A568)-COUNTA('Raw Decommissioning'!$B$2:$B$1000))))</x:f>
        <x:v>S</x:v>
      </x:c>
      <x:c r="J568" s="170" t="str">
        <x:f>IF(A568="","",IF(B568="Decommissioning",INDEX('Raw Decommissioning'!$AG$2:$AG$1000,ROWS($A$5:A568)),INDEX('Raw Provisioning'!$AI$2:$AI$1000,ROWS($A$5:A568)-COUNTA('Raw Decommissioning'!$B$2:$B$1000))))</x:f>
        <x:v>K.saktivelu@petronas.com</x:v>
      </x:c>
      <x:c r="K568" s="172" t="str">
        <x:f>IF(A568="","",IFERROR(LOOKUP(2,1/('Assignment History'!$B$5:$B$204=A568),'Assignment History'!$D$5:$D$204),IFERROR(VLOOKUP(J568,Configuration!$L$5:$M$50,2,FALSE),J568)))</x:f>
        <x:v>k.saktivelu@petronas.com</x:v>
      </x:c>
      <x:c r="L568" s="172" t="str">
        <x:f>IF(A568="","",IF(K568=IFERROR(VLOOKUP(J568,Configuration!$L$5:$M$50,2,FALSE),J568),"Snapshot PIC","Replacement PIC"))</x:f>
        <x:v>Snapshot PIC</x:v>
      </x:c>
      <x:c r="M568" s="172" t="n">
        <x:f>IF(A568="","",IFERROR(VLOOKUP(I568,Configuration!$O$5:$P$8,2,FALSE),Configuration!$S$6))</x:f>
        <x:v>1</x:v>
      </x:c>
      <x:c r="N568" s="172" t="str">
        <x:f>IF(A568="","",IFERROR(LOOKUP(2,1/('Scope Review'!$B$5:$B$204=A568),'Scope Review'!$G$5:$G$204),"Not Reviewed"))</x:f>
        <x:v>Not Reviewed</x:v>
      </x:c>
      <x:c r="O568" s="172" t="str">
        <x:f>IF(A568="","",IFERROR(LOOKUP(2,1/('Scope Review'!$B$5:$B$204=A568),'Scope Review'!$H$5:$H$204),""))</x:f>
      </x:c>
      <x:c r="P568" s="172" t="n">
        <x:f>IF(A568="","",IF(AND(C568="executing",N568&lt;&gt;"Confirmed OOS"),M568,0))</x:f>
        <x:v>1</x:v>
      </x:c>
      <x:c r="Q568" s="173" t="n">
        <x:f>IF(A568="","",IFERROR(LOOKUP(2,1/('Engineer Updates'!$B$5:$B$704=A568),'Engineer Updates'!$A$5:$A$704),""))</x:f>
        <x:v>46251</x:v>
      </x:c>
      <x:c r="R568" s="172" t="str">
        <x:f>IF(A568="","",IFERROR(LOOKUP(2,1/('Engineer Updates'!$B$5:$B$704=A568),'Engineer Updates'!$H$5:$H$704),""))</x:f>
        <x:v>Not Started</x:v>
      </x:c>
      <x:c r="S568" s="172" t="str">
        <x:f>IF(A568="","",IFERROR(LOOKUP(2,1/('Engineer Updates'!$B$5:$B$704=A568),'Engineer Updates'!$G$5:$G$704),""))</x:f>
      </x:c>
      <x:c r="T568" s="172" t="str">
        <x:f>IF(A568="","",IFERROR(LOOKUP(2,1/('Engineer Updates'!$B$5:$B$704=A568),'Engineer Updates'!$I$5:$I$704),""))</x:f>
      </x:c>
      <x:c r="U568" s="172" t="str">
        <x:f>IF(A568="","",IFERROR(LOOKUP(2,1/('Engineer Updates'!$B$5:$B$704=A568),'Engineer Updates'!$J$5:$J$704),""))</x:f>
      </x:c>
      <x:c r="V568" s="172" t="str">
        <x:f>IF(A568="","",IFERROR(LOOKUP(2,1/('Engineer Updates'!$B$5:$B$704=A568),'Engineer Updates'!$K$5:$K$704),""))</x:f>
      </x:c>
      <x:c r="W568" s="174" t="str">
        <x:f>IF(A568="","",IFERROR(LOOKUP(2,1/('Engineer Updates'!$B$5:$B$704=A568),'Engineer Updates'!$L$5:$L$704),""))</x:f>
      </x:c>
      <x:c r="X568" s="170" t="str">
        <x:f>IF(A568="","",IF(C568="completed","Completed in CSSP",IF(AND(C568="executing",ISERROR(SEARCH("@",K568))),"Executing without named engineer",IF(AND(N568="Confirmed OOS",C568="executing"),"Confirmed OOS still executing",""))))</x:f>
      </x:c>
      <x:c r="Y568" s="170" t="str">
        <x:f>IF(A568="","",IF(B568="Decommissioning","Raw Decommissioning","Raw Provisioning"))</x:f>
        <x:v>Raw Provisioning</x:v>
      </x:c>
      <x:c r="Z568" s="170" t="str">
        <x:f>IF(A568="","",IF(OR(C568="executing",C568="processing"),"Yes","No"))</x:f>
        <x:v>Yes</x:v>
      </x:c>
    </x:row>
    <x:row r="569">
      <x:c r="A569" s="170" t="str">
        <x:f>IF(ROWS($A$5:A569)&lt;=COUNTA('Raw Decommissioning'!$B$2:$B$1000),INDEX('Raw Decommissioning'!$B$2:$B$1000,ROWS($A$5:A569)),IF(ROWS($A$5:A569)-COUNTA('Raw Decommissioning'!$B$2:$B$1000)&lt;=COUNTA('Raw Provisioning'!$B$2:$B$1000),INDEX('Raw Provisioning'!$B$2:$B$1000,ROWS($A$5:A569)-COUNTA('Raw Decommissioning'!$B$2:$B$1000)),""))</x:f>
        <x:v>CSSP10268716</x:v>
      </x:c>
      <x:c r="B569" s="170" t="str">
        <x:f>IF(A569="","",IF(ROWS($A$5:A569)&lt;=COUNTA('Raw Decommissioning'!$B$2:$B$1000),"Decommissioning","Provisioning"))</x:f>
        <x:v>Provisioning</x:v>
      </x:c>
      <x:c r="C569" s="170" t="str">
        <x:f>IF(A569="","",IF(B569="Decommissioning",IFERROR(INDEX('Raw Decommissioning'!$E$2:$E$1000,MATCH(A569,'Raw Decommissioning'!$B$2:$B$1000,0)),"Missing from latest raw"),IFERROR(INDEX('Raw Provisioning'!$E$2:$E$1000,MATCH(A569,'Raw Provisioning'!$B$2:$B$1000,0)),"Missing from latest raw")))</x:f>
        <x:v>completed</x:v>
      </x:c>
      <x:c r="D569" s="171" t="n">
        <x:f>IF(A569="","",'Refresh Control'!$B$4)</x:f>
        <x:v>46254</x:v>
      </x:c>
      <x:c r="E569" s="171" t="n">
        <x:f>IF(A569="","",IF(B569="Decommissioning",INDEX('Raw Decommissioning'!$F$2:$F$1000,ROWS($A$5:A569)),INDEX('Raw Provisioning'!$F$2:$F$1000,ROWS($A$5:A569)-COUNTA('Raw Decommissioning'!$B$2:$B$1000))))</x:f>
        <x:v>46204.29265425926</x:v>
      </x:c>
      <x:c r="F569" s="171" t="n">
        <x:f>IF(A569="","",IF(B569="Decommissioning",INDEX('Raw Decommissioning'!$G$2:$G$1000,ROWS($A$5:A569)),INDEX('Raw Provisioning'!$H$2:$H$1000,ROWS($A$5:A569)-COUNTA('Raw Decommissioning'!$B$2:$B$1000))))</x:f>
        <x:v>46246.08997</x:v>
      </x:c>
      <x:c r="G569" s="170" t="str">
        <x:f>IF(A569="","",IF(B569="Decommissioning",INDEX('Raw Decommissioning'!$I$2:$I$1000,ROWS($A$5:A569)),INDEX('Raw Provisioning'!$J$2:$J$1000,ROWS($A$5:A569)-COUNTA('Raw Decommissioning'!$B$2:$B$1000))))</x:f>
        <x:v>Frontier Firm</x:v>
      </x:c>
      <x:c r="H569" s="170" t="str">
        <x:f>IF(A569="","",IF(B569="Decommissioning",INDEX('Raw Decommissioning'!$J$2:$J$1000,ROWS($A$5:A569)),INDEX('Raw Provisioning'!$L$2:$L$1000,ROWS($A$5:A569)-COUNTA('Raw Decommissioning'!$B$2:$B$1000))))</x:f>
        <x:v>PDSB Frontier Firm</x:v>
      </x:c>
      <x:c r="I569" s="170" t="str">
        <x:f>IF(A569="","",IF(B569="Decommissioning",INDEX('Raw Decommissioning'!$AL$2:$AL$1000,ROWS($A$5:A569)),INDEX('Raw Provisioning'!$R$2:$R$1000,ROWS($A$5:A569)-COUNTA('Raw Decommissioning'!$B$2:$B$1000))))</x:f>
        <x:v>L</x:v>
      </x:c>
      <x:c r="J569" s="170" t="str">
        <x:f>IF(A569="","",IF(B569="Decommissioning",INDEX('Raw Decommissioning'!$AG$2:$AG$1000,ROWS($A$5:A569)),INDEX('Raw Provisioning'!$AI$2:$AI$1000,ROWS($A$5:A569)-COUNTA('Raw Decommissioning'!$B$2:$B$1000))))</x:f>
        <x:v>venkatesh.kalikivayi@petronas.com</x:v>
      </x:c>
      <x:c r="K569" s="172" t="str">
        <x:f>IF(A569="","",IFERROR(LOOKUP(2,1/('Assignment History'!$B$5:$B$204=A569),'Assignment History'!$D$5:$D$204),IFERROR(VLOOKUP(J569,Configuration!$L$5:$M$50,2,FALSE),J569)))</x:f>
        <x:v>venkatesh.kalikivayi@petronas.com</x:v>
      </x:c>
      <x:c r="L569" s="172" t="str">
        <x:f>IF(A569="","",IF(K569=IFERROR(VLOOKUP(J569,Configuration!$L$5:$M$50,2,FALSE),J569),"Snapshot PIC","Replacement PIC"))</x:f>
        <x:v>Snapshot PIC</x:v>
      </x:c>
      <x:c r="M569" s="172" t="n">
        <x:f>IF(A569="","",IFERROR(VLOOKUP(I569,Configuration!$O$5:$P$8,2,FALSE),Configuration!$S$6))</x:f>
        <x:v>3</x:v>
      </x:c>
      <x:c r="N569" s="172" t="str">
        <x:f>IF(A569="","",IFERROR(LOOKUP(2,1/('Scope Review'!$B$5:$B$204=A569),'Scope Review'!$G$5:$G$204),"Not Reviewed"))</x:f>
        <x:v>Not Reviewed</x:v>
      </x:c>
      <x:c r="O569" s="172" t="str">
        <x:f>IF(A569="","",IFERROR(LOOKUP(2,1/('Scope Review'!$B$5:$B$204=A569),'Scope Review'!$H$5:$H$204),""))</x:f>
      </x:c>
      <x:c r="P569" s="172" t="n">
        <x:f>IF(A569="","",IF(AND(C569="executing",N569&lt;&gt;"Confirmed OOS"),M569,0))</x:f>
        <x:v>0</x:v>
      </x:c>
      <x:c r="Q569" s="173" t="str">
        <x:f>IF(A569="","",IFERROR(LOOKUP(2,1/('Engineer Updates'!$B$5:$B$704=A569),'Engineer Updates'!$A$5:$A$704),""))</x:f>
      </x:c>
      <x:c r="R569" s="172" t="str">
        <x:f>IF(A569="","",IFERROR(LOOKUP(2,1/('Engineer Updates'!$B$5:$B$704=A569),'Engineer Updates'!$H$5:$H$704),""))</x:f>
      </x:c>
      <x:c r="S569" s="172" t="str">
        <x:f>IF(A569="","",IFERROR(LOOKUP(2,1/('Engineer Updates'!$B$5:$B$704=A569),'Engineer Updates'!$G$5:$G$704),""))</x:f>
      </x:c>
      <x:c r="T569" s="172" t="str">
        <x:f>IF(A569="","",IFERROR(LOOKUP(2,1/('Engineer Updates'!$B$5:$B$704=A569),'Engineer Updates'!$I$5:$I$704),""))</x:f>
      </x:c>
      <x:c r="U569" s="172" t="str">
        <x:f>IF(A569="","",IFERROR(LOOKUP(2,1/('Engineer Updates'!$B$5:$B$704=A569),'Engineer Updates'!$J$5:$J$704),""))</x:f>
      </x:c>
      <x:c r="V569" s="172" t="str">
        <x:f>IF(A569="","",IFERROR(LOOKUP(2,1/('Engineer Updates'!$B$5:$B$704=A569),'Engineer Updates'!$K$5:$K$704),""))</x:f>
      </x:c>
      <x:c r="W569" s="174" t="str">
        <x:f>IF(A569="","",IFERROR(LOOKUP(2,1/('Engineer Updates'!$B$5:$B$704=A569),'Engineer Updates'!$L$5:$L$704),""))</x:f>
      </x:c>
      <x:c r="X569" s="170" t="str">
        <x:f>IF(A569="","",IF(C569="completed","Completed in CSSP",IF(AND(C569="executing",ISERROR(SEARCH("@",K569))),"Executing without named engineer",IF(AND(N569="Confirmed OOS",C569="executing"),"Confirmed OOS still executing",""))))</x:f>
        <x:v>Completed in CSSP</x:v>
      </x:c>
      <x:c r="Y569" s="170" t="str">
        <x:f>IF(A569="","",IF(B569="Decommissioning","Raw Decommissioning","Raw Provisioning"))</x:f>
        <x:v>Raw Provisioning</x:v>
      </x:c>
      <x:c r="Z569" s="170" t="str">
        <x:f>IF(A569="","",IF(OR(C569="executing",C569="processing"),"Yes","No"))</x:f>
        <x:v>No</x:v>
      </x:c>
    </x:row>
    <x:row r="570">
      <x:c r="A570" s="170" t="str">
        <x:f>IF(ROWS($A$5:A570)&lt;=COUNTA('Raw Decommissioning'!$B$2:$B$1000),INDEX('Raw Decommissioning'!$B$2:$B$1000,ROWS($A$5:A570)),IF(ROWS($A$5:A570)-COUNTA('Raw Decommissioning'!$B$2:$B$1000)&lt;=COUNTA('Raw Provisioning'!$B$2:$B$1000),INDEX('Raw Provisioning'!$B$2:$B$1000,ROWS($A$5:A570)-COUNTA('Raw Decommissioning'!$B$2:$B$1000)),""))</x:f>
        <x:v>CSSP10927046</x:v>
      </x:c>
      <x:c r="B570" s="170" t="str">
        <x:f>IF(A570="","",IF(ROWS($A$5:A570)&lt;=COUNTA('Raw Decommissioning'!$B$2:$B$1000),"Decommissioning","Provisioning"))</x:f>
        <x:v>Provisioning</x:v>
      </x:c>
      <x:c r="C570" s="170" t="str">
        <x:f>IF(A570="","",IF(B570="Decommissioning",IFERROR(INDEX('Raw Decommissioning'!$E$2:$E$1000,MATCH(A570,'Raw Decommissioning'!$B$2:$B$1000,0)),"Missing from latest raw"),IFERROR(INDEX('Raw Provisioning'!$E$2:$E$1000,MATCH(A570,'Raw Provisioning'!$B$2:$B$1000,0)),"Missing from latest raw")))</x:f>
        <x:v>completed</x:v>
      </x:c>
      <x:c r="D570" s="171" t="n">
        <x:f>IF(A570="","",'Refresh Control'!$B$4)</x:f>
        <x:v>46254</x:v>
      </x:c>
      <x:c r="E570" s="171" t="n">
        <x:f>IF(A570="","",IF(B570="Decommissioning",INDEX('Raw Decommissioning'!$F$2:$F$1000,ROWS($A$5:A570)),INDEX('Raw Provisioning'!$F$2:$F$1000,ROWS($A$5:A570)-COUNTA('Raw Decommissioning'!$B$2:$B$1000))))</x:f>
        <x:v>46205.13069259259</x:v>
      </x:c>
      <x:c r="F570" s="171" t="n">
        <x:f>IF(A570="","",IF(B570="Decommissioning",INDEX('Raw Decommissioning'!$G$2:$G$1000,ROWS($A$5:A570)),INDEX('Raw Provisioning'!$H$2:$H$1000,ROWS($A$5:A570)-COUNTA('Raw Decommissioning'!$B$2:$B$1000))))</x:f>
        <x:v>46243.642616840276</x:v>
      </x:c>
      <x:c r="G570" s="170" t="str">
        <x:f>IF(A570="","",IF(B570="Decommissioning",INDEX('Raw Decommissioning'!$I$2:$I$1000,ROWS($A$5:A570)),INDEX('Raw Provisioning'!$J$2:$J$1000,ROWS($A$5:A570)-COUNTA('Raw Decommissioning'!$B$2:$B$1000))))</x:f>
        <x:v>COMPASS</x:v>
      </x:c>
      <x:c r="H570" s="170" t="str">
        <x:f>IF(A570="","",IF(B570="Decommissioning",INDEX('Raw Decommissioning'!$J$2:$J$1000,ROWS($A$5:A570)),INDEX('Raw Provisioning'!$L$2:$L$1000,ROWS($A$5:A570)-COUNTA('Raw Decommissioning'!$B$2:$B$1000))))</x:f>
        <x:v>COMPASS Phase 2</x:v>
      </x:c>
      <x:c r="I570" s="170" t="str">
        <x:f>IF(A570="","",IF(B570="Decommissioning",INDEX('Raw Decommissioning'!$AL$2:$AL$1000,ROWS($A$5:A570)),INDEX('Raw Provisioning'!$R$2:$R$1000,ROWS($A$5:A570)-COUNTA('Raw Decommissioning'!$B$2:$B$1000))))</x:f>
        <x:v>S</x:v>
      </x:c>
      <x:c r="J570" s="170" t="str">
        <x:f>IF(A570="","",IF(B570="Decommissioning",INDEX('Raw Decommissioning'!$AG$2:$AG$1000,ROWS($A$5:A570)),INDEX('Raw Provisioning'!$AI$2:$AI$1000,ROWS($A$5:A570)-COUNTA('Raw Decommissioning'!$B$2:$B$1000))))</x:f>
        <x:v>amarja.kawade@petronas.com</x:v>
      </x:c>
      <x:c r="K570" s="172" t="str">
        <x:f>IF(A570="","",IFERROR(LOOKUP(2,1/('Assignment History'!$B$5:$B$204=A570),'Assignment History'!$D$5:$D$204),IFERROR(VLOOKUP(J570,Configuration!$L$5:$M$50,2,FALSE),J570)))</x:f>
        <x:v>amarja.kawade@petronas.com</x:v>
      </x:c>
      <x:c r="L570" s="172" t="str">
        <x:f>IF(A570="","",IF(K570=IFERROR(VLOOKUP(J570,Configuration!$L$5:$M$50,2,FALSE),J570),"Snapshot PIC","Replacement PIC"))</x:f>
        <x:v>Snapshot PIC</x:v>
      </x:c>
      <x:c r="M570" s="172" t="n">
        <x:f>IF(A570="","",IFERROR(VLOOKUP(I570,Configuration!$O$5:$P$8,2,FALSE),Configuration!$S$6))</x:f>
        <x:v>1</x:v>
      </x:c>
      <x:c r="N570" s="172" t="str">
        <x:f>IF(A570="","",IFERROR(LOOKUP(2,1/('Scope Review'!$B$5:$B$204=A570),'Scope Review'!$G$5:$G$204),"Not Reviewed"))</x:f>
        <x:v>Not Reviewed</x:v>
      </x:c>
      <x:c r="O570" s="172" t="str">
        <x:f>IF(A570="","",IFERROR(LOOKUP(2,1/('Scope Review'!$B$5:$B$204=A570),'Scope Review'!$H$5:$H$204),""))</x:f>
      </x:c>
      <x:c r="P570" s="172" t="n">
        <x:f>IF(A570="","",IF(AND(C570="executing",N570&lt;&gt;"Confirmed OOS"),M570,0))</x:f>
        <x:v>0</x:v>
      </x:c>
      <x:c r="Q570" s="173" t="str">
        <x:f>IF(A570="","",IFERROR(LOOKUP(2,1/('Engineer Updates'!$B$5:$B$704=A570),'Engineer Updates'!$A$5:$A$704),""))</x:f>
      </x:c>
      <x:c r="R570" s="172" t="str">
        <x:f>IF(A570="","",IFERROR(LOOKUP(2,1/('Engineer Updates'!$B$5:$B$704=A570),'Engineer Updates'!$H$5:$H$704),""))</x:f>
      </x:c>
      <x:c r="S570" s="172" t="str">
        <x:f>IF(A570="","",IFERROR(LOOKUP(2,1/('Engineer Updates'!$B$5:$B$704=A570),'Engineer Updates'!$G$5:$G$704),""))</x:f>
      </x:c>
      <x:c r="T570" s="172" t="str">
        <x:f>IF(A570="","",IFERROR(LOOKUP(2,1/('Engineer Updates'!$B$5:$B$704=A570),'Engineer Updates'!$I$5:$I$704),""))</x:f>
      </x:c>
      <x:c r="U570" s="172" t="str">
        <x:f>IF(A570="","",IFERROR(LOOKUP(2,1/('Engineer Updates'!$B$5:$B$704=A570),'Engineer Updates'!$J$5:$J$704),""))</x:f>
      </x:c>
      <x:c r="V570" s="172" t="str">
        <x:f>IF(A570="","",IFERROR(LOOKUP(2,1/('Engineer Updates'!$B$5:$B$704=A570),'Engineer Updates'!$K$5:$K$704),""))</x:f>
      </x:c>
      <x:c r="W570" s="174" t="str">
        <x:f>IF(A570="","",IFERROR(LOOKUP(2,1/('Engineer Updates'!$B$5:$B$704=A570),'Engineer Updates'!$L$5:$L$704),""))</x:f>
      </x:c>
      <x:c r="X570" s="170" t="str">
        <x:f>IF(A570="","",IF(C570="completed","Completed in CSSP",IF(AND(C570="executing",ISERROR(SEARCH("@",K570))),"Executing without named engineer",IF(AND(N570="Confirmed OOS",C570="executing"),"Confirmed OOS still executing",""))))</x:f>
        <x:v>Completed in CSSP</x:v>
      </x:c>
      <x:c r="Y570" s="170" t="str">
        <x:f>IF(A570="","",IF(B570="Decommissioning","Raw Decommissioning","Raw Provisioning"))</x:f>
        <x:v>Raw Provisioning</x:v>
      </x:c>
      <x:c r="Z570" s="170" t="str">
        <x:f>IF(A570="","",IF(OR(C570="executing",C570="processing"),"Yes","No"))</x:f>
        <x:v>No</x:v>
      </x:c>
    </x:row>
    <x:row r="571">
      <x:c r="A571" s="170" t="str">
        <x:f>IF(ROWS($A$5:A571)&lt;=COUNTA('Raw Decommissioning'!$B$2:$B$1000),INDEX('Raw Decommissioning'!$B$2:$B$1000,ROWS($A$5:A571)),IF(ROWS($A$5:A571)-COUNTA('Raw Decommissioning'!$B$2:$B$1000)&lt;=COUNTA('Raw Provisioning'!$B$2:$B$1000),INDEX('Raw Provisioning'!$B$2:$B$1000,ROWS($A$5:A571)-COUNTA('Raw Decommissioning'!$B$2:$B$1000)),""))</x:f>
        <x:v>CSSP10514376</x:v>
      </x:c>
      <x:c r="B571" s="170" t="str">
        <x:f>IF(A571="","",IF(ROWS($A$5:A571)&lt;=COUNTA('Raw Decommissioning'!$B$2:$B$1000),"Decommissioning","Provisioning"))</x:f>
        <x:v>Provisioning</x:v>
      </x:c>
      <x:c r="C571" s="170" t="str">
        <x:f>IF(A571="","",IF(B571="Decommissioning",IFERROR(INDEX('Raw Decommissioning'!$E$2:$E$1000,MATCH(A571,'Raw Decommissioning'!$B$2:$B$1000,0)),"Missing from latest raw"),IFERROR(INDEX('Raw Provisioning'!$E$2:$E$1000,MATCH(A571,'Raw Provisioning'!$B$2:$B$1000,0)),"Missing from latest raw")))</x:f>
        <x:v>rejected</x:v>
      </x:c>
      <x:c r="D571" s="171" t="n">
        <x:f>IF(A571="","",'Refresh Control'!$B$4)</x:f>
        <x:v>46254</x:v>
      </x:c>
      <x:c r="E571" s="171" t="n">
        <x:f>IF(A571="","",IF(B571="Decommissioning",INDEX('Raw Decommissioning'!$F$2:$F$1000,ROWS($A$5:A571)),INDEX('Raw Provisioning'!$F$2:$F$1000,ROWS($A$5:A571)-COUNTA('Raw Decommissioning'!$B$2:$B$1000))))</x:f>
        <x:v>46205.24749351852</x:v>
      </x:c>
      <x:c r="F571" s="171" t="n">
        <x:f>IF(A571="","",IF(B571="Decommissioning",INDEX('Raw Decommissioning'!$G$2:$G$1000,ROWS($A$5:A571)),INDEX('Raw Provisioning'!$H$2:$H$1000,ROWS($A$5:A571)-COUNTA('Raw Decommissioning'!$B$2:$B$1000))))</x:f>
        <x:v>46210.27548509259</x:v>
      </x:c>
      <x:c r="G571" s="170" t="str">
        <x:f>IF(A571="","",IF(B571="Decommissioning",INDEX('Raw Decommissioning'!$I$2:$I$1000,ROWS($A$5:A571)),INDEX('Raw Provisioning'!$J$2:$J$1000,ROWS($A$5:A571)-COUNTA('Raw Decommissioning'!$B$2:$B$1000))))</x:f>
        <x:v>MyProcure</x:v>
      </x:c>
      <x:c r="H571" s="170" t="str">
        <x:f>IF(A571="","",IF(B571="Decommissioning",INDEX('Raw Decommissioning'!$J$2:$J$1000,ROWS($A$5:A571)),INDEX('Raw Provisioning'!$L$2:$L$1000,ROWS($A$5:A571)-COUNTA('Raw Decommissioning'!$B$2:$B$1000))))</x:f>
        <x:v>Procurement Innovation Through Automation And Procurement Marketplace</x:v>
      </x:c>
      <x:c r="I571" s="170" t="str">
        <x:f>IF(A571="","",IF(B571="Decommissioning",INDEX('Raw Decommissioning'!$AL$2:$AL$1000,ROWS($A$5:A571)),INDEX('Raw Provisioning'!$R$2:$R$1000,ROWS($A$5:A571)-COUNTA('Raw Decommissioning'!$B$2:$B$1000))))</x:f>
        <x:v>M</x:v>
      </x:c>
      <x:c r="J571" s="170" t="str">
        <x:f>IF(A571="","",IF(B571="Decommissioning",INDEX('Raw Decommissioning'!$AG$2:$AG$1000,ROWS($A$5:A571)),INDEX('Raw Provisioning'!$AI$2:$AI$1000,ROWS($A$5:A571)-COUNTA('Raw Decommissioning'!$B$2:$B$1000))))</x:f>
        <x:v>IMS - CLOUD CSSP EXECUTOR</x:v>
      </x:c>
      <x:c r="K571" s="172" t="str">
        <x:f>IF(A571="","",IFERROR(LOOKUP(2,1/('Assignment History'!$B$5:$B$204=A571),'Assignment History'!$D$5:$D$204),IFERROR(VLOOKUP(J571,Configuration!$L$5:$M$50,2,FALSE),J571)))</x:f>
        <x:v>IMS - CLOUD CSSP EXECUTOR</x:v>
      </x:c>
      <x:c r="L571" s="172" t="str">
        <x:f>IF(A571="","",IF(K571=IFERROR(VLOOKUP(J571,Configuration!$L$5:$M$50,2,FALSE),J571),"Snapshot PIC","Replacement PIC"))</x:f>
        <x:v>Snapshot PIC</x:v>
      </x:c>
      <x:c r="M571" s="172" t="n">
        <x:f>IF(A571="","",IFERROR(VLOOKUP(I571,Configuration!$O$5:$P$8,2,FALSE),Configuration!$S$6))</x:f>
        <x:v>2</x:v>
      </x:c>
      <x:c r="N571" s="172" t="str">
        <x:f>IF(A571="","",IFERROR(LOOKUP(2,1/('Scope Review'!$B$5:$B$204=A571),'Scope Review'!$G$5:$G$204),"Not Reviewed"))</x:f>
        <x:v>Not Reviewed</x:v>
      </x:c>
      <x:c r="O571" s="172" t="str">
        <x:f>IF(A571="","",IFERROR(LOOKUP(2,1/('Scope Review'!$B$5:$B$204=A571),'Scope Review'!$H$5:$H$204),""))</x:f>
      </x:c>
      <x:c r="P571" s="172" t="n">
        <x:f>IF(A571="","",IF(AND(C571="executing",N571&lt;&gt;"Confirmed OOS"),M571,0))</x:f>
        <x:v>0</x:v>
      </x:c>
      <x:c r="Q571" s="173" t="str">
        <x:f>IF(A571="","",IFERROR(LOOKUP(2,1/('Engineer Updates'!$B$5:$B$704=A571),'Engineer Updates'!$A$5:$A$704),""))</x:f>
      </x:c>
      <x:c r="R571" s="172" t="str">
        <x:f>IF(A571="","",IFERROR(LOOKUP(2,1/('Engineer Updates'!$B$5:$B$704=A571),'Engineer Updates'!$H$5:$H$704),""))</x:f>
      </x:c>
      <x:c r="S571" s="172" t="str">
        <x:f>IF(A571="","",IFERROR(LOOKUP(2,1/('Engineer Updates'!$B$5:$B$704=A571),'Engineer Updates'!$G$5:$G$704),""))</x:f>
      </x:c>
      <x:c r="T571" s="172" t="str">
        <x:f>IF(A571="","",IFERROR(LOOKUP(2,1/('Engineer Updates'!$B$5:$B$704=A571),'Engineer Updates'!$I$5:$I$704),""))</x:f>
      </x:c>
      <x:c r="U571" s="172" t="str">
        <x:f>IF(A571="","",IFERROR(LOOKUP(2,1/('Engineer Updates'!$B$5:$B$704=A571),'Engineer Updates'!$J$5:$J$704),""))</x:f>
      </x:c>
      <x:c r="V571" s="172" t="str">
        <x:f>IF(A571="","",IFERROR(LOOKUP(2,1/('Engineer Updates'!$B$5:$B$704=A571),'Engineer Updates'!$K$5:$K$704),""))</x:f>
      </x:c>
      <x:c r="W571" s="174" t="str">
        <x:f>IF(A571="","",IFERROR(LOOKUP(2,1/('Engineer Updates'!$B$5:$B$704=A571),'Engineer Updates'!$L$5:$L$704),""))</x:f>
      </x:c>
      <x:c r="X571" s="170" t="str">
        <x:f>IF(A571="","",IF(C571="completed","Completed in CSSP",IF(AND(C571="executing",ISERROR(SEARCH("@",K571))),"Executing without named engineer",IF(AND(N571="Confirmed OOS",C571="executing"),"Confirmed OOS still executing",""))))</x:f>
      </x:c>
      <x:c r="Y571" s="170" t="str">
        <x:f>IF(A571="","",IF(B571="Decommissioning","Raw Decommissioning","Raw Provisioning"))</x:f>
        <x:v>Raw Provisioning</x:v>
      </x:c>
      <x:c r="Z571" s="170" t="str">
        <x:f>IF(A571="","",IF(OR(C571="executing",C571="processing"),"Yes","No"))</x:f>
        <x:v>No</x:v>
      </x:c>
    </x:row>
    <x:row r="572">
      <x:c r="A572" s="170" t="str">
        <x:f>IF(ROWS($A$5:A572)&lt;=COUNTA('Raw Decommissioning'!$B$2:$B$1000),INDEX('Raw Decommissioning'!$B$2:$B$1000,ROWS($A$5:A572)),IF(ROWS($A$5:A572)-COUNTA('Raw Decommissioning'!$B$2:$B$1000)&lt;=COUNTA('Raw Provisioning'!$B$2:$B$1000),INDEX('Raw Provisioning'!$B$2:$B$1000,ROWS($A$5:A572)-COUNTA('Raw Decommissioning'!$B$2:$B$1000)),""))</x:f>
        <x:v>CSSP10225257</x:v>
      </x:c>
      <x:c r="B572" s="170" t="str">
        <x:f>IF(A572="","",IF(ROWS($A$5:A572)&lt;=COUNTA('Raw Decommissioning'!$B$2:$B$1000),"Decommissioning","Provisioning"))</x:f>
        <x:v>Provisioning</x:v>
      </x:c>
      <x:c r="C572" s="170" t="str">
        <x:f>IF(A572="","",IF(B572="Decommissioning",IFERROR(INDEX('Raw Decommissioning'!$E$2:$E$1000,MATCH(A572,'Raw Decommissioning'!$B$2:$B$1000,0)),"Missing from latest raw"),IFERROR(INDEX('Raw Provisioning'!$E$2:$E$1000,MATCH(A572,'Raw Provisioning'!$B$2:$B$1000,0)),"Missing from latest raw")))</x:f>
        <x:v>rejected</x:v>
      </x:c>
      <x:c r="D572" s="171" t="n">
        <x:f>IF(A572="","",'Refresh Control'!$B$4)</x:f>
        <x:v>46254</x:v>
      </x:c>
      <x:c r="E572" s="171" t="n">
        <x:f>IF(A572="","",IF(B572="Decommissioning",INDEX('Raw Decommissioning'!$F$2:$F$1000,ROWS($A$5:A572)),INDEX('Raw Provisioning'!$F$2:$F$1000,ROWS($A$5:A572)-COUNTA('Raw Decommissioning'!$B$2:$B$1000))))</x:f>
        <x:v>46205.27383733796</x:v>
      </x:c>
      <x:c r="F572" s="171" t="n">
        <x:f>IF(A572="","",IF(B572="Decommissioning",INDEX('Raw Decommissioning'!$G$2:$G$1000,ROWS($A$5:A572)),INDEX('Raw Provisioning'!$H$2:$H$1000,ROWS($A$5:A572)-COUNTA('Raw Decommissioning'!$B$2:$B$1000))))</x:f>
        <x:v>46210.31215957176</x:v>
      </x:c>
      <x:c r="G572" s="170" t="str">
        <x:f>IF(A572="","",IF(B572="Decommissioning",INDEX('Raw Decommissioning'!$I$2:$I$1000,ROWS($A$5:A572)),INDEX('Raw Provisioning'!$J$2:$J$1000,ROWS($A$5:A572)-COUNTA('Raw Decommissioning'!$B$2:$B$1000))))</x:f>
        <x:v>Digital Intelligence Center - DIC</x:v>
      </x:c>
      <x:c r="H572" s="170" t="str">
        <x:f>IF(A572="","",IF(B572="Decommissioning",INDEX('Raw Decommissioning'!$J$2:$J$1000,ROWS($A$5:A572)),INDEX('Raw Provisioning'!$L$2:$L$1000,ROWS($A$5:A572)-COUNTA('Raw Decommissioning'!$B$2:$B$1000))))</x:f>
        <x:v>Deployment of Digital Intelligence Center (DIC) for Malaysia Petroleum Management (MPM)</x:v>
      </x:c>
      <x:c r="I572" s="170" t="str">
        <x:f>IF(A572="","",IF(B572="Decommissioning",INDEX('Raw Decommissioning'!$AL$2:$AL$1000,ROWS($A$5:A572)),INDEX('Raw Provisioning'!$R$2:$R$1000,ROWS($A$5:A572)-COUNTA('Raw Decommissioning'!$B$2:$B$1000))))</x:f>
        <x:v>S</x:v>
      </x:c>
      <x:c r="J572" s="170" t="str">
        <x:f>IF(A572="","",IF(B572="Decommissioning",INDEX('Raw Decommissioning'!$AG$2:$AG$1000,ROWS($A$5:A572)),INDEX('Raw Provisioning'!$AI$2:$AI$1000,ROWS($A$5:A572)-COUNTA('Raw Decommissioning'!$B$2:$B$1000))))</x:f>
        <x:v>IMS - CLOUD CSSP EXECUTOR</x:v>
      </x:c>
      <x:c r="K572" s="172" t="str">
        <x:f>IF(A572="","",IFERROR(LOOKUP(2,1/('Assignment History'!$B$5:$B$204=A572),'Assignment History'!$D$5:$D$204),IFERROR(VLOOKUP(J572,Configuration!$L$5:$M$50,2,FALSE),J572)))</x:f>
        <x:v>IMS - CLOUD CSSP EXECUTOR</x:v>
      </x:c>
      <x:c r="L572" s="172" t="str">
        <x:f>IF(A572="","",IF(K572=IFERROR(VLOOKUP(J572,Configuration!$L$5:$M$50,2,FALSE),J572),"Snapshot PIC","Replacement PIC"))</x:f>
        <x:v>Snapshot PIC</x:v>
      </x:c>
      <x:c r="M572" s="172" t="n">
        <x:f>IF(A572="","",IFERROR(VLOOKUP(I572,Configuration!$O$5:$P$8,2,FALSE),Configuration!$S$6))</x:f>
        <x:v>1</x:v>
      </x:c>
      <x:c r="N572" s="172" t="str">
        <x:f>IF(A572="","",IFERROR(LOOKUP(2,1/('Scope Review'!$B$5:$B$204=A572),'Scope Review'!$G$5:$G$204),"Not Reviewed"))</x:f>
        <x:v>Not Reviewed</x:v>
      </x:c>
      <x:c r="O572" s="172" t="str">
        <x:f>IF(A572="","",IFERROR(LOOKUP(2,1/('Scope Review'!$B$5:$B$204=A572),'Scope Review'!$H$5:$H$204),""))</x:f>
      </x:c>
      <x:c r="P572" s="172" t="n">
        <x:f>IF(A572="","",IF(AND(C572="executing",N572&lt;&gt;"Confirmed OOS"),M572,0))</x:f>
        <x:v>0</x:v>
      </x:c>
      <x:c r="Q572" s="173" t="str">
        <x:f>IF(A572="","",IFERROR(LOOKUP(2,1/('Engineer Updates'!$B$5:$B$704=A572),'Engineer Updates'!$A$5:$A$704),""))</x:f>
      </x:c>
      <x:c r="R572" s="172" t="str">
        <x:f>IF(A572="","",IFERROR(LOOKUP(2,1/('Engineer Updates'!$B$5:$B$704=A572),'Engineer Updates'!$H$5:$H$704),""))</x:f>
      </x:c>
      <x:c r="S572" s="172" t="str">
        <x:f>IF(A572="","",IFERROR(LOOKUP(2,1/('Engineer Updates'!$B$5:$B$704=A572),'Engineer Updates'!$G$5:$G$704),""))</x:f>
      </x:c>
      <x:c r="T572" s="172" t="str">
        <x:f>IF(A572="","",IFERROR(LOOKUP(2,1/('Engineer Updates'!$B$5:$B$704=A572),'Engineer Updates'!$I$5:$I$704),""))</x:f>
      </x:c>
      <x:c r="U572" s="172" t="str">
        <x:f>IF(A572="","",IFERROR(LOOKUP(2,1/('Engineer Updates'!$B$5:$B$704=A572),'Engineer Updates'!$J$5:$J$704),""))</x:f>
      </x:c>
      <x:c r="V572" s="172" t="str">
        <x:f>IF(A572="","",IFERROR(LOOKUP(2,1/('Engineer Updates'!$B$5:$B$704=A572),'Engineer Updates'!$K$5:$K$704),""))</x:f>
      </x:c>
      <x:c r="W572" s="174" t="str">
        <x:f>IF(A572="","",IFERROR(LOOKUP(2,1/('Engineer Updates'!$B$5:$B$704=A572),'Engineer Updates'!$L$5:$L$704),""))</x:f>
      </x:c>
      <x:c r="X572" s="170" t="str">
        <x:f>IF(A572="","",IF(C572="completed","Completed in CSSP",IF(AND(C572="executing",ISERROR(SEARCH("@",K572))),"Executing without named engineer",IF(AND(N572="Confirmed OOS",C572="executing"),"Confirmed OOS still executing",""))))</x:f>
      </x:c>
      <x:c r="Y572" s="170" t="str">
        <x:f>IF(A572="","",IF(B572="Decommissioning","Raw Decommissioning","Raw Provisioning"))</x:f>
        <x:v>Raw Provisioning</x:v>
      </x:c>
      <x:c r="Z572" s="170" t="str">
        <x:f>IF(A572="","",IF(OR(C572="executing",C572="processing"),"Yes","No"))</x:f>
        <x:v>No</x:v>
      </x:c>
    </x:row>
    <x:row r="573">
      <x:c r="A573" s="170" t="str">
        <x:f>IF(ROWS($A$5:A573)&lt;=COUNTA('Raw Decommissioning'!$B$2:$B$1000),INDEX('Raw Decommissioning'!$B$2:$B$1000,ROWS($A$5:A573)),IF(ROWS($A$5:A573)-COUNTA('Raw Decommissioning'!$B$2:$B$1000)&lt;=COUNTA('Raw Provisioning'!$B$2:$B$1000),INDEX('Raw Provisioning'!$B$2:$B$1000,ROWS($A$5:A573)-COUNTA('Raw Decommissioning'!$B$2:$B$1000)),""))</x:f>
        <x:v>CSSP10301150</x:v>
      </x:c>
      <x:c r="B573" s="170" t="str">
        <x:f>IF(A573="","",IF(ROWS($A$5:A573)&lt;=COUNTA('Raw Decommissioning'!$B$2:$B$1000),"Decommissioning","Provisioning"))</x:f>
        <x:v>Provisioning</x:v>
      </x:c>
      <x:c r="C573" s="170" t="str">
        <x:f>IF(A573="","",IF(B573="Decommissioning",IFERROR(INDEX('Raw Decommissioning'!$E$2:$E$1000,MATCH(A573,'Raw Decommissioning'!$B$2:$B$1000,0)),"Missing from latest raw"),IFERROR(INDEX('Raw Provisioning'!$E$2:$E$1000,MATCH(A573,'Raw Provisioning'!$B$2:$B$1000,0)),"Missing from latest raw")))</x:f>
        <x:v>rejected</x:v>
      </x:c>
      <x:c r="D573" s="171" t="n">
        <x:f>IF(A573="","",'Refresh Control'!$B$4)</x:f>
        <x:v>46254</x:v>
      </x:c>
      <x:c r="E573" s="171" t="n">
        <x:f>IF(A573="","",IF(B573="Decommissioning",INDEX('Raw Decommissioning'!$F$2:$F$1000,ROWS($A$5:A573)),INDEX('Raw Provisioning'!$F$2:$F$1000,ROWS($A$5:A573)-COUNTA('Raw Decommissioning'!$B$2:$B$1000))))</x:f>
        <x:v>46208.780881886574</x:v>
      </x:c>
      <x:c r="F573" s="171" t="n">
        <x:f>IF(A573="","",IF(B573="Decommissioning",INDEX('Raw Decommissioning'!$G$2:$G$1000,ROWS($A$5:A573)),INDEX('Raw Provisioning'!$H$2:$H$1000,ROWS($A$5:A573)-COUNTA('Raw Decommissioning'!$B$2:$B$1000))))</x:f>
        <x:v>46209.07677895833</x:v>
      </x:c>
      <x:c r="G573" s="170" t="str">
        <x:f>IF(A573="","",IF(B573="Decommissioning",INDEX('Raw Decommissioning'!$I$2:$I$1000,ROWS($A$5:A573)),INDEX('Raw Provisioning'!$J$2:$J$1000,ROWS($A$5:A573)-COUNTA('Raw Decommissioning'!$B$2:$B$1000))))</x:f>
        <x:v>Cloud Self Service Portal - CSSP</x:v>
      </x:c>
      <x:c r="H573" s="170" t="str">
        <x:f>IF(A573="","",IF(B573="Decommissioning",INDEX('Raw Decommissioning'!$J$2:$J$1000,ROWS($A$5:A573)),INDEX('Raw Provisioning'!$L$2:$L$1000,ROWS($A$5:A573)-COUNTA('Raw Decommissioning'!$B$2:$B$1000))))</x:f>
        <x:v>Cloud Digitization - Cloud Self Service Portal</x:v>
      </x:c>
      <x:c r="I573" s="170" t="str">
        <x:f>IF(A573="","",IF(B573="Decommissioning",INDEX('Raw Decommissioning'!$AL$2:$AL$1000,ROWS($A$5:A573)),INDEX('Raw Provisioning'!$R$2:$R$1000,ROWS($A$5:A573)-COUNTA('Raw Decommissioning'!$B$2:$B$1000))))</x:f>
      </x:c>
      <x:c r="J573" s="170" t="str">
        <x:f>IF(A573="","",IF(B573="Decommissioning",INDEX('Raw Decommissioning'!$AG$2:$AG$1000,ROWS($A$5:A573)),INDEX('Raw Provisioning'!$AI$2:$AI$1000,ROWS($A$5:A573)-COUNTA('Raw Decommissioning'!$B$2:$B$1000))))</x:f>
        <x:v>IMS - CLOUD CSSP EXECUTOR</x:v>
      </x:c>
      <x:c r="K573" s="172" t="str">
        <x:f>IF(A573="","",IFERROR(LOOKUP(2,1/('Assignment History'!$B$5:$B$204=A573),'Assignment History'!$D$5:$D$204),IFERROR(VLOOKUP(J573,Configuration!$L$5:$M$50,2,FALSE),J573)))</x:f>
        <x:v>IMS - CLOUD CSSP EXECUTOR</x:v>
      </x:c>
      <x:c r="L573" s="172" t="str">
        <x:f>IF(A573="","",IF(K573=IFERROR(VLOOKUP(J573,Configuration!$L$5:$M$50,2,FALSE),J573),"Snapshot PIC","Replacement PIC"))</x:f>
        <x:v>Snapshot PIC</x:v>
      </x:c>
      <x:c r="M573" s="172" t="n">
        <x:f>IF(A573="","",IFERROR(VLOOKUP(I573,Configuration!$O$5:$P$8,2,FALSE),Configuration!$S$6))</x:f>
        <x:v>2</x:v>
      </x:c>
      <x:c r="N573" s="172" t="str">
        <x:f>IF(A573="","",IFERROR(LOOKUP(2,1/('Scope Review'!$B$5:$B$204=A573),'Scope Review'!$G$5:$G$204),"Not Reviewed"))</x:f>
        <x:v>Not Reviewed</x:v>
      </x:c>
      <x:c r="O573" s="172" t="str">
        <x:f>IF(A573="","",IFERROR(LOOKUP(2,1/('Scope Review'!$B$5:$B$204=A573),'Scope Review'!$H$5:$H$204),""))</x:f>
      </x:c>
      <x:c r="P573" s="172" t="n">
        <x:f>IF(A573="","",IF(AND(C573="executing",N573&lt;&gt;"Confirmed OOS"),M573,0))</x:f>
        <x:v>0</x:v>
      </x:c>
      <x:c r="Q573" s="173" t="str">
        <x:f>IF(A573="","",IFERROR(LOOKUP(2,1/('Engineer Updates'!$B$5:$B$704=A573),'Engineer Updates'!$A$5:$A$704),""))</x:f>
      </x:c>
      <x:c r="R573" s="172" t="str">
        <x:f>IF(A573="","",IFERROR(LOOKUP(2,1/('Engineer Updates'!$B$5:$B$704=A573),'Engineer Updates'!$H$5:$H$704),""))</x:f>
      </x:c>
      <x:c r="S573" s="172" t="str">
        <x:f>IF(A573="","",IFERROR(LOOKUP(2,1/('Engineer Updates'!$B$5:$B$704=A573),'Engineer Updates'!$G$5:$G$704),""))</x:f>
      </x:c>
      <x:c r="T573" s="172" t="str">
        <x:f>IF(A573="","",IFERROR(LOOKUP(2,1/('Engineer Updates'!$B$5:$B$704=A573),'Engineer Updates'!$I$5:$I$704),""))</x:f>
      </x:c>
      <x:c r="U573" s="172" t="str">
        <x:f>IF(A573="","",IFERROR(LOOKUP(2,1/('Engineer Updates'!$B$5:$B$704=A573),'Engineer Updates'!$J$5:$J$704),""))</x:f>
      </x:c>
      <x:c r="V573" s="172" t="str">
        <x:f>IF(A573="","",IFERROR(LOOKUP(2,1/('Engineer Updates'!$B$5:$B$704=A573),'Engineer Updates'!$K$5:$K$704),""))</x:f>
      </x:c>
      <x:c r="W573" s="174" t="str">
        <x:f>IF(A573="","",IFERROR(LOOKUP(2,1/('Engineer Updates'!$B$5:$B$704=A573),'Engineer Updates'!$L$5:$L$704),""))</x:f>
      </x:c>
      <x:c r="X573" s="170" t="str">
        <x:f>IF(A573="","",IF(C573="completed","Completed in CSSP",IF(AND(C573="executing",ISERROR(SEARCH("@",K573))),"Executing without named engineer",IF(AND(N573="Confirmed OOS",C573="executing"),"Confirmed OOS still executing",""))))</x:f>
      </x:c>
      <x:c r="Y573" s="170" t="str">
        <x:f>IF(A573="","",IF(B573="Decommissioning","Raw Decommissioning","Raw Provisioning"))</x:f>
        <x:v>Raw Provisioning</x:v>
      </x:c>
      <x:c r="Z573" s="170" t="str">
        <x:f>IF(A573="","",IF(OR(C573="executing",C573="processing"),"Yes","No"))</x:f>
        <x:v>No</x:v>
      </x:c>
    </x:row>
    <x:row r="574">
      <x:c r="A574" s="170" t="str">
        <x:f>IF(ROWS($A$5:A574)&lt;=COUNTA('Raw Decommissioning'!$B$2:$B$1000),INDEX('Raw Decommissioning'!$B$2:$B$1000,ROWS($A$5:A574)),IF(ROWS($A$5:A574)-COUNTA('Raw Decommissioning'!$B$2:$B$1000)&lt;=COUNTA('Raw Provisioning'!$B$2:$B$1000),INDEX('Raw Provisioning'!$B$2:$B$1000,ROWS($A$5:A574)-COUNTA('Raw Decommissioning'!$B$2:$B$1000)),""))</x:f>
        <x:v>CSSP10868450</x:v>
      </x:c>
      <x:c r="B574" s="170" t="str">
        <x:f>IF(A574="","",IF(ROWS($A$5:A574)&lt;=COUNTA('Raw Decommissioning'!$B$2:$B$1000),"Decommissioning","Provisioning"))</x:f>
        <x:v>Provisioning</x:v>
      </x:c>
      <x:c r="C574" s="170" t="str">
        <x:f>IF(A574="","",IF(B574="Decommissioning",IFERROR(INDEX('Raw Decommissioning'!$E$2:$E$1000,MATCH(A574,'Raw Decommissioning'!$B$2:$B$1000,0)),"Missing from latest raw"),IFERROR(INDEX('Raw Provisioning'!$E$2:$E$1000,MATCH(A574,'Raw Provisioning'!$B$2:$B$1000,0)),"Missing from latest raw")))</x:f>
        <x:v>completed</x:v>
      </x:c>
      <x:c r="D574" s="171" t="n">
        <x:f>IF(A574="","",'Refresh Control'!$B$4)</x:f>
        <x:v>46254</x:v>
      </x:c>
      <x:c r="E574" s="171" t="n">
        <x:f>IF(A574="","",IF(B574="Decommissioning",INDEX('Raw Decommissioning'!$F$2:$F$1000,ROWS($A$5:A574)),INDEX('Raw Provisioning'!$F$2:$F$1000,ROWS($A$5:A574)-COUNTA('Raw Decommissioning'!$B$2:$B$1000))))</x:f>
        <x:v>46209.139780983794</x:v>
      </x:c>
      <x:c r="F574" s="171" t="n">
        <x:f>IF(A574="","",IF(B574="Decommissioning",INDEX('Raw Decommissioning'!$G$2:$G$1000,ROWS($A$5:A574)),INDEX('Raw Provisioning'!$H$2:$H$1000,ROWS($A$5:A574)-COUNTA('Raw Decommissioning'!$B$2:$B$1000))))</x:f>
        <x:v>46231.28135295139</x:v>
      </x:c>
      <x:c r="G574" s="170" t="str">
        <x:f>IF(A574="","",IF(B574="Decommissioning",INDEX('Raw Decommissioning'!$I$2:$I$1000,ROWS($A$5:A574)),INDEX('Raw Provisioning'!$J$2:$J$1000,ROWS($A$5:A574)-COUNTA('Raw Decommissioning'!$B$2:$B$1000))))</x:f>
        <x:v>Cloud Self Service Portal - CSSP</x:v>
      </x:c>
      <x:c r="H574" s="170" t="str">
        <x:f>IF(A574="","",IF(B574="Decommissioning",INDEX('Raw Decommissioning'!$J$2:$J$1000,ROWS($A$5:A574)),INDEX('Raw Provisioning'!$L$2:$L$1000,ROWS($A$5:A574)-COUNTA('Raw Decommissioning'!$B$2:$B$1000))))</x:f>
        <x:v>Cloud Digitization - Cloud Self Service Portal</x:v>
      </x:c>
      <x:c r="I574" s="170" t="str">
        <x:f>IF(A574="","",IF(B574="Decommissioning",INDEX('Raw Decommissioning'!$AL$2:$AL$1000,ROWS($A$5:A574)),INDEX('Raw Provisioning'!$R$2:$R$1000,ROWS($A$5:A574)-COUNTA('Raw Decommissioning'!$B$2:$B$1000))))</x:f>
        <x:v>S</x:v>
      </x:c>
      <x:c r="J574" s="170" t="str">
        <x:f>IF(A574="","",IF(B574="Decommissioning",INDEX('Raw Decommissioning'!$AG$2:$AG$1000,ROWS($A$5:A574)),INDEX('Raw Provisioning'!$AI$2:$AI$1000,ROWS($A$5:A574)-COUNTA('Raw Decommissioning'!$B$2:$B$1000))))</x:f>
        <x:v>ismail.azman@petronas.com</x:v>
      </x:c>
      <x:c r="K574" s="172" t="str">
        <x:f>IF(A574="","",IFERROR(LOOKUP(2,1/('Assignment History'!$B$5:$B$204=A574),'Assignment History'!$D$5:$D$204),IFERROR(VLOOKUP(J574,Configuration!$L$5:$M$50,2,FALSE),J574)))</x:f>
        <x:v>ismail.azman@petronas.com</x:v>
      </x:c>
      <x:c r="L574" s="172" t="str">
        <x:f>IF(A574="","",IF(K574=IFERROR(VLOOKUP(J574,Configuration!$L$5:$M$50,2,FALSE),J574),"Snapshot PIC","Replacement PIC"))</x:f>
        <x:v>Snapshot PIC</x:v>
      </x:c>
      <x:c r="M574" s="172" t="n">
        <x:f>IF(A574="","",IFERROR(VLOOKUP(I574,Configuration!$O$5:$P$8,2,FALSE),Configuration!$S$6))</x:f>
        <x:v>1</x:v>
      </x:c>
      <x:c r="N574" s="172" t="str">
        <x:f>IF(A574="","",IFERROR(LOOKUP(2,1/('Scope Review'!$B$5:$B$204=A574),'Scope Review'!$G$5:$G$204),"Not Reviewed"))</x:f>
        <x:v>Not Reviewed</x:v>
      </x:c>
      <x:c r="O574" s="172" t="str">
        <x:f>IF(A574="","",IFERROR(LOOKUP(2,1/('Scope Review'!$B$5:$B$204=A574),'Scope Review'!$H$5:$H$204),""))</x:f>
      </x:c>
      <x:c r="P574" s="172" t="n">
        <x:f>IF(A574="","",IF(AND(C574="executing",N574&lt;&gt;"Confirmed OOS"),M574,0))</x:f>
        <x:v>0</x:v>
      </x:c>
      <x:c r="Q574" s="173" t="str">
        <x:f>IF(A574="","",IFERROR(LOOKUP(2,1/('Engineer Updates'!$B$5:$B$704=A574),'Engineer Updates'!$A$5:$A$704),""))</x:f>
      </x:c>
      <x:c r="R574" s="172" t="str">
        <x:f>IF(A574="","",IFERROR(LOOKUP(2,1/('Engineer Updates'!$B$5:$B$704=A574),'Engineer Updates'!$H$5:$H$704),""))</x:f>
      </x:c>
      <x:c r="S574" s="172" t="str">
        <x:f>IF(A574="","",IFERROR(LOOKUP(2,1/('Engineer Updates'!$B$5:$B$704=A574),'Engineer Updates'!$G$5:$G$704),""))</x:f>
      </x:c>
      <x:c r="T574" s="172" t="str">
        <x:f>IF(A574="","",IFERROR(LOOKUP(2,1/('Engineer Updates'!$B$5:$B$704=A574),'Engineer Updates'!$I$5:$I$704),""))</x:f>
      </x:c>
      <x:c r="U574" s="172" t="str">
        <x:f>IF(A574="","",IFERROR(LOOKUP(2,1/('Engineer Updates'!$B$5:$B$704=A574),'Engineer Updates'!$J$5:$J$704),""))</x:f>
      </x:c>
      <x:c r="V574" s="172" t="str">
        <x:f>IF(A574="","",IFERROR(LOOKUP(2,1/('Engineer Updates'!$B$5:$B$704=A574),'Engineer Updates'!$K$5:$K$704),""))</x:f>
      </x:c>
      <x:c r="W574" s="174" t="str">
        <x:f>IF(A574="","",IFERROR(LOOKUP(2,1/('Engineer Updates'!$B$5:$B$704=A574),'Engineer Updates'!$L$5:$L$704),""))</x:f>
      </x:c>
      <x:c r="X574" s="170" t="str">
        <x:f>IF(A574="","",IF(C574="completed","Completed in CSSP",IF(AND(C574="executing",ISERROR(SEARCH("@",K574))),"Executing without named engineer",IF(AND(N574="Confirmed OOS",C574="executing"),"Confirmed OOS still executing",""))))</x:f>
        <x:v>Completed in CSSP</x:v>
      </x:c>
      <x:c r="Y574" s="170" t="str">
        <x:f>IF(A574="","",IF(B574="Decommissioning","Raw Decommissioning","Raw Provisioning"))</x:f>
        <x:v>Raw Provisioning</x:v>
      </x:c>
      <x:c r="Z574" s="170" t="str">
        <x:f>IF(A574="","",IF(OR(C574="executing",C574="processing"),"Yes","No"))</x:f>
        <x:v>No</x:v>
      </x:c>
    </x:row>
    <x:row r="575">
      <x:c r="A575" s="170" t="str">
        <x:f>IF(ROWS($A$5:A575)&lt;=COUNTA('Raw Decommissioning'!$B$2:$B$1000),INDEX('Raw Decommissioning'!$B$2:$B$1000,ROWS($A$5:A575)),IF(ROWS($A$5:A575)-COUNTA('Raw Decommissioning'!$B$2:$B$1000)&lt;=COUNTA('Raw Provisioning'!$B$2:$B$1000),INDEX('Raw Provisioning'!$B$2:$B$1000,ROWS($A$5:A575)-COUNTA('Raw Decommissioning'!$B$2:$B$1000)),""))</x:f>
        <x:v>CSSP10838332</x:v>
      </x:c>
      <x:c r="B575" s="170" t="str">
        <x:f>IF(A575="","",IF(ROWS($A$5:A575)&lt;=COUNTA('Raw Decommissioning'!$B$2:$B$1000),"Decommissioning","Provisioning"))</x:f>
        <x:v>Provisioning</x:v>
      </x:c>
      <x:c r="C575" s="170" t="str">
        <x:f>IF(A575="","",IF(B575="Decommissioning",IFERROR(INDEX('Raw Decommissioning'!$E$2:$E$1000,MATCH(A575,'Raw Decommissioning'!$B$2:$B$1000,0)),"Missing from latest raw"),IFERROR(INDEX('Raw Provisioning'!$E$2:$E$1000,MATCH(A575,'Raw Provisioning'!$B$2:$B$1000,0)),"Missing from latest raw")))</x:f>
        <x:v>completed</x:v>
      </x:c>
      <x:c r="D575" s="171" t="n">
        <x:f>IF(A575="","",'Refresh Control'!$B$4)</x:f>
        <x:v>46254</x:v>
      </x:c>
      <x:c r="E575" s="171" t="n">
        <x:f>IF(A575="","",IF(B575="Decommissioning",INDEX('Raw Decommissioning'!$F$2:$F$1000,ROWS($A$5:A575)),INDEX('Raw Provisioning'!$F$2:$F$1000,ROWS($A$5:A575)-COUNTA('Raw Decommissioning'!$B$2:$B$1000))))</x:f>
        <x:v>46211.11866677083</x:v>
      </x:c>
      <x:c r="F575" s="171" t="n">
        <x:f>IF(A575="","",IF(B575="Decommissioning",INDEX('Raw Decommissioning'!$G$2:$G$1000,ROWS($A$5:A575)),INDEX('Raw Provisioning'!$H$2:$H$1000,ROWS($A$5:A575)-COUNTA('Raw Decommissioning'!$B$2:$B$1000))))</x:f>
        <x:v>46243.349771643516</x:v>
      </x:c>
      <x:c r="G575" s="170" t="str">
        <x:f>IF(A575="","",IF(B575="Decommissioning",INDEX('Raw Decommissioning'!$I$2:$I$1000,ROWS($A$5:A575)),INDEX('Raw Provisioning'!$J$2:$J$1000,ROWS($A$5:A575)-COUNTA('Raw Decommissioning'!$B$2:$B$1000))))</x:f>
        <x:v>Cyber Security Mandiant Security Validation - MSV BFDC</x:v>
      </x:c>
      <x:c r="H575" s="170" t="str">
        <x:f>IF(A575="","",IF(B575="Decommissioning",INDEX('Raw Decommissioning'!$J$2:$J$1000,ROWS($A$5:A575)),INDEX('Raw Provisioning'!$L$2:$L$1000,ROWS($A$5:A575)-COUNTA('Raw Decommissioning'!$B$2:$B$1000))))</x:f>
        <x:v>OSR00165: Procurement and Infrastructure Deployment for Cyber Defense (Pilot Phase) - Mandiant Security Validation (MSV)</x:v>
      </x:c>
      <x:c r="I575" s="170" t="str">
        <x:f>IF(A575="","",IF(B575="Decommissioning",INDEX('Raw Decommissioning'!$AL$2:$AL$1000,ROWS($A$5:A575)),INDEX('Raw Provisioning'!$R$2:$R$1000,ROWS($A$5:A575)-COUNTA('Raw Decommissioning'!$B$2:$B$1000))))</x:f>
        <x:v>M</x:v>
      </x:c>
      <x:c r="J575" s="170" t="str">
        <x:f>IF(A575="","",IF(B575="Decommissioning",INDEX('Raw Decommissioning'!$AG$2:$AG$1000,ROWS($A$5:A575)),INDEX('Raw Provisioning'!$AI$2:$AI$1000,ROWS($A$5:A575)-COUNTA('Raw Decommissioning'!$B$2:$B$1000))))</x:f>
        <x:v>abdul.khoir@petronas.com</x:v>
      </x:c>
      <x:c r="K575" s="172" t="str">
        <x:f>IF(A575="","",IFERROR(LOOKUP(2,1/('Assignment History'!$B$5:$B$204=A575),'Assignment History'!$D$5:$D$204),IFERROR(VLOOKUP(J575,Configuration!$L$5:$M$50,2,FALSE),J575)))</x:f>
        <x:v>abdul.khoir@petronas.com</x:v>
      </x:c>
      <x:c r="L575" s="172" t="str">
        <x:f>IF(A575="","",IF(K575=IFERROR(VLOOKUP(J575,Configuration!$L$5:$M$50,2,FALSE),J575),"Snapshot PIC","Replacement PIC"))</x:f>
        <x:v>Snapshot PIC</x:v>
      </x:c>
      <x:c r="M575" s="172" t="n">
        <x:f>IF(A575="","",IFERROR(VLOOKUP(I575,Configuration!$O$5:$P$8,2,FALSE),Configuration!$S$6))</x:f>
        <x:v>2</x:v>
      </x:c>
      <x:c r="N575" s="172" t="str">
        <x:f>IF(A575="","",IFERROR(LOOKUP(2,1/('Scope Review'!$B$5:$B$204=A575),'Scope Review'!$G$5:$G$204),"Not Reviewed"))</x:f>
        <x:v>Not Reviewed</x:v>
      </x:c>
      <x:c r="O575" s="172" t="str">
        <x:f>IF(A575="","",IFERROR(LOOKUP(2,1/('Scope Review'!$B$5:$B$204=A575),'Scope Review'!$H$5:$H$204),""))</x:f>
      </x:c>
      <x:c r="P575" s="172" t="n">
        <x:f>IF(A575="","",IF(AND(C575="executing",N575&lt;&gt;"Confirmed OOS"),M575,0))</x:f>
        <x:v>0</x:v>
      </x:c>
      <x:c r="Q575" s="173" t="str">
        <x:f>IF(A575="","",IFERROR(LOOKUP(2,1/('Engineer Updates'!$B$5:$B$704=A575),'Engineer Updates'!$A$5:$A$704),""))</x:f>
      </x:c>
      <x:c r="R575" s="172" t="str">
        <x:f>IF(A575="","",IFERROR(LOOKUP(2,1/('Engineer Updates'!$B$5:$B$704=A575),'Engineer Updates'!$H$5:$H$704),""))</x:f>
      </x:c>
      <x:c r="S575" s="172" t="str">
        <x:f>IF(A575="","",IFERROR(LOOKUP(2,1/('Engineer Updates'!$B$5:$B$704=A575),'Engineer Updates'!$G$5:$G$704),""))</x:f>
      </x:c>
      <x:c r="T575" s="172" t="str">
        <x:f>IF(A575="","",IFERROR(LOOKUP(2,1/('Engineer Updates'!$B$5:$B$704=A575),'Engineer Updates'!$I$5:$I$704),""))</x:f>
      </x:c>
      <x:c r="U575" s="172" t="str">
        <x:f>IF(A575="","",IFERROR(LOOKUP(2,1/('Engineer Updates'!$B$5:$B$704=A575),'Engineer Updates'!$J$5:$J$704),""))</x:f>
      </x:c>
      <x:c r="V575" s="172" t="str">
        <x:f>IF(A575="","",IFERROR(LOOKUP(2,1/('Engineer Updates'!$B$5:$B$704=A575),'Engineer Updates'!$K$5:$K$704),""))</x:f>
      </x:c>
      <x:c r="W575" s="174" t="str">
        <x:f>IF(A575="","",IFERROR(LOOKUP(2,1/('Engineer Updates'!$B$5:$B$704=A575),'Engineer Updates'!$L$5:$L$704),""))</x:f>
      </x:c>
      <x:c r="X575" s="170" t="str">
        <x:f>IF(A575="","",IF(C575="completed","Completed in CSSP",IF(AND(C575="executing",ISERROR(SEARCH("@",K575))),"Executing without named engineer",IF(AND(N575="Confirmed OOS",C575="executing"),"Confirmed OOS still executing",""))))</x:f>
        <x:v>Completed in CSSP</x:v>
      </x:c>
      <x:c r="Y575" s="170" t="str">
        <x:f>IF(A575="","",IF(B575="Decommissioning","Raw Decommissioning","Raw Provisioning"))</x:f>
        <x:v>Raw Provisioning</x:v>
      </x:c>
      <x:c r="Z575" s="170" t="str">
        <x:f>IF(A575="","",IF(OR(C575="executing",C575="processing"),"Yes","No"))</x:f>
        <x:v>No</x:v>
      </x:c>
    </x:row>
    <x:row r="576">
      <x:c r="A576" s="170" t="str">
        <x:f>IF(ROWS($A$5:A576)&lt;=COUNTA('Raw Decommissioning'!$B$2:$B$1000),INDEX('Raw Decommissioning'!$B$2:$B$1000,ROWS($A$5:A576)),IF(ROWS($A$5:A576)-COUNTA('Raw Decommissioning'!$B$2:$B$1000)&lt;=COUNTA('Raw Provisioning'!$B$2:$B$1000),INDEX('Raw Provisioning'!$B$2:$B$1000,ROWS($A$5:A576)-COUNTA('Raw Decommissioning'!$B$2:$B$1000)),""))</x:f>
        <x:v>CSSP10686696</x:v>
      </x:c>
      <x:c r="B576" s="170" t="str">
        <x:f>IF(A576="","",IF(ROWS($A$5:A576)&lt;=COUNTA('Raw Decommissioning'!$B$2:$B$1000),"Decommissioning","Provisioning"))</x:f>
        <x:v>Provisioning</x:v>
      </x:c>
      <x:c r="C576" s="170" t="str">
        <x:f>IF(A576="","",IF(B576="Decommissioning",IFERROR(INDEX('Raw Decommissioning'!$E$2:$E$1000,MATCH(A576,'Raw Decommissioning'!$B$2:$B$1000,0)),"Missing from latest raw"),IFERROR(INDEX('Raw Provisioning'!$E$2:$E$1000,MATCH(A576,'Raw Provisioning'!$B$2:$B$1000,0)),"Missing from latest raw")))</x:f>
        <x:v>completed</x:v>
      </x:c>
      <x:c r="D576" s="171" t="n">
        <x:f>IF(A576="","",'Refresh Control'!$B$4)</x:f>
        <x:v>46254</x:v>
      </x:c>
      <x:c r="E576" s="171" t="n">
        <x:f>IF(A576="","",IF(B576="Decommissioning",INDEX('Raw Decommissioning'!$F$2:$F$1000,ROWS($A$5:A576)),INDEX('Raw Provisioning'!$F$2:$F$1000,ROWS($A$5:A576)-COUNTA('Raw Decommissioning'!$B$2:$B$1000))))</x:f>
        <x:v>46211.369382627316</x:v>
      </x:c>
      <x:c r="F576" s="171" t="n">
        <x:f>IF(A576="","",IF(B576="Decommissioning",INDEX('Raw Decommissioning'!$G$2:$G$1000,ROWS($A$5:A576)),INDEX('Raw Provisioning'!$H$2:$H$1000,ROWS($A$5:A576)-COUNTA('Raw Decommissioning'!$B$2:$B$1000))))</x:f>
        <x:v>46237.20543516204</x:v>
      </x:c>
      <x:c r="G576" s="170" t="str">
        <x:f>IF(A576="","",IF(B576="Decommissioning",INDEX('Raw Decommissioning'!$I$2:$I$1000,ROWS($A$5:A576)),INDEX('Raw Provisioning'!$J$2:$J$1000,ROWS($A$5:A576)-COUNTA('Raw Decommissioning'!$B$2:$B$1000))))</x:f>
        <x:v>Frontier Firm</x:v>
      </x:c>
      <x:c r="H576" s="170" t="str">
        <x:f>IF(A576="","",IF(B576="Decommissioning",INDEX('Raw Decommissioning'!$J$2:$J$1000,ROWS($A$5:A576)),INDEX('Raw Provisioning'!$L$2:$L$1000,ROWS($A$5:A576)-COUNTA('Raw Decommissioning'!$B$2:$B$1000))))</x:f>
        <x:v>PDSB Frontier Firm</x:v>
      </x:c>
      <x:c r="I576" s="170" t="str">
        <x:f>IF(A576="","",IF(B576="Decommissioning",INDEX('Raw Decommissioning'!$AL$2:$AL$1000,ROWS($A$5:A576)),INDEX('Raw Provisioning'!$R$2:$R$1000,ROWS($A$5:A576)-COUNTA('Raw Decommissioning'!$B$2:$B$1000))))</x:f>
        <x:v>L</x:v>
      </x:c>
      <x:c r="J576" s="170" t="str">
        <x:f>IF(A576="","",IF(B576="Decommissioning",INDEX('Raw Decommissioning'!$AG$2:$AG$1000,ROWS($A$5:A576)),INDEX('Raw Provisioning'!$AI$2:$AI$1000,ROWS($A$5:A576)-COUNTA('Raw Decommissioning'!$B$2:$B$1000))))</x:f>
        <x:v>venkatesh.kalikivayi@petronas.com</x:v>
      </x:c>
      <x:c r="K576" s="172" t="str">
        <x:f>IF(A576="","",IFERROR(LOOKUP(2,1/('Assignment History'!$B$5:$B$204=A576),'Assignment History'!$D$5:$D$204),IFERROR(VLOOKUP(J576,Configuration!$L$5:$M$50,2,FALSE),J576)))</x:f>
        <x:v>venkatesh.kalikivayi@petronas.com</x:v>
      </x:c>
      <x:c r="L576" s="172" t="str">
        <x:f>IF(A576="","",IF(K576=IFERROR(VLOOKUP(J576,Configuration!$L$5:$M$50,2,FALSE),J576),"Snapshot PIC","Replacement PIC"))</x:f>
        <x:v>Snapshot PIC</x:v>
      </x:c>
      <x:c r="M576" s="172" t="n">
        <x:f>IF(A576="","",IFERROR(VLOOKUP(I576,Configuration!$O$5:$P$8,2,FALSE),Configuration!$S$6))</x:f>
        <x:v>3</x:v>
      </x:c>
      <x:c r="N576" s="172" t="str">
        <x:f>IF(A576="","",IFERROR(LOOKUP(2,1/('Scope Review'!$B$5:$B$204=A576),'Scope Review'!$G$5:$G$204),"Not Reviewed"))</x:f>
        <x:v>Not Reviewed</x:v>
      </x:c>
      <x:c r="O576" s="172" t="str">
        <x:f>IF(A576="","",IFERROR(LOOKUP(2,1/('Scope Review'!$B$5:$B$204=A576),'Scope Review'!$H$5:$H$204),""))</x:f>
      </x:c>
      <x:c r="P576" s="172" t="n">
        <x:f>IF(A576="","",IF(AND(C576="executing",N576&lt;&gt;"Confirmed OOS"),M576,0))</x:f>
        <x:v>0</x:v>
      </x:c>
      <x:c r="Q576" s="173" t="str">
        <x:f>IF(A576="","",IFERROR(LOOKUP(2,1/('Engineer Updates'!$B$5:$B$704=A576),'Engineer Updates'!$A$5:$A$704),""))</x:f>
      </x:c>
      <x:c r="R576" s="172" t="str">
        <x:f>IF(A576="","",IFERROR(LOOKUP(2,1/('Engineer Updates'!$B$5:$B$704=A576),'Engineer Updates'!$H$5:$H$704),""))</x:f>
      </x:c>
      <x:c r="S576" s="172" t="str">
        <x:f>IF(A576="","",IFERROR(LOOKUP(2,1/('Engineer Updates'!$B$5:$B$704=A576),'Engineer Updates'!$G$5:$G$704),""))</x:f>
      </x:c>
      <x:c r="T576" s="172" t="str">
        <x:f>IF(A576="","",IFERROR(LOOKUP(2,1/('Engineer Updates'!$B$5:$B$704=A576),'Engineer Updates'!$I$5:$I$704),""))</x:f>
      </x:c>
      <x:c r="U576" s="172" t="str">
        <x:f>IF(A576="","",IFERROR(LOOKUP(2,1/('Engineer Updates'!$B$5:$B$704=A576),'Engineer Updates'!$J$5:$J$704),""))</x:f>
      </x:c>
      <x:c r="V576" s="172" t="str">
        <x:f>IF(A576="","",IFERROR(LOOKUP(2,1/('Engineer Updates'!$B$5:$B$704=A576),'Engineer Updates'!$K$5:$K$704),""))</x:f>
      </x:c>
      <x:c r="W576" s="174" t="str">
        <x:f>IF(A576="","",IFERROR(LOOKUP(2,1/('Engineer Updates'!$B$5:$B$704=A576),'Engineer Updates'!$L$5:$L$704),""))</x:f>
      </x:c>
      <x:c r="X576" s="170" t="str">
        <x:f>IF(A576="","",IF(C576="completed","Completed in CSSP",IF(AND(C576="executing",ISERROR(SEARCH("@",K576))),"Executing without named engineer",IF(AND(N576="Confirmed OOS",C576="executing"),"Confirmed OOS still executing",""))))</x:f>
        <x:v>Completed in CSSP</x:v>
      </x:c>
      <x:c r="Y576" s="170" t="str">
        <x:f>IF(A576="","",IF(B576="Decommissioning","Raw Decommissioning","Raw Provisioning"))</x:f>
        <x:v>Raw Provisioning</x:v>
      </x:c>
      <x:c r="Z576" s="170" t="str">
        <x:f>IF(A576="","",IF(OR(C576="executing",C576="processing"),"Yes","No"))</x:f>
        <x:v>No</x:v>
      </x:c>
    </x:row>
    <x:row r="577">
      <x:c r="A577" s="170" t="str">
        <x:f>IF(ROWS($A$5:A577)&lt;=COUNTA('Raw Decommissioning'!$B$2:$B$1000),INDEX('Raw Decommissioning'!$B$2:$B$1000,ROWS($A$5:A577)),IF(ROWS($A$5:A577)-COUNTA('Raw Decommissioning'!$B$2:$B$1000)&lt;=COUNTA('Raw Provisioning'!$B$2:$B$1000),INDEX('Raw Provisioning'!$B$2:$B$1000,ROWS($A$5:A577)-COUNTA('Raw Decommissioning'!$B$2:$B$1000)),""))</x:f>
        <x:v>CSSP10692885</x:v>
      </x:c>
      <x:c r="B577" s="170" t="str">
        <x:f>IF(A577="","",IF(ROWS($A$5:A577)&lt;=COUNTA('Raw Decommissioning'!$B$2:$B$1000),"Decommissioning","Provisioning"))</x:f>
        <x:v>Provisioning</x:v>
      </x:c>
      <x:c r="C577" s="170" t="str">
        <x:f>IF(A577="","",IF(B577="Decommissioning",IFERROR(INDEX('Raw Decommissioning'!$E$2:$E$1000,MATCH(A577,'Raw Decommissioning'!$B$2:$B$1000,0)),"Missing from latest raw"),IFERROR(INDEX('Raw Provisioning'!$E$2:$E$1000,MATCH(A577,'Raw Provisioning'!$B$2:$B$1000,0)),"Missing from latest raw")))</x:f>
        <x:v>completed</x:v>
      </x:c>
      <x:c r="D577" s="171" t="n">
        <x:f>IF(A577="","",'Refresh Control'!$B$4)</x:f>
        <x:v>46254</x:v>
      </x:c>
      <x:c r="E577" s="171" t="n">
        <x:f>IF(A577="","",IF(B577="Decommissioning",INDEX('Raw Decommissioning'!$F$2:$F$1000,ROWS($A$5:A577)),INDEX('Raw Provisioning'!$F$2:$F$1000,ROWS($A$5:A577)-COUNTA('Raw Decommissioning'!$B$2:$B$1000))))</x:f>
        <x:v>46212.067548391205</x:v>
      </x:c>
      <x:c r="F577" s="171" t="n">
        <x:f>IF(A577="","",IF(B577="Decommissioning",INDEX('Raw Decommissioning'!$G$2:$G$1000,ROWS($A$5:A577)),INDEX('Raw Provisioning'!$H$2:$H$1000,ROWS($A$5:A577)-COUNTA('Raw Decommissioning'!$B$2:$B$1000))))</x:f>
        <x:v>46228.27258326389</x:v>
      </x:c>
      <x:c r="G577" s="170" t="str">
        <x:f>IF(A577="","",IF(B577="Decommissioning",INDEX('Raw Decommissioning'!$I$2:$I$1000,ROWS($A$5:A577)),INDEX('Raw Provisioning'!$J$2:$J$1000,ROWS($A$5:A577)-COUNTA('Raw Decommissioning'!$B$2:$B$1000))))</x:f>
        <x:v>COMPASS</x:v>
      </x:c>
      <x:c r="H577" s="170" t="str">
        <x:f>IF(A577="","",IF(B577="Decommissioning",INDEX('Raw Decommissioning'!$J$2:$J$1000,ROWS($A$5:A577)),INDEX('Raw Provisioning'!$L$2:$L$1000,ROWS($A$5:A577)-COUNTA('Raw Decommissioning'!$B$2:$B$1000))))</x:f>
        <x:v>COMPASS Phase 2</x:v>
      </x:c>
      <x:c r="I577" s="170" t="str">
        <x:f>IF(A577="","",IF(B577="Decommissioning",INDEX('Raw Decommissioning'!$AL$2:$AL$1000,ROWS($A$5:A577)),INDEX('Raw Provisioning'!$R$2:$R$1000,ROWS($A$5:A577)-COUNTA('Raw Decommissioning'!$B$2:$B$1000))))</x:f>
        <x:v>M</x:v>
      </x:c>
      <x:c r="J577" s="170" t="str">
        <x:f>IF(A577="","",IF(B577="Decommissioning",INDEX('Raw Decommissioning'!$AG$2:$AG$1000,ROWS($A$5:A577)),INDEX('Raw Provisioning'!$AI$2:$AI$1000,ROWS($A$5:A577)-COUNTA('Raw Decommissioning'!$B$2:$B$1000))))</x:f>
        <x:v>venkatesh.kalikivayi@petronas.com</x:v>
      </x:c>
      <x:c r="K577" s="172" t="str">
        <x:f>IF(A577="","",IFERROR(LOOKUP(2,1/('Assignment History'!$B$5:$B$204=A577),'Assignment History'!$D$5:$D$204),IFERROR(VLOOKUP(J577,Configuration!$L$5:$M$50,2,FALSE),J577)))</x:f>
        <x:v>venkatesh.kalikivayi@petronas.com</x:v>
      </x:c>
      <x:c r="L577" s="172" t="str">
        <x:f>IF(A577="","",IF(K577=IFERROR(VLOOKUP(J577,Configuration!$L$5:$M$50,2,FALSE),J577),"Snapshot PIC","Replacement PIC"))</x:f>
        <x:v>Snapshot PIC</x:v>
      </x:c>
      <x:c r="M577" s="172" t="n">
        <x:f>IF(A577="","",IFERROR(VLOOKUP(I577,Configuration!$O$5:$P$8,2,FALSE),Configuration!$S$6))</x:f>
        <x:v>2</x:v>
      </x:c>
      <x:c r="N577" s="172" t="str">
        <x:f>IF(A577="","",IFERROR(LOOKUP(2,1/('Scope Review'!$B$5:$B$204=A577),'Scope Review'!$G$5:$G$204),"Not Reviewed"))</x:f>
        <x:v>Not Reviewed</x:v>
      </x:c>
      <x:c r="O577" s="172" t="str">
        <x:f>IF(A577="","",IFERROR(LOOKUP(2,1/('Scope Review'!$B$5:$B$204=A577),'Scope Review'!$H$5:$H$204),""))</x:f>
      </x:c>
      <x:c r="P577" s="172" t="n">
        <x:f>IF(A577="","",IF(AND(C577="executing",N577&lt;&gt;"Confirmed OOS"),M577,0))</x:f>
        <x:v>0</x:v>
      </x:c>
      <x:c r="Q577" s="173" t="str">
        <x:f>IF(A577="","",IFERROR(LOOKUP(2,1/('Engineer Updates'!$B$5:$B$704=A577),'Engineer Updates'!$A$5:$A$704),""))</x:f>
      </x:c>
      <x:c r="R577" s="172" t="str">
        <x:f>IF(A577="","",IFERROR(LOOKUP(2,1/('Engineer Updates'!$B$5:$B$704=A577),'Engineer Updates'!$H$5:$H$704),""))</x:f>
      </x:c>
      <x:c r="S577" s="172" t="str">
        <x:f>IF(A577="","",IFERROR(LOOKUP(2,1/('Engineer Updates'!$B$5:$B$704=A577),'Engineer Updates'!$G$5:$G$704),""))</x:f>
      </x:c>
      <x:c r="T577" s="172" t="str">
        <x:f>IF(A577="","",IFERROR(LOOKUP(2,1/('Engineer Updates'!$B$5:$B$704=A577),'Engineer Updates'!$I$5:$I$704),""))</x:f>
      </x:c>
      <x:c r="U577" s="172" t="str">
        <x:f>IF(A577="","",IFERROR(LOOKUP(2,1/('Engineer Updates'!$B$5:$B$704=A577),'Engineer Updates'!$J$5:$J$704),""))</x:f>
      </x:c>
      <x:c r="V577" s="172" t="str">
        <x:f>IF(A577="","",IFERROR(LOOKUP(2,1/('Engineer Updates'!$B$5:$B$704=A577),'Engineer Updates'!$K$5:$K$704),""))</x:f>
      </x:c>
      <x:c r="W577" s="174" t="str">
        <x:f>IF(A577="","",IFERROR(LOOKUP(2,1/('Engineer Updates'!$B$5:$B$704=A577),'Engineer Updates'!$L$5:$L$704),""))</x:f>
      </x:c>
      <x:c r="X577" s="170" t="str">
        <x:f>IF(A577="","",IF(C577="completed","Completed in CSSP",IF(AND(C577="executing",ISERROR(SEARCH("@",K577))),"Executing without named engineer",IF(AND(N577="Confirmed OOS",C577="executing"),"Confirmed OOS still executing",""))))</x:f>
        <x:v>Completed in CSSP</x:v>
      </x:c>
      <x:c r="Y577" s="170" t="str">
        <x:f>IF(A577="","",IF(B577="Decommissioning","Raw Decommissioning","Raw Provisioning"))</x:f>
        <x:v>Raw Provisioning</x:v>
      </x:c>
      <x:c r="Z577" s="170" t="str">
        <x:f>IF(A577="","",IF(OR(C577="executing",C577="processing"),"Yes","No"))</x:f>
        <x:v>No</x:v>
      </x:c>
    </x:row>
    <x:row r="578">
      <x:c r="A578" s="170" t="str">
        <x:f>IF(ROWS($A$5:A578)&lt;=COUNTA('Raw Decommissioning'!$B$2:$B$1000),INDEX('Raw Decommissioning'!$B$2:$B$1000,ROWS($A$5:A578)),IF(ROWS($A$5:A578)-COUNTA('Raw Decommissioning'!$B$2:$B$1000)&lt;=COUNTA('Raw Provisioning'!$B$2:$B$1000),INDEX('Raw Provisioning'!$B$2:$B$1000,ROWS($A$5:A578)-COUNTA('Raw Decommissioning'!$B$2:$B$1000)),""))</x:f>
        <x:v>CSSP10141118</x:v>
      </x:c>
      <x:c r="B578" s="170" t="str">
        <x:f>IF(A578="","",IF(ROWS($A$5:A578)&lt;=COUNTA('Raw Decommissioning'!$B$2:$B$1000),"Decommissioning","Provisioning"))</x:f>
        <x:v>Provisioning</x:v>
      </x:c>
      <x:c r="C578" s="170" t="str">
        <x:f>IF(A578="","",IF(B578="Decommissioning",IFERROR(INDEX('Raw Decommissioning'!$E$2:$E$1000,MATCH(A578,'Raw Decommissioning'!$B$2:$B$1000,0)),"Missing from latest raw"),IFERROR(INDEX('Raw Provisioning'!$E$2:$E$1000,MATCH(A578,'Raw Provisioning'!$B$2:$B$1000,0)),"Missing from latest raw")))</x:f>
        <x:v>executing</x:v>
      </x:c>
      <x:c r="D578" s="171" t="n">
        <x:f>IF(A578="","",'Refresh Control'!$B$4)</x:f>
        <x:v>46254</x:v>
      </x:c>
      <x:c r="E578" s="171" t="n">
        <x:f>IF(A578="","",IF(B578="Decommissioning",INDEX('Raw Decommissioning'!$F$2:$F$1000,ROWS($A$5:A578)),INDEX('Raw Provisioning'!$F$2:$F$1000,ROWS($A$5:A578)-COUNTA('Raw Decommissioning'!$B$2:$B$1000))))</x:f>
        <x:v>46212.14192833333</x:v>
      </x:c>
      <x:c r="F578" s="171" t="n">
        <x:f>IF(A578="","",IF(B578="Decommissioning",INDEX('Raw Decommissioning'!$G$2:$G$1000,ROWS($A$5:A578)),INDEX('Raw Provisioning'!$H$2:$H$1000,ROWS($A$5:A578)-COUNTA('Raw Decommissioning'!$B$2:$B$1000))))</x:f>
        <x:v>46219.03734480324</x:v>
      </x:c>
      <x:c r="G578" s="170" t="str">
        <x:f>IF(A578="","",IF(B578="Decommissioning",INDEX('Raw Decommissioning'!$I$2:$I$1000,ROWS($A$5:A578)),INDEX('Raw Provisioning'!$J$2:$J$1000,ROWS($A$5:A578)-COUNTA('Raw Decommissioning'!$B$2:$B$1000))))</x:f>
        <x:v>Enterprise Application Observability</x:v>
      </x:c>
      <x:c r="H578" s="170" t="str">
        <x:f>IF(A578="","",IF(B578="Decommissioning",INDEX('Raw Decommissioning'!$J$2:$J$1000,ROWS($A$5:A578)),INDEX('Raw Provisioning'!$L$2:$L$1000,ROWS($A$5:A578)-COUNTA('Raw Decommissioning'!$B$2:$B$1000))))</x:f>
        <x:v>Enterprise Application Observability</x:v>
      </x:c>
      <x:c r="I578" s="170" t="str">
        <x:f>IF(A578="","",IF(B578="Decommissioning",INDEX('Raw Decommissioning'!$AL$2:$AL$1000,ROWS($A$5:A578)),INDEX('Raw Provisioning'!$R$2:$R$1000,ROWS($A$5:A578)-COUNTA('Raw Decommissioning'!$B$2:$B$1000))))</x:f>
        <x:v>L</x:v>
      </x:c>
      <x:c r="J578" s="170" t="str">
        <x:f>IF(A578="","",IF(B578="Decommissioning",INDEX('Raw Decommissioning'!$AG$2:$AG$1000,ROWS($A$5:A578)),INDEX('Raw Provisioning'!$AI$2:$AI$1000,ROWS($A$5:A578)-COUNTA('Raw Decommissioning'!$B$2:$B$1000))))</x:f>
        <x:v>abdul.khoir@petronas.com</x:v>
      </x:c>
      <x:c r="K578" s="172" t="str">
        <x:f>IF(A578="","",IFERROR(LOOKUP(2,1/('Assignment History'!$B$5:$B$204=A578),'Assignment History'!$D$5:$D$204),IFERROR(VLOOKUP(J578,Configuration!$L$5:$M$50,2,FALSE),J578)))</x:f>
        <x:v>abdul.khoir@petronas.com</x:v>
      </x:c>
      <x:c r="L578" s="172" t="str">
        <x:f>IF(A578="","",IF(K578=IFERROR(VLOOKUP(J578,Configuration!$L$5:$M$50,2,FALSE),J578),"Snapshot PIC","Replacement PIC"))</x:f>
        <x:v>Snapshot PIC</x:v>
      </x:c>
      <x:c r="M578" s="172" t="n">
        <x:f>IF(A578="","",IFERROR(VLOOKUP(I578,Configuration!$O$5:$P$8,2,FALSE),Configuration!$S$6))</x:f>
        <x:v>3</x:v>
      </x:c>
      <x:c r="N578" s="172" t="str">
        <x:f>IF(A578="","",IFERROR(LOOKUP(2,1/('Scope Review'!$B$5:$B$204=A578),'Scope Review'!$G$5:$G$204),"Not Reviewed"))</x:f>
        <x:v>Not Reviewed</x:v>
      </x:c>
      <x:c r="O578" s="172" t="str">
        <x:f>IF(A578="","",IFERROR(LOOKUP(2,1/('Scope Review'!$B$5:$B$204=A578),'Scope Review'!$H$5:$H$204),""))</x:f>
      </x:c>
      <x:c r="P578" s="172" t="n">
        <x:f>IF(A578="","",IF(AND(C578="executing",N578&lt;&gt;"Confirmed OOS"),M578,0))</x:f>
        <x:v>3</x:v>
      </x:c>
      <x:c r="Q578" s="173" t="n">
        <x:f>IF(A578="","",IFERROR(LOOKUP(2,1/('Engineer Updates'!$B$5:$B$704=A578),'Engineer Updates'!$A$5:$A$704),""))</x:f>
        <x:v>46251</x:v>
      </x:c>
      <x:c r="R578" s="172" t="str">
        <x:f>IF(A578="","",IFERROR(LOOKUP(2,1/('Engineer Updates'!$B$5:$B$704=A578),'Engineer Updates'!$H$5:$H$704),""))</x:f>
        <x:v>Not Started</x:v>
      </x:c>
      <x:c r="S578" s="172" t="str">
        <x:f>IF(A578="","",IFERROR(LOOKUP(2,1/('Engineer Updates'!$B$5:$B$704=A578),'Engineer Updates'!$G$5:$G$704),""))</x:f>
      </x:c>
      <x:c r="T578" s="172" t="str">
        <x:f>IF(A578="","",IFERROR(LOOKUP(2,1/('Engineer Updates'!$B$5:$B$704=A578),'Engineer Updates'!$I$5:$I$704),""))</x:f>
      </x:c>
      <x:c r="U578" s="172" t="str">
        <x:f>IF(A578="","",IFERROR(LOOKUP(2,1/('Engineer Updates'!$B$5:$B$704=A578),'Engineer Updates'!$J$5:$J$704),""))</x:f>
      </x:c>
      <x:c r="V578" s="172" t="str">
        <x:f>IF(A578="","",IFERROR(LOOKUP(2,1/('Engineer Updates'!$B$5:$B$704=A578),'Engineer Updates'!$K$5:$K$704),""))</x:f>
      </x:c>
      <x:c r="W578" s="174" t="str">
        <x:f>IF(A578="","",IFERROR(LOOKUP(2,1/('Engineer Updates'!$B$5:$B$704=A578),'Engineer Updates'!$L$5:$L$704),""))</x:f>
      </x:c>
      <x:c r="X578" s="170" t="str">
        <x:f>IF(A578="","",IF(C578="completed","Completed in CSSP",IF(AND(C578="executing",ISERROR(SEARCH("@",K578))),"Executing without named engineer",IF(AND(N578="Confirmed OOS",C578="executing"),"Confirmed OOS still executing",""))))</x:f>
      </x:c>
      <x:c r="Y578" s="170" t="str">
        <x:f>IF(A578="","",IF(B578="Decommissioning","Raw Decommissioning","Raw Provisioning"))</x:f>
        <x:v>Raw Provisioning</x:v>
      </x:c>
      <x:c r="Z578" s="170" t="str">
        <x:f>IF(A578="","",IF(OR(C578="executing",C578="processing"),"Yes","No"))</x:f>
        <x:v>Yes</x:v>
      </x:c>
    </x:row>
    <x:row r="579">
      <x:c r="A579" s="170" t="str">
        <x:f>IF(ROWS($A$5:A579)&lt;=COUNTA('Raw Decommissioning'!$B$2:$B$1000),INDEX('Raw Decommissioning'!$B$2:$B$1000,ROWS($A$5:A579)),IF(ROWS($A$5:A579)-COUNTA('Raw Decommissioning'!$B$2:$B$1000)&lt;=COUNTA('Raw Provisioning'!$B$2:$B$1000),INDEX('Raw Provisioning'!$B$2:$B$1000,ROWS($A$5:A579)-COUNTA('Raw Decommissioning'!$B$2:$B$1000)),""))</x:f>
        <x:v>CSSP10863248</x:v>
      </x:c>
      <x:c r="B579" s="170" t="str">
        <x:f>IF(A579="","",IF(ROWS($A$5:A579)&lt;=COUNTA('Raw Decommissioning'!$B$2:$B$1000),"Decommissioning","Provisioning"))</x:f>
        <x:v>Provisioning</x:v>
      </x:c>
      <x:c r="C579" s="170" t="str">
        <x:f>IF(A579="","",IF(B579="Decommissioning",IFERROR(INDEX('Raw Decommissioning'!$E$2:$E$1000,MATCH(A579,'Raw Decommissioning'!$B$2:$B$1000,0)),"Missing from latest raw"),IFERROR(INDEX('Raw Provisioning'!$E$2:$E$1000,MATCH(A579,'Raw Provisioning'!$B$2:$B$1000,0)),"Missing from latest raw")))</x:f>
        <x:v>rejected</x:v>
      </x:c>
      <x:c r="D579" s="171" t="n">
        <x:f>IF(A579="","",'Refresh Control'!$B$4)</x:f>
        <x:v>46254</x:v>
      </x:c>
      <x:c r="E579" s="171" t="n">
        <x:f>IF(A579="","",IF(B579="Decommissioning",INDEX('Raw Decommissioning'!$F$2:$F$1000,ROWS($A$5:A579)),INDEX('Raw Provisioning'!$F$2:$F$1000,ROWS($A$5:A579)-COUNTA('Raw Decommissioning'!$B$2:$B$1000))))</x:f>
        <x:v>46216.13366177084</x:v>
      </x:c>
      <x:c r="F579" s="171" t="n">
        <x:f>IF(A579="","",IF(B579="Decommissioning",INDEX('Raw Decommissioning'!$G$2:$G$1000,ROWS($A$5:A579)),INDEX('Raw Provisioning'!$H$2:$H$1000,ROWS($A$5:A579)-COUNTA('Raw Decommissioning'!$B$2:$B$1000))))</x:f>
        <x:v>46216.331451273145</x:v>
      </x:c>
      <x:c r="G579" s="170" t="str">
        <x:f>IF(A579="","",IF(B579="Decommissioning",INDEX('Raw Decommissioning'!$I$2:$I$1000,ROWS($A$5:A579)),INDEX('Raw Provisioning'!$J$2:$J$1000,ROWS($A$5:A579)-COUNTA('Raw Decommissioning'!$B$2:$B$1000))))</x:f>
        <x:v>GPE Digital Platform</x:v>
      </x:c>
      <x:c r="H579" s="170" t="str">
        <x:f>IF(A579="","",IF(B579="Decommissioning",INDEX('Raw Decommissioning'!$J$2:$J$1000,ROWS($A$5:A579)),INDEX('Raw Provisioning'!$L$2:$L$1000,ROWS($A$5:A579)-COUNTA('Raw Decommissioning'!$B$2:$B$1000))))</x:f>
        <x:v>Quality Suite</x:v>
      </x:c>
      <x:c r="I579" s="170" t="str">
        <x:f>IF(A579="","",IF(B579="Decommissioning",INDEX('Raw Decommissioning'!$AL$2:$AL$1000,ROWS($A$5:A579)),INDEX('Raw Provisioning'!$R$2:$R$1000,ROWS($A$5:A579)-COUNTA('Raw Decommissioning'!$B$2:$B$1000))))</x:f>
      </x:c>
      <x:c r="J579" s="170" t="str">
        <x:f>IF(A579="","",IF(B579="Decommissioning",INDEX('Raw Decommissioning'!$AG$2:$AG$1000,ROWS($A$5:A579)),INDEX('Raw Provisioning'!$AI$2:$AI$1000,ROWS($A$5:A579)-COUNTA('Raw Decommissioning'!$B$2:$B$1000))))</x:f>
        <x:v>IMS - CLOUD CSSP EXECUTOR</x:v>
      </x:c>
      <x:c r="K579" s="172" t="str">
        <x:f>IF(A579="","",IFERROR(LOOKUP(2,1/('Assignment History'!$B$5:$B$204=A579),'Assignment History'!$D$5:$D$204),IFERROR(VLOOKUP(J579,Configuration!$L$5:$M$50,2,FALSE),J579)))</x:f>
        <x:v>IMS - CLOUD CSSP EXECUTOR</x:v>
      </x:c>
      <x:c r="L579" s="172" t="str">
        <x:f>IF(A579="","",IF(K579=IFERROR(VLOOKUP(J579,Configuration!$L$5:$M$50,2,FALSE),J579),"Snapshot PIC","Replacement PIC"))</x:f>
        <x:v>Snapshot PIC</x:v>
      </x:c>
      <x:c r="M579" s="172" t="n">
        <x:f>IF(A579="","",IFERROR(VLOOKUP(I579,Configuration!$O$5:$P$8,2,FALSE),Configuration!$S$6))</x:f>
        <x:v>2</x:v>
      </x:c>
      <x:c r="N579" s="172" t="str">
        <x:f>IF(A579="","",IFERROR(LOOKUP(2,1/('Scope Review'!$B$5:$B$204=A579),'Scope Review'!$G$5:$G$204),"Not Reviewed"))</x:f>
        <x:v>Not Reviewed</x:v>
      </x:c>
      <x:c r="O579" s="172" t="str">
        <x:f>IF(A579="","",IFERROR(LOOKUP(2,1/('Scope Review'!$B$5:$B$204=A579),'Scope Review'!$H$5:$H$204),""))</x:f>
      </x:c>
      <x:c r="P579" s="172" t="n">
        <x:f>IF(A579="","",IF(AND(C579="executing",N579&lt;&gt;"Confirmed OOS"),M579,0))</x:f>
        <x:v>0</x:v>
      </x:c>
      <x:c r="Q579" s="173" t="str">
        <x:f>IF(A579="","",IFERROR(LOOKUP(2,1/('Engineer Updates'!$B$5:$B$704=A579),'Engineer Updates'!$A$5:$A$704),""))</x:f>
      </x:c>
      <x:c r="R579" s="172" t="str">
        <x:f>IF(A579="","",IFERROR(LOOKUP(2,1/('Engineer Updates'!$B$5:$B$704=A579),'Engineer Updates'!$H$5:$H$704),""))</x:f>
      </x:c>
      <x:c r="S579" s="172" t="str">
        <x:f>IF(A579="","",IFERROR(LOOKUP(2,1/('Engineer Updates'!$B$5:$B$704=A579),'Engineer Updates'!$G$5:$G$704),""))</x:f>
      </x:c>
      <x:c r="T579" s="172" t="str">
        <x:f>IF(A579="","",IFERROR(LOOKUP(2,1/('Engineer Updates'!$B$5:$B$704=A579),'Engineer Updates'!$I$5:$I$704),""))</x:f>
      </x:c>
      <x:c r="U579" s="172" t="str">
        <x:f>IF(A579="","",IFERROR(LOOKUP(2,1/('Engineer Updates'!$B$5:$B$704=A579),'Engineer Updates'!$J$5:$J$704),""))</x:f>
      </x:c>
      <x:c r="V579" s="172" t="str">
        <x:f>IF(A579="","",IFERROR(LOOKUP(2,1/('Engineer Updates'!$B$5:$B$704=A579),'Engineer Updates'!$K$5:$K$704),""))</x:f>
      </x:c>
      <x:c r="W579" s="174" t="str">
        <x:f>IF(A579="","",IFERROR(LOOKUP(2,1/('Engineer Updates'!$B$5:$B$704=A579),'Engineer Updates'!$L$5:$L$704),""))</x:f>
      </x:c>
      <x:c r="X579" s="170" t="str">
        <x:f>IF(A579="","",IF(C579="completed","Completed in CSSP",IF(AND(C579="executing",ISERROR(SEARCH("@",K579))),"Executing without named engineer",IF(AND(N579="Confirmed OOS",C579="executing"),"Confirmed OOS still executing",""))))</x:f>
      </x:c>
      <x:c r="Y579" s="170" t="str">
        <x:f>IF(A579="","",IF(B579="Decommissioning","Raw Decommissioning","Raw Provisioning"))</x:f>
        <x:v>Raw Provisioning</x:v>
      </x:c>
      <x:c r="Z579" s="170" t="str">
        <x:f>IF(A579="","",IF(OR(C579="executing",C579="processing"),"Yes","No"))</x:f>
        <x:v>No</x:v>
      </x:c>
    </x:row>
    <x:row r="580">
      <x:c r="A580" s="170" t="str">
        <x:f>IF(ROWS($A$5:A580)&lt;=COUNTA('Raw Decommissioning'!$B$2:$B$1000),INDEX('Raw Decommissioning'!$B$2:$B$1000,ROWS($A$5:A580)),IF(ROWS($A$5:A580)-COUNTA('Raw Decommissioning'!$B$2:$B$1000)&lt;=COUNTA('Raw Provisioning'!$B$2:$B$1000),INDEX('Raw Provisioning'!$B$2:$B$1000,ROWS($A$5:A580)-COUNTA('Raw Decommissioning'!$B$2:$B$1000)),""))</x:f>
        <x:v>CSSP10858459</x:v>
      </x:c>
      <x:c r="B580" s="170" t="str">
        <x:f>IF(A580="","",IF(ROWS($A$5:A580)&lt;=COUNTA('Raw Decommissioning'!$B$2:$B$1000),"Decommissioning","Provisioning"))</x:f>
        <x:v>Provisioning</x:v>
      </x:c>
      <x:c r="C580" s="170" t="str">
        <x:f>IF(A580="","",IF(B580="Decommissioning",IFERROR(INDEX('Raw Decommissioning'!$E$2:$E$1000,MATCH(A580,'Raw Decommissioning'!$B$2:$B$1000,0)),"Missing from latest raw"),IFERROR(INDEX('Raw Provisioning'!$E$2:$E$1000,MATCH(A580,'Raw Provisioning'!$B$2:$B$1000,0)),"Missing from latest raw")))</x:f>
        <x:v>rejected</x:v>
      </x:c>
      <x:c r="D580" s="171" t="n">
        <x:f>IF(A580="","",'Refresh Control'!$B$4)</x:f>
        <x:v>46254</x:v>
      </x:c>
      <x:c r="E580" s="171" t="n">
        <x:f>IF(A580="","",IF(B580="Decommissioning",INDEX('Raw Decommissioning'!$F$2:$F$1000,ROWS($A$5:A580)),INDEX('Raw Provisioning'!$F$2:$F$1000,ROWS($A$5:A580)-COUNTA('Raw Decommissioning'!$B$2:$B$1000))))</x:f>
        <x:v>46216.326334861114</x:v>
      </x:c>
      <x:c r="F580" s="171" t="n">
        <x:f>IF(A580="","",IF(B580="Decommissioning",INDEX('Raw Decommissioning'!$G$2:$G$1000,ROWS($A$5:A580)),INDEX('Raw Provisioning'!$H$2:$H$1000,ROWS($A$5:A580)-COUNTA('Raw Decommissioning'!$B$2:$B$1000))))</x:f>
        <x:v>46222.844187002316</x:v>
      </x:c>
      <x:c r="G580" s="170" t="str">
        <x:f>IF(A580="","",IF(B580="Decommissioning",INDEX('Raw Decommissioning'!$I$2:$I$1000,ROWS($A$5:A580)),INDEX('Raw Provisioning'!$J$2:$J$1000,ROWS($A$5:A580)-COUNTA('Raw Decommissioning'!$B$2:$B$1000))))</x:f>
        <x:v>GPE Digital Platform</x:v>
      </x:c>
      <x:c r="H580" s="170" t="str">
        <x:f>IF(A580="","",IF(B580="Decommissioning",INDEX('Raw Decommissioning'!$J$2:$J$1000,ROWS($A$5:A580)),INDEX('Raw Provisioning'!$L$2:$L$1000,ROWS($A$5:A580)-COUNTA('Raw Decommissioning'!$B$2:$B$1000))))</x:f>
        <x:v>Quality Suite</x:v>
      </x:c>
      <x:c r="I580" s="170" t="str">
        <x:f>IF(A580="","",IF(B580="Decommissioning",INDEX('Raw Decommissioning'!$AL$2:$AL$1000,ROWS($A$5:A580)),INDEX('Raw Provisioning'!$R$2:$R$1000,ROWS($A$5:A580)-COUNTA('Raw Decommissioning'!$B$2:$B$1000))))</x:f>
        <x:v>M</x:v>
      </x:c>
      <x:c r="J580" s="170" t="str">
        <x:f>IF(A580="","",IF(B580="Decommissioning",INDEX('Raw Decommissioning'!$AG$2:$AG$1000,ROWS($A$5:A580)),INDEX('Raw Provisioning'!$AI$2:$AI$1000,ROWS($A$5:A580)-COUNTA('Raw Decommissioning'!$B$2:$B$1000))))</x:f>
        <x:v>venkatesh.kalikivayi@petronas.com</x:v>
      </x:c>
      <x:c r="K580" s="172" t="str">
        <x:f>IF(A580="","",IFERROR(LOOKUP(2,1/('Assignment History'!$B$5:$B$204=A580),'Assignment History'!$D$5:$D$204),IFERROR(VLOOKUP(J580,Configuration!$L$5:$M$50,2,FALSE),J580)))</x:f>
        <x:v>venkatesh.kalikivayi@petronas.com</x:v>
      </x:c>
      <x:c r="L580" s="172" t="str">
        <x:f>IF(A580="","",IF(K580=IFERROR(VLOOKUP(J580,Configuration!$L$5:$M$50,2,FALSE),J580),"Snapshot PIC","Replacement PIC"))</x:f>
        <x:v>Snapshot PIC</x:v>
      </x:c>
      <x:c r="M580" s="172" t="n">
        <x:f>IF(A580="","",IFERROR(VLOOKUP(I580,Configuration!$O$5:$P$8,2,FALSE),Configuration!$S$6))</x:f>
        <x:v>2</x:v>
      </x:c>
      <x:c r="N580" s="172" t="str">
        <x:f>IF(A580="","",IFERROR(LOOKUP(2,1/('Scope Review'!$B$5:$B$204=A580),'Scope Review'!$G$5:$G$204),"Not Reviewed"))</x:f>
        <x:v>Not Reviewed</x:v>
      </x:c>
      <x:c r="O580" s="172" t="str">
        <x:f>IF(A580="","",IFERROR(LOOKUP(2,1/('Scope Review'!$B$5:$B$204=A580),'Scope Review'!$H$5:$H$204),""))</x:f>
      </x:c>
      <x:c r="P580" s="172" t="n">
        <x:f>IF(A580="","",IF(AND(C580="executing",N580&lt;&gt;"Confirmed OOS"),M580,0))</x:f>
        <x:v>0</x:v>
      </x:c>
      <x:c r="Q580" s="173" t="str">
        <x:f>IF(A580="","",IFERROR(LOOKUP(2,1/('Engineer Updates'!$B$5:$B$704=A580),'Engineer Updates'!$A$5:$A$704),""))</x:f>
      </x:c>
      <x:c r="R580" s="172" t="str">
        <x:f>IF(A580="","",IFERROR(LOOKUP(2,1/('Engineer Updates'!$B$5:$B$704=A580),'Engineer Updates'!$H$5:$H$704),""))</x:f>
      </x:c>
      <x:c r="S580" s="172" t="str">
        <x:f>IF(A580="","",IFERROR(LOOKUP(2,1/('Engineer Updates'!$B$5:$B$704=A580),'Engineer Updates'!$G$5:$G$704),""))</x:f>
      </x:c>
      <x:c r="T580" s="172" t="str">
        <x:f>IF(A580="","",IFERROR(LOOKUP(2,1/('Engineer Updates'!$B$5:$B$704=A580),'Engineer Updates'!$I$5:$I$704),""))</x:f>
      </x:c>
      <x:c r="U580" s="172" t="str">
        <x:f>IF(A580="","",IFERROR(LOOKUP(2,1/('Engineer Updates'!$B$5:$B$704=A580),'Engineer Updates'!$J$5:$J$704),""))</x:f>
      </x:c>
      <x:c r="V580" s="172" t="str">
        <x:f>IF(A580="","",IFERROR(LOOKUP(2,1/('Engineer Updates'!$B$5:$B$704=A580),'Engineer Updates'!$K$5:$K$704),""))</x:f>
      </x:c>
      <x:c r="W580" s="174" t="str">
        <x:f>IF(A580="","",IFERROR(LOOKUP(2,1/('Engineer Updates'!$B$5:$B$704=A580),'Engineer Updates'!$L$5:$L$704),""))</x:f>
      </x:c>
      <x:c r="X580" s="170" t="str">
        <x:f>IF(A580="","",IF(C580="completed","Completed in CSSP",IF(AND(C580="executing",ISERROR(SEARCH("@",K580))),"Executing without named engineer",IF(AND(N580="Confirmed OOS",C580="executing"),"Confirmed OOS still executing",""))))</x:f>
      </x:c>
      <x:c r="Y580" s="170" t="str">
        <x:f>IF(A580="","",IF(B580="Decommissioning","Raw Decommissioning","Raw Provisioning"))</x:f>
        <x:v>Raw Provisioning</x:v>
      </x:c>
      <x:c r="Z580" s="170" t="str">
        <x:f>IF(A580="","",IF(OR(C580="executing",C580="processing"),"Yes","No"))</x:f>
        <x:v>No</x:v>
      </x:c>
    </x:row>
    <x:row r="581">
      <x:c r="A581" s="170" t="str">
        <x:f>IF(ROWS($A$5:A581)&lt;=COUNTA('Raw Decommissioning'!$B$2:$B$1000),INDEX('Raw Decommissioning'!$B$2:$B$1000,ROWS($A$5:A581)),IF(ROWS($A$5:A581)-COUNTA('Raw Decommissioning'!$B$2:$B$1000)&lt;=COUNTA('Raw Provisioning'!$B$2:$B$1000),INDEX('Raw Provisioning'!$B$2:$B$1000,ROWS($A$5:A581)-COUNTA('Raw Decommissioning'!$B$2:$B$1000)),""))</x:f>
        <x:v>CSSP10656960</x:v>
      </x:c>
      <x:c r="B581" s="170" t="str">
        <x:f>IF(A581="","",IF(ROWS($A$5:A581)&lt;=COUNTA('Raw Decommissioning'!$B$2:$B$1000),"Decommissioning","Provisioning"))</x:f>
        <x:v>Provisioning</x:v>
      </x:c>
      <x:c r="C581" s="170" t="str">
        <x:f>IF(A581="","",IF(B581="Decommissioning",IFERROR(INDEX('Raw Decommissioning'!$E$2:$E$1000,MATCH(A581,'Raw Decommissioning'!$B$2:$B$1000,0)),"Missing from latest raw"),IFERROR(INDEX('Raw Provisioning'!$E$2:$E$1000,MATCH(A581,'Raw Provisioning'!$B$2:$B$1000,0)),"Missing from latest raw")))</x:f>
        <x:v>rejected</x:v>
      </x:c>
      <x:c r="D581" s="171" t="n">
        <x:f>IF(A581="","",'Refresh Control'!$B$4)</x:f>
        <x:v>46254</x:v>
      </x:c>
      <x:c r="E581" s="171" t="n">
        <x:f>IF(A581="","",IF(B581="Decommissioning",INDEX('Raw Decommissioning'!$F$2:$F$1000,ROWS($A$5:A581)),INDEX('Raw Provisioning'!$F$2:$F$1000,ROWS($A$5:A581)-COUNTA('Raw Decommissioning'!$B$2:$B$1000))))</x:f>
        <x:v>46217.062814861114</x:v>
      </x:c>
      <x:c r="F581" s="171" t="n">
        <x:f>IF(A581="","",IF(B581="Decommissioning",INDEX('Raw Decommissioning'!$G$2:$G$1000,ROWS($A$5:A581)),INDEX('Raw Provisioning'!$H$2:$H$1000,ROWS($A$5:A581)-COUNTA('Raw Decommissioning'!$B$2:$B$1000))))</x:f>
        <x:v>46226.165743032405</x:v>
      </x:c>
      <x:c r="G581" s="170" t="str">
        <x:f>IF(A581="","",IF(B581="Decommissioning",INDEX('Raw Decommissioning'!$I$2:$I$1000,ROWS($A$5:A581)),INDEX('Raw Provisioning'!$J$2:$J$1000,ROWS($A$5:A581)-COUNTA('Raw Decommissioning'!$B$2:$B$1000))))</x:f>
        <x:v>MyProcure</x:v>
      </x:c>
      <x:c r="H581" s="170" t="str">
        <x:f>IF(A581="","",IF(B581="Decommissioning",INDEX('Raw Decommissioning'!$J$2:$J$1000,ROWS($A$5:A581)),INDEX('Raw Provisioning'!$L$2:$L$1000,ROWS($A$5:A581)-COUNTA('Raw Decommissioning'!$B$2:$B$1000))))</x:f>
        <x:v>Procurement Innovation Through Automation And Procurement Marketplace</x:v>
      </x:c>
      <x:c r="I581" s="170" t="str">
        <x:f>IF(A581="","",IF(B581="Decommissioning",INDEX('Raw Decommissioning'!$AL$2:$AL$1000,ROWS($A$5:A581)),INDEX('Raw Provisioning'!$R$2:$R$1000,ROWS($A$5:A581)-COUNTA('Raw Decommissioning'!$B$2:$B$1000))))</x:f>
        <x:v>S</x:v>
      </x:c>
      <x:c r="J581" s="170" t="str">
        <x:f>IF(A581="","",IF(B581="Decommissioning",INDEX('Raw Decommissioning'!$AG$2:$AG$1000,ROWS($A$5:A581)),INDEX('Raw Provisioning'!$AI$2:$AI$1000,ROWS($A$5:A581)-COUNTA('Raw Decommissioning'!$B$2:$B$1000))))</x:f>
        <x:v>IMS - CLOUD CSSP EXECUTOR</x:v>
      </x:c>
      <x:c r="K581" s="172" t="str">
        <x:f>IF(A581="","",IFERROR(LOOKUP(2,1/('Assignment History'!$B$5:$B$204=A581),'Assignment History'!$D$5:$D$204),IFERROR(VLOOKUP(J581,Configuration!$L$5:$M$50,2,FALSE),J581)))</x:f>
        <x:v>IMS - CLOUD CSSP EXECUTOR</x:v>
      </x:c>
      <x:c r="L581" s="172" t="str">
        <x:f>IF(A581="","",IF(K581=IFERROR(VLOOKUP(J581,Configuration!$L$5:$M$50,2,FALSE),J581),"Snapshot PIC","Replacement PIC"))</x:f>
        <x:v>Snapshot PIC</x:v>
      </x:c>
      <x:c r="M581" s="172" t="n">
        <x:f>IF(A581="","",IFERROR(VLOOKUP(I581,Configuration!$O$5:$P$8,2,FALSE),Configuration!$S$6))</x:f>
        <x:v>1</x:v>
      </x:c>
      <x:c r="N581" s="172" t="str">
        <x:f>IF(A581="","",IFERROR(LOOKUP(2,1/('Scope Review'!$B$5:$B$204=A581),'Scope Review'!$G$5:$G$204),"Not Reviewed"))</x:f>
        <x:v>Not Reviewed</x:v>
      </x:c>
      <x:c r="O581" s="172" t="str">
        <x:f>IF(A581="","",IFERROR(LOOKUP(2,1/('Scope Review'!$B$5:$B$204=A581),'Scope Review'!$H$5:$H$204),""))</x:f>
      </x:c>
      <x:c r="P581" s="172" t="n">
        <x:f>IF(A581="","",IF(AND(C581="executing",N581&lt;&gt;"Confirmed OOS"),M581,0))</x:f>
        <x:v>0</x:v>
      </x:c>
      <x:c r="Q581" s="173" t="str">
        <x:f>IF(A581="","",IFERROR(LOOKUP(2,1/('Engineer Updates'!$B$5:$B$704=A581),'Engineer Updates'!$A$5:$A$704),""))</x:f>
      </x:c>
      <x:c r="R581" s="172" t="str">
        <x:f>IF(A581="","",IFERROR(LOOKUP(2,1/('Engineer Updates'!$B$5:$B$704=A581),'Engineer Updates'!$H$5:$H$704),""))</x:f>
      </x:c>
      <x:c r="S581" s="172" t="str">
        <x:f>IF(A581="","",IFERROR(LOOKUP(2,1/('Engineer Updates'!$B$5:$B$704=A581),'Engineer Updates'!$G$5:$G$704),""))</x:f>
      </x:c>
      <x:c r="T581" s="172" t="str">
        <x:f>IF(A581="","",IFERROR(LOOKUP(2,1/('Engineer Updates'!$B$5:$B$704=A581),'Engineer Updates'!$I$5:$I$704),""))</x:f>
      </x:c>
      <x:c r="U581" s="172" t="str">
        <x:f>IF(A581="","",IFERROR(LOOKUP(2,1/('Engineer Updates'!$B$5:$B$704=A581),'Engineer Updates'!$J$5:$J$704),""))</x:f>
      </x:c>
      <x:c r="V581" s="172" t="str">
        <x:f>IF(A581="","",IFERROR(LOOKUP(2,1/('Engineer Updates'!$B$5:$B$704=A581),'Engineer Updates'!$K$5:$K$704),""))</x:f>
      </x:c>
      <x:c r="W581" s="174" t="str">
        <x:f>IF(A581="","",IFERROR(LOOKUP(2,1/('Engineer Updates'!$B$5:$B$704=A581),'Engineer Updates'!$L$5:$L$704),""))</x:f>
      </x:c>
      <x:c r="X581" s="170" t="str">
        <x:f>IF(A581="","",IF(C581="completed","Completed in CSSP",IF(AND(C581="executing",ISERROR(SEARCH("@",K581))),"Executing without named engineer",IF(AND(N581="Confirmed OOS",C581="executing"),"Confirmed OOS still executing",""))))</x:f>
      </x:c>
      <x:c r="Y581" s="170" t="str">
        <x:f>IF(A581="","",IF(B581="Decommissioning","Raw Decommissioning","Raw Provisioning"))</x:f>
        <x:v>Raw Provisioning</x:v>
      </x:c>
      <x:c r="Z581" s="170" t="str">
        <x:f>IF(A581="","",IF(OR(C581="executing",C581="processing"),"Yes","No"))</x:f>
        <x:v>No</x:v>
      </x:c>
    </x:row>
    <x:row r="582">
      <x:c r="A582" s="170" t="str">
        <x:f>IF(ROWS($A$5:A582)&lt;=COUNTA('Raw Decommissioning'!$B$2:$B$1000),INDEX('Raw Decommissioning'!$B$2:$B$1000,ROWS($A$5:A582)),IF(ROWS($A$5:A582)-COUNTA('Raw Decommissioning'!$B$2:$B$1000)&lt;=COUNTA('Raw Provisioning'!$B$2:$B$1000),INDEX('Raw Provisioning'!$B$2:$B$1000,ROWS($A$5:A582)-COUNTA('Raw Decommissioning'!$B$2:$B$1000)),""))</x:f>
        <x:v>CSSP10523151</x:v>
      </x:c>
      <x:c r="B582" s="170" t="str">
        <x:f>IF(A582="","",IF(ROWS($A$5:A582)&lt;=COUNTA('Raw Decommissioning'!$B$2:$B$1000),"Decommissioning","Provisioning"))</x:f>
        <x:v>Provisioning</x:v>
      </x:c>
      <x:c r="C582" s="170" t="str">
        <x:f>IF(A582="","",IF(B582="Decommissioning",IFERROR(INDEX('Raw Decommissioning'!$E$2:$E$1000,MATCH(A582,'Raw Decommissioning'!$B$2:$B$1000,0)),"Missing from latest raw"),IFERROR(INDEX('Raw Provisioning'!$E$2:$E$1000,MATCH(A582,'Raw Provisioning'!$B$2:$B$1000,0)),"Missing from latest raw")))</x:f>
        <x:v>rejected</x:v>
      </x:c>
      <x:c r="D582" s="171" t="n">
        <x:f>IF(A582="","",'Refresh Control'!$B$4)</x:f>
        <x:v>46254</x:v>
      </x:c>
      <x:c r="E582" s="171" t="n">
        <x:f>IF(A582="","",IF(B582="Decommissioning",INDEX('Raw Decommissioning'!$F$2:$F$1000,ROWS($A$5:A582)),INDEX('Raw Provisioning'!$F$2:$F$1000,ROWS($A$5:A582)-COUNTA('Raw Decommissioning'!$B$2:$B$1000))))</x:f>
        <x:v>46217.26251277778</x:v>
      </x:c>
      <x:c r="F582" s="171" t="n">
        <x:f>IF(A582="","",IF(B582="Decommissioning",INDEX('Raw Decommissioning'!$G$2:$G$1000,ROWS($A$5:A582)),INDEX('Raw Provisioning'!$H$2:$H$1000,ROWS($A$5:A582)-COUNTA('Raw Decommissioning'!$B$2:$B$1000))))</x:f>
        <x:v>46226.178674490744</x:v>
      </x:c>
      <x:c r="G582" s="170" t="str">
        <x:f>IF(A582="","",IF(B582="Decommissioning",INDEX('Raw Decommissioning'!$I$2:$I$1000,ROWS($A$5:A582)),INDEX('Raw Provisioning'!$J$2:$J$1000,ROWS($A$5:A582)-COUNTA('Raw Decommissioning'!$B$2:$B$1000))))</x:f>
        <x:v>VMware vCenter RDMZ RTOT</x:v>
      </x:c>
      <x:c r="H582" s="170" t="str">
        <x:f>IF(A582="","",IF(B582="Decommissioning",INDEX('Raw Decommissioning'!$J$2:$J$1000,ROWS($A$5:A582)),INDEX('Raw Provisioning'!$L$2:$L$1000,ROWS($A$5:A582)-COUNTA('Raw Decommissioning'!$B$2:$B$1000))))</x:f>
        <x:v>VMware vCenter RDMZ RTOT created for PRIVATECLOUD project record</x:v>
      </x:c>
      <x:c r="I582" s="170" t="str">
        <x:f>IF(A582="","",IF(B582="Decommissioning",INDEX('Raw Decommissioning'!$AL$2:$AL$1000,ROWS($A$5:A582)),INDEX('Raw Provisioning'!$R$2:$R$1000,ROWS($A$5:A582)-COUNTA('Raw Decommissioning'!$B$2:$B$1000))))</x:f>
        <x:v>L</x:v>
      </x:c>
      <x:c r="J582" s="170" t="str">
        <x:f>IF(A582="","",IF(B582="Decommissioning",INDEX('Raw Decommissioning'!$AG$2:$AG$1000,ROWS($A$5:A582)),INDEX('Raw Provisioning'!$AI$2:$AI$1000,ROWS($A$5:A582)-COUNTA('Raw Decommissioning'!$B$2:$B$1000))))</x:f>
        <x:v>IMS - CLOUD CSSP EXECUTOR</x:v>
      </x:c>
      <x:c r="K582" s="172" t="str">
        <x:f>IF(A582="","",IFERROR(LOOKUP(2,1/('Assignment History'!$B$5:$B$204=A582),'Assignment History'!$D$5:$D$204),IFERROR(VLOOKUP(J582,Configuration!$L$5:$M$50,2,FALSE),J582)))</x:f>
        <x:v>IMS - CLOUD CSSP EXECUTOR</x:v>
      </x:c>
      <x:c r="L582" s="172" t="str">
        <x:f>IF(A582="","",IF(K582=IFERROR(VLOOKUP(J582,Configuration!$L$5:$M$50,2,FALSE),J582),"Snapshot PIC","Replacement PIC"))</x:f>
        <x:v>Snapshot PIC</x:v>
      </x:c>
      <x:c r="M582" s="172" t="n">
        <x:f>IF(A582="","",IFERROR(VLOOKUP(I582,Configuration!$O$5:$P$8,2,FALSE),Configuration!$S$6))</x:f>
        <x:v>3</x:v>
      </x:c>
      <x:c r="N582" s="172" t="str">
        <x:f>IF(A582="","",IFERROR(LOOKUP(2,1/('Scope Review'!$B$5:$B$204=A582),'Scope Review'!$G$5:$G$204),"Not Reviewed"))</x:f>
        <x:v>Not Reviewed</x:v>
      </x:c>
      <x:c r="O582" s="172" t="str">
        <x:f>IF(A582="","",IFERROR(LOOKUP(2,1/('Scope Review'!$B$5:$B$204=A582),'Scope Review'!$H$5:$H$204),""))</x:f>
      </x:c>
      <x:c r="P582" s="172" t="n">
        <x:f>IF(A582="","",IF(AND(C582="executing",N582&lt;&gt;"Confirmed OOS"),M582,0))</x:f>
        <x:v>0</x:v>
      </x:c>
      <x:c r="Q582" s="173" t="str">
        <x:f>IF(A582="","",IFERROR(LOOKUP(2,1/('Engineer Updates'!$B$5:$B$704=A582),'Engineer Updates'!$A$5:$A$704),""))</x:f>
      </x:c>
      <x:c r="R582" s="172" t="str">
        <x:f>IF(A582="","",IFERROR(LOOKUP(2,1/('Engineer Updates'!$B$5:$B$704=A582),'Engineer Updates'!$H$5:$H$704),""))</x:f>
      </x:c>
      <x:c r="S582" s="172" t="str">
        <x:f>IF(A582="","",IFERROR(LOOKUP(2,1/('Engineer Updates'!$B$5:$B$704=A582),'Engineer Updates'!$G$5:$G$704),""))</x:f>
      </x:c>
      <x:c r="T582" s="172" t="str">
        <x:f>IF(A582="","",IFERROR(LOOKUP(2,1/('Engineer Updates'!$B$5:$B$704=A582),'Engineer Updates'!$I$5:$I$704),""))</x:f>
      </x:c>
      <x:c r="U582" s="172" t="str">
        <x:f>IF(A582="","",IFERROR(LOOKUP(2,1/('Engineer Updates'!$B$5:$B$704=A582),'Engineer Updates'!$J$5:$J$704),""))</x:f>
      </x:c>
      <x:c r="V582" s="172" t="str">
        <x:f>IF(A582="","",IFERROR(LOOKUP(2,1/('Engineer Updates'!$B$5:$B$704=A582),'Engineer Updates'!$K$5:$K$704),""))</x:f>
      </x:c>
      <x:c r="W582" s="174" t="str">
        <x:f>IF(A582="","",IFERROR(LOOKUP(2,1/('Engineer Updates'!$B$5:$B$704=A582),'Engineer Updates'!$L$5:$L$704),""))</x:f>
      </x:c>
      <x:c r="X582" s="170" t="str">
        <x:f>IF(A582="","",IF(C582="completed","Completed in CSSP",IF(AND(C582="executing",ISERROR(SEARCH("@",K582))),"Executing without named engineer",IF(AND(N582="Confirmed OOS",C582="executing"),"Confirmed OOS still executing",""))))</x:f>
      </x:c>
      <x:c r="Y582" s="170" t="str">
        <x:f>IF(A582="","",IF(B582="Decommissioning","Raw Decommissioning","Raw Provisioning"))</x:f>
        <x:v>Raw Provisioning</x:v>
      </x:c>
      <x:c r="Z582" s="170" t="str">
        <x:f>IF(A582="","",IF(OR(C582="executing",C582="processing"),"Yes","No"))</x:f>
        <x:v>No</x:v>
      </x:c>
    </x:row>
    <x:row r="583">
      <x:c r="A583" s="170" t="str">
        <x:f>IF(ROWS($A$5:A583)&lt;=COUNTA('Raw Decommissioning'!$B$2:$B$1000),INDEX('Raw Decommissioning'!$B$2:$B$1000,ROWS($A$5:A583)),IF(ROWS($A$5:A583)-COUNTA('Raw Decommissioning'!$B$2:$B$1000)&lt;=COUNTA('Raw Provisioning'!$B$2:$B$1000),INDEX('Raw Provisioning'!$B$2:$B$1000,ROWS($A$5:A583)-COUNTA('Raw Decommissioning'!$B$2:$B$1000)),""))</x:f>
        <x:v>CSSP10313811</x:v>
      </x:c>
      <x:c r="B583" s="170" t="str">
        <x:f>IF(A583="","",IF(ROWS($A$5:A583)&lt;=COUNTA('Raw Decommissioning'!$B$2:$B$1000),"Decommissioning","Provisioning"))</x:f>
        <x:v>Provisioning</x:v>
      </x:c>
      <x:c r="C583" s="170" t="str">
        <x:f>IF(A583="","",IF(B583="Decommissioning",IFERROR(INDEX('Raw Decommissioning'!$E$2:$E$1000,MATCH(A583,'Raw Decommissioning'!$B$2:$B$1000,0)),"Missing from latest raw"),IFERROR(INDEX('Raw Provisioning'!$E$2:$E$1000,MATCH(A583,'Raw Provisioning'!$B$2:$B$1000,0)),"Missing from latest raw")))</x:f>
        <x:v>executing</x:v>
      </x:c>
      <x:c r="D583" s="171" t="n">
        <x:f>IF(A583="","",'Refresh Control'!$B$4)</x:f>
        <x:v>46254</x:v>
      </x:c>
      <x:c r="E583" s="171" t="n">
        <x:f>IF(A583="","",IF(B583="Decommissioning",INDEX('Raw Decommissioning'!$F$2:$F$1000,ROWS($A$5:A583)),INDEX('Raw Provisioning'!$F$2:$F$1000,ROWS($A$5:A583)-COUNTA('Raw Decommissioning'!$B$2:$B$1000))))</x:f>
        <x:v>46217.442103761576</x:v>
      </x:c>
      <x:c r="F583" s="171" t="n">
        <x:f>IF(A583="","",IF(B583="Decommissioning",INDEX('Raw Decommissioning'!$G$2:$G$1000,ROWS($A$5:A583)),INDEX('Raw Provisioning'!$H$2:$H$1000,ROWS($A$5:A583)-COUNTA('Raw Decommissioning'!$B$2:$B$1000))))</x:f>
        <x:v>46233.103235925926</x:v>
      </x:c>
      <x:c r="G583" s="170" t="str">
        <x:f>IF(A583="","",IF(B583="Decommissioning",INDEX('Raw Decommissioning'!$I$2:$I$1000,ROWS($A$5:A583)),INDEX('Raw Provisioning'!$J$2:$J$1000,ROWS($A$5:A583)-COUNTA('Raw Decommissioning'!$B$2:$B$1000))))</x:f>
        <x:v>Aveva</x:v>
      </x:c>
      <x:c r="H583" s="170" t="str">
        <x:f>IF(A583="","",IF(B583="Decommissioning",INDEX('Raw Decommissioning'!$J$2:$J$1000,ROWS($A$5:A583)),INDEX('Raw Provisioning'!$L$2:$L$1000,ROWS($A$5:A583)-COUNTA('Raw Decommissioning'!$B$2:$B$1000))))</x:f>
        <x:v>Cloud Migration Program - Aveva</x:v>
      </x:c>
      <x:c r="I583" s="170" t="str">
        <x:f>IF(A583="","",IF(B583="Decommissioning",INDEX('Raw Decommissioning'!$AL$2:$AL$1000,ROWS($A$5:A583)),INDEX('Raw Provisioning'!$R$2:$R$1000,ROWS($A$5:A583)-COUNTA('Raw Decommissioning'!$B$2:$B$1000))))</x:f>
        <x:v>L</x:v>
      </x:c>
      <x:c r="J583" s="170" t="str">
        <x:f>IF(A583="","",IF(B583="Decommissioning",INDEX('Raw Decommissioning'!$AG$2:$AG$1000,ROWS($A$5:A583)),INDEX('Raw Provisioning'!$AI$2:$AI$1000,ROWS($A$5:A583)-COUNTA('Raw Decommissioning'!$B$2:$B$1000))))</x:f>
        <x:v>venkatesh.kalikivayi@petronas.com</x:v>
      </x:c>
      <x:c r="K583" s="172" t="str">
        <x:f>IF(A583="","",IFERROR(LOOKUP(2,1/('Assignment History'!$B$5:$B$204=A583),'Assignment History'!$D$5:$D$204),IFERROR(VLOOKUP(J583,Configuration!$L$5:$M$50,2,FALSE),J583)))</x:f>
        <x:v>venkatesh.kalikivayi@petronas.com</x:v>
      </x:c>
      <x:c r="L583" s="172" t="str">
        <x:f>IF(A583="","",IF(K583=IFERROR(VLOOKUP(J583,Configuration!$L$5:$M$50,2,FALSE),J583),"Snapshot PIC","Replacement PIC"))</x:f>
        <x:v>Snapshot PIC</x:v>
      </x:c>
      <x:c r="M583" s="172" t="n">
        <x:f>IF(A583="","",IFERROR(VLOOKUP(I583,Configuration!$O$5:$P$8,2,FALSE),Configuration!$S$6))</x:f>
        <x:v>3</x:v>
      </x:c>
      <x:c r="N583" s="172" t="str">
        <x:f>IF(A583="","",IFERROR(LOOKUP(2,1/('Scope Review'!$B$5:$B$204=A583),'Scope Review'!$G$5:$G$204),"Not Reviewed"))</x:f>
        <x:v>Not Reviewed</x:v>
      </x:c>
      <x:c r="O583" s="172" t="str">
        <x:f>IF(A583="","",IFERROR(LOOKUP(2,1/('Scope Review'!$B$5:$B$204=A583),'Scope Review'!$H$5:$H$204),""))</x:f>
      </x:c>
      <x:c r="P583" s="172" t="n">
        <x:f>IF(A583="","",IF(AND(C583="executing",N583&lt;&gt;"Confirmed OOS"),M583,0))</x:f>
        <x:v>3</x:v>
      </x:c>
      <x:c r="Q583" s="173" t="n">
        <x:f>IF(A583="","",IFERROR(LOOKUP(2,1/('Engineer Updates'!$B$5:$B$704=A583),'Engineer Updates'!$A$5:$A$704),""))</x:f>
        <x:v>46251</x:v>
      </x:c>
      <x:c r="R583" s="172" t="str">
        <x:f>IF(A583="","",IFERROR(LOOKUP(2,1/('Engineer Updates'!$B$5:$B$704=A583),'Engineer Updates'!$H$5:$H$704),""))</x:f>
        <x:v>Not Started</x:v>
      </x:c>
      <x:c r="S583" s="172" t="str">
        <x:f>IF(A583="","",IFERROR(LOOKUP(2,1/('Engineer Updates'!$B$5:$B$704=A583),'Engineer Updates'!$G$5:$G$704),""))</x:f>
      </x:c>
      <x:c r="T583" s="172" t="str">
        <x:f>IF(A583="","",IFERROR(LOOKUP(2,1/('Engineer Updates'!$B$5:$B$704=A583),'Engineer Updates'!$I$5:$I$704),""))</x:f>
      </x:c>
      <x:c r="U583" s="172" t="str">
        <x:f>IF(A583="","",IFERROR(LOOKUP(2,1/('Engineer Updates'!$B$5:$B$704=A583),'Engineer Updates'!$J$5:$J$704),""))</x:f>
      </x:c>
      <x:c r="V583" s="172" t="str">
        <x:f>IF(A583="","",IFERROR(LOOKUP(2,1/('Engineer Updates'!$B$5:$B$704=A583),'Engineer Updates'!$K$5:$K$704),""))</x:f>
      </x:c>
      <x:c r="W583" s="174" t="str">
        <x:f>IF(A583="","",IFERROR(LOOKUP(2,1/('Engineer Updates'!$B$5:$B$704=A583),'Engineer Updates'!$L$5:$L$704),""))</x:f>
      </x:c>
      <x:c r="X583" s="170" t="str">
        <x:f>IF(A583="","",IF(C583="completed","Completed in CSSP",IF(AND(C583="executing",ISERROR(SEARCH("@",K583))),"Executing without named engineer",IF(AND(N583="Confirmed OOS",C583="executing"),"Confirmed OOS still executing",""))))</x:f>
      </x:c>
      <x:c r="Y583" s="170" t="str">
        <x:f>IF(A583="","",IF(B583="Decommissioning","Raw Decommissioning","Raw Provisioning"))</x:f>
        <x:v>Raw Provisioning</x:v>
      </x:c>
      <x:c r="Z583" s="170" t="str">
        <x:f>IF(A583="","",IF(OR(C583="executing",C583="processing"),"Yes","No"))</x:f>
        <x:v>Yes</x:v>
      </x:c>
    </x:row>
    <x:row r="584">
      <x:c r="A584" s="170" t="str">
        <x:f>IF(ROWS($A$5:A584)&lt;=COUNTA('Raw Decommissioning'!$B$2:$B$1000),INDEX('Raw Decommissioning'!$B$2:$B$1000,ROWS($A$5:A584)),IF(ROWS($A$5:A584)-COUNTA('Raw Decommissioning'!$B$2:$B$1000)&lt;=COUNTA('Raw Provisioning'!$B$2:$B$1000),INDEX('Raw Provisioning'!$B$2:$B$1000,ROWS($A$5:A584)-COUNTA('Raw Decommissioning'!$B$2:$B$1000)),""))</x:f>
        <x:v>CSSP10605623</x:v>
      </x:c>
      <x:c r="B584" s="170" t="str">
        <x:f>IF(A584="","",IF(ROWS($A$5:A584)&lt;=COUNTA('Raw Decommissioning'!$B$2:$B$1000),"Decommissioning","Provisioning"))</x:f>
        <x:v>Provisioning</x:v>
      </x:c>
      <x:c r="C584" s="170" t="str">
        <x:f>IF(A584="","",IF(B584="Decommissioning",IFERROR(INDEX('Raw Decommissioning'!$E$2:$E$1000,MATCH(A584,'Raw Decommissioning'!$B$2:$B$1000,0)),"Missing from latest raw"),IFERROR(INDEX('Raw Provisioning'!$E$2:$E$1000,MATCH(A584,'Raw Provisioning'!$B$2:$B$1000,0)),"Missing from latest raw")))</x:f>
        <x:v>executing</x:v>
      </x:c>
      <x:c r="D584" s="171" t="n">
        <x:f>IF(A584="","",'Refresh Control'!$B$4)</x:f>
        <x:v>46254</x:v>
      </x:c>
      <x:c r="E584" s="171" t="n">
        <x:f>IF(A584="","",IF(B584="Decommissioning",INDEX('Raw Decommissioning'!$F$2:$F$1000,ROWS($A$5:A584)),INDEX('Raw Provisioning'!$F$2:$F$1000,ROWS($A$5:A584)-COUNTA('Raw Decommissioning'!$B$2:$B$1000))))</x:f>
        <x:v>46218.14130096065</x:v>
      </x:c>
      <x:c r="F584" s="171" t="n">
        <x:f>IF(A584="","",IF(B584="Decommissioning",INDEX('Raw Decommissioning'!$G$2:$G$1000,ROWS($A$5:A584)),INDEX('Raw Provisioning'!$H$2:$H$1000,ROWS($A$5:A584)-COUNTA('Raw Decommissioning'!$B$2:$B$1000))))</x:f>
        <x:v>46225.36828070602</x:v>
      </x:c>
      <x:c r="G584" s="170" t="str">
        <x:f>IF(A584="","",IF(B584="Decommissioning",INDEX('Raw Decommissioning'!$I$2:$I$1000,ROWS($A$5:A584)),INDEX('Raw Provisioning'!$J$2:$J$1000,ROWS($A$5:A584)-COUNTA('Raw Decommissioning'!$B$2:$B$1000))))</x:f>
        <x:v>DevOps Portal</x:v>
      </x:c>
      <x:c r="H584" s="170" t="str">
        <x:f>IF(A584="","",IF(B584="Decommissioning",INDEX('Raw Decommissioning'!$J$2:$J$1000,ROWS($A$5:A584)),INDEX('Raw Provisioning'!$L$2:$L$1000,ROWS($A$5:A584)-COUNTA('Raw Decommissioning'!$B$2:$B$1000))))</x:f>
        <x:v>DevOps Portal</x:v>
      </x:c>
      <x:c r="I584" s="170" t="str">
        <x:f>IF(A584="","",IF(B584="Decommissioning",INDEX('Raw Decommissioning'!$AL$2:$AL$1000,ROWS($A$5:A584)),INDEX('Raw Provisioning'!$R$2:$R$1000,ROWS($A$5:A584)-COUNTA('Raw Decommissioning'!$B$2:$B$1000))))</x:f>
        <x:v>L</x:v>
      </x:c>
      <x:c r="J584" s="170" t="str">
        <x:f>IF(A584="","",IF(B584="Decommissioning",INDEX('Raw Decommissioning'!$AG$2:$AG$1000,ROWS($A$5:A584)),INDEX('Raw Provisioning'!$AI$2:$AI$1000,ROWS($A$5:A584)-COUNTA('Raw Decommissioning'!$B$2:$B$1000))))</x:f>
        <x:v>abdul.khoir@petronas.com</x:v>
      </x:c>
      <x:c r="K584" s="172" t="str">
        <x:f>IF(A584="","",IFERROR(LOOKUP(2,1/('Assignment History'!$B$5:$B$204=A584),'Assignment History'!$D$5:$D$204),IFERROR(VLOOKUP(J584,Configuration!$L$5:$M$50,2,FALSE),J584)))</x:f>
        <x:v>abdul.khoir@petronas.com</x:v>
      </x:c>
      <x:c r="L584" s="172" t="str">
        <x:f>IF(A584="","",IF(K584=IFERROR(VLOOKUP(J584,Configuration!$L$5:$M$50,2,FALSE),J584),"Snapshot PIC","Replacement PIC"))</x:f>
        <x:v>Snapshot PIC</x:v>
      </x:c>
      <x:c r="M584" s="172" t="n">
        <x:f>IF(A584="","",IFERROR(VLOOKUP(I584,Configuration!$O$5:$P$8,2,FALSE),Configuration!$S$6))</x:f>
        <x:v>3</x:v>
      </x:c>
      <x:c r="N584" s="172" t="str">
        <x:f>IF(A584="","",IFERROR(LOOKUP(2,1/('Scope Review'!$B$5:$B$204=A584),'Scope Review'!$G$5:$G$204),"Not Reviewed"))</x:f>
        <x:v>Not Reviewed</x:v>
      </x:c>
      <x:c r="O584" s="172" t="str">
        <x:f>IF(A584="","",IFERROR(LOOKUP(2,1/('Scope Review'!$B$5:$B$204=A584),'Scope Review'!$H$5:$H$204),""))</x:f>
      </x:c>
      <x:c r="P584" s="172" t="n">
        <x:f>IF(A584="","",IF(AND(C584="executing",N584&lt;&gt;"Confirmed OOS"),M584,0))</x:f>
        <x:v>3</x:v>
      </x:c>
      <x:c r="Q584" s="173" t="n">
        <x:f>IF(A584="","",IFERROR(LOOKUP(2,1/('Engineer Updates'!$B$5:$B$704=A584),'Engineer Updates'!$A$5:$A$704),""))</x:f>
        <x:v>46251</x:v>
      </x:c>
      <x:c r="R584" s="172" t="str">
        <x:f>IF(A584="","",IFERROR(LOOKUP(2,1/('Engineer Updates'!$B$5:$B$704=A584),'Engineer Updates'!$H$5:$H$704),""))</x:f>
        <x:v>Not Started</x:v>
      </x:c>
      <x:c r="S584" s="172" t="str">
        <x:f>IF(A584="","",IFERROR(LOOKUP(2,1/('Engineer Updates'!$B$5:$B$704=A584),'Engineer Updates'!$G$5:$G$704),""))</x:f>
      </x:c>
      <x:c r="T584" s="172" t="str">
        <x:f>IF(A584="","",IFERROR(LOOKUP(2,1/('Engineer Updates'!$B$5:$B$704=A584),'Engineer Updates'!$I$5:$I$704),""))</x:f>
      </x:c>
      <x:c r="U584" s="172" t="str">
        <x:f>IF(A584="","",IFERROR(LOOKUP(2,1/('Engineer Updates'!$B$5:$B$704=A584),'Engineer Updates'!$J$5:$J$704),""))</x:f>
      </x:c>
      <x:c r="V584" s="172" t="str">
        <x:f>IF(A584="","",IFERROR(LOOKUP(2,1/('Engineer Updates'!$B$5:$B$704=A584),'Engineer Updates'!$K$5:$K$704),""))</x:f>
      </x:c>
      <x:c r="W584" s="174" t="str">
        <x:f>IF(A584="","",IFERROR(LOOKUP(2,1/('Engineer Updates'!$B$5:$B$704=A584),'Engineer Updates'!$L$5:$L$704),""))</x:f>
      </x:c>
      <x:c r="X584" s="170" t="str">
        <x:f>IF(A584="","",IF(C584="completed","Completed in CSSP",IF(AND(C584="executing",ISERROR(SEARCH("@",K584))),"Executing without named engineer",IF(AND(N584="Confirmed OOS",C584="executing"),"Confirmed OOS still executing",""))))</x:f>
      </x:c>
      <x:c r="Y584" s="170" t="str">
        <x:f>IF(A584="","",IF(B584="Decommissioning","Raw Decommissioning","Raw Provisioning"))</x:f>
        <x:v>Raw Provisioning</x:v>
      </x:c>
      <x:c r="Z584" s="170" t="str">
        <x:f>IF(A584="","",IF(OR(C584="executing",C584="processing"),"Yes","No"))</x:f>
        <x:v>Yes</x:v>
      </x:c>
    </x:row>
    <x:row r="585">
      <x:c r="A585" s="170" t="str">
        <x:f>IF(ROWS($A$5:A585)&lt;=COUNTA('Raw Decommissioning'!$B$2:$B$1000),INDEX('Raw Decommissioning'!$B$2:$B$1000,ROWS($A$5:A585)),IF(ROWS($A$5:A585)-COUNTA('Raw Decommissioning'!$B$2:$B$1000)&lt;=COUNTA('Raw Provisioning'!$B$2:$B$1000),INDEX('Raw Provisioning'!$B$2:$B$1000,ROWS($A$5:A585)-COUNTA('Raw Decommissioning'!$B$2:$B$1000)),""))</x:f>
        <x:v>CSSP10694706</x:v>
      </x:c>
      <x:c r="B585" s="170" t="str">
        <x:f>IF(A585="","",IF(ROWS($A$5:A585)&lt;=COUNTA('Raw Decommissioning'!$B$2:$B$1000),"Decommissioning","Provisioning"))</x:f>
        <x:v>Provisioning</x:v>
      </x:c>
      <x:c r="C585" s="170" t="str">
        <x:f>IF(A585="","",IF(B585="Decommissioning",IFERROR(INDEX('Raw Decommissioning'!$E$2:$E$1000,MATCH(A585,'Raw Decommissioning'!$B$2:$B$1000,0)),"Missing from latest raw"),IFERROR(INDEX('Raw Provisioning'!$E$2:$E$1000,MATCH(A585,'Raw Provisioning'!$B$2:$B$1000,0)),"Missing from latest raw")))</x:f>
        <x:v>rejected</x:v>
      </x:c>
      <x:c r="D585" s="171" t="n">
        <x:f>IF(A585="","",'Refresh Control'!$B$4)</x:f>
        <x:v>46254</x:v>
      </x:c>
      <x:c r="E585" s="171" t="n">
        <x:f>IF(A585="","",IF(B585="Decommissioning",INDEX('Raw Decommissioning'!$F$2:$F$1000,ROWS($A$5:A585)),INDEX('Raw Provisioning'!$F$2:$F$1000,ROWS($A$5:A585)-COUNTA('Raw Decommissioning'!$B$2:$B$1000))))</x:f>
        <x:v>46219.06047244213</x:v>
      </x:c>
      <x:c r="F585" s="171" t="n">
        <x:f>IF(A585="","",IF(B585="Decommissioning",INDEX('Raw Decommissioning'!$G$2:$G$1000,ROWS($A$5:A585)),INDEX('Raw Provisioning'!$H$2:$H$1000,ROWS($A$5:A585)-COUNTA('Raw Decommissioning'!$B$2:$B$1000))))</x:f>
        <x:v>46222.80298237268</x:v>
      </x:c>
      <x:c r="G585" s="170" t="str">
        <x:f>IF(A585="","",IF(B585="Decommissioning",INDEX('Raw Decommissioning'!$I$2:$I$1000,ROWS($A$5:A585)),INDEX('Raw Provisioning'!$J$2:$J$1000,ROWS($A$5:A585)-COUNTA('Raw Decommissioning'!$B$2:$B$1000))))</x:f>
        <x:v>STEPS Database Migration</x:v>
      </x:c>
      <x:c r="H585" s="170" t="str">
        <x:f>IF(A585="","",IF(B585="Decommissioning",INDEX('Raw Decommissioning'!$J$2:$J$1000,ROWS($A$5:A585)),INDEX('Raw Provisioning'!$L$2:$L$1000,ROWS($A$5:A585)-COUNTA('Raw Decommissioning'!$B$2:$B$1000))))</x:f>
        <x:v>SQL Server Test Site for STEPS Database Migration</x:v>
      </x:c>
      <x:c r="I585" s="170" t="str">
        <x:f>IF(A585="","",IF(B585="Decommissioning",INDEX('Raw Decommissioning'!$AL$2:$AL$1000,ROWS($A$5:A585)),INDEX('Raw Provisioning'!$R$2:$R$1000,ROWS($A$5:A585)-COUNTA('Raw Decommissioning'!$B$2:$B$1000))))</x:f>
        <x:v>S</x:v>
      </x:c>
      <x:c r="J585" s="170" t="str">
        <x:f>IF(A585="","",IF(B585="Decommissioning",INDEX('Raw Decommissioning'!$AG$2:$AG$1000,ROWS($A$5:A585)),INDEX('Raw Provisioning'!$AI$2:$AI$1000,ROWS($A$5:A585)-COUNTA('Raw Decommissioning'!$B$2:$B$1000))))</x:f>
        <x:v>IMS - CLOUD CSSP EXECUTOR</x:v>
      </x:c>
      <x:c r="K585" s="172" t="str">
        <x:f>IF(A585="","",IFERROR(LOOKUP(2,1/('Assignment History'!$B$5:$B$204=A585),'Assignment History'!$D$5:$D$204),IFERROR(VLOOKUP(J585,Configuration!$L$5:$M$50,2,FALSE),J585)))</x:f>
        <x:v>IMS - CLOUD CSSP EXECUTOR</x:v>
      </x:c>
      <x:c r="L585" s="172" t="str">
        <x:f>IF(A585="","",IF(K585=IFERROR(VLOOKUP(J585,Configuration!$L$5:$M$50,2,FALSE),J585),"Snapshot PIC","Replacement PIC"))</x:f>
        <x:v>Snapshot PIC</x:v>
      </x:c>
      <x:c r="M585" s="172" t="n">
        <x:f>IF(A585="","",IFERROR(VLOOKUP(I585,Configuration!$O$5:$P$8,2,FALSE),Configuration!$S$6))</x:f>
        <x:v>1</x:v>
      </x:c>
      <x:c r="N585" s="172" t="str">
        <x:f>IF(A585="","",IFERROR(LOOKUP(2,1/('Scope Review'!$B$5:$B$204=A585),'Scope Review'!$G$5:$G$204),"Not Reviewed"))</x:f>
        <x:v>Not Reviewed</x:v>
      </x:c>
      <x:c r="O585" s="172" t="str">
        <x:f>IF(A585="","",IFERROR(LOOKUP(2,1/('Scope Review'!$B$5:$B$204=A585),'Scope Review'!$H$5:$H$204),""))</x:f>
      </x:c>
      <x:c r="P585" s="172" t="n">
        <x:f>IF(A585="","",IF(AND(C585="executing",N585&lt;&gt;"Confirmed OOS"),M585,0))</x:f>
        <x:v>0</x:v>
      </x:c>
      <x:c r="Q585" s="173" t="str">
        <x:f>IF(A585="","",IFERROR(LOOKUP(2,1/('Engineer Updates'!$B$5:$B$704=A585),'Engineer Updates'!$A$5:$A$704),""))</x:f>
      </x:c>
      <x:c r="R585" s="172" t="str">
        <x:f>IF(A585="","",IFERROR(LOOKUP(2,1/('Engineer Updates'!$B$5:$B$704=A585),'Engineer Updates'!$H$5:$H$704),""))</x:f>
      </x:c>
      <x:c r="S585" s="172" t="str">
        <x:f>IF(A585="","",IFERROR(LOOKUP(2,1/('Engineer Updates'!$B$5:$B$704=A585),'Engineer Updates'!$G$5:$G$704),""))</x:f>
      </x:c>
      <x:c r="T585" s="172" t="str">
        <x:f>IF(A585="","",IFERROR(LOOKUP(2,1/('Engineer Updates'!$B$5:$B$704=A585),'Engineer Updates'!$I$5:$I$704),""))</x:f>
      </x:c>
      <x:c r="U585" s="172" t="str">
        <x:f>IF(A585="","",IFERROR(LOOKUP(2,1/('Engineer Updates'!$B$5:$B$704=A585),'Engineer Updates'!$J$5:$J$704),""))</x:f>
      </x:c>
      <x:c r="V585" s="172" t="str">
        <x:f>IF(A585="","",IFERROR(LOOKUP(2,1/('Engineer Updates'!$B$5:$B$704=A585),'Engineer Updates'!$K$5:$K$704),""))</x:f>
      </x:c>
      <x:c r="W585" s="174" t="str">
        <x:f>IF(A585="","",IFERROR(LOOKUP(2,1/('Engineer Updates'!$B$5:$B$704=A585),'Engineer Updates'!$L$5:$L$704),""))</x:f>
      </x:c>
      <x:c r="X585" s="170" t="str">
        <x:f>IF(A585="","",IF(C585="completed","Completed in CSSP",IF(AND(C585="executing",ISERROR(SEARCH("@",K585))),"Executing without named engineer",IF(AND(N585="Confirmed OOS",C585="executing"),"Confirmed OOS still executing",""))))</x:f>
      </x:c>
      <x:c r="Y585" s="170" t="str">
        <x:f>IF(A585="","",IF(B585="Decommissioning","Raw Decommissioning","Raw Provisioning"))</x:f>
        <x:v>Raw Provisioning</x:v>
      </x:c>
      <x:c r="Z585" s="170" t="str">
        <x:f>IF(A585="","",IF(OR(C585="executing",C585="processing"),"Yes","No"))</x:f>
        <x:v>No</x:v>
      </x:c>
    </x:row>
    <x:row r="586">
      <x:c r="A586" s="170" t="str">
        <x:f>IF(ROWS($A$5:A586)&lt;=COUNTA('Raw Decommissioning'!$B$2:$B$1000),INDEX('Raw Decommissioning'!$B$2:$B$1000,ROWS($A$5:A586)),IF(ROWS($A$5:A586)-COUNTA('Raw Decommissioning'!$B$2:$B$1000)&lt;=COUNTA('Raw Provisioning'!$B$2:$B$1000),INDEX('Raw Provisioning'!$B$2:$B$1000,ROWS($A$5:A586)-COUNTA('Raw Decommissioning'!$B$2:$B$1000)),""))</x:f>
        <x:v>CSSP10152302</x:v>
      </x:c>
      <x:c r="B586" s="170" t="str">
        <x:f>IF(A586="","",IF(ROWS($A$5:A586)&lt;=COUNTA('Raw Decommissioning'!$B$2:$B$1000),"Decommissioning","Provisioning"))</x:f>
        <x:v>Provisioning</x:v>
      </x:c>
      <x:c r="C586" s="170" t="str">
        <x:f>IF(A586="","",IF(B586="Decommissioning",IFERROR(INDEX('Raw Decommissioning'!$E$2:$E$1000,MATCH(A586,'Raw Decommissioning'!$B$2:$B$1000,0)),"Missing from latest raw"),IFERROR(INDEX('Raw Provisioning'!$E$2:$E$1000,MATCH(A586,'Raw Provisioning'!$B$2:$B$1000,0)),"Missing from latest raw")))</x:f>
        <x:v>completed</x:v>
      </x:c>
      <x:c r="D586" s="171" t="n">
        <x:f>IF(A586="","",'Refresh Control'!$B$4)</x:f>
        <x:v>46254</x:v>
      </x:c>
      <x:c r="E586" s="171" t="n">
        <x:f>IF(A586="","",IF(B586="Decommissioning",INDEX('Raw Decommissioning'!$F$2:$F$1000,ROWS($A$5:A586)),INDEX('Raw Provisioning'!$F$2:$F$1000,ROWS($A$5:A586)-COUNTA('Raw Decommissioning'!$B$2:$B$1000))))</x:f>
        <x:v>46220.07367790509</x:v>
      </x:c>
      <x:c r="F586" s="171" t="n">
        <x:f>IF(A586="","",IF(B586="Decommissioning",INDEX('Raw Decommissioning'!$G$2:$G$1000,ROWS($A$5:A586)),INDEX('Raw Provisioning'!$H$2:$H$1000,ROWS($A$5:A586)-COUNTA('Raw Decommissioning'!$B$2:$B$1000))))</x:f>
        <x:v>46244.06015922454</x:v>
      </x:c>
      <x:c r="G586" s="170" t="str">
        <x:f>IF(A586="","",IF(B586="Decommissioning",INDEX('Raw Decommissioning'!$I$2:$I$1000,ROWS($A$5:A586)),INDEX('Raw Provisioning'!$J$2:$J$1000,ROWS($A$5:A586)-COUNTA('Raw Decommissioning'!$B$2:$B$1000))))</x:f>
        <x:v>RNETTS/Frontliner Assessment System FAST</x:v>
      </x:c>
      <x:c r="H586" s="170" t="str">
        <x:f>IF(A586="","",IF(B586="Decommissioning",INDEX('Raw Decommissioning'!$J$2:$J$1000,ROWS($A$5:A586)),INDEX('Raw Provisioning'!$L$2:$L$1000,ROWS($A$5:A586)-COUNTA('Raw Decommissioning'!$B$2:$B$1000))))</x:f>
        <x:v>RNETTS interim platform Frontliner Assessment System FAST</x:v>
      </x:c>
      <x:c r="I586" s="170" t="str">
        <x:f>IF(A586="","",IF(B586="Decommissioning",INDEX('Raw Decommissioning'!$AL$2:$AL$1000,ROWS($A$5:A586)),INDEX('Raw Provisioning'!$R$2:$R$1000,ROWS($A$5:A586)-COUNTA('Raw Decommissioning'!$B$2:$B$1000))))</x:f>
        <x:v>S</x:v>
      </x:c>
      <x:c r="J586" s="170" t="str">
        <x:f>IF(A586="","",IF(B586="Decommissioning",INDEX('Raw Decommissioning'!$AG$2:$AG$1000,ROWS($A$5:A586)),INDEX('Raw Provisioning'!$AI$2:$AI$1000,ROWS($A$5:A586)-COUNTA('Raw Decommissioning'!$B$2:$B$1000))))</x:f>
        <x:v>venkatesh.kalikivayi@petronas.com</x:v>
      </x:c>
      <x:c r="K586" s="172" t="str">
        <x:f>IF(A586="","",IFERROR(LOOKUP(2,1/('Assignment History'!$B$5:$B$204=A586),'Assignment History'!$D$5:$D$204),IFERROR(VLOOKUP(J586,Configuration!$L$5:$M$50,2,FALSE),J586)))</x:f>
        <x:v>venkatesh.kalikivayi@petronas.com</x:v>
      </x:c>
      <x:c r="L586" s="172" t="str">
        <x:f>IF(A586="","",IF(K586=IFERROR(VLOOKUP(J586,Configuration!$L$5:$M$50,2,FALSE),J586),"Snapshot PIC","Replacement PIC"))</x:f>
        <x:v>Snapshot PIC</x:v>
      </x:c>
      <x:c r="M586" s="172" t="n">
        <x:f>IF(A586="","",IFERROR(VLOOKUP(I586,Configuration!$O$5:$P$8,2,FALSE),Configuration!$S$6))</x:f>
        <x:v>1</x:v>
      </x:c>
      <x:c r="N586" s="172" t="str">
        <x:f>IF(A586="","",IFERROR(LOOKUP(2,1/('Scope Review'!$B$5:$B$204=A586),'Scope Review'!$G$5:$G$204),"Not Reviewed"))</x:f>
        <x:v>Not Reviewed</x:v>
      </x:c>
      <x:c r="O586" s="172" t="str">
        <x:f>IF(A586="","",IFERROR(LOOKUP(2,1/('Scope Review'!$B$5:$B$204=A586),'Scope Review'!$H$5:$H$204),""))</x:f>
      </x:c>
      <x:c r="P586" s="172" t="n">
        <x:f>IF(A586="","",IF(AND(C586="executing",N586&lt;&gt;"Confirmed OOS"),M586,0))</x:f>
        <x:v>0</x:v>
      </x:c>
      <x:c r="Q586" s="173" t="str">
        <x:f>IF(A586="","",IFERROR(LOOKUP(2,1/('Engineer Updates'!$B$5:$B$704=A586),'Engineer Updates'!$A$5:$A$704),""))</x:f>
      </x:c>
      <x:c r="R586" s="172" t="str">
        <x:f>IF(A586="","",IFERROR(LOOKUP(2,1/('Engineer Updates'!$B$5:$B$704=A586),'Engineer Updates'!$H$5:$H$704),""))</x:f>
      </x:c>
      <x:c r="S586" s="172" t="str">
        <x:f>IF(A586="","",IFERROR(LOOKUP(2,1/('Engineer Updates'!$B$5:$B$704=A586),'Engineer Updates'!$G$5:$G$704),""))</x:f>
      </x:c>
      <x:c r="T586" s="172" t="str">
        <x:f>IF(A586="","",IFERROR(LOOKUP(2,1/('Engineer Updates'!$B$5:$B$704=A586),'Engineer Updates'!$I$5:$I$704),""))</x:f>
      </x:c>
      <x:c r="U586" s="172" t="str">
        <x:f>IF(A586="","",IFERROR(LOOKUP(2,1/('Engineer Updates'!$B$5:$B$704=A586),'Engineer Updates'!$J$5:$J$704),""))</x:f>
      </x:c>
      <x:c r="V586" s="172" t="str">
        <x:f>IF(A586="","",IFERROR(LOOKUP(2,1/('Engineer Updates'!$B$5:$B$704=A586),'Engineer Updates'!$K$5:$K$704),""))</x:f>
      </x:c>
      <x:c r="W586" s="174" t="str">
        <x:f>IF(A586="","",IFERROR(LOOKUP(2,1/('Engineer Updates'!$B$5:$B$704=A586),'Engineer Updates'!$L$5:$L$704),""))</x:f>
      </x:c>
      <x:c r="X586" s="170" t="str">
        <x:f>IF(A586="","",IF(C586="completed","Completed in CSSP",IF(AND(C586="executing",ISERROR(SEARCH("@",K586))),"Executing without named engineer",IF(AND(N586="Confirmed OOS",C586="executing"),"Confirmed OOS still executing",""))))</x:f>
        <x:v>Completed in CSSP</x:v>
      </x:c>
      <x:c r="Y586" s="170" t="str">
        <x:f>IF(A586="","",IF(B586="Decommissioning","Raw Decommissioning","Raw Provisioning"))</x:f>
        <x:v>Raw Provisioning</x:v>
      </x:c>
      <x:c r="Z586" s="170" t="str">
        <x:f>IF(A586="","",IF(OR(C586="executing",C586="processing"),"Yes","No"))</x:f>
        <x:v>No</x:v>
      </x:c>
    </x:row>
    <x:row r="587">
      <x:c r="A587" s="170" t="str">
        <x:f>IF(ROWS($A$5:A587)&lt;=COUNTA('Raw Decommissioning'!$B$2:$B$1000),INDEX('Raw Decommissioning'!$B$2:$B$1000,ROWS($A$5:A587)),IF(ROWS($A$5:A587)-COUNTA('Raw Decommissioning'!$B$2:$B$1000)&lt;=COUNTA('Raw Provisioning'!$B$2:$B$1000),INDEX('Raw Provisioning'!$B$2:$B$1000,ROWS($A$5:A587)-COUNTA('Raw Decommissioning'!$B$2:$B$1000)),""))</x:f>
        <x:v>CSSP10834193</x:v>
      </x:c>
      <x:c r="B587" s="170" t="str">
        <x:f>IF(A587="","",IF(ROWS($A$5:A587)&lt;=COUNTA('Raw Decommissioning'!$B$2:$B$1000),"Decommissioning","Provisioning"))</x:f>
        <x:v>Provisioning</x:v>
      </x:c>
      <x:c r="C587" s="170" t="str">
        <x:f>IF(A587="","",IF(B587="Decommissioning",IFERROR(INDEX('Raw Decommissioning'!$E$2:$E$1000,MATCH(A587,'Raw Decommissioning'!$B$2:$B$1000,0)),"Missing from latest raw"),IFERROR(INDEX('Raw Provisioning'!$E$2:$E$1000,MATCH(A587,'Raw Provisioning'!$B$2:$B$1000,0)),"Missing from latest raw")))</x:f>
        <x:v>completed</x:v>
      </x:c>
      <x:c r="D587" s="171" t="n">
        <x:f>IF(A587="","",'Refresh Control'!$B$4)</x:f>
        <x:v>46254</x:v>
      </x:c>
      <x:c r="E587" s="171" t="n">
        <x:f>IF(A587="","",IF(B587="Decommissioning",INDEX('Raw Decommissioning'!$F$2:$F$1000,ROWS($A$5:A587)),INDEX('Raw Provisioning'!$F$2:$F$1000,ROWS($A$5:A587)-COUNTA('Raw Decommissioning'!$B$2:$B$1000))))</x:f>
        <x:v>46223.30781104167</x:v>
      </x:c>
      <x:c r="F587" s="171" t="n">
        <x:f>IF(A587="","",IF(B587="Decommissioning",INDEX('Raw Decommissioning'!$G$2:$G$1000,ROWS($A$5:A587)),INDEX('Raw Provisioning'!$H$2:$H$1000,ROWS($A$5:A587)-COUNTA('Raw Decommissioning'!$B$2:$B$1000))))</x:f>
        <x:v>46245.62178033565</x:v>
      </x:c>
      <x:c r="G587" s="170" t="str">
        <x:f>IF(A587="","",IF(B587="Decommissioning",INDEX('Raw Decommissioning'!$I$2:$I$1000,ROWS($A$5:A587)),INDEX('Raw Provisioning'!$J$2:$J$1000,ROWS($A$5:A587)-COUNTA('Raw Decommissioning'!$B$2:$B$1000))))</x:f>
        <x:v>Resource Management System - RMS</x:v>
      </x:c>
      <x:c r="H587" s="170" t="str">
        <x:f>IF(A587="","",IF(B587="Decommissioning",INDEX('Raw Decommissioning'!$J$2:$J$1000,ROWS($A$5:A587)),INDEX('Raw Provisioning'!$L$2:$L$1000,ROWS($A$5:A587)-COUNTA('Raw Decommissioning'!$B$2:$B$1000))))</x:f>
        <x:v>Resource Management System (RMS) for PDSB</x:v>
      </x:c>
      <x:c r="I587" s="170" t="str">
        <x:f>IF(A587="","",IF(B587="Decommissioning",INDEX('Raw Decommissioning'!$AL$2:$AL$1000,ROWS($A$5:A587)),INDEX('Raw Provisioning'!$R$2:$R$1000,ROWS($A$5:A587)-COUNTA('Raw Decommissioning'!$B$2:$B$1000))))</x:f>
        <x:v>L</x:v>
      </x:c>
      <x:c r="J587" s="170" t="str">
        <x:f>IF(A587="","",IF(B587="Decommissioning",INDEX('Raw Decommissioning'!$AG$2:$AG$1000,ROWS($A$5:A587)),INDEX('Raw Provisioning'!$AI$2:$AI$1000,ROWS($A$5:A587)-COUNTA('Raw Decommissioning'!$B$2:$B$1000))))</x:f>
        <x:v>abdul.khoir@petronas.com</x:v>
      </x:c>
      <x:c r="K587" s="172" t="str">
        <x:f>IF(A587="","",IFERROR(LOOKUP(2,1/('Assignment History'!$B$5:$B$204=A587),'Assignment History'!$D$5:$D$204),IFERROR(VLOOKUP(J587,Configuration!$L$5:$M$50,2,FALSE),J587)))</x:f>
        <x:v>abdul.khoir@petronas.com</x:v>
      </x:c>
      <x:c r="L587" s="172" t="str">
        <x:f>IF(A587="","",IF(K587=IFERROR(VLOOKUP(J587,Configuration!$L$5:$M$50,2,FALSE),J587),"Snapshot PIC","Replacement PIC"))</x:f>
        <x:v>Snapshot PIC</x:v>
      </x:c>
      <x:c r="M587" s="172" t="n">
        <x:f>IF(A587="","",IFERROR(VLOOKUP(I587,Configuration!$O$5:$P$8,2,FALSE),Configuration!$S$6))</x:f>
        <x:v>3</x:v>
      </x:c>
      <x:c r="N587" s="172" t="str">
        <x:f>IF(A587="","",IFERROR(LOOKUP(2,1/('Scope Review'!$B$5:$B$204=A587),'Scope Review'!$G$5:$G$204),"Not Reviewed"))</x:f>
        <x:v>Not Reviewed</x:v>
      </x:c>
      <x:c r="O587" s="172" t="str">
        <x:f>IF(A587="","",IFERROR(LOOKUP(2,1/('Scope Review'!$B$5:$B$204=A587),'Scope Review'!$H$5:$H$204),""))</x:f>
      </x:c>
      <x:c r="P587" s="172" t="n">
        <x:f>IF(A587="","",IF(AND(C587="executing",N587&lt;&gt;"Confirmed OOS"),M587,0))</x:f>
        <x:v>0</x:v>
      </x:c>
      <x:c r="Q587" s="173" t="str">
        <x:f>IF(A587="","",IFERROR(LOOKUP(2,1/('Engineer Updates'!$B$5:$B$704=A587),'Engineer Updates'!$A$5:$A$704),""))</x:f>
      </x:c>
      <x:c r="R587" s="172" t="str">
        <x:f>IF(A587="","",IFERROR(LOOKUP(2,1/('Engineer Updates'!$B$5:$B$704=A587),'Engineer Updates'!$H$5:$H$704),""))</x:f>
      </x:c>
      <x:c r="S587" s="172" t="str">
        <x:f>IF(A587="","",IFERROR(LOOKUP(2,1/('Engineer Updates'!$B$5:$B$704=A587),'Engineer Updates'!$G$5:$G$704),""))</x:f>
      </x:c>
      <x:c r="T587" s="172" t="str">
        <x:f>IF(A587="","",IFERROR(LOOKUP(2,1/('Engineer Updates'!$B$5:$B$704=A587),'Engineer Updates'!$I$5:$I$704),""))</x:f>
      </x:c>
      <x:c r="U587" s="172" t="str">
        <x:f>IF(A587="","",IFERROR(LOOKUP(2,1/('Engineer Updates'!$B$5:$B$704=A587),'Engineer Updates'!$J$5:$J$704),""))</x:f>
      </x:c>
      <x:c r="V587" s="172" t="str">
        <x:f>IF(A587="","",IFERROR(LOOKUP(2,1/('Engineer Updates'!$B$5:$B$704=A587),'Engineer Updates'!$K$5:$K$704),""))</x:f>
      </x:c>
      <x:c r="W587" s="174" t="str">
        <x:f>IF(A587="","",IFERROR(LOOKUP(2,1/('Engineer Updates'!$B$5:$B$704=A587),'Engineer Updates'!$L$5:$L$704),""))</x:f>
      </x:c>
      <x:c r="X587" s="170" t="str">
        <x:f>IF(A587="","",IF(C587="completed","Completed in CSSP",IF(AND(C587="executing",ISERROR(SEARCH("@",K587))),"Executing without named engineer",IF(AND(N587="Confirmed OOS",C587="executing"),"Confirmed OOS still executing",""))))</x:f>
        <x:v>Completed in CSSP</x:v>
      </x:c>
      <x:c r="Y587" s="170" t="str">
        <x:f>IF(A587="","",IF(B587="Decommissioning","Raw Decommissioning","Raw Provisioning"))</x:f>
        <x:v>Raw Provisioning</x:v>
      </x:c>
      <x:c r="Z587" s="170" t="str">
        <x:f>IF(A587="","",IF(OR(C587="executing",C587="processing"),"Yes","No"))</x:f>
        <x:v>No</x:v>
      </x:c>
    </x:row>
    <x:row r="588">
      <x:c r="A588" s="170" t="str">
        <x:f>IF(ROWS($A$5:A588)&lt;=COUNTA('Raw Decommissioning'!$B$2:$B$1000),INDEX('Raw Decommissioning'!$B$2:$B$1000,ROWS($A$5:A588)),IF(ROWS($A$5:A588)-COUNTA('Raw Decommissioning'!$B$2:$B$1000)&lt;=COUNTA('Raw Provisioning'!$B$2:$B$1000),INDEX('Raw Provisioning'!$B$2:$B$1000,ROWS($A$5:A588)-COUNTA('Raw Decommissioning'!$B$2:$B$1000)),""))</x:f>
        <x:v>CSSP10444708</x:v>
      </x:c>
      <x:c r="B588" s="170" t="str">
        <x:f>IF(A588="","",IF(ROWS($A$5:A588)&lt;=COUNTA('Raw Decommissioning'!$B$2:$B$1000),"Decommissioning","Provisioning"))</x:f>
        <x:v>Provisioning</x:v>
      </x:c>
      <x:c r="C588" s="170" t="str">
        <x:f>IF(A588="","",IF(B588="Decommissioning",IFERROR(INDEX('Raw Decommissioning'!$E$2:$E$1000,MATCH(A588,'Raw Decommissioning'!$B$2:$B$1000,0)),"Missing from latest raw"),IFERROR(INDEX('Raw Provisioning'!$E$2:$E$1000,MATCH(A588,'Raw Provisioning'!$B$2:$B$1000,0)),"Missing from latest raw")))</x:f>
        <x:v>executing</x:v>
      </x:c>
      <x:c r="D588" s="171" t="n">
        <x:f>IF(A588="","",'Refresh Control'!$B$4)</x:f>
        <x:v>46254</x:v>
      </x:c>
      <x:c r="E588" s="171" t="n">
        <x:f>IF(A588="","",IF(B588="Decommissioning",INDEX('Raw Decommissioning'!$F$2:$F$1000,ROWS($A$5:A588)),INDEX('Raw Provisioning'!$F$2:$F$1000,ROWS($A$5:A588)-COUNTA('Raw Decommissioning'!$B$2:$B$1000))))</x:f>
        <x:v>46223.31097395833</x:v>
      </x:c>
      <x:c r="F588" s="171" t="n">
        <x:f>IF(A588="","",IF(B588="Decommissioning",INDEX('Raw Decommissioning'!$G$2:$G$1000,ROWS($A$5:A588)),INDEX('Raw Provisioning'!$H$2:$H$1000,ROWS($A$5:A588)-COUNTA('Raw Decommissioning'!$B$2:$B$1000))))</x:f>
        <x:v>46231.20019405093</x:v>
      </x:c>
      <x:c r="G588" s="170" t="str">
        <x:f>IF(A588="","",IF(B588="Decommissioning",INDEX('Raw Decommissioning'!$I$2:$I$1000,ROWS($A$5:A588)),INDEX('Raw Provisioning'!$J$2:$J$1000,ROWS($A$5:A588)-COUNTA('Raw Decommissioning'!$B$2:$B$1000))))</x:f>
        <x:v>Resource Management System - RMS</x:v>
      </x:c>
      <x:c r="H588" s="170" t="str">
        <x:f>IF(A588="","",IF(B588="Decommissioning",INDEX('Raw Decommissioning'!$J$2:$J$1000,ROWS($A$5:A588)),INDEX('Raw Provisioning'!$L$2:$L$1000,ROWS($A$5:A588)-COUNTA('Raw Decommissioning'!$B$2:$B$1000))))</x:f>
        <x:v>Resource Management System (RMS) for PDSB</x:v>
      </x:c>
      <x:c r="I588" s="170" t="str">
        <x:f>IF(A588="","",IF(B588="Decommissioning",INDEX('Raw Decommissioning'!$AL$2:$AL$1000,ROWS($A$5:A588)),INDEX('Raw Provisioning'!$R$2:$R$1000,ROWS($A$5:A588)-COUNTA('Raw Decommissioning'!$B$2:$B$1000))))</x:f>
        <x:v>L</x:v>
      </x:c>
      <x:c r="J588" s="170" t="str">
        <x:f>IF(A588="","",IF(B588="Decommissioning",INDEX('Raw Decommissioning'!$AG$2:$AG$1000,ROWS($A$5:A588)),INDEX('Raw Provisioning'!$AI$2:$AI$1000,ROWS($A$5:A588)-COUNTA('Raw Decommissioning'!$B$2:$B$1000))))</x:f>
        <x:v>abdul.khoir@petronas.com</x:v>
      </x:c>
      <x:c r="K588" s="172" t="str">
        <x:f>IF(A588="","",IFERROR(LOOKUP(2,1/('Assignment History'!$B$5:$B$204=A588),'Assignment History'!$D$5:$D$204),IFERROR(VLOOKUP(J588,Configuration!$L$5:$M$50,2,FALSE),J588)))</x:f>
        <x:v>abdul.khoir@petronas.com</x:v>
      </x:c>
      <x:c r="L588" s="172" t="str">
        <x:f>IF(A588="","",IF(K588=IFERROR(VLOOKUP(J588,Configuration!$L$5:$M$50,2,FALSE),J588),"Snapshot PIC","Replacement PIC"))</x:f>
        <x:v>Snapshot PIC</x:v>
      </x:c>
      <x:c r="M588" s="172" t="n">
        <x:f>IF(A588="","",IFERROR(VLOOKUP(I588,Configuration!$O$5:$P$8,2,FALSE),Configuration!$S$6))</x:f>
        <x:v>3</x:v>
      </x:c>
      <x:c r="N588" s="172" t="str">
        <x:f>IF(A588="","",IFERROR(LOOKUP(2,1/('Scope Review'!$B$5:$B$204=A588),'Scope Review'!$G$5:$G$204),"Not Reviewed"))</x:f>
        <x:v>Not Reviewed</x:v>
      </x:c>
      <x:c r="O588" s="172" t="str">
        <x:f>IF(A588="","",IFERROR(LOOKUP(2,1/('Scope Review'!$B$5:$B$204=A588),'Scope Review'!$H$5:$H$204),""))</x:f>
      </x:c>
      <x:c r="P588" s="172" t="n">
        <x:f>IF(A588="","",IF(AND(C588="executing",N588&lt;&gt;"Confirmed OOS"),M588,0))</x:f>
        <x:v>3</x:v>
      </x:c>
      <x:c r="Q588" s="173" t="n">
        <x:f>IF(A588="","",IFERROR(LOOKUP(2,1/('Engineer Updates'!$B$5:$B$704=A588),'Engineer Updates'!$A$5:$A$704),""))</x:f>
        <x:v>46251</x:v>
      </x:c>
      <x:c r="R588" s="172" t="str">
        <x:f>IF(A588="","",IFERROR(LOOKUP(2,1/('Engineer Updates'!$B$5:$B$704=A588),'Engineer Updates'!$H$5:$H$704),""))</x:f>
        <x:v>Not Started</x:v>
      </x:c>
      <x:c r="S588" s="172" t="str">
        <x:f>IF(A588="","",IFERROR(LOOKUP(2,1/('Engineer Updates'!$B$5:$B$704=A588),'Engineer Updates'!$G$5:$G$704),""))</x:f>
      </x:c>
      <x:c r="T588" s="172" t="str">
        <x:f>IF(A588="","",IFERROR(LOOKUP(2,1/('Engineer Updates'!$B$5:$B$704=A588),'Engineer Updates'!$I$5:$I$704),""))</x:f>
      </x:c>
      <x:c r="U588" s="172" t="str">
        <x:f>IF(A588="","",IFERROR(LOOKUP(2,1/('Engineer Updates'!$B$5:$B$704=A588),'Engineer Updates'!$J$5:$J$704),""))</x:f>
      </x:c>
      <x:c r="V588" s="172" t="str">
        <x:f>IF(A588="","",IFERROR(LOOKUP(2,1/('Engineer Updates'!$B$5:$B$704=A588),'Engineer Updates'!$K$5:$K$704),""))</x:f>
      </x:c>
      <x:c r="W588" s="174" t="str">
        <x:f>IF(A588="","",IFERROR(LOOKUP(2,1/('Engineer Updates'!$B$5:$B$704=A588),'Engineer Updates'!$L$5:$L$704),""))</x:f>
      </x:c>
      <x:c r="X588" s="170" t="str">
        <x:f>IF(A588="","",IF(C588="completed","Completed in CSSP",IF(AND(C588="executing",ISERROR(SEARCH("@",K588))),"Executing without named engineer",IF(AND(N588="Confirmed OOS",C588="executing"),"Confirmed OOS still executing",""))))</x:f>
      </x:c>
      <x:c r="Y588" s="170" t="str">
        <x:f>IF(A588="","",IF(B588="Decommissioning","Raw Decommissioning","Raw Provisioning"))</x:f>
        <x:v>Raw Provisioning</x:v>
      </x:c>
      <x:c r="Z588" s="170" t="str">
        <x:f>IF(A588="","",IF(OR(C588="executing",C588="processing"),"Yes","No"))</x:f>
        <x:v>Yes</x:v>
      </x:c>
    </x:row>
    <x:row r="589">
      <x:c r="A589" s="170" t="str">
        <x:f>IF(ROWS($A$5:A589)&lt;=COUNTA('Raw Decommissioning'!$B$2:$B$1000),INDEX('Raw Decommissioning'!$B$2:$B$1000,ROWS($A$5:A589)),IF(ROWS($A$5:A589)-COUNTA('Raw Decommissioning'!$B$2:$B$1000)&lt;=COUNTA('Raw Provisioning'!$B$2:$B$1000),INDEX('Raw Provisioning'!$B$2:$B$1000,ROWS($A$5:A589)-COUNTA('Raw Decommissioning'!$B$2:$B$1000)),""))</x:f>
        <x:v>CSSP10113283</x:v>
      </x:c>
      <x:c r="B589" s="170" t="str">
        <x:f>IF(A589="","",IF(ROWS($A$5:A589)&lt;=COUNTA('Raw Decommissioning'!$B$2:$B$1000),"Decommissioning","Provisioning"))</x:f>
        <x:v>Provisioning</x:v>
      </x:c>
      <x:c r="C589" s="170" t="str">
        <x:f>IF(A589="","",IF(B589="Decommissioning",IFERROR(INDEX('Raw Decommissioning'!$E$2:$E$1000,MATCH(A589,'Raw Decommissioning'!$B$2:$B$1000,0)),"Missing from latest raw"),IFERROR(INDEX('Raw Provisioning'!$E$2:$E$1000,MATCH(A589,'Raw Provisioning'!$B$2:$B$1000,0)),"Missing from latest raw")))</x:f>
        <x:v>executing</x:v>
      </x:c>
      <x:c r="D589" s="171" t="n">
        <x:f>IF(A589="","",'Refresh Control'!$B$4)</x:f>
        <x:v>46254</x:v>
      </x:c>
      <x:c r="E589" s="171" t="n">
        <x:f>IF(A589="","",IF(B589="Decommissioning",INDEX('Raw Decommissioning'!$F$2:$F$1000,ROWS($A$5:A589)),INDEX('Raw Provisioning'!$F$2:$F$1000,ROWS($A$5:A589)-COUNTA('Raw Decommissioning'!$B$2:$B$1000))))</x:f>
        <x:v>46223.31209334491</x:v>
      </x:c>
      <x:c r="F589" s="171" t="n">
        <x:f>IF(A589="","",IF(B589="Decommissioning",INDEX('Raw Decommissioning'!$G$2:$G$1000,ROWS($A$5:A589)),INDEX('Raw Provisioning'!$H$2:$H$1000,ROWS($A$5:A589)-COUNTA('Raw Decommissioning'!$B$2:$B$1000))))</x:f>
        <x:v>46231.200593657406</x:v>
      </x:c>
      <x:c r="G589" s="170" t="str">
        <x:f>IF(A589="","",IF(B589="Decommissioning",INDEX('Raw Decommissioning'!$I$2:$I$1000,ROWS($A$5:A589)),INDEX('Raw Provisioning'!$J$2:$J$1000,ROWS($A$5:A589)-COUNTA('Raw Decommissioning'!$B$2:$B$1000))))</x:f>
        <x:v>Resource Management System - RMS</x:v>
      </x:c>
      <x:c r="H589" s="170" t="str">
        <x:f>IF(A589="","",IF(B589="Decommissioning",INDEX('Raw Decommissioning'!$J$2:$J$1000,ROWS($A$5:A589)),INDEX('Raw Provisioning'!$L$2:$L$1000,ROWS($A$5:A589)-COUNTA('Raw Decommissioning'!$B$2:$B$1000))))</x:f>
        <x:v>Resource Management System (RMS) for PDSB</x:v>
      </x:c>
      <x:c r="I589" s="170" t="str">
        <x:f>IF(A589="","",IF(B589="Decommissioning",INDEX('Raw Decommissioning'!$AL$2:$AL$1000,ROWS($A$5:A589)),INDEX('Raw Provisioning'!$R$2:$R$1000,ROWS($A$5:A589)-COUNTA('Raw Decommissioning'!$B$2:$B$1000))))</x:f>
        <x:v>L</x:v>
      </x:c>
      <x:c r="J589" s="170" t="str">
        <x:f>IF(A589="","",IF(B589="Decommissioning",INDEX('Raw Decommissioning'!$AG$2:$AG$1000,ROWS($A$5:A589)),INDEX('Raw Provisioning'!$AI$2:$AI$1000,ROWS($A$5:A589)-COUNTA('Raw Decommissioning'!$B$2:$B$1000))))</x:f>
        <x:v>abdul.khoir@petronas.com</x:v>
      </x:c>
      <x:c r="K589" s="172" t="str">
        <x:f>IF(A589="","",IFERROR(LOOKUP(2,1/('Assignment History'!$B$5:$B$204=A589),'Assignment History'!$D$5:$D$204),IFERROR(VLOOKUP(J589,Configuration!$L$5:$M$50,2,FALSE),J589)))</x:f>
        <x:v>abdul.khoir@petronas.com</x:v>
      </x:c>
      <x:c r="L589" s="172" t="str">
        <x:f>IF(A589="","",IF(K589=IFERROR(VLOOKUP(J589,Configuration!$L$5:$M$50,2,FALSE),J589),"Snapshot PIC","Replacement PIC"))</x:f>
        <x:v>Snapshot PIC</x:v>
      </x:c>
      <x:c r="M589" s="172" t="n">
        <x:f>IF(A589="","",IFERROR(VLOOKUP(I589,Configuration!$O$5:$P$8,2,FALSE),Configuration!$S$6))</x:f>
        <x:v>3</x:v>
      </x:c>
      <x:c r="N589" s="172" t="str">
        <x:f>IF(A589="","",IFERROR(LOOKUP(2,1/('Scope Review'!$B$5:$B$204=A589),'Scope Review'!$G$5:$G$204),"Not Reviewed"))</x:f>
        <x:v>Not Reviewed</x:v>
      </x:c>
      <x:c r="O589" s="172" t="str">
        <x:f>IF(A589="","",IFERROR(LOOKUP(2,1/('Scope Review'!$B$5:$B$204=A589),'Scope Review'!$H$5:$H$204),""))</x:f>
      </x:c>
      <x:c r="P589" s="172" t="n">
        <x:f>IF(A589="","",IF(AND(C589="executing",N589&lt;&gt;"Confirmed OOS"),M589,0))</x:f>
        <x:v>3</x:v>
      </x:c>
      <x:c r="Q589" s="173" t="n">
        <x:f>IF(A589="","",IFERROR(LOOKUP(2,1/('Engineer Updates'!$B$5:$B$704=A589),'Engineer Updates'!$A$5:$A$704),""))</x:f>
        <x:v>46251</x:v>
      </x:c>
      <x:c r="R589" s="172" t="str">
        <x:f>IF(A589="","",IFERROR(LOOKUP(2,1/('Engineer Updates'!$B$5:$B$704=A589),'Engineer Updates'!$H$5:$H$704),""))</x:f>
        <x:v>Not Started</x:v>
      </x:c>
      <x:c r="S589" s="172" t="str">
        <x:f>IF(A589="","",IFERROR(LOOKUP(2,1/('Engineer Updates'!$B$5:$B$704=A589),'Engineer Updates'!$G$5:$G$704),""))</x:f>
      </x:c>
      <x:c r="T589" s="172" t="str">
        <x:f>IF(A589="","",IFERROR(LOOKUP(2,1/('Engineer Updates'!$B$5:$B$704=A589),'Engineer Updates'!$I$5:$I$704),""))</x:f>
      </x:c>
      <x:c r="U589" s="172" t="str">
        <x:f>IF(A589="","",IFERROR(LOOKUP(2,1/('Engineer Updates'!$B$5:$B$704=A589),'Engineer Updates'!$J$5:$J$704),""))</x:f>
      </x:c>
      <x:c r="V589" s="172" t="str">
        <x:f>IF(A589="","",IFERROR(LOOKUP(2,1/('Engineer Updates'!$B$5:$B$704=A589),'Engineer Updates'!$K$5:$K$704),""))</x:f>
      </x:c>
      <x:c r="W589" s="174" t="str">
        <x:f>IF(A589="","",IFERROR(LOOKUP(2,1/('Engineer Updates'!$B$5:$B$704=A589),'Engineer Updates'!$L$5:$L$704),""))</x:f>
      </x:c>
      <x:c r="X589" s="170" t="str">
        <x:f>IF(A589="","",IF(C589="completed","Completed in CSSP",IF(AND(C589="executing",ISERROR(SEARCH("@",K589))),"Executing without named engineer",IF(AND(N589="Confirmed OOS",C589="executing"),"Confirmed OOS still executing",""))))</x:f>
      </x:c>
      <x:c r="Y589" s="170" t="str">
        <x:f>IF(A589="","",IF(B589="Decommissioning","Raw Decommissioning","Raw Provisioning"))</x:f>
        <x:v>Raw Provisioning</x:v>
      </x:c>
      <x:c r="Z589" s="170" t="str">
        <x:f>IF(A589="","",IF(OR(C589="executing",C589="processing"),"Yes","No"))</x:f>
        <x:v>Yes</x:v>
      </x:c>
    </x:row>
    <x:row r="590">
      <x:c r="A590" s="170" t="str">
        <x:f>IF(ROWS($A$5:A590)&lt;=COUNTA('Raw Decommissioning'!$B$2:$B$1000),INDEX('Raw Decommissioning'!$B$2:$B$1000,ROWS($A$5:A590)),IF(ROWS($A$5:A590)-COUNTA('Raw Decommissioning'!$B$2:$B$1000)&lt;=COUNTA('Raw Provisioning'!$B$2:$B$1000),INDEX('Raw Provisioning'!$B$2:$B$1000,ROWS($A$5:A590)-COUNTA('Raw Decommissioning'!$B$2:$B$1000)),""))</x:f>
        <x:v>CSSP10916540</x:v>
      </x:c>
      <x:c r="B590" s="170" t="str">
        <x:f>IF(A590="","",IF(ROWS($A$5:A590)&lt;=COUNTA('Raw Decommissioning'!$B$2:$B$1000),"Decommissioning","Provisioning"))</x:f>
        <x:v>Provisioning</x:v>
      </x:c>
      <x:c r="C590" s="170" t="str">
        <x:f>IF(A590="","",IF(B590="Decommissioning",IFERROR(INDEX('Raw Decommissioning'!$E$2:$E$1000,MATCH(A590,'Raw Decommissioning'!$B$2:$B$1000,0)),"Missing from latest raw"),IFERROR(INDEX('Raw Provisioning'!$E$2:$E$1000,MATCH(A590,'Raw Provisioning'!$B$2:$B$1000,0)),"Missing from latest raw")))</x:f>
        <x:v>completed</x:v>
      </x:c>
      <x:c r="D590" s="171" t="n">
        <x:f>IF(A590="","",'Refresh Control'!$B$4)</x:f>
        <x:v>46254</x:v>
      </x:c>
      <x:c r="E590" s="171" t="n">
        <x:f>IF(A590="","",IF(B590="Decommissioning",INDEX('Raw Decommissioning'!$F$2:$F$1000,ROWS($A$5:A590)),INDEX('Raw Provisioning'!$F$2:$F$1000,ROWS($A$5:A590)-COUNTA('Raw Decommissioning'!$B$2:$B$1000))))</x:f>
        <x:v>46224.205672731485</x:v>
      </x:c>
      <x:c r="F590" s="171" t="n">
        <x:f>IF(A590="","",IF(B590="Decommissioning",INDEX('Raw Decommissioning'!$G$2:$G$1000,ROWS($A$5:A590)),INDEX('Raw Provisioning'!$H$2:$H$1000,ROWS($A$5:A590)-COUNTA('Raw Decommissioning'!$B$2:$B$1000))))</x:f>
        <x:v>46232.186743356484</x:v>
      </x:c>
      <x:c r="G590" s="170" t="str">
        <x:f>IF(A590="","",IF(B590="Decommissioning",INDEX('Raw Decommissioning'!$I$2:$I$1000,ROWS($A$5:A590)),INDEX('Raw Provisioning'!$J$2:$J$1000,ROWS($A$5:A590)-COUNTA('Raw Decommissioning'!$B$2:$B$1000))))</x:f>
        <x:v>IGA for ENIGMA SEARAH</x:v>
      </x:c>
      <x:c r="H590" s="170" t="str">
        <x:f>IF(A590="","",IF(B590="Decommissioning",INDEX('Raw Decommissioning'!$J$2:$J$1000,ROWS($A$5:A590)),INDEX('Raw Provisioning'!$L$2:$L$1000,ROWS($A$5:A590)-COUNTA('Raw Decommissioning'!$B$2:$B$1000))))</x:f>
        <x:v>ENIGMA JV (Infra): ENIgma Cloud Landing Zone Implementation</x:v>
      </x:c>
      <x:c r="I590" s="170" t="str">
        <x:f>IF(A590="","",IF(B590="Decommissioning",INDEX('Raw Decommissioning'!$AL$2:$AL$1000,ROWS($A$5:A590)),INDEX('Raw Provisioning'!$R$2:$R$1000,ROWS($A$5:A590)-COUNTA('Raw Decommissioning'!$B$2:$B$1000))))</x:f>
        <x:v>S</x:v>
      </x:c>
      <x:c r="J590" s="170" t="str">
        <x:f>IF(A590="","",IF(B590="Decommissioning",INDEX('Raw Decommissioning'!$AG$2:$AG$1000,ROWS($A$5:A590)),INDEX('Raw Provisioning'!$AI$2:$AI$1000,ROWS($A$5:A590)-COUNTA('Raw Decommissioning'!$B$2:$B$1000))))</x:f>
        <x:v>amarja.kawade@petronas.com</x:v>
      </x:c>
      <x:c r="K590" s="172" t="str">
        <x:f>IF(A590="","",IFERROR(LOOKUP(2,1/('Assignment History'!$B$5:$B$204=A590),'Assignment History'!$D$5:$D$204),IFERROR(VLOOKUP(J590,Configuration!$L$5:$M$50,2,FALSE),J590)))</x:f>
        <x:v>amarja.kawade@petronas.com</x:v>
      </x:c>
      <x:c r="L590" s="172" t="str">
        <x:f>IF(A590="","",IF(K590=IFERROR(VLOOKUP(J590,Configuration!$L$5:$M$50,2,FALSE),J590),"Snapshot PIC","Replacement PIC"))</x:f>
        <x:v>Snapshot PIC</x:v>
      </x:c>
      <x:c r="M590" s="172" t="n">
        <x:f>IF(A590="","",IFERROR(VLOOKUP(I590,Configuration!$O$5:$P$8,2,FALSE),Configuration!$S$6))</x:f>
        <x:v>1</x:v>
      </x:c>
      <x:c r="N590" s="172" t="str">
        <x:f>IF(A590="","",IFERROR(LOOKUP(2,1/('Scope Review'!$B$5:$B$204=A590),'Scope Review'!$G$5:$G$204),"Not Reviewed"))</x:f>
        <x:v>Not Reviewed</x:v>
      </x:c>
      <x:c r="O590" s="172" t="str">
        <x:f>IF(A590="","",IFERROR(LOOKUP(2,1/('Scope Review'!$B$5:$B$204=A590),'Scope Review'!$H$5:$H$204),""))</x:f>
      </x:c>
      <x:c r="P590" s="172" t="n">
        <x:f>IF(A590="","",IF(AND(C590="executing",N590&lt;&gt;"Confirmed OOS"),M590,0))</x:f>
        <x:v>0</x:v>
      </x:c>
      <x:c r="Q590" s="173" t="str">
        <x:f>IF(A590="","",IFERROR(LOOKUP(2,1/('Engineer Updates'!$B$5:$B$704=A590),'Engineer Updates'!$A$5:$A$704),""))</x:f>
      </x:c>
      <x:c r="R590" s="172" t="str">
        <x:f>IF(A590="","",IFERROR(LOOKUP(2,1/('Engineer Updates'!$B$5:$B$704=A590),'Engineer Updates'!$H$5:$H$704),""))</x:f>
      </x:c>
      <x:c r="S590" s="172" t="str">
        <x:f>IF(A590="","",IFERROR(LOOKUP(2,1/('Engineer Updates'!$B$5:$B$704=A590),'Engineer Updates'!$G$5:$G$704),""))</x:f>
      </x:c>
      <x:c r="T590" s="172" t="str">
        <x:f>IF(A590="","",IFERROR(LOOKUP(2,1/('Engineer Updates'!$B$5:$B$704=A590),'Engineer Updates'!$I$5:$I$704),""))</x:f>
      </x:c>
      <x:c r="U590" s="172" t="str">
        <x:f>IF(A590="","",IFERROR(LOOKUP(2,1/('Engineer Updates'!$B$5:$B$704=A590),'Engineer Updates'!$J$5:$J$704),""))</x:f>
      </x:c>
      <x:c r="V590" s="172" t="str">
        <x:f>IF(A590="","",IFERROR(LOOKUP(2,1/('Engineer Updates'!$B$5:$B$704=A590),'Engineer Updates'!$K$5:$K$704),""))</x:f>
      </x:c>
      <x:c r="W590" s="174" t="str">
        <x:f>IF(A590="","",IFERROR(LOOKUP(2,1/('Engineer Updates'!$B$5:$B$704=A590),'Engineer Updates'!$L$5:$L$704),""))</x:f>
      </x:c>
      <x:c r="X590" s="170" t="str">
        <x:f>IF(A590="","",IF(C590="completed","Completed in CSSP",IF(AND(C590="executing",ISERROR(SEARCH("@",K590))),"Executing without named engineer",IF(AND(N590="Confirmed OOS",C590="executing"),"Confirmed OOS still executing",""))))</x:f>
        <x:v>Completed in CSSP</x:v>
      </x:c>
      <x:c r="Y590" s="170" t="str">
        <x:f>IF(A590="","",IF(B590="Decommissioning","Raw Decommissioning","Raw Provisioning"))</x:f>
        <x:v>Raw Provisioning</x:v>
      </x:c>
      <x:c r="Z590" s="170" t="str">
        <x:f>IF(A590="","",IF(OR(C590="executing",C590="processing"),"Yes","No"))</x:f>
        <x:v>No</x:v>
      </x:c>
    </x:row>
    <x:row r="591">
      <x:c r="A591" s="170" t="str">
        <x:f>IF(ROWS($A$5:A591)&lt;=COUNTA('Raw Decommissioning'!$B$2:$B$1000),INDEX('Raw Decommissioning'!$B$2:$B$1000,ROWS($A$5:A591)),IF(ROWS($A$5:A591)-COUNTA('Raw Decommissioning'!$B$2:$B$1000)&lt;=COUNTA('Raw Provisioning'!$B$2:$B$1000),INDEX('Raw Provisioning'!$B$2:$B$1000,ROWS($A$5:A591)-COUNTA('Raw Decommissioning'!$B$2:$B$1000)),""))</x:f>
        <x:v>CSSP10388990</x:v>
      </x:c>
      <x:c r="B591" s="170" t="str">
        <x:f>IF(A591="","",IF(ROWS($A$5:A591)&lt;=COUNTA('Raw Decommissioning'!$B$2:$B$1000),"Decommissioning","Provisioning"))</x:f>
        <x:v>Provisioning</x:v>
      </x:c>
      <x:c r="C591" s="170" t="str">
        <x:f>IF(A591="","",IF(B591="Decommissioning",IFERROR(INDEX('Raw Decommissioning'!$E$2:$E$1000,MATCH(A591,'Raw Decommissioning'!$B$2:$B$1000,0)),"Missing from latest raw"),IFERROR(INDEX('Raw Provisioning'!$E$2:$E$1000,MATCH(A591,'Raw Provisioning'!$B$2:$B$1000,0)),"Missing from latest raw")))</x:f>
        <x:v>completed</x:v>
      </x:c>
      <x:c r="D591" s="171" t="n">
        <x:f>IF(A591="","",'Refresh Control'!$B$4)</x:f>
        <x:v>46254</x:v>
      </x:c>
      <x:c r="E591" s="171" t="n">
        <x:f>IF(A591="","",IF(B591="Decommissioning",INDEX('Raw Decommissioning'!$F$2:$F$1000,ROWS($A$5:A591)),INDEX('Raw Provisioning'!$F$2:$F$1000,ROWS($A$5:A591)-COUNTA('Raw Decommissioning'!$B$2:$B$1000))))</x:f>
        <x:v>46224.20725625</x:v>
      </x:c>
      <x:c r="F591" s="171" t="n">
        <x:f>IF(A591="","",IF(B591="Decommissioning",INDEX('Raw Decommissioning'!$G$2:$G$1000,ROWS($A$5:A591)),INDEX('Raw Provisioning'!$H$2:$H$1000,ROWS($A$5:A591)-COUNTA('Raw Decommissioning'!$B$2:$B$1000))))</x:f>
        <x:v>46232.18623261574</x:v>
      </x:c>
      <x:c r="G591" s="170" t="str">
        <x:f>IF(A591="","",IF(B591="Decommissioning",INDEX('Raw Decommissioning'!$I$2:$I$1000,ROWS($A$5:A591)),INDEX('Raw Provisioning'!$J$2:$J$1000,ROWS($A$5:A591)-COUNTA('Raw Decommissioning'!$B$2:$B$1000))))</x:f>
        <x:v>IGA for ENIGMA SEARAH</x:v>
      </x:c>
      <x:c r="H591" s="170" t="str">
        <x:f>IF(A591="","",IF(B591="Decommissioning",INDEX('Raw Decommissioning'!$J$2:$J$1000,ROWS($A$5:A591)),INDEX('Raw Provisioning'!$L$2:$L$1000,ROWS($A$5:A591)-COUNTA('Raw Decommissioning'!$B$2:$B$1000))))</x:f>
        <x:v>ENIGMA JV (Infra): ENIgma Cloud Landing Zone Implementation</x:v>
      </x:c>
      <x:c r="I591" s="170" t="str">
        <x:f>IF(A591="","",IF(B591="Decommissioning",INDEX('Raw Decommissioning'!$AL$2:$AL$1000,ROWS($A$5:A591)),INDEX('Raw Provisioning'!$R$2:$R$1000,ROWS($A$5:A591)-COUNTA('Raw Decommissioning'!$B$2:$B$1000))))</x:f>
        <x:v>S</x:v>
      </x:c>
      <x:c r="J591" s="170" t="str">
        <x:f>IF(A591="","",IF(B591="Decommissioning",INDEX('Raw Decommissioning'!$AG$2:$AG$1000,ROWS($A$5:A591)),INDEX('Raw Provisioning'!$AI$2:$AI$1000,ROWS($A$5:A591)-COUNTA('Raw Decommissioning'!$B$2:$B$1000))))</x:f>
        <x:v>amarja.kawade@petronas.com</x:v>
      </x:c>
      <x:c r="K591" s="172" t="str">
        <x:f>IF(A591="","",IFERROR(LOOKUP(2,1/('Assignment History'!$B$5:$B$204=A591),'Assignment History'!$D$5:$D$204),IFERROR(VLOOKUP(J591,Configuration!$L$5:$M$50,2,FALSE),J591)))</x:f>
        <x:v>amarja.kawade@petronas.com</x:v>
      </x:c>
      <x:c r="L591" s="172" t="str">
        <x:f>IF(A591="","",IF(K591=IFERROR(VLOOKUP(J591,Configuration!$L$5:$M$50,2,FALSE),J591),"Snapshot PIC","Replacement PIC"))</x:f>
        <x:v>Snapshot PIC</x:v>
      </x:c>
      <x:c r="M591" s="172" t="n">
        <x:f>IF(A591="","",IFERROR(VLOOKUP(I591,Configuration!$O$5:$P$8,2,FALSE),Configuration!$S$6))</x:f>
        <x:v>1</x:v>
      </x:c>
      <x:c r="N591" s="172" t="str">
        <x:f>IF(A591="","",IFERROR(LOOKUP(2,1/('Scope Review'!$B$5:$B$204=A591),'Scope Review'!$G$5:$G$204),"Not Reviewed"))</x:f>
        <x:v>Not Reviewed</x:v>
      </x:c>
      <x:c r="O591" s="172" t="str">
        <x:f>IF(A591="","",IFERROR(LOOKUP(2,1/('Scope Review'!$B$5:$B$204=A591),'Scope Review'!$H$5:$H$204),""))</x:f>
      </x:c>
      <x:c r="P591" s="172" t="n">
        <x:f>IF(A591="","",IF(AND(C591="executing",N591&lt;&gt;"Confirmed OOS"),M591,0))</x:f>
        <x:v>0</x:v>
      </x:c>
      <x:c r="Q591" s="173" t="str">
        <x:f>IF(A591="","",IFERROR(LOOKUP(2,1/('Engineer Updates'!$B$5:$B$704=A591),'Engineer Updates'!$A$5:$A$704),""))</x:f>
      </x:c>
      <x:c r="R591" s="172" t="str">
        <x:f>IF(A591="","",IFERROR(LOOKUP(2,1/('Engineer Updates'!$B$5:$B$704=A591),'Engineer Updates'!$H$5:$H$704),""))</x:f>
      </x:c>
      <x:c r="S591" s="172" t="str">
        <x:f>IF(A591="","",IFERROR(LOOKUP(2,1/('Engineer Updates'!$B$5:$B$704=A591),'Engineer Updates'!$G$5:$G$704),""))</x:f>
      </x:c>
      <x:c r="T591" s="172" t="str">
        <x:f>IF(A591="","",IFERROR(LOOKUP(2,1/('Engineer Updates'!$B$5:$B$704=A591),'Engineer Updates'!$I$5:$I$704),""))</x:f>
      </x:c>
      <x:c r="U591" s="172" t="str">
        <x:f>IF(A591="","",IFERROR(LOOKUP(2,1/('Engineer Updates'!$B$5:$B$704=A591),'Engineer Updates'!$J$5:$J$704),""))</x:f>
      </x:c>
      <x:c r="V591" s="172" t="str">
        <x:f>IF(A591="","",IFERROR(LOOKUP(2,1/('Engineer Updates'!$B$5:$B$704=A591),'Engineer Updates'!$K$5:$K$704),""))</x:f>
      </x:c>
      <x:c r="W591" s="174" t="str">
        <x:f>IF(A591="","",IFERROR(LOOKUP(2,1/('Engineer Updates'!$B$5:$B$704=A591),'Engineer Updates'!$L$5:$L$704),""))</x:f>
      </x:c>
      <x:c r="X591" s="170" t="str">
        <x:f>IF(A591="","",IF(C591="completed","Completed in CSSP",IF(AND(C591="executing",ISERROR(SEARCH("@",K591))),"Executing without named engineer",IF(AND(N591="Confirmed OOS",C591="executing"),"Confirmed OOS still executing",""))))</x:f>
        <x:v>Completed in CSSP</x:v>
      </x:c>
      <x:c r="Y591" s="170" t="str">
        <x:f>IF(A591="","",IF(B591="Decommissioning","Raw Decommissioning","Raw Provisioning"))</x:f>
        <x:v>Raw Provisioning</x:v>
      </x:c>
      <x:c r="Z591" s="170" t="str">
        <x:f>IF(A591="","",IF(OR(C591="executing",C591="processing"),"Yes","No"))</x:f>
        <x:v>No</x:v>
      </x:c>
    </x:row>
    <x:row r="592">
      <x:c r="A592" s="170" t="str">
        <x:f>IF(ROWS($A$5:A592)&lt;=COUNTA('Raw Decommissioning'!$B$2:$B$1000),INDEX('Raw Decommissioning'!$B$2:$B$1000,ROWS($A$5:A592)),IF(ROWS($A$5:A592)-COUNTA('Raw Decommissioning'!$B$2:$B$1000)&lt;=COUNTA('Raw Provisioning'!$B$2:$B$1000),INDEX('Raw Provisioning'!$B$2:$B$1000,ROWS($A$5:A592)-COUNTA('Raw Decommissioning'!$B$2:$B$1000)),""))</x:f>
        <x:v>CSSP10792747</x:v>
      </x:c>
      <x:c r="B592" s="170" t="str">
        <x:f>IF(A592="","",IF(ROWS($A$5:A592)&lt;=COUNTA('Raw Decommissioning'!$B$2:$B$1000),"Decommissioning","Provisioning"))</x:f>
        <x:v>Provisioning</x:v>
      </x:c>
      <x:c r="C592" s="170" t="str">
        <x:f>IF(A592="","",IF(B592="Decommissioning",IFERROR(INDEX('Raw Decommissioning'!$E$2:$E$1000,MATCH(A592,'Raw Decommissioning'!$B$2:$B$1000,0)),"Missing from latest raw"),IFERROR(INDEX('Raw Provisioning'!$E$2:$E$1000,MATCH(A592,'Raw Provisioning'!$B$2:$B$1000,0)),"Missing from latest raw")))</x:f>
        <x:v>rejected</x:v>
      </x:c>
      <x:c r="D592" s="171" t="n">
        <x:f>IF(A592="","",'Refresh Control'!$B$4)</x:f>
        <x:v>46254</x:v>
      </x:c>
      <x:c r="E592" s="171" t="n">
        <x:f>IF(A592="","",IF(B592="Decommissioning",INDEX('Raw Decommissioning'!$F$2:$F$1000,ROWS($A$5:A592)),INDEX('Raw Provisioning'!$F$2:$F$1000,ROWS($A$5:A592)-COUNTA('Raw Decommissioning'!$B$2:$B$1000))))</x:f>
        <x:v>46224.31845791667</x:v>
      </x:c>
      <x:c r="F592" s="171" t="n">
        <x:f>IF(A592="","",IF(B592="Decommissioning",INDEX('Raw Decommissioning'!$G$2:$G$1000,ROWS($A$5:A592)),INDEX('Raw Provisioning'!$H$2:$H$1000,ROWS($A$5:A592)-COUNTA('Raw Decommissioning'!$B$2:$B$1000))))</x:f>
        <x:v>46232.30806391204</x:v>
      </x:c>
      <x:c r="G592" s="170" t="str">
        <x:f>IF(A592="","",IF(B592="Decommissioning",INDEX('Raw Decommissioning'!$I$2:$I$1000,ROWS($A$5:A592)),INDEX('Raw Provisioning'!$J$2:$J$1000,ROWS($A$5:A592)-COUNTA('Raw Decommissioning'!$B$2:$B$1000))))</x:f>
        <x:v>Equipment Reliability Based Stocking - ERBS Analyzers</x:v>
      </x:c>
      <x:c r="H592" s="170" t="str">
        <x:f>IF(A592="","",IF(B592="Decommissioning",INDEX('Raw Decommissioning'!$J$2:$J$1000,ROWS($A$5:A592)),INDEX('Raw Provisioning'!$L$2:$L$1000,ROWS($A$5:A592)-COUNTA('Raw Decommissioning'!$B$2:$B$1000))))</x:f>
        <x:v>Development and Deployment of Equipment Reliability Based Stocking (ERBS) Analyzers</x:v>
      </x:c>
      <x:c r="I592" s="170" t="str">
        <x:f>IF(A592="","",IF(B592="Decommissioning",INDEX('Raw Decommissioning'!$AL$2:$AL$1000,ROWS($A$5:A592)),INDEX('Raw Provisioning'!$R$2:$R$1000,ROWS($A$5:A592)-COUNTA('Raw Decommissioning'!$B$2:$B$1000))))</x:f>
        <x:v>L</x:v>
      </x:c>
      <x:c r="J592" s="170" t="str">
        <x:f>IF(A592="","",IF(B592="Decommissioning",INDEX('Raw Decommissioning'!$AG$2:$AG$1000,ROWS($A$5:A592)),INDEX('Raw Provisioning'!$AI$2:$AI$1000,ROWS($A$5:A592)-COUNTA('Raw Decommissioning'!$B$2:$B$1000))))</x:f>
        <x:v>IMS - CLOUD CSSP EXECUTOR</x:v>
      </x:c>
      <x:c r="K592" s="172" t="str">
        <x:f>IF(A592="","",IFERROR(LOOKUP(2,1/('Assignment History'!$B$5:$B$204=A592),'Assignment History'!$D$5:$D$204),IFERROR(VLOOKUP(J592,Configuration!$L$5:$M$50,2,FALSE),J592)))</x:f>
        <x:v>IMS - CLOUD CSSP EXECUTOR</x:v>
      </x:c>
      <x:c r="L592" s="172" t="str">
        <x:f>IF(A592="","",IF(K592=IFERROR(VLOOKUP(J592,Configuration!$L$5:$M$50,2,FALSE),J592),"Snapshot PIC","Replacement PIC"))</x:f>
        <x:v>Snapshot PIC</x:v>
      </x:c>
      <x:c r="M592" s="172" t="n">
        <x:f>IF(A592="","",IFERROR(VLOOKUP(I592,Configuration!$O$5:$P$8,2,FALSE),Configuration!$S$6))</x:f>
        <x:v>3</x:v>
      </x:c>
      <x:c r="N592" s="172" t="str">
        <x:f>IF(A592="","",IFERROR(LOOKUP(2,1/('Scope Review'!$B$5:$B$204=A592),'Scope Review'!$G$5:$G$204),"Not Reviewed"))</x:f>
        <x:v>Not Reviewed</x:v>
      </x:c>
      <x:c r="O592" s="172" t="str">
        <x:f>IF(A592="","",IFERROR(LOOKUP(2,1/('Scope Review'!$B$5:$B$204=A592),'Scope Review'!$H$5:$H$204),""))</x:f>
      </x:c>
      <x:c r="P592" s="172" t="n">
        <x:f>IF(A592="","",IF(AND(C592="executing",N592&lt;&gt;"Confirmed OOS"),M592,0))</x:f>
        <x:v>0</x:v>
      </x:c>
      <x:c r="Q592" s="173" t="str">
        <x:f>IF(A592="","",IFERROR(LOOKUP(2,1/('Engineer Updates'!$B$5:$B$704=A592),'Engineer Updates'!$A$5:$A$704),""))</x:f>
      </x:c>
      <x:c r="R592" s="172" t="str">
        <x:f>IF(A592="","",IFERROR(LOOKUP(2,1/('Engineer Updates'!$B$5:$B$704=A592),'Engineer Updates'!$H$5:$H$704),""))</x:f>
      </x:c>
      <x:c r="S592" s="172" t="str">
        <x:f>IF(A592="","",IFERROR(LOOKUP(2,1/('Engineer Updates'!$B$5:$B$704=A592),'Engineer Updates'!$G$5:$G$704),""))</x:f>
      </x:c>
      <x:c r="T592" s="172" t="str">
        <x:f>IF(A592="","",IFERROR(LOOKUP(2,1/('Engineer Updates'!$B$5:$B$704=A592),'Engineer Updates'!$I$5:$I$704),""))</x:f>
      </x:c>
      <x:c r="U592" s="172" t="str">
        <x:f>IF(A592="","",IFERROR(LOOKUP(2,1/('Engineer Updates'!$B$5:$B$704=A592),'Engineer Updates'!$J$5:$J$704),""))</x:f>
      </x:c>
      <x:c r="V592" s="172" t="str">
        <x:f>IF(A592="","",IFERROR(LOOKUP(2,1/('Engineer Updates'!$B$5:$B$704=A592),'Engineer Updates'!$K$5:$K$704),""))</x:f>
      </x:c>
      <x:c r="W592" s="174" t="str">
        <x:f>IF(A592="","",IFERROR(LOOKUP(2,1/('Engineer Updates'!$B$5:$B$704=A592),'Engineer Updates'!$L$5:$L$704),""))</x:f>
      </x:c>
      <x:c r="X592" s="170" t="str">
        <x:f>IF(A592="","",IF(C592="completed","Completed in CSSP",IF(AND(C592="executing",ISERROR(SEARCH("@",K592))),"Executing without named engineer",IF(AND(N592="Confirmed OOS",C592="executing"),"Confirmed OOS still executing",""))))</x:f>
      </x:c>
      <x:c r="Y592" s="170" t="str">
        <x:f>IF(A592="","",IF(B592="Decommissioning","Raw Decommissioning","Raw Provisioning"))</x:f>
        <x:v>Raw Provisioning</x:v>
      </x:c>
      <x:c r="Z592" s="170" t="str">
        <x:f>IF(A592="","",IF(OR(C592="executing",C592="processing"),"Yes","No"))</x:f>
        <x:v>No</x:v>
      </x:c>
    </x:row>
    <x:row r="593">
      <x:c r="A593" s="170" t="str">
        <x:f>IF(ROWS($A$5:A593)&lt;=COUNTA('Raw Decommissioning'!$B$2:$B$1000),INDEX('Raw Decommissioning'!$B$2:$B$1000,ROWS($A$5:A593)),IF(ROWS($A$5:A593)-COUNTA('Raw Decommissioning'!$B$2:$B$1000)&lt;=COUNTA('Raw Provisioning'!$B$2:$B$1000),INDEX('Raw Provisioning'!$B$2:$B$1000,ROWS($A$5:A593)-COUNTA('Raw Decommissioning'!$B$2:$B$1000)),""))</x:f>
        <x:v>CSSP10583023</x:v>
      </x:c>
      <x:c r="B593" s="170" t="str">
        <x:f>IF(A593="","",IF(ROWS($A$5:A593)&lt;=COUNTA('Raw Decommissioning'!$B$2:$B$1000),"Decommissioning","Provisioning"))</x:f>
        <x:v>Provisioning</x:v>
      </x:c>
      <x:c r="C593" s="170" t="str">
        <x:f>IF(A593="","",IF(B593="Decommissioning",IFERROR(INDEX('Raw Decommissioning'!$E$2:$E$1000,MATCH(A593,'Raw Decommissioning'!$B$2:$B$1000,0)),"Missing from latest raw"),IFERROR(INDEX('Raw Provisioning'!$E$2:$E$1000,MATCH(A593,'Raw Provisioning'!$B$2:$B$1000,0)),"Missing from latest raw")))</x:f>
        <x:v>rejected</x:v>
      </x:c>
      <x:c r="D593" s="171" t="n">
        <x:f>IF(A593="","",'Refresh Control'!$B$4)</x:f>
        <x:v>46254</x:v>
      </x:c>
      <x:c r="E593" s="171" t="n">
        <x:f>IF(A593="","",IF(B593="Decommissioning",INDEX('Raw Decommissioning'!$F$2:$F$1000,ROWS($A$5:A593)),INDEX('Raw Provisioning'!$F$2:$F$1000,ROWS($A$5:A593)-COUNTA('Raw Decommissioning'!$B$2:$B$1000))))</x:f>
        <x:v>46224.326280810186</x:v>
      </x:c>
      <x:c r="F593" s="171" t="n">
        <x:f>IF(A593="","",IF(B593="Decommissioning",INDEX('Raw Decommissioning'!$G$2:$G$1000,ROWS($A$5:A593)),INDEX('Raw Provisioning'!$H$2:$H$1000,ROWS($A$5:A593)-COUNTA('Raw Decommissioning'!$B$2:$B$1000))))</x:f>
        <x:v>46232.30649826389</x:v>
      </x:c>
      <x:c r="G593" s="170" t="str">
        <x:f>IF(A593="","",IF(B593="Decommissioning",INDEX('Raw Decommissioning'!$I$2:$I$1000,ROWS($A$5:A593)),INDEX('Raw Provisioning'!$J$2:$J$1000,ROWS($A$5:A593)-COUNTA('Raw Decommissioning'!$B$2:$B$1000))))</x:f>
        <x:v>PETRONAS Licensing and Management System - PLMS</x:v>
      </x:c>
      <x:c r="H593" s="170" t="str">
        <x:f>IF(A593="","",IF(B593="Decommissioning",INDEX('Raw Decommissioning'!$J$2:$J$1000,ROWS($A$5:A593)),INDEX('Raw Provisioning'!$L$2:$L$1000,ROWS($A$5:A593)-COUNTA('Raw Decommissioning'!$B$2:$B$1000))))</x:f>
        <x:v>PETRONAS License Management System (PLMS) DevOps FY2024</x:v>
      </x:c>
      <x:c r="I593" s="170" t="str">
        <x:f>IF(A593="","",IF(B593="Decommissioning",INDEX('Raw Decommissioning'!$AL$2:$AL$1000,ROWS($A$5:A593)),INDEX('Raw Provisioning'!$R$2:$R$1000,ROWS($A$5:A593)-COUNTA('Raw Decommissioning'!$B$2:$B$1000))))</x:f>
        <x:v>M</x:v>
      </x:c>
      <x:c r="J593" s="170" t="str">
        <x:f>IF(A593="","",IF(B593="Decommissioning",INDEX('Raw Decommissioning'!$AG$2:$AG$1000,ROWS($A$5:A593)),INDEX('Raw Provisioning'!$AI$2:$AI$1000,ROWS($A$5:A593)-COUNTA('Raw Decommissioning'!$B$2:$B$1000))))</x:f>
        <x:v>IMS - CLOUD CSSP EXECUTOR</x:v>
      </x:c>
      <x:c r="K593" s="172" t="str">
        <x:f>IF(A593="","",IFERROR(LOOKUP(2,1/('Assignment History'!$B$5:$B$204=A593),'Assignment History'!$D$5:$D$204),IFERROR(VLOOKUP(J593,Configuration!$L$5:$M$50,2,FALSE),J593)))</x:f>
        <x:v>IMS - CLOUD CSSP EXECUTOR</x:v>
      </x:c>
      <x:c r="L593" s="172" t="str">
        <x:f>IF(A593="","",IF(K593=IFERROR(VLOOKUP(J593,Configuration!$L$5:$M$50,2,FALSE),J593),"Snapshot PIC","Replacement PIC"))</x:f>
        <x:v>Snapshot PIC</x:v>
      </x:c>
      <x:c r="M593" s="172" t="n">
        <x:f>IF(A593="","",IFERROR(VLOOKUP(I593,Configuration!$O$5:$P$8,2,FALSE),Configuration!$S$6))</x:f>
        <x:v>2</x:v>
      </x:c>
      <x:c r="N593" s="172" t="str">
        <x:f>IF(A593="","",IFERROR(LOOKUP(2,1/('Scope Review'!$B$5:$B$204=A593),'Scope Review'!$G$5:$G$204),"Not Reviewed"))</x:f>
        <x:v>Not Reviewed</x:v>
      </x:c>
      <x:c r="O593" s="172" t="str">
        <x:f>IF(A593="","",IFERROR(LOOKUP(2,1/('Scope Review'!$B$5:$B$204=A593),'Scope Review'!$H$5:$H$204),""))</x:f>
      </x:c>
      <x:c r="P593" s="172" t="n">
        <x:f>IF(A593="","",IF(AND(C593="executing",N593&lt;&gt;"Confirmed OOS"),M593,0))</x:f>
        <x:v>0</x:v>
      </x:c>
      <x:c r="Q593" s="173" t="str">
        <x:f>IF(A593="","",IFERROR(LOOKUP(2,1/('Engineer Updates'!$B$5:$B$704=A593),'Engineer Updates'!$A$5:$A$704),""))</x:f>
      </x:c>
      <x:c r="R593" s="172" t="str">
        <x:f>IF(A593="","",IFERROR(LOOKUP(2,1/('Engineer Updates'!$B$5:$B$704=A593),'Engineer Updates'!$H$5:$H$704),""))</x:f>
      </x:c>
      <x:c r="S593" s="172" t="str">
        <x:f>IF(A593="","",IFERROR(LOOKUP(2,1/('Engineer Updates'!$B$5:$B$704=A593),'Engineer Updates'!$G$5:$G$704),""))</x:f>
      </x:c>
      <x:c r="T593" s="172" t="str">
        <x:f>IF(A593="","",IFERROR(LOOKUP(2,1/('Engineer Updates'!$B$5:$B$704=A593),'Engineer Updates'!$I$5:$I$704),""))</x:f>
      </x:c>
      <x:c r="U593" s="172" t="str">
        <x:f>IF(A593="","",IFERROR(LOOKUP(2,1/('Engineer Updates'!$B$5:$B$704=A593),'Engineer Updates'!$J$5:$J$704),""))</x:f>
      </x:c>
      <x:c r="V593" s="172" t="str">
        <x:f>IF(A593="","",IFERROR(LOOKUP(2,1/('Engineer Updates'!$B$5:$B$704=A593),'Engineer Updates'!$K$5:$K$704),""))</x:f>
      </x:c>
      <x:c r="W593" s="174" t="str">
        <x:f>IF(A593="","",IFERROR(LOOKUP(2,1/('Engineer Updates'!$B$5:$B$704=A593),'Engineer Updates'!$L$5:$L$704),""))</x:f>
      </x:c>
      <x:c r="X593" s="170" t="str">
        <x:f>IF(A593="","",IF(C593="completed","Completed in CSSP",IF(AND(C593="executing",ISERROR(SEARCH("@",K593))),"Executing without named engineer",IF(AND(N593="Confirmed OOS",C593="executing"),"Confirmed OOS still executing",""))))</x:f>
      </x:c>
      <x:c r="Y593" s="170" t="str">
        <x:f>IF(A593="","",IF(B593="Decommissioning","Raw Decommissioning","Raw Provisioning"))</x:f>
        <x:v>Raw Provisioning</x:v>
      </x:c>
      <x:c r="Z593" s="170" t="str">
        <x:f>IF(A593="","",IF(OR(C593="executing",C593="processing"),"Yes","No"))</x:f>
        <x:v>No</x:v>
      </x:c>
    </x:row>
    <x:row r="594">
      <x:c r="A594" s="170" t="str">
        <x:f>IF(ROWS($A$5:A594)&lt;=COUNTA('Raw Decommissioning'!$B$2:$B$1000),INDEX('Raw Decommissioning'!$B$2:$B$1000,ROWS($A$5:A594)),IF(ROWS($A$5:A594)-COUNTA('Raw Decommissioning'!$B$2:$B$1000)&lt;=COUNTA('Raw Provisioning'!$B$2:$B$1000),INDEX('Raw Provisioning'!$B$2:$B$1000,ROWS($A$5:A594)-COUNTA('Raw Decommissioning'!$B$2:$B$1000)),""))</x:f>
        <x:v>CSSP10379301</x:v>
      </x:c>
      <x:c r="B594" s="170" t="str">
        <x:f>IF(A594="","",IF(ROWS($A$5:A594)&lt;=COUNTA('Raw Decommissioning'!$B$2:$B$1000),"Decommissioning","Provisioning"))</x:f>
        <x:v>Provisioning</x:v>
      </x:c>
      <x:c r="C594" s="170" t="str">
        <x:f>IF(A594="","",IF(B594="Decommissioning",IFERROR(INDEX('Raw Decommissioning'!$E$2:$E$1000,MATCH(A594,'Raw Decommissioning'!$B$2:$B$1000,0)),"Missing from latest raw"),IFERROR(INDEX('Raw Provisioning'!$E$2:$E$1000,MATCH(A594,'Raw Provisioning'!$B$2:$B$1000,0)),"Missing from latest raw")))</x:f>
        <x:v>rejected</x:v>
      </x:c>
      <x:c r="D594" s="171" t="n">
        <x:f>IF(A594="","",'Refresh Control'!$B$4)</x:f>
        <x:v>46254</x:v>
      </x:c>
      <x:c r="E594" s="171" t="n">
        <x:f>IF(A594="","",IF(B594="Decommissioning",INDEX('Raw Decommissioning'!$F$2:$F$1000,ROWS($A$5:A594)),INDEX('Raw Provisioning'!$F$2:$F$1000,ROWS($A$5:A594)-COUNTA('Raw Decommissioning'!$B$2:$B$1000))))</x:f>
        <x:v>46224.32781190972</x:v>
      </x:c>
      <x:c r="F594" s="171" t="n">
        <x:f>IF(A594="","",IF(B594="Decommissioning",INDEX('Raw Decommissioning'!$G$2:$G$1000,ROWS($A$5:A594)),INDEX('Raw Provisioning'!$H$2:$H$1000,ROWS($A$5:A594)-COUNTA('Raw Decommissioning'!$B$2:$B$1000))))</x:f>
        <x:v>46232.30693460648</x:v>
      </x:c>
      <x:c r="G594" s="170" t="str">
        <x:f>IF(A594="","",IF(B594="Decommissioning",INDEX('Raw Decommissioning'!$I$2:$I$1000,ROWS($A$5:A594)),INDEX('Raw Provisioning'!$J$2:$J$1000,ROWS($A$5:A594)-COUNTA('Raw Decommissioning'!$B$2:$B$1000))))</x:f>
        <x:v>PETRONAS Licensing and Management System - PLMS</x:v>
      </x:c>
      <x:c r="H594" s="170" t="str">
        <x:f>IF(A594="","",IF(B594="Decommissioning",INDEX('Raw Decommissioning'!$J$2:$J$1000,ROWS($A$5:A594)),INDEX('Raw Provisioning'!$L$2:$L$1000,ROWS($A$5:A594)-COUNTA('Raw Decommissioning'!$B$2:$B$1000))))</x:f>
        <x:v>PETRONAS License Management System (PLMS) DevOps FY2024</x:v>
      </x:c>
      <x:c r="I594" s="170" t="str">
        <x:f>IF(A594="","",IF(B594="Decommissioning",INDEX('Raw Decommissioning'!$AL$2:$AL$1000,ROWS($A$5:A594)),INDEX('Raw Provisioning'!$R$2:$R$1000,ROWS($A$5:A594)-COUNTA('Raw Decommissioning'!$B$2:$B$1000))))</x:f>
        <x:v>M</x:v>
      </x:c>
      <x:c r="J594" s="170" t="str">
        <x:f>IF(A594="","",IF(B594="Decommissioning",INDEX('Raw Decommissioning'!$AG$2:$AG$1000,ROWS($A$5:A594)),INDEX('Raw Provisioning'!$AI$2:$AI$1000,ROWS($A$5:A594)-COUNTA('Raw Decommissioning'!$B$2:$B$1000))))</x:f>
        <x:v>IMS - CLOUD CSSP EXECUTOR</x:v>
      </x:c>
      <x:c r="K594" s="172" t="str">
        <x:f>IF(A594="","",IFERROR(LOOKUP(2,1/('Assignment History'!$B$5:$B$204=A594),'Assignment History'!$D$5:$D$204),IFERROR(VLOOKUP(J594,Configuration!$L$5:$M$50,2,FALSE),J594)))</x:f>
        <x:v>IMS - CLOUD CSSP EXECUTOR</x:v>
      </x:c>
      <x:c r="L594" s="172" t="str">
        <x:f>IF(A594="","",IF(K594=IFERROR(VLOOKUP(J594,Configuration!$L$5:$M$50,2,FALSE),J594),"Snapshot PIC","Replacement PIC"))</x:f>
        <x:v>Snapshot PIC</x:v>
      </x:c>
      <x:c r="M594" s="172" t="n">
        <x:f>IF(A594="","",IFERROR(VLOOKUP(I594,Configuration!$O$5:$P$8,2,FALSE),Configuration!$S$6))</x:f>
        <x:v>2</x:v>
      </x:c>
      <x:c r="N594" s="172" t="str">
        <x:f>IF(A594="","",IFERROR(LOOKUP(2,1/('Scope Review'!$B$5:$B$204=A594),'Scope Review'!$G$5:$G$204),"Not Reviewed"))</x:f>
        <x:v>Not Reviewed</x:v>
      </x:c>
      <x:c r="O594" s="172" t="str">
        <x:f>IF(A594="","",IFERROR(LOOKUP(2,1/('Scope Review'!$B$5:$B$204=A594),'Scope Review'!$H$5:$H$204),""))</x:f>
      </x:c>
      <x:c r="P594" s="172" t="n">
        <x:f>IF(A594="","",IF(AND(C594="executing",N594&lt;&gt;"Confirmed OOS"),M594,0))</x:f>
        <x:v>0</x:v>
      </x:c>
      <x:c r="Q594" s="173" t="str">
        <x:f>IF(A594="","",IFERROR(LOOKUP(2,1/('Engineer Updates'!$B$5:$B$704=A594),'Engineer Updates'!$A$5:$A$704),""))</x:f>
      </x:c>
      <x:c r="R594" s="172" t="str">
        <x:f>IF(A594="","",IFERROR(LOOKUP(2,1/('Engineer Updates'!$B$5:$B$704=A594),'Engineer Updates'!$H$5:$H$704),""))</x:f>
      </x:c>
      <x:c r="S594" s="172" t="str">
        <x:f>IF(A594="","",IFERROR(LOOKUP(2,1/('Engineer Updates'!$B$5:$B$704=A594),'Engineer Updates'!$G$5:$G$704),""))</x:f>
      </x:c>
      <x:c r="T594" s="172" t="str">
        <x:f>IF(A594="","",IFERROR(LOOKUP(2,1/('Engineer Updates'!$B$5:$B$704=A594),'Engineer Updates'!$I$5:$I$704),""))</x:f>
      </x:c>
      <x:c r="U594" s="172" t="str">
        <x:f>IF(A594="","",IFERROR(LOOKUP(2,1/('Engineer Updates'!$B$5:$B$704=A594),'Engineer Updates'!$J$5:$J$704),""))</x:f>
      </x:c>
      <x:c r="V594" s="172" t="str">
        <x:f>IF(A594="","",IFERROR(LOOKUP(2,1/('Engineer Updates'!$B$5:$B$704=A594),'Engineer Updates'!$K$5:$K$704),""))</x:f>
      </x:c>
      <x:c r="W594" s="174" t="str">
        <x:f>IF(A594="","",IFERROR(LOOKUP(2,1/('Engineer Updates'!$B$5:$B$704=A594),'Engineer Updates'!$L$5:$L$704),""))</x:f>
      </x:c>
      <x:c r="X594" s="170" t="str">
        <x:f>IF(A594="","",IF(C594="completed","Completed in CSSP",IF(AND(C594="executing",ISERROR(SEARCH("@",K594))),"Executing without named engineer",IF(AND(N594="Confirmed OOS",C594="executing"),"Confirmed OOS still executing",""))))</x:f>
      </x:c>
      <x:c r="Y594" s="170" t="str">
        <x:f>IF(A594="","",IF(B594="Decommissioning","Raw Decommissioning","Raw Provisioning"))</x:f>
        <x:v>Raw Provisioning</x:v>
      </x:c>
      <x:c r="Z594" s="170" t="str">
        <x:f>IF(A594="","",IF(OR(C594="executing",C594="processing"),"Yes","No"))</x:f>
        <x:v>No</x:v>
      </x:c>
    </x:row>
    <x:row r="595">
      <x:c r="A595" s="170" t="str">
        <x:f>IF(ROWS($A$5:A595)&lt;=COUNTA('Raw Decommissioning'!$B$2:$B$1000),INDEX('Raw Decommissioning'!$B$2:$B$1000,ROWS($A$5:A595)),IF(ROWS($A$5:A595)-COUNTA('Raw Decommissioning'!$B$2:$B$1000)&lt;=COUNTA('Raw Provisioning'!$B$2:$B$1000),INDEX('Raw Provisioning'!$B$2:$B$1000,ROWS($A$5:A595)-COUNTA('Raw Decommissioning'!$B$2:$B$1000)),""))</x:f>
        <x:v>CSSP10564575</x:v>
      </x:c>
      <x:c r="B595" s="170" t="str">
        <x:f>IF(A595="","",IF(ROWS($A$5:A595)&lt;=COUNTA('Raw Decommissioning'!$B$2:$B$1000),"Decommissioning","Provisioning"))</x:f>
        <x:v>Provisioning</x:v>
      </x:c>
      <x:c r="C595" s="170" t="str">
        <x:f>IF(A595="","",IF(B595="Decommissioning",IFERROR(INDEX('Raw Decommissioning'!$E$2:$E$1000,MATCH(A595,'Raw Decommissioning'!$B$2:$B$1000,0)),"Missing from latest raw"),IFERROR(INDEX('Raw Provisioning'!$E$2:$E$1000,MATCH(A595,'Raw Provisioning'!$B$2:$B$1000,0)),"Missing from latest raw")))</x:f>
        <x:v>rejected</x:v>
      </x:c>
      <x:c r="D595" s="171" t="n">
        <x:f>IF(A595="","",'Refresh Control'!$B$4)</x:f>
        <x:v>46254</x:v>
      </x:c>
      <x:c r="E595" s="171" t="n">
        <x:f>IF(A595="","",IF(B595="Decommissioning",INDEX('Raw Decommissioning'!$F$2:$F$1000,ROWS($A$5:A595)),INDEX('Raw Provisioning'!$F$2:$F$1000,ROWS($A$5:A595)-COUNTA('Raw Decommissioning'!$B$2:$B$1000))))</x:f>
        <x:v>46224.32899363426</x:v>
      </x:c>
      <x:c r="F595" s="171" t="n">
        <x:f>IF(A595="","",IF(B595="Decommissioning",INDEX('Raw Decommissioning'!$G$2:$G$1000,ROWS($A$5:A595)),INDEX('Raw Provisioning'!$H$2:$H$1000,ROWS($A$5:A595)-COUNTA('Raw Decommissioning'!$B$2:$B$1000))))</x:f>
        <x:v>46232.30718851852</x:v>
      </x:c>
      <x:c r="G595" s="170" t="str">
        <x:f>IF(A595="","",IF(B595="Decommissioning",INDEX('Raw Decommissioning'!$I$2:$I$1000,ROWS($A$5:A595)),INDEX('Raw Provisioning'!$J$2:$J$1000,ROWS($A$5:A595)-COUNTA('Raw Decommissioning'!$B$2:$B$1000))))</x:f>
        <x:v>PETRONAS Licensing and Management System - PLMS</x:v>
      </x:c>
      <x:c r="H595" s="170" t="str">
        <x:f>IF(A595="","",IF(B595="Decommissioning",INDEX('Raw Decommissioning'!$J$2:$J$1000,ROWS($A$5:A595)),INDEX('Raw Provisioning'!$L$2:$L$1000,ROWS($A$5:A595)-COUNTA('Raw Decommissioning'!$B$2:$B$1000))))</x:f>
        <x:v>PETRONAS License Management System (PLMS) DevOps FY2024</x:v>
      </x:c>
      <x:c r="I595" s="170" t="str">
        <x:f>IF(A595="","",IF(B595="Decommissioning",INDEX('Raw Decommissioning'!$AL$2:$AL$1000,ROWS($A$5:A595)),INDEX('Raw Provisioning'!$R$2:$R$1000,ROWS($A$5:A595)-COUNTA('Raw Decommissioning'!$B$2:$B$1000))))</x:f>
        <x:v>M</x:v>
      </x:c>
      <x:c r="J595" s="170" t="str">
        <x:f>IF(A595="","",IF(B595="Decommissioning",INDEX('Raw Decommissioning'!$AG$2:$AG$1000,ROWS($A$5:A595)),INDEX('Raw Provisioning'!$AI$2:$AI$1000,ROWS($A$5:A595)-COUNTA('Raw Decommissioning'!$B$2:$B$1000))))</x:f>
        <x:v>IMS - CLOUD CSSP EXECUTOR</x:v>
      </x:c>
      <x:c r="K595" s="172" t="str">
        <x:f>IF(A595="","",IFERROR(LOOKUP(2,1/('Assignment History'!$B$5:$B$204=A595),'Assignment History'!$D$5:$D$204),IFERROR(VLOOKUP(J595,Configuration!$L$5:$M$50,2,FALSE),J595)))</x:f>
        <x:v>IMS - CLOUD CSSP EXECUTOR</x:v>
      </x:c>
      <x:c r="L595" s="172" t="str">
        <x:f>IF(A595="","",IF(K595=IFERROR(VLOOKUP(J595,Configuration!$L$5:$M$50,2,FALSE),J595),"Snapshot PIC","Replacement PIC"))</x:f>
        <x:v>Snapshot PIC</x:v>
      </x:c>
      <x:c r="M595" s="172" t="n">
        <x:f>IF(A595="","",IFERROR(VLOOKUP(I595,Configuration!$O$5:$P$8,2,FALSE),Configuration!$S$6))</x:f>
        <x:v>2</x:v>
      </x:c>
      <x:c r="N595" s="172" t="str">
        <x:f>IF(A595="","",IFERROR(LOOKUP(2,1/('Scope Review'!$B$5:$B$204=A595),'Scope Review'!$G$5:$G$204),"Not Reviewed"))</x:f>
        <x:v>Not Reviewed</x:v>
      </x:c>
      <x:c r="O595" s="172" t="str">
        <x:f>IF(A595="","",IFERROR(LOOKUP(2,1/('Scope Review'!$B$5:$B$204=A595),'Scope Review'!$H$5:$H$204),""))</x:f>
      </x:c>
      <x:c r="P595" s="172" t="n">
        <x:f>IF(A595="","",IF(AND(C595="executing",N595&lt;&gt;"Confirmed OOS"),M595,0))</x:f>
        <x:v>0</x:v>
      </x:c>
      <x:c r="Q595" s="173" t="str">
        <x:f>IF(A595="","",IFERROR(LOOKUP(2,1/('Engineer Updates'!$B$5:$B$704=A595),'Engineer Updates'!$A$5:$A$704),""))</x:f>
      </x:c>
      <x:c r="R595" s="172" t="str">
        <x:f>IF(A595="","",IFERROR(LOOKUP(2,1/('Engineer Updates'!$B$5:$B$704=A595),'Engineer Updates'!$H$5:$H$704),""))</x:f>
      </x:c>
      <x:c r="S595" s="172" t="str">
        <x:f>IF(A595="","",IFERROR(LOOKUP(2,1/('Engineer Updates'!$B$5:$B$704=A595),'Engineer Updates'!$G$5:$G$704),""))</x:f>
      </x:c>
      <x:c r="T595" s="172" t="str">
        <x:f>IF(A595="","",IFERROR(LOOKUP(2,1/('Engineer Updates'!$B$5:$B$704=A595),'Engineer Updates'!$I$5:$I$704),""))</x:f>
      </x:c>
      <x:c r="U595" s="172" t="str">
        <x:f>IF(A595="","",IFERROR(LOOKUP(2,1/('Engineer Updates'!$B$5:$B$704=A595),'Engineer Updates'!$J$5:$J$704),""))</x:f>
      </x:c>
      <x:c r="V595" s="172" t="str">
        <x:f>IF(A595="","",IFERROR(LOOKUP(2,1/('Engineer Updates'!$B$5:$B$704=A595),'Engineer Updates'!$K$5:$K$704),""))</x:f>
      </x:c>
      <x:c r="W595" s="174" t="str">
        <x:f>IF(A595="","",IFERROR(LOOKUP(2,1/('Engineer Updates'!$B$5:$B$704=A595),'Engineer Updates'!$L$5:$L$704),""))</x:f>
      </x:c>
      <x:c r="X595" s="170" t="str">
        <x:f>IF(A595="","",IF(C595="completed","Completed in CSSP",IF(AND(C595="executing",ISERROR(SEARCH("@",K595))),"Executing without named engineer",IF(AND(N595="Confirmed OOS",C595="executing"),"Confirmed OOS still executing",""))))</x:f>
      </x:c>
      <x:c r="Y595" s="170" t="str">
        <x:f>IF(A595="","",IF(B595="Decommissioning","Raw Decommissioning","Raw Provisioning"))</x:f>
        <x:v>Raw Provisioning</x:v>
      </x:c>
      <x:c r="Z595" s="170" t="str">
        <x:f>IF(A595="","",IF(OR(C595="executing",C595="processing"),"Yes","No"))</x:f>
        <x:v>No</x:v>
      </x:c>
    </x:row>
    <x:row r="596">
      <x:c r="A596" s="170" t="str">
        <x:f>IF(ROWS($A$5:A596)&lt;=COUNTA('Raw Decommissioning'!$B$2:$B$1000),INDEX('Raw Decommissioning'!$B$2:$B$1000,ROWS($A$5:A596)),IF(ROWS($A$5:A596)-COUNTA('Raw Decommissioning'!$B$2:$B$1000)&lt;=COUNTA('Raw Provisioning'!$B$2:$B$1000),INDEX('Raw Provisioning'!$B$2:$B$1000,ROWS($A$5:A596)-COUNTA('Raw Decommissioning'!$B$2:$B$1000)),""))</x:f>
        <x:v>CSSP10895954</x:v>
      </x:c>
      <x:c r="B596" s="170" t="str">
        <x:f>IF(A596="","",IF(ROWS($A$5:A596)&lt;=COUNTA('Raw Decommissioning'!$B$2:$B$1000),"Decommissioning","Provisioning"))</x:f>
        <x:v>Provisioning</x:v>
      </x:c>
      <x:c r="C596" s="170" t="str">
        <x:f>IF(A596="","",IF(B596="Decommissioning",IFERROR(INDEX('Raw Decommissioning'!$E$2:$E$1000,MATCH(A596,'Raw Decommissioning'!$B$2:$B$1000,0)),"Missing from latest raw"),IFERROR(INDEX('Raw Provisioning'!$E$2:$E$1000,MATCH(A596,'Raw Provisioning'!$B$2:$B$1000,0)),"Missing from latest raw")))</x:f>
        <x:v>executing</x:v>
      </x:c>
      <x:c r="D596" s="171" t="n">
        <x:f>IF(A596="","",'Refresh Control'!$B$4)</x:f>
        <x:v>46254</x:v>
      </x:c>
      <x:c r="E596" s="171" t="n">
        <x:f>IF(A596="","",IF(B596="Decommissioning",INDEX('Raw Decommissioning'!$F$2:$F$1000,ROWS($A$5:A596)),INDEX('Raw Provisioning'!$F$2:$F$1000,ROWS($A$5:A596)-COUNTA('Raw Decommissioning'!$B$2:$B$1000))))</x:f>
        <x:v>46225.00747636574</x:v>
      </x:c>
      <x:c r="F596" s="171" t="n">
        <x:f>IF(A596="","",IF(B596="Decommissioning",INDEX('Raw Decommissioning'!$G$2:$G$1000,ROWS($A$5:A596)),INDEX('Raw Provisioning'!$H$2:$H$1000,ROWS($A$5:A596)-COUNTA('Raw Decommissioning'!$B$2:$B$1000))))</x:f>
        <x:v>46233.10291584491</x:v>
      </x:c>
      <x:c r="G596" s="170" t="str">
        <x:f>IF(A596="","",IF(B596="Decommissioning",INDEX('Raw Decommissioning'!$I$2:$I$1000,ROWS($A$5:A596)),INDEX('Raw Provisioning'!$J$2:$J$1000,ROWS($A$5:A596)-COUNTA('Raw Decommissioning'!$B$2:$B$1000))))</x:f>
        <x:v>Zidane OVC</x:v>
      </x:c>
      <x:c r="H596" s="170" t="str">
        <x:f>IF(A596="","",IF(B596="Decommissioning",INDEX('Raw Decommissioning'!$J$2:$J$1000,ROWS($A$5:A596)),INDEX('Raw Provisioning'!$L$2:$L$1000,ROWS($A$5:A596)-COUNTA('Raw Decommissioning'!$B$2:$B$1000))))</x:f>
        <x:v>Provision of Professional Service, Software License and Infra for ArBiTra (OVC &amp; LVC) 2025 for PTLCL</x:v>
      </x:c>
      <x:c r="I596" s="170" t="str">
        <x:f>IF(A596="","",IF(B596="Decommissioning",INDEX('Raw Decommissioning'!$AL$2:$AL$1000,ROWS($A$5:A596)),INDEX('Raw Provisioning'!$R$2:$R$1000,ROWS($A$5:A596)-COUNTA('Raw Decommissioning'!$B$2:$B$1000))))</x:f>
        <x:v>L</x:v>
      </x:c>
      <x:c r="J596" s="170" t="str">
        <x:f>IF(A596="","",IF(B596="Decommissioning",INDEX('Raw Decommissioning'!$AG$2:$AG$1000,ROWS($A$5:A596)),INDEX('Raw Provisioning'!$AI$2:$AI$1000,ROWS($A$5:A596)-COUNTA('Raw Decommissioning'!$B$2:$B$1000))))</x:f>
        <x:v>abhishek.bhowate@petronas.com</x:v>
      </x:c>
      <x:c r="K596" s="172" t="str">
        <x:f>IF(A596="","",IFERROR(LOOKUP(2,1/('Assignment History'!$B$5:$B$204=A596),'Assignment History'!$D$5:$D$204),IFERROR(VLOOKUP(J596,Configuration!$L$5:$M$50,2,FALSE),J596)))</x:f>
        <x:v>abhishek.bhowate@petronas.com</x:v>
      </x:c>
      <x:c r="L596" s="172" t="str">
        <x:f>IF(A596="","",IF(K596=IFERROR(VLOOKUP(J596,Configuration!$L$5:$M$50,2,FALSE),J596),"Snapshot PIC","Replacement PIC"))</x:f>
        <x:v>Snapshot PIC</x:v>
      </x:c>
      <x:c r="M596" s="172" t="n">
        <x:f>IF(A596="","",IFERROR(VLOOKUP(I596,Configuration!$O$5:$P$8,2,FALSE),Configuration!$S$6))</x:f>
        <x:v>3</x:v>
      </x:c>
      <x:c r="N596" s="172" t="str">
        <x:f>IF(A596="","",IFERROR(LOOKUP(2,1/('Scope Review'!$B$5:$B$204=A596),'Scope Review'!$G$5:$G$204),"Not Reviewed"))</x:f>
        <x:v>Not Reviewed</x:v>
      </x:c>
      <x:c r="O596" s="172" t="str">
        <x:f>IF(A596="","",IFERROR(LOOKUP(2,1/('Scope Review'!$B$5:$B$204=A596),'Scope Review'!$H$5:$H$204),""))</x:f>
      </x:c>
      <x:c r="P596" s="172" t="n">
        <x:f>IF(A596="","",IF(AND(C596="executing",N596&lt;&gt;"Confirmed OOS"),M596,0))</x:f>
        <x:v>3</x:v>
      </x:c>
      <x:c r="Q596" s="173" t="n">
        <x:f>IF(A596="","",IFERROR(LOOKUP(2,1/('Engineer Updates'!$B$5:$B$704=A596),'Engineer Updates'!$A$5:$A$704),""))</x:f>
        <x:v>46251</x:v>
      </x:c>
      <x:c r="R596" s="172" t="str">
        <x:f>IF(A596="","",IFERROR(LOOKUP(2,1/('Engineer Updates'!$B$5:$B$704=A596),'Engineer Updates'!$H$5:$H$704),""))</x:f>
        <x:v>Not Started</x:v>
      </x:c>
      <x:c r="S596" s="172" t="str">
        <x:f>IF(A596="","",IFERROR(LOOKUP(2,1/('Engineer Updates'!$B$5:$B$704=A596),'Engineer Updates'!$G$5:$G$704),""))</x:f>
      </x:c>
      <x:c r="T596" s="172" t="str">
        <x:f>IF(A596="","",IFERROR(LOOKUP(2,1/('Engineer Updates'!$B$5:$B$704=A596),'Engineer Updates'!$I$5:$I$704),""))</x:f>
      </x:c>
      <x:c r="U596" s="172" t="str">
        <x:f>IF(A596="","",IFERROR(LOOKUP(2,1/('Engineer Updates'!$B$5:$B$704=A596),'Engineer Updates'!$J$5:$J$704),""))</x:f>
      </x:c>
      <x:c r="V596" s="172" t="str">
        <x:f>IF(A596="","",IFERROR(LOOKUP(2,1/('Engineer Updates'!$B$5:$B$704=A596),'Engineer Updates'!$K$5:$K$704),""))</x:f>
      </x:c>
      <x:c r="W596" s="174" t="str">
        <x:f>IF(A596="","",IFERROR(LOOKUP(2,1/('Engineer Updates'!$B$5:$B$704=A596),'Engineer Updates'!$L$5:$L$704),""))</x:f>
      </x:c>
      <x:c r="X596" s="170" t="str">
        <x:f>IF(A596="","",IF(C596="completed","Completed in CSSP",IF(AND(C596="executing",ISERROR(SEARCH("@",K596))),"Executing without named engineer",IF(AND(N596="Confirmed OOS",C596="executing"),"Confirmed OOS still executing",""))))</x:f>
      </x:c>
      <x:c r="Y596" s="170" t="str">
        <x:f>IF(A596="","",IF(B596="Decommissioning","Raw Decommissioning","Raw Provisioning"))</x:f>
        <x:v>Raw Provisioning</x:v>
      </x:c>
      <x:c r="Z596" s="170" t="str">
        <x:f>IF(A596="","",IF(OR(C596="executing",C596="processing"),"Yes","No"))</x:f>
        <x:v>Yes</x:v>
      </x:c>
    </x:row>
    <x:row r="597">
      <x:c r="A597" s="170" t="str">
        <x:f>IF(ROWS($A$5:A597)&lt;=COUNTA('Raw Decommissioning'!$B$2:$B$1000),INDEX('Raw Decommissioning'!$B$2:$B$1000,ROWS($A$5:A597)),IF(ROWS($A$5:A597)-COUNTA('Raw Decommissioning'!$B$2:$B$1000)&lt;=COUNTA('Raw Provisioning'!$B$2:$B$1000),INDEX('Raw Provisioning'!$B$2:$B$1000,ROWS($A$5:A597)-COUNTA('Raw Decommissioning'!$B$2:$B$1000)),""))</x:f>
        <x:v>CSSP10883625</x:v>
      </x:c>
      <x:c r="B597" s="170" t="str">
        <x:f>IF(A597="","",IF(ROWS($A$5:A597)&lt;=COUNTA('Raw Decommissioning'!$B$2:$B$1000),"Decommissioning","Provisioning"))</x:f>
        <x:v>Provisioning</x:v>
      </x:c>
      <x:c r="C597" s="170" t="str">
        <x:f>IF(A597="","",IF(B597="Decommissioning",IFERROR(INDEX('Raw Decommissioning'!$E$2:$E$1000,MATCH(A597,'Raw Decommissioning'!$B$2:$B$1000,0)),"Missing from latest raw"),IFERROR(INDEX('Raw Provisioning'!$E$2:$E$1000,MATCH(A597,'Raw Provisioning'!$B$2:$B$1000,0)),"Missing from latest raw")))</x:f>
        <x:v>completed</x:v>
      </x:c>
      <x:c r="D597" s="171" t="n">
        <x:f>IF(A597="","",'Refresh Control'!$B$4)</x:f>
        <x:v>46254</x:v>
      </x:c>
      <x:c r="E597" s="171" t="n">
        <x:f>IF(A597="","",IF(B597="Decommissioning",INDEX('Raw Decommissioning'!$F$2:$F$1000,ROWS($A$5:A597)),INDEX('Raw Provisioning'!$F$2:$F$1000,ROWS($A$5:A597)-COUNTA('Raw Decommissioning'!$B$2:$B$1000))))</x:f>
        <x:v>46225.07229872685</x:v>
      </x:c>
      <x:c r="F597" s="171" t="n">
        <x:f>IF(A597="","",IF(B597="Decommissioning",INDEX('Raw Decommissioning'!$G$2:$G$1000,ROWS($A$5:A597)),INDEX('Raw Provisioning'!$H$2:$H$1000,ROWS($A$5:A597)-COUNTA('Raw Decommissioning'!$B$2:$B$1000))))</x:f>
        <x:v>46230.22187790509</x:v>
      </x:c>
      <x:c r="G597" s="170" t="str">
        <x:f>IF(A597="","",IF(B597="Decommissioning",INDEX('Raw Decommissioning'!$I$2:$I$1000,ROWS($A$5:A597)),INDEX('Raw Provisioning'!$J$2:$J$1000,ROWS($A$5:A597)-COUNTA('Raw Decommissioning'!$B$2:$B$1000))))</x:f>
        <x:v>Plant Information - PI Vestigo</x:v>
      </x:c>
      <x:c r="H597" s="170" t="str">
        <x:f>IF(A597="","",IF(B597="Decommissioning",INDEX('Raw Decommissioning'!$J$2:$J$1000,ROWS($A$5:A597)),INDEX('Raw Provisioning'!$L$2:$L$1000,ROWS($A$5:A597)-COUNTA('Raw Decommissioning'!$B$2:$B$1000))))</x:f>
        <x:v>Cloud Migration Program - PI Vestigo</x:v>
      </x:c>
      <x:c r="I597" s="170" t="str">
        <x:f>IF(A597="","",IF(B597="Decommissioning",INDEX('Raw Decommissioning'!$AL$2:$AL$1000,ROWS($A$5:A597)),INDEX('Raw Provisioning'!$R$2:$R$1000,ROWS($A$5:A597)-COUNTA('Raw Decommissioning'!$B$2:$B$1000))))</x:f>
        <x:v>S</x:v>
      </x:c>
      <x:c r="J597" s="170" t="str">
        <x:f>IF(A597="","",IF(B597="Decommissioning",INDEX('Raw Decommissioning'!$AG$2:$AG$1000,ROWS($A$5:A597)),INDEX('Raw Provisioning'!$AI$2:$AI$1000,ROWS($A$5:A597)-COUNTA('Raw Decommissioning'!$B$2:$B$1000))))</x:f>
        <x:v>swaminadh.chirakala@petronas.com</x:v>
      </x:c>
      <x:c r="K597" s="172" t="str">
        <x:f>IF(A597="","",IFERROR(LOOKUP(2,1/('Assignment History'!$B$5:$B$204=A597),'Assignment History'!$D$5:$D$204),IFERROR(VLOOKUP(J597,Configuration!$L$5:$M$50,2,FALSE),J597)))</x:f>
        <x:v>swaminadh.chirakala@petronas.com</x:v>
      </x:c>
      <x:c r="L597" s="172" t="str">
        <x:f>IF(A597="","",IF(K597=IFERROR(VLOOKUP(J597,Configuration!$L$5:$M$50,2,FALSE),J597),"Snapshot PIC","Replacement PIC"))</x:f>
        <x:v>Snapshot PIC</x:v>
      </x:c>
      <x:c r="M597" s="172" t="n">
        <x:f>IF(A597="","",IFERROR(VLOOKUP(I597,Configuration!$O$5:$P$8,2,FALSE),Configuration!$S$6))</x:f>
        <x:v>1</x:v>
      </x:c>
      <x:c r="N597" s="172" t="str">
        <x:f>IF(A597="","",IFERROR(LOOKUP(2,1/('Scope Review'!$B$5:$B$204=A597),'Scope Review'!$G$5:$G$204),"Not Reviewed"))</x:f>
        <x:v>Not Reviewed</x:v>
      </x:c>
      <x:c r="O597" s="172" t="str">
        <x:f>IF(A597="","",IFERROR(LOOKUP(2,1/('Scope Review'!$B$5:$B$204=A597),'Scope Review'!$H$5:$H$204),""))</x:f>
      </x:c>
      <x:c r="P597" s="172" t="n">
        <x:f>IF(A597="","",IF(AND(C597="executing",N597&lt;&gt;"Confirmed OOS"),M597,0))</x:f>
        <x:v>0</x:v>
      </x:c>
      <x:c r="Q597" s="173" t="str">
        <x:f>IF(A597="","",IFERROR(LOOKUP(2,1/('Engineer Updates'!$B$5:$B$704=A597),'Engineer Updates'!$A$5:$A$704),""))</x:f>
      </x:c>
      <x:c r="R597" s="172" t="str">
        <x:f>IF(A597="","",IFERROR(LOOKUP(2,1/('Engineer Updates'!$B$5:$B$704=A597),'Engineer Updates'!$H$5:$H$704),""))</x:f>
      </x:c>
      <x:c r="S597" s="172" t="str">
        <x:f>IF(A597="","",IFERROR(LOOKUP(2,1/('Engineer Updates'!$B$5:$B$704=A597),'Engineer Updates'!$G$5:$G$704),""))</x:f>
      </x:c>
      <x:c r="T597" s="172" t="str">
        <x:f>IF(A597="","",IFERROR(LOOKUP(2,1/('Engineer Updates'!$B$5:$B$704=A597),'Engineer Updates'!$I$5:$I$704),""))</x:f>
      </x:c>
      <x:c r="U597" s="172" t="str">
        <x:f>IF(A597="","",IFERROR(LOOKUP(2,1/('Engineer Updates'!$B$5:$B$704=A597),'Engineer Updates'!$J$5:$J$704),""))</x:f>
      </x:c>
      <x:c r="V597" s="172" t="str">
        <x:f>IF(A597="","",IFERROR(LOOKUP(2,1/('Engineer Updates'!$B$5:$B$704=A597),'Engineer Updates'!$K$5:$K$704),""))</x:f>
      </x:c>
      <x:c r="W597" s="174" t="str">
        <x:f>IF(A597="","",IFERROR(LOOKUP(2,1/('Engineer Updates'!$B$5:$B$704=A597),'Engineer Updates'!$L$5:$L$704),""))</x:f>
      </x:c>
      <x:c r="X597" s="170" t="str">
        <x:f>IF(A597="","",IF(C597="completed","Completed in CSSP",IF(AND(C597="executing",ISERROR(SEARCH("@",K597))),"Executing without named engineer",IF(AND(N597="Confirmed OOS",C597="executing"),"Confirmed OOS still executing",""))))</x:f>
        <x:v>Completed in CSSP</x:v>
      </x:c>
      <x:c r="Y597" s="170" t="str">
        <x:f>IF(A597="","",IF(B597="Decommissioning","Raw Decommissioning","Raw Provisioning"))</x:f>
        <x:v>Raw Provisioning</x:v>
      </x:c>
      <x:c r="Z597" s="170" t="str">
        <x:f>IF(A597="","",IF(OR(C597="executing",C597="processing"),"Yes","No"))</x:f>
        <x:v>No</x:v>
      </x:c>
    </x:row>
    <x:row r="598">
      <x:c r="A598" s="170" t="str">
        <x:f>IF(ROWS($A$5:A598)&lt;=COUNTA('Raw Decommissioning'!$B$2:$B$1000),INDEX('Raw Decommissioning'!$B$2:$B$1000,ROWS($A$5:A598)),IF(ROWS($A$5:A598)-COUNTA('Raw Decommissioning'!$B$2:$B$1000)&lt;=COUNTA('Raw Provisioning'!$B$2:$B$1000),INDEX('Raw Provisioning'!$B$2:$B$1000,ROWS($A$5:A598)-COUNTA('Raw Decommissioning'!$B$2:$B$1000)),""))</x:f>
        <x:v>CSSP10984683</x:v>
      </x:c>
      <x:c r="B598" s="170" t="str">
        <x:f>IF(A598="","",IF(ROWS($A$5:A598)&lt;=COUNTA('Raw Decommissioning'!$B$2:$B$1000),"Decommissioning","Provisioning"))</x:f>
        <x:v>Provisioning</x:v>
      </x:c>
      <x:c r="C598" s="170" t="str">
        <x:f>IF(A598="","",IF(B598="Decommissioning",IFERROR(INDEX('Raw Decommissioning'!$E$2:$E$1000,MATCH(A598,'Raw Decommissioning'!$B$2:$B$1000,0)),"Missing from latest raw"),IFERROR(INDEX('Raw Provisioning'!$E$2:$E$1000,MATCH(A598,'Raw Provisioning'!$B$2:$B$1000,0)),"Missing from latest raw")))</x:f>
        <x:v>executing</x:v>
      </x:c>
      <x:c r="D598" s="171" t="n">
        <x:f>IF(A598="","",'Refresh Control'!$B$4)</x:f>
        <x:v>46254</x:v>
      </x:c>
      <x:c r="E598" s="171" t="n">
        <x:f>IF(A598="","",IF(B598="Decommissioning",INDEX('Raw Decommissioning'!$F$2:$F$1000,ROWS($A$5:A598)),INDEX('Raw Provisioning'!$F$2:$F$1000,ROWS($A$5:A598)-COUNTA('Raw Decommissioning'!$B$2:$B$1000))))</x:f>
        <x:v>46225.1004572338</x:v>
      </x:c>
      <x:c r="F598" s="171" t="n">
        <x:f>IF(A598="","",IF(B598="Decommissioning",INDEX('Raw Decommissioning'!$G$2:$G$1000,ROWS($A$5:A598)),INDEX('Raw Provisioning'!$H$2:$H$1000,ROWS($A$5:A598)-COUNTA('Raw Decommissioning'!$B$2:$B$1000))))</x:f>
        <x:v>46233.10364482639</x:v>
      </x:c>
      <x:c r="G598" s="170" t="str">
        <x:f>IF(A598="","",IF(B598="Decommissioning",INDEX('Raw Decommissioning'!$I$2:$I$1000,ROWS($A$5:A598)),INDEX('Raw Provisioning'!$J$2:$J$1000,ROWS($A$5:A598)-COUNTA('Raw Decommissioning'!$B$2:$B$1000))))</x:f>
        <x:v>PiriGIS</x:v>
      </x:c>
      <x:c r="H598" s="170" t="str">
        <x:f>IF(A598="","",IF(B598="Decommissioning",INDEX('Raw Decommissioning'!$J$2:$J$1000,ROWS($A$5:A598)),INDEX('Raw Provisioning'!$L$2:$L$1000,ROWS($A$5:A598)-COUNTA('Raw Decommissioning'!$B$2:$B$1000))))</x:f>
        <x:v>Provision of Geographic Information System Infrastructure in PETRONAS Azure Cloud for Exploration</x:v>
      </x:c>
      <x:c r="I598" s="170" t="str">
        <x:f>IF(A598="","",IF(B598="Decommissioning",INDEX('Raw Decommissioning'!$AL$2:$AL$1000,ROWS($A$5:A598)),INDEX('Raw Provisioning'!$R$2:$R$1000,ROWS($A$5:A598)-COUNTA('Raw Decommissioning'!$B$2:$B$1000))))</x:f>
        <x:v>M</x:v>
      </x:c>
      <x:c r="J598" s="170" t="str">
        <x:f>IF(A598="","",IF(B598="Decommissioning",INDEX('Raw Decommissioning'!$AG$2:$AG$1000,ROWS($A$5:A598)),INDEX('Raw Provisioning'!$AI$2:$AI$1000,ROWS($A$5:A598)-COUNTA('Raw Decommissioning'!$B$2:$B$1000))))</x:f>
        <x:v>venkatesh.kalikivayi@petronas.com</x:v>
      </x:c>
      <x:c r="K598" s="172" t="str">
        <x:f>IF(A598="","",IFERROR(LOOKUP(2,1/('Assignment History'!$B$5:$B$204=A598),'Assignment History'!$D$5:$D$204),IFERROR(VLOOKUP(J598,Configuration!$L$5:$M$50,2,FALSE),J598)))</x:f>
        <x:v>venkatesh.kalikivayi@petronas.com</x:v>
      </x:c>
      <x:c r="L598" s="172" t="str">
        <x:f>IF(A598="","",IF(K598=IFERROR(VLOOKUP(J598,Configuration!$L$5:$M$50,2,FALSE),J598),"Snapshot PIC","Replacement PIC"))</x:f>
        <x:v>Snapshot PIC</x:v>
      </x:c>
      <x:c r="M598" s="172" t="n">
        <x:f>IF(A598="","",IFERROR(VLOOKUP(I598,Configuration!$O$5:$P$8,2,FALSE),Configuration!$S$6))</x:f>
        <x:v>2</x:v>
      </x:c>
      <x:c r="N598" s="172" t="str">
        <x:f>IF(A598="","",IFERROR(LOOKUP(2,1/('Scope Review'!$B$5:$B$204=A598),'Scope Review'!$G$5:$G$204),"Not Reviewed"))</x:f>
        <x:v>Not Reviewed</x:v>
      </x:c>
      <x:c r="O598" s="172" t="str">
        <x:f>IF(A598="","",IFERROR(LOOKUP(2,1/('Scope Review'!$B$5:$B$204=A598),'Scope Review'!$H$5:$H$204),""))</x:f>
      </x:c>
      <x:c r="P598" s="172" t="n">
        <x:f>IF(A598="","",IF(AND(C598="executing",N598&lt;&gt;"Confirmed OOS"),M598,0))</x:f>
        <x:v>2</x:v>
      </x:c>
      <x:c r="Q598" s="173" t="n">
        <x:f>IF(A598="","",IFERROR(LOOKUP(2,1/('Engineer Updates'!$B$5:$B$704=A598),'Engineer Updates'!$A$5:$A$704),""))</x:f>
        <x:v>46251</x:v>
      </x:c>
      <x:c r="R598" s="172" t="str">
        <x:f>IF(A598="","",IFERROR(LOOKUP(2,1/('Engineer Updates'!$B$5:$B$704=A598),'Engineer Updates'!$H$5:$H$704),""))</x:f>
        <x:v>Not Started</x:v>
      </x:c>
      <x:c r="S598" s="172" t="str">
        <x:f>IF(A598="","",IFERROR(LOOKUP(2,1/('Engineer Updates'!$B$5:$B$704=A598),'Engineer Updates'!$G$5:$G$704),""))</x:f>
      </x:c>
      <x:c r="T598" s="172" t="str">
        <x:f>IF(A598="","",IFERROR(LOOKUP(2,1/('Engineer Updates'!$B$5:$B$704=A598),'Engineer Updates'!$I$5:$I$704),""))</x:f>
      </x:c>
      <x:c r="U598" s="172" t="str">
        <x:f>IF(A598="","",IFERROR(LOOKUP(2,1/('Engineer Updates'!$B$5:$B$704=A598),'Engineer Updates'!$J$5:$J$704),""))</x:f>
      </x:c>
      <x:c r="V598" s="172" t="str">
        <x:f>IF(A598="","",IFERROR(LOOKUP(2,1/('Engineer Updates'!$B$5:$B$704=A598),'Engineer Updates'!$K$5:$K$704),""))</x:f>
      </x:c>
      <x:c r="W598" s="174" t="str">
        <x:f>IF(A598="","",IFERROR(LOOKUP(2,1/('Engineer Updates'!$B$5:$B$704=A598),'Engineer Updates'!$L$5:$L$704),""))</x:f>
      </x:c>
      <x:c r="X598" s="170" t="str">
        <x:f>IF(A598="","",IF(C598="completed","Completed in CSSP",IF(AND(C598="executing",ISERROR(SEARCH("@",K598))),"Executing without named engineer",IF(AND(N598="Confirmed OOS",C598="executing"),"Confirmed OOS still executing",""))))</x:f>
      </x:c>
      <x:c r="Y598" s="170" t="str">
        <x:f>IF(A598="","",IF(B598="Decommissioning","Raw Decommissioning","Raw Provisioning"))</x:f>
        <x:v>Raw Provisioning</x:v>
      </x:c>
      <x:c r="Z598" s="170" t="str">
        <x:f>IF(A598="","",IF(OR(C598="executing",C598="processing"),"Yes","No"))</x:f>
        <x:v>Yes</x:v>
      </x:c>
    </x:row>
    <x:row r="599">
      <x:c r="A599" s="170" t="str">
        <x:f>IF(ROWS($A$5:A599)&lt;=COUNTA('Raw Decommissioning'!$B$2:$B$1000),INDEX('Raw Decommissioning'!$B$2:$B$1000,ROWS($A$5:A599)),IF(ROWS($A$5:A599)-COUNTA('Raw Decommissioning'!$B$2:$B$1000)&lt;=COUNTA('Raw Provisioning'!$B$2:$B$1000),INDEX('Raw Provisioning'!$B$2:$B$1000,ROWS($A$5:A599)-COUNTA('Raw Decommissioning'!$B$2:$B$1000)),""))</x:f>
        <x:v>CSSP10825398</x:v>
      </x:c>
      <x:c r="B599" s="170" t="str">
        <x:f>IF(A599="","",IF(ROWS($A$5:A599)&lt;=COUNTA('Raw Decommissioning'!$B$2:$B$1000),"Decommissioning","Provisioning"))</x:f>
        <x:v>Provisioning</x:v>
      </x:c>
      <x:c r="C599" s="170" t="str">
        <x:f>IF(A599="","",IF(B599="Decommissioning",IFERROR(INDEX('Raw Decommissioning'!$E$2:$E$1000,MATCH(A599,'Raw Decommissioning'!$B$2:$B$1000,0)),"Missing from latest raw"),IFERROR(INDEX('Raw Provisioning'!$E$2:$E$1000,MATCH(A599,'Raw Provisioning'!$B$2:$B$1000,0)),"Missing from latest raw")))</x:f>
        <x:v>executing</x:v>
      </x:c>
      <x:c r="D599" s="171" t="n">
        <x:f>IF(A599="","",'Refresh Control'!$B$4)</x:f>
        <x:v>46254</x:v>
      </x:c>
      <x:c r="E599" s="171" t="n">
        <x:f>IF(A599="","",IF(B599="Decommissioning",INDEX('Raw Decommissioning'!$F$2:$F$1000,ROWS($A$5:A599)),INDEX('Raw Provisioning'!$F$2:$F$1000,ROWS($A$5:A599)-COUNTA('Raw Decommissioning'!$B$2:$B$1000))))</x:f>
        <x:v>46225.15786769676</x:v>
      </x:c>
      <x:c r="F599" s="171" t="n">
        <x:f>IF(A599="","",IF(B599="Decommissioning",INDEX('Raw Decommissioning'!$G$2:$G$1000,ROWS($A$5:A599)),INDEX('Raw Provisioning'!$H$2:$H$1000,ROWS($A$5:A599)-COUNTA('Raw Decommissioning'!$B$2:$B$1000))))</x:f>
        <x:v>46225.366409664355</x:v>
      </x:c>
      <x:c r="G599" s="170" t="str">
        <x:f>IF(A599="","",IF(B599="Decommissioning",INDEX('Raw Decommissioning'!$I$2:$I$1000,ROWS($A$5:A599)),INDEX('Raw Provisioning'!$J$2:$J$1000,ROWS($A$5:A599)-COUNTA('Raw Decommissioning'!$B$2:$B$1000))))</x:f>
        <x:v>Cyber Security Application Security Testing - ASTFortify</x:v>
      </x:c>
      <x:c r="H599" s="170" t="str">
        <x:f>IF(A599="","",IF(B599="Decommissioning",INDEX('Raw Decommissioning'!$J$2:$J$1000,ROWS($A$5:A599)),INDEX('Raw Provisioning'!$L$2:$L$1000,ROWS($A$5:A599)-COUNTA('Raw Decommissioning'!$B$2:$B$1000))))</x:f>
        <x:v>Fortify AST (Application Security Testing) Tool deployment and integration to DevSecOps framework</x:v>
      </x:c>
      <x:c r="I599" s="170" t="str">
        <x:f>IF(A599="","",IF(B599="Decommissioning",INDEX('Raw Decommissioning'!$AL$2:$AL$1000,ROWS($A$5:A599)),INDEX('Raw Provisioning'!$R$2:$R$1000,ROWS($A$5:A599)-COUNTA('Raw Decommissioning'!$B$2:$B$1000))))</x:f>
        <x:v>M</x:v>
      </x:c>
      <x:c r="J599" s="170" t="str">
        <x:f>IF(A599="","",IF(B599="Decommissioning",INDEX('Raw Decommissioning'!$AG$2:$AG$1000,ROWS($A$5:A599)),INDEX('Raw Provisioning'!$AI$2:$AI$1000,ROWS($A$5:A599)-COUNTA('Raw Decommissioning'!$B$2:$B$1000))))</x:f>
        <x:v>abdul.khoir@petronas.com</x:v>
      </x:c>
      <x:c r="K599" s="172" t="str">
        <x:f>IF(A599="","",IFERROR(LOOKUP(2,1/('Assignment History'!$B$5:$B$204=A599),'Assignment History'!$D$5:$D$204),IFERROR(VLOOKUP(J599,Configuration!$L$5:$M$50,2,FALSE),J599)))</x:f>
        <x:v>abdul.khoir@petronas.com</x:v>
      </x:c>
      <x:c r="L599" s="172" t="str">
        <x:f>IF(A599="","",IF(K599=IFERROR(VLOOKUP(J599,Configuration!$L$5:$M$50,2,FALSE),J599),"Snapshot PIC","Replacement PIC"))</x:f>
        <x:v>Snapshot PIC</x:v>
      </x:c>
      <x:c r="M599" s="172" t="n">
        <x:f>IF(A599="","",IFERROR(VLOOKUP(I599,Configuration!$O$5:$P$8,2,FALSE),Configuration!$S$6))</x:f>
        <x:v>2</x:v>
      </x:c>
      <x:c r="N599" s="172" t="str">
        <x:f>IF(A599="","",IFERROR(LOOKUP(2,1/('Scope Review'!$B$5:$B$204=A599),'Scope Review'!$G$5:$G$204),"Not Reviewed"))</x:f>
        <x:v>Not Reviewed</x:v>
      </x:c>
      <x:c r="O599" s="172" t="str">
        <x:f>IF(A599="","",IFERROR(LOOKUP(2,1/('Scope Review'!$B$5:$B$204=A599),'Scope Review'!$H$5:$H$204),""))</x:f>
      </x:c>
      <x:c r="P599" s="172" t="n">
        <x:f>IF(A599="","",IF(AND(C599="executing",N599&lt;&gt;"Confirmed OOS"),M599,0))</x:f>
        <x:v>2</x:v>
      </x:c>
      <x:c r="Q599" s="173" t="n">
        <x:f>IF(A599="","",IFERROR(LOOKUP(2,1/('Engineer Updates'!$B$5:$B$704=A599),'Engineer Updates'!$A$5:$A$704),""))</x:f>
        <x:v>46251</x:v>
      </x:c>
      <x:c r="R599" s="172" t="str">
        <x:f>IF(A599="","",IFERROR(LOOKUP(2,1/('Engineer Updates'!$B$5:$B$704=A599),'Engineer Updates'!$H$5:$H$704),""))</x:f>
        <x:v>Not Started</x:v>
      </x:c>
      <x:c r="S599" s="172" t="str">
        <x:f>IF(A599="","",IFERROR(LOOKUP(2,1/('Engineer Updates'!$B$5:$B$704=A599),'Engineer Updates'!$G$5:$G$704),""))</x:f>
      </x:c>
      <x:c r="T599" s="172" t="str">
        <x:f>IF(A599="","",IFERROR(LOOKUP(2,1/('Engineer Updates'!$B$5:$B$704=A599),'Engineer Updates'!$I$5:$I$704),""))</x:f>
      </x:c>
      <x:c r="U599" s="172" t="str">
        <x:f>IF(A599="","",IFERROR(LOOKUP(2,1/('Engineer Updates'!$B$5:$B$704=A599),'Engineer Updates'!$J$5:$J$704),""))</x:f>
      </x:c>
      <x:c r="V599" s="172" t="str">
        <x:f>IF(A599="","",IFERROR(LOOKUP(2,1/('Engineer Updates'!$B$5:$B$704=A599),'Engineer Updates'!$K$5:$K$704),""))</x:f>
      </x:c>
      <x:c r="W599" s="174" t="str">
        <x:f>IF(A599="","",IFERROR(LOOKUP(2,1/('Engineer Updates'!$B$5:$B$704=A599),'Engineer Updates'!$L$5:$L$704),""))</x:f>
      </x:c>
      <x:c r="X599" s="170" t="str">
        <x:f>IF(A599="","",IF(C599="completed","Completed in CSSP",IF(AND(C599="executing",ISERROR(SEARCH("@",K599))),"Executing without named engineer",IF(AND(N599="Confirmed OOS",C599="executing"),"Confirmed OOS still executing",""))))</x:f>
      </x:c>
      <x:c r="Y599" s="170" t="str">
        <x:f>IF(A599="","",IF(B599="Decommissioning","Raw Decommissioning","Raw Provisioning"))</x:f>
        <x:v>Raw Provisioning</x:v>
      </x:c>
      <x:c r="Z599" s="170" t="str">
        <x:f>IF(A599="","",IF(OR(C599="executing",C599="processing"),"Yes","No"))</x:f>
        <x:v>Yes</x:v>
      </x:c>
    </x:row>
    <x:row r="600">
      <x:c r="A600" s="170" t="str">
        <x:f>IF(ROWS($A$5:A600)&lt;=COUNTA('Raw Decommissioning'!$B$2:$B$1000),INDEX('Raw Decommissioning'!$B$2:$B$1000,ROWS($A$5:A600)),IF(ROWS($A$5:A600)-COUNTA('Raw Decommissioning'!$B$2:$B$1000)&lt;=COUNTA('Raw Provisioning'!$B$2:$B$1000),INDEX('Raw Provisioning'!$B$2:$B$1000,ROWS($A$5:A600)-COUNTA('Raw Decommissioning'!$B$2:$B$1000)),""))</x:f>
        <x:v>CSSP10162770</x:v>
      </x:c>
      <x:c r="B600" s="170" t="str">
        <x:f>IF(A600="","",IF(ROWS($A$5:A600)&lt;=COUNTA('Raw Decommissioning'!$B$2:$B$1000),"Decommissioning","Provisioning"))</x:f>
        <x:v>Provisioning</x:v>
      </x:c>
      <x:c r="C600" s="170" t="str">
        <x:f>IF(A600="","",IF(B600="Decommissioning",IFERROR(INDEX('Raw Decommissioning'!$E$2:$E$1000,MATCH(A600,'Raw Decommissioning'!$B$2:$B$1000,0)),"Missing from latest raw"),IFERROR(INDEX('Raw Provisioning'!$E$2:$E$1000,MATCH(A600,'Raw Provisioning'!$B$2:$B$1000,0)),"Missing from latest raw")))</x:f>
        <x:v>pending</x:v>
      </x:c>
      <x:c r="D600" s="171" t="n">
        <x:f>IF(A600="","",'Refresh Control'!$B$4)</x:f>
        <x:v>46254</x:v>
      </x:c>
      <x:c r="E600" s="171" t="n">
        <x:f>IF(A600="","",IF(B600="Decommissioning",INDEX('Raw Decommissioning'!$F$2:$F$1000,ROWS($A$5:A600)),INDEX('Raw Provisioning'!$F$2:$F$1000,ROWS($A$5:A600)-COUNTA('Raw Decommissioning'!$B$2:$B$1000))))</x:f>
        <x:v>46225.32844002315</x:v>
      </x:c>
      <x:c r="F600" s="171" t="n">
        <x:f>IF(A600="","",IF(B600="Decommissioning",INDEX('Raw Decommissioning'!$G$2:$G$1000,ROWS($A$5:A600)),INDEX('Raw Provisioning'!$H$2:$H$1000,ROWS($A$5:A600)-COUNTA('Raw Decommissioning'!$B$2:$B$1000))))</x:f>
        <x:v>46225.32844002315</x:v>
      </x:c>
      <x:c r="G600" s="170" t="str">
        <x:f>IF(A600="","",IF(B600="Decommissioning",INDEX('Raw Decommissioning'!$I$2:$I$1000,ROWS($A$5:A600)),INDEX('Raw Provisioning'!$J$2:$J$1000,ROWS($A$5:A600)-COUNTA('Raw Decommissioning'!$B$2:$B$1000))))</x:f>
        <x:v>GSA Nozomi CMC and Guardian System</x:v>
      </x:c>
      <x:c r="H600" s="170" t="str">
        <x:f>IF(A600="","",IF(B600="Decommissioning",INDEX('Raw Decommissioning'!$J$2:$J$1000,ROWS($A$5:A600)),INDEX('Raw Provisioning'!$L$2:$L$1000,ROWS($A$5:A600)-COUNTA('Raw Decommissioning'!$B$2:$B$1000))))</x:f>
        <x:v>GSA Nozomi CMC and Guardian System</x:v>
      </x:c>
      <x:c r="I600" s="170" t="str">
        <x:f>IF(A600="","",IF(B600="Decommissioning",INDEX('Raw Decommissioning'!$AL$2:$AL$1000,ROWS($A$5:A600)),INDEX('Raw Provisioning'!$R$2:$R$1000,ROWS($A$5:A600)-COUNTA('Raw Decommissioning'!$B$2:$B$1000))))</x:f>
      </x:c>
      <x:c r="J600" s="170" t="str">
        <x:f>IF(A600="","",IF(B600="Decommissioning",INDEX('Raw Decommissioning'!$AG$2:$AG$1000,ROWS($A$5:A600)),INDEX('Raw Provisioning'!$AI$2:$AI$1000,ROWS($A$5:A600)-COUNTA('Raw Decommissioning'!$B$2:$B$1000))))</x:f>
        <x:v>IMS - CLOUD CSSP EXECUTOR</x:v>
      </x:c>
      <x:c r="K600" s="172" t="str">
        <x:f>IF(A600="","",IFERROR(LOOKUP(2,1/('Assignment History'!$B$5:$B$204=A600),'Assignment History'!$D$5:$D$204),IFERROR(VLOOKUP(J600,Configuration!$L$5:$M$50,2,FALSE),J600)))</x:f>
        <x:v>IMS - CLOUD CSSP EXECUTOR</x:v>
      </x:c>
      <x:c r="L600" s="172" t="str">
        <x:f>IF(A600="","",IF(K600=IFERROR(VLOOKUP(J600,Configuration!$L$5:$M$50,2,FALSE),J600),"Snapshot PIC","Replacement PIC"))</x:f>
        <x:v>Snapshot PIC</x:v>
      </x:c>
      <x:c r="M600" s="172" t="n">
        <x:f>IF(A600="","",IFERROR(VLOOKUP(I600,Configuration!$O$5:$P$8,2,FALSE),Configuration!$S$6))</x:f>
        <x:v>2</x:v>
      </x:c>
      <x:c r="N600" s="172" t="str">
        <x:f>IF(A600="","",IFERROR(LOOKUP(2,1/('Scope Review'!$B$5:$B$204=A600),'Scope Review'!$G$5:$G$204),"Not Reviewed"))</x:f>
        <x:v>Not Reviewed</x:v>
      </x:c>
      <x:c r="O600" s="172" t="str">
        <x:f>IF(A600="","",IFERROR(LOOKUP(2,1/('Scope Review'!$B$5:$B$204=A600),'Scope Review'!$H$5:$H$204),""))</x:f>
      </x:c>
      <x:c r="P600" s="172" t="n">
        <x:f>IF(A600="","",IF(AND(C600="executing",N600&lt;&gt;"Confirmed OOS"),M600,0))</x:f>
        <x:v>0</x:v>
      </x:c>
      <x:c r="Q600" s="173" t="str">
        <x:f>IF(A600="","",IFERROR(LOOKUP(2,1/('Engineer Updates'!$B$5:$B$704=A600),'Engineer Updates'!$A$5:$A$704),""))</x:f>
      </x:c>
      <x:c r="R600" s="172" t="str">
        <x:f>IF(A600="","",IFERROR(LOOKUP(2,1/('Engineer Updates'!$B$5:$B$704=A600),'Engineer Updates'!$H$5:$H$704),""))</x:f>
      </x:c>
      <x:c r="S600" s="172" t="str">
        <x:f>IF(A600="","",IFERROR(LOOKUP(2,1/('Engineer Updates'!$B$5:$B$704=A600),'Engineer Updates'!$G$5:$G$704),""))</x:f>
      </x:c>
      <x:c r="T600" s="172" t="str">
        <x:f>IF(A600="","",IFERROR(LOOKUP(2,1/('Engineer Updates'!$B$5:$B$704=A600),'Engineer Updates'!$I$5:$I$704),""))</x:f>
      </x:c>
      <x:c r="U600" s="172" t="str">
        <x:f>IF(A600="","",IFERROR(LOOKUP(2,1/('Engineer Updates'!$B$5:$B$704=A600),'Engineer Updates'!$J$5:$J$704),""))</x:f>
      </x:c>
      <x:c r="V600" s="172" t="str">
        <x:f>IF(A600="","",IFERROR(LOOKUP(2,1/('Engineer Updates'!$B$5:$B$704=A600),'Engineer Updates'!$K$5:$K$704),""))</x:f>
      </x:c>
      <x:c r="W600" s="174" t="str">
        <x:f>IF(A600="","",IFERROR(LOOKUP(2,1/('Engineer Updates'!$B$5:$B$704=A600),'Engineer Updates'!$L$5:$L$704),""))</x:f>
      </x:c>
      <x:c r="X600" s="170" t="str">
        <x:f>IF(A600="","",IF(C600="completed","Completed in CSSP",IF(AND(C600="executing",ISERROR(SEARCH("@",K600))),"Executing without named engineer",IF(AND(N600="Confirmed OOS",C600="executing"),"Confirmed OOS still executing",""))))</x:f>
      </x:c>
      <x:c r="Y600" s="170" t="str">
        <x:f>IF(A600="","",IF(B600="Decommissioning","Raw Decommissioning","Raw Provisioning"))</x:f>
        <x:v>Raw Provisioning</x:v>
      </x:c>
      <x:c r="Z600" s="170" t="str">
        <x:f>IF(A600="","",IF(OR(C600="executing",C600="processing"),"Yes","No"))</x:f>
        <x:v>No</x:v>
      </x:c>
    </x:row>
    <x:row r="601">
      <x:c r="A601" s="170" t="str">
        <x:f>IF(ROWS($A$5:A601)&lt;=COUNTA('Raw Decommissioning'!$B$2:$B$1000),INDEX('Raw Decommissioning'!$B$2:$B$1000,ROWS($A$5:A601)),IF(ROWS($A$5:A601)-COUNTA('Raw Decommissioning'!$B$2:$B$1000)&lt;=COUNTA('Raw Provisioning'!$B$2:$B$1000),INDEX('Raw Provisioning'!$B$2:$B$1000,ROWS($A$5:A601)-COUNTA('Raw Decommissioning'!$B$2:$B$1000)),""))</x:f>
        <x:v>CSSP10567299</x:v>
      </x:c>
      <x:c r="B601" s="170" t="str">
        <x:f>IF(A601="","",IF(ROWS($A$5:A601)&lt;=COUNTA('Raw Decommissioning'!$B$2:$B$1000),"Decommissioning","Provisioning"))</x:f>
        <x:v>Provisioning</x:v>
      </x:c>
      <x:c r="C601" s="170" t="str">
        <x:f>IF(A601="","",IF(B601="Decommissioning",IFERROR(INDEX('Raw Decommissioning'!$E$2:$E$1000,MATCH(A601,'Raw Decommissioning'!$B$2:$B$1000,0)),"Missing from latest raw"),IFERROR(INDEX('Raw Provisioning'!$E$2:$E$1000,MATCH(A601,'Raw Provisioning'!$B$2:$B$1000,0)),"Missing from latest raw")))</x:f>
        <x:v>pending</x:v>
      </x:c>
      <x:c r="D601" s="171" t="n">
        <x:f>IF(A601="","",'Refresh Control'!$B$4)</x:f>
        <x:v>46254</x:v>
      </x:c>
      <x:c r="E601" s="171" t="n">
        <x:f>IF(A601="","",IF(B601="Decommissioning",INDEX('Raw Decommissioning'!$F$2:$F$1000,ROWS($A$5:A601)),INDEX('Raw Provisioning'!$F$2:$F$1000,ROWS($A$5:A601)-COUNTA('Raw Decommissioning'!$B$2:$B$1000))))</x:f>
        <x:v>46226.06059244213</x:v>
      </x:c>
      <x:c r="F601" s="171" t="n">
        <x:f>IF(A601="","",IF(B601="Decommissioning",INDEX('Raw Decommissioning'!$G$2:$G$1000,ROWS($A$5:A601)),INDEX('Raw Provisioning'!$H$2:$H$1000,ROWS($A$5:A601)-COUNTA('Raw Decommissioning'!$B$2:$B$1000))))</x:f>
        <x:v>46231.35033059028</x:v>
      </x:c>
      <x:c r="G601" s="170" t="str">
        <x:f>IF(A601="","",IF(B601="Decommissioning",INDEX('Raw Decommissioning'!$I$2:$I$1000,ROWS($A$5:A601)),INDEX('Raw Provisioning'!$J$2:$J$1000,ROWS($A$5:A601)-COUNTA('Raw Decommissioning'!$B$2:$B$1000))))</x:f>
        <x:v>SenseArco - CACS Inner Layer</x:v>
      </x:c>
      <x:c r="H601" s="170" t="str">
        <x:f>IF(A601="","",IF(B601="Decommissioning",INDEX('Raw Decommissioning'!$J$2:$J$1000,ROWS($A$5:A601)),INDEX('Raw Provisioning'!$L$2:$L$1000,ROWS($A$5:A601)-COUNTA('Raw Decommissioning'!$B$2:$B$1000))))</x:f>
        <x:v>Tower 3 CACS Technology Refresh for GS</x:v>
      </x:c>
      <x:c r="I601" s="170" t="str">
        <x:f>IF(A601="","",IF(B601="Decommissioning",INDEX('Raw Decommissioning'!$AL$2:$AL$1000,ROWS($A$5:A601)),INDEX('Raw Provisioning'!$R$2:$R$1000,ROWS($A$5:A601)-COUNTA('Raw Decommissioning'!$B$2:$B$1000))))</x:f>
        <x:v>M</x:v>
      </x:c>
      <x:c r="J601" s="170" t="str">
        <x:f>IF(A601="","",IF(B601="Decommissioning",INDEX('Raw Decommissioning'!$AG$2:$AG$1000,ROWS($A$5:A601)),INDEX('Raw Provisioning'!$AI$2:$AI$1000,ROWS($A$5:A601)-COUNTA('Raw Decommissioning'!$B$2:$B$1000))))</x:f>
        <x:v>IMS - CLOUD CSSP EXECUTOR</x:v>
      </x:c>
      <x:c r="K601" s="172" t="str">
        <x:f>IF(A601="","",IFERROR(LOOKUP(2,1/('Assignment History'!$B$5:$B$204=A601),'Assignment History'!$D$5:$D$204),IFERROR(VLOOKUP(J601,Configuration!$L$5:$M$50,2,FALSE),J601)))</x:f>
        <x:v>IMS - CLOUD CSSP EXECUTOR</x:v>
      </x:c>
      <x:c r="L601" s="172" t="str">
        <x:f>IF(A601="","",IF(K601=IFERROR(VLOOKUP(J601,Configuration!$L$5:$M$50,2,FALSE),J601),"Snapshot PIC","Replacement PIC"))</x:f>
        <x:v>Snapshot PIC</x:v>
      </x:c>
      <x:c r="M601" s="172" t="n">
        <x:f>IF(A601="","",IFERROR(VLOOKUP(I601,Configuration!$O$5:$P$8,2,FALSE),Configuration!$S$6))</x:f>
        <x:v>2</x:v>
      </x:c>
      <x:c r="N601" s="172" t="str">
        <x:f>IF(A601="","",IFERROR(LOOKUP(2,1/('Scope Review'!$B$5:$B$204=A601),'Scope Review'!$G$5:$G$204),"Not Reviewed"))</x:f>
        <x:v>Not Reviewed</x:v>
      </x:c>
      <x:c r="O601" s="172" t="str">
        <x:f>IF(A601="","",IFERROR(LOOKUP(2,1/('Scope Review'!$B$5:$B$204=A601),'Scope Review'!$H$5:$H$204),""))</x:f>
      </x:c>
      <x:c r="P601" s="172" t="n">
        <x:f>IF(A601="","",IF(AND(C601="executing",N601&lt;&gt;"Confirmed OOS"),M601,0))</x:f>
        <x:v>0</x:v>
      </x:c>
      <x:c r="Q601" s="173" t="str">
        <x:f>IF(A601="","",IFERROR(LOOKUP(2,1/('Engineer Updates'!$B$5:$B$704=A601),'Engineer Updates'!$A$5:$A$704),""))</x:f>
      </x:c>
      <x:c r="R601" s="172" t="str">
        <x:f>IF(A601="","",IFERROR(LOOKUP(2,1/('Engineer Updates'!$B$5:$B$704=A601),'Engineer Updates'!$H$5:$H$704),""))</x:f>
      </x:c>
      <x:c r="S601" s="172" t="str">
        <x:f>IF(A601="","",IFERROR(LOOKUP(2,1/('Engineer Updates'!$B$5:$B$704=A601),'Engineer Updates'!$G$5:$G$704),""))</x:f>
      </x:c>
      <x:c r="T601" s="172" t="str">
        <x:f>IF(A601="","",IFERROR(LOOKUP(2,1/('Engineer Updates'!$B$5:$B$704=A601),'Engineer Updates'!$I$5:$I$704),""))</x:f>
      </x:c>
      <x:c r="U601" s="172" t="str">
        <x:f>IF(A601="","",IFERROR(LOOKUP(2,1/('Engineer Updates'!$B$5:$B$704=A601),'Engineer Updates'!$J$5:$J$704),""))</x:f>
      </x:c>
      <x:c r="V601" s="172" t="str">
        <x:f>IF(A601="","",IFERROR(LOOKUP(2,1/('Engineer Updates'!$B$5:$B$704=A601),'Engineer Updates'!$K$5:$K$704),""))</x:f>
      </x:c>
      <x:c r="W601" s="174" t="str">
        <x:f>IF(A601="","",IFERROR(LOOKUP(2,1/('Engineer Updates'!$B$5:$B$704=A601),'Engineer Updates'!$L$5:$L$704),""))</x:f>
      </x:c>
      <x:c r="X601" s="170" t="str">
        <x:f>IF(A601="","",IF(C601="completed","Completed in CSSP",IF(AND(C601="executing",ISERROR(SEARCH("@",K601))),"Executing without named engineer",IF(AND(N601="Confirmed OOS",C601="executing"),"Confirmed OOS still executing",""))))</x:f>
      </x:c>
      <x:c r="Y601" s="170" t="str">
        <x:f>IF(A601="","",IF(B601="Decommissioning","Raw Decommissioning","Raw Provisioning"))</x:f>
        <x:v>Raw Provisioning</x:v>
      </x:c>
      <x:c r="Z601" s="170" t="str">
        <x:f>IF(A601="","",IF(OR(C601="executing",C601="processing"),"Yes","No"))</x:f>
        <x:v>No</x:v>
      </x:c>
    </x:row>
    <x:row r="602">
      <x:c r="A602" s="170" t="str">
        <x:f>IF(ROWS($A$5:A602)&lt;=COUNTA('Raw Decommissioning'!$B$2:$B$1000),INDEX('Raw Decommissioning'!$B$2:$B$1000,ROWS($A$5:A602)),IF(ROWS($A$5:A602)-COUNTA('Raw Decommissioning'!$B$2:$B$1000)&lt;=COUNTA('Raw Provisioning'!$B$2:$B$1000),INDEX('Raw Provisioning'!$B$2:$B$1000,ROWS($A$5:A602)-COUNTA('Raw Decommissioning'!$B$2:$B$1000)),""))</x:f>
        <x:v>CSSP10697905</x:v>
      </x:c>
      <x:c r="B602" s="170" t="str">
        <x:f>IF(A602="","",IF(ROWS($A$5:A602)&lt;=COUNTA('Raw Decommissioning'!$B$2:$B$1000),"Decommissioning","Provisioning"))</x:f>
        <x:v>Provisioning</x:v>
      </x:c>
      <x:c r="C602" s="170" t="str">
        <x:f>IF(A602="","",IF(B602="Decommissioning",IFERROR(INDEX('Raw Decommissioning'!$E$2:$E$1000,MATCH(A602,'Raw Decommissioning'!$B$2:$B$1000,0)),"Missing from latest raw"),IFERROR(INDEX('Raw Provisioning'!$E$2:$E$1000,MATCH(A602,'Raw Provisioning'!$B$2:$B$1000,0)),"Missing from latest raw")))</x:f>
        <x:v>rejected</x:v>
      </x:c>
      <x:c r="D602" s="171" t="n">
        <x:f>IF(A602="","",'Refresh Control'!$B$4)</x:f>
        <x:v>46254</x:v>
      </x:c>
      <x:c r="E602" s="171" t="n">
        <x:f>IF(A602="","",IF(B602="Decommissioning",INDEX('Raw Decommissioning'!$F$2:$F$1000,ROWS($A$5:A602)),INDEX('Raw Provisioning'!$F$2:$F$1000,ROWS($A$5:A602)-COUNTA('Raw Decommissioning'!$B$2:$B$1000))))</x:f>
        <x:v>46226.14383378472</x:v>
      </x:c>
      <x:c r="F602" s="171" t="n">
        <x:f>IF(A602="","",IF(B602="Decommissioning",INDEX('Raw Decommissioning'!$G$2:$G$1000,ROWS($A$5:A602)),INDEX('Raw Provisioning'!$H$2:$H$1000,ROWS($A$5:A602)-COUNTA('Raw Decommissioning'!$B$2:$B$1000))))</x:f>
        <x:v>46231.34883914352</x:v>
      </x:c>
      <x:c r="G602" s="170" t="str">
        <x:f>IF(A602="","",IF(B602="Decommissioning",INDEX('Raw Decommissioning'!$I$2:$I$1000,ROWS($A$5:A602)),INDEX('Raw Provisioning'!$J$2:$J$1000,ROWS($A$5:A602)-COUNTA('Raw Decommissioning'!$B$2:$B$1000))))</x:f>
        <x:v>Copilot Studio PAYG</x:v>
      </x:c>
      <x:c r="H602" s="170" t="str">
        <x:f>IF(A602="","",IF(B602="Decommissioning",INDEX('Raw Decommissioning'!$J$2:$J$1000,ROWS($A$5:A602)),INDEX('Raw Provisioning'!$L$2:$L$1000,ROWS($A$5:A602)-COUNTA('Raw Decommissioning'!$B$2:$B$1000))))</x:f>
        <x:v>Enterprise AI Agent Program: 007 License to Transform</x:v>
      </x:c>
      <x:c r="I602" s="170" t="str">
        <x:f>IF(A602="","",IF(B602="Decommissioning",INDEX('Raw Decommissioning'!$AL$2:$AL$1000,ROWS($A$5:A602)),INDEX('Raw Provisioning'!$R$2:$R$1000,ROWS($A$5:A602)-COUNTA('Raw Decommissioning'!$B$2:$B$1000))))</x:f>
        <x:v>M</x:v>
      </x:c>
      <x:c r="J602" s="170" t="str">
        <x:f>IF(A602="","",IF(B602="Decommissioning",INDEX('Raw Decommissioning'!$AG$2:$AG$1000,ROWS($A$5:A602)),INDEX('Raw Provisioning'!$AI$2:$AI$1000,ROWS($A$5:A602)-COUNTA('Raw Decommissioning'!$B$2:$B$1000))))</x:f>
        <x:v>IMS - CLOUD CSSP EXECUTOR</x:v>
      </x:c>
      <x:c r="K602" s="172" t="str">
        <x:f>IF(A602="","",IFERROR(LOOKUP(2,1/('Assignment History'!$B$5:$B$204=A602),'Assignment History'!$D$5:$D$204),IFERROR(VLOOKUP(J602,Configuration!$L$5:$M$50,2,FALSE),J602)))</x:f>
        <x:v>IMS - CLOUD CSSP EXECUTOR</x:v>
      </x:c>
      <x:c r="L602" s="172" t="str">
        <x:f>IF(A602="","",IF(K602=IFERROR(VLOOKUP(J602,Configuration!$L$5:$M$50,2,FALSE),J602),"Snapshot PIC","Replacement PIC"))</x:f>
        <x:v>Snapshot PIC</x:v>
      </x:c>
      <x:c r="M602" s="172" t="n">
        <x:f>IF(A602="","",IFERROR(VLOOKUP(I602,Configuration!$O$5:$P$8,2,FALSE),Configuration!$S$6))</x:f>
        <x:v>2</x:v>
      </x:c>
      <x:c r="N602" s="172" t="str">
        <x:f>IF(A602="","",IFERROR(LOOKUP(2,1/('Scope Review'!$B$5:$B$204=A602),'Scope Review'!$G$5:$G$204),"Not Reviewed"))</x:f>
        <x:v>Not Reviewed</x:v>
      </x:c>
      <x:c r="O602" s="172" t="str">
        <x:f>IF(A602="","",IFERROR(LOOKUP(2,1/('Scope Review'!$B$5:$B$204=A602),'Scope Review'!$H$5:$H$204),""))</x:f>
      </x:c>
      <x:c r="P602" s="172" t="n">
        <x:f>IF(A602="","",IF(AND(C602="executing",N602&lt;&gt;"Confirmed OOS"),M602,0))</x:f>
        <x:v>0</x:v>
      </x:c>
      <x:c r="Q602" s="173" t="str">
        <x:f>IF(A602="","",IFERROR(LOOKUP(2,1/('Engineer Updates'!$B$5:$B$704=A602),'Engineer Updates'!$A$5:$A$704),""))</x:f>
      </x:c>
      <x:c r="R602" s="172" t="str">
        <x:f>IF(A602="","",IFERROR(LOOKUP(2,1/('Engineer Updates'!$B$5:$B$704=A602),'Engineer Updates'!$H$5:$H$704),""))</x:f>
      </x:c>
      <x:c r="S602" s="172" t="str">
        <x:f>IF(A602="","",IFERROR(LOOKUP(2,1/('Engineer Updates'!$B$5:$B$704=A602),'Engineer Updates'!$G$5:$G$704),""))</x:f>
      </x:c>
      <x:c r="T602" s="172" t="str">
        <x:f>IF(A602="","",IFERROR(LOOKUP(2,1/('Engineer Updates'!$B$5:$B$704=A602),'Engineer Updates'!$I$5:$I$704),""))</x:f>
      </x:c>
      <x:c r="U602" s="172" t="str">
        <x:f>IF(A602="","",IFERROR(LOOKUP(2,1/('Engineer Updates'!$B$5:$B$704=A602),'Engineer Updates'!$J$5:$J$704),""))</x:f>
      </x:c>
      <x:c r="V602" s="172" t="str">
        <x:f>IF(A602="","",IFERROR(LOOKUP(2,1/('Engineer Updates'!$B$5:$B$704=A602),'Engineer Updates'!$K$5:$K$704),""))</x:f>
      </x:c>
      <x:c r="W602" s="174" t="str">
        <x:f>IF(A602="","",IFERROR(LOOKUP(2,1/('Engineer Updates'!$B$5:$B$704=A602),'Engineer Updates'!$L$5:$L$704),""))</x:f>
      </x:c>
      <x:c r="X602" s="170" t="str">
        <x:f>IF(A602="","",IF(C602="completed","Completed in CSSP",IF(AND(C602="executing",ISERROR(SEARCH("@",K602))),"Executing without named engineer",IF(AND(N602="Confirmed OOS",C602="executing"),"Confirmed OOS still executing",""))))</x:f>
      </x:c>
      <x:c r="Y602" s="170" t="str">
        <x:f>IF(A602="","",IF(B602="Decommissioning","Raw Decommissioning","Raw Provisioning"))</x:f>
        <x:v>Raw Provisioning</x:v>
      </x:c>
      <x:c r="Z602" s="170" t="str">
        <x:f>IF(A602="","",IF(OR(C602="executing",C602="processing"),"Yes","No"))</x:f>
        <x:v>No</x:v>
      </x:c>
    </x:row>
    <x:row r="603">
      <x:c r="A603" s="170" t="str">
        <x:f>IF(ROWS($A$5:A603)&lt;=COUNTA('Raw Decommissioning'!$B$2:$B$1000),INDEX('Raw Decommissioning'!$B$2:$B$1000,ROWS($A$5:A603)),IF(ROWS($A$5:A603)-COUNTA('Raw Decommissioning'!$B$2:$B$1000)&lt;=COUNTA('Raw Provisioning'!$B$2:$B$1000),INDEX('Raw Provisioning'!$B$2:$B$1000,ROWS($A$5:A603)-COUNTA('Raw Decommissioning'!$B$2:$B$1000)),""))</x:f>
        <x:v>CSSP10233187</x:v>
      </x:c>
      <x:c r="B603" s="170" t="str">
        <x:f>IF(A603="","",IF(ROWS($A$5:A603)&lt;=COUNTA('Raw Decommissioning'!$B$2:$B$1000),"Decommissioning","Provisioning"))</x:f>
        <x:v>Provisioning</x:v>
      </x:c>
      <x:c r="C603" s="170" t="str">
        <x:f>IF(A603="","",IF(B603="Decommissioning",IFERROR(INDEX('Raw Decommissioning'!$E$2:$E$1000,MATCH(A603,'Raw Decommissioning'!$B$2:$B$1000,0)),"Missing from latest raw"),IFERROR(INDEX('Raw Provisioning'!$E$2:$E$1000,MATCH(A603,'Raw Provisioning'!$B$2:$B$1000,0)),"Missing from latest raw")))</x:f>
        <x:v>executing</x:v>
      </x:c>
      <x:c r="D603" s="171" t="n">
        <x:f>IF(A603="","",'Refresh Control'!$B$4)</x:f>
        <x:v>46254</x:v>
      </x:c>
      <x:c r="E603" s="171" t="n">
        <x:f>IF(A603="","",IF(B603="Decommissioning",INDEX('Raw Decommissioning'!$F$2:$F$1000,ROWS($A$5:A603)),INDEX('Raw Provisioning'!$F$2:$F$1000,ROWS($A$5:A603)-COUNTA('Raw Decommissioning'!$B$2:$B$1000))))</x:f>
        <x:v>46227.13684907407</x:v>
      </x:c>
      <x:c r="F603" s="171" t="n">
        <x:f>IF(A603="","",IF(B603="Decommissioning",INDEX('Raw Decommissioning'!$G$2:$G$1000,ROWS($A$5:A603)),INDEX('Raw Provisioning'!$H$2:$H$1000,ROWS($A$5:A603)-COUNTA('Raw Decommissioning'!$B$2:$B$1000))))</x:f>
        <x:v>46233.102639467594</x:v>
      </x:c>
      <x:c r="G603" s="170" t="str">
        <x:f>IF(A603="","",IF(B603="Decommissioning",INDEX('Raw Decommissioning'!$I$2:$I$1000,ROWS($A$5:A603)),INDEX('Raw Provisioning'!$J$2:$J$1000,ROWS($A$5:A603)-COUNTA('Raw Decommissioning'!$B$2:$B$1000))))</x:f>
        <x:v>Zidane OVC</x:v>
      </x:c>
      <x:c r="H603" s="170" t="str">
        <x:f>IF(A603="","",IF(B603="Decommissioning",INDEX('Raw Decommissioning'!$J$2:$J$1000,ROWS($A$5:A603)),INDEX('Raw Provisioning'!$L$2:$L$1000,ROWS($A$5:A603)-COUNTA('Raw Decommissioning'!$B$2:$B$1000))))</x:f>
        <x:v>Provision of Professional Service, Software License and Infra for ArBiTra (OVC &amp; LVC) 2025 for PTLCL</x:v>
      </x:c>
      <x:c r="I603" s="170" t="str">
        <x:f>IF(A603="","",IF(B603="Decommissioning",INDEX('Raw Decommissioning'!$AL$2:$AL$1000,ROWS($A$5:A603)),INDEX('Raw Provisioning'!$R$2:$R$1000,ROWS($A$5:A603)-COUNTA('Raw Decommissioning'!$B$2:$B$1000))))</x:f>
        <x:v>L</x:v>
      </x:c>
      <x:c r="J603" s="170" t="str">
        <x:f>IF(A603="","",IF(B603="Decommissioning",INDEX('Raw Decommissioning'!$AG$2:$AG$1000,ROWS($A$5:A603)),INDEX('Raw Provisioning'!$AI$2:$AI$1000,ROWS($A$5:A603)-COUNTA('Raw Decommissioning'!$B$2:$B$1000))))</x:f>
        <x:v>abhishek.bhowate@petronas.com</x:v>
      </x:c>
      <x:c r="K603" s="172" t="str">
        <x:f>IF(A603="","",IFERROR(LOOKUP(2,1/('Assignment History'!$B$5:$B$204=A603),'Assignment History'!$D$5:$D$204),IFERROR(VLOOKUP(J603,Configuration!$L$5:$M$50,2,FALSE),J603)))</x:f>
        <x:v>abhishek.bhowate@petronas.com</x:v>
      </x:c>
      <x:c r="L603" s="172" t="str">
        <x:f>IF(A603="","",IF(K603=IFERROR(VLOOKUP(J603,Configuration!$L$5:$M$50,2,FALSE),J603),"Snapshot PIC","Replacement PIC"))</x:f>
        <x:v>Snapshot PIC</x:v>
      </x:c>
      <x:c r="M603" s="172" t="n">
        <x:f>IF(A603="","",IFERROR(VLOOKUP(I603,Configuration!$O$5:$P$8,2,FALSE),Configuration!$S$6))</x:f>
        <x:v>3</x:v>
      </x:c>
      <x:c r="N603" s="172" t="str">
        <x:f>IF(A603="","",IFERROR(LOOKUP(2,1/('Scope Review'!$B$5:$B$204=A603),'Scope Review'!$G$5:$G$204),"Not Reviewed"))</x:f>
        <x:v>Not Reviewed</x:v>
      </x:c>
      <x:c r="O603" s="172" t="str">
        <x:f>IF(A603="","",IFERROR(LOOKUP(2,1/('Scope Review'!$B$5:$B$204=A603),'Scope Review'!$H$5:$H$204),""))</x:f>
      </x:c>
      <x:c r="P603" s="172" t="n">
        <x:f>IF(A603="","",IF(AND(C603="executing",N603&lt;&gt;"Confirmed OOS"),M603,0))</x:f>
        <x:v>3</x:v>
      </x:c>
      <x:c r="Q603" s="173" t="n">
        <x:f>IF(A603="","",IFERROR(LOOKUP(2,1/('Engineer Updates'!$B$5:$B$704=A603),'Engineer Updates'!$A$5:$A$704),""))</x:f>
        <x:v>46251</x:v>
      </x:c>
      <x:c r="R603" s="172" t="str">
        <x:f>IF(A603="","",IFERROR(LOOKUP(2,1/('Engineer Updates'!$B$5:$B$704=A603),'Engineer Updates'!$H$5:$H$704),""))</x:f>
        <x:v>Not Started</x:v>
      </x:c>
      <x:c r="S603" s="172" t="str">
        <x:f>IF(A603="","",IFERROR(LOOKUP(2,1/('Engineer Updates'!$B$5:$B$704=A603),'Engineer Updates'!$G$5:$G$704),""))</x:f>
      </x:c>
      <x:c r="T603" s="172" t="str">
        <x:f>IF(A603="","",IFERROR(LOOKUP(2,1/('Engineer Updates'!$B$5:$B$704=A603),'Engineer Updates'!$I$5:$I$704),""))</x:f>
      </x:c>
      <x:c r="U603" s="172" t="str">
        <x:f>IF(A603="","",IFERROR(LOOKUP(2,1/('Engineer Updates'!$B$5:$B$704=A603),'Engineer Updates'!$J$5:$J$704),""))</x:f>
      </x:c>
      <x:c r="V603" s="172" t="str">
        <x:f>IF(A603="","",IFERROR(LOOKUP(2,1/('Engineer Updates'!$B$5:$B$704=A603),'Engineer Updates'!$K$5:$K$704),""))</x:f>
      </x:c>
      <x:c r="W603" s="174" t="str">
        <x:f>IF(A603="","",IFERROR(LOOKUP(2,1/('Engineer Updates'!$B$5:$B$704=A603),'Engineer Updates'!$L$5:$L$704),""))</x:f>
      </x:c>
      <x:c r="X603" s="170" t="str">
        <x:f>IF(A603="","",IF(C603="completed","Completed in CSSP",IF(AND(C603="executing",ISERROR(SEARCH("@",K603))),"Executing without named engineer",IF(AND(N603="Confirmed OOS",C603="executing"),"Confirmed OOS still executing",""))))</x:f>
      </x:c>
      <x:c r="Y603" s="170" t="str">
        <x:f>IF(A603="","",IF(B603="Decommissioning","Raw Decommissioning","Raw Provisioning"))</x:f>
        <x:v>Raw Provisioning</x:v>
      </x:c>
      <x:c r="Z603" s="170" t="str">
        <x:f>IF(A603="","",IF(OR(C603="executing",C603="processing"),"Yes","No"))</x:f>
        <x:v>Yes</x:v>
      </x:c>
    </x:row>
    <x:row r="604">
      <x:c r="A604" s="170" t="str">
        <x:f>IF(ROWS($A$5:A604)&lt;=COUNTA('Raw Decommissioning'!$B$2:$B$1000),INDEX('Raw Decommissioning'!$B$2:$B$1000,ROWS($A$5:A604)),IF(ROWS($A$5:A604)-COUNTA('Raw Decommissioning'!$B$2:$B$1000)&lt;=COUNTA('Raw Provisioning'!$B$2:$B$1000),INDEX('Raw Provisioning'!$B$2:$B$1000,ROWS($A$5:A604)-COUNTA('Raw Decommissioning'!$B$2:$B$1000)),""))</x:f>
        <x:v>CSSP10245235</x:v>
      </x:c>
      <x:c r="B604" s="170" t="str">
        <x:f>IF(A604="","",IF(ROWS($A$5:A604)&lt;=COUNTA('Raw Decommissioning'!$B$2:$B$1000),"Decommissioning","Provisioning"))</x:f>
        <x:v>Provisioning</x:v>
      </x:c>
      <x:c r="C604" s="170" t="str">
        <x:f>IF(A604="","",IF(B604="Decommissioning",IFERROR(INDEX('Raw Decommissioning'!$E$2:$E$1000,MATCH(A604,'Raw Decommissioning'!$B$2:$B$1000,0)),"Missing from latest raw"),IFERROR(INDEX('Raw Provisioning'!$E$2:$E$1000,MATCH(A604,'Raw Provisioning'!$B$2:$B$1000,0)),"Missing from latest raw")))</x:f>
        <x:v>executing</x:v>
      </x:c>
      <x:c r="D604" s="171" t="n">
        <x:f>IF(A604="","",'Refresh Control'!$B$4)</x:f>
        <x:v>46254</x:v>
      </x:c>
      <x:c r="E604" s="171" t="n">
        <x:f>IF(A604="","",IF(B604="Decommissioning",INDEX('Raw Decommissioning'!$F$2:$F$1000,ROWS($A$5:A604)),INDEX('Raw Provisioning'!$F$2:$F$1000,ROWS($A$5:A604)-COUNTA('Raw Decommissioning'!$B$2:$B$1000))))</x:f>
        <x:v>46227.353034155094</x:v>
      </x:c>
      <x:c r="F604" s="171" t="n">
        <x:f>IF(A604="","",IF(B604="Decommissioning",INDEX('Raw Decommissioning'!$G$2:$G$1000,ROWS($A$5:A604)),INDEX('Raw Provisioning'!$H$2:$H$1000,ROWS($A$5:A604)-COUNTA('Raw Decommissioning'!$B$2:$B$1000))))</x:f>
        <x:v>46233.10234542824</x:v>
      </x:c>
      <x:c r="G604" s="170" t="str">
        <x:f>IF(A604="","",IF(B604="Decommissioning",INDEX('Raw Decommissioning'!$I$2:$I$1000,ROWS($A$5:A604)),INDEX('Raw Provisioning'!$J$2:$J$1000,ROWS($A$5:A604)-COUNTA('Raw Decommissioning'!$B$2:$B$1000))))</x:f>
        <x:v>Enhancement of Enhanced Resource Monetization by Artificial Intelligence - ERMAI Phase 3 for Malaysia Petroleum Management - MPM</x:v>
      </x:c>
      <x:c r="H604" s="170" t="str">
        <x:f>IF(A604="","",IF(B604="Decommissioning",INDEX('Raw Decommissioning'!$J$2:$J$1000,ROWS($A$5:A604)),INDEX('Raw Provisioning'!$L$2:$L$1000,ROWS($A$5:A604)-COUNTA('Raw Decommissioning'!$B$2:$B$1000))))</x:f>
        <x:v>Enhancement of Enhanced Resource Monetization by Artificial Intelligence (ERMAI) Phase 4</x:v>
      </x:c>
      <x:c r="I604" s="170" t="str">
        <x:f>IF(A604="","",IF(B604="Decommissioning",INDEX('Raw Decommissioning'!$AL$2:$AL$1000,ROWS($A$5:A604)),INDEX('Raw Provisioning'!$R$2:$R$1000,ROWS($A$5:A604)-COUNTA('Raw Decommissioning'!$B$2:$B$1000))))</x:f>
        <x:v>M</x:v>
      </x:c>
      <x:c r="J604" s="170" t="str">
        <x:f>IF(A604="","",IF(B604="Decommissioning",INDEX('Raw Decommissioning'!$AG$2:$AG$1000,ROWS($A$5:A604)),INDEX('Raw Provisioning'!$AI$2:$AI$1000,ROWS($A$5:A604)-COUNTA('Raw Decommissioning'!$B$2:$B$1000))))</x:f>
        <x:v>K.saktivelu@petronas.com</x:v>
      </x:c>
      <x:c r="K604" s="172" t="str">
        <x:f>IF(A604="","",IFERROR(LOOKUP(2,1/('Assignment History'!$B$5:$B$204=A604),'Assignment History'!$D$5:$D$204),IFERROR(VLOOKUP(J604,Configuration!$L$5:$M$50,2,FALSE),J604)))</x:f>
        <x:v>k.saktivelu@petronas.com</x:v>
      </x:c>
      <x:c r="L604" s="172" t="str">
        <x:f>IF(A604="","",IF(K604=IFERROR(VLOOKUP(J604,Configuration!$L$5:$M$50,2,FALSE),J604),"Snapshot PIC","Replacement PIC"))</x:f>
        <x:v>Snapshot PIC</x:v>
      </x:c>
      <x:c r="M604" s="172" t="n">
        <x:f>IF(A604="","",IFERROR(VLOOKUP(I604,Configuration!$O$5:$P$8,2,FALSE),Configuration!$S$6))</x:f>
        <x:v>2</x:v>
      </x:c>
      <x:c r="N604" s="172" t="str">
        <x:f>IF(A604="","",IFERROR(LOOKUP(2,1/('Scope Review'!$B$5:$B$204=A604),'Scope Review'!$G$5:$G$204),"Not Reviewed"))</x:f>
        <x:v>Not Reviewed</x:v>
      </x:c>
      <x:c r="O604" s="172" t="str">
        <x:f>IF(A604="","",IFERROR(LOOKUP(2,1/('Scope Review'!$B$5:$B$204=A604),'Scope Review'!$H$5:$H$204),""))</x:f>
      </x:c>
      <x:c r="P604" s="172" t="n">
        <x:f>IF(A604="","",IF(AND(C604="executing",N604&lt;&gt;"Confirmed OOS"),M604,0))</x:f>
        <x:v>2</x:v>
      </x:c>
      <x:c r="Q604" s="173" t="n">
        <x:f>IF(A604="","",IFERROR(LOOKUP(2,1/('Engineer Updates'!$B$5:$B$704=A604),'Engineer Updates'!$A$5:$A$704),""))</x:f>
        <x:v>46251</x:v>
      </x:c>
      <x:c r="R604" s="172" t="str">
        <x:f>IF(A604="","",IFERROR(LOOKUP(2,1/('Engineer Updates'!$B$5:$B$704=A604),'Engineer Updates'!$H$5:$H$704),""))</x:f>
        <x:v>Not Started</x:v>
      </x:c>
      <x:c r="S604" s="172" t="str">
        <x:f>IF(A604="","",IFERROR(LOOKUP(2,1/('Engineer Updates'!$B$5:$B$704=A604),'Engineer Updates'!$G$5:$G$704),""))</x:f>
      </x:c>
      <x:c r="T604" s="172" t="str">
        <x:f>IF(A604="","",IFERROR(LOOKUP(2,1/('Engineer Updates'!$B$5:$B$704=A604),'Engineer Updates'!$I$5:$I$704),""))</x:f>
      </x:c>
      <x:c r="U604" s="172" t="str">
        <x:f>IF(A604="","",IFERROR(LOOKUP(2,1/('Engineer Updates'!$B$5:$B$704=A604),'Engineer Updates'!$J$5:$J$704),""))</x:f>
      </x:c>
      <x:c r="V604" s="172" t="str">
        <x:f>IF(A604="","",IFERROR(LOOKUP(2,1/('Engineer Updates'!$B$5:$B$704=A604),'Engineer Updates'!$K$5:$K$704),""))</x:f>
      </x:c>
      <x:c r="W604" s="174" t="str">
        <x:f>IF(A604="","",IFERROR(LOOKUP(2,1/('Engineer Updates'!$B$5:$B$704=A604),'Engineer Updates'!$L$5:$L$704),""))</x:f>
      </x:c>
      <x:c r="X604" s="170" t="str">
        <x:f>IF(A604="","",IF(C604="completed","Completed in CSSP",IF(AND(C604="executing",ISERROR(SEARCH("@",K604))),"Executing without named engineer",IF(AND(N604="Confirmed OOS",C604="executing"),"Confirmed OOS still executing",""))))</x:f>
      </x:c>
      <x:c r="Y604" s="170" t="str">
        <x:f>IF(A604="","",IF(B604="Decommissioning","Raw Decommissioning","Raw Provisioning"))</x:f>
        <x:v>Raw Provisioning</x:v>
      </x:c>
      <x:c r="Z604" s="170" t="str">
        <x:f>IF(A604="","",IF(OR(C604="executing",C604="processing"),"Yes","No"))</x:f>
        <x:v>Yes</x:v>
      </x:c>
    </x:row>
    <x:row r="605">
      <x:c r="A605" s="170" t="str">
        <x:f>IF(ROWS($A$5:A605)&lt;=COUNTA('Raw Decommissioning'!$B$2:$B$1000),INDEX('Raw Decommissioning'!$B$2:$B$1000,ROWS($A$5:A605)),IF(ROWS($A$5:A605)-COUNTA('Raw Decommissioning'!$B$2:$B$1000)&lt;=COUNTA('Raw Provisioning'!$B$2:$B$1000),INDEX('Raw Provisioning'!$B$2:$B$1000,ROWS($A$5:A605)-COUNTA('Raw Decommissioning'!$B$2:$B$1000)),""))</x:f>
        <x:v>CSSP10865009</x:v>
      </x:c>
      <x:c r="B605" s="170" t="str">
        <x:f>IF(A605="","",IF(ROWS($A$5:A605)&lt;=COUNTA('Raw Decommissioning'!$B$2:$B$1000),"Decommissioning","Provisioning"))</x:f>
        <x:v>Provisioning</x:v>
      </x:c>
      <x:c r="C605" s="170" t="str">
        <x:f>IF(A605="","",IF(B605="Decommissioning",IFERROR(INDEX('Raw Decommissioning'!$E$2:$E$1000,MATCH(A605,'Raw Decommissioning'!$B$2:$B$1000,0)),"Missing from latest raw"),IFERROR(INDEX('Raw Provisioning'!$E$2:$E$1000,MATCH(A605,'Raw Provisioning'!$B$2:$B$1000,0)),"Missing from latest raw")))</x:f>
        <x:v>executing</x:v>
      </x:c>
      <x:c r="D605" s="171" t="n">
        <x:f>IF(A605="","",'Refresh Control'!$B$4)</x:f>
        <x:v>46254</x:v>
      </x:c>
      <x:c r="E605" s="171" t="n">
        <x:f>IF(A605="","",IF(B605="Decommissioning",INDEX('Raw Decommissioning'!$F$2:$F$1000,ROWS($A$5:A605)),INDEX('Raw Provisioning'!$F$2:$F$1000,ROWS($A$5:A605)-COUNTA('Raw Decommissioning'!$B$2:$B$1000))))</x:f>
        <x:v>46227.355753564814</x:v>
      </x:c>
      <x:c r="F605" s="171" t="n">
        <x:f>IF(A605="","",IF(B605="Decommissioning",INDEX('Raw Decommissioning'!$G$2:$G$1000,ROWS($A$5:A605)),INDEX('Raw Provisioning'!$H$2:$H$1000,ROWS($A$5:A605)-COUNTA('Raw Decommissioning'!$B$2:$B$1000))))</x:f>
        <x:v>46233.10205086805</x:v>
      </x:c>
      <x:c r="G605" s="170" t="str">
        <x:f>IF(A605="","",IF(B605="Decommissioning",INDEX('Raw Decommissioning'!$I$2:$I$1000,ROWS($A$5:A605)),INDEX('Raw Provisioning'!$J$2:$J$1000,ROWS($A$5:A605)-COUNTA('Raw Decommissioning'!$B$2:$B$1000))))</x:f>
        <x:v>Enhancement of Enhanced Resource Monetization by Artificial Intelligence - ERMAI Phase 3 for Malaysia Petroleum Management - MPM</x:v>
      </x:c>
      <x:c r="H605" s="170" t="str">
        <x:f>IF(A605="","",IF(B605="Decommissioning",INDEX('Raw Decommissioning'!$J$2:$J$1000,ROWS($A$5:A605)),INDEX('Raw Provisioning'!$L$2:$L$1000,ROWS($A$5:A605)-COUNTA('Raw Decommissioning'!$B$2:$B$1000))))</x:f>
        <x:v>Enhancement of Enhanced Resource Monetization by Artificial Intelligence (ERMAI) Phase 4</x:v>
      </x:c>
      <x:c r="I605" s="170" t="str">
        <x:f>IF(A605="","",IF(B605="Decommissioning",INDEX('Raw Decommissioning'!$AL$2:$AL$1000,ROWS($A$5:A605)),INDEX('Raw Provisioning'!$R$2:$R$1000,ROWS($A$5:A605)-COUNTA('Raw Decommissioning'!$B$2:$B$1000))))</x:f>
        <x:v>M</x:v>
      </x:c>
      <x:c r="J605" s="170" t="str">
        <x:f>IF(A605="","",IF(B605="Decommissioning",INDEX('Raw Decommissioning'!$AG$2:$AG$1000,ROWS($A$5:A605)),INDEX('Raw Provisioning'!$AI$2:$AI$1000,ROWS($A$5:A605)-COUNTA('Raw Decommissioning'!$B$2:$B$1000))))</x:f>
        <x:v>K.saktivelu@petronas.com</x:v>
      </x:c>
      <x:c r="K605" s="172" t="str">
        <x:f>IF(A605="","",IFERROR(LOOKUP(2,1/('Assignment History'!$B$5:$B$204=A605),'Assignment History'!$D$5:$D$204),IFERROR(VLOOKUP(J605,Configuration!$L$5:$M$50,2,FALSE),J605)))</x:f>
        <x:v>k.saktivelu@petronas.com</x:v>
      </x:c>
      <x:c r="L605" s="172" t="str">
        <x:f>IF(A605="","",IF(K605=IFERROR(VLOOKUP(J605,Configuration!$L$5:$M$50,2,FALSE),J605),"Snapshot PIC","Replacement PIC"))</x:f>
        <x:v>Snapshot PIC</x:v>
      </x:c>
      <x:c r="M605" s="172" t="n">
        <x:f>IF(A605="","",IFERROR(VLOOKUP(I605,Configuration!$O$5:$P$8,2,FALSE),Configuration!$S$6))</x:f>
        <x:v>2</x:v>
      </x:c>
      <x:c r="N605" s="172" t="str">
        <x:f>IF(A605="","",IFERROR(LOOKUP(2,1/('Scope Review'!$B$5:$B$204=A605),'Scope Review'!$G$5:$G$204),"Not Reviewed"))</x:f>
        <x:v>Not Reviewed</x:v>
      </x:c>
      <x:c r="O605" s="172" t="str">
        <x:f>IF(A605="","",IFERROR(LOOKUP(2,1/('Scope Review'!$B$5:$B$204=A605),'Scope Review'!$H$5:$H$204),""))</x:f>
      </x:c>
      <x:c r="P605" s="172" t="n">
        <x:f>IF(A605="","",IF(AND(C605="executing",N605&lt;&gt;"Confirmed OOS"),M605,0))</x:f>
        <x:v>2</x:v>
      </x:c>
      <x:c r="Q605" s="173" t="n">
        <x:f>IF(A605="","",IFERROR(LOOKUP(2,1/('Engineer Updates'!$B$5:$B$704=A605),'Engineer Updates'!$A$5:$A$704),""))</x:f>
        <x:v>46251</x:v>
      </x:c>
      <x:c r="R605" s="172" t="str">
        <x:f>IF(A605="","",IFERROR(LOOKUP(2,1/('Engineer Updates'!$B$5:$B$704=A605),'Engineer Updates'!$H$5:$H$704),""))</x:f>
        <x:v>Not Started</x:v>
      </x:c>
      <x:c r="S605" s="172" t="str">
        <x:f>IF(A605="","",IFERROR(LOOKUP(2,1/('Engineer Updates'!$B$5:$B$704=A605),'Engineer Updates'!$G$5:$G$704),""))</x:f>
      </x:c>
      <x:c r="T605" s="172" t="str">
        <x:f>IF(A605="","",IFERROR(LOOKUP(2,1/('Engineer Updates'!$B$5:$B$704=A605),'Engineer Updates'!$I$5:$I$704),""))</x:f>
      </x:c>
      <x:c r="U605" s="172" t="str">
        <x:f>IF(A605="","",IFERROR(LOOKUP(2,1/('Engineer Updates'!$B$5:$B$704=A605),'Engineer Updates'!$J$5:$J$704),""))</x:f>
      </x:c>
      <x:c r="V605" s="172" t="str">
        <x:f>IF(A605="","",IFERROR(LOOKUP(2,1/('Engineer Updates'!$B$5:$B$704=A605),'Engineer Updates'!$K$5:$K$704),""))</x:f>
      </x:c>
      <x:c r="W605" s="174" t="str">
        <x:f>IF(A605="","",IFERROR(LOOKUP(2,1/('Engineer Updates'!$B$5:$B$704=A605),'Engineer Updates'!$L$5:$L$704),""))</x:f>
      </x:c>
      <x:c r="X605" s="170" t="str">
        <x:f>IF(A605="","",IF(C605="completed","Completed in CSSP",IF(AND(C605="executing",ISERROR(SEARCH("@",K605))),"Executing without named engineer",IF(AND(N605="Confirmed OOS",C605="executing"),"Confirmed OOS still executing",""))))</x:f>
      </x:c>
      <x:c r="Y605" s="170" t="str">
        <x:f>IF(A605="","",IF(B605="Decommissioning","Raw Decommissioning","Raw Provisioning"))</x:f>
        <x:v>Raw Provisioning</x:v>
      </x:c>
      <x:c r="Z605" s="170" t="str">
        <x:f>IF(A605="","",IF(OR(C605="executing",C605="processing"),"Yes","No"))</x:f>
        <x:v>Yes</x:v>
      </x:c>
    </x:row>
    <x:row r="606">
      <x:c r="A606" s="170" t="str">
        <x:f>IF(ROWS($A$5:A606)&lt;=COUNTA('Raw Decommissioning'!$B$2:$B$1000),INDEX('Raw Decommissioning'!$B$2:$B$1000,ROWS($A$5:A606)),IF(ROWS($A$5:A606)-COUNTA('Raw Decommissioning'!$B$2:$B$1000)&lt;=COUNTA('Raw Provisioning'!$B$2:$B$1000),INDEX('Raw Provisioning'!$B$2:$B$1000,ROWS($A$5:A606)-COUNTA('Raw Decommissioning'!$B$2:$B$1000)),""))</x:f>
        <x:v>CSSP10990776</x:v>
      </x:c>
      <x:c r="B606" s="170" t="str">
        <x:f>IF(A606="","",IF(ROWS($A$5:A606)&lt;=COUNTA('Raw Decommissioning'!$B$2:$B$1000),"Decommissioning","Provisioning"))</x:f>
        <x:v>Provisioning</x:v>
      </x:c>
      <x:c r="C606" s="170" t="str">
        <x:f>IF(A606="","",IF(B606="Decommissioning",IFERROR(INDEX('Raw Decommissioning'!$E$2:$E$1000,MATCH(A606,'Raw Decommissioning'!$B$2:$B$1000,0)),"Missing from latest raw"),IFERROR(INDEX('Raw Provisioning'!$E$2:$E$1000,MATCH(A606,'Raw Provisioning'!$B$2:$B$1000,0)),"Missing from latest raw")))</x:f>
        <x:v>completed</x:v>
      </x:c>
      <x:c r="D606" s="171" t="n">
        <x:f>IF(A606="","",'Refresh Control'!$B$4)</x:f>
        <x:v>46254</x:v>
      </x:c>
      <x:c r="E606" s="171" t="n">
        <x:f>IF(A606="","",IF(B606="Decommissioning",INDEX('Raw Decommissioning'!$F$2:$F$1000,ROWS($A$5:A606)),INDEX('Raw Provisioning'!$F$2:$F$1000,ROWS($A$5:A606)-COUNTA('Raw Decommissioning'!$B$2:$B$1000))))</x:f>
        <x:v>46231.1506853588</x:v>
      </x:c>
      <x:c r="F606" s="171" t="n">
        <x:f>IF(A606="","",IF(B606="Decommissioning",INDEX('Raw Decommissioning'!$G$2:$G$1000,ROWS($A$5:A606)),INDEX('Raw Provisioning'!$H$2:$H$1000,ROWS($A$5:A606)-COUNTA('Raw Decommissioning'!$B$2:$B$1000))))</x:f>
        <x:v>46232.18898341435</x:v>
      </x:c>
      <x:c r="G606" s="170" t="str">
        <x:f>IF(A606="","",IF(B606="Decommissioning",INDEX('Raw Decommissioning'!$I$2:$I$1000,ROWS($A$5:A606)),INDEX('Raw Provisioning'!$J$2:$J$1000,ROWS($A$5:A606)-COUNTA('Raw Decommissioning'!$B$2:$B$1000))))</x:f>
        <x:v>Cyber Security MDASH Security Exposure Management</x:v>
      </x:c>
      <x:c r="H606" s="170" t="str">
        <x:f>IF(A606="","",IF(B606="Decommissioning",INDEX('Raw Decommissioning'!$J$2:$J$1000,ROWS($A$5:A606)),INDEX('Raw Provisioning'!$L$2:$L$1000,ROWS($A$5:A606)-COUNTA('Raw Decommissioning'!$B$2:$B$1000))))</x:f>
        <x:v>MDash Implementation</x:v>
      </x:c>
      <x:c r="I606" s="170" t="str">
        <x:f>IF(A606="","",IF(B606="Decommissioning",INDEX('Raw Decommissioning'!$AL$2:$AL$1000,ROWS($A$5:A606)),INDEX('Raw Provisioning'!$R$2:$R$1000,ROWS($A$5:A606)-COUNTA('Raw Decommissioning'!$B$2:$B$1000))))</x:f>
        <x:v>S</x:v>
      </x:c>
      <x:c r="J606" s="170" t="str">
        <x:f>IF(A606="","",IF(B606="Decommissioning",INDEX('Raw Decommissioning'!$AG$2:$AG$1000,ROWS($A$5:A606)),INDEX('Raw Provisioning'!$AI$2:$AI$1000,ROWS($A$5:A606)-COUNTA('Raw Decommissioning'!$B$2:$B$1000))))</x:f>
        <x:v>amarja.kawade@petronas.com</x:v>
      </x:c>
      <x:c r="K606" s="172" t="str">
        <x:f>IF(A606="","",IFERROR(LOOKUP(2,1/('Assignment History'!$B$5:$B$204=A606),'Assignment History'!$D$5:$D$204),IFERROR(VLOOKUP(J606,Configuration!$L$5:$M$50,2,FALSE),J606)))</x:f>
        <x:v>amarja.kawade@petronas.com</x:v>
      </x:c>
      <x:c r="L606" s="172" t="str">
        <x:f>IF(A606="","",IF(K606=IFERROR(VLOOKUP(J606,Configuration!$L$5:$M$50,2,FALSE),J606),"Snapshot PIC","Replacement PIC"))</x:f>
        <x:v>Snapshot PIC</x:v>
      </x:c>
      <x:c r="M606" s="172" t="n">
        <x:f>IF(A606="","",IFERROR(VLOOKUP(I606,Configuration!$O$5:$P$8,2,FALSE),Configuration!$S$6))</x:f>
        <x:v>1</x:v>
      </x:c>
      <x:c r="N606" s="172" t="str">
        <x:f>IF(A606="","",IFERROR(LOOKUP(2,1/('Scope Review'!$B$5:$B$204=A606),'Scope Review'!$G$5:$G$204),"Not Reviewed"))</x:f>
        <x:v>Not Reviewed</x:v>
      </x:c>
      <x:c r="O606" s="172" t="str">
        <x:f>IF(A606="","",IFERROR(LOOKUP(2,1/('Scope Review'!$B$5:$B$204=A606),'Scope Review'!$H$5:$H$204),""))</x:f>
      </x:c>
      <x:c r="P606" s="172" t="n">
        <x:f>IF(A606="","",IF(AND(C606="executing",N606&lt;&gt;"Confirmed OOS"),M606,0))</x:f>
        <x:v>0</x:v>
      </x:c>
      <x:c r="Q606" s="173" t="str">
        <x:f>IF(A606="","",IFERROR(LOOKUP(2,1/('Engineer Updates'!$B$5:$B$704=A606),'Engineer Updates'!$A$5:$A$704),""))</x:f>
      </x:c>
      <x:c r="R606" s="172" t="str">
        <x:f>IF(A606="","",IFERROR(LOOKUP(2,1/('Engineer Updates'!$B$5:$B$704=A606),'Engineer Updates'!$H$5:$H$704),""))</x:f>
      </x:c>
      <x:c r="S606" s="172" t="str">
        <x:f>IF(A606="","",IFERROR(LOOKUP(2,1/('Engineer Updates'!$B$5:$B$704=A606),'Engineer Updates'!$G$5:$G$704),""))</x:f>
      </x:c>
      <x:c r="T606" s="172" t="str">
        <x:f>IF(A606="","",IFERROR(LOOKUP(2,1/('Engineer Updates'!$B$5:$B$704=A606),'Engineer Updates'!$I$5:$I$704),""))</x:f>
      </x:c>
      <x:c r="U606" s="172" t="str">
        <x:f>IF(A606="","",IFERROR(LOOKUP(2,1/('Engineer Updates'!$B$5:$B$704=A606),'Engineer Updates'!$J$5:$J$704),""))</x:f>
      </x:c>
      <x:c r="V606" s="172" t="str">
        <x:f>IF(A606="","",IFERROR(LOOKUP(2,1/('Engineer Updates'!$B$5:$B$704=A606),'Engineer Updates'!$K$5:$K$704),""))</x:f>
      </x:c>
      <x:c r="W606" s="174" t="str">
        <x:f>IF(A606="","",IFERROR(LOOKUP(2,1/('Engineer Updates'!$B$5:$B$704=A606),'Engineer Updates'!$L$5:$L$704),""))</x:f>
      </x:c>
      <x:c r="X606" s="170" t="str">
        <x:f>IF(A606="","",IF(C606="completed","Completed in CSSP",IF(AND(C606="executing",ISERROR(SEARCH("@",K606))),"Executing without named engineer",IF(AND(N606="Confirmed OOS",C606="executing"),"Confirmed OOS still executing",""))))</x:f>
        <x:v>Completed in CSSP</x:v>
      </x:c>
      <x:c r="Y606" s="170" t="str">
        <x:f>IF(A606="","",IF(B606="Decommissioning","Raw Decommissioning","Raw Provisioning"))</x:f>
        <x:v>Raw Provisioning</x:v>
      </x:c>
      <x:c r="Z606" s="170" t="str">
        <x:f>IF(A606="","",IF(OR(C606="executing",C606="processing"),"Yes","No"))</x:f>
        <x:v>No</x:v>
      </x:c>
    </x:row>
    <x:row r="607">
      <x:c r="A607" s="170" t="str">
        <x:f>IF(ROWS($A$5:A607)&lt;=COUNTA('Raw Decommissioning'!$B$2:$B$1000),INDEX('Raw Decommissioning'!$B$2:$B$1000,ROWS($A$5:A607)),IF(ROWS($A$5:A607)-COUNTA('Raw Decommissioning'!$B$2:$B$1000)&lt;=COUNTA('Raw Provisioning'!$B$2:$B$1000),INDEX('Raw Provisioning'!$B$2:$B$1000,ROWS($A$5:A607)-COUNTA('Raw Decommissioning'!$B$2:$B$1000)),""))</x:f>
        <x:v>CSSP10530003</x:v>
      </x:c>
      <x:c r="B607" s="170" t="str">
        <x:f>IF(A607="","",IF(ROWS($A$5:A607)&lt;=COUNTA('Raw Decommissioning'!$B$2:$B$1000),"Decommissioning","Provisioning"))</x:f>
        <x:v>Provisioning</x:v>
      </x:c>
      <x:c r="C607" s="170" t="str">
        <x:f>IF(A607="","",IF(B607="Decommissioning",IFERROR(INDEX('Raw Decommissioning'!$E$2:$E$1000,MATCH(A607,'Raw Decommissioning'!$B$2:$B$1000,0)),"Missing from latest raw"),IFERROR(INDEX('Raw Provisioning'!$E$2:$E$1000,MATCH(A607,'Raw Provisioning'!$B$2:$B$1000,0)),"Missing from latest raw")))</x:f>
        <x:v>executing</x:v>
      </x:c>
      <x:c r="D607" s="171" t="n">
        <x:f>IF(A607="","",'Refresh Control'!$B$4)</x:f>
        <x:v>46254</x:v>
      </x:c>
      <x:c r="E607" s="171" t="n">
        <x:f>IF(A607="","",IF(B607="Decommissioning",INDEX('Raw Decommissioning'!$F$2:$F$1000,ROWS($A$5:A607)),INDEX('Raw Provisioning'!$F$2:$F$1000,ROWS($A$5:A607)-COUNTA('Raw Decommissioning'!$B$2:$B$1000))))</x:f>
        <x:v>46231.39152858796</x:v>
      </x:c>
      <x:c r="F607" s="171" t="n">
        <x:f>IF(A607="","",IF(B607="Decommissioning",INDEX('Raw Decommissioning'!$G$2:$G$1000,ROWS($A$5:A607)),INDEX('Raw Provisioning'!$H$2:$H$1000,ROWS($A$5:A607)-COUNTA('Raw Decommissioning'!$B$2:$B$1000))))</x:f>
        <x:v>46233.10129234954</x:v>
      </x:c>
      <x:c r="G607" s="170" t="str">
        <x:f>IF(A607="","",IF(B607="Decommissioning",INDEX('Raw Decommissioning'!$I$2:$I$1000,ROWS($A$5:A607)),INDEX('Raw Provisioning'!$J$2:$J$1000,ROWS($A$5:A607)-COUNTA('Raw Decommissioning'!$B$2:$B$1000))))</x:f>
        <x:v>Data Centre Automation - DCA</x:v>
      </x:c>
      <x:c r="H607" s="170" t="str">
        <x:f>IF(A607="","",IF(B607="Decommissioning",INDEX('Raw Decommissioning'!$J$2:$J$1000,ROWS($A$5:A607)),INDEX('Raw Provisioning'!$L$2:$L$1000,ROWS($A$5:A607)-COUNTA('Raw Decommissioning'!$B$2:$B$1000))))</x:f>
        <x:v>DCA v2 Implementation at Cloud</x:v>
      </x:c>
      <x:c r="I607" s="170" t="str">
        <x:f>IF(A607="","",IF(B607="Decommissioning",INDEX('Raw Decommissioning'!$AL$2:$AL$1000,ROWS($A$5:A607)),INDEX('Raw Provisioning'!$R$2:$R$1000,ROWS($A$5:A607)-COUNTA('Raw Decommissioning'!$B$2:$B$1000))))</x:f>
        <x:v>M</x:v>
      </x:c>
      <x:c r="J607" s="170" t="str">
        <x:f>IF(A607="","",IF(B607="Decommissioning",INDEX('Raw Decommissioning'!$AG$2:$AG$1000,ROWS($A$5:A607)),INDEX('Raw Provisioning'!$AI$2:$AI$1000,ROWS($A$5:A607)-COUNTA('Raw Decommissioning'!$B$2:$B$1000))))</x:f>
        <x:v>abhishek.bhowate@petronas.com</x:v>
      </x:c>
      <x:c r="K607" s="172" t="str">
        <x:f>IF(A607="","",IFERROR(LOOKUP(2,1/('Assignment History'!$B$5:$B$204=A607),'Assignment History'!$D$5:$D$204),IFERROR(VLOOKUP(J607,Configuration!$L$5:$M$50,2,FALSE),J607)))</x:f>
        <x:v>abhishek.bhowate@petronas.com</x:v>
      </x:c>
      <x:c r="L607" s="172" t="str">
        <x:f>IF(A607="","",IF(K607=IFERROR(VLOOKUP(J607,Configuration!$L$5:$M$50,2,FALSE),J607),"Snapshot PIC","Replacement PIC"))</x:f>
        <x:v>Snapshot PIC</x:v>
      </x:c>
      <x:c r="M607" s="172" t="n">
        <x:f>IF(A607="","",IFERROR(VLOOKUP(I607,Configuration!$O$5:$P$8,2,FALSE),Configuration!$S$6))</x:f>
        <x:v>2</x:v>
      </x:c>
      <x:c r="N607" s="172" t="str">
        <x:f>IF(A607="","",IFERROR(LOOKUP(2,1/('Scope Review'!$B$5:$B$204=A607),'Scope Review'!$G$5:$G$204),"Not Reviewed"))</x:f>
        <x:v>Not Reviewed</x:v>
      </x:c>
      <x:c r="O607" s="172" t="str">
        <x:f>IF(A607="","",IFERROR(LOOKUP(2,1/('Scope Review'!$B$5:$B$204=A607),'Scope Review'!$H$5:$H$204),""))</x:f>
      </x:c>
      <x:c r="P607" s="172" t="n">
        <x:f>IF(A607="","",IF(AND(C607="executing",N607&lt;&gt;"Confirmed OOS"),M607,0))</x:f>
        <x:v>2</x:v>
      </x:c>
      <x:c r="Q607" s="173" t="n">
        <x:f>IF(A607="","",IFERROR(LOOKUP(2,1/('Engineer Updates'!$B$5:$B$704=A607),'Engineer Updates'!$A$5:$A$704),""))</x:f>
        <x:v>46251</x:v>
      </x:c>
      <x:c r="R607" s="172" t="str">
        <x:f>IF(A607="","",IFERROR(LOOKUP(2,1/('Engineer Updates'!$B$5:$B$704=A607),'Engineer Updates'!$H$5:$H$704),""))</x:f>
        <x:v>Not Started</x:v>
      </x:c>
      <x:c r="S607" s="172" t="str">
        <x:f>IF(A607="","",IFERROR(LOOKUP(2,1/('Engineer Updates'!$B$5:$B$704=A607),'Engineer Updates'!$G$5:$G$704),""))</x:f>
      </x:c>
      <x:c r="T607" s="172" t="str">
        <x:f>IF(A607="","",IFERROR(LOOKUP(2,1/('Engineer Updates'!$B$5:$B$704=A607),'Engineer Updates'!$I$5:$I$704),""))</x:f>
      </x:c>
      <x:c r="U607" s="172" t="str">
        <x:f>IF(A607="","",IFERROR(LOOKUP(2,1/('Engineer Updates'!$B$5:$B$704=A607),'Engineer Updates'!$J$5:$J$704),""))</x:f>
      </x:c>
      <x:c r="V607" s="172" t="str">
        <x:f>IF(A607="","",IFERROR(LOOKUP(2,1/('Engineer Updates'!$B$5:$B$704=A607),'Engineer Updates'!$K$5:$K$704),""))</x:f>
      </x:c>
      <x:c r="W607" s="174" t="str">
        <x:f>IF(A607="","",IFERROR(LOOKUP(2,1/('Engineer Updates'!$B$5:$B$704=A607),'Engineer Updates'!$L$5:$L$704),""))</x:f>
      </x:c>
      <x:c r="X607" s="170" t="str">
        <x:f>IF(A607="","",IF(C607="completed","Completed in CSSP",IF(AND(C607="executing",ISERROR(SEARCH("@",K607))),"Executing without named engineer",IF(AND(N607="Confirmed OOS",C607="executing"),"Confirmed OOS still executing",""))))</x:f>
      </x:c>
      <x:c r="Y607" s="170" t="str">
        <x:f>IF(A607="","",IF(B607="Decommissioning","Raw Decommissioning","Raw Provisioning"))</x:f>
        <x:v>Raw Provisioning</x:v>
      </x:c>
      <x:c r="Z607" s="170" t="str">
        <x:f>IF(A607="","",IF(OR(C607="executing",C607="processing"),"Yes","No"))</x:f>
        <x:v>Yes</x:v>
      </x:c>
    </x:row>
    <x:row r="608">
      <x:c r="A608" s="170" t="str">
        <x:f>IF(ROWS($A$5:A608)&lt;=COUNTA('Raw Decommissioning'!$B$2:$B$1000),INDEX('Raw Decommissioning'!$B$2:$B$1000,ROWS($A$5:A608)),IF(ROWS($A$5:A608)-COUNTA('Raw Decommissioning'!$B$2:$B$1000)&lt;=COUNTA('Raw Provisioning'!$B$2:$B$1000),INDEX('Raw Provisioning'!$B$2:$B$1000,ROWS($A$5:A608)-COUNTA('Raw Decommissioning'!$B$2:$B$1000)),""))</x:f>
        <x:v>CSSP10635363</x:v>
      </x:c>
      <x:c r="B608" s="170" t="str">
        <x:f>IF(A608="","",IF(ROWS($A$5:A608)&lt;=COUNTA('Raw Decommissioning'!$B$2:$B$1000),"Decommissioning","Provisioning"))</x:f>
        <x:v>Provisioning</x:v>
      </x:c>
      <x:c r="C608" s="170" t="str">
        <x:f>IF(A608="","",IF(B608="Decommissioning",IFERROR(INDEX('Raw Decommissioning'!$E$2:$E$1000,MATCH(A608,'Raw Decommissioning'!$B$2:$B$1000,0)),"Missing from latest raw"),IFERROR(INDEX('Raw Provisioning'!$E$2:$E$1000,MATCH(A608,'Raw Provisioning'!$B$2:$B$1000,0)),"Missing from latest raw")))</x:f>
        <x:v>executing</x:v>
      </x:c>
      <x:c r="D608" s="171" t="n">
        <x:f>IF(A608="","",'Refresh Control'!$B$4)</x:f>
        <x:v>46254</x:v>
      </x:c>
      <x:c r="E608" s="171" t="n">
        <x:f>IF(A608="","",IF(B608="Decommissioning",INDEX('Raw Decommissioning'!$F$2:$F$1000,ROWS($A$5:A608)),INDEX('Raw Provisioning'!$F$2:$F$1000,ROWS($A$5:A608)-COUNTA('Raw Decommissioning'!$B$2:$B$1000))))</x:f>
        <x:v>46231.39786943287</x:v>
      </x:c>
      <x:c r="F608" s="171" t="n">
        <x:f>IF(A608="","",IF(B608="Decommissioning",INDEX('Raw Decommissioning'!$G$2:$G$1000,ROWS($A$5:A608)),INDEX('Raw Provisioning'!$H$2:$H$1000,ROWS($A$5:A608)-COUNTA('Raw Decommissioning'!$B$2:$B$1000))))</x:f>
        <x:v>46233.09974637732</x:v>
      </x:c>
      <x:c r="G608" s="170" t="str">
        <x:f>IF(A608="","",IF(B608="Decommissioning",INDEX('Raw Decommissioning'!$I$2:$I$1000,ROWS($A$5:A608)),INDEX('Raw Provisioning'!$J$2:$J$1000,ROWS($A$5:A608)-COUNTA('Raw Decommissioning'!$B$2:$B$1000))))</x:f>
        <x:v>Plant Information - PI PCMTBE</x:v>
      </x:c>
      <x:c r="H608" s="170" t="str">
        <x:f>IF(A608="","",IF(B608="Decommissioning",INDEX('Raw Decommissioning'!$J$2:$J$1000,ROWS($A$5:A608)),INDEX('Raw Provisioning'!$L$2:$L$1000,ROWS($A$5:A608)-COUNTA('Raw Decommissioning'!$B$2:$B$1000))))</x:f>
        <x:v>Plant Information - PI PCMTBE created for AWS KVDC migration project</x:v>
      </x:c>
      <x:c r="I608" s="170" t="str">
        <x:f>IF(A608="","",IF(B608="Decommissioning",INDEX('Raw Decommissioning'!$AL$2:$AL$1000,ROWS($A$5:A608)),INDEX('Raw Provisioning'!$R$2:$R$1000,ROWS($A$5:A608)-COUNTA('Raw Decommissioning'!$B$2:$B$1000))))</x:f>
        <x:v>M</x:v>
      </x:c>
      <x:c r="J608" s="170" t="str">
        <x:f>IF(A608="","",IF(B608="Decommissioning",INDEX('Raw Decommissioning'!$AG$2:$AG$1000,ROWS($A$5:A608)),INDEX('Raw Provisioning'!$AI$2:$AI$1000,ROWS($A$5:A608)-COUNTA('Raw Decommissioning'!$B$2:$B$1000))))</x:f>
        <x:v>amarja.kawade@petronas.com</x:v>
      </x:c>
      <x:c r="K608" s="172" t="str">
        <x:f>IF(A608="","",IFERROR(LOOKUP(2,1/('Assignment History'!$B$5:$B$204=A608),'Assignment History'!$D$5:$D$204),IFERROR(VLOOKUP(J608,Configuration!$L$5:$M$50,2,FALSE),J608)))</x:f>
        <x:v>amarja.kawade@petronas.com</x:v>
      </x:c>
      <x:c r="L608" s="172" t="str">
        <x:f>IF(A608="","",IF(K608=IFERROR(VLOOKUP(J608,Configuration!$L$5:$M$50,2,FALSE),J608),"Snapshot PIC","Replacement PIC"))</x:f>
        <x:v>Snapshot PIC</x:v>
      </x:c>
      <x:c r="M608" s="172" t="n">
        <x:f>IF(A608="","",IFERROR(VLOOKUP(I608,Configuration!$O$5:$P$8,2,FALSE),Configuration!$S$6))</x:f>
        <x:v>2</x:v>
      </x:c>
      <x:c r="N608" s="172" t="str">
        <x:f>IF(A608="","",IFERROR(LOOKUP(2,1/('Scope Review'!$B$5:$B$204=A608),'Scope Review'!$G$5:$G$204),"Not Reviewed"))</x:f>
        <x:v>Not Reviewed</x:v>
      </x:c>
      <x:c r="O608" s="172" t="str">
        <x:f>IF(A608="","",IFERROR(LOOKUP(2,1/('Scope Review'!$B$5:$B$204=A608),'Scope Review'!$H$5:$H$204),""))</x:f>
      </x:c>
      <x:c r="P608" s="172" t="n">
        <x:f>IF(A608="","",IF(AND(C608="executing",N608&lt;&gt;"Confirmed OOS"),M608,0))</x:f>
        <x:v>2</x:v>
      </x:c>
      <x:c r="Q608" s="173" t="n">
        <x:f>IF(A608="","",IFERROR(LOOKUP(2,1/('Engineer Updates'!$B$5:$B$704=A608),'Engineer Updates'!$A$5:$A$704),""))</x:f>
        <x:v>46251</x:v>
      </x:c>
      <x:c r="R608" s="172" t="str">
        <x:f>IF(A608="","",IFERROR(LOOKUP(2,1/('Engineer Updates'!$B$5:$B$704=A608),'Engineer Updates'!$H$5:$H$704),""))</x:f>
        <x:v>Not Started</x:v>
      </x:c>
      <x:c r="S608" s="172" t="str">
        <x:f>IF(A608="","",IFERROR(LOOKUP(2,1/('Engineer Updates'!$B$5:$B$704=A608),'Engineer Updates'!$G$5:$G$704),""))</x:f>
      </x:c>
      <x:c r="T608" s="172" t="str">
        <x:f>IF(A608="","",IFERROR(LOOKUP(2,1/('Engineer Updates'!$B$5:$B$704=A608),'Engineer Updates'!$I$5:$I$704),""))</x:f>
      </x:c>
      <x:c r="U608" s="172" t="str">
        <x:f>IF(A608="","",IFERROR(LOOKUP(2,1/('Engineer Updates'!$B$5:$B$704=A608),'Engineer Updates'!$J$5:$J$704),""))</x:f>
      </x:c>
      <x:c r="V608" s="172" t="str">
        <x:f>IF(A608="","",IFERROR(LOOKUP(2,1/('Engineer Updates'!$B$5:$B$704=A608),'Engineer Updates'!$K$5:$K$704),""))</x:f>
      </x:c>
      <x:c r="W608" s="174" t="str">
        <x:f>IF(A608="","",IFERROR(LOOKUP(2,1/('Engineer Updates'!$B$5:$B$704=A608),'Engineer Updates'!$L$5:$L$704),""))</x:f>
      </x:c>
      <x:c r="X608" s="170" t="str">
        <x:f>IF(A608="","",IF(C608="completed","Completed in CSSP",IF(AND(C608="executing",ISERROR(SEARCH("@",K608))),"Executing without named engineer",IF(AND(N608="Confirmed OOS",C608="executing"),"Confirmed OOS still executing",""))))</x:f>
      </x:c>
      <x:c r="Y608" s="170" t="str">
        <x:f>IF(A608="","",IF(B608="Decommissioning","Raw Decommissioning","Raw Provisioning"))</x:f>
        <x:v>Raw Provisioning</x:v>
      </x:c>
      <x:c r="Z608" s="170" t="str">
        <x:f>IF(A608="","",IF(OR(C608="executing",C608="processing"),"Yes","No"))</x:f>
        <x:v>Yes</x:v>
      </x:c>
    </x:row>
    <x:row r="609">
      <x:c r="A609" s="170" t="str">
        <x:f>IF(ROWS($A$5:A609)&lt;=COUNTA('Raw Decommissioning'!$B$2:$B$1000),INDEX('Raw Decommissioning'!$B$2:$B$1000,ROWS($A$5:A609)),IF(ROWS($A$5:A609)-COUNTA('Raw Decommissioning'!$B$2:$B$1000)&lt;=COUNTA('Raw Provisioning'!$B$2:$B$1000),INDEX('Raw Provisioning'!$B$2:$B$1000,ROWS($A$5:A609)-COUNTA('Raw Decommissioning'!$B$2:$B$1000)),""))</x:f>
        <x:v>CSSP10432260</x:v>
      </x:c>
      <x:c r="B609" s="170" t="str">
        <x:f>IF(A609="","",IF(ROWS($A$5:A609)&lt;=COUNTA('Raw Decommissioning'!$B$2:$B$1000),"Decommissioning","Provisioning"))</x:f>
        <x:v>Provisioning</x:v>
      </x:c>
      <x:c r="C609" s="170" t="str">
        <x:f>IF(A609="","",IF(B609="Decommissioning",IFERROR(INDEX('Raw Decommissioning'!$E$2:$E$1000,MATCH(A609,'Raw Decommissioning'!$B$2:$B$1000,0)),"Missing from latest raw"),IFERROR(INDEX('Raw Provisioning'!$E$2:$E$1000,MATCH(A609,'Raw Provisioning'!$B$2:$B$1000,0)),"Missing from latest raw")))</x:f>
        <x:v>rejected</x:v>
      </x:c>
      <x:c r="D609" s="171" t="n">
        <x:f>IF(A609="","",'Refresh Control'!$B$4)</x:f>
        <x:v>46254</x:v>
      </x:c>
      <x:c r="E609" s="171" t="n">
        <x:f>IF(A609="","",IF(B609="Decommissioning",INDEX('Raw Decommissioning'!$F$2:$F$1000,ROWS($A$5:A609)),INDEX('Raw Provisioning'!$F$2:$F$1000,ROWS($A$5:A609)-COUNTA('Raw Decommissioning'!$B$2:$B$1000))))</x:f>
        <x:v>46232.09775111111</x:v>
      </x:c>
      <x:c r="F609" s="171" t="n">
        <x:f>IF(A609="","",IF(B609="Decommissioning",INDEX('Raw Decommissioning'!$G$2:$G$1000,ROWS($A$5:A609)),INDEX('Raw Provisioning'!$H$2:$H$1000,ROWS($A$5:A609)-COUNTA('Raw Decommissioning'!$B$2:$B$1000))))</x:f>
        <x:v>46240.07901934028</x:v>
      </x:c>
      <x:c r="G609" s="170" t="str">
        <x:f>IF(A609="","",IF(B609="Decommissioning",INDEX('Raw Decommissioning'!$I$2:$I$1000,ROWS($A$5:A609)),INDEX('Raw Provisioning'!$J$2:$J$1000,ROWS($A$5:A609)-COUNTA('Raw Decommissioning'!$B$2:$B$1000))))</x:f>
        <x:v>Operational Excellence Incident​ Management - OEIM​</x:v>
      </x:c>
      <x:c r="H609" s="170" t="str">
        <x:f>IF(A609="","",IF(B609="Decommissioning",INDEX('Raw Decommissioning'!$J$2:$J$1000,ROWS($A$5:A609)),INDEX('Raw Provisioning'!$L$2:$L$1000,ROWS($A$5:A609)-COUNTA('Raw Decommissioning'!$B$2:$B$1000))))</x:f>
        <x:v>Operational Excellence Incident​ Management (OEIM)</x:v>
      </x:c>
      <x:c r="I609" s="170" t="str">
        <x:f>IF(A609="","",IF(B609="Decommissioning",INDEX('Raw Decommissioning'!$AL$2:$AL$1000,ROWS($A$5:A609)),INDEX('Raw Provisioning'!$R$2:$R$1000,ROWS($A$5:A609)-COUNTA('Raw Decommissioning'!$B$2:$B$1000))))</x:f>
      </x:c>
      <x:c r="J609" s="170" t="str">
        <x:f>IF(A609="","",IF(B609="Decommissioning",INDEX('Raw Decommissioning'!$AG$2:$AG$1000,ROWS($A$5:A609)),INDEX('Raw Provisioning'!$AI$2:$AI$1000,ROWS($A$5:A609)-COUNTA('Raw Decommissioning'!$B$2:$B$1000))))</x:f>
        <x:v>IMS - CLOUD CSSP EXECUTOR</x:v>
      </x:c>
      <x:c r="K609" s="172" t="str">
        <x:f>IF(A609="","",IFERROR(LOOKUP(2,1/('Assignment History'!$B$5:$B$204=A609),'Assignment History'!$D$5:$D$204),IFERROR(VLOOKUP(J609,Configuration!$L$5:$M$50,2,FALSE),J609)))</x:f>
        <x:v>IMS - CLOUD CSSP EXECUTOR</x:v>
      </x:c>
      <x:c r="L609" s="172" t="str">
        <x:f>IF(A609="","",IF(K609=IFERROR(VLOOKUP(J609,Configuration!$L$5:$M$50,2,FALSE),J609),"Snapshot PIC","Replacement PIC"))</x:f>
        <x:v>Snapshot PIC</x:v>
      </x:c>
      <x:c r="M609" s="172" t="n">
        <x:f>IF(A609="","",IFERROR(VLOOKUP(I609,Configuration!$O$5:$P$8,2,FALSE),Configuration!$S$6))</x:f>
        <x:v>2</x:v>
      </x:c>
      <x:c r="N609" s="172" t="str">
        <x:f>IF(A609="","",IFERROR(LOOKUP(2,1/('Scope Review'!$B$5:$B$204=A609),'Scope Review'!$G$5:$G$204),"Not Reviewed"))</x:f>
        <x:v>Not Reviewed</x:v>
      </x:c>
      <x:c r="O609" s="172" t="str">
        <x:f>IF(A609="","",IFERROR(LOOKUP(2,1/('Scope Review'!$B$5:$B$204=A609),'Scope Review'!$H$5:$H$204),""))</x:f>
      </x:c>
      <x:c r="P609" s="172" t="n">
        <x:f>IF(A609="","",IF(AND(C609="executing",N609&lt;&gt;"Confirmed OOS"),M609,0))</x:f>
        <x:v>0</x:v>
      </x:c>
      <x:c r="Q609" s="173" t="str">
        <x:f>IF(A609="","",IFERROR(LOOKUP(2,1/('Engineer Updates'!$B$5:$B$704=A609),'Engineer Updates'!$A$5:$A$704),""))</x:f>
      </x:c>
      <x:c r="R609" s="172" t="str">
        <x:f>IF(A609="","",IFERROR(LOOKUP(2,1/('Engineer Updates'!$B$5:$B$704=A609),'Engineer Updates'!$H$5:$H$704),""))</x:f>
      </x:c>
      <x:c r="S609" s="172" t="str">
        <x:f>IF(A609="","",IFERROR(LOOKUP(2,1/('Engineer Updates'!$B$5:$B$704=A609),'Engineer Updates'!$G$5:$G$704),""))</x:f>
      </x:c>
      <x:c r="T609" s="172" t="str">
        <x:f>IF(A609="","",IFERROR(LOOKUP(2,1/('Engineer Updates'!$B$5:$B$704=A609),'Engineer Updates'!$I$5:$I$704),""))</x:f>
      </x:c>
      <x:c r="U609" s="172" t="str">
        <x:f>IF(A609="","",IFERROR(LOOKUP(2,1/('Engineer Updates'!$B$5:$B$704=A609),'Engineer Updates'!$J$5:$J$704),""))</x:f>
      </x:c>
      <x:c r="V609" s="172" t="str">
        <x:f>IF(A609="","",IFERROR(LOOKUP(2,1/('Engineer Updates'!$B$5:$B$704=A609),'Engineer Updates'!$K$5:$K$704),""))</x:f>
      </x:c>
      <x:c r="W609" s="174" t="str">
        <x:f>IF(A609="","",IFERROR(LOOKUP(2,1/('Engineer Updates'!$B$5:$B$704=A609),'Engineer Updates'!$L$5:$L$704),""))</x:f>
      </x:c>
      <x:c r="X609" s="170" t="str">
        <x:f>IF(A609="","",IF(C609="completed","Completed in CSSP",IF(AND(C609="executing",ISERROR(SEARCH("@",K609))),"Executing without named engineer",IF(AND(N609="Confirmed OOS",C609="executing"),"Confirmed OOS still executing",""))))</x:f>
      </x:c>
      <x:c r="Y609" s="170" t="str">
        <x:f>IF(A609="","",IF(B609="Decommissioning","Raw Decommissioning","Raw Provisioning"))</x:f>
        <x:v>Raw Provisioning</x:v>
      </x:c>
      <x:c r="Z609" s="170" t="str">
        <x:f>IF(A609="","",IF(OR(C609="executing",C609="processing"),"Yes","No"))</x:f>
        <x:v>No</x:v>
      </x:c>
    </x:row>
    <x:row r="610">
      <x:c r="A610" s="170" t="str">
        <x:f>IF(ROWS($A$5:A610)&lt;=COUNTA('Raw Decommissioning'!$B$2:$B$1000),INDEX('Raw Decommissioning'!$B$2:$B$1000,ROWS($A$5:A610)),IF(ROWS($A$5:A610)-COUNTA('Raw Decommissioning'!$B$2:$B$1000)&lt;=COUNTA('Raw Provisioning'!$B$2:$B$1000),INDEX('Raw Provisioning'!$B$2:$B$1000,ROWS($A$5:A610)-COUNTA('Raw Decommissioning'!$B$2:$B$1000)),""))</x:f>
        <x:v>CSSP10848695</x:v>
      </x:c>
      <x:c r="B610" s="170" t="str">
        <x:f>IF(A610="","",IF(ROWS($A$5:A610)&lt;=COUNTA('Raw Decommissioning'!$B$2:$B$1000),"Decommissioning","Provisioning"))</x:f>
        <x:v>Provisioning</x:v>
      </x:c>
      <x:c r="C610" s="170" t="str">
        <x:f>IF(A610="","",IF(B610="Decommissioning",IFERROR(INDEX('Raw Decommissioning'!$E$2:$E$1000,MATCH(A610,'Raw Decommissioning'!$B$2:$B$1000,0)),"Missing from latest raw"),IFERROR(INDEX('Raw Provisioning'!$E$2:$E$1000,MATCH(A610,'Raw Provisioning'!$B$2:$B$1000,0)),"Missing from latest raw")))</x:f>
        <x:v>completed</x:v>
      </x:c>
      <x:c r="D610" s="171" t="n">
        <x:f>IF(A610="","",'Refresh Control'!$B$4)</x:f>
        <x:v>46254</x:v>
      </x:c>
      <x:c r="E610" s="171" t="n">
        <x:f>IF(A610="","",IF(B610="Decommissioning",INDEX('Raw Decommissioning'!$F$2:$F$1000,ROWS($A$5:A610)),INDEX('Raw Provisioning'!$F$2:$F$1000,ROWS($A$5:A610)-COUNTA('Raw Decommissioning'!$B$2:$B$1000))))</x:f>
        <x:v>46232.140511805555</x:v>
      </x:c>
      <x:c r="F610" s="171" t="n">
        <x:f>IF(A610="","",IF(B610="Decommissioning",INDEX('Raw Decommissioning'!$G$2:$G$1000,ROWS($A$5:A610)),INDEX('Raw Provisioning'!$H$2:$H$1000,ROWS($A$5:A610)-COUNTA('Raw Decommissioning'!$B$2:$B$1000))))</x:f>
        <x:v>46242.14545480324</x:v>
      </x:c>
      <x:c r="G610" s="170" t="str">
        <x:f>IF(A610="","",IF(B610="Decommissioning",INDEX('Raw Decommissioning'!$I$2:$I$1000,ROWS($A$5:A610)),INDEX('Raw Provisioning'!$J$2:$J$1000,ROWS($A$5:A610)-COUNTA('Raw Decommissioning'!$B$2:$B$1000))))</x:f>
        <x:v>SenseArco - CACS Inner Layer</x:v>
      </x:c>
      <x:c r="H610" s="170" t="str">
        <x:f>IF(A610="","",IF(B610="Decommissioning",INDEX('Raw Decommissioning'!$J$2:$J$1000,ROWS($A$5:A610)),INDEX('Raw Provisioning'!$L$2:$L$1000,ROWS($A$5:A610)-COUNTA('Raw Decommissioning'!$B$2:$B$1000))))</x:f>
        <x:v>Tower 3 CACS Technology Refresh for GS</x:v>
      </x:c>
      <x:c r="I610" s="170" t="str">
        <x:f>IF(A610="","",IF(B610="Decommissioning",INDEX('Raw Decommissioning'!$AL$2:$AL$1000,ROWS($A$5:A610)),INDEX('Raw Provisioning'!$R$2:$R$1000,ROWS($A$5:A610)-COUNTA('Raw Decommissioning'!$B$2:$B$1000))))</x:f>
        <x:v>L</x:v>
      </x:c>
      <x:c r="J610" s="170" t="str">
        <x:f>IF(A610="","",IF(B610="Decommissioning",INDEX('Raw Decommissioning'!$AG$2:$AG$1000,ROWS($A$5:A610)),INDEX('Raw Provisioning'!$AI$2:$AI$1000,ROWS($A$5:A610)-COUNTA('Raw Decommissioning'!$B$2:$B$1000))))</x:f>
        <x:v>abdul.khoir@petronas.com</x:v>
      </x:c>
      <x:c r="K610" s="172" t="str">
        <x:f>IF(A610="","",IFERROR(LOOKUP(2,1/('Assignment History'!$B$5:$B$204=A610),'Assignment History'!$D$5:$D$204),IFERROR(VLOOKUP(J610,Configuration!$L$5:$M$50,2,FALSE),J610)))</x:f>
        <x:v>abdul.khoir@petronas.com</x:v>
      </x:c>
      <x:c r="L610" s="172" t="str">
        <x:f>IF(A610="","",IF(K610=IFERROR(VLOOKUP(J610,Configuration!$L$5:$M$50,2,FALSE),J610),"Snapshot PIC","Replacement PIC"))</x:f>
        <x:v>Snapshot PIC</x:v>
      </x:c>
      <x:c r="M610" s="172" t="n">
        <x:f>IF(A610="","",IFERROR(VLOOKUP(I610,Configuration!$O$5:$P$8,2,FALSE),Configuration!$S$6))</x:f>
        <x:v>3</x:v>
      </x:c>
      <x:c r="N610" s="172" t="str">
        <x:f>IF(A610="","",IFERROR(LOOKUP(2,1/('Scope Review'!$B$5:$B$204=A610),'Scope Review'!$G$5:$G$204),"Not Reviewed"))</x:f>
        <x:v>Not Reviewed</x:v>
      </x:c>
      <x:c r="O610" s="172" t="str">
        <x:f>IF(A610="","",IFERROR(LOOKUP(2,1/('Scope Review'!$B$5:$B$204=A610),'Scope Review'!$H$5:$H$204),""))</x:f>
      </x:c>
      <x:c r="P610" s="172" t="n">
        <x:f>IF(A610="","",IF(AND(C610="executing",N610&lt;&gt;"Confirmed OOS"),M610,0))</x:f>
        <x:v>0</x:v>
      </x:c>
      <x:c r="Q610" s="173" t="str">
        <x:f>IF(A610="","",IFERROR(LOOKUP(2,1/('Engineer Updates'!$B$5:$B$704=A610),'Engineer Updates'!$A$5:$A$704),""))</x:f>
      </x:c>
      <x:c r="R610" s="172" t="str">
        <x:f>IF(A610="","",IFERROR(LOOKUP(2,1/('Engineer Updates'!$B$5:$B$704=A610),'Engineer Updates'!$H$5:$H$704),""))</x:f>
      </x:c>
      <x:c r="S610" s="172" t="str">
        <x:f>IF(A610="","",IFERROR(LOOKUP(2,1/('Engineer Updates'!$B$5:$B$704=A610),'Engineer Updates'!$G$5:$G$704),""))</x:f>
      </x:c>
      <x:c r="T610" s="172" t="str">
        <x:f>IF(A610="","",IFERROR(LOOKUP(2,1/('Engineer Updates'!$B$5:$B$704=A610),'Engineer Updates'!$I$5:$I$704),""))</x:f>
      </x:c>
      <x:c r="U610" s="172" t="str">
        <x:f>IF(A610="","",IFERROR(LOOKUP(2,1/('Engineer Updates'!$B$5:$B$704=A610),'Engineer Updates'!$J$5:$J$704),""))</x:f>
      </x:c>
      <x:c r="V610" s="172" t="str">
        <x:f>IF(A610="","",IFERROR(LOOKUP(2,1/('Engineer Updates'!$B$5:$B$704=A610),'Engineer Updates'!$K$5:$K$704),""))</x:f>
      </x:c>
      <x:c r="W610" s="174" t="str">
        <x:f>IF(A610="","",IFERROR(LOOKUP(2,1/('Engineer Updates'!$B$5:$B$704=A610),'Engineer Updates'!$L$5:$L$704),""))</x:f>
      </x:c>
      <x:c r="X610" s="170" t="str">
        <x:f>IF(A610="","",IF(C610="completed","Completed in CSSP",IF(AND(C610="executing",ISERROR(SEARCH("@",K610))),"Executing without named engineer",IF(AND(N610="Confirmed OOS",C610="executing"),"Confirmed OOS still executing",""))))</x:f>
        <x:v>Completed in CSSP</x:v>
      </x:c>
      <x:c r="Y610" s="170" t="str">
        <x:f>IF(A610="","",IF(B610="Decommissioning","Raw Decommissioning","Raw Provisioning"))</x:f>
        <x:v>Raw Provisioning</x:v>
      </x:c>
      <x:c r="Z610" s="170" t="str">
        <x:f>IF(A610="","",IF(OR(C610="executing",C610="processing"),"Yes","No"))</x:f>
        <x:v>No</x:v>
      </x:c>
    </x:row>
    <x:row r="611">
      <x:c r="A611" s="170" t="str">
        <x:f>IF(ROWS($A$5:A611)&lt;=COUNTA('Raw Decommissioning'!$B$2:$B$1000),INDEX('Raw Decommissioning'!$B$2:$B$1000,ROWS($A$5:A611)),IF(ROWS($A$5:A611)-COUNTA('Raw Decommissioning'!$B$2:$B$1000)&lt;=COUNTA('Raw Provisioning'!$B$2:$B$1000),INDEX('Raw Provisioning'!$B$2:$B$1000,ROWS($A$5:A611)-COUNTA('Raw Decommissioning'!$B$2:$B$1000)),""))</x:f>
        <x:v>CSSP10755207</x:v>
      </x:c>
      <x:c r="B611" s="170" t="str">
        <x:f>IF(A611="","",IF(ROWS($A$5:A611)&lt;=COUNTA('Raw Decommissioning'!$B$2:$B$1000),"Decommissioning","Provisioning"))</x:f>
        <x:v>Provisioning</x:v>
      </x:c>
      <x:c r="C611" s="170" t="str">
        <x:f>IF(A611="","",IF(B611="Decommissioning",IFERROR(INDEX('Raw Decommissioning'!$E$2:$E$1000,MATCH(A611,'Raw Decommissioning'!$B$2:$B$1000,0)),"Missing from latest raw"),IFERROR(INDEX('Raw Provisioning'!$E$2:$E$1000,MATCH(A611,'Raw Provisioning'!$B$2:$B$1000,0)),"Missing from latest raw")))</x:f>
        <x:v>executing</x:v>
      </x:c>
      <x:c r="D611" s="171" t="n">
        <x:f>IF(A611="","",'Refresh Control'!$B$4)</x:f>
        <x:v>46254</x:v>
      </x:c>
      <x:c r="E611" s="171" t="n">
        <x:f>IF(A611="","",IF(B611="Decommissioning",INDEX('Raw Decommissioning'!$F$2:$F$1000,ROWS($A$5:A611)),INDEX('Raw Provisioning'!$F$2:$F$1000,ROWS($A$5:A611)-COUNTA('Raw Decommissioning'!$B$2:$B$1000))))</x:f>
        <x:v>46233.07481909722</x:v>
      </x:c>
      <x:c r="F611" s="171" t="n">
        <x:f>IF(A611="","",IF(B611="Decommissioning",INDEX('Raw Decommissioning'!$G$2:$G$1000,ROWS($A$5:A611)),INDEX('Raw Provisioning'!$H$2:$H$1000,ROWS($A$5:A611)-COUNTA('Raw Decommissioning'!$B$2:$B$1000))))</x:f>
        <x:v>46233.100357083335</x:v>
      </x:c>
      <x:c r="G611" s="170" t="str">
        <x:f>IF(A611="","",IF(B611="Decommissioning",INDEX('Raw Decommissioning'!$I$2:$I$1000,ROWS($A$5:A611)),INDEX('Raw Provisioning'!$J$2:$J$1000,ROWS($A$5:A611)-COUNTA('Raw Decommissioning'!$B$2:$B$1000))))</x:f>
        <x:v>Operational Excellence Incident​ Management - OEIM​</x:v>
      </x:c>
      <x:c r="H611" s="170" t="str">
        <x:f>IF(A611="","",IF(B611="Decommissioning",INDEX('Raw Decommissioning'!$J$2:$J$1000,ROWS($A$5:A611)),INDEX('Raw Provisioning'!$L$2:$L$1000,ROWS($A$5:A611)-COUNTA('Raw Decommissioning'!$B$2:$B$1000))))</x:f>
        <x:v>Operational Excellence Incident​ Management (OEIM)</x:v>
      </x:c>
      <x:c r="I611" s="170" t="str">
        <x:f>IF(A611="","",IF(B611="Decommissioning",INDEX('Raw Decommissioning'!$AL$2:$AL$1000,ROWS($A$5:A611)),INDEX('Raw Provisioning'!$R$2:$R$1000,ROWS($A$5:A611)-COUNTA('Raw Decommissioning'!$B$2:$B$1000))))</x:f>
        <x:v>L</x:v>
      </x:c>
      <x:c r="J611" s="170" t="str">
        <x:f>IF(A611="","",IF(B611="Decommissioning",INDEX('Raw Decommissioning'!$AG$2:$AG$1000,ROWS($A$5:A611)),INDEX('Raw Provisioning'!$AI$2:$AI$1000,ROWS($A$5:A611)-COUNTA('Raw Decommissioning'!$B$2:$B$1000))))</x:f>
        <x:v>venkatesh.kalikivayi@petronas.com</x:v>
      </x:c>
      <x:c r="K611" s="172" t="str">
        <x:f>IF(A611="","",IFERROR(LOOKUP(2,1/('Assignment History'!$B$5:$B$204=A611),'Assignment History'!$D$5:$D$204),IFERROR(VLOOKUP(J611,Configuration!$L$5:$M$50,2,FALSE),J611)))</x:f>
        <x:v>venkatesh.kalikivayi@petronas.com</x:v>
      </x:c>
      <x:c r="L611" s="172" t="str">
        <x:f>IF(A611="","",IF(K611=IFERROR(VLOOKUP(J611,Configuration!$L$5:$M$50,2,FALSE),J611),"Snapshot PIC","Replacement PIC"))</x:f>
        <x:v>Snapshot PIC</x:v>
      </x:c>
      <x:c r="M611" s="172" t="n">
        <x:f>IF(A611="","",IFERROR(VLOOKUP(I611,Configuration!$O$5:$P$8,2,FALSE),Configuration!$S$6))</x:f>
        <x:v>3</x:v>
      </x:c>
      <x:c r="N611" s="172" t="str">
        <x:f>IF(A611="","",IFERROR(LOOKUP(2,1/('Scope Review'!$B$5:$B$204=A611),'Scope Review'!$G$5:$G$204),"Not Reviewed"))</x:f>
        <x:v>Not Reviewed</x:v>
      </x:c>
      <x:c r="O611" s="172" t="str">
        <x:f>IF(A611="","",IFERROR(LOOKUP(2,1/('Scope Review'!$B$5:$B$204=A611),'Scope Review'!$H$5:$H$204),""))</x:f>
      </x:c>
      <x:c r="P611" s="172" t="n">
        <x:f>IF(A611="","",IF(AND(C611="executing",N611&lt;&gt;"Confirmed OOS"),M611,0))</x:f>
        <x:v>3</x:v>
      </x:c>
      <x:c r="Q611" s="173" t="n">
        <x:f>IF(A611="","",IFERROR(LOOKUP(2,1/('Engineer Updates'!$B$5:$B$704=A611),'Engineer Updates'!$A$5:$A$704),""))</x:f>
        <x:v>46251</x:v>
      </x:c>
      <x:c r="R611" s="172" t="str">
        <x:f>IF(A611="","",IFERROR(LOOKUP(2,1/('Engineer Updates'!$B$5:$B$704=A611),'Engineer Updates'!$H$5:$H$704),""))</x:f>
        <x:v>Not Started</x:v>
      </x:c>
      <x:c r="S611" s="172" t="str">
        <x:f>IF(A611="","",IFERROR(LOOKUP(2,1/('Engineer Updates'!$B$5:$B$704=A611),'Engineer Updates'!$G$5:$G$704),""))</x:f>
      </x:c>
      <x:c r="T611" s="172" t="str">
        <x:f>IF(A611="","",IFERROR(LOOKUP(2,1/('Engineer Updates'!$B$5:$B$704=A611),'Engineer Updates'!$I$5:$I$704),""))</x:f>
      </x:c>
      <x:c r="U611" s="172" t="str">
        <x:f>IF(A611="","",IFERROR(LOOKUP(2,1/('Engineer Updates'!$B$5:$B$704=A611),'Engineer Updates'!$J$5:$J$704),""))</x:f>
      </x:c>
      <x:c r="V611" s="172" t="str">
        <x:f>IF(A611="","",IFERROR(LOOKUP(2,1/('Engineer Updates'!$B$5:$B$704=A611),'Engineer Updates'!$K$5:$K$704),""))</x:f>
      </x:c>
      <x:c r="W611" s="174" t="str">
        <x:f>IF(A611="","",IFERROR(LOOKUP(2,1/('Engineer Updates'!$B$5:$B$704=A611),'Engineer Updates'!$L$5:$L$704),""))</x:f>
      </x:c>
      <x:c r="X611" s="170" t="str">
        <x:f>IF(A611="","",IF(C611="completed","Completed in CSSP",IF(AND(C611="executing",ISERROR(SEARCH("@",K611))),"Executing without named engineer",IF(AND(N611="Confirmed OOS",C611="executing"),"Confirmed OOS still executing",""))))</x:f>
      </x:c>
      <x:c r="Y611" s="170" t="str">
        <x:f>IF(A611="","",IF(B611="Decommissioning","Raw Decommissioning","Raw Provisioning"))</x:f>
        <x:v>Raw Provisioning</x:v>
      </x:c>
      <x:c r="Z611" s="170" t="str">
        <x:f>IF(A611="","",IF(OR(C611="executing",C611="processing"),"Yes","No"))</x:f>
        <x:v>Yes</x:v>
      </x:c>
    </x:row>
    <x:row r="612">
      <x:c r="A612" s="170" t="str">
        <x:f>IF(ROWS($A$5:A612)&lt;=COUNTA('Raw Decommissioning'!$B$2:$B$1000),INDEX('Raw Decommissioning'!$B$2:$B$1000,ROWS($A$5:A612)),IF(ROWS($A$5:A612)-COUNTA('Raw Decommissioning'!$B$2:$B$1000)&lt;=COUNTA('Raw Provisioning'!$B$2:$B$1000),INDEX('Raw Provisioning'!$B$2:$B$1000,ROWS($A$5:A612)-COUNTA('Raw Decommissioning'!$B$2:$B$1000)),""))</x:f>
        <x:v>CSSP10939855</x:v>
      </x:c>
      <x:c r="B612" s="170" t="str">
        <x:f>IF(A612="","",IF(ROWS($A$5:A612)&lt;=COUNTA('Raw Decommissioning'!$B$2:$B$1000),"Decommissioning","Provisioning"))</x:f>
        <x:v>Provisioning</x:v>
      </x:c>
      <x:c r="C612" s="170" t="str">
        <x:f>IF(A612="","",IF(B612="Decommissioning",IFERROR(INDEX('Raw Decommissioning'!$E$2:$E$1000,MATCH(A612,'Raw Decommissioning'!$B$2:$B$1000,0)),"Missing from latest raw"),IFERROR(INDEX('Raw Provisioning'!$E$2:$E$1000,MATCH(A612,'Raw Provisioning'!$B$2:$B$1000,0)),"Missing from latest raw")))</x:f>
        <x:v>executing</x:v>
      </x:c>
      <x:c r="D612" s="171" t="n">
        <x:f>IF(A612="","",'Refresh Control'!$B$4)</x:f>
        <x:v>46254</x:v>
      </x:c>
      <x:c r="E612" s="171" t="n">
        <x:f>IF(A612="","",IF(B612="Decommissioning",INDEX('Raw Decommissioning'!$F$2:$F$1000,ROWS($A$5:A612)),INDEX('Raw Provisioning'!$F$2:$F$1000,ROWS($A$5:A612)-COUNTA('Raw Decommissioning'!$B$2:$B$1000))))</x:f>
        <x:v>46233.11043271991</x:v>
      </x:c>
      <x:c r="F612" s="171" t="n">
        <x:f>IF(A612="","",IF(B612="Decommissioning",INDEX('Raw Decommissioning'!$G$2:$G$1000,ROWS($A$5:A612)),INDEX('Raw Provisioning'!$H$2:$H$1000,ROWS($A$5:A612)-COUNTA('Raw Decommissioning'!$B$2:$B$1000))))</x:f>
        <x:v>46238.16621505787</x:v>
      </x:c>
      <x:c r="G612" s="170" t="str">
        <x:f>IF(A612="","",IF(B612="Decommissioning",INDEX('Raw Decommissioning'!$I$2:$I$1000,ROWS($A$5:A612)),INDEX('Raw Provisioning'!$J$2:$J$1000,ROWS($A$5:A612)-COUNTA('Raw Decommissioning'!$B$2:$B$1000))))</x:f>
        <x:v>Operational Excellence Incident​ Management - OEIM​</x:v>
      </x:c>
      <x:c r="H612" s="170" t="str">
        <x:f>IF(A612="","",IF(B612="Decommissioning",INDEX('Raw Decommissioning'!$J$2:$J$1000,ROWS($A$5:A612)),INDEX('Raw Provisioning'!$L$2:$L$1000,ROWS($A$5:A612)-COUNTA('Raw Decommissioning'!$B$2:$B$1000))))</x:f>
        <x:v>Operational Excellence Incident​ Management (OEIM)</x:v>
      </x:c>
      <x:c r="I612" s="170" t="str">
        <x:f>IF(A612="","",IF(B612="Decommissioning",INDEX('Raw Decommissioning'!$AL$2:$AL$1000,ROWS($A$5:A612)),INDEX('Raw Provisioning'!$R$2:$R$1000,ROWS($A$5:A612)-COUNTA('Raw Decommissioning'!$B$2:$B$1000))))</x:f>
        <x:v>L</x:v>
      </x:c>
      <x:c r="J612" s="170" t="str">
        <x:f>IF(A612="","",IF(B612="Decommissioning",INDEX('Raw Decommissioning'!$AG$2:$AG$1000,ROWS($A$5:A612)),INDEX('Raw Provisioning'!$AI$2:$AI$1000,ROWS($A$5:A612)-COUNTA('Raw Decommissioning'!$B$2:$B$1000))))</x:f>
        <x:v>mardiansyah.rayasa@petronas.com</x:v>
      </x:c>
      <x:c r="K612" s="172" t="str">
        <x:f>IF(A612="","",IFERROR(LOOKUP(2,1/('Assignment History'!$B$5:$B$204=A612),'Assignment History'!$D$5:$D$204),IFERROR(VLOOKUP(J612,Configuration!$L$5:$M$50,2,FALSE),J612)))</x:f>
        <x:v>mardiansyah.rayasa@petronas.com</x:v>
      </x:c>
      <x:c r="L612" s="172" t="str">
        <x:f>IF(A612="","",IF(K612=IFERROR(VLOOKUP(J612,Configuration!$L$5:$M$50,2,FALSE),J612),"Snapshot PIC","Replacement PIC"))</x:f>
        <x:v>Snapshot PIC</x:v>
      </x:c>
      <x:c r="M612" s="172" t="n">
        <x:f>IF(A612="","",IFERROR(VLOOKUP(I612,Configuration!$O$5:$P$8,2,FALSE),Configuration!$S$6))</x:f>
        <x:v>3</x:v>
      </x:c>
      <x:c r="N612" s="172" t="str">
        <x:f>IF(A612="","",IFERROR(LOOKUP(2,1/('Scope Review'!$B$5:$B$204=A612),'Scope Review'!$G$5:$G$204),"Not Reviewed"))</x:f>
        <x:v>Not Reviewed</x:v>
      </x:c>
      <x:c r="O612" s="172" t="str">
        <x:f>IF(A612="","",IFERROR(LOOKUP(2,1/('Scope Review'!$B$5:$B$204=A612),'Scope Review'!$H$5:$H$204),""))</x:f>
      </x:c>
      <x:c r="P612" s="172" t="n">
        <x:f>IF(A612="","",IF(AND(C612="executing",N612&lt;&gt;"Confirmed OOS"),M612,0))</x:f>
        <x:v>3</x:v>
      </x:c>
      <x:c r="Q612" s="173" t="n">
        <x:f>IF(A612="","",IFERROR(LOOKUP(2,1/('Engineer Updates'!$B$5:$B$704=A612),'Engineer Updates'!$A$5:$A$704),""))</x:f>
        <x:v>46251</x:v>
      </x:c>
      <x:c r="R612" s="172" t="str">
        <x:f>IF(A612="","",IFERROR(LOOKUP(2,1/('Engineer Updates'!$B$5:$B$704=A612),'Engineer Updates'!$H$5:$H$704),""))</x:f>
        <x:v>Not Started</x:v>
      </x:c>
      <x:c r="S612" s="172" t="str">
        <x:f>IF(A612="","",IFERROR(LOOKUP(2,1/('Engineer Updates'!$B$5:$B$704=A612),'Engineer Updates'!$G$5:$G$704),""))</x:f>
      </x:c>
      <x:c r="T612" s="172" t="str">
        <x:f>IF(A612="","",IFERROR(LOOKUP(2,1/('Engineer Updates'!$B$5:$B$704=A612),'Engineer Updates'!$I$5:$I$704),""))</x:f>
      </x:c>
      <x:c r="U612" s="172" t="str">
        <x:f>IF(A612="","",IFERROR(LOOKUP(2,1/('Engineer Updates'!$B$5:$B$704=A612),'Engineer Updates'!$J$5:$J$704),""))</x:f>
      </x:c>
      <x:c r="V612" s="172" t="str">
        <x:f>IF(A612="","",IFERROR(LOOKUP(2,1/('Engineer Updates'!$B$5:$B$704=A612),'Engineer Updates'!$K$5:$K$704),""))</x:f>
      </x:c>
      <x:c r="W612" s="174" t="str">
        <x:f>IF(A612="","",IFERROR(LOOKUP(2,1/('Engineer Updates'!$B$5:$B$704=A612),'Engineer Updates'!$L$5:$L$704),""))</x:f>
      </x:c>
      <x:c r="X612" s="170" t="str">
        <x:f>IF(A612="","",IF(C612="completed","Completed in CSSP",IF(AND(C612="executing",ISERROR(SEARCH("@",K612))),"Executing without named engineer",IF(AND(N612="Confirmed OOS",C612="executing"),"Confirmed OOS still executing",""))))</x:f>
      </x:c>
      <x:c r="Y612" s="170" t="str">
        <x:f>IF(A612="","",IF(B612="Decommissioning","Raw Decommissioning","Raw Provisioning"))</x:f>
        <x:v>Raw Provisioning</x:v>
      </x:c>
      <x:c r="Z612" s="170" t="str">
        <x:f>IF(A612="","",IF(OR(C612="executing",C612="processing"),"Yes","No"))</x:f>
        <x:v>Yes</x:v>
      </x:c>
    </x:row>
    <x:row r="613">
      <x:c r="A613" s="170" t="str">
        <x:f>IF(ROWS($A$5:A613)&lt;=COUNTA('Raw Decommissioning'!$B$2:$B$1000),INDEX('Raw Decommissioning'!$B$2:$B$1000,ROWS($A$5:A613)),IF(ROWS($A$5:A613)-COUNTA('Raw Decommissioning'!$B$2:$B$1000)&lt;=COUNTA('Raw Provisioning'!$B$2:$B$1000),INDEX('Raw Provisioning'!$B$2:$B$1000,ROWS($A$5:A613)-COUNTA('Raw Decommissioning'!$B$2:$B$1000)),""))</x:f>
        <x:v>CSSP10983109</x:v>
      </x:c>
      <x:c r="B613" s="170" t="str">
        <x:f>IF(A613="","",IF(ROWS($A$5:A613)&lt;=COUNTA('Raw Decommissioning'!$B$2:$B$1000),"Decommissioning","Provisioning"))</x:f>
        <x:v>Provisioning</x:v>
      </x:c>
      <x:c r="C613" s="170" t="str">
        <x:f>IF(A613="","",IF(B613="Decommissioning",IFERROR(INDEX('Raw Decommissioning'!$E$2:$E$1000,MATCH(A613,'Raw Decommissioning'!$B$2:$B$1000,0)),"Missing from latest raw"),IFERROR(INDEX('Raw Provisioning'!$E$2:$E$1000,MATCH(A613,'Raw Provisioning'!$B$2:$B$1000,0)),"Missing from latest raw")))</x:f>
        <x:v>pending</x:v>
      </x:c>
      <x:c r="D613" s="171" t="n">
        <x:f>IF(A613="","",'Refresh Control'!$B$4)</x:f>
        <x:v>46254</x:v>
      </x:c>
      <x:c r="E613" s="171" t="n">
        <x:f>IF(A613="","",IF(B613="Decommissioning",INDEX('Raw Decommissioning'!$F$2:$F$1000,ROWS($A$5:A613)),INDEX('Raw Provisioning'!$F$2:$F$1000,ROWS($A$5:A613)-COUNTA('Raw Decommissioning'!$B$2:$B$1000))))</x:f>
        <x:v>46233.362619618056</x:v>
      </x:c>
      <x:c r="F613" s="171" t="n">
        <x:f>IF(A613="","",IF(B613="Decommissioning",INDEX('Raw Decommissioning'!$G$2:$G$1000,ROWS($A$5:A613)),INDEX('Raw Provisioning'!$H$2:$H$1000,ROWS($A$5:A613)-COUNTA('Raw Decommissioning'!$B$2:$B$1000))))</x:f>
        <x:v>46233.362619618056</x:v>
      </x:c>
      <x:c r="G613" s="170" t="str">
        <x:f>IF(A613="","",IF(B613="Decommissioning",INDEX('Raw Decommissioning'!$I$2:$I$1000,ROWS($A$5:A613)),INDEX('Raw Provisioning'!$J$2:$J$1000,ROWS($A$5:A613)-COUNTA('Raw Decommissioning'!$B$2:$B$1000))))</x:f>
        <x:v>Frontier Firm</x:v>
      </x:c>
      <x:c r="H613" s="170" t="str">
        <x:f>IF(A613="","",IF(B613="Decommissioning",INDEX('Raw Decommissioning'!$J$2:$J$1000,ROWS($A$5:A613)),INDEX('Raw Provisioning'!$L$2:$L$1000,ROWS($A$5:A613)-COUNTA('Raw Decommissioning'!$B$2:$B$1000))))</x:f>
        <x:v>PDSB Frontier Firm</x:v>
      </x:c>
      <x:c r="I613" s="170" t="str">
        <x:f>IF(A613="","",IF(B613="Decommissioning",INDEX('Raw Decommissioning'!$AL$2:$AL$1000,ROWS($A$5:A613)),INDEX('Raw Provisioning'!$R$2:$R$1000,ROWS($A$5:A613)-COUNTA('Raw Decommissioning'!$B$2:$B$1000))))</x:f>
      </x:c>
      <x:c r="J613" s="170" t="str">
        <x:f>IF(A613="","",IF(B613="Decommissioning",INDEX('Raw Decommissioning'!$AG$2:$AG$1000,ROWS($A$5:A613)),INDEX('Raw Provisioning'!$AI$2:$AI$1000,ROWS($A$5:A613)-COUNTA('Raw Decommissioning'!$B$2:$B$1000))))</x:f>
        <x:v>IMS - CLOUD CSSP EXECUTOR</x:v>
      </x:c>
      <x:c r="K613" s="172" t="str">
        <x:f>IF(A613="","",IFERROR(LOOKUP(2,1/('Assignment History'!$B$5:$B$204=A613),'Assignment History'!$D$5:$D$204),IFERROR(VLOOKUP(J613,Configuration!$L$5:$M$50,2,FALSE),J613)))</x:f>
        <x:v>IMS - CLOUD CSSP EXECUTOR</x:v>
      </x:c>
      <x:c r="L613" s="172" t="str">
        <x:f>IF(A613="","",IF(K613=IFERROR(VLOOKUP(J613,Configuration!$L$5:$M$50,2,FALSE),J613),"Snapshot PIC","Replacement PIC"))</x:f>
        <x:v>Snapshot PIC</x:v>
      </x:c>
      <x:c r="M613" s="172" t="n">
        <x:f>IF(A613="","",IFERROR(VLOOKUP(I613,Configuration!$O$5:$P$8,2,FALSE),Configuration!$S$6))</x:f>
        <x:v>2</x:v>
      </x:c>
      <x:c r="N613" s="172" t="str">
        <x:f>IF(A613="","",IFERROR(LOOKUP(2,1/('Scope Review'!$B$5:$B$204=A613),'Scope Review'!$G$5:$G$204),"Not Reviewed"))</x:f>
        <x:v>Not Reviewed</x:v>
      </x:c>
      <x:c r="O613" s="172" t="str">
        <x:f>IF(A613="","",IFERROR(LOOKUP(2,1/('Scope Review'!$B$5:$B$204=A613),'Scope Review'!$H$5:$H$204),""))</x:f>
      </x:c>
      <x:c r="P613" s="172" t="n">
        <x:f>IF(A613="","",IF(AND(C613="executing",N613&lt;&gt;"Confirmed OOS"),M613,0))</x:f>
        <x:v>0</x:v>
      </x:c>
      <x:c r="Q613" s="173" t="str">
        <x:f>IF(A613="","",IFERROR(LOOKUP(2,1/('Engineer Updates'!$B$5:$B$704=A613),'Engineer Updates'!$A$5:$A$704),""))</x:f>
      </x:c>
      <x:c r="R613" s="172" t="str">
        <x:f>IF(A613="","",IFERROR(LOOKUP(2,1/('Engineer Updates'!$B$5:$B$704=A613),'Engineer Updates'!$H$5:$H$704),""))</x:f>
      </x:c>
      <x:c r="S613" s="172" t="str">
        <x:f>IF(A613="","",IFERROR(LOOKUP(2,1/('Engineer Updates'!$B$5:$B$704=A613),'Engineer Updates'!$G$5:$G$704),""))</x:f>
      </x:c>
      <x:c r="T613" s="172" t="str">
        <x:f>IF(A613="","",IFERROR(LOOKUP(2,1/('Engineer Updates'!$B$5:$B$704=A613),'Engineer Updates'!$I$5:$I$704),""))</x:f>
      </x:c>
      <x:c r="U613" s="172" t="str">
        <x:f>IF(A613="","",IFERROR(LOOKUP(2,1/('Engineer Updates'!$B$5:$B$704=A613),'Engineer Updates'!$J$5:$J$704),""))</x:f>
      </x:c>
      <x:c r="V613" s="172" t="str">
        <x:f>IF(A613="","",IFERROR(LOOKUP(2,1/('Engineer Updates'!$B$5:$B$704=A613),'Engineer Updates'!$K$5:$K$704),""))</x:f>
      </x:c>
      <x:c r="W613" s="174" t="str">
        <x:f>IF(A613="","",IFERROR(LOOKUP(2,1/('Engineer Updates'!$B$5:$B$704=A613),'Engineer Updates'!$L$5:$L$704),""))</x:f>
      </x:c>
      <x:c r="X613" s="170" t="str">
        <x:f>IF(A613="","",IF(C613="completed","Completed in CSSP",IF(AND(C613="executing",ISERROR(SEARCH("@",K613))),"Executing without named engineer",IF(AND(N613="Confirmed OOS",C613="executing"),"Confirmed OOS still executing",""))))</x:f>
      </x:c>
      <x:c r="Y613" s="170" t="str">
        <x:f>IF(A613="","",IF(B613="Decommissioning","Raw Decommissioning","Raw Provisioning"))</x:f>
        <x:v>Raw Provisioning</x:v>
      </x:c>
      <x:c r="Z613" s="170" t="str">
        <x:f>IF(A613="","",IF(OR(C613="executing",C613="processing"),"Yes","No"))</x:f>
        <x:v>No</x:v>
      </x:c>
    </x:row>
    <x:row r="614">
      <x:c r="A614" s="170" t="str">
        <x:f>IF(ROWS($A$5:A614)&lt;=COUNTA('Raw Decommissioning'!$B$2:$B$1000),INDEX('Raw Decommissioning'!$B$2:$B$1000,ROWS($A$5:A614)),IF(ROWS($A$5:A614)-COUNTA('Raw Decommissioning'!$B$2:$B$1000)&lt;=COUNTA('Raw Provisioning'!$B$2:$B$1000),INDEX('Raw Provisioning'!$B$2:$B$1000,ROWS($A$5:A614)-COUNTA('Raw Decommissioning'!$B$2:$B$1000)),""))</x:f>
        <x:v>CSSP10466644</x:v>
      </x:c>
      <x:c r="B614" s="170" t="str">
        <x:f>IF(A614="","",IF(ROWS($A$5:A614)&lt;=COUNTA('Raw Decommissioning'!$B$2:$B$1000),"Decommissioning","Provisioning"))</x:f>
        <x:v>Provisioning</x:v>
      </x:c>
      <x:c r="C614" s="170" t="str">
        <x:f>IF(A614="","",IF(B614="Decommissioning",IFERROR(INDEX('Raw Decommissioning'!$E$2:$E$1000,MATCH(A614,'Raw Decommissioning'!$B$2:$B$1000,0)),"Missing from latest raw"),IFERROR(INDEX('Raw Provisioning'!$E$2:$E$1000,MATCH(A614,'Raw Provisioning'!$B$2:$B$1000,0)),"Missing from latest raw")))</x:f>
        <x:v>completed</x:v>
      </x:c>
      <x:c r="D614" s="171" t="n">
        <x:f>IF(A614="","",'Refresh Control'!$B$4)</x:f>
        <x:v>46254</x:v>
      </x:c>
      <x:c r="E614" s="171" t="n">
        <x:f>IF(A614="","",IF(B614="Decommissioning",INDEX('Raw Decommissioning'!$F$2:$F$1000,ROWS($A$5:A614)),INDEX('Raw Provisioning'!$F$2:$F$1000,ROWS($A$5:A614)-COUNTA('Raw Decommissioning'!$B$2:$B$1000))))</x:f>
        <x:v>46234.28855106481</x:v>
      </x:c>
      <x:c r="F614" s="171" t="n">
        <x:f>IF(A614="","",IF(B614="Decommissioning",INDEX('Raw Decommissioning'!$G$2:$G$1000,ROWS($A$5:A614)),INDEX('Raw Provisioning'!$H$2:$H$1000,ROWS($A$5:A614)-COUNTA('Raw Decommissioning'!$B$2:$B$1000))))</x:f>
        <x:v>46249.373761828705</x:v>
      </x:c>
      <x:c r="G614" s="170" t="str">
        <x:f>IF(A614="","",IF(B614="Decommissioning",INDEX('Raw Decommissioning'!$I$2:$I$1000,ROWS($A$5:A614)),INDEX('Raw Provisioning'!$J$2:$J$1000,ROWS($A$5:A614)-COUNTA('Raw Decommissioning'!$B$2:$B$1000))))</x:f>
        <x:v>Frontier Firm</x:v>
      </x:c>
      <x:c r="H614" s="170" t="str">
        <x:f>IF(A614="","",IF(B614="Decommissioning",INDEX('Raw Decommissioning'!$J$2:$J$1000,ROWS($A$5:A614)),INDEX('Raw Provisioning'!$L$2:$L$1000,ROWS($A$5:A614)-COUNTA('Raw Decommissioning'!$B$2:$B$1000))))</x:f>
        <x:v>PDSB Frontier Firm</x:v>
      </x:c>
      <x:c r="I614" s="170" t="str">
        <x:f>IF(A614="","",IF(B614="Decommissioning",INDEX('Raw Decommissioning'!$AL$2:$AL$1000,ROWS($A$5:A614)),INDEX('Raw Provisioning'!$R$2:$R$1000,ROWS($A$5:A614)-COUNTA('Raw Decommissioning'!$B$2:$B$1000))))</x:f>
        <x:v>L</x:v>
      </x:c>
      <x:c r="J614" s="170" t="str">
        <x:f>IF(A614="","",IF(B614="Decommissioning",INDEX('Raw Decommissioning'!$AG$2:$AG$1000,ROWS($A$5:A614)),INDEX('Raw Provisioning'!$AI$2:$AI$1000,ROWS($A$5:A614)-COUNTA('Raw Decommissioning'!$B$2:$B$1000))))</x:f>
        <x:v>mardiansyah.rayasa@petronas.com</x:v>
      </x:c>
      <x:c r="K614" s="172" t="str">
        <x:f>IF(A614="","",IFERROR(LOOKUP(2,1/('Assignment History'!$B$5:$B$204=A614),'Assignment History'!$D$5:$D$204),IFERROR(VLOOKUP(J614,Configuration!$L$5:$M$50,2,FALSE),J614)))</x:f>
        <x:v>mardiansyah.rayasa@petronas.com</x:v>
      </x:c>
      <x:c r="L614" s="172" t="str">
        <x:f>IF(A614="","",IF(K614=IFERROR(VLOOKUP(J614,Configuration!$L$5:$M$50,2,FALSE),J614),"Snapshot PIC","Replacement PIC"))</x:f>
        <x:v>Snapshot PIC</x:v>
      </x:c>
      <x:c r="M614" s="172" t="n">
        <x:f>IF(A614="","",IFERROR(VLOOKUP(I614,Configuration!$O$5:$P$8,2,FALSE),Configuration!$S$6))</x:f>
        <x:v>3</x:v>
      </x:c>
      <x:c r="N614" s="172" t="str">
        <x:f>IF(A614="","",IFERROR(LOOKUP(2,1/('Scope Review'!$B$5:$B$204=A614),'Scope Review'!$G$5:$G$204),"Not Reviewed"))</x:f>
        <x:v>Not Reviewed</x:v>
      </x:c>
      <x:c r="O614" s="172" t="str">
        <x:f>IF(A614="","",IFERROR(LOOKUP(2,1/('Scope Review'!$B$5:$B$204=A614),'Scope Review'!$H$5:$H$204),""))</x:f>
      </x:c>
      <x:c r="P614" s="172" t="n">
        <x:f>IF(A614="","",IF(AND(C614="executing",N614&lt;&gt;"Confirmed OOS"),M614,0))</x:f>
        <x:v>0</x:v>
      </x:c>
      <x:c r="Q614" s="173" t="str">
        <x:f>IF(A614="","",IFERROR(LOOKUP(2,1/('Engineer Updates'!$B$5:$B$704=A614),'Engineer Updates'!$A$5:$A$704),""))</x:f>
      </x:c>
      <x:c r="R614" s="172" t="str">
        <x:f>IF(A614="","",IFERROR(LOOKUP(2,1/('Engineer Updates'!$B$5:$B$704=A614),'Engineer Updates'!$H$5:$H$704),""))</x:f>
      </x:c>
      <x:c r="S614" s="172" t="str">
        <x:f>IF(A614="","",IFERROR(LOOKUP(2,1/('Engineer Updates'!$B$5:$B$704=A614),'Engineer Updates'!$G$5:$G$704),""))</x:f>
      </x:c>
      <x:c r="T614" s="172" t="str">
        <x:f>IF(A614="","",IFERROR(LOOKUP(2,1/('Engineer Updates'!$B$5:$B$704=A614),'Engineer Updates'!$I$5:$I$704),""))</x:f>
      </x:c>
      <x:c r="U614" s="172" t="str">
        <x:f>IF(A614="","",IFERROR(LOOKUP(2,1/('Engineer Updates'!$B$5:$B$704=A614),'Engineer Updates'!$J$5:$J$704),""))</x:f>
      </x:c>
      <x:c r="V614" s="172" t="str">
        <x:f>IF(A614="","",IFERROR(LOOKUP(2,1/('Engineer Updates'!$B$5:$B$704=A614),'Engineer Updates'!$K$5:$K$704),""))</x:f>
      </x:c>
      <x:c r="W614" s="174" t="str">
        <x:f>IF(A614="","",IFERROR(LOOKUP(2,1/('Engineer Updates'!$B$5:$B$704=A614),'Engineer Updates'!$L$5:$L$704),""))</x:f>
      </x:c>
      <x:c r="X614" s="170" t="str">
        <x:f>IF(A614="","",IF(C614="completed","Completed in CSSP",IF(AND(C614="executing",ISERROR(SEARCH("@",K614))),"Executing without named engineer",IF(AND(N614="Confirmed OOS",C614="executing"),"Confirmed OOS still executing",""))))</x:f>
        <x:v>Completed in CSSP</x:v>
      </x:c>
      <x:c r="Y614" s="170" t="str">
        <x:f>IF(A614="","",IF(B614="Decommissioning","Raw Decommissioning","Raw Provisioning"))</x:f>
        <x:v>Raw Provisioning</x:v>
      </x:c>
      <x:c r="Z614" s="170" t="str">
        <x:f>IF(A614="","",IF(OR(C614="executing",C614="processing"),"Yes","No"))</x:f>
        <x:v>No</x:v>
      </x:c>
    </x:row>
    <x:row r="615">
      <x:c r="A615" s="170" t="str">
        <x:f>IF(ROWS($A$5:A615)&lt;=COUNTA('Raw Decommissioning'!$B$2:$B$1000),INDEX('Raw Decommissioning'!$B$2:$B$1000,ROWS($A$5:A615)),IF(ROWS($A$5:A615)-COUNTA('Raw Decommissioning'!$B$2:$B$1000)&lt;=COUNTA('Raw Provisioning'!$B$2:$B$1000),INDEX('Raw Provisioning'!$B$2:$B$1000,ROWS($A$5:A615)-COUNTA('Raw Decommissioning'!$B$2:$B$1000)),""))</x:f>
        <x:v>CSSP10678891</x:v>
      </x:c>
      <x:c r="B615" s="170" t="str">
        <x:f>IF(A615="","",IF(ROWS($A$5:A615)&lt;=COUNTA('Raw Decommissioning'!$B$2:$B$1000),"Decommissioning","Provisioning"))</x:f>
        <x:v>Provisioning</x:v>
      </x:c>
      <x:c r="C615" s="170" t="str">
        <x:f>IF(A615="","",IF(B615="Decommissioning",IFERROR(INDEX('Raw Decommissioning'!$E$2:$E$1000,MATCH(A615,'Raw Decommissioning'!$B$2:$B$1000,0)),"Missing from latest raw"),IFERROR(INDEX('Raw Provisioning'!$E$2:$E$1000,MATCH(A615,'Raw Provisioning'!$B$2:$B$1000,0)),"Missing from latest raw")))</x:f>
        <x:v>pending</x:v>
      </x:c>
      <x:c r="D615" s="171" t="n">
        <x:f>IF(A615="","",'Refresh Control'!$B$4)</x:f>
        <x:v>46254</x:v>
      </x:c>
      <x:c r="E615" s="171" t="n">
        <x:f>IF(A615="","",IF(B615="Decommissioning",INDEX('Raw Decommissioning'!$F$2:$F$1000,ROWS($A$5:A615)),INDEX('Raw Provisioning'!$F$2:$F$1000,ROWS($A$5:A615)-COUNTA('Raw Decommissioning'!$B$2:$B$1000))))</x:f>
        <x:v>46235.60730638889</x:v>
      </x:c>
      <x:c r="F615" s="171" t="n">
        <x:f>IF(A615="","",IF(B615="Decommissioning",INDEX('Raw Decommissioning'!$G$2:$G$1000,ROWS($A$5:A615)),INDEX('Raw Provisioning'!$H$2:$H$1000,ROWS($A$5:A615)-COUNTA('Raw Decommissioning'!$B$2:$B$1000))))</x:f>
        <x:v>46235.60730638889</x:v>
      </x:c>
      <x:c r="G615" s="170" t="str">
        <x:f>IF(A615="","",IF(B615="Decommissioning",INDEX('Raw Decommissioning'!$I$2:$I$1000,ROWS($A$5:A615)),INDEX('Raw Provisioning'!$J$2:$J$1000,ROWS($A$5:A615)-COUNTA('Raw Decommissioning'!$B$2:$B$1000))))</x:f>
        <x:v>HSE Intelligence Pod - Smart Advisor - HIP SA</x:v>
      </x:c>
      <x:c r="H615" s="170" t="str">
        <x:f>IF(A615="","",IF(B615="Decommissioning",INDEX('Raw Decommissioning'!$J$2:$J$1000,ROWS($A$5:A615)),INDEX('Raw Provisioning'!$L$2:$L$1000,ROWS($A$5:A615)-COUNTA('Raw Decommissioning'!$B$2:$B$1000))))</x:f>
        <x:v>HSE Intelligence Pod - Smart Advisor</x:v>
      </x:c>
      <x:c r="I615" s="170" t="str">
        <x:f>IF(A615="","",IF(B615="Decommissioning",INDEX('Raw Decommissioning'!$AL$2:$AL$1000,ROWS($A$5:A615)),INDEX('Raw Provisioning'!$R$2:$R$1000,ROWS($A$5:A615)-COUNTA('Raw Decommissioning'!$B$2:$B$1000))))</x:f>
      </x:c>
      <x:c r="J615" s="170" t="str">
        <x:f>IF(A615="","",IF(B615="Decommissioning",INDEX('Raw Decommissioning'!$AG$2:$AG$1000,ROWS($A$5:A615)),INDEX('Raw Provisioning'!$AI$2:$AI$1000,ROWS($A$5:A615)-COUNTA('Raw Decommissioning'!$B$2:$B$1000))))</x:f>
        <x:v>IMS - CLOUD CSSP EXECUTOR</x:v>
      </x:c>
      <x:c r="K615" s="172" t="str">
        <x:f>IF(A615="","",IFERROR(LOOKUP(2,1/('Assignment History'!$B$5:$B$204=A615),'Assignment History'!$D$5:$D$204),IFERROR(VLOOKUP(J615,Configuration!$L$5:$M$50,2,FALSE),J615)))</x:f>
        <x:v>IMS - CLOUD CSSP EXECUTOR</x:v>
      </x:c>
      <x:c r="L615" s="172" t="str">
        <x:f>IF(A615="","",IF(K615=IFERROR(VLOOKUP(J615,Configuration!$L$5:$M$50,2,FALSE),J615),"Snapshot PIC","Replacement PIC"))</x:f>
        <x:v>Snapshot PIC</x:v>
      </x:c>
      <x:c r="M615" s="172" t="n">
        <x:f>IF(A615="","",IFERROR(VLOOKUP(I615,Configuration!$O$5:$P$8,2,FALSE),Configuration!$S$6))</x:f>
        <x:v>2</x:v>
      </x:c>
      <x:c r="N615" s="172" t="str">
        <x:f>IF(A615="","",IFERROR(LOOKUP(2,1/('Scope Review'!$B$5:$B$204=A615),'Scope Review'!$G$5:$G$204),"Not Reviewed"))</x:f>
        <x:v>Not Reviewed</x:v>
      </x:c>
      <x:c r="O615" s="172" t="str">
        <x:f>IF(A615="","",IFERROR(LOOKUP(2,1/('Scope Review'!$B$5:$B$204=A615),'Scope Review'!$H$5:$H$204),""))</x:f>
      </x:c>
      <x:c r="P615" s="172" t="n">
        <x:f>IF(A615="","",IF(AND(C615="executing",N615&lt;&gt;"Confirmed OOS"),M615,0))</x:f>
        <x:v>0</x:v>
      </x:c>
      <x:c r="Q615" s="173" t="str">
        <x:f>IF(A615="","",IFERROR(LOOKUP(2,1/('Engineer Updates'!$B$5:$B$704=A615),'Engineer Updates'!$A$5:$A$704),""))</x:f>
      </x:c>
      <x:c r="R615" s="172" t="str">
        <x:f>IF(A615="","",IFERROR(LOOKUP(2,1/('Engineer Updates'!$B$5:$B$704=A615),'Engineer Updates'!$H$5:$H$704),""))</x:f>
      </x:c>
      <x:c r="S615" s="172" t="str">
        <x:f>IF(A615="","",IFERROR(LOOKUP(2,1/('Engineer Updates'!$B$5:$B$704=A615),'Engineer Updates'!$G$5:$G$704),""))</x:f>
      </x:c>
      <x:c r="T615" s="172" t="str">
        <x:f>IF(A615="","",IFERROR(LOOKUP(2,1/('Engineer Updates'!$B$5:$B$704=A615),'Engineer Updates'!$I$5:$I$704),""))</x:f>
      </x:c>
      <x:c r="U615" s="172" t="str">
        <x:f>IF(A615="","",IFERROR(LOOKUP(2,1/('Engineer Updates'!$B$5:$B$704=A615),'Engineer Updates'!$J$5:$J$704),""))</x:f>
      </x:c>
      <x:c r="V615" s="172" t="str">
        <x:f>IF(A615="","",IFERROR(LOOKUP(2,1/('Engineer Updates'!$B$5:$B$704=A615),'Engineer Updates'!$K$5:$K$704),""))</x:f>
      </x:c>
      <x:c r="W615" s="174" t="str">
        <x:f>IF(A615="","",IFERROR(LOOKUP(2,1/('Engineer Updates'!$B$5:$B$704=A615),'Engineer Updates'!$L$5:$L$704),""))</x:f>
      </x:c>
      <x:c r="X615" s="170" t="str">
        <x:f>IF(A615="","",IF(C615="completed","Completed in CSSP",IF(AND(C615="executing",ISERROR(SEARCH("@",K615))),"Executing without named engineer",IF(AND(N615="Confirmed OOS",C615="executing"),"Confirmed OOS still executing",""))))</x:f>
      </x:c>
      <x:c r="Y615" s="170" t="str">
        <x:f>IF(A615="","",IF(B615="Decommissioning","Raw Decommissioning","Raw Provisioning"))</x:f>
        <x:v>Raw Provisioning</x:v>
      </x:c>
      <x:c r="Z615" s="170" t="str">
        <x:f>IF(A615="","",IF(OR(C615="executing",C615="processing"),"Yes","No"))</x:f>
        <x:v>No</x:v>
      </x:c>
    </x:row>
    <x:row r="616">
      <x:c r="A616" s="170" t="str">
        <x:f>IF(ROWS($A$5:A616)&lt;=COUNTA('Raw Decommissioning'!$B$2:$B$1000),INDEX('Raw Decommissioning'!$B$2:$B$1000,ROWS($A$5:A616)),IF(ROWS($A$5:A616)-COUNTA('Raw Decommissioning'!$B$2:$B$1000)&lt;=COUNTA('Raw Provisioning'!$B$2:$B$1000),INDEX('Raw Provisioning'!$B$2:$B$1000,ROWS($A$5:A616)-COUNTA('Raw Decommissioning'!$B$2:$B$1000)),""))</x:f>
        <x:v>CSSP10836507</x:v>
      </x:c>
      <x:c r="B616" s="170" t="str">
        <x:f>IF(A616="","",IF(ROWS($A$5:A616)&lt;=COUNTA('Raw Decommissioning'!$B$2:$B$1000),"Decommissioning","Provisioning"))</x:f>
        <x:v>Provisioning</x:v>
      </x:c>
      <x:c r="C616" s="170" t="str">
        <x:f>IF(A616="","",IF(B616="Decommissioning",IFERROR(INDEX('Raw Decommissioning'!$E$2:$E$1000,MATCH(A616,'Raw Decommissioning'!$B$2:$B$1000,0)),"Missing from latest raw"),IFERROR(INDEX('Raw Provisioning'!$E$2:$E$1000,MATCH(A616,'Raw Provisioning'!$B$2:$B$1000,0)),"Missing from latest raw")))</x:f>
        <x:v>pending</x:v>
      </x:c>
      <x:c r="D616" s="171" t="n">
        <x:f>IF(A616="","",'Refresh Control'!$B$4)</x:f>
        <x:v>46254</x:v>
      </x:c>
      <x:c r="E616" s="171" t="n">
        <x:f>IF(A616="","",IF(B616="Decommissioning",INDEX('Raw Decommissioning'!$F$2:$F$1000,ROWS($A$5:A616)),INDEX('Raw Provisioning'!$F$2:$F$1000,ROWS($A$5:A616)-COUNTA('Raw Decommissioning'!$B$2:$B$1000))))</x:f>
        <x:v>46237.08127880787</x:v>
      </x:c>
      <x:c r="F616" s="171" t="n">
        <x:f>IF(A616="","",IF(B616="Decommissioning",INDEX('Raw Decommissioning'!$G$2:$G$1000,ROWS($A$5:A616)),INDEX('Raw Provisioning'!$H$2:$H$1000,ROWS($A$5:A616)-COUNTA('Raw Decommissioning'!$B$2:$B$1000))))</x:f>
        <x:v>46237.08127880787</x:v>
      </x:c>
      <x:c r="G616" s="170" t="str">
        <x:f>IF(A616="","",IF(B616="Decommissioning",INDEX('Raw Decommissioning'!$I$2:$I$1000,ROWS($A$5:A616)),INDEX('Raw Provisioning'!$J$2:$J$1000,ROWS($A$5:A616)-COUNTA('Raw Decommissioning'!$B$2:$B$1000))))</x:f>
        <x:v>VMware vCenter RDMZ RTOT</x:v>
      </x:c>
      <x:c r="H616" s="170" t="str">
        <x:f>IF(A616="","",IF(B616="Decommissioning",INDEX('Raw Decommissioning'!$J$2:$J$1000,ROWS($A$5:A616)),INDEX('Raw Provisioning'!$L$2:$L$1000,ROWS($A$5:A616)-COUNTA('Raw Decommissioning'!$B$2:$B$1000))))</x:f>
        <x:v>VMware vCenter RDMZ RTOT created for PRIVATECLOUD project record</x:v>
      </x:c>
      <x:c r="I616" s="170" t="str">
        <x:f>IF(A616="","",IF(B616="Decommissioning",INDEX('Raw Decommissioning'!$AL$2:$AL$1000,ROWS($A$5:A616)),INDEX('Raw Provisioning'!$R$2:$R$1000,ROWS($A$5:A616)-COUNTA('Raw Decommissioning'!$B$2:$B$1000))))</x:f>
      </x:c>
      <x:c r="J616" s="170" t="str">
        <x:f>IF(A616="","",IF(B616="Decommissioning",INDEX('Raw Decommissioning'!$AG$2:$AG$1000,ROWS($A$5:A616)),INDEX('Raw Provisioning'!$AI$2:$AI$1000,ROWS($A$5:A616)-COUNTA('Raw Decommissioning'!$B$2:$B$1000))))</x:f>
        <x:v>IMS - CLOUD CSSP EXECUTOR</x:v>
      </x:c>
      <x:c r="K616" s="172" t="str">
        <x:f>IF(A616="","",IFERROR(LOOKUP(2,1/('Assignment History'!$B$5:$B$204=A616),'Assignment History'!$D$5:$D$204),IFERROR(VLOOKUP(J616,Configuration!$L$5:$M$50,2,FALSE),J616)))</x:f>
        <x:v>IMS - CLOUD CSSP EXECUTOR</x:v>
      </x:c>
      <x:c r="L616" s="172" t="str">
        <x:f>IF(A616="","",IF(K616=IFERROR(VLOOKUP(J616,Configuration!$L$5:$M$50,2,FALSE),J616),"Snapshot PIC","Replacement PIC"))</x:f>
        <x:v>Snapshot PIC</x:v>
      </x:c>
      <x:c r="M616" s="172" t="n">
        <x:f>IF(A616="","",IFERROR(VLOOKUP(I616,Configuration!$O$5:$P$8,2,FALSE),Configuration!$S$6))</x:f>
        <x:v>2</x:v>
      </x:c>
      <x:c r="N616" s="172" t="str">
        <x:f>IF(A616="","",IFERROR(LOOKUP(2,1/('Scope Review'!$B$5:$B$204=A616),'Scope Review'!$G$5:$G$204),"Not Reviewed"))</x:f>
        <x:v>Not Reviewed</x:v>
      </x:c>
      <x:c r="O616" s="172" t="str">
        <x:f>IF(A616="","",IFERROR(LOOKUP(2,1/('Scope Review'!$B$5:$B$204=A616),'Scope Review'!$H$5:$H$204),""))</x:f>
      </x:c>
      <x:c r="P616" s="172" t="n">
        <x:f>IF(A616="","",IF(AND(C616="executing",N616&lt;&gt;"Confirmed OOS"),M616,0))</x:f>
        <x:v>0</x:v>
      </x:c>
      <x:c r="Q616" s="173" t="str">
        <x:f>IF(A616="","",IFERROR(LOOKUP(2,1/('Engineer Updates'!$B$5:$B$704=A616),'Engineer Updates'!$A$5:$A$704),""))</x:f>
      </x:c>
      <x:c r="R616" s="172" t="str">
        <x:f>IF(A616="","",IFERROR(LOOKUP(2,1/('Engineer Updates'!$B$5:$B$704=A616),'Engineer Updates'!$H$5:$H$704),""))</x:f>
      </x:c>
      <x:c r="S616" s="172" t="str">
        <x:f>IF(A616="","",IFERROR(LOOKUP(2,1/('Engineer Updates'!$B$5:$B$704=A616),'Engineer Updates'!$G$5:$G$704),""))</x:f>
      </x:c>
      <x:c r="T616" s="172" t="str">
        <x:f>IF(A616="","",IFERROR(LOOKUP(2,1/('Engineer Updates'!$B$5:$B$704=A616),'Engineer Updates'!$I$5:$I$704),""))</x:f>
      </x:c>
      <x:c r="U616" s="172" t="str">
        <x:f>IF(A616="","",IFERROR(LOOKUP(2,1/('Engineer Updates'!$B$5:$B$704=A616),'Engineer Updates'!$J$5:$J$704),""))</x:f>
      </x:c>
      <x:c r="V616" s="172" t="str">
        <x:f>IF(A616="","",IFERROR(LOOKUP(2,1/('Engineer Updates'!$B$5:$B$704=A616),'Engineer Updates'!$K$5:$K$704),""))</x:f>
      </x:c>
      <x:c r="W616" s="174" t="str">
        <x:f>IF(A616="","",IFERROR(LOOKUP(2,1/('Engineer Updates'!$B$5:$B$704=A616),'Engineer Updates'!$L$5:$L$704),""))</x:f>
      </x:c>
      <x:c r="X616" s="170" t="str">
        <x:f>IF(A616="","",IF(C616="completed","Completed in CSSP",IF(AND(C616="executing",ISERROR(SEARCH("@",K616))),"Executing without named engineer",IF(AND(N616="Confirmed OOS",C616="executing"),"Confirmed OOS still executing",""))))</x:f>
      </x:c>
      <x:c r="Y616" s="170" t="str">
        <x:f>IF(A616="","",IF(B616="Decommissioning","Raw Decommissioning","Raw Provisioning"))</x:f>
        <x:v>Raw Provisioning</x:v>
      </x:c>
      <x:c r="Z616" s="170" t="str">
        <x:f>IF(A616="","",IF(OR(C616="executing",C616="processing"),"Yes","No"))</x:f>
        <x:v>No</x:v>
      </x:c>
    </x:row>
    <x:row r="617">
      <x:c r="A617" s="170" t="str">
        <x:f>IF(ROWS($A$5:A617)&lt;=COUNTA('Raw Decommissioning'!$B$2:$B$1000),INDEX('Raw Decommissioning'!$B$2:$B$1000,ROWS($A$5:A617)),IF(ROWS($A$5:A617)-COUNTA('Raw Decommissioning'!$B$2:$B$1000)&lt;=COUNTA('Raw Provisioning'!$B$2:$B$1000),INDEX('Raw Provisioning'!$B$2:$B$1000,ROWS($A$5:A617)-COUNTA('Raw Decommissioning'!$B$2:$B$1000)),""))</x:f>
        <x:v>CSSP10753669</x:v>
      </x:c>
      <x:c r="B617" s="170" t="str">
        <x:f>IF(A617="","",IF(ROWS($A$5:A617)&lt;=COUNTA('Raw Decommissioning'!$B$2:$B$1000),"Decommissioning","Provisioning"))</x:f>
        <x:v>Provisioning</x:v>
      </x:c>
      <x:c r="C617" s="170" t="str">
        <x:f>IF(A617="","",IF(B617="Decommissioning",IFERROR(INDEX('Raw Decommissioning'!$E$2:$E$1000,MATCH(A617,'Raw Decommissioning'!$B$2:$B$1000,0)),"Missing from latest raw"),IFERROR(INDEX('Raw Provisioning'!$E$2:$E$1000,MATCH(A617,'Raw Provisioning'!$B$2:$B$1000,0)),"Missing from latest raw")))</x:f>
        <x:v>executing</x:v>
      </x:c>
      <x:c r="D617" s="171" t="n">
        <x:f>IF(A617="","",'Refresh Control'!$B$4)</x:f>
        <x:v>46254</x:v>
      </x:c>
      <x:c r="E617" s="171" t="n">
        <x:f>IF(A617="","",IF(B617="Decommissioning",INDEX('Raw Decommissioning'!$F$2:$F$1000,ROWS($A$5:A617)),INDEX('Raw Provisioning'!$F$2:$F$1000,ROWS($A$5:A617)-COUNTA('Raw Decommissioning'!$B$2:$B$1000))))</x:f>
        <x:v>46237.21106059028</x:v>
      </x:c>
      <x:c r="F617" s="171" t="n">
        <x:f>IF(A617="","",IF(B617="Decommissioning",INDEX('Raw Decommissioning'!$G$2:$G$1000,ROWS($A$5:A617)),INDEX('Raw Provisioning'!$H$2:$H$1000,ROWS($A$5:A617)-COUNTA('Raw Decommissioning'!$B$2:$B$1000))))</x:f>
        <x:v>46243.274711018516</x:v>
      </x:c>
      <x:c r="G617" s="170" t="str">
        <x:f>IF(A617="","",IF(B617="Decommissioning",INDEX('Raw Decommissioning'!$I$2:$I$1000,ROWS($A$5:A617)),INDEX('Raw Provisioning'!$J$2:$J$1000,ROWS($A$5:A617)-COUNTA('Raw Decommissioning'!$B$2:$B$1000))))</x:f>
        <x:v>Serviceware Financial</x:v>
      </x:c>
      <x:c r="H617" s="170" t="str">
        <x:f>IF(A617="","",IF(B617="Decommissioning",INDEX('Raw Decommissioning'!$J$2:$J$1000,ROWS($A$5:A617)),INDEX('Raw Provisioning'!$L$2:$L$1000,ROWS($A$5:A617)-COUNTA('Raw Decommissioning'!$B$2:$B$1000))))</x:f>
        <x:v>BG2B: Project Genesis Phase 2 Implementation for PDSB (Marketplace)</x:v>
      </x:c>
      <x:c r="I617" s="170" t="str">
        <x:f>IF(A617="","",IF(B617="Decommissioning",INDEX('Raw Decommissioning'!$AL$2:$AL$1000,ROWS($A$5:A617)),INDEX('Raw Provisioning'!$R$2:$R$1000,ROWS($A$5:A617)-COUNTA('Raw Decommissioning'!$B$2:$B$1000))))</x:f>
        <x:v>M</x:v>
      </x:c>
      <x:c r="J617" s="170" t="str">
        <x:f>IF(A617="","",IF(B617="Decommissioning",INDEX('Raw Decommissioning'!$AG$2:$AG$1000,ROWS($A$5:A617)),INDEX('Raw Provisioning'!$AI$2:$AI$1000,ROWS($A$5:A617)-COUNTA('Raw Decommissioning'!$B$2:$B$1000))))</x:f>
        <x:v>amarja.kawade@petronas.com</x:v>
      </x:c>
      <x:c r="K617" s="172" t="str">
        <x:f>IF(A617="","",IFERROR(LOOKUP(2,1/('Assignment History'!$B$5:$B$204=A617),'Assignment History'!$D$5:$D$204),IFERROR(VLOOKUP(J617,Configuration!$L$5:$M$50,2,FALSE),J617)))</x:f>
        <x:v>amarja.kawade@petronas.com</x:v>
      </x:c>
      <x:c r="L617" s="172" t="str">
        <x:f>IF(A617="","",IF(K617=IFERROR(VLOOKUP(J617,Configuration!$L$5:$M$50,2,FALSE),J617),"Snapshot PIC","Replacement PIC"))</x:f>
        <x:v>Snapshot PIC</x:v>
      </x:c>
      <x:c r="M617" s="172" t="n">
        <x:f>IF(A617="","",IFERROR(VLOOKUP(I617,Configuration!$O$5:$P$8,2,FALSE),Configuration!$S$6))</x:f>
        <x:v>2</x:v>
      </x:c>
      <x:c r="N617" s="172" t="str">
        <x:f>IF(A617="","",IFERROR(LOOKUP(2,1/('Scope Review'!$B$5:$B$204=A617),'Scope Review'!$G$5:$G$204),"Not Reviewed"))</x:f>
        <x:v>Not Reviewed</x:v>
      </x:c>
      <x:c r="O617" s="172" t="str">
        <x:f>IF(A617="","",IFERROR(LOOKUP(2,1/('Scope Review'!$B$5:$B$204=A617),'Scope Review'!$H$5:$H$204),""))</x:f>
      </x:c>
      <x:c r="P617" s="172" t="n">
        <x:f>IF(A617="","",IF(AND(C617="executing",N617&lt;&gt;"Confirmed OOS"),M617,0))</x:f>
        <x:v>2</x:v>
      </x:c>
      <x:c r="Q617" s="173" t="n">
        <x:f>IF(A617="","",IFERROR(LOOKUP(2,1/('Engineer Updates'!$B$5:$B$704=A617),'Engineer Updates'!$A$5:$A$704),""))</x:f>
        <x:v>46251</x:v>
      </x:c>
      <x:c r="R617" s="172" t="str">
        <x:f>IF(A617="","",IFERROR(LOOKUP(2,1/('Engineer Updates'!$B$5:$B$704=A617),'Engineer Updates'!$H$5:$H$704),""))</x:f>
        <x:v>Not Started</x:v>
      </x:c>
      <x:c r="S617" s="172" t="str">
        <x:f>IF(A617="","",IFERROR(LOOKUP(2,1/('Engineer Updates'!$B$5:$B$704=A617),'Engineer Updates'!$G$5:$G$704),""))</x:f>
      </x:c>
      <x:c r="T617" s="172" t="str">
        <x:f>IF(A617="","",IFERROR(LOOKUP(2,1/('Engineer Updates'!$B$5:$B$704=A617),'Engineer Updates'!$I$5:$I$704),""))</x:f>
      </x:c>
      <x:c r="U617" s="172" t="str">
        <x:f>IF(A617="","",IFERROR(LOOKUP(2,1/('Engineer Updates'!$B$5:$B$704=A617),'Engineer Updates'!$J$5:$J$704),""))</x:f>
      </x:c>
      <x:c r="V617" s="172" t="str">
        <x:f>IF(A617="","",IFERROR(LOOKUP(2,1/('Engineer Updates'!$B$5:$B$704=A617),'Engineer Updates'!$K$5:$K$704),""))</x:f>
      </x:c>
      <x:c r="W617" s="174" t="str">
        <x:f>IF(A617="","",IFERROR(LOOKUP(2,1/('Engineer Updates'!$B$5:$B$704=A617),'Engineer Updates'!$L$5:$L$704),""))</x:f>
      </x:c>
      <x:c r="X617" s="170" t="str">
        <x:f>IF(A617="","",IF(C617="completed","Completed in CSSP",IF(AND(C617="executing",ISERROR(SEARCH("@",K617))),"Executing without named engineer",IF(AND(N617="Confirmed OOS",C617="executing"),"Confirmed OOS still executing",""))))</x:f>
      </x:c>
      <x:c r="Y617" s="170" t="str">
        <x:f>IF(A617="","",IF(B617="Decommissioning","Raw Decommissioning","Raw Provisioning"))</x:f>
        <x:v>Raw Provisioning</x:v>
      </x:c>
      <x:c r="Z617" s="170" t="str">
        <x:f>IF(A617="","",IF(OR(C617="executing",C617="processing"),"Yes","No"))</x:f>
        <x:v>Yes</x:v>
      </x:c>
    </x:row>
    <x:row r="618">
      <x:c r="A618" s="170" t="str">
        <x:f>IF(ROWS($A$5:A618)&lt;=COUNTA('Raw Decommissioning'!$B$2:$B$1000),INDEX('Raw Decommissioning'!$B$2:$B$1000,ROWS($A$5:A618)),IF(ROWS($A$5:A618)-COUNTA('Raw Decommissioning'!$B$2:$B$1000)&lt;=COUNTA('Raw Provisioning'!$B$2:$B$1000),INDEX('Raw Provisioning'!$B$2:$B$1000,ROWS($A$5:A618)-COUNTA('Raw Decommissioning'!$B$2:$B$1000)),""))</x:f>
        <x:v>CSSP10466348</x:v>
      </x:c>
      <x:c r="B618" s="170" t="str">
        <x:f>IF(A618="","",IF(ROWS($A$5:A618)&lt;=COUNTA('Raw Decommissioning'!$B$2:$B$1000),"Decommissioning","Provisioning"))</x:f>
        <x:v>Provisioning</x:v>
      </x:c>
      <x:c r="C618" s="170" t="str">
        <x:f>IF(A618="","",IF(B618="Decommissioning",IFERROR(INDEX('Raw Decommissioning'!$E$2:$E$1000,MATCH(A618,'Raw Decommissioning'!$B$2:$B$1000,0)),"Missing from latest raw"),IFERROR(INDEX('Raw Provisioning'!$E$2:$E$1000,MATCH(A618,'Raw Provisioning'!$B$2:$B$1000,0)),"Missing from latest raw")))</x:f>
        <x:v>executing</x:v>
      </x:c>
      <x:c r="D618" s="171" t="n">
        <x:f>IF(A618="","",'Refresh Control'!$B$4)</x:f>
        <x:v>46254</x:v>
      </x:c>
      <x:c r="E618" s="171" t="n">
        <x:f>IF(A618="","",IF(B618="Decommissioning",INDEX('Raw Decommissioning'!$F$2:$F$1000,ROWS($A$5:A618)),INDEX('Raw Provisioning'!$F$2:$F$1000,ROWS($A$5:A618)-COUNTA('Raw Decommissioning'!$B$2:$B$1000))))</x:f>
        <x:v>46237.502958680554</x:v>
      </x:c>
      <x:c r="F618" s="171" t="n">
        <x:f>IF(A618="","",IF(B618="Decommissioning",INDEX('Raw Decommissioning'!$G$2:$G$1000,ROWS($A$5:A618)),INDEX('Raw Provisioning'!$H$2:$H$1000,ROWS($A$5:A618)-COUNTA('Raw Decommissioning'!$B$2:$B$1000))))</x:f>
        <x:v>46243.27404701389</x:v>
      </x:c>
      <x:c r="G618" s="170" t="str">
        <x:f>IF(A618="","",IF(B618="Decommissioning",INDEX('Raw Decommissioning'!$I$2:$I$1000,ROWS($A$5:A618)),INDEX('Raw Provisioning'!$J$2:$J$1000,ROWS($A$5:A618)-COUNTA('Raw Decommissioning'!$B$2:$B$1000))))</x:f>
        <x:v>HSE Intelligence Pod - Smart Advisor - HIP SA</x:v>
      </x:c>
      <x:c r="H618" s="170" t="str">
        <x:f>IF(A618="","",IF(B618="Decommissioning",INDEX('Raw Decommissioning'!$J$2:$J$1000,ROWS($A$5:A618)),INDEX('Raw Provisioning'!$L$2:$L$1000,ROWS($A$5:A618)-COUNTA('Raw Decommissioning'!$B$2:$B$1000))))</x:f>
        <x:v>HSE Intelligence Pod - Smart Advisor</x:v>
      </x:c>
      <x:c r="I618" s="170" t="str">
        <x:f>IF(A618="","",IF(B618="Decommissioning",INDEX('Raw Decommissioning'!$AL$2:$AL$1000,ROWS($A$5:A618)),INDEX('Raw Provisioning'!$R$2:$R$1000,ROWS($A$5:A618)-COUNTA('Raw Decommissioning'!$B$2:$B$1000))))</x:f>
        <x:v>M</x:v>
      </x:c>
      <x:c r="J618" s="170" t="str">
        <x:f>IF(A618="","",IF(B618="Decommissioning",INDEX('Raw Decommissioning'!$AG$2:$AG$1000,ROWS($A$5:A618)),INDEX('Raw Provisioning'!$AI$2:$AI$1000,ROWS($A$5:A618)-COUNTA('Raw Decommissioning'!$B$2:$B$1000))))</x:f>
        <x:v>amarja.kawade@petronas.com</x:v>
      </x:c>
      <x:c r="K618" s="172" t="str">
        <x:f>IF(A618="","",IFERROR(LOOKUP(2,1/('Assignment History'!$B$5:$B$204=A618),'Assignment History'!$D$5:$D$204),IFERROR(VLOOKUP(J618,Configuration!$L$5:$M$50,2,FALSE),J618)))</x:f>
        <x:v>amarja.kawade@petronas.com</x:v>
      </x:c>
      <x:c r="L618" s="172" t="str">
        <x:f>IF(A618="","",IF(K618=IFERROR(VLOOKUP(J618,Configuration!$L$5:$M$50,2,FALSE),J618),"Snapshot PIC","Replacement PIC"))</x:f>
        <x:v>Snapshot PIC</x:v>
      </x:c>
      <x:c r="M618" s="172" t="n">
        <x:f>IF(A618="","",IFERROR(VLOOKUP(I618,Configuration!$O$5:$P$8,2,FALSE),Configuration!$S$6))</x:f>
        <x:v>2</x:v>
      </x:c>
      <x:c r="N618" s="172" t="str">
        <x:f>IF(A618="","",IFERROR(LOOKUP(2,1/('Scope Review'!$B$5:$B$204=A618),'Scope Review'!$G$5:$G$204),"Not Reviewed"))</x:f>
        <x:v>Not Reviewed</x:v>
      </x:c>
      <x:c r="O618" s="172" t="str">
        <x:f>IF(A618="","",IFERROR(LOOKUP(2,1/('Scope Review'!$B$5:$B$204=A618),'Scope Review'!$H$5:$H$204),""))</x:f>
      </x:c>
      <x:c r="P618" s="172" t="n">
        <x:f>IF(A618="","",IF(AND(C618="executing",N618&lt;&gt;"Confirmed OOS"),M618,0))</x:f>
        <x:v>2</x:v>
      </x:c>
      <x:c r="Q618" s="173" t="n">
        <x:f>IF(A618="","",IFERROR(LOOKUP(2,1/('Engineer Updates'!$B$5:$B$704=A618),'Engineer Updates'!$A$5:$A$704),""))</x:f>
        <x:v>46251</x:v>
      </x:c>
      <x:c r="R618" s="172" t="str">
        <x:f>IF(A618="","",IFERROR(LOOKUP(2,1/('Engineer Updates'!$B$5:$B$704=A618),'Engineer Updates'!$H$5:$H$704),""))</x:f>
        <x:v>Not Started</x:v>
      </x:c>
      <x:c r="S618" s="172" t="str">
        <x:f>IF(A618="","",IFERROR(LOOKUP(2,1/('Engineer Updates'!$B$5:$B$704=A618),'Engineer Updates'!$G$5:$G$704),""))</x:f>
      </x:c>
      <x:c r="T618" s="172" t="str">
        <x:f>IF(A618="","",IFERROR(LOOKUP(2,1/('Engineer Updates'!$B$5:$B$704=A618),'Engineer Updates'!$I$5:$I$704),""))</x:f>
      </x:c>
      <x:c r="U618" s="172" t="str">
        <x:f>IF(A618="","",IFERROR(LOOKUP(2,1/('Engineer Updates'!$B$5:$B$704=A618),'Engineer Updates'!$J$5:$J$704),""))</x:f>
      </x:c>
      <x:c r="V618" s="172" t="str">
        <x:f>IF(A618="","",IFERROR(LOOKUP(2,1/('Engineer Updates'!$B$5:$B$704=A618),'Engineer Updates'!$K$5:$K$704),""))</x:f>
      </x:c>
      <x:c r="W618" s="174" t="str">
        <x:f>IF(A618="","",IFERROR(LOOKUP(2,1/('Engineer Updates'!$B$5:$B$704=A618),'Engineer Updates'!$L$5:$L$704),""))</x:f>
      </x:c>
      <x:c r="X618" s="170" t="str">
        <x:f>IF(A618="","",IF(C618="completed","Completed in CSSP",IF(AND(C618="executing",ISERROR(SEARCH("@",K618))),"Executing without named engineer",IF(AND(N618="Confirmed OOS",C618="executing"),"Confirmed OOS still executing",""))))</x:f>
      </x:c>
      <x:c r="Y618" s="170" t="str">
        <x:f>IF(A618="","",IF(B618="Decommissioning","Raw Decommissioning","Raw Provisioning"))</x:f>
        <x:v>Raw Provisioning</x:v>
      </x:c>
      <x:c r="Z618" s="170" t="str">
        <x:f>IF(A618="","",IF(OR(C618="executing",C618="processing"),"Yes","No"))</x:f>
        <x:v>Yes</x:v>
      </x:c>
    </x:row>
    <x:row r="619">
      <x:c r="A619" s="170" t="str">
        <x:f>IF(ROWS($A$5:A619)&lt;=COUNTA('Raw Decommissioning'!$B$2:$B$1000),INDEX('Raw Decommissioning'!$B$2:$B$1000,ROWS($A$5:A619)),IF(ROWS($A$5:A619)-COUNTA('Raw Decommissioning'!$B$2:$B$1000)&lt;=COUNTA('Raw Provisioning'!$B$2:$B$1000),INDEX('Raw Provisioning'!$B$2:$B$1000,ROWS($A$5:A619)-COUNTA('Raw Decommissioning'!$B$2:$B$1000)),""))</x:f>
        <x:v>CSSP10760755</x:v>
      </x:c>
      <x:c r="B619" s="170" t="str">
        <x:f>IF(A619="","",IF(ROWS($A$5:A619)&lt;=COUNTA('Raw Decommissioning'!$B$2:$B$1000),"Decommissioning","Provisioning"))</x:f>
        <x:v>Provisioning</x:v>
      </x:c>
      <x:c r="C619" s="170" t="str">
        <x:f>IF(A619="","",IF(B619="Decommissioning",IFERROR(INDEX('Raw Decommissioning'!$E$2:$E$1000,MATCH(A619,'Raw Decommissioning'!$B$2:$B$1000,0)),"Missing from latest raw"),IFERROR(INDEX('Raw Provisioning'!$E$2:$E$1000,MATCH(A619,'Raw Provisioning'!$B$2:$B$1000,0)),"Missing from latest raw")))</x:f>
        <x:v>pending</x:v>
      </x:c>
      <x:c r="D619" s="171" t="n">
        <x:f>IF(A619="","",'Refresh Control'!$B$4)</x:f>
        <x:v>46254</x:v>
      </x:c>
      <x:c r="E619" s="171" t="n">
        <x:f>IF(A619="","",IF(B619="Decommissioning",INDEX('Raw Decommissioning'!$F$2:$F$1000,ROWS($A$5:A619)),INDEX('Raw Provisioning'!$F$2:$F$1000,ROWS($A$5:A619)-COUNTA('Raw Decommissioning'!$B$2:$B$1000))))</x:f>
        <x:v>46238.17587684028</x:v>
      </x:c>
      <x:c r="F619" s="171" t="n">
        <x:f>IF(A619="","",IF(B619="Decommissioning",INDEX('Raw Decommissioning'!$G$2:$G$1000,ROWS($A$5:A619)),INDEX('Raw Provisioning'!$H$2:$H$1000,ROWS($A$5:A619)-COUNTA('Raw Decommissioning'!$B$2:$B$1000))))</x:f>
        <x:v>46238.17587684028</x:v>
      </x:c>
      <x:c r="G619" s="170" t="str">
        <x:f>IF(A619="","",IF(B619="Decommissioning",INDEX('Raw Decommissioning'!$I$2:$I$1000,ROWS($A$5:A619)),INDEX('Raw Provisioning'!$J$2:$J$1000,ROWS($A$5:A619)-COUNTA('Raw Decommissioning'!$B$2:$B$1000))))</x:f>
        <x:v>VMware vCenter RDMZ RTOT</x:v>
      </x:c>
      <x:c r="H619" s="170" t="str">
        <x:f>IF(A619="","",IF(B619="Decommissioning",INDEX('Raw Decommissioning'!$J$2:$J$1000,ROWS($A$5:A619)),INDEX('Raw Provisioning'!$L$2:$L$1000,ROWS($A$5:A619)-COUNTA('Raw Decommissioning'!$B$2:$B$1000))))</x:f>
        <x:v>VMware vCenter RDMZ RTOT created for PRIVATECLOUD project record</x:v>
      </x:c>
      <x:c r="I619" s="170" t="str">
        <x:f>IF(A619="","",IF(B619="Decommissioning",INDEX('Raw Decommissioning'!$AL$2:$AL$1000,ROWS($A$5:A619)),INDEX('Raw Provisioning'!$R$2:$R$1000,ROWS($A$5:A619)-COUNTA('Raw Decommissioning'!$B$2:$B$1000))))</x:f>
      </x:c>
      <x:c r="J619" s="170" t="str">
        <x:f>IF(A619="","",IF(B619="Decommissioning",INDEX('Raw Decommissioning'!$AG$2:$AG$1000,ROWS($A$5:A619)),INDEX('Raw Provisioning'!$AI$2:$AI$1000,ROWS($A$5:A619)-COUNTA('Raw Decommissioning'!$B$2:$B$1000))))</x:f>
        <x:v>IMS - CLOUD CSSP EXECUTOR</x:v>
      </x:c>
      <x:c r="K619" s="172" t="str">
        <x:f>IF(A619="","",IFERROR(LOOKUP(2,1/('Assignment History'!$B$5:$B$204=A619),'Assignment History'!$D$5:$D$204),IFERROR(VLOOKUP(J619,Configuration!$L$5:$M$50,2,FALSE),J619)))</x:f>
        <x:v>IMS - CLOUD CSSP EXECUTOR</x:v>
      </x:c>
      <x:c r="L619" s="172" t="str">
        <x:f>IF(A619="","",IF(K619=IFERROR(VLOOKUP(J619,Configuration!$L$5:$M$50,2,FALSE),J619),"Snapshot PIC","Replacement PIC"))</x:f>
        <x:v>Snapshot PIC</x:v>
      </x:c>
      <x:c r="M619" s="172" t="n">
        <x:f>IF(A619="","",IFERROR(VLOOKUP(I619,Configuration!$O$5:$P$8,2,FALSE),Configuration!$S$6))</x:f>
        <x:v>2</x:v>
      </x:c>
      <x:c r="N619" s="172" t="str">
        <x:f>IF(A619="","",IFERROR(LOOKUP(2,1/('Scope Review'!$B$5:$B$204=A619),'Scope Review'!$G$5:$G$204),"Not Reviewed"))</x:f>
        <x:v>Not Reviewed</x:v>
      </x:c>
      <x:c r="O619" s="172" t="str">
        <x:f>IF(A619="","",IFERROR(LOOKUP(2,1/('Scope Review'!$B$5:$B$204=A619),'Scope Review'!$H$5:$H$204),""))</x:f>
      </x:c>
      <x:c r="P619" s="172" t="n">
        <x:f>IF(A619="","",IF(AND(C619="executing",N619&lt;&gt;"Confirmed OOS"),M619,0))</x:f>
        <x:v>0</x:v>
      </x:c>
      <x:c r="Q619" s="173" t="str">
        <x:f>IF(A619="","",IFERROR(LOOKUP(2,1/('Engineer Updates'!$B$5:$B$704=A619),'Engineer Updates'!$A$5:$A$704),""))</x:f>
      </x:c>
      <x:c r="R619" s="172" t="str">
        <x:f>IF(A619="","",IFERROR(LOOKUP(2,1/('Engineer Updates'!$B$5:$B$704=A619),'Engineer Updates'!$H$5:$H$704),""))</x:f>
      </x:c>
      <x:c r="S619" s="172" t="str">
        <x:f>IF(A619="","",IFERROR(LOOKUP(2,1/('Engineer Updates'!$B$5:$B$704=A619),'Engineer Updates'!$G$5:$G$704),""))</x:f>
      </x:c>
      <x:c r="T619" s="172" t="str">
        <x:f>IF(A619="","",IFERROR(LOOKUP(2,1/('Engineer Updates'!$B$5:$B$704=A619),'Engineer Updates'!$I$5:$I$704),""))</x:f>
      </x:c>
      <x:c r="U619" s="172" t="str">
        <x:f>IF(A619="","",IFERROR(LOOKUP(2,1/('Engineer Updates'!$B$5:$B$704=A619),'Engineer Updates'!$J$5:$J$704),""))</x:f>
      </x:c>
      <x:c r="V619" s="172" t="str">
        <x:f>IF(A619="","",IFERROR(LOOKUP(2,1/('Engineer Updates'!$B$5:$B$704=A619),'Engineer Updates'!$K$5:$K$704),""))</x:f>
      </x:c>
      <x:c r="W619" s="174" t="str">
        <x:f>IF(A619="","",IFERROR(LOOKUP(2,1/('Engineer Updates'!$B$5:$B$704=A619),'Engineer Updates'!$L$5:$L$704),""))</x:f>
      </x:c>
      <x:c r="X619" s="170" t="str">
        <x:f>IF(A619="","",IF(C619="completed","Completed in CSSP",IF(AND(C619="executing",ISERROR(SEARCH("@",K619))),"Executing without named engineer",IF(AND(N619="Confirmed OOS",C619="executing"),"Confirmed OOS still executing",""))))</x:f>
      </x:c>
      <x:c r="Y619" s="170" t="str">
        <x:f>IF(A619="","",IF(B619="Decommissioning","Raw Decommissioning","Raw Provisioning"))</x:f>
        <x:v>Raw Provisioning</x:v>
      </x:c>
      <x:c r="Z619" s="170" t="str">
        <x:f>IF(A619="","",IF(OR(C619="executing",C619="processing"),"Yes","No"))</x:f>
        <x:v>No</x:v>
      </x:c>
    </x:row>
    <x:row r="620">
      <x:c r="A620" s="170" t="str">
        <x:f>IF(ROWS($A$5:A620)&lt;=COUNTA('Raw Decommissioning'!$B$2:$B$1000),INDEX('Raw Decommissioning'!$B$2:$B$1000,ROWS($A$5:A620)),IF(ROWS($A$5:A620)-COUNTA('Raw Decommissioning'!$B$2:$B$1000)&lt;=COUNTA('Raw Provisioning'!$B$2:$B$1000),INDEX('Raw Provisioning'!$B$2:$B$1000,ROWS($A$5:A620)-COUNTA('Raw Decommissioning'!$B$2:$B$1000)),""))</x:f>
        <x:v>CSSP10474210</x:v>
      </x:c>
      <x:c r="B620" s="170" t="str">
        <x:f>IF(A620="","",IF(ROWS($A$5:A620)&lt;=COUNTA('Raw Decommissioning'!$B$2:$B$1000),"Decommissioning","Provisioning"))</x:f>
        <x:v>Provisioning</x:v>
      </x:c>
      <x:c r="C620" s="170" t="str">
        <x:f>IF(A620="","",IF(B620="Decommissioning",IFERROR(INDEX('Raw Decommissioning'!$E$2:$E$1000,MATCH(A620,'Raw Decommissioning'!$B$2:$B$1000,0)),"Missing from latest raw"),IFERROR(INDEX('Raw Provisioning'!$E$2:$E$1000,MATCH(A620,'Raw Provisioning'!$B$2:$B$1000,0)),"Missing from latest raw")))</x:f>
        <x:v>rejected</x:v>
      </x:c>
      <x:c r="D620" s="171" t="n">
        <x:f>IF(A620="","",'Refresh Control'!$B$4)</x:f>
        <x:v>46254</x:v>
      </x:c>
      <x:c r="E620" s="171" t="n">
        <x:f>IF(A620="","",IF(B620="Decommissioning",INDEX('Raw Decommissioning'!$F$2:$F$1000,ROWS($A$5:A620)),INDEX('Raw Provisioning'!$F$2:$F$1000,ROWS($A$5:A620)-COUNTA('Raw Decommissioning'!$B$2:$B$1000))))</x:f>
        <x:v>46240.37880346065</x:v>
      </x:c>
      <x:c r="F620" s="171" t="n">
        <x:f>IF(A620="","",IF(B620="Decommissioning",INDEX('Raw Decommissioning'!$G$2:$G$1000,ROWS($A$5:A620)),INDEX('Raw Provisioning'!$H$2:$H$1000,ROWS($A$5:A620)-COUNTA('Raw Decommissioning'!$B$2:$B$1000))))</x:f>
        <x:v>46245.19472811343</x:v>
      </x:c>
      <x:c r="G620" s="170" t="str">
        <x:f>IF(A620="","",IF(B620="Decommissioning",INDEX('Raw Decommissioning'!$I$2:$I$1000,ROWS($A$5:A620)),INDEX('Raw Provisioning'!$J$2:$J$1000,ROWS($A$5:A620)-COUNTA('Raw Decommissioning'!$B$2:$B$1000))))</x:f>
        <x:v>Augmented Gas Nomination Ecosystem - AGNES</x:v>
      </x:c>
      <x:c r="H620" s="170" t="str">
        <x:f>IF(A620="","",IF(B620="Decommissioning",INDEX('Raw Decommissioning'!$J$2:$J$1000,ROWS($A$5:A620)),INDEX('Raw Provisioning'!$L$2:$L$1000,ROWS($A$5:A620)-COUNTA('Raw Decommissioning'!$B$2:$B$1000))))</x:f>
        <x:v>Procurement for Deployment of Augmented Gas Nomination Ecosystem (AGNES) at PMA</x:v>
      </x:c>
      <x:c r="I620" s="170" t="str">
        <x:f>IF(A620="","",IF(B620="Decommissioning",INDEX('Raw Decommissioning'!$AL$2:$AL$1000,ROWS($A$5:A620)),INDEX('Raw Provisioning'!$R$2:$R$1000,ROWS($A$5:A620)-COUNTA('Raw Decommissioning'!$B$2:$B$1000))))</x:f>
        <x:v>S</x:v>
      </x:c>
      <x:c r="J620" s="170" t="str">
        <x:f>IF(A620="","",IF(B620="Decommissioning",INDEX('Raw Decommissioning'!$AG$2:$AG$1000,ROWS($A$5:A620)),INDEX('Raw Provisioning'!$AI$2:$AI$1000,ROWS($A$5:A620)-COUNTA('Raw Decommissioning'!$B$2:$B$1000))))</x:f>
        <x:v>IMS - CLOUD CSSP EXECUTOR</x:v>
      </x:c>
      <x:c r="K620" s="172" t="str">
        <x:f>IF(A620="","",IFERROR(LOOKUP(2,1/('Assignment History'!$B$5:$B$204=A620),'Assignment History'!$D$5:$D$204),IFERROR(VLOOKUP(J620,Configuration!$L$5:$M$50,2,FALSE),J620)))</x:f>
        <x:v>IMS - CLOUD CSSP EXECUTOR</x:v>
      </x:c>
      <x:c r="L620" s="172" t="str">
        <x:f>IF(A620="","",IF(K620=IFERROR(VLOOKUP(J620,Configuration!$L$5:$M$50,2,FALSE),J620),"Snapshot PIC","Replacement PIC"))</x:f>
        <x:v>Snapshot PIC</x:v>
      </x:c>
      <x:c r="M620" s="172" t="n">
        <x:f>IF(A620="","",IFERROR(VLOOKUP(I620,Configuration!$O$5:$P$8,2,FALSE),Configuration!$S$6))</x:f>
        <x:v>1</x:v>
      </x:c>
      <x:c r="N620" s="172" t="str">
        <x:f>IF(A620="","",IFERROR(LOOKUP(2,1/('Scope Review'!$B$5:$B$204=A620),'Scope Review'!$G$5:$G$204),"Not Reviewed"))</x:f>
        <x:v>Not Reviewed</x:v>
      </x:c>
      <x:c r="O620" s="172" t="str">
        <x:f>IF(A620="","",IFERROR(LOOKUP(2,1/('Scope Review'!$B$5:$B$204=A620),'Scope Review'!$H$5:$H$204),""))</x:f>
      </x:c>
      <x:c r="P620" s="172" t="n">
        <x:f>IF(A620="","",IF(AND(C620="executing",N620&lt;&gt;"Confirmed OOS"),M620,0))</x:f>
        <x:v>0</x:v>
      </x:c>
      <x:c r="Q620" s="173" t="str">
        <x:f>IF(A620="","",IFERROR(LOOKUP(2,1/('Engineer Updates'!$B$5:$B$704=A620),'Engineer Updates'!$A$5:$A$704),""))</x:f>
      </x:c>
      <x:c r="R620" s="172" t="str">
        <x:f>IF(A620="","",IFERROR(LOOKUP(2,1/('Engineer Updates'!$B$5:$B$704=A620),'Engineer Updates'!$H$5:$H$704),""))</x:f>
      </x:c>
      <x:c r="S620" s="172" t="str">
        <x:f>IF(A620="","",IFERROR(LOOKUP(2,1/('Engineer Updates'!$B$5:$B$704=A620),'Engineer Updates'!$G$5:$G$704),""))</x:f>
      </x:c>
      <x:c r="T620" s="172" t="str">
        <x:f>IF(A620="","",IFERROR(LOOKUP(2,1/('Engineer Updates'!$B$5:$B$704=A620),'Engineer Updates'!$I$5:$I$704),""))</x:f>
      </x:c>
      <x:c r="U620" s="172" t="str">
        <x:f>IF(A620="","",IFERROR(LOOKUP(2,1/('Engineer Updates'!$B$5:$B$704=A620),'Engineer Updates'!$J$5:$J$704),""))</x:f>
      </x:c>
      <x:c r="V620" s="172" t="str">
        <x:f>IF(A620="","",IFERROR(LOOKUP(2,1/('Engineer Updates'!$B$5:$B$704=A620),'Engineer Updates'!$K$5:$K$704),""))</x:f>
      </x:c>
      <x:c r="W620" s="174" t="str">
        <x:f>IF(A620="","",IFERROR(LOOKUP(2,1/('Engineer Updates'!$B$5:$B$704=A620),'Engineer Updates'!$L$5:$L$704),""))</x:f>
      </x:c>
      <x:c r="X620" s="170" t="str">
        <x:f>IF(A620="","",IF(C620="completed","Completed in CSSP",IF(AND(C620="executing",ISERROR(SEARCH("@",K620))),"Executing without named engineer",IF(AND(N620="Confirmed OOS",C620="executing"),"Confirmed OOS still executing",""))))</x:f>
      </x:c>
      <x:c r="Y620" s="170" t="str">
        <x:f>IF(A620="","",IF(B620="Decommissioning","Raw Decommissioning","Raw Provisioning"))</x:f>
        <x:v>Raw Provisioning</x:v>
      </x:c>
      <x:c r="Z620" s="170" t="str">
        <x:f>IF(A620="","",IF(OR(C620="executing",C620="processing"),"Yes","No"))</x:f>
        <x:v>No</x:v>
      </x:c>
    </x:row>
    <x:row r="621">
      <x:c r="A621" s="170" t="str">
        <x:f>IF(ROWS($A$5:A621)&lt;=COUNTA('Raw Decommissioning'!$B$2:$B$1000),INDEX('Raw Decommissioning'!$B$2:$B$1000,ROWS($A$5:A621)),IF(ROWS($A$5:A621)-COUNTA('Raw Decommissioning'!$B$2:$B$1000)&lt;=COUNTA('Raw Provisioning'!$B$2:$B$1000),INDEX('Raw Provisioning'!$B$2:$B$1000,ROWS($A$5:A621)-COUNTA('Raw Decommissioning'!$B$2:$B$1000)),""))</x:f>
        <x:v>CSSP10184564</x:v>
      </x:c>
      <x:c r="B621" s="170" t="str">
        <x:f>IF(A621="","",IF(ROWS($A$5:A621)&lt;=COUNTA('Raw Decommissioning'!$B$2:$B$1000),"Decommissioning","Provisioning"))</x:f>
        <x:v>Provisioning</x:v>
      </x:c>
      <x:c r="C621" s="170" t="str">
        <x:f>IF(A621="","",IF(B621="Decommissioning",IFERROR(INDEX('Raw Decommissioning'!$E$2:$E$1000,MATCH(A621,'Raw Decommissioning'!$B$2:$B$1000,0)),"Missing from latest raw"),IFERROR(INDEX('Raw Provisioning'!$E$2:$E$1000,MATCH(A621,'Raw Provisioning'!$B$2:$B$1000,0)),"Missing from latest raw")))</x:f>
        <x:v>rejected</x:v>
      </x:c>
      <x:c r="D621" s="171" t="n">
        <x:f>IF(A621="","",'Refresh Control'!$B$4)</x:f>
        <x:v>46254</x:v>
      </x:c>
      <x:c r="E621" s="171" t="n">
        <x:f>IF(A621="","",IF(B621="Decommissioning",INDEX('Raw Decommissioning'!$F$2:$F$1000,ROWS($A$5:A621)),INDEX('Raw Provisioning'!$F$2:$F$1000,ROWS($A$5:A621)-COUNTA('Raw Decommissioning'!$B$2:$B$1000))))</x:f>
        <x:v>46244.125039502316</x:v>
      </x:c>
      <x:c r="F621" s="171" t="n">
        <x:f>IF(A621="","",IF(B621="Decommissioning",INDEX('Raw Decommissioning'!$G$2:$G$1000,ROWS($A$5:A621)),INDEX('Raw Provisioning'!$H$2:$H$1000,ROWS($A$5:A621)-COUNTA('Raw Decommissioning'!$B$2:$B$1000))))</x:f>
        <x:v>46244.33835722222</x:v>
      </x:c>
      <x:c r="G621" s="170" t="str">
        <x:f>IF(A621="","",IF(B621="Decommissioning",INDEX('Raw Decommissioning'!$I$2:$I$1000,ROWS($A$5:A621)),INDEX('Raw Provisioning'!$J$2:$J$1000,ROWS($A$5:A621)-COUNTA('Raw Decommissioning'!$B$2:$B$1000))))</x:f>
        <x:v>Robotic Process Automation - RPA GHRM</x:v>
      </x:c>
      <x:c r="H621" s="170" t="str">
        <x:f>IF(A621="","",IF(B621="Decommissioning",INDEX('Raw Decommissioning'!$J$2:$J$1000,ROWS($A$5:A621)),INDEX('Raw Provisioning'!$L$2:$L$1000,ROWS($A$5:A621)-COUNTA('Raw Decommissioning'!$B$2:$B$1000))))</x:f>
        <x:v>Implementation of Robotic Process Automation (RPA) (Wave 1) for GHRS</x:v>
      </x:c>
      <x:c r="I621" s="170" t="str">
        <x:f>IF(A621="","",IF(B621="Decommissioning",INDEX('Raw Decommissioning'!$AL$2:$AL$1000,ROWS($A$5:A621)),INDEX('Raw Provisioning'!$R$2:$R$1000,ROWS($A$5:A621)-COUNTA('Raw Decommissioning'!$B$2:$B$1000))))</x:f>
        <x:v>M</x:v>
      </x:c>
      <x:c r="J621" s="170" t="str">
        <x:f>IF(A621="","",IF(B621="Decommissioning",INDEX('Raw Decommissioning'!$AG$2:$AG$1000,ROWS($A$5:A621)),INDEX('Raw Provisioning'!$AI$2:$AI$1000,ROWS($A$5:A621)-COUNTA('Raw Decommissioning'!$B$2:$B$1000))))</x:f>
        <x:v>IMS - CLOUD CSSP EXECUTOR</x:v>
      </x:c>
      <x:c r="K621" s="172" t="str">
        <x:f>IF(A621="","",IFERROR(LOOKUP(2,1/('Assignment History'!$B$5:$B$204=A621),'Assignment History'!$D$5:$D$204),IFERROR(VLOOKUP(J621,Configuration!$L$5:$M$50,2,FALSE),J621)))</x:f>
        <x:v>IMS - CLOUD CSSP EXECUTOR</x:v>
      </x:c>
      <x:c r="L621" s="172" t="str">
        <x:f>IF(A621="","",IF(K621=IFERROR(VLOOKUP(J621,Configuration!$L$5:$M$50,2,FALSE),J621),"Snapshot PIC","Replacement PIC"))</x:f>
        <x:v>Snapshot PIC</x:v>
      </x:c>
      <x:c r="M621" s="172" t="n">
        <x:f>IF(A621="","",IFERROR(VLOOKUP(I621,Configuration!$O$5:$P$8,2,FALSE),Configuration!$S$6))</x:f>
        <x:v>2</x:v>
      </x:c>
      <x:c r="N621" s="172" t="str">
        <x:f>IF(A621="","",IFERROR(LOOKUP(2,1/('Scope Review'!$B$5:$B$204=A621),'Scope Review'!$G$5:$G$204),"Not Reviewed"))</x:f>
        <x:v>Not Reviewed</x:v>
      </x:c>
      <x:c r="O621" s="172" t="str">
        <x:f>IF(A621="","",IFERROR(LOOKUP(2,1/('Scope Review'!$B$5:$B$204=A621),'Scope Review'!$H$5:$H$204),""))</x:f>
      </x:c>
      <x:c r="P621" s="172" t="n">
        <x:f>IF(A621="","",IF(AND(C621="executing",N621&lt;&gt;"Confirmed OOS"),M621,0))</x:f>
        <x:v>0</x:v>
      </x:c>
      <x:c r="Q621" s="173" t="str">
        <x:f>IF(A621="","",IFERROR(LOOKUP(2,1/('Engineer Updates'!$B$5:$B$704=A621),'Engineer Updates'!$A$5:$A$704),""))</x:f>
      </x:c>
      <x:c r="R621" s="172" t="str">
        <x:f>IF(A621="","",IFERROR(LOOKUP(2,1/('Engineer Updates'!$B$5:$B$704=A621),'Engineer Updates'!$H$5:$H$704),""))</x:f>
      </x:c>
      <x:c r="S621" s="172" t="str">
        <x:f>IF(A621="","",IFERROR(LOOKUP(2,1/('Engineer Updates'!$B$5:$B$704=A621),'Engineer Updates'!$G$5:$G$704),""))</x:f>
      </x:c>
      <x:c r="T621" s="172" t="str">
        <x:f>IF(A621="","",IFERROR(LOOKUP(2,1/('Engineer Updates'!$B$5:$B$704=A621),'Engineer Updates'!$I$5:$I$704),""))</x:f>
      </x:c>
      <x:c r="U621" s="172" t="str">
        <x:f>IF(A621="","",IFERROR(LOOKUP(2,1/('Engineer Updates'!$B$5:$B$704=A621),'Engineer Updates'!$J$5:$J$704),""))</x:f>
      </x:c>
      <x:c r="V621" s="172" t="str">
        <x:f>IF(A621="","",IFERROR(LOOKUP(2,1/('Engineer Updates'!$B$5:$B$704=A621),'Engineer Updates'!$K$5:$K$704),""))</x:f>
      </x:c>
      <x:c r="W621" s="174" t="str">
        <x:f>IF(A621="","",IFERROR(LOOKUP(2,1/('Engineer Updates'!$B$5:$B$704=A621),'Engineer Updates'!$L$5:$L$704),""))</x:f>
      </x:c>
      <x:c r="X621" s="170" t="str">
        <x:f>IF(A621="","",IF(C621="completed","Completed in CSSP",IF(AND(C621="executing",ISERROR(SEARCH("@",K621))),"Executing without named engineer",IF(AND(N621="Confirmed OOS",C621="executing"),"Confirmed OOS still executing",""))))</x:f>
      </x:c>
      <x:c r="Y621" s="170" t="str">
        <x:f>IF(A621="","",IF(B621="Decommissioning","Raw Decommissioning","Raw Provisioning"))</x:f>
        <x:v>Raw Provisioning</x:v>
      </x:c>
      <x:c r="Z621" s="170" t="str">
        <x:f>IF(A621="","",IF(OR(C621="executing",C621="processing"),"Yes","No"))</x:f>
        <x:v>No</x:v>
      </x:c>
    </x:row>
    <x:row r="622">
      <x:c r="A622" s="170" t="str">
        <x:f>IF(ROWS($A$5:A622)&lt;=COUNTA('Raw Decommissioning'!$B$2:$B$1000),INDEX('Raw Decommissioning'!$B$2:$B$1000,ROWS($A$5:A622)),IF(ROWS($A$5:A622)-COUNTA('Raw Decommissioning'!$B$2:$B$1000)&lt;=COUNTA('Raw Provisioning'!$B$2:$B$1000),INDEX('Raw Provisioning'!$B$2:$B$1000,ROWS($A$5:A622)-COUNTA('Raw Decommissioning'!$B$2:$B$1000)),""))</x:f>
        <x:v>CSSP10965023</x:v>
      </x:c>
      <x:c r="B622" s="170" t="str">
        <x:f>IF(A622="","",IF(ROWS($A$5:A622)&lt;=COUNTA('Raw Decommissioning'!$B$2:$B$1000),"Decommissioning","Provisioning"))</x:f>
        <x:v>Provisioning</x:v>
      </x:c>
      <x:c r="C622" s="170" t="str">
        <x:f>IF(A622="","",IF(B622="Decommissioning",IFERROR(INDEX('Raw Decommissioning'!$E$2:$E$1000,MATCH(A622,'Raw Decommissioning'!$B$2:$B$1000,0)),"Missing from latest raw"),IFERROR(INDEX('Raw Provisioning'!$E$2:$E$1000,MATCH(A622,'Raw Provisioning'!$B$2:$B$1000,0)),"Missing from latest raw")))</x:f>
        <x:v>executing</x:v>
      </x:c>
      <x:c r="D622" s="171" t="n">
        <x:f>IF(A622="","",'Refresh Control'!$B$4)</x:f>
        <x:v>46254</x:v>
      </x:c>
      <x:c r="E622" s="171" t="n">
        <x:f>IF(A622="","",IF(B622="Decommissioning",INDEX('Raw Decommissioning'!$F$2:$F$1000,ROWS($A$5:A622)),INDEX('Raw Provisioning'!$F$2:$F$1000,ROWS($A$5:A622)-COUNTA('Raw Decommissioning'!$B$2:$B$1000))))</x:f>
        <x:v>46244.34321291667</x:v>
      </x:c>
      <x:c r="F622" s="171" t="n">
        <x:f>IF(A622="","",IF(B622="Decommissioning",INDEX('Raw Decommissioning'!$G$2:$G$1000,ROWS($A$5:A622)),INDEX('Raw Provisioning'!$H$2:$H$1000,ROWS($A$5:A622)-COUNTA('Raw Decommissioning'!$B$2:$B$1000))))</x:f>
        <x:v>46247.304909398146</x:v>
      </x:c>
      <x:c r="G622" s="170" t="str">
        <x:f>IF(A622="","",IF(B622="Decommissioning",INDEX('Raw Decommissioning'!$I$2:$I$1000,ROWS($A$5:A622)),INDEX('Raw Provisioning'!$J$2:$J$1000,ROWS($A$5:A622)-COUNTA('Raw Decommissioning'!$B$2:$B$1000))))</x:f>
        <x:v>Robotic Process Automation - RPA GHRM</x:v>
      </x:c>
      <x:c r="H622" s="170" t="str">
        <x:f>IF(A622="","",IF(B622="Decommissioning",INDEX('Raw Decommissioning'!$J$2:$J$1000,ROWS($A$5:A622)),INDEX('Raw Provisioning'!$L$2:$L$1000,ROWS($A$5:A622)-COUNTA('Raw Decommissioning'!$B$2:$B$1000))))</x:f>
        <x:v>Implementation of Robotic Process Automation (RPA) (Wave 1) for GHRS</x:v>
      </x:c>
      <x:c r="I622" s="170" t="str">
        <x:f>IF(A622="","",IF(B622="Decommissioning",INDEX('Raw Decommissioning'!$AL$2:$AL$1000,ROWS($A$5:A622)),INDEX('Raw Provisioning'!$R$2:$R$1000,ROWS($A$5:A622)-COUNTA('Raw Decommissioning'!$B$2:$B$1000))))</x:f>
        <x:v>S</x:v>
      </x:c>
      <x:c r="J622" s="170" t="str">
        <x:f>IF(A622="","",IF(B622="Decommissioning",INDEX('Raw Decommissioning'!$AG$2:$AG$1000,ROWS($A$5:A622)),INDEX('Raw Provisioning'!$AI$2:$AI$1000,ROWS($A$5:A622)-COUNTA('Raw Decommissioning'!$B$2:$B$1000))))</x:f>
        <x:v>mardiansyah.rayasa@petronas.com</x:v>
      </x:c>
      <x:c r="K622" s="172" t="str">
        <x:f>IF(A622="","",IFERROR(LOOKUP(2,1/('Assignment History'!$B$5:$B$204=A622),'Assignment History'!$D$5:$D$204),IFERROR(VLOOKUP(J622,Configuration!$L$5:$M$50,2,FALSE),J622)))</x:f>
        <x:v>mardiansyah.rayasa@petronas.com</x:v>
      </x:c>
      <x:c r="L622" s="172" t="str">
        <x:f>IF(A622="","",IF(K622=IFERROR(VLOOKUP(J622,Configuration!$L$5:$M$50,2,FALSE),J622),"Snapshot PIC","Replacement PIC"))</x:f>
        <x:v>Snapshot PIC</x:v>
      </x:c>
      <x:c r="M622" s="172" t="n">
        <x:f>IF(A622="","",IFERROR(VLOOKUP(I622,Configuration!$O$5:$P$8,2,FALSE),Configuration!$S$6))</x:f>
        <x:v>1</x:v>
      </x:c>
      <x:c r="N622" s="172" t="str">
        <x:f>IF(A622="","",IFERROR(LOOKUP(2,1/('Scope Review'!$B$5:$B$204=A622),'Scope Review'!$G$5:$G$204),"Not Reviewed"))</x:f>
        <x:v>Not Reviewed</x:v>
      </x:c>
      <x:c r="O622" s="172" t="str">
        <x:f>IF(A622="","",IFERROR(LOOKUP(2,1/('Scope Review'!$B$5:$B$204=A622),'Scope Review'!$H$5:$H$204),""))</x:f>
      </x:c>
      <x:c r="P622" s="172" t="n">
        <x:f>IF(A622="","",IF(AND(C622="executing",N622&lt;&gt;"Confirmed OOS"),M622,0))</x:f>
        <x:v>1</x:v>
      </x:c>
      <x:c r="Q622" s="173" t="n">
        <x:f>IF(A622="","",IFERROR(LOOKUP(2,1/('Engineer Updates'!$B$5:$B$704=A622),'Engineer Updates'!$A$5:$A$704),""))</x:f>
        <x:v>46251</x:v>
      </x:c>
      <x:c r="R622" s="172" t="str">
        <x:f>IF(A622="","",IFERROR(LOOKUP(2,1/('Engineer Updates'!$B$5:$B$704=A622),'Engineer Updates'!$H$5:$H$704),""))</x:f>
        <x:v>Not Started</x:v>
      </x:c>
      <x:c r="S622" s="172" t="str">
        <x:f>IF(A622="","",IFERROR(LOOKUP(2,1/('Engineer Updates'!$B$5:$B$704=A622),'Engineer Updates'!$G$5:$G$704),""))</x:f>
      </x:c>
      <x:c r="T622" s="172" t="str">
        <x:f>IF(A622="","",IFERROR(LOOKUP(2,1/('Engineer Updates'!$B$5:$B$704=A622),'Engineer Updates'!$I$5:$I$704),""))</x:f>
      </x:c>
      <x:c r="U622" s="172" t="str">
        <x:f>IF(A622="","",IFERROR(LOOKUP(2,1/('Engineer Updates'!$B$5:$B$704=A622),'Engineer Updates'!$J$5:$J$704),""))</x:f>
      </x:c>
      <x:c r="V622" s="172" t="str">
        <x:f>IF(A622="","",IFERROR(LOOKUP(2,1/('Engineer Updates'!$B$5:$B$704=A622),'Engineer Updates'!$K$5:$K$704),""))</x:f>
      </x:c>
      <x:c r="W622" s="174" t="str">
        <x:f>IF(A622="","",IFERROR(LOOKUP(2,1/('Engineer Updates'!$B$5:$B$704=A622),'Engineer Updates'!$L$5:$L$704),""))</x:f>
      </x:c>
      <x:c r="X622" s="170" t="str">
        <x:f>IF(A622="","",IF(C622="completed","Completed in CSSP",IF(AND(C622="executing",ISERROR(SEARCH("@",K622))),"Executing without named engineer",IF(AND(N622="Confirmed OOS",C622="executing"),"Confirmed OOS still executing",""))))</x:f>
      </x:c>
      <x:c r="Y622" s="170" t="str">
        <x:f>IF(A622="","",IF(B622="Decommissioning","Raw Decommissioning","Raw Provisioning"))</x:f>
        <x:v>Raw Provisioning</x:v>
      </x:c>
      <x:c r="Z622" s="170" t="str">
        <x:f>IF(A622="","",IF(OR(C622="executing",C622="processing"),"Yes","No"))</x:f>
        <x:v>Yes</x:v>
      </x:c>
    </x:row>
    <x:row r="623">
      <x:c r="A623" s="170" t="str">
        <x:f>IF(ROWS($A$5:A623)&lt;=COUNTA('Raw Decommissioning'!$B$2:$B$1000),INDEX('Raw Decommissioning'!$B$2:$B$1000,ROWS($A$5:A623)),IF(ROWS($A$5:A623)-COUNTA('Raw Decommissioning'!$B$2:$B$1000)&lt;=COUNTA('Raw Provisioning'!$B$2:$B$1000),INDEX('Raw Provisioning'!$B$2:$B$1000,ROWS($A$5:A623)-COUNTA('Raw Decommissioning'!$B$2:$B$1000)),""))</x:f>
        <x:v>CSSP10156093</x:v>
      </x:c>
      <x:c r="B623" s="170" t="str">
        <x:f>IF(A623="","",IF(ROWS($A$5:A623)&lt;=COUNTA('Raw Decommissioning'!$B$2:$B$1000),"Decommissioning","Provisioning"))</x:f>
        <x:v>Provisioning</x:v>
      </x:c>
      <x:c r="C623" s="170" t="str">
        <x:f>IF(A623="","",IF(B623="Decommissioning",IFERROR(INDEX('Raw Decommissioning'!$E$2:$E$1000,MATCH(A623,'Raw Decommissioning'!$B$2:$B$1000,0)),"Missing from latest raw"),IFERROR(INDEX('Raw Provisioning'!$E$2:$E$1000,MATCH(A623,'Raw Provisioning'!$B$2:$B$1000,0)),"Missing from latest raw")))</x:f>
        <x:v>rejected</x:v>
      </x:c>
      <x:c r="D623" s="171" t="n">
        <x:f>IF(A623="","",'Refresh Control'!$B$4)</x:f>
        <x:v>46254</x:v>
      </x:c>
      <x:c r="E623" s="171" t="n">
        <x:f>IF(A623="","",IF(B623="Decommissioning",INDEX('Raw Decommissioning'!$F$2:$F$1000,ROWS($A$5:A623)),INDEX('Raw Provisioning'!$F$2:$F$1000,ROWS($A$5:A623)-COUNTA('Raw Decommissioning'!$B$2:$B$1000))))</x:f>
        <x:v>46244.35461164352</x:v>
      </x:c>
      <x:c r="F623" s="171" t="n">
        <x:f>IF(A623="","",IF(B623="Decommissioning",INDEX('Raw Decommissioning'!$G$2:$G$1000,ROWS($A$5:A623)),INDEX('Raw Provisioning'!$H$2:$H$1000,ROWS($A$5:A623)-COUNTA('Raw Decommissioning'!$B$2:$B$1000))))</x:f>
        <x:v>46244.361857372685</x:v>
      </x:c>
      <x:c r="G623" s="170" t="str">
        <x:f>IF(A623="","",IF(B623="Decommissioning",INDEX('Raw Decommissioning'!$I$2:$I$1000,ROWS($A$5:A623)),INDEX('Raw Provisioning'!$J$2:$J$1000,ROWS($A$5:A623)-COUNTA('Raw Decommissioning'!$B$2:$B$1000))))</x:f>
        <x:v>GPE Digital Platform</x:v>
      </x:c>
      <x:c r="H623" s="170" t="str">
        <x:f>IF(A623="","",IF(B623="Decommissioning",INDEX('Raw Decommissioning'!$J$2:$J$1000,ROWS($A$5:A623)),INDEX('Raw Provisioning'!$L$2:$L$1000,ROWS($A$5:A623)-COUNTA('Raw Decommissioning'!$B$2:$B$1000))))</x:f>
        <x:v>Quality Suite</x:v>
      </x:c>
      <x:c r="I623" s="170" t="str">
        <x:f>IF(A623="","",IF(B623="Decommissioning",INDEX('Raw Decommissioning'!$AL$2:$AL$1000,ROWS($A$5:A623)),INDEX('Raw Provisioning'!$R$2:$R$1000,ROWS($A$5:A623)-COUNTA('Raw Decommissioning'!$B$2:$B$1000))))</x:f>
      </x:c>
      <x:c r="J623" s="170" t="str">
        <x:f>IF(A623="","",IF(B623="Decommissioning",INDEX('Raw Decommissioning'!$AG$2:$AG$1000,ROWS($A$5:A623)),INDEX('Raw Provisioning'!$AI$2:$AI$1000,ROWS($A$5:A623)-COUNTA('Raw Decommissioning'!$B$2:$B$1000))))</x:f>
        <x:v>IMS - CLOUD CSSP EXECUTOR</x:v>
      </x:c>
      <x:c r="K623" s="172" t="str">
        <x:f>IF(A623="","",IFERROR(LOOKUP(2,1/('Assignment History'!$B$5:$B$204=A623),'Assignment History'!$D$5:$D$204),IFERROR(VLOOKUP(J623,Configuration!$L$5:$M$50,2,FALSE),J623)))</x:f>
        <x:v>IMS - CLOUD CSSP EXECUTOR</x:v>
      </x:c>
      <x:c r="L623" s="172" t="str">
        <x:f>IF(A623="","",IF(K623=IFERROR(VLOOKUP(J623,Configuration!$L$5:$M$50,2,FALSE),J623),"Snapshot PIC","Replacement PIC"))</x:f>
        <x:v>Snapshot PIC</x:v>
      </x:c>
      <x:c r="M623" s="172" t="n">
        <x:f>IF(A623="","",IFERROR(VLOOKUP(I623,Configuration!$O$5:$P$8,2,FALSE),Configuration!$S$6))</x:f>
        <x:v>2</x:v>
      </x:c>
      <x:c r="N623" s="172" t="str">
        <x:f>IF(A623="","",IFERROR(LOOKUP(2,1/('Scope Review'!$B$5:$B$204=A623),'Scope Review'!$G$5:$G$204),"Not Reviewed"))</x:f>
        <x:v>Not Reviewed</x:v>
      </x:c>
      <x:c r="O623" s="172" t="str">
        <x:f>IF(A623="","",IFERROR(LOOKUP(2,1/('Scope Review'!$B$5:$B$204=A623),'Scope Review'!$H$5:$H$204),""))</x:f>
      </x:c>
      <x:c r="P623" s="172" t="n">
        <x:f>IF(A623="","",IF(AND(C623="executing",N623&lt;&gt;"Confirmed OOS"),M623,0))</x:f>
        <x:v>0</x:v>
      </x:c>
      <x:c r="Q623" s="173" t="str">
        <x:f>IF(A623="","",IFERROR(LOOKUP(2,1/('Engineer Updates'!$B$5:$B$704=A623),'Engineer Updates'!$A$5:$A$704),""))</x:f>
      </x:c>
      <x:c r="R623" s="172" t="str">
        <x:f>IF(A623="","",IFERROR(LOOKUP(2,1/('Engineer Updates'!$B$5:$B$704=A623),'Engineer Updates'!$H$5:$H$704),""))</x:f>
      </x:c>
      <x:c r="S623" s="172" t="str">
        <x:f>IF(A623="","",IFERROR(LOOKUP(2,1/('Engineer Updates'!$B$5:$B$704=A623),'Engineer Updates'!$G$5:$G$704),""))</x:f>
      </x:c>
      <x:c r="T623" s="172" t="str">
        <x:f>IF(A623="","",IFERROR(LOOKUP(2,1/('Engineer Updates'!$B$5:$B$704=A623),'Engineer Updates'!$I$5:$I$704),""))</x:f>
      </x:c>
      <x:c r="U623" s="172" t="str">
        <x:f>IF(A623="","",IFERROR(LOOKUP(2,1/('Engineer Updates'!$B$5:$B$704=A623),'Engineer Updates'!$J$5:$J$704),""))</x:f>
      </x:c>
      <x:c r="V623" s="172" t="str">
        <x:f>IF(A623="","",IFERROR(LOOKUP(2,1/('Engineer Updates'!$B$5:$B$704=A623),'Engineer Updates'!$K$5:$K$704),""))</x:f>
      </x:c>
      <x:c r="W623" s="174" t="str">
        <x:f>IF(A623="","",IFERROR(LOOKUP(2,1/('Engineer Updates'!$B$5:$B$704=A623),'Engineer Updates'!$L$5:$L$704),""))</x:f>
      </x:c>
      <x:c r="X623" s="170" t="str">
        <x:f>IF(A623="","",IF(C623="completed","Completed in CSSP",IF(AND(C623="executing",ISERROR(SEARCH("@",K623))),"Executing without named engineer",IF(AND(N623="Confirmed OOS",C623="executing"),"Confirmed OOS still executing",""))))</x:f>
      </x:c>
      <x:c r="Y623" s="170" t="str">
        <x:f>IF(A623="","",IF(B623="Decommissioning","Raw Decommissioning","Raw Provisioning"))</x:f>
        <x:v>Raw Provisioning</x:v>
      </x:c>
      <x:c r="Z623" s="170" t="str">
        <x:f>IF(A623="","",IF(OR(C623="executing",C623="processing"),"Yes","No"))</x:f>
        <x:v>No</x:v>
      </x:c>
    </x:row>
    <x:row r="624">
      <x:c r="A624" s="170" t="str">
        <x:f>IF(ROWS($A$5:A624)&lt;=COUNTA('Raw Decommissioning'!$B$2:$B$1000),INDEX('Raw Decommissioning'!$B$2:$B$1000,ROWS($A$5:A624)),IF(ROWS($A$5:A624)-COUNTA('Raw Decommissioning'!$B$2:$B$1000)&lt;=COUNTA('Raw Provisioning'!$B$2:$B$1000),INDEX('Raw Provisioning'!$B$2:$B$1000,ROWS($A$5:A624)-COUNTA('Raw Decommissioning'!$B$2:$B$1000)),""))</x:f>
        <x:v>CSSP10338229</x:v>
      </x:c>
      <x:c r="B624" s="170" t="str">
        <x:f>IF(A624="","",IF(ROWS($A$5:A624)&lt;=COUNTA('Raw Decommissioning'!$B$2:$B$1000),"Decommissioning","Provisioning"))</x:f>
        <x:v>Provisioning</x:v>
      </x:c>
      <x:c r="C624" s="170" t="str">
        <x:f>IF(A624="","",IF(B624="Decommissioning",IFERROR(INDEX('Raw Decommissioning'!$E$2:$E$1000,MATCH(A624,'Raw Decommissioning'!$B$2:$B$1000,0)),"Missing from latest raw"),IFERROR(INDEX('Raw Provisioning'!$E$2:$E$1000,MATCH(A624,'Raw Provisioning'!$B$2:$B$1000,0)),"Missing from latest raw")))</x:f>
        <x:v>rejected</x:v>
      </x:c>
      <x:c r="D624" s="171" t="n">
        <x:f>IF(A624="","",'Refresh Control'!$B$4)</x:f>
        <x:v>46254</x:v>
      </x:c>
      <x:c r="E624" s="171" t="n">
        <x:f>IF(A624="","",IF(B624="Decommissioning",INDEX('Raw Decommissioning'!$F$2:$F$1000,ROWS($A$5:A624)),INDEX('Raw Provisioning'!$F$2:$F$1000,ROWS($A$5:A624)-COUNTA('Raw Decommissioning'!$B$2:$B$1000))))</x:f>
        <x:v>46244.35588722222</x:v>
      </x:c>
      <x:c r="F624" s="171" t="n">
        <x:f>IF(A624="","",IF(B624="Decommissioning",INDEX('Raw Decommissioning'!$G$2:$G$1000,ROWS($A$5:A624)),INDEX('Raw Provisioning'!$H$2:$H$1000,ROWS($A$5:A624)-COUNTA('Raw Decommissioning'!$B$2:$B$1000))))</x:f>
        <x:v>46244.89826170139</x:v>
      </x:c>
      <x:c r="G624" s="170" t="str">
        <x:f>IF(A624="","",IF(B624="Decommissioning",INDEX('Raw Decommissioning'!$I$2:$I$1000,ROWS($A$5:A624)),INDEX('Raw Provisioning'!$J$2:$J$1000,ROWS($A$5:A624)-COUNTA('Raw Decommissioning'!$B$2:$B$1000))))</x:f>
        <x:v>GPE Digital Platform</x:v>
      </x:c>
      <x:c r="H624" s="170" t="str">
        <x:f>IF(A624="","",IF(B624="Decommissioning",INDEX('Raw Decommissioning'!$J$2:$J$1000,ROWS($A$5:A624)),INDEX('Raw Provisioning'!$L$2:$L$1000,ROWS($A$5:A624)-COUNTA('Raw Decommissioning'!$B$2:$B$1000))))</x:f>
        <x:v>Quality Suite</x:v>
      </x:c>
      <x:c r="I624" s="170" t="str">
        <x:f>IF(A624="","",IF(B624="Decommissioning",INDEX('Raw Decommissioning'!$AL$2:$AL$1000,ROWS($A$5:A624)),INDEX('Raw Provisioning'!$R$2:$R$1000,ROWS($A$5:A624)-COUNTA('Raw Decommissioning'!$B$2:$B$1000))))</x:f>
      </x:c>
      <x:c r="J624" s="170" t="str">
        <x:f>IF(A624="","",IF(B624="Decommissioning",INDEX('Raw Decommissioning'!$AG$2:$AG$1000,ROWS($A$5:A624)),INDEX('Raw Provisioning'!$AI$2:$AI$1000,ROWS($A$5:A624)-COUNTA('Raw Decommissioning'!$B$2:$B$1000))))</x:f>
        <x:v>IMS - CLOUD CSSP EXECUTOR</x:v>
      </x:c>
      <x:c r="K624" s="172" t="str">
        <x:f>IF(A624="","",IFERROR(LOOKUP(2,1/('Assignment History'!$B$5:$B$204=A624),'Assignment History'!$D$5:$D$204),IFERROR(VLOOKUP(J624,Configuration!$L$5:$M$50,2,FALSE),J624)))</x:f>
        <x:v>IMS - CLOUD CSSP EXECUTOR</x:v>
      </x:c>
      <x:c r="L624" s="172" t="str">
        <x:f>IF(A624="","",IF(K624=IFERROR(VLOOKUP(J624,Configuration!$L$5:$M$50,2,FALSE),J624),"Snapshot PIC","Replacement PIC"))</x:f>
        <x:v>Snapshot PIC</x:v>
      </x:c>
      <x:c r="M624" s="172" t="n">
        <x:f>IF(A624="","",IFERROR(VLOOKUP(I624,Configuration!$O$5:$P$8,2,FALSE),Configuration!$S$6))</x:f>
        <x:v>2</x:v>
      </x:c>
      <x:c r="N624" s="172" t="str">
        <x:f>IF(A624="","",IFERROR(LOOKUP(2,1/('Scope Review'!$B$5:$B$204=A624),'Scope Review'!$G$5:$G$204),"Not Reviewed"))</x:f>
        <x:v>Not Reviewed</x:v>
      </x:c>
      <x:c r="O624" s="172" t="str">
        <x:f>IF(A624="","",IFERROR(LOOKUP(2,1/('Scope Review'!$B$5:$B$204=A624),'Scope Review'!$H$5:$H$204),""))</x:f>
      </x:c>
      <x:c r="P624" s="172" t="n">
        <x:f>IF(A624="","",IF(AND(C624="executing",N624&lt;&gt;"Confirmed OOS"),M624,0))</x:f>
        <x:v>0</x:v>
      </x:c>
      <x:c r="Q624" s="173" t="str">
        <x:f>IF(A624="","",IFERROR(LOOKUP(2,1/('Engineer Updates'!$B$5:$B$704=A624),'Engineer Updates'!$A$5:$A$704),""))</x:f>
      </x:c>
      <x:c r="R624" s="172" t="str">
        <x:f>IF(A624="","",IFERROR(LOOKUP(2,1/('Engineer Updates'!$B$5:$B$704=A624),'Engineer Updates'!$H$5:$H$704),""))</x:f>
      </x:c>
      <x:c r="S624" s="172" t="str">
        <x:f>IF(A624="","",IFERROR(LOOKUP(2,1/('Engineer Updates'!$B$5:$B$704=A624),'Engineer Updates'!$G$5:$G$704),""))</x:f>
      </x:c>
      <x:c r="T624" s="172" t="str">
        <x:f>IF(A624="","",IFERROR(LOOKUP(2,1/('Engineer Updates'!$B$5:$B$704=A624),'Engineer Updates'!$I$5:$I$704),""))</x:f>
      </x:c>
      <x:c r="U624" s="172" t="str">
        <x:f>IF(A624="","",IFERROR(LOOKUP(2,1/('Engineer Updates'!$B$5:$B$704=A624),'Engineer Updates'!$J$5:$J$704),""))</x:f>
      </x:c>
      <x:c r="V624" s="172" t="str">
        <x:f>IF(A624="","",IFERROR(LOOKUP(2,1/('Engineer Updates'!$B$5:$B$704=A624),'Engineer Updates'!$K$5:$K$704),""))</x:f>
      </x:c>
      <x:c r="W624" s="174" t="str">
        <x:f>IF(A624="","",IFERROR(LOOKUP(2,1/('Engineer Updates'!$B$5:$B$704=A624),'Engineer Updates'!$L$5:$L$704),""))</x:f>
      </x:c>
      <x:c r="X624" s="170" t="str">
        <x:f>IF(A624="","",IF(C624="completed","Completed in CSSP",IF(AND(C624="executing",ISERROR(SEARCH("@",K624))),"Executing without named engineer",IF(AND(N624="Confirmed OOS",C624="executing"),"Confirmed OOS still executing",""))))</x:f>
      </x:c>
      <x:c r="Y624" s="170" t="str">
        <x:f>IF(A624="","",IF(B624="Decommissioning","Raw Decommissioning","Raw Provisioning"))</x:f>
        <x:v>Raw Provisioning</x:v>
      </x:c>
      <x:c r="Z624" s="170" t="str">
        <x:f>IF(A624="","",IF(OR(C624="executing",C624="processing"),"Yes","No"))</x:f>
        <x:v>No</x:v>
      </x:c>
    </x:row>
    <x:row r="625">
      <x:c r="A625" s="170" t="str">
        <x:f>IF(ROWS($A$5:A625)&lt;=COUNTA('Raw Decommissioning'!$B$2:$B$1000),INDEX('Raw Decommissioning'!$B$2:$B$1000,ROWS($A$5:A625)),IF(ROWS($A$5:A625)-COUNTA('Raw Decommissioning'!$B$2:$B$1000)&lt;=COUNTA('Raw Provisioning'!$B$2:$B$1000),INDEX('Raw Provisioning'!$B$2:$B$1000,ROWS($A$5:A625)-COUNTA('Raw Decommissioning'!$B$2:$B$1000)),""))</x:f>
        <x:v>CSSP10970274</x:v>
      </x:c>
      <x:c r="B625" s="170" t="str">
        <x:f>IF(A625="","",IF(ROWS($A$5:A625)&lt;=COUNTA('Raw Decommissioning'!$B$2:$B$1000),"Decommissioning","Provisioning"))</x:f>
        <x:v>Provisioning</x:v>
      </x:c>
      <x:c r="C625" s="170" t="str">
        <x:f>IF(A625="","",IF(B625="Decommissioning",IFERROR(INDEX('Raw Decommissioning'!$E$2:$E$1000,MATCH(A625,'Raw Decommissioning'!$B$2:$B$1000,0)),"Missing from latest raw"),IFERROR(INDEX('Raw Provisioning'!$E$2:$E$1000,MATCH(A625,'Raw Provisioning'!$B$2:$B$1000,0)),"Missing from latest raw")))</x:f>
        <x:v>rejected</x:v>
      </x:c>
      <x:c r="D625" s="171" t="n">
        <x:f>IF(A625="","",'Refresh Control'!$B$4)</x:f>
        <x:v>46254</x:v>
      </x:c>
      <x:c r="E625" s="171" t="n">
        <x:f>IF(A625="","",IF(B625="Decommissioning",INDEX('Raw Decommissioning'!$F$2:$F$1000,ROWS($A$5:A625)),INDEX('Raw Provisioning'!$F$2:$F$1000,ROWS($A$5:A625)-COUNTA('Raw Decommissioning'!$B$2:$B$1000))))</x:f>
        <x:v>46244.59955607639</x:v>
      </x:c>
      <x:c r="F625" s="171" t="n">
        <x:f>IF(A625="","",IF(B625="Decommissioning",INDEX('Raw Decommissioning'!$G$2:$G$1000,ROWS($A$5:A625)),INDEX('Raw Provisioning'!$H$2:$H$1000,ROWS($A$5:A625)-COUNTA('Raw Decommissioning'!$B$2:$B$1000))))</x:f>
        <x:v>46246.14264895833</x:v>
      </x:c>
      <x:c r="G625" s="170" t="str">
        <x:f>IF(A625="","",IF(B625="Decommissioning",INDEX('Raw Decommissioning'!$I$2:$I$1000,ROWS($A$5:A625)),INDEX('Raw Provisioning'!$J$2:$J$1000,ROWS($A$5:A625)-COUNTA('Raw Decommissioning'!$B$2:$B$1000))))</x:f>
        <x:v>Zentory+</x:v>
      </x:c>
      <x:c r="H625" s="170" t="str">
        <x:f>IF(A625="","",IF(B625="Decommissioning",INDEX('Raw Decommissioning'!$J$2:$J$1000,ROWS($A$5:A625)),INDEX('Raw Provisioning'!$L$2:$L$1000,ROWS($A$5:A625)-COUNTA('Raw Decommissioning'!$B$2:$B$1000))))</x:f>
        <x:v>Zentory+ Integration Layer</x:v>
      </x:c>
      <x:c r="I625" s="170" t="str">
        <x:f>IF(A625="","",IF(B625="Decommissioning",INDEX('Raw Decommissioning'!$AL$2:$AL$1000,ROWS($A$5:A625)),INDEX('Raw Provisioning'!$R$2:$R$1000,ROWS($A$5:A625)-COUNTA('Raw Decommissioning'!$B$2:$B$1000))))</x:f>
      </x:c>
      <x:c r="J625" s="170" t="str">
        <x:f>IF(A625="","",IF(B625="Decommissioning",INDEX('Raw Decommissioning'!$AG$2:$AG$1000,ROWS($A$5:A625)),INDEX('Raw Provisioning'!$AI$2:$AI$1000,ROWS($A$5:A625)-COUNTA('Raw Decommissioning'!$B$2:$B$1000))))</x:f>
        <x:v>IMS - CLOUD CSSP EXECUTOR</x:v>
      </x:c>
      <x:c r="K625" s="172" t="str">
        <x:f>IF(A625="","",IFERROR(LOOKUP(2,1/('Assignment History'!$B$5:$B$204=A625),'Assignment History'!$D$5:$D$204),IFERROR(VLOOKUP(J625,Configuration!$L$5:$M$50,2,FALSE),J625)))</x:f>
        <x:v>IMS - CLOUD CSSP EXECUTOR</x:v>
      </x:c>
      <x:c r="L625" s="172" t="str">
        <x:f>IF(A625="","",IF(K625=IFERROR(VLOOKUP(J625,Configuration!$L$5:$M$50,2,FALSE),J625),"Snapshot PIC","Replacement PIC"))</x:f>
        <x:v>Snapshot PIC</x:v>
      </x:c>
      <x:c r="M625" s="172" t="n">
        <x:f>IF(A625="","",IFERROR(VLOOKUP(I625,Configuration!$O$5:$P$8,2,FALSE),Configuration!$S$6))</x:f>
        <x:v>2</x:v>
      </x:c>
      <x:c r="N625" s="172" t="str">
        <x:f>IF(A625="","",IFERROR(LOOKUP(2,1/('Scope Review'!$B$5:$B$204=A625),'Scope Review'!$G$5:$G$204),"Not Reviewed"))</x:f>
        <x:v>Not Reviewed</x:v>
      </x:c>
      <x:c r="O625" s="172" t="str">
        <x:f>IF(A625="","",IFERROR(LOOKUP(2,1/('Scope Review'!$B$5:$B$204=A625),'Scope Review'!$H$5:$H$204),""))</x:f>
      </x:c>
      <x:c r="P625" s="172" t="n">
        <x:f>IF(A625="","",IF(AND(C625="executing",N625&lt;&gt;"Confirmed OOS"),M625,0))</x:f>
        <x:v>0</x:v>
      </x:c>
      <x:c r="Q625" s="173" t="str">
        <x:f>IF(A625="","",IFERROR(LOOKUP(2,1/('Engineer Updates'!$B$5:$B$704=A625),'Engineer Updates'!$A$5:$A$704),""))</x:f>
      </x:c>
      <x:c r="R625" s="172" t="str">
        <x:f>IF(A625="","",IFERROR(LOOKUP(2,1/('Engineer Updates'!$B$5:$B$704=A625),'Engineer Updates'!$H$5:$H$704),""))</x:f>
      </x:c>
      <x:c r="S625" s="172" t="str">
        <x:f>IF(A625="","",IFERROR(LOOKUP(2,1/('Engineer Updates'!$B$5:$B$704=A625),'Engineer Updates'!$G$5:$G$704),""))</x:f>
      </x:c>
      <x:c r="T625" s="172" t="str">
        <x:f>IF(A625="","",IFERROR(LOOKUP(2,1/('Engineer Updates'!$B$5:$B$704=A625),'Engineer Updates'!$I$5:$I$704),""))</x:f>
      </x:c>
      <x:c r="U625" s="172" t="str">
        <x:f>IF(A625="","",IFERROR(LOOKUP(2,1/('Engineer Updates'!$B$5:$B$704=A625),'Engineer Updates'!$J$5:$J$704),""))</x:f>
      </x:c>
      <x:c r="V625" s="172" t="str">
        <x:f>IF(A625="","",IFERROR(LOOKUP(2,1/('Engineer Updates'!$B$5:$B$704=A625),'Engineer Updates'!$K$5:$K$704),""))</x:f>
      </x:c>
      <x:c r="W625" s="174" t="str">
        <x:f>IF(A625="","",IFERROR(LOOKUP(2,1/('Engineer Updates'!$B$5:$B$704=A625),'Engineer Updates'!$L$5:$L$704),""))</x:f>
      </x:c>
      <x:c r="X625" s="170" t="str">
        <x:f>IF(A625="","",IF(C625="completed","Completed in CSSP",IF(AND(C625="executing",ISERROR(SEARCH("@",K625))),"Executing without named engineer",IF(AND(N625="Confirmed OOS",C625="executing"),"Confirmed OOS still executing",""))))</x:f>
      </x:c>
      <x:c r="Y625" s="170" t="str">
        <x:f>IF(A625="","",IF(B625="Decommissioning","Raw Decommissioning","Raw Provisioning"))</x:f>
        <x:v>Raw Provisioning</x:v>
      </x:c>
      <x:c r="Z625" s="170" t="str">
        <x:f>IF(A625="","",IF(OR(C625="executing",C625="processing"),"Yes","No"))</x:f>
        <x:v>No</x:v>
      </x:c>
    </x:row>
    <x:row r="626">
      <x:c r="A626" s="170" t="str">
        <x:f>IF(ROWS($A$5:A626)&lt;=COUNTA('Raw Decommissioning'!$B$2:$B$1000),INDEX('Raw Decommissioning'!$B$2:$B$1000,ROWS($A$5:A626)),IF(ROWS($A$5:A626)-COUNTA('Raw Decommissioning'!$B$2:$B$1000)&lt;=COUNTA('Raw Provisioning'!$B$2:$B$1000),INDEX('Raw Provisioning'!$B$2:$B$1000,ROWS($A$5:A626)-COUNTA('Raw Decommissioning'!$B$2:$B$1000)),""))</x:f>
        <x:v>CSSP10390950</x:v>
      </x:c>
      <x:c r="B626" s="170" t="str">
        <x:f>IF(A626="","",IF(ROWS($A$5:A626)&lt;=COUNTA('Raw Decommissioning'!$B$2:$B$1000),"Decommissioning","Provisioning"))</x:f>
        <x:v>Provisioning</x:v>
      </x:c>
      <x:c r="C626" s="170" t="str">
        <x:f>IF(A626="","",IF(B626="Decommissioning",IFERROR(INDEX('Raw Decommissioning'!$E$2:$E$1000,MATCH(A626,'Raw Decommissioning'!$B$2:$B$1000,0)),"Missing from latest raw"),IFERROR(INDEX('Raw Provisioning'!$E$2:$E$1000,MATCH(A626,'Raw Provisioning'!$B$2:$B$1000,0)),"Missing from latest raw")))</x:f>
        <x:v>executing</x:v>
      </x:c>
      <x:c r="D626" s="171" t="n">
        <x:f>IF(A626="","",'Refresh Control'!$B$4)</x:f>
        <x:v>46254</x:v>
      </x:c>
      <x:c r="E626" s="171" t="n">
        <x:f>IF(A626="","",IF(B626="Decommissioning",INDEX('Raw Decommissioning'!$F$2:$F$1000,ROWS($A$5:A626)),INDEX('Raw Provisioning'!$F$2:$F$1000,ROWS($A$5:A626)-COUNTA('Raw Decommissioning'!$B$2:$B$1000))))</x:f>
        <x:v>46245.38285111111</x:v>
      </x:c>
      <x:c r="F626" s="171" t="n">
        <x:f>IF(A626="","",IF(B626="Decommissioning",INDEX('Raw Decommissioning'!$G$2:$G$1000,ROWS($A$5:A626)),INDEX('Raw Provisioning'!$H$2:$H$1000,ROWS($A$5:A626)-COUNTA('Raw Decommissioning'!$B$2:$B$1000))))</x:f>
        <x:v>46249.352948148146</x:v>
      </x:c>
      <x:c r="G626" s="170" t="str">
        <x:f>IF(A626="","",IF(B626="Decommissioning",INDEX('Raw Decommissioning'!$I$2:$I$1000,ROWS($A$5:A626)),INDEX('Raw Provisioning'!$J$2:$J$1000,ROWS($A$5:A626)-COUNTA('Raw Decommissioning'!$B$2:$B$1000))))</x:f>
        <x:v>ProSource</x:v>
      </x:c>
      <x:c r="H626" s="170" t="str">
        <x:f>IF(A626="","",IF(B626="Decommissioning",INDEX('Raw Decommissioning'!$J$2:$J$1000,ROWS($A$5:A626)),INDEX('Raw Provisioning'!$L$2:$L$1000,ROWS($A$5:A626)-COUNTA('Raw Decommissioning'!$B$2:$B$1000))))</x:f>
        <x:v>Provisioning of Infrastructure for Prosource and Qumulo Storage Management System for UTDI</x:v>
      </x:c>
      <x:c r="I626" s="170" t="str">
        <x:f>IF(A626="","",IF(B626="Decommissioning",INDEX('Raw Decommissioning'!$AL$2:$AL$1000,ROWS($A$5:A626)),INDEX('Raw Provisioning'!$R$2:$R$1000,ROWS($A$5:A626)-COUNTA('Raw Decommissioning'!$B$2:$B$1000))))</x:f>
        <x:v>M</x:v>
      </x:c>
      <x:c r="J626" s="170" t="str">
        <x:f>IF(A626="","",IF(B626="Decommissioning",INDEX('Raw Decommissioning'!$AG$2:$AG$1000,ROWS($A$5:A626)),INDEX('Raw Provisioning'!$AI$2:$AI$1000,ROWS($A$5:A626)-COUNTA('Raw Decommissioning'!$B$2:$B$1000))))</x:f>
        <x:v>raditya.nugraha@petronas.com</x:v>
      </x:c>
      <x:c r="K626" s="172" t="str">
        <x:f>IF(A626="","",IFERROR(LOOKUP(2,1/('Assignment History'!$B$5:$B$204=A626),'Assignment History'!$D$5:$D$204),IFERROR(VLOOKUP(J626,Configuration!$L$5:$M$50,2,FALSE),J626)))</x:f>
        <x:v>raditya.nugraha@petronas.com</x:v>
      </x:c>
      <x:c r="L626" s="172" t="str">
        <x:f>IF(A626="","",IF(K626=IFERROR(VLOOKUP(J626,Configuration!$L$5:$M$50,2,FALSE),J626),"Snapshot PIC","Replacement PIC"))</x:f>
        <x:v>Snapshot PIC</x:v>
      </x:c>
      <x:c r="M626" s="172" t="n">
        <x:f>IF(A626="","",IFERROR(VLOOKUP(I626,Configuration!$O$5:$P$8,2,FALSE),Configuration!$S$6))</x:f>
        <x:v>2</x:v>
      </x:c>
      <x:c r="N626" s="172" t="str">
        <x:f>IF(A626="","",IFERROR(LOOKUP(2,1/('Scope Review'!$B$5:$B$204=A626),'Scope Review'!$G$5:$G$204),"Not Reviewed"))</x:f>
        <x:v>Not Reviewed</x:v>
      </x:c>
      <x:c r="O626" s="172" t="str">
        <x:f>IF(A626="","",IFERROR(LOOKUP(2,1/('Scope Review'!$B$5:$B$204=A626),'Scope Review'!$H$5:$H$204),""))</x:f>
      </x:c>
      <x:c r="P626" s="172" t="n">
        <x:f>IF(A626="","",IF(AND(C626="executing",N626&lt;&gt;"Confirmed OOS"),M626,0))</x:f>
        <x:v>2</x:v>
      </x:c>
      <x:c r="Q626" s="173" t="n">
        <x:f>IF(A626="","",IFERROR(LOOKUP(2,1/('Engineer Updates'!$B$5:$B$704=A626),'Engineer Updates'!$A$5:$A$704),""))</x:f>
        <x:v>46251</x:v>
      </x:c>
      <x:c r="R626" s="172" t="str">
        <x:f>IF(A626="","",IFERROR(LOOKUP(2,1/('Engineer Updates'!$B$5:$B$704=A626),'Engineer Updates'!$H$5:$H$704),""))</x:f>
        <x:v>Not Started</x:v>
      </x:c>
      <x:c r="S626" s="172" t="str">
        <x:f>IF(A626="","",IFERROR(LOOKUP(2,1/('Engineer Updates'!$B$5:$B$704=A626),'Engineer Updates'!$G$5:$G$704),""))</x:f>
      </x:c>
      <x:c r="T626" s="172" t="str">
        <x:f>IF(A626="","",IFERROR(LOOKUP(2,1/('Engineer Updates'!$B$5:$B$704=A626),'Engineer Updates'!$I$5:$I$704),""))</x:f>
      </x:c>
      <x:c r="U626" s="172" t="str">
        <x:f>IF(A626="","",IFERROR(LOOKUP(2,1/('Engineer Updates'!$B$5:$B$704=A626),'Engineer Updates'!$J$5:$J$704),""))</x:f>
      </x:c>
      <x:c r="V626" s="172" t="str">
        <x:f>IF(A626="","",IFERROR(LOOKUP(2,1/('Engineer Updates'!$B$5:$B$704=A626),'Engineer Updates'!$K$5:$K$704),""))</x:f>
      </x:c>
      <x:c r="W626" s="174" t="str">
        <x:f>IF(A626="","",IFERROR(LOOKUP(2,1/('Engineer Updates'!$B$5:$B$704=A626),'Engineer Updates'!$L$5:$L$704),""))</x:f>
      </x:c>
      <x:c r="X626" s="170" t="str">
        <x:f>IF(A626="","",IF(C626="completed","Completed in CSSP",IF(AND(C626="executing",ISERROR(SEARCH("@",K626))),"Executing without named engineer",IF(AND(N626="Confirmed OOS",C626="executing"),"Confirmed OOS still executing",""))))</x:f>
      </x:c>
      <x:c r="Y626" s="170" t="str">
        <x:f>IF(A626="","",IF(B626="Decommissioning","Raw Decommissioning","Raw Provisioning"))</x:f>
        <x:v>Raw Provisioning</x:v>
      </x:c>
      <x:c r="Z626" s="170" t="str">
        <x:f>IF(A626="","",IF(OR(C626="executing",C626="processing"),"Yes","No"))</x:f>
        <x:v>Yes</x:v>
      </x:c>
    </x:row>
    <x:row r="627">
      <x:c r="A627" s="170" t="str">
        <x:f>IF(ROWS($A$5:A627)&lt;=COUNTA('Raw Decommissioning'!$B$2:$B$1000),INDEX('Raw Decommissioning'!$B$2:$B$1000,ROWS($A$5:A627)),IF(ROWS($A$5:A627)-COUNTA('Raw Decommissioning'!$B$2:$B$1000)&lt;=COUNTA('Raw Provisioning'!$B$2:$B$1000),INDEX('Raw Provisioning'!$B$2:$B$1000,ROWS($A$5:A627)-COUNTA('Raw Decommissioning'!$B$2:$B$1000)),""))</x:f>
        <x:v>CSSP10201868</x:v>
      </x:c>
      <x:c r="B627" s="170" t="str">
        <x:f>IF(A627="","",IF(ROWS($A$5:A627)&lt;=COUNTA('Raw Decommissioning'!$B$2:$B$1000),"Decommissioning","Provisioning"))</x:f>
        <x:v>Provisioning</x:v>
      </x:c>
      <x:c r="C627" s="170" t="str">
        <x:f>IF(A627="","",IF(B627="Decommissioning",IFERROR(INDEX('Raw Decommissioning'!$E$2:$E$1000,MATCH(A627,'Raw Decommissioning'!$B$2:$B$1000,0)),"Missing from latest raw"),IFERROR(INDEX('Raw Provisioning'!$E$2:$E$1000,MATCH(A627,'Raw Provisioning'!$B$2:$B$1000,0)),"Missing from latest raw")))</x:f>
        <x:v>executing</x:v>
      </x:c>
      <x:c r="D627" s="171" t="n">
        <x:f>IF(A627="","",'Refresh Control'!$B$4)</x:f>
        <x:v>46254</x:v>
      </x:c>
      <x:c r="E627" s="171" t="n">
        <x:f>IF(A627="","",IF(B627="Decommissioning",INDEX('Raw Decommissioning'!$F$2:$F$1000,ROWS($A$5:A627)),INDEX('Raw Provisioning'!$F$2:$F$1000,ROWS($A$5:A627)-COUNTA('Raw Decommissioning'!$B$2:$B$1000))))</x:f>
        <x:v>46246.17335074074</x:v>
      </x:c>
      <x:c r="F627" s="171" t="n">
        <x:f>IF(A627="","",IF(B627="Decommissioning",INDEX('Raw Decommissioning'!$G$2:$G$1000,ROWS($A$5:A627)),INDEX('Raw Provisioning'!$H$2:$H$1000,ROWS($A$5:A627)-COUNTA('Raw Decommissioning'!$B$2:$B$1000))))</x:f>
        <x:v>46249.226012465275</x:v>
      </x:c>
      <x:c r="G627" s="170" t="str">
        <x:f>IF(A627="","",IF(B627="Decommissioning",INDEX('Raw Decommissioning'!$I$2:$I$1000,ROWS($A$5:A627)),INDEX('Raw Provisioning'!$J$2:$J$1000,ROWS($A$5:A627)-COUNTA('Raw Decommissioning'!$B$2:$B$1000))))</x:f>
        <x:v>Augmented Gas Nomination Ecosystem - AGNES</x:v>
      </x:c>
      <x:c r="H627" s="170" t="str">
        <x:f>IF(A627="","",IF(B627="Decommissioning",INDEX('Raw Decommissioning'!$J$2:$J$1000,ROWS($A$5:A627)),INDEX('Raw Provisioning'!$L$2:$L$1000,ROWS($A$5:A627)-COUNTA('Raw Decommissioning'!$B$2:$B$1000))))</x:f>
        <x:v>Procurement for Deployment of Augmented Gas Nomination Ecosystem (AGNES) at PMA</x:v>
      </x:c>
      <x:c r="I627" s="170" t="str">
        <x:f>IF(A627="","",IF(B627="Decommissioning",INDEX('Raw Decommissioning'!$AL$2:$AL$1000,ROWS($A$5:A627)),INDEX('Raw Provisioning'!$R$2:$R$1000,ROWS($A$5:A627)-COUNTA('Raw Decommissioning'!$B$2:$B$1000))))</x:f>
        <x:v>S</x:v>
      </x:c>
      <x:c r="J627" s="170" t="str">
        <x:f>IF(A627="","",IF(B627="Decommissioning",INDEX('Raw Decommissioning'!$AG$2:$AG$1000,ROWS($A$5:A627)),INDEX('Raw Provisioning'!$AI$2:$AI$1000,ROWS($A$5:A627)-COUNTA('Raw Decommissioning'!$B$2:$B$1000))))</x:f>
        <x:v>mardiansyah.rayasa@petronas.com</x:v>
      </x:c>
      <x:c r="K627" s="172" t="str">
        <x:f>IF(A627="","",IFERROR(LOOKUP(2,1/('Assignment History'!$B$5:$B$204=A627),'Assignment History'!$D$5:$D$204),IFERROR(VLOOKUP(J627,Configuration!$L$5:$M$50,2,FALSE),J627)))</x:f>
        <x:v>mardiansyah.rayasa@petronas.com</x:v>
      </x:c>
      <x:c r="L627" s="172" t="str">
        <x:f>IF(A627="","",IF(K627=IFERROR(VLOOKUP(J627,Configuration!$L$5:$M$50,2,FALSE),J627),"Snapshot PIC","Replacement PIC"))</x:f>
        <x:v>Snapshot PIC</x:v>
      </x:c>
      <x:c r="M627" s="172" t="n">
        <x:f>IF(A627="","",IFERROR(VLOOKUP(I627,Configuration!$O$5:$P$8,2,FALSE),Configuration!$S$6))</x:f>
        <x:v>1</x:v>
      </x:c>
      <x:c r="N627" s="172" t="str">
        <x:f>IF(A627="","",IFERROR(LOOKUP(2,1/('Scope Review'!$B$5:$B$204=A627),'Scope Review'!$G$5:$G$204),"Not Reviewed"))</x:f>
        <x:v>Not Reviewed</x:v>
      </x:c>
      <x:c r="O627" s="172" t="str">
        <x:f>IF(A627="","",IFERROR(LOOKUP(2,1/('Scope Review'!$B$5:$B$204=A627),'Scope Review'!$H$5:$H$204),""))</x:f>
      </x:c>
      <x:c r="P627" s="172" t="n">
        <x:f>IF(A627="","",IF(AND(C627="executing",N627&lt;&gt;"Confirmed OOS"),M627,0))</x:f>
        <x:v>1</x:v>
      </x:c>
      <x:c r="Q627" s="173" t="n">
        <x:f>IF(A627="","",IFERROR(LOOKUP(2,1/('Engineer Updates'!$B$5:$B$704=A627),'Engineer Updates'!$A$5:$A$704),""))</x:f>
        <x:v>46251</x:v>
      </x:c>
      <x:c r="R627" s="172" t="str">
        <x:f>IF(A627="","",IFERROR(LOOKUP(2,1/('Engineer Updates'!$B$5:$B$704=A627),'Engineer Updates'!$H$5:$H$704),""))</x:f>
        <x:v>Not Started</x:v>
      </x:c>
      <x:c r="S627" s="172" t="str">
        <x:f>IF(A627="","",IFERROR(LOOKUP(2,1/('Engineer Updates'!$B$5:$B$704=A627),'Engineer Updates'!$G$5:$G$704),""))</x:f>
      </x:c>
      <x:c r="T627" s="172" t="str">
        <x:f>IF(A627="","",IFERROR(LOOKUP(2,1/('Engineer Updates'!$B$5:$B$704=A627),'Engineer Updates'!$I$5:$I$704),""))</x:f>
      </x:c>
      <x:c r="U627" s="172" t="str">
        <x:f>IF(A627="","",IFERROR(LOOKUP(2,1/('Engineer Updates'!$B$5:$B$704=A627),'Engineer Updates'!$J$5:$J$704),""))</x:f>
      </x:c>
      <x:c r="V627" s="172" t="str">
        <x:f>IF(A627="","",IFERROR(LOOKUP(2,1/('Engineer Updates'!$B$5:$B$704=A627),'Engineer Updates'!$K$5:$K$704),""))</x:f>
      </x:c>
      <x:c r="W627" s="174" t="str">
        <x:f>IF(A627="","",IFERROR(LOOKUP(2,1/('Engineer Updates'!$B$5:$B$704=A627),'Engineer Updates'!$L$5:$L$704),""))</x:f>
      </x:c>
      <x:c r="X627" s="170" t="str">
        <x:f>IF(A627="","",IF(C627="completed","Completed in CSSP",IF(AND(C627="executing",ISERROR(SEARCH("@",K627))),"Executing without named engineer",IF(AND(N627="Confirmed OOS",C627="executing"),"Confirmed OOS still executing",""))))</x:f>
      </x:c>
      <x:c r="Y627" s="170" t="str">
        <x:f>IF(A627="","",IF(B627="Decommissioning","Raw Decommissioning","Raw Provisioning"))</x:f>
        <x:v>Raw Provisioning</x:v>
      </x:c>
      <x:c r="Z627" s="170" t="str">
        <x:f>IF(A627="","",IF(OR(C627="executing",C627="processing"),"Yes","No"))</x:f>
        <x:v>Yes</x:v>
      </x:c>
    </x:row>
    <x:row r="628">
      <x:c r="A628" s="170" t="str">
        <x:f>IF(ROWS($A$5:A628)&lt;=COUNTA('Raw Decommissioning'!$B$2:$B$1000),INDEX('Raw Decommissioning'!$B$2:$B$1000,ROWS($A$5:A628)),IF(ROWS($A$5:A628)-COUNTA('Raw Decommissioning'!$B$2:$B$1000)&lt;=COUNTA('Raw Provisioning'!$B$2:$B$1000),INDEX('Raw Provisioning'!$B$2:$B$1000,ROWS($A$5:A628)-COUNTA('Raw Decommissioning'!$B$2:$B$1000)),""))</x:f>
        <x:v>CSSP10538665</x:v>
      </x:c>
      <x:c r="B628" s="170" t="str">
        <x:f>IF(A628="","",IF(ROWS($A$5:A628)&lt;=COUNTA('Raw Decommissioning'!$B$2:$B$1000),"Decommissioning","Provisioning"))</x:f>
        <x:v>Provisioning</x:v>
      </x:c>
      <x:c r="C628" s="170" t="str">
        <x:f>IF(A628="","",IF(B628="Decommissioning",IFERROR(INDEX('Raw Decommissioning'!$E$2:$E$1000,MATCH(A628,'Raw Decommissioning'!$B$2:$B$1000,0)),"Missing from latest raw"),IFERROR(INDEX('Raw Provisioning'!$E$2:$E$1000,MATCH(A628,'Raw Provisioning'!$B$2:$B$1000,0)),"Missing from latest raw")))</x:f>
        <x:v>executing</x:v>
      </x:c>
      <x:c r="D628" s="171" t="n">
        <x:f>IF(A628="","",'Refresh Control'!$B$4)</x:f>
        <x:v>46254</x:v>
      </x:c>
      <x:c r="E628" s="171" t="n">
        <x:f>IF(A628="","",IF(B628="Decommissioning",INDEX('Raw Decommissioning'!$F$2:$F$1000,ROWS($A$5:A628)),INDEX('Raw Provisioning'!$F$2:$F$1000,ROWS($A$5:A628)-COUNTA('Raw Decommissioning'!$B$2:$B$1000))))</x:f>
        <x:v>46246.63568141204</x:v>
      </x:c>
      <x:c r="F628" s="171" t="n">
        <x:f>IF(A628="","",IF(B628="Decommissioning",INDEX('Raw Decommissioning'!$G$2:$G$1000,ROWS($A$5:A628)),INDEX('Raw Provisioning'!$H$2:$H$1000,ROWS($A$5:A628)-COUNTA('Raw Decommissioning'!$B$2:$B$1000))))</x:f>
        <x:v>46249.3559096875</x:v>
      </x:c>
      <x:c r="G628" s="170" t="str">
        <x:f>IF(A628="","",IF(B628="Decommissioning",INDEX('Raw Decommissioning'!$I$2:$I$1000,ROWS($A$5:A628)),INDEX('Raw Provisioning'!$J$2:$J$1000,ROWS($A$5:A628)-COUNTA('Raw Decommissioning'!$B$2:$B$1000))))</x:f>
        <x:v>PETRONAS Data Fabric</x:v>
      </x:c>
      <x:c r="H628" s="170" t="str">
        <x:f>IF(A628="","",IF(B628="Decommissioning",INDEX('Raw Decommissioning'!$J$2:$J$1000,ROWS($A$5:A628)),INDEX('Raw Provisioning'!$L$2:$L$1000,ROWS($A$5:A628)-COUNTA('Raw Decommissioning'!$B$2:$B$1000))))</x:f>
        <x:v>PETRONAS Data Governance</x:v>
      </x:c>
      <x:c r="I628" s="170" t="str">
        <x:f>IF(A628="","",IF(B628="Decommissioning",INDEX('Raw Decommissioning'!$AL$2:$AL$1000,ROWS($A$5:A628)),INDEX('Raw Provisioning'!$R$2:$R$1000,ROWS($A$5:A628)-COUNTA('Raw Decommissioning'!$B$2:$B$1000))))</x:f>
        <x:v>S</x:v>
      </x:c>
      <x:c r="J628" s="170" t="str">
        <x:f>IF(A628="","",IF(B628="Decommissioning",INDEX('Raw Decommissioning'!$AG$2:$AG$1000,ROWS($A$5:A628)),INDEX('Raw Provisioning'!$AI$2:$AI$1000,ROWS($A$5:A628)-COUNTA('Raw Decommissioning'!$B$2:$B$1000))))</x:f>
        <x:v>arun.karuppiah@petronas.com</x:v>
      </x:c>
      <x:c r="K628" s="172" t="str">
        <x:f>IF(A628="","",IFERROR(LOOKUP(2,1/('Assignment History'!$B$5:$B$204=A628),'Assignment History'!$D$5:$D$204),IFERROR(VLOOKUP(J628,Configuration!$L$5:$M$50,2,FALSE),J628)))</x:f>
        <x:v>arun.karuppiah@petronas.com</x:v>
      </x:c>
      <x:c r="L628" s="172" t="str">
        <x:f>IF(A628="","",IF(K628=IFERROR(VLOOKUP(J628,Configuration!$L$5:$M$50,2,FALSE),J628),"Snapshot PIC","Replacement PIC"))</x:f>
        <x:v>Snapshot PIC</x:v>
      </x:c>
      <x:c r="M628" s="172" t="n">
        <x:f>IF(A628="","",IFERROR(VLOOKUP(I628,Configuration!$O$5:$P$8,2,FALSE),Configuration!$S$6))</x:f>
        <x:v>1</x:v>
      </x:c>
      <x:c r="N628" s="172" t="str">
        <x:f>IF(A628="","",IFERROR(LOOKUP(2,1/('Scope Review'!$B$5:$B$204=A628),'Scope Review'!$G$5:$G$204),"Not Reviewed"))</x:f>
        <x:v>Not Reviewed</x:v>
      </x:c>
      <x:c r="O628" s="172" t="str">
        <x:f>IF(A628="","",IFERROR(LOOKUP(2,1/('Scope Review'!$B$5:$B$204=A628),'Scope Review'!$H$5:$H$204),""))</x:f>
      </x:c>
      <x:c r="P628" s="172" t="n">
        <x:f>IF(A628="","",IF(AND(C628="executing",N628&lt;&gt;"Confirmed OOS"),M628,0))</x:f>
        <x:v>1</x:v>
      </x:c>
      <x:c r="Q628" s="173" t="n">
        <x:f>IF(A628="","",IFERROR(LOOKUP(2,1/('Engineer Updates'!$B$5:$B$704=A628),'Engineer Updates'!$A$5:$A$704),""))</x:f>
        <x:v>46251</x:v>
      </x:c>
      <x:c r="R628" s="172" t="str">
        <x:f>IF(A628="","",IFERROR(LOOKUP(2,1/('Engineer Updates'!$B$5:$B$704=A628),'Engineer Updates'!$H$5:$H$704),""))</x:f>
        <x:v>Not Started</x:v>
      </x:c>
      <x:c r="S628" s="172" t="str">
        <x:f>IF(A628="","",IFERROR(LOOKUP(2,1/('Engineer Updates'!$B$5:$B$704=A628),'Engineer Updates'!$G$5:$G$704),""))</x:f>
      </x:c>
      <x:c r="T628" s="172" t="str">
        <x:f>IF(A628="","",IFERROR(LOOKUP(2,1/('Engineer Updates'!$B$5:$B$704=A628),'Engineer Updates'!$I$5:$I$704),""))</x:f>
      </x:c>
      <x:c r="U628" s="172" t="str">
        <x:f>IF(A628="","",IFERROR(LOOKUP(2,1/('Engineer Updates'!$B$5:$B$704=A628),'Engineer Updates'!$J$5:$J$704),""))</x:f>
      </x:c>
      <x:c r="V628" s="172" t="str">
        <x:f>IF(A628="","",IFERROR(LOOKUP(2,1/('Engineer Updates'!$B$5:$B$704=A628),'Engineer Updates'!$K$5:$K$704),""))</x:f>
      </x:c>
      <x:c r="W628" s="174" t="str">
        <x:f>IF(A628="","",IFERROR(LOOKUP(2,1/('Engineer Updates'!$B$5:$B$704=A628),'Engineer Updates'!$L$5:$L$704),""))</x:f>
      </x:c>
      <x:c r="X628" s="170" t="str">
        <x:f>IF(A628="","",IF(C628="completed","Completed in CSSP",IF(AND(C628="executing",ISERROR(SEARCH("@",K628))),"Executing without named engineer",IF(AND(N628="Confirmed OOS",C628="executing"),"Confirmed OOS still executing",""))))</x:f>
      </x:c>
      <x:c r="Y628" s="170" t="str">
        <x:f>IF(A628="","",IF(B628="Decommissioning","Raw Decommissioning","Raw Provisioning"))</x:f>
        <x:v>Raw Provisioning</x:v>
      </x:c>
      <x:c r="Z628" s="170" t="str">
        <x:f>IF(A628="","",IF(OR(C628="executing",C628="processing"),"Yes","No"))</x:f>
        <x:v>Yes</x:v>
      </x:c>
    </x:row>
    <x:row r="629">
      <x:c r="A629" s="170" t="str">
        <x:f>IF(ROWS($A$5:A629)&lt;=COUNTA('Raw Decommissioning'!$B$2:$B$1000),INDEX('Raw Decommissioning'!$B$2:$B$1000,ROWS($A$5:A629)),IF(ROWS($A$5:A629)-COUNTA('Raw Decommissioning'!$B$2:$B$1000)&lt;=COUNTA('Raw Provisioning'!$B$2:$B$1000),INDEX('Raw Provisioning'!$B$2:$B$1000,ROWS($A$5:A629)-COUNTA('Raw Decommissioning'!$B$2:$B$1000)),""))</x:f>
        <x:v>CSSP10953253</x:v>
      </x:c>
      <x:c r="B629" s="170" t="str">
        <x:f>IF(A629="","",IF(ROWS($A$5:A629)&lt;=COUNTA('Raw Decommissioning'!$B$2:$B$1000),"Decommissioning","Provisioning"))</x:f>
        <x:v>Provisioning</x:v>
      </x:c>
      <x:c r="C629" s="170" t="str">
        <x:f>IF(A629="","",IF(B629="Decommissioning",IFERROR(INDEX('Raw Decommissioning'!$E$2:$E$1000,MATCH(A629,'Raw Decommissioning'!$B$2:$B$1000,0)),"Missing from latest raw"),IFERROR(INDEX('Raw Provisioning'!$E$2:$E$1000,MATCH(A629,'Raw Provisioning'!$B$2:$B$1000,0)),"Missing from latest raw")))</x:f>
        <x:v>executing</x:v>
      </x:c>
      <x:c r="D629" s="171" t="n">
        <x:f>IF(A629="","",'Refresh Control'!$B$4)</x:f>
        <x:v>46254</x:v>
      </x:c>
      <x:c r="E629" s="171" t="n">
        <x:f>IF(A629="","",IF(B629="Decommissioning",INDEX('Raw Decommissioning'!$F$2:$F$1000,ROWS($A$5:A629)),INDEX('Raw Provisioning'!$F$2:$F$1000,ROWS($A$5:A629)-COUNTA('Raw Decommissioning'!$B$2:$B$1000))))</x:f>
        <x:v>46247.04923334491</x:v>
      </x:c>
      <x:c r="F629" s="171" t="n">
        <x:f>IF(A629="","",IF(B629="Decommissioning",INDEX('Raw Decommissioning'!$G$2:$G$1000,ROWS($A$5:A629)),INDEX('Raw Provisioning'!$H$2:$H$1000,ROWS($A$5:A629)-COUNTA('Raw Decommissioning'!$B$2:$B$1000))))</x:f>
        <x:v>46249.19338509259</x:v>
      </x:c>
      <x:c r="G629" s="170" t="str">
        <x:f>IF(A629="","",IF(B629="Decommissioning",INDEX('Raw Decommissioning'!$I$2:$I$1000,ROWS($A$5:A629)),INDEX('Raw Provisioning'!$J$2:$J$1000,ROWS($A$5:A629)-COUNTA('Raw Decommissioning'!$B$2:$B$1000))))</x:f>
        <x:v>Zentory+</x:v>
      </x:c>
      <x:c r="H629" s="170" t="str">
        <x:f>IF(A629="","",IF(B629="Decommissioning",INDEX('Raw Decommissioning'!$J$2:$J$1000,ROWS($A$5:A629)),INDEX('Raw Provisioning'!$L$2:$L$1000,ROWS($A$5:A629)-COUNTA('Raw Decommissioning'!$B$2:$B$1000))))</x:f>
        <x:v>Zentory+ Integration Layer</x:v>
      </x:c>
      <x:c r="I629" s="170" t="str">
        <x:f>IF(A629="","",IF(B629="Decommissioning",INDEX('Raw Decommissioning'!$AL$2:$AL$1000,ROWS($A$5:A629)),INDEX('Raw Provisioning'!$R$2:$R$1000,ROWS($A$5:A629)-COUNTA('Raw Decommissioning'!$B$2:$B$1000))))</x:f>
        <x:v>M</x:v>
      </x:c>
      <x:c r="J629" s="170" t="str">
        <x:f>IF(A629="","",IF(B629="Decommissioning",INDEX('Raw Decommissioning'!$AG$2:$AG$1000,ROWS($A$5:A629)),INDEX('Raw Provisioning'!$AI$2:$AI$1000,ROWS($A$5:A629)-COUNTA('Raw Decommissioning'!$B$2:$B$1000))))</x:f>
        <x:v>arun.karuppiah@petronas.com</x:v>
      </x:c>
      <x:c r="K629" s="172" t="str">
        <x:f>IF(A629="","",IFERROR(LOOKUP(2,1/('Assignment History'!$B$5:$B$204=A629),'Assignment History'!$D$5:$D$204),IFERROR(VLOOKUP(J629,Configuration!$L$5:$M$50,2,FALSE),J629)))</x:f>
        <x:v>arun.karuppiah@petronas.com</x:v>
      </x:c>
      <x:c r="L629" s="172" t="str">
        <x:f>IF(A629="","",IF(K629=IFERROR(VLOOKUP(J629,Configuration!$L$5:$M$50,2,FALSE),J629),"Snapshot PIC","Replacement PIC"))</x:f>
        <x:v>Snapshot PIC</x:v>
      </x:c>
      <x:c r="M629" s="172" t="n">
        <x:f>IF(A629="","",IFERROR(VLOOKUP(I629,Configuration!$O$5:$P$8,2,FALSE),Configuration!$S$6))</x:f>
        <x:v>2</x:v>
      </x:c>
      <x:c r="N629" s="172" t="str">
        <x:f>IF(A629="","",IFERROR(LOOKUP(2,1/('Scope Review'!$B$5:$B$204=A629),'Scope Review'!$G$5:$G$204),"Not Reviewed"))</x:f>
        <x:v>Not Reviewed</x:v>
      </x:c>
      <x:c r="O629" s="172" t="str">
        <x:f>IF(A629="","",IFERROR(LOOKUP(2,1/('Scope Review'!$B$5:$B$204=A629),'Scope Review'!$H$5:$H$204),""))</x:f>
      </x:c>
      <x:c r="P629" s="172" t="n">
        <x:f>IF(A629="","",IF(AND(C629="executing",N629&lt;&gt;"Confirmed OOS"),M629,0))</x:f>
        <x:v>2</x:v>
      </x:c>
      <x:c r="Q629" s="173" t="n">
        <x:f>IF(A629="","",IFERROR(LOOKUP(2,1/('Engineer Updates'!$B$5:$B$704=A629),'Engineer Updates'!$A$5:$A$704),""))</x:f>
        <x:v>46251</x:v>
      </x:c>
      <x:c r="R629" s="172" t="str">
        <x:f>IF(A629="","",IFERROR(LOOKUP(2,1/('Engineer Updates'!$B$5:$B$704=A629),'Engineer Updates'!$H$5:$H$704),""))</x:f>
        <x:v>Not Started</x:v>
      </x:c>
      <x:c r="S629" s="172" t="str">
        <x:f>IF(A629="","",IFERROR(LOOKUP(2,1/('Engineer Updates'!$B$5:$B$704=A629),'Engineer Updates'!$G$5:$G$704),""))</x:f>
      </x:c>
      <x:c r="T629" s="172" t="str">
        <x:f>IF(A629="","",IFERROR(LOOKUP(2,1/('Engineer Updates'!$B$5:$B$704=A629),'Engineer Updates'!$I$5:$I$704),""))</x:f>
      </x:c>
      <x:c r="U629" s="172" t="str">
        <x:f>IF(A629="","",IFERROR(LOOKUP(2,1/('Engineer Updates'!$B$5:$B$704=A629),'Engineer Updates'!$J$5:$J$704),""))</x:f>
      </x:c>
      <x:c r="V629" s="172" t="str">
        <x:f>IF(A629="","",IFERROR(LOOKUP(2,1/('Engineer Updates'!$B$5:$B$704=A629),'Engineer Updates'!$K$5:$K$704),""))</x:f>
      </x:c>
      <x:c r="W629" s="174" t="str">
        <x:f>IF(A629="","",IFERROR(LOOKUP(2,1/('Engineer Updates'!$B$5:$B$704=A629),'Engineer Updates'!$L$5:$L$704),""))</x:f>
      </x:c>
      <x:c r="X629" s="170" t="str">
        <x:f>IF(A629="","",IF(C629="completed","Completed in CSSP",IF(AND(C629="executing",ISERROR(SEARCH("@",K629))),"Executing without named engineer",IF(AND(N629="Confirmed OOS",C629="executing"),"Confirmed OOS still executing",""))))</x:f>
      </x:c>
      <x:c r="Y629" s="170" t="str">
        <x:f>IF(A629="","",IF(B629="Decommissioning","Raw Decommissioning","Raw Provisioning"))</x:f>
        <x:v>Raw Provisioning</x:v>
      </x:c>
      <x:c r="Z629" s="170" t="str">
        <x:f>IF(A629="","",IF(OR(C629="executing",C629="processing"),"Yes","No"))</x:f>
        <x:v>Yes</x:v>
      </x:c>
    </x:row>
    <x:row r="630">
      <x:c r="A630" s="170" t="str">
        <x:f>IF(ROWS($A$5:A630)&lt;=COUNTA('Raw Decommissioning'!$B$2:$B$1000),INDEX('Raw Decommissioning'!$B$2:$B$1000,ROWS($A$5:A630)),IF(ROWS($A$5:A630)-COUNTA('Raw Decommissioning'!$B$2:$B$1000)&lt;=COUNTA('Raw Provisioning'!$B$2:$B$1000),INDEX('Raw Provisioning'!$B$2:$B$1000,ROWS($A$5:A630)-COUNTA('Raw Decommissioning'!$B$2:$B$1000)),""))</x:f>
        <x:v>CSSP10506137</x:v>
      </x:c>
      <x:c r="B630" s="170" t="str">
        <x:f>IF(A630="","",IF(ROWS($A$5:A630)&lt;=COUNTA('Raw Decommissioning'!$B$2:$B$1000),"Decommissioning","Provisioning"))</x:f>
        <x:v>Provisioning</x:v>
      </x:c>
      <x:c r="C630" s="170" t="str">
        <x:f>IF(A630="","",IF(B630="Decommissioning",IFERROR(INDEX('Raw Decommissioning'!$E$2:$E$1000,MATCH(A630,'Raw Decommissioning'!$B$2:$B$1000,0)),"Missing from latest raw"),IFERROR(INDEX('Raw Provisioning'!$E$2:$E$1000,MATCH(A630,'Raw Provisioning'!$B$2:$B$1000,0)),"Missing from latest raw")))</x:f>
        <x:v>processing</x:v>
      </x:c>
      <x:c r="D630" s="171" t="n">
        <x:f>IF(A630="","",'Refresh Control'!$B$4)</x:f>
        <x:v>46254</x:v>
      </x:c>
      <x:c r="E630" s="171" t="n">
        <x:f>IF(A630="","",IF(B630="Decommissioning",INDEX('Raw Decommissioning'!$F$2:$F$1000,ROWS($A$5:A630)),INDEX('Raw Provisioning'!$F$2:$F$1000,ROWS($A$5:A630)-COUNTA('Raw Decommissioning'!$B$2:$B$1000))))</x:f>
        <x:v>46247.25359472222</x:v>
      </x:c>
      <x:c r="F630" s="171" t="n">
        <x:f>IF(A630="","",IF(B630="Decommissioning",INDEX('Raw Decommissioning'!$G$2:$G$1000,ROWS($A$5:A630)),INDEX('Raw Provisioning'!$H$2:$H$1000,ROWS($A$5:A630)-COUNTA('Raw Decommissioning'!$B$2:$B$1000))))</x:f>
        <x:v>46247.25706004629</x:v>
      </x:c>
      <x:c r="G630" s="170" t="str">
        <x:f>IF(A630="","",IF(B630="Decommissioning",INDEX('Raw Decommissioning'!$I$2:$I$1000,ROWS($A$5:A630)),INDEX('Raw Provisioning'!$J$2:$J$1000,ROWS($A$5:A630)-COUNTA('Raw Decommissioning'!$B$2:$B$1000))))</x:f>
        <x:v>Ansible Enterprise Configuration Management - AECM</x:v>
      </x:c>
      <x:c r="H630" s="170" t="str">
        <x:f>IF(A630="","",IF(B630="Decommissioning",INDEX('Raw Decommissioning'!$J$2:$J$1000,ROWS($A$5:A630)),INDEX('Raw Provisioning'!$L$2:$L$1000,ROWS($A$5:A630)-COUNTA('Raw Decommissioning'!$B$2:$B$1000))))</x:f>
        <x:v>Ansible Enterprise Configuration Management</x:v>
      </x:c>
      <x:c r="I630" s="170" t="str">
        <x:f>IF(A630="","",IF(B630="Decommissioning",INDEX('Raw Decommissioning'!$AL$2:$AL$1000,ROWS($A$5:A630)),INDEX('Raw Provisioning'!$R$2:$R$1000,ROWS($A$5:A630)-COUNTA('Raw Decommissioning'!$B$2:$B$1000))))</x:f>
      </x:c>
      <x:c r="J630" s="170" t="str">
        <x:f>IF(A630="","",IF(B630="Decommissioning",INDEX('Raw Decommissioning'!$AG$2:$AG$1000,ROWS($A$5:A630)),INDEX('Raw Provisioning'!$AI$2:$AI$1000,ROWS($A$5:A630)-COUNTA('Raw Decommissioning'!$B$2:$B$1000))))</x:f>
        <x:v>IMS - CLOUD CSSP EXECUTOR</x:v>
      </x:c>
      <x:c r="K630" s="172" t="str">
        <x:f>IF(A630="","",IFERROR(LOOKUP(2,1/('Assignment History'!$B$5:$B$204=A630),'Assignment History'!$D$5:$D$204),IFERROR(VLOOKUP(J630,Configuration!$L$5:$M$50,2,FALSE),J630)))</x:f>
        <x:v>IMS - CLOUD CSSP EXECUTOR</x:v>
      </x:c>
      <x:c r="L630" s="172" t="str">
        <x:f>IF(A630="","",IF(K630=IFERROR(VLOOKUP(J630,Configuration!$L$5:$M$50,2,FALSE),J630),"Snapshot PIC","Replacement PIC"))</x:f>
        <x:v>Snapshot PIC</x:v>
      </x:c>
      <x:c r="M630" s="172" t="n">
        <x:f>IF(A630="","",IFERROR(VLOOKUP(I630,Configuration!$O$5:$P$8,2,FALSE),Configuration!$S$6))</x:f>
        <x:v>2</x:v>
      </x:c>
      <x:c r="N630" s="172" t="str">
        <x:f>IF(A630="","",IFERROR(LOOKUP(2,1/('Scope Review'!$B$5:$B$204=A630),'Scope Review'!$G$5:$G$204),"Not Reviewed"))</x:f>
        <x:v>Not Reviewed</x:v>
      </x:c>
      <x:c r="O630" s="172" t="str">
        <x:f>IF(A630="","",IFERROR(LOOKUP(2,1/('Scope Review'!$B$5:$B$204=A630),'Scope Review'!$H$5:$H$204),""))</x:f>
      </x:c>
      <x:c r="P630" s="172" t="n">
        <x:f>IF(A630="","",IF(AND(C630="executing",N630&lt;&gt;"Confirmed OOS"),M630,0))</x:f>
        <x:v>0</x:v>
      </x:c>
      <x:c r="Q630" s="173" t="str">
        <x:f>IF(A630="","",IFERROR(LOOKUP(2,1/('Engineer Updates'!$B$5:$B$704=A630),'Engineer Updates'!$A$5:$A$704),""))</x:f>
      </x:c>
      <x:c r="R630" s="172" t="str">
        <x:f>IF(A630="","",IFERROR(LOOKUP(2,1/('Engineer Updates'!$B$5:$B$704=A630),'Engineer Updates'!$H$5:$H$704),""))</x:f>
      </x:c>
      <x:c r="S630" s="172" t="str">
        <x:f>IF(A630="","",IFERROR(LOOKUP(2,1/('Engineer Updates'!$B$5:$B$704=A630),'Engineer Updates'!$G$5:$G$704),""))</x:f>
      </x:c>
      <x:c r="T630" s="172" t="str">
        <x:f>IF(A630="","",IFERROR(LOOKUP(2,1/('Engineer Updates'!$B$5:$B$704=A630),'Engineer Updates'!$I$5:$I$704),""))</x:f>
      </x:c>
      <x:c r="U630" s="172" t="str">
        <x:f>IF(A630="","",IFERROR(LOOKUP(2,1/('Engineer Updates'!$B$5:$B$704=A630),'Engineer Updates'!$J$5:$J$704),""))</x:f>
      </x:c>
      <x:c r="V630" s="172" t="str">
        <x:f>IF(A630="","",IFERROR(LOOKUP(2,1/('Engineer Updates'!$B$5:$B$704=A630),'Engineer Updates'!$K$5:$K$704),""))</x:f>
      </x:c>
      <x:c r="W630" s="174" t="str">
        <x:f>IF(A630="","",IFERROR(LOOKUP(2,1/('Engineer Updates'!$B$5:$B$704=A630),'Engineer Updates'!$L$5:$L$704),""))</x:f>
      </x:c>
      <x:c r="X630" s="170" t="str">
        <x:f>IF(A630="","",IF(C630="completed","Completed in CSSP",IF(AND(C630="executing",ISERROR(SEARCH("@",K630))),"Executing without named engineer",IF(AND(N630="Confirmed OOS",C630="executing"),"Confirmed OOS still executing",""))))</x:f>
      </x:c>
      <x:c r="Y630" s="170" t="str">
        <x:f>IF(A630="","",IF(B630="Decommissioning","Raw Decommissioning","Raw Provisioning"))</x:f>
        <x:v>Raw Provisioning</x:v>
      </x:c>
      <x:c r="Z630" s="170" t="str">
        <x:f>IF(A630="","",IF(OR(C630="executing",C630="processing"),"Yes","No"))</x:f>
        <x:v>Yes</x:v>
      </x:c>
    </x:row>
    <x:row r="631">
      <x:c r="A631" s="170" t="str">
        <x:f>IF(ROWS($A$5:A631)&lt;=COUNTA('Raw Decommissioning'!$B$2:$B$1000),INDEX('Raw Decommissioning'!$B$2:$B$1000,ROWS($A$5:A631)),IF(ROWS($A$5:A631)-COUNTA('Raw Decommissioning'!$B$2:$B$1000)&lt;=COUNTA('Raw Provisioning'!$B$2:$B$1000),INDEX('Raw Provisioning'!$B$2:$B$1000,ROWS($A$5:A631)-COUNTA('Raw Decommissioning'!$B$2:$B$1000)),""))</x:f>
        <x:v>CSSP10675946</x:v>
      </x:c>
      <x:c r="B631" s="170" t="str">
        <x:f>IF(A631="","",IF(ROWS($A$5:A631)&lt;=COUNTA('Raw Decommissioning'!$B$2:$B$1000),"Decommissioning","Provisioning"))</x:f>
        <x:v>Provisioning</x:v>
      </x:c>
      <x:c r="C631" s="170" t="str">
        <x:f>IF(A631="","",IF(B631="Decommissioning",IFERROR(INDEX('Raw Decommissioning'!$E$2:$E$1000,MATCH(A631,'Raw Decommissioning'!$B$2:$B$1000,0)),"Missing from latest raw"),IFERROR(INDEX('Raw Provisioning'!$E$2:$E$1000,MATCH(A631,'Raw Provisioning'!$B$2:$B$1000,0)),"Missing from latest raw")))</x:f>
        <x:v>processing</x:v>
      </x:c>
      <x:c r="D631" s="171" t="n">
        <x:f>IF(A631="","",'Refresh Control'!$B$4)</x:f>
        <x:v>46254</x:v>
      </x:c>
      <x:c r="E631" s="171" t="n">
        <x:f>IF(A631="","",IF(B631="Decommissioning",INDEX('Raw Decommissioning'!$F$2:$F$1000,ROWS($A$5:A631)),INDEX('Raw Provisioning'!$F$2:$F$1000,ROWS($A$5:A631)-COUNTA('Raw Decommissioning'!$B$2:$B$1000))))</x:f>
        <x:v>46247.26036521991</x:v>
      </x:c>
      <x:c r="F631" s="171" t="n">
        <x:f>IF(A631="","",IF(B631="Decommissioning",INDEX('Raw Decommissioning'!$G$2:$G$1000,ROWS($A$5:A631)),INDEX('Raw Provisioning'!$H$2:$H$1000,ROWS($A$5:A631)-COUNTA('Raw Decommissioning'!$B$2:$B$1000))))</x:f>
        <x:v>46251.17083613426</x:v>
      </x:c>
      <x:c r="G631" s="170" t="str">
        <x:f>IF(A631="","",IF(B631="Decommissioning",INDEX('Raw Decommissioning'!$I$2:$I$1000,ROWS($A$5:A631)),INDEX('Raw Provisioning'!$J$2:$J$1000,ROWS($A$5:A631)-COUNTA('Raw Decommissioning'!$B$2:$B$1000))))</x:f>
        <x:v>Zentory+</x:v>
      </x:c>
      <x:c r="H631" s="170" t="str">
        <x:f>IF(A631="","",IF(B631="Decommissioning",INDEX('Raw Decommissioning'!$J$2:$J$1000,ROWS($A$5:A631)),INDEX('Raw Provisioning'!$L$2:$L$1000,ROWS($A$5:A631)-COUNTA('Raw Decommissioning'!$B$2:$B$1000))))</x:f>
        <x:v>Zentory+ Integration Layer</x:v>
      </x:c>
      <x:c r="I631" s="170" t="str">
        <x:f>IF(A631="","",IF(B631="Decommissioning",INDEX('Raw Decommissioning'!$AL$2:$AL$1000,ROWS($A$5:A631)),INDEX('Raw Provisioning'!$R$2:$R$1000,ROWS($A$5:A631)-COUNTA('Raw Decommissioning'!$B$2:$B$1000))))</x:f>
        <x:v>M</x:v>
      </x:c>
      <x:c r="J631" s="170" t="str">
        <x:f>IF(A631="","",IF(B631="Decommissioning",INDEX('Raw Decommissioning'!$AG$2:$AG$1000,ROWS($A$5:A631)),INDEX('Raw Provisioning'!$AI$2:$AI$1000,ROWS($A$5:A631)-COUNTA('Raw Decommissioning'!$B$2:$B$1000))))</x:f>
        <x:v>IMS - CLOUD CSSP EXECUTOR</x:v>
      </x:c>
      <x:c r="K631" s="172" t="str">
        <x:f>IF(A631="","",IFERROR(LOOKUP(2,1/('Assignment History'!$B$5:$B$204=A631),'Assignment History'!$D$5:$D$204),IFERROR(VLOOKUP(J631,Configuration!$L$5:$M$50,2,FALSE),J631)))</x:f>
        <x:v>IMS - CLOUD CSSP EXECUTOR</x:v>
      </x:c>
      <x:c r="L631" s="172" t="str">
        <x:f>IF(A631="","",IF(K631=IFERROR(VLOOKUP(J631,Configuration!$L$5:$M$50,2,FALSE),J631),"Snapshot PIC","Replacement PIC"))</x:f>
        <x:v>Snapshot PIC</x:v>
      </x:c>
      <x:c r="M631" s="172" t="n">
        <x:f>IF(A631="","",IFERROR(VLOOKUP(I631,Configuration!$O$5:$P$8,2,FALSE),Configuration!$S$6))</x:f>
        <x:v>2</x:v>
      </x:c>
      <x:c r="N631" s="172" t="str">
        <x:f>IF(A631="","",IFERROR(LOOKUP(2,1/('Scope Review'!$B$5:$B$204=A631),'Scope Review'!$G$5:$G$204),"Not Reviewed"))</x:f>
        <x:v>Not Reviewed</x:v>
      </x:c>
      <x:c r="O631" s="172" t="str">
        <x:f>IF(A631="","",IFERROR(LOOKUP(2,1/('Scope Review'!$B$5:$B$204=A631),'Scope Review'!$H$5:$H$204),""))</x:f>
      </x:c>
      <x:c r="P631" s="172" t="n">
        <x:f>IF(A631="","",IF(AND(C631="executing",N631&lt;&gt;"Confirmed OOS"),M631,0))</x:f>
        <x:v>0</x:v>
      </x:c>
      <x:c r="Q631" s="173" t="str">
        <x:f>IF(A631="","",IFERROR(LOOKUP(2,1/('Engineer Updates'!$B$5:$B$704=A631),'Engineer Updates'!$A$5:$A$704),""))</x:f>
      </x:c>
      <x:c r="R631" s="172" t="str">
        <x:f>IF(A631="","",IFERROR(LOOKUP(2,1/('Engineer Updates'!$B$5:$B$704=A631),'Engineer Updates'!$H$5:$H$704),""))</x:f>
      </x:c>
      <x:c r="S631" s="172" t="str">
        <x:f>IF(A631="","",IFERROR(LOOKUP(2,1/('Engineer Updates'!$B$5:$B$704=A631),'Engineer Updates'!$G$5:$G$704),""))</x:f>
      </x:c>
      <x:c r="T631" s="172" t="str">
        <x:f>IF(A631="","",IFERROR(LOOKUP(2,1/('Engineer Updates'!$B$5:$B$704=A631),'Engineer Updates'!$I$5:$I$704),""))</x:f>
      </x:c>
      <x:c r="U631" s="172" t="str">
        <x:f>IF(A631="","",IFERROR(LOOKUP(2,1/('Engineer Updates'!$B$5:$B$704=A631),'Engineer Updates'!$J$5:$J$704),""))</x:f>
      </x:c>
      <x:c r="V631" s="172" t="str">
        <x:f>IF(A631="","",IFERROR(LOOKUP(2,1/('Engineer Updates'!$B$5:$B$704=A631),'Engineer Updates'!$K$5:$K$704),""))</x:f>
      </x:c>
      <x:c r="W631" s="174" t="str">
        <x:f>IF(A631="","",IFERROR(LOOKUP(2,1/('Engineer Updates'!$B$5:$B$704=A631),'Engineer Updates'!$L$5:$L$704),""))</x:f>
      </x:c>
      <x:c r="X631" s="170" t="str">
        <x:f>IF(A631="","",IF(C631="completed","Completed in CSSP",IF(AND(C631="executing",ISERROR(SEARCH("@",K631))),"Executing without named engineer",IF(AND(N631="Confirmed OOS",C631="executing"),"Confirmed OOS still executing",""))))</x:f>
      </x:c>
      <x:c r="Y631" s="170" t="str">
        <x:f>IF(A631="","",IF(B631="Decommissioning","Raw Decommissioning","Raw Provisioning"))</x:f>
        <x:v>Raw Provisioning</x:v>
      </x:c>
      <x:c r="Z631" s="170" t="str">
        <x:f>IF(A631="","",IF(OR(C631="executing",C631="processing"),"Yes","No"))</x:f>
        <x:v>Yes</x:v>
      </x:c>
    </x:row>
    <x:row r="632">
      <x:c r="A632" s="170" t="str">
        <x:f>IF(ROWS($A$5:A632)&lt;=COUNTA('Raw Decommissioning'!$B$2:$B$1000),INDEX('Raw Decommissioning'!$B$2:$B$1000,ROWS($A$5:A632)),IF(ROWS($A$5:A632)-COUNTA('Raw Decommissioning'!$B$2:$B$1000)&lt;=COUNTA('Raw Provisioning'!$B$2:$B$1000),INDEX('Raw Provisioning'!$B$2:$B$1000,ROWS($A$5:A632)-COUNTA('Raw Decommissioning'!$B$2:$B$1000)),""))</x:f>
        <x:v>CSSP10690264</x:v>
      </x:c>
      <x:c r="B632" s="170" t="str">
        <x:f>IF(A632="","",IF(ROWS($A$5:A632)&lt;=COUNTA('Raw Decommissioning'!$B$2:$B$1000),"Decommissioning","Provisioning"))</x:f>
        <x:v>Provisioning</x:v>
      </x:c>
      <x:c r="C632" s="170" t="str">
        <x:f>IF(A632="","",IF(B632="Decommissioning",IFERROR(INDEX('Raw Decommissioning'!$E$2:$E$1000,MATCH(A632,'Raw Decommissioning'!$B$2:$B$1000,0)),"Missing from latest raw"),IFERROR(INDEX('Raw Provisioning'!$E$2:$E$1000,MATCH(A632,'Raw Provisioning'!$B$2:$B$1000,0)),"Missing from latest raw")))</x:f>
        <x:v>rejected</x:v>
      </x:c>
      <x:c r="D632" s="171" t="n">
        <x:f>IF(A632="","",'Refresh Control'!$B$4)</x:f>
        <x:v>46254</x:v>
      </x:c>
      <x:c r="E632" s="171" t="n">
        <x:f>IF(A632="","",IF(B632="Decommissioning",INDEX('Raw Decommissioning'!$F$2:$F$1000,ROWS($A$5:A632)),INDEX('Raw Provisioning'!$F$2:$F$1000,ROWS($A$5:A632)-COUNTA('Raw Decommissioning'!$B$2:$B$1000))))</x:f>
        <x:v>46248.09834311342</x:v>
      </x:c>
      <x:c r="F632" s="171" t="n">
        <x:f>IF(A632="","",IF(B632="Decommissioning",INDEX('Raw Decommissioning'!$G$2:$G$1000,ROWS($A$5:A632)),INDEX('Raw Provisioning'!$H$2:$H$1000,ROWS($A$5:A632)-COUNTA('Raw Decommissioning'!$B$2:$B$1000))))</x:f>
        <x:v>46251.16482626157</x:v>
      </x:c>
      <x:c r="G632" s="170" t="str">
        <x:f>IF(A632="","",IF(B632="Decommissioning",INDEX('Raw Decommissioning'!$I$2:$I$1000,ROWS($A$5:A632)),INDEX('Raw Provisioning'!$J$2:$J$1000,ROWS($A$5:A632)-COUNTA('Raw Decommissioning'!$B$2:$B$1000))))</x:f>
        <x:v>Downstream AI Innovation Sandbox</x:v>
      </x:c>
      <x:c r="H632" s="170" t="str">
        <x:f>IF(A632="","",IF(B632="Decommissioning",INDEX('Raw Decommissioning'!$J$2:$J$1000,ROWS($A$5:A632)),INDEX('Raw Provisioning'!$L$2:$L$1000,ROWS($A$5:A632)-COUNTA('Raw Decommissioning'!$B$2:$B$1000))))</x:f>
        <x:v>Downstream Technology, Innovation &amp; Digital</x:v>
      </x:c>
      <x:c r="I632" s="170" t="str">
        <x:f>IF(A632="","",IF(B632="Decommissioning",INDEX('Raw Decommissioning'!$AL$2:$AL$1000,ROWS($A$5:A632)),INDEX('Raw Provisioning'!$R$2:$R$1000,ROWS($A$5:A632)-COUNTA('Raw Decommissioning'!$B$2:$B$1000))))</x:f>
        <x:v>M</x:v>
      </x:c>
      <x:c r="J632" s="170" t="str">
        <x:f>IF(A632="","",IF(B632="Decommissioning",INDEX('Raw Decommissioning'!$AG$2:$AG$1000,ROWS($A$5:A632)),INDEX('Raw Provisioning'!$AI$2:$AI$1000,ROWS($A$5:A632)-COUNTA('Raw Decommissioning'!$B$2:$B$1000))))</x:f>
        <x:v>IMS - CLOUD CSSP EXECUTOR</x:v>
      </x:c>
      <x:c r="K632" s="172" t="str">
        <x:f>IF(A632="","",IFERROR(LOOKUP(2,1/('Assignment History'!$B$5:$B$204=A632),'Assignment History'!$D$5:$D$204),IFERROR(VLOOKUP(J632,Configuration!$L$5:$M$50,2,FALSE),J632)))</x:f>
        <x:v>IMS - CLOUD CSSP EXECUTOR</x:v>
      </x:c>
      <x:c r="L632" s="172" t="str">
        <x:f>IF(A632="","",IF(K632=IFERROR(VLOOKUP(J632,Configuration!$L$5:$M$50,2,FALSE),J632),"Snapshot PIC","Replacement PIC"))</x:f>
        <x:v>Snapshot PIC</x:v>
      </x:c>
      <x:c r="M632" s="172" t="n">
        <x:f>IF(A632="","",IFERROR(VLOOKUP(I632,Configuration!$O$5:$P$8,2,FALSE),Configuration!$S$6))</x:f>
        <x:v>2</x:v>
      </x:c>
      <x:c r="N632" s="172" t="str">
        <x:f>IF(A632="","",IFERROR(LOOKUP(2,1/('Scope Review'!$B$5:$B$204=A632),'Scope Review'!$G$5:$G$204),"Not Reviewed"))</x:f>
        <x:v>Not Reviewed</x:v>
      </x:c>
      <x:c r="O632" s="172" t="str">
        <x:f>IF(A632="","",IFERROR(LOOKUP(2,1/('Scope Review'!$B$5:$B$204=A632),'Scope Review'!$H$5:$H$204),""))</x:f>
      </x:c>
      <x:c r="P632" s="172" t="n">
        <x:f>IF(A632="","",IF(AND(C632="executing",N632&lt;&gt;"Confirmed OOS"),M632,0))</x:f>
        <x:v>0</x:v>
      </x:c>
      <x:c r="Q632" s="173" t="str">
        <x:f>IF(A632="","",IFERROR(LOOKUP(2,1/('Engineer Updates'!$B$5:$B$704=A632),'Engineer Updates'!$A$5:$A$704),""))</x:f>
      </x:c>
      <x:c r="R632" s="172" t="str">
        <x:f>IF(A632="","",IFERROR(LOOKUP(2,1/('Engineer Updates'!$B$5:$B$704=A632),'Engineer Updates'!$H$5:$H$704),""))</x:f>
      </x:c>
      <x:c r="S632" s="172" t="str">
        <x:f>IF(A632="","",IFERROR(LOOKUP(2,1/('Engineer Updates'!$B$5:$B$704=A632),'Engineer Updates'!$G$5:$G$704),""))</x:f>
      </x:c>
      <x:c r="T632" s="172" t="str">
        <x:f>IF(A632="","",IFERROR(LOOKUP(2,1/('Engineer Updates'!$B$5:$B$704=A632),'Engineer Updates'!$I$5:$I$704),""))</x:f>
      </x:c>
      <x:c r="U632" s="172" t="str">
        <x:f>IF(A632="","",IFERROR(LOOKUP(2,1/('Engineer Updates'!$B$5:$B$704=A632),'Engineer Updates'!$J$5:$J$704),""))</x:f>
      </x:c>
      <x:c r="V632" s="172" t="str">
        <x:f>IF(A632="","",IFERROR(LOOKUP(2,1/('Engineer Updates'!$B$5:$B$704=A632),'Engineer Updates'!$K$5:$K$704),""))</x:f>
      </x:c>
      <x:c r="W632" s="174" t="str">
        <x:f>IF(A632="","",IFERROR(LOOKUP(2,1/('Engineer Updates'!$B$5:$B$704=A632),'Engineer Updates'!$L$5:$L$704),""))</x:f>
      </x:c>
      <x:c r="X632" s="170" t="str">
        <x:f>IF(A632="","",IF(C632="completed","Completed in CSSP",IF(AND(C632="executing",ISERROR(SEARCH("@",K632))),"Executing without named engineer",IF(AND(N632="Confirmed OOS",C632="executing"),"Confirmed OOS still executing",""))))</x:f>
      </x:c>
      <x:c r="Y632" s="170" t="str">
        <x:f>IF(A632="","",IF(B632="Decommissioning","Raw Decommissioning","Raw Provisioning"))</x:f>
        <x:v>Raw Provisioning</x:v>
      </x:c>
      <x:c r="Z632" s="170" t="str">
        <x:f>IF(A632="","",IF(OR(C632="executing",C632="processing"),"Yes","No"))</x:f>
        <x:v>No</x:v>
      </x:c>
    </x:row>
    <x:row r="633">
      <x:c r="A633" s="170" t="str">
        <x:f>IF(ROWS($A$5:A633)&lt;=COUNTA('Raw Decommissioning'!$B$2:$B$1000),INDEX('Raw Decommissioning'!$B$2:$B$1000,ROWS($A$5:A633)),IF(ROWS($A$5:A633)-COUNTA('Raw Decommissioning'!$B$2:$B$1000)&lt;=COUNTA('Raw Provisioning'!$B$2:$B$1000),INDEX('Raw Provisioning'!$B$2:$B$1000,ROWS($A$5:A633)-COUNTA('Raw Decommissioning'!$B$2:$B$1000)),""))</x:f>
        <x:v>CSSP10933294</x:v>
      </x:c>
      <x:c r="B633" s="170" t="str">
        <x:f>IF(A633="","",IF(ROWS($A$5:A633)&lt;=COUNTA('Raw Decommissioning'!$B$2:$B$1000),"Decommissioning","Provisioning"))</x:f>
        <x:v>Provisioning</x:v>
      </x:c>
      <x:c r="C633" s="170" t="str">
        <x:f>IF(A633="","",IF(B633="Decommissioning",IFERROR(INDEX('Raw Decommissioning'!$E$2:$E$1000,MATCH(A633,'Raw Decommissioning'!$B$2:$B$1000,0)),"Missing from latest raw"),IFERROR(INDEX('Raw Provisioning'!$E$2:$E$1000,MATCH(A633,'Raw Provisioning'!$B$2:$B$1000,0)),"Missing from latest raw")))</x:f>
        <x:v>processing</x:v>
      </x:c>
      <x:c r="D633" s="171" t="n">
        <x:f>IF(A633="","",'Refresh Control'!$B$4)</x:f>
        <x:v>46254</x:v>
      </x:c>
      <x:c r="E633" s="171" t="n">
        <x:f>IF(A633="","",IF(B633="Decommissioning",INDEX('Raw Decommissioning'!$F$2:$F$1000,ROWS($A$5:A633)),INDEX('Raw Provisioning'!$F$2:$F$1000,ROWS($A$5:A633)-COUNTA('Raw Decommissioning'!$B$2:$B$1000))))</x:f>
        <x:v>46248.33679112269</x:v>
      </x:c>
      <x:c r="F633" s="171" t="n">
        <x:f>IF(A633="","",IF(B633="Decommissioning",INDEX('Raw Decommissioning'!$G$2:$G$1000,ROWS($A$5:A633)),INDEX('Raw Provisioning'!$H$2:$H$1000,ROWS($A$5:A633)-COUNTA('Raw Decommissioning'!$B$2:$B$1000))))</x:f>
        <x:v>46251.157290625</x:v>
      </x:c>
      <x:c r="G633" s="170" t="str">
        <x:f>IF(A633="","",IF(B633="Decommissioning",INDEX('Raw Decommissioning'!$I$2:$I$1000,ROWS($A$5:A633)),INDEX('Raw Provisioning'!$J$2:$J$1000,ROWS($A$5:A633)-COUNTA('Raw Decommissioning'!$B$2:$B$1000))))</x:f>
        <x:v>Cyber Security SENTINEL</x:v>
      </x:c>
      <x:c r="H633" s="170" t="str">
        <x:f>IF(A633="","",IF(B633="Decommissioning",INDEX('Raw Decommissioning'!$J$2:$J$1000,ROWS($A$5:A633)),INDEX('Raw Provisioning'!$L$2:$L$1000,ROWS($A$5:A633)-COUNTA('Raw Decommissioning'!$B$2:$B$1000))))</x:f>
        <x:v>Onboarding of Centralised Log Collector and Security Information &amp; Event Management (SIEM) for SETEL</x:v>
      </x:c>
      <x:c r="I633" s="170" t="str">
        <x:f>IF(A633="","",IF(B633="Decommissioning",INDEX('Raw Decommissioning'!$AL$2:$AL$1000,ROWS($A$5:A633)),INDEX('Raw Provisioning'!$R$2:$R$1000,ROWS($A$5:A633)-COUNTA('Raw Decommissioning'!$B$2:$B$1000))))</x:f>
        <x:v>S</x:v>
      </x:c>
      <x:c r="J633" s="170" t="str">
        <x:f>IF(A633="","",IF(B633="Decommissioning",INDEX('Raw Decommissioning'!$AG$2:$AG$1000,ROWS($A$5:A633)),INDEX('Raw Provisioning'!$AI$2:$AI$1000,ROWS($A$5:A633)-COUNTA('Raw Decommissioning'!$B$2:$B$1000))))</x:f>
        <x:v>IMS - CLOUD CSSP EXECUTOR</x:v>
      </x:c>
      <x:c r="K633" s="172" t="str">
        <x:f>IF(A633="","",IFERROR(LOOKUP(2,1/('Assignment History'!$B$5:$B$204=A633),'Assignment History'!$D$5:$D$204),IFERROR(VLOOKUP(J633,Configuration!$L$5:$M$50,2,FALSE),J633)))</x:f>
        <x:v>IMS - CLOUD CSSP EXECUTOR</x:v>
      </x:c>
      <x:c r="L633" s="172" t="str">
        <x:f>IF(A633="","",IF(K633=IFERROR(VLOOKUP(J633,Configuration!$L$5:$M$50,2,FALSE),J633),"Snapshot PIC","Replacement PIC"))</x:f>
        <x:v>Snapshot PIC</x:v>
      </x:c>
      <x:c r="M633" s="172" t="n">
        <x:f>IF(A633="","",IFERROR(VLOOKUP(I633,Configuration!$O$5:$P$8,2,FALSE),Configuration!$S$6))</x:f>
        <x:v>1</x:v>
      </x:c>
      <x:c r="N633" s="172" t="str">
        <x:f>IF(A633="","",IFERROR(LOOKUP(2,1/('Scope Review'!$B$5:$B$204=A633),'Scope Review'!$G$5:$G$204),"Not Reviewed"))</x:f>
        <x:v>Not Reviewed</x:v>
      </x:c>
      <x:c r="O633" s="172" t="str">
        <x:f>IF(A633="","",IFERROR(LOOKUP(2,1/('Scope Review'!$B$5:$B$204=A633),'Scope Review'!$H$5:$H$204),""))</x:f>
      </x:c>
      <x:c r="P633" s="172" t="n">
        <x:f>IF(A633="","",IF(AND(C633="executing",N633&lt;&gt;"Confirmed OOS"),M633,0))</x:f>
        <x:v>0</x:v>
      </x:c>
      <x:c r="Q633" s="173" t="str">
        <x:f>IF(A633="","",IFERROR(LOOKUP(2,1/('Engineer Updates'!$B$5:$B$704=A633),'Engineer Updates'!$A$5:$A$704),""))</x:f>
      </x:c>
      <x:c r="R633" s="172" t="str">
        <x:f>IF(A633="","",IFERROR(LOOKUP(2,1/('Engineer Updates'!$B$5:$B$704=A633),'Engineer Updates'!$H$5:$H$704),""))</x:f>
      </x:c>
      <x:c r="S633" s="172" t="str">
        <x:f>IF(A633="","",IFERROR(LOOKUP(2,1/('Engineer Updates'!$B$5:$B$704=A633),'Engineer Updates'!$G$5:$G$704),""))</x:f>
      </x:c>
      <x:c r="T633" s="172" t="str">
        <x:f>IF(A633="","",IFERROR(LOOKUP(2,1/('Engineer Updates'!$B$5:$B$704=A633),'Engineer Updates'!$I$5:$I$704),""))</x:f>
      </x:c>
      <x:c r="U633" s="172" t="str">
        <x:f>IF(A633="","",IFERROR(LOOKUP(2,1/('Engineer Updates'!$B$5:$B$704=A633),'Engineer Updates'!$J$5:$J$704),""))</x:f>
      </x:c>
      <x:c r="V633" s="172" t="str">
        <x:f>IF(A633="","",IFERROR(LOOKUP(2,1/('Engineer Updates'!$B$5:$B$704=A633),'Engineer Updates'!$K$5:$K$704),""))</x:f>
      </x:c>
      <x:c r="W633" s="174" t="str">
        <x:f>IF(A633="","",IFERROR(LOOKUP(2,1/('Engineer Updates'!$B$5:$B$704=A633),'Engineer Updates'!$L$5:$L$704),""))</x:f>
      </x:c>
      <x:c r="X633" s="170" t="str">
        <x:f>IF(A633="","",IF(C633="completed","Completed in CSSP",IF(AND(C633="executing",ISERROR(SEARCH("@",K633))),"Executing without named engineer",IF(AND(N633="Confirmed OOS",C633="executing"),"Confirmed OOS still executing",""))))</x:f>
      </x:c>
      <x:c r="Y633" s="170" t="str">
        <x:f>IF(A633="","",IF(B633="Decommissioning","Raw Decommissioning","Raw Provisioning"))</x:f>
        <x:v>Raw Provisioning</x:v>
      </x:c>
      <x:c r="Z633" s="170" t="str">
        <x:f>IF(A633="","",IF(OR(C633="executing",C633="processing"),"Yes","No"))</x:f>
        <x:v>Yes</x:v>
      </x:c>
    </x:row>
    <x:row r="634">
      <x:c r="A634" s="170" t="str">
        <x:f>IF(ROWS($A$5:A634)&lt;=COUNTA('Raw Decommissioning'!$B$2:$B$1000),INDEX('Raw Decommissioning'!$B$2:$B$1000,ROWS($A$5:A634)),IF(ROWS($A$5:A634)-COUNTA('Raw Decommissioning'!$B$2:$B$1000)&lt;=COUNTA('Raw Provisioning'!$B$2:$B$1000),INDEX('Raw Provisioning'!$B$2:$B$1000,ROWS($A$5:A634)-COUNTA('Raw Decommissioning'!$B$2:$B$1000)),""))</x:f>
      </x:c>
      <x:c r="B634" s="170" t="str">
        <x:f>IF(A634="","",IF(ROWS($A$5:A634)&lt;=COUNTA('Raw Decommissioning'!$B$2:$B$1000),"Decommissioning","Provisioning"))</x:f>
      </x:c>
      <x:c r="C634" s="170" t="str">
        <x:f>IF(A634="","",IF(B634="Decommissioning",IFERROR(INDEX('Raw Decommissioning'!$E$2:$E$1000,MATCH(A634,'Raw Decommissioning'!$B$2:$B$1000,0)),"Missing from latest raw"),IFERROR(INDEX('Raw Provisioning'!$E$2:$E$1000,MATCH(A634,'Raw Provisioning'!$B$2:$B$1000,0)),"Missing from latest raw")))</x:f>
      </x:c>
      <x:c r="D634" s="171" t="str">
        <x:f>IF(A634="","",'Refresh Control'!$B$4)</x:f>
      </x:c>
      <x:c r="E634" s="171" t="str">
        <x:f>IF(A634="","",IF(B634="Decommissioning",INDEX('Raw Decommissioning'!$F$2:$F$1000,ROWS($A$5:A634)),INDEX('Raw Provisioning'!$F$2:$F$1000,ROWS($A$5:A634)-COUNTA('Raw Decommissioning'!$B$2:$B$1000))))</x:f>
      </x:c>
      <x:c r="F634" s="171" t="str">
        <x:f>IF(A634="","",IF(B634="Decommissioning",INDEX('Raw Decommissioning'!$G$2:$G$1000,ROWS($A$5:A634)),INDEX('Raw Provisioning'!$H$2:$H$1000,ROWS($A$5:A634)-COUNTA('Raw Decommissioning'!$B$2:$B$1000))))</x:f>
      </x:c>
      <x:c r="G634" s="170" t="str">
        <x:f>IF(A634="","",IF(B634="Decommissioning",INDEX('Raw Decommissioning'!$I$2:$I$1000,ROWS($A$5:A634)),INDEX('Raw Provisioning'!$J$2:$J$1000,ROWS($A$5:A634)-COUNTA('Raw Decommissioning'!$B$2:$B$1000))))</x:f>
      </x:c>
      <x:c r="H634" s="170" t="str">
        <x:f>IF(A634="","",IF(B634="Decommissioning",INDEX('Raw Decommissioning'!$J$2:$J$1000,ROWS($A$5:A634)),INDEX('Raw Provisioning'!$L$2:$L$1000,ROWS($A$5:A634)-COUNTA('Raw Decommissioning'!$B$2:$B$1000))))</x:f>
      </x:c>
      <x:c r="I634" s="170" t="str">
        <x:f>IF(A634="","",IF(B634="Decommissioning",INDEX('Raw Decommissioning'!$AL$2:$AL$1000,ROWS($A$5:A634)),INDEX('Raw Provisioning'!$R$2:$R$1000,ROWS($A$5:A634)-COUNTA('Raw Decommissioning'!$B$2:$B$1000))))</x:f>
      </x:c>
      <x:c r="J634" s="170" t="str">
        <x:f>IF(A634="","",IF(B634="Decommissioning",INDEX('Raw Decommissioning'!$AG$2:$AG$1000,ROWS($A$5:A634)),INDEX('Raw Provisioning'!$AI$2:$AI$1000,ROWS($A$5:A634)-COUNTA('Raw Decommissioning'!$B$2:$B$1000))))</x:f>
      </x:c>
      <x:c r="K634" s="172" t="str">
        <x:f>IF(A634="","",IFERROR(LOOKUP(2,1/('Assignment History'!$B$5:$B$204=A634),'Assignment History'!$D$5:$D$204),IFERROR(VLOOKUP(J634,Configuration!$L$5:$M$50,2,FALSE),J634)))</x:f>
      </x:c>
      <x:c r="L634" s="172" t="str">
        <x:f>IF(A634="","",IF(K634=IFERROR(VLOOKUP(J634,Configuration!$L$5:$M$50,2,FALSE),J634),"Snapshot PIC","Replacement PIC"))</x:f>
      </x:c>
      <x:c r="M634" s="172" t="str">
        <x:f>IF(A634="","",IFERROR(VLOOKUP(I634,Configuration!$O$5:$P$8,2,FALSE),Configuration!$S$6))</x:f>
      </x:c>
      <x:c r="N634" s="172" t="str">
        <x:f>IF(A634="","",IFERROR(LOOKUP(2,1/('Scope Review'!$B$5:$B$204=A634),'Scope Review'!$G$5:$G$204),"Not Reviewed"))</x:f>
      </x:c>
      <x:c r="O634" s="172" t="str">
        <x:f>IF(A634="","",IFERROR(LOOKUP(2,1/('Scope Review'!$B$5:$B$204=A634),'Scope Review'!$H$5:$H$204),""))</x:f>
      </x:c>
      <x:c r="P634" s="172" t="str">
        <x:f>IF(A634="","",IF(AND(C634="executing",N634&lt;&gt;"Confirmed OOS"),M634,0))</x:f>
      </x:c>
      <x:c r="Q634" s="173" t="str">
        <x:f>IF(A634="","",IFERROR(LOOKUP(2,1/('Engineer Updates'!$B$5:$B$704=A634),'Engineer Updates'!$A$5:$A$704),""))</x:f>
      </x:c>
      <x:c r="R634" s="172" t="str">
        <x:f>IF(A634="","",IFERROR(LOOKUP(2,1/('Engineer Updates'!$B$5:$B$704=A634),'Engineer Updates'!$H$5:$H$704),""))</x:f>
      </x:c>
      <x:c r="S634" s="172" t="str">
        <x:f>IF(A634="","",IFERROR(LOOKUP(2,1/('Engineer Updates'!$B$5:$B$704=A634),'Engineer Updates'!$G$5:$G$704),""))</x:f>
      </x:c>
      <x:c r="T634" s="172" t="str">
        <x:f>IF(A634="","",IFERROR(LOOKUP(2,1/('Engineer Updates'!$B$5:$B$704=A634),'Engineer Updates'!$I$5:$I$704),""))</x:f>
      </x:c>
      <x:c r="U634" s="172" t="str">
        <x:f>IF(A634="","",IFERROR(LOOKUP(2,1/('Engineer Updates'!$B$5:$B$704=A634),'Engineer Updates'!$J$5:$J$704),""))</x:f>
      </x:c>
      <x:c r="V634" s="172" t="str">
        <x:f>IF(A634="","",IFERROR(LOOKUP(2,1/('Engineer Updates'!$B$5:$B$704=A634),'Engineer Updates'!$K$5:$K$704),""))</x:f>
      </x:c>
      <x:c r="W634" s="174" t="str">
        <x:f>IF(A634="","",IFERROR(LOOKUP(2,1/('Engineer Updates'!$B$5:$B$704=A634),'Engineer Updates'!$L$5:$L$704),""))</x:f>
      </x:c>
      <x:c r="X634" s="170" t="str">
        <x:f>IF(A634="","",IF(C634="completed","Completed in CSSP",IF(AND(C634="executing",ISERROR(SEARCH("@",K634))),"Executing without named engineer",IF(AND(N634="Confirmed OOS",C634="executing"),"Confirmed OOS still executing",""))))</x:f>
      </x:c>
      <x:c r="Y634" s="170" t="str">
        <x:f>IF(A634="","",IF(B634="Decommissioning","Raw Decommissioning","Raw Provisioning"))</x:f>
      </x:c>
      <x:c r="Z634" s="170" t="str">
        <x:f>IF(A634="","",IF(OR(C634="executing",C634="processing"),"Yes","No"))</x:f>
      </x:c>
    </x:row>
    <x:row r="635">
      <x:c r="A635" s="170" t="str">
        <x:f>IF(ROWS($A$5:A635)&lt;=COUNTA('Raw Decommissioning'!$B$2:$B$1000),INDEX('Raw Decommissioning'!$B$2:$B$1000,ROWS($A$5:A635)),IF(ROWS($A$5:A635)-COUNTA('Raw Decommissioning'!$B$2:$B$1000)&lt;=COUNTA('Raw Provisioning'!$B$2:$B$1000),INDEX('Raw Provisioning'!$B$2:$B$1000,ROWS($A$5:A635)-COUNTA('Raw Decommissioning'!$B$2:$B$1000)),""))</x:f>
      </x:c>
      <x:c r="B635" s="170" t="str">
        <x:f>IF(A635="","",IF(ROWS($A$5:A635)&lt;=COUNTA('Raw Decommissioning'!$B$2:$B$1000),"Decommissioning","Provisioning"))</x:f>
      </x:c>
      <x:c r="C635" s="170" t="str">
        <x:f>IF(A635="","",IF(B635="Decommissioning",IFERROR(INDEX('Raw Decommissioning'!$E$2:$E$1000,MATCH(A635,'Raw Decommissioning'!$B$2:$B$1000,0)),"Missing from latest raw"),IFERROR(INDEX('Raw Provisioning'!$E$2:$E$1000,MATCH(A635,'Raw Provisioning'!$B$2:$B$1000,0)),"Missing from latest raw")))</x:f>
      </x:c>
      <x:c r="D635" s="171" t="str">
        <x:f>IF(A635="","",'Refresh Control'!$B$4)</x:f>
      </x:c>
      <x:c r="E635" s="171" t="str">
        <x:f>IF(A635="","",IF(B635="Decommissioning",INDEX('Raw Decommissioning'!$F$2:$F$1000,ROWS($A$5:A635)),INDEX('Raw Provisioning'!$F$2:$F$1000,ROWS($A$5:A635)-COUNTA('Raw Decommissioning'!$B$2:$B$1000))))</x:f>
      </x:c>
      <x:c r="F635" s="171" t="str">
        <x:f>IF(A635="","",IF(B635="Decommissioning",INDEX('Raw Decommissioning'!$G$2:$G$1000,ROWS($A$5:A635)),INDEX('Raw Provisioning'!$H$2:$H$1000,ROWS($A$5:A635)-COUNTA('Raw Decommissioning'!$B$2:$B$1000))))</x:f>
      </x:c>
      <x:c r="G635" s="170" t="str">
        <x:f>IF(A635="","",IF(B635="Decommissioning",INDEX('Raw Decommissioning'!$I$2:$I$1000,ROWS($A$5:A635)),INDEX('Raw Provisioning'!$J$2:$J$1000,ROWS($A$5:A635)-COUNTA('Raw Decommissioning'!$B$2:$B$1000))))</x:f>
      </x:c>
      <x:c r="H635" s="170" t="str">
        <x:f>IF(A635="","",IF(B635="Decommissioning",INDEX('Raw Decommissioning'!$J$2:$J$1000,ROWS($A$5:A635)),INDEX('Raw Provisioning'!$L$2:$L$1000,ROWS($A$5:A635)-COUNTA('Raw Decommissioning'!$B$2:$B$1000))))</x:f>
      </x:c>
      <x:c r="I635" s="170" t="str">
        <x:f>IF(A635="","",IF(B635="Decommissioning",INDEX('Raw Decommissioning'!$AL$2:$AL$1000,ROWS($A$5:A635)),INDEX('Raw Provisioning'!$R$2:$R$1000,ROWS($A$5:A635)-COUNTA('Raw Decommissioning'!$B$2:$B$1000))))</x:f>
      </x:c>
      <x:c r="J635" s="170" t="str">
        <x:f>IF(A635="","",IF(B635="Decommissioning",INDEX('Raw Decommissioning'!$AG$2:$AG$1000,ROWS($A$5:A635)),INDEX('Raw Provisioning'!$AI$2:$AI$1000,ROWS($A$5:A635)-COUNTA('Raw Decommissioning'!$B$2:$B$1000))))</x:f>
      </x:c>
      <x:c r="K635" s="172" t="str">
        <x:f>IF(A635="","",IFERROR(LOOKUP(2,1/('Assignment History'!$B$5:$B$204=A635),'Assignment History'!$D$5:$D$204),IFERROR(VLOOKUP(J635,Configuration!$L$5:$M$50,2,FALSE),J635)))</x:f>
      </x:c>
      <x:c r="L635" s="172" t="str">
        <x:f>IF(A635="","",IF(K635=IFERROR(VLOOKUP(J635,Configuration!$L$5:$M$50,2,FALSE),J635),"Snapshot PIC","Replacement PIC"))</x:f>
      </x:c>
      <x:c r="M635" s="172" t="str">
        <x:f>IF(A635="","",IFERROR(VLOOKUP(I635,Configuration!$O$5:$P$8,2,FALSE),Configuration!$S$6))</x:f>
      </x:c>
      <x:c r="N635" s="172" t="str">
        <x:f>IF(A635="","",IFERROR(LOOKUP(2,1/('Scope Review'!$B$5:$B$204=A635),'Scope Review'!$G$5:$G$204),"Not Reviewed"))</x:f>
      </x:c>
      <x:c r="O635" s="172" t="str">
        <x:f>IF(A635="","",IFERROR(LOOKUP(2,1/('Scope Review'!$B$5:$B$204=A635),'Scope Review'!$H$5:$H$204),""))</x:f>
      </x:c>
      <x:c r="P635" s="172" t="str">
        <x:f>IF(A635="","",IF(AND(C635="executing",N635&lt;&gt;"Confirmed OOS"),M635,0))</x:f>
      </x:c>
      <x:c r="Q635" s="173" t="str">
        <x:f>IF(A635="","",IFERROR(LOOKUP(2,1/('Engineer Updates'!$B$5:$B$704=A635),'Engineer Updates'!$A$5:$A$704),""))</x:f>
      </x:c>
      <x:c r="R635" s="172" t="str">
        <x:f>IF(A635="","",IFERROR(LOOKUP(2,1/('Engineer Updates'!$B$5:$B$704=A635),'Engineer Updates'!$H$5:$H$704),""))</x:f>
      </x:c>
      <x:c r="S635" s="172" t="str">
        <x:f>IF(A635="","",IFERROR(LOOKUP(2,1/('Engineer Updates'!$B$5:$B$704=A635),'Engineer Updates'!$G$5:$G$704),""))</x:f>
      </x:c>
      <x:c r="T635" s="172" t="str">
        <x:f>IF(A635="","",IFERROR(LOOKUP(2,1/('Engineer Updates'!$B$5:$B$704=A635),'Engineer Updates'!$I$5:$I$704),""))</x:f>
      </x:c>
      <x:c r="U635" s="172" t="str">
        <x:f>IF(A635="","",IFERROR(LOOKUP(2,1/('Engineer Updates'!$B$5:$B$704=A635),'Engineer Updates'!$J$5:$J$704),""))</x:f>
      </x:c>
      <x:c r="V635" s="172" t="str">
        <x:f>IF(A635="","",IFERROR(LOOKUP(2,1/('Engineer Updates'!$B$5:$B$704=A635),'Engineer Updates'!$K$5:$K$704),""))</x:f>
      </x:c>
      <x:c r="W635" s="174" t="str">
        <x:f>IF(A635="","",IFERROR(LOOKUP(2,1/('Engineer Updates'!$B$5:$B$704=A635),'Engineer Updates'!$L$5:$L$704),""))</x:f>
      </x:c>
      <x:c r="X635" s="170" t="str">
        <x:f>IF(A635="","",IF(C635="completed","Completed in CSSP",IF(AND(C635="executing",ISERROR(SEARCH("@",K635))),"Executing without named engineer",IF(AND(N635="Confirmed OOS",C635="executing"),"Confirmed OOS still executing",""))))</x:f>
      </x:c>
      <x:c r="Y635" s="170" t="str">
        <x:f>IF(A635="","",IF(B635="Decommissioning","Raw Decommissioning","Raw Provisioning"))</x:f>
      </x:c>
      <x:c r="Z635" s="170" t="str">
        <x:f>IF(A635="","",IF(OR(C635="executing",C635="processing"),"Yes","No"))</x:f>
      </x:c>
    </x:row>
    <x:row r="636">
      <x:c r="A636" s="170" t="str">
        <x:f>IF(ROWS($A$5:A636)&lt;=COUNTA('Raw Decommissioning'!$B$2:$B$1000),INDEX('Raw Decommissioning'!$B$2:$B$1000,ROWS($A$5:A636)),IF(ROWS($A$5:A636)-COUNTA('Raw Decommissioning'!$B$2:$B$1000)&lt;=COUNTA('Raw Provisioning'!$B$2:$B$1000),INDEX('Raw Provisioning'!$B$2:$B$1000,ROWS($A$5:A636)-COUNTA('Raw Decommissioning'!$B$2:$B$1000)),""))</x:f>
      </x:c>
      <x:c r="B636" s="170" t="str">
        <x:f>IF(A636="","",IF(ROWS($A$5:A636)&lt;=COUNTA('Raw Decommissioning'!$B$2:$B$1000),"Decommissioning","Provisioning"))</x:f>
      </x:c>
      <x:c r="C636" s="170" t="str">
        <x:f>IF(A636="","",IF(B636="Decommissioning",IFERROR(INDEX('Raw Decommissioning'!$E$2:$E$1000,MATCH(A636,'Raw Decommissioning'!$B$2:$B$1000,0)),"Missing from latest raw"),IFERROR(INDEX('Raw Provisioning'!$E$2:$E$1000,MATCH(A636,'Raw Provisioning'!$B$2:$B$1000,0)),"Missing from latest raw")))</x:f>
      </x:c>
      <x:c r="D636" s="171" t="str">
        <x:f>IF(A636="","",'Refresh Control'!$B$4)</x:f>
      </x:c>
      <x:c r="E636" s="171" t="str">
        <x:f>IF(A636="","",IF(B636="Decommissioning",INDEX('Raw Decommissioning'!$F$2:$F$1000,ROWS($A$5:A636)),INDEX('Raw Provisioning'!$F$2:$F$1000,ROWS($A$5:A636)-COUNTA('Raw Decommissioning'!$B$2:$B$1000))))</x:f>
      </x:c>
      <x:c r="F636" s="171" t="str">
        <x:f>IF(A636="","",IF(B636="Decommissioning",INDEX('Raw Decommissioning'!$G$2:$G$1000,ROWS($A$5:A636)),INDEX('Raw Provisioning'!$H$2:$H$1000,ROWS($A$5:A636)-COUNTA('Raw Decommissioning'!$B$2:$B$1000))))</x:f>
      </x:c>
      <x:c r="G636" s="170" t="str">
        <x:f>IF(A636="","",IF(B636="Decommissioning",INDEX('Raw Decommissioning'!$I$2:$I$1000,ROWS($A$5:A636)),INDEX('Raw Provisioning'!$J$2:$J$1000,ROWS($A$5:A636)-COUNTA('Raw Decommissioning'!$B$2:$B$1000))))</x:f>
      </x:c>
      <x:c r="H636" s="170" t="str">
        <x:f>IF(A636="","",IF(B636="Decommissioning",INDEX('Raw Decommissioning'!$J$2:$J$1000,ROWS($A$5:A636)),INDEX('Raw Provisioning'!$L$2:$L$1000,ROWS($A$5:A636)-COUNTA('Raw Decommissioning'!$B$2:$B$1000))))</x:f>
      </x:c>
      <x:c r="I636" s="170" t="str">
        <x:f>IF(A636="","",IF(B636="Decommissioning",INDEX('Raw Decommissioning'!$AL$2:$AL$1000,ROWS($A$5:A636)),INDEX('Raw Provisioning'!$R$2:$R$1000,ROWS($A$5:A636)-COUNTA('Raw Decommissioning'!$B$2:$B$1000))))</x:f>
      </x:c>
      <x:c r="J636" s="170" t="str">
        <x:f>IF(A636="","",IF(B636="Decommissioning",INDEX('Raw Decommissioning'!$AG$2:$AG$1000,ROWS($A$5:A636)),INDEX('Raw Provisioning'!$AI$2:$AI$1000,ROWS($A$5:A636)-COUNTA('Raw Decommissioning'!$B$2:$B$1000))))</x:f>
      </x:c>
      <x:c r="K636" s="172" t="str">
        <x:f>IF(A636="","",IFERROR(LOOKUP(2,1/('Assignment History'!$B$5:$B$204=A636),'Assignment History'!$D$5:$D$204),IFERROR(VLOOKUP(J636,Configuration!$L$5:$M$50,2,FALSE),J636)))</x:f>
      </x:c>
      <x:c r="L636" s="172" t="str">
        <x:f>IF(A636="","",IF(K636=IFERROR(VLOOKUP(J636,Configuration!$L$5:$M$50,2,FALSE),J636),"Snapshot PIC","Replacement PIC"))</x:f>
      </x:c>
      <x:c r="M636" s="172" t="str">
        <x:f>IF(A636="","",IFERROR(VLOOKUP(I636,Configuration!$O$5:$P$8,2,FALSE),Configuration!$S$6))</x:f>
      </x:c>
      <x:c r="N636" s="172" t="str">
        <x:f>IF(A636="","",IFERROR(LOOKUP(2,1/('Scope Review'!$B$5:$B$204=A636),'Scope Review'!$G$5:$G$204),"Not Reviewed"))</x:f>
      </x:c>
      <x:c r="O636" s="172" t="str">
        <x:f>IF(A636="","",IFERROR(LOOKUP(2,1/('Scope Review'!$B$5:$B$204=A636),'Scope Review'!$H$5:$H$204),""))</x:f>
      </x:c>
      <x:c r="P636" s="172" t="str">
        <x:f>IF(A636="","",IF(AND(C636="executing",N636&lt;&gt;"Confirmed OOS"),M636,0))</x:f>
      </x:c>
      <x:c r="Q636" s="173" t="str">
        <x:f>IF(A636="","",IFERROR(LOOKUP(2,1/('Engineer Updates'!$B$5:$B$704=A636),'Engineer Updates'!$A$5:$A$704),""))</x:f>
      </x:c>
      <x:c r="R636" s="172" t="str">
        <x:f>IF(A636="","",IFERROR(LOOKUP(2,1/('Engineer Updates'!$B$5:$B$704=A636),'Engineer Updates'!$H$5:$H$704),""))</x:f>
      </x:c>
      <x:c r="S636" s="172" t="str">
        <x:f>IF(A636="","",IFERROR(LOOKUP(2,1/('Engineer Updates'!$B$5:$B$704=A636),'Engineer Updates'!$G$5:$G$704),""))</x:f>
      </x:c>
      <x:c r="T636" s="172" t="str">
        <x:f>IF(A636="","",IFERROR(LOOKUP(2,1/('Engineer Updates'!$B$5:$B$704=A636),'Engineer Updates'!$I$5:$I$704),""))</x:f>
      </x:c>
      <x:c r="U636" s="172" t="str">
        <x:f>IF(A636="","",IFERROR(LOOKUP(2,1/('Engineer Updates'!$B$5:$B$704=A636),'Engineer Updates'!$J$5:$J$704),""))</x:f>
      </x:c>
      <x:c r="V636" s="172" t="str">
        <x:f>IF(A636="","",IFERROR(LOOKUP(2,1/('Engineer Updates'!$B$5:$B$704=A636),'Engineer Updates'!$K$5:$K$704),""))</x:f>
      </x:c>
      <x:c r="W636" s="174" t="str">
        <x:f>IF(A636="","",IFERROR(LOOKUP(2,1/('Engineer Updates'!$B$5:$B$704=A636),'Engineer Updates'!$L$5:$L$704),""))</x:f>
      </x:c>
      <x:c r="X636" s="170" t="str">
        <x:f>IF(A636="","",IF(C636="completed","Completed in CSSP",IF(AND(C636="executing",ISERROR(SEARCH("@",K636))),"Executing without named engineer",IF(AND(N636="Confirmed OOS",C636="executing"),"Confirmed OOS still executing",""))))</x:f>
      </x:c>
      <x:c r="Y636" s="170" t="str">
        <x:f>IF(A636="","",IF(B636="Decommissioning","Raw Decommissioning","Raw Provisioning"))</x:f>
      </x:c>
      <x:c r="Z636" s="170" t="str">
        <x:f>IF(A636="","",IF(OR(C636="executing",C636="processing"),"Yes","No"))</x:f>
      </x:c>
    </x:row>
    <x:row r="637">
      <x:c r="A637" s="170" t="str">
        <x:f>IF(ROWS($A$5:A637)&lt;=COUNTA('Raw Decommissioning'!$B$2:$B$1000),INDEX('Raw Decommissioning'!$B$2:$B$1000,ROWS($A$5:A637)),IF(ROWS($A$5:A637)-COUNTA('Raw Decommissioning'!$B$2:$B$1000)&lt;=COUNTA('Raw Provisioning'!$B$2:$B$1000),INDEX('Raw Provisioning'!$B$2:$B$1000,ROWS($A$5:A637)-COUNTA('Raw Decommissioning'!$B$2:$B$1000)),""))</x:f>
      </x:c>
      <x:c r="B637" s="170" t="str">
        <x:f>IF(A637="","",IF(ROWS($A$5:A637)&lt;=COUNTA('Raw Decommissioning'!$B$2:$B$1000),"Decommissioning","Provisioning"))</x:f>
      </x:c>
      <x:c r="C637" s="170" t="str">
        <x:f>IF(A637="","",IF(B637="Decommissioning",IFERROR(INDEX('Raw Decommissioning'!$E$2:$E$1000,MATCH(A637,'Raw Decommissioning'!$B$2:$B$1000,0)),"Missing from latest raw"),IFERROR(INDEX('Raw Provisioning'!$E$2:$E$1000,MATCH(A637,'Raw Provisioning'!$B$2:$B$1000,0)),"Missing from latest raw")))</x:f>
      </x:c>
      <x:c r="D637" s="171" t="str">
        <x:f>IF(A637="","",'Refresh Control'!$B$4)</x:f>
      </x:c>
      <x:c r="E637" s="171" t="str">
        <x:f>IF(A637="","",IF(B637="Decommissioning",INDEX('Raw Decommissioning'!$F$2:$F$1000,ROWS($A$5:A637)),INDEX('Raw Provisioning'!$F$2:$F$1000,ROWS($A$5:A637)-COUNTA('Raw Decommissioning'!$B$2:$B$1000))))</x:f>
      </x:c>
      <x:c r="F637" s="171" t="str">
        <x:f>IF(A637="","",IF(B637="Decommissioning",INDEX('Raw Decommissioning'!$G$2:$G$1000,ROWS($A$5:A637)),INDEX('Raw Provisioning'!$H$2:$H$1000,ROWS($A$5:A637)-COUNTA('Raw Decommissioning'!$B$2:$B$1000))))</x:f>
      </x:c>
      <x:c r="G637" s="170" t="str">
        <x:f>IF(A637="","",IF(B637="Decommissioning",INDEX('Raw Decommissioning'!$I$2:$I$1000,ROWS($A$5:A637)),INDEX('Raw Provisioning'!$J$2:$J$1000,ROWS($A$5:A637)-COUNTA('Raw Decommissioning'!$B$2:$B$1000))))</x:f>
      </x:c>
      <x:c r="H637" s="170" t="str">
        <x:f>IF(A637="","",IF(B637="Decommissioning",INDEX('Raw Decommissioning'!$J$2:$J$1000,ROWS($A$5:A637)),INDEX('Raw Provisioning'!$L$2:$L$1000,ROWS($A$5:A637)-COUNTA('Raw Decommissioning'!$B$2:$B$1000))))</x:f>
      </x:c>
      <x:c r="I637" s="170" t="str">
        <x:f>IF(A637="","",IF(B637="Decommissioning",INDEX('Raw Decommissioning'!$AL$2:$AL$1000,ROWS($A$5:A637)),INDEX('Raw Provisioning'!$R$2:$R$1000,ROWS($A$5:A637)-COUNTA('Raw Decommissioning'!$B$2:$B$1000))))</x:f>
      </x:c>
      <x:c r="J637" s="170" t="str">
        <x:f>IF(A637="","",IF(B637="Decommissioning",INDEX('Raw Decommissioning'!$AG$2:$AG$1000,ROWS($A$5:A637)),INDEX('Raw Provisioning'!$AI$2:$AI$1000,ROWS($A$5:A637)-COUNTA('Raw Decommissioning'!$B$2:$B$1000))))</x:f>
      </x:c>
      <x:c r="K637" s="172" t="str">
        <x:f>IF(A637="","",IFERROR(LOOKUP(2,1/('Assignment History'!$B$5:$B$204=A637),'Assignment History'!$D$5:$D$204),IFERROR(VLOOKUP(J637,Configuration!$L$5:$M$50,2,FALSE),J637)))</x:f>
      </x:c>
      <x:c r="L637" s="172" t="str">
        <x:f>IF(A637="","",IF(K637=IFERROR(VLOOKUP(J637,Configuration!$L$5:$M$50,2,FALSE),J637),"Snapshot PIC","Replacement PIC"))</x:f>
      </x:c>
      <x:c r="M637" s="172" t="str">
        <x:f>IF(A637="","",IFERROR(VLOOKUP(I637,Configuration!$O$5:$P$8,2,FALSE),Configuration!$S$6))</x:f>
      </x:c>
      <x:c r="N637" s="172" t="str">
        <x:f>IF(A637="","",IFERROR(LOOKUP(2,1/('Scope Review'!$B$5:$B$204=A637),'Scope Review'!$G$5:$G$204),"Not Reviewed"))</x:f>
      </x:c>
      <x:c r="O637" s="172" t="str">
        <x:f>IF(A637="","",IFERROR(LOOKUP(2,1/('Scope Review'!$B$5:$B$204=A637),'Scope Review'!$H$5:$H$204),""))</x:f>
      </x:c>
      <x:c r="P637" s="172" t="str">
        <x:f>IF(A637="","",IF(AND(C637="executing",N637&lt;&gt;"Confirmed OOS"),M637,0))</x:f>
      </x:c>
      <x:c r="Q637" s="173" t="str">
        <x:f>IF(A637="","",IFERROR(LOOKUP(2,1/('Engineer Updates'!$B$5:$B$704=A637),'Engineer Updates'!$A$5:$A$704),""))</x:f>
      </x:c>
      <x:c r="R637" s="172" t="str">
        <x:f>IF(A637="","",IFERROR(LOOKUP(2,1/('Engineer Updates'!$B$5:$B$704=A637),'Engineer Updates'!$H$5:$H$704),""))</x:f>
      </x:c>
      <x:c r="S637" s="172" t="str">
        <x:f>IF(A637="","",IFERROR(LOOKUP(2,1/('Engineer Updates'!$B$5:$B$704=A637),'Engineer Updates'!$G$5:$G$704),""))</x:f>
      </x:c>
      <x:c r="T637" s="172" t="str">
        <x:f>IF(A637="","",IFERROR(LOOKUP(2,1/('Engineer Updates'!$B$5:$B$704=A637),'Engineer Updates'!$I$5:$I$704),""))</x:f>
      </x:c>
      <x:c r="U637" s="172" t="str">
        <x:f>IF(A637="","",IFERROR(LOOKUP(2,1/('Engineer Updates'!$B$5:$B$704=A637),'Engineer Updates'!$J$5:$J$704),""))</x:f>
      </x:c>
      <x:c r="V637" s="172" t="str">
        <x:f>IF(A637="","",IFERROR(LOOKUP(2,1/('Engineer Updates'!$B$5:$B$704=A637),'Engineer Updates'!$K$5:$K$704),""))</x:f>
      </x:c>
      <x:c r="W637" s="174" t="str">
        <x:f>IF(A637="","",IFERROR(LOOKUP(2,1/('Engineer Updates'!$B$5:$B$704=A637),'Engineer Updates'!$L$5:$L$704),""))</x:f>
      </x:c>
      <x:c r="X637" s="170" t="str">
        <x:f>IF(A637="","",IF(C637="completed","Completed in CSSP",IF(AND(C637="executing",ISERROR(SEARCH("@",K637))),"Executing without named engineer",IF(AND(N637="Confirmed OOS",C637="executing"),"Confirmed OOS still executing",""))))</x:f>
      </x:c>
      <x:c r="Y637" s="170" t="str">
        <x:f>IF(A637="","",IF(B637="Decommissioning","Raw Decommissioning","Raw Provisioning"))</x:f>
      </x:c>
      <x:c r="Z637" s="170" t="str">
        <x:f>IF(A637="","",IF(OR(C637="executing",C637="processing"),"Yes","No"))</x:f>
      </x:c>
    </x:row>
    <x:row r="638">
      <x:c r="A638" s="170" t="str">
        <x:f>IF(ROWS($A$5:A638)&lt;=COUNTA('Raw Decommissioning'!$B$2:$B$1000),INDEX('Raw Decommissioning'!$B$2:$B$1000,ROWS($A$5:A638)),IF(ROWS($A$5:A638)-COUNTA('Raw Decommissioning'!$B$2:$B$1000)&lt;=COUNTA('Raw Provisioning'!$B$2:$B$1000),INDEX('Raw Provisioning'!$B$2:$B$1000,ROWS($A$5:A638)-COUNTA('Raw Decommissioning'!$B$2:$B$1000)),""))</x:f>
      </x:c>
      <x:c r="B638" s="170" t="str">
        <x:f>IF(A638="","",IF(ROWS($A$5:A638)&lt;=COUNTA('Raw Decommissioning'!$B$2:$B$1000),"Decommissioning","Provisioning"))</x:f>
      </x:c>
      <x:c r="C638" s="170" t="str">
        <x:f>IF(A638="","",IF(B638="Decommissioning",IFERROR(INDEX('Raw Decommissioning'!$E$2:$E$1000,MATCH(A638,'Raw Decommissioning'!$B$2:$B$1000,0)),"Missing from latest raw"),IFERROR(INDEX('Raw Provisioning'!$E$2:$E$1000,MATCH(A638,'Raw Provisioning'!$B$2:$B$1000,0)),"Missing from latest raw")))</x:f>
      </x:c>
      <x:c r="D638" s="171" t="str">
        <x:f>IF(A638="","",'Refresh Control'!$B$4)</x:f>
      </x:c>
      <x:c r="E638" s="171" t="str">
        <x:f>IF(A638="","",IF(B638="Decommissioning",INDEX('Raw Decommissioning'!$F$2:$F$1000,ROWS($A$5:A638)),INDEX('Raw Provisioning'!$F$2:$F$1000,ROWS($A$5:A638)-COUNTA('Raw Decommissioning'!$B$2:$B$1000))))</x:f>
      </x:c>
      <x:c r="F638" s="171" t="str">
        <x:f>IF(A638="","",IF(B638="Decommissioning",INDEX('Raw Decommissioning'!$G$2:$G$1000,ROWS($A$5:A638)),INDEX('Raw Provisioning'!$H$2:$H$1000,ROWS($A$5:A638)-COUNTA('Raw Decommissioning'!$B$2:$B$1000))))</x:f>
      </x:c>
      <x:c r="G638" s="170" t="str">
        <x:f>IF(A638="","",IF(B638="Decommissioning",INDEX('Raw Decommissioning'!$I$2:$I$1000,ROWS($A$5:A638)),INDEX('Raw Provisioning'!$J$2:$J$1000,ROWS($A$5:A638)-COUNTA('Raw Decommissioning'!$B$2:$B$1000))))</x:f>
      </x:c>
      <x:c r="H638" s="170" t="str">
        <x:f>IF(A638="","",IF(B638="Decommissioning",INDEX('Raw Decommissioning'!$J$2:$J$1000,ROWS($A$5:A638)),INDEX('Raw Provisioning'!$L$2:$L$1000,ROWS($A$5:A638)-COUNTA('Raw Decommissioning'!$B$2:$B$1000))))</x:f>
      </x:c>
      <x:c r="I638" s="170" t="str">
        <x:f>IF(A638="","",IF(B638="Decommissioning",INDEX('Raw Decommissioning'!$AL$2:$AL$1000,ROWS($A$5:A638)),INDEX('Raw Provisioning'!$R$2:$R$1000,ROWS($A$5:A638)-COUNTA('Raw Decommissioning'!$B$2:$B$1000))))</x:f>
      </x:c>
      <x:c r="J638" s="170" t="str">
        <x:f>IF(A638="","",IF(B638="Decommissioning",INDEX('Raw Decommissioning'!$AG$2:$AG$1000,ROWS($A$5:A638)),INDEX('Raw Provisioning'!$AI$2:$AI$1000,ROWS($A$5:A638)-COUNTA('Raw Decommissioning'!$B$2:$B$1000))))</x:f>
      </x:c>
      <x:c r="K638" s="172" t="str">
        <x:f>IF(A638="","",IFERROR(LOOKUP(2,1/('Assignment History'!$B$5:$B$204=A638),'Assignment History'!$D$5:$D$204),IFERROR(VLOOKUP(J638,Configuration!$L$5:$M$50,2,FALSE),J638)))</x:f>
      </x:c>
      <x:c r="L638" s="172" t="str">
        <x:f>IF(A638="","",IF(K638=IFERROR(VLOOKUP(J638,Configuration!$L$5:$M$50,2,FALSE),J638),"Snapshot PIC","Replacement PIC"))</x:f>
      </x:c>
      <x:c r="M638" s="172" t="str">
        <x:f>IF(A638="","",IFERROR(VLOOKUP(I638,Configuration!$O$5:$P$8,2,FALSE),Configuration!$S$6))</x:f>
      </x:c>
      <x:c r="N638" s="172" t="str">
        <x:f>IF(A638="","",IFERROR(LOOKUP(2,1/('Scope Review'!$B$5:$B$204=A638),'Scope Review'!$G$5:$G$204),"Not Reviewed"))</x:f>
      </x:c>
      <x:c r="O638" s="172" t="str">
        <x:f>IF(A638="","",IFERROR(LOOKUP(2,1/('Scope Review'!$B$5:$B$204=A638),'Scope Review'!$H$5:$H$204),""))</x:f>
      </x:c>
      <x:c r="P638" s="172" t="str">
        <x:f>IF(A638="","",IF(AND(C638="executing",N638&lt;&gt;"Confirmed OOS"),M638,0))</x:f>
      </x:c>
      <x:c r="Q638" s="173" t="str">
        <x:f>IF(A638="","",IFERROR(LOOKUP(2,1/('Engineer Updates'!$B$5:$B$704=A638),'Engineer Updates'!$A$5:$A$704),""))</x:f>
      </x:c>
      <x:c r="R638" s="172" t="str">
        <x:f>IF(A638="","",IFERROR(LOOKUP(2,1/('Engineer Updates'!$B$5:$B$704=A638),'Engineer Updates'!$H$5:$H$704),""))</x:f>
      </x:c>
      <x:c r="S638" s="172" t="str">
        <x:f>IF(A638="","",IFERROR(LOOKUP(2,1/('Engineer Updates'!$B$5:$B$704=A638),'Engineer Updates'!$G$5:$G$704),""))</x:f>
      </x:c>
      <x:c r="T638" s="172" t="str">
        <x:f>IF(A638="","",IFERROR(LOOKUP(2,1/('Engineer Updates'!$B$5:$B$704=A638),'Engineer Updates'!$I$5:$I$704),""))</x:f>
      </x:c>
      <x:c r="U638" s="172" t="str">
        <x:f>IF(A638="","",IFERROR(LOOKUP(2,1/('Engineer Updates'!$B$5:$B$704=A638),'Engineer Updates'!$J$5:$J$704),""))</x:f>
      </x:c>
      <x:c r="V638" s="172" t="str">
        <x:f>IF(A638="","",IFERROR(LOOKUP(2,1/('Engineer Updates'!$B$5:$B$704=A638),'Engineer Updates'!$K$5:$K$704),""))</x:f>
      </x:c>
      <x:c r="W638" s="174" t="str">
        <x:f>IF(A638="","",IFERROR(LOOKUP(2,1/('Engineer Updates'!$B$5:$B$704=A638),'Engineer Updates'!$L$5:$L$704),""))</x:f>
      </x:c>
      <x:c r="X638" s="170" t="str">
        <x:f>IF(A638="","",IF(C638="completed","Completed in CSSP",IF(AND(C638="executing",ISERROR(SEARCH("@",K638))),"Executing without named engineer",IF(AND(N638="Confirmed OOS",C638="executing"),"Confirmed OOS still executing",""))))</x:f>
      </x:c>
      <x:c r="Y638" s="170" t="str">
        <x:f>IF(A638="","",IF(B638="Decommissioning","Raw Decommissioning","Raw Provisioning"))</x:f>
      </x:c>
      <x:c r="Z638" s="170" t="str">
        <x:f>IF(A638="","",IF(OR(C638="executing",C638="processing"),"Yes","No"))</x:f>
      </x:c>
    </x:row>
    <x:row r="639">
      <x:c r="A639" s="170" t="str">
        <x:f>IF(ROWS($A$5:A639)&lt;=COUNTA('Raw Decommissioning'!$B$2:$B$1000),INDEX('Raw Decommissioning'!$B$2:$B$1000,ROWS($A$5:A639)),IF(ROWS($A$5:A639)-COUNTA('Raw Decommissioning'!$B$2:$B$1000)&lt;=COUNTA('Raw Provisioning'!$B$2:$B$1000),INDEX('Raw Provisioning'!$B$2:$B$1000,ROWS($A$5:A639)-COUNTA('Raw Decommissioning'!$B$2:$B$1000)),""))</x:f>
      </x:c>
      <x:c r="B639" s="170" t="str">
        <x:f>IF(A639="","",IF(ROWS($A$5:A639)&lt;=COUNTA('Raw Decommissioning'!$B$2:$B$1000),"Decommissioning","Provisioning"))</x:f>
      </x:c>
      <x:c r="C639" s="170" t="str">
        <x:f>IF(A639="","",IF(B639="Decommissioning",IFERROR(INDEX('Raw Decommissioning'!$E$2:$E$1000,MATCH(A639,'Raw Decommissioning'!$B$2:$B$1000,0)),"Missing from latest raw"),IFERROR(INDEX('Raw Provisioning'!$E$2:$E$1000,MATCH(A639,'Raw Provisioning'!$B$2:$B$1000,0)),"Missing from latest raw")))</x:f>
      </x:c>
      <x:c r="D639" s="171" t="str">
        <x:f>IF(A639="","",'Refresh Control'!$B$4)</x:f>
      </x:c>
      <x:c r="E639" s="171" t="str">
        <x:f>IF(A639="","",IF(B639="Decommissioning",INDEX('Raw Decommissioning'!$F$2:$F$1000,ROWS($A$5:A639)),INDEX('Raw Provisioning'!$F$2:$F$1000,ROWS($A$5:A639)-COUNTA('Raw Decommissioning'!$B$2:$B$1000))))</x:f>
      </x:c>
      <x:c r="F639" s="171" t="str">
        <x:f>IF(A639="","",IF(B639="Decommissioning",INDEX('Raw Decommissioning'!$G$2:$G$1000,ROWS($A$5:A639)),INDEX('Raw Provisioning'!$H$2:$H$1000,ROWS($A$5:A639)-COUNTA('Raw Decommissioning'!$B$2:$B$1000))))</x:f>
      </x:c>
      <x:c r="G639" s="170" t="str">
        <x:f>IF(A639="","",IF(B639="Decommissioning",INDEX('Raw Decommissioning'!$I$2:$I$1000,ROWS($A$5:A639)),INDEX('Raw Provisioning'!$J$2:$J$1000,ROWS($A$5:A639)-COUNTA('Raw Decommissioning'!$B$2:$B$1000))))</x:f>
      </x:c>
      <x:c r="H639" s="170" t="str">
        <x:f>IF(A639="","",IF(B639="Decommissioning",INDEX('Raw Decommissioning'!$J$2:$J$1000,ROWS($A$5:A639)),INDEX('Raw Provisioning'!$L$2:$L$1000,ROWS($A$5:A639)-COUNTA('Raw Decommissioning'!$B$2:$B$1000))))</x:f>
      </x:c>
      <x:c r="I639" s="170" t="str">
        <x:f>IF(A639="","",IF(B639="Decommissioning",INDEX('Raw Decommissioning'!$AL$2:$AL$1000,ROWS($A$5:A639)),INDEX('Raw Provisioning'!$R$2:$R$1000,ROWS($A$5:A639)-COUNTA('Raw Decommissioning'!$B$2:$B$1000))))</x:f>
      </x:c>
      <x:c r="J639" s="170" t="str">
        <x:f>IF(A639="","",IF(B639="Decommissioning",INDEX('Raw Decommissioning'!$AG$2:$AG$1000,ROWS($A$5:A639)),INDEX('Raw Provisioning'!$AI$2:$AI$1000,ROWS($A$5:A639)-COUNTA('Raw Decommissioning'!$B$2:$B$1000))))</x:f>
      </x:c>
      <x:c r="K639" s="172" t="str">
        <x:f>IF(A639="","",IFERROR(LOOKUP(2,1/('Assignment History'!$B$5:$B$204=A639),'Assignment History'!$D$5:$D$204),IFERROR(VLOOKUP(J639,Configuration!$L$5:$M$50,2,FALSE),J639)))</x:f>
      </x:c>
      <x:c r="L639" s="172" t="str">
        <x:f>IF(A639="","",IF(K639=IFERROR(VLOOKUP(J639,Configuration!$L$5:$M$50,2,FALSE),J639),"Snapshot PIC","Replacement PIC"))</x:f>
      </x:c>
      <x:c r="M639" s="172" t="str">
        <x:f>IF(A639="","",IFERROR(VLOOKUP(I639,Configuration!$O$5:$P$8,2,FALSE),Configuration!$S$6))</x:f>
      </x:c>
      <x:c r="N639" s="172" t="str">
        <x:f>IF(A639="","",IFERROR(LOOKUP(2,1/('Scope Review'!$B$5:$B$204=A639),'Scope Review'!$G$5:$G$204),"Not Reviewed"))</x:f>
      </x:c>
      <x:c r="O639" s="172" t="str">
        <x:f>IF(A639="","",IFERROR(LOOKUP(2,1/('Scope Review'!$B$5:$B$204=A639),'Scope Review'!$H$5:$H$204),""))</x:f>
      </x:c>
      <x:c r="P639" s="172" t="str">
        <x:f>IF(A639="","",IF(AND(C639="executing",N639&lt;&gt;"Confirmed OOS"),M639,0))</x:f>
      </x:c>
      <x:c r="Q639" s="173" t="str">
        <x:f>IF(A639="","",IFERROR(LOOKUP(2,1/('Engineer Updates'!$B$5:$B$704=A639),'Engineer Updates'!$A$5:$A$704),""))</x:f>
      </x:c>
      <x:c r="R639" s="172" t="str">
        <x:f>IF(A639="","",IFERROR(LOOKUP(2,1/('Engineer Updates'!$B$5:$B$704=A639),'Engineer Updates'!$H$5:$H$704),""))</x:f>
      </x:c>
      <x:c r="S639" s="172" t="str">
        <x:f>IF(A639="","",IFERROR(LOOKUP(2,1/('Engineer Updates'!$B$5:$B$704=A639),'Engineer Updates'!$G$5:$G$704),""))</x:f>
      </x:c>
      <x:c r="T639" s="172" t="str">
        <x:f>IF(A639="","",IFERROR(LOOKUP(2,1/('Engineer Updates'!$B$5:$B$704=A639),'Engineer Updates'!$I$5:$I$704),""))</x:f>
      </x:c>
      <x:c r="U639" s="172" t="str">
        <x:f>IF(A639="","",IFERROR(LOOKUP(2,1/('Engineer Updates'!$B$5:$B$704=A639),'Engineer Updates'!$J$5:$J$704),""))</x:f>
      </x:c>
      <x:c r="V639" s="172" t="str">
        <x:f>IF(A639="","",IFERROR(LOOKUP(2,1/('Engineer Updates'!$B$5:$B$704=A639),'Engineer Updates'!$K$5:$K$704),""))</x:f>
      </x:c>
      <x:c r="W639" s="174" t="str">
        <x:f>IF(A639="","",IFERROR(LOOKUP(2,1/('Engineer Updates'!$B$5:$B$704=A639),'Engineer Updates'!$L$5:$L$704),""))</x:f>
      </x:c>
      <x:c r="X639" s="170" t="str">
        <x:f>IF(A639="","",IF(C639="completed","Completed in CSSP",IF(AND(C639="executing",ISERROR(SEARCH("@",K639))),"Executing without named engineer",IF(AND(N639="Confirmed OOS",C639="executing"),"Confirmed OOS still executing",""))))</x:f>
      </x:c>
      <x:c r="Y639" s="170" t="str">
        <x:f>IF(A639="","",IF(B639="Decommissioning","Raw Decommissioning","Raw Provisioning"))</x:f>
      </x:c>
      <x:c r="Z639" s="170" t="str">
        <x:f>IF(A639="","",IF(OR(C639="executing",C639="processing"),"Yes","No"))</x:f>
      </x:c>
    </x:row>
    <x:row r="640">
      <x:c r="A640" s="170" t="str">
        <x:f>IF(ROWS($A$5:A640)&lt;=COUNTA('Raw Decommissioning'!$B$2:$B$1000),INDEX('Raw Decommissioning'!$B$2:$B$1000,ROWS($A$5:A640)),IF(ROWS($A$5:A640)-COUNTA('Raw Decommissioning'!$B$2:$B$1000)&lt;=COUNTA('Raw Provisioning'!$B$2:$B$1000),INDEX('Raw Provisioning'!$B$2:$B$1000,ROWS($A$5:A640)-COUNTA('Raw Decommissioning'!$B$2:$B$1000)),""))</x:f>
      </x:c>
      <x:c r="B640" s="170" t="str">
        <x:f>IF(A640="","",IF(ROWS($A$5:A640)&lt;=COUNTA('Raw Decommissioning'!$B$2:$B$1000),"Decommissioning","Provisioning"))</x:f>
      </x:c>
      <x:c r="C640" s="170" t="str">
        <x:f>IF(A640="","",IF(B640="Decommissioning",IFERROR(INDEX('Raw Decommissioning'!$E$2:$E$1000,MATCH(A640,'Raw Decommissioning'!$B$2:$B$1000,0)),"Missing from latest raw"),IFERROR(INDEX('Raw Provisioning'!$E$2:$E$1000,MATCH(A640,'Raw Provisioning'!$B$2:$B$1000,0)),"Missing from latest raw")))</x:f>
      </x:c>
      <x:c r="D640" s="171" t="str">
        <x:f>IF(A640="","",'Refresh Control'!$B$4)</x:f>
      </x:c>
      <x:c r="E640" s="171" t="str">
        <x:f>IF(A640="","",IF(B640="Decommissioning",INDEX('Raw Decommissioning'!$F$2:$F$1000,ROWS($A$5:A640)),INDEX('Raw Provisioning'!$F$2:$F$1000,ROWS($A$5:A640)-COUNTA('Raw Decommissioning'!$B$2:$B$1000))))</x:f>
      </x:c>
      <x:c r="F640" s="171" t="str">
        <x:f>IF(A640="","",IF(B640="Decommissioning",INDEX('Raw Decommissioning'!$G$2:$G$1000,ROWS($A$5:A640)),INDEX('Raw Provisioning'!$H$2:$H$1000,ROWS($A$5:A640)-COUNTA('Raw Decommissioning'!$B$2:$B$1000))))</x:f>
      </x:c>
      <x:c r="G640" s="170" t="str">
        <x:f>IF(A640="","",IF(B640="Decommissioning",INDEX('Raw Decommissioning'!$I$2:$I$1000,ROWS($A$5:A640)),INDEX('Raw Provisioning'!$J$2:$J$1000,ROWS($A$5:A640)-COUNTA('Raw Decommissioning'!$B$2:$B$1000))))</x:f>
      </x:c>
      <x:c r="H640" s="170" t="str">
        <x:f>IF(A640="","",IF(B640="Decommissioning",INDEX('Raw Decommissioning'!$J$2:$J$1000,ROWS($A$5:A640)),INDEX('Raw Provisioning'!$L$2:$L$1000,ROWS($A$5:A640)-COUNTA('Raw Decommissioning'!$B$2:$B$1000))))</x:f>
      </x:c>
      <x:c r="I640" s="170" t="str">
        <x:f>IF(A640="","",IF(B640="Decommissioning",INDEX('Raw Decommissioning'!$AL$2:$AL$1000,ROWS($A$5:A640)),INDEX('Raw Provisioning'!$R$2:$R$1000,ROWS($A$5:A640)-COUNTA('Raw Decommissioning'!$B$2:$B$1000))))</x:f>
      </x:c>
      <x:c r="J640" s="170" t="str">
        <x:f>IF(A640="","",IF(B640="Decommissioning",INDEX('Raw Decommissioning'!$AG$2:$AG$1000,ROWS($A$5:A640)),INDEX('Raw Provisioning'!$AI$2:$AI$1000,ROWS($A$5:A640)-COUNTA('Raw Decommissioning'!$B$2:$B$1000))))</x:f>
      </x:c>
      <x:c r="K640" s="172" t="str">
        <x:f>IF(A640="","",IFERROR(LOOKUP(2,1/('Assignment History'!$B$5:$B$204=A640),'Assignment History'!$D$5:$D$204),IFERROR(VLOOKUP(J640,Configuration!$L$5:$M$50,2,FALSE),J640)))</x:f>
      </x:c>
      <x:c r="L640" s="172" t="str">
        <x:f>IF(A640="","",IF(K640=IFERROR(VLOOKUP(J640,Configuration!$L$5:$M$50,2,FALSE),J640),"Snapshot PIC","Replacement PIC"))</x:f>
      </x:c>
      <x:c r="M640" s="172" t="str">
        <x:f>IF(A640="","",IFERROR(VLOOKUP(I640,Configuration!$O$5:$P$8,2,FALSE),Configuration!$S$6))</x:f>
      </x:c>
      <x:c r="N640" s="172" t="str">
        <x:f>IF(A640="","",IFERROR(LOOKUP(2,1/('Scope Review'!$B$5:$B$204=A640),'Scope Review'!$G$5:$G$204),"Not Reviewed"))</x:f>
      </x:c>
      <x:c r="O640" s="172" t="str">
        <x:f>IF(A640="","",IFERROR(LOOKUP(2,1/('Scope Review'!$B$5:$B$204=A640),'Scope Review'!$H$5:$H$204),""))</x:f>
      </x:c>
      <x:c r="P640" s="172" t="str">
        <x:f>IF(A640="","",IF(AND(C640="executing",N640&lt;&gt;"Confirmed OOS"),M640,0))</x:f>
      </x:c>
      <x:c r="Q640" s="173" t="str">
        <x:f>IF(A640="","",IFERROR(LOOKUP(2,1/('Engineer Updates'!$B$5:$B$704=A640),'Engineer Updates'!$A$5:$A$704),""))</x:f>
      </x:c>
      <x:c r="R640" s="172" t="str">
        <x:f>IF(A640="","",IFERROR(LOOKUP(2,1/('Engineer Updates'!$B$5:$B$704=A640),'Engineer Updates'!$H$5:$H$704),""))</x:f>
      </x:c>
      <x:c r="S640" s="172" t="str">
        <x:f>IF(A640="","",IFERROR(LOOKUP(2,1/('Engineer Updates'!$B$5:$B$704=A640),'Engineer Updates'!$G$5:$G$704),""))</x:f>
      </x:c>
      <x:c r="T640" s="172" t="str">
        <x:f>IF(A640="","",IFERROR(LOOKUP(2,1/('Engineer Updates'!$B$5:$B$704=A640),'Engineer Updates'!$I$5:$I$704),""))</x:f>
      </x:c>
      <x:c r="U640" s="172" t="str">
        <x:f>IF(A640="","",IFERROR(LOOKUP(2,1/('Engineer Updates'!$B$5:$B$704=A640),'Engineer Updates'!$J$5:$J$704),""))</x:f>
      </x:c>
      <x:c r="V640" s="172" t="str">
        <x:f>IF(A640="","",IFERROR(LOOKUP(2,1/('Engineer Updates'!$B$5:$B$704=A640),'Engineer Updates'!$K$5:$K$704),""))</x:f>
      </x:c>
      <x:c r="W640" s="174" t="str">
        <x:f>IF(A640="","",IFERROR(LOOKUP(2,1/('Engineer Updates'!$B$5:$B$704=A640),'Engineer Updates'!$L$5:$L$704),""))</x:f>
      </x:c>
      <x:c r="X640" s="170" t="str">
        <x:f>IF(A640="","",IF(C640="completed","Completed in CSSP",IF(AND(C640="executing",ISERROR(SEARCH("@",K640))),"Executing without named engineer",IF(AND(N640="Confirmed OOS",C640="executing"),"Confirmed OOS still executing",""))))</x:f>
      </x:c>
      <x:c r="Y640" s="170" t="str">
        <x:f>IF(A640="","",IF(B640="Decommissioning","Raw Decommissioning","Raw Provisioning"))</x:f>
      </x:c>
      <x:c r="Z640" s="170" t="str">
        <x:f>IF(A640="","",IF(OR(C640="executing",C640="processing"),"Yes","No"))</x:f>
      </x:c>
    </x:row>
    <x:row r="641">
      <x:c r="A641" s="170" t="str">
        <x:f>IF(ROWS($A$5:A641)&lt;=COUNTA('Raw Decommissioning'!$B$2:$B$1000),INDEX('Raw Decommissioning'!$B$2:$B$1000,ROWS($A$5:A641)),IF(ROWS($A$5:A641)-COUNTA('Raw Decommissioning'!$B$2:$B$1000)&lt;=COUNTA('Raw Provisioning'!$B$2:$B$1000),INDEX('Raw Provisioning'!$B$2:$B$1000,ROWS($A$5:A641)-COUNTA('Raw Decommissioning'!$B$2:$B$1000)),""))</x:f>
      </x:c>
      <x:c r="B641" s="170" t="str">
        <x:f>IF(A641="","",IF(ROWS($A$5:A641)&lt;=COUNTA('Raw Decommissioning'!$B$2:$B$1000),"Decommissioning","Provisioning"))</x:f>
      </x:c>
      <x:c r="C641" s="170" t="str">
        <x:f>IF(A641="","",IF(B641="Decommissioning",IFERROR(INDEX('Raw Decommissioning'!$E$2:$E$1000,MATCH(A641,'Raw Decommissioning'!$B$2:$B$1000,0)),"Missing from latest raw"),IFERROR(INDEX('Raw Provisioning'!$E$2:$E$1000,MATCH(A641,'Raw Provisioning'!$B$2:$B$1000,0)),"Missing from latest raw")))</x:f>
      </x:c>
      <x:c r="D641" s="171" t="str">
        <x:f>IF(A641="","",'Refresh Control'!$B$4)</x:f>
      </x:c>
      <x:c r="E641" s="171" t="str">
        <x:f>IF(A641="","",IF(B641="Decommissioning",INDEX('Raw Decommissioning'!$F$2:$F$1000,ROWS($A$5:A641)),INDEX('Raw Provisioning'!$F$2:$F$1000,ROWS($A$5:A641)-COUNTA('Raw Decommissioning'!$B$2:$B$1000))))</x:f>
      </x:c>
      <x:c r="F641" s="171" t="str">
        <x:f>IF(A641="","",IF(B641="Decommissioning",INDEX('Raw Decommissioning'!$G$2:$G$1000,ROWS($A$5:A641)),INDEX('Raw Provisioning'!$H$2:$H$1000,ROWS($A$5:A641)-COUNTA('Raw Decommissioning'!$B$2:$B$1000))))</x:f>
      </x:c>
      <x:c r="G641" s="170" t="str">
        <x:f>IF(A641="","",IF(B641="Decommissioning",INDEX('Raw Decommissioning'!$I$2:$I$1000,ROWS($A$5:A641)),INDEX('Raw Provisioning'!$J$2:$J$1000,ROWS($A$5:A641)-COUNTA('Raw Decommissioning'!$B$2:$B$1000))))</x:f>
      </x:c>
      <x:c r="H641" s="170" t="str">
        <x:f>IF(A641="","",IF(B641="Decommissioning",INDEX('Raw Decommissioning'!$J$2:$J$1000,ROWS($A$5:A641)),INDEX('Raw Provisioning'!$L$2:$L$1000,ROWS($A$5:A641)-COUNTA('Raw Decommissioning'!$B$2:$B$1000))))</x:f>
      </x:c>
      <x:c r="I641" s="170" t="str">
        <x:f>IF(A641="","",IF(B641="Decommissioning",INDEX('Raw Decommissioning'!$AL$2:$AL$1000,ROWS($A$5:A641)),INDEX('Raw Provisioning'!$R$2:$R$1000,ROWS($A$5:A641)-COUNTA('Raw Decommissioning'!$B$2:$B$1000))))</x:f>
      </x:c>
      <x:c r="J641" s="170" t="str">
        <x:f>IF(A641="","",IF(B641="Decommissioning",INDEX('Raw Decommissioning'!$AG$2:$AG$1000,ROWS($A$5:A641)),INDEX('Raw Provisioning'!$AI$2:$AI$1000,ROWS($A$5:A641)-COUNTA('Raw Decommissioning'!$B$2:$B$1000))))</x:f>
      </x:c>
      <x:c r="K641" s="172" t="str">
        <x:f>IF(A641="","",IFERROR(LOOKUP(2,1/('Assignment History'!$B$5:$B$204=A641),'Assignment History'!$D$5:$D$204),IFERROR(VLOOKUP(J641,Configuration!$L$5:$M$50,2,FALSE),J641)))</x:f>
      </x:c>
      <x:c r="L641" s="172" t="str">
        <x:f>IF(A641="","",IF(K641=IFERROR(VLOOKUP(J641,Configuration!$L$5:$M$50,2,FALSE),J641),"Snapshot PIC","Replacement PIC"))</x:f>
      </x:c>
      <x:c r="M641" s="172" t="str">
        <x:f>IF(A641="","",IFERROR(VLOOKUP(I641,Configuration!$O$5:$P$8,2,FALSE),Configuration!$S$6))</x:f>
      </x:c>
      <x:c r="N641" s="172" t="str">
        <x:f>IF(A641="","",IFERROR(LOOKUP(2,1/('Scope Review'!$B$5:$B$204=A641),'Scope Review'!$G$5:$G$204),"Not Reviewed"))</x:f>
      </x:c>
      <x:c r="O641" s="172" t="str">
        <x:f>IF(A641="","",IFERROR(LOOKUP(2,1/('Scope Review'!$B$5:$B$204=A641),'Scope Review'!$H$5:$H$204),""))</x:f>
      </x:c>
      <x:c r="P641" s="172" t="str">
        <x:f>IF(A641="","",IF(AND(C641="executing",N641&lt;&gt;"Confirmed OOS"),M641,0))</x:f>
      </x:c>
      <x:c r="Q641" s="173" t="str">
        <x:f>IF(A641="","",IFERROR(LOOKUP(2,1/('Engineer Updates'!$B$5:$B$704=A641),'Engineer Updates'!$A$5:$A$704),""))</x:f>
      </x:c>
      <x:c r="R641" s="172" t="str">
        <x:f>IF(A641="","",IFERROR(LOOKUP(2,1/('Engineer Updates'!$B$5:$B$704=A641),'Engineer Updates'!$H$5:$H$704),""))</x:f>
      </x:c>
      <x:c r="S641" s="172" t="str">
        <x:f>IF(A641="","",IFERROR(LOOKUP(2,1/('Engineer Updates'!$B$5:$B$704=A641),'Engineer Updates'!$G$5:$G$704),""))</x:f>
      </x:c>
      <x:c r="T641" s="172" t="str">
        <x:f>IF(A641="","",IFERROR(LOOKUP(2,1/('Engineer Updates'!$B$5:$B$704=A641),'Engineer Updates'!$I$5:$I$704),""))</x:f>
      </x:c>
      <x:c r="U641" s="172" t="str">
        <x:f>IF(A641="","",IFERROR(LOOKUP(2,1/('Engineer Updates'!$B$5:$B$704=A641),'Engineer Updates'!$J$5:$J$704),""))</x:f>
      </x:c>
      <x:c r="V641" s="172" t="str">
        <x:f>IF(A641="","",IFERROR(LOOKUP(2,1/('Engineer Updates'!$B$5:$B$704=A641),'Engineer Updates'!$K$5:$K$704),""))</x:f>
      </x:c>
      <x:c r="W641" s="174" t="str">
        <x:f>IF(A641="","",IFERROR(LOOKUP(2,1/('Engineer Updates'!$B$5:$B$704=A641),'Engineer Updates'!$L$5:$L$704),""))</x:f>
      </x:c>
      <x:c r="X641" s="170" t="str">
        <x:f>IF(A641="","",IF(C641="completed","Completed in CSSP",IF(AND(C641="executing",ISERROR(SEARCH("@",K641))),"Executing without named engineer",IF(AND(N641="Confirmed OOS",C641="executing"),"Confirmed OOS still executing",""))))</x:f>
      </x:c>
      <x:c r="Y641" s="170" t="str">
        <x:f>IF(A641="","",IF(B641="Decommissioning","Raw Decommissioning","Raw Provisioning"))</x:f>
      </x:c>
      <x:c r="Z641" s="170" t="str">
        <x:f>IF(A641="","",IF(OR(C641="executing",C641="processing"),"Yes","No"))</x:f>
      </x:c>
    </x:row>
    <x:row r="642">
      <x:c r="A642" s="170" t="str">
        <x:f>IF(ROWS($A$5:A642)&lt;=COUNTA('Raw Decommissioning'!$B$2:$B$1000),INDEX('Raw Decommissioning'!$B$2:$B$1000,ROWS($A$5:A642)),IF(ROWS($A$5:A642)-COUNTA('Raw Decommissioning'!$B$2:$B$1000)&lt;=COUNTA('Raw Provisioning'!$B$2:$B$1000),INDEX('Raw Provisioning'!$B$2:$B$1000,ROWS($A$5:A642)-COUNTA('Raw Decommissioning'!$B$2:$B$1000)),""))</x:f>
      </x:c>
      <x:c r="B642" s="170" t="str">
        <x:f>IF(A642="","",IF(ROWS($A$5:A642)&lt;=COUNTA('Raw Decommissioning'!$B$2:$B$1000),"Decommissioning","Provisioning"))</x:f>
      </x:c>
      <x:c r="C642" s="170" t="str">
        <x:f>IF(A642="","",IF(B642="Decommissioning",IFERROR(INDEX('Raw Decommissioning'!$E$2:$E$1000,MATCH(A642,'Raw Decommissioning'!$B$2:$B$1000,0)),"Missing from latest raw"),IFERROR(INDEX('Raw Provisioning'!$E$2:$E$1000,MATCH(A642,'Raw Provisioning'!$B$2:$B$1000,0)),"Missing from latest raw")))</x:f>
      </x:c>
      <x:c r="D642" s="171" t="str">
        <x:f>IF(A642="","",'Refresh Control'!$B$4)</x:f>
      </x:c>
      <x:c r="E642" s="171" t="str">
        <x:f>IF(A642="","",IF(B642="Decommissioning",INDEX('Raw Decommissioning'!$F$2:$F$1000,ROWS($A$5:A642)),INDEX('Raw Provisioning'!$F$2:$F$1000,ROWS($A$5:A642)-COUNTA('Raw Decommissioning'!$B$2:$B$1000))))</x:f>
      </x:c>
      <x:c r="F642" s="171" t="str">
        <x:f>IF(A642="","",IF(B642="Decommissioning",INDEX('Raw Decommissioning'!$G$2:$G$1000,ROWS($A$5:A642)),INDEX('Raw Provisioning'!$H$2:$H$1000,ROWS($A$5:A642)-COUNTA('Raw Decommissioning'!$B$2:$B$1000))))</x:f>
      </x:c>
      <x:c r="G642" s="170" t="str">
        <x:f>IF(A642="","",IF(B642="Decommissioning",INDEX('Raw Decommissioning'!$I$2:$I$1000,ROWS($A$5:A642)),INDEX('Raw Provisioning'!$J$2:$J$1000,ROWS($A$5:A642)-COUNTA('Raw Decommissioning'!$B$2:$B$1000))))</x:f>
      </x:c>
      <x:c r="H642" s="170" t="str">
        <x:f>IF(A642="","",IF(B642="Decommissioning",INDEX('Raw Decommissioning'!$J$2:$J$1000,ROWS($A$5:A642)),INDEX('Raw Provisioning'!$L$2:$L$1000,ROWS($A$5:A642)-COUNTA('Raw Decommissioning'!$B$2:$B$1000))))</x:f>
      </x:c>
      <x:c r="I642" s="170" t="str">
        <x:f>IF(A642="","",IF(B642="Decommissioning",INDEX('Raw Decommissioning'!$AL$2:$AL$1000,ROWS($A$5:A642)),INDEX('Raw Provisioning'!$R$2:$R$1000,ROWS($A$5:A642)-COUNTA('Raw Decommissioning'!$B$2:$B$1000))))</x:f>
      </x:c>
      <x:c r="J642" s="170" t="str">
        <x:f>IF(A642="","",IF(B642="Decommissioning",INDEX('Raw Decommissioning'!$AG$2:$AG$1000,ROWS($A$5:A642)),INDEX('Raw Provisioning'!$AI$2:$AI$1000,ROWS($A$5:A642)-COUNTA('Raw Decommissioning'!$B$2:$B$1000))))</x:f>
      </x:c>
      <x:c r="K642" s="172" t="str">
        <x:f>IF(A642="","",IFERROR(LOOKUP(2,1/('Assignment History'!$B$5:$B$204=A642),'Assignment History'!$D$5:$D$204),IFERROR(VLOOKUP(J642,Configuration!$L$5:$M$50,2,FALSE),J642)))</x:f>
      </x:c>
      <x:c r="L642" s="172" t="str">
        <x:f>IF(A642="","",IF(K642=IFERROR(VLOOKUP(J642,Configuration!$L$5:$M$50,2,FALSE),J642),"Snapshot PIC","Replacement PIC"))</x:f>
      </x:c>
      <x:c r="M642" s="172" t="str">
        <x:f>IF(A642="","",IFERROR(VLOOKUP(I642,Configuration!$O$5:$P$8,2,FALSE),Configuration!$S$6))</x:f>
      </x:c>
      <x:c r="N642" s="172" t="str">
        <x:f>IF(A642="","",IFERROR(LOOKUP(2,1/('Scope Review'!$B$5:$B$204=A642),'Scope Review'!$G$5:$G$204),"Not Reviewed"))</x:f>
      </x:c>
      <x:c r="O642" s="172" t="str">
        <x:f>IF(A642="","",IFERROR(LOOKUP(2,1/('Scope Review'!$B$5:$B$204=A642),'Scope Review'!$H$5:$H$204),""))</x:f>
      </x:c>
      <x:c r="P642" s="172" t="str">
        <x:f>IF(A642="","",IF(AND(C642="executing",N642&lt;&gt;"Confirmed OOS"),M642,0))</x:f>
      </x:c>
      <x:c r="Q642" s="173" t="str">
        <x:f>IF(A642="","",IFERROR(LOOKUP(2,1/('Engineer Updates'!$B$5:$B$704=A642),'Engineer Updates'!$A$5:$A$704),""))</x:f>
      </x:c>
      <x:c r="R642" s="172" t="str">
        <x:f>IF(A642="","",IFERROR(LOOKUP(2,1/('Engineer Updates'!$B$5:$B$704=A642),'Engineer Updates'!$H$5:$H$704),""))</x:f>
      </x:c>
      <x:c r="S642" s="172" t="str">
        <x:f>IF(A642="","",IFERROR(LOOKUP(2,1/('Engineer Updates'!$B$5:$B$704=A642),'Engineer Updates'!$G$5:$G$704),""))</x:f>
      </x:c>
      <x:c r="T642" s="172" t="str">
        <x:f>IF(A642="","",IFERROR(LOOKUP(2,1/('Engineer Updates'!$B$5:$B$704=A642),'Engineer Updates'!$I$5:$I$704),""))</x:f>
      </x:c>
      <x:c r="U642" s="172" t="str">
        <x:f>IF(A642="","",IFERROR(LOOKUP(2,1/('Engineer Updates'!$B$5:$B$704=A642),'Engineer Updates'!$J$5:$J$704),""))</x:f>
      </x:c>
      <x:c r="V642" s="172" t="str">
        <x:f>IF(A642="","",IFERROR(LOOKUP(2,1/('Engineer Updates'!$B$5:$B$704=A642),'Engineer Updates'!$K$5:$K$704),""))</x:f>
      </x:c>
      <x:c r="W642" s="174" t="str">
        <x:f>IF(A642="","",IFERROR(LOOKUP(2,1/('Engineer Updates'!$B$5:$B$704=A642),'Engineer Updates'!$L$5:$L$704),""))</x:f>
      </x:c>
      <x:c r="X642" s="170" t="str">
        <x:f>IF(A642="","",IF(C642="completed","Completed in CSSP",IF(AND(C642="executing",ISERROR(SEARCH("@",K642))),"Executing without named engineer",IF(AND(N642="Confirmed OOS",C642="executing"),"Confirmed OOS still executing",""))))</x:f>
      </x:c>
      <x:c r="Y642" s="170" t="str">
        <x:f>IF(A642="","",IF(B642="Decommissioning","Raw Decommissioning","Raw Provisioning"))</x:f>
      </x:c>
      <x:c r="Z642" s="170" t="str">
        <x:f>IF(A642="","",IF(OR(C642="executing",C642="processing"),"Yes","No"))</x:f>
      </x:c>
    </x:row>
    <x:row r="643">
      <x:c r="A643" s="170" t="str">
        <x:f>IF(ROWS($A$5:A643)&lt;=COUNTA('Raw Decommissioning'!$B$2:$B$1000),INDEX('Raw Decommissioning'!$B$2:$B$1000,ROWS($A$5:A643)),IF(ROWS($A$5:A643)-COUNTA('Raw Decommissioning'!$B$2:$B$1000)&lt;=COUNTA('Raw Provisioning'!$B$2:$B$1000),INDEX('Raw Provisioning'!$B$2:$B$1000,ROWS($A$5:A643)-COUNTA('Raw Decommissioning'!$B$2:$B$1000)),""))</x:f>
      </x:c>
      <x:c r="B643" s="170" t="str">
        <x:f>IF(A643="","",IF(ROWS($A$5:A643)&lt;=COUNTA('Raw Decommissioning'!$B$2:$B$1000),"Decommissioning","Provisioning"))</x:f>
      </x:c>
      <x:c r="C643" s="170" t="str">
        <x:f>IF(A643="","",IF(B643="Decommissioning",IFERROR(INDEX('Raw Decommissioning'!$E$2:$E$1000,MATCH(A643,'Raw Decommissioning'!$B$2:$B$1000,0)),"Missing from latest raw"),IFERROR(INDEX('Raw Provisioning'!$E$2:$E$1000,MATCH(A643,'Raw Provisioning'!$B$2:$B$1000,0)),"Missing from latest raw")))</x:f>
      </x:c>
      <x:c r="D643" s="171" t="str">
        <x:f>IF(A643="","",'Refresh Control'!$B$4)</x:f>
      </x:c>
      <x:c r="E643" s="171" t="str">
        <x:f>IF(A643="","",IF(B643="Decommissioning",INDEX('Raw Decommissioning'!$F$2:$F$1000,ROWS($A$5:A643)),INDEX('Raw Provisioning'!$F$2:$F$1000,ROWS($A$5:A643)-COUNTA('Raw Decommissioning'!$B$2:$B$1000))))</x:f>
      </x:c>
      <x:c r="F643" s="171" t="str">
        <x:f>IF(A643="","",IF(B643="Decommissioning",INDEX('Raw Decommissioning'!$G$2:$G$1000,ROWS($A$5:A643)),INDEX('Raw Provisioning'!$H$2:$H$1000,ROWS($A$5:A643)-COUNTA('Raw Decommissioning'!$B$2:$B$1000))))</x:f>
      </x:c>
      <x:c r="G643" s="170" t="str">
        <x:f>IF(A643="","",IF(B643="Decommissioning",INDEX('Raw Decommissioning'!$I$2:$I$1000,ROWS($A$5:A643)),INDEX('Raw Provisioning'!$J$2:$J$1000,ROWS($A$5:A643)-COUNTA('Raw Decommissioning'!$B$2:$B$1000))))</x:f>
      </x:c>
      <x:c r="H643" s="170" t="str">
        <x:f>IF(A643="","",IF(B643="Decommissioning",INDEX('Raw Decommissioning'!$J$2:$J$1000,ROWS($A$5:A643)),INDEX('Raw Provisioning'!$L$2:$L$1000,ROWS($A$5:A643)-COUNTA('Raw Decommissioning'!$B$2:$B$1000))))</x:f>
      </x:c>
      <x:c r="I643" s="170" t="str">
        <x:f>IF(A643="","",IF(B643="Decommissioning",INDEX('Raw Decommissioning'!$AL$2:$AL$1000,ROWS($A$5:A643)),INDEX('Raw Provisioning'!$R$2:$R$1000,ROWS($A$5:A643)-COUNTA('Raw Decommissioning'!$B$2:$B$1000))))</x:f>
      </x:c>
      <x:c r="J643" s="170" t="str">
        <x:f>IF(A643="","",IF(B643="Decommissioning",INDEX('Raw Decommissioning'!$AG$2:$AG$1000,ROWS($A$5:A643)),INDEX('Raw Provisioning'!$AI$2:$AI$1000,ROWS($A$5:A643)-COUNTA('Raw Decommissioning'!$B$2:$B$1000))))</x:f>
      </x:c>
      <x:c r="K643" s="172" t="str">
        <x:f>IF(A643="","",IFERROR(LOOKUP(2,1/('Assignment History'!$B$5:$B$204=A643),'Assignment History'!$D$5:$D$204),IFERROR(VLOOKUP(J643,Configuration!$L$5:$M$50,2,FALSE),J643)))</x:f>
      </x:c>
      <x:c r="L643" s="172" t="str">
        <x:f>IF(A643="","",IF(K643=IFERROR(VLOOKUP(J643,Configuration!$L$5:$M$50,2,FALSE),J643),"Snapshot PIC","Replacement PIC"))</x:f>
      </x:c>
      <x:c r="M643" s="172" t="str">
        <x:f>IF(A643="","",IFERROR(VLOOKUP(I643,Configuration!$O$5:$P$8,2,FALSE),Configuration!$S$6))</x:f>
      </x:c>
      <x:c r="N643" s="172" t="str">
        <x:f>IF(A643="","",IFERROR(LOOKUP(2,1/('Scope Review'!$B$5:$B$204=A643),'Scope Review'!$G$5:$G$204),"Not Reviewed"))</x:f>
      </x:c>
      <x:c r="O643" s="172" t="str">
        <x:f>IF(A643="","",IFERROR(LOOKUP(2,1/('Scope Review'!$B$5:$B$204=A643),'Scope Review'!$H$5:$H$204),""))</x:f>
      </x:c>
      <x:c r="P643" s="172" t="str">
        <x:f>IF(A643="","",IF(AND(C643="executing",N643&lt;&gt;"Confirmed OOS"),M643,0))</x:f>
      </x:c>
      <x:c r="Q643" s="173" t="str">
        <x:f>IF(A643="","",IFERROR(LOOKUP(2,1/('Engineer Updates'!$B$5:$B$704=A643),'Engineer Updates'!$A$5:$A$704),""))</x:f>
      </x:c>
      <x:c r="R643" s="172" t="str">
        <x:f>IF(A643="","",IFERROR(LOOKUP(2,1/('Engineer Updates'!$B$5:$B$704=A643),'Engineer Updates'!$H$5:$H$704),""))</x:f>
      </x:c>
      <x:c r="S643" s="172" t="str">
        <x:f>IF(A643="","",IFERROR(LOOKUP(2,1/('Engineer Updates'!$B$5:$B$704=A643),'Engineer Updates'!$G$5:$G$704),""))</x:f>
      </x:c>
      <x:c r="T643" s="172" t="str">
        <x:f>IF(A643="","",IFERROR(LOOKUP(2,1/('Engineer Updates'!$B$5:$B$704=A643),'Engineer Updates'!$I$5:$I$704),""))</x:f>
      </x:c>
      <x:c r="U643" s="172" t="str">
        <x:f>IF(A643="","",IFERROR(LOOKUP(2,1/('Engineer Updates'!$B$5:$B$704=A643),'Engineer Updates'!$J$5:$J$704),""))</x:f>
      </x:c>
      <x:c r="V643" s="172" t="str">
        <x:f>IF(A643="","",IFERROR(LOOKUP(2,1/('Engineer Updates'!$B$5:$B$704=A643),'Engineer Updates'!$K$5:$K$704),""))</x:f>
      </x:c>
      <x:c r="W643" s="174" t="str">
        <x:f>IF(A643="","",IFERROR(LOOKUP(2,1/('Engineer Updates'!$B$5:$B$704=A643),'Engineer Updates'!$L$5:$L$704),""))</x:f>
      </x:c>
      <x:c r="X643" s="170" t="str">
        <x:f>IF(A643="","",IF(C643="completed","Completed in CSSP",IF(AND(C643="executing",ISERROR(SEARCH("@",K643))),"Executing without named engineer",IF(AND(N643="Confirmed OOS",C643="executing"),"Confirmed OOS still executing",""))))</x:f>
      </x:c>
      <x:c r="Y643" s="170" t="str">
        <x:f>IF(A643="","",IF(B643="Decommissioning","Raw Decommissioning","Raw Provisioning"))</x:f>
      </x:c>
      <x:c r="Z643" s="170" t="str">
        <x:f>IF(A643="","",IF(OR(C643="executing",C643="processing"),"Yes","No"))</x:f>
      </x:c>
    </x:row>
    <x:row r="644">
      <x:c r="A644" s="170" t="str">
        <x:f>IF(ROWS($A$5:A644)&lt;=COUNTA('Raw Decommissioning'!$B$2:$B$1000),INDEX('Raw Decommissioning'!$B$2:$B$1000,ROWS($A$5:A644)),IF(ROWS($A$5:A644)-COUNTA('Raw Decommissioning'!$B$2:$B$1000)&lt;=COUNTA('Raw Provisioning'!$B$2:$B$1000),INDEX('Raw Provisioning'!$B$2:$B$1000,ROWS($A$5:A644)-COUNTA('Raw Decommissioning'!$B$2:$B$1000)),""))</x:f>
      </x:c>
      <x:c r="B644" s="170" t="str">
        <x:f>IF(A644="","",IF(ROWS($A$5:A644)&lt;=COUNTA('Raw Decommissioning'!$B$2:$B$1000),"Decommissioning","Provisioning"))</x:f>
      </x:c>
      <x:c r="C644" s="170" t="str">
        <x:f>IF(A644="","",IF(B644="Decommissioning",IFERROR(INDEX('Raw Decommissioning'!$E$2:$E$1000,MATCH(A644,'Raw Decommissioning'!$B$2:$B$1000,0)),"Missing from latest raw"),IFERROR(INDEX('Raw Provisioning'!$E$2:$E$1000,MATCH(A644,'Raw Provisioning'!$B$2:$B$1000,0)),"Missing from latest raw")))</x:f>
      </x:c>
      <x:c r="D644" s="171" t="str">
        <x:f>IF(A644="","",'Refresh Control'!$B$4)</x:f>
      </x:c>
      <x:c r="E644" s="171" t="str">
        <x:f>IF(A644="","",IF(B644="Decommissioning",INDEX('Raw Decommissioning'!$F$2:$F$1000,ROWS($A$5:A644)),INDEX('Raw Provisioning'!$F$2:$F$1000,ROWS($A$5:A644)-COUNTA('Raw Decommissioning'!$B$2:$B$1000))))</x:f>
      </x:c>
      <x:c r="F644" s="171" t="str">
        <x:f>IF(A644="","",IF(B644="Decommissioning",INDEX('Raw Decommissioning'!$G$2:$G$1000,ROWS($A$5:A644)),INDEX('Raw Provisioning'!$H$2:$H$1000,ROWS($A$5:A644)-COUNTA('Raw Decommissioning'!$B$2:$B$1000))))</x:f>
      </x:c>
      <x:c r="G644" s="170" t="str">
        <x:f>IF(A644="","",IF(B644="Decommissioning",INDEX('Raw Decommissioning'!$I$2:$I$1000,ROWS($A$5:A644)),INDEX('Raw Provisioning'!$J$2:$J$1000,ROWS($A$5:A644)-COUNTA('Raw Decommissioning'!$B$2:$B$1000))))</x:f>
      </x:c>
      <x:c r="H644" s="170" t="str">
        <x:f>IF(A644="","",IF(B644="Decommissioning",INDEX('Raw Decommissioning'!$J$2:$J$1000,ROWS($A$5:A644)),INDEX('Raw Provisioning'!$L$2:$L$1000,ROWS($A$5:A644)-COUNTA('Raw Decommissioning'!$B$2:$B$1000))))</x:f>
      </x:c>
      <x:c r="I644" s="170" t="str">
        <x:f>IF(A644="","",IF(B644="Decommissioning",INDEX('Raw Decommissioning'!$AL$2:$AL$1000,ROWS($A$5:A644)),INDEX('Raw Provisioning'!$R$2:$R$1000,ROWS($A$5:A644)-COUNTA('Raw Decommissioning'!$B$2:$B$1000))))</x:f>
      </x:c>
      <x:c r="J644" s="170" t="str">
        <x:f>IF(A644="","",IF(B644="Decommissioning",INDEX('Raw Decommissioning'!$AG$2:$AG$1000,ROWS($A$5:A644)),INDEX('Raw Provisioning'!$AI$2:$AI$1000,ROWS($A$5:A644)-COUNTA('Raw Decommissioning'!$B$2:$B$1000))))</x:f>
      </x:c>
      <x:c r="K644" s="172" t="str">
        <x:f>IF(A644="","",IFERROR(LOOKUP(2,1/('Assignment History'!$B$5:$B$204=A644),'Assignment History'!$D$5:$D$204),IFERROR(VLOOKUP(J644,Configuration!$L$5:$M$50,2,FALSE),J644)))</x:f>
      </x:c>
      <x:c r="L644" s="172" t="str">
        <x:f>IF(A644="","",IF(K644=IFERROR(VLOOKUP(J644,Configuration!$L$5:$M$50,2,FALSE),J644),"Snapshot PIC","Replacement PIC"))</x:f>
      </x:c>
      <x:c r="M644" s="172" t="str">
        <x:f>IF(A644="","",IFERROR(VLOOKUP(I644,Configuration!$O$5:$P$8,2,FALSE),Configuration!$S$6))</x:f>
      </x:c>
      <x:c r="N644" s="172" t="str">
        <x:f>IF(A644="","",IFERROR(LOOKUP(2,1/('Scope Review'!$B$5:$B$204=A644),'Scope Review'!$G$5:$G$204),"Not Reviewed"))</x:f>
      </x:c>
      <x:c r="O644" s="172" t="str">
        <x:f>IF(A644="","",IFERROR(LOOKUP(2,1/('Scope Review'!$B$5:$B$204=A644),'Scope Review'!$H$5:$H$204),""))</x:f>
      </x:c>
      <x:c r="P644" s="172" t="str">
        <x:f>IF(A644="","",IF(AND(C644="executing",N644&lt;&gt;"Confirmed OOS"),M644,0))</x:f>
      </x:c>
      <x:c r="Q644" s="173" t="str">
        <x:f>IF(A644="","",IFERROR(LOOKUP(2,1/('Engineer Updates'!$B$5:$B$704=A644),'Engineer Updates'!$A$5:$A$704),""))</x:f>
      </x:c>
      <x:c r="R644" s="172" t="str">
        <x:f>IF(A644="","",IFERROR(LOOKUP(2,1/('Engineer Updates'!$B$5:$B$704=A644),'Engineer Updates'!$H$5:$H$704),""))</x:f>
      </x:c>
      <x:c r="S644" s="172" t="str">
        <x:f>IF(A644="","",IFERROR(LOOKUP(2,1/('Engineer Updates'!$B$5:$B$704=A644),'Engineer Updates'!$G$5:$G$704),""))</x:f>
      </x:c>
      <x:c r="T644" s="172" t="str">
        <x:f>IF(A644="","",IFERROR(LOOKUP(2,1/('Engineer Updates'!$B$5:$B$704=A644),'Engineer Updates'!$I$5:$I$704),""))</x:f>
      </x:c>
      <x:c r="U644" s="172" t="str">
        <x:f>IF(A644="","",IFERROR(LOOKUP(2,1/('Engineer Updates'!$B$5:$B$704=A644),'Engineer Updates'!$J$5:$J$704),""))</x:f>
      </x:c>
      <x:c r="V644" s="172" t="str">
        <x:f>IF(A644="","",IFERROR(LOOKUP(2,1/('Engineer Updates'!$B$5:$B$704=A644),'Engineer Updates'!$K$5:$K$704),""))</x:f>
      </x:c>
      <x:c r="W644" s="174" t="str">
        <x:f>IF(A644="","",IFERROR(LOOKUP(2,1/('Engineer Updates'!$B$5:$B$704=A644),'Engineer Updates'!$L$5:$L$704),""))</x:f>
      </x:c>
      <x:c r="X644" s="170" t="str">
        <x:f>IF(A644="","",IF(C644="completed","Completed in CSSP",IF(AND(C644="executing",ISERROR(SEARCH("@",K644))),"Executing without named engineer",IF(AND(N644="Confirmed OOS",C644="executing"),"Confirmed OOS still executing",""))))</x:f>
      </x:c>
      <x:c r="Y644" s="170" t="str">
        <x:f>IF(A644="","",IF(B644="Decommissioning","Raw Decommissioning","Raw Provisioning"))</x:f>
      </x:c>
      <x:c r="Z644" s="170" t="str">
        <x:f>IF(A644="","",IF(OR(C644="executing",C644="processing"),"Yes","No"))</x:f>
      </x:c>
    </x:row>
    <x:row r="645">
      <x:c r="A645" s="170" t="str">
        <x:f>IF(ROWS($A$5:A645)&lt;=COUNTA('Raw Decommissioning'!$B$2:$B$1000),INDEX('Raw Decommissioning'!$B$2:$B$1000,ROWS($A$5:A645)),IF(ROWS($A$5:A645)-COUNTA('Raw Decommissioning'!$B$2:$B$1000)&lt;=COUNTA('Raw Provisioning'!$B$2:$B$1000),INDEX('Raw Provisioning'!$B$2:$B$1000,ROWS($A$5:A645)-COUNTA('Raw Decommissioning'!$B$2:$B$1000)),""))</x:f>
      </x:c>
      <x:c r="B645" s="170" t="str">
        <x:f>IF(A645="","",IF(ROWS($A$5:A645)&lt;=COUNTA('Raw Decommissioning'!$B$2:$B$1000),"Decommissioning","Provisioning"))</x:f>
      </x:c>
      <x:c r="C645" s="170" t="str">
        <x:f>IF(A645="","",IF(B645="Decommissioning",IFERROR(INDEX('Raw Decommissioning'!$E$2:$E$1000,MATCH(A645,'Raw Decommissioning'!$B$2:$B$1000,0)),"Missing from latest raw"),IFERROR(INDEX('Raw Provisioning'!$E$2:$E$1000,MATCH(A645,'Raw Provisioning'!$B$2:$B$1000,0)),"Missing from latest raw")))</x:f>
      </x:c>
      <x:c r="D645" s="171" t="str">
        <x:f>IF(A645="","",'Refresh Control'!$B$4)</x:f>
      </x:c>
      <x:c r="E645" s="171" t="str">
        <x:f>IF(A645="","",IF(B645="Decommissioning",INDEX('Raw Decommissioning'!$F$2:$F$1000,ROWS($A$5:A645)),INDEX('Raw Provisioning'!$F$2:$F$1000,ROWS($A$5:A645)-COUNTA('Raw Decommissioning'!$B$2:$B$1000))))</x:f>
      </x:c>
      <x:c r="F645" s="171" t="str">
        <x:f>IF(A645="","",IF(B645="Decommissioning",INDEX('Raw Decommissioning'!$G$2:$G$1000,ROWS($A$5:A645)),INDEX('Raw Provisioning'!$H$2:$H$1000,ROWS($A$5:A645)-COUNTA('Raw Decommissioning'!$B$2:$B$1000))))</x:f>
      </x:c>
      <x:c r="G645" s="170" t="str">
        <x:f>IF(A645="","",IF(B645="Decommissioning",INDEX('Raw Decommissioning'!$I$2:$I$1000,ROWS($A$5:A645)),INDEX('Raw Provisioning'!$J$2:$J$1000,ROWS($A$5:A645)-COUNTA('Raw Decommissioning'!$B$2:$B$1000))))</x:f>
      </x:c>
      <x:c r="H645" s="170" t="str">
        <x:f>IF(A645="","",IF(B645="Decommissioning",INDEX('Raw Decommissioning'!$J$2:$J$1000,ROWS($A$5:A645)),INDEX('Raw Provisioning'!$L$2:$L$1000,ROWS($A$5:A645)-COUNTA('Raw Decommissioning'!$B$2:$B$1000))))</x:f>
      </x:c>
      <x:c r="I645" s="170" t="str">
        <x:f>IF(A645="","",IF(B645="Decommissioning",INDEX('Raw Decommissioning'!$AL$2:$AL$1000,ROWS($A$5:A645)),INDEX('Raw Provisioning'!$R$2:$R$1000,ROWS($A$5:A645)-COUNTA('Raw Decommissioning'!$B$2:$B$1000))))</x:f>
      </x:c>
      <x:c r="J645" s="170" t="str">
        <x:f>IF(A645="","",IF(B645="Decommissioning",INDEX('Raw Decommissioning'!$AG$2:$AG$1000,ROWS($A$5:A645)),INDEX('Raw Provisioning'!$AI$2:$AI$1000,ROWS($A$5:A645)-COUNTA('Raw Decommissioning'!$B$2:$B$1000))))</x:f>
      </x:c>
      <x:c r="K645" s="172" t="str">
        <x:f>IF(A645="","",IFERROR(LOOKUP(2,1/('Assignment History'!$B$5:$B$204=A645),'Assignment History'!$D$5:$D$204),IFERROR(VLOOKUP(J645,Configuration!$L$5:$M$50,2,FALSE),J645)))</x:f>
      </x:c>
      <x:c r="L645" s="172" t="str">
        <x:f>IF(A645="","",IF(K645=IFERROR(VLOOKUP(J645,Configuration!$L$5:$M$50,2,FALSE),J645),"Snapshot PIC","Replacement PIC"))</x:f>
      </x:c>
      <x:c r="M645" s="172" t="str">
        <x:f>IF(A645="","",IFERROR(VLOOKUP(I645,Configuration!$O$5:$P$8,2,FALSE),Configuration!$S$6))</x:f>
      </x:c>
      <x:c r="N645" s="172" t="str">
        <x:f>IF(A645="","",IFERROR(LOOKUP(2,1/('Scope Review'!$B$5:$B$204=A645),'Scope Review'!$G$5:$G$204),"Not Reviewed"))</x:f>
      </x:c>
      <x:c r="O645" s="172" t="str">
        <x:f>IF(A645="","",IFERROR(LOOKUP(2,1/('Scope Review'!$B$5:$B$204=A645),'Scope Review'!$H$5:$H$204),""))</x:f>
      </x:c>
      <x:c r="P645" s="172" t="str">
        <x:f>IF(A645="","",IF(AND(C645="executing",N645&lt;&gt;"Confirmed OOS"),M645,0))</x:f>
      </x:c>
      <x:c r="Q645" s="173" t="str">
        <x:f>IF(A645="","",IFERROR(LOOKUP(2,1/('Engineer Updates'!$B$5:$B$704=A645),'Engineer Updates'!$A$5:$A$704),""))</x:f>
      </x:c>
      <x:c r="R645" s="172" t="str">
        <x:f>IF(A645="","",IFERROR(LOOKUP(2,1/('Engineer Updates'!$B$5:$B$704=A645),'Engineer Updates'!$H$5:$H$704),""))</x:f>
      </x:c>
      <x:c r="S645" s="172" t="str">
        <x:f>IF(A645="","",IFERROR(LOOKUP(2,1/('Engineer Updates'!$B$5:$B$704=A645),'Engineer Updates'!$G$5:$G$704),""))</x:f>
      </x:c>
      <x:c r="T645" s="172" t="str">
        <x:f>IF(A645="","",IFERROR(LOOKUP(2,1/('Engineer Updates'!$B$5:$B$704=A645),'Engineer Updates'!$I$5:$I$704),""))</x:f>
      </x:c>
      <x:c r="U645" s="172" t="str">
        <x:f>IF(A645="","",IFERROR(LOOKUP(2,1/('Engineer Updates'!$B$5:$B$704=A645),'Engineer Updates'!$J$5:$J$704),""))</x:f>
      </x:c>
      <x:c r="V645" s="172" t="str">
        <x:f>IF(A645="","",IFERROR(LOOKUP(2,1/('Engineer Updates'!$B$5:$B$704=A645),'Engineer Updates'!$K$5:$K$704),""))</x:f>
      </x:c>
      <x:c r="W645" s="174" t="str">
        <x:f>IF(A645="","",IFERROR(LOOKUP(2,1/('Engineer Updates'!$B$5:$B$704=A645),'Engineer Updates'!$L$5:$L$704),""))</x:f>
      </x:c>
      <x:c r="X645" s="170" t="str">
        <x:f>IF(A645="","",IF(C645="completed","Completed in CSSP",IF(AND(C645="executing",ISERROR(SEARCH("@",K645))),"Executing without named engineer",IF(AND(N645="Confirmed OOS",C645="executing"),"Confirmed OOS still executing",""))))</x:f>
      </x:c>
      <x:c r="Y645" s="170" t="str">
        <x:f>IF(A645="","",IF(B645="Decommissioning","Raw Decommissioning","Raw Provisioning"))</x:f>
      </x:c>
      <x:c r="Z645" s="170" t="str">
        <x:f>IF(A645="","",IF(OR(C645="executing",C645="processing"),"Yes","No"))</x:f>
      </x:c>
    </x:row>
    <x:row r="646">
      <x:c r="A646" s="170" t="str">
        <x:f>IF(ROWS($A$5:A646)&lt;=COUNTA('Raw Decommissioning'!$B$2:$B$1000),INDEX('Raw Decommissioning'!$B$2:$B$1000,ROWS($A$5:A646)),IF(ROWS($A$5:A646)-COUNTA('Raw Decommissioning'!$B$2:$B$1000)&lt;=COUNTA('Raw Provisioning'!$B$2:$B$1000),INDEX('Raw Provisioning'!$B$2:$B$1000,ROWS($A$5:A646)-COUNTA('Raw Decommissioning'!$B$2:$B$1000)),""))</x:f>
      </x:c>
      <x:c r="B646" s="170" t="str">
        <x:f>IF(A646="","",IF(ROWS($A$5:A646)&lt;=COUNTA('Raw Decommissioning'!$B$2:$B$1000),"Decommissioning","Provisioning"))</x:f>
      </x:c>
      <x:c r="C646" s="170" t="str">
        <x:f>IF(A646="","",IF(B646="Decommissioning",IFERROR(INDEX('Raw Decommissioning'!$E$2:$E$1000,MATCH(A646,'Raw Decommissioning'!$B$2:$B$1000,0)),"Missing from latest raw"),IFERROR(INDEX('Raw Provisioning'!$E$2:$E$1000,MATCH(A646,'Raw Provisioning'!$B$2:$B$1000,0)),"Missing from latest raw")))</x:f>
      </x:c>
      <x:c r="D646" s="171" t="str">
        <x:f>IF(A646="","",'Refresh Control'!$B$4)</x:f>
      </x:c>
      <x:c r="E646" s="171" t="str">
        <x:f>IF(A646="","",IF(B646="Decommissioning",INDEX('Raw Decommissioning'!$F$2:$F$1000,ROWS($A$5:A646)),INDEX('Raw Provisioning'!$F$2:$F$1000,ROWS($A$5:A646)-COUNTA('Raw Decommissioning'!$B$2:$B$1000))))</x:f>
      </x:c>
      <x:c r="F646" s="171" t="str">
        <x:f>IF(A646="","",IF(B646="Decommissioning",INDEX('Raw Decommissioning'!$G$2:$G$1000,ROWS($A$5:A646)),INDEX('Raw Provisioning'!$H$2:$H$1000,ROWS($A$5:A646)-COUNTA('Raw Decommissioning'!$B$2:$B$1000))))</x:f>
      </x:c>
      <x:c r="G646" s="170" t="str">
        <x:f>IF(A646="","",IF(B646="Decommissioning",INDEX('Raw Decommissioning'!$I$2:$I$1000,ROWS($A$5:A646)),INDEX('Raw Provisioning'!$J$2:$J$1000,ROWS($A$5:A646)-COUNTA('Raw Decommissioning'!$B$2:$B$1000))))</x:f>
      </x:c>
      <x:c r="H646" s="170" t="str">
        <x:f>IF(A646="","",IF(B646="Decommissioning",INDEX('Raw Decommissioning'!$J$2:$J$1000,ROWS($A$5:A646)),INDEX('Raw Provisioning'!$L$2:$L$1000,ROWS($A$5:A646)-COUNTA('Raw Decommissioning'!$B$2:$B$1000))))</x:f>
      </x:c>
      <x:c r="I646" s="170" t="str">
        <x:f>IF(A646="","",IF(B646="Decommissioning",INDEX('Raw Decommissioning'!$AL$2:$AL$1000,ROWS($A$5:A646)),INDEX('Raw Provisioning'!$R$2:$R$1000,ROWS($A$5:A646)-COUNTA('Raw Decommissioning'!$B$2:$B$1000))))</x:f>
      </x:c>
      <x:c r="J646" s="170" t="str">
        <x:f>IF(A646="","",IF(B646="Decommissioning",INDEX('Raw Decommissioning'!$AG$2:$AG$1000,ROWS($A$5:A646)),INDEX('Raw Provisioning'!$AI$2:$AI$1000,ROWS($A$5:A646)-COUNTA('Raw Decommissioning'!$B$2:$B$1000))))</x:f>
      </x:c>
      <x:c r="K646" s="172" t="str">
        <x:f>IF(A646="","",IFERROR(LOOKUP(2,1/('Assignment History'!$B$5:$B$204=A646),'Assignment History'!$D$5:$D$204),IFERROR(VLOOKUP(J646,Configuration!$L$5:$M$50,2,FALSE),J646)))</x:f>
      </x:c>
      <x:c r="L646" s="172" t="str">
        <x:f>IF(A646="","",IF(K646=IFERROR(VLOOKUP(J646,Configuration!$L$5:$M$50,2,FALSE),J646),"Snapshot PIC","Replacement PIC"))</x:f>
      </x:c>
      <x:c r="M646" s="172" t="str">
        <x:f>IF(A646="","",IFERROR(VLOOKUP(I646,Configuration!$O$5:$P$8,2,FALSE),Configuration!$S$6))</x:f>
      </x:c>
      <x:c r="N646" s="172" t="str">
        <x:f>IF(A646="","",IFERROR(LOOKUP(2,1/('Scope Review'!$B$5:$B$204=A646),'Scope Review'!$G$5:$G$204),"Not Reviewed"))</x:f>
      </x:c>
      <x:c r="O646" s="172" t="str">
        <x:f>IF(A646="","",IFERROR(LOOKUP(2,1/('Scope Review'!$B$5:$B$204=A646),'Scope Review'!$H$5:$H$204),""))</x:f>
      </x:c>
      <x:c r="P646" s="172" t="str">
        <x:f>IF(A646="","",IF(AND(C646="executing",N646&lt;&gt;"Confirmed OOS"),M646,0))</x:f>
      </x:c>
      <x:c r="Q646" s="173" t="str">
        <x:f>IF(A646="","",IFERROR(LOOKUP(2,1/('Engineer Updates'!$B$5:$B$704=A646),'Engineer Updates'!$A$5:$A$704),""))</x:f>
      </x:c>
      <x:c r="R646" s="172" t="str">
        <x:f>IF(A646="","",IFERROR(LOOKUP(2,1/('Engineer Updates'!$B$5:$B$704=A646),'Engineer Updates'!$H$5:$H$704),""))</x:f>
      </x:c>
      <x:c r="S646" s="172" t="str">
        <x:f>IF(A646="","",IFERROR(LOOKUP(2,1/('Engineer Updates'!$B$5:$B$704=A646),'Engineer Updates'!$G$5:$G$704),""))</x:f>
      </x:c>
      <x:c r="T646" s="172" t="str">
        <x:f>IF(A646="","",IFERROR(LOOKUP(2,1/('Engineer Updates'!$B$5:$B$704=A646),'Engineer Updates'!$I$5:$I$704),""))</x:f>
      </x:c>
      <x:c r="U646" s="172" t="str">
        <x:f>IF(A646="","",IFERROR(LOOKUP(2,1/('Engineer Updates'!$B$5:$B$704=A646),'Engineer Updates'!$J$5:$J$704),""))</x:f>
      </x:c>
      <x:c r="V646" s="172" t="str">
        <x:f>IF(A646="","",IFERROR(LOOKUP(2,1/('Engineer Updates'!$B$5:$B$704=A646),'Engineer Updates'!$K$5:$K$704),""))</x:f>
      </x:c>
      <x:c r="W646" s="174" t="str">
        <x:f>IF(A646="","",IFERROR(LOOKUP(2,1/('Engineer Updates'!$B$5:$B$704=A646),'Engineer Updates'!$L$5:$L$704),""))</x:f>
      </x:c>
      <x:c r="X646" s="170" t="str">
        <x:f>IF(A646="","",IF(C646="completed","Completed in CSSP",IF(AND(C646="executing",ISERROR(SEARCH("@",K646))),"Executing without named engineer",IF(AND(N646="Confirmed OOS",C646="executing"),"Confirmed OOS still executing",""))))</x:f>
      </x:c>
      <x:c r="Y646" s="170" t="str">
        <x:f>IF(A646="","",IF(B646="Decommissioning","Raw Decommissioning","Raw Provisioning"))</x:f>
      </x:c>
      <x:c r="Z646" s="170" t="str">
        <x:f>IF(A646="","",IF(OR(C646="executing",C646="processing"),"Yes","No"))</x:f>
      </x:c>
    </x:row>
    <x:row r="647">
      <x:c r="A647" s="170" t="str">
        <x:f>IF(ROWS($A$5:A647)&lt;=COUNTA('Raw Decommissioning'!$B$2:$B$1000),INDEX('Raw Decommissioning'!$B$2:$B$1000,ROWS($A$5:A647)),IF(ROWS($A$5:A647)-COUNTA('Raw Decommissioning'!$B$2:$B$1000)&lt;=COUNTA('Raw Provisioning'!$B$2:$B$1000),INDEX('Raw Provisioning'!$B$2:$B$1000,ROWS($A$5:A647)-COUNTA('Raw Decommissioning'!$B$2:$B$1000)),""))</x:f>
      </x:c>
      <x:c r="B647" s="170" t="str">
        <x:f>IF(A647="","",IF(ROWS($A$5:A647)&lt;=COUNTA('Raw Decommissioning'!$B$2:$B$1000),"Decommissioning","Provisioning"))</x:f>
      </x:c>
      <x:c r="C647" s="170" t="str">
        <x:f>IF(A647="","",IF(B647="Decommissioning",IFERROR(INDEX('Raw Decommissioning'!$E$2:$E$1000,MATCH(A647,'Raw Decommissioning'!$B$2:$B$1000,0)),"Missing from latest raw"),IFERROR(INDEX('Raw Provisioning'!$E$2:$E$1000,MATCH(A647,'Raw Provisioning'!$B$2:$B$1000,0)),"Missing from latest raw")))</x:f>
      </x:c>
      <x:c r="D647" s="171" t="str">
        <x:f>IF(A647="","",'Refresh Control'!$B$4)</x:f>
      </x:c>
      <x:c r="E647" s="171" t="str">
        <x:f>IF(A647="","",IF(B647="Decommissioning",INDEX('Raw Decommissioning'!$F$2:$F$1000,ROWS($A$5:A647)),INDEX('Raw Provisioning'!$F$2:$F$1000,ROWS($A$5:A647)-COUNTA('Raw Decommissioning'!$B$2:$B$1000))))</x:f>
      </x:c>
      <x:c r="F647" s="171" t="str">
        <x:f>IF(A647="","",IF(B647="Decommissioning",INDEX('Raw Decommissioning'!$G$2:$G$1000,ROWS($A$5:A647)),INDEX('Raw Provisioning'!$H$2:$H$1000,ROWS($A$5:A647)-COUNTA('Raw Decommissioning'!$B$2:$B$1000))))</x:f>
      </x:c>
      <x:c r="G647" s="170" t="str">
        <x:f>IF(A647="","",IF(B647="Decommissioning",INDEX('Raw Decommissioning'!$I$2:$I$1000,ROWS($A$5:A647)),INDEX('Raw Provisioning'!$J$2:$J$1000,ROWS($A$5:A647)-COUNTA('Raw Decommissioning'!$B$2:$B$1000))))</x:f>
      </x:c>
      <x:c r="H647" s="170" t="str">
        <x:f>IF(A647="","",IF(B647="Decommissioning",INDEX('Raw Decommissioning'!$J$2:$J$1000,ROWS($A$5:A647)),INDEX('Raw Provisioning'!$L$2:$L$1000,ROWS($A$5:A647)-COUNTA('Raw Decommissioning'!$B$2:$B$1000))))</x:f>
      </x:c>
      <x:c r="I647" s="170" t="str">
        <x:f>IF(A647="","",IF(B647="Decommissioning",INDEX('Raw Decommissioning'!$AL$2:$AL$1000,ROWS($A$5:A647)),INDEX('Raw Provisioning'!$R$2:$R$1000,ROWS($A$5:A647)-COUNTA('Raw Decommissioning'!$B$2:$B$1000))))</x:f>
      </x:c>
      <x:c r="J647" s="170" t="str">
        <x:f>IF(A647="","",IF(B647="Decommissioning",INDEX('Raw Decommissioning'!$AG$2:$AG$1000,ROWS($A$5:A647)),INDEX('Raw Provisioning'!$AI$2:$AI$1000,ROWS($A$5:A647)-COUNTA('Raw Decommissioning'!$B$2:$B$1000))))</x:f>
      </x:c>
      <x:c r="K647" s="172" t="str">
        <x:f>IF(A647="","",IFERROR(LOOKUP(2,1/('Assignment History'!$B$5:$B$204=A647),'Assignment History'!$D$5:$D$204),IFERROR(VLOOKUP(J647,Configuration!$L$5:$M$50,2,FALSE),J647)))</x:f>
      </x:c>
      <x:c r="L647" s="172" t="str">
        <x:f>IF(A647="","",IF(K647=IFERROR(VLOOKUP(J647,Configuration!$L$5:$M$50,2,FALSE),J647),"Snapshot PIC","Replacement PIC"))</x:f>
      </x:c>
      <x:c r="M647" s="172" t="str">
        <x:f>IF(A647="","",IFERROR(VLOOKUP(I647,Configuration!$O$5:$P$8,2,FALSE),Configuration!$S$6))</x:f>
      </x:c>
      <x:c r="N647" s="172" t="str">
        <x:f>IF(A647="","",IFERROR(LOOKUP(2,1/('Scope Review'!$B$5:$B$204=A647),'Scope Review'!$G$5:$G$204),"Not Reviewed"))</x:f>
      </x:c>
      <x:c r="O647" s="172" t="str">
        <x:f>IF(A647="","",IFERROR(LOOKUP(2,1/('Scope Review'!$B$5:$B$204=A647),'Scope Review'!$H$5:$H$204),""))</x:f>
      </x:c>
      <x:c r="P647" s="172" t="str">
        <x:f>IF(A647="","",IF(AND(C647="executing",N647&lt;&gt;"Confirmed OOS"),M647,0))</x:f>
      </x:c>
      <x:c r="Q647" s="173" t="str">
        <x:f>IF(A647="","",IFERROR(LOOKUP(2,1/('Engineer Updates'!$B$5:$B$704=A647),'Engineer Updates'!$A$5:$A$704),""))</x:f>
      </x:c>
      <x:c r="R647" s="172" t="str">
        <x:f>IF(A647="","",IFERROR(LOOKUP(2,1/('Engineer Updates'!$B$5:$B$704=A647),'Engineer Updates'!$H$5:$H$704),""))</x:f>
      </x:c>
      <x:c r="S647" s="172" t="str">
        <x:f>IF(A647="","",IFERROR(LOOKUP(2,1/('Engineer Updates'!$B$5:$B$704=A647),'Engineer Updates'!$G$5:$G$704),""))</x:f>
      </x:c>
      <x:c r="T647" s="172" t="str">
        <x:f>IF(A647="","",IFERROR(LOOKUP(2,1/('Engineer Updates'!$B$5:$B$704=A647),'Engineer Updates'!$I$5:$I$704),""))</x:f>
      </x:c>
      <x:c r="U647" s="172" t="str">
        <x:f>IF(A647="","",IFERROR(LOOKUP(2,1/('Engineer Updates'!$B$5:$B$704=A647),'Engineer Updates'!$J$5:$J$704),""))</x:f>
      </x:c>
      <x:c r="V647" s="172" t="str">
        <x:f>IF(A647="","",IFERROR(LOOKUP(2,1/('Engineer Updates'!$B$5:$B$704=A647),'Engineer Updates'!$K$5:$K$704),""))</x:f>
      </x:c>
      <x:c r="W647" s="174" t="str">
        <x:f>IF(A647="","",IFERROR(LOOKUP(2,1/('Engineer Updates'!$B$5:$B$704=A647),'Engineer Updates'!$L$5:$L$704),""))</x:f>
      </x:c>
      <x:c r="X647" s="170" t="str">
        <x:f>IF(A647="","",IF(C647="completed","Completed in CSSP",IF(AND(C647="executing",ISERROR(SEARCH("@",K647))),"Executing without named engineer",IF(AND(N647="Confirmed OOS",C647="executing"),"Confirmed OOS still executing",""))))</x:f>
      </x:c>
      <x:c r="Y647" s="170" t="str">
        <x:f>IF(A647="","",IF(B647="Decommissioning","Raw Decommissioning","Raw Provisioning"))</x:f>
      </x:c>
      <x:c r="Z647" s="170" t="str">
        <x:f>IF(A647="","",IF(OR(C647="executing",C647="processing"),"Yes","No"))</x:f>
      </x:c>
    </x:row>
    <x:row r="648">
      <x:c r="A648" s="170" t="str">
        <x:f>IF(ROWS($A$5:A648)&lt;=COUNTA('Raw Decommissioning'!$B$2:$B$1000),INDEX('Raw Decommissioning'!$B$2:$B$1000,ROWS($A$5:A648)),IF(ROWS($A$5:A648)-COUNTA('Raw Decommissioning'!$B$2:$B$1000)&lt;=COUNTA('Raw Provisioning'!$B$2:$B$1000),INDEX('Raw Provisioning'!$B$2:$B$1000,ROWS($A$5:A648)-COUNTA('Raw Decommissioning'!$B$2:$B$1000)),""))</x:f>
      </x:c>
      <x:c r="B648" s="170" t="str">
        <x:f>IF(A648="","",IF(ROWS($A$5:A648)&lt;=COUNTA('Raw Decommissioning'!$B$2:$B$1000),"Decommissioning","Provisioning"))</x:f>
      </x:c>
      <x:c r="C648" s="170" t="str">
        <x:f>IF(A648="","",IF(B648="Decommissioning",IFERROR(INDEX('Raw Decommissioning'!$E$2:$E$1000,MATCH(A648,'Raw Decommissioning'!$B$2:$B$1000,0)),"Missing from latest raw"),IFERROR(INDEX('Raw Provisioning'!$E$2:$E$1000,MATCH(A648,'Raw Provisioning'!$B$2:$B$1000,0)),"Missing from latest raw")))</x:f>
      </x:c>
      <x:c r="D648" s="171" t="str">
        <x:f>IF(A648="","",'Refresh Control'!$B$4)</x:f>
      </x:c>
      <x:c r="E648" s="171" t="str">
        <x:f>IF(A648="","",IF(B648="Decommissioning",INDEX('Raw Decommissioning'!$F$2:$F$1000,ROWS($A$5:A648)),INDEX('Raw Provisioning'!$F$2:$F$1000,ROWS($A$5:A648)-COUNTA('Raw Decommissioning'!$B$2:$B$1000))))</x:f>
      </x:c>
      <x:c r="F648" s="171" t="str">
        <x:f>IF(A648="","",IF(B648="Decommissioning",INDEX('Raw Decommissioning'!$G$2:$G$1000,ROWS($A$5:A648)),INDEX('Raw Provisioning'!$H$2:$H$1000,ROWS($A$5:A648)-COUNTA('Raw Decommissioning'!$B$2:$B$1000))))</x:f>
      </x:c>
      <x:c r="G648" s="170" t="str">
        <x:f>IF(A648="","",IF(B648="Decommissioning",INDEX('Raw Decommissioning'!$I$2:$I$1000,ROWS($A$5:A648)),INDEX('Raw Provisioning'!$J$2:$J$1000,ROWS($A$5:A648)-COUNTA('Raw Decommissioning'!$B$2:$B$1000))))</x:f>
      </x:c>
      <x:c r="H648" s="170" t="str">
        <x:f>IF(A648="","",IF(B648="Decommissioning",INDEX('Raw Decommissioning'!$J$2:$J$1000,ROWS($A$5:A648)),INDEX('Raw Provisioning'!$L$2:$L$1000,ROWS($A$5:A648)-COUNTA('Raw Decommissioning'!$B$2:$B$1000))))</x:f>
      </x:c>
      <x:c r="I648" s="170" t="str">
        <x:f>IF(A648="","",IF(B648="Decommissioning",INDEX('Raw Decommissioning'!$AL$2:$AL$1000,ROWS($A$5:A648)),INDEX('Raw Provisioning'!$R$2:$R$1000,ROWS($A$5:A648)-COUNTA('Raw Decommissioning'!$B$2:$B$1000))))</x:f>
      </x:c>
      <x:c r="J648" s="170" t="str">
        <x:f>IF(A648="","",IF(B648="Decommissioning",INDEX('Raw Decommissioning'!$AG$2:$AG$1000,ROWS($A$5:A648)),INDEX('Raw Provisioning'!$AI$2:$AI$1000,ROWS($A$5:A648)-COUNTA('Raw Decommissioning'!$B$2:$B$1000))))</x:f>
      </x:c>
      <x:c r="K648" s="172" t="str">
        <x:f>IF(A648="","",IFERROR(LOOKUP(2,1/('Assignment History'!$B$5:$B$204=A648),'Assignment History'!$D$5:$D$204),IFERROR(VLOOKUP(J648,Configuration!$L$5:$M$50,2,FALSE),J648)))</x:f>
      </x:c>
      <x:c r="L648" s="172" t="str">
        <x:f>IF(A648="","",IF(K648=IFERROR(VLOOKUP(J648,Configuration!$L$5:$M$50,2,FALSE),J648),"Snapshot PIC","Replacement PIC"))</x:f>
      </x:c>
      <x:c r="M648" s="172" t="str">
        <x:f>IF(A648="","",IFERROR(VLOOKUP(I648,Configuration!$O$5:$P$8,2,FALSE),Configuration!$S$6))</x:f>
      </x:c>
      <x:c r="N648" s="172" t="str">
        <x:f>IF(A648="","",IFERROR(LOOKUP(2,1/('Scope Review'!$B$5:$B$204=A648),'Scope Review'!$G$5:$G$204),"Not Reviewed"))</x:f>
      </x:c>
      <x:c r="O648" s="172" t="str">
        <x:f>IF(A648="","",IFERROR(LOOKUP(2,1/('Scope Review'!$B$5:$B$204=A648),'Scope Review'!$H$5:$H$204),""))</x:f>
      </x:c>
      <x:c r="P648" s="172" t="str">
        <x:f>IF(A648="","",IF(AND(C648="executing",N648&lt;&gt;"Confirmed OOS"),M648,0))</x:f>
      </x:c>
      <x:c r="Q648" s="173" t="str">
        <x:f>IF(A648="","",IFERROR(LOOKUP(2,1/('Engineer Updates'!$B$5:$B$704=A648),'Engineer Updates'!$A$5:$A$704),""))</x:f>
      </x:c>
      <x:c r="R648" s="172" t="str">
        <x:f>IF(A648="","",IFERROR(LOOKUP(2,1/('Engineer Updates'!$B$5:$B$704=A648),'Engineer Updates'!$H$5:$H$704),""))</x:f>
      </x:c>
      <x:c r="S648" s="172" t="str">
        <x:f>IF(A648="","",IFERROR(LOOKUP(2,1/('Engineer Updates'!$B$5:$B$704=A648),'Engineer Updates'!$G$5:$G$704),""))</x:f>
      </x:c>
      <x:c r="T648" s="172" t="str">
        <x:f>IF(A648="","",IFERROR(LOOKUP(2,1/('Engineer Updates'!$B$5:$B$704=A648),'Engineer Updates'!$I$5:$I$704),""))</x:f>
      </x:c>
      <x:c r="U648" s="172" t="str">
        <x:f>IF(A648="","",IFERROR(LOOKUP(2,1/('Engineer Updates'!$B$5:$B$704=A648),'Engineer Updates'!$J$5:$J$704),""))</x:f>
      </x:c>
      <x:c r="V648" s="172" t="str">
        <x:f>IF(A648="","",IFERROR(LOOKUP(2,1/('Engineer Updates'!$B$5:$B$704=A648),'Engineer Updates'!$K$5:$K$704),""))</x:f>
      </x:c>
      <x:c r="W648" s="174" t="str">
        <x:f>IF(A648="","",IFERROR(LOOKUP(2,1/('Engineer Updates'!$B$5:$B$704=A648),'Engineer Updates'!$L$5:$L$704),""))</x:f>
      </x:c>
      <x:c r="X648" s="170" t="str">
        <x:f>IF(A648="","",IF(C648="completed","Completed in CSSP",IF(AND(C648="executing",ISERROR(SEARCH("@",K648))),"Executing without named engineer",IF(AND(N648="Confirmed OOS",C648="executing"),"Confirmed OOS still executing",""))))</x:f>
      </x:c>
      <x:c r="Y648" s="170" t="str">
        <x:f>IF(A648="","",IF(B648="Decommissioning","Raw Decommissioning","Raw Provisioning"))</x:f>
      </x:c>
      <x:c r="Z648" s="170" t="str">
        <x:f>IF(A648="","",IF(OR(C648="executing",C648="processing"),"Yes","No"))</x:f>
      </x:c>
    </x:row>
    <x:row r="649">
      <x:c r="A649" s="170" t="str">
        <x:f>IF(ROWS($A$5:A649)&lt;=COUNTA('Raw Decommissioning'!$B$2:$B$1000),INDEX('Raw Decommissioning'!$B$2:$B$1000,ROWS($A$5:A649)),IF(ROWS($A$5:A649)-COUNTA('Raw Decommissioning'!$B$2:$B$1000)&lt;=COUNTA('Raw Provisioning'!$B$2:$B$1000),INDEX('Raw Provisioning'!$B$2:$B$1000,ROWS($A$5:A649)-COUNTA('Raw Decommissioning'!$B$2:$B$1000)),""))</x:f>
      </x:c>
      <x:c r="B649" s="170" t="str">
        <x:f>IF(A649="","",IF(ROWS($A$5:A649)&lt;=COUNTA('Raw Decommissioning'!$B$2:$B$1000),"Decommissioning","Provisioning"))</x:f>
      </x:c>
      <x:c r="C649" s="170" t="str">
        <x:f>IF(A649="","",IF(B649="Decommissioning",IFERROR(INDEX('Raw Decommissioning'!$E$2:$E$1000,MATCH(A649,'Raw Decommissioning'!$B$2:$B$1000,0)),"Missing from latest raw"),IFERROR(INDEX('Raw Provisioning'!$E$2:$E$1000,MATCH(A649,'Raw Provisioning'!$B$2:$B$1000,0)),"Missing from latest raw")))</x:f>
      </x:c>
      <x:c r="D649" s="171" t="str">
        <x:f>IF(A649="","",'Refresh Control'!$B$4)</x:f>
      </x:c>
      <x:c r="E649" s="171" t="str">
        <x:f>IF(A649="","",IF(B649="Decommissioning",INDEX('Raw Decommissioning'!$F$2:$F$1000,ROWS($A$5:A649)),INDEX('Raw Provisioning'!$F$2:$F$1000,ROWS($A$5:A649)-COUNTA('Raw Decommissioning'!$B$2:$B$1000))))</x:f>
      </x:c>
      <x:c r="F649" s="171" t="str">
        <x:f>IF(A649="","",IF(B649="Decommissioning",INDEX('Raw Decommissioning'!$G$2:$G$1000,ROWS($A$5:A649)),INDEX('Raw Provisioning'!$H$2:$H$1000,ROWS($A$5:A649)-COUNTA('Raw Decommissioning'!$B$2:$B$1000))))</x:f>
      </x:c>
      <x:c r="G649" s="170" t="str">
        <x:f>IF(A649="","",IF(B649="Decommissioning",INDEX('Raw Decommissioning'!$I$2:$I$1000,ROWS($A$5:A649)),INDEX('Raw Provisioning'!$J$2:$J$1000,ROWS($A$5:A649)-COUNTA('Raw Decommissioning'!$B$2:$B$1000))))</x:f>
      </x:c>
      <x:c r="H649" s="170" t="str">
        <x:f>IF(A649="","",IF(B649="Decommissioning",INDEX('Raw Decommissioning'!$J$2:$J$1000,ROWS($A$5:A649)),INDEX('Raw Provisioning'!$L$2:$L$1000,ROWS($A$5:A649)-COUNTA('Raw Decommissioning'!$B$2:$B$1000))))</x:f>
      </x:c>
      <x:c r="I649" s="170" t="str">
        <x:f>IF(A649="","",IF(B649="Decommissioning",INDEX('Raw Decommissioning'!$AL$2:$AL$1000,ROWS($A$5:A649)),INDEX('Raw Provisioning'!$R$2:$R$1000,ROWS($A$5:A649)-COUNTA('Raw Decommissioning'!$B$2:$B$1000))))</x:f>
      </x:c>
      <x:c r="J649" s="170" t="str">
        <x:f>IF(A649="","",IF(B649="Decommissioning",INDEX('Raw Decommissioning'!$AG$2:$AG$1000,ROWS($A$5:A649)),INDEX('Raw Provisioning'!$AI$2:$AI$1000,ROWS($A$5:A649)-COUNTA('Raw Decommissioning'!$B$2:$B$1000))))</x:f>
      </x:c>
      <x:c r="K649" s="172" t="str">
        <x:f>IF(A649="","",IFERROR(LOOKUP(2,1/('Assignment History'!$B$5:$B$204=A649),'Assignment History'!$D$5:$D$204),IFERROR(VLOOKUP(J649,Configuration!$L$5:$M$50,2,FALSE),J649)))</x:f>
      </x:c>
      <x:c r="L649" s="172" t="str">
        <x:f>IF(A649="","",IF(K649=IFERROR(VLOOKUP(J649,Configuration!$L$5:$M$50,2,FALSE),J649),"Snapshot PIC","Replacement PIC"))</x:f>
      </x:c>
      <x:c r="M649" s="172" t="str">
        <x:f>IF(A649="","",IFERROR(VLOOKUP(I649,Configuration!$O$5:$P$8,2,FALSE),Configuration!$S$6))</x:f>
      </x:c>
      <x:c r="N649" s="172" t="str">
        <x:f>IF(A649="","",IFERROR(LOOKUP(2,1/('Scope Review'!$B$5:$B$204=A649),'Scope Review'!$G$5:$G$204),"Not Reviewed"))</x:f>
      </x:c>
      <x:c r="O649" s="172" t="str">
        <x:f>IF(A649="","",IFERROR(LOOKUP(2,1/('Scope Review'!$B$5:$B$204=A649),'Scope Review'!$H$5:$H$204),""))</x:f>
      </x:c>
      <x:c r="P649" s="172" t="str">
        <x:f>IF(A649="","",IF(AND(C649="executing",N649&lt;&gt;"Confirmed OOS"),M649,0))</x:f>
      </x:c>
      <x:c r="Q649" s="173" t="str">
        <x:f>IF(A649="","",IFERROR(LOOKUP(2,1/('Engineer Updates'!$B$5:$B$704=A649),'Engineer Updates'!$A$5:$A$704),""))</x:f>
      </x:c>
      <x:c r="R649" s="172" t="str">
        <x:f>IF(A649="","",IFERROR(LOOKUP(2,1/('Engineer Updates'!$B$5:$B$704=A649),'Engineer Updates'!$H$5:$H$704),""))</x:f>
      </x:c>
      <x:c r="S649" s="172" t="str">
        <x:f>IF(A649="","",IFERROR(LOOKUP(2,1/('Engineer Updates'!$B$5:$B$704=A649),'Engineer Updates'!$G$5:$G$704),""))</x:f>
      </x:c>
      <x:c r="T649" s="172" t="str">
        <x:f>IF(A649="","",IFERROR(LOOKUP(2,1/('Engineer Updates'!$B$5:$B$704=A649),'Engineer Updates'!$I$5:$I$704),""))</x:f>
      </x:c>
      <x:c r="U649" s="172" t="str">
        <x:f>IF(A649="","",IFERROR(LOOKUP(2,1/('Engineer Updates'!$B$5:$B$704=A649),'Engineer Updates'!$J$5:$J$704),""))</x:f>
      </x:c>
      <x:c r="V649" s="172" t="str">
        <x:f>IF(A649="","",IFERROR(LOOKUP(2,1/('Engineer Updates'!$B$5:$B$704=A649),'Engineer Updates'!$K$5:$K$704),""))</x:f>
      </x:c>
      <x:c r="W649" s="174" t="str">
        <x:f>IF(A649="","",IFERROR(LOOKUP(2,1/('Engineer Updates'!$B$5:$B$704=A649),'Engineer Updates'!$L$5:$L$704),""))</x:f>
      </x:c>
      <x:c r="X649" s="170" t="str">
        <x:f>IF(A649="","",IF(C649="completed","Completed in CSSP",IF(AND(C649="executing",ISERROR(SEARCH("@",K649))),"Executing without named engineer",IF(AND(N649="Confirmed OOS",C649="executing"),"Confirmed OOS still executing",""))))</x:f>
      </x:c>
      <x:c r="Y649" s="170" t="str">
        <x:f>IF(A649="","",IF(B649="Decommissioning","Raw Decommissioning","Raw Provisioning"))</x:f>
      </x:c>
      <x:c r="Z649" s="170" t="str">
        <x:f>IF(A649="","",IF(OR(C649="executing",C649="processing"),"Yes","No"))</x:f>
      </x:c>
    </x:row>
    <x:row r="650">
      <x:c r="A650" s="170" t="str">
        <x:f>IF(ROWS($A$5:A650)&lt;=COUNTA('Raw Decommissioning'!$B$2:$B$1000),INDEX('Raw Decommissioning'!$B$2:$B$1000,ROWS($A$5:A650)),IF(ROWS($A$5:A650)-COUNTA('Raw Decommissioning'!$B$2:$B$1000)&lt;=COUNTA('Raw Provisioning'!$B$2:$B$1000),INDEX('Raw Provisioning'!$B$2:$B$1000,ROWS($A$5:A650)-COUNTA('Raw Decommissioning'!$B$2:$B$1000)),""))</x:f>
      </x:c>
      <x:c r="B650" s="170" t="str">
        <x:f>IF(A650="","",IF(ROWS($A$5:A650)&lt;=COUNTA('Raw Decommissioning'!$B$2:$B$1000),"Decommissioning","Provisioning"))</x:f>
      </x:c>
      <x:c r="C650" s="170" t="str">
        <x:f>IF(A650="","",IF(B650="Decommissioning",IFERROR(INDEX('Raw Decommissioning'!$E$2:$E$1000,MATCH(A650,'Raw Decommissioning'!$B$2:$B$1000,0)),"Missing from latest raw"),IFERROR(INDEX('Raw Provisioning'!$E$2:$E$1000,MATCH(A650,'Raw Provisioning'!$B$2:$B$1000,0)),"Missing from latest raw")))</x:f>
      </x:c>
      <x:c r="D650" s="171" t="str">
        <x:f>IF(A650="","",'Refresh Control'!$B$4)</x:f>
      </x:c>
      <x:c r="E650" s="171" t="str">
        <x:f>IF(A650="","",IF(B650="Decommissioning",INDEX('Raw Decommissioning'!$F$2:$F$1000,ROWS($A$5:A650)),INDEX('Raw Provisioning'!$F$2:$F$1000,ROWS($A$5:A650)-COUNTA('Raw Decommissioning'!$B$2:$B$1000))))</x:f>
      </x:c>
      <x:c r="F650" s="171" t="str">
        <x:f>IF(A650="","",IF(B650="Decommissioning",INDEX('Raw Decommissioning'!$G$2:$G$1000,ROWS($A$5:A650)),INDEX('Raw Provisioning'!$H$2:$H$1000,ROWS($A$5:A650)-COUNTA('Raw Decommissioning'!$B$2:$B$1000))))</x:f>
      </x:c>
      <x:c r="G650" s="170" t="str">
        <x:f>IF(A650="","",IF(B650="Decommissioning",INDEX('Raw Decommissioning'!$I$2:$I$1000,ROWS($A$5:A650)),INDEX('Raw Provisioning'!$J$2:$J$1000,ROWS($A$5:A650)-COUNTA('Raw Decommissioning'!$B$2:$B$1000))))</x:f>
      </x:c>
      <x:c r="H650" s="170" t="str">
        <x:f>IF(A650="","",IF(B650="Decommissioning",INDEX('Raw Decommissioning'!$J$2:$J$1000,ROWS($A$5:A650)),INDEX('Raw Provisioning'!$L$2:$L$1000,ROWS($A$5:A650)-COUNTA('Raw Decommissioning'!$B$2:$B$1000))))</x:f>
      </x:c>
      <x:c r="I650" s="170" t="str">
        <x:f>IF(A650="","",IF(B650="Decommissioning",INDEX('Raw Decommissioning'!$AL$2:$AL$1000,ROWS($A$5:A650)),INDEX('Raw Provisioning'!$R$2:$R$1000,ROWS($A$5:A650)-COUNTA('Raw Decommissioning'!$B$2:$B$1000))))</x:f>
      </x:c>
      <x:c r="J650" s="170" t="str">
        <x:f>IF(A650="","",IF(B650="Decommissioning",INDEX('Raw Decommissioning'!$AG$2:$AG$1000,ROWS($A$5:A650)),INDEX('Raw Provisioning'!$AI$2:$AI$1000,ROWS($A$5:A650)-COUNTA('Raw Decommissioning'!$B$2:$B$1000))))</x:f>
      </x:c>
      <x:c r="K650" s="172" t="str">
        <x:f>IF(A650="","",IFERROR(LOOKUP(2,1/('Assignment History'!$B$5:$B$204=A650),'Assignment History'!$D$5:$D$204),IFERROR(VLOOKUP(J650,Configuration!$L$5:$M$50,2,FALSE),J650)))</x:f>
      </x:c>
      <x:c r="L650" s="172" t="str">
        <x:f>IF(A650="","",IF(K650=IFERROR(VLOOKUP(J650,Configuration!$L$5:$M$50,2,FALSE),J650),"Snapshot PIC","Replacement PIC"))</x:f>
      </x:c>
      <x:c r="M650" s="172" t="str">
        <x:f>IF(A650="","",IFERROR(VLOOKUP(I650,Configuration!$O$5:$P$8,2,FALSE),Configuration!$S$6))</x:f>
      </x:c>
      <x:c r="N650" s="172" t="str">
        <x:f>IF(A650="","",IFERROR(LOOKUP(2,1/('Scope Review'!$B$5:$B$204=A650),'Scope Review'!$G$5:$G$204),"Not Reviewed"))</x:f>
      </x:c>
      <x:c r="O650" s="172" t="str">
        <x:f>IF(A650="","",IFERROR(LOOKUP(2,1/('Scope Review'!$B$5:$B$204=A650),'Scope Review'!$H$5:$H$204),""))</x:f>
      </x:c>
      <x:c r="P650" s="172" t="str">
        <x:f>IF(A650="","",IF(AND(C650="executing",N650&lt;&gt;"Confirmed OOS"),M650,0))</x:f>
      </x:c>
      <x:c r="Q650" s="173" t="str">
        <x:f>IF(A650="","",IFERROR(LOOKUP(2,1/('Engineer Updates'!$B$5:$B$704=A650),'Engineer Updates'!$A$5:$A$704),""))</x:f>
      </x:c>
      <x:c r="R650" s="172" t="str">
        <x:f>IF(A650="","",IFERROR(LOOKUP(2,1/('Engineer Updates'!$B$5:$B$704=A650),'Engineer Updates'!$H$5:$H$704),""))</x:f>
      </x:c>
      <x:c r="S650" s="172" t="str">
        <x:f>IF(A650="","",IFERROR(LOOKUP(2,1/('Engineer Updates'!$B$5:$B$704=A650),'Engineer Updates'!$G$5:$G$704),""))</x:f>
      </x:c>
      <x:c r="T650" s="172" t="str">
        <x:f>IF(A650="","",IFERROR(LOOKUP(2,1/('Engineer Updates'!$B$5:$B$704=A650),'Engineer Updates'!$I$5:$I$704),""))</x:f>
      </x:c>
      <x:c r="U650" s="172" t="str">
        <x:f>IF(A650="","",IFERROR(LOOKUP(2,1/('Engineer Updates'!$B$5:$B$704=A650),'Engineer Updates'!$J$5:$J$704),""))</x:f>
      </x:c>
      <x:c r="V650" s="172" t="str">
        <x:f>IF(A650="","",IFERROR(LOOKUP(2,1/('Engineer Updates'!$B$5:$B$704=A650),'Engineer Updates'!$K$5:$K$704),""))</x:f>
      </x:c>
      <x:c r="W650" s="174" t="str">
        <x:f>IF(A650="","",IFERROR(LOOKUP(2,1/('Engineer Updates'!$B$5:$B$704=A650),'Engineer Updates'!$L$5:$L$704),""))</x:f>
      </x:c>
      <x:c r="X650" s="170" t="str">
        <x:f>IF(A650="","",IF(C650="completed","Completed in CSSP",IF(AND(C650="executing",ISERROR(SEARCH("@",K650))),"Executing without named engineer",IF(AND(N650="Confirmed OOS",C650="executing"),"Confirmed OOS still executing",""))))</x:f>
      </x:c>
      <x:c r="Y650" s="170" t="str">
        <x:f>IF(A650="","",IF(B650="Decommissioning","Raw Decommissioning","Raw Provisioning"))</x:f>
      </x:c>
      <x:c r="Z650" s="170" t="str">
        <x:f>IF(A650="","",IF(OR(C650="executing",C650="processing"),"Yes","No"))</x:f>
      </x:c>
    </x:row>
    <x:row r="651">
      <x:c r="A651" s="170" t="str">
        <x:f>IF(ROWS($A$5:A651)&lt;=COUNTA('Raw Decommissioning'!$B$2:$B$1000),INDEX('Raw Decommissioning'!$B$2:$B$1000,ROWS($A$5:A651)),IF(ROWS($A$5:A651)-COUNTA('Raw Decommissioning'!$B$2:$B$1000)&lt;=COUNTA('Raw Provisioning'!$B$2:$B$1000),INDEX('Raw Provisioning'!$B$2:$B$1000,ROWS($A$5:A651)-COUNTA('Raw Decommissioning'!$B$2:$B$1000)),""))</x:f>
      </x:c>
      <x:c r="B651" s="170" t="str">
        <x:f>IF(A651="","",IF(ROWS($A$5:A651)&lt;=COUNTA('Raw Decommissioning'!$B$2:$B$1000),"Decommissioning","Provisioning"))</x:f>
      </x:c>
      <x:c r="C651" s="170" t="str">
        <x:f>IF(A651="","",IF(B651="Decommissioning",IFERROR(INDEX('Raw Decommissioning'!$E$2:$E$1000,MATCH(A651,'Raw Decommissioning'!$B$2:$B$1000,0)),"Missing from latest raw"),IFERROR(INDEX('Raw Provisioning'!$E$2:$E$1000,MATCH(A651,'Raw Provisioning'!$B$2:$B$1000,0)),"Missing from latest raw")))</x:f>
      </x:c>
      <x:c r="D651" s="171" t="str">
        <x:f>IF(A651="","",'Refresh Control'!$B$4)</x:f>
      </x:c>
      <x:c r="E651" s="171" t="str">
        <x:f>IF(A651="","",IF(B651="Decommissioning",INDEX('Raw Decommissioning'!$F$2:$F$1000,ROWS($A$5:A651)),INDEX('Raw Provisioning'!$F$2:$F$1000,ROWS($A$5:A651)-COUNTA('Raw Decommissioning'!$B$2:$B$1000))))</x:f>
      </x:c>
      <x:c r="F651" s="171" t="str">
        <x:f>IF(A651="","",IF(B651="Decommissioning",INDEX('Raw Decommissioning'!$G$2:$G$1000,ROWS($A$5:A651)),INDEX('Raw Provisioning'!$H$2:$H$1000,ROWS($A$5:A651)-COUNTA('Raw Decommissioning'!$B$2:$B$1000))))</x:f>
      </x:c>
      <x:c r="G651" s="170" t="str">
        <x:f>IF(A651="","",IF(B651="Decommissioning",INDEX('Raw Decommissioning'!$I$2:$I$1000,ROWS($A$5:A651)),INDEX('Raw Provisioning'!$J$2:$J$1000,ROWS($A$5:A651)-COUNTA('Raw Decommissioning'!$B$2:$B$1000))))</x:f>
      </x:c>
      <x:c r="H651" s="170" t="str">
        <x:f>IF(A651="","",IF(B651="Decommissioning",INDEX('Raw Decommissioning'!$J$2:$J$1000,ROWS($A$5:A651)),INDEX('Raw Provisioning'!$L$2:$L$1000,ROWS($A$5:A651)-COUNTA('Raw Decommissioning'!$B$2:$B$1000))))</x:f>
      </x:c>
      <x:c r="I651" s="170" t="str">
        <x:f>IF(A651="","",IF(B651="Decommissioning",INDEX('Raw Decommissioning'!$AL$2:$AL$1000,ROWS($A$5:A651)),INDEX('Raw Provisioning'!$R$2:$R$1000,ROWS($A$5:A651)-COUNTA('Raw Decommissioning'!$B$2:$B$1000))))</x:f>
      </x:c>
      <x:c r="J651" s="170" t="str">
        <x:f>IF(A651="","",IF(B651="Decommissioning",INDEX('Raw Decommissioning'!$AG$2:$AG$1000,ROWS($A$5:A651)),INDEX('Raw Provisioning'!$AI$2:$AI$1000,ROWS($A$5:A651)-COUNTA('Raw Decommissioning'!$B$2:$B$1000))))</x:f>
      </x:c>
      <x:c r="K651" s="172" t="str">
        <x:f>IF(A651="","",IFERROR(LOOKUP(2,1/('Assignment History'!$B$5:$B$204=A651),'Assignment History'!$D$5:$D$204),IFERROR(VLOOKUP(J651,Configuration!$L$5:$M$50,2,FALSE),J651)))</x:f>
      </x:c>
      <x:c r="L651" s="172" t="str">
        <x:f>IF(A651="","",IF(K651=IFERROR(VLOOKUP(J651,Configuration!$L$5:$M$50,2,FALSE),J651),"Snapshot PIC","Replacement PIC"))</x:f>
      </x:c>
      <x:c r="M651" s="172" t="str">
        <x:f>IF(A651="","",IFERROR(VLOOKUP(I651,Configuration!$O$5:$P$8,2,FALSE),Configuration!$S$6))</x:f>
      </x:c>
      <x:c r="N651" s="172" t="str">
        <x:f>IF(A651="","",IFERROR(LOOKUP(2,1/('Scope Review'!$B$5:$B$204=A651),'Scope Review'!$G$5:$G$204),"Not Reviewed"))</x:f>
      </x:c>
      <x:c r="O651" s="172" t="str">
        <x:f>IF(A651="","",IFERROR(LOOKUP(2,1/('Scope Review'!$B$5:$B$204=A651),'Scope Review'!$H$5:$H$204),""))</x:f>
      </x:c>
      <x:c r="P651" s="172" t="str">
        <x:f>IF(A651="","",IF(AND(C651="executing",N651&lt;&gt;"Confirmed OOS"),M651,0))</x:f>
      </x:c>
      <x:c r="Q651" s="173" t="str">
        <x:f>IF(A651="","",IFERROR(LOOKUP(2,1/('Engineer Updates'!$B$5:$B$704=A651),'Engineer Updates'!$A$5:$A$704),""))</x:f>
      </x:c>
      <x:c r="R651" s="172" t="str">
        <x:f>IF(A651="","",IFERROR(LOOKUP(2,1/('Engineer Updates'!$B$5:$B$704=A651),'Engineer Updates'!$H$5:$H$704),""))</x:f>
      </x:c>
      <x:c r="S651" s="172" t="str">
        <x:f>IF(A651="","",IFERROR(LOOKUP(2,1/('Engineer Updates'!$B$5:$B$704=A651),'Engineer Updates'!$G$5:$G$704),""))</x:f>
      </x:c>
      <x:c r="T651" s="172" t="str">
        <x:f>IF(A651="","",IFERROR(LOOKUP(2,1/('Engineer Updates'!$B$5:$B$704=A651),'Engineer Updates'!$I$5:$I$704),""))</x:f>
      </x:c>
      <x:c r="U651" s="172" t="str">
        <x:f>IF(A651="","",IFERROR(LOOKUP(2,1/('Engineer Updates'!$B$5:$B$704=A651),'Engineer Updates'!$J$5:$J$704),""))</x:f>
      </x:c>
      <x:c r="V651" s="172" t="str">
        <x:f>IF(A651="","",IFERROR(LOOKUP(2,1/('Engineer Updates'!$B$5:$B$704=A651),'Engineer Updates'!$K$5:$K$704),""))</x:f>
      </x:c>
      <x:c r="W651" s="174" t="str">
        <x:f>IF(A651="","",IFERROR(LOOKUP(2,1/('Engineer Updates'!$B$5:$B$704=A651),'Engineer Updates'!$L$5:$L$704),""))</x:f>
      </x:c>
      <x:c r="X651" s="170" t="str">
        <x:f>IF(A651="","",IF(C651="completed","Completed in CSSP",IF(AND(C651="executing",ISERROR(SEARCH("@",K651))),"Executing without named engineer",IF(AND(N651="Confirmed OOS",C651="executing"),"Confirmed OOS still executing",""))))</x:f>
      </x:c>
      <x:c r="Y651" s="170" t="str">
        <x:f>IF(A651="","",IF(B651="Decommissioning","Raw Decommissioning","Raw Provisioning"))</x:f>
      </x:c>
      <x:c r="Z651" s="170" t="str">
        <x:f>IF(A651="","",IF(OR(C651="executing",C651="processing"),"Yes","No"))</x:f>
      </x:c>
    </x:row>
    <x:row r="652">
      <x:c r="A652" s="170" t="str">
        <x:f>IF(ROWS($A$5:A652)&lt;=COUNTA('Raw Decommissioning'!$B$2:$B$1000),INDEX('Raw Decommissioning'!$B$2:$B$1000,ROWS($A$5:A652)),IF(ROWS($A$5:A652)-COUNTA('Raw Decommissioning'!$B$2:$B$1000)&lt;=COUNTA('Raw Provisioning'!$B$2:$B$1000),INDEX('Raw Provisioning'!$B$2:$B$1000,ROWS($A$5:A652)-COUNTA('Raw Decommissioning'!$B$2:$B$1000)),""))</x:f>
      </x:c>
      <x:c r="B652" s="170" t="str">
        <x:f>IF(A652="","",IF(ROWS($A$5:A652)&lt;=COUNTA('Raw Decommissioning'!$B$2:$B$1000),"Decommissioning","Provisioning"))</x:f>
      </x:c>
      <x:c r="C652" s="170" t="str">
        <x:f>IF(A652="","",IF(B652="Decommissioning",IFERROR(INDEX('Raw Decommissioning'!$E$2:$E$1000,MATCH(A652,'Raw Decommissioning'!$B$2:$B$1000,0)),"Missing from latest raw"),IFERROR(INDEX('Raw Provisioning'!$E$2:$E$1000,MATCH(A652,'Raw Provisioning'!$B$2:$B$1000,0)),"Missing from latest raw")))</x:f>
      </x:c>
      <x:c r="D652" s="171" t="str">
        <x:f>IF(A652="","",'Refresh Control'!$B$4)</x:f>
      </x:c>
      <x:c r="E652" s="171" t="str">
        <x:f>IF(A652="","",IF(B652="Decommissioning",INDEX('Raw Decommissioning'!$F$2:$F$1000,ROWS($A$5:A652)),INDEX('Raw Provisioning'!$F$2:$F$1000,ROWS($A$5:A652)-COUNTA('Raw Decommissioning'!$B$2:$B$1000))))</x:f>
      </x:c>
      <x:c r="F652" s="171" t="str">
        <x:f>IF(A652="","",IF(B652="Decommissioning",INDEX('Raw Decommissioning'!$G$2:$G$1000,ROWS($A$5:A652)),INDEX('Raw Provisioning'!$H$2:$H$1000,ROWS($A$5:A652)-COUNTA('Raw Decommissioning'!$B$2:$B$1000))))</x:f>
      </x:c>
      <x:c r="G652" s="170" t="str">
        <x:f>IF(A652="","",IF(B652="Decommissioning",INDEX('Raw Decommissioning'!$I$2:$I$1000,ROWS($A$5:A652)),INDEX('Raw Provisioning'!$J$2:$J$1000,ROWS($A$5:A652)-COUNTA('Raw Decommissioning'!$B$2:$B$1000))))</x:f>
      </x:c>
      <x:c r="H652" s="170" t="str">
        <x:f>IF(A652="","",IF(B652="Decommissioning",INDEX('Raw Decommissioning'!$J$2:$J$1000,ROWS($A$5:A652)),INDEX('Raw Provisioning'!$L$2:$L$1000,ROWS($A$5:A652)-COUNTA('Raw Decommissioning'!$B$2:$B$1000))))</x:f>
      </x:c>
      <x:c r="I652" s="170" t="str">
        <x:f>IF(A652="","",IF(B652="Decommissioning",INDEX('Raw Decommissioning'!$AL$2:$AL$1000,ROWS($A$5:A652)),INDEX('Raw Provisioning'!$R$2:$R$1000,ROWS($A$5:A652)-COUNTA('Raw Decommissioning'!$B$2:$B$1000))))</x:f>
      </x:c>
      <x:c r="J652" s="170" t="str">
        <x:f>IF(A652="","",IF(B652="Decommissioning",INDEX('Raw Decommissioning'!$AG$2:$AG$1000,ROWS($A$5:A652)),INDEX('Raw Provisioning'!$AI$2:$AI$1000,ROWS($A$5:A652)-COUNTA('Raw Decommissioning'!$B$2:$B$1000))))</x:f>
      </x:c>
      <x:c r="K652" s="172" t="str">
        <x:f>IF(A652="","",IFERROR(LOOKUP(2,1/('Assignment History'!$B$5:$B$204=A652),'Assignment History'!$D$5:$D$204),IFERROR(VLOOKUP(J652,Configuration!$L$5:$M$50,2,FALSE),J652)))</x:f>
      </x:c>
      <x:c r="L652" s="172" t="str">
        <x:f>IF(A652="","",IF(K652=IFERROR(VLOOKUP(J652,Configuration!$L$5:$M$50,2,FALSE),J652),"Snapshot PIC","Replacement PIC"))</x:f>
      </x:c>
      <x:c r="M652" s="172" t="str">
        <x:f>IF(A652="","",IFERROR(VLOOKUP(I652,Configuration!$O$5:$P$8,2,FALSE),Configuration!$S$6))</x:f>
      </x:c>
      <x:c r="N652" s="172" t="str">
        <x:f>IF(A652="","",IFERROR(LOOKUP(2,1/('Scope Review'!$B$5:$B$204=A652),'Scope Review'!$G$5:$G$204),"Not Reviewed"))</x:f>
      </x:c>
      <x:c r="O652" s="172" t="str">
        <x:f>IF(A652="","",IFERROR(LOOKUP(2,1/('Scope Review'!$B$5:$B$204=A652),'Scope Review'!$H$5:$H$204),""))</x:f>
      </x:c>
      <x:c r="P652" s="172" t="str">
        <x:f>IF(A652="","",IF(AND(C652="executing",N652&lt;&gt;"Confirmed OOS"),M652,0))</x:f>
      </x:c>
      <x:c r="Q652" s="173" t="str">
        <x:f>IF(A652="","",IFERROR(LOOKUP(2,1/('Engineer Updates'!$B$5:$B$704=A652),'Engineer Updates'!$A$5:$A$704),""))</x:f>
      </x:c>
      <x:c r="R652" s="172" t="str">
        <x:f>IF(A652="","",IFERROR(LOOKUP(2,1/('Engineer Updates'!$B$5:$B$704=A652),'Engineer Updates'!$H$5:$H$704),""))</x:f>
      </x:c>
      <x:c r="S652" s="172" t="str">
        <x:f>IF(A652="","",IFERROR(LOOKUP(2,1/('Engineer Updates'!$B$5:$B$704=A652),'Engineer Updates'!$G$5:$G$704),""))</x:f>
      </x:c>
      <x:c r="T652" s="172" t="str">
        <x:f>IF(A652="","",IFERROR(LOOKUP(2,1/('Engineer Updates'!$B$5:$B$704=A652),'Engineer Updates'!$I$5:$I$704),""))</x:f>
      </x:c>
      <x:c r="U652" s="172" t="str">
        <x:f>IF(A652="","",IFERROR(LOOKUP(2,1/('Engineer Updates'!$B$5:$B$704=A652),'Engineer Updates'!$J$5:$J$704),""))</x:f>
      </x:c>
      <x:c r="V652" s="172" t="str">
        <x:f>IF(A652="","",IFERROR(LOOKUP(2,1/('Engineer Updates'!$B$5:$B$704=A652),'Engineer Updates'!$K$5:$K$704),""))</x:f>
      </x:c>
      <x:c r="W652" s="174" t="str">
        <x:f>IF(A652="","",IFERROR(LOOKUP(2,1/('Engineer Updates'!$B$5:$B$704=A652),'Engineer Updates'!$L$5:$L$704),""))</x:f>
      </x:c>
      <x:c r="X652" s="170" t="str">
        <x:f>IF(A652="","",IF(C652="completed","Completed in CSSP",IF(AND(C652="executing",ISERROR(SEARCH("@",K652))),"Executing without named engineer",IF(AND(N652="Confirmed OOS",C652="executing"),"Confirmed OOS still executing",""))))</x:f>
      </x:c>
      <x:c r="Y652" s="170" t="str">
        <x:f>IF(A652="","",IF(B652="Decommissioning","Raw Decommissioning","Raw Provisioning"))</x:f>
      </x:c>
      <x:c r="Z652" s="170" t="str">
        <x:f>IF(A652="","",IF(OR(C652="executing",C652="processing"),"Yes","No"))</x:f>
      </x:c>
    </x:row>
    <x:row r="653">
      <x:c r="A653" s="170" t="str">
        <x:f>IF(ROWS($A$5:A653)&lt;=COUNTA('Raw Decommissioning'!$B$2:$B$1000),INDEX('Raw Decommissioning'!$B$2:$B$1000,ROWS($A$5:A653)),IF(ROWS($A$5:A653)-COUNTA('Raw Decommissioning'!$B$2:$B$1000)&lt;=COUNTA('Raw Provisioning'!$B$2:$B$1000),INDEX('Raw Provisioning'!$B$2:$B$1000,ROWS($A$5:A653)-COUNTA('Raw Decommissioning'!$B$2:$B$1000)),""))</x:f>
      </x:c>
      <x:c r="B653" s="170" t="str">
        <x:f>IF(A653="","",IF(ROWS($A$5:A653)&lt;=COUNTA('Raw Decommissioning'!$B$2:$B$1000),"Decommissioning","Provisioning"))</x:f>
      </x:c>
      <x:c r="C653" s="170" t="str">
        <x:f>IF(A653="","",IF(B653="Decommissioning",IFERROR(INDEX('Raw Decommissioning'!$E$2:$E$1000,MATCH(A653,'Raw Decommissioning'!$B$2:$B$1000,0)),"Missing from latest raw"),IFERROR(INDEX('Raw Provisioning'!$E$2:$E$1000,MATCH(A653,'Raw Provisioning'!$B$2:$B$1000,0)),"Missing from latest raw")))</x:f>
      </x:c>
      <x:c r="D653" s="171" t="str">
        <x:f>IF(A653="","",'Refresh Control'!$B$4)</x:f>
      </x:c>
      <x:c r="E653" s="171" t="str">
        <x:f>IF(A653="","",IF(B653="Decommissioning",INDEX('Raw Decommissioning'!$F$2:$F$1000,ROWS($A$5:A653)),INDEX('Raw Provisioning'!$F$2:$F$1000,ROWS($A$5:A653)-COUNTA('Raw Decommissioning'!$B$2:$B$1000))))</x:f>
      </x:c>
      <x:c r="F653" s="171" t="str">
        <x:f>IF(A653="","",IF(B653="Decommissioning",INDEX('Raw Decommissioning'!$G$2:$G$1000,ROWS($A$5:A653)),INDEX('Raw Provisioning'!$H$2:$H$1000,ROWS($A$5:A653)-COUNTA('Raw Decommissioning'!$B$2:$B$1000))))</x:f>
      </x:c>
      <x:c r="G653" s="170" t="str">
        <x:f>IF(A653="","",IF(B653="Decommissioning",INDEX('Raw Decommissioning'!$I$2:$I$1000,ROWS($A$5:A653)),INDEX('Raw Provisioning'!$J$2:$J$1000,ROWS($A$5:A653)-COUNTA('Raw Decommissioning'!$B$2:$B$1000))))</x:f>
      </x:c>
      <x:c r="H653" s="170" t="str">
        <x:f>IF(A653="","",IF(B653="Decommissioning",INDEX('Raw Decommissioning'!$J$2:$J$1000,ROWS($A$5:A653)),INDEX('Raw Provisioning'!$L$2:$L$1000,ROWS($A$5:A653)-COUNTA('Raw Decommissioning'!$B$2:$B$1000))))</x:f>
      </x:c>
      <x:c r="I653" s="170" t="str">
        <x:f>IF(A653="","",IF(B653="Decommissioning",INDEX('Raw Decommissioning'!$AL$2:$AL$1000,ROWS($A$5:A653)),INDEX('Raw Provisioning'!$R$2:$R$1000,ROWS($A$5:A653)-COUNTA('Raw Decommissioning'!$B$2:$B$1000))))</x:f>
      </x:c>
      <x:c r="J653" s="170" t="str">
        <x:f>IF(A653="","",IF(B653="Decommissioning",INDEX('Raw Decommissioning'!$AG$2:$AG$1000,ROWS($A$5:A653)),INDEX('Raw Provisioning'!$AI$2:$AI$1000,ROWS($A$5:A653)-COUNTA('Raw Decommissioning'!$B$2:$B$1000))))</x:f>
      </x:c>
      <x:c r="K653" s="172" t="str">
        <x:f>IF(A653="","",IFERROR(LOOKUP(2,1/('Assignment History'!$B$5:$B$204=A653),'Assignment History'!$D$5:$D$204),IFERROR(VLOOKUP(J653,Configuration!$L$5:$M$50,2,FALSE),J653)))</x:f>
      </x:c>
      <x:c r="L653" s="172" t="str">
        <x:f>IF(A653="","",IF(K653=IFERROR(VLOOKUP(J653,Configuration!$L$5:$M$50,2,FALSE),J653),"Snapshot PIC","Replacement PIC"))</x:f>
      </x:c>
      <x:c r="M653" s="172" t="str">
        <x:f>IF(A653="","",IFERROR(VLOOKUP(I653,Configuration!$O$5:$P$8,2,FALSE),Configuration!$S$6))</x:f>
      </x:c>
      <x:c r="N653" s="172" t="str">
        <x:f>IF(A653="","",IFERROR(LOOKUP(2,1/('Scope Review'!$B$5:$B$204=A653),'Scope Review'!$G$5:$G$204),"Not Reviewed"))</x:f>
      </x:c>
      <x:c r="O653" s="172" t="str">
        <x:f>IF(A653="","",IFERROR(LOOKUP(2,1/('Scope Review'!$B$5:$B$204=A653),'Scope Review'!$H$5:$H$204),""))</x:f>
      </x:c>
      <x:c r="P653" s="172" t="str">
        <x:f>IF(A653="","",IF(AND(C653="executing",N653&lt;&gt;"Confirmed OOS"),M653,0))</x:f>
      </x:c>
      <x:c r="Q653" s="173" t="str">
        <x:f>IF(A653="","",IFERROR(LOOKUP(2,1/('Engineer Updates'!$B$5:$B$704=A653),'Engineer Updates'!$A$5:$A$704),""))</x:f>
      </x:c>
      <x:c r="R653" s="172" t="str">
        <x:f>IF(A653="","",IFERROR(LOOKUP(2,1/('Engineer Updates'!$B$5:$B$704=A653),'Engineer Updates'!$H$5:$H$704),""))</x:f>
      </x:c>
      <x:c r="S653" s="172" t="str">
        <x:f>IF(A653="","",IFERROR(LOOKUP(2,1/('Engineer Updates'!$B$5:$B$704=A653),'Engineer Updates'!$G$5:$G$704),""))</x:f>
      </x:c>
      <x:c r="T653" s="172" t="str">
        <x:f>IF(A653="","",IFERROR(LOOKUP(2,1/('Engineer Updates'!$B$5:$B$704=A653),'Engineer Updates'!$I$5:$I$704),""))</x:f>
      </x:c>
      <x:c r="U653" s="172" t="str">
        <x:f>IF(A653="","",IFERROR(LOOKUP(2,1/('Engineer Updates'!$B$5:$B$704=A653),'Engineer Updates'!$J$5:$J$704),""))</x:f>
      </x:c>
      <x:c r="V653" s="172" t="str">
        <x:f>IF(A653="","",IFERROR(LOOKUP(2,1/('Engineer Updates'!$B$5:$B$704=A653),'Engineer Updates'!$K$5:$K$704),""))</x:f>
      </x:c>
      <x:c r="W653" s="174" t="str">
        <x:f>IF(A653="","",IFERROR(LOOKUP(2,1/('Engineer Updates'!$B$5:$B$704=A653),'Engineer Updates'!$L$5:$L$704),""))</x:f>
      </x:c>
      <x:c r="X653" s="170" t="str">
        <x:f>IF(A653="","",IF(C653="completed","Completed in CSSP",IF(AND(C653="executing",ISERROR(SEARCH("@",K653))),"Executing without named engineer",IF(AND(N653="Confirmed OOS",C653="executing"),"Confirmed OOS still executing",""))))</x:f>
      </x:c>
      <x:c r="Y653" s="170" t="str">
        <x:f>IF(A653="","",IF(B653="Decommissioning","Raw Decommissioning","Raw Provisioning"))</x:f>
      </x:c>
      <x:c r="Z653" s="170" t="str">
        <x:f>IF(A653="","",IF(OR(C653="executing",C653="processing"),"Yes","No"))</x:f>
      </x:c>
    </x:row>
    <x:row r="654">
      <x:c r="A654" s="170" t="str">
        <x:f>IF(ROWS($A$5:A654)&lt;=COUNTA('Raw Decommissioning'!$B$2:$B$1000),INDEX('Raw Decommissioning'!$B$2:$B$1000,ROWS($A$5:A654)),IF(ROWS($A$5:A654)-COUNTA('Raw Decommissioning'!$B$2:$B$1000)&lt;=COUNTA('Raw Provisioning'!$B$2:$B$1000),INDEX('Raw Provisioning'!$B$2:$B$1000,ROWS($A$5:A654)-COUNTA('Raw Decommissioning'!$B$2:$B$1000)),""))</x:f>
      </x:c>
      <x:c r="B654" s="170" t="str">
        <x:f>IF(A654="","",IF(ROWS($A$5:A654)&lt;=COUNTA('Raw Decommissioning'!$B$2:$B$1000),"Decommissioning","Provisioning"))</x:f>
      </x:c>
      <x:c r="C654" s="170" t="str">
        <x:f>IF(A654="","",IF(B654="Decommissioning",IFERROR(INDEX('Raw Decommissioning'!$E$2:$E$1000,MATCH(A654,'Raw Decommissioning'!$B$2:$B$1000,0)),"Missing from latest raw"),IFERROR(INDEX('Raw Provisioning'!$E$2:$E$1000,MATCH(A654,'Raw Provisioning'!$B$2:$B$1000,0)),"Missing from latest raw")))</x:f>
      </x:c>
      <x:c r="D654" s="171" t="str">
        <x:f>IF(A654="","",'Refresh Control'!$B$4)</x:f>
      </x:c>
      <x:c r="E654" s="171" t="str">
        <x:f>IF(A654="","",IF(B654="Decommissioning",INDEX('Raw Decommissioning'!$F$2:$F$1000,ROWS($A$5:A654)),INDEX('Raw Provisioning'!$F$2:$F$1000,ROWS($A$5:A654)-COUNTA('Raw Decommissioning'!$B$2:$B$1000))))</x:f>
      </x:c>
      <x:c r="F654" s="171" t="str">
        <x:f>IF(A654="","",IF(B654="Decommissioning",INDEX('Raw Decommissioning'!$G$2:$G$1000,ROWS($A$5:A654)),INDEX('Raw Provisioning'!$H$2:$H$1000,ROWS($A$5:A654)-COUNTA('Raw Decommissioning'!$B$2:$B$1000))))</x:f>
      </x:c>
      <x:c r="G654" s="170" t="str">
        <x:f>IF(A654="","",IF(B654="Decommissioning",INDEX('Raw Decommissioning'!$I$2:$I$1000,ROWS($A$5:A654)),INDEX('Raw Provisioning'!$J$2:$J$1000,ROWS($A$5:A654)-COUNTA('Raw Decommissioning'!$B$2:$B$1000))))</x:f>
      </x:c>
      <x:c r="H654" s="170" t="str">
        <x:f>IF(A654="","",IF(B654="Decommissioning",INDEX('Raw Decommissioning'!$J$2:$J$1000,ROWS($A$5:A654)),INDEX('Raw Provisioning'!$L$2:$L$1000,ROWS($A$5:A654)-COUNTA('Raw Decommissioning'!$B$2:$B$1000))))</x:f>
      </x:c>
      <x:c r="I654" s="170" t="str">
        <x:f>IF(A654="","",IF(B654="Decommissioning",INDEX('Raw Decommissioning'!$AL$2:$AL$1000,ROWS($A$5:A654)),INDEX('Raw Provisioning'!$R$2:$R$1000,ROWS($A$5:A654)-COUNTA('Raw Decommissioning'!$B$2:$B$1000))))</x:f>
      </x:c>
      <x:c r="J654" s="170" t="str">
        <x:f>IF(A654="","",IF(B654="Decommissioning",INDEX('Raw Decommissioning'!$AG$2:$AG$1000,ROWS($A$5:A654)),INDEX('Raw Provisioning'!$AI$2:$AI$1000,ROWS($A$5:A654)-COUNTA('Raw Decommissioning'!$B$2:$B$1000))))</x:f>
      </x:c>
      <x:c r="K654" s="172" t="str">
        <x:f>IF(A654="","",IFERROR(LOOKUP(2,1/('Assignment History'!$B$5:$B$204=A654),'Assignment History'!$D$5:$D$204),IFERROR(VLOOKUP(J654,Configuration!$L$5:$M$50,2,FALSE),J654)))</x:f>
      </x:c>
      <x:c r="L654" s="172" t="str">
        <x:f>IF(A654="","",IF(K654=IFERROR(VLOOKUP(J654,Configuration!$L$5:$M$50,2,FALSE),J654),"Snapshot PIC","Replacement PIC"))</x:f>
      </x:c>
      <x:c r="M654" s="172" t="str">
        <x:f>IF(A654="","",IFERROR(VLOOKUP(I654,Configuration!$O$5:$P$8,2,FALSE),Configuration!$S$6))</x:f>
      </x:c>
      <x:c r="N654" s="172" t="str">
        <x:f>IF(A654="","",IFERROR(LOOKUP(2,1/('Scope Review'!$B$5:$B$204=A654),'Scope Review'!$G$5:$G$204),"Not Reviewed"))</x:f>
      </x:c>
      <x:c r="O654" s="172" t="str">
        <x:f>IF(A654="","",IFERROR(LOOKUP(2,1/('Scope Review'!$B$5:$B$204=A654),'Scope Review'!$H$5:$H$204),""))</x:f>
      </x:c>
      <x:c r="P654" s="172" t="str">
        <x:f>IF(A654="","",IF(AND(C654="executing",N654&lt;&gt;"Confirmed OOS"),M654,0))</x:f>
      </x:c>
      <x:c r="Q654" s="173" t="str">
        <x:f>IF(A654="","",IFERROR(LOOKUP(2,1/('Engineer Updates'!$B$5:$B$704=A654),'Engineer Updates'!$A$5:$A$704),""))</x:f>
      </x:c>
      <x:c r="R654" s="172" t="str">
        <x:f>IF(A654="","",IFERROR(LOOKUP(2,1/('Engineer Updates'!$B$5:$B$704=A654),'Engineer Updates'!$H$5:$H$704),""))</x:f>
      </x:c>
      <x:c r="S654" s="172" t="str">
        <x:f>IF(A654="","",IFERROR(LOOKUP(2,1/('Engineer Updates'!$B$5:$B$704=A654),'Engineer Updates'!$G$5:$G$704),""))</x:f>
      </x:c>
      <x:c r="T654" s="172" t="str">
        <x:f>IF(A654="","",IFERROR(LOOKUP(2,1/('Engineer Updates'!$B$5:$B$704=A654),'Engineer Updates'!$I$5:$I$704),""))</x:f>
      </x:c>
      <x:c r="U654" s="172" t="str">
        <x:f>IF(A654="","",IFERROR(LOOKUP(2,1/('Engineer Updates'!$B$5:$B$704=A654),'Engineer Updates'!$J$5:$J$704),""))</x:f>
      </x:c>
      <x:c r="V654" s="172" t="str">
        <x:f>IF(A654="","",IFERROR(LOOKUP(2,1/('Engineer Updates'!$B$5:$B$704=A654),'Engineer Updates'!$K$5:$K$704),""))</x:f>
      </x:c>
      <x:c r="W654" s="174" t="str">
        <x:f>IF(A654="","",IFERROR(LOOKUP(2,1/('Engineer Updates'!$B$5:$B$704=A654),'Engineer Updates'!$L$5:$L$704),""))</x:f>
      </x:c>
      <x:c r="X654" s="170" t="str">
        <x:f>IF(A654="","",IF(C654="completed","Completed in CSSP",IF(AND(C654="executing",ISERROR(SEARCH("@",K654))),"Executing without named engineer",IF(AND(N654="Confirmed OOS",C654="executing"),"Confirmed OOS still executing",""))))</x:f>
      </x:c>
      <x:c r="Y654" s="170" t="str">
        <x:f>IF(A654="","",IF(B654="Decommissioning","Raw Decommissioning","Raw Provisioning"))</x:f>
      </x:c>
      <x:c r="Z654" s="170" t="str">
        <x:f>IF(A654="","",IF(OR(C654="executing",C654="processing"),"Yes","No"))</x:f>
      </x:c>
    </x:row>
    <x:row r="655">
      <x:c r="A655" s="170" t="str">
        <x:f>IF(ROWS($A$5:A655)&lt;=COUNTA('Raw Decommissioning'!$B$2:$B$1000),INDEX('Raw Decommissioning'!$B$2:$B$1000,ROWS($A$5:A655)),IF(ROWS($A$5:A655)-COUNTA('Raw Decommissioning'!$B$2:$B$1000)&lt;=COUNTA('Raw Provisioning'!$B$2:$B$1000),INDEX('Raw Provisioning'!$B$2:$B$1000,ROWS($A$5:A655)-COUNTA('Raw Decommissioning'!$B$2:$B$1000)),""))</x:f>
      </x:c>
      <x:c r="B655" s="170" t="str">
        <x:f>IF(A655="","",IF(ROWS($A$5:A655)&lt;=COUNTA('Raw Decommissioning'!$B$2:$B$1000),"Decommissioning","Provisioning"))</x:f>
      </x:c>
      <x:c r="C655" s="170" t="str">
        <x:f>IF(A655="","",IF(B655="Decommissioning",IFERROR(INDEX('Raw Decommissioning'!$E$2:$E$1000,MATCH(A655,'Raw Decommissioning'!$B$2:$B$1000,0)),"Missing from latest raw"),IFERROR(INDEX('Raw Provisioning'!$E$2:$E$1000,MATCH(A655,'Raw Provisioning'!$B$2:$B$1000,0)),"Missing from latest raw")))</x:f>
      </x:c>
      <x:c r="D655" s="171" t="str">
        <x:f>IF(A655="","",'Refresh Control'!$B$4)</x:f>
      </x:c>
      <x:c r="E655" s="171" t="str">
        <x:f>IF(A655="","",IF(B655="Decommissioning",INDEX('Raw Decommissioning'!$F$2:$F$1000,ROWS($A$5:A655)),INDEX('Raw Provisioning'!$F$2:$F$1000,ROWS($A$5:A655)-COUNTA('Raw Decommissioning'!$B$2:$B$1000))))</x:f>
      </x:c>
      <x:c r="F655" s="171" t="str">
        <x:f>IF(A655="","",IF(B655="Decommissioning",INDEX('Raw Decommissioning'!$G$2:$G$1000,ROWS($A$5:A655)),INDEX('Raw Provisioning'!$H$2:$H$1000,ROWS($A$5:A655)-COUNTA('Raw Decommissioning'!$B$2:$B$1000))))</x:f>
      </x:c>
      <x:c r="G655" s="170" t="str">
        <x:f>IF(A655="","",IF(B655="Decommissioning",INDEX('Raw Decommissioning'!$I$2:$I$1000,ROWS($A$5:A655)),INDEX('Raw Provisioning'!$J$2:$J$1000,ROWS($A$5:A655)-COUNTA('Raw Decommissioning'!$B$2:$B$1000))))</x:f>
      </x:c>
      <x:c r="H655" s="170" t="str">
        <x:f>IF(A655="","",IF(B655="Decommissioning",INDEX('Raw Decommissioning'!$J$2:$J$1000,ROWS($A$5:A655)),INDEX('Raw Provisioning'!$L$2:$L$1000,ROWS($A$5:A655)-COUNTA('Raw Decommissioning'!$B$2:$B$1000))))</x:f>
      </x:c>
      <x:c r="I655" s="170" t="str">
        <x:f>IF(A655="","",IF(B655="Decommissioning",INDEX('Raw Decommissioning'!$AL$2:$AL$1000,ROWS($A$5:A655)),INDEX('Raw Provisioning'!$R$2:$R$1000,ROWS($A$5:A655)-COUNTA('Raw Decommissioning'!$B$2:$B$1000))))</x:f>
      </x:c>
      <x:c r="J655" s="170" t="str">
        <x:f>IF(A655="","",IF(B655="Decommissioning",INDEX('Raw Decommissioning'!$AG$2:$AG$1000,ROWS($A$5:A655)),INDEX('Raw Provisioning'!$AI$2:$AI$1000,ROWS($A$5:A655)-COUNTA('Raw Decommissioning'!$B$2:$B$1000))))</x:f>
      </x:c>
      <x:c r="K655" s="172" t="str">
        <x:f>IF(A655="","",IFERROR(LOOKUP(2,1/('Assignment History'!$B$5:$B$204=A655),'Assignment History'!$D$5:$D$204),IFERROR(VLOOKUP(J655,Configuration!$L$5:$M$50,2,FALSE),J655)))</x:f>
      </x:c>
      <x:c r="L655" s="172" t="str">
        <x:f>IF(A655="","",IF(K655=IFERROR(VLOOKUP(J655,Configuration!$L$5:$M$50,2,FALSE),J655),"Snapshot PIC","Replacement PIC"))</x:f>
      </x:c>
      <x:c r="M655" s="172" t="str">
        <x:f>IF(A655="","",IFERROR(VLOOKUP(I655,Configuration!$O$5:$P$8,2,FALSE),Configuration!$S$6))</x:f>
      </x:c>
      <x:c r="N655" s="172" t="str">
        <x:f>IF(A655="","",IFERROR(LOOKUP(2,1/('Scope Review'!$B$5:$B$204=A655),'Scope Review'!$G$5:$G$204),"Not Reviewed"))</x:f>
      </x:c>
      <x:c r="O655" s="172" t="str">
        <x:f>IF(A655="","",IFERROR(LOOKUP(2,1/('Scope Review'!$B$5:$B$204=A655),'Scope Review'!$H$5:$H$204),""))</x:f>
      </x:c>
      <x:c r="P655" s="172" t="str">
        <x:f>IF(A655="","",IF(AND(C655="executing",N655&lt;&gt;"Confirmed OOS"),M655,0))</x:f>
      </x:c>
      <x:c r="Q655" s="173" t="str">
        <x:f>IF(A655="","",IFERROR(LOOKUP(2,1/('Engineer Updates'!$B$5:$B$704=A655),'Engineer Updates'!$A$5:$A$704),""))</x:f>
      </x:c>
      <x:c r="R655" s="172" t="str">
        <x:f>IF(A655="","",IFERROR(LOOKUP(2,1/('Engineer Updates'!$B$5:$B$704=A655),'Engineer Updates'!$H$5:$H$704),""))</x:f>
      </x:c>
      <x:c r="S655" s="172" t="str">
        <x:f>IF(A655="","",IFERROR(LOOKUP(2,1/('Engineer Updates'!$B$5:$B$704=A655),'Engineer Updates'!$G$5:$G$704),""))</x:f>
      </x:c>
      <x:c r="T655" s="172" t="str">
        <x:f>IF(A655="","",IFERROR(LOOKUP(2,1/('Engineer Updates'!$B$5:$B$704=A655),'Engineer Updates'!$I$5:$I$704),""))</x:f>
      </x:c>
      <x:c r="U655" s="172" t="str">
        <x:f>IF(A655="","",IFERROR(LOOKUP(2,1/('Engineer Updates'!$B$5:$B$704=A655),'Engineer Updates'!$J$5:$J$704),""))</x:f>
      </x:c>
      <x:c r="V655" s="172" t="str">
        <x:f>IF(A655="","",IFERROR(LOOKUP(2,1/('Engineer Updates'!$B$5:$B$704=A655),'Engineer Updates'!$K$5:$K$704),""))</x:f>
      </x:c>
      <x:c r="W655" s="174" t="str">
        <x:f>IF(A655="","",IFERROR(LOOKUP(2,1/('Engineer Updates'!$B$5:$B$704=A655),'Engineer Updates'!$L$5:$L$704),""))</x:f>
      </x:c>
      <x:c r="X655" s="170" t="str">
        <x:f>IF(A655="","",IF(C655="completed","Completed in CSSP",IF(AND(C655="executing",ISERROR(SEARCH("@",K655))),"Executing without named engineer",IF(AND(N655="Confirmed OOS",C655="executing"),"Confirmed OOS still executing",""))))</x:f>
      </x:c>
      <x:c r="Y655" s="170" t="str">
        <x:f>IF(A655="","",IF(B655="Decommissioning","Raw Decommissioning","Raw Provisioning"))</x:f>
      </x:c>
      <x:c r="Z655" s="170" t="str">
        <x:f>IF(A655="","",IF(OR(C655="executing",C655="processing"),"Yes","No"))</x:f>
      </x:c>
    </x:row>
    <x:row r="656">
      <x:c r="A656" s="170" t="str">
        <x:f>IF(ROWS($A$5:A656)&lt;=COUNTA('Raw Decommissioning'!$B$2:$B$1000),INDEX('Raw Decommissioning'!$B$2:$B$1000,ROWS($A$5:A656)),IF(ROWS($A$5:A656)-COUNTA('Raw Decommissioning'!$B$2:$B$1000)&lt;=COUNTA('Raw Provisioning'!$B$2:$B$1000),INDEX('Raw Provisioning'!$B$2:$B$1000,ROWS($A$5:A656)-COUNTA('Raw Decommissioning'!$B$2:$B$1000)),""))</x:f>
      </x:c>
      <x:c r="B656" s="170" t="str">
        <x:f>IF(A656="","",IF(ROWS($A$5:A656)&lt;=COUNTA('Raw Decommissioning'!$B$2:$B$1000),"Decommissioning","Provisioning"))</x:f>
      </x:c>
      <x:c r="C656" s="170" t="str">
        <x:f>IF(A656="","",IF(B656="Decommissioning",IFERROR(INDEX('Raw Decommissioning'!$E$2:$E$1000,MATCH(A656,'Raw Decommissioning'!$B$2:$B$1000,0)),"Missing from latest raw"),IFERROR(INDEX('Raw Provisioning'!$E$2:$E$1000,MATCH(A656,'Raw Provisioning'!$B$2:$B$1000,0)),"Missing from latest raw")))</x:f>
      </x:c>
      <x:c r="D656" s="171" t="str">
        <x:f>IF(A656="","",'Refresh Control'!$B$4)</x:f>
      </x:c>
      <x:c r="E656" s="171" t="str">
        <x:f>IF(A656="","",IF(B656="Decommissioning",INDEX('Raw Decommissioning'!$F$2:$F$1000,ROWS($A$5:A656)),INDEX('Raw Provisioning'!$F$2:$F$1000,ROWS($A$5:A656)-COUNTA('Raw Decommissioning'!$B$2:$B$1000))))</x:f>
      </x:c>
      <x:c r="F656" s="171" t="str">
        <x:f>IF(A656="","",IF(B656="Decommissioning",INDEX('Raw Decommissioning'!$G$2:$G$1000,ROWS($A$5:A656)),INDEX('Raw Provisioning'!$H$2:$H$1000,ROWS($A$5:A656)-COUNTA('Raw Decommissioning'!$B$2:$B$1000))))</x:f>
      </x:c>
      <x:c r="G656" s="170" t="str">
        <x:f>IF(A656="","",IF(B656="Decommissioning",INDEX('Raw Decommissioning'!$I$2:$I$1000,ROWS($A$5:A656)),INDEX('Raw Provisioning'!$J$2:$J$1000,ROWS($A$5:A656)-COUNTA('Raw Decommissioning'!$B$2:$B$1000))))</x:f>
      </x:c>
      <x:c r="H656" s="170" t="str">
        <x:f>IF(A656="","",IF(B656="Decommissioning",INDEX('Raw Decommissioning'!$J$2:$J$1000,ROWS($A$5:A656)),INDEX('Raw Provisioning'!$L$2:$L$1000,ROWS($A$5:A656)-COUNTA('Raw Decommissioning'!$B$2:$B$1000))))</x:f>
      </x:c>
      <x:c r="I656" s="170" t="str">
        <x:f>IF(A656="","",IF(B656="Decommissioning",INDEX('Raw Decommissioning'!$AL$2:$AL$1000,ROWS($A$5:A656)),INDEX('Raw Provisioning'!$R$2:$R$1000,ROWS($A$5:A656)-COUNTA('Raw Decommissioning'!$B$2:$B$1000))))</x:f>
      </x:c>
      <x:c r="J656" s="170" t="str">
        <x:f>IF(A656="","",IF(B656="Decommissioning",INDEX('Raw Decommissioning'!$AG$2:$AG$1000,ROWS($A$5:A656)),INDEX('Raw Provisioning'!$AI$2:$AI$1000,ROWS($A$5:A656)-COUNTA('Raw Decommissioning'!$B$2:$B$1000))))</x:f>
      </x:c>
      <x:c r="K656" s="172" t="str">
        <x:f>IF(A656="","",IFERROR(LOOKUP(2,1/('Assignment History'!$B$5:$B$204=A656),'Assignment History'!$D$5:$D$204),IFERROR(VLOOKUP(J656,Configuration!$L$5:$M$50,2,FALSE),J656)))</x:f>
      </x:c>
      <x:c r="L656" s="172" t="str">
        <x:f>IF(A656="","",IF(K656=IFERROR(VLOOKUP(J656,Configuration!$L$5:$M$50,2,FALSE),J656),"Snapshot PIC","Replacement PIC"))</x:f>
      </x:c>
      <x:c r="M656" s="172" t="str">
        <x:f>IF(A656="","",IFERROR(VLOOKUP(I656,Configuration!$O$5:$P$8,2,FALSE),Configuration!$S$6))</x:f>
      </x:c>
      <x:c r="N656" s="172" t="str">
        <x:f>IF(A656="","",IFERROR(LOOKUP(2,1/('Scope Review'!$B$5:$B$204=A656),'Scope Review'!$G$5:$G$204),"Not Reviewed"))</x:f>
      </x:c>
      <x:c r="O656" s="172" t="str">
        <x:f>IF(A656="","",IFERROR(LOOKUP(2,1/('Scope Review'!$B$5:$B$204=A656),'Scope Review'!$H$5:$H$204),""))</x:f>
      </x:c>
      <x:c r="P656" s="172" t="str">
        <x:f>IF(A656="","",IF(AND(C656="executing",N656&lt;&gt;"Confirmed OOS"),M656,0))</x:f>
      </x:c>
      <x:c r="Q656" s="173" t="str">
        <x:f>IF(A656="","",IFERROR(LOOKUP(2,1/('Engineer Updates'!$B$5:$B$704=A656),'Engineer Updates'!$A$5:$A$704),""))</x:f>
      </x:c>
      <x:c r="R656" s="172" t="str">
        <x:f>IF(A656="","",IFERROR(LOOKUP(2,1/('Engineer Updates'!$B$5:$B$704=A656),'Engineer Updates'!$H$5:$H$704),""))</x:f>
      </x:c>
      <x:c r="S656" s="172" t="str">
        <x:f>IF(A656="","",IFERROR(LOOKUP(2,1/('Engineer Updates'!$B$5:$B$704=A656),'Engineer Updates'!$G$5:$G$704),""))</x:f>
      </x:c>
      <x:c r="T656" s="172" t="str">
        <x:f>IF(A656="","",IFERROR(LOOKUP(2,1/('Engineer Updates'!$B$5:$B$704=A656),'Engineer Updates'!$I$5:$I$704),""))</x:f>
      </x:c>
      <x:c r="U656" s="172" t="str">
        <x:f>IF(A656="","",IFERROR(LOOKUP(2,1/('Engineer Updates'!$B$5:$B$704=A656),'Engineer Updates'!$J$5:$J$704),""))</x:f>
      </x:c>
      <x:c r="V656" s="172" t="str">
        <x:f>IF(A656="","",IFERROR(LOOKUP(2,1/('Engineer Updates'!$B$5:$B$704=A656),'Engineer Updates'!$K$5:$K$704),""))</x:f>
      </x:c>
      <x:c r="W656" s="174" t="str">
        <x:f>IF(A656="","",IFERROR(LOOKUP(2,1/('Engineer Updates'!$B$5:$B$704=A656),'Engineer Updates'!$L$5:$L$704),""))</x:f>
      </x:c>
      <x:c r="X656" s="170" t="str">
        <x:f>IF(A656="","",IF(C656="completed","Completed in CSSP",IF(AND(C656="executing",ISERROR(SEARCH("@",K656))),"Executing without named engineer",IF(AND(N656="Confirmed OOS",C656="executing"),"Confirmed OOS still executing",""))))</x:f>
      </x:c>
      <x:c r="Y656" s="170" t="str">
        <x:f>IF(A656="","",IF(B656="Decommissioning","Raw Decommissioning","Raw Provisioning"))</x:f>
      </x:c>
      <x:c r="Z656" s="170" t="str">
        <x:f>IF(A656="","",IF(OR(C656="executing",C656="processing"),"Yes","No"))</x:f>
      </x:c>
    </x:row>
    <x:row r="657">
      <x:c r="A657" s="170" t="str">
        <x:f>IF(ROWS($A$5:A657)&lt;=COUNTA('Raw Decommissioning'!$B$2:$B$1000),INDEX('Raw Decommissioning'!$B$2:$B$1000,ROWS($A$5:A657)),IF(ROWS($A$5:A657)-COUNTA('Raw Decommissioning'!$B$2:$B$1000)&lt;=COUNTA('Raw Provisioning'!$B$2:$B$1000),INDEX('Raw Provisioning'!$B$2:$B$1000,ROWS($A$5:A657)-COUNTA('Raw Decommissioning'!$B$2:$B$1000)),""))</x:f>
      </x:c>
      <x:c r="B657" s="170" t="str">
        <x:f>IF(A657="","",IF(ROWS($A$5:A657)&lt;=COUNTA('Raw Decommissioning'!$B$2:$B$1000),"Decommissioning","Provisioning"))</x:f>
      </x:c>
      <x:c r="C657" s="170" t="str">
        <x:f>IF(A657="","",IF(B657="Decommissioning",IFERROR(INDEX('Raw Decommissioning'!$E$2:$E$1000,MATCH(A657,'Raw Decommissioning'!$B$2:$B$1000,0)),"Missing from latest raw"),IFERROR(INDEX('Raw Provisioning'!$E$2:$E$1000,MATCH(A657,'Raw Provisioning'!$B$2:$B$1000,0)),"Missing from latest raw")))</x:f>
      </x:c>
      <x:c r="D657" s="171" t="str">
        <x:f>IF(A657="","",'Refresh Control'!$B$4)</x:f>
      </x:c>
      <x:c r="E657" s="171" t="str">
        <x:f>IF(A657="","",IF(B657="Decommissioning",INDEX('Raw Decommissioning'!$F$2:$F$1000,ROWS($A$5:A657)),INDEX('Raw Provisioning'!$F$2:$F$1000,ROWS($A$5:A657)-COUNTA('Raw Decommissioning'!$B$2:$B$1000))))</x:f>
      </x:c>
      <x:c r="F657" s="171" t="str">
        <x:f>IF(A657="","",IF(B657="Decommissioning",INDEX('Raw Decommissioning'!$G$2:$G$1000,ROWS($A$5:A657)),INDEX('Raw Provisioning'!$H$2:$H$1000,ROWS($A$5:A657)-COUNTA('Raw Decommissioning'!$B$2:$B$1000))))</x:f>
      </x:c>
      <x:c r="G657" s="170" t="str">
        <x:f>IF(A657="","",IF(B657="Decommissioning",INDEX('Raw Decommissioning'!$I$2:$I$1000,ROWS($A$5:A657)),INDEX('Raw Provisioning'!$J$2:$J$1000,ROWS($A$5:A657)-COUNTA('Raw Decommissioning'!$B$2:$B$1000))))</x:f>
      </x:c>
      <x:c r="H657" s="170" t="str">
        <x:f>IF(A657="","",IF(B657="Decommissioning",INDEX('Raw Decommissioning'!$J$2:$J$1000,ROWS($A$5:A657)),INDEX('Raw Provisioning'!$L$2:$L$1000,ROWS($A$5:A657)-COUNTA('Raw Decommissioning'!$B$2:$B$1000))))</x:f>
      </x:c>
      <x:c r="I657" s="170" t="str">
        <x:f>IF(A657="","",IF(B657="Decommissioning",INDEX('Raw Decommissioning'!$AL$2:$AL$1000,ROWS($A$5:A657)),INDEX('Raw Provisioning'!$R$2:$R$1000,ROWS($A$5:A657)-COUNTA('Raw Decommissioning'!$B$2:$B$1000))))</x:f>
      </x:c>
      <x:c r="J657" s="170" t="str">
        <x:f>IF(A657="","",IF(B657="Decommissioning",INDEX('Raw Decommissioning'!$AG$2:$AG$1000,ROWS($A$5:A657)),INDEX('Raw Provisioning'!$AI$2:$AI$1000,ROWS($A$5:A657)-COUNTA('Raw Decommissioning'!$B$2:$B$1000))))</x:f>
      </x:c>
      <x:c r="K657" s="172" t="str">
        <x:f>IF(A657="","",IFERROR(LOOKUP(2,1/('Assignment History'!$B$5:$B$204=A657),'Assignment History'!$D$5:$D$204),IFERROR(VLOOKUP(J657,Configuration!$L$5:$M$50,2,FALSE),J657)))</x:f>
      </x:c>
      <x:c r="L657" s="172" t="str">
        <x:f>IF(A657="","",IF(K657=IFERROR(VLOOKUP(J657,Configuration!$L$5:$M$50,2,FALSE),J657),"Snapshot PIC","Replacement PIC"))</x:f>
      </x:c>
      <x:c r="M657" s="172" t="str">
        <x:f>IF(A657="","",IFERROR(VLOOKUP(I657,Configuration!$O$5:$P$8,2,FALSE),Configuration!$S$6))</x:f>
      </x:c>
      <x:c r="N657" s="172" t="str">
        <x:f>IF(A657="","",IFERROR(LOOKUP(2,1/('Scope Review'!$B$5:$B$204=A657),'Scope Review'!$G$5:$G$204),"Not Reviewed"))</x:f>
      </x:c>
      <x:c r="O657" s="172" t="str">
        <x:f>IF(A657="","",IFERROR(LOOKUP(2,1/('Scope Review'!$B$5:$B$204=A657),'Scope Review'!$H$5:$H$204),""))</x:f>
      </x:c>
      <x:c r="P657" s="172" t="str">
        <x:f>IF(A657="","",IF(AND(C657="executing",N657&lt;&gt;"Confirmed OOS"),M657,0))</x:f>
      </x:c>
      <x:c r="Q657" s="173" t="str">
        <x:f>IF(A657="","",IFERROR(LOOKUP(2,1/('Engineer Updates'!$B$5:$B$704=A657),'Engineer Updates'!$A$5:$A$704),""))</x:f>
      </x:c>
      <x:c r="R657" s="172" t="str">
        <x:f>IF(A657="","",IFERROR(LOOKUP(2,1/('Engineer Updates'!$B$5:$B$704=A657),'Engineer Updates'!$H$5:$H$704),""))</x:f>
      </x:c>
      <x:c r="S657" s="172" t="str">
        <x:f>IF(A657="","",IFERROR(LOOKUP(2,1/('Engineer Updates'!$B$5:$B$704=A657),'Engineer Updates'!$G$5:$G$704),""))</x:f>
      </x:c>
      <x:c r="T657" s="172" t="str">
        <x:f>IF(A657="","",IFERROR(LOOKUP(2,1/('Engineer Updates'!$B$5:$B$704=A657),'Engineer Updates'!$I$5:$I$704),""))</x:f>
      </x:c>
      <x:c r="U657" s="172" t="str">
        <x:f>IF(A657="","",IFERROR(LOOKUP(2,1/('Engineer Updates'!$B$5:$B$704=A657),'Engineer Updates'!$J$5:$J$704),""))</x:f>
      </x:c>
      <x:c r="V657" s="172" t="str">
        <x:f>IF(A657="","",IFERROR(LOOKUP(2,1/('Engineer Updates'!$B$5:$B$704=A657),'Engineer Updates'!$K$5:$K$704),""))</x:f>
      </x:c>
      <x:c r="W657" s="174" t="str">
        <x:f>IF(A657="","",IFERROR(LOOKUP(2,1/('Engineer Updates'!$B$5:$B$704=A657),'Engineer Updates'!$L$5:$L$704),""))</x:f>
      </x:c>
      <x:c r="X657" s="170" t="str">
        <x:f>IF(A657="","",IF(C657="completed","Completed in CSSP",IF(AND(C657="executing",ISERROR(SEARCH("@",K657))),"Executing without named engineer",IF(AND(N657="Confirmed OOS",C657="executing"),"Confirmed OOS still executing",""))))</x:f>
      </x:c>
      <x:c r="Y657" s="170" t="str">
        <x:f>IF(A657="","",IF(B657="Decommissioning","Raw Decommissioning","Raw Provisioning"))</x:f>
      </x:c>
      <x:c r="Z657" s="170" t="str">
        <x:f>IF(A657="","",IF(OR(C657="executing",C657="processing"),"Yes","No"))</x:f>
      </x:c>
    </x:row>
    <x:row r="658">
      <x:c r="A658" s="170" t="str">
        <x:f>IF(ROWS($A$5:A658)&lt;=COUNTA('Raw Decommissioning'!$B$2:$B$1000),INDEX('Raw Decommissioning'!$B$2:$B$1000,ROWS($A$5:A658)),IF(ROWS($A$5:A658)-COUNTA('Raw Decommissioning'!$B$2:$B$1000)&lt;=COUNTA('Raw Provisioning'!$B$2:$B$1000),INDEX('Raw Provisioning'!$B$2:$B$1000,ROWS($A$5:A658)-COUNTA('Raw Decommissioning'!$B$2:$B$1000)),""))</x:f>
      </x:c>
      <x:c r="B658" s="170" t="str">
        <x:f>IF(A658="","",IF(ROWS($A$5:A658)&lt;=COUNTA('Raw Decommissioning'!$B$2:$B$1000),"Decommissioning","Provisioning"))</x:f>
      </x:c>
      <x:c r="C658" s="170" t="str">
        <x:f>IF(A658="","",IF(B658="Decommissioning",IFERROR(INDEX('Raw Decommissioning'!$E$2:$E$1000,MATCH(A658,'Raw Decommissioning'!$B$2:$B$1000,0)),"Missing from latest raw"),IFERROR(INDEX('Raw Provisioning'!$E$2:$E$1000,MATCH(A658,'Raw Provisioning'!$B$2:$B$1000,0)),"Missing from latest raw")))</x:f>
      </x:c>
      <x:c r="D658" s="171" t="str">
        <x:f>IF(A658="","",'Refresh Control'!$B$4)</x:f>
      </x:c>
      <x:c r="E658" s="171" t="str">
        <x:f>IF(A658="","",IF(B658="Decommissioning",INDEX('Raw Decommissioning'!$F$2:$F$1000,ROWS($A$5:A658)),INDEX('Raw Provisioning'!$F$2:$F$1000,ROWS($A$5:A658)-COUNTA('Raw Decommissioning'!$B$2:$B$1000))))</x:f>
      </x:c>
      <x:c r="F658" s="171" t="str">
        <x:f>IF(A658="","",IF(B658="Decommissioning",INDEX('Raw Decommissioning'!$G$2:$G$1000,ROWS($A$5:A658)),INDEX('Raw Provisioning'!$H$2:$H$1000,ROWS($A$5:A658)-COUNTA('Raw Decommissioning'!$B$2:$B$1000))))</x:f>
      </x:c>
      <x:c r="G658" s="170" t="str">
        <x:f>IF(A658="","",IF(B658="Decommissioning",INDEX('Raw Decommissioning'!$I$2:$I$1000,ROWS($A$5:A658)),INDEX('Raw Provisioning'!$J$2:$J$1000,ROWS($A$5:A658)-COUNTA('Raw Decommissioning'!$B$2:$B$1000))))</x:f>
      </x:c>
      <x:c r="H658" s="170" t="str">
        <x:f>IF(A658="","",IF(B658="Decommissioning",INDEX('Raw Decommissioning'!$J$2:$J$1000,ROWS($A$5:A658)),INDEX('Raw Provisioning'!$L$2:$L$1000,ROWS($A$5:A658)-COUNTA('Raw Decommissioning'!$B$2:$B$1000))))</x:f>
      </x:c>
      <x:c r="I658" s="170" t="str">
        <x:f>IF(A658="","",IF(B658="Decommissioning",INDEX('Raw Decommissioning'!$AL$2:$AL$1000,ROWS($A$5:A658)),INDEX('Raw Provisioning'!$R$2:$R$1000,ROWS($A$5:A658)-COUNTA('Raw Decommissioning'!$B$2:$B$1000))))</x:f>
      </x:c>
      <x:c r="J658" s="170" t="str">
        <x:f>IF(A658="","",IF(B658="Decommissioning",INDEX('Raw Decommissioning'!$AG$2:$AG$1000,ROWS($A$5:A658)),INDEX('Raw Provisioning'!$AI$2:$AI$1000,ROWS($A$5:A658)-COUNTA('Raw Decommissioning'!$B$2:$B$1000))))</x:f>
      </x:c>
      <x:c r="K658" s="172" t="str">
        <x:f>IF(A658="","",IFERROR(LOOKUP(2,1/('Assignment History'!$B$5:$B$204=A658),'Assignment History'!$D$5:$D$204),IFERROR(VLOOKUP(J658,Configuration!$L$5:$M$50,2,FALSE),J658)))</x:f>
      </x:c>
      <x:c r="L658" s="172" t="str">
        <x:f>IF(A658="","",IF(K658=IFERROR(VLOOKUP(J658,Configuration!$L$5:$M$50,2,FALSE),J658),"Snapshot PIC","Replacement PIC"))</x:f>
      </x:c>
      <x:c r="M658" s="172" t="str">
        <x:f>IF(A658="","",IFERROR(VLOOKUP(I658,Configuration!$O$5:$P$8,2,FALSE),Configuration!$S$6))</x:f>
      </x:c>
      <x:c r="N658" s="172" t="str">
        <x:f>IF(A658="","",IFERROR(LOOKUP(2,1/('Scope Review'!$B$5:$B$204=A658),'Scope Review'!$G$5:$G$204),"Not Reviewed"))</x:f>
      </x:c>
      <x:c r="O658" s="172" t="str">
        <x:f>IF(A658="","",IFERROR(LOOKUP(2,1/('Scope Review'!$B$5:$B$204=A658),'Scope Review'!$H$5:$H$204),""))</x:f>
      </x:c>
      <x:c r="P658" s="172" t="str">
        <x:f>IF(A658="","",IF(AND(C658="executing",N658&lt;&gt;"Confirmed OOS"),M658,0))</x:f>
      </x:c>
      <x:c r="Q658" s="173" t="str">
        <x:f>IF(A658="","",IFERROR(LOOKUP(2,1/('Engineer Updates'!$B$5:$B$704=A658),'Engineer Updates'!$A$5:$A$704),""))</x:f>
      </x:c>
      <x:c r="R658" s="172" t="str">
        <x:f>IF(A658="","",IFERROR(LOOKUP(2,1/('Engineer Updates'!$B$5:$B$704=A658),'Engineer Updates'!$H$5:$H$704),""))</x:f>
      </x:c>
      <x:c r="S658" s="172" t="str">
        <x:f>IF(A658="","",IFERROR(LOOKUP(2,1/('Engineer Updates'!$B$5:$B$704=A658),'Engineer Updates'!$G$5:$G$704),""))</x:f>
      </x:c>
      <x:c r="T658" s="172" t="str">
        <x:f>IF(A658="","",IFERROR(LOOKUP(2,1/('Engineer Updates'!$B$5:$B$704=A658),'Engineer Updates'!$I$5:$I$704),""))</x:f>
      </x:c>
      <x:c r="U658" s="172" t="str">
        <x:f>IF(A658="","",IFERROR(LOOKUP(2,1/('Engineer Updates'!$B$5:$B$704=A658),'Engineer Updates'!$J$5:$J$704),""))</x:f>
      </x:c>
      <x:c r="V658" s="172" t="str">
        <x:f>IF(A658="","",IFERROR(LOOKUP(2,1/('Engineer Updates'!$B$5:$B$704=A658),'Engineer Updates'!$K$5:$K$704),""))</x:f>
      </x:c>
      <x:c r="W658" s="174" t="str">
        <x:f>IF(A658="","",IFERROR(LOOKUP(2,1/('Engineer Updates'!$B$5:$B$704=A658),'Engineer Updates'!$L$5:$L$704),""))</x:f>
      </x:c>
      <x:c r="X658" s="170" t="str">
        <x:f>IF(A658="","",IF(C658="completed","Completed in CSSP",IF(AND(C658="executing",ISERROR(SEARCH("@",K658))),"Executing without named engineer",IF(AND(N658="Confirmed OOS",C658="executing"),"Confirmed OOS still executing",""))))</x:f>
      </x:c>
      <x:c r="Y658" s="170" t="str">
        <x:f>IF(A658="","",IF(B658="Decommissioning","Raw Decommissioning","Raw Provisioning"))</x:f>
      </x:c>
      <x:c r="Z658" s="170" t="str">
        <x:f>IF(A658="","",IF(OR(C658="executing",C658="processing"),"Yes","No"))</x:f>
      </x:c>
    </x:row>
    <x:row r="659">
      <x:c r="A659" s="170" t="str">
        <x:f>IF(ROWS($A$5:A659)&lt;=COUNTA('Raw Decommissioning'!$B$2:$B$1000),INDEX('Raw Decommissioning'!$B$2:$B$1000,ROWS($A$5:A659)),IF(ROWS($A$5:A659)-COUNTA('Raw Decommissioning'!$B$2:$B$1000)&lt;=COUNTA('Raw Provisioning'!$B$2:$B$1000),INDEX('Raw Provisioning'!$B$2:$B$1000,ROWS($A$5:A659)-COUNTA('Raw Decommissioning'!$B$2:$B$1000)),""))</x:f>
      </x:c>
      <x:c r="B659" s="170" t="str">
        <x:f>IF(A659="","",IF(ROWS($A$5:A659)&lt;=COUNTA('Raw Decommissioning'!$B$2:$B$1000),"Decommissioning","Provisioning"))</x:f>
      </x:c>
      <x:c r="C659" s="170" t="str">
        <x:f>IF(A659="","",IF(B659="Decommissioning",IFERROR(INDEX('Raw Decommissioning'!$E$2:$E$1000,MATCH(A659,'Raw Decommissioning'!$B$2:$B$1000,0)),"Missing from latest raw"),IFERROR(INDEX('Raw Provisioning'!$E$2:$E$1000,MATCH(A659,'Raw Provisioning'!$B$2:$B$1000,0)),"Missing from latest raw")))</x:f>
      </x:c>
      <x:c r="D659" s="171" t="str">
        <x:f>IF(A659="","",'Refresh Control'!$B$4)</x:f>
      </x:c>
      <x:c r="E659" s="171" t="str">
        <x:f>IF(A659="","",IF(B659="Decommissioning",INDEX('Raw Decommissioning'!$F$2:$F$1000,ROWS($A$5:A659)),INDEX('Raw Provisioning'!$F$2:$F$1000,ROWS($A$5:A659)-COUNTA('Raw Decommissioning'!$B$2:$B$1000))))</x:f>
      </x:c>
      <x:c r="F659" s="171" t="str">
        <x:f>IF(A659="","",IF(B659="Decommissioning",INDEX('Raw Decommissioning'!$G$2:$G$1000,ROWS($A$5:A659)),INDEX('Raw Provisioning'!$H$2:$H$1000,ROWS($A$5:A659)-COUNTA('Raw Decommissioning'!$B$2:$B$1000))))</x:f>
      </x:c>
      <x:c r="G659" s="170" t="str">
        <x:f>IF(A659="","",IF(B659="Decommissioning",INDEX('Raw Decommissioning'!$I$2:$I$1000,ROWS($A$5:A659)),INDEX('Raw Provisioning'!$J$2:$J$1000,ROWS($A$5:A659)-COUNTA('Raw Decommissioning'!$B$2:$B$1000))))</x:f>
      </x:c>
      <x:c r="H659" s="170" t="str">
        <x:f>IF(A659="","",IF(B659="Decommissioning",INDEX('Raw Decommissioning'!$J$2:$J$1000,ROWS($A$5:A659)),INDEX('Raw Provisioning'!$L$2:$L$1000,ROWS($A$5:A659)-COUNTA('Raw Decommissioning'!$B$2:$B$1000))))</x:f>
      </x:c>
      <x:c r="I659" s="170" t="str">
        <x:f>IF(A659="","",IF(B659="Decommissioning",INDEX('Raw Decommissioning'!$AL$2:$AL$1000,ROWS($A$5:A659)),INDEX('Raw Provisioning'!$R$2:$R$1000,ROWS($A$5:A659)-COUNTA('Raw Decommissioning'!$B$2:$B$1000))))</x:f>
      </x:c>
      <x:c r="J659" s="170" t="str">
        <x:f>IF(A659="","",IF(B659="Decommissioning",INDEX('Raw Decommissioning'!$AG$2:$AG$1000,ROWS($A$5:A659)),INDEX('Raw Provisioning'!$AI$2:$AI$1000,ROWS($A$5:A659)-COUNTA('Raw Decommissioning'!$B$2:$B$1000))))</x:f>
      </x:c>
      <x:c r="K659" s="172" t="str">
        <x:f>IF(A659="","",IFERROR(LOOKUP(2,1/('Assignment History'!$B$5:$B$204=A659),'Assignment History'!$D$5:$D$204),IFERROR(VLOOKUP(J659,Configuration!$L$5:$M$50,2,FALSE),J659)))</x:f>
      </x:c>
      <x:c r="L659" s="172" t="str">
        <x:f>IF(A659="","",IF(K659=IFERROR(VLOOKUP(J659,Configuration!$L$5:$M$50,2,FALSE),J659),"Snapshot PIC","Replacement PIC"))</x:f>
      </x:c>
      <x:c r="M659" s="172" t="str">
        <x:f>IF(A659="","",IFERROR(VLOOKUP(I659,Configuration!$O$5:$P$8,2,FALSE),Configuration!$S$6))</x:f>
      </x:c>
      <x:c r="N659" s="172" t="str">
        <x:f>IF(A659="","",IFERROR(LOOKUP(2,1/('Scope Review'!$B$5:$B$204=A659),'Scope Review'!$G$5:$G$204),"Not Reviewed"))</x:f>
      </x:c>
      <x:c r="O659" s="172" t="str">
        <x:f>IF(A659="","",IFERROR(LOOKUP(2,1/('Scope Review'!$B$5:$B$204=A659),'Scope Review'!$H$5:$H$204),""))</x:f>
      </x:c>
      <x:c r="P659" s="172" t="str">
        <x:f>IF(A659="","",IF(AND(C659="executing",N659&lt;&gt;"Confirmed OOS"),M659,0))</x:f>
      </x:c>
      <x:c r="Q659" s="173" t="str">
        <x:f>IF(A659="","",IFERROR(LOOKUP(2,1/('Engineer Updates'!$B$5:$B$704=A659),'Engineer Updates'!$A$5:$A$704),""))</x:f>
      </x:c>
      <x:c r="R659" s="172" t="str">
        <x:f>IF(A659="","",IFERROR(LOOKUP(2,1/('Engineer Updates'!$B$5:$B$704=A659),'Engineer Updates'!$H$5:$H$704),""))</x:f>
      </x:c>
      <x:c r="S659" s="172" t="str">
        <x:f>IF(A659="","",IFERROR(LOOKUP(2,1/('Engineer Updates'!$B$5:$B$704=A659),'Engineer Updates'!$G$5:$G$704),""))</x:f>
      </x:c>
      <x:c r="T659" s="172" t="str">
        <x:f>IF(A659="","",IFERROR(LOOKUP(2,1/('Engineer Updates'!$B$5:$B$704=A659),'Engineer Updates'!$I$5:$I$704),""))</x:f>
      </x:c>
      <x:c r="U659" s="172" t="str">
        <x:f>IF(A659="","",IFERROR(LOOKUP(2,1/('Engineer Updates'!$B$5:$B$704=A659),'Engineer Updates'!$J$5:$J$704),""))</x:f>
      </x:c>
      <x:c r="V659" s="172" t="str">
        <x:f>IF(A659="","",IFERROR(LOOKUP(2,1/('Engineer Updates'!$B$5:$B$704=A659),'Engineer Updates'!$K$5:$K$704),""))</x:f>
      </x:c>
      <x:c r="W659" s="174" t="str">
        <x:f>IF(A659="","",IFERROR(LOOKUP(2,1/('Engineer Updates'!$B$5:$B$704=A659),'Engineer Updates'!$L$5:$L$704),""))</x:f>
      </x:c>
      <x:c r="X659" s="170" t="str">
        <x:f>IF(A659="","",IF(C659="completed","Completed in CSSP",IF(AND(C659="executing",ISERROR(SEARCH("@",K659))),"Executing without named engineer",IF(AND(N659="Confirmed OOS",C659="executing"),"Confirmed OOS still executing",""))))</x:f>
      </x:c>
      <x:c r="Y659" s="170" t="str">
        <x:f>IF(A659="","",IF(B659="Decommissioning","Raw Decommissioning","Raw Provisioning"))</x:f>
      </x:c>
      <x:c r="Z659" s="170" t="str">
        <x:f>IF(A659="","",IF(OR(C659="executing",C659="processing"),"Yes","No"))</x:f>
      </x:c>
    </x:row>
    <x:row r="660">
      <x:c r="A660" s="170" t="str">
        <x:f>IF(ROWS($A$5:A660)&lt;=COUNTA('Raw Decommissioning'!$B$2:$B$1000),INDEX('Raw Decommissioning'!$B$2:$B$1000,ROWS($A$5:A660)),IF(ROWS($A$5:A660)-COUNTA('Raw Decommissioning'!$B$2:$B$1000)&lt;=COUNTA('Raw Provisioning'!$B$2:$B$1000),INDEX('Raw Provisioning'!$B$2:$B$1000,ROWS($A$5:A660)-COUNTA('Raw Decommissioning'!$B$2:$B$1000)),""))</x:f>
      </x:c>
      <x:c r="B660" s="170" t="str">
        <x:f>IF(A660="","",IF(ROWS($A$5:A660)&lt;=COUNTA('Raw Decommissioning'!$B$2:$B$1000),"Decommissioning","Provisioning"))</x:f>
      </x:c>
      <x:c r="C660" s="170" t="str">
        <x:f>IF(A660="","",IF(B660="Decommissioning",IFERROR(INDEX('Raw Decommissioning'!$E$2:$E$1000,MATCH(A660,'Raw Decommissioning'!$B$2:$B$1000,0)),"Missing from latest raw"),IFERROR(INDEX('Raw Provisioning'!$E$2:$E$1000,MATCH(A660,'Raw Provisioning'!$B$2:$B$1000,0)),"Missing from latest raw")))</x:f>
      </x:c>
      <x:c r="D660" s="171" t="str">
        <x:f>IF(A660="","",'Refresh Control'!$B$4)</x:f>
      </x:c>
      <x:c r="E660" s="171" t="str">
        <x:f>IF(A660="","",IF(B660="Decommissioning",INDEX('Raw Decommissioning'!$F$2:$F$1000,ROWS($A$5:A660)),INDEX('Raw Provisioning'!$F$2:$F$1000,ROWS($A$5:A660)-COUNTA('Raw Decommissioning'!$B$2:$B$1000))))</x:f>
      </x:c>
      <x:c r="F660" s="171" t="str">
        <x:f>IF(A660="","",IF(B660="Decommissioning",INDEX('Raw Decommissioning'!$G$2:$G$1000,ROWS($A$5:A660)),INDEX('Raw Provisioning'!$H$2:$H$1000,ROWS($A$5:A660)-COUNTA('Raw Decommissioning'!$B$2:$B$1000))))</x:f>
      </x:c>
      <x:c r="G660" s="170" t="str">
        <x:f>IF(A660="","",IF(B660="Decommissioning",INDEX('Raw Decommissioning'!$I$2:$I$1000,ROWS($A$5:A660)),INDEX('Raw Provisioning'!$J$2:$J$1000,ROWS($A$5:A660)-COUNTA('Raw Decommissioning'!$B$2:$B$1000))))</x:f>
      </x:c>
      <x:c r="H660" s="170" t="str">
        <x:f>IF(A660="","",IF(B660="Decommissioning",INDEX('Raw Decommissioning'!$J$2:$J$1000,ROWS($A$5:A660)),INDEX('Raw Provisioning'!$L$2:$L$1000,ROWS($A$5:A660)-COUNTA('Raw Decommissioning'!$B$2:$B$1000))))</x:f>
      </x:c>
      <x:c r="I660" s="170" t="str">
        <x:f>IF(A660="","",IF(B660="Decommissioning",INDEX('Raw Decommissioning'!$AL$2:$AL$1000,ROWS($A$5:A660)),INDEX('Raw Provisioning'!$R$2:$R$1000,ROWS($A$5:A660)-COUNTA('Raw Decommissioning'!$B$2:$B$1000))))</x:f>
      </x:c>
      <x:c r="J660" s="170" t="str">
        <x:f>IF(A660="","",IF(B660="Decommissioning",INDEX('Raw Decommissioning'!$AG$2:$AG$1000,ROWS($A$5:A660)),INDEX('Raw Provisioning'!$AI$2:$AI$1000,ROWS($A$5:A660)-COUNTA('Raw Decommissioning'!$B$2:$B$1000))))</x:f>
      </x:c>
      <x:c r="K660" s="172" t="str">
        <x:f>IF(A660="","",IFERROR(LOOKUP(2,1/('Assignment History'!$B$5:$B$204=A660),'Assignment History'!$D$5:$D$204),IFERROR(VLOOKUP(J660,Configuration!$L$5:$M$50,2,FALSE),J660)))</x:f>
      </x:c>
      <x:c r="L660" s="172" t="str">
        <x:f>IF(A660="","",IF(K660=IFERROR(VLOOKUP(J660,Configuration!$L$5:$M$50,2,FALSE),J660),"Snapshot PIC","Replacement PIC"))</x:f>
      </x:c>
      <x:c r="M660" s="172" t="str">
        <x:f>IF(A660="","",IFERROR(VLOOKUP(I660,Configuration!$O$5:$P$8,2,FALSE),Configuration!$S$6))</x:f>
      </x:c>
      <x:c r="N660" s="172" t="str">
        <x:f>IF(A660="","",IFERROR(LOOKUP(2,1/('Scope Review'!$B$5:$B$204=A660),'Scope Review'!$G$5:$G$204),"Not Reviewed"))</x:f>
      </x:c>
      <x:c r="O660" s="172" t="str">
        <x:f>IF(A660="","",IFERROR(LOOKUP(2,1/('Scope Review'!$B$5:$B$204=A660),'Scope Review'!$H$5:$H$204),""))</x:f>
      </x:c>
      <x:c r="P660" s="172" t="str">
        <x:f>IF(A660="","",IF(AND(C660="executing",N660&lt;&gt;"Confirmed OOS"),M660,0))</x:f>
      </x:c>
      <x:c r="Q660" s="173" t="str">
        <x:f>IF(A660="","",IFERROR(LOOKUP(2,1/('Engineer Updates'!$B$5:$B$704=A660),'Engineer Updates'!$A$5:$A$704),""))</x:f>
      </x:c>
      <x:c r="R660" s="172" t="str">
        <x:f>IF(A660="","",IFERROR(LOOKUP(2,1/('Engineer Updates'!$B$5:$B$704=A660),'Engineer Updates'!$H$5:$H$704),""))</x:f>
      </x:c>
      <x:c r="S660" s="172" t="str">
        <x:f>IF(A660="","",IFERROR(LOOKUP(2,1/('Engineer Updates'!$B$5:$B$704=A660),'Engineer Updates'!$G$5:$G$704),""))</x:f>
      </x:c>
      <x:c r="T660" s="172" t="str">
        <x:f>IF(A660="","",IFERROR(LOOKUP(2,1/('Engineer Updates'!$B$5:$B$704=A660),'Engineer Updates'!$I$5:$I$704),""))</x:f>
      </x:c>
      <x:c r="U660" s="172" t="str">
        <x:f>IF(A660="","",IFERROR(LOOKUP(2,1/('Engineer Updates'!$B$5:$B$704=A660),'Engineer Updates'!$J$5:$J$704),""))</x:f>
      </x:c>
      <x:c r="V660" s="172" t="str">
        <x:f>IF(A660="","",IFERROR(LOOKUP(2,1/('Engineer Updates'!$B$5:$B$704=A660),'Engineer Updates'!$K$5:$K$704),""))</x:f>
      </x:c>
      <x:c r="W660" s="174" t="str">
        <x:f>IF(A660="","",IFERROR(LOOKUP(2,1/('Engineer Updates'!$B$5:$B$704=A660),'Engineer Updates'!$L$5:$L$704),""))</x:f>
      </x:c>
      <x:c r="X660" s="170" t="str">
        <x:f>IF(A660="","",IF(C660="completed","Completed in CSSP",IF(AND(C660="executing",ISERROR(SEARCH("@",K660))),"Executing without named engineer",IF(AND(N660="Confirmed OOS",C660="executing"),"Confirmed OOS still executing",""))))</x:f>
      </x:c>
      <x:c r="Y660" s="170" t="str">
        <x:f>IF(A660="","",IF(B660="Decommissioning","Raw Decommissioning","Raw Provisioning"))</x:f>
      </x:c>
      <x:c r="Z660" s="170" t="str">
        <x:f>IF(A660="","",IF(OR(C660="executing",C660="processing"),"Yes","No"))</x:f>
      </x:c>
    </x:row>
    <x:row r="661">
      <x:c r="A661" s="170" t="str">
        <x:f>IF(ROWS($A$5:A661)&lt;=COUNTA('Raw Decommissioning'!$B$2:$B$1000),INDEX('Raw Decommissioning'!$B$2:$B$1000,ROWS($A$5:A661)),IF(ROWS($A$5:A661)-COUNTA('Raw Decommissioning'!$B$2:$B$1000)&lt;=COUNTA('Raw Provisioning'!$B$2:$B$1000),INDEX('Raw Provisioning'!$B$2:$B$1000,ROWS($A$5:A661)-COUNTA('Raw Decommissioning'!$B$2:$B$1000)),""))</x:f>
      </x:c>
      <x:c r="B661" s="170" t="str">
        <x:f>IF(A661="","",IF(ROWS($A$5:A661)&lt;=COUNTA('Raw Decommissioning'!$B$2:$B$1000),"Decommissioning","Provisioning"))</x:f>
      </x:c>
      <x:c r="C661" s="170" t="str">
        <x:f>IF(A661="","",IF(B661="Decommissioning",IFERROR(INDEX('Raw Decommissioning'!$E$2:$E$1000,MATCH(A661,'Raw Decommissioning'!$B$2:$B$1000,0)),"Missing from latest raw"),IFERROR(INDEX('Raw Provisioning'!$E$2:$E$1000,MATCH(A661,'Raw Provisioning'!$B$2:$B$1000,0)),"Missing from latest raw")))</x:f>
      </x:c>
      <x:c r="D661" s="171" t="str">
        <x:f>IF(A661="","",'Refresh Control'!$B$4)</x:f>
      </x:c>
      <x:c r="E661" s="171" t="str">
        <x:f>IF(A661="","",IF(B661="Decommissioning",INDEX('Raw Decommissioning'!$F$2:$F$1000,ROWS($A$5:A661)),INDEX('Raw Provisioning'!$F$2:$F$1000,ROWS($A$5:A661)-COUNTA('Raw Decommissioning'!$B$2:$B$1000))))</x:f>
      </x:c>
      <x:c r="F661" s="171" t="str">
        <x:f>IF(A661="","",IF(B661="Decommissioning",INDEX('Raw Decommissioning'!$G$2:$G$1000,ROWS($A$5:A661)),INDEX('Raw Provisioning'!$H$2:$H$1000,ROWS($A$5:A661)-COUNTA('Raw Decommissioning'!$B$2:$B$1000))))</x:f>
      </x:c>
      <x:c r="G661" s="170" t="str">
        <x:f>IF(A661="","",IF(B661="Decommissioning",INDEX('Raw Decommissioning'!$I$2:$I$1000,ROWS($A$5:A661)),INDEX('Raw Provisioning'!$J$2:$J$1000,ROWS($A$5:A661)-COUNTA('Raw Decommissioning'!$B$2:$B$1000))))</x:f>
      </x:c>
      <x:c r="H661" s="170" t="str">
        <x:f>IF(A661="","",IF(B661="Decommissioning",INDEX('Raw Decommissioning'!$J$2:$J$1000,ROWS($A$5:A661)),INDEX('Raw Provisioning'!$L$2:$L$1000,ROWS($A$5:A661)-COUNTA('Raw Decommissioning'!$B$2:$B$1000))))</x:f>
      </x:c>
      <x:c r="I661" s="170" t="str">
        <x:f>IF(A661="","",IF(B661="Decommissioning",INDEX('Raw Decommissioning'!$AL$2:$AL$1000,ROWS($A$5:A661)),INDEX('Raw Provisioning'!$R$2:$R$1000,ROWS($A$5:A661)-COUNTA('Raw Decommissioning'!$B$2:$B$1000))))</x:f>
      </x:c>
      <x:c r="J661" s="170" t="str">
        <x:f>IF(A661="","",IF(B661="Decommissioning",INDEX('Raw Decommissioning'!$AG$2:$AG$1000,ROWS($A$5:A661)),INDEX('Raw Provisioning'!$AI$2:$AI$1000,ROWS($A$5:A661)-COUNTA('Raw Decommissioning'!$B$2:$B$1000))))</x:f>
      </x:c>
      <x:c r="K661" s="172" t="str">
        <x:f>IF(A661="","",IFERROR(LOOKUP(2,1/('Assignment History'!$B$5:$B$204=A661),'Assignment History'!$D$5:$D$204),IFERROR(VLOOKUP(J661,Configuration!$L$5:$M$50,2,FALSE),J661)))</x:f>
      </x:c>
      <x:c r="L661" s="172" t="str">
        <x:f>IF(A661="","",IF(K661=IFERROR(VLOOKUP(J661,Configuration!$L$5:$M$50,2,FALSE),J661),"Snapshot PIC","Replacement PIC"))</x:f>
      </x:c>
      <x:c r="M661" s="172" t="str">
        <x:f>IF(A661="","",IFERROR(VLOOKUP(I661,Configuration!$O$5:$P$8,2,FALSE),Configuration!$S$6))</x:f>
      </x:c>
      <x:c r="N661" s="172" t="str">
        <x:f>IF(A661="","",IFERROR(LOOKUP(2,1/('Scope Review'!$B$5:$B$204=A661),'Scope Review'!$G$5:$G$204),"Not Reviewed"))</x:f>
      </x:c>
      <x:c r="O661" s="172" t="str">
        <x:f>IF(A661="","",IFERROR(LOOKUP(2,1/('Scope Review'!$B$5:$B$204=A661),'Scope Review'!$H$5:$H$204),""))</x:f>
      </x:c>
      <x:c r="P661" s="172" t="str">
        <x:f>IF(A661="","",IF(AND(C661="executing",N661&lt;&gt;"Confirmed OOS"),M661,0))</x:f>
      </x:c>
      <x:c r="Q661" s="173" t="str">
        <x:f>IF(A661="","",IFERROR(LOOKUP(2,1/('Engineer Updates'!$B$5:$B$704=A661),'Engineer Updates'!$A$5:$A$704),""))</x:f>
      </x:c>
      <x:c r="R661" s="172" t="str">
        <x:f>IF(A661="","",IFERROR(LOOKUP(2,1/('Engineer Updates'!$B$5:$B$704=A661),'Engineer Updates'!$H$5:$H$704),""))</x:f>
      </x:c>
      <x:c r="S661" s="172" t="str">
        <x:f>IF(A661="","",IFERROR(LOOKUP(2,1/('Engineer Updates'!$B$5:$B$704=A661),'Engineer Updates'!$G$5:$G$704),""))</x:f>
      </x:c>
      <x:c r="T661" s="172" t="str">
        <x:f>IF(A661="","",IFERROR(LOOKUP(2,1/('Engineer Updates'!$B$5:$B$704=A661),'Engineer Updates'!$I$5:$I$704),""))</x:f>
      </x:c>
      <x:c r="U661" s="172" t="str">
        <x:f>IF(A661="","",IFERROR(LOOKUP(2,1/('Engineer Updates'!$B$5:$B$704=A661),'Engineer Updates'!$J$5:$J$704),""))</x:f>
      </x:c>
      <x:c r="V661" s="172" t="str">
        <x:f>IF(A661="","",IFERROR(LOOKUP(2,1/('Engineer Updates'!$B$5:$B$704=A661),'Engineer Updates'!$K$5:$K$704),""))</x:f>
      </x:c>
      <x:c r="W661" s="174" t="str">
        <x:f>IF(A661="","",IFERROR(LOOKUP(2,1/('Engineer Updates'!$B$5:$B$704=A661),'Engineer Updates'!$L$5:$L$704),""))</x:f>
      </x:c>
      <x:c r="X661" s="170" t="str">
        <x:f>IF(A661="","",IF(C661="completed","Completed in CSSP",IF(AND(C661="executing",ISERROR(SEARCH("@",K661))),"Executing without named engineer",IF(AND(N661="Confirmed OOS",C661="executing"),"Confirmed OOS still executing",""))))</x:f>
      </x:c>
      <x:c r="Y661" s="170" t="str">
        <x:f>IF(A661="","",IF(B661="Decommissioning","Raw Decommissioning","Raw Provisioning"))</x:f>
      </x:c>
      <x:c r="Z661" s="170" t="str">
        <x:f>IF(A661="","",IF(OR(C661="executing",C661="processing"),"Yes","No"))</x:f>
      </x:c>
    </x:row>
    <x:row r="662">
      <x:c r="A662" s="170" t="str">
        <x:f>IF(ROWS($A$5:A662)&lt;=COUNTA('Raw Decommissioning'!$B$2:$B$1000),INDEX('Raw Decommissioning'!$B$2:$B$1000,ROWS($A$5:A662)),IF(ROWS($A$5:A662)-COUNTA('Raw Decommissioning'!$B$2:$B$1000)&lt;=COUNTA('Raw Provisioning'!$B$2:$B$1000),INDEX('Raw Provisioning'!$B$2:$B$1000,ROWS($A$5:A662)-COUNTA('Raw Decommissioning'!$B$2:$B$1000)),""))</x:f>
      </x:c>
      <x:c r="B662" s="170" t="str">
        <x:f>IF(A662="","",IF(ROWS($A$5:A662)&lt;=COUNTA('Raw Decommissioning'!$B$2:$B$1000),"Decommissioning","Provisioning"))</x:f>
      </x:c>
      <x:c r="C662" s="170" t="str">
        <x:f>IF(A662="","",IF(B662="Decommissioning",IFERROR(INDEX('Raw Decommissioning'!$E$2:$E$1000,MATCH(A662,'Raw Decommissioning'!$B$2:$B$1000,0)),"Missing from latest raw"),IFERROR(INDEX('Raw Provisioning'!$E$2:$E$1000,MATCH(A662,'Raw Provisioning'!$B$2:$B$1000,0)),"Missing from latest raw")))</x:f>
      </x:c>
      <x:c r="D662" s="171" t="str">
        <x:f>IF(A662="","",'Refresh Control'!$B$4)</x:f>
      </x:c>
      <x:c r="E662" s="171" t="str">
        <x:f>IF(A662="","",IF(B662="Decommissioning",INDEX('Raw Decommissioning'!$F$2:$F$1000,ROWS($A$5:A662)),INDEX('Raw Provisioning'!$F$2:$F$1000,ROWS($A$5:A662)-COUNTA('Raw Decommissioning'!$B$2:$B$1000))))</x:f>
      </x:c>
      <x:c r="F662" s="171" t="str">
        <x:f>IF(A662="","",IF(B662="Decommissioning",INDEX('Raw Decommissioning'!$G$2:$G$1000,ROWS($A$5:A662)),INDEX('Raw Provisioning'!$H$2:$H$1000,ROWS($A$5:A662)-COUNTA('Raw Decommissioning'!$B$2:$B$1000))))</x:f>
      </x:c>
      <x:c r="G662" s="170" t="str">
        <x:f>IF(A662="","",IF(B662="Decommissioning",INDEX('Raw Decommissioning'!$I$2:$I$1000,ROWS($A$5:A662)),INDEX('Raw Provisioning'!$J$2:$J$1000,ROWS($A$5:A662)-COUNTA('Raw Decommissioning'!$B$2:$B$1000))))</x:f>
      </x:c>
      <x:c r="H662" s="170" t="str">
        <x:f>IF(A662="","",IF(B662="Decommissioning",INDEX('Raw Decommissioning'!$J$2:$J$1000,ROWS($A$5:A662)),INDEX('Raw Provisioning'!$L$2:$L$1000,ROWS($A$5:A662)-COUNTA('Raw Decommissioning'!$B$2:$B$1000))))</x:f>
      </x:c>
      <x:c r="I662" s="170" t="str">
        <x:f>IF(A662="","",IF(B662="Decommissioning",INDEX('Raw Decommissioning'!$AL$2:$AL$1000,ROWS($A$5:A662)),INDEX('Raw Provisioning'!$R$2:$R$1000,ROWS($A$5:A662)-COUNTA('Raw Decommissioning'!$B$2:$B$1000))))</x:f>
      </x:c>
      <x:c r="J662" s="170" t="str">
        <x:f>IF(A662="","",IF(B662="Decommissioning",INDEX('Raw Decommissioning'!$AG$2:$AG$1000,ROWS($A$5:A662)),INDEX('Raw Provisioning'!$AI$2:$AI$1000,ROWS($A$5:A662)-COUNTA('Raw Decommissioning'!$B$2:$B$1000))))</x:f>
      </x:c>
      <x:c r="K662" s="172" t="str">
        <x:f>IF(A662="","",IFERROR(LOOKUP(2,1/('Assignment History'!$B$5:$B$204=A662),'Assignment History'!$D$5:$D$204),IFERROR(VLOOKUP(J662,Configuration!$L$5:$M$50,2,FALSE),J662)))</x:f>
      </x:c>
      <x:c r="L662" s="172" t="str">
        <x:f>IF(A662="","",IF(K662=IFERROR(VLOOKUP(J662,Configuration!$L$5:$M$50,2,FALSE),J662),"Snapshot PIC","Replacement PIC"))</x:f>
      </x:c>
      <x:c r="M662" s="172" t="str">
        <x:f>IF(A662="","",IFERROR(VLOOKUP(I662,Configuration!$O$5:$P$8,2,FALSE),Configuration!$S$6))</x:f>
      </x:c>
      <x:c r="N662" s="172" t="str">
        <x:f>IF(A662="","",IFERROR(LOOKUP(2,1/('Scope Review'!$B$5:$B$204=A662),'Scope Review'!$G$5:$G$204),"Not Reviewed"))</x:f>
      </x:c>
      <x:c r="O662" s="172" t="str">
        <x:f>IF(A662="","",IFERROR(LOOKUP(2,1/('Scope Review'!$B$5:$B$204=A662),'Scope Review'!$H$5:$H$204),""))</x:f>
      </x:c>
      <x:c r="P662" s="172" t="str">
        <x:f>IF(A662="","",IF(AND(C662="executing",N662&lt;&gt;"Confirmed OOS"),M662,0))</x:f>
      </x:c>
      <x:c r="Q662" s="173" t="str">
        <x:f>IF(A662="","",IFERROR(LOOKUP(2,1/('Engineer Updates'!$B$5:$B$704=A662),'Engineer Updates'!$A$5:$A$704),""))</x:f>
      </x:c>
      <x:c r="R662" s="172" t="str">
        <x:f>IF(A662="","",IFERROR(LOOKUP(2,1/('Engineer Updates'!$B$5:$B$704=A662),'Engineer Updates'!$H$5:$H$704),""))</x:f>
      </x:c>
      <x:c r="S662" s="172" t="str">
        <x:f>IF(A662="","",IFERROR(LOOKUP(2,1/('Engineer Updates'!$B$5:$B$704=A662),'Engineer Updates'!$G$5:$G$704),""))</x:f>
      </x:c>
      <x:c r="T662" s="172" t="str">
        <x:f>IF(A662="","",IFERROR(LOOKUP(2,1/('Engineer Updates'!$B$5:$B$704=A662),'Engineer Updates'!$I$5:$I$704),""))</x:f>
      </x:c>
      <x:c r="U662" s="172" t="str">
        <x:f>IF(A662="","",IFERROR(LOOKUP(2,1/('Engineer Updates'!$B$5:$B$704=A662),'Engineer Updates'!$J$5:$J$704),""))</x:f>
      </x:c>
      <x:c r="V662" s="172" t="str">
        <x:f>IF(A662="","",IFERROR(LOOKUP(2,1/('Engineer Updates'!$B$5:$B$704=A662),'Engineer Updates'!$K$5:$K$704),""))</x:f>
      </x:c>
      <x:c r="W662" s="174" t="str">
        <x:f>IF(A662="","",IFERROR(LOOKUP(2,1/('Engineer Updates'!$B$5:$B$704=A662),'Engineer Updates'!$L$5:$L$704),""))</x:f>
      </x:c>
      <x:c r="X662" s="170" t="str">
        <x:f>IF(A662="","",IF(C662="completed","Completed in CSSP",IF(AND(C662="executing",ISERROR(SEARCH("@",K662))),"Executing without named engineer",IF(AND(N662="Confirmed OOS",C662="executing"),"Confirmed OOS still executing",""))))</x:f>
      </x:c>
      <x:c r="Y662" s="170" t="str">
        <x:f>IF(A662="","",IF(B662="Decommissioning","Raw Decommissioning","Raw Provisioning"))</x:f>
      </x:c>
      <x:c r="Z662" s="170" t="str">
        <x:f>IF(A662="","",IF(OR(C662="executing",C662="processing"),"Yes","No"))</x:f>
      </x:c>
    </x:row>
    <x:row r="663">
      <x:c r="A663" s="170" t="str">
        <x:f>IF(ROWS($A$5:A663)&lt;=COUNTA('Raw Decommissioning'!$B$2:$B$1000),INDEX('Raw Decommissioning'!$B$2:$B$1000,ROWS($A$5:A663)),IF(ROWS($A$5:A663)-COUNTA('Raw Decommissioning'!$B$2:$B$1000)&lt;=COUNTA('Raw Provisioning'!$B$2:$B$1000),INDEX('Raw Provisioning'!$B$2:$B$1000,ROWS($A$5:A663)-COUNTA('Raw Decommissioning'!$B$2:$B$1000)),""))</x:f>
      </x:c>
      <x:c r="B663" s="170" t="str">
        <x:f>IF(A663="","",IF(ROWS($A$5:A663)&lt;=COUNTA('Raw Decommissioning'!$B$2:$B$1000),"Decommissioning","Provisioning"))</x:f>
      </x:c>
      <x:c r="C663" s="170" t="str">
        <x:f>IF(A663="","",IF(B663="Decommissioning",IFERROR(INDEX('Raw Decommissioning'!$E$2:$E$1000,MATCH(A663,'Raw Decommissioning'!$B$2:$B$1000,0)),"Missing from latest raw"),IFERROR(INDEX('Raw Provisioning'!$E$2:$E$1000,MATCH(A663,'Raw Provisioning'!$B$2:$B$1000,0)),"Missing from latest raw")))</x:f>
      </x:c>
      <x:c r="D663" s="171" t="str">
        <x:f>IF(A663="","",'Refresh Control'!$B$4)</x:f>
      </x:c>
      <x:c r="E663" s="171" t="str">
        <x:f>IF(A663="","",IF(B663="Decommissioning",INDEX('Raw Decommissioning'!$F$2:$F$1000,ROWS($A$5:A663)),INDEX('Raw Provisioning'!$F$2:$F$1000,ROWS($A$5:A663)-COUNTA('Raw Decommissioning'!$B$2:$B$1000))))</x:f>
      </x:c>
      <x:c r="F663" s="171" t="str">
        <x:f>IF(A663="","",IF(B663="Decommissioning",INDEX('Raw Decommissioning'!$G$2:$G$1000,ROWS($A$5:A663)),INDEX('Raw Provisioning'!$H$2:$H$1000,ROWS($A$5:A663)-COUNTA('Raw Decommissioning'!$B$2:$B$1000))))</x:f>
      </x:c>
      <x:c r="G663" s="170" t="str">
        <x:f>IF(A663="","",IF(B663="Decommissioning",INDEX('Raw Decommissioning'!$I$2:$I$1000,ROWS($A$5:A663)),INDEX('Raw Provisioning'!$J$2:$J$1000,ROWS($A$5:A663)-COUNTA('Raw Decommissioning'!$B$2:$B$1000))))</x:f>
      </x:c>
      <x:c r="H663" s="170" t="str">
        <x:f>IF(A663="","",IF(B663="Decommissioning",INDEX('Raw Decommissioning'!$J$2:$J$1000,ROWS($A$5:A663)),INDEX('Raw Provisioning'!$L$2:$L$1000,ROWS($A$5:A663)-COUNTA('Raw Decommissioning'!$B$2:$B$1000))))</x:f>
      </x:c>
      <x:c r="I663" s="170" t="str">
        <x:f>IF(A663="","",IF(B663="Decommissioning",INDEX('Raw Decommissioning'!$AL$2:$AL$1000,ROWS($A$5:A663)),INDEX('Raw Provisioning'!$R$2:$R$1000,ROWS($A$5:A663)-COUNTA('Raw Decommissioning'!$B$2:$B$1000))))</x:f>
      </x:c>
      <x:c r="J663" s="170" t="str">
        <x:f>IF(A663="","",IF(B663="Decommissioning",INDEX('Raw Decommissioning'!$AG$2:$AG$1000,ROWS($A$5:A663)),INDEX('Raw Provisioning'!$AI$2:$AI$1000,ROWS($A$5:A663)-COUNTA('Raw Decommissioning'!$B$2:$B$1000))))</x:f>
      </x:c>
      <x:c r="K663" s="172" t="str">
        <x:f>IF(A663="","",IFERROR(LOOKUP(2,1/('Assignment History'!$B$5:$B$204=A663),'Assignment History'!$D$5:$D$204),IFERROR(VLOOKUP(J663,Configuration!$L$5:$M$50,2,FALSE),J663)))</x:f>
      </x:c>
      <x:c r="L663" s="172" t="str">
        <x:f>IF(A663="","",IF(K663=IFERROR(VLOOKUP(J663,Configuration!$L$5:$M$50,2,FALSE),J663),"Snapshot PIC","Replacement PIC"))</x:f>
      </x:c>
      <x:c r="M663" s="172" t="str">
        <x:f>IF(A663="","",IFERROR(VLOOKUP(I663,Configuration!$O$5:$P$8,2,FALSE),Configuration!$S$6))</x:f>
      </x:c>
      <x:c r="N663" s="172" t="str">
        <x:f>IF(A663="","",IFERROR(LOOKUP(2,1/('Scope Review'!$B$5:$B$204=A663),'Scope Review'!$G$5:$G$204),"Not Reviewed"))</x:f>
      </x:c>
      <x:c r="O663" s="172" t="str">
        <x:f>IF(A663="","",IFERROR(LOOKUP(2,1/('Scope Review'!$B$5:$B$204=A663),'Scope Review'!$H$5:$H$204),""))</x:f>
      </x:c>
      <x:c r="P663" s="172" t="str">
        <x:f>IF(A663="","",IF(AND(C663="executing",N663&lt;&gt;"Confirmed OOS"),M663,0))</x:f>
      </x:c>
      <x:c r="Q663" s="173" t="str">
        <x:f>IF(A663="","",IFERROR(LOOKUP(2,1/('Engineer Updates'!$B$5:$B$704=A663),'Engineer Updates'!$A$5:$A$704),""))</x:f>
      </x:c>
      <x:c r="R663" s="172" t="str">
        <x:f>IF(A663="","",IFERROR(LOOKUP(2,1/('Engineer Updates'!$B$5:$B$704=A663),'Engineer Updates'!$H$5:$H$704),""))</x:f>
      </x:c>
      <x:c r="S663" s="172" t="str">
        <x:f>IF(A663="","",IFERROR(LOOKUP(2,1/('Engineer Updates'!$B$5:$B$704=A663),'Engineer Updates'!$G$5:$G$704),""))</x:f>
      </x:c>
      <x:c r="T663" s="172" t="str">
        <x:f>IF(A663="","",IFERROR(LOOKUP(2,1/('Engineer Updates'!$B$5:$B$704=A663),'Engineer Updates'!$I$5:$I$704),""))</x:f>
      </x:c>
      <x:c r="U663" s="172" t="str">
        <x:f>IF(A663="","",IFERROR(LOOKUP(2,1/('Engineer Updates'!$B$5:$B$704=A663),'Engineer Updates'!$J$5:$J$704),""))</x:f>
      </x:c>
      <x:c r="V663" s="172" t="str">
        <x:f>IF(A663="","",IFERROR(LOOKUP(2,1/('Engineer Updates'!$B$5:$B$704=A663),'Engineer Updates'!$K$5:$K$704),""))</x:f>
      </x:c>
      <x:c r="W663" s="174" t="str">
        <x:f>IF(A663="","",IFERROR(LOOKUP(2,1/('Engineer Updates'!$B$5:$B$704=A663),'Engineer Updates'!$L$5:$L$704),""))</x:f>
      </x:c>
      <x:c r="X663" s="170" t="str">
        <x:f>IF(A663="","",IF(C663="completed","Completed in CSSP",IF(AND(C663="executing",ISERROR(SEARCH("@",K663))),"Executing without named engineer",IF(AND(N663="Confirmed OOS",C663="executing"),"Confirmed OOS still executing",""))))</x:f>
      </x:c>
      <x:c r="Y663" s="170" t="str">
        <x:f>IF(A663="","",IF(B663="Decommissioning","Raw Decommissioning","Raw Provisioning"))</x:f>
      </x:c>
      <x:c r="Z663" s="170" t="str">
        <x:f>IF(A663="","",IF(OR(C663="executing",C663="processing"),"Yes","No"))</x:f>
      </x:c>
    </x:row>
    <x:row r="664">
      <x:c r="A664" s="170" t="str">
        <x:f>IF(ROWS($A$5:A664)&lt;=COUNTA('Raw Decommissioning'!$B$2:$B$1000),INDEX('Raw Decommissioning'!$B$2:$B$1000,ROWS($A$5:A664)),IF(ROWS($A$5:A664)-COUNTA('Raw Decommissioning'!$B$2:$B$1000)&lt;=COUNTA('Raw Provisioning'!$B$2:$B$1000),INDEX('Raw Provisioning'!$B$2:$B$1000,ROWS($A$5:A664)-COUNTA('Raw Decommissioning'!$B$2:$B$1000)),""))</x:f>
      </x:c>
      <x:c r="B664" s="170" t="str">
        <x:f>IF(A664="","",IF(ROWS($A$5:A664)&lt;=COUNTA('Raw Decommissioning'!$B$2:$B$1000),"Decommissioning","Provisioning"))</x:f>
      </x:c>
      <x:c r="C664" s="170" t="str">
        <x:f>IF(A664="","",IF(B664="Decommissioning",IFERROR(INDEX('Raw Decommissioning'!$E$2:$E$1000,MATCH(A664,'Raw Decommissioning'!$B$2:$B$1000,0)),"Missing from latest raw"),IFERROR(INDEX('Raw Provisioning'!$E$2:$E$1000,MATCH(A664,'Raw Provisioning'!$B$2:$B$1000,0)),"Missing from latest raw")))</x:f>
      </x:c>
      <x:c r="D664" s="171" t="str">
        <x:f>IF(A664="","",'Refresh Control'!$B$4)</x:f>
      </x:c>
      <x:c r="E664" s="171" t="str">
        <x:f>IF(A664="","",IF(B664="Decommissioning",INDEX('Raw Decommissioning'!$F$2:$F$1000,ROWS($A$5:A664)),INDEX('Raw Provisioning'!$F$2:$F$1000,ROWS($A$5:A664)-COUNTA('Raw Decommissioning'!$B$2:$B$1000))))</x:f>
      </x:c>
      <x:c r="F664" s="171" t="str">
        <x:f>IF(A664="","",IF(B664="Decommissioning",INDEX('Raw Decommissioning'!$G$2:$G$1000,ROWS($A$5:A664)),INDEX('Raw Provisioning'!$H$2:$H$1000,ROWS($A$5:A664)-COUNTA('Raw Decommissioning'!$B$2:$B$1000))))</x:f>
      </x:c>
      <x:c r="G664" s="170" t="str">
        <x:f>IF(A664="","",IF(B664="Decommissioning",INDEX('Raw Decommissioning'!$I$2:$I$1000,ROWS($A$5:A664)),INDEX('Raw Provisioning'!$J$2:$J$1000,ROWS($A$5:A664)-COUNTA('Raw Decommissioning'!$B$2:$B$1000))))</x:f>
      </x:c>
      <x:c r="H664" s="170" t="str">
        <x:f>IF(A664="","",IF(B664="Decommissioning",INDEX('Raw Decommissioning'!$J$2:$J$1000,ROWS($A$5:A664)),INDEX('Raw Provisioning'!$L$2:$L$1000,ROWS($A$5:A664)-COUNTA('Raw Decommissioning'!$B$2:$B$1000))))</x:f>
      </x:c>
      <x:c r="I664" s="170" t="str">
        <x:f>IF(A664="","",IF(B664="Decommissioning",INDEX('Raw Decommissioning'!$AL$2:$AL$1000,ROWS($A$5:A664)),INDEX('Raw Provisioning'!$R$2:$R$1000,ROWS($A$5:A664)-COUNTA('Raw Decommissioning'!$B$2:$B$1000))))</x:f>
      </x:c>
      <x:c r="J664" s="170" t="str">
        <x:f>IF(A664="","",IF(B664="Decommissioning",INDEX('Raw Decommissioning'!$AG$2:$AG$1000,ROWS($A$5:A664)),INDEX('Raw Provisioning'!$AI$2:$AI$1000,ROWS($A$5:A664)-COUNTA('Raw Decommissioning'!$B$2:$B$1000))))</x:f>
      </x:c>
      <x:c r="K664" s="172" t="str">
        <x:f>IF(A664="","",IFERROR(LOOKUP(2,1/('Assignment History'!$B$5:$B$204=A664),'Assignment History'!$D$5:$D$204),IFERROR(VLOOKUP(J664,Configuration!$L$5:$M$50,2,FALSE),J664)))</x:f>
      </x:c>
      <x:c r="L664" s="172" t="str">
        <x:f>IF(A664="","",IF(K664=IFERROR(VLOOKUP(J664,Configuration!$L$5:$M$50,2,FALSE),J664),"Snapshot PIC","Replacement PIC"))</x:f>
      </x:c>
      <x:c r="M664" s="172" t="str">
        <x:f>IF(A664="","",IFERROR(VLOOKUP(I664,Configuration!$O$5:$P$8,2,FALSE),Configuration!$S$6))</x:f>
      </x:c>
      <x:c r="N664" s="172" t="str">
        <x:f>IF(A664="","",IFERROR(LOOKUP(2,1/('Scope Review'!$B$5:$B$204=A664),'Scope Review'!$G$5:$G$204),"Not Reviewed"))</x:f>
      </x:c>
      <x:c r="O664" s="172" t="str">
        <x:f>IF(A664="","",IFERROR(LOOKUP(2,1/('Scope Review'!$B$5:$B$204=A664),'Scope Review'!$H$5:$H$204),""))</x:f>
      </x:c>
      <x:c r="P664" s="172" t="str">
        <x:f>IF(A664="","",IF(AND(C664="executing",N664&lt;&gt;"Confirmed OOS"),M664,0))</x:f>
      </x:c>
      <x:c r="Q664" s="173" t="str">
        <x:f>IF(A664="","",IFERROR(LOOKUP(2,1/('Engineer Updates'!$B$5:$B$704=A664),'Engineer Updates'!$A$5:$A$704),""))</x:f>
      </x:c>
      <x:c r="R664" s="172" t="str">
        <x:f>IF(A664="","",IFERROR(LOOKUP(2,1/('Engineer Updates'!$B$5:$B$704=A664),'Engineer Updates'!$H$5:$H$704),""))</x:f>
      </x:c>
      <x:c r="S664" s="172" t="str">
        <x:f>IF(A664="","",IFERROR(LOOKUP(2,1/('Engineer Updates'!$B$5:$B$704=A664),'Engineer Updates'!$G$5:$G$704),""))</x:f>
      </x:c>
      <x:c r="T664" s="172" t="str">
        <x:f>IF(A664="","",IFERROR(LOOKUP(2,1/('Engineer Updates'!$B$5:$B$704=A664),'Engineer Updates'!$I$5:$I$704),""))</x:f>
      </x:c>
      <x:c r="U664" s="172" t="str">
        <x:f>IF(A664="","",IFERROR(LOOKUP(2,1/('Engineer Updates'!$B$5:$B$704=A664),'Engineer Updates'!$J$5:$J$704),""))</x:f>
      </x:c>
      <x:c r="V664" s="172" t="str">
        <x:f>IF(A664="","",IFERROR(LOOKUP(2,1/('Engineer Updates'!$B$5:$B$704=A664),'Engineer Updates'!$K$5:$K$704),""))</x:f>
      </x:c>
      <x:c r="W664" s="174" t="str">
        <x:f>IF(A664="","",IFERROR(LOOKUP(2,1/('Engineer Updates'!$B$5:$B$704=A664),'Engineer Updates'!$L$5:$L$704),""))</x:f>
      </x:c>
      <x:c r="X664" s="170" t="str">
        <x:f>IF(A664="","",IF(C664="completed","Completed in CSSP",IF(AND(C664="executing",ISERROR(SEARCH("@",K664))),"Executing without named engineer",IF(AND(N664="Confirmed OOS",C664="executing"),"Confirmed OOS still executing",""))))</x:f>
      </x:c>
      <x:c r="Y664" s="170" t="str">
        <x:f>IF(A664="","",IF(B664="Decommissioning","Raw Decommissioning","Raw Provisioning"))</x:f>
      </x:c>
      <x:c r="Z664" s="170" t="str">
        <x:f>IF(A664="","",IF(OR(C664="executing",C664="processing"),"Yes","No"))</x:f>
      </x:c>
    </x:row>
    <x:row r="665">
      <x:c r="A665" s="170" t="str">
        <x:f>IF(ROWS($A$5:A665)&lt;=COUNTA('Raw Decommissioning'!$B$2:$B$1000),INDEX('Raw Decommissioning'!$B$2:$B$1000,ROWS($A$5:A665)),IF(ROWS($A$5:A665)-COUNTA('Raw Decommissioning'!$B$2:$B$1000)&lt;=COUNTA('Raw Provisioning'!$B$2:$B$1000),INDEX('Raw Provisioning'!$B$2:$B$1000,ROWS($A$5:A665)-COUNTA('Raw Decommissioning'!$B$2:$B$1000)),""))</x:f>
      </x:c>
      <x:c r="B665" s="170" t="str">
        <x:f>IF(A665="","",IF(ROWS($A$5:A665)&lt;=COUNTA('Raw Decommissioning'!$B$2:$B$1000),"Decommissioning","Provisioning"))</x:f>
      </x:c>
      <x:c r="C665" s="170" t="str">
        <x:f>IF(A665="","",IF(B665="Decommissioning",IFERROR(INDEX('Raw Decommissioning'!$E$2:$E$1000,MATCH(A665,'Raw Decommissioning'!$B$2:$B$1000,0)),"Missing from latest raw"),IFERROR(INDEX('Raw Provisioning'!$E$2:$E$1000,MATCH(A665,'Raw Provisioning'!$B$2:$B$1000,0)),"Missing from latest raw")))</x:f>
      </x:c>
      <x:c r="D665" s="171" t="str">
        <x:f>IF(A665="","",'Refresh Control'!$B$4)</x:f>
      </x:c>
      <x:c r="E665" s="171" t="str">
        <x:f>IF(A665="","",IF(B665="Decommissioning",INDEX('Raw Decommissioning'!$F$2:$F$1000,ROWS($A$5:A665)),INDEX('Raw Provisioning'!$F$2:$F$1000,ROWS($A$5:A665)-COUNTA('Raw Decommissioning'!$B$2:$B$1000))))</x:f>
      </x:c>
      <x:c r="F665" s="171" t="str">
        <x:f>IF(A665="","",IF(B665="Decommissioning",INDEX('Raw Decommissioning'!$G$2:$G$1000,ROWS($A$5:A665)),INDEX('Raw Provisioning'!$H$2:$H$1000,ROWS($A$5:A665)-COUNTA('Raw Decommissioning'!$B$2:$B$1000))))</x:f>
      </x:c>
      <x:c r="G665" s="170" t="str">
        <x:f>IF(A665="","",IF(B665="Decommissioning",INDEX('Raw Decommissioning'!$I$2:$I$1000,ROWS($A$5:A665)),INDEX('Raw Provisioning'!$J$2:$J$1000,ROWS($A$5:A665)-COUNTA('Raw Decommissioning'!$B$2:$B$1000))))</x:f>
      </x:c>
      <x:c r="H665" s="170" t="str">
        <x:f>IF(A665="","",IF(B665="Decommissioning",INDEX('Raw Decommissioning'!$J$2:$J$1000,ROWS($A$5:A665)),INDEX('Raw Provisioning'!$L$2:$L$1000,ROWS($A$5:A665)-COUNTA('Raw Decommissioning'!$B$2:$B$1000))))</x:f>
      </x:c>
      <x:c r="I665" s="170" t="str">
        <x:f>IF(A665="","",IF(B665="Decommissioning",INDEX('Raw Decommissioning'!$AL$2:$AL$1000,ROWS($A$5:A665)),INDEX('Raw Provisioning'!$R$2:$R$1000,ROWS($A$5:A665)-COUNTA('Raw Decommissioning'!$B$2:$B$1000))))</x:f>
      </x:c>
      <x:c r="J665" s="170" t="str">
        <x:f>IF(A665="","",IF(B665="Decommissioning",INDEX('Raw Decommissioning'!$AG$2:$AG$1000,ROWS($A$5:A665)),INDEX('Raw Provisioning'!$AI$2:$AI$1000,ROWS($A$5:A665)-COUNTA('Raw Decommissioning'!$B$2:$B$1000))))</x:f>
      </x:c>
      <x:c r="K665" s="172" t="str">
        <x:f>IF(A665="","",IFERROR(LOOKUP(2,1/('Assignment History'!$B$5:$B$204=A665),'Assignment History'!$D$5:$D$204),IFERROR(VLOOKUP(J665,Configuration!$L$5:$M$50,2,FALSE),J665)))</x:f>
      </x:c>
      <x:c r="L665" s="172" t="str">
        <x:f>IF(A665="","",IF(K665=IFERROR(VLOOKUP(J665,Configuration!$L$5:$M$50,2,FALSE),J665),"Snapshot PIC","Replacement PIC"))</x:f>
      </x:c>
      <x:c r="M665" s="172" t="str">
        <x:f>IF(A665="","",IFERROR(VLOOKUP(I665,Configuration!$O$5:$P$8,2,FALSE),Configuration!$S$6))</x:f>
      </x:c>
      <x:c r="N665" s="172" t="str">
        <x:f>IF(A665="","",IFERROR(LOOKUP(2,1/('Scope Review'!$B$5:$B$204=A665),'Scope Review'!$G$5:$G$204),"Not Reviewed"))</x:f>
      </x:c>
      <x:c r="O665" s="172" t="str">
        <x:f>IF(A665="","",IFERROR(LOOKUP(2,1/('Scope Review'!$B$5:$B$204=A665),'Scope Review'!$H$5:$H$204),""))</x:f>
      </x:c>
      <x:c r="P665" s="172" t="str">
        <x:f>IF(A665="","",IF(AND(C665="executing",N665&lt;&gt;"Confirmed OOS"),M665,0))</x:f>
      </x:c>
      <x:c r="Q665" s="173" t="str">
        <x:f>IF(A665="","",IFERROR(LOOKUP(2,1/('Engineer Updates'!$B$5:$B$704=A665),'Engineer Updates'!$A$5:$A$704),""))</x:f>
      </x:c>
      <x:c r="R665" s="172" t="str">
        <x:f>IF(A665="","",IFERROR(LOOKUP(2,1/('Engineer Updates'!$B$5:$B$704=A665),'Engineer Updates'!$H$5:$H$704),""))</x:f>
      </x:c>
      <x:c r="S665" s="172" t="str">
        <x:f>IF(A665="","",IFERROR(LOOKUP(2,1/('Engineer Updates'!$B$5:$B$704=A665),'Engineer Updates'!$G$5:$G$704),""))</x:f>
      </x:c>
      <x:c r="T665" s="172" t="str">
        <x:f>IF(A665="","",IFERROR(LOOKUP(2,1/('Engineer Updates'!$B$5:$B$704=A665),'Engineer Updates'!$I$5:$I$704),""))</x:f>
      </x:c>
      <x:c r="U665" s="172" t="str">
        <x:f>IF(A665="","",IFERROR(LOOKUP(2,1/('Engineer Updates'!$B$5:$B$704=A665),'Engineer Updates'!$J$5:$J$704),""))</x:f>
      </x:c>
      <x:c r="V665" s="172" t="str">
        <x:f>IF(A665="","",IFERROR(LOOKUP(2,1/('Engineer Updates'!$B$5:$B$704=A665),'Engineer Updates'!$K$5:$K$704),""))</x:f>
      </x:c>
      <x:c r="W665" s="174" t="str">
        <x:f>IF(A665="","",IFERROR(LOOKUP(2,1/('Engineer Updates'!$B$5:$B$704=A665),'Engineer Updates'!$L$5:$L$704),""))</x:f>
      </x:c>
      <x:c r="X665" s="170" t="str">
        <x:f>IF(A665="","",IF(C665="completed","Completed in CSSP",IF(AND(C665="executing",ISERROR(SEARCH("@",K665))),"Executing without named engineer",IF(AND(N665="Confirmed OOS",C665="executing"),"Confirmed OOS still executing",""))))</x:f>
      </x:c>
      <x:c r="Y665" s="170" t="str">
        <x:f>IF(A665="","",IF(B665="Decommissioning","Raw Decommissioning","Raw Provisioning"))</x:f>
      </x:c>
      <x:c r="Z665" s="170" t="str">
        <x:f>IF(A665="","",IF(OR(C665="executing",C665="processing"),"Yes","No"))</x:f>
      </x:c>
    </x:row>
    <x:row r="666">
      <x:c r="A666" s="170" t="str">
        <x:f>IF(ROWS($A$5:A666)&lt;=COUNTA('Raw Decommissioning'!$B$2:$B$1000),INDEX('Raw Decommissioning'!$B$2:$B$1000,ROWS($A$5:A666)),IF(ROWS($A$5:A666)-COUNTA('Raw Decommissioning'!$B$2:$B$1000)&lt;=COUNTA('Raw Provisioning'!$B$2:$B$1000),INDEX('Raw Provisioning'!$B$2:$B$1000,ROWS($A$5:A666)-COUNTA('Raw Decommissioning'!$B$2:$B$1000)),""))</x:f>
      </x:c>
      <x:c r="B666" s="170" t="str">
        <x:f>IF(A666="","",IF(ROWS($A$5:A666)&lt;=COUNTA('Raw Decommissioning'!$B$2:$B$1000),"Decommissioning","Provisioning"))</x:f>
      </x:c>
      <x:c r="C666" s="170" t="str">
        <x:f>IF(A666="","",IF(B666="Decommissioning",IFERROR(INDEX('Raw Decommissioning'!$E$2:$E$1000,MATCH(A666,'Raw Decommissioning'!$B$2:$B$1000,0)),"Missing from latest raw"),IFERROR(INDEX('Raw Provisioning'!$E$2:$E$1000,MATCH(A666,'Raw Provisioning'!$B$2:$B$1000,0)),"Missing from latest raw")))</x:f>
      </x:c>
      <x:c r="D666" s="171" t="str">
        <x:f>IF(A666="","",'Refresh Control'!$B$4)</x:f>
      </x:c>
      <x:c r="E666" s="171" t="str">
        <x:f>IF(A666="","",IF(B666="Decommissioning",INDEX('Raw Decommissioning'!$F$2:$F$1000,ROWS($A$5:A666)),INDEX('Raw Provisioning'!$F$2:$F$1000,ROWS($A$5:A666)-COUNTA('Raw Decommissioning'!$B$2:$B$1000))))</x:f>
      </x:c>
      <x:c r="F666" s="171" t="str">
        <x:f>IF(A666="","",IF(B666="Decommissioning",INDEX('Raw Decommissioning'!$G$2:$G$1000,ROWS($A$5:A666)),INDEX('Raw Provisioning'!$H$2:$H$1000,ROWS($A$5:A666)-COUNTA('Raw Decommissioning'!$B$2:$B$1000))))</x:f>
      </x:c>
      <x:c r="G666" s="170" t="str">
        <x:f>IF(A666="","",IF(B666="Decommissioning",INDEX('Raw Decommissioning'!$I$2:$I$1000,ROWS($A$5:A666)),INDEX('Raw Provisioning'!$J$2:$J$1000,ROWS($A$5:A666)-COUNTA('Raw Decommissioning'!$B$2:$B$1000))))</x:f>
      </x:c>
      <x:c r="H666" s="170" t="str">
        <x:f>IF(A666="","",IF(B666="Decommissioning",INDEX('Raw Decommissioning'!$J$2:$J$1000,ROWS($A$5:A666)),INDEX('Raw Provisioning'!$L$2:$L$1000,ROWS($A$5:A666)-COUNTA('Raw Decommissioning'!$B$2:$B$1000))))</x:f>
      </x:c>
      <x:c r="I666" s="170" t="str">
        <x:f>IF(A666="","",IF(B666="Decommissioning",INDEX('Raw Decommissioning'!$AL$2:$AL$1000,ROWS($A$5:A666)),INDEX('Raw Provisioning'!$R$2:$R$1000,ROWS($A$5:A666)-COUNTA('Raw Decommissioning'!$B$2:$B$1000))))</x:f>
      </x:c>
      <x:c r="J666" s="170" t="str">
        <x:f>IF(A666="","",IF(B666="Decommissioning",INDEX('Raw Decommissioning'!$AG$2:$AG$1000,ROWS($A$5:A666)),INDEX('Raw Provisioning'!$AI$2:$AI$1000,ROWS($A$5:A666)-COUNTA('Raw Decommissioning'!$B$2:$B$1000))))</x:f>
      </x:c>
      <x:c r="K666" s="172" t="str">
        <x:f>IF(A666="","",IFERROR(LOOKUP(2,1/('Assignment History'!$B$5:$B$204=A666),'Assignment History'!$D$5:$D$204),IFERROR(VLOOKUP(J666,Configuration!$L$5:$M$50,2,FALSE),J666)))</x:f>
      </x:c>
      <x:c r="L666" s="172" t="str">
        <x:f>IF(A666="","",IF(K666=IFERROR(VLOOKUP(J666,Configuration!$L$5:$M$50,2,FALSE),J666),"Snapshot PIC","Replacement PIC"))</x:f>
      </x:c>
      <x:c r="M666" s="172" t="str">
        <x:f>IF(A666="","",IFERROR(VLOOKUP(I666,Configuration!$O$5:$P$8,2,FALSE),Configuration!$S$6))</x:f>
      </x:c>
      <x:c r="N666" s="172" t="str">
        <x:f>IF(A666="","",IFERROR(LOOKUP(2,1/('Scope Review'!$B$5:$B$204=A666),'Scope Review'!$G$5:$G$204),"Not Reviewed"))</x:f>
      </x:c>
      <x:c r="O666" s="172" t="str">
        <x:f>IF(A666="","",IFERROR(LOOKUP(2,1/('Scope Review'!$B$5:$B$204=A666),'Scope Review'!$H$5:$H$204),""))</x:f>
      </x:c>
      <x:c r="P666" s="172" t="str">
        <x:f>IF(A666="","",IF(AND(C666="executing",N666&lt;&gt;"Confirmed OOS"),M666,0))</x:f>
      </x:c>
      <x:c r="Q666" s="173" t="str">
        <x:f>IF(A666="","",IFERROR(LOOKUP(2,1/('Engineer Updates'!$B$5:$B$704=A666),'Engineer Updates'!$A$5:$A$704),""))</x:f>
      </x:c>
      <x:c r="R666" s="172" t="str">
        <x:f>IF(A666="","",IFERROR(LOOKUP(2,1/('Engineer Updates'!$B$5:$B$704=A666),'Engineer Updates'!$H$5:$H$704),""))</x:f>
      </x:c>
      <x:c r="S666" s="172" t="str">
        <x:f>IF(A666="","",IFERROR(LOOKUP(2,1/('Engineer Updates'!$B$5:$B$704=A666),'Engineer Updates'!$G$5:$G$704),""))</x:f>
      </x:c>
      <x:c r="T666" s="172" t="str">
        <x:f>IF(A666="","",IFERROR(LOOKUP(2,1/('Engineer Updates'!$B$5:$B$704=A666),'Engineer Updates'!$I$5:$I$704),""))</x:f>
      </x:c>
      <x:c r="U666" s="172" t="str">
        <x:f>IF(A666="","",IFERROR(LOOKUP(2,1/('Engineer Updates'!$B$5:$B$704=A666),'Engineer Updates'!$J$5:$J$704),""))</x:f>
      </x:c>
      <x:c r="V666" s="172" t="str">
        <x:f>IF(A666="","",IFERROR(LOOKUP(2,1/('Engineer Updates'!$B$5:$B$704=A666),'Engineer Updates'!$K$5:$K$704),""))</x:f>
      </x:c>
      <x:c r="W666" s="174" t="str">
        <x:f>IF(A666="","",IFERROR(LOOKUP(2,1/('Engineer Updates'!$B$5:$B$704=A666),'Engineer Updates'!$L$5:$L$704),""))</x:f>
      </x:c>
      <x:c r="X666" s="170" t="str">
        <x:f>IF(A666="","",IF(C666="completed","Completed in CSSP",IF(AND(C666="executing",ISERROR(SEARCH("@",K666))),"Executing without named engineer",IF(AND(N666="Confirmed OOS",C666="executing"),"Confirmed OOS still executing",""))))</x:f>
      </x:c>
      <x:c r="Y666" s="170" t="str">
        <x:f>IF(A666="","",IF(B666="Decommissioning","Raw Decommissioning","Raw Provisioning"))</x:f>
      </x:c>
      <x:c r="Z666" s="170" t="str">
        <x:f>IF(A666="","",IF(OR(C666="executing",C666="processing"),"Yes","No"))</x:f>
      </x:c>
    </x:row>
    <x:row r="667">
      <x:c r="A667" s="170" t="str">
        <x:f>IF(ROWS($A$5:A667)&lt;=COUNTA('Raw Decommissioning'!$B$2:$B$1000),INDEX('Raw Decommissioning'!$B$2:$B$1000,ROWS($A$5:A667)),IF(ROWS($A$5:A667)-COUNTA('Raw Decommissioning'!$B$2:$B$1000)&lt;=COUNTA('Raw Provisioning'!$B$2:$B$1000),INDEX('Raw Provisioning'!$B$2:$B$1000,ROWS($A$5:A667)-COUNTA('Raw Decommissioning'!$B$2:$B$1000)),""))</x:f>
      </x:c>
      <x:c r="B667" s="170" t="str">
        <x:f>IF(A667="","",IF(ROWS($A$5:A667)&lt;=COUNTA('Raw Decommissioning'!$B$2:$B$1000),"Decommissioning","Provisioning"))</x:f>
      </x:c>
      <x:c r="C667" s="170" t="str">
        <x:f>IF(A667="","",IF(B667="Decommissioning",IFERROR(INDEX('Raw Decommissioning'!$E$2:$E$1000,MATCH(A667,'Raw Decommissioning'!$B$2:$B$1000,0)),"Missing from latest raw"),IFERROR(INDEX('Raw Provisioning'!$E$2:$E$1000,MATCH(A667,'Raw Provisioning'!$B$2:$B$1000,0)),"Missing from latest raw")))</x:f>
      </x:c>
      <x:c r="D667" s="171" t="str">
        <x:f>IF(A667="","",'Refresh Control'!$B$4)</x:f>
      </x:c>
      <x:c r="E667" s="171" t="str">
        <x:f>IF(A667="","",IF(B667="Decommissioning",INDEX('Raw Decommissioning'!$F$2:$F$1000,ROWS($A$5:A667)),INDEX('Raw Provisioning'!$F$2:$F$1000,ROWS($A$5:A667)-COUNTA('Raw Decommissioning'!$B$2:$B$1000))))</x:f>
      </x:c>
      <x:c r="F667" s="171" t="str">
        <x:f>IF(A667="","",IF(B667="Decommissioning",INDEX('Raw Decommissioning'!$G$2:$G$1000,ROWS($A$5:A667)),INDEX('Raw Provisioning'!$H$2:$H$1000,ROWS($A$5:A667)-COUNTA('Raw Decommissioning'!$B$2:$B$1000))))</x:f>
      </x:c>
      <x:c r="G667" s="170" t="str">
        <x:f>IF(A667="","",IF(B667="Decommissioning",INDEX('Raw Decommissioning'!$I$2:$I$1000,ROWS($A$5:A667)),INDEX('Raw Provisioning'!$J$2:$J$1000,ROWS($A$5:A667)-COUNTA('Raw Decommissioning'!$B$2:$B$1000))))</x:f>
      </x:c>
      <x:c r="H667" s="170" t="str">
        <x:f>IF(A667="","",IF(B667="Decommissioning",INDEX('Raw Decommissioning'!$J$2:$J$1000,ROWS($A$5:A667)),INDEX('Raw Provisioning'!$L$2:$L$1000,ROWS($A$5:A667)-COUNTA('Raw Decommissioning'!$B$2:$B$1000))))</x:f>
      </x:c>
      <x:c r="I667" s="170" t="str">
        <x:f>IF(A667="","",IF(B667="Decommissioning",INDEX('Raw Decommissioning'!$AL$2:$AL$1000,ROWS($A$5:A667)),INDEX('Raw Provisioning'!$R$2:$R$1000,ROWS($A$5:A667)-COUNTA('Raw Decommissioning'!$B$2:$B$1000))))</x:f>
      </x:c>
      <x:c r="J667" s="170" t="str">
        <x:f>IF(A667="","",IF(B667="Decommissioning",INDEX('Raw Decommissioning'!$AG$2:$AG$1000,ROWS($A$5:A667)),INDEX('Raw Provisioning'!$AI$2:$AI$1000,ROWS($A$5:A667)-COUNTA('Raw Decommissioning'!$B$2:$B$1000))))</x:f>
      </x:c>
      <x:c r="K667" s="172" t="str">
        <x:f>IF(A667="","",IFERROR(LOOKUP(2,1/('Assignment History'!$B$5:$B$204=A667),'Assignment History'!$D$5:$D$204),IFERROR(VLOOKUP(J667,Configuration!$L$5:$M$50,2,FALSE),J667)))</x:f>
      </x:c>
      <x:c r="L667" s="172" t="str">
        <x:f>IF(A667="","",IF(K667=IFERROR(VLOOKUP(J667,Configuration!$L$5:$M$50,2,FALSE),J667),"Snapshot PIC","Replacement PIC"))</x:f>
      </x:c>
      <x:c r="M667" s="172" t="str">
        <x:f>IF(A667="","",IFERROR(VLOOKUP(I667,Configuration!$O$5:$P$8,2,FALSE),Configuration!$S$6))</x:f>
      </x:c>
      <x:c r="N667" s="172" t="str">
        <x:f>IF(A667="","",IFERROR(LOOKUP(2,1/('Scope Review'!$B$5:$B$204=A667),'Scope Review'!$G$5:$G$204),"Not Reviewed"))</x:f>
      </x:c>
      <x:c r="O667" s="172" t="str">
        <x:f>IF(A667="","",IFERROR(LOOKUP(2,1/('Scope Review'!$B$5:$B$204=A667),'Scope Review'!$H$5:$H$204),""))</x:f>
      </x:c>
      <x:c r="P667" s="172" t="str">
        <x:f>IF(A667="","",IF(AND(C667="executing",N667&lt;&gt;"Confirmed OOS"),M667,0))</x:f>
      </x:c>
      <x:c r="Q667" s="173" t="str">
        <x:f>IF(A667="","",IFERROR(LOOKUP(2,1/('Engineer Updates'!$B$5:$B$704=A667),'Engineer Updates'!$A$5:$A$704),""))</x:f>
      </x:c>
      <x:c r="R667" s="172" t="str">
        <x:f>IF(A667="","",IFERROR(LOOKUP(2,1/('Engineer Updates'!$B$5:$B$704=A667),'Engineer Updates'!$H$5:$H$704),""))</x:f>
      </x:c>
      <x:c r="S667" s="172" t="str">
        <x:f>IF(A667="","",IFERROR(LOOKUP(2,1/('Engineer Updates'!$B$5:$B$704=A667),'Engineer Updates'!$G$5:$G$704),""))</x:f>
      </x:c>
      <x:c r="T667" s="172" t="str">
        <x:f>IF(A667="","",IFERROR(LOOKUP(2,1/('Engineer Updates'!$B$5:$B$704=A667),'Engineer Updates'!$I$5:$I$704),""))</x:f>
      </x:c>
      <x:c r="U667" s="172" t="str">
        <x:f>IF(A667="","",IFERROR(LOOKUP(2,1/('Engineer Updates'!$B$5:$B$704=A667),'Engineer Updates'!$J$5:$J$704),""))</x:f>
      </x:c>
      <x:c r="V667" s="172" t="str">
        <x:f>IF(A667="","",IFERROR(LOOKUP(2,1/('Engineer Updates'!$B$5:$B$704=A667),'Engineer Updates'!$K$5:$K$704),""))</x:f>
      </x:c>
      <x:c r="W667" s="174" t="str">
        <x:f>IF(A667="","",IFERROR(LOOKUP(2,1/('Engineer Updates'!$B$5:$B$704=A667),'Engineer Updates'!$L$5:$L$704),""))</x:f>
      </x:c>
      <x:c r="X667" s="170" t="str">
        <x:f>IF(A667="","",IF(C667="completed","Completed in CSSP",IF(AND(C667="executing",ISERROR(SEARCH("@",K667))),"Executing without named engineer",IF(AND(N667="Confirmed OOS",C667="executing"),"Confirmed OOS still executing",""))))</x:f>
      </x:c>
      <x:c r="Y667" s="170" t="str">
        <x:f>IF(A667="","",IF(B667="Decommissioning","Raw Decommissioning","Raw Provisioning"))</x:f>
      </x:c>
      <x:c r="Z667" s="170" t="str">
        <x:f>IF(A667="","",IF(OR(C667="executing",C667="processing"),"Yes","No"))</x:f>
      </x:c>
    </x:row>
    <x:row r="668">
      <x:c r="A668" s="170" t="str">
        <x:f>IF(ROWS($A$5:A668)&lt;=COUNTA('Raw Decommissioning'!$B$2:$B$1000),INDEX('Raw Decommissioning'!$B$2:$B$1000,ROWS($A$5:A668)),IF(ROWS($A$5:A668)-COUNTA('Raw Decommissioning'!$B$2:$B$1000)&lt;=COUNTA('Raw Provisioning'!$B$2:$B$1000),INDEX('Raw Provisioning'!$B$2:$B$1000,ROWS($A$5:A668)-COUNTA('Raw Decommissioning'!$B$2:$B$1000)),""))</x:f>
      </x:c>
      <x:c r="B668" s="170" t="str">
        <x:f>IF(A668="","",IF(ROWS($A$5:A668)&lt;=COUNTA('Raw Decommissioning'!$B$2:$B$1000),"Decommissioning","Provisioning"))</x:f>
      </x:c>
      <x:c r="C668" s="170" t="str">
        <x:f>IF(A668="","",IF(B668="Decommissioning",IFERROR(INDEX('Raw Decommissioning'!$E$2:$E$1000,MATCH(A668,'Raw Decommissioning'!$B$2:$B$1000,0)),"Missing from latest raw"),IFERROR(INDEX('Raw Provisioning'!$E$2:$E$1000,MATCH(A668,'Raw Provisioning'!$B$2:$B$1000,0)),"Missing from latest raw")))</x:f>
      </x:c>
      <x:c r="D668" s="171" t="str">
        <x:f>IF(A668="","",'Refresh Control'!$B$4)</x:f>
      </x:c>
      <x:c r="E668" s="171" t="str">
        <x:f>IF(A668="","",IF(B668="Decommissioning",INDEX('Raw Decommissioning'!$F$2:$F$1000,ROWS($A$5:A668)),INDEX('Raw Provisioning'!$F$2:$F$1000,ROWS($A$5:A668)-COUNTA('Raw Decommissioning'!$B$2:$B$1000))))</x:f>
      </x:c>
      <x:c r="F668" s="171" t="str">
        <x:f>IF(A668="","",IF(B668="Decommissioning",INDEX('Raw Decommissioning'!$G$2:$G$1000,ROWS($A$5:A668)),INDEX('Raw Provisioning'!$H$2:$H$1000,ROWS($A$5:A668)-COUNTA('Raw Decommissioning'!$B$2:$B$1000))))</x:f>
      </x:c>
      <x:c r="G668" s="170" t="str">
        <x:f>IF(A668="","",IF(B668="Decommissioning",INDEX('Raw Decommissioning'!$I$2:$I$1000,ROWS($A$5:A668)),INDEX('Raw Provisioning'!$J$2:$J$1000,ROWS($A$5:A668)-COUNTA('Raw Decommissioning'!$B$2:$B$1000))))</x:f>
      </x:c>
      <x:c r="H668" s="170" t="str">
        <x:f>IF(A668="","",IF(B668="Decommissioning",INDEX('Raw Decommissioning'!$J$2:$J$1000,ROWS($A$5:A668)),INDEX('Raw Provisioning'!$L$2:$L$1000,ROWS($A$5:A668)-COUNTA('Raw Decommissioning'!$B$2:$B$1000))))</x:f>
      </x:c>
      <x:c r="I668" s="170" t="str">
        <x:f>IF(A668="","",IF(B668="Decommissioning",INDEX('Raw Decommissioning'!$AL$2:$AL$1000,ROWS($A$5:A668)),INDEX('Raw Provisioning'!$R$2:$R$1000,ROWS($A$5:A668)-COUNTA('Raw Decommissioning'!$B$2:$B$1000))))</x:f>
      </x:c>
      <x:c r="J668" s="170" t="str">
        <x:f>IF(A668="","",IF(B668="Decommissioning",INDEX('Raw Decommissioning'!$AG$2:$AG$1000,ROWS($A$5:A668)),INDEX('Raw Provisioning'!$AI$2:$AI$1000,ROWS($A$5:A668)-COUNTA('Raw Decommissioning'!$B$2:$B$1000))))</x:f>
      </x:c>
      <x:c r="K668" s="172" t="str">
        <x:f>IF(A668="","",IFERROR(LOOKUP(2,1/('Assignment History'!$B$5:$B$204=A668),'Assignment History'!$D$5:$D$204),IFERROR(VLOOKUP(J668,Configuration!$L$5:$M$50,2,FALSE),J668)))</x:f>
      </x:c>
      <x:c r="L668" s="172" t="str">
        <x:f>IF(A668="","",IF(K668=IFERROR(VLOOKUP(J668,Configuration!$L$5:$M$50,2,FALSE),J668),"Snapshot PIC","Replacement PIC"))</x:f>
      </x:c>
      <x:c r="M668" s="172" t="str">
        <x:f>IF(A668="","",IFERROR(VLOOKUP(I668,Configuration!$O$5:$P$8,2,FALSE),Configuration!$S$6))</x:f>
      </x:c>
      <x:c r="N668" s="172" t="str">
        <x:f>IF(A668="","",IFERROR(LOOKUP(2,1/('Scope Review'!$B$5:$B$204=A668),'Scope Review'!$G$5:$G$204),"Not Reviewed"))</x:f>
      </x:c>
      <x:c r="O668" s="172" t="str">
        <x:f>IF(A668="","",IFERROR(LOOKUP(2,1/('Scope Review'!$B$5:$B$204=A668),'Scope Review'!$H$5:$H$204),""))</x:f>
      </x:c>
      <x:c r="P668" s="172" t="str">
        <x:f>IF(A668="","",IF(AND(C668="executing",N668&lt;&gt;"Confirmed OOS"),M668,0))</x:f>
      </x:c>
      <x:c r="Q668" s="173" t="str">
        <x:f>IF(A668="","",IFERROR(LOOKUP(2,1/('Engineer Updates'!$B$5:$B$704=A668),'Engineer Updates'!$A$5:$A$704),""))</x:f>
      </x:c>
      <x:c r="R668" s="172" t="str">
        <x:f>IF(A668="","",IFERROR(LOOKUP(2,1/('Engineer Updates'!$B$5:$B$704=A668),'Engineer Updates'!$H$5:$H$704),""))</x:f>
      </x:c>
      <x:c r="S668" s="172" t="str">
        <x:f>IF(A668="","",IFERROR(LOOKUP(2,1/('Engineer Updates'!$B$5:$B$704=A668),'Engineer Updates'!$G$5:$G$704),""))</x:f>
      </x:c>
      <x:c r="T668" s="172" t="str">
        <x:f>IF(A668="","",IFERROR(LOOKUP(2,1/('Engineer Updates'!$B$5:$B$704=A668),'Engineer Updates'!$I$5:$I$704),""))</x:f>
      </x:c>
      <x:c r="U668" s="172" t="str">
        <x:f>IF(A668="","",IFERROR(LOOKUP(2,1/('Engineer Updates'!$B$5:$B$704=A668),'Engineer Updates'!$J$5:$J$704),""))</x:f>
      </x:c>
      <x:c r="V668" s="172" t="str">
        <x:f>IF(A668="","",IFERROR(LOOKUP(2,1/('Engineer Updates'!$B$5:$B$704=A668),'Engineer Updates'!$K$5:$K$704),""))</x:f>
      </x:c>
      <x:c r="W668" s="174" t="str">
        <x:f>IF(A668="","",IFERROR(LOOKUP(2,1/('Engineer Updates'!$B$5:$B$704=A668),'Engineer Updates'!$L$5:$L$704),""))</x:f>
      </x:c>
      <x:c r="X668" s="170" t="str">
        <x:f>IF(A668="","",IF(C668="completed","Completed in CSSP",IF(AND(C668="executing",ISERROR(SEARCH("@",K668))),"Executing without named engineer",IF(AND(N668="Confirmed OOS",C668="executing"),"Confirmed OOS still executing",""))))</x:f>
      </x:c>
      <x:c r="Y668" s="170" t="str">
        <x:f>IF(A668="","",IF(B668="Decommissioning","Raw Decommissioning","Raw Provisioning"))</x:f>
      </x:c>
      <x:c r="Z668" s="170" t="str">
        <x:f>IF(A668="","",IF(OR(C668="executing",C668="processing"),"Yes","No"))</x:f>
      </x:c>
    </x:row>
    <x:row r="669">
      <x:c r="A669" s="170" t="str">
        <x:f>IF(ROWS($A$5:A669)&lt;=COUNTA('Raw Decommissioning'!$B$2:$B$1000),INDEX('Raw Decommissioning'!$B$2:$B$1000,ROWS($A$5:A669)),IF(ROWS($A$5:A669)-COUNTA('Raw Decommissioning'!$B$2:$B$1000)&lt;=COUNTA('Raw Provisioning'!$B$2:$B$1000),INDEX('Raw Provisioning'!$B$2:$B$1000,ROWS($A$5:A669)-COUNTA('Raw Decommissioning'!$B$2:$B$1000)),""))</x:f>
      </x:c>
      <x:c r="B669" s="170" t="str">
        <x:f>IF(A669="","",IF(ROWS($A$5:A669)&lt;=COUNTA('Raw Decommissioning'!$B$2:$B$1000),"Decommissioning","Provisioning"))</x:f>
      </x:c>
      <x:c r="C669" s="170" t="str">
        <x:f>IF(A669="","",IF(B669="Decommissioning",IFERROR(INDEX('Raw Decommissioning'!$E$2:$E$1000,MATCH(A669,'Raw Decommissioning'!$B$2:$B$1000,0)),"Missing from latest raw"),IFERROR(INDEX('Raw Provisioning'!$E$2:$E$1000,MATCH(A669,'Raw Provisioning'!$B$2:$B$1000,0)),"Missing from latest raw")))</x:f>
      </x:c>
      <x:c r="D669" s="171" t="str">
        <x:f>IF(A669="","",'Refresh Control'!$B$4)</x:f>
      </x:c>
      <x:c r="E669" s="171" t="str">
        <x:f>IF(A669="","",IF(B669="Decommissioning",INDEX('Raw Decommissioning'!$F$2:$F$1000,ROWS($A$5:A669)),INDEX('Raw Provisioning'!$F$2:$F$1000,ROWS($A$5:A669)-COUNTA('Raw Decommissioning'!$B$2:$B$1000))))</x:f>
      </x:c>
      <x:c r="F669" s="171" t="str">
        <x:f>IF(A669="","",IF(B669="Decommissioning",INDEX('Raw Decommissioning'!$G$2:$G$1000,ROWS($A$5:A669)),INDEX('Raw Provisioning'!$H$2:$H$1000,ROWS($A$5:A669)-COUNTA('Raw Decommissioning'!$B$2:$B$1000))))</x:f>
      </x:c>
      <x:c r="G669" s="170" t="str">
        <x:f>IF(A669="","",IF(B669="Decommissioning",INDEX('Raw Decommissioning'!$I$2:$I$1000,ROWS($A$5:A669)),INDEX('Raw Provisioning'!$J$2:$J$1000,ROWS($A$5:A669)-COUNTA('Raw Decommissioning'!$B$2:$B$1000))))</x:f>
      </x:c>
      <x:c r="H669" s="170" t="str">
        <x:f>IF(A669="","",IF(B669="Decommissioning",INDEX('Raw Decommissioning'!$J$2:$J$1000,ROWS($A$5:A669)),INDEX('Raw Provisioning'!$L$2:$L$1000,ROWS($A$5:A669)-COUNTA('Raw Decommissioning'!$B$2:$B$1000))))</x:f>
      </x:c>
      <x:c r="I669" s="170" t="str">
        <x:f>IF(A669="","",IF(B669="Decommissioning",INDEX('Raw Decommissioning'!$AL$2:$AL$1000,ROWS($A$5:A669)),INDEX('Raw Provisioning'!$R$2:$R$1000,ROWS($A$5:A669)-COUNTA('Raw Decommissioning'!$B$2:$B$1000))))</x:f>
      </x:c>
      <x:c r="J669" s="170" t="str">
        <x:f>IF(A669="","",IF(B669="Decommissioning",INDEX('Raw Decommissioning'!$AG$2:$AG$1000,ROWS($A$5:A669)),INDEX('Raw Provisioning'!$AI$2:$AI$1000,ROWS($A$5:A669)-COUNTA('Raw Decommissioning'!$B$2:$B$1000))))</x:f>
      </x:c>
      <x:c r="K669" s="172" t="str">
        <x:f>IF(A669="","",IFERROR(LOOKUP(2,1/('Assignment History'!$B$5:$B$204=A669),'Assignment History'!$D$5:$D$204),IFERROR(VLOOKUP(J669,Configuration!$L$5:$M$50,2,FALSE),J669)))</x:f>
      </x:c>
      <x:c r="L669" s="172" t="str">
        <x:f>IF(A669="","",IF(K669=IFERROR(VLOOKUP(J669,Configuration!$L$5:$M$50,2,FALSE),J669),"Snapshot PIC","Replacement PIC"))</x:f>
      </x:c>
      <x:c r="M669" s="172" t="str">
        <x:f>IF(A669="","",IFERROR(VLOOKUP(I669,Configuration!$O$5:$P$8,2,FALSE),Configuration!$S$6))</x:f>
      </x:c>
      <x:c r="N669" s="172" t="str">
        <x:f>IF(A669="","",IFERROR(LOOKUP(2,1/('Scope Review'!$B$5:$B$204=A669),'Scope Review'!$G$5:$G$204),"Not Reviewed"))</x:f>
      </x:c>
      <x:c r="O669" s="172" t="str">
        <x:f>IF(A669="","",IFERROR(LOOKUP(2,1/('Scope Review'!$B$5:$B$204=A669),'Scope Review'!$H$5:$H$204),""))</x:f>
      </x:c>
      <x:c r="P669" s="172" t="str">
        <x:f>IF(A669="","",IF(AND(C669="executing",N669&lt;&gt;"Confirmed OOS"),M669,0))</x:f>
      </x:c>
      <x:c r="Q669" s="173" t="str">
        <x:f>IF(A669="","",IFERROR(LOOKUP(2,1/('Engineer Updates'!$B$5:$B$704=A669),'Engineer Updates'!$A$5:$A$704),""))</x:f>
      </x:c>
      <x:c r="R669" s="172" t="str">
        <x:f>IF(A669="","",IFERROR(LOOKUP(2,1/('Engineer Updates'!$B$5:$B$704=A669),'Engineer Updates'!$H$5:$H$704),""))</x:f>
      </x:c>
      <x:c r="S669" s="172" t="str">
        <x:f>IF(A669="","",IFERROR(LOOKUP(2,1/('Engineer Updates'!$B$5:$B$704=A669),'Engineer Updates'!$G$5:$G$704),""))</x:f>
      </x:c>
      <x:c r="T669" s="172" t="str">
        <x:f>IF(A669="","",IFERROR(LOOKUP(2,1/('Engineer Updates'!$B$5:$B$704=A669),'Engineer Updates'!$I$5:$I$704),""))</x:f>
      </x:c>
      <x:c r="U669" s="172" t="str">
        <x:f>IF(A669="","",IFERROR(LOOKUP(2,1/('Engineer Updates'!$B$5:$B$704=A669),'Engineer Updates'!$J$5:$J$704),""))</x:f>
      </x:c>
      <x:c r="V669" s="172" t="str">
        <x:f>IF(A669="","",IFERROR(LOOKUP(2,1/('Engineer Updates'!$B$5:$B$704=A669),'Engineer Updates'!$K$5:$K$704),""))</x:f>
      </x:c>
      <x:c r="W669" s="174" t="str">
        <x:f>IF(A669="","",IFERROR(LOOKUP(2,1/('Engineer Updates'!$B$5:$B$704=A669),'Engineer Updates'!$L$5:$L$704),""))</x:f>
      </x:c>
      <x:c r="X669" s="170" t="str">
        <x:f>IF(A669="","",IF(C669="completed","Completed in CSSP",IF(AND(C669="executing",ISERROR(SEARCH("@",K669))),"Executing without named engineer",IF(AND(N669="Confirmed OOS",C669="executing"),"Confirmed OOS still executing",""))))</x:f>
      </x:c>
      <x:c r="Y669" s="170" t="str">
        <x:f>IF(A669="","",IF(B669="Decommissioning","Raw Decommissioning","Raw Provisioning"))</x:f>
      </x:c>
      <x:c r="Z669" s="170" t="str">
        <x:f>IF(A669="","",IF(OR(C669="executing",C669="processing"),"Yes","No"))</x:f>
      </x:c>
    </x:row>
    <x:row r="670">
      <x:c r="A670" s="170" t="str">
        <x:f>IF(ROWS($A$5:A670)&lt;=COUNTA('Raw Decommissioning'!$B$2:$B$1000),INDEX('Raw Decommissioning'!$B$2:$B$1000,ROWS($A$5:A670)),IF(ROWS($A$5:A670)-COUNTA('Raw Decommissioning'!$B$2:$B$1000)&lt;=COUNTA('Raw Provisioning'!$B$2:$B$1000),INDEX('Raw Provisioning'!$B$2:$B$1000,ROWS($A$5:A670)-COUNTA('Raw Decommissioning'!$B$2:$B$1000)),""))</x:f>
      </x:c>
      <x:c r="B670" s="170" t="str">
        <x:f>IF(A670="","",IF(ROWS($A$5:A670)&lt;=COUNTA('Raw Decommissioning'!$B$2:$B$1000),"Decommissioning","Provisioning"))</x:f>
      </x:c>
      <x:c r="C670" s="170" t="str">
        <x:f>IF(A670="","",IF(B670="Decommissioning",IFERROR(INDEX('Raw Decommissioning'!$E$2:$E$1000,MATCH(A670,'Raw Decommissioning'!$B$2:$B$1000,0)),"Missing from latest raw"),IFERROR(INDEX('Raw Provisioning'!$E$2:$E$1000,MATCH(A670,'Raw Provisioning'!$B$2:$B$1000,0)),"Missing from latest raw")))</x:f>
      </x:c>
      <x:c r="D670" s="171" t="str">
        <x:f>IF(A670="","",'Refresh Control'!$B$4)</x:f>
      </x:c>
      <x:c r="E670" s="171" t="str">
        <x:f>IF(A670="","",IF(B670="Decommissioning",INDEX('Raw Decommissioning'!$F$2:$F$1000,ROWS($A$5:A670)),INDEX('Raw Provisioning'!$F$2:$F$1000,ROWS($A$5:A670)-COUNTA('Raw Decommissioning'!$B$2:$B$1000))))</x:f>
      </x:c>
      <x:c r="F670" s="171" t="str">
        <x:f>IF(A670="","",IF(B670="Decommissioning",INDEX('Raw Decommissioning'!$G$2:$G$1000,ROWS($A$5:A670)),INDEX('Raw Provisioning'!$H$2:$H$1000,ROWS($A$5:A670)-COUNTA('Raw Decommissioning'!$B$2:$B$1000))))</x:f>
      </x:c>
      <x:c r="G670" s="170" t="str">
        <x:f>IF(A670="","",IF(B670="Decommissioning",INDEX('Raw Decommissioning'!$I$2:$I$1000,ROWS($A$5:A670)),INDEX('Raw Provisioning'!$J$2:$J$1000,ROWS($A$5:A670)-COUNTA('Raw Decommissioning'!$B$2:$B$1000))))</x:f>
      </x:c>
      <x:c r="H670" s="170" t="str">
        <x:f>IF(A670="","",IF(B670="Decommissioning",INDEX('Raw Decommissioning'!$J$2:$J$1000,ROWS($A$5:A670)),INDEX('Raw Provisioning'!$L$2:$L$1000,ROWS($A$5:A670)-COUNTA('Raw Decommissioning'!$B$2:$B$1000))))</x:f>
      </x:c>
      <x:c r="I670" s="170" t="str">
        <x:f>IF(A670="","",IF(B670="Decommissioning",INDEX('Raw Decommissioning'!$AL$2:$AL$1000,ROWS($A$5:A670)),INDEX('Raw Provisioning'!$R$2:$R$1000,ROWS($A$5:A670)-COUNTA('Raw Decommissioning'!$B$2:$B$1000))))</x:f>
      </x:c>
      <x:c r="J670" s="170" t="str">
        <x:f>IF(A670="","",IF(B670="Decommissioning",INDEX('Raw Decommissioning'!$AG$2:$AG$1000,ROWS($A$5:A670)),INDEX('Raw Provisioning'!$AI$2:$AI$1000,ROWS($A$5:A670)-COUNTA('Raw Decommissioning'!$B$2:$B$1000))))</x:f>
      </x:c>
      <x:c r="K670" s="172" t="str">
        <x:f>IF(A670="","",IFERROR(LOOKUP(2,1/('Assignment History'!$B$5:$B$204=A670),'Assignment History'!$D$5:$D$204),IFERROR(VLOOKUP(J670,Configuration!$L$5:$M$50,2,FALSE),J670)))</x:f>
      </x:c>
      <x:c r="L670" s="172" t="str">
        <x:f>IF(A670="","",IF(K670=IFERROR(VLOOKUP(J670,Configuration!$L$5:$M$50,2,FALSE),J670),"Snapshot PIC","Replacement PIC"))</x:f>
      </x:c>
      <x:c r="M670" s="172" t="str">
        <x:f>IF(A670="","",IFERROR(VLOOKUP(I670,Configuration!$O$5:$P$8,2,FALSE),Configuration!$S$6))</x:f>
      </x:c>
      <x:c r="N670" s="172" t="str">
        <x:f>IF(A670="","",IFERROR(LOOKUP(2,1/('Scope Review'!$B$5:$B$204=A670),'Scope Review'!$G$5:$G$204),"Not Reviewed"))</x:f>
      </x:c>
      <x:c r="O670" s="172" t="str">
        <x:f>IF(A670="","",IFERROR(LOOKUP(2,1/('Scope Review'!$B$5:$B$204=A670),'Scope Review'!$H$5:$H$204),""))</x:f>
      </x:c>
      <x:c r="P670" s="172" t="str">
        <x:f>IF(A670="","",IF(AND(C670="executing",N670&lt;&gt;"Confirmed OOS"),M670,0))</x:f>
      </x:c>
      <x:c r="Q670" s="173" t="str">
        <x:f>IF(A670="","",IFERROR(LOOKUP(2,1/('Engineer Updates'!$B$5:$B$704=A670),'Engineer Updates'!$A$5:$A$704),""))</x:f>
      </x:c>
      <x:c r="R670" s="172" t="str">
        <x:f>IF(A670="","",IFERROR(LOOKUP(2,1/('Engineer Updates'!$B$5:$B$704=A670),'Engineer Updates'!$H$5:$H$704),""))</x:f>
      </x:c>
      <x:c r="S670" s="172" t="str">
        <x:f>IF(A670="","",IFERROR(LOOKUP(2,1/('Engineer Updates'!$B$5:$B$704=A670),'Engineer Updates'!$G$5:$G$704),""))</x:f>
      </x:c>
      <x:c r="T670" s="172" t="str">
        <x:f>IF(A670="","",IFERROR(LOOKUP(2,1/('Engineer Updates'!$B$5:$B$704=A670),'Engineer Updates'!$I$5:$I$704),""))</x:f>
      </x:c>
      <x:c r="U670" s="172" t="str">
        <x:f>IF(A670="","",IFERROR(LOOKUP(2,1/('Engineer Updates'!$B$5:$B$704=A670),'Engineer Updates'!$J$5:$J$704),""))</x:f>
      </x:c>
      <x:c r="V670" s="172" t="str">
        <x:f>IF(A670="","",IFERROR(LOOKUP(2,1/('Engineer Updates'!$B$5:$B$704=A670),'Engineer Updates'!$K$5:$K$704),""))</x:f>
      </x:c>
      <x:c r="W670" s="174" t="str">
        <x:f>IF(A670="","",IFERROR(LOOKUP(2,1/('Engineer Updates'!$B$5:$B$704=A670),'Engineer Updates'!$L$5:$L$704),""))</x:f>
      </x:c>
      <x:c r="X670" s="170" t="str">
        <x:f>IF(A670="","",IF(C670="completed","Completed in CSSP",IF(AND(C670="executing",ISERROR(SEARCH("@",K670))),"Executing without named engineer",IF(AND(N670="Confirmed OOS",C670="executing"),"Confirmed OOS still executing",""))))</x:f>
      </x:c>
      <x:c r="Y670" s="170" t="str">
        <x:f>IF(A670="","",IF(B670="Decommissioning","Raw Decommissioning","Raw Provisioning"))</x:f>
      </x:c>
      <x:c r="Z670" s="170" t="str">
        <x:f>IF(A670="","",IF(OR(C670="executing",C670="processing"),"Yes","No"))</x:f>
      </x:c>
    </x:row>
    <x:row r="671">
      <x:c r="A671" s="170" t="str">
        <x:f>IF(ROWS($A$5:A671)&lt;=COUNTA('Raw Decommissioning'!$B$2:$B$1000),INDEX('Raw Decommissioning'!$B$2:$B$1000,ROWS($A$5:A671)),IF(ROWS($A$5:A671)-COUNTA('Raw Decommissioning'!$B$2:$B$1000)&lt;=COUNTA('Raw Provisioning'!$B$2:$B$1000),INDEX('Raw Provisioning'!$B$2:$B$1000,ROWS($A$5:A671)-COUNTA('Raw Decommissioning'!$B$2:$B$1000)),""))</x:f>
      </x:c>
      <x:c r="B671" s="170" t="str">
        <x:f>IF(A671="","",IF(ROWS($A$5:A671)&lt;=COUNTA('Raw Decommissioning'!$B$2:$B$1000),"Decommissioning","Provisioning"))</x:f>
      </x:c>
      <x:c r="C671" s="170" t="str">
        <x:f>IF(A671="","",IF(B671="Decommissioning",IFERROR(INDEX('Raw Decommissioning'!$E$2:$E$1000,MATCH(A671,'Raw Decommissioning'!$B$2:$B$1000,0)),"Missing from latest raw"),IFERROR(INDEX('Raw Provisioning'!$E$2:$E$1000,MATCH(A671,'Raw Provisioning'!$B$2:$B$1000,0)),"Missing from latest raw")))</x:f>
      </x:c>
      <x:c r="D671" s="171" t="str">
        <x:f>IF(A671="","",'Refresh Control'!$B$4)</x:f>
      </x:c>
      <x:c r="E671" s="171" t="str">
        <x:f>IF(A671="","",IF(B671="Decommissioning",INDEX('Raw Decommissioning'!$F$2:$F$1000,ROWS($A$5:A671)),INDEX('Raw Provisioning'!$F$2:$F$1000,ROWS($A$5:A671)-COUNTA('Raw Decommissioning'!$B$2:$B$1000))))</x:f>
      </x:c>
      <x:c r="F671" s="171" t="str">
        <x:f>IF(A671="","",IF(B671="Decommissioning",INDEX('Raw Decommissioning'!$G$2:$G$1000,ROWS($A$5:A671)),INDEX('Raw Provisioning'!$H$2:$H$1000,ROWS($A$5:A671)-COUNTA('Raw Decommissioning'!$B$2:$B$1000))))</x:f>
      </x:c>
      <x:c r="G671" s="170" t="str">
        <x:f>IF(A671="","",IF(B671="Decommissioning",INDEX('Raw Decommissioning'!$I$2:$I$1000,ROWS($A$5:A671)),INDEX('Raw Provisioning'!$J$2:$J$1000,ROWS($A$5:A671)-COUNTA('Raw Decommissioning'!$B$2:$B$1000))))</x:f>
      </x:c>
      <x:c r="H671" s="170" t="str">
        <x:f>IF(A671="","",IF(B671="Decommissioning",INDEX('Raw Decommissioning'!$J$2:$J$1000,ROWS($A$5:A671)),INDEX('Raw Provisioning'!$L$2:$L$1000,ROWS($A$5:A671)-COUNTA('Raw Decommissioning'!$B$2:$B$1000))))</x:f>
      </x:c>
      <x:c r="I671" s="170" t="str">
        <x:f>IF(A671="","",IF(B671="Decommissioning",INDEX('Raw Decommissioning'!$AL$2:$AL$1000,ROWS($A$5:A671)),INDEX('Raw Provisioning'!$R$2:$R$1000,ROWS($A$5:A671)-COUNTA('Raw Decommissioning'!$B$2:$B$1000))))</x:f>
      </x:c>
      <x:c r="J671" s="170" t="str">
        <x:f>IF(A671="","",IF(B671="Decommissioning",INDEX('Raw Decommissioning'!$AG$2:$AG$1000,ROWS($A$5:A671)),INDEX('Raw Provisioning'!$AI$2:$AI$1000,ROWS($A$5:A671)-COUNTA('Raw Decommissioning'!$B$2:$B$1000))))</x:f>
      </x:c>
      <x:c r="K671" s="172" t="str">
        <x:f>IF(A671="","",IFERROR(LOOKUP(2,1/('Assignment History'!$B$5:$B$204=A671),'Assignment History'!$D$5:$D$204),IFERROR(VLOOKUP(J671,Configuration!$L$5:$M$50,2,FALSE),J671)))</x:f>
      </x:c>
      <x:c r="L671" s="172" t="str">
        <x:f>IF(A671="","",IF(K671=IFERROR(VLOOKUP(J671,Configuration!$L$5:$M$50,2,FALSE),J671),"Snapshot PIC","Replacement PIC"))</x:f>
      </x:c>
      <x:c r="M671" s="172" t="str">
        <x:f>IF(A671="","",IFERROR(VLOOKUP(I671,Configuration!$O$5:$P$8,2,FALSE),Configuration!$S$6))</x:f>
      </x:c>
      <x:c r="N671" s="172" t="str">
        <x:f>IF(A671="","",IFERROR(LOOKUP(2,1/('Scope Review'!$B$5:$B$204=A671),'Scope Review'!$G$5:$G$204),"Not Reviewed"))</x:f>
      </x:c>
      <x:c r="O671" s="172" t="str">
        <x:f>IF(A671="","",IFERROR(LOOKUP(2,1/('Scope Review'!$B$5:$B$204=A671),'Scope Review'!$H$5:$H$204),""))</x:f>
      </x:c>
      <x:c r="P671" s="172" t="str">
        <x:f>IF(A671="","",IF(AND(C671="executing",N671&lt;&gt;"Confirmed OOS"),M671,0))</x:f>
      </x:c>
      <x:c r="Q671" s="173" t="str">
        <x:f>IF(A671="","",IFERROR(LOOKUP(2,1/('Engineer Updates'!$B$5:$B$704=A671),'Engineer Updates'!$A$5:$A$704),""))</x:f>
      </x:c>
      <x:c r="R671" s="172" t="str">
        <x:f>IF(A671="","",IFERROR(LOOKUP(2,1/('Engineer Updates'!$B$5:$B$704=A671),'Engineer Updates'!$H$5:$H$704),""))</x:f>
      </x:c>
      <x:c r="S671" s="172" t="str">
        <x:f>IF(A671="","",IFERROR(LOOKUP(2,1/('Engineer Updates'!$B$5:$B$704=A671),'Engineer Updates'!$G$5:$G$704),""))</x:f>
      </x:c>
      <x:c r="T671" s="172" t="str">
        <x:f>IF(A671="","",IFERROR(LOOKUP(2,1/('Engineer Updates'!$B$5:$B$704=A671),'Engineer Updates'!$I$5:$I$704),""))</x:f>
      </x:c>
      <x:c r="U671" s="172" t="str">
        <x:f>IF(A671="","",IFERROR(LOOKUP(2,1/('Engineer Updates'!$B$5:$B$704=A671),'Engineer Updates'!$J$5:$J$704),""))</x:f>
      </x:c>
      <x:c r="V671" s="172" t="str">
        <x:f>IF(A671="","",IFERROR(LOOKUP(2,1/('Engineer Updates'!$B$5:$B$704=A671),'Engineer Updates'!$K$5:$K$704),""))</x:f>
      </x:c>
      <x:c r="W671" s="174" t="str">
        <x:f>IF(A671="","",IFERROR(LOOKUP(2,1/('Engineer Updates'!$B$5:$B$704=A671),'Engineer Updates'!$L$5:$L$704),""))</x:f>
      </x:c>
      <x:c r="X671" s="170" t="str">
        <x:f>IF(A671="","",IF(C671="completed","Completed in CSSP",IF(AND(C671="executing",ISERROR(SEARCH("@",K671))),"Executing without named engineer",IF(AND(N671="Confirmed OOS",C671="executing"),"Confirmed OOS still executing",""))))</x:f>
      </x:c>
      <x:c r="Y671" s="170" t="str">
        <x:f>IF(A671="","",IF(B671="Decommissioning","Raw Decommissioning","Raw Provisioning"))</x:f>
      </x:c>
      <x:c r="Z671" s="170" t="str">
        <x:f>IF(A671="","",IF(OR(C671="executing",C671="processing"),"Yes","No"))</x:f>
      </x:c>
    </x:row>
    <x:row r="672">
      <x:c r="A672" s="170" t="str">
        <x:f>IF(ROWS($A$5:A672)&lt;=COUNTA('Raw Decommissioning'!$B$2:$B$1000),INDEX('Raw Decommissioning'!$B$2:$B$1000,ROWS($A$5:A672)),IF(ROWS($A$5:A672)-COUNTA('Raw Decommissioning'!$B$2:$B$1000)&lt;=COUNTA('Raw Provisioning'!$B$2:$B$1000),INDEX('Raw Provisioning'!$B$2:$B$1000,ROWS($A$5:A672)-COUNTA('Raw Decommissioning'!$B$2:$B$1000)),""))</x:f>
      </x:c>
      <x:c r="B672" s="170" t="str">
        <x:f>IF(A672="","",IF(ROWS($A$5:A672)&lt;=COUNTA('Raw Decommissioning'!$B$2:$B$1000),"Decommissioning","Provisioning"))</x:f>
      </x:c>
      <x:c r="C672" s="170" t="str">
        <x:f>IF(A672="","",IF(B672="Decommissioning",IFERROR(INDEX('Raw Decommissioning'!$E$2:$E$1000,MATCH(A672,'Raw Decommissioning'!$B$2:$B$1000,0)),"Missing from latest raw"),IFERROR(INDEX('Raw Provisioning'!$E$2:$E$1000,MATCH(A672,'Raw Provisioning'!$B$2:$B$1000,0)),"Missing from latest raw")))</x:f>
      </x:c>
      <x:c r="D672" s="171" t="str">
        <x:f>IF(A672="","",'Refresh Control'!$B$4)</x:f>
      </x:c>
      <x:c r="E672" s="171" t="str">
        <x:f>IF(A672="","",IF(B672="Decommissioning",INDEX('Raw Decommissioning'!$F$2:$F$1000,ROWS($A$5:A672)),INDEX('Raw Provisioning'!$F$2:$F$1000,ROWS($A$5:A672)-COUNTA('Raw Decommissioning'!$B$2:$B$1000))))</x:f>
      </x:c>
      <x:c r="F672" s="171" t="str">
        <x:f>IF(A672="","",IF(B672="Decommissioning",INDEX('Raw Decommissioning'!$G$2:$G$1000,ROWS($A$5:A672)),INDEX('Raw Provisioning'!$H$2:$H$1000,ROWS($A$5:A672)-COUNTA('Raw Decommissioning'!$B$2:$B$1000))))</x:f>
      </x:c>
      <x:c r="G672" s="170" t="str">
        <x:f>IF(A672="","",IF(B672="Decommissioning",INDEX('Raw Decommissioning'!$I$2:$I$1000,ROWS($A$5:A672)),INDEX('Raw Provisioning'!$J$2:$J$1000,ROWS($A$5:A672)-COUNTA('Raw Decommissioning'!$B$2:$B$1000))))</x:f>
      </x:c>
      <x:c r="H672" s="170" t="str">
        <x:f>IF(A672="","",IF(B672="Decommissioning",INDEX('Raw Decommissioning'!$J$2:$J$1000,ROWS($A$5:A672)),INDEX('Raw Provisioning'!$L$2:$L$1000,ROWS($A$5:A672)-COUNTA('Raw Decommissioning'!$B$2:$B$1000))))</x:f>
      </x:c>
      <x:c r="I672" s="170" t="str">
        <x:f>IF(A672="","",IF(B672="Decommissioning",INDEX('Raw Decommissioning'!$AL$2:$AL$1000,ROWS($A$5:A672)),INDEX('Raw Provisioning'!$R$2:$R$1000,ROWS($A$5:A672)-COUNTA('Raw Decommissioning'!$B$2:$B$1000))))</x:f>
      </x:c>
      <x:c r="J672" s="170" t="str">
        <x:f>IF(A672="","",IF(B672="Decommissioning",INDEX('Raw Decommissioning'!$AG$2:$AG$1000,ROWS($A$5:A672)),INDEX('Raw Provisioning'!$AI$2:$AI$1000,ROWS($A$5:A672)-COUNTA('Raw Decommissioning'!$B$2:$B$1000))))</x:f>
      </x:c>
      <x:c r="K672" s="172" t="str">
        <x:f>IF(A672="","",IFERROR(LOOKUP(2,1/('Assignment History'!$B$5:$B$204=A672),'Assignment History'!$D$5:$D$204),IFERROR(VLOOKUP(J672,Configuration!$L$5:$M$50,2,FALSE),J672)))</x:f>
      </x:c>
      <x:c r="L672" s="172" t="str">
        <x:f>IF(A672="","",IF(K672=IFERROR(VLOOKUP(J672,Configuration!$L$5:$M$50,2,FALSE),J672),"Snapshot PIC","Replacement PIC"))</x:f>
      </x:c>
      <x:c r="M672" s="172" t="str">
        <x:f>IF(A672="","",IFERROR(VLOOKUP(I672,Configuration!$O$5:$P$8,2,FALSE),Configuration!$S$6))</x:f>
      </x:c>
      <x:c r="N672" s="172" t="str">
        <x:f>IF(A672="","",IFERROR(LOOKUP(2,1/('Scope Review'!$B$5:$B$204=A672),'Scope Review'!$G$5:$G$204),"Not Reviewed"))</x:f>
      </x:c>
      <x:c r="O672" s="172" t="str">
        <x:f>IF(A672="","",IFERROR(LOOKUP(2,1/('Scope Review'!$B$5:$B$204=A672),'Scope Review'!$H$5:$H$204),""))</x:f>
      </x:c>
      <x:c r="P672" s="172" t="str">
        <x:f>IF(A672="","",IF(AND(C672="executing",N672&lt;&gt;"Confirmed OOS"),M672,0))</x:f>
      </x:c>
      <x:c r="Q672" s="173" t="str">
        <x:f>IF(A672="","",IFERROR(LOOKUP(2,1/('Engineer Updates'!$B$5:$B$704=A672),'Engineer Updates'!$A$5:$A$704),""))</x:f>
      </x:c>
      <x:c r="R672" s="172" t="str">
        <x:f>IF(A672="","",IFERROR(LOOKUP(2,1/('Engineer Updates'!$B$5:$B$704=A672),'Engineer Updates'!$H$5:$H$704),""))</x:f>
      </x:c>
      <x:c r="S672" s="172" t="str">
        <x:f>IF(A672="","",IFERROR(LOOKUP(2,1/('Engineer Updates'!$B$5:$B$704=A672),'Engineer Updates'!$G$5:$G$704),""))</x:f>
      </x:c>
      <x:c r="T672" s="172" t="str">
        <x:f>IF(A672="","",IFERROR(LOOKUP(2,1/('Engineer Updates'!$B$5:$B$704=A672),'Engineer Updates'!$I$5:$I$704),""))</x:f>
      </x:c>
      <x:c r="U672" s="172" t="str">
        <x:f>IF(A672="","",IFERROR(LOOKUP(2,1/('Engineer Updates'!$B$5:$B$704=A672),'Engineer Updates'!$J$5:$J$704),""))</x:f>
      </x:c>
      <x:c r="V672" s="172" t="str">
        <x:f>IF(A672="","",IFERROR(LOOKUP(2,1/('Engineer Updates'!$B$5:$B$704=A672),'Engineer Updates'!$K$5:$K$704),""))</x:f>
      </x:c>
      <x:c r="W672" s="174" t="str">
        <x:f>IF(A672="","",IFERROR(LOOKUP(2,1/('Engineer Updates'!$B$5:$B$704=A672),'Engineer Updates'!$L$5:$L$704),""))</x:f>
      </x:c>
      <x:c r="X672" s="170" t="str">
        <x:f>IF(A672="","",IF(C672="completed","Completed in CSSP",IF(AND(C672="executing",ISERROR(SEARCH("@",K672))),"Executing without named engineer",IF(AND(N672="Confirmed OOS",C672="executing"),"Confirmed OOS still executing",""))))</x:f>
      </x:c>
      <x:c r="Y672" s="170" t="str">
        <x:f>IF(A672="","",IF(B672="Decommissioning","Raw Decommissioning","Raw Provisioning"))</x:f>
      </x:c>
      <x:c r="Z672" s="170" t="str">
        <x:f>IF(A672="","",IF(OR(C672="executing",C672="processing"),"Yes","No"))</x:f>
      </x:c>
    </x:row>
    <x:row r="673">
      <x:c r="A673" s="170" t="str">
        <x:f>IF(ROWS($A$5:A673)&lt;=COUNTA('Raw Decommissioning'!$B$2:$B$1000),INDEX('Raw Decommissioning'!$B$2:$B$1000,ROWS($A$5:A673)),IF(ROWS($A$5:A673)-COUNTA('Raw Decommissioning'!$B$2:$B$1000)&lt;=COUNTA('Raw Provisioning'!$B$2:$B$1000),INDEX('Raw Provisioning'!$B$2:$B$1000,ROWS($A$5:A673)-COUNTA('Raw Decommissioning'!$B$2:$B$1000)),""))</x:f>
      </x:c>
      <x:c r="B673" s="170" t="str">
        <x:f>IF(A673="","",IF(ROWS($A$5:A673)&lt;=COUNTA('Raw Decommissioning'!$B$2:$B$1000),"Decommissioning","Provisioning"))</x:f>
      </x:c>
      <x:c r="C673" s="170" t="str">
        <x:f>IF(A673="","",IF(B673="Decommissioning",IFERROR(INDEX('Raw Decommissioning'!$E$2:$E$1000,MATCH(A673,'Raw Decommissioning'!$B$2:$B$1000,0)),"Missing from latest raw"),IFERROR(INDEX('Raw Provisioning'!$E$2:$E$1000,MATCH(A673,'Raw Provisioning'!$B$2:$B$1000,0)),"Missing from latest raw")))</x:f>
      </x:c>
      <x:c r="D673" s="171" t="str">
        <x:f>IF(A673="","",'Refresh Control'!$B$4)</x:f>
      </x:c>
      <x:c r="E673" s="171" t="str">
        <x:f>IF(A673="","",IF(B673="Decommissioning",INDEX('Raw Decommissioning'!$F$2:$F$1000,ROWS($A$5:A673)),INDEX('Raw Provisioning'!$F$2:$F$1000,ROWS($A$5:A673)-COUNTA('Raw Decommissioning'!$B$2:$B$1000))))</x:f>
      </x:c>
      <x:c r="F673" s="171" t="str">
        <x:f>IF(A673="","",IF(B673="Decommissioning",INDEX('Raw Decommissioning'!$G$2:$G$1000,ROWS($A$5:A673)),INDEX('Raw Provisioning'!$H$2:$H$1000,ROWS($A$5:A673)-COUNTA('Raw Decommissioning'!$B$2:$B$1000))))</x:f>
      </x:c>
      <x:c r="G673" s="170" t="str">
        <x:f>IF(A673="","",IF(B673="Decommissioning",INDEX('Raw Decommissioning'!$I$2:$I$1000,ROWS($A$5:A673)),INDEX('Raw Provisioning'!$J$2:$J$1000,ROWS($A$5:A673)-COUNTA('Raw Decommissioning'!$B$2:$B$1000))))</x:f>
      </x:c>
      <x:c r="H673" s="170" t="str">
        <x:f>IF(A673="","",IF(B673="Decommissioning",INDEX('Raw Decommissioning'!$J$2:$J$1000,ROWS($A$5:A673)),INDEX('Raw Provisioning'!$L$2:$L$1000,ROWS($A$5:A673)-COUNTA('Raw Decommissioning'!$B$2:$B$1000))))</x:f>
      </x:c>
      <x:c r="I673" s="170" t="str">
        <x:f>IF(A673="","",IF(B673="Decommissioning",INDEX('Raw Decommissioning'!$AL$2:$AL$1000,ROWS($A$5:A673)),INDEX('Raw Provisioning'!$R$2:$R$1000,ROWS($A$5:A673)-COUNTA('Raw Decommissioning'!$B$2:$B$1000))))</x:f>
      </x:c>
      <x:c r="J673" s="170" t="str">
        <x:f>IF(A673="","",IF(B673="Decommissioning",INDEX('Raw Decommissioning'!$AG$2:$AG$1000,ROWS($A$5:A673)),INDEX('Raw Provisioning'!$AI$2:$AI$1000,ROWS($A$5:A673)-COUNTA('Raw Decommissioning'!$B$2:$B$1000))))</x:f>
      </x:c>
      <x:c r="K673" s="172" t="str">
        <x:f>IF(A673="","",IFERROR(LOOKUP(2,1/('Assignment History'!$B$5:$B$204=A673),'Assignment History'!$D$5:$D$204),IFERROR(VLOOKUP(J673,Configuration!$L$5:$M$50,2,FALSE),J673)))</x:f>
      </x:c>
      <x:c r="L673" s="172" t="str">
        <x:f>IF(A673="","",IF(K673=IFERROR(VLOOKUP(J673,Configuration!$L$5:$M$50,2,FALSE),J673),"Snapshot PIC","Replacement PIC"))</x:f>
      </x:c>
      <x:c r="M673" s="172" t="str">
        <x:f>IF(A673="","",IFERROR(VLOOKUP(I673,Configuration!$O$5:$P$8,2,FALSE),Configuration!$S$6))</x:f>
      </x:c>
      <x:c r="N673" s="172" t="str">
        <x:f>IF(A673="","",IFERROR(LOOKUP(2,1/('Scope Review'!$B$5:$B$204=A673),'Scope Review'!$G$5:$G$204),"Not Reviewed"))</x:f>
      </x:c>
      <x:c r="O673" s="172" t="str">
        <x:f>IF(A673="","",IFERROR(LOOKUP(2,1/('Scope Review'!$B$5:$B$204=A673),'Scope Review'!$H$5:$H$204),""))</x:f>
      </x:c>
      <x:c r="P673" s="172" t="str">
        <x:f>IF(A673="","",IF(AND(C673="executing",N673&lt;&gt;"Confirmed OOS"),M673,0))</x:f>
      </x:c>
      <x:c r="Q673" s="173" t="str">
        <x:f>IF(A673="","",IFERROR(LOOKUP(2,1/('Engineer Updates'!$B$5:$B$704=A673),'Engineer Updates'!$A$5:$A$704),""))</x:f>
      </x:c>
      <x:c r="R673" s="172" t="str">
        <x:f>IF(A673="","",IFERROR(LOOKUP(2,1/('Engineer Updates'!$B$5:$B$704=A673),'Engineer Updates'!$H$5:$H$704),""))</x:f>
      </x:c>
      <x:c r="S673" s="172" t="str">
        <x:f>IF(A673="","",IFERROR(LOOKUP(2,1/('Engineer Updates'!$B$5:$B$704=A673),'Engineer Updates'!$G$5:$G$704),""))</x:f>
      </x:c>
      <x:c r="T673" s="172" t="str">
        <x:f>IF(A673="","",IFERROR(LOOKUP(2,1/('Engineer Updates'!$B$5:$B$704=A673),'Engineer Updates'!$I$5:$I$704),""))</x:f>
      </x:c>
      <x:c r="U673" s="172" t="str">
        <x:f>IF(A673="","",IFERROR(LOOKUP(2,1/('Engineer Updates'!$B$5:$B$704=A673),'Engineer Updates'!$J$5:$J$704),""))</x:f>
      </x:c>
      <x:c r="V673" s="172" t="str">
        <x:f>IF(A673="","",IFERROR(LOOKUP(2,1/('Engineer Updates'!$B$5:$B$704=A673),'Engineer Updates'!$K$5:$K$704),""))</x:f>
      </x:c>
      <x:c r="W673" s="174" t="str">
        <x:f>IF(A673="","",IFERROR(LOOKUP(2,1/('Engineer Updates'!$B$5:$B$704=A673),'Engineer Updates'!$L$5:$L$704),""))</x:f>
      </x:c>
      <x:c r="X673" s="170" t="str">
        <x:f>IF(A673="","",IF(C673="completed","Completed in CSSP",IF(AND(C673="executing",ISERROR(SEARCH("@",K673))),"Executing without named engineer",IF(AND(N673="Confirmed OOS",C673="executing"),"Confirmed OOS still executing",""))))</x:f>
      </x:c>
      <x:c r="Y673" s="170" t="str">
        <x:f>IF(A673="","",IF(B673="Decommissioning","Raw Decommissioning","Raw Provisioning"))</x:f>
      </x:c>
      <x:c r="Z673" s="170" t="str">
        <x:f>IF(A673="","",IF(OR(C673="executing",C673="processing"),"Yes","No"))</x:f>
      </x:c>
    </x:row>
    <x:row r="674">
      <x:c r="A674" s="170" t="str">
        <x:f>IF(ROWS($A$5:A674)&lt;=COUNTA('Raw Decommissioning'!$B$2:$B$1000),INDEX('Raw Decommissioning'!$B$2:$B$1000,ROWS($A$5:A674)),IF(ROWS($A$5:A674)-COUNTA('Raw Decommissioning'!$B$2:$B$1000)&lt;=COUNTA('Raw Provisioning'!$B$2:$B$1000),INDEX('Raw Provisioning'!$B$2:$B$1000,ROWS($A$5:A674)-COUNTA('Raw Decommissioning'!$B$2:$B$1000)),""))</x:f>
      </x:c>
      <x:c r="B674" s="170" t="str">
        <x:f>IF(A674="","",IF(ROWS($A$5:A674)&lt;=COUNTA('Raw Decommissioning'!$B$2:$B$1000),"Decommissioning","Provisioning"))</x:f>
      </x:c>
      <x:c r="C674" s="170" t="str">
        <x:f>IF(A674="","",IF(B674="Decommissioning",IFERROR(INDEX('Raw Decommissioning'!$E$2:$E$1000,MATCH(A674,'Raw Decommissioning'!$B$2:$B$1000,0)),"Missing from latest raw"),IFERROR(INDEX('Raw Provisioning'!$E$2:$E$1000,MATCH(A674,'Raw Provisioning'!$B$2:$B$1000,0)),"Missing from latest raw")))</x:f>
      </x:c>
      <x:c r="D674" s="171" t="str">
        <x:f>IF(A674="","",'Refresh Control'!$B$4)</x:f>
      </x:c>
      <x:c r="E674" s="171" t="str">
        <x:f>IF(A674="","",IF(B674="Decommissioning",INDEX('Raw Decommissioning'!$F$2:$F$1000,ROWS($A$5:A674)),INDEX('Raw Provisioning'!$F$2:$F$1000,ROWS($A$5:A674)-COUNTA('Raw Decommissioning'!$B$2:$B$1000))))</x:f>
      </x:c>
      <x:c r="F674" s="171" t="str">
        <x:f>IF(A674="","",IF(B674="Decommissioning",INDEX('Raw Decommissioning'!$G$2:$G$1000,ROWS($A$5:A674)),INDEX('Raw Provisioning'!$H$2:$H$1000,ROWS($A$5:A674)-COUNTA('Raw Decommissioning'!$B$2:$B$1000))))</x:f>
      </x:c>
      <x:c r="G674" s="170" t="str">
        <x:f>IF(A674="","",IF(B674="Decommissioning",INDEX('Raw Decommissioning'!$I$2:$I$1000,ROWS($A$5:A674)),INDEX('Raw Provisioning'!$J$2:$J$1000,ROWS($A$5:A674)-COUNTA('Raw Decommissioning'!$B$2:$B$1000))))</x:f>
      </x:c>
      <x:c r="H674" s="170" t="str">
        <x:f>IF(A674="","",IF(B674="Decommissioning",INDEX('Raw Decommissioning'!$J$2:$J$1000,ROWS($A$5:A674)),INDEX('Raw Provisioning'!$L$2:$L$1000,ROWS($A$5:A674)-COUNTA('Raw Decommissioning'!$B$2:$B$1000))))</x:f>
      </x:c>
      <x:c r="I674" s="170" t="str">
        <x:f>IF(A674="","",IF(B674="Decommissioning",INDEX('Raw Decommissioning'!$AL$2:$AL$1000,ROWS($A$5:A674)),INDEX('Raw Provisioning'!$R$2:$R$1000,ROWS($A$5:A674)-COUNTA('Raw Decommissioning'!$B$2:$B$1000))))</x:f>
      </x:c>
      <x:c r="J674" s="170" t="str">
        <x:f>IF(A674="","",IF(B674="Decommissioning",INDEX('Raw Decommissioning'!$AG$2:$AG$1000,ROWS($A$5:A674)),INDEX('Raw Provisioning'!$AI$2:$AI$1000,ROWS($A$5:A674)-COUNTA('Raw Decommissioning'!$B$2:$B$1000))))</x:f>
      </x:c>
      <x:c r="K674" s="172" t="str">
        <x:f>IF(A674="","",IFERROR(LOOKUP(2,1/('Assignment History'!$B$5:$B$204=A674),'Assignment History'!$D$5:$D$204),IFERROR(VLOOKUP(J674,Configuration!$L$5:$M$50,2,FALSE),J674)))</x:f>
      </x:c>
      <x:c r="L674" s="172" t="str">
        <x:f>IF(A674="","",IF(K674=IFERROR(VLOOKUP(J674,Configuration!$L$5:$M$50,2,FALSE),J674),"Snapshot PIC","Replacement PIC"))</x:f>
      </x:c>
      <x:c r="M674" s="172" t="str">
        <x:f>IF(A674="","",IFERROR(VLOOKUP(I674,Configuration!$O$5:$P$8,2,FALSE),Configuration!$S$6))</x:f>
      </x:c>
      <x:c r="N674" s="172" t="str">
        <x:f>IF(A674="","",IFERROR(LOOKUP(2,1/('Scope Review'!$B$5:$B$204=A674),'Scope Review'!$G$5:$G$204),"Not Reviewed"))</x:f>
      </x:c>
      <x:c r="O674" s="172" t="str">
        <x:f>IF(A674="","",IFERROR(LOOKUP(2,1/('Scope Review'!$B$5:$B$204=A674),'Scope Review'!$H$5:$H$204),""))</x:f>
      </x:c>
      <x:c r="P674" s="172" t="str">
        <x:f>IF(A674="","",IF(AND(C674="executing",N674&lt;&gt;"Confirmed OOS"),M674,0))</x:f>
      </x:c>
      <x:c r="Q674" s="173" t="str">
        <x:f>IF(A674="","",IFERROR(LOOKUP(2,1/('Engineer Updates'!$B$5:$B$704=A674),'Engineer Updates'!$A$5:$A$704),""))</x:f>
      </x:c>
      <x:c r="R674" s="172" t="str">
        <x:f>IF(A674="","",IFERROR(LOOKUP(2,1/('Engineer Updates'!$B$5:$B$704=A674),'Engineer Updates'!$H$5:$H$704),""))</x:f>
      </x:c>
      <x:c r="S674" s="172" t="str">
        <x:f>IF(A674="","",IFERROR(LOOKUP(2,1/('Engineer Updates'!$B$5:$B$704=A674),'Engineer Updates'!$G$5:$G$704),""))</x:f>
      </x:c>
      <x:c r="T674" s="172" t="str">
        <x:f>IF(A674="","",IFERROR(LOOKUP(2,1/('Engineer Updates'!$B$5:$B$704=A674),'Engineer Updates'!$I$5:$I$704),""))</x:f>
      </x:c>
      <x:c r="U674" s="172" t="str">
        <x:f>IF(A674="","",IFERROR(LOOKUP(2,1/('Engineer Updates'!$B$5:$B$704=A674),'Engineer Updates'!$J$5:$J$704),""))</x:f>
      </x:c>
      <x:c r="V674" s="172" t="str">
        <x:f>IF(A674="","",IFERROR(LOOKUP(2,1/('Engineer Updates'!$B$5:$B$704=A674),'Engineer Updates'!$K$5:$K$704),""))</x:f>
      </x:c>
      <x:c r="W674" s="174" t="str">
        <x:f>IF(A674="","",IFERROR(LOOKUP(2,1/('Engineer Updates'!$B$5:$B$704=A674),'Engineer Updates'!$L$5:$L$704),""))</x:f>
      </x:c>
      <x:c r="X674" s="170" t="str">
        <x:f>IF(A674="","",IF(C674="completed","Completed in CSSP",IF(AND(C674="executing",ISERROR(SEARCH("@",K674))),"Executing without named engineer",IF(AND(N674="Confirmed OOS",C674="executing"),"Confirmed OOS still executing",""))))</x:f>
      </x:c>
      <x:c r="Y674" s="170" t="str">
        <x:f>IF(A674="","",IF(B674="Decommissioning","Raw Decommissioning","Raw Provisioning"))</x:f>
      </x:c>
      <x:c r="Z674" s="170" t="str">
        <x:f>IF(A674="","",IF(OR(C674="executing",C674="processing"),"Yes","No"))</x:f>
      </x:c>
    </x:row>
    <x:row r="675">
      <x:c r="A675" s="170" t="str">
        <x:f>IF(ROWS($A$5:A675)&lt;=COUNTA('Raw Decommissioning'!$B$2:$B$1000),INDEX('Raw Decommissioning'!$B$2:$B$1000,ROWS($A$5:A675)),IF(ROWS($A$5:A675)-COUNTA('Raw Decommissioning'!$B$2:$B$1000)&lt;=COUNTA('Raw Provisioning'!$B$2:$B$1000),INDEX('Raw Provisioning'!$B$2:$B$1000,ROWS($A$5:A675)-COUNTA('Raw Decommissioning'!$B$2:$B$1000)),""))</x:f>
      </x:c>
      <x:c r="B675" s="170" t="str">
        <x:f>IF(A675="","",IF(ROWS($A$5:A675)&lt;=COUNTA('Raw Decommissioning'!$B$2:$B$1000),"Decommissioning","Provisioning"))</x:f>
      </x:c>
      <x:c r="C675" s="170" t="str">
        <x:f>IF(A675="","",IF(B675="Decommissioning",IFERROR(INDEX('Raw Decommissioning'!$E$2:$E$1000,MATCH(A675,'Raw Decommissioning'!$B$2:$B$1000,0)),"Missing from latest raw"),IFERROR(INDEX('Raw Provisioning'!$E$2:$E$1000,MATCH(A675,'Raw Provisioning'!$B$2:$B$1000,0)),"Missing from latest raw")))</x:f>
      </x:c>
      <x:c r="D675" s="171" t="str">
        <x:f>IF(A675="","",'Refresh Control'!$B$4)</x:f>
      </x:c>
      <x:c r="E675" s="171" t="str">
        <x:f>IF(A675="","",IF(B675="Decommissioning",INDEX('Raw Decommissioning'!$F$2:$F$1000,ROWS($A$5:A675)),INDEX('Raw Provisioning'!$F$2:$F$1000,ROWS($A$5:A675)-COUNTA('Raw Decommissioning'!$B$2:$B$1000))))</x:f>
      </x:c>
      <x:c r="F675" s="171" t="str">
        <x:f>IF(A675="","",IF(B675="Decommissioning",INDEX('Raw Decommissioning'!$G$2:$G$1000,ROWS($A$5:A675)),INDEX('Raw Provisioning'!$H$2:$H$1000,ROWS($A$5:A675)-COUNTA('Raw Decommissioning'!$B$2:$B$1000))))</x:f>
      </x:c>
      <x:c r="G675" s="170" t="str">
        <x:f>IF(A675="","",IF(B675="Decommissioning",INDEX('Raw Decommissioning'!$I$2:$I$1000,ROWS($A$5:A675)),INDEX('Raw Provisioning'!$J$2:$J$1000,ROWS($A$5:A675)-COUNTA('Raw Decommissioning'!$B$2:$B$1000))))</x:f>
      </x:c>
      <x:c r="H675" s="170" t="str">
        <x:f>IF(A675="","",IF(B675="Decommissioning",INDEX('Raw Decommissioning'!$J$2:$J$1000,ROWS($A$5:A675)),INDEX('Raw Provisioning'!$L$2:$L$1000,ROWS($A$5:A675)-COUNTA('Raw Decommissioning'!$B$2:$B$1000))))</x:f>
      </x:c>
      <x:c r="I675" s="170" t="str">
        <x:f>IF(A675="","",IF(B675="Decommissioning",INDEX('Raw Decommissioning'!$AL$2:$AL$1000,ROWS($A$5:A675)),INDEX('Raw Provisioning'!$R$2:$R$1000,ROWS($A$5:A675)-COUNTA('Raw Decommissioning'!$B$2:$B$1000))))</x:f>
      </x:c>
      <x:c r="J675" s="170" t="str">
        <x:f>IF(A675="","",IF(B675="Decommissioning",INDEX('Raw Decommissioning'!$AG$2:$AG$1000,ROWS($A$5:A675)),INDEX('Raw Provisioning'!$AI$2:$AI$1000,ROWS($A$5:A675)-COUNTA('Raw Decommissioning'!$B$2:$B$1000))))</x:f>
      </x:c>
      <x:c r="K675" s="172" t="str">
        <x:f>IF(A675="","",IFERROR(LOOKUP(2,1/('Assignment History'!$B$5:$B$204=A675),'Assignment History'!$D$5:$D$204),IFERROR(VLOOKUP(J675,Configuration!$L$5:$M$50,2,FALSE),J675)))</x:f>
      </x:c>
      <x:c r="L675" s="172" t="str">
        <x:f>IF(A675="","",IF(K675=IFERROR(VLOOKUP(J675,Configuration!$L$5:$M$50,2,FALSE),J675),"Snapshot PIC","Replacement PIC"))</x:f>
      </x:c>
      <x:c r="M675" s="172" t="str">
        <x:f>IF(A675="","",IFERROR(VLOOKUP(I675,Configuration!$O$5:$P$8,2,FALSE),Configuration!$S$6))</x:f>
      </x:c>
      <x:c r="N675" s="172" t="str">
        <x:f>IF(A675="","",IFERROR(LOOKUP(2,1/('Scope Review'!$B$5:$B$204=A675),'Scope Review'!$G$5:$G$204),"Not Reviewed"))</x:f>
      </x:c>
      <x:c r="O675" s="172" t="str">
        <x:f>IF(A675="","",IFERROR(LOOKUP(2,1/('Scope Review'!$B$5:$B$204=A675),'Scope Review'!$H$5:$H$204),""))</x:f>
      </x:c>
      <x:c r="P675" s="172" t="str">
        <x:f>IF(A675="","",IF(AND(C675="executing",N675&lt;&gt;"Confirmed OOS"),M675,0))</x:f>
      </x:c>
      <x:c r="Q675" s="173" t="str">
        <x:f>IF(A675="","",IFERROR(LOOKUP(2,1/('Engineer Updates'!$B$5:$B$704=A675),'Engineer Updates'!$A$5:$A$704),""))</x:f>
      </x:c>
      <x:c r="R675" s="172" t="str">
        <x:f>IF(A675="","",IFERROR(LOOKUP(2,1/('Engineer Updates'!$B$5:$B$704=A675),'Engineer Updates'!$H$5:$H$704),""))</x:f>
      </x:c>
      <x:c r="S675" s="172" t="str">
        <x:f>IF(A675="","",IFERROR(LOOKUP(2,1/('Engineer Updates'!$B$5:$B$704=A675),'Engineer Updates'!$G$5:$G$704),""))</x:f>
      </x:c>
      <x:c r="T675" s="172" t="str">
        <x:f>IF(A675="","",IFERROR(LOOKUP(2,1/('Engineer Updates'!$B$5:$B$704=A675),'Engineer Updates'!$I$5:$I$704),""))</x:f>
      </x:c>
      <x:c r="U675" s="172" t="str">
        <x:f>IF(A675="","",IFERROR(LOOKUP(2,1/('Engineer Updates'!$B$5:$B$704=A675),'Engineer Updates'!$J$5:$J$704),""))</x:f>
      </x:c>
      <x:c r="V675" s="172" t="str">
        <x:f>IF(A675="","",IFERROR(LOOKUP(2,1/('Engineer Updates'!$B$5:$B$704=A675),'Engineer Updates'!$K$5:$K$704),""))</x:f>
      </x:c>
      <x:c r="W675" s="174" t="str">
        <x:f>IF(A675="","",IFERROR(LOOKUP(2,1/('Engineer Updates'!$B$5:$B$704=A675),'Engineer Updates'!$L$5:$L$704),""))</x:f>
      </x:c>
      <x:c r="X675" s="170" t="str">
        <x:f>IF(A675="","",IF(C675="completed","Completed in CSSP",IF(AND(C675="executing",ISERROR(SEARCH("@",K675))),"Executing without named engineer",IF(AND(N675="Confirmed OOS",C675="executing"),"Confirmed OOS still executing",""))))</x:f>
      </x:c>
      <x:c r="Y675" s="170" t="str">
        <x:f>IF(A675="","",IF(B675="Decommissioning","Raw Decommissioning","Raw Provisioning"))</x:f>
      </x:c>
      <x:c r="Z675" s="170" t="str">
        <x:f>IF(A675="","",IF(OR(C675="executing",C675="processing"),"Yes","No"))</x:f>
      </x:c>
    </x:row>
    <x:row r="676">
      <x:c r="A676" s="170" t="str">
        <x:f>IF(ROWS($A$5:A676)&lt;=COUNTA('Raw Decommissioning'!$B$2:$B$1000),INDEX('Raw Decommissioning'!$B$2:$B$1000,ROWS($A$5:A676)),IF(ROWS($A$5:A676)-COUNTA('Raw Decommissioning'!$B$2:$B$1000)&lt;=COUNTA('Raw Provisioning'!$B$2:$B$1000),INDEX('Raw Provisioning'!$B$2:$B$1000,ROWS($A$5:A676)-COUNTA('Raw Decommissioning'!$B$2:$B$1000)),""))</x:f>
      </x:c>
      <x:c r="B676" s="170" t="str">
        <x:f>IF(A676="","",IF(ROWS($A$5:A676)&lt;=COUNTA('Raw Decommissioning'!$B$2:$B$1000),"Decommissioning","Provisioning"))</x:f>
      </x:c>
      <x:c r="C676" s="170" t="str">
        <x:f>IF(A676="","",IF(B676="Decommissioning",IFERROR(INDEX('Raw Decommissioning'!$E$2:$E$1000,MATCH(A676,'Raw Decommissioning'!$B$2:$B$1000,0)),"Missing from latest raw"),IFERROR(INDEX('Raw Provisioning'!$E$2:$E$1000,MATCH(A676,'Raw Provisioning'!$B$2:$B$1000,0)),"Missing from latest raw")))</x:f>
      </x:c>
      <x:c r="D676" s="171" t="str">
        <x:f>IF(A676="","",'Refresh Control'!$B$4)</x:f>
      </x:c>
      <x:c r="E676" s="171" t="str">
        <x:f>IF(A676="","",IF(B676="Decommissioning",INDEX('Raw Decommissioning'!$F$2:$F$1000,ROWS($A$5:A676)),INDEX('Raw Provisioning'!$F$2:$F$1000,ROWS($A$5:A676)-COUNTA('Raw Decommissioning'!$B$2:$B$1000))))</x:f>
      </x:c>
      <x:c r="F676" s="171" t="str">
        <x:f>IF(A676="","",IF(B676="Decommissioning",INDEX('Raw Decommissioning'!$G$2:$G$1000,ROWS($A$5:A676)),INDEX('Raw Provisioning'!$H$2:$H$1000,ROWS($A$5:A676)-COUNTA('Raw Decommissioning'!$B$2:$B$1000))))</x:f>
      </x:c>
      <x:c r="G676" s="170" t="str">
        <x:f>IF(A676="","",IF(B676="Decommissioning",INDEX('Raw Decommissioning'!$I$2:$I$1000,ROWS($A$5:A676)),INDEX('Raw Provisioning'!$J$2:$J$1000,ROWS($A$5:A676)-COUNTA('Raw Decommissioning'!$B$2:$B$1000))))</x:f>
      </x:c>
      <x:c r="H676" s="170" t="str">
        <x:f>IF(A676="","",IF(B676="Decommissioning",INDEX('Raw Decommissioning'!$J$2:$J$1000,ROWS($A$5:A676)),INDEX('Raw Provisioning'!$L$2:$L$1000,ROWS($A$5:A676)-COUNTA('Raw Decommissioning'!$B$2:$B$1000))))</x:f>
      </x:c>
      <x:c r="I676" s="170" t="str">
        <x:f>IF(A676="","",IF(B676="Decommissioning",INDEX('Raw Decommissioning'!$AL$2:$AL$1000,ROWS($A$5:A676)),INDEX('Raw Provisioning'!$R$2:$R$1000,ROWS($A$5:A676)-COUNTA('Raw Decommissioning'!$B$2:$B$1000))))</x:f>
      </x:c>
      <x:c r="J676" s="170" t="str">
        <x:f>IF(A676="","",IF(B676="Decommissioning",INDEX('Raw Decommissioning'!$AG$2:$AG$1000,ROWS($A$5:A676)),INDEX('Raw Provisioning'!$AI$2:$AI$1000,ROWS($A$5:A676)-COUNTA('Raw Decommissioning'!$B$2:$B$1000))))</x:f>
      </x:c>
      <x:c r="K676" s="172" t="str">
        <x:f>IF(A676="","",IFERROR(LOOKUP(2,1/('Assignment History'!$B$5:$B$204=A676),'Assignment History'!$D$5:$D$204),IFERROR(VLOOKUP(J676,Configuration!$L$5:$M$50,2,FALSE),J676)))</x:f>
      </x:c>
      <x:c r="L676" s="172" t="str">
        <x:f>IF(A676="","",IF(K676=IFERROR(VLOOKUP(J676,Configuration!$L$5:$M$50,2,FALSE),J676),"Snapshot PIC","Replacement PIC"))</x:f>
      </x:c>
      <x:c r="M676" s="172" t="str">
        <x:f>IF(A676="","",IFERROR(VLOOKUP(I676,Configuration!$O$5:$P$8,2,FALSE),Configuration!$S$6))</x:f>
      </x:c>
      <x:c r="N676" s="172" t="str">
        <x:f>IF(A676="","",IFERROR(LOOKUP(2,1/('Scope Review'!$B$5:$B$204=A676),'Scope Review'!$G$5:$G$204),"Not Reviewed"))</x:f>
      </x:c>
      <x:c r="O676" s="172" t="str">
        <x:f>IF(A676="","",IFERROR(LOOKUP(2,1/('Scope Review'!$B$5:$B$204=A676),'Scope Review'!$H$5:$H$204),""))</x:f>
      </x:c>
      <x:c r="P676" s="172" t="str">
        <x:f>IF(A676="","",IF(AND(C676="executing",N676&lt;&gt;"Confirmed OOS"),M676,0))</x:f>
      </x:c>
      <x:c r="Q676" s="173" t="str">
        <x:f>IF(A676="","",IFERROR(LOOKUP(2,1/('Engineer Updates'!$B$5:$B$704=A676),'Engineer Updates'!$A$5:$A$704),""))</x:f>
      </x:c>
      <x:c r="R676" s="172" t="str">
        <x:f>IF(A676="","",IFERROR(LOOKUP(2,1/('Engineer Updates'!$B$5:$B$704=A676),'Engineer Updates'!$H$5:$H$704),""))</x:f>
      </x:c>
      <x:c r="S676" s="172" t="str">
        <x:f>IF(A676="","",IFERROR(LOOKUP(2,1/('Engineer Updates'!$B$5:$B$704=A676),'Engineer Updates'!$G$5:$G$704),""))</x:f>
      </x:c>
      <x:c r="T676" s="172" t="str">
        <x:f>IF(A676="","",IFERROR(LOOKUP(2,1/('Engineer Updates'!$B$5:$B$704=A676),'Engineer Updates'!$I$5:$I$704),""))</x:f>
      </x:c>
      <x:c r="U676" s="172" t="str">
        <x:f>IF(A676="","",IFERROR(LOOKUP(2,1/('Engineer Updates'!$B$5:$B$704=A676),'Engineer Updates'!$J$5:$J$704),""))</x:f>
      </x:c>
      <x:c r="V676" s="172" t="str">
        <x:f>IF(A676="","",IFERROR(LOOKUP(2,1/('Engineer Updates'!$B$5:$B$704=A676),'Engineer Updates'!$K$5:$K$704),""))</x:f>
      </x:c>
      <x:c r="W676" s="174" t="str">
        <x:f>IF(A676="","",IFERROR(LOOKUP(2,1/('Engineer Updates'!$B$5:$B$704=A676),'Engineer Updates'!$L$5:$L$704),""))</x:f>
      </x:c>
      <x:c r="X676" s="170" t="str">
        <x:f>IF(A676="","",IF(C676="completed","Completed in CSSP",IF(AND(C676="executing",ISERROR(SEARCH("@",K676))),"Executing without named engineer",IF(AND(N676="Confirmed OOS",C676="executing"),"Confirmed OOS still executing",""))))</x:f>
      </x:c>
      <x:c r="Y676" s="170" t="str">
        <x:f>IF(A676="","",IF(B676="Decommissioning","Raw Decommissioning","Raw Provisioning"))</x:f>
      </x:c>
      <x:c r="Z676" s="170" t="str">
        <x:f>IF(A676="","",IF(OR(C676="executing",C676="processing"),"Yes","No"))</x:f>
      </x:c>
    </x:row>
    <x:row r="677">
      <x:c r="A677" s="170" t="str">
        <x:f>IF(ROWS($A$5:A677)&lt;=COUNTA('Raw Decommissioning'!$B$2:$B$1000),INDEX('Raw Decommissioning'!$B$2:$B$1000,ROWS($A$5:A677)),IF(ROWS($A$5:A677)-COUNTA('Raw Decommissioning'!$B$2:$B$1000)&lt;=COUNTA('Raw Provisioning'!$B$2:$B$1000),INDEX('Raw Provisioning'!$B$2:$B$1000,ROWS($A$5:A677)-COUNTA('Raw Decommissioning'!$B$2:$B$1000)),""))</x:f>
      </x:c>
      <x:c r="B677" s="170" t="str">
        <x:f>IF(A677="","",IF(ROWS($A$5:A677)&lt;=COUNTA('Raw Decommissioning'!$B$2:$B$1000),"Decommissioning","Provisioning"))</x:f>
      </x:c>
      <x:c r="C677" s="170" t="str">
        <x:f>IF(A677="","",IF(B677="Decommissioning",IFERROR(INDEX('Raw Decommissioning'!$E$2:$E$1000,MATCH(A677,'Raw Decommissioning'!$B$2:$B$1000,0)),"Missing from latest raw"),IFERROR(INDEX('Raw Provisioning'!$E$2:$E$1000,MATCH(A677,'Raw Provisioning'!$B$2:$B$1000,0)),"Missing from latest raw")))</x:f>
      </x:c>
      <x:c r="D677" s="171" t="str">
        <x:f>IF(A677="","",'Refresh Control'!$B$4)</x:f>
      </x:c>
      <x:c r="E677" s="171" t="str">
        <x:f>IF(A677="","",IF(B677="Decommissioning",INDEX('Raw Decommissioning'!$F$2:$F$1000,ROWS($A$5:A677)),INDEX('Raw Provisioning'!$F$2:$F$1000,ROWS($A$5:A677)-COUNTA('Raw Decommissioning'!$B$2:$B$1000))))</x:f>
      </x:c>
      <x:c r="F677" s="171" t="str">
        <x:f>IF(A677="","",IF(B677="Decommissioning",INDEX('Raw Decommissioning'!$G$2:$G$1000,ROWS($A$5:A677)),INDEX('Raw Provisioning'!$H$2:$H$1000,ROWS($A$5:A677)-COUNTA('Raw Decommissioning'!$B$2:$B$1000))))</x:f>
      </x:c>
      <x:c r="G677" s="170" t="str">
        <x:f>IF(A677="","",IF(B677="Decommissioning",INDEX('Raw Decommissioning'!$I$2:$I$1000,ROWS($A$5:A677)),INDEX('Raw Provisioning'!$J$2:$J$1000,ROWS($A$5:A677)-COUNTA('Raw Decommissioning'!$B$2:$B$1000))))</x:f>
      </x:c>
      <x:c r="H677" s="170" t="str">
        <x:f>IF(A677="","",IF(B677="Decommissioning",INDEX('Raw Decommissioning'!$J$2:$J$1000,ROWS($A$5:A677)),INDEX('Raw Provisioning'!$L$2:$L$1000,ROWS($A$5:A677)-COUNTA('Raw Decommissioning'!$B$2:$B$1000))))</x:f>
      </x:c>
      <x:c r="I677" s="170" t="str">
        <x:f>IF(A677="","",IF(B677="Decommissioning",INDEX('Raw Decommissioning'!$AL$2:$AL$1000,ROWS($A$5:A677)),INDEX('Raw Provisioning'!$R$2:$R$1000,ROWS($A$5:A677)-COUNTA('Raw Decommissioning'!$B$2:$B$1000))))</x:f>
      </x:c>
      <x:c r="J677" s="170" t="str">
        <x:f>IF(A677="","",IF(B677="Decommissioning",INDEX('Raw Decommissioning'!$AG$2:$AG$1000,ROWS($A$5:A677)),INDEX('Raw Provisioning'!$AI$2:$AI$1000,ROWS($A$5:A677)-COUNTA('Raw Decommissioning'!$B$2:$B$1000))))</x:f>
      </x:c>
      <x:c r="K677" s="172" t="str">
        <x:f>IF(A677="","",IFERROR(LOOKUP(2,1/('Assignment History'!$B$5:$B$204=A677),'Assignment History'!$D$5:$D$204),IFERROR(VLOOKUP(J677,Configuration!$L$5:$M$50,2,FALSE),J677)))</x:f>
      </x:c>
      <x:c r="L677" s="172" t="str">
        <x:f>IF(A677="","",IF(K677=IFERROR(VLOOKUP(J677,Configuration!$L$5:$M$50,2,FALSE),J677),"Snapshot PIC","Replacement PIC"))</x:f>
      </x:c>
      <x:c r="M677" s="172" t="str">
        <x:f>IF(A677="","",IFERROR(VLOOKUP(I677,Configuration!$O$5:$P$8,2,FALSE),Configuration!$S$6))</x:f>
      </x:c>
      <x:c r="N677" s="172" t="str">
        <x:f>IF(A677="","",IFERROR(LOOKUP(2,1/('Scope Review'!$B$5:$B$204=A677),'Scope Review'!$G$5:$G$204),"Not Reviewed"))</x:f>
      </x:c>
      <x:c r="O677" s="172" t="str">
        <x:f>IF(A677="","",IFERROR(LOOKUP(2,1/('Scope Review'!$B$5:$B$204=A677),'Scope Review'!$H$5:$H$204),""))</x:f>
      </x:c>
      <x:c r="P677" s="172" t="str">
        <x:f>IF(A677="","",IF(AND(C677="executing",N677&lt;&gt;"Confirmed OOS"),M677,0))</x:f>
      </x:c>
      <x:c r="Q677" s="173" t="str">
        <x:f>IF(A677="","",IFERROR(LOOKUP(2,1/('Engineer Updates'!$B$5:$B$704=A677),'Engineer Updates'!$A$5:$A$704),""))</x:f>
      </x:c>
      <x:c r="R677" s="172" t="str">
        <x:f>IF(A677="","",IFERROR(LOOKUP(2,1/('Engineer Updates'!$B$5:$B$704=A677),'Engineer Updates'!$H$5:$H$704),""))</x:f>
      </x:c>
      <x:c r="S677" s="172" t="str">
        <x:f>IF(A677="","",IFERROR(LOOKUP(2,1/('Engineer Updates'!$B$5:$B$704=A677),'Engineer Updates'!$G$5:$G$704),""))</x:f>
      </x:c>
      <x:c r="T677" s="172" t="str">
        <x:f>IF(A677="","",IFERROR(LOOKUP(2,1/('Engineer Updates'!$B$5:$B$704=A677),'Engineer Updates'!$I$5:$I$704),""))</x:f>
      </x:c>
      <x:c r="U677" s="172" t="str">
        <x:f>IF(A677="","",IFERROR(LOOKUP(2,1/('Engineer Updates'!$B$5:$B$704=A677),'Engineer Updates'!$J$5:$J$704),""))</x:f>
      </x:c>
      <x:c r="V677" s="172" t="str">
        <x:f>IF(A677="","",IFERROR(LOOKUP(2,1/('Engineer Updates'!$B$5:$B$704=A677),'Engineer Updates'!$K$5:$K$704),""))</x:f>
      </x:c>
      <x:c r="W677" s="174" t="str">
        <x:f>IF(A677="","",IFERROR(LOOKUP(2,1/('Engineer Updates'!$B$5:$B$704=A677),'Engineer Updates'!$L$5:$L$704),""))</x:f>
      </x:c>
      <x:c r="X677" s="170" t="str">
        <x:f>IF(A677="","",IF(C677="completed","Completed in CSSP",IF(AND(C677="executing",ISERROR(SEARCH("@",K677))),"Executing without named engineer",IF(AND(N677="Confirmed OOS",C677="executing"),"Confirmed OOS still executing",""))))</x:f>
      </x:c>
      <x:c r="Y677" s="170" t="str">
        <x:f>IF(A677="","",IF(B677="Decommissioning","Raw Decommissioning","Raw Provisioning"))</x:f>
      </x:c>
      <x:c r="Z677" s="170" t="str">
        <x:f>IF(A677="","",IF(OR(C677="executing",C677="processing"),"Yes","No"))</x:f>
      </x:c>
    </x:row>
    <x:row r="678">
      <x:c r="A678" s="170" t="str">
        <x:f>IF(ROWS($A$5:A678)&lt;=COUNTA('Raw Decommissioning'!$B$2:$B$1000),INDEX('Raw Decommissioning'!$B$2:$B$1000,ROWS($A$5:A678)),IF(ROWS($A$5:A678)-COUNTA('Raw Decommissioning'!$B$2:$B$1000)&lt;=COUNTA('Raw Provisioning'!$B$2:$B$1000),INDEX('Raw Provisioning'!$B$2:$B$1000,ROWS($A$5:A678)-COUNTA('Raw Decommissioning'!$B$2:$B$1000)),""))</x:f>
      </x:c>
      <x:c r="B678" s="170" t="str">
        <x:f>IF(A678="","",IF(ROWS($A$5:A678)&lt;=COUNTA('Raw Decommissioning'!$B$2:$B$1000),"Decommissioning","Provisioning"))</x:f>
      </x:c>
      <x:c r="C678" s="170" t="str">
        <x:f>IF(A678="","",IF(B678="Decommissioning",IFERROR(INDEX('Raw Decommissioning'!$E$2:$E$1000,MATCH(A678,'Raw Decommissioning'!$B$2:$B$1000,0)),"Missing from latest raw"),IFERROR(INDEX('Raw Provisioning'!$E$2:$E$1000,MATCH(A678,'Raw Provisioning'!$B$2:$B$1000,0)),"Missing from latest raw")))</x:f>
      </x:c>
      <x:c r="D678" s="171" t="str">
        <x:f>IF(A678="","",'Refresh Control'!$B$4)</x:f>
      </x:c>
      <x:c r="E678" s="171" t="str">
        <x:f>IF(A678="","",IF(B678="Decommissioning",INDEX('Raw Decommissioning'!$F$2:$F$1000,ROWS($A$5:A678)),INDEX('Raw Provisioning'!$F$2:$F$1000,ROWS($A$5:A678)-COUNTA('Raw Decommissioning'!$B$2:$B$1000))))</x:f>
      </x:c>
      <x:c r="F678" s="171" t="str">
        <x:f>IF(A678="","",IF(B678="Decommissioning",INDEX('Raw Decommissioning'!$G$2:$G$1000,ROWS($A$5:A678)),INDEX('Raw Provisioning'!$H$2:$H$1000,ROWS($A$5:A678)-COUNTA('Raw Decommissioning'!$B$2:$B$1000))))</x:f>
      </x:c>
      <x:c r="G678" s="170" t="str">
        <x:f>IF(A678="","",IF(B678="Decommissioning",INDEX('Raw Decommissioning'!$I$2:$I$1000,ROWS($A$5:A678)),INDEX('Raw Provisioning'!$J$2:$J$1000,ROWS($A$5:A678)-COUNTA('Raw Decommissioning'!$B$2:$B$1000))))</x:f>
      </x:c>
      <x:c r="H678" s="170" t="str">
        <x:f>IF(A678="","",IF(B678="Decommissioning",INDEX('Raw Decommissioning'!$J$2:$J$1000,ROWS($A$5:A678)),INDEX('Raw Provisioning'!$L$2:$L$1000,ROWS($A$5:A678)-COUNTA('Raw Decommissioning'!$B$2:$B$1000))))</x:f>
      </x:c>
      <x:c r="I678" s="170" t="str">
        <x:f>IF(A678="","",IF(B678="Decommissioning",INDEX('Raw Decommissioning'!$AL$2:$AL$1000,ROWS($A$5:A678)),INDEX('Raw Provisioning'!$R$2:$R$1000,ROWS($A$5:A678)-COUNTA('Raw Decommissioning'!$B$2:$B$1000))))</x:f>
      </x:c>
      <x:c r="J678" s="170" t="str">
        <x:f>IF(A678="","",IF(B678="Decommissioning",INDEX('Raw Decommissioning'!$AG$2:$AG$1000,ROWS($A$5:A678)),INDEX('Raw Provisioning'!$AI$2:$AI$1000,ROWS($A$5:A678)-COUNTA('Raw Decommissioning'!$B$2:$B$1000))))</x:f>
      </x:c>
      <x:c r="K678" s="172" t="str">
        <x:f>IF(A678="","",IFERROR(LOOKUP(2,1/('Assignment History'!$B$5:$B$204=A678),'Assignment History'!$D$5:$D$204),IFERROR(VLOOKUP(J678,Configuration!$L$5:$M$50,2,FALSE),J678)))</x:f>
      </x:c>
      <x:c r="L678" s="172" t="str">
        <x:f>IF(A678="","",IF(K678=IFERROR(VLOOKUP(J678,Configuration!$L$5:$M$50,2,FALSE),J678),"Snapshot PIC","Replacement PIC"))</x:f>
      </x:c>
      <x:c r="M678" s="172" t="str">
        <x:f>IF(A678="","",IFERROR(VLOOKUP(I678,Configuration!$O$5:$P$8,2,FALSE),Configuration!$S$6))</x:f>
      </x:c>
      <x:c r="N678" s="172" t="str">
        <x:f>IF(A678="","",IFERROR(LOOKUP(2,1/('Scope Review'!$B$5:$B$204=A678),'Scope Review'!$G$5:$G$204),"Not Reviewed"))</x:f>
      </x:c>
      <x:c r="O678" s="172" t="str">
        <x:f>IF(A678="","",IFERROR(LOOKUP(2,1/('Scope Review'!$B$5:$B$204=A678),'Scope Review'!$H$5:$H$204),""))</x:f>
      </x:c>
      <x:c r="P678" s="172" t="str">
        <x:f>IF(A678="","",IF(AND(C678="executing",N678&lt;&gt;"Confirmed OOS"),M678,0))</x:f>
      </x:c>
      <x:c r="Q678" s="173" t="str">
        <x:f>IF(A678="","",IFERROR(LOOKUP(2,1/('Engineer Updates'!$B$5:$B$704=A678),'Engineer Updates'!$A$5:$A$704),""))</x:f>
      </x:c>
      <x:c r="R678" s="172" t="str">
        <x:f>IF(A678="","",IFERROR(LOOKUP(2,1/('Engineer Updates'!$B$5:$B$704=A678),'Engineer Updates'!$H$5:$H$704),""))</x:f>
      </x:c>
      <x:c r="S678" s="172" t="str">
        <x:f>IF(A678="","",IFERROR(LOOKUP(2,1/('Engineer Updates'!$B$5:$B$704=A678),'Engineer Updates'!$G$5:$G$704),""))</x:f>
      </x:c>
      <x:c r="T678" s="172" t="str">
        <x:f>IF(A678="","",IFERROR(LOOKUP(2,1/('Engineer Updates'!$B$5:$B$704=A678),'Engineer Updates'!$I$5:$I$704),""))</x:f>
      </x:c>
      <x:c r="U678" s="172" t="str">
        <x:f>IF(A678="","",IFERROR(LOOKUP(2,1/('Engineer Updates'!$B$5:$B$704=A678),'Engineer Updates'!$J$5:$J$704),""))</x:f>
      </x:c>
      <x:c r="V678" s="172" t="str">
        <x:f>IF(A678="","",IFERROR(LOOKUP(2,1/('Engineer Updates'!$B$5:$B$704=A678),'Engineer Updates'!$K$5:$K$704),""))</x:f>
      </x:c>
      <x:c r="W678" s="174" t="str">
        <x:f>IF(A678="","",IFERROR(LOOKUP(2,1/('Engineer Updates'!$B$5:$B$704=A678),'Engineer Updates'!$L$5:$L$704),""))</x:f>
      </x:c>
      <x:c r="X678" s="170" t="str">
        <x:f>IF(A678="","",IF(C678="completed","Completed in CSSP",IF(AND(C678="executing",ISERROR(SEARCH("@",K678))),"Executing without named engineer",IF(AND(N678="Confirmed OOS",C678="executing"),"Confirmed OOS still executing",""))))</x:f>
      </x:c>
      <x:c r="Y678" s="170" t="str">
        <x:f>IF(A678="","",IF(B678="Decommissioning","Raw Decommissioning","Raw Provisioning"))</x:f>
      </x:c>
      <x:c r="Z678" s="170" t="str">
        <x:f>IF(A678="","",IF(OR(C678="executing",C678="processing"),"Yes","No"))</x:f>
      </x:c>
    </x:row>
    <x:row r="679">
      <x:c r="A679" s="170" t="str">
        <x:f>IF(ROWS($A$5:A679)&lt;=COUNTA('Raw Decommissioning'!$B$2:$B$1000),INDEX('Raw Decommissioning'!$B$2:$B$1000,ROWS($A$5:A679)),IF(ROWS($A$5:A679)-COUNTA('Raw Decommissioning'!$B$2:$B$1000)&lt;=COUNTA('Raw Provisioning'!$B$2:$B$1000),INDEX('Raw Provisioning'!$B$2:$B$1000,ROWS($A$5:A679)-COUNTA('Raw Decommissioning'!$B$2:$B$1000)),""))</x:f>
      </x:c>
      <x:c r="B679" s="170" t="str">
        <x:f>IF(A679="","",IF(ROWS($A$5:A679)&lt;=COUNTA('Raw Decommissioning'!$B$2:$B$1000),"Decommissioning","Provisioning"))</x:f>
      </x:c>
      <x:c r="C679" s="170" t="str">
        <x:f>IF(A679="","",IF(B679="Decommissioning",IFERROR(INDEX('Raw Decommissioning'!$E$2:$E$1000,MATCH(A679,'Raw Decommissioning'!$B$2:$B$1000,0)),"Missing from latest raw"),IFERROR(INDEX('Raw Provisioning'!$E$2:$E$1000,MATCH(A679,'Raw Provisioning'!$B$2:$B$1000,0)),"Missing from latest raw")))</x:f>
      </x:c>
      <x:c r="D679" s="171" t="str">
        <x:f>IF(A679="","",'Refresh Control'!$B$4)</x:f>
      </x:c>
      <x:c r="E679" s="171" t="str">
        <x:f>IF(A679="","",IF(B679="Decommissioning",INDEX('Raw Decommissioning'!$F$2:$F$1000,ROWS($A$5:A679)),INDEX('Raw Provisioning'!$F$2:$F$1000,ROWS($A$5:A679)-COUNTA('Raw Decommissioning'!$B$2:$B$1000))))</x:f>
      </x:c>
      <x:c r="F679" s="171" t="str">
        <x:f>IF(A679="","",IF(B679="Decommissioning",INDEX('Raw Decommissioning'!$G$2:$G$1000,ROWS($A$5:A679)),INDEX('Raw Provisioning'!$H$2:$H$1000,ROWS($A$5:A679)-COUNTA('Raw Decommissioning'!$B$2:$B$1000))))</x:f>
      </x:c>
      <x:c r="G679" s="170" t="str">
        <x:f>IF(A679="","",IF(B679="Decommissioning",INDEX('Raw Decommissioning'!$I$2:$I$1000,ROWS($A$5:A679)),INDEX('Raw Provisioning'!$J$2:$J$1000,ROWS($A$5:A679)-COUNTA('Raw Decommissioning'!$B$2:$B$1000))))</x:f>
      </x:c>
      <x:c r="H679" s="170" t="str">
        <x:f>IF(A679="","",IF(B679="Decommissioning",INDEX('Raw Decommissioning'!$J$2:$J$1000,ROWS($A$5:A679)),INDEX('Raw Provisioning'!$L$2:$L$1000,ROWS($A$5:A679)-COUNTA('Raw Decommissioning'!$B$2:$B$1000))))</x:f>
      </x:c>
      <x:c r="I679" s="170" t="str">
        <x:f>IF(A679="","",IF(B679="Decommissioning",INDEX('Raw Decommissioning'!$AL$2:$AL$1000,ROWS($A$5:A679)),INDEX('Raw Provisioning'!$R$2:$R$1000,ROWS($A$5:A679)-COUNTA('Raw Decommissioning'!$B$2:$B$1000))))</x:f>
      </x:c>
      <x:c r="J679" s="170" t="str">
        <x:f>IF(A679="","",IF(B679="Decommissioning",INDEX('Raw Decommissioning'!$AG$2:$AG$1000,ROWS($A$5:A679)),INDEX('Raw Provisioning'!$AI$2:$AI$1000,ROWS($A$5:A679)-COUNTA('Raw Decommissioning'!$B$2:$B$1000))))</x:f>
      </x:c>
      <x:c r="K679" s="172" t="str">
        <x:f>IF(A679="","",IFERROR(LOOKUP(2,1/('Assignment History'!$B$5:$B$204=A679),'Assignment History'!$D$5:$D$204),IFERROR(VLOOKUP(J679,Configuration!$L$5:$M$50,2,FALSE),J679)))</x:f>
      </x:c>
      <x:c r="L679" s="172" t="str">
        <x:f>IF(A679="","",IF(K679=IFERROR(VLOOKUP(J679,Configuration!$L$5:$M$50,2,FALSE),J679),"Snapshot PIC","Replacement PIC"))</x:f>
      </x:c>
      <x:c r="M679" s="172" t="str">
        <x:f>IF(A679="","",IFERROR(VLOOKUP(I679,Configuration!$O$5:$P$8,2,FALSE),Configuration!$S$6))</x:f>
      </x:c>
      <x:c r="N679" s="172" t="str">
        <x:f>IF(A679="","",IFERROR(LOOKUP(2,1/('Scope Review'!$B$5:$B$204=A679),'Scope Review'!$G$5:$G$204),"Not Reviewed"))</x:f>
      </x:c>
      <x:c r="O679" s="172" t="str">
        <x:f>IF(A679="","",IFERROR(LOOKUP(2,1/('Scope Review'!$B$5:$B$204=A679),'Scope Review'!$H$5:$H$204),""))</x:f>
      </x:c>
      <x:c r="P679" s="172" t="str">
        <x:f>IF(A679="","",IF(AND(C679="executing",N679&lt;&gt;"Confirmed OOS"),M679,0))</x:f>
      </x:c>
      <x:c r="Q679" s="173" t="str">
        <x:f>IF(A679="","",IFERROR(LOOKUP(2,1/('Engineer Updates'!$B$5:$B$704=A679),'Engineer Updates'!$A$5:$A$704),""))</x:f>
      </x:c>
      <x:c r="R679" s="172" t="str">
        <x:f>IF(A679="","",IFERROR(LOOKUP(2,1/('Engineer Updates'!$B$5:$B$704=A679),'Engineer Updates'!$H$5:$H$704),""))</x:f>
      </x:c>
      <x:c r="S679" s="172" t="str">
        <x:f>IF(A679="","",IFERROR(LOOKUP(2,1/('Engineer Updates'!$B$5:$B$704=A679),'Engineer Updates'!$G$5:$G$704),""))</x:f>
      </x:c>
      <x:c r="T679" s="172" t="str">
        <x:f>IF(A679="","",IFERROR(LOOKUP(2,1/('Engineer Updates'!$B$5:$B$704=A679),'Engineer Updates'!$I$5:$I$704),""))</x:f>
      </x:c>
      <x:c r="U679" s="172" t="str">
        <x:f>IF(A679="","",IFERROR(LOOKUP(2,1/('Engineer Updates'!$B$5:$B$704=A679),'Engineer Updates'!$J$5:$J$704),""))</x:f>
      </x:c>
      <x:c r="V679" s="172" t="str">
        <x:f>IF(A679="","",IFERROR(LOOKUP(2,1/('Engineer Updates'!$B$5:$B$704=A679),'Engineer Updates'!$K$5:$K$704),""))</x:f>
      </x:c>
      <x:c r="W679" s="174" t="str">
        <x:f>IF(A679="","",IFERROR(LOOKUP(2,1/('Engineer Updates'!$B$5:$B$704=A679),'Engineer Updates'!$L$5:$L$704),""))</x:f>
      </x:c>
      <x:c r="X679" s="170" t="str">
        <x:f>IF(A679="","",IF(C679="completed","Completed in CSSP",IF(AND(C679="executing",ISERROR(SEARCH("@",K679))),"Executing without named engineer",IF(AND(N679="Confirmed OOS",C679="executing"),"Confirmed OOS still executing",""))))</x:f>
      </x:c>
      <x:c r="Y679" s="170" t="str">
        <x:f>IF(A679="","",IF(B679="Decommissioning","Raw Decommissioning","Raw Provisioning"))</x:f>
      </x:c>
      <x:c r="Z679" s="170" t="str">
        <x:f>IF(A679="","",IF(OR(C679="executing",C679="processing"),"Yes","No"))</x:f>
      </x:c>
    </x:row>
    <x:row r="680">
      <x:c r="A680" s="170" t="str">
        <x:f>IF(ROWS($A$5:A680)&lt;=COUNTA('Raw Decommissioning'!$B$2:$B$1000),INDEX('Raw Decommissioning'!$B$2:$B$1000,ROWS($A$5:A680)),IF(ROWS($A$5:A680)-COUNTA('Raw Decommissioning'!$B$2:$B$1000)&lt;=COUNTA('Raw Provisioning'!$B$2:$B$1000),INDEX('Raw Provisioning'!$B$2:$B$1000,ROWS($A$5:A680)-COUNTA('Raw Decommissioning'!$B$2:$B$1000)),""))</x:f>
      </x:c>
      <x:c r="B680" s="170" t="str">
        <x:f>IF(A680="","",IF(ROWS($A$5:A680)&lt;=COUNTA('Raw Decommissioning'!$B$2:$B$1000),"Decommissioning","Provisioning"))</x:f>
      </x:c>
      <x:c r="C680" s="170" t="str">
        <x:f>IF(A680="","",IF(B680="Decommissioning",IFERROR(INDEX('Raw Decommissioning'!$E$2:$E$1000,MATCH(A680,'Raw Decommissioning'!$B$2:$B$1000,0)),"Missing from latest raw"),IFERROR(INDEX('Raw Provisioning'!$E$2:$E$1000,MATCH(A680,'Raw Provisioning'!$B$2:$B$1000,0)),"Missing from latest raw")))</x:f>
      </x:c>
      <x:c r="D680" s="171" t="str">
        <x:f>IF(A680="","",'Refresh Control'!$B$4)</x:f>
      </x:c>
      <x:c r="E680" s="171" t="str">
        <x:f>IF(A680="","",IF(B680="Decommissioning",INDEX('Raw Decommissioning'!$F$2:$F$1000,ROWS($A$5:A680)),INDEX('Raw Provisioning'!$F$2:$F$1000,ROWS($A$5:A680)-COUNTA('Raw Decommissioning'!$B$2:$B$1000))))</x:f>
      </x:c>
      <x:c r="F680" s="171" t="str">
        <x:f>IF(A680="","",IF(B680="Decommissioning",INDEX('Raw Decommissioning'!$G$2:$G$1000,ROWS($A$5:A680)),INDEX('Raw Provisioning'!$H$2:$H$1000,ROWS($A$5:A680)-COUNTA('Raw Decommissioning'!$B$2:$B$1000))))</x:f>
      </x:c>
      <x:c r="G680" s="170" t="str">
        <x:f>IF(A680="","",IF(B680="Decommissioning",INDEX('Raw Decommissioning'!$I$2:$I$1000,ROWS($A$5:A680)),INDEX('Raw Provisioning'!$J$2:$J$1000,ROWS($A$5:A680)-COUNTA('Raw Decommissioning'!$B$2:$B$1000))))</x:f>
      </x:c>
      <x:c r="H680" s="170" t="str">
        <x:f>IF(A680="","",IF(B680="Decommissioning",INDEX('Raw Decommissioning'!$J$2:$J$1000,ROWS($A$5:A680)),INDEX('Raw Provisioning'!$L$2:$L$1000,ROWS($A$5:A680)-COUNTA('Raw Decommissioning'!$B$2:$B$1000))))</x:f>
      </x:c>
      <x:c r="I680" s="170" t="str">
        <x:f>IF(A680="","",IF(B680="Decommissioning",INDEX('Raw Decommissioning'!$AL$2:$AL$1000,ROWS($A$5:A680)),INDEX('Raw Provisioning'!$R$2:$R$1000,ROWS($A$5:A680)-COUNTA('Raw Decommissioning'!$B$2:$B$1000))))</x:f>
      </x:c>
      <x:c r="J680" s="170" t="str">
        <x:f>IF(A680="","",IF(B680="Decommissioning",INDEX('Raw Decommissioning'!$AG$2:$AG$1000,ROWS($A$5:A680)),INDEX('Raw Provisioning'!$AI$2:$AI$1000,ROWS($A$5:A680)-COUNTA('Raw Decommissioning'!$B$2:$B$1000))))</x:f>
      </x:c>
      <x:c r="K680" s="172" t="str">
        <x:f>IF(A680="","",IFERROR(LOOKUP(2,1/('Assignment History'!$B$5:$B$204=A680),'Assignment History'!$D$5:$D$204),IFERROR(VLOOKUP(J680,Configuration!$L$5:$M$50,2,FALSE),J680)))</x:f>
      </x:c>
      <x:c r="L680" s="172" t="str">
        <x:f>IF(A680="","",IF(K680=IFERROR(VLOOKUP(J680,Configuration!$L$5:$M$50,2,FALSE),J680),"Snapshot PIC","Replacement PIC"))</x:f>
      </x:c>
      <x:c r="M680" s="172" t="str">
        <x:f>IF(A680="","",IFERROR(VLOOKUP(I680,Configuration!$O$5:$P$8,2,FALSE),Configuration!$S$6))</x:f>
      </x:c>
      <x:c r="N680" s="172" t="str">
        <x:f>IF(A680="","",IFERROR(LOOKUP(2,1/('Scope Review'!$B$5:$B$204=A680),'Scope Review'!$G$5:$G$204),"Not Reviewed"))</x:f>
      </x:c>
      <x:c r="O680" s="172" t="str">
        <x:f>IF(A680="","",IFERROR(LOOKUP(2,1/('Scope Review'!$B$5:$B$204=A680),'Scope Review'!$H$5:$H$204),""))</x:f>
      </x:c>
      <x:c r="P680" s="172" t="str">
        <x:f>IF(A680="","",IF(AND(C680="executing",N680&lt;&gt;"Confirmed OOS"),M680,0))</x:f>
      </x:c>
      <x:c r="Q680" s="173" t="str">
        <x:f>IF(A680="","",IFERROR(LOOKUP(2,1/('Engineer Updates'!$B$5:$B$704=A680),'Engineer Updates'!$A$5:$A$704),""))</x:f>
      </x:c>
      <x:c r="R680" s="172" t="str">
        <x:f>IF(A680="","",IFERROR(LOOKUP(2,1/('Engineer Updates'!$B$5:$B$704=A680),'Engineer Updates'!$H$5:$H$704),""))</x:f>
      </x:c>
      <x:c r="S680" s="172" t="str">
        <x:f>IF(A680="","",IFERROR(LOOKUP(2,1/('Engineer Updates'!$B$5:$B$704=A680),'Engineer Updates'!$G$5:$G$704),""))</x:f>
      </x:c>
      <x:c r="T680" s="172" t="str">
        <x:f>IF(A680="","",IFERROR(LOOKUP(2,1/('Engineer Updates'!$B$5:$B$704=A680),'Engineer Updates'!$I$5:$I$704),""))</x:f>
      </x:c>
      <x:c r="U680" s="172" t="str">
        <x:f>IF(A680="","",IFERROR(LOOKUP(2,1/('Engineer Updates'!$B$5:$B$704=A680),'Engineer Updates'!$J$5:$J$704),""))</x:f>
      </x:c>
      <x:c r="V680" s="172" t="str">
        <x:f>IF(A680="","",IFERROR(LOOKUP(2,1/('Engineer Updates'!$B$5:$B$704=A680),'Engineer Updates'!$K$5:$K$704),""))</x:f>
      </x:c>
      <x:c r="W680" s="174" t="str">
        <x:f>IF(A680="","",IFERROR(LOOKUP(2,1/('Engineer Updates'!$B$5:$B$704=A680),'Engineer Updates'!$L$5:$L$704),""))</x:f>
      </x:c>
      <x:c r="X680" s="170" t="str">
        <x:f>IF(A680="","",IF(C680="completed","Completed in CSSP",IF(AND(C680="executing",ISERROR(SEARCH("@",K680))),"Executing without named engineer",IF(AND(N680="Confirmed OOS",C680="executing"),"Confirmed OOS still executing",""))))</x:f>
      </x:c>
      <x:c r="Y680" s="170" t="str">
        <x:f>IF(A680="","",IF(B680="Decommissioning","Raw Decommissioning","Raw Provisioning"))</x:f>
      </x:c>
      <x:c r="Z680" s="170" t="str">
        <x:f>IF(A680="","",IF(OR(C680="executing",C680="processing"),"Yes","No"))</x:f>
      </x:c>
    </x:row>
    <x:row r="681">
      <x:c r="A681" s="170" t="str">
        <x:f>IF(ROWS($A$5:A681)&lt;=COUNTA('Raw Decommissioning'!$B$2:$B$1000),INDEX('Raw Decommissioning'!$B$2:$B$1000,ROWS($A$5:A681)),IF(ROWS($A$5:A681)-COUNTA('Raw Decommissioning'!$B$2:$B$1000)&lt;=COUNTA('Raw Provisioning'!$B$2:$B$1000),INDEX('Raw Provisioning'!$B$2:$B$1000,ROWS($A$5:A681)-COUNTA('Raw Decommissioning'!$B$2:$B$1000)),""))</x:f>
      </x:c>
      <x:c r="B681" s="170" t="str">
        <x:f>IF(A681="","",IF(ROWS($A$5:A681)&lt;=COUNTA('Raw Decommissioning'!$B$2:$B$1000),"Decommissioning","Provisioning"))</x:f>
      </x:c>
      <x:c r="C681" s="170" t="str">
        <x:f>IF(A681="","",IF(B681="Decommissioning",IFERROR(INDEX('Raw Decommissioning'!$E$2:$E$1000,MATCH(A681,'Raw Decommissioning'!$B$2:$B$1000,0)),"Missing from latest raw"),IFERROR(INDEX('Raw Provisioning'!$E$2:$E$1000,MATCH(A681,'Raw Provisioning'!$B$2:$B$1000,0)),"Missing from latest raw")))</x:f>
      </x:c>
      <x:c r="D681" s="171" t="str">
        <x:f>IF(A681="","",'Refresh Control'!$B$4)</x:f>
      </x:c>
      <x:c r="E681" s="171" t="str">
        <x:f>IF(A681="","",IF(B681="Decommissioning",INDEX('Raw Decommissioning'!$F$2:$F$1000,ROWS($A$5:A681)),INDEX('Raw Provisioning'!$F$2:$F$1000,ROWS($A$5:A681)-COUNTA('Raw Decommissioning'!$B$2:$B$1000))))</x:f>
      </x:c>
      <x:c r="F681" s="171" t="str">
        <x:f>IF(A681="","",IF(B681="Decommissioning",INDEX('Raw Decommissioning'!$G$2:$G$1000,ROWS($A$5:A681)),INDEX('Raw Provisioning'!$H$2:$H$1000,ROWS($A$5:A681)-COUNTA('Raw Decommissioning'!$B$2:$B$1000))))</x:f>
      </x:c>
      <x:c r="G681" s="170" t="str">
        <x:f>IF(A681="","",IF(B681="Decommissioning",INDEX('Raw Decommissioning'!$I$2:$I$1000,ROWS($A$5:A681)),INDEX('Raw Provisioning'!$J$2:$J$1000,ROWS($A$5:A681)-COUNTA('Raw Decommissioning'!$B$2:$B$1000))))</x:f>
      </x:c>
      <x:c r="H681" s="170" t="str">
        <x:f>IF(A681="","",IF(B681="Decommissioning",INDEX('Raw Decommissioning'!$J$2:$J$1000,ROWS($A$5:A681)),INDEX('Raw Provisioning'!$L$2:$L$1000,ROWS($A$5:A681)-COUNTA('Raw Decommissioning'!$B$2:$B$1000))))</x:f>
      </x:c>
      <x:c r="I681" s="170" t="str">
        <x:f>IF(A681="","",IF(B681="Decommissioning",INDEX('Raw Decommissioning'!$AL$2:$AL$1000,ROWS($A$5:A681)),INDEX('Raw Provisioning'!$R$2:$R$1000,ROWS($A$5:A681)-COUNTA('Raw Decommissioning'!$B$2:$B$1000))))</x:f>
      </x:c>
      <x:c r="J681" s="170" t="str">
        <x:f>IF(A681="","",IF(B681="Decommissioning",INDEX('Raw Decommissioning'!$AG$2:$AG$1000,ROWS($A$5:A681)),INDEX('Raw Provisioning'!$AI$2:$AI$1000,ROWS($A$5:A681)-COUNTA('Raw Decommissioning'!$B$2:$B$1000))))</x:f>
      </x:c>
      <x:c r="K681" s="172" t="str">
        <x:f>IF(A681="","",IFERROR(LOOKUP(2,1/('Assignment History'!$B$5:$B$204=A681),'Assignment History'!$D$5:$D$204),IFERROR(VLOOKUP(J681,Configuration!$L$5:$M$50,2,FALSE),J681)))</x:f>
      </x:c>
      <x:c r="L681" s="172" t="str">
        <x:f>IF(A681="","",IF(K681=IFERROR(VLOOKUP(J681,Configuration!$L$5:$M$50,2,FALSE),J681),"Snapshot PIC","Replacement PIC"))</x:f>
      </x:c>
      <x:c r="M681" s="172" t="str">
        <x:f>IF(A681="","",IFERROR(VLOOKUP(I681,Configuration!$O$5:$P$8,2,FALSE),Configuration!$S$6))</x:f>
      </x:c>
      <x:c r="N681" s="172" t="str">
        <x:f>IF(A681="","",IFERROR(LOOKUP(2,1/('Scope Review'!$B$5:$B$204=A681),'Scope Review'!$G$5:$G$204),"Not Reviewed"))</x:f>
      </x:c>
      <x:c r="O681" s="172" t="str">
        <x:f>IF(A681="","",IFERROR(LOOKUP(2,1/('Scope Review'!$B$5:$B$204=A681),'Scope Review'!$H$5:$H$204),""))</x:f>
      </x:c>
      <x:c r="P681" s="172" t="str">
        <x:f>IF(A681="","",IF(AND(C681="executing",N681&lt;&gt;"Confirmed OOS"),M681,0))</x:f>
      </x:c>
      <x:c r="Q681" s="173" t="str">
        <x:f>IF(A681="","",IFERROR(LOOKUP(2,1/('Engineer Updates'!$B$5:$B$704=A681),'Engineer Updates'!$A$5:$A$704),""))</x:f>
      </x:c>
      <x:c r="R681" s="172" t="str">
        <x:f>IF(A681="","",IFERROR(LOOKUP(2,1/('Engineer Updates'!$B$5:$B$704=A681),'Engineer Updates'!$H$5:$H$704),""))</x:f>
      </x:c>
      <x:c r="S681" s="172" t="str">
        <x:f>IF(A681="","",IFERROR(LOOKUP(2,1/('Engineer Updates'!$B$5:$B$704=A681),'Engineer Updates'!$G$5:$G$704),""))</x:f>
      </x:c>
      <x:c r="T681" s="172" t="str">
        <x:f>IF(A681="","",IFERROR(LOOKUP(2,1/('Engineer Updates'!$B$5:$B$704=A681),'Engineer Updates'!$I$5:$I$704),""))</x:f>
      </x:c>
      <x:c r="U681" s="172" t="str">
        <x:f>IF(A681="","",IFERROR(LOOKUP(2,1/('Engineer Updates'!$B$5:$B$704=A681),'Engineer Updates'!$J$5:$J$704),""))</x:f>
      </x:c>
      <x:c r="V681" s="172" t="str">
        <x:f>IF(A681="","",IFERROR(LOOKUP(2,1/('Engineer Updates'!$B$5:$B$704=A681),'Engineer Updates'!$K$5:$K$704),""))</x:f>
      </x:c>
      <x:c r="W681" s="174" t="str">
        <x:f>IF(A681="","",IFERROR(LOOKUP(2,1/('Engineer Updates'!$B$5:$B$704=A681),'Engineer Updates'!$L$5:$L$704),""))</x:f>
      </x:c>
      <x:c r="X681" s="170" t="str">
        <x:f>IF(A681="","",IF(C681="completed","Completed in CSSP",IF(AND(C681="executing",ISERROR(SEARCH("@",K681))),"Executing without named engineer",IF(AND(N681="Confirmed OOS",C681="executing"),"Confirmed OOS still executing",""))))</x:f>
      </x:c>
      <x:c r="Y681" s="170" t="str">
        <x:f>IF(A681="","",IF(B681="Decommissioning","Raw Decommissioning","Raw Provisioning"))</x:f>
      </x:c>
      <x:c r="Z681" s="170" t="str">
        <x:f>IF(A681="","",IF(OR(C681="executing",C681="processing"),"Yes","No"))</x:f>
      </x:c>
    </x:row>
    <x:row r="682">
      <x:c r="A682" s="170" t="str">
        <x:f>IF(ROWS($A$5:A682)&lt;=COUNTA('Raw Decommissioning'!$B$2:$B$1000),INDEX('Raw Decommissioning'!$B$2:$B$1000,ROWS($A$5:A682)),IF(ROWS($A$5:A682)-COUNTA('Raw Decommissioning'!$B$2:$B$1000)&lt;=COUNTA('Raw Provisioning'!$B$2:$B$1000),INDEX('Raw Provisioning'!$B$2:$B$1000,ROWS($A$5:A682)-COUNTA('Raw Decommissioning'!$B$2:$B$1000)),""))</x:f>
      </x:c>
      <x:c r="B682" s="170" t="str">
        <x:f>IF(A682="","",IF(ROWS($A$5:A682)&lt;=COUNTA('Raw Decommissioning'!$B$2:$B$1000),"Decommissioning","Provisioning"))</x:f>
      </x:c>
      <x:c r="C682" s="170" t="str">
        <x:f>IF(A682="","",IF(B682="Decommissioning",IFERROR(INDEX('Raw Decommissioning'!$E$2:$E$1000,MATCH(A682,'Raw Decommissioning'!$B$2:$B$1000,0)),"Missing from latest raw"),IFERROR(INDEX('Raw Provisioning'!$E$2:$E$1000,MATCH(A682,'Raw Provisioning'!$B$2:$B$1000,0)),"Missing from latest raw")))</x:f>
      </x:c>
      <x:c r="D682" s="171" t="str">
        <x:f>IF(A682="","",'Refresh Control'!$B$4)</x:f>
      </x:c>
      <x:c r="E682" s="171" t="str">
        <x:f>IF(A682="","",IF(B682="Decommissioning",INDEX('Raw Decommissioning'!$F$2:$F$1000,ROWS($A$5:A682)),INDEX('Raw Provisioning'!$F$2:$F$1000,ROWS($A$5:A682)-COUNTA('Raw Decommissioning'!$B$2:$B$1000))))</x:f>
      </x:c>
      <x:c r="F682" s="171" t="str">
        <x:f>IF(A682="","",IF(B682="Decommissioning",INDEX('Raw Decommissioning'!$G$2:$G$1000,ROWS($A$5:A682)),INDEX('Raw Provisioning'!$H$2:$H$1000,ROWS($A$5:A682)-COUNTA('Raw Decommissioning'!$B$2:$B$1000))))</x:f>
      </x:c>
      <x:c r="G682" s="170" t="str">
        <x:f>IF(A682="","",IF(B682="Decommissioning",INDEX('Raw Decommissioning'!$I$2:$I$1000,ROWS($A$5:A682)),INDEX('Raw Provisioning'!$J$2:$J$1000,ROWS($A$5:A682)-COUNTA('Raw Decommissioning'!$B$2:$B$1000))))</x:f>
      </x:c>
      <x:c r="H682" s="170" t="str">
        <x:f>IF(A682="","",IF(B682="Decommissioning",INDEX('Raw Decommissioning'!$J$2:$J$1000,ROWS($A$5:A682)),INDEX('Raw Provisioning'!$L$2:$L$1000,ROWS($A$5:A682)-COUNTA('Raw Decommissioning'!$B$2:$B$1000))))</x:f>
      </x:c>
      <x:c r="I682" s="170" t="str">
        <x:f>IF(A682="","",IF(B682="Decommissioning",INDEX('Raw Decommissioning'!$AL$2:$AL$1000,ROWS($A$5:A682)),INDEX('Raw Provisioning'!$R$2:$R$1000,ROWS($A$5:A682)-COUNTA('Raw Decommissioning'!$B$2:$B$1000))))</x:f>
      </x:c>
      <x:c r="J682" s="170" t="str">
        <x:f>IF(A682="","",IF(B682="Decommissioning",INDEX('Raw Decommissioning'!$AG$2:$AG$1000,ROWS($A$5:A682)),INDEX('Raw Provisioning'!$AI$2:$AI$1000,ROWS($A$5:A682)-COUNTA('Raw Decommissioning'!$B$2:$B$1000))))</x:f>
      </x:c>
      <x:c r="K682" s="172" t="str">
        <x:f>IF(A682="","",IFERROR(LOOKUP(2,1/('Assignment History'!$B$5:$B$204=A682),'Assignment History'!$D$5:$D$204),IFERROR(VLOOKUP(J682,Configuration!$L$5:$M$50,2,FALSE),J682)))</x:f>
      </x:c>
      <x:c r="L682" s="172" t="str">
        <x:f>IF(A682="","",IF(K682=IFERROR(VLOOKUP(J682,Configuration!$L$5:$M$50,2,FALSE),J682),"Snapshot PIC","Replacement PIC"))</x:f>
      </x:c>
      <x:c r="M682" s="172" t="str">
        <x:f>IF(A682="","",IFERROR(VLOOKUP(I682,Configuration!$O$5:$P$8,2,FALSE),Configuration!$S$6))</x:f>
      </x:c>
      <x:c r="N682" s="172" t="str">
        <x:f>IF(A682="","",IFERROR(LOOKUP(2,1/('Scope Review'!$B$5:$B$204=A682),'Scope Review'!$G$5:$G$204),"Not Reviewed"))</x:f>
      </x:c>
      <x:c r="O682" s="172" t="str">
        <x:f>IF(A682="","",IFERROR(LOOKUP(2,1/('Scope Review'!$B$5:$B$204=A682),'Scope Review'!$H$5:$H$204),""))</x:f>
      </x:c>
      <x:c r="P682" s="172" t="str">
        <x:f>IF(A682="","",IF(AND(C682="executing",N682&lt;&gt;"Confirmed OOS"),M682,0))</x:f>
      </x:c>
      <x:c r="Q682" s="173" t="str">
        <x:f>IF(A682="","",IFERROR(LOOKUP(2,1/('Engineer Updates'!$B$5:$B$704=A682),'Engineer Updates'!$A$5:$A$704),""))</x:f>
      </x:c>
      <x:c r="R682" s="172" t="str">
        <x:f>IF(A682="","",IFERROR(LOOKUP(2,1/('Engineer Updates'!$B$5:$B$704=A682),'Engineer Updates'!$H$5:$H$704),""))</x:f>
      </x:c>
      <x:c r="S682" s="172" t="str">
        <x:f>IF(A682="","",IFERROR(LOOKUP(2,1/('Engineer Updates'!$B$5:$B$704=A682),'Engineer Updates'!$G$5:$G$704),""))</x:f>
      </x:c>
      <x:c r="T682" s="172" t="str">
        <x:f>IF(A682="","",IFERROR(LOOKUP(2,1/('Engineer Updates'!$B$5:$B$704=A682),'Engineer Updates'!$I$5:$I$704),""))</x:f>
      </x:c>
      <x:c r="U682" s="172" t="str">
        <x:f>IF(A682="","",IFERROR(LOOKUP(2,1/('Engineer Updates'!$B$5:$B$704=A682),'Engineer Updates'!$J$5:$J$704),""))</x:f>
      </x:c>
      <x:c r="V682" s="172" t="str">
        <x:f>IF(A682="","",IFERROR(LOOKUP(2,1/('Engineer Updates'!$B$5:$B$704=A682),'Engineer Updates'!$K$5:$K$704),""))</x:f>
      </x:c>
      <x:c r="W682" s="174" t="str">
        <x:f>IF(A682="","",IFERROR(LOOKUP(2,1/('Engineer Updates'!$B$5:$B$704=A682),'Engineer Updates'!$L$5:$L$704),""))</x:f>
      </x:c>
      <x:c r="X682" s="170" t="str">
        <x:f>IF(A682="","",IF(C682="completed","Completed in CSSP",IF(AND(C682="executing",ISERROR(SEARCH("@",K682))),"Executing without named engineer",IF(AND(N682="Confirmed OOS",C682="executing"),"Confirmed OOS still executing",""))))</x:f>
      </x:c>
      <x:c r="Y682" s="170" t="str">
        <x:f>IF(A682="","",IF(B682="Decommissioning","Raw Decommissioning","Raw Provisioning"))</x:f>
      </x:c>
      <x:c r="Z682" s="170" t="str">
        <x:f>IF(A682="","",IF(OR(C682="executing",C682="processing"),"Yes","No"))</x:f>
      </x:c>
    </x:row>
    <x:row r="683">
      <x:c r="A683" s="170" t="str">
        <x:f>IF(ROWS($A$5:A683)&lt;=COUNTA('Raw Decommissioning'!$B$2:$B$1000),INDEX('Raw Decommissioning'!$B$2:$B$1000,ROWS($A$5:A683)),IF(ROWS($A$5:A683)-COUNTA('Raw Decommissioning'!$B$2:$B$1000)&lt;=COUNTA('Raw Provisioning'!$B$2:$B$1000),INDEX('Raw Provisioning'!$B$2:$B$1000,ROWS($A$5:A683)-COUNTA('Raw Decommissioning'!$B$2:$B$1000)),""))</x:f>
      </x:c>
      <x:c r="B683" s="170" t="str">
        <x:f>IF(A683="","",IF(ROWS($A$5:A683)&lt;=COUNTA('Raw Decommissioning'!$B$2:$B$1000),"Decommissioning","Provisioning"))</x:f>
      </x:c>
      <x:c r="C683" s="170" t="str">
        <x:f>IF(A683="","",IF(B683="Decommissioning",IFERROR(INDEX('Raw Decommissioning'!$E$2:$E$1000,MATCH(A683,'Raw Decommissioning'!$B$2:$B$1000,0)),"Missing from latest raw"),IFERROR(INDEX('Raw Provisioning'!$E$2:$E$1000,MATCH(A683,'Raw Provisioning'!$B$2:$B$1000,0)),"Missing from latest raw")))</x:f>
      </x:c>
      <x:c r="D683" s="171" t="str">
        <x:f>IF(A683="","",'Refresh Control'!$B$4)</x:f>
      </x:c>
      <x:c r="E683" s="171" t="str">
        <x:f>IF(A683="","",IF(B683="Decommissioning",INDEX('Raw Decommissioning'!$F$2:$F$1000,ROWS($A$5:A683)),INDEX('Raw Provisioning'!$F$2:$F$1000,ROWS($A$5:A683)-COUNTA('Raw Decommissioning'!$B$2:$B$1000))))</x:f>
      </x:c>
      <x:c r="F683" s="171" t="str">
        <x:f>IF(A683="","",IF(B683="Decommissioning",INDEX('Raw Decommissioning'!$G$2:$G$1000,ROWS($A$5:A683)),INDEX('Raw Provisioning'!$H$2:$H$1000,ROWS($A$5:A683)-COUNTA('Raw Decommissioning'!$B$2:$B$1000))))</x:f>
      </x:c>
      <x:c r="G683" s="170" t="str">
        <x:f>IF(A683="","",IF(B683="Decommissioning",INDEX('Raw Decommissioning'!$I$2:$I$1000,ROWS($A$5:A683)),INDEX('Raw Provisioning'!$J$2:$J$1000,ROWS($A$5:A683)-COUNTA('Raw Decommissioning'!$B$2:$B$1000))))</x:f>
      </x:c>
      <x:c r="H683" s="170" t="str">
        <x:f>IF(A683="","",IF(B683="Decommissioning",INDEX('Raw Decommissioning'!$J$2:$J$1000,ROWS($A$5:A683)),INDEX('Raw Provisioning'!$L$2:$L$1000,ROWS($A$5:A683)-COUNTA('Raw Decommissioning'!$B$2:$B$1000))))</x:f>
      </x:c>
      <x:c r="I683" s="170" t="str">
        <x:f>IF(A683="","",IF(B683="Decommissioning",INDEX('Raw Decommissioning'!$AL$2:$AL$1000,ROWS($A$5:A683)),INDEX('Raw Provisioning'!$R$2:$R$1000,ROWS($A$5:A683)-COUNTA('Raw Decommissioning'!$B$2:$B$1000))))</x:f>
      </x:c>
      <x:c r="J683" s="170" t="str">
        <x:f>IF(A683="","",IF(B683="Decommissioning",INDEX('Raw Decommissioning'!$AG$2:$AG$1000,ROWS($A$5:A683)),INDEX('Raw Provisioning'!$AI$2:$AI$1000,ROWS($A$5:A683)-COUNTA('Raw Decommissioning'!$B$2:$B$1000))))</x:f>
      </x:c>
      <x:c r="K683" s="172" t="str">
        <x:f>IF(A683="","",IFERROR(LOOKUP(2,1/('Assignment History'!$B$5:$B$204=A683),'Assignment History'!$D$5:$D$204),IFERROR(VLOOKUP(J683,Configuration!$L$5:$M$50,2,FALSE),J683)))</x:f>
      </x:c>
      <x:c r="L683" s="172" t="str">
        <x:f>IF(A683="","",IF(K683=IFERROR(VLOOKUP(J683,Configuration!$L$5:$M$50,2,FALSE),J683),"Snapshot PIC","Replacement PIC"))</x:f>
      </x:c>
      <x:c r="M683" s="172" t="str">
        <x:f>IF(A683="","",IFERROR(VLOOKUP(I683,Configuration!$O$5:$P$8,2,FALSE),Configuration!$S$6))</x:f>
      </x:c>
      <x:c r="N683" s="172" t="str">
        <x:f>IF(A683="","",IFERROR(LOOKUP(2,1/('Scope Review'!$B$5:$B$204=A683),'Scope Review'!$G$5:$G$204),"Not Reviewed"))</x:f>
      </x:c>
      <x:c r="O683" s="172" t="str">
        <x:f>IF(A683="","",IFERROR(LOOKUP(2,1/('Scope Review'!$B$5:$B$204=A683),'Scope Review'!$H$5:$H$204),""))</x:f>
      </x:c>
      <x:c r="P683" s="172" t="str">
        <x:f>IF(A683="","",IF(AND(C683="executing",N683&lt;&gt;"Confirmed OOS"),M683,0))</x:f>
      </x:c>
      <x:c r="Q683" s="173" t="str">
        <x:f>IF(A683="","",IFERROR(LOOKUP(2,1/('Engineer Updates'!$B$5:$B$704=A683),'Engineer Updates'!$A$5:$A$704),""))</x:f>
      </x:c>
      <x:c r="R683" s="172" t="str">
        <x:f>IF(A683="","",IFERROR(LOOKUP(2,1/('Engineer Updates'!$B$5:$B$704=A683),'Engineer Updates'!$H$5:$H$704),""))</x:f>
      </x:c>
      <x:c r="S683" s="172" t="str">
        <x:f>IF(A683="","",IFERROR(LOOKUP(2,1/('Engineer Updates'!$B$5:$B$704=A683),'Engineer Updates'!$G$5:$G$704),""))</x:f>
      </x:c>
      <x:c r="T683" s="172" t="str">
        <x:f>IF(A683="","",IFERROR(LOOKUP(2,1/('Engineer Updates'!$B$5:$B$704=A683),'Engineer Updates'!$I$5:$I$704),""))</x:f>
      </x:c>
      <x:c r="U683" s="172" t="str">
        <x:f>IF(A683="","",IFERROR(LOOKUP(2,1/('Engineer Updates'!$B$5:$B$704=A683),'Engineer Updates'!$J$5:$J$704),""))</x:f>
      </x:c>
      <x:c r="V683" s="172" t="str">
        <x:f>IF(A683="","",IFERROR(LOOKUP(2,1/('Engineer Updates'!$B$5:$B$704=A683),'Engineer Updates'!$K$5:$K$704),""))</x:f>
      </x:c>
      <x:c r="W683" s="174" t="str">
        <x:f>IF(A683="","",IFERROR(LOOKUP(2,1/('Engineer Updates'!$B$5:$B$704=A683),'Engineer Updates'!$L$5:$L$704),""))</x:f>
      </x:c>
      <x:c r="X683" s="170" t="str">
        <x:f>IF(A683="","",IF(C683="completed","Completed in CSSP",IF(AND(C683="executing",ISERROR(SEARCH("@",K683))),"Executing without named engineer",IF(AND(N683="Confirmed OOS",C683="executing"),"Confirmed OOS still executing",""))))</x:f>
      </x:c>
      <x:c r="Y683" s="170" t="str">
        <x:f>IF(A683="","",IF(B683="Decommissioning","Raw Decommissioning","Raw Provisioning"))</x:f>
      </x:c>
      <x:c r="Z683" s="170" t="str">
        <x:f>IF(A683="","",IF(OR(C683="executing",C683="processing"),"Yes","No"))</x:f>
      </x:c>
    </x:row>
    <x:row r="684">
      <x:c r="A684" s="170" t="str">
        <x:f>IF(ROWS($A$5:A684)&lt;=COUNTA('Raw Decommissioning'!$B$2:$B$1000),INDEX('Raw Decommissioning'!$B$2:$B$1000,ROWS($A$5:A684)),IF(ROWS($A$5:A684)-COUNTA('Raw Decommissioning'!$B$2:$B$1000)&lt;=COUNTA('Raw Provisioning'!$B$2:$B$1000),INDEX('Raw Provisioning'!$B$2:$B$1000,ROWS($A$5:A684)-COUNTA('Raw Decommissioning'!$B$2:$B$1000)),""))</x:f>
      </x:c>
      <x:c r="B684" s="170" t="str">
        <x:f>IF(A684="","",IF(ROWS($A$5:A684)&lt;=COUNTA('Raw Decommissioning'!$B$2:$B$1000),"Decommissioning","Provisioning"))</x:f>
      </x:c>
      <x:c r="C684" s="170" t="str">
        <x:f>IF(A684="","",IF(B684="Decommissioning",IFERROR(INDEX('Raw Decommissioning'!$E$2:$E$1000,MATCH(A684,'Raw Decommissioning'!$B$2:$B$1000,0)),"Missing from latest raw"),IFERROR(INDEX('Raw Provisioning'!$E$2:$E$1000,MATCH(A684,'Raw Provisioning'!$B$2:$B$1000,0)),"Missing from latest raw")))</x:f>
      </x:c>
      <x:c r="D684" s="171" t="str">
        <x:f>IF(A684="","",'Refresh Control'!$B$4)</x:f>
      </x:c>
      <x:c r="E684" s="171" t="str">
        <x:f>IF(A684="","",IF(B684="Decommissioning",INDEX('Raw Decommissioning'!$F$2:$F$1000,ROWS($A$5:A684)),INDEX('Raw Provisioning'!$F$2:$F$1000,ROWS($A$5:A684)-COUNTA('Raw Decommissioning'!$B$2:$B$1000))))</x:f>
      </x:c>
      <x:c r="F684" s="171" t="str">
        <x:f>IF(A684="","",IF(B684="Decommissioning",INDEX('Raw Decommissioning'!$G$2:$G$1000,ROWS($A$5:A684)),INDEX('Raw Provisioning'!$H$2:$H$1000,ROWS($A$5:A684)-COUNTA('Raw Decommissioning'!$B$2:$B$1000))))</x:f>
      </x:c>
      <x:c r="G684" s="170" t="str">
        <x:f>IF(A684="","",IF(B684="Decommissioning",INDEX('Raw Decommissioning'!$I$2:$I$1000,ROWS($A$5:A684)),INDEX('Raw Provisioning'!$J$2:$J$1000,ROWS($A$5:A684)-COUNTA('Raw Decommissioning'!$B$2:$B$1000))))</x:f>
      </x:c>
      <x:c r="H684" s="170" t="str">
        <x:f>IF(A684="","",IF(B684="Decommissioning",INDEX('Raw Decommissioning'!$J$2:$J$1000,ROWS($A$5:A684)),INDEX('Raw Provisioning'!$L$2:$L$1000,ROWS($A$5:A684)-COUNTA('Raw Decommissioning'!$B$2:$B$1000))))</x:f>
      </x:c>
      <x:c r="I684" s="170" t="str">
        <x:f>IF(A684="","",IF(B684="Decommissioning",INDEX('Raw Decommissioning'!$AL$2:$AL$1000,ROWS($A$5:A684)),INDEX('Raw Provisioning'!$R$2:$R$1000,ROWS($A$5:A684)-COUNTA('Raw Decommissioning'!$B$2:$B$1000))))</x:f>
      </x:c>
      <x:c r="J684" s="170" t="str">
        <x:f>IF(A684="","",IF(B684="Decommissioning",INDEX('Raw Decommissioning'!$AG$2:$AG$1000,ROWS($A$5:A684)),INDEX('Raw Provisioning'!$AI$2:$AI$1000,ROWS($A$5:A684)-COUNTA('Raw Decommissioning'!$B$2:$B$1000))))</x:f>
      </x:c>
      <x:c r="K684" s="172" t="str">
        <x:f>IF(A684="","",IFERROR(LOOKUP(2,1/('Assignment History'!$B$5:$B$204=A684),'Assignment History'!$D$5:$D$204),IFERROR(VLOOKUP(J684,Configuration!$L$5:$M$50,2,FALSE),J684)))</x:f>
      </x:c>
      <x:c r="L684" s="172" t="str">
        <x:f>IF(A684="","",IF(K684=IFERROR(VLOOKUP(J684,Configuration!$L$5:$M$50,2,FALSE),J684),"Snapshot PIC","Replacement PIC"))</x:f>
      </x:c>
      <x:c r="M684" s="172" t="str">
        <x:f>IF(A684="","",IFERROR(VLOOKUP(I684,Configuration!$O$5:$P$8,2,FALSE),Configuration!$S$6))</x:f>
      </x:c>
      <x:c r="N684" s="172" t="str">
        <x:f>IF(A684="","",IFERROR(LOOKUP(2,1/('Scope Review'!$B$5:$B$204=A684),'Scope Review'!$G$5:$G$204),"Not Reviewed"))</x:f>
      </x:c>
      <x:c r="O684" s="172" t="str">
        <x:f>IF(A684="","",IFERROR(LOOKUP(2,1/('Scope Review'!$B$5:$B$204=A684),'Scope Review'!$H$5:$H$204),""))</x:f>
      </x:c>
      <x:c r="P684" s="172" t="str">
        <x:f>IF(A684="","",IF(AND(C684="executing",N684&lt;&gt;"Confirmed OOS"),M684,0))</x:f>
      </x:c>
      <x:c r="Q684" s="173" t="str">
        <x:f>IF(A684="","",IFERROR(LOOKUP(2,1/('Engineer Updates'!$B$5:$B$704=A684),'Engineer Updates'!$A$5:$A$704),""))</x:f>
      </x:c>
      <x:c r="R684" s="172" t="str">
        <x:f>IF(A684="","",IFERROR(LOOKUP(2,1/('Engineer Updates'!$B$5:$B$704=A684),'Engineer Updates'!$H$5:$H$704),""))</x:f>
      </x:c>
      <x:c r="S684" s="172" t="str">
        <x:f>IF(A684="","",IFERROR(LOOKUP(2,1/('Engineer Updates'!$B$5:$B$704=A684),'Engineer Updates'!$G$5:$G$704),""))</x:f>
      </x:c>
      <x:c r="T684" s="172" t="str">
        <x:f>IF(A684="","",IFERROR(LOOKUP(2,1/('Engineer Updates'!$B$5:$B$704=A684),'Engineer Updates'!$I$5:$I$704),""))</x:f>
      </x:c>
      <x:c r="U684" s="172" t="str">
        <x:f>IF(A684="","",IFERROR(LOOKUP(2,1/('Engineer Updates'!$B$5:$B$704=A684),'Engineer Updates'!$J$5:$J$704),""))</x:f>
      </x:c>
      <x:c r="V684" s="172" t="str">
        <x:f>IF(A684="","",IFERROR(LOOKUP(2,1/('Engineer Updates'!$B$5:$B$704=A684),'Engineer Updates'!$K$5:$K$704),""))</x:f>
      </x:c>
      <x:c r="W684" s="174" t="str">
        <x:f>IF(A684="","",IFERROR(LOOKUP(2,1/('Engineer Updates'!$B$5:$B$704=A684),'Engineer Updates'!$L$5:$L$704),""))</x:f>
      </x:c>
      <x:c r="X684" s="170" t="str">
        <x:f>IF(A684="","",IF(C684="completed","Completed in CSSP",IF(AND(C684="executing",ISERROR(SEARCH("@",K684))),"Executing without named engineer",IF(AND(N684="Confirmed OOS",C684="executing"),"Confirmed OOS still executing",""))))</x:f>
      </x:c>
      <x:c r="Y684" s="170" t="str">
        <x:f>IF(A684="","",IF(B684="Decommissioning","Raw Decommissioning","Raw Provisioning"))</x:f>
      </x:c>
      <x:c r="Z684" s="170" t="str">
        <x:f>IF(A684="","",IF(OR(C684="executing",C684="processing"),"Yes","No"))</x:f>
      </x:c>
    </x:row>
    <x:row r="685">
      <x:c r="A685" s="170" t="str">
        <x:f>IF(ROWS($A$5:A685)&lt;=COUNTA('Raw Decommissioning'!$B$2:$B$1000),INDEX('Raw Decommissioning'!$B$2:$B$1000,ROWS($A$5:A685)),IF(ROWS($A$5:A685)-COUNTA('Raw Decommissioning'!$B$2:$B$1000)&lt;=COUNTA('Raw Provisioning'!$B$2:$B$1000),INDEX('Raw Provisioning'!$B$2:$B$1000,ROWS($A$5:A685)-COUNTA('Raw Decommissioning'!$B$2:$B$1000)),""))</x:f>
      </x:c>
      <x:c r="B685" s="170" t="str">
        <x:f>IF(A685="","",IF(ROWS($A$5:A685)&lt;=COUNTA('Raw Decommissioning'!$B$2:$B$1000),"Decommissioning","Provisioning"))</x:f>
      </x:c>
      <x:c r="C685" s="170" t="str">
        <x:f>IF(A685="","",IF(B685="Decommissioning",IFERROR(INDEX('Raw Decommissioning'!$E$2:$E$1000,MATCH(A685,'Raw Decommissioning'!$B$2:$B$1000,0)),"Missing from latest raw"),IFERROR(INDEX('Raw Provisioning'!$E$2:$E$1000,MATCH(A685,'Raw Provisioning'!$B$2:$B$1000,0)),"Missing from latest raw")))</x:f>
      </x:c>
      <x:c r="D685" s="171" t="str">
        <x:f>IF(A685="","",'Refresh Control'!$B$4)</x:f>
      </x:c>
      <x:c r="E685" s="171" t="str">
        <x:f>IF(A685="","",IF(B685="Decommissioning",INDEX('Raw Decommissioning'!$F$2:$F$1000,ROWS($A$5:A685)),INDEX('Raw Provisioning'!$F$2:$F$1000,ROWS($A$5:A685)-COUNTA('Raw Decommissioning'!$B$2:$B$1000))))</x:f>
      </x:c>
      <x:c r="F685" s="171" t="str">
        <x:f>IF(A685="","",IF(B685="Decommissioning",INDEX('Raw Decommissioning'!$G$2:$G$1000,ROWS($A$5:A685)),INDEX('Raw Provisioning'!$H$2:$H$1000,ROWS($A$5:A685)-COUNTA('Raw Decommissioning'!$B$2:$B$1000))))</x:f>
      </x:c>
      <x:c r="G685" s="170" t="str">
        <x:f>IF(A685="","",IF(B685="Decommissioning",INDEX('Raw Decommissioning'!$I$2:$I$1000,ROWS($A$5:A685)),INDEX('Raw Provisioning'!$J$2:$J$1000,ROWS($A$5:A685)-COUNTA('Raw Decommissioning'!$B$2:$B$1000))))</x:f>
      </x:c>
      <x:c r="H685" s="170" t="str">
        <x:f>IF(A685="","",IF(B685="Decommissioning",INDEX('Raw Decommissioning'!$J$2:$J$1000,ROWS($A$5:A685)),INDEX('Raw Provisioning'!$L$2:$L$1000,ROWS($A$5:A685)-COUNTA('Raw Decommissioning'!$B$2:$B$1000))))</x:f>
      </x:c>
      <x:c r="I685" s="170" t="str">
        <x:f>IF(A685="","",IF(B685="Decommissioning",INDEX('Raw Decommissioning'!$AL$2:$AL$1000,ROWS($A$5:A685)),INDEX('Raw Provisioning'!$R$2:$R$1000,ROWS($A$5:A685)-COUNTA('Raw Decommissioning'!$B$2:$B$1000))))</x:f>
      </x:c>
      <x:c r="J685" s="170" t="str">
        <x:f>IF(A685="","",IF(B685="Decommissioning",INDEX('Raw Decommissioning'!$AG$2:$AG$1000,ROWS($A$5:A685)),INDEX('Raw Provisioning'!$AI$2:$AI$1000,ROWS($A$5:A685)-COUNTA('Raw Decommissioning'!$B$2:$B$1000))))</x:f>
      </x:c>
      <x:c r="K685" s="172" t="str">
        <x:f>IF(A685="","",IFERROR(LOOKUP(2,1/('Assignment History'!$B$5:$B$204=A685),'Assignment History'!$D$5:$D$204),IFERROR(VLOOKUP(J685,Configuration!$L$5:$M$50,2,FALSE),J685)))</x:f>
      </x:c>
      <x:c r="L685" s="172" t="str">
        <x:f>IF(A685="","",IF(K685=IFERROR(VLOOKUP(J685,Configuration!$L$5:$M$50,2,FALSE),J685),"Snapshot PIC","Replacement PIC"))</x:f>
      </x:c>
      <x:c r="M685" s="172" t="str">
        <x:f>IF(A685="","",IFERROR(VLOOKUP(I685,Configuration!$O$5:$P$8,2,FALSE),Configuration!$S$6))</x:f>
      </x:c>
      <x:c r="N685" s="172" t="str">
        <x:f>IF(A685="","",IFERROR(LOOKUP(2,1/('Scope Review'!$B$5:$B$204=A685),'Scope Review'!$G$5:$G$204),"Not Reviewed"))</x:f>
      </x:c>
      <x:c r="O685" s="172" t="str">
        <x:f>IF(A685="","",IFERROR(LOOKUP(2,1/('Scope Review'!$B$5:$B$204=A685),'Scope Review'!$H$5:$H$204),""))</x:f>
      </x:c>
      <x:c r="P685" s="172" t="str">
        <x:f>IF(A685="","",IF(AND(C685="executing",N685&lt;&gt;"Confirmed OOS"),M685,0))</x:f>
      </x:c>
      <x:c r="Q685" s="173" t="str">
        <x:f>IF(A685="","",IFERROR(LOOKUP(2,1/('Engineer Updates'!$B$5:$B$704=A685),'Engineer Updates'!$A$5:$A$704),""))</x:f>
      </x:c>
      <x:c r="R685" s="172" t="str">
        <x:f>IF(A685="","",IFERROR(LOOKUP(2,1/('Engineer Updates'!$B$5:$B$704=A685),'Engineer Updates'!$H$5:$H$704),""))</x:f>
      </x:c>
      <x:c r="S685" s="172" t="str">
        <x:f>IF(A685="","",IFERROR(LOOKUP(2,1/('Engineer Updates'!$B$5:$B$704=A685),'Engineer Updates'!$G$5:$G$704),""))</x:f>
      </x:c>
      <x:c r="T685" s="172" t="str">
        <x:f>IF(A685="","",IFERROR(LOOKUP(2,1/('Engineer Updates'!$B$5:$B$704=A685),'Engineer Updates'!$I$5:$I$704),""))</x:f>
      </x:c>
      <x:c r="U685" s="172" t="str">
        <x:f>IF(A685="","",IFERROR(LOOKUP(2,1/('Engineer Updates'!$B$5:$B$704=A685),'Engineer Updates'!$J$5:$J$704),""))</x:f>
      </x:c>
      <x:c r="V685" s="172" t="str">
        <x:f>IF(A685="","",IFERROR(LOOKUP(2,1/('Engineer Updates'!$B$5:$B$704=A685),'Engineer Updates'!$K$5:$K$704),""))</x:f>
      </x:c>
      <x:c r="W685" s="174" t="str">
        <x:f>IF(A685="","",IFERROR(LOOKUP(2,1/('Engineer Updates'!$B$5:$B$704=A685),'Engineer Updates'!$L$5:$L$704),""))</x:f>
      </x:c>
      <x:c r="X685" s="170" t="str">
        <x:f>IF(A685="","",IF(C685="completed","Completed in CSSP",IF(AND(C685="executing",ISERROR(SEARCH("@",K685))),"Executing without named engineer",IF(AND(N685="Confirmed OOS",C685="executing"),"Confirmed OOS still executing",""))))</x:f>
      </x:c>
      <x:c r="Y685" s="170" t="str">
        <x:f>IF(A685="","",IF(B685="Decommissioning","Raw Decommissioning","Raw Provisioning"))</x:f>
      </x:c>
      <x:c r="Z685" s="170" t="str">
        <x:f>IF(A685="","",IF(OR(C685="executing",C685="processing"),"Yes","No"))</x:f>
      </x:c>
    </x:row>
    <x:row r="686">
      <x:c r="A686" s="170" t="str">
        <x:f>IF(ROWS($A$5:A686)&lt;=COUNTA('Raw Decommissioning'!$B$2:$B$1000),INDEX('Raw Decommissioning'!$B$2:$B$1000,ROWS($A$5:A686)),IF(ROWS($A$5:A686)-COUNTA('Raw Decommissioning'!$B$2:$B$1000)&lt;=COUNTA('Raw Provisioning'!$B$2:$B$1000),INDEX('Raw Provisioning'!$B$2:$B$1000,ROWS($A$5:A686)-COUNTA('Raw Decommissioning'!$B$2:$B$1000)),""))</x:f>
      </x:c>
      <x:c r="B686" s="170" t="str">
        <x:f>IF(A686="","",IF(ROWS($A$5:A686)&lt;=COUNTA('Raw Decommissioning'!$B$2:$B$1000),"Decommissioning","Provisioning"))</x:f>
      </x:c>
      <x:c r="C686" s="170" t="str">
        <x:f>IF(A686="","",IF(B686="Decommissioning",IFERROR(INDEX('Raw Decommissioning'!$E$2:$E$1000,MATCH(A686,'Raw Decommissioning'!$B$2:$B$1000,0)),"Missing from latest raw"),IFERROR(INDEX('Raw Provisioning'!$E$2:$E$1000,MATCH(A686,'Raw Provisioning'!$B$2:$B$1000,0)),"Missing from latest raw")))</x:f>
      </x:c>
      <x:c r="D686" s="171" t="str">
        <x:f>IF(A686="","",'Refresh Control'!$B$4)</x:f>
      </x:c>
      <x:c r="E686" s="171" t="str">
        <x:f>IF(A686="","",IF(B686="Decommissioning",INDEX('Raw Decommissioning'!$F$2:$F$1000,ROWS($A$5:A686)),INDEX('Raw Provisioning'!$F$2:$F$1000,ROWS($A$5:A686)-COUNTA('Raw Decommissioning'!$B$2:$B$1000))))</x:f>
      </x:c>
      <x:c r="F686" s="171" t="str">
        <x:f>IF(A686="","",IF(B686="Decommissioning",INDEX('Raw Decommissioning'!$G$2:$G$1000,ROWS($A$5:A686)),INDEX('Raw Provisioning'!$H$2:$H$1000,ROWS($A$5:A686)-COUNTA('Raw Decommissioning'!$B$2:$B$1000))))</x:f>
      </x:c>
      <x:c r="G686" s="170" t="str">
        <x:f>IF(A686="","",IF(B686="Decommissioning",INDEX('Raw Decommissioning'!$I$2:$I$1000,ROWS($A$5:A686)),INDEX('Raw Provisioning'!$J$2:$J$1000,ROWS($A$5:A686)-COUNTA('Raw Decommissioning'!$B$2:$B$1000))))</x:f>
      </x:c>
      <x:c r="H686" s="170" t="str">
        <x:f>IF(A686="","",IF(B686="Decommissioning",INDEX('Raw Decommissioning'!$J$2:$J$1000,ROWS($A$5:A686)),INDEX('Raw Provisioning'!$L$2:$L$1000,ROWS($A$5:A686)-COUNTA('Raw Decommissioning'!$B$2:$B$1000))))</x:f>
      </x:c>
      <x:c r="I686" s="170" t="str">
        <x:f>IF(A686="","",IF(B686="Decommissioning",INDEX('Raw Decommissioning'!$AL$2:$AL$1000,ROWS($A$5:A686)),INDEX('Raw Provisioning'!$R$2:$R$1000,ROWS($A$5:A686)-COUNTA('Raw Decommissioning'!$B$2:$B$1000))))</x:f>
      </x:c>
      <x:c r="J686" s="170" t="str">
        <x:f>IF(A686="","",IF(B686="Decommissioning",INDEX('Raw Decommissioning'!$AG$2:$AG$1000,ROWS($A$5:A686)),INDEX('Raw Provisioning'!$AI$2:$AI$1000,ROWS($A$5:A686)-COUNTA('Raw Decommissioning'!$B$2:$B$1000))))</x:f>
      </x:c>
      <x:c r="K686" s="172" t="str">
        <x:f>IF(A686="","",IFERROR(LOOKUP(2,1/('Assignment History'!$B$5:$B$204=A686),'Assignment History'!$D$5:$D$204),IFERROR(VLOOKUP(J686,Configuration!$L$5:$M$50,2,FALSE),J686)))</x:f>
      </x:c>
      <x:c r="L686" s="172" t="str">
        <x:f>IF(A686="","",IF(K686=IFERROR(VLOOKUP(J686,Configuration!$L$5:$M$50,2,FALSE),J686),"Snapshot PIC","Replacement PIC"))</x:f>
      </x:c>
      <x:c r="M686" s="172" t="str">
        <x:f>IF(A686="","",IFERROR(VLOOKUP(I686,Configuration!$O$5:$P$8,2,FALSE),Configuration!$S$6))</x:f>
      </x:c>
      <x:c r="N686" s="172" t="str">
        <x:f>IF(A686="","",IFERROR(LOOKUP(2,1/('Scope Review'!$B$5:$B$204=A686),'Scope Review'!$G$5:$G$204),"Not Reviewed"))</x:f>
      </x:c>
      <x:c r="O686" s="172" t="str">
        <x:f>IF(A686="","",IFERROR(LOOKUP(2,1/('Scope Review'!$B$5:$B$204=A686),'Scope Review'!$H$5:$H$204),""))</x:f>
      </x:c>
      <x:c r="P686" s="172" t="str">
        <x:f>IF(A686="","",IF(AND(C686="executing",N686&lt;&gt;"Confirmed OOS"),M686,0))</x:f>
      </x:c>
      <x:c r="Q686" s="173" t="str">
        <x:f>IF(A686="","",IFERROR(LOOKUP(2,1/('Engineer Updates'!$B$5:$B$704=A686),'Engineer Updates'!$A$5:$A$704),""))</x:f>
      </x:c>
      <x:c r="R686" s="172" t="str">
        <x:f>IF(A686="","",IFERROR(LOOKUP(2,1/('Engineer Updates'!$B$5:$B$704=A686),'Engineer Updates'!$H$5:$H$704),""))</x:f>
      </x:c>
      <x:c r="S686" s="172" t="str">
        <x:f>IF(A686="","",IFERROR(LOOKUP(2,1/('Engineer Updates'!$B$5:$B$704=A686),'Engineer Updates'!$G$5:$G$704),""))</x:f>
      </x:c>
      <x:c r="T686" s="172" t="str">
        <x:f>IF(A686="","",IFERROR(LOOKUP(2,1/('Engineer Updates'!$B$5:$B$704=A686),'Engineer Updates'!$I$5:$I$704),""))</x:f>
      </x:c>
      <x:c r="U686" s="172" t="str">
        <x:f>IF(A686="","",IFERROR(LOOKUP(2,1/('Engineer Updates'!$B$5:$B$704=A686),'Engineer Updates'!$J$5:$J$704),""))</x:f>
      </x:c>
      <x:c r="V686" s="172" t="str">
        <x:f>IF(A686="","",IFERROR(LOOKUP(2,1/('Engineer Updates'!$B$5:$B$704=A686),'Engineer Updates'!$K$5:$K$704),""))</x:f>
      </x:c>
      <x:c r="W686" s="174" t="str">
        <x:f>IF(A686="","",IFERROR(LOOKUP(2,1/('Engineer Updates'!$B$5:$B$704=A686),'Engineer Updates'!$L$5:$L$704),""))</x:f>
      </x:c>
      <x:c r="X686" s="170" t="str">
        <x:f>IF(A686="","",IF(C686="completed","Completed in CSSP",IF(AND(C686="executing",ISERROR(SEARCH("@",K686))),"Executing without named engineer",IF(AND(N686="Confirmed OOS",C686="executing"),"Confirmed OOS still executing",""))))</x:f>
      </x:c>
      <x:c r="Y686" s="170" t="str">
        <x:f>IF(A686="","",IF(B686="Decommissioning","Raw Decommissioning","Raw Provisioning"))</x:f>
      </x:c>
      <x:c r="Z686" s="170" t="str">
        <x:f>IF(A686="","",IF(OR(C686="executing",C686="processing"),"Yes","No"))</x:f>
      </x:c>
    </x:row>
    <x:row r="687">
      <x:c r="A687" s="170" t="str">
        <x:f>IF(ROWS($A$5:A687)&lt;=COUNTA('Raw Decommissioning'!$B$2:$B$1000),INDEX('Raw Decommissioning'!$B$2:$B$1000,ROWS($A$5:A687)),IF(ROWS($A$5:A687)-COUNTA('Raw Decommissioning'!$B$2:$B$1000)&lt;=COUNTA('Raw Provisioning'!$B$2:$B$1000),INDEX('Raw Provisioning'!$B$2:$B$1000,ROWS($A$5:A687)-COUNTA('Raw Decommissioning'!$B$2:$B$1000)),""))</x:f>
      </x:c>
      <x:c r="B687" s="170" t="str">
        <x:f>IF(A687="","",IF(ROWS($A$5:A687)&lt;=COUNTA('Raw Decommissioning'!$B$2:$B$1000),"Decommissioning","Provisioning"))</x:f>
      </x:c>
      <x:c r="C687" s="170" t="str">
        <x:f>IF(A687="","",IF(B687="Decommissioning",IFERROR(INDEX('Raw Decommissioning'!$E$2:$E$1000,MATCH(A687,'Raw Decommissioning'!$B$2:$B$1000,0)),"Missing from latest raw"),IFERROR(INDEX('Raw Provisioning'!$E$2:$E$1000,MATCH(A687,'Raw Provisioning'!$B$2:$B$1000,0)),"Missing from latest raw")))</x:f>
      </x:c>
      <x:c r="D687" s="171" t="str">
        <x:f>IF(A687="","",'Refresh Control'!$B$4)</x:f>
      </x:c>
      <x:c r="E687" s="171" t="str">
        <x:f>IF(A687="","",IF(B687="Decommissioning",INDEX('Raw Decommissioning'!$F$2:$F$1000,ROWS($A$5:A687)),INDEX('Raw Provisioning'!$F$2:$F$1000,ROWS($A$5:A687)-COUNTA('Raw Decommissioning'!$B$2:$B$1000))))</x:f>
      </x:c>
      <x:c r="F687" s="171" t="str">
        <x:f>IF(A687="","",IF(B687="Decommissioning",INDEX('Raw Decommissioning'!$G$2:$G$1000,ROWS($A$5:A687)),INDEX('Raw Provisioning'!$H$2:$H$1000,ROWS($A$5:A687)-COUNTA('Raw Decommissioning'!$B$2:$B$1000))))</x:f>
      </x:c>
      <x:c r="G687" s="170" t="str">
        <x:f>IF(A687="","",IF(B687="Decommissioning",INDEX('Raw Decommissioning'!$I$2:$I$1000,ROWS($A$5:A687)),INDEX('Raw Provisioning'!$J$2:$J$1000,ROWS($A$5:A687)-COUNTA('Raw Decommissioning'!$B$2:$B$1000))))</x:f>
      </x:c>
      <x:c r="H687" s="170" t="str">
        <x:f>IF(A687="","",IF(B687="Decommissioning",INDEX('Raw Decommissioning'!$J$2:$J$1000,ROWS($A$5:A687)),INDEX('Raw Provisioning'!$L$2:$L$1000,ROWS($A$5:A687)-COUNTA('Raw Decommissioning'!$B$2:$B$1000))))</x:f>
      </x:c>
      <x:c r="I687" s="170" t="str">
        <x:f>IF(A687="","",IF(B687="Decommissioning",INDEX('Raw Decommissioning'!$AL$2:$AL$1000,ROWS($A$5:A687)),INDEX('Raw Provisioning'!$R$2:$R$1000,ROWS($A$5:A687)-COUNTA('Raw Decommissioning'!$B$2:$B$1000))))</x:f>
      </x:c>
      <x:c r="J687" s="170" t="str">
        <x:f>IF(A687="","",IF(B687="Decommissioning",INDEX('Raw Decommissioning'!$AG$2:$AG$1000,ROWS($A$5:A687)),INDEX('Raw Provisioning'!$AI$2:$AI$1000,ROWS($A$5:A687)-COUNTA('Raw Decommissioning'!$B$2:$B$1000))))</x:f>
      </x:c>
      <x:c r="K687" s="172" t="str">
        <x:f>IF(A687="","",IFERROR(LOOKUP(2,1/('Assignment History'!$B$5:$B$204=A687),'Assignment History'!$D$5:$D$204),IFERROR(VLOOKUP(J687,Configuration!$L$5:$M$50,2,FALSE),J687)))</x:f>
      </x:c>
      <x:c r="L687" s="172" t="str">
        <x:f>IF(A687="","",IF(K687=IFERROR(VLOOKUP(J687,Configuration!$L$5:$M$50,2,FALSE),J687),"Snapshot PIC","Replacement PIC"))</x:f>
      </x:c>
      <x:c r="M687" s="172" t="str">
        <x:f>IF(A687="","",IFERROR(VLOOKUP(I687,Configuration!$O$5:$P$8,2,FALSE),Configuration!$S$6))</x:f>
      </x:c>
      <x:c r="N687" s="172" t="str">
        <x:f>IF(A687="","",IFERROR(LOOKUP(2,1/('Scope Review'!$B$5:$B$204=A687),'Scope Review'!$G$5:$G$204),"Not Reviewed"))</x:f>
      </x:c>
      <x:c r="O687" s="172" t="str">
        <x:f>IF(A687="","",IFERROR(LOOKUP(2,1/('Scope Review'!$B$5:$B$204=A687),'Scope Review'!$H$5:$H$204),""))</x:f>
      </x:c>
      <x:c r="P687" s="172" t="str">
        <x:f>IF(A687="","",IF(AND(C687="executing",N687&lt;&gt;"Confirmed OOS"),M687,0))</x:f>
      </x:c>
      <x:c r="Q687" s="173" t="str">
        <x:f>IF(A687="","",IFERROR(LOOKUP(2,1/('Engineer Updates'!$B$5:$B$704=A687),'Engineer Updates'!$A$5:$A$704),""))</x:f>
      </x:c>
      <x:c r="R687" s="172" t="str">
        <x:f>IF(A687="","",IFERROR(LOOKUP(2,1/('Engineer Updates'!$B$5:$B$704=A687),'Engineer Updates'!$H$5:$H$704),""))</x:f>
      </x:c>
      <x:c r="S687" s="172" t="str">
        <x:f>IF(A687="","",IFERROR(LOOKUP(2,1/('Engineer Updates'!$B$5:$B$704=A687),'Engineer Updates'!$G$5:$G$704),""))</x:f>
      </x:c>
      <x:c r="T687" s="172" t="str">
        <x:f>IF(A687="","",IFERROR(LOOKUP(2,1/('Engineer Updates'!$B$5:$B$704=A687),'Engineer Updates'!$I$5:$I$704),""))</x:f>
      </x:c>
      <x:c r="U687" s="172" t="str">
        <x:f>IF(A687="","",IFERROR(LOOKUP(2,1/('Engineer Updates'!$B$5:$B$704=A687),'Engineer Updates'!$J$5:$J$704),""))</x:f>
      </x:c>
      <x:c r="V687" s="172" t="str">
        <x:f>IF(A687="","",IFERROR(LOOKUP(2,1/('Engineer Updates'!$B$5:$B$704=A687),'Engineer Updates'!$K$5:$K$704),""))</x:f>
      </x:c>
      <x:c r="W687" s="174" t="str">
        <x:f>IF(A687="","",IFERROR(LOOKUP(2,1/('Engineer Updates'!$B$5:$B$704=A687),'Engineer Updates'!$L$5:$L$704),""))</x:f>
      </x:c>
      <x:c r="X687" s="170" t="str">
        <x:f>IF(A687="","",IF(C687="completed","Completed in CSSP",IF(AND(C687="executing",ISERROR(SEARCH("@",K687))),"Executing without named engineer",IF(AND(N687="Confirmed OOS",C687="executing"),"Confirmed OOS still executing",""))))</x:f>
      </x:c>
      <x:c r="Y687" s="170" t="str">
        <x:f>IF(A687="","",IF(B687="Decommissioning","Raw Decommissioning","Raw Provisioning"))</x:f>
      </x:c>
      <x:c r="Z687" s="170" t="str">
        <x:f>IF(A687="","",IF(OR(C687="executing",C687="processing"),"Yes","No"))</x:f>
      </x:c>
    </x:row>
    <x:row r="688">
      <x:c r="A688" s="170" t="str">
        <x:f>IF(ROWS($A$5:A688)&lt;=COUNTA('Raw Decommissioning'!$B$2:$B$1000),INDEX('Raw Decommissioning'!$B$2:$B$1000,ROWS($A$5:A688)),IF(ROWS($A$5:A688)-COUNTA('Raw Decommissioning'!$B$2:$B$1000)&lt;=COUNTA('Raw Provisioning'!$B$2:$B$1000),INDEX('Raw Provisioning'!$B$2:$B$1000,ROWS($A$5:A688)-COUNTA('Raw Decommissioning'!$B$2:$B$1000)),""))</x:f>
      </x:c>
      <x:c r="B688" s="170" t="str">
        <x:f>IF(A688="","",IF(ROWS($A$5:A688)&lt;=COUNTA('Raw Decommissioning'!$B$2:$B$1000),"Decommissioning","Provisioning"))</x:f>
      </x:c>
      <x:c r="C688" s="170" t="str">
        <x:f>IF(A688="","",IF(B688="Decommissioning",IFERROR(INDEX('Raw Decommissioning'!$E$2:$E$1000,MATCH(A688,'Raw Decommissioning'!$B$2:$B$1000,0)),"Missing from latest raw"),IFERROR(INDEX('Raw Provisioning'!$E$2:$E$1000,MATCH(A688,'Raw Provisioning'!$B$2:$B$1000,0)),"Missing from latest raw")))</x:f>
      </x:c>
      <x:c r="D688" s="171" t="str">
        <x:f>IF(A688="","",'Refresh Control'!$B$4)</x:f>
      </x:c>
      <x:c r="E688" s="171" t="str">
        <x:f>IF(A688="","",IF(B688="Decommissioning",INDEX('Raw Decommissioning'!$F$2:$F$1000,ROWS($A$5:A688)),INDEX('Raw Provisioning'!$F$2:$F$1000,ROWS($A$5:A688)-COUNTA('Raw Decommissioning'!$B$2:$B$1000))))</x:f>
      </x:c>
      <x:c r="F688" s="171" t="str">
        <x:f>IF(A688="","",IF(B688="Decommissioning",INDEX('Raw Decommissioning'!$G$2:$G$1000,ROWS($A$5:A688)),INDEX('Raw Provisioning'!$H$2:$H$1000,ROWS($A$5:A688)-COUNTA('Raw Decommissioning'!$B$2:$B$1000))))</x:f>
      </x:c>
      <x:c r="G688" s="170" t="str">
        <x:f>IF(A688="","",IF(B688="Decommissioning",INDEX('Raw Decommissioning'!$I$2:$I$1000,ROWS($A$5:A688)),INDEX('Raw Provisioning'!$J$2:$J$1000,ROWS($A$5:A688)-COUNTA('Raw Decommissioning'!$B$2:$B$1000))))</x:f>
      </x:c>
      <x:c r="H688" s="170" t="str">
        <x:f>IF(A688="","",IF(B688="Decommissioning",INDEX('Raw Decommissioning'!$J$2:$J$1000,ROWS($A$5:A688)),INDEX('Raw Provisioning'!$L$2:$L$1000,ROWS($A$5:A688)-COUNTA('Raw Decommissioning'!$B$2:$B$1000))))</x:f>
      </x:c>
      <x:c r="I688" s="170" t="str">
        <x:f>IF(A688="","",IF(B688="Decommissioning",INDEX('Raw Decommissioning'!$AL$2:$AL$1000,ROWS($A$5:A688)),INDEX('Raw Provisioning'!$R$2:$R$1000,ROWS($A$5:A688)-COUNTA('Raw Decommissioning'!$B$2:$B$1000))))</x:f>
      </x:c>
      <x:c r="J688" s="170" t="str">
        <x:f>IF(A688="","",IF(B688="Decommissioning",INDEX('Raw Decommissioning'!$AG$2:$AG$1000,ROWS($A$5:A688)),INDEX('Raw Provisioning'!$AI$2:$AI$1000,ROWS($A$5:A688)-COUNTA('Raw Decommissioning'!$B$2:$B$1000))))</x:f>
      </x:c>
      <x:c r="K688" s="172" t="str">
        <x:f>IF(A688="","",IFERROR(LOOKUP(2,1/('Assignment History'!$B$5:$B$204=A688),'Assignment History'!$D$5:$D$204),IFERROR(VLOOKUP(J688,Configuration!$L$5:$M$50,2,FALSE),J688)))</x:f>
      </x:c>
      <x:c r="L688" s="172" t="str">
        <x:f>IF(A688="","",IF(K688=IFERROR(VLOOKUP(J688,Configuration!$L$5:$M$50,2,FALSE),J688),"Snapshot PIC","Replacement PIC"))</x:f>
      </x:c>
      <x:c r="M688" s="172" t="str">
        <x:f>IF(A688="","",IFERROR(VLOOKUP(I688,Configuration!$O$5:$P$8,2,FALSE),Configuration!$S$6))</x:f>
      </x:c>
      <x:c r="N688" s="172" t="str">
        <x:f>IF(A688="","",IFERROR(LOOKUP(2,1/('Scope Review'!$B$5:$B$204=A688),'Scope Review'!$G$5:$G$204),"Not Reviewed"))</x:f>
      </x:c>
      <x:c r="O688" s="172" t="str">
        <x:f>IF(A688="","",IFERROR(LOOKUP(2,1/('Scope Review'!$B$5:$B$204=A688),'Scope Review'!$H$5:$H$204),""))</x:f>
      </x:c>
      <x:c r="P688" s="172" t="str">
        <x:f>IF(A688="","",IF(AND(C688="executing",N688&lt;&gt;"Confirmed OOS"),M688,0))</x:f>
      </x:c>
      <x:c r="Q688" s="173" t="str">
        <x:f>IF(A688="","",IFERROR(LOOKUP(2,1/('Engineer Updates'!$B$5:$B$704=A688),'Engineer Updates'!$A$5:$A$704),""))</x:f>
      </x:c>
      <x:c r="R688" s="172" t="str">
        <x:f>IF(A688="","",IFERROR(LOOKUP(2,1/('Engineer Updates'!$B$5:$B$704=A688),'Engineer Updates'!$H$5:$H$704),""))</x:f>
      </x:c>
      <x:c r="S688" s="172" t="str">
        <x:f>IF(A688="","",IFERROR(LOOKUP(2,1/('Engineer Updates'!$B$5:$B$704=A688),'Engineer Updates'!$G$5:$G$704),""))</x:f>
      </x:c>
      <x:c r="T688" s="172" t="str">
        <x:f>IF(A688="","",IFERROR(LOOKUP(2,1/('Engineer Updates'!$B$5:$B$704=A688),'Engineer Updates'!$I$5:$I$704),""))</x:f>
      </x:c>
      <x:c r="U688" s="172" t="str">
        <x:f>IF(A688="","",IFERROR(LOOKUP(2,1/('Engineer Updates'!$B$5:$B$704=A688),'Engineer Updates'!$J$5:$J$704),""))</x:f>
      </x:c>
      <x:c r="V688" s="172" t="str">
        <x:f>IF(A688="","",IFERROR(LOOKUP(2,1/('Engineer Updates'!$B$5:$B$704=A688),'Engineer Updates'!$K$5:$K$704),""))</x:f>
      </x:c>
      <x:c r="W688" s="174" t="str">
        <x:f>IF(A688="","",IFERROR(LOOKUP(2,1/('Engineer Updates'!$B$5:$B$704=A688),'Engineer Updates'!$L$5:$L$704),""))</x:f>
      </x:c>
      <x:c r="X688" s="170" t="str">
        <x:f>IF(A688="","",IF(C688="completed","Completed in CSSP",IF(AND(C688="executing",ISERROR(SEARCH("@",K688))),"Executing without named engineer",IF(AND(N688="Confirmed OOS",C688="executing"),"Confirmed OOS still executing",""))))</x:f>
      </x:c>
      <x:c r="Y688" s="170" t="str">
        <x:f>IF(A688="","",IF(B688="Decommissioning","Raw Decommissioning","Raw Provisioning"))</x:f>
      </x:c>
      <x:c r="Z688" s="170" t="str">
        <x:f>IF(A688="","",IF(OR(C688="executing",C688="processing"),"Yes","No"))</x:f>
      </x:c>
    </x:row>
    <x:row r="689">
      <x:c r="A689" s="170" t="str">
        <x:f>IF(ROWS($A$5:A689)&lt;=COUNTA('Raw Decommissioning'!$B$2:$B$1000),INDEX('Raw Decommissioning'!$B$2:$B$1000,ROWS($A$5:A689)),IF(ROWS($A$5:A689)-COUNTA('Raw Decommissioning'!$B$2:$B$1000)&lt;=COUNTA('Raw Provisioning'!$B$2:$B$1000),INDEX('Raw Provisioning'!$B$2:$B$1000,ROWS($A$5:A689)-COUNTA('Raw Decommissioning'!$B$2:$B$1000)),""))</x:f>
      </x:c>
      <x:c r="B689" s="170" t="str">
        <x:f>IF(A689="","",IF(ROWS($A$5:A689)&lt;=COUNTA('Raw Decommissioning'!$B$2:$B$1000),"Decommissioning","Provisioning"))</x:f>
      </x:c>
      <x:c r="C689" s="170" t="str">
        <x:f>IF(A689="","",IF(B689="Decommissioning",IFERROR(INDEX('Raw Decommissioning'!$E$2:$E$1000,MATCH(A689,'Raw Decommissioning'!$B$2:$B$1000,0)),"Missing from latest raw"),IFERROR(INDEX('Raw Provisioning'!$E$2:$E$1000,MATCH(A689,'Raw Provisioning'!$B$2:$B$1000,0)),"Missing from latest raw")))</x:f>
      </x:c>
      <x:c r="D689" s="171" t="str">
        <x:f>IF(A689="","",'Refresh Control'!$B$4)</x:f>
      </x:c>
      <x:c r="E689" s="171" t="str">
        <x:f>IF(A689="","",IF(B689="Decommissioning",INDEX('Raw Decommissioning'!$F$2:$F$1000,ROWS($A$5:A689)),INDEX('Raw Provisioning'!$F$2:$F$1000,ROWS($A$5:A689)-COUNTA('Raw Decommissioning'!$B$2:$B$1000))))</x:f>
      </x:c>
      <x:c r="F689" s="171" t="str">
        <x:f>IF(A689="","",IF(B689="Decommissioning",INDEX('Raw Decommissioning'!$G$2:$G$1000,ROWS($A$5:A689)),INDEX('Raw Provisioning'!$H$2:$H$1000,ROWS($A$5:A689)-COUNTA('Raw Decommissioning'!$B$2:$B$1000))))</x:f>
      </x:c>
      <x:c r="G689" s="170" t="str">
        <x:f>IF(A689="","",IF(B689="Decommissioning",INDEX('Raw Decommissioning'!$I$2:$I$1000,ROWS($A$5:A689)),INDEX('Raw Provisioning'!$J$2:$J$1000,ROWS($A$5:A689)-COUNTA('Raw Decommissioning'!$B$2:$B$1000))))</x:f>
      </x:c>
      <x:c r="H689" s="170" t="str">
        <x:f>IF(A689="","",IF(B689="Decommissioning",INDEX('Raw Decommissioning'!$J$2:$J$1000,ROWS($A$5:A689)),INDEX('Raw Provisioning'!$L$2:$L$1000,ROWS($A$5:A689)-COUNTA('Raw Decommissioning'!$B$2:$B$1000))))</x:f>
      </x:c>
      <x:c r="I689" s="170" t="str">
        <x:f>IF(A689="","",IF(B689="Decommissioning",INDEX('Raw Decommissioning'!$AL$2:$AL$1000,ROWS($A$5:A689)),INDEX('Raw Provisioning'!$R$2:$R$1000,ROWS($A$5:A689)-COUNTA('Raw Decommissioning'!$B$2:$B$1000))))</x:f>
      </x:c>
      <x:c r="J689" s="170" t="str">
        <x:f>IF(A689="","",IF(B689="Decommissioning",INDEX('Raw Decommissioning'!$AG$2:$AG$1000,ROWS($A$5:A689)),INDEX('Raw Provisioning'!$AI$2:$AI$1000,ROWS($A$5:A689)-COUNTA('Raw Decommissioning'!$B$2:$B$1000))))</x:f>
      </x:c>
      <x:c r="K689" s="172" t="str">
        <x:f>IF(A689="","",IFERROR(LOOKUP(2,1/('Assignment History'!$B$5:$B$204=A689),'Assignment History'!$D$5:$D$204),IFERROR(VLOOKUP(J689,Configuration!$L$5:$M$50,2,FALSE),J689)))</x:f>
      </x:c>
      <x:c r="L689" s="172" t="str">
        <x:f>IF(A689="","",IF(K689=IFERROR(VLOOKUP(J689,Configuration!$L$5:$M$50,2,FALSE),J689),"Snapshot PIC","Replacement PIC"))</x:f>
      </x:c>
      <x:c r="M689" s="172" t="str">
        <x:f>IF(A689="","",IFERROR(VLOOKUP(I689,Configuration!$O$5:$P$8,2,FALSE),Configuration!$S$6))</x:f>
      </x:c>
      <x:c r="N689" s="172" t="str">
        <x:f>IF(A689="","",IFERROR(LOOKUP(2,1/('Scope Review'!$B$5:$B$204=A689),'Scope Review'!$G$5:$G$204),"Not Reviewed"))</x:f>
      </x:c>
      <x:c r="O689" s="172" t="str">
        <x:f>IF(A689="","",IFERROR(LOOKUP(2,1/('Scope Review'!$B$5:$B$204=A689),'Scope Review'!$H$5:$H$204),""))</x:f>
      </x:c>
      <x:c r="P689" s="172" t="str">
        <x:f>IF(A689="","",IF(AND(C689="executing",N689&lt;&gt;"Confirmed OOS"),M689,0))</x:f>
      </x:c>
      <x:c r="Q689" s="173" t="str">
        <x:f>IF(A689="","",IFERROR(LOOKUP(2,1/('Engineer Updates'!$B$5:$B$704=A689),'Engineer Updates'!$A$5:$A$704),""))</x:f>
      </x:c>
      <x:c r="R689" s="172" t="str">
        <x:f>IF(A689="","",IFERROR(LOOKUP(2,1/('Engineer Updates'!$B$5:$B$704=A689),'Engineer Updates'!$H$5:$H$704),""))</x:f>
      </x:c>
      <x:c r="S689" s="172" t="str">
        <x:f>IF(A689="","",IFERROR(LOOKUP(2,1/('Engineer Updates'!$B$5:$B$704=A689),'Engineer Updates'!$G$5:$G$704),""))</x:f>
      </x:c>
      <x:c r="T689" s="172" t="str">
        <x:f>IF(A689="","",IFERROR(LOOKUP(2,1/('Engineer Updates'!$B$5:$B$704=A689),'Engineer Updates'!$I$5:$I$704),""))</x:f>
      </x:c>
      <x:c r="U689" s="172" t="str">
        <x:f>IF(A689="","",IFERROR(LOOKUP(2,1/('Engineer Updates'!$B$5:$B$704=A689),'Engineer Updates'!$J$5:$J$704),""))</x:f>
      </x:c>
      <x:c r="V689" s="172" t="str">
        <x:f>IF(A689="","",IFERROR(LOOKUP(2,1/('Engineer Updates'!$B$5:$B$704=A689),'Engineer Updates'!$K$5:$K$704),""))</x:f>
      </x:c>
      <x:c r="W689" s="174" t="str">
        <x:f>IF(A689="","",IFERROR(LOOKUP(2,1/('Engineer Updates'!$B$5:$B$704=A689),'Engineer Updates'!$L$5:$L$704),""))</x:f>
      </x:c>
      <x:c r="X689" s="170" t="str">
        <x:f>IF(A689="","",IF(C689="completed","Completed in CSSP",IF(AND(C689="executing",ISERROR(SEARCH("@",K689))),"Executing without named engineer",IF(AND(N689="Confirmed OOS",C689="executing"),"Confirmed OOS still executing",""))))</x:f>
      </x:c>
      <x:c r="Y689" s="170" t="str">
        <x:f>IF(A689="","",IF(B689="Decommissioning","Raw Decommissioning","Raw Provisioning"))</x:f>
      </x:c>
      <x:c r="Z689" s="170" t="str">
        <x:f>IF(A689="","",IF(OR(C689="executing",C689="processing"),"Yes","No"))</x:f>
      </x:c>
    </x:row>
    <x:row r="690">
      <x:c r="A690" s="170" t="str">
        <x:f>IF(ROWS($A$5:A690)&lt;=COUNTA('Raw Decommissioning'!$B$2:$B$1000),INDEX('Raw Decommissioning'!$B$2:$B$1000,ROWS($A$5:A690)),IF(ROWS($A$5:A690)-COUNTA('Raw Decommissioning'!$B$2:$B$1000)&lt;=COUNTA('Raw Provisioning'!$B$2:$B$1000),INDEX('Raw Provisioning'!$B$2:$B$1000,ROWS($A$5:A690)-COUNTA('Raw Decommissioning'!$B$2:$B$1000)),""))</x:f>
      </x:c>
      <x:c r="B690" s="170" t="str">
        <x:f>IF(A690="","",IF(ROWS($A$5:A690)&lt;=COUNTA('Raw Decommissioning'!$B$2:$B$1000),"Decommissioning","Provisioning"))</x:f>
      </x:c>
      <x:c r="C690" s="170" t="str">
        <x:f>IF(A690="","",IF(B690="Decommissioning",IFERROR(INDEX('Raw Decommissioning'!$E$2:$E$1000,MATCH(A690,'Raw Decommissioning'!$B$2:$B$1000,0)),"Missing from latest raw"),IFERROR(INDEX('Raw Provisioning'!$E$2:$E$1000,MATCH(A690,'Raw Provisioning'!$B$2:$B$1000,0)),"Missing from latest raw")))</x:f>
      </x:c>
      <x:c r="D690" s="171" t="str">
        <x:f>IF(A690="","",'Refresh Control'!$B$4)</x:f>
      </x:c>
      <x:c r="E690" s="171" t="str">
        <x:f>IF(A690="","",IF(B690="Decommissioning",INDEX('Raw Decommissioning'!$F$2:$F$1000,ROWS($A$5:A690)),INDEX('Raw Provisioning'!$F$2:$F$1000,ROWS($A$5:A690)-COUNTA('Raw Decommissioning'!$B$2:$B$1000))))</x:f>
      </x:c>
      <x:c r="F690" s="171" t="str">
        <x:f>IF(A690="","",IF(B690="Decommissioning",INDEX('Raw Decommissioning'!$G$2:$G$1000,ROWS($A$5:A690)),INDEX('Raw Provisioning'!$H$2:$H$1000,ROWS($A$5:A690)-COUNTA('Raw Decommissioning'!$B$2:$B$1000))))</x:f>
      </x:c>
      <x:c r="G690" s="170" t="str">
        <x:f>IF(A690="","",IF(B690="Decommissioning",INDEX('Raw Decommissioning'!$I$2:$I$1000,ROWS($A$5:A690)),INDEX('Raw Provisioning'!$J$2:$J$1000,ROWS($A$5:A690)-COUNTA('Raw Decommissioning'!$B$2:$B$1000))))</x:f>
      </x:c>
      <x:c r="H690" s="170" t="str">
        <x:f>IF(A690="","",IF(B690="Decommissioning",INDEX('Raw Decommissioning'!$J$2:$J$1000,ROWS($A$5:A690)),INDEX('Raw Provisioning'!$L$2:$L$1000,ROWS($A$5:A690)-COUNTA('Raw Decommissioning'!$B$2:$B$1000))))</x:f>
      </x:c>
      <x:c r="I690" s="170" t="str">
        <x:f>IF(A690="","",IF(B690="Decommissioning",INDEX('Raw Decommissioning'!$AL$2:$AL$1000,ROWS($A$5:A690)),INDEX('Raw Provisioning'!$R$2:$R$1000,ROWS($A$5:A690)-COUNTA('Raw Decommissioning'!$B$2:$B$1000))))</x:f>
      </x:c>
      <x:c r="J690" s="170" t="str">
        <x:f>IF(A690="","",IF(B690="Decommissioning",INDEX('Raw Decommissioning'!$AG$2:$AG$1000,ROWS($A$5:A690)),INDEX('Raw Provisioning'!$AI$2:$AI$1000,ROWS($A$5:A690)-COUNTA('Raw Decommissioning'!$B$2:$B$1000))))</x:f>
      </x:c>
      <x:c r="K690" s="172" t="str">
        <x:f>IF(A690="","",IFERROR(LOOKUP(2,1/('Assignment History'!$B$5:$B$204=A690),'Assignment History'!$D$5:$D$204),IFERROR(VLOOKUP(J690,Configuration!$L$5:$M$50,2,FALSE),J690)))</x:f>
      </x:c>
      <x:c r="L690" s="172" t="str">
        <x:f>IF(A690="","",IF(K690=IFERROR(VLOOKUP(J690,Configuration!$L$5:$M$50,2,FALSE),J690),"Snapshot PIC","Replacement PIC"))</x:f>
      </x:c>
      <x:c r="M690" s="172" t="str">
        <x:f>IF(A690="","",IFERROR(VLOOKUP(I690,Configuration!$O$5:$P$8,2,FALSE),Configuration!$S$6))</x:f>
      </x:c>
      <x:c r="N690" s="172" t="str">
        <x:f>IF(A690="","",IFERROR(LOOKUP(2,1/('Scope Review'!$B$5:$B$204=A690),'Scope Review'!$G$5:$G$204),"Not Reviewed"))</x:f>
      </x:c>
      <x:c r="O690" s="172" t="str">
        <x:f>IF(A690="","",IFERROR(LOOKUP(2,1/('Scope Review'!$B$5:$B$204=A690),'Scope Review'!$H$5:$H$204),""))</x:f>
      </x:c>
      <x:c r="P690" s="172" t="str">
        <x:f>IF(A690="","",IF(AND(C690="executing",N690&lt;&gt;"Confirmed OOS"),M690,0))</x:f>
      </x:c>
      <x:c r="Q690" s="173" t="str">
        <x:f>IF(A690="","",IFERROR(LOOKUP(2,1/('Engineer Updates'!$B$5:$B$704=A690),'Engineer Updates'!$A$5:$A$704),""))</x:f>
      </x:c>
      <x:c r="R690" s="172" t="str">
        <x:f>IF(A690="","",IFERROR(LOOKUP(2,1/('Engineer Updates'!$B$5:$B$704=A690),'Engineer Updates'!$H$5:$H$704),""))</x:f>
      </x:c>
      <x:c r="S690" s="172" t="str">
        <x:f>IF(A690="","",IFERROR(LOOKUP(2,1/('Engineer Updates'!$B$5:$B$704=A690),'Engineer Updates'!$G$5:$G$704),""))</x:f>
      </x:c>
      <x:c r="T690" s="172" t="str">
        <x:f>IF(A690="","",IFERROR(LOOKUP(2,1/('Engineer Updates'!$B$5:$B$704=A690),'Engineer Updates'!$I$5:$I$704),""))</x:f>
      </x:c>
      <x:c r="U690" s="172" t="str">
        <x:f>IF(A690="","",IFERROR(LOOKUP(2,1/('Engineer Updates'!$B$5:$B$704=A690),'Engineer Updates'!$J$5:$J$704),""))</x:f>
      </x:c>
      <x:c r="V690" s="172" t="str">
        <x:f>IF(A690="","",IFERROR(LOOKUP(2,1/('Engineer Updates'!$B$5:$B$704=A690),'Engineer Updates'!$K$5:$K$704),""))</x:f>
      </x:c>
      <x:c r="W690" s="174" t="str">
        <x:f>IF(A690="","",IFERROR(LOOKUP(2,1/('Engineer Updates'!$B$5:$B$704=A690),'Engineer Updates'!$L$5:$L$704),""))</x:f>
      </x:c>
      <x:c r="X690" s="170" t="str">
        <x:f>IF(A690="","",IF(C690="completed","Completed in CSSP",IF(AND(C690="executing",ISERROR(SEARCH("@",K690))),"Executing without named engineer",IF(AND(N690="Confirmed OOS",C690="executing"),"Confirmed OOS still executing",""))))</x:f>
      </x:c>
      <x:c r="Y690" s="170" t="str">
        <x:f>IF(A690="","",IF(B690="Decommissioning","Raw Decommissioning","Raw Provisioning"))</x:f>
      </x:c>
      <x:c r="Z690" s="170" t="str">
        <x:f>IF(A690="","",IF(OR(C690="executing",C690="processing"),"Yes","No"))</x:f>
      </x:c>
    </x:row>
    <x:row r="691">
      <x:c r="A691" s="170" t="str">
        <x:f>IF(ROWS($A$5:A691)&lt;=COUNTA('Raw Decommissioning'!$B$2:$B$1000),INDEX('Raw Decommissioning'!$B$2:$B$1000,ROWS($A$5:A691)),IF(ROWS($A$5:A691)-COUNTA('Raw Decommissioning'!$B$2:$B$1000)&lt;=COUNTA('Raw Provisioning'!$B$2:$B$1000),INDEX('Raw Provisioning'!$B$2:$B$1000,ROWS($A$5:A691)-COUNTA('Raw Decommissioning'!$B$2:$B$1000)),""))</x:f>
      </x:c>
      <x:c r="B691" s="170" t="str">
        <x:f>IF(A691="","",IF(ROWS($A$5:A691)&lt;=COUNTA('Raw Decommissioning'!$B$2:$B$1000),"Decommissioning","Provisioning"))</x:f>
      </x:c>
      <x:c r="C691" s="170" t="str">
        <x:f>IF(A691="","",IF(B691="Decommissioning",IFERROR(INDEX('Raw Decommissioning'!$E$2:$E$1000,MATCH(A691,'Raw Decommissioning'!$B$2:$B$1000,0)),"Missing from latest raw"),IFERROR(INDEX('Raw Provisioning'!$E$2:$E$1000,MATCH(A691,'Raw Provisioning'!$B$2:$B$1000,0)),"Missing from latest raw")))</x:f>
      </x:c>
      <x:c r="D691" s="171" t="str">
        <x:f>IF(A691="","",'Refresh Control'!$B$4)</x:f>
      </x:c>
      <x:c r="E691" s="171" t="str">
        <x:f>IF(A691="","",IF(B691="Decommissioning",INDEX('Raw Decommissioning'!$F$2:$F$1000,ROWS($A$5:A691)),INDEX('Raw Provisioning'!$F$2:$F$1000,ROWS($A$5:A691)-COUNTA('Raw Decommissioning'!$B$2:$B$1000))))</x:f>
      </x:c>
      <x:c r="F691" s="171" t="str">
        <x:f>IF(A691="","",IF(B691="Decommissioning",INDEX('Raw Decommissioning'!$G$2:$G$1000,ROWS($A$5:A691)),INDEX('Raw Provisioning'!$H$2:$H$1000,ROWS($A$5:A691)-COUNTA('Raw Decommissioning'!$B$2:$B$1000))))</x:f>
      </x:c>
      <x:c r="G691" s="170" t="str">
        <x:f>IF(A691="","",IF(B691="Decommissioning",INDEX('Raw Decommissioning'!$I$2:$I$1000,ROWS($A$5:A691)),INDEX('Raw Provisioning'!$J$2:$J$1000,ROWS($A$5:A691)-COUNTA('Raw Decommissioning'!$B$2:$B$1000))))</x:f>
      </x:c>
      <x:c r="H691" s="170" t="str">
        <x:f>IF(A691="","",IF(B691="Decommissioning",INDEX('Raw Decommissioning'!$J$2:$J$1000,ROWS($A$5:A691)),INDEX('Raw Provisioning'!$L$2:$L$1000,ROWS($A$5:A691)-COUNTA('Raw Decommissioning'!$B$2:$B$1000))))</x:f>
      </x:c>
      <x:c r="I691" s="170" t="str">
        <x:f>IF(A691="","",IF(B691="Decommissioning",INDEX('Raw Decommissioning'!$AL$2:$AL$1000,ROWS($A$5:A691)),INDEX('Raw Provisioning'!$R$2:$R$1000,ROWS($A$5:A691)-COUNTA('Raw Decommissioning'!$B$2:$B$1000))))</x:f>
      </x:c>
      <x:c r="J691" s="170" t="str">
        <x:f>IF(A691="","",IF(B691="Decommissioning",INDEX('Raw Decommissioning'!$AG$2:$AG$1000,ROWS($A$5:A691)),INDEX('Raw Provisioning'!$AI$2:$AI$1000,ROWS($A$5:A691)-COUNTA('Raw Decommissioning'!$B$2:$B$1000))))</x:f>
      </x:c>
      <x:c r="K691" s="172" t="str">
        <x:f>IF(A691="","",IFERROR(LOOKUP(2,1/('Assignment History'!$B$5:$B$204=A691),'Assignment History'!$D$5:$D$204),IFERROR(VLOOKUP(J691,Configuration!$L$5:$M$50,2,FALSE),J691)))</x:f>
      </x:c>
      <x:c r="L691" s="172" t="str">
        <x:f>IF(A691="","",IF(K691=IFERROR(VLOOKUP(J691,Configuration!$L$5:$M$50,2,FALSE),J691),"Snapshot PIC","Replacement PIC"))</x:f>
      </x:c>
      <x:c r="M691" s="172" t="str">
        <x:f>IF(A691="","",IFERROR(VLOOKUP(I691,Configuration!$O$5:$P$8,2,FALSE),Configuration!$S$6))</x:f>
      </x:c>
      <x:c r="N691" s="172" t="str">
        <x:f>IF(A691="","",IFERROR(LOOKUP(2,1/('Scope Review'!$B$5:$B$204=A691),'Scope Review'!$G$5:$G$204),"Not Reviewed"))</x:f>
      </x:c>
      <x:c r="O691" s="172" t="str">
        <x:f>IF(A691="","",IFERROR(LOOKUP(2,1/('Scope Review'!$B$5:$B$204=A691),'Scope Review'!$H$5:$H$204),""))</x:f>
      </x:c>
      <x:c r="P691" s="172" t="str">
        <x:f>IF(A691="","",IF(AND(C691="executing",N691&lt;&gt;"Confirmed OOS"),M691,0))</x:f>
      </x:c>
      <x:c r="Q691" s="173" t="str">
        <x:f>IF(A691="","",IFERROR(LOOKUP(2,1/('Engineer Updates'!$B$5:$B$704=A691),'Engineer Updates'!$A$5:$A$704),""))</x:f>
      </x:c>
      <x:c r="R691" s="172" t="str">
        <x:f>IF(A691="","",IFERROR(LOOKUP(2,1/('Engineer Updates'!$B$5:$B$704=A691),'Engineer Updates'!$H$5:$H$704),""))</x:f>
      </x:c>
      <x:c r="S691" s="172" t="str">
        <x:f>IF(A691="","",IFERROR(LOOKUP(2,1/('Engineer Updates'!$B$5:$B$704=A691),'Engineer Updates'!$G$5:$G$704),""))</x:f>
      </x:c>
      <x:c r="T691" s="172" t="str">
        <x:f>IF(A691="","",IFERROR(LOOKUP(2,1/('Engineer Updates'!$B$5:$B$704=A691),'Engineer Updates'!$I$5:$I$704),""))</x:f>
      </x:c>
      <x:c r="U691" s="172" t="str">
        <x:f>IF(A691="","",IFERROR(LOOKUP(2,1/('Engineer Updates'!$B$5:$B$704=A691),'Engineer Updates'!$J$5:$J$704),""))</x:f>
      </x:c>
      <x:c r="V691" s="172" t="str">
        <x:f>IF(A691="","",IFERROR(LOOKUP(2,1/('Engineer Updates'!$B$5:$B$704=A691),'Engineer Updates'!$K$5:$K$704),""))</x:f>
      </x:c>
      <x:c r="W691" s="174" t="str">
        <x:f>IF(A691="","",IFERROR(LOOKUP(2,1/('Engineer Updates'!$B$5:$B$704=A691),'Engineer Updates'!$L$5:$L$704),""))</x:f>
      </x:c>
      <x:c r="X691" s="170" t="str">
        <x:f>IF(A691="","",IF(C691="completed","Completed in CSSP",IF(AND(C691="executing",ISERROR(SEARCH("@",K691))),"Executing without named engineer",IF(AND(N691="Confirmed OOS",C691="executing"),"Confirmed OOS still executing",""))))</x:f>
      </x:c>
      <x:c r="Y691" s="170" t="str">
        <x:f>IF(A691="","",IF(B691="Decommissioning","Raw Decommissioning","Raw Provisioning"))</x:f>
      </x:c>
      <x:c r="Z691" s="170" t="str">
        <x:f>IF(A691="","",IF(OR(C691="executing",C691="processing"),"Yes","No"))</x:f>
      </x:c>
    </x:row>
    <x:row r="692">
      <x:c r="A692" s="170" t="str">
        <x:f>IF(ROWS($A$5:A692)&lt;=COUNTA('Raw Decommissioning'!$B$2:$B$1000),INDEX('Raw Decommissioning'!$B$2:$B$1000,ROWS($A$5:A692)),IF(ROWS($A$5:A692)-COUNTA('Raw Decommissioning'!$B$2:$B$1000)&lt;=COUNTA('Raw Provisioning'!$B$2:$B$1000),INDEX('Raw Provisioning'!$B$2:$B$1000,ROWS($A$5:A692)-COUNTA('Raw Decommissioning'!$B$2:$B$1000)),""))</x:f>
      </x:c>
      <x:c r="B692" s="170" t="str">
        <x:f>IF(A692="","",IF(ROWS($A$5:A692)&lt;=COUNTA('Raw Decommissioning'!$B$2:$B$1000),"Decommissioning","Provisioning"))</x:f>
      </x:c>
      <x:c r="C692" s="170" t="str">
        <x:f>IF(A692="","",IF(B692="Decommissioning",IFERROR(INDEX('Raw Decommissioning'!$E$2:$E$1000,MATCH(A692,'Raw Decommissioning'!$B$2:$B$1000,0)),"Missing from latest raw"),IFERROR(INDEX('Raw Provisioning'!$E$2:$E$1000,MATCH(A692,'Raw Provisioning'!$B$2:$B$1000,0)),"Missing from latest raw")))</x:f>
      </x:c>
      <x:c r="D692" s="171" t="str">
        <x:f>IF(A692="","",'Refresh Control'!$B$4)</x:f>
      </x:c>
      <x:c r="E692" s="171" t="str">
        <x:f>IF(A692="","",IF(B692="Decommissioning",INDEX('Raw Decommissioning'!$F$2:$F$1000,ROWS($A$5:A692)),INDEX('Raw Provisioning'!$F$2:$F$1000,ROWS($A$5:A692)-COUNTA('Raw Decommissioning'!$B$2:$B$1000))))</x:f>
      </x:c>
      <x:c r="F692" s="171" t="str">
        <x:f>IF(A692="","",IF(B692="Decommissioning",INDEX('Raw Decommissioning'!$G$2:$G$1000,ROWS($A$5:A692)),INDEX('Raw Provisioning'!$H$2:$H$1000,ROWS($A$5:A692)-COUNTA('Raw Decommissioning'!$B$2:$B$1000))))</x:f>
      </x:c>
      <x:c r="G692" s="170" t="str">
        <x:f>IF(A692="","",IF(B692="Decommissioning",INDEX('Raw Decommissioning'!$I$2:$I$1000,ROWS($A$5:A692)),INDEX('Raw Provisioning'!$J$2:$J$1000,ROWS($A$5:A692)-COUNTA('Raw Decommissioning'!$B$2:$B$1000))))</x:f>
      </x:c>
      <x:c r="H692" s="170" t="str">
        <x:f>IF(A692="","",IF(B692="Decommissioning",INDEX('Raw Decommissioning'!$J$2:$J$1000,ROWS($A$5:A692)),INDEX('Raw Provisioning'!$L$2:$L$1000,ROWS($A$5:A692)-COUNTA('Raw Decommissioning'!$B$2:$B$1000))))</x:f>
      </x:c>
      <x:c r="I692" s="170" t="str">
        <x:f>IF(A692="","",IF(B692="Decommissioning",INDEX('Raw Decommissioning'!$AL$2:$AL$1000,ROWS($A$5:A692)),INDEX('Raw Provisioning'!$R$2:$R$1000,ROWS($A$5:A692)-COUNTA('Raw Decommissioning'!$B$2:$B$1000))))</x:f>
      </x:c>
      <x:c r="J692" s="170" t="str">
        <x:f>IF(A692="","",IF(B692="Decommissioning",INDEX('Raw Decommissioning'!$AG$2:$AG$1000,ROWS($A$5:A692)),INDEX('Raw Provisioning'!$AI$2:$AI$1000,ROWS($A$5:A692)-COUNTA('Raw Decommissioning'!$B$2:$B$1000))))</x:f>
      </x:c>
      <x:c r="K692" s="172" t="str">
        <x:f>IF(A692="","",IFERROR(LOOKUP(2,1/('Assignment History'!$B$5:$B$204=A692),'Assignment History'!$D$5:$D$204),IFERROR(VLOOKUP(J692,Configuration!$L$5:$M$50,2,FALSE),J692)))</x:f>
      </x:c>
      <x:c r="L692" s="172" t="str">
        <x:f>IF(A692="","",IF(K692=IFERROR(VLOOKUP(J692,Configuration!$L$5:$M$50,2,FALSE),J692),"Snapshot PIC","Replacement PIC"))</x:f>
      </x:c>
      <x:c r="M692" s="172" t="str">
        <x:f>IF(A692="","",IFERROR(VLOOKUP(I692,Configuration!$O$5:$P$8,2,FALSE),Configuration!$S$6))</x:f>
      </x:c>
      <x:c r="N692" s="172" t="str">
        <x:f>IF(A692="","",IFERROR(LOOKUP(2,1/('Scope Review'!$B$5:$B$204=A692),'Scope Review'!$G$5:$G$204),"Not Reviewed"))</x:f>
      </x:c>
      <x:c r="O692" s="172" t="str">
        <x:f>IF(A692="","",IFERROR(LOOKUP(2,1/('Scope Review'!$B$5:$B$204=A692),'Scope Review'!$H$5:$H$204),""))</x:f>
      </x:c>
      <x:c r="P692" s="172" t="str">
        <x:f>IF(A692="","",IF(AND(C692="executing",N692&lt;&gt;"Confirmed OOS"),M692,0))</x:f>
      </x:c>
      <x:c r="Q692" s="173" t="str">
        <x:f>IF(A692="","",IFERROR(LOOKUP(2,1/('Engineer Updates'!$B$5:$B$704=A692),'Engineer Updates'!$A$5:$A$704),""))</x:f>
      </x:c>
      <x:c r="R692" s="172" t="str">
        <x:f>IF(A692="","",IFERROR(LOOKUP(2,1/('Engineer Updates'!$B$5:$B$704=A692),'Engineer Updates'!$H$5:$H$704),""))</x:f>
      </x:c>
      <x:c r="S692" s="172" t="str">
        <x:f>IF(A692="","",IFERROR(LOOKUP(2,1/('Engineer Updates'!$B$5:$B$704=A692),'Engineer Updates'!$G$5:$G$704),""))</x:f>
      </x:c>
      <x:c r="T692" s="172" t="str">
        <x:f>IF(A692="","",IFERROR(LOOKUP(2,1/('Engineer Updates'!$B$5:$B$704=A692),'Engineer Updates'!$I$5:$I$704),""))</x:f>
      </x:c>
      <x:c r="U692" s="172" t="str">
        <x:f>IF(A692="","",IFERROR(LOOKUP(2,1/('Engineer Updates'!$B$5:$B$704=A692),'Engineer Updates'!$J$5:$J$704),""))</x:f>
      </x:c>
      <x:c r="V692" s="172" t="str">
        <x:f>IF(A692="","",IFERROR(LOOKUP(2,1/('Engineer Updates'!$B$5:$B$704=A692),'Engineer Updates'!$K$5:$K$704),""))</x:f>
      </x:c>
      <x:c r="W692" s="174" t="str">
        <x:f>IF(A692="","",IFERROR(LOOKUP(2,1/('Engineer Updates'!$B$5:$B$704=A692),'Engineer Updates'!$L$5:$L$704),""))</x:f>
      </x:c>
      <x:c r="X692" s="170" t="str">
        <x:f>IF(A692="","",IF(C692="completed","Completed in CSSP",IF(AND(C692="executing",ISERROR(SEARCH("@",K692))),"Executing without named engineer",IF(AND(N692="Confirmed OOS",C692="executing"),"Confirmed OOS still executing",""))))</x:f>
      </x:c>
      <x:c r="Y692" s="170" t="str">
        <x:f>IF(A692="","",IF(B692="Decommissioning","Raw Decommissioning","Raw Provisioning"))</x:f>
      </x:c>
      <x:c r="Z692" s="170" t="str">
        <x:f>IF(A692="","",IF(OR(C692="executing",C692="processing"),"Yes","No"))</x:f>
      </x:c>
    </x:row>
    <x:row r="693">
      <x:c r="A693" s="170" t="str">
        <x:f>IF(ROWS($A$5:A693)&lt;=COUNTA('Raw Decommissioning'!$B$2:$B$1000),INDEX('Raw Decommissioning'!$B$2:$B$1000,ROWS($A$5:A693)),IF(ROWS($A$5:A693)-COUNTA('Raw Decommissioning'!$B$2:$B$1000)&lt;=COUNTA('Raw Provisioning'!$B$2:$B$1000),INDEX('Raw Provisioning'!$B$2:$B$1000,ROWS($A$5:A693)-COUNTA('Raw Decommissioning'!$B$2:$B$1000)),""))</x:f>
      </x:c>
      <x:c r="B693" s="170" t="str">
        <x:f>IF(A693="","",IF(ROWS($A$5:A693)&lt;=COUNTA('Raw Decommissioning'!$B$2:$B$1000),"Decommissioning","Provisioning"))</x:f>
      </x:c>
      <x:c r="C693" s="170" t="str">
        <x:f>IF(A693="","",IF(B693="Decommissioning",IFERROR(INDEX('Raw Decommissioning'!$E$2:$E$1000,MATCH(A693,'Raw Decommissioning'!$B$2:$B$1000,0)),"Missing from latest raw"),IFERROR(INDEX('Raw Provisioning'!$E$2:$E$1000,MATCH(A693,'Raw Provisioning'!$B$2:$B$1000,0)),"Missing from latest raw")))</x:f>
      </x:c>
      <x:c r="D693" s="171" t="str">
        <x:f>IF(A693="","",'Refresh Control'!$B$4)</x:f>
      </x:c>
      <x:c r="E693" s="171" t="str">
        <x:f>IF(A693="","",IF(B693="Decommissioning",INDEX('Raw Decommissioning'!$F$2:$F$1000,ROWS($A$5:A693)),INDEX('Raw Provisioning'!$F$2:$F$1000,ROWS($A$5:A693)-COUNTA('Raw Decommissioning'!$B$2:$B$1000))))</x:f>
      </x:c>
      <x:c r="F693" s="171" t="str">
        <x:f>IF(A693="","",IF(B693="Decommissioning",INDEX('Raw Decommissioning'!$G$2:$G$1000,ROWS($A$5:A693)),INDEX('Raw Provisioning'!$H$2:$H$1000,ROWS($A$5:A693)-COUNTA('Raw Decommissioning'!$B$2:$B$1000))))</x:f>
      </x:c>
      <x:c r="G693" s="170" t="str">
        <x:f>IF(A693="","",IF(B693="Decommissioning",INDEX('Raw Decommissioning'!$I$2:$I$1000,ROWS($A$5:A693)),INDEX('Raw Provisioning'!$J$2:$J$1000,ROWS($A$5:A693)-COUNTA('Raw Decommissioning'!$B$2:$B$1000))))</x:f>
      </x:c>
      <x:c r="H693" s="170" t="str">
        <x:f>IF(A693="","",IF(B693="Decommissioning",INDEX('Raw Decommissioning'!$J$2:$J$1000,ROWS($A$5:A693)),INDEX('Raw Provisioning'!$L$2:$L$1000,ROWS($A$5:A693)-COUNTA('Raw Decommissioning'!$B$2:$B$1000))))</x:f>
      </x:c>
      <x:c r="I693" s="170" t="str">
        <x:f>IF(A693="","",IF(B693="Decommissioning",INDEX('Raw Decommissioning'!$AL$2:$AL$1000,ROWS($A$5:A693)),INDEX('Raw Provisioning'!$R$2:$R$1000,ROWS($A$5:A693)-COUNTA('Raw Decommissioning'!$B$2:$B$1000))))</x:f>
      </x:c>
      <x:c r="J693" s="170" t="str">
        <x:f>IF(A693="","",IF(B693="Decommissioning",INDEX('Raw Decommissioning'!$AG$2:$AG$1000,ROWS($A$5:A693)),INDEX('Raw Provisioning'!$AI$2:$AI$1000,ROWS($A$5:A693)-COUNTA('Raw Decommissioning'!$B$2:$B$1000))))</x:f>
      </x:c>
      <x:c r="K693" s="172" t="str">
        <x:f>IF(A693="","",IFERROR(LOOKUP(2,1/('Assignment History'!$B$5:$B$204=A693),'Assignment History'!$D$5:$D$204),IFERROR(VLOOKUP(J693,Configuration!$L$5:$M$50,2,FALSE),J693)))</x:f>
      </x:c>
      <x:c r="L693" s="172" t="str">
        <x:f>IF(A693="","",IF(K693=IFERROR(VLOOKUP(J693,Configuration!$L$5:$M$50,2,FALSE),J693),"Snapshot PIC","Replacement PIC"))</x:f>
      </x:c>
      <x:c r="M693" s="172" t="str">
        <x:f>IF(A693="","",IFERROR(VLOOKUP(I693,Configuration!$O$5:$P$8,2,FALSE),Configuration!$S$6))</x:f>
      </x:c>
      <x:c r="N693" s="172" t="str">
        <x:f>IF(A693="","",IFERROR(LOOKUP(2,1/('Scope Review'!$B$5:$B$204=A693),'Scope Review'!$G$5:$G$204),"Not Reviewed"))</x:f>
      </x:c>
      <x:c r="O693" s="172" t="str">
        <x:f>IF(A693="","",IFERROR(LOOKUP(2,1/('Scope Review'!$B$5:$B$204=A693),'Scope Review'!$H$5:$H$204),""))</x:f>
      </x:c>
      <x:c r="P693" s="172" t="str">
        <x:f>IF(A693="","",IF(AND(C693="executing",N693&lt;&gt;"Confirmed OOS"),M693,0))</x:f>
      </x:c>
      <x:c r="Q693" s="173" t="str">
        <x:f>IF(A693="","",IFERROR(LOOKUP(2,1/('Engineer Updates'!$B$5:$B$704=A693),'Engineer Updates'!$A$5:$A$704),""))</x:f>
      </x:c>
      <x:c r="R693" s="172" t="str">
        <x:f>IF(A693="","",IFERROR(LOOKUP(2,1/('Engineer Updates'!$B$5:$B$704=A693),'Engineer Updates'!$H$5:$H$704),""))</x:f>
      </x:c>
      <x:c r="S693" s="172" t="str">
        <x:f>IF(A693="","",IFERROR(LOOKUP(2,1/('Engineer Updates'!$B$5:$B$704=A693),'Engineer Updates'!$G$5:$G$704),""))</x:f>
      </x:c>
      <x:c r="T693" s="172" t="str">
        <x:f>IF(A693="","",IFERROR(LOOKUP(2,1/('Engineer Updates'!$B$5:$B$704=A693),'Engineer Updates'!$I$5:$I$704),""))</x:f>
      </x:c>
      <x:c r="U693" s="172" t="str">
        <x:f>IF(A693="","",IFERROR(LOOKUP(2,1/('Engineer Updates'!$B$5:$B$704=A693),'Engineer Updates'!$J$5:$J$704),""))</x:f>
      </x:c>
      <x:c r="V693" s="172" t="str">
        <x:f>IF(A693="","",IFERROR(LOOKUP(2,1/('Engineer Updates'!$B$5:$B$704=A693),'Engineer Updates'!$K$5:$K$704),""))</x:f>
      </x:c>
      <x:c r="W693" s="174" t="str">
        <x:f>IF(A693="","",IFERROR(LOOKUP(2,1/('Engineer Updates'!$B$5:$B$704=A693),'Engineer Updates'!$L$5:$L$704),""))</x:f>
      </x:c>
      <x:c r="X693" s="170" t="str">
        <x:f>IF(A693="","",IF(C693="completed","Completed in CSSP",IF(AND(C693="executing",ISERROR(SEARCH("@",K693))),"Executing without named engineer",IF(AND(N693="Confirmed OOS",C693="executing"),"Confirmed OOS still executing",""))))</x:f>
      </x:c>
      <x:c r="Y693" s="170" t="str">
        <x:f>IF(A693="","",IF(B693="Decommissioning","Raw Decommissioning","Raw Provisioning"))</x:f>
      </x:c>
      <x:c r="Z693" s="170" t="str">
        <x:f>IF(A693="","",IF(OR(C693="executing",C693="processing"),"Yes","No"))</x:f>
      </x:c>
    </x:row>
    <x:row r="694">
      <x:c r="A694" s="170" t="str">
        <x:f>IF(ROWS($A$5:A694)&lt;=COUNTA('Raw Decommissioning'!$B$2:$B$1000),INDEX('Raw Decommissioning'!$B$2:$B$1000,ROWS($A$5:A694)),IF(ROWS($A$5:A694)-COUNTA('Raw Decommissioning'!$B$2:$B$1000)&lt;=COUNTA('Raw Provisioning'!$B$2:$B$1000),INDEX('Raw Provisioning'!$B$2:$B$1000,ROWS($A$5:A694)-COUNTA('Raw Decommissioning'!$B$2:$B$1000)),""))</x:f>
      </x:c>
      <x:c r="B694" s="170" t="str">
        <x:f>IF(A694="","",IF(ROWS($A$5:A694)&lt;=COUNTA('Raw Decommissioning'!$B$2:$B$1000),"Decommissioning","Provisioning"))</x:f>
      </x:c>
      <x:c r="C694" s="170" t="str">
        <x:f>IF(A694="","",IF(B694="Decommissioning",IFERROR(INDEX('Raw Decommissioning'!$E$2:$E$1000,MATCH(A694,'Raw Decommissioning'!$B$2:$B$1000,0)),"Missing from latest raw"),IFERROR(INDEX('Raw Provisioning'!$E$2:$E$1000,MATCH(A694,'Raw Provisioning'!$B$2:$B$1000,0)),"Missing from latest raw")))</x:f>
      </x:c>
      <x:c r="D694" s="171" t="str">
        <x:f>IF(A694="","",'Refresh Control'!$B$4)</x:f>
      </x:c>
      <x:c r="E694" s="171" t="str">
        <x:f>IF(A694="","",IF(B694="Decommissioning",INDEX('Raw Decommissioning'!$F$2:$F$1000,ROWS($A$5:A694)),INDEX('Raw Provisioning'!$F$2:$F$1000,ROWS($A$5:A694)-COUNTA('Raw Decommissioning'!$B$2:$B$1000))))</x:f>
      </x:c>
      <x:c r="F694" s="171" t="str">
        <x:f>IF(A694="","",IF(B694="Decommissioning",INDEX('Raw Decommissioning'!$G$2:$G$1000,ROWS($A$5:A694)),INDEX('Raw Provisioning'!$H$2:$H$1000,ROWS($A$5:A694)-COUNTA('Raw Decommissioning'!$B$2:$B$1000))))</x:f>
      </x:c>
      <x:c r="G694" s="170" t="str">
        <x:f>IF(A694="","",IF(B694="Decommissioning",INDEX('Raw Decommissioning'!$I$2:$I$1000,ROWS($A$5:A694)),INDEX('Raw Provisioning'!$J$2:$J$1000,ROWS($A$5:A694)-COUNTA('Raw Decommissioning'!$B$2:$B$1000))))</x:f>
      </x:c>
      <x:c r="H694" s="170" t="str">
        <x:f>IF(A694="","",IF(B694="Decommissioning",INDEX('Raw Decommissioning'!$J$2:$J$1000,ROWS($A$5:A694)),INDEX('Raw Provisioning'!$L$2:$L$1000,ROWS($A$5:A694)-COUNTA('Raw Decommissioning'!$B$2:$B$1000))))</x:f>
      </x:c>
      <x:c r="I694" s="170" t="str">
        <x:f>IF(A694="","",IF(B694="Decommissioning",INDEX('Raw Decommissioning'!$AL$2:$AL$1000,ROWS($A$5:A694)),INDEX('Raw Provisioning'!$R$2:$R$1000,ROWS($A$5:A694)-COUNTA('Raw Decommissioning'!$B$2:$B$1000))))</x:f>
      </x:c>
      <x:c r="J694" s="170" t="str">
        <x:f>IF(A694="","",IF(B694="Decommissioning",INDEX('Raw Decommissioning'!$AG$2:$AG$1000,ROWS($A$5:A694)),INDEX('Raw Provisioning'!$AI$2:$AI$1000,ROWS($A$5:A694)-COUNTA('Raw Decommissioning'!$B$2:$B$1000))))</x:f>
      </x:c>
      <x:c r="K694" s="172" t="str">
        <x:f>IF(A694="","",IFERROR(LOOKUP(2,1/('Assignment History'!$B$5:$B$204=A694),'Assignment History'!$D$5:$D$204),IFERROR(VLOOKUP(J694,Configuration!$L$5:$M$50,2,FALSE),J694)))</x:f>
      </x:c>
      <x:c r="L694" s="172" t="str">
        <x:f>IF(A694="","",IF(K694=IFERROR(VLOOKUP(J694,Configuration!$L$5:$M$50,2,FALSE),J694),"Snapshot PIC","Replacement PIC"))</x:f>
      </x:c>
      <x:c r="M694" s="172" t="str">
        <x:f>IF(A694="","",IFERROR(VLOOKUP(I694,Configuration!$O$5:$P$8,2,FALSE),Configuration!$S$6))</x:f>
      </x:c>
      <x:c r="N694" s="172" t="str">
        <x:f>IF(A694="","",IFERROR(LOOKUP(2,1/('Scope Review'!$B$5:$B$204=A694),'Scope Review'!$G$5:$G$204),"Not Reviewed"))</x:f>
      </x:c>
      <x:c r="O694" s="172" t="str">
        <x:f>IF(A694="","",IFERROR(LOOKUP(2,1/('Scope Review'!$B$5:$B$204=A694),'Scope Review'!$H$5:$H$204),""))</x:f>
      </x:c>
      <x:c r="P694" s="172" t="str">
        <x:f>IF(A694="","",IF(AND(C694="executing",N694&lt;&gt;"Confirmed OOS"),M694,0))</x:f>
      </x:c>
      <x:c r="Q694" s="173" t="str">
        <x:f>IF(A694="","",IFERROR(LOOKUP(2,1/('Engineer Updates'!$B$5:$B$704=A694),'Engineer Updates'!$A$5:$A$704),""))</x:f>
      </x:c>
      <x:c r="R694" s="172" t="str">
        <x:f>IF(A694="","",IFERROR(LOOKUP(2,1/('Engineer Updates'!$B$5:$B$704=A694),'Engineer Updates'!$H$5:$H$704),""))</x:f>
      </x:c>
      <x:c r="S694" s="172" t="str">
        <x:f>IF(A694="","",IFERROR(LOOKUP(2,1/('Engineer Updates'!$B$5:$B$704=A694),'Engineer Updates'!$G$5:$G$704),""))</x:f>
      </x:c>
      <x:c r="T694" s="172" t="str">
        <x:f>IF(A694="","",IFERROR(LOOKUP(2,1/('Engineer Updates'!$B$5:$B$704=A694),'Engineer Updates'!$I$5:$I$704),""))</x:f>
      </x:c>
      <x:c r="U694" s="172" t="str">
        <x:f>IF(A694="","",IFERROR(LOOKUP(2,1/('Engineer Updates'!$B$5:$B$704=A694),'Engineer Updates'!$J$5:$J$704),""))</x:f>
      </x:c>
      <x:c r="V694" s="172" t="str">
        <x:f>IF(A694="","",IFERROR(LOOKUP(2,1/('Engineer Updates'!$B$5:$B$704=A694),'Engineer Updates'!$K$5:$K$704),""))</x:f>
      </x:c>
      <x:c r="W694" s="174" t="str">
        <x:f>IF(A694="","",IFERROR(LOOKUP(2,1/('Engineer Updates'!$B$5:$B$704=A694),'Engineer Updates'!$L$5:$L$704),""))</x:f>
      </x:c>
      <x:c r="X694" s="170" t="str">
        <x:f>IF(A694="","",IF(C694="completed","Completed in CSSP",IF(AND(C694="executing",ISERROR(SEARCH("@",K694))),"Executing without named engineer",IF(AND(N694="Confirmed OOS",C694="executing"),"Confirmed OOS still executing",""))))</x:f>
      </x:c>
      <x:c r="Y694" s="170" t="str">
        <x:f>IF(A694="","",IF(B694="Decommissioning","Raw Decommissioning","Raw Provisioning"))</x:f>
      </x:c>
      <x:c r="Z694" s="170" t="str">
        <x:f>IF(A694="","",IF(OR(C694="executing",C694="processing"),"Yes","No"))</x:f>
      </x:c>
    </x:row>
    <x:row r="695">
      <x:c r="A695" s="170" t="str">
        <x:f>IF(ROWS($A$5:A695)&lt;=COUNTA('Raw Decommissioning'!$B$2:$B$1000),INDEX('Raw Decommissioning'!$B$2:$B$1000,ROWS($A$5:A695)),IF(ROWS($A$5:A695)-COUNTA('Raw Decommissioning'!$B$2:$B$1000)&lt;=COUNTA('Raw Provisioning'!$B$2:$B$1000),INDEX('Raw Provisioning'!$B$2:$B$1000,ROWS($A$5:A695)-COUNTA('Raw Decommissioning'!$B$2:$B$1000)),""))</x:f>
      </x:c>
      <x:c r="B695" s="170" t="str">
        <x:f>IF(A695="","",IF(ROWS($A$5:A695)&lt;=COUNTA('Raw Decommissioning'!$B$2:$B$1000),"Decommissioning","Provisioning"))</x:f>
      </x:c>
      <x:c r="C695" s="170" t="str">
        <x:f>IF(A695="","",IF(B695="Decommissioning",IFERROR(INDEX('Raw Decommissioning'!$E$2:$E$1000,MATCH(A695,'Raw Decommissioning'!$B$2:$B$1000,0)),"Missing from latest raw"),IFERROR(INDEX('Raw Provisioning'!$E$2:$E$1000,MATCH(A695,'Raw Provisioning'!$B$2:$B$1000,0)),"Missing from latest raw")))</x:f>
      </x:c>
      <x:c r="D695" s="171" t="str">
        <x:f>IF(A695="","",'Refresh Control'!$B$4)</x:f>
      </x:c>
      <x:c r="E695" s="171" t="str">
        <x:f>IF(A695="","",IF(B695="Decommissioning",INDEX('Raw Decommissioning'!$F$2:$F$1000,ROWS($A$5:A695)),INDEX('Raw Provisioning'!$F$2:$F$1000,ROWS($A$5:A695)-COUNTA('Raw Decommissioning'!$B$2:$B$1000))))</x:f>
      </x:c>
      <x:c r="F695" s="171" t="str">
        <x:f>IF(A695="","",IF(B695="Decommissioning",INDEX('Raw Decommissioning'!$G$2:$G$1000,ROWS($A$5:A695)),INDEX('Raw Provisioning'!$H$2:$H$1000,ROWS($A$5:A695)-COUNTA('Raw Decommissioning'!$B$2:$B$1000))))</x:f>
      </x:c>
      <x:c r="G695" s="170" t="str">
        <x:f>IF(A695="","",IF(B695="Decommissioning",INDEX('Raw Decommissioning'!$I$2:$I$1000,ROWS($A$5:A695)),INDEX('Raw Provisioning'!$J$2:$J$1000,ROWS($A$5:A695)-COUNTA('Raw Decommissioning'!$B$2:$B$1000))))</x:f>
      </x:c>
      <x:c r="H695" s="170" t="str">
        <x:f>IF(A695="","",IF(B695="Decommissioning",INDEX('Raw Decommissioning'!$J$2:$J$1000,ROWS($A$5:A695)),INDEX('Raw Provisioning'!$L$2:$L$1000,ROWS($A$5:A695)-COUNTA('Raw Decommissioning'!$B$2:$B$1000))))</x:f>
      </x:c>
      <x:c r="I695" s="170" t="str">
        <x:f>IF(A695="","",IF(B695="Decommissioning",INDEX('Raw Decommissioning'!$AL$2:$AL$1000,ROWS($A$5:A695)),INDEX('Raw Provisioning'!$R$2:$R$1000,ROWS($A$5:A695)-COUNTA('Raw Decommissioning'!$B$2:$B$1000))))</x:f>
      </x:c>
      <x:c r="J695" s="170" t="str">
        <x:f>IF(A695="","",IF(B695="Decommissioning",INDEX('Raw Decommissioning'!$AG$2:$AG$1000,ROWS($A$5:A695)),INDEX('Raw Provisioning'!$AI$2:$AI$1000,ROWS($A$5:A695)-COUNTA('Raw Decommissioning'!$B$2:$B$1000))))</x:f>
      </x:c>
      <x:c r="K695" s="172" t="str">
        <x:f>IF(A695="","",IFERROR(LOOKUP(2,1/('Assignment History'!$B$5:$B$204=A695),'Assignment History'!$D$5:$D$204),IFERROR(VLOOKUP(J695,Configuration!$L$5:$M$50,2,FALSE),J695)))</x:f>
      </x:c>
      <x:c r="L695" s="172" t="str">
        <x:f>IF(A695="","",IF(K695=IFERROR(VLOOKUP(J695,Configuration!$L$5:$M$50,2,FALSE),J695),"Snapshot PIC","Replacement PIC"))</x:f>
      </x:c>
      <x:c r="M695" s="172" t="str">
        <x:f>IF(A695="","",IFERROR(VLOOKUP(I695,Configuration!$O$5:$P$8,2,FALSE),Configuration!$S$6))</x:f>
      </x:c>
      <x:c r="N695" s="172" t="str">
        <x:f>IF(A695="","",IFERROR(LOOKUP(2,1/('Scope Review'!$B$5:$B$204=A695),'Scope Review'!$G$5:$G$204),"Not Reviewed"))</x:f>
      </x:c>
      <x:c r="O695" s="172" t="str">
        <x:f>IF(A695="","",IFERROR(LOOKUP(2,1/('Scope Review'!$B$5:$B$204=A695),'Scope Review'!$H$5:$H$204),""))</x:f>
      </x:c>
      <x:c r="P695" s="172" t="str">
        <x:f>IF(A695="","",IF(AND(C695="executing",N695&lt;&gt;"Confirmed OOS"),M695,0))</x:f>
      </x:c>
      <x:c r="Q695" s="173" t="str">
        <x:f>IF(A695="","",IFERROR(LOOKUP(2,1/('Engineer Updates'!$B$5:$B$704=A695),'Engineer Updates'!$A$5:$A$704),""))</x:f>
      </x:c>
      <x:c r="R695" s="172" t="str">
        <x:f>IF(A695="","",IFERROR(LOOKUP(2,1/('Engineer Updates'!$B$5:$B$704=A695),'Engineer Updates'!$H$5:$H$704),""))</x:f>
      </x:c>
      <x:c r="S695" s="172" t="str">
        <x:f>IF(A695="","",IFERROR(LOOKUP(2,1/('Engineer Updates'!$B$5:$B$704=A695),'Engineer Updates'!$G$5:$G$704),""))</x:f>
      </x:c>
      <x:c r="T695" s="172" t="str">
        <x:f>IF(A695="","",IFERROR(LOOKUP(2,1/('Engineer Updates'!$B$5:$B$704=A695),'Engineer Updates'!$I$5:$I$704),""))</x:f>
      </x:c>
      <x:c r="U695" s="172" t="str">
        <x:f>IF(A695="","",IFERROR(LOOKUP(2,1/('Engineer Updates'!$B$5:$B$704=A695),'Engineer Updates'!$J$5:$J$704),""))</x:f>
      </x:c>
      <x:c r="V695" s="172" t="str">
        <x:f>IF(A695="","",IFERROR(LOOKUP(2,1/('Engineer Updates'!$B$5:$B$704=A695),'Engineer Updates'!$K$5:$K$704),""))</x:f>
      </x:c>
      <x:c r="W695" s="174" t="str">
        <x:f>IF(A695="","",IFERROR(LOOKUP(2,1/('Engineer Updates'!$B$5:$B$704=A695),'Engineer Updates'!$L$5:$L$704),""))</x:f>
      </x:c>
      <x:c r="X695" s="170" t="str">
        <x:f>IF(A695="","",IF(C695="completed","Completed in CSSP",IF(AND(C695="executing",ISERROR(SEARCH("@",K695))),"Executing without named engineer",IF(AND(N695="Confirmed OOS",C695="executing"),"Confirmed OOS still executing",""))))</x:f>
      </x:c>
      <x:c r="Y695" s="170" t="str">
        <x:f>IF(A695="","",IF(B695="Decommissioning","Raw Decommissioning","Raw Provisioning"))</x:f>
      </x:c>
      <x:c r="Z695" s="170" t="str">
        <x:f>IF(A695="","",IF(OR(C695="executing",C695="processing"),"Yes","No"))</x:f>
      </x:c>
    </x:row>
    <x:row r="696">
      <x:c r="A696" s="170" t="str">
        <x:f>IF(ROWS($A$5:A696)&lt;=COUNTA('Raw Decommissioning'!$B$2:$B$1000),INDEX('Raw Decommissioning'!$B$2:$B$1000,ROWS($A$5:A696)),IF(ROWS($A$5:A696)-COUNTA('Raw Decommissioning'!$B$2:$B$1000)&lt;=COUNTA('Raw Provisioning'!$B$2:$B$1000),INDEX('Raw Provisioning'!$B$2:$B$1000,ROWS($A$5:A696)-COUNTA('Raw Decommissioning'!$B$2:$B$1000)),""))</x:f>
      </x:c>
      <x:c r="B696" s="170" t="str">
        <x:f>IF(A696="","",IF(ROWS($A$5:A696)&lt;=COUNTA('Raw Decommissioning'!$B$2:$B$1000),"Decommissioning","Provisioning"))</x:f>
      </x:c>
      <x:c r="C696" s="170" t="str">
        <x:f>IF(A696="","",IF(B696="Decommissioning",IFERROR(INDEX('Raw Decommissioning'!$E$2:$E$1000,MATCH(A696,'Raw Decommissioning'!$B$2:$B$1000,0)),"Missing from latest raw"),IFERROR(INDEX('Raw Provisioning'!$E$2:$E$1000,MATCH(A696,'Raw Provisioning'!$B$2:$B$1000,0)),"Missing from latest raw")))</x:f>
      </x:c>
      <x:c r="D696" s="171" t="str">
        <x:f>IF(A696="","",'Refresh Control'!$B$4)</x:f>
      </x:c>
      <x:c r="E696" s="171" t="str">
        <x:f>IF(A696="","",IF(B696="Decommissioning",INDEX('Raw Decommissioning'!$F$2:$F$1000,ROWS($A$5:A696)),INDEX('Raw Provisioning'!$F$2:$F$1000,ROWS($A$5:A696)-COUNTA('Raw Decommissioning'!$B$2:$B$1000))))</x:f>
      </x:c>
      <x:c r="F696" s="171" t="str">
        <x:f>IF(A696="","",IF(B696="Decommissioning",INDEX('Raw Decommissioning'!$G$2:$G$1000,ROWS($A$5:A696)),INDEX('Raw Provisioning'!$H$2:$H$1000,ROWS($A$5:A696)-COUNTA('Raw Decommissioning'!$B$2:$B$1000))))</x:f>
      </x:c>
      <x:c r="G696" s="170" t="str">
        <x:f>IF(A696="","",IF(B696="Decommissioning",INDEX('Raw Decommissioning'!$I$2:$I$1000,ROWS($A$5:A696)),INDEX('Raw Provisioning'!$J$2:$J$1000,ROWS($A$5:A696)-COUNTA('Raw Decommissioning'!$B$2:$B$1000))))</x:f>
      </x:c>
      <x:c r="H696" s="170" t="str">
        <x:f>IF(A696="","",IF(B696="Decommissioning",INDEX('Raw Decommissioning'!$J$2:$J$1000,ROWS($A$5:A696)),INDEX('Raw Provisioning'!$L$2:$L$1000,ROWS($A$5:A696)-COUNTA('Raw Decommissioning'!$B$2:$B$1000))))</x:f>
      </x:c>
      <x:c r="I696" s="170" t="str">
        <x:f>IF(A696="","",IF(B696="Decommissioning",INDEX('Raw Decommissioning'!$AL$2:$AL$1000,ROWS($A$5:A696)),INDEX('Raw Provisioning'!$R$2:$R$1000,ROWS($A$5:A696)-COUNTA('Raw Decommissioning'!$B$2:$B$1000))))</x:f>
      </x:c>
      <x:c r="J696" s="170" t="str">
        <x:f>IF(A696="","",IF(B696="Decommissioning",INDEX('Raw Decommissioning'!$AG$2:$AG$1000,ROWS($A$5:A696)),INDEX('Raw Provisioning'!$AI$2:$AI$1000,ROWS($A$5:A696)-COUNTA('Raw Decommissioning'!$B$2:$B$1000))))</x:f>
      </x:c>
      <x:c r="K696" s="172" t="str">
        <x:f>IF(A696="","",IFERROR(LOOKUP(2,1/('Assignment History'!$B$5:$B$204=A696),'Assignment History'!$D$5:$D$204),IFERROR(VLOOKUP(J696,Configuration!$L$5:$M$50,2,FALSE),J696)))</x:f>
      </x:c>
      <x:c r="L696" s="172" t="str">
        <x:f>IF(A696="","",IF(K696=IFERROR(VLOOKUP(J696,Configuration!$L$5:$M$50,2,FALSE),J696),"Snapshot PIC","Replacement PIC"))</x:f>
      </x:c>
      <x:c r="M696" s="172" t="str">
        <x:f>IF(A696="","",IFERROR(VLOOKUP(I696,Configuration!$O$5:$P$8,2,FALSE),Configuration!$S$6))</x:f>
      </x:c>
      <x:c r="N696" s="172" t="str">
        <x:f>IF(A696="","",IFERROR(LOOKUP(2,1/('Scope Review'!$B$5:$B$204=A696),'Scope Review'!$G$5:$G$204),"Not Reviewed"))</x:f>
      </x:c>
      <x:c r="O696" s="172" t="str">
        <x:f>IF(A696="","",IFERROR(LOOKUP(2,1/('Scope Review'!$B$5:$B$204=A696),'Scope Review'!$H$5:$H$204),""))</x:f>
      </x:c>
      <x:c r="P696" s="172" t="str">
        <x:f>IF(A696="","",IF(AND(C696="executing",N696&lt;&gt;"Confirmed OOS"),M696,0))</x:f>
      </x:c>
      <x:c r="Q696" s="173" t="str">
        <x:f>IF(A696="","",IFERROR(LOOKUP(2,1/('Engineer Updates'!$B$5:$B$704=A696),'Engineer Updates'!$A$5:$A$704),""))</x:f>
      </x:c>
      <x:c r="R696" s="172" t="str">
        <x:f>IF(A696="","",IFERROR(LOOKUP(2,1/('Engineer Updates'!$B$5:$B$704=A696),'Engineer Updates'!$H$5:$H$704),""))</x:f>
      </x:c>
      <x:c r="S696" s="172" t="str">
        <x:f>IF(A696="","",IFERROR(LOOKUP(2,1/('Engineer Updates'!$B$5:$B$704=A696),'Engineer Updates'!$G$5:$G$704),""))</x:f>
      </x:c>
      <x:c r="T696" s="172" t="str">
        <x:f>IF(A696="","",IFERROR(LOOKUP(2,1/('Engineer Updates'!$B$5:$B$704=A696),'Engineer Updates'!$I$5:$I$704),""))</x:f>
      </x:c>
      <x:c r="U696" s="172" t="str">
        <x:f>IF(A696="","",IFERROR(LOOKUP(2,1/('Engineer Updates'!$B$5:$B$704=A696),'Engineer Updates'!$J$5:$J$704),""))</x:f>
      </x:c>
      <x:c r="V696" s="172" t="str">
        <x:f>IF(A696="","",IFERROR(LOOKUP(2,1/('Engineer Updates'!$B$5:$B$704=A696),'Engineer Updates'!$K$5:$K$704),""))</x:f>
      </x:c>
      <x:c r="W696" s="174" t="str">
        <x:f>IF(A696="","",IFERROR(LOOKUP(2,1/('Engineer Updates'!$B$5:$B$704=A696),'Engineer Updates'!$L$5:$L$704),""))</x:f>
      </x:c>
      <x:c r="X696" s="170" t="str">
        <x:f>IF(A696="","",IF(C696="completed","Completed in CSSP",IF(AND(C696="executing",ISERROR(SEARCH("@",K696))),"Executing without named engineer",IF(AND(N696="Confirmed OOS",C696="executing"),"Confirmed OOS still executing",""))))</x:f>
      </x:c>
      <x:c r="Y696" s="170" t="str">
        <x:f>IF(A696="","",IF(B696="Decommissioning","Raw Decommissioning","Raw Provisioning"))</x:f>
      </x:c>
      <x:c r="Z696" s="170" t="str">
        <x:f>IF(A696="","",IF(OR(C696="executing",C696="processing"),"Yes","No"))</x:f>
      </x:c>
    </x:row>
    <x:row r="697">
      <x:c r="A697" s="170" t="str">
        <x:f>IF(ROWS($A$5:A697)&lt;=COUNTA('Raw Decommissioning'!$B$2:$B$1000),INDEX('Raw Decommissioning'!$B$2:$B$1000,ROWS($A$5:A697)),IF(ROWS($A$5:A697)-COUNTA('Raw Decommissioning'!$B$2:$B$1000)&lt;=COUNTA('Raw Provisioning'!$B$2:$B$1000),INDEX('Raw Provisioning'!$B$2:$B$1000,ROWS($A$5:A697)-COUNTA('Raw Decommissioning'!$B$2:$B$1000)),""))</x:f>
      </x:c>
      <x:c r="B697" s="170" t="str">
        <x:f>IF(A697="","",IF(ROWS($A$5:A697)&lt;=COUNTA('Raw Decommissioning'!$B$2:$B$1000),"Decommissioning","Provisioning"))</x:f>
      </x:c>
      <x:c r="C697" s="170" t="str">
        <x:f>IF(A697="","",IF(B697="Decommissioning",IFERROR(INDEX('Raw Decommissioning'!$E$2:$E$1000,MATCH(A697,'Raw Decommissioning'!$B$2:$B$1000,0)),"Missing from latest raw"),IFERROR(INDEX('Raw Provisioning'!$E$2:$E$1000,MATCH(A697,'Raw Provisioning'!$B$2:$B$1000,0)),"Missing from latest raw")))</x:f>
      </x:c>
      <x:c r="D697" s="171" t="str">
        <x:f>IF(A697="","",'Refresh Control'!$B$4)</x:f>
      </x:c>
      <x:c r="E697" s="171" t="str">
        <x:f>IF(A697="","",IF(B697="Decommissioning",INDEX('Raw Decommissioning'!$F$2:$F$1000,ROWS($A$5:A697)),INDEX('Raw Provisioning'!$F$2:$F$1000,ROWS($A$5:A697)-COUNTA('Raw Decommissioning'!$B$2:$B$1000))))</x:f>
      </x:c>
      <x:c r="F697" s="171" t="str">
        <x:f>IF(A697="","",IF(B697="Decommissioning",INDEX('Raw Decommissioning'!$G$2:$G$1000,ROWS($A$5:A697)),INDEX('Raw Provisioning'!$H$2:$H$1000,ROWS($A$5:A697)-COUNTA('Raw Decommissioning'!$B$2:$B$1000))))</x:f>
      </x:c>
      <x:c r="G697" s="170" t="str">
        <x:f>IF(A697="","",IF(B697="Decommissioning",INDEX('Raw Decommissioning'!$I$2:$I$1000,ROWS($A$5:A697)),INDEX('Raw Provisioning'!$J$2:$J$1000,ROWS($A$5:A697)-COUNTA('Raw Decommissioning'!$B$2:$B$1000))))</x:f>
      </x:c>
      <x:c r="H697" s="170" t="str">
        <x:f>IF(A697="","",IF(B697="Decommissioning",INDEX('Raw Decommissioning'!$J$2:$J$1000,ROWS($A$5:A697)),INDEX('Raw Provisioning'!$L$2:$L$1000,ROWS($A$5:A697)-COUNTA('Raw Decommissioning'!$B$2:$B$1000))))</x:f>
      </x:c>
      <x:c r="I697" s="170" t="str">
        <x:f>IF(A697="","",IF(B697="Decommissioning",INDEX('Raw Decommissioning'!$AL$2:$AL$1000,ROWS($A$5:A697)),INDEX('Raw Provisioning'!$R$2:$R$1000,ROWS($A$5:A697)-COUNTA('Raw Decommissioning'!$B$2:$B$1000))))</x:f>
      </x:c>
      <x:c r="J697" s="170" t="str">
        <x:f>IF(A697="","",IF(B697="Decommissioning",INDEX('Raw Decommissioning'!$AG$2:$AG$1000,ROWS($A$5:A697)),INDEX('Raw Provisioning'!$AI$2:$AI$1000,ROWS($A$5:A697)-COUNTA('Raw Decommissioning'!$B$2:$B$1000))))</x:f>
      </x:c>
      <x:c r="K697" s="172" t="str">
        <x:f>IF(A697="","",IFERROR(LOOKUP(2,1/('Assignment History'!$B$5:$B$204=A697),'Assignment History'!$D$5:$D$204),IFERROR(VLOOKUP(J697,Configuration!$L$5:$M$50,2,FALSE),J697)))</x:f>
      </x:c>
      <x:c r="L697" s="172" t="str">
        <x:f>IF(A697="","",IF(K697=IFERROR(VLOOKUP(J697,Configuration!$L$5:$M$50,2,FALSE),J697),"Snapshot PIC","Replacement PIC"))</x:f>
      </x:c>
      <x:c r="M697" s="172" t="str">
        <x:f>IF(A697="","",IFERROR(VLOOKUP(I697,Configuration!$O$5:$P$8,2,FALSE),Configuration!$S$6))</x:f>
      </x:c>
      <x:c r="N697" s="172" t="str">
        <x:f>IF(A697="","",IFERROR(LOOKUP(2,1/('Scope Review'!$B$5:$B$204=A697),'Scope Review'!$G$5:$G$204),"Not Reviewed"))</x:f>
      </x:c>
      <x:c r="O697" s="172" t="str">
        <x:f>IF(A697="","",IFERROR(LOOKUP(2,1/('Scope Review'!$B$5:$B$204=A697),'Scope Review'!$H$5:$H$204),""))</x:f>
      </x:c>
      <x:c r="P697" s="172" t="str">
        <x:f>IF(A697="","",IF(AND(C697="executing",N697&lt;&gt;"Confirmed OOS"),M697,0))</x:f>
      </x:c>
      <x:c r="Q697" s="173" t="str">
        <x:f>IF(A697="","",IFERROR(LOOKUP(2,1/('Engineer Updates'!$B$5:$B$704=A697),'Engineer Updates'!$A$5:$A$704),""))</x:f>
      </x:c>
      <x:c r="R697" s="172" t="str">
        <x:f>IF(A697="","",IFERROR(LOOKUP(2,1/('Engineer Updates'!$B$5:$B$704=A697),'Engineer Updates'!$H$5:$H$704),""))</x:f>
      </x:c>
      <x:c r="S697" s="172" t="str">
        <x:f>IF(A697="","",IFERROR(LOOKUP(2,1/('Engineer Updates'!$B$5:$B$704=A697),'Engineer Updates'!$G$5:$G$704),""))</x:f>
      </x:c>
      <x:c r="T697" s="172" t="str">
        <x:f>IF(A697="","",IFERROR(LOOKUP(2,1/('Engineer Updates'!$B$5:$B$704=A697),'Engineer Updates'!$I$5:$I$704),""))</x:f>
      </x:c>
      <x:c r="U697" s="172" t="str">
        <x:f>IF(A697="","",IFERROR(LOOKUP(2,1/('Engineer Updates'!$B$5:$B$704=A697),'Engineer Updates'!$J$5:$J$704),""))</x:f>
      </x:c>
      <x:c r="V697" s="172" t="str">
        <x:f>IF(A697="","",IFERROR(LOOKUP(2,1/('Engineer Updates'!$B$5:$B$704=A697),'Engineer Updates'!$K$5:$K$704),""))</x:f>
      </x:c>
      <x:c r="W697" s="174" t="str">
        <x:f>IF(A697="","",IFERROR(LOOKUP(2,1/('Engineer Updates'!$B$5:$B$704=A697),'Engineer Updates'!$L$5:$L$704),""))</x:f>
      </x:c>
      <x:c r="X697" s="170" t="str">
        <x:f>IF(A697="","",IF(C697="completed","Completed in CSSP",IF(AND(C697="executing",ISERROR(SEARCH("@",K697))),"Executing without named engineer",IF(AND(N697="Confirmed OOS",C697="executing"),"Confirmed OOS still executing",""))))</x:f>
      </x:c>
      <x:c r="Y697" s="170" t="str">
        <x:f>IF(A697="","",IF(B697="Decommissioning","Raw Decommissioning","Raw Provisioning"))</x:f>
      </x:c>
      <x:c r="Z697" s="170" t="str">
        <x:f>IF(A697="","",IF(OR(C697="executing",C697="processing"),"Yes","No"))</x:f>
      </x:c>
    </x:row>
    <x:row r="698">
      <x:c r="A698" s="170" t="str">
        <x:f>IF(ROWS($A$5:A698)&lt;=COUNTA('Raw Decommissioning'!$B$2:$B$1000),INDEX('Raw Decommissioning'!$B$2:$B$1000,ROWS($A$5:A698)),IF(ROWS($A$5:A698)-COUNTA('Raw Decommissioning'!$B$2:$B$1000)&lt;=COUNTA('Raw Provisioning'!$B$2:$B$1000),INDEX('Raw Provisioning'!$B$2:$B$1000,ROWS($A$5:A698)-COUNTA('Raw Decommissioning'!$B$2:$B$1000)),""))</x:f>
      </x:c>
      <x:c r="B698" s="170" t="str">
        <x:f>IF(A698="","",IF(ROWS($A$5:A698)&lt;=COUNTA('Raw Decommissioning'!$B$2:$B$1000),"Decommissioning","Provisioning"))</x:f>
      </x:c>
      <x:c r="C698" s="170" t="str">
        <x:f>IF(A698="","",IF(B698="Decommissioning",IFERROR(INDEX('Raw Decommissioning'!$E$2:$E$1000,MATCH(A698,'Raw Decommissioning'!$B$2:$B$1000,0)),"Missing from latest raw"),IFERROR(INDEX('Raw Provisioning'!$E$2:$E$1000,MATCH(A698,'Raw Provisioning'!$B$2:$B$1000,0)),"Missing from latest raw")))</x:f>
      </x:c>
      <x:c r="D698" s="171" t="str">
        <x:f>IF(A698="","",'Refresh Control'!$B$4)</x:f>
      </x:c>
      <x:c r="E698" s="171" t="str">
        <x:f>IF(A698="","",IF(B698="Decommissioning",INDEX('Raw Decommissioning'!$F$2:$F$1000,ROWS($A$5:A698)),INDEX('Raw Provisioning'!$F$2:$F$1000,ROWS($A$5:A698)-COUNTA('Raw Decommissioning'!$B$2:$B$1000))))</x:f>
      </x:c>
      <x:c r="F698" s="171" t="str">
        <x:f>IF(A698="","",IF(B698="Decommissioning",INDEX('Raw Decommissioning'!$G$2:$G$1000,ROWS($A$5:A698)),INDEX('Raw Provisioning'!$H$2:$H$1000,ROWS($A$5:A698)-COUNTA('Raw Decommissioning'!$B$2:$B$1000))))</x:f>
      </x:c>
      <x:c r="G698" s="170" t="str">
        <x:f>IF(A698="","",IF(B698="Decommissioning",INDEX('Raw Decommissioning'!$I$2:$I$1000,ROWS($A$5:A698)),INDEX('Raw Provisioning'!$J$2:$J$1000,ROWS($A$5:A698)-COUNTA('Raw Decommissioning'!$B$2:$B$1000))))</x:f>
      </x:c>
      <x:c r="H698" s="170" t="str">
        <x:f>IF(A698="","",IF(B698="Decommissioning",INDEX('Raw Decommissioning'!$J$2:$J$1000,ROWS($A$5:A698)),INDEX('Raw Provisioning'!$L$2:$L$1000,ROWS($A$5:A698)-COUNTA('Raw Decommissioning'!$B$2:$B$1000))))</x:f>
      </x:c>
      <x:c r="I698" s="170" t="str">
        <x:f>IF(A698="","",IF(B698="Decommissioning",INDEX('Raw Decommissioning'!$AL$2:$AL$1000,ROWS($A$5:A698)),INDEX('Raw Provisioning'!$R$2:$R$1000,ROWS($A$5:A698)-COUNTA('Raw Decommissioning'!$B$2:$B$1000))))</x:f>
      </x:c>
      <x:c r="J698" s="170" t="str">
        <x:f>IF(A698="","",IF(B698="Decommissioning",INDEX('Raw Decommissioning'!$AG$2:$AG$1000,ROWS($A$5:A698)),INDEX('Raw Provisioning'!$AI$2:$AI$1000,ROWS($A$5:A698)-COUNTA('Raw Decommissioning'!$B$2:$B$1000))))</x:f>
      </x:c>
      <x:c r="K698" s="172" t="str">
        <x:f>IF(A698="","",IFERROR(LOOKUP(2,1/('Assignment History'!$B$5:$B$204=A698),'Assignment History'!$D$5:$D$204),IFERROR(VLOOKUP(J698,Configuration!$L$5:$M$50,2,FALSE),J698)))</x:f>
      </x:c>
      <x:c r="L698" s="172" t="str">
        <x:f>IF(A698="","",IF(K698=IFERROR(VLOOKUP(J698,Configuration!$L$5:$M$50,2,FALSE),J698),"Snapshot PIC","Replacement PIC"))</x:f>
      </x:c>
      <x:c r="M698" s="172" t="str">
        <x:f>IF(A698="","",IFERROR(VLOOKUP(I698,Configuration!$O$5:$P$8,2,FALSE),Configuration!$S$6))</x:f>
      </x:c>
      <x:c r="N698" s="172" t="str">
        <x:f>IF(A698="","",IFERROR(LOOKUP(2,1/('Scope Review'!$B$5:$B$204=A698),'Scope Review'!$G$5:$G$204),"Not Reviewed"))</x:f>
      </x:c>
      <x:c r="O698" s="172" t="str">
        <x:f>IF(A698="","",IFERROR(LOOKUP(2,1/('Scope Review'!$B$5:$B$204=A698),'Scope Review'!$H$5:$H$204),""))</x:f>
      </x:c>
      <x:c r="P698" s="172" t="str">
        <x:f>IF(A698="","",IF(AND(C698="executing",N698&lt;&gt;"Confirmed OOS"),M698,0))</x:f>
      </x:c>
      <x:c r="Q698" s="173" t="str">
        <x:f>IF(A698="","",IFERROR(LOOKUP(2,1/('Engineer Updates'!$B$5:$B$704=A698),'Engineer Updates'!$A$5:$A$704),""))</x:f>
      </x:c>
      <x:c r="R698" s="172" t="str">
        <x:f>IF(A698="","",IFERROR(LOOKUP(2,1/('Engineer Updates'!$B$5:$B$704=A698),'Engineer Updates'!$H$5:$H$704),""))</x:f>
      </x:c>
      <x:c r="S698" s="172" t="str">
        <x:f>IF(A698="","",IFERROR(LOOKUP(2,1/('Engineer Updates'!$B$5:$B$704=A698),'Engineer Updates'!$G$5:$G$704),""))</x:f>
      </x:c>
      <x:c r="T698" s="172" t="str">
        <x:f>IF(A698="","",IFERROR(LOOKUP(2,1/('Engineer Updates'!$B$5:$B$704=A698),'Engineer Updates'!$I$5:$I$704),""))</x:f>
      </x:c>
      <x:c r="U698" s="172" t="str">
        <x:f>IF(A698="","",IFERROR(LOOKUP(2,1/('Engineer Updates'!$B$5:$B$704=A698),'Engineer Updates'!$J$5:$J$704),""))</x:f>
      </x:c>
      <x:c r="V698" s="172" t="str">
        <x:f>IF(A698="","",IFERROR(LOOKUP(2,1/('Engineer Updates'!$B$5:$B$704=A698),'Engineer Updates'!$K$5:$K$704),""))</x:f>
      </x:c>
      <x:c r="W698" s="174" t="str">
        <x:f>IF(A698="","",IFERROR(LOOKUP(2,1/('Engineer Updates'!$B$5:$B$704=A698),'Engineer Updates'!$L$5:$L$704),""))</x:f>
      </x:c>
      <x:c r="X698" s="170" t="str">
        <x:f>IF(A698="","",IF(C698="completed","Completed in CSSP",IF(AND(C698="executing",ISERROR(SEARCH("@",K698))),"Executing without named engineer",IF(AND(N698="Confirmed OOS",C698="executing"),"Confirmed OOS still executing",""))))</x:f>
      </x:c>
      <x:c r="Y698" s="170" t="str">
        <x:f>IF(A698="","",IF(B698="Decommissioning","Raw Decommissioning","Raw Provisioning"))</x:f>
      </x:c>
      <x:c r="Z698" s="170" t="str">
        <x:f>IF(A698="","",IF(OR(C698="executing",C698="processing"),"Yes","No"))</x:f>
      </x:c>
    </x:row>
    <x:row r="699">
      <x:c r="A699" s="170" t="str">
        <x:f>IF(ROWS($A$5:A699)&lt;=COUNTA('Raw Decommissioning'!$B$2:$B$1000),INDEX('Raw Decommissioning'!$B$2:$B$1000,ROWS($A$5:A699)),IF(ROWS($A$5:A699)-COUNTA('Raw Decommissioning'!$B$2:$B$1000)&lt;=COUNTA('Raw Provisioning'!$B$2:$B$1000),INDEX('Raw Provisioning'!$B$2:$B$1000,ROWS($A$5:A699)-COUNTA('Raw Decommissioning'!$B$2:$B$1000)),""))</x:f>
      </x:c>
      <x:c r="B699" s="170" t="str">
        <x:f>IF(A699="","",IF(ROWS($A$5:A699)&lt;=COUNTA('Raw Decommissioning'!$B$2:$B$1000),"Decommissioning","Provisioning"))</x:f>
      </x:c>
      <x:c r="C699" s="170" t="str">
        <x:f>IF(A699="","",IF(B699="Decommissioning",IFERROR(INDEX('Raw Decommissioning'!$E$2:$E$1000,MATCH(A699,'Raw Decommissioning'!$B$2:$B$1000,0)),"Missing from latest raw"),IFERROR(INDEX('Raw Provisioning'!$E$2:$E$1000,MATCH(A699,'Raw Provisioning'!$B$2:$B$1000,0)),"Missing from latest raw")))</x:f>
      </x:c>
      <x:c r="D699" s="171" t="str">
        <x:f>IF(A699="","",'Refresh Control'!$B$4)</x:f>
      </x:c>
      <x:c r="E699" s="171" t="str">
        <x:f>IF(A699="","",IF(B699="Decommissioning",INDEX('Raw Decommissioning'!$F$2:$F$1000,ROWS($A$5:A699)),INDEX('Raw Provisioning'!$F$2:$F$1000,ROWS($A$5:A699)-COUNTA('Raw Decommissioning'!$B$2:$B$1000))))</x:f>
      </x:c>
      <x:c r="F699" s="171" t="str">
        <x:f>IF(A699="","",IF(B699="Decommissioning",INDEX('Raw Decommissioning'!$G$2:$G$1000,ROWS($A$5:A699)),INDEX('Raw Provisioning'!$H$2:$H$1000,ROWS($A$5:A699)-COUNTA('Raw Decommissioning'!$B$2:$B$1000))))</x:f>
      </x:c>
      <x:c r="G699" s="170" t="str">
        <x:f>IF(A699="","",IF(B699="Decommissioning",INDEX('Raw Decommissioning'!$I$2:$I$1000,ROWS($A$5:A699)),INDEX('Raw Provisioning'!$J$2:$J$1000,ROWS($A$5:A699)-COUNTA('Raw Decommissioning'!$B$2:$B$1000))))</x:f>
      </x:c>
      <x:c r="H699" s="170" t="str">
        <x:f>IF(A699="","",IF(B699="Decommissioning",INDEX('Raw Decommissioning'!$J$2:$J$1000,ROWS($A$5:A699)),INDEX('Raw Provisioning'!$L$2:$L$1000,ROWS($A$5:A699)-COUNTA('Raw Decommissioning'!$B$2:$B$1000))))</x:f>
      </x:c>
      <x:c r="I699" s="170" t="str">
        <x:f>IF(A699="","",IF(B699="Decommissioning",INDEX('Raw Decommissioning'!$AL$2:$AL$1000,ROWS($A$5:A699)),INDEX('Raw Provisioning'!$R$2:$R$1000,ROWS($A$5:A699)-COUNTA('Raw Decommissioning'!$B$2:$B$1000))))</x:f>
      </x:c>
      <x:c r="J699" s="170" t="str">
        <x:f>IF(A699="","",IF(B699="Decommissioning",INDEX('Raw Decommissioning'!$AG$2:$AG$1000,ROWS($A$5:A699)),INDEX('Raw Provisioning'!$AI$2:$AI$1000,ROWS($A$5:A699)-COUNTA('Raw Decommissioning'!$B$2:$B$1000))))</x:f>
      </x:c>
      <x:c r="K699" s="172" t="str">
        <x:f>IF(A699="","",IFERROR(LOOKUP(2,1/('Assignment History'!$B$5:$B$204=A699),'Assignment History'!$D$5:$D$204),IFERROR(VLOOKUP(J699,Configuration!$L$5:$M$50,2,FALSE),J699)))</x:f>
      </x:c>
      <x:c r="L699" s="172" t="str">
        <x:f>IF(A699="","",IF(K699=IFERROR(VLOOKUP(J699,Configuration!$L$5:$M$50,2,FALSE),J699),"Snapshot PIC","Replacement PIC"))</x:f>
      </x:c>
      <x:c r="M699" s="172" t="str">
        <x:f>IF(A699="","",IFERROR(VLOOKUP(I699,Configuration!$O$5:$P$8,2,FALSE),Configuration!$S$6))</x:f>
      </x:c>
      <x:c r="N699" s="172" t="str">
        <x:f>IF(A699="","",IFERROR(LOOKUP(2,1/('Scope Review'!$B$5:$B$204=A699),'Scope Review'!$G$5:$G$204),"Not Reviewed"))</x:f>
      </x:c>
      <x:c r="O699" s="172" t="str">
        <x:f>IF(A699="","",IFERROR(LOOKUP(2,1/('Scope Review'!$B$5:$B$204=A699),'Scope Review'!$H$5:$H$204),""))</x:f>
      </x:c>
      <x:c r="P699" s="172" t="str">
        <x:f>IF(A699="","",IF(AND(C699="executing",N699&lt;&gt;"Confirmed OOS"),M699,0))</x:f>
      </x:c>
      <x:c r="Q699" s="173" t="str">
        <x:f>IF(A699="","",IFERROR(LOOKUP(2,1/('Engineer Updates'!$B$5:$B$704=A699),'Engineer Updates'!$A$5:$A$704),""))</x:f>
      </x:c>
      <x:c r="R699" s="172" t="str">
        <x:f>IF(A699="","",IFERROR(LOOKUP(2,1/('Engineer Updates'!$B$5:$B$704=A699),'Engineer Updates'!$H$5:$H$704),""))</x:f>
      </x:c>
      <x:c r="S699" s="172" t="str">
        <x:f>IF(A699="","",IFERROR(LOOKUP(2,1/('Engineer Updates'!$B$5:$B$704=A699),'Engineer Updates'!$G$5:$G$704),""))</x:f>
      </x:c>
      <x:c r="T699" s="172" t="str">
        <x:f>IF(A699="","",IFERROR(LOOKUP(2,1/('Engineer Updates'!$B$5:$B$704=A699),'Engineer Updates'!$I$5:$I$704),""))</x:f>
      </x:c>
      <x:c r="U699" s="172" t="str">
        <x:f>IF(A699="","",IFERROR(LOOKUP(2,1/('Engineer Updates'!$B$5:$B$704=A699),'Engineer Updates'!$J$5:$J$704),""))</x:f>
      </x:c>
      <x:c r="V699" s="172" t="str">
        <x:f>IF(A699="","",IFERROR(LOOKUP(2,1/('Engineer Updates'!$B$5:$B$704=A699),'Engineer Updates'!$K$5:$K$704),""))</x:f>
      </x:c>
      <x:c r="W699" s="174" t="str">
        <x:f>IF(A699="","",IFERROR(LOOKUP(2,1/('Engineer Updates'!$B$5:$B$704=A699),'Engineer Updates'!$L$5:$L$704),""))</x:f>
      </x:c>
      <x:c r="X699" s="170" t="str">
        <x:f>IF(A699="","",IF(C699="completed","Completed in CSSP",IF(AND(C699="executing",ISERROR(SEARCH("@",K699))),"Executing without named engineer",IF(AND(N699="Confirmed OOS",C699="executing"),"Confirmed OOS still executing",""))))</x:f>
      </x:c>
      <x:c r="Y699" s="170" t="str">
        <x:f>IF(A699="","",IF(B699="Decommissioning","Raw Decommissioning","Raw Provisioning"))</x:f>
      </x:c>
      <x:c r="Z699" s="170" t="str">
        <x:f>IF(A699="","",IF(OR(C699="executing",C699="processing"),"Yes","No"))</x:f>
      </x:c>
    </x:row>
    <x:row r="700">
      <x:c r="A700" s="170" t="str">
        <x:f>IF(ROWS($A$5:A700)&lt;=COUNTA('Raw Decommissioning'!$B$2:$B$1000),INDEX('Raw Decommissioning'!$B$2:$B$1000,ROWS($A$5:A700)),IF(ROWS($A$5:A700)-COUNTA('Raw Decommissioning'!$B$2:$B$1000)&lt;=COUNTA('Raw Provisioning'!$B$2:$B$1000),INDEX('Raw Provisioning'!$B$2:$B$1000,ROWS($A$5:A700)-COUNTA('Raw Decommissioning'!$B$2:$B$1000)),""))</x:f>
      </x:c>
      <x:c r="B700" s="170" t="str">
        <x:f>IF(A700="","",IF(ROWS($A$5:A700)&lt;=COUNTA('Raw Decommissioning'!$B$2:$B$1000),"Decommissioning","Provisioning"))</x:f>
      </x:c>
      <x:c r="C700" s="170" t="str">
        <x:f>IF(A700="","",IF(B700="Decommissioning",IFERROR(INDEX('Raw Decommissioning'!$E$2:$E$1000,MATCH(A700,'Raw Decommissioning'!$B$2:$B$1000,0)),"Missing from latest raw"),IFERROR(INDEX('Raw Provisioning'!$E$2:$E$1000,MATCH(A700,'Raw Provisioning'!$B$2:$B$1000,0)),"Missing from latest raw")))</x:f>
      </x:c>
      <x:c r="D700" s="171" t="str">
        <x:f>IF(A700="","",'Refresh Control'!$B$4)</x:f>
      </x:c>
      <x:c r="E700" s="171" t="str">
        <x:f>IF(A700="","",IF(B700="Decommissioning",INDEX('Raw Decommissioning'!$F$2:$F$1000,ROWS($A$5:A700)),INDEX('Raw Provisioning'!$F$2:$F$1000,ROWS($A$5:A700)-COUNTA('Raw Decommissioning'!$B$2:$B$1000))))</x:f>
      </x:c>
      <x:c r="F700" s="171" t="str">
        <x:f>IF(A700="","",IF(B700="Decommissioning",INDEX('Raw Decommissioning'!$G$2:$G$1000,ROWS($A$5:A700)),INDEX('Raw Provisioning'!$H$2:$H$1000,ROWS($A$5:A700)-COUNTA('Raw Decommissioning'!$B$2:$B$1000))))</x:f>
      </x:c>
      <x:c r="G700" s="170" t="str">
        <x:f>IF(A700="","",IF(B700="Decommissioning",INDEX('Raw Decommissioning'!$I$2:$I$1000,ROWS($A$5:A700)),INDEX('Raw Provisioning'!$J$2:$J$1000,ROWS($A$5:A700)-COUNTA('Raw Decommissioning'!$B$2:$B$1000))))</x:f>
      </x:c>
      <x:c r="H700" s="170" t="str">
        <x:f>IF(A700="","",IF(B700="Decommissioning",INDEX('Raw Decommissioning'!$J$2:$J$1000,ROWS($A$5:A700)),INDEX('Raw Provisioning'!$L$2:$L$1000,ROWS($A$5:A700)-COUNTA('Raw Decommissioning'!$B$2:$B$1000))))</x:f>
      </x:c>
      <x:c r="I700" s="170" t="str">
        <x:f>IF(A700="","",IF(B700="Decommissioning",INDEX('Raw Decommissioning'!$AL$2:$AL$1000,ROWS($A$5:A700)),INDEX('Raw Provisioning'!$R$2:$R$1000,ROWS($A$5:A700)-COUNTA('Raw Decommissioning'!$B$2:$B$1000))))</x:f>
      </x:c>
      <x:c r="J700" s="170" t="str">
        <x:f>IF(A700="","",IF(B700="Decommissioning",INDEX('Raw Decommissioning'!$AG$2:$AG$1000,ROWS($A$5:A700)),INDEX('Raw Provisioning'!$AI$2:$AI$1000,ROWS($A$5:A700)-COUNTA('Raw Decommissioning'!$B$2:$B$1000))))</x:f>
      </x:c>
      <x:c r="K700" s="172" t="str">
        <x:f>IF(A700="","",IFERROR(LOOKUP(2,1/('Assignment History'!$B$5:$B$204=A700),'Assignment History'!$D$5:$D$204),IFERROR(VLOOKUP(J700,Configuration!$L$5:$M$50,2,FALSE),J700)))</x:f>
      </x:c>
      <x:c r="L700" s="172" t="str">
        <x:f>IF(A700="","",IF(K700=IFERROR(VLOOKUP(J700,Configuration!$L$5:$M$50,2,FALSE),J700),"Snapshot PIC","Replacement PIC"))</x:f>
      </x:c>
      <x:c r="M700" s="172" t="str">
        <x:f>IF(A700="","",IFERROR(VLOOKUP(I700,Configuration!$O$5:$P$8,2,FALSE),Configuration!$S$6))</x:f>
      </x:c>
      <x:c r="N700" s="172" t="str">
        <x:f>IF(A700="","",IFERROR(LOOKUP(2,1/('Scope Review'!$B$5:$B$204=A700),'Scope Review'!$G$5:$G$204),"Not Reviewed"))</x:f>
      </x:c>
      <x:c r="O700" s="172" t="str">
        <x:f>IF(A700="","",IFERROR(LOOKUP(2,1/('Scope Review'!$B$5:$B$204=A700),'Scope Review'!$H$5:$H$204),""))</x:f>
      </x:c>
      <x:c r="P700" s="172" t="str">
        <x:f>IF(A700="","",IF(AND(C700="executing",N700&lt;&gt;"Confirmed OOS"),M700,0))</x:f>
      </x:c>
      <x:c r="Q700" s="173" t="str">
        <x:f>IF(A700="","",IFERROR(LOOKUP(2,1/('Engineer Updates'!$B$5:$B$704=A700),'Engineer Updates'!$A$5:$A$704),""))</x:f>
      </x:c>
      <x:c r="R700" s="172" t="str">
        <x:f>IF(A700="","",IFERROR(LOOKUP(2,1/('Engineer Updates'!$B$5:$B$704=A700),'Engineer Updates'!$H$5:$H$704),""))</x:f>
      </x:c>
      <x:c r="S700" s="172" t="str">
        <x:f>IF(A700="","",IFERROR(LOOKUP(2,1/('Engineer Updates'!$B$5:$B$704=A700),'Engineer Updates'!$G$5:$G$704),""))</x:f>
      </x:c>
      <x:c r="T700" s="172" t="str">
        <x:f>IF(A700="","",IFERROR(LOOKUP(2,1/('Engineer Updates'!$B$5:$B$704=A700),'Engineer Updates'!$I$5:$I$704),""))</x:f>
      </x:c>
      <x:c r="U700" s="172" t="str">
        <x:f>IF(A700="","",IFERROR(LOOKUP(2,1/('Engineer Updates'!$B$5:$B$704=A700),'Engineer Updates'!$J$5:$J$704),""))</x:f>
      </x:c>
      <x:c r="V700" s="172" t="str">
        <x:f>IF(A700="","",IFERROR(LOOKUP(2,1/('Engineer Updates'!$B$5:$B$704=A700),'Engineer Updates'!$K$5:$K$704),""))</x:f>
      </x:c>
      <x:c r="W700" s="174" t="str">
        <x:f>IF(A700="","",IFERROR(LOOKUP(2,1/('Engineer Updates'!$B$5:$B$704=A700),'Engineer Updates'!$L$5:$L$704),""))</x:f>
      </x:c>
      <x:c r="X700" s="170" t="str">
        <x:f>IF(A700="","",IF(C700="completed","Completed in CSSP",IF(AND(C700="executing",ISERROR(SEARCH("@",K700))),"Executing without named engineer",IF(AND(N700="Confirmed OOS",C700="executing"),"Confirmed OOS still executing",""))))</x:f>
      </x:c>
      <x:c r="Y700" s="170" t="str">
        <x:f>IF(A700="","",IF(B700="Decommissioning","Raw Decommissioning","Raw Provisioning"))</x:f>
      </x:c>
      <x:c r="Z700" s="170" t="str">
        <x:f>IF(A700="","",IF(OR(C700="executing",C700="processing"),"Yes","No"))</x:f>
      </x:c>
    </x:row>
    <x:row r="701">
      <x:c r="A701" s="170" t="str">
        <x:f>IF(ROWS($A$5:A701)&lt;=COUNTA('Raw Decommissioning'!$B$2:$B$1000),INDEX('Raw Decommissioning'!$B$2:$B$1000,ROWS($A$5:A701)),IF(ROWS($A$5:A701)-COUNTA('Raw Decommissioning'!$B$2:$B$1000)&lt;=COUNTA('Raw Provisioning'!$B$2:$B$1000),INDEX('Raw Provisioning'!$B$2:$B$1000,ROWS($A$5:A701)-COUNTA('Raw Decommissioning'!$B$2:$B$1000)),""))</x:f>
      </x:c>
      <x:c r="B701" s="170" t="str">
        <x:f>IF(A701="","",IF(ROWS($A$5:A701)&lt;=COUNTA('Raw Decommissioning'!$B$2:$B$1000),"Decommissioning","Provisioning"))</x:f>
      </x:c>
      <x:c r="C701" s="170" t="str">
        <x:f>IF(A701="","",IF(B701="Decommissioning",IFERROR(INDEX('Raw Decommissioning'!$E$2:$E$1000,MATCH(A701,'Raw Decommissioning'!$B$2:$B$1000,0)),"Missing from latest raw"),IFERROR(INDEX('Raw Provisioning'!$E$2:$E$1000,MATCH(A701,'Raw Provisioning'!$B$2:$B$1000,0)),"Missing from latest raw")))</x:f>
      </x:c>
      <x:c r="D701" s="171" t="str">
        <x:f>IF(A701="","",'Refresh Control'!$B$4)</x:f>
      </x:c>
      <x:c r="E701" s="171" t="str">
        <x:f>IF(A701="","",IF(B701="Decommissioning",INDEX('Raw Decommissioning'!$F$2:$F$1000,ROWS($A$5:A701)),INDEX('Raw Provisioning'!$F$2:$F$1000,ROWS($A$5:A701)-COUNTA('Raw Decommissioning'!$B$2:$B$1000))))</x:f>
      </x:c>
      <x:c r="F701" s="171" t="str">
        <x:f>IF(A701="","",IF(B701="Decommissioning",INDEX('Raw Decommissioning'!$G$2:$G$1000,ROWS($A$5:A701)),INDEX('Raw Provisioning'!$H$2:$H$1000,ROWS($A$5:A701)-COUNTA('Raw Decommissioning'!$B$2:$B$1000))))</x:f>
      </x:c>
      <x:c r="G701" s="170" t="str">
        <x:f>IF(A701="","",IF(B701="Decommissioning",INDEX('Raw Decommissioning'!$I$2:$I$1000,ROWS($A$5:A701)),INDEX('Raw Provisioning'!$J$2:$J$1000,ROWS($A$5:A701)-COUNTA('Raw Decommissioning'!$B$2:$B$1000))))</x:f>
      </x:c>
      <x:c r="H701" s="170" t="str">
        <x:f>IF(A701="","",IF(B701="Decommissioning",INDEX('Raw Decommissioning'!$J$2:$J$1000,ROWS($A$5:A701)),INDEX('Raw Provisioning'!$L$2:$L$1000,ROWS($A$5:A701)-COUNTA('Raw Decommissioning'!$B$2:$B$1000))))</x:f>
      </x:c>
      <x:c r="I701" s="170" t="str">
        <x:f>IF(A701="","",IF(B701="Decommissioning",INDEX('Raw Decommissioning'!$AL$2:$AL$1000,ROWS($A$5:A701)),INDEX('Raw Provisioning'!$R$2:$R$1000,ROWS($A$5:A701)-COUNTA('Raw Decommissioning'!$B$2:$B$1000))))</x:f>
      </x:c>
      <x:c r="J701" s="170" t="str">
        <x:f>IF(A701="","",IF(B701="Decommissioning",INDEX('Raw Decommissioning'!$AG$2:$AG$1000,ROWS($A$5:A701)),INDEX('Raw Provisioning'!$AI$2:$AI$1000,ROWS($A$5:A701)-COUNTA('Raw Decommissioning'!$B$2:$B$1000))))</x:f>
      </x:c>
      <x:c r="K701" s="172" t="str">
        <x:f>IF(A701="","",IFERROR(LOOKUP(2,1/('Assignment History'!$B$5:$B$204=A701),'Assignment History'!$D$5:$D$204),IFERROR(VLOOKUP(J701,Configuration!$L$5:$M$50,2,FALSE),J701)))</x:f>
      </x:c>
      <x:c r="L701" s="172" t="str">
        <x:f>IF(A701="","",IF(K701=IFERROR(VLOOKUP(J701,Configuration!$L$5:$M$50,2,FALSE),J701),"Snapshot PIC","Replacement PIC"))</x:f>
      </x:c>
      <x:c r="M701" s="172" t="str">
        <x:f>IF(A701="","",IFERROR(VLOOKUP(I701,Configuration!$O$5:$P$8,2,FALSE),Configuration!$S$6))</x:f>
      </x:c>
      <x:c r="N701" s="172" t="str">
        <x:f>IF(A701="","",IFERROR(LOOKUP(2,1/('Scope Review'!$B$5:$B$204=A701),'Scope Review'!$G$5:$G$204),"Not Reviewed"))</x:f>
      </x:c>
      <x:c r="O701" s="172" t="str">
        <x:f>IF(A701="","",IFERROR(LOOKUP(2,1/('Scope Review'!$B$5:$B$204=A701),'Scope Review'!$H$5:$H$204),""))</x:f>
      </x:c>
      <x:c r="P701" s="172" t="str">
        <x:f>IF(A701="","",IF(AND(C701="executing",N701&lt;&gt;"Confirmed OOS"),M701,0))</x:f>
      </x:c>
      <x:c r="Q701" s="173" t="str">
        <x:f>IF(A701="","",IFERROR(LOOKUP(2,1/('Engineer Updates'!$B$5:$B$704=A701),'Engineer Updates'!$A$5:$A$704),""))</x:f>
      </x:c>
      <x:c r="R701" s="172" t="str">
        <x:f>IF(A701="","",IFERROR(LOOKUP(2,1/('Engineer Updates'!$B$5:$B$704=A701),'Engineer Updates'!$H$5:$H$704),""))</x:f>
      </x:c>
      <x:c r="S701" s="172" t="str">
        <x:f>IF(A701="","",IFERROR(LOOKUP(2,1/('Engineer Updates'!$B$5:$B$704=A701),'Engineer Updates'!$G$5:$G$704),""))</x:f>
      </x:c>
      <x:c r="T701" s="172" t="str">
        <x:f>IF(A701="","",IFERROR(LOOKUP(2,1/('Engineer Updates'!$B$5:$B$704=A701),'Engineer Updates'!$I$5:$I$704),""))</x:f>
      </x:c>
      <x:c r="U701" s="172" t="str">
        <x:f>IF(A701="","",IFERROR(LOOKUP(2,1/('Engineer Updates'!$B$5:$B$704=A701),'Engineer Updates'!$J$5:$J$704),""))</x:f>
      </x:c>
      <x:c r="V701" s="172" t="str">
        <x:f>IF(A701="","",IFERROR(LOOKUP(2,1/('Engineer Updates'!$B$5:$B$704=A701),'Engineer Updates'!$K$5:$K$704),""))</x:f>
      </x:c>
      <x:c r="W701" s="174" t="str">
        <x:f>IF(A701="","",IFERROR(LOOKUP(2,1/('Engineer Updates'!$B$5:$B$704=A701),'Engineer Updates'!$L$5:$L$704),""))</x:f>
      </x:c>
      <x:c r="X701" s="170" t="str">
        <x:f>IF(A701="","",IF(C701="completed","Completed in CSSP",IF(AND(C701="executing",ISERROR(SEARCH("@",K701))),"Executing without named engineer",IF(AND(N701="Confirmed OOS",C701="executing"),"Confirmed OOS still executing",""))))</x:f>
      </x:c>
      <x:c r="Y701" s="170" t="str">
        <x:f>IF(A701="","",IF(B701="Decommissioning","Raw Decommissioning","Raw Provisioning"))</x:f>
      </x:c>
      <x:c r="Z701" s="170" t="str">
        <x:f>IF(A701="","",IF(OR(C701="executing",C701="processing"),"Yes","No"))</x:f>
      </x:c>
    </x:row>
    <x:row r="702">
      <x:c r="A702" s="170" t="str">
        <x:f>IF(ROWS($A$5:A702)&lt;=COUNTA('Raw Decommissioning'!$B$2:$B$1000),INDEX('Raw Decommissioning'!$B$2:$B$1000,ROWS($A$5:A702)),IF(ROWS($A$5:A702)-COUNTA('Raw Decommissioning'!$B$2:$B$1000)&lt;=COUNTA('Raw Provisioning'!$B$2:$B$1000),INDEX('Raw Provisioning'!$B$2:$B$1000,ROWS($A$5:A702)-COUNTA('Raw Decommissioning'!$B$2:$B$1000)),""))</x:f>
      </x:c>
      <x:c r="B702" s="170" t="str">
        <x:f>IF(A702="","",IF(ROWS($A$5:A702)&lt;=COUNTA('Raw Decommissioning'!$B$2:$B$1000),"Decommissioning","Provisioning"))</x:f>
      </x:c>
      <x:c r="C702" s="170" t="str">
        <x:f>IF(A702="","",IF(B702="Decommissioning",IFERROR(INDEX('Raw Decommissioning'!$E$2:$E$1000,MATCH(A702,'Raw Decommissioning'!$B$2:$B$1000,0)),"Missing from latest raw"),IFERROR(INDEX('Raw Provisioning'!$E$2:$E$1000,MATCH(A702,'Raw Provisioning'!$B$2:$B$1000,0)),"Missing from latest raw")))</x:f>
      </x:c>
      <x:c r="D702" s="171" t="str">
        <x:f>IF(A702="","",'Refresh Control'!$B$4)</x:f>
      </x:c>
      <x:c r="E702" s="171" t="str">
        <x:f>IF(A702="","",IF(B702="Decommissioning",INDEX('Raw Decommissioning'!$F$2:$F$1000,ROWS($A$5:A702)),INDEX('Raw Provisioning'!$F$2:$F$1000,ROWS($A$5:A702)-COUNTA('Raw Decommissioning'!$B$2:$B$1000))))</x:f>
      </x:c>
      <x:c r="F702" s="171" t="str">
        <x:f>IF(A702="","",IF(B702="Decommissioning",INDEX('Raw Decommissioning'!$G$2:$G$1000,ROWS($A$5:A702)),INDEX('Raw Provisioning'!$H$2:$H$1000,ROWS($A$5:A702)-COUNTA('Raw Decommissioning'!$B$2:$B$1000))))</x:f>
      </x:c>
      <x:c r="G702" s="170" t="str">
        <x:f>IF(A702="","",IF(B702="Decommissioning",INDEX('Raw Decommissioning'!$I$2:$I$1000,ROWS($A$5:A702)),INDEX('Raw Provisioning'!$J$2:$J$1000,ROWS($A$5:A702)-COUNTA('Raw Decommissioning'!$B$2:$B$1000))))</x:f>
      </x:c>
      <x:c r="H702" s="170" t="str">
        <x:f>IF(A702="","",IF(B702="Decommissioning",INDEX('Raw Decommissioning'!$J$2:$J$1000,ROWS($A$5:A702)),INDEX('Raw Provisioning'!$L$2:$L$1000,ROWS($A$5:A702)-COUNTA('Raw Decommissioning'!$B$2:$B$1000))))</x:f>
      </x:c>
      <x:c r="I702" s="170" t="str">
        <x:f>IF(A702="","",IF(B702="Decommissioning",INDEX('Raw Decommissioning'!$AL$2:$AL$1000,ROWS($A$5:A702)),INDEX('Raw Provisioning'!$R$2:$R$1000,ROWS($A$5:A702)-COUNTA('Raw Decommissioning'!$B$2:$B$1000))))</x:f>
      </x:c>
      <x:c r="J702" s="170" t="str">
        <x:f>IF(A702="","",IF(B702="Decommissioning",INDEX('Raw Decommissioning'!$AG$2:$AG$1000,ROWS($A$5:A702)),INDEX('Raw Provisioning'!$AI$2:$AI$1000,ROWS($A$5:A702)-COUNTA('Raw Decommissioning'!$B$2:$B$1000))))</x:f>
      </x:c>
      <x:c r="K702" s="172" t="str">
        <x:f>IF(A702="","",IFERROR(LOOKUP(2,1/('Assignment History'!$B$5:$B$204=A702),'Assignment History'!$D$5:$D$204),IFERROR(VLOOKUP(J702,Configuration!$L$5:$M$50,2,FALSE),J702)))</x:f>
      </x:c>
      <x:c r="L702" s="172" t="str">
        <x:f>IF(A702="","",IF(K702=IFERROR(VLOOKUP(J702,Configuration!$L$5:$M$50,2,FALSE),J702),"Snapshot PIC","Replacement PIC"))</x:f>
      </x:c>
      <x:c r="M702" s="172" t="str">
        <x:f>IF(A702="","",IFERROR(VLOOKUP(I702,Configuration!$O$5:$P$8,2,FALSE),Configuration!$S$6))</x:f>
      </x:c>
      <x:c r="N702" s="172" t="str">
        <x:f>IF(A702="","",IFERROR(LOOKUP(2,1/('Scope Review'!$B$5:$B$204=A702),'Scope Review'!$G$5:$G$204),"Not Reviewed"))</x:f>
      </x:c>
      <x:c r="O702" s="172" t="str">
        <x:f>IF(A702="","",IFERROR(LOOKUP(2,1/('Scope Review'!$B$5:$B$204=A702),'Scope Review'!$H$5:$H$204),""))</x:f>
      </x:c>
      <x:c r="P702" s="172" t="str">
        <x:f>IF(A702="","",IF(AND(C702="executing",N702&lt;&gt;"Confirmed OOS"),M702,0))</x:f>
      </x:c>
      <x:c r="Q702" s="173" t="str">
        <x:f>IF(A702="","",IFERROR(LOOKUP(2,1/('Engineer Updates'!$B$5:$B$704=A702),'Engineer Updates'!$A$5:$A$704),""))</x:f>
      </x:c>
      <x:c r="R702" s="172" t="str">
        <x:f>IF(A702="","",IFERROR(LOOKUP(2,1/('Engineer Updates'!$B$5:$B$704=A702),'Engineer Updates'!$H$5:$H$704),""))</x:f>
      </x:c>
      <x:c r="S702" s="172" t="str">
        <x:f>IF(A702="","",IFERROR(LOOKUP(2,1/('Engineer Updates'!$B$5:$B$704=A702),'Engineer Updates'!$G$5:$G$704),""))</x:f>
      </x:c>
      <x:c r="T702" s="172" t="str">
        <x:f>IF(A702="","",IFERROR(LOOKUP(2,1/('Engineer Updates'!$B$5:$B$704=A702),'Engineer Updates'!$I$5:$I$704),""))</x:f>
      </x:c>
      <x:c r="U702" s="172" t="str">
        <x:f>IF(A702="","",IFERROR(LOOKUP(2,1/('Engineer Updates'!$B$5:$B$704=A702),'Engineer Updates'!$J$5:$J$704),""))</x:f>
      </x:c>
      <x:c r="V702" s="172" t="str">
        <x:f>IF(A702="","",IFERROR(LOOKUP(2,1/('Engineer Updates'!$B$5:$B$704=A702),'Engineer Updates'!$K$5:$K$704),""))</x:f>
      </x:c>
      <x:c r="W702" s="174" t="str">
        <x:f>IF(A702="","",IFERROR(LOOKUP(2,1/('Engineer Updates'!$B$5:$B$704=A702),'Engineer Updates'!$L$5:$L$704),""))</x:f>
      </x:c>
      <x:c r="X702" s="170" t="str">
        <x:f>IF(A702="","",IF(C702="completed","Completed in CSSP",IF(AND(C702="executing",ISERROR(SEARCH("@",K702))),"Executing without named engineer",IF(AND(N702="Confirmed OOS",C702="executing"),"Confirmed OOS still executing",""))))</x:f>
      </x:c>
      <x:c r="Y702" s="170" t="str">
        <x:f>IF(A702="","",IF(B702="Decommissioning","Raw Decommissioning","Raw Provisioning"))</x:f>
      </x:c>
      <x:c r="Z702" s="170" t="str">
        <x:f>IF(A702="","",IF(OR(C702="executing",C702="processing"),"Yes","No"))</x:f>
      </x:c>
    </x:row>
    <x:row r="703">
      <x:c r="A703" s="170" t="str">
        <x:f>IF(ROWS($A$5:A703)&lt;=COUNTA('Raw Decommissioning'!$B$2:$B$1000),INDEX('Raw Decommissioning'!$B$2:$B$1000,ROWS($A$5:A703)),IF(ROWS($A$5:A703)-COUNTA('Raw Decommissioning'!$B$2:$B$1000)&lt;=COUNTA('Raw Provisioning'!$B$2:$B$1000),INDEX('Raw Provisioning'!$B$2:$B$1000,ROWS($A$5:A703)-COUNTA('Raw Decommissioning'!$B$2:$B$1000)),""))</x:f>
      </x:c>
      <x:c r="B703" s="170" t="str">
        <x:f>IF(A703="","",IF(ROWS($A$5:A703)&lt;=COUNTA('Raw Decommissioning'!$B$2:$B$1000),"Decommissioning","Provisioning"))</x:f>
      </x:c>
      <x:c r="C703" s="170" t="str">
        <x:f>IF(A703="","",IF(B703="Decommissioning",IFERROR(INDEX('Raw Decommissioning'!$E$2:$E$1000,MATCH(A703,'Raw Decommissioning'!$B$2:$B$1000,0)),"Missing from latest raw"),IFERROR(INDEX('Raw Provisioning'!$E$2:$E$1000,MATCH(A703,'Raw Provisioning'!$B$2:$B$1000,0)),"Missing from latest raw")))</x:f>
      </x:c>
      <x:c r="D703" s="171" t="str">
        <x:f>IF(A703="","",'Refresh Control'!$B$4)</x:f>
      </x:c>
      <x:c r="E703" s="171" t="str">
        <x:f>IF(A703="","",IF(B703="Decommissioning",INDEX('Raw Decommissioning'!$F$2:$F$1000,ROWS($A$5:A703)),INDEX('Raw Provisioning'!$F$2:$F$1000,ROWS($A$5:A703)-COUNTA('Raw Decommissioning'!$B$2:$B$1000))))</x:f>
      </x:c>
      <x:c r="F703" s="171" t="str">
        <x:f>IF(A703="","",IF(B703="Decommissioning",INDEX('Raw Decommissioning'!$G$2:$G$1000,ROWS($A$5:A703)),INDEX('Raw Provisioning'!$H$2:$H$1000,ROWS($A$5:A703)-COUNTA('Raw Decommissioning'!$B$2:$B$1000))))</x:f>
      </x:c>
      <x:c r="G703" s="170" t="str">
        <x:f>IF(A703="","",IF(B703="Decommissioning",INDEX('Raw Decommissioning'!$I$2:$I$1000,ROWS($A$5:A703)),INDEX('Raw Provisioning'!$J$2:$J$1000,ROWS($A$5:A703)-COUNTA('Raw Decommissioning'!$B$2:$B$1000))))</x:f>
      </x:c>
      <x:c r="H703" s="170" t="str">
        <x:f>IF(A703="","",IF(B703="Decommissioning",INDEX('Raw Decommissioning'!$J$2:$J$1000,ROWS($A$5:A703)),INDEX('Raw Provisioning'!$L$2:$L$1000,ROWS($A$5:A703)-COUNTA('Raw Decommissioning'!$B$2:$B$1000))))</x:f>
      </x:c>
      <x:c r="I703" s="170" t="str">
        <x:f>IF(A703="","",IF(B703="Decommissioning",INDEX('Raw Decommissioning'!$AL$2:$AL$1000,ROWS($A$5:A703)),INDEX('Raw Provisioning'!$R$2:$R$1000,ROWS($A$5:A703)-COUNTA('Raw Decommissioning'!$B$2:$B$1000))))</x:f>
      </x:c>
      <x:c r="J703" s="170" t="str">
        <x:f>IF(A703="","",IF(B703="Decommissioning",INDEX('Raw Decommissioning'!$AG$2:$AG$1000,ROWS($A$5:A703)),INDEX('Raw Provisioning'!$AI$2:$AI$1000,ROWS($A$5:A703)-COUNTA('Raw Decommissioning'!$B$2:$B$1000))))</x:f>
      </x:c>
      <x:c r="K703" s="172" t="str">
        <x:f>IF(A703="","",IFERROR(LOOKUP(2,1/('Assignment History'!$B$5:$B$204=A703),'Assignment History'!$D$5:$D$204),IFERROR(VLOOKUP(J703,Configuration!$L$5:$M$50,2,FALSE),J703)))</x:f>
      </x:c>
      <x:c r="L703" s="172" t="str">
        <x:f>IF(A703="","",IF(K703=IFERROR(VLOOKUP(J703,Configuration!$L$5:$M$50,2,FALSE),J703),"Snapshot PIC","Replacement PIC"))</x:f>
      </x:c>
      <x:c r="M703" s="172" t="str">
        <x:f>IF(A703="","",IFERROR(VLOOKUP(I703,Configuration!$O$5:$P$8,2,FALSE),Configuration!$S$6))</x:f>
      </x:c>
      <x:c r="N703" s="172" t="str">
        <x:f>IF(A703="","",IFERROR(LOOKUP(2,1/('Scope Review'!$B$5:$B$204=A703),'Scope Review'!$G$5:$G$204),"Not Reviewed"))</x:f>
      </x:c>
      <x:c r="O703" s="172" t="str">
        <x:f>IF(A703="","",IFERROR(LOOKUP(2,1/('Scope Review'!$B$5:$B$204=A703),'Scope Review'!$H$5:$H$204),""))</x:f>
      </x:c>
      <x:c r="P703" s="172" t="str">
        <x:f>IF(A703="","",IF(AND(C703="executing",N703&lt;&gt;"Confirmed OOS"),M703,0))</x:f>
      </x:c>
      <x:c r="Q703" s="173" t="str">
        <x:f>IF(A703="","",IFERROR(LOOKUP(2,1/('Engineer Updates'!$B$5:$B$704=A703),'Engineer Updates'!$A$5:$A$704),""))</x:f>
      </x:c>
      <x:c r="R703" s="172" t="str">
        <x:f>IF(A703="","",IFERROR(LOOKUP(2,1/('Engineer Updates'!$B$5:$B$704=A703),'Engineer Updates'!$H$5:$H$704),""))</x:f>
      </x:c>
      <x:c r="S703" s="172" t="str">
        <x:f>IF(A703="","",IFERROR(LOOKUP(2,1/('Engineer Updates'!$B$5:$B$704=A703),'Engineer Updates'!$G$5:$G$704),""))</x:f>
      </x:c>
      <x:c r="T703" s="172" t="str">
        <x:f>IF(A703="","",IFERROR(LOOKUP(2,1/('Engineer Updates'!$B$5:$B$704=A703),'Engineer Updates'!$I$5:$I$704),""))</x:f>
      </x:c>
      <x:c r="U703" s="172" t="str">
        <x:f>IF(A703="","",IFERROR(LOOKUP(2,1/('Engineer Updates'!$B$5:$B$704=A703),'Engineer Updates'!$J$5:$J$704),""))</x:f>
      </x:c>
      <x:c r="V703" s="172" t="str">
        <x:f>IF(A703="","",IFERROR(LOOKUP(2,1/('Engineer Updates'!$B$5:$B$704=A703),'Engineer Updates'!$K$5:$K$704),""))</x:f>
      </x:c>
      <x:c r="W703" s="174" t="str">
        <x:f>IF(A703="","",IFERROR(LOOKUP(2,1/('Engineer Updates'!$B$5:$B$704=A703),'Engineer Updates'!$L$5:$L$704),""))</x:f>
      </x:c>
      <x:c r="X703" s="170" t="str">
        <x:f>IF(A703="","",IF(C703="completed","Completed in CSSP",IF(AND(C703="executing",ISERROR(SEARCH("@",K703))),"Executing without named engineer",IF(AND(N703="Confirmed OOS",C703="executing"),"Confirmed OOS still executing",""))))</x:f>
      </x:c>
      <x:c r="Y703" s="170" t="str">
        <x:f>IF(A703="","",IF(B703="Decommissioning","Raw Decommissioning","Raw Provisioning"))</x:f>
      </x:c>
      <x:c r="Z703" s="170" t="str">
        <x:f>IF(A703="","",IF(OR(C703="executing",C703="processing"),"Yes","No"))</x:f>
      </x:c>
    </x:row>
    <x:row r="704">
      <x:c r="A704" s="170" t="str">
        <x:f>IF(ROWS($A$5:A704)&lt;=COUNTA('Raw Decommissioning'!$B$2:$B$1000),INDEX('Raw Decommissioning'!$B$2:$B$1000,ROWS($A$5:A704)),IF(ROWS($A$5:A704)-COUNTA('Raw Decommissioning'!$B$2:$B$1000)&lt;=COUNTA('Raw Provisioning'!$B$2:$B$1000),INDEX('Raw Provisioning'!$B$2:$B$1000,ROWS($A$5:A704)-COUNTA('Raw Decommissioning'!$B$2:$B$1000)),""))</x:f>
      </x:c>
      <x:c r="B704" s="170" t="str">
        <x:f>IF(A704="","",IF(ROWS($A$5:A704)&lt;=COUNTA('Raw Decommissioning'!$B$2:$B$1000),"Decommissioning","Provisioning"))</x:f>
      </x:c>
      <x:c r="C704" s="170" t="str">
        <x:f>IF(A704="","",IF(B704="Decommissioning",IFERROR(INDEX('Raw Decommissioning'!$E$2:$E$1000,MATCH(A704,'Raw Decommissioning'!$B$2:$B$1000,0)),"Missing from latest raw"),IFERROR(INDEX('Raw Provisioning'!$E$2:$E$1000,MATCH(A704,'Raw Provisioning'!$B$2:$B$1000,0)),"Missing from latest raw")))</x:f>
      </x:c>
      <x:c r="D704" s="171" t="str">
        <x:f>IF(A704="","",'Refresh Control'!$B$4)</x:f>
      </x:c>
      <x:c r="E704" s="171" t="str">
        <x:f>IF(A704="","",IF(B704="Decommissioning",INDEX('Raw Decommissioning'!$F$2:$F$1000,ROWS($A$5:A704)),INDEX('Raw Provisioning'!$F$2:$F$1000,ROWS($A$5:A704)-COUNTA('Raw Decommissioning'!$B$2:$B$1000))))</x:f>
      </x:c>
      <x:c r="F704" s="171" t="str">
        <x:f>IF(A704="","",IF(B704="Decommissioning",INDEX('Raw Decommissioning'!$G$2:$G$1000,ROWS($A$5:A704)),INDEX('Raw Provisioning'!$H$2:$H$1000,ROWS($A$5:A704)-COUNTA('Raw Decommissioning'!$B$2:$B$1000))))</x:f>
      </x:c>
      <x:c r="G704" s="170" t="str">
        <x:f>IF(A704="","",IF(B704="Decommissioning",INDEX('Raw Decommissioning'!$I$2:$I$1000,ROWS($A$5:A704)),INDEX('Raw Provisioning'!$J$2:$J$1000,ROWS($A$5:A704)-COUNTA('Raw Decommissioning'!$B$2:$B$1000))))</x:f>
      </x:c>
      <x:c r="H704" s="170" t="str">
        <x:f>IF(A704="","",IF(B704="Decommissioning",INDEX('Raw Decommissioning'!$J$2:$J$1000,ROWS($A$5:A704)),INDEX('Raw Provisioning'!$L$2:$L$1000,ROWS($A$5:A704)-COUNTA('Raw Decommissioning'!$B$2:$B$1000))))</x:f>
      </x:c>
      <x:c r="I704" s="170" t="str">
        <x:f>IF(A704="","",IF(B704="Decommissioning",INDEX('Raw Decommissioning'!$AL$2:$AL$1000,ROWS($A$5:A704)),INDEX('Raw Provisioning'!$R$2:$R$1000,ROWS($A$5:A704)-COUNTA('Raw Decommissioning'!$B$2:$B$1000))))</x:f>
      </x:c>
      <x:c r="J704" s="170" t="str">
        <x:f>IF(A704="","",IF(B704="Decommissioning",INDEX('Raw Decommissioning'!$AG$2:$AG$1000,ROWS($A$5:A704)),INDEX('Raw Provisioning'!$AI$2:$AI$1000,ROWS($A$5:A704)-COUNTA('Raw Decommissioning'!$B$2:$B$1000))))</x:f>
      </x:c>
      <x:c r="K704" s="172" t="str">
        <x:f>IF(A704="","",IFERROR(LOOKUP(2,1/('Assignment History'!$B$5:$B$204=A704),'Assignment History'!$D$5:$D$204),IFERROR(VLOOKUP(J704,Configuration!$L$5:$M$50,2,FALSE),J704)))</x:f>
      </x:c>
      <x:c r="L704" s="172" t="str">
        <x:f>IF(A704="","",IF(K704=IFERROR(VLOOKUP(J704,Configuration!$L$5:$M$50,2,FALSE),J704),"Snapshot PIC","Replacement PIC"))</x:f>
      </x:c>
      <x:c r="M704" s="172" t="str">
        <x:f>IF(A704="","",IFERROR(VLOOKUP(I704,Configuration!$O$5:$P$8,2,FALSE),Configuration!$S$6))</x:f>
      </x:c>
      <x:c r="N704" s="172" t="str">
        <x:f>IF(A704="","",IFERROR(LOOKUP(2,1/('Scope Review'!$B$5:$B$204=A704),'Scope Review'!$G$5:$G$204),"Not Reviewed"))</x:f>
      </x:c>
      <x:c r="O704" s="172" t="str">
        <x:f>IF(A704="","",IFERROR(LOOKUP(2,1/('Scope Review'!$B$5:$B$204=A704),'Scope Review'!$H$5:$H$204),""))</x:f>
      </x:c>
      <x:c r="P704" s="172" t="str">
        <x:f>IF(A704="","",IF(AND(C704="executing",N704&lt;&gt;"Confirmed OOS"),M704,0))</x:f>
      </x:c>
      <x:c r="Q704" s="173" t="str">
        <x:f>IF(A704="","",IFERROR(LOOKUP(2,1/('Engineer Updates'!$B$5:$B$704=A704),'Engineer Updates'!$A$5:$A$704),""))</x:f>
      </x:c>
      <x:c r="R704" s="172" t="str">
        <x:f>IF(A704="","",IFERROR(LOOKUP(2,1/('Engineer Updates'!$B$5:$B$704=A704),'Engineer Updates'!$H$5:$H$704),""))</x:f>
      </x:c>
      <x:c r="S704" s="172" t="str">
        <x:f>IF(A704="","",IFERROR(LOOKUP(2,1/('Engineer Updates'!$B$5:$B$704=A704),'Engineer Updates'!$G$5:$G$704),""))</x:f>
      </x:c>
      <x:c r="T704" s="172" t="str">
        <x:f>IF(A704="","",IFERROR(LOOKUP(2,1/('Engineer Updates'!$B$5:$B$704=A704),'Engineer Updates'!$I$5:$I$704),""))</x:f>
      </x:c>
      <x:c r="U704" s="172" t="str">
        <x:f>IF(A704="","",IFERROR(LOOKUP(2,1/('Engineer Updates'!$B$5:$B$704=A704),'Engineer Updates'!$J$5:$J$704),""))</x:f>
      </x:c>
      <x:c r="V704" s="172" t="str">
        <x:f>IF(A704="","",IFERROR(LOOKUP(2,1/('Engineer Updates'!$B$5:$B$704=A704),'Engineer Updates'!$K$5:$K$704),""))</x:f>
      </x:c>
      <x:c r="W704" s="174" t="str">
        <x:f>IF(A704="","",IFERROR(LOOKUP(2,1/('Engineer Updates'!$B$5:$B$704=A704),'Engineer Updates'!$L$5:$L$704),""))</x:f>
      </x:c>
      <x:c r="X704" s="170" t="str">
        <x:f>IF(A704="","",IF(C704="completed","Completed in CSSP",IF(AND(C704="executing",ISERROR(SEARCH("@",K704))),"Executing without named engineer",IF(AND(N704="Confirmed OOS",C704="executing"),"Confirmed OOS still executing",""))))</x:f>
      </x:c>
      <x:c r="Y704" s="170" t="str">
        <x:f>IF(A704="","",IF(B704="Decommissioning","Raw Decommissioning","Raw Provisioning"))</x:f>
      </x:c>
      <x:c r="Z704" s="170" t="str">
        <x:f>IF(A704="","",IF(OR(C704="executing",C704="processing"),"Yes","No"))</x:f>
      </x:c>
    </x:row>
    <x:row r="705">
      <x:c r="A705" s="170" t="str">
        <x:f>IF(ROWS($A$5:A705)&lt;=COUNTA('Raw Decommissioning'!$B$2:$B$1000),INDEX('Raw Decommissioning'!$B$2:$B$1000,ROWS($A$5:A705)),IF(ROWS($A$5:A705)-COUNTA('Raw Decommissioning'!$B$2:$B$1000)&lt;=COUNTA('Raw Provisioning'!$B$2:$B$1000),INDEX('Raw Provisioning'!$B$2:$B$1000,ROWS($A$5:A705)-COUNTA('Raw Decommissioning'!$B$2:$B$1000)),""))</x:f>
      </x:c>
      <x:c r="B705" s="170" t="str">
        <x:f>IF(A705="","",IF(ROWS($A$5:A705)&lt;=COUNTA('Raw Decommissioning'!$B$2:$B$1000),"Decommissioning","Provisioning"))</x:f>
      </x:c>
      <x:c r="C705" s="170" t="str">
        <x:f>IF(A705="","",IF(B705="Decommissioning",IFERROR(INDEX('Raw Decommissioning'!$E$2:$E$1000,MATCH(A705,'Raw Decommissioning'!$B$2:$B$1000,0)),"Missing from latest raw"),IFERROR(INDEX('Raw Provisioning'!$E$2:$E$1000,MATCH(A705,'Raw Provisioning'!$B$2:$B$1000,0)),"Missing from latest raw")))</x:f>
      </x:c>
      <x:c r="D705" s="171" t="str">
        <x:f>IF(A705="","",'Refresh Control'!$B$4)</x:f>
      </x:c>
      <x:c r="E705" s="171" t="str">
        <x:f>IF(A705="","",IF(B705="Decommissioning",INDEX('Raw Decommissioning'!$F$2:$F$1000,ROWS($A$5:A705)),INDEX('Raw Provisioning'!$F$2:$F$1000,ROWS($A$5:A705)-COUNTA('Raw Decommissioning'!$B$2:$B$1000))))</x:f>
      </x:c>
      <x:c r="F705" s="171" t="str">
        <x:f>IF(A705="","",IF(B705="Decommissioning",INDEX('Raw Decommissioning'!$G$2:$G$1000,ROWS($A$5:A705)),INDEX('Raw Provisioning'!$H$2:$H$1000,ROWS($A$5:A705)-COUNTA('Raw Decommissioning'!$B$2:$B$1000))))</x:f>
      </x:c>
      <x:c r="G705" s="170" t="str">
        <x:f>IF(A705="","",IF(B705="Decommissioning",INDEX('Raw Decommissioning'!$I$2:$I$1000,ROWS($A$5:A705)),INDEX('Raw Provisioning'!$J$2:$J$1000,ROWS($A$5:A705)-COUNTA('Raw Decommissioning'!$B$2:$B$1000))))</x:f>
      </x:c>
      <x:c r="H705" s="170" t="str">
        <x:f>IF(A705="","",IF(B705="Decommissioning",INDEX('Raw Decommissioning'!$J$2:$J$1000,ROWS($A$5:A705)),INDEX('Raw Provisioning'!$L$2:$L$1000,ROWS($A$5:A705)-COUNTA('Raw Decommissioning'!$B$2:$B$1000))))</x:f>
      </x:c>
      <x:c r="I705" s="170" t="str">
        <x:f>IF(A705="","",IF(B705="Decommissioning",INDEX('Raw Decommissioning'!$AL$2:$AL$1000,ROWS($A$5:A705)),INDEX('Raw Provisioning'!$R$2:$R$1000,ROWS($A$5:A705)-COUNTA('Raw Decommissioning'!$B$2:$B$1000))))</x:f>
      </x:c>
      <x:c r="J705" s="170" t="str">
        <x:f>IF(A705="","",IF(B705="Decommissioning",INDEX('Raw Decommissioning'!$AG$2:$AG$1000,ROWS($A$5:A705)),INDEX('Raw Provisioning'!$AI$2:$AI$1000,ROWS($A$5:A705)-COUNTA('Raw Decommissioning'!$B$2:$B$1000))))</x:f>
      </x:c>
      <x:c r="K705" s="172" t="str">
        <x:f>IF(A705="","",IFERROR(LOOKUP(2,1/('Assignment History'!$B$5:$B$204=A705),'Assignment History'!$D$5:$D$204),IFERROR(VLOOKUP(J705,Configuration!$L$5:$M$50,2,FALSE),J705)))</x:f>
      </x:c>
      <x:c r="L705" s="172" t="str">
        <x:f>IF(A705="","",IF(K705=IFERROR(VLOOKUP(J705,Configuration!$L$5:$M$50,2,FALSE),J705),"Snapshot PIC","Replacement PIC"))</x:f>
      </x:c>
      <x:c r="M705" s="172" t="str">
        <x:f>IF(A705="","",IFERROR(VLOOKUP(I705,Configuration!$O$5:$P$8,2,FALSE),Configuration!$S$6))</x:f>
      </x:c>
      <x:c r="N705" s="172" t="str">
        <x:f>IF(A705="","",IFERROR(LOOKUP(2,1/('Scope Review'!$B$5:$B$204=A705),'Scope Review'!$G$5:$G$204),"Not Reviewed"))</x:f>
      </x:c>
      <x:c r="O705" s="172" t="str">
        <x:f>IF(A705="","",IFERROR(LOOKUP(2,1/('Scope Review'!$B$5:$B$204=A705),'Scope Review'!$H$5:$H$204),""))</x:f>
      </x:c>
      <x:c r="P705" s="172" t="str">
        <x:f>IF(A705="","",IF(AND(C705="executing",N705&lt;&gt;"Confirmed OOS"),M705,0))</x:f>
      </x:c>
      <x:c r="Q705" s="173" t="str">
        <x:f>IF(A705="","",IFERROR(LOOKUP(2,1/('Engineer Updates'!$B$5:$B$704=A705),'Engineer Updates'!$A$5:$A$704),""))</x:f>
      </x:c>
      <x:c r="R705" s="172" t="str">
        <x:f>IF(A705="","",IFERROR(LOOKUP(2,1/('Engineer Updates'!$B$5:$B$704=A705),'Engineer Updates'!$H$5:$H$704),""))</x:f>
      </x:c>
      <x:c r="S705" s="172" t="str">
        <x:f>IF(A705="","",IFERROR(LOOKUP(2,1/('Engineer Updates'!$B$5:$B$704=A705),'Engineer Updates'!$G$5:$G$704),""))</x:f>
      </x:c>
      <x:c r="T705" s="172" t="str">
        <x:f>IF(A705="","",IFERROR(LOOKUP(2,1/('Engineer Updates'!$B$5:$B$704=A705),'Engineer Updates'!$I$5:$I$704),""))</x:f>
      </x:c>
      <x:c r="U705" s="172" t="str">
        <x:f>IF(A705="","",IFERROR(LOOKUP(2,1/('Engineer Updates'!$B$5:$B$704=A705),'Engineer Updates'!$J$5:$J$704),""))</x:f>
      </x:c>
      <x:c r="V705" s="172" t="str">
        <x:f>IF(A705="","",IFERROR(LOOKUP(2,1/('Engineer Updates'!$B$5:$B$704=A705),'Engineer Updates'!$K$5:$K$704),""))</x:f>
      </x:c>
      <x:c r="W705" s="174" t="str">
        <x:f>IF(A705="","",IFERROR(LOOKUP(2,1/('Engineer Updates'!$B$5:$B$704=A705),'Engineer Updates'!$L$5:$L$704),""))</x:f>
      </x:c>
      <x:c r="X705" s="170" t="str">
        <x:f>IF(A705="","",IF(C705="completed","Completed in CSSP",IF(AND(C705="executing",ISERROR(SEARCH("@",K705))),"Executing without named engineer",IF(AND(N705="Confirmed OOS",C705="executing"),"Confirmed OOS still executing",""))))</x:f>
      </x:c>
      <x:c r="Y705" s="170" t="str">
        <x:f>IF(A705="","",IF(B705="Decommissioning","Raw Decommissioning","Raw Provisioning"))</x:f>
      </x:c>
      <x:c r="Z705" s="170" t="str">
        <x:f>IF(A705="","",IF(OR(C705="executing",C705="processing"),"Yes","No"))</x:f>
      </x:c>
    </x:row>
    <x:row r="706">
      <x:c r="A706" s="170" t="str">
        <x:f>IF(ROWS($A$5:A706)&lt;=COUNTA('Raw Decommissioning'!$B$2:$B$1000),INDEX('Raw Decommissioning'!$B$2:$B$1000,ROWS($A$5:A706)),IF(ROWS($A$5:A706)-COUNTA('Raw Decommissioning'!$B$2:$B$1000)&lt;=COUNTA('Raw Provisioning'!$B$2:$B$1000),INDEX('Raw Provisioning'!$B$2:$B$1000,ROWS($A$5:A706)-COUNTA('Raw Decommissioning'!$B$2:$B$1000)),""))</x:f>
      </x:c>
      <x:c r="B706" s="170" t="str">
        <x:f>IF(A706="","",IF(ROWS($A$5:A706)&lt;=COUNTA('Raw Decommissioning'!$B$2:$B$1000),"Decommissioning","Provisioning"))</x:f>
      </x:c>
      <x:c r="C706" s="170" t="str">
        <x:f>IF(A706="","",IF(B706="Decommissioning",IFERROR(INDEX('Raw Decommissioning'!$E$2:$E$1000,MATCH(A706,'Raw Decommissioning'!$B$2:$B$1000,0)),"Missing from latest raw"),IFERROR(INDEX('Raw Provisioning'!$E$2:$E$1000,MATCH(A706,'Raw Provisioning'!$B$2:$B$1000,0)),"Missing from latest raw")))</x:f>
      </x:c>
      <x:c r="D706" s="171" t="str">
        <x:f>IF(A706="","",'Refresh Control'!$B$4)</x:f>
      </x:c>
      <x:c r="E706" s="171" t="str">
        <x:f>IF(A706="","",IF(B706="Decommissioning",INDEX('Raw Decommissioning'!$F$2:$F$1000,ROWS($A$5:A706)),INDEX('Raw Provisioning'!$F$2:$F$1000,ROWS($A$5:A706)-COUNTA('Raw Decommissioning'!$B$2:$B$1000))))</x:f>
      </x:c>
      <x:c r="F706" s="171" t="str">
        <x:f>IF(A706="","",IF(B706="Decommissioning",INDEX('Raw Decommissioning'!$G$2:$G$1000,ROWS($A$5:A706)),INDEX('Raw Provisioning'!$H$2:$H$1000,ROWS($A$5:A706)-COUNTA('Raw Decommissioning'!$B$2:$B$1000))))</x:f>
      </x:c>
      <x:c r="G706" s="170" t="str">
        <x:f>IF(A706="","",IF(B706="Decommissioning",INDEX('Raw Decommissioning'!$I$2:$I$1000,ROWS($A$5:A706)),INDEX('Raw Provisioning'!$J$2:$J$1000,ROWS($A$5:A706)-COUNTA('Raw Decommissioning'!$B$2:$B$1000))))</x:f>
      </x:c>
      <x:c r="H706" s="170" t="str">
        <x:f>IF(A706="","",IF(B706="Decommissioning",INDEX('Raw Decommissioning'!$J$2:$J$1000,ROWS($A$5:A706)),INDEX('Raw Provisioning'!$L$2:$L$1000,ROWS($A$5:A706)-COUNTA('Raw Decommissioning'!$B$2:$B$1000))))</x:f>
      </x:c>
      <x:c r="I706" s="170" t="str">
        <x:f>IF(A706="","",IF(B706="Decommissioning",INDEX('Raw Decommissioning'!$AL$2:$AL$1000,ROWS($A$5:A706)),INDEX('Raw Provisioning'!$R$2:$R$1000,ROWS($A$5:A706)-COUNTA('Raw Decommissioning'!$B$2:$B$1000))))</x:f>
      </x:c>
      <x:c r="J706" s="170" t="str">
        <x:f>IF(A706="","",IF(B706="Decommissioning",INDEX('Raw Decommissioning'!$AG$2:$AG$1000,ROWS($A$5:A706)),INDEX('Raw Provisioning'!$AI$2:$AI$1000,ROWS($A$5:A706)-COUNTA('Raw Decommissioning'!$B$2:$B$1000))))</x:f>
      </x:c>
      <x:c r="K706" s="172" t="str">
        <x:f>IF(A706="","",IFERROR(LOOKUP(2,1/('Assignment History'!$B$5:$B$204=A706),'Assignment History'!$D$5:$D$204),IFERROR(VLOOKUP(J706,Configuration!$L$5:$M$50,2,FALSE),J706)))</x:f>
      </x:c>
      <x:c r="L706" s="172" t="str">
        <x:f>IF(A706="","",IF(K706=IFERROR(VLOOKUP(J706,Configuration!$L$5:$M$50,2,FALSE),J706),"Snapshot PIC","Replacement PIC"))</x:f>
      </x:c>
      <x:c r="M706" s="172" t="str">
        <x:f>IF(A706="","",IFERROR(VLOOKUP(I706,Configuration!$O$5:$P$8,2,FALSE),Configuration!$S$6))</x:f>
      </x:c>
      <x:c r="N706" s="172" t="str">
        <x:f>IF(A706="","",IFERROR(LOOKUP(2,1/('Scope Review'!$B$5:$B$204=A706),'Scope Review'!$G$5:$G$204),"Not Reviewed"))</x:f>
      </x:c>
      <x:c r="O706" s="172" t="str">
        <x:f>IF(A706="","",IFERROR(LOOKUP(2,1/('Scope Review'!$B$5:$B$204=A706),'Scope Review'!$H$5:$H$204),""))</x:f>
      </x:c>
      <x:c r="P706" s="172" t="str">
        <x:f>IF(A706="","",IF(AND(C706="executing",N706&lt;&gt;"Confirmed OOS"),M706,0))</x:f>
      </x:c>
      <x:c r="Q706" s="173" t="str">
        <x:f>IF(A706="","",IFERROR(LOOKUP(2,1/('Engineer Updates'!$B$5:$B$704=A706),'Engineer Updates'!$A$5:$A$704),""))</x:f>
      </x:c>
      <x:c r="R706" s="172" t="str">
        <x:f>IF(A706="","",IFERROR(LOOKUP(2,1/('Engineer Updates'!$B$5:$B$704=A706),'Engineer Updates'!$H$5:$H$704),""))</x:f>
      </x:c>
      <x:c r="S706" s="172" t="str">
        <x:f>IF(A706="","",IFERROR(LOOKUP(2,1/('Engineer Updates'!$B$5:$B$704=A706),'Engineer Updates'!$G$5:$G$704),""))</x:f>
      </x:c>
      <x:c r="T706" s="172" t="str">
        <x:f>IF(A706="","",IFERROR(LOOKUP(2,1/('Engineer Updates'!$B$5:$B$704=A706),'Engineer Updates'!$I$5:$I$704),""))</x:f>
      </x:c>
      <x:c r="U706" s="172" t="str">
        <x:f>IF(A706="","",IFERROR(LOOKUP(2,1/('Engineer Updates'!$B$5:$B$704=A706),'Engineer Updates'!$J$5:$J$704),""))</x:f>
      </x:c>
      <x:c r="V706" s="172" t="str">
        <x:f>IF(A706="","",IFERROR(LOOKUP(2,1/('Engineer Updates'!$B$5:$B$704=A706),'Engineer Updates'!$K$5:$K$704),""))</x:f>
      </x:c>
      <x:c r="W706" s="174" t="str">
        <x:f>IF(A706="","",IFERROR(LOOKUP(2,1/('Engineer Updates'!$B$5:$B$704=A706),'Engineer Updates'!$L$5:$L$704),""))</x:f>
      </x:c>
      <x:c r="X706" s="170" t="str">
        <x:f>IF(A706="","",IF(C706="completed","Completed in CSSP",IF(AND(C706="executing",ISERROR(SEARCH("@",K706))),"Executing without named engineer",IF(AND(N706="Confirmed OOS",C706="executing"),"Confirmed OOS still executing",""))))</x:f>
      </x:c>
      <x:c r="Y706" s="170" t="str">
        <x:f>IF(A706="","",IF(B706="Decommissioning","Raw Decommissioning","Raw Provisioning"))</x:f>
      </x:c>
      <x:c r="Z706" s="170" t="str">
        <x:f>IF(A706="","",IF(OR(C706="executing",C706="processing"),"Yes","No"))</x:f>
      </x:c>
    </x:row>
    <x:row r="707">
      <x:c r="A707" s="170" t="str">
        <x:f>IF(ROWS($A$5:A707)&lt;=COUNTA('Raw Decommissioning'!$B$2:$B$1000),INDEX('Raw Decommissioning'!$B$2:$B$1000,ROWS($A$5:A707)),IF(ROWS($A$5:A707)-COUNTA('Raw Decommissioning'!$B$2:$B$1000)&lt;=COUNTA('Raw Provisioning'!$B$2:$B$1000),INDEX('Raw Provisioning'!$B$2:$B$1000,ROWS($A$5:A707)-COUNTA('Raw Decommissioning'!$B$2:$B$1000)),""))</x:f>
      </x:c>
      <x:c r="B707" s="170" t="str">
        <x:f>IF(A707="","",IF(ROWS($A$5:A707)&lt;=COUNTA('Raw Decommissioning'!$B$2:$B$1000),"Decommissioning","Provisioning"))</x:f>
      </x:c>
      <x:c r="C707" s="170" t="str">
        <x:f>IF(A707="","",IF(B707="Decommissioning",IFERROR(INDEX('Raw Decommissioning'!$E$2:$E$1000,MATCH(A707,'Raw Decommissioning'!$B$2:$B$1000,0)),"Missing from latest raw"),IFERROR(INDEX('Raw Provisioning'!$E$2:$E$1000,MATCH(A707,'Raw Provisioning'!$B$2:$B$1000,0)),"Missing from latest raw")))</x:f>
      </x:c>
      <x:c r="D707" s="171" t="str">
        <x:f>IF(A707="","",'Refresh Control'!$B$4)</x:f>
      </x:c>
      <x:c r="E707" s="171" t="str">
        <x:f>IF(A707="","",IF(B707="Decommissioning",INDEX('Raw Decommissioning'!$F$2:$F$1000,ROWS($A$5:A707)),INDEX('Raw Provisioning'!$F$2:$F$1000,ROWS($A$5:A707)-COUNTA('Raw Decommissioning'!$B$2:$B$1000))))</x:f>
      </x:c>
      <x:c r="F707" s="171" t="str">
        <x:f>IF(A707="","",IF(B707="Decommissioning",INDEX('Raw Decommissioning'!$G$2:$G$1000,ROWS($A$5:A707)),INDEX('Raw Provisioning'!$H$2:$H$1000,ROWS($A$5:A707)-COUNTA('Raw Decommissioning'!$B$2:$B$1000))))</x:f>
      </x:c>
      <x:c r="G707" s="170" t="str">
        <x:f>IF(A707="","",IF(B707="Decommissioning",INDEX('Raw Decommissioning'!$I$2:$I$1000,ROWS($A$5:A707)),INDEX('Raw Provisioning'!$J$2:$J$1000,ROWS($A$5:A707)-COUNTA('Raw Decommissioning'!$B$2:$B$1000))))</x:f>
      </x:c>
      <x:c r="H707" s="170" t="str">
        <x:f>IF(A707="","",IF(B707="Decommissioning",INDEX('Raw Decommissioning'!$J$2:$J$1000,ROWS($A$5:A707)),INDEX('Raw Provisioning'!$L$2:$L$1000,ROWS($A$5:A707)-COUNTA('Raw Decommissioning'!$B$2:$B$1000))))</x:f>
      </x:c>
      <x:c r="I707" s="170" t="str">
        <x:f>IF(A707="","",IF(B707="Decommissioning",INDEX('Raw Decommissioning'!$AL$2:$AL$1000,ROWS($A$5:A707)),INDEX('Raw Provisioning'!$R$2:$R$1000,ROWS($A$5:A707)-COUNTA('Raw Decommissioning'!$B$2:$B$1000))))</x:f>
      </x:c>
      <x:c r="J707" s="170" t="str">
        <x:f>IF(A707="","",IF(B707="Decommissioning",INDEX('Raw Decommissioning'!$AG$2:$AG$1000,ROWS($A$5:A707)),INDEX('Raw Provisioning'!$AI$2:$AI$1000,ROWS($A$5:A707)-COUNTA('Raw Decommissioning'!$B$2:$B$1000))))</x:f>
      </x:c>
      <x:c r="K707" s="172" t="str">
        <x:f>IF(A707="","",IFERROR(LOOKUP(2,1/('Assignment History'!$B$5:$B$204=A707),'Assignment History'!$D$5:$D$204),IFERROR(VLOOKUP(J707,Configuration!$L$5:$M$50,2,FALSE),J707)))</x:f>
      </x:c>
      <x:c r="L707" s="172" t="str">
        <x:f>IF(A707="","",IF(K707=IFERROR(VLOOKUP(J707,Configuration!$L$5:$M$50,2,FALSE),J707),"Snapshot PIC","Replacement PIC"))</x:f>
      </x:c>
      <x:c r="M707" s="172" t="str">
        <x:f>IF(A707="","",IFERROR(VLOOKUP(I707,Configuration!$O$5:$P$8,2,FALSE),Configuration!$S$6))</x:f>
      </x:c>
      <x:c r="N707" s="172" t="str">
        <x:f>IF(A707="","",IFERROR(LOOKUP(2,1/('Scope Review'!$B$5:$B$204=A707),'Scope Review'!$G$5:$G$204),"Not Reviewed"))</x:f>
      </x:c>
      <x:c r="O707" s="172" t="str">
        <x:f>IF(A707="","",IFERROR(LOOKUP(2,1/('Scope Review'!$B$5:$B$204=A707),'Scope Review'!$H$5:$H$204),""))</x:f>
      </x:c>
      <x:c r="P707" s="172" t="str">
        <x:f>IF(A707="","",IF(AND(C707="executing",N707&lt;&gt;"Confirmed OOS"),M707,0))</x:f>
      </x:c>
      <x:c r="Q707" s="173" t="str">
        <x:f>IF(A707="","",IFERROR(LOOKUP(2,1/('Engineer Updates'!$B$5:$B$704=A707),'Engineer Updates'!$A$5:$A$704),""))</x:f>
      </x:c>
      <x:c r="R707" s="172" t="str">
        <x:f>IF(A707="","",IFERROR(LOOKUP(2,1/('Engineer Updates'!$B$5:$B$704=A707),'Engineer Updates'!$H$5:$H$704),""))</x:f>
      </x:c>
      <x:c r="S707" s="172" t="str">
        <x:f>IF(A707="","",IFERROR(LOOKUP(2,1/('Engineer Updates'!$B$5:$B$704=A707),'Engineer Updates'!$G$5:$G$704),""))</x:f>
      </x:c>
      <x:c r="T707" s="172" t="str">
        <x:f>IF(A707="","",IFERROR(LOOKUP(2,1/('Engineer Updates'!$B$5:$B$704=A707),'Engineer Updates'!$I$5:$I$704),""))</x:f>
      </x:c>
      <x:c r="U707" s="172" t="str">
        <x:f>IF(A707="","",IFERROR(LOOKUP(2,1/('Engineer Updates'!$B$5:$B$704=A707),'Engineer Updates'!$J$5:$J$704),""))</x:f>
      </x:c>
      <x:c r="V707" s="172" t="str">
        <x:f>IF(A707="","",IFERROR(LOOKUP(2,1/('Engineer Updates'!$B$5:$B$704=A707),'Engineer Updates'!$K$5:$K$704),""))</x:f>
      </x:c>
      <x:c r="W707" s="174" t="str">
        <x:f>IF(A707="","",IFERROR(LOOKUP(2,1/('Engineer Updates'!$B$5:$B$704=A707),'Engineer Updates'!$L$5:$L$704),""))</x:f>
      </x:c>
      <x:c r="X707" s="170" t="str">
        <x:f>IF(A707="","",IF(C707="completed","Completed in CSSP",IF(AND(C707="executing",ISERROR(SEARCH("@",K707))),"Executing without named engineer",IF(AND(N707="Confirmed OOS",C707="executing"),"Confirmed OOS still executing",""))))</x:f>
      </x:c>
      <x:c r="Y707" s="170" t="str">
        <x:f>IF(A707="","",IF(B707="Decommissioning","Raw Decommissioning","Raw Provisioning"))</x:f>
      </x:c>
      <x:c r="Z707" s="170" t="str">
        <x:f>IF(A707="","",IF(OR(C707="executing",C707="processing"),"Yes","No"))</x:f>
      </x:c>
    </x:row>
    <x:row r="708">
      <x:c r="A708" s="170" t="str">
        <x:f>IF(ROWS($A$5:A708)&lt;=COUNTA('Raw Decommissioning'!$B$2:$B$1000),INDEX('Raw Decommissioning'!$B$2:$B$1000,ROWS($A$5:A708)),IF(ROWS($A$5:A708)-COUNTA('Raw Decommissioning'!$B$2:$B$1000)&lt;=COUNTA('Raw Provisioning'!$B$2:$B$1000),INDEX('Raw Provisioning'!$B$2:$B$1000,ROWS($A$5:A708)-COUNTA('Raw Decommissioning'!$B$2:$B$1000)),""))</x:f>
      </x:c>
      <x:c r="B708" s="170" t="str">
        <x:f>IF(A708="","",IF(ROWS($A$5:A708)&lt;=COUNTA('Raw Decommissioning'!$B$2:$B$1000),"Decommissioning","Provisioning"))</x:f>
      </x:c>
      <x:c r="C708" s="170" t="str">
        <x:f>IF(A708="","",IF(B708="Decommissioning",IFERROR(INDEX('Raw Decommissioning'!$E$2:$E$1000,MATCH(A708,'Raw Decommissioning'!$B$2:$B$1000,0)),"Missing from latest raw"),IFERROR(INDEX('Raw Provisioning'!$E$2:$E$1000,MATCH(A708,'Raw Provisioning'!$B$2:$B$1000,0)),"Missing from latest raw")))</x:f>
      </x:c>
      <x:c r="D708" s="171" t="str">
        <x:f>IF(A708="","",'Refresh Control'!$B$4)</x:f>
      </x:c>
      <x:c r="E708" s="171" t="str">
        <x:f>IF(A708="","",IF(B708="Decommissioning",INDEX('Raw Decommissioning'!$F$2:$F$1000,ROWS($A$5:A708)),INDEX('Raw Provisioning'!$F$2:$F$1000,ROWS($A$5:A708)-COUNTA('Raw Decommissioning'!$B$2:$B$1000))))</x:f>
      </x:c>
      <x:c r="F708" s="171" t="str">
        <x:f>IF(A708="","",IF(B708="Decommissioning",INDEX('Raw Decommissioning'!$G$2:$G$1000,ROWS($A$5:A708)),INDEX('Raw Provisioning'!$H$2:$H$1000,ROWS($A$5:A708)-COUNTA('Raw Decommissioning'!$B$2:$B$1000))))</x:f>
      </x:c>
      <x:c r="G708" s="170" t="str">
        <x:f>IF(A708="","",IF(B708="Decommissioning",INDEX('Raw Decommissioning'!$I$2:$I$1000,ROWS($A$5:A708)),INDEX('Raw Provisioning'!$J$2:$J$1000,ROWS($A$5:A708)-COUNTA('Raw Decommissioning'!$B$2:$B$1000))))</x:f>
      </x:c>
      <x:c r="H708" s="170" t="str">
        <x:f>IF(A708="","",IF(B708="Decommissioning",INDEX('Raw Decommissioning'!$J$2:$J$1000,ROWS($A$5:A708)),INDEX('Raw Provisioning'!$L$2:$L$1000,ROWS($A$5:A708)-COUNTA('Raw Decommissioning'!$B$2:$B$1000))))</x:f>
      </x:c>
      <x:c r="I708" s="170" t="str">
        <x:f>IF(A708="","",IF(B708="Decommissioning",INDEX('Raw Decommissioning'!$AL$2:$AL$1000,ROWS($A$5:A708)),INDEX('Raw Provisioning'!$R$2:$R$1000,ROWS($A$5:A708)-COUNTA('Raw Decommissioning'!$B$2:$B$1000))))</x:f>
      </x:c>
      <x:c r="J708" s="170" t="str">
        <x:f>IF(A708="","",IF(B708="Decommissioning",INDEX('Raw Decommissioning'!$AG$2:$AG$1000,ROWS($A$5:A708)),INDEX('Raw Provisioning'!$AI$2:$AI$1000,ROWS($A$5:A708)-COUNTA('Raw Decommissioning'!$B$2:$B$1000))))</x:f>
      </x:c>
      <x:c r="K708" s="172" t="str">
        <x:f>IF(A708="","",IFERROR(LOOKUP(2,1/('Assignment History'!$B$5:$B$204=A708),'Assignment History'!$D$5:$D$204),IFERROR(VLOOKUP(J708,Configuration!$L$5:$M$50,2,FALSE),J708)))</x:f>
      </x:c>
      <x:c r="L708" s="172" t="str">
        <x:f>IF(A708="","",IF(K708=IFERROR(VLOOKUP(J708,Configuration!$L$5:$M$50,2,FALSE),J708),"Snapshot PIC","Replacement PIC"))</x:f>
      </x:c>
      <x:c r="M708" s="172" t="str">
        <x:f>IF(A708="","",IFERROR(VLOOKUP(I708,Configuration!$O$5:$P$8,2,FALSE),Configuration!$S$6))</x:f>
      </x:c>
      <x:c r="N708" s="172" t="str">
        <x:f>IF(A708="","",IFERROR(LOOKUP(2,1/('Scope Review'!$B$5:$B$204=A708),'Scope Review'!$G$5:$G$204),"Not Reviewed"))</x:f>
      </x:c>
      <x:c r="O708" s="172" t="str">
        <x:f>IF(A708="","",IFERROR(LOOKUP(2,1/('Scope Review'!$B$5:$B$204=A708),'Scope Review'!$H$5:$H$204),""))</x:f>
      </x:c>
      <x:c r="P708" s="172" t="str">
        <x:f>IF(A708="","",IF(AND(C708="executing",N708&lt;&gt;"Confirmed OOS"),M708,0))</x:f>
      </x:c>
      <x:c r="Q708" s="173" t="str">
        <x:f>IF(A708="","",IFERROR(LOOKUP(2,1/('Engineer Updates'!$B$5:$B$704=A708),'Engineer Updates'!$A$5:$A$704),""))</x:f>
      </x:c>
      <x:c r="R708" s="172" t="str">
        <x:f>IF(A708="","",IFERROR(LOOKUP(2,1/('Engineer Updates'!$B$5:$B$704=A708),'Engineer Updates'!$H$5:$H$704),""))</x:f>
      </x:c>
      <x:c r="S708" s="172" t="str">
        <x:f>IF(A708="","",IFERROR(LOOKUP(2,1/('Engineer Updates'!$B$5:$B$704=A708),'Engineer Updates'!$G$5:$G$704),""))</x:f>
      </x:c>
      <x:c r="T708" s="172" t="str">
        <x:f>IF(A708="","",IFERROR(LOOKUP(2,1/('Engineer Updates'!$B$5:$B$704=A708),'Engineer Updates'!$I$5:$I$704),""))</x:f>
      </x:c>
      <x:c r="U708" s="172" t="str">
        <x:f>IF(A708="","",IFERROR(LOOKUP(2,1/('Engineer Updates'!$B$5:$B$704=A708),'Engineer Updates'!$J$5:$J$704),""))</x:f>
      </x:c>
      <x:c r="V708" s="172" t="str">
        <x:f>IF(A708="","",IFERROR(LOOKUP(2,1/('Engineer Updates'!$B$5:$B$704=A708),'Engineer Updates'!$K$5:$K$704),""))</x:f>
      </x:c>
      <x:c r="W708" s="174" t="str">
        <x:f>IF(A708="","",IFERROR(LOOKUP(2,1/('Engineer Updates'!$B$5:$B$704=A708),'Engineer Updates'!$L$5:$L$704),""))</x:f>
      </x:c>
      <x:c r="X708" s="170" t="str">
        <x:f>IF(A708="","",IF(C708="completed","Completed in CSSP",IF(AND(C708="executing",ISERROR(SEARCH("@",K708))),"Executing without named engineer",IF(AND(N708="Confirmed OOS",C708="executing"),"Confirmed OOS still executing",""))))</x:f>
      </x:c>
      <x:c r="Y708" s="170" t="str">
        <x:f>IF(A708="","",IF(B708="Decommissioning","Raw Decommissioning","Raw Provisioning"))</x:f>
      </x:c>
      <x:c r="Z708" s="170" t="str">
        <x:f>IF(A708="","",IF(OR(C708="executing",C708="processing"),"Yes","No"))</x:f>
      </x:c>
    </x:row>
    <x:row r="709">
      <x:c r="A709" s="170" t="str">
        <x:f>IF(ROWS($A$5:A709)&lt;=COUNTA('Raw Decommissioning'!$B$2:$B$1000),INDEX('Raw Decommissioning'!$B$2:$B$1000,ROWS($A$5:A709)),IF(ROWS($A$5:A709)-COUNTA('Raw Decommissioning'!$B$2:$B$1000)&lt;=COUNTA('Raw Provisioning'!$B$2:$B$1000),INDEX('Raw Provisioning'!$B$2:$B$1000,ROWS($A$5:A709)-COUNTA('Raw Decommissioning'!$B$2:$B$1000)),""))</x:f>
      </x:c>
      <x:c r="B709" s="170" t="str">
        <x:f>IF(A709="","",IF(ROWS($A$5:A709)&lt;=COUNTA('Raw Decommissioning'!$B$2:$B$1000),"Decommissioning","Provisioning"))</x:f>
      </x:c>
      <x:c r="C709" s="170" t="str">
        <x:f>IF(A709="","",IF(B709="Decommissioning",IFERROR(INDEX('Raw Decommissioning'!$E$2:$E$1000,MATCH(A709,'Raw Decommissioning'!$B$2:$B$1000,0)),"Missing from latest raw"),IFERROR(INDEX('Raw Provisioning'!$E$2:$E$1000,MATCH(A709,'Raw Provisioning'!$B$2:$B$1000,0)),"Missing from latest raw")))</x:f>
      </x:c>
      <x:c r="D709" s="171" t="str">
        <x:f>IF(A709="","",'Refresh Control'!$B$4)</x:f>
      </x:c>
      <x:c r="E709" s="171" t="str">
        <x:f>IF(A709="","",IF(B709="Decommissioning",INDEX('Raw Decommissioning'!$F$2:$F$1000,ROWS($A$5:A709)),INDEX('Raw Provisioning'!$F$2:$F$1000,ROWS($A$5:A709)-COUNTA('Raw Decommissioning'!$B$2:$B$1000))))</x:f>
      </x:c>
      <x:c r="F709" s="171" t="str">
        <x:f>IF(A709="","",IF(B709="Decommissioning",INDEX('Raw Decommissioning'!$G$2:$G$1000,ROWS($A$5:A709)),INDEX('Raw Provisioning'!$H$2:$H$1000,ROWS($A$5:A709)-COUNTA('Raw Decommissioning'!$B$2:$B$1000))))</x:f>
      </x:c>
      <x:c r="G709" s="170" t="str">
        <x:f>IF(A709="","",IF(B709="Decommissioning",INDEX('Raw Decommissioning'!$I$2:$I$1000,ROWS($A$5:A709)),INDEX('Raw Provisioning'!$J$2:$J$1000,ROWS($A$5:A709)-COUNTA('Raw Decommissioning'!$B$2:$B$1000))))</x:f>
      </x:c>
      <x:c r="H709" s="170" t="str">
        <x:f>IF(A709="","",IF(B709="Decommissioning",INDEX('Raw Decommissioning'!$J$2:$J$1000,ROWS($A$5:A709)),INDEX('Raw Provisioning'!$L$2:$L$1000,ROWS($A$5:A709)-COUNTA('Raw Decommissioning'!$B$2:$B$1000))))</x:f>
      </x:c>
      <x:c r="I709" s="170" t="str">
        <x:f>IF(A709="","",IF(B709="Decommissioning",INDEX('Raw Decommissioning'!$AL$2:$AL$1000,ROWS($A$5:A709)),INDEX('Raw Provisioning'!$R$2:$R$1000,ROWS($A$5:A709)-COUNTA('Raw Decommissioning'!$B$2:$B$1000))))</x:f>
      </x:c>
      <x:c r="J709" s="170" t="str">
        <x:f>IF(A709="","",IF(B709="Decommissioning",INDEX('Raw Decommissioning'!$AG$2:$AG$1000,ROWS($A$5:A709)),INDEX('Raw Provisioning'!$AI$2:$AI$1000,ROWS($A$5:A709)-COUNTA('Raw Decommissioning'!$B$2:$B$1000))))</x:f>
      </x:c>
      <x:c r="K709" s="172" t="str">
        <x:f>IF(A709="","",IFERROR(LOOKUP(2,1/('Assignment History'!$B$5:$B$204=A709),'Assignment History'!$D$5:$D$204),IFERROR(VLOOKUP(J709,Configuration!$L$5:$M$50,2,FALSE),J709)))</x:f>
      </x:c>
      <x:c r="L709" s="172" t="str">
        <x:f>IF(A709="","",IF(K709=IFERROR(VLOOKUP(J709,Configuration!$L$5:$M$50,2,FALSE),J709),"Snapshot PIC","Replacement PIC"))</x:f>
      </x:c>
      <x:c r="M709" s="172" t="str">
        <x:f>IF(A709="","",IFERROR(VLOOKUP(I709,Configuration!$O$5:$P$8,2,FALSE),Configuration!$S$6))</x:f>
      </x:c>
      <x:c r="N709" s="172" t="str">
        <x:f>IF(A709="","",IFERROR(LOOKUP(2,1/('Scope Review'!$B$5:$B$204=A709),'Scope Review'!$G$5:$G$204),"Not Reviewed"))</x:f>
      </x:c>
      <x:c r="O709" s="172" t="str">
        <x:f>IF(A709="","",IFERROR(LOOKUP(2,1/('Scope Review'!$B$5:$B$204=A709),'Scope Review'!$H$5:$H$204),""))</x:f>
      </x:c>
      <x:c r="P709" s="172" t="str">
        <x:f>IF(A709="","",IF(AND(C709="executing",N709&lt;&gt;"Confirmed OOS"),M709,0))</x:f>
      </x:c>
      <x:c r="Q709" s="173" t="str">
        <x:f>IF(A709="","",IFERROR(LOOKUP(2,1/('Engineer Updates'!$B$5:$B$704=A709),'Engineer Updates'!$A$5:$A$704),""))</x:f>
      </x:c>
      <x:c r="R709" s="172" t="str">
        <x:f>IF(A709="","",IFERROR(LOOKUP(2,1/('Engineer Updates'!$B$5:$B$704=A709),'Engineer Updates'!$H$5:$H$704),""))</x:f>
      </x:c>
      <x:c r="S709" s="172" t="str">
        <x:f>IF(A709="","",IFERROR(LOOKUP(2,1/('Engineer Updates'!$B$5:$B$704=A709),'Engineer Updates'!$G$5:$G$704),""))</x:f>
      </x:c>
      <x:c r="T709" s="172" t="str">
        <x:f>IF(A709="","",IFERROR(LOOKUP(2,1/('Engineer Updates'!$B$5:$B$704=A709),'Engineer Updates'!$I$5:$I$704),""))</x:f>
      </x:c>
      <x:c r="U709" s="172" t="str">
        <x:f>IF(A709="","",IFERROR(LOOKUP(2,1/('Engineer Updates'!$B$5:$B$704=A709),'Engineer Updates'!$J$5:$J$704),""))</x:f>
      </x:c>
      <x:c r="V709" s="172" t="str">
        <x:f>IF(A709="","",IFERROR(LOOKUP(2,1/('Engineer Updates'!$B$5:$B$704=A709),'Engineer Updates'!$K$5:$K$704),""))</x:f>
      </x:c>
      <x:c r="W709" s="174" t="str">
        <x:f>IF(A709="","",IFERROR(LOOKUP(2,1/('Engineer Updates'!$B$5:$B$704=A709),'Engineer Updates'!$L$5:$L$704),""))</x:f>
      </x:c>
      <x:c r="X709" s="170" t="str">
        <x:f>IF(A709="","",IF(C709="completed","Completed in CSSP",IF(AND(C709="executing",ISERROR(SEARCH("@",K709))),"Executing without named engineer",IF(AND(N709="Confirmed OOS",C709="executing"),"Confirmed OOS still executing",""))))</x:f>
      </x:c>
      <x:c r="Y709" s="170" t="str">
        <x:f>IF(A709="","",IF(B709="Decommissioning","Raw Decommissioning","Raw Provisioning"))</x:f>
      </x:c>
      <x:c r="Z709" s="170" t="str">
        <x:f>IF(A709="","",IF(OR(C709="executing",C709="processing"),"Yes","No"))</x:f>
      </x:c>
    </x:row>
    <x:row r="710">
      <x:c r="A710" s="170" t="str">
        <x:f>IF(ROWS($A$5:A710)&lt;=COUNTA('Raw Decommissioning'!$B$2:$B$1000),INDEX('Raw Decommissioning'!$B$2:$B$1000,ROWS($A$5:A710)),IF(ROWS($A$5:A710)-COUNTA('Raw Decommissioning'!$B$2:$B$1000)&lt;=COUNTA('Raw Provisioning'!$B$2:$B$1000),INDEX('Raw Provisioning'!$B$2:$B$1000,ROWS($A$5:A710)-COUNTA('Raw Decommissioning'!$B$2:$B$1000)),""))</x:f>
      </x:c>
      <x:c r="B710" s="170" t="str">
        <x:f>IF(A710="","",IF(ROWS($A$5:A710)&lt;=COUNTA('Raw Decommissioning'!$B$2:$B$1000),"Decommissioning","Provisioning"))</x:f>
      </x:c>
      <x:c r="C710" s="170" t="str">
        <x:f>IF(A710="","",IF(B710="Decommissioning",IFERROR(INDEX('Raw Decommissioning'!$E$2:$E$1000,MATCH(A710,'Raw Decommissioning'!$B$2:$B$1000,0)),"Missing from latest raw"),IFERROR(INDEX('Raw Provisioning'!$E$2:$E$1000,MATCH(A710,'Raw Provisioning'!$B$2:$B$1000,0)),"Missing from latest raw")))</x:f>
      </x:c>
      <x:c r="D710" s="171" t="str">
        <x:f>IF(A710="","",'Refresh Control'!$B$4)</x:f>
      </x:c>
      <x:c r="E710" s="171" t="str">
        <x:f>IF(A710="","",IF(B710="Decommissioning",INDEX('Raw Decommissioning'!$F$2:$F$1000,ROWS($A$5:A710)),INDEX('Raw Provisioning'!$F$2:$F$1000,ROWS($A$5:A710)-COUNTA('Raw Decommissioning'!$B$2:$B$1000))))</x:f>
      </x:c>
      <x:c r="F710" s="171" t="str">
        <x:f>IF(A710="","",IF(B710="Decommissioning",INDEX('Raw Decommissioning'!$G$2:$G$1000,ROWS($A$5:A710)),INDEX('Raw Provisioning'!$H$2:$H$1000,ROWS($A$5:A710)-COUNTA('Raw Decommissioning'!$B$2:$B$1000))))</x:f>
      </x:c>
      <x:c r="G710" s="170" t="str">
        <x:f>IF(A710="","",IF(B710="Decommissioning",INDEX('Raw Decommissioning'!$I$2:$I$1000,ROWS($A$5:A710)),INDEX('Raw Provisioning'!$J$2:$J$1000,ROWS($A$5:A710)-COUNTA('Raw Decommissioning'!$B$2:$B$1000))))</x:f>
      </x:c>
      <x:c r="H710" s="170" t="str">
        <x:f>IF(A710="","",IF(B710="Decommissioning",INDEX('Raw Decommissioning'!$J$2:$J$1000,ROWS($A$5:A710)),INDEX('Raw Provisioning'!$L$2:$L$1000,ROWS($A$5:A710)-COUNTA('Raw Decommissioning'!$B$2:$B$1000))))</x:f>
      </x:c>
      <x:c r="I710" s="170" t="str">
        <x:f>IF(A710="","",IF(B710="Decommissioning",INDEX('Raw Decommissioning'!$AL$2:$AL$1000,ROWS($A$5:A710)),INDEX('Raw Provisioning'!$R$2:$R$1000,ROWS($A$5:A710)-COUNTA('Raw Decommissioning'!$B$2:$B$1000))))</x:f>
      </x:c>
      <x:c r="J710" s="170" t="str">
        <x:f>IF(A710="","",IF(B710="Decommissioning",INDEX('Raw Decommissioning'!$AG$2:$AG$1000,ROWS($A$5:A710)),INDEX('Raw Provisioning'!$AI$2:$AI$1000,ROWS($A$5:A710)-COUNTA('Raw Decommissioning'!$B$2:$B$1000))))</x:f>
      </x:c>
      <x:c r="K710" s="172" t="str">
        <x:f>IF(A710="","",IFERROR(LOOKUP(2,1/('Assignment History'!$B$5:$B$204=A710),'Assignment History'!$D$5:$D$204),IFERROR(VLOOKUP(J710,Configuration!$L$5:$M$50,2,FALSE),J710)))</x:f>
      </x:c>
      <x:c r="L710" s="172" t="str">
        <x:f>IF(A710="","",IF(K710=IFERROR(VLOOKUP(J710,Configuration!$L$5:$M$50,2,FALSE),J710),"Snapshot PIC","Replacement PIC"))</x:f>
      </x:c>
      <x:c r="M710" s="172" t="str">
        <x:f>IF(A710="","",IFERROR(VLOOKUP(I710,Configuration!$O$5:$P$8,2,FALSE),Configuration!$S$6))</x:f>
      </x:c>
      <x:c r="N710" s="172" t="str">
        <x:f>IF(A710="","",IFERROR(LOOKUP(2,1/('Scope Review'!$B$5:$B$204=A710),'Scope Review'!$G$5:$G$204),"Not Reviewed"))</x:f>
      </x:c>
      <x:c r="O710" s="172" t="str">
        <x:f>IF(A710="","",IFERROR(LOOKUP(2,1/('Scope Review'!$B$5:$B$204=A710),'Scope Review'!$H$5:$H$204),""))</x:f>
      </x:c>
      <x:c r="P710" s="172" t="str">
        <x:f>IF(A710="","",IF(AND(C710="executing",N710&lt;&gt;"Confirmed OOS"),M710,0))</x:f>
      </x:c>
      <x:c r="Q710" s="173" t="str">
        <x:f>IF(A710="","",IFERROR(LOOKUP(2,1/('Engineer Updates'!$B$5:$B$704=A710),'Engineer Updates'!$A$5:$A$704),""))</x:f>
      </x:c>
      <x:c r="R710" s="172" t="str">
        <x:f>IF(A710="","",IFERROR(LOOKUP(2,1/('Engineer Updates'!$B$5:$B$704=A710),'Engineer Updates'!$H$5:$H$704),""))</x:f>
      </x:c>
      <x:c r="S710" s="172" t="str">
        <x:f>IF(A710="","",IFERROR(LOOKUP(2,1/('Engineer Updates'!$B$5:$B$704=A710),'Engineer Updates'!$G$5:$G$704),""))</x:f>
      </x:c>
      <x:c r="T710" s="172" t="str">
        <x:f>IF(A710="","",IFERROR(LOOKUP(2,1/('Engineer Updates'!$B$5:$B$704=A710),'Engineer Updates'!$I$5:$I$704),""))</x:f>
      </x:c>
      <x:c r="U710" s="172" t="str">
        <x:f>IF(A710="","",IFERROR(LOOKUP(2,1/('Engineer Updates'!$B$5:$B$704=A710),'Engineer Updates'!$J$5:$J$704),""))</x:f>
      </x:c>
      <x:c r="V710" s="172" t="str">
        <x:f>IF(A710="","",IFERROR(LOOKUP(2,1/('Engineer Updates'!$B$5:$B$704=A710),'Engineer Updates'!$K$5:$K$704),""))</x:f>
      </x:c>
      <x:c r="W710" s="174" t="str">
        <x:f>IF(A710="","",IFERROR(LOOKUP(2,1/('Engineer Updates'!$B$5:$B$704=A710),'Engineer Updates'!$L$5:$L$704),""))</x:f>
      </x:c>
      <x:c r="X710" s="170" t="str">
        <x:f>IF(A710="","",IF(C710="completed","Completed in CSSP",IF(AND(C710="executing",ISERROR(SEARCH("@",K710))),"Executing without named engineer",IF(AND(N710="Confirmed OOS",C710="executing"),"Confirmed OOS still executing",""))))</x:f>
      </x:c>
      <x:c r="Y710" s="170" t="str">
        <x:f>IF(A710="","",IF(B710="Decommissioning","Raw Decommissioning","Raw Provisioning"))</x:f>
      </x:c>
      <x:c r="Z710" s="170" t="str">
        <x:f>IF(A710="","",IF(OR(C710="executing",C710="processing"),"Yes","No"))</x:f>
      </x:c>
    </x:row>
    <x:row r="711">
      <x:c r="A711" s="170" t="str">
        <x:f>IF(ROWS($A$5:A711)&lt;=COUNTA('Raw Decommissioning'!$B$2:$B$1000),INDEX('Raw Decommissioning'!$B$2:$B$1000,ROWS($A$5:A711)),IF(ROWS($A$5:A711)-COUNTA('Raw Decommissioning'!$B$2:$B$1000)&lt;=COUNTA('Raw Provisioning'!$B$2:$B$1000),INDEX('Raw Provisioning'!$B$2:$B$1000,ROWS($A$5:A711)-COUNTA('Raw Decommissioning'!$B$2:$B$1000)),""))</x:f>
      </x:c>
      <x:c r="B711" s="170" t="str">
        <x:f>IF(A711="","",IF(ROWS($A$5:A711)&lt;=COUNTA('Raw Decommissioning'!$B$2:$B$1000),"Decommissioning","Provisioning"))</x:f>
      </x:c>
      <x:c r="C711" s="170" t="str">
        <x:f>IF(A711="","",IF(B711="Decommissioning",IFERROR(INDEX('Raw Decommissioning'!$E$2:$E$1000,MATCH(A711,'Raw Decommissioning'!$B$2:$B$1000,0)),"Missing from latest raw"),IFERROR(INDEX('Raw Provisioning'!$E$2:$E$1000,MATCH(A711,'Raw Provisioning'!$B$2:$B$1000,0)),"Missing from latest raw")))</x:f>
      </x:c>
      <x:c r="D711" s="171" t="str">
        <x:f>IF(A711="","",'Refresh Control'!$B$4)</x:f>
      </x:c>
      <x:c r="E711" s="171" t="str">
        <x:f>IF(A711="","",IF(B711="Decommissioning",INDEX('Raw Decommissioning'!$F$2:$F$1000,ROWS($A$5:A711)),INDEX('Raw Provisioning'!$F$2:$F$1000,ROWS($A$5:A711)-COUNTA('Raw Decommissioning'!$B$2:$B$1000))))</x:f>
      </x:c>
      <x:c r="F711" s="171" t="str">
        <x:f>IF(A711="","",IF(B711="Decommissioning",INDEX('Raw Decommissioning'!$G$2:$G$1000,ROWS($A$5:A711)),INDEX('Raw Provisioning'!$H$2:$H$1000,ROWS($A$5:A711)-COUNTA('Raw Decommissioning'!$B$2:$B$1000))))</x:f>
      </x:c>
      <x:c r="G711" s="170" t="str">
        <x:f>IF(A711="","",IF(B711="Decommissioning",INDEX('Raw Decommissioning'!$I$2:$I$1000,ROWS($A$5:A711)),INDEX('Raw Provisioning'!$J$2:$J$1000,ROWS($A$5:A711)-COUNTA('Raw Decommissioning'!$B$2:$B$1000))))</x:f>
      </x:c>
      <x:c r="H711" s="170" t="str">
        <x:f>IF(A711="","",IF(B711="Decommissioning",INDEX('Raw Decommissioning'!$J$2:$J$1000,ROWS($A$5:A711)),INDEX('Raw Provisioning'!$L$2:$L$1000,ROWS($A$5:A711)-COUNTA('Raw Decommissioning'!$B$2:$B$1000))))</x:f>
      </x:c>
      <x:c r="I711" s="170" t="str">
        <x:f>IF(A711="","",IF(B711="Decommissioning",INDEX('Raw Decommissioning'!$AL$2:$AL$1000,ROWS($A$5:A711)),INDEX('Raw Provisioning'!$R$2:$R$1000,ROWS($A$5:A711)-COUNTA('Raw Decommissioning'!$B$2:$B$1000))))</x:f>
      </x:c>
      <x:c r="J711" s="170" t="str">
        <x:f>IF(A711="","",IF(B711="Decommissioning",INDEX('Raw Decommissioning'!$AG$2:$AG$1000,ROWS($A$5:A711)),INDEX('Raw Provisioning'!$AI$2:$AI$1000,ROWS($A$5:A711)-COUNTA('Raw Decommissioning'!$B$2:$B$1000))))</x:f>
      </x:c>
      <x:c r="K711" s="172" t="str">
        <x:f>IF(A711="","",IFERROR(LOOKUP(2,1/('Assignment History'!$B$5:$B$204=A711),'Assignment History'!$D$5:$D$204),IFERROR(VLOOKUP(J711,Configuration!$L$5:$M$50,2,FALSE),J711)))</x:f>
      </x:c>
      <x:c r="L711" s="172" t="str">
        <x:f>IF(A711="","",IF(K711=IFERROR(VLOOKUP(J711,Configuration!$L$5:$M$50,2,FALSE),J711),"Snapshot PIC","Replacement PIC"))</x:f>
      </x:c>
      <x:c r="M711" s="172" t="str">
        <x:f>IF(A711="","",IFERROR(VLOOKUP(I711,Configuration!$O$5:$P$8,2,FALSE),Configuration!$S$6))</x:f>
      </x:c>
      <x:c r="N711" s="172" t="str">
        <x:f>IF(A711="","",IFERROR(LOOKUP(2,1/('Scope Review'!$B$5:$B$204=A711),'Scope Review'!$G$5:$G$204),"Not Reviewed"))</x:f>
      </x:c>
      <x:c r="O711" s="172" t="str">
        <x:f>IF(A711="","",IFERROR(LOOKUP(2,1/('Scope Review'!$B$5:$B$204=A711),'Scope Review'!$H$5:$H$204),""))</x:f>
      </x:c>
      <x:c r="P711" s="172" t="str">
        <x:f>IF(A711="","",IF(AND(C711="executing",N711&lt;&gt;"Confirmed OOS"),M711,0))</x:f>
      </x:c>
      <x:c r="Q711" s="173" t="str">
        <x:f>IF(A711="","",IFERROR(LOOKUP(2,1/('Engineer Updates'!$B$5:$B$704=A711),'Engineer Updates'!$A$5:$A$704),""))</x:f>
      </x:c>
      <x:c r="R711" s="172" t="str">
        <x:f>IF(A711="","",IFERROR(LOOKUP(2,1/('Engineer Updates'!$B$5:$B$704=A711),'Engineer Updates'!$H$5:$H$704),""))</x:f>
      </x:c>
      <x:c r="S711" s="172" t="str">
        <x:f>IF(A711="","",IFERROR(LOOKUP(2,1/('Engineer Updates'!$B$5:$B$704=A711),'Engineer Updates'!$G$5:$G$704),""))</x:f>
      </x:c>
      <x:c r="T711" s="172" t="str">
        <x:f>IF(A711="","",IFERROR(LOOKUP(2,1/('Engineer Updates'!$B$5:$B$704=A711),'Engineer Updates'!$I$5:$I$704),""))</x:f>
      </x:c>
      <x:c r="U711" s="172" t="str">
        <x:f>IF(A711="","",IFERROR(LOOKUP(2,1/('Engineer Updates'!$B$5:$B$704=A711),'Engineer Updates'!$J$5:$J$704),""))</x:f>
      </x:c>
      <x:c r="V711" s="172" t="str">
        <x:f>IF(A711="","",IFERROR(LOOKUP(2,1/('Engineer Updates'!$B$5:$B$704=A711),'Engineer Updates'!$K$5:$K$704),""))</x:f>
      </x:c>
      <x:c r="W711" s="174" t="str">
        <x:f>IF(A711="","",IFERROR(LOOKUP(2,1/('Engineer Updates'!$B$5:$B$704=A711),'Engineer Updates'!$L$5:$L$704),""))</x:f>
      </x:c>
      <x:c r="X711" s="170" t="str">
        <x:f>IF(A711="","",IF(C711="completed","Completed in CSSP",IF(AND(C711="executing",ISERROR(SEARCH("@",K711))),"Executing without named engineer",IF(AND(N711="Confirmed OOS",C711="executing"),"Confirmed OOS still executing",""))))</x:f>
      </x:c>
      <x:c r="Y711" s="170" t="str">
        <x:f>IF(A711="","",IF(B711="Decommissioning","Raw Decommissioning","Raw Provisioning"))</x:f>
      </x:c>
      <x:c r="Z711" s="170" t="str">
        <x:f>IF(A711="","",IF(OR(C711="executing",C711="processing"),"Yes","No"))</x:f>
      </x:c>
    </x:row>
    <x:row r="712">
      <x:c r="A712" s="170" t="str">
        <x:f>IF(ROWS($A$5:A712)&lt;=COUNTA('Raw Decommissioning'!$B$2:$B$1000),INDEX('Raw Decommissioning'!$B$2:$B$1000,ROWS($A$5:A712)),IF(ROWS($A$5:A712)-COUNTA('Raw Decommissioning'!$B$2:$B$1000)&lt;=COUNTA('Raw Provisioning'!$B$2:$B$1000),INDEX('Raw Provisioning'!$B$2:$B$1000,ROWS($A$5:A712)-COUNTA('Raw Decommissioning'!$B$2:$B$1000)),""))</x:f>
      </x:c>
      <x:c r="B712" s="170" t="str">
        <x:f>IF(A712="","",IF(ROWS($A$5:A712)&lt;=COUNTA('Raw Decommissioning'!$B$2:$B$1000),"Decommissioning","Provisioning"))</x:f>
      </x:c>
      <x:c r="C712" s="170" t="str">
        <x:f>IF(A712="","",IF(B712="Decommissioning",IFERROR(INDEX('Raw Decommissioning'!$E$2:$E$1000,MATCH(A712,'Raw Decommissioning'!$B$2:$B$1000,0)),"Missing from latest raw"),IFERROR(INDEX('Raw Provisioning'!$E$2:$E$1000,MATCH(A712,'Raw Provisioning'!$B$2:$B$1000,0)),"Missing from latest raw")))</x:f>
      </x:c>
      <x:c r="D712" s="171" t="str">
        <x:f>IF(A712="","",'Refresh Control'!$B$4)</x:f>
      </x:c>
      <x:c r="E712" s="171" t="str">
        <x:f>IF(A712="","",IF(B712="Decommissioning",INDEX('Raw Decommissioning'!$F$2:$F$1000,ROWS($A$5:A712)),INDEX('Raw Provisioning'!$F$2:$F$1000,ROWS($A$5:A712)-COUNTA('Raw Decommissioning'!$B$2:$B$1000))))</x:f>
      </x:c>
      <x:c r="F712" s="171" t="str">
        <x:f>IF(A712="","",IF(B712="Decommissioning",INDEX('Raw Decommissioning'!$G$2:$G$1000,ROWS($A$5:A712)),INDEX('Raw Provisioning'!$H$2:$H$1000,ROWS($A$5:A712)-COUNTA('Raw Decommissioning'!$B$2:$B$1000))))</x:f>
      </x:c>
      <x:c r="G712" s="170" t="str">
        <x:f>IF(A712="","",IF(B712="Decommissioning",INDEX('Raw Decommissioning'!$I$2:$I$1000,ROWS($A$5:A712)),INDEX('Raw Provisioning'!$J$2:$J$1000,ROWS($A$5:A712)-COUNTA('Raw Decommissioning'!$B$2:$B$1000))))</x:f>
      </x:c>
      <x:c r="H712" s="170" t="str">
        <x:f>IF(A712="","",IF(B712="Decommissioning",INDEX('Raw Decommissioning'!$J$2:$J$1000,ROWS($A$5:A712)),INDEX('Raw Provisioning'!$L$2:$L$1000,ROWS($A$5:A712)-COUNTA('Raw Decommissioning'!$B$2:$B$1000))))</x:f>
      </x:c>
      <x:c r="I712" s="170" t="str">
        <x:f>IF(A712="","",IF(B712="Decommissioning",INDEX('Raw Decommissioning'!$AL$2:$AL$1000,ROWS($A$5:A712)),INDEX('Raw Provisioning'!$R$2:$R$1000,ROWS($A$5:A712)-COUNTA('Raw Decommissioning'!$B$2:$B$1000))))</x:f>
      </x:c>
      <x:c r="J712" s="170" t="str">
        <x:f>IF(A712="","",IF(B712="Decommissioning",INDEX('Raw Decommissioning'!$AG$2:$AG$1000,ROWS($A$5:A712)),INDEX('Raw Provisioning'!$AI$2:$AI$1000,ROWS($A$5:A712)-COUNTA('Raw Decommissioning'!$B$2:$B$1000))))</x:f>
      </x:c>
      <x:c r="K712" s="172" t="str">
        <x:f>IF(A712="","",IFERROR(LOOKUP(2,1/('Assignment History'!$B$5:$B$204=A712),'Assignment History'!$D$5:$D$204),IFERROR(VLOOKUP(J712,Configuration!$L$5:$M$50,2,FALSE),J712)))</x:f>
      </x:c>
      <x:c r="L712" s="172" t="str">
        <x:f>IF(A712="","",IF(K712=IFERROR(VLOOKUP(J712,Configuration!$L$5:$M$50,2,FALSE),J712),"Snapshot PIC","Replacement PIC"))</x:f>
      </x:c>
      <x:c r="M712" s="172" t="str">
        <x:f>IF(A712="","",IFERROR(VLOOKUP(I712,Configuration!$O$5:$P$8,2,FALSE),Configuration!$S$6))</x:f>
      </x:c>
      <x:c r="N712" s="172" t="str">
        <x:f>IF(A712="","",IFERROR(LOOKUP(2,1/('Scope Review'!$B$5:$B$204=A712),'Scope Review'!$G$5:$G$204),"Not Reviewed"))</x:f>
      </x:c>
      <x:c r="O712" s="172" t="str">
        <x:f>IF(A712="","",IFERROR(LOOKUP(2,1/('Scope Review'!$B$5:$B$204=A712),'Scope Review'!$H$5:$H$204),""))</x:f>
      </x:c>
      <x:c r="P712" s="172" t="str">
        <x:f>IF(A712="","",IF(AND(C712="executing",N712&lt;&gt;"Confirmed OOS"),M712,0))</x:f>
      </x:c>
      <x:c r="Q712" s="173" t="str">
        <x:f>IF(A712="","",IFERROR(LOOKUP(2,1/('Engineer Updates'!$B$5:$B$704=A712),'Engineer Updates'!$A$5:$A$704),""))</x:f>
      </x:c>
      <x:c r="R712" s="172" t="str">
        <x:f>IF(A712="","",IFERROR(LOOKUP(2,1/('Engineer Updates'!$B$5:$B$704=A712),'Engineer Updates'!$H$5:$H$704),""))</x:f>
      </x:c>
      <x:c r="S712" s="172" t="str">
        <x:f>IF(A712="","",IFERROR(LOOKUP(2,1/('Engineer Updates'!$B$5:$B$704=A712),'Engineer Updates'!$G$5:$G$704),""))</x:f>
      </x:c>
      <x:c r="T712" s="172" t="str">
        <x:f>IF(A712="","",IFERROR(LOOKUP(2,1/('Engineer Updates'!$B$5:$B$704=A712),'Engineer Updates'!$I$5:$I$704),""))</x:f>
      </x:c>
      <x:c r="U712" s="172" t="str">
        <x:f>IF(A712="","",IFERROR(LOOKUP(2,1/('Engineer Updates'!$B$5:$B$704=A712),'Engineer Updates'!$J$5:$J$704),""))</x:f>
      </x:c>
      <x:c r="V712" s="172" t="str">
        <x:f>IF(A712="","",IFERROR(LOOKUP(2,1/('Engineer Updates'!$B$5:$B$704=A712),'Engineer Updates'!$K$5:$K$704),""))</x:f>
      </x:c>
      <x:c r="W712" s="174" t="str">
        <x:f>IF(A712="","",IFERROR(LOOKUP(2,1/('Engineer Updates'!$B$5:$B$704=A712),'Engineer Updates'!$L$5:$L$704),""))</x:f>
      </x:c>
      <x:c r="X712" s="170" t="str">
        <x:f>IF(A712="","",IF(C712="completed","Completed in CSSP",IF(AND(C712="executing",ISERROR(SEARCH("@",K712))),"Executing without named engineer",IF(AND(N712="Confirmed OOS",C712="executing"),"Confirmed OOS still executing",""))))</x:f>
      </x:c>
      <x:c r="Y712" s="170" t="str">
        <x:f>IF(A712="","",IF(B712="Decommissioning","Raw Decommissioning","Raw Provisioning"))</x:f>
      </x:c>
      <x:c r="Z712" s="170" t="str">
        <x:f>IF(A712="","",IF(OR(C712="executing",C712="processing"),"Yes","No"))</x:f>
      </x:c>
    </x:row>
    <x:row r="713">
      <x:c r="A713" s="170" t="str">
        <x:f>IF(ROWS($A$5:A713)&lt;=COUNTA('Raw Decommissioning'!$B$2:$B$1000),INDEX('Raw Decommissioning'!$B$2:$B$1000,ROWS($A$5:A713)),IF(ROWS($A$5:A713)-COUNTA('Raw Decommissioning'!$B$2:$B$1000)&lt;=COUNTA('Raw Provisioning'!$B$2:$B$1000),INDEX('Raw Provisioning'!$B$2:$B$1000,ROWS($A$5:A713)-COUNTA('Raw Decommissioning'!$B$2:$B$1000)),""))</x:f>
      </x:c>
      <x:c r="B713" s="170" t="str">
        <x:f>IF(A713="","",IF(ROWS($A$5:A713)&lt;=COUNTA('Raw Decommissioning'!$B$2:$B$1000),"Decommissioning","Provisioning"))</x:f>
      </x:c>
      <x:c r="C713" s="170" t="str">
        <x:f>IF(A713="","",IF(B713="Decommissioning",IFERROR(INDEX('Raw Decommissioning'!$E$2:$E$1000,MATCH(A713,'Raw Decommissioning'!$B$2:$B$1000,0)),"Missing from latest raw"),IFERROR(INDEX('Raw Provisioning'!$E$2:$E$1000,MATCH(A713,'Raw Provisioning'!$B$2:$B$1000,0)),"Missing from latest raw")))</x:f>
      </x:c>
      <x:c r="D713" s="171" t="str">
        <x:f>IF(A713="","",'Refresh Control'!$B$4)</x:f>
      </x:c>
      <x:c r="E713" s="171" t="str">
        <x:f>IF(A713="","",IF(B713="Decommissioning",INDEX('Raw Decommissioning'!$F$2:$F$1000,ROWS($A$5:A713)),INDEX('Raw Provisioning'!$F$2:$F$1000,ROWS($A$5:A713)-COUNTA('Raw Decommissioning'!$B$2:$B$1000))))</x:f>
      </x:c>
      <x:c r="F713" s="171" t="str">
        <x:f>IF(A713="","",IF(B713="Decommissioning",INDEX('Raw Decommissioning'!$G$2:$G$1000,ROWS($A$5:A713)),INDEX('Raw Provisioning'!$H$2:$H$1000,ROWS($A$5:A713)-COUNTA('Raw Decommissioning'!$B$2:$B$1000))))</x:f>
      </x:c>
      <x:c r="G713" s="170" t="str">
        <x:f>IF(A713="","",IF(B713="Decommissioning",INDEX('Raw Decommissioning'!$I$2:$I$1000,ROWS($A$5:A713)),INDEX('Raw Provisioning'!$J$2:$J$1000,ROWS($A$5:A713)-COUNTA('Raw Decommissioning'!$B$2:$B$1000))))</x:f>
      </x:c>
      <x:c r="H713" s="170" t="str">
        <x:f>IF(A713="","",IF(B713="Decommissioning",INDEX('Raw Decommissioning'!$J$2:$J$1000,ROWS($A$5:A713)),INDEX('Raw Provisioning'!$L$2:$L$1000,ROWS($A$5:A713)-COUNTA('Raw Decommissioning'!$B$2:$B$1000))))</x:f>
      </x:c>
      <x:c r="I713" s="170" t="str">
        <x:f>IF(A713="","",IF(B713="Decommissioning",INDEX('Raw Decommissioning'!$AL$2:$AL$1000,ROWS($A$5:A713)),INDEX('Raw Provisioning'!$R$2:$R$1000,ROWS($A$5:A713)-COUNTA('Raw Decommissioning'!$B$2:$B$1000))))</x:f>
      </x:c>
      <x:c r="J713" s="170" t="str">
        <x:f>IF(A713="","",IF(B713="Decommissioning",INDEX('Raw Decommissioning'!$AG$2:$AG$1000,ROWS($A$5:A713)),INDEX('Raw Provisioning'!$AI$2:$AI$1000,ROWS($A$5:A713)-COUNTA('Raw Decommissioning'!$B$2:$B$1000))))</x:f>
      </x:c>
      <x:c r="K713" s="172" t="str">
        <x:f>IF(A713="","",IFERROR(LOOKUP(2,1/('Assignment History'!$B$5:$B$204=A713),'Assignment History'!$D$5:$D$204),IFERROR(VLOOKUP(J713,Configuration!$L$5:$M$50,2,FALSE),J713)))</x:f>
      </x:c>
      <x:c r="L713" s="172" t="str">
        <x:f>IF(A713="","",IF(K713=IFERROR(VLOOKUP(J713,Configuration!$L$5:$M$50,2,FALSE),J713),"Snapshot PIC","Replacement PIC"))</x:f>
      </x:c>
      <x:c r="M713" s="172" t="str">
        <x:f>IF(A713="","",IFERROR(VLOOKUP(I713,Configuration!$O$5:$P$8,2,FALSE),Configuration!$S$6))</x:f>
      </x:c>
      <x:c r="N713" s="172" t="str">
        <x:f>IF(A713="","",IFERROR(LOOKUP(2,1/('Scope Review'!$B$5:$B$204=A713),'Scope Review'!$G$5:$G$204),"Not Reviewed"))</x:f>
      </x:c>
      <x:c r="O713" s="172" t="str">
        <x:f>IF(A713="","",IFERROR(LOOKUP(2,1/('Scope Review'!$B$5:$B$204=A713),'Scope Review'!$H$5:$H$204),""))</x:f>
      </x:c>
      <x:c r="P713" s="172" t="str">
        <x:f>IF(A713="","",IF(AND(C713="executing",N713&lt;&gt;"Confirmed OOS"),M713,0))</x:f>
      </x:c>
      <x:c r="Q713" s="173" t="str">
        <x:f>IF(A713="","",IFERROR(LOOKUP(2,1/('Engineer Updates'!$B$5:$B$704=A713),'Engineer Updates'!$A$5:$A$704),""))</x:f>
      </x:c>
      <x:c r="R713" s="172" t="str">
        <x:f>IF(A713="","",IFERROR(LOOKUP(2,1/('Engineer Updates'!$B$5:$B$704=A713),'Engineer Updates'!$H$5:$H$704),""))</x:f>
      </x:c>
      <x:c r="S713" s="172" t="str">
        <x:f>IF(A713="","",IFERROR(LOOKUP(2,1/('Engineer Updates'!$B$5:$B$704=A713),'Engineer Updates'!$G$5:$G$704),""))</x:f>
      </x:c>
      <x:c r="T713" s="172" t="str">
        <x:f>IF(A713="","",IFERROR(LOOKUP(2,1/('Engineer Updates'!$B$5:$B$704=A713),'Engineer Updates'!$I$5:$I$704),""))</x:f>
      </x:c>
      <x:c r="U713" s="172" t="str">
        <x:f>IF(A713="","",IFERROR(LOOKUP(2,1/('Engineer Updates'!$B$5:$B$704=A713),'Engineer Updates'!$J$5:$J$704),""))</x:f>
      </x:c>
      <x:c r="V713" s="172" t="str">
        <x:f>IF(A713="","",IFERROR(LOOKUP(2,1/('Engineer Updates'!$B$5:$B$704=A713),'Engineer Updates'!$K$5:$K$704),""))</x:f>
      </x:c>
      <x:c r="W713" s="174" t="str">
        <x:f>IF(A713="","",IFERROR(LOOKUP(2,1/('Engineer Updates'!$B$5:$B$704=A713),'Engineer Updates'!$L$5:$L$704),""))</x:f>
      </x:c>
      <x:c r="X713" s="170" t="str">
        <x:f>IF(A713="","",IF(C713="completed","Completed in CSSP",IF(AND(C713="executing",ISERROR(SEARCH("@",K713))),"Executing without named engineer",IF(AND(N713="Confirmed OOS",C713="executing"),"Confirmed OOS still executing",""))))</x:f>
      </x:c>
      <x:c r="Y713" s="170" t="str">
        <x:f>IF(A713="","",IF(B713="Decommissioning","Raw Decommissioning","Raw Provisioning"))</x:f>
      </x:c>
      <x:c r="Z713" s="170" t="str">
        <x:f>IF(A713="","",IF(OR(C713="executing",C713="processing"),"Yes","No"))</x:f>
      </x:c>
    </x:row>
    <x:row r="714">
      <x:c r="A714" s="170" t="str">
        <x:f>IF(ROWS($A$5:A714)&lt;=COUNTA('Raw Decommissioning'!$B$2:$B$1000),INDEX('Raw Decommissioning'!$B$2:$B$1000,ROWS($A$5:A714)),IF(ROWS($A$5:A714)-COUNTA('Raw Decommissioning'!$B$2:$B$1000)&lt;=COUNTA('Raw Provisioning'!$B$2:$B$1000),INDEX('Raw Provisioning'!$B$2:$B$1000,ROWS($A$5:A714)-COUNTA('Raw Decommissioning'!$B$2:$B$1000)),""))</x:f>
      </x:c>
      <x:c r="B714" s="170" t="str">
        <x:f>IF(A714="","",IF(ROWS($A$5:A714)&lt;=COUNTA('Raw Decommissioning'!$B$2:$B$1000),"Decommissioning","Provisioning"))</x:f>
      </x:c>
      <x:c r="C714" s="170" t="str">
        <x:f>IF(A714="","",IF(B714="Decommissioning",IFERROR(INDEX('Raw Decommissioning'!$E$2:$E$1000,MATCH(A714,'Raw Decommissioning'!$B$2:$B$1000,0)),"Missing from latest raw"),IFERROR(INDEX('Raw Provisioning'!$E$2:$E$1000,MATCH(A714,'Raw Provisioning'!$B$2:$B$1000,0)),"Missing from latest raw")))</x:f>
      </x:c>
      <x:c r="D714" s="171" t="str">
        <x:f>IF(A714="","",'Refresh Control'!$B$4)</x:f>
      </x:c>
      <x:c r="E714" s="171" t="str">
        <x:f>IF(A714="","",IF(B714="Decommissioning",INDEX('Raw Decommissioning'!$F$2:$F$1000,ROWS($A$5:A714)),INDEX('Raw Provisioning'!$F$2:$F$1000,ROWS($A$5:A714)-COUNTA('Raw Decommissioning'!$B$2:$B$1000))))</x:f>
      </x:c>
      <x:c r="F714" s="171" t="str">
        <x:f>IF(A714="","",IF(B714="Decommissioning",INDEX('Raw Decommissioning'!$G$2:$G$1000,ROWS($A$5:A714)),INDEX('Raw Provisioning'!$H$2:$H$1000,ROWS($A$5:A714)-COUNTA('Raw Decommissioning'!$B$2:$B$1000))))</x:f>
      </x:c>
      <x:c r="G714" s="170" t="str">
        <x:f>IF(A714="","",IF(B714="Decommissioning",INDEX('Raw Decommissioning'!$I$2:$I$1000,ROWS($A$5:A714)),INDEX('Raw Provisioning'!$J$2:$J$1000,ROWS($A$5:A714)-COUNTA('Raw Decommissioning'!$B$2:$B$1000))))</x:f>
      </x:c>
      <x:c r="H714" s="170" t="str">
        <x:f>IF(A714="","",IF(B714="Decommissioning",INDEX('Raw Decommissioning'!$J$2:$J$1000,ROWS($A$5:A714)),INDEX('Raw Provisioning'!$L$2:$L$1000,ROWS($A$5:A714)-COUNTA('Raw Decommissioning'!$B$2:$B$1000))))</x:f>
      </x:c>
      <x:c r="I714" s="170" t="str">
        <x:f>IF(A714="","",IF(B714="Decommissioning",INDEX('Raw Decommissioning'!$AL$2:$AL$1000,ROWS($A$5:A714)),INDEX('Raw Provisioning'!$R$2:$R$1000,ROWS($A$5:A714)-COUNTA('Raw Decommissioning'!$B$2:$B$1000))))</x:f>
      </x:c>
      <x:c r="J714" s="170" t="str">
        <x:f>IF(A714="","",IF(B714="Decommissioning",INDEX('Raw Decommissioning'!$AG$2:$AG$1000,ROWS($A$5:A714)),INDEX('Raw Provisioning'!$AI$2:$AI$1000,ROWS($A$5:A714)-COUNTA('Raw Decommissioning'!$B$2:$B$1000))))</x:f>
      </x:c>
      <x:c r="K714" s="172" t="str">
        <x:f>IF(A714="","",IFERROR(LOOKUP(2,1/('Assignment History'!$B$5:$B$204=A714),'Assignment History'!$D$5:$D$204),IFERROR(VLOOKUP(J714,Configuration!$L$5:$M$50,2,FALSE),J714)))</x:f>
      </x:c>
      <x:c r="L714" s="172" t="str">
        <x:f>IF(A714="","",IF(K714=IFERROR(VLOOKUP(J714,Configuration!$L$5:$M$50,2,FALSE),J714),"Snapshot PIC","Replacement PIC"))</x:f>
      </x:c>
      <x:c r="M714" s="172" t="str">
        <x:f>IF(A714="","",IFERROR(VLOOKUP(I714,Configuration!$O$5:$P$8,2,FALSE),Configuration!$S$6))</x:f>
      </x:c>
      <x:c r="N714" s="172" t="str">
        <x:f>IF(A714="","",IFERROR(LOOKUP(2,1/('Scope Review'!$B$5:$B$204=A714),'Scope Review'!$G$5:$G$204),"Not Reviewed"))</x:f>
      </x:c>
      <x:c r="O714" s="172" t="str">
        <x:f>IF(A714="","",IFERROR(LOOKUP(2,1/('Scope Review'!$B$5:$B$204=A714),'Scope Review'!$H$5:$H$204),""))</x:f>
      </x:c>
      <x:c r="P714" s="172" t="str">
        <x:f>IF(A714="","",IF(AND(C714="executing",N714&lt;&gt;"Confirmed OOS"),M714,0))</x:f>
      </x:c>
      <x:c r="Q714" s="173" t="str">
        <x:f>IF(A714="","",IFERROR(LOOKUP(2,1/('Engineer Updates'!$B$5:$B$704=A714),'Engineer Updates'!$A$5:$A$704),""))</x:f>
      </x:c>
      <x:c r="R714" s="172" t="str">
        <x:f>IF(A714="","",IFERROR(LOOKUP(2,1/('Engineer Updates'!$B$5:$B$704=A714),'Engineer Updates'!$H$5:$H$704),""))</x:f>
      </x:c>
      <x:c r="S714" s="172" t="str">
        <x:f>IF(A714="","",IFERROR(LOOKUP(2,1/('Engineer Updates'!$B$5:$B$704=A714),'Engineer Updates'!$G$5:$G$704),""))</x:f>
      </x:c>
      <x:c r="T714" s="172" t="str">
        <x:f>IF(A714="","",IFERROR(LOOKUP(2,1/('Engineer Updates'!$B$5:$B$704=A714),'Engineer Updates'!$I$5:$I$704),""))</x:f>
      </x:c>
      <x:c r="U714" s="172" t="str">
        <x:f>IF(A714="","",IFERROR(LOOKUP(2,1/('Engineer Updates'!$B$5:$B$704=A714),'Engineer Updates'!$J$5:$J$704),""))</x:f>
      </x:c>
      <x:c r="V714" s="172" t="str">
        <x:f>IF(A714="","",IFERROR(LOOKUP(2,1/('Engineer Updates'!$B$5:$B$704=A714),'Engineer Updates'!$K$5:$K$704),""))</x:f>
      </x:c>
      <x:c r="W714" s="174" t="str">
        <x:f>IF(A714="","",IFERROR(LOOKUP(2,1/('Engineer Updates'!$B$5:$B$704=A714),'Engineer Updates'!$L$5:$L$704),""))</x:f>
      </x:c>
      <x:c r="X714" s="170" t="str">
        <x:f>IF(A714="","",IF(C714="completed","Completed in CSSP",IF(AND(C714="executing",ISERROR(SEARCH("@",K714))),"Executing without named engineer",IF(AND(N714="Confirmed OOS",C714="executing"),"Confirmed OOS still executing",""))))</x:f>
      </x:c>
      <x:c r="Y714" s="170" t="str">
        <x:f>IF(A714="","",IF(B714="Decommissioning","Raw Decommissioning","Raw Provisioning"))</x:f>
      </x:c>
      <x:c r="Z714" s="170" t="str">
        <x:f>IF(A714="","",IF(OR(C714="executing",C714="processing"),"Yes","No"))</x:f>
      </x:c>
    </x:row>
    <x:row r="715">
      <x:c r="A715" s="170" t="str">
        <x:f>IF(ROWS($A$5:A715)&lt;=COUNTA('Raw Decommissioning'!$B$2:$B$1000),INDEX('Raw Decommissioning'!$B$2:$B$1000,ROWS($A$5:A715)),IF(ROWS($A$5:A715)-COUNTA('Raw Decommissioning'!$B$2:$B$1000)&lt;=COUNTA('Raw Provisioning'!$B$2:$B$1000),INDEX('Raw Provisioning'!$B$2:$B$1000,ROWS($A$5:A715)-COUNTA('Raw Decommissioning'!$B$2:$B$1000)),""))</x:f>
      </x:c>
      <x:c r="B715" s="170" t="str">
        <x:f>IF(A715="","",IF(ROWS($A$5:A715)&lt;=COUNTA('Raw Decommissioning'!$B$2:$B$1000),"Decommissioning","Provisioning"))</x:f>
      </x:c>
      <x:c r="C715" s="170" t="str">
        <x:f>IF(A715="","",IF(B715="Decommissioning",IFERROR(INDEX('Raw Decommissioning'!$E$2:$E$1000,MATCH(A715,'Raw Decommissioning'!$B$2:$B$1000,0)),"Missing from latest raw"),IFERROR(INDEX('Raw Provisioning'!$E$2:$E$1000,MATCH(A715,'Raw Provisioning'!$B$2:$B$1000,0)),"Missing from latest raw")))</x:f>
      </x:c>
      <x:c r="D715" s="171" t="str">
        <x:f>IF(A715="","",'Refresh Control'!$B$4)</x:f>
      </x:c>
      <x:c r="E715" s="171" t="str">
        <x:f>IF(A715="","",IF(B715="Decommissioning",INDEX('Raw Decommissioning'!$F$2:$F$1000,ROWS($A$5:A715)),INDEX('Raw Provisioning'!$F$2:$F$1000,ROWS($A$5:A715)-COUNTA('Raw Decommissioning'!$B$2:$B$1000))))</x:f>
      </x:c>
      <x:c r="F715" s="171" t="str">
        <x:f>IF(A715="","",IF(B715="Decommissioning",INDEX('Raw Decommissioning'!$G$2:$G$1000,ROWS($A$5:A715)),INDEX('Raw Provisioning'!$H$2:$H$1000,ROWS($A$5:A715)-COUNTA('Raw Decommissioning'!$B$2:$B$1000))))</x:f>
      </x:c>
      <x:c r="G715" s="170" t="str">
        <x:f>IF(A715="","",IF(B715="Decommissioning",INDEX('Raw Decommissioning'!$I$2:$I$1000,ROWS($A$5:A715)),INDEX('Raw Provisioning'!$J$2:$J$1000,ROWS($A$5:A715)-COUNTA('Raw Decommissioning'!$B$2:$B$1000))))</x:f>
      </x:c>
      <x:c r="H715" s="170" t="str">
        <x:f>IF(A715="","",IF(B715="Decommissioning",INDEX('Raw Decommissioning'!$J$2:$J$1000,ROWS($A$5:A715)),INDEX('Raw Provisioning'!$L$2:$L$1000,ROWS($A$5:A715)-COUNTA('Raw Decommissioning'!$B$2:$B$1000))))</x:f>
      </x:c>
      <x:c r="I715" s="170" t="str">
        <x:f>IF(A715="","",IF(B715="Decommissioning",INDEX('Raw Decommissioning'!$AL$2:$AL$1000,ROWS($A$5:A715)),INDEX('Raw Provisioning'!$R$2:$R$1000,ROWS($A$5:A715)-COUNTA('Raw Decommissioning'!$B$2:$B$1000))))</x:f>
      </x:c>
      <x:c r="J715" s="170" t="str">
        <x:f>IF(A715="","",IF(B715="Decommissioning",INDEX('Raw Decommissioning'!$AG$2:$AG$1000,ROWS($A$5:A715)),INDEX('Raw Provisioning'!$AI$2:$AI$1000,ROWS($A$5:A715)-COUNTA('Raw Decommissioning'!$B$2:$B$1000))))</x:f>
      </x:c>
      <x:c r="K715" s="172" t="str">
        <x:f>IF(A715="","",IFERROR(LOOKUP(2,1/('Assignment History'!$B$5:$B$204=A715),'Assignment History'!$D$5:$D$204),IFERROR(VLOOKUP(J715,Configuration!$L$5:$M$50,2,FALSE),J715)))</x:f>
      </x:c>
      <x:c r="L715" s="172" t="str">
        <x:f>IF(A715="","",IF(K715=IFERROR(VLOOKUP(J715,Configuration!$L$5:$M$50,2,FALSE),J715),"Snapshot PIC","Replacement PIC"))</x:f>
      </x:c>
      <x:c r="M715" s="172" t="str">
        <x:f>IF(A715="","",IFERROR(VLOOKUP(I715,Configuration!$O$5:$P$8,2,FALSE),Configuration!$S$6))</x:f>
      </x:c>
      <x:c r="N715" s="172" t="str">
        <x:f>IF(A715="","",IFERROR(LOOKUP(2,1/('Scope Review'!$B$5:$B$204=A715),'Scope Review'!$G$5:$G$204),"Not Reviewed"))</x:f>
      </x:c>
      <x:c r="O715" s="172" t="str">
        <x:f>IF(A715="","",IFERROR(LOOKUP(2,1/('Scope Review'!$B$5:$B$204=A715),'Scope Review'!$H$5:$H$204),""))</x:f>
      </x:c>
      <x:c r="P715" s="172" t="str">
        <x:f>IF(A715="","",IF(AND(C715="executing",N715&lt;&gt;"Confirmed OOS"),M715,0))</x:f>
      </x:c>
      <x:c r="Q715" s="173" t="str">
        <x:f>IF(A715="","",IFERROR(LOOKUP(2,1/('Engineer Updates'!$B$5:$B$704=A715),'Engineer Updates'!$A$5:$A$704),""))</x:f>
      </x:c>
      <x:c r="R715" s="172" t="str">
        <x:f>IF(A715="","",IFERROR(LOOKUP(2,1/('Engineer Updates'!$B$5:$B$704=A715),'Engineer Updates'!$H$5:$H$704),""))</x:f>
      </x:c>
      <x:c r="S715" s="172" t="str">
        <x:f>IF(A715="","",IFERROR(LOOKUP(2,1/('Engineer Updates'!$B$5:$B$704=A715),'Engineer Updates'!$G$5:$G$704),""))</x:f>
      </x:c>
      <x:c r="T715" s="172" t="str">
        <x:f>IF(A715="","",IFERROR(LOOKUP(2,1/('Engineer Updates'!$B$5:$B$704=A715),'Engineer Updates'!$I$5:$I$704),""))</x:f>
      </x:c>
      <x:c r="U715" s="172" t="str">
        <x:f>IF(A715="","",IFERROR(LOOKUP(2,1/('Engineer Updates'!$B$5:$B$704=A715),'Engineer Updates'!$J$5:$J$704),""))</x:f>
      </x:c>
      <x:c r="V715" s="172" t="str">
        <x:f>IF(A715="","",IFERROR(LOOKUP(2,1/('Engineer Updates'!$B$5:$B$704=A715),'Engineer Updates'!$K$5:$K$704),""))</x:f>
      </x:c>
      <x:c r="W715" s="174" t="str">
        <x:f>IF(A715="","",IFERROR(LOOKUP(2,1/('Engineer Updates'!$B$5:$B$704=A715),'Engineer Updates'!$L$5:$L$704),""))</x:f>
      </x:c>
      <x:c r="X715" s="170" t="str">
        <x:f>IF(A715="","",IF(C715="completed","Completed in CSSP",IF(AND(C715="executing",ISERROR(SEARCH("@",K715))),"Executing without named engineer",IF(AND(N715="Confirmed OOS",C715="executing"),"Confirmed OOS still executing",""))))</x:f>
      </x:c>
      <x:c r="Y715" s="170" t="str">
        <x:f>IF(A715="","",IF(B715="Decommissioning","Raw Decommissioning","Raw Provisioning"))</x:f>
      </x:c>
      <x:c r="Z715" s="170" t="str">
        <x:f>IF(A715="","",IF(OR(C715="executing",C715="processing"),"Yes","No"))</x:f>
      </x:c>
    </x:row>
    <x:row r="716">
      <x:c r="A716" s="170" t="str">
        <x:f>IF(ROWS($A$5:A716)&lt;=COUNTA('Raw Decommissioning'!$B$2:$B$1000),INDEX('Raw Decommissioning'!$B$2:$B$1000,ROWS($A$5:A716)),IF(ROWS($A$5:A716)-COUNTA('Raw Decommissioning'!$B$2:$B$1000)&lt;=COUNTA('Raw Provisioning'!$B$2:$B$1000),INDEX('Raw Provisioning'!$B$2:$B$1000,ROWS($A$5:A716)-COUNTA('Raw Decommissioning'!$B$2:$B$1000)),""))</x:f>
      </x:c>
      <x:c r="B716" s="170" t="str">
        <x:f>IF(A716="","",IF(ROWS($A$5:A716)&lt;=COUNTA('Raw Decommissioning'!$B$2:$B$1000),"Decommissioning","Provisioning"))</x:f>
      </x:c>
      <x:c r="C716" s="170" t="str">
        <x:f>IF(A716="","",IF(B716="Decommissioning",IFERROR(INDEX('Raw Decommissioning'!$E$2:$E$1000,MATCH(A716,'Raw Decommissioning'!$B$2:$B$1000,0)),"Missing from latest raw"),IFERROR(INDEX('Raw Provisioning'!$E$2:$E$1000,MATCH(A716,'Raw Provisioning'!$B$2:$B$1000,0)),"Missing from latest raw")))</x:f>
      </x:c>
      <x:c r="D716" s="171" t="str">
        <x:f>IF(A716="","",'Refresh Control'!$B$4)</x:f>
      </x:c>
      <x:c r="E716" s="171" t="str">
        <x:f>IF(A716="","",IF(B716="Decommissioning",INDEX('Raw Decommissioning'!$F$2:$F$1000,ROWS($A$5:A716)),INDEX('Raw Provisioning'!$F$2:$F$1000,ROWS($A$5:A716)-COUNTA('Raw Decommissioning'!$B$2:$B$1000))))</x:f>
      </x:c>
      <x:c r="F716" s="171" t="str">
        <x:f>IF(A716="","",IF(B716="Decommissioning",INDEX('Raw Decommissioning'!$G$2:$G$1000,ROWS($A$5:A716)),INDEX('Raw Provisioning'!$H$2:$H$1000,ROWS($A$5:A716)-COUNTA('Raw Decommissioning'!$B$2:$B$1000))))</x:f>
      </x:c>
      <x:c r="G716" s="170" t="str">
        <x:f>IF(A716="","",IF(B716="Decommissioning",INDEX('Raw Decommissioning'!$I$2:$I$1000,ROWS($A$5:A716)),INDEX('Raw Provisioning'!$J$2:$J$1000,ROWS($A$5:A716)-COUNTA('Raw Decommissioning'!$B$2:$B$1000))))</x:f>
      </x:c>
      <x:c r="H716" s="170" t="str">
        <x:f>IF(A716="","",IF(B716="Decommissioning",INDEX('Raw Decommissioning'!$J$2:$J$1000,ROWS($A$5:A716)),INDEX('Raw Provisioning'!$L$2:$L$1000,ROWS($A$5:A716)-COUNTA('Raw Decommissioning'!$B$2:$B$1000))))</x:f>
      </x:c>
      <x:c r="I716" s="170" t="str">
        <x:f>IF(A716="","",IF(B716="Decommissioning",INDEX('Raw Decommissioning'!$AL$2:$AL$1000,ROWS($A$5:A716)),INDEX('Raw Provisioning'!$R$2:$R$1000,ROWS($A$5:A716)-COUNTA('Raw Decommissioning'!$B$2:$B$1000))))</x:f>
      </x:c>
      <x:c r="J716" s="170" t="str">
        <x:f>IF(A716="","",IF(B716="Decommissioning",INDEX('Raw Decommissioning'!$AG$2:$AG$1000,ROWS($A$5:A716)),INDEX('Raw Provisioning'!$AI$2:$AI$1000,ROWS($A$5:A716)-COUNTA('Raw Decommissioning'!$B$2:$B$1000))))</x:f>
      </x:c>
      <x:c r="K716" s="172" t="str">
        <x:f>IF(A716="","",IFERROR(LOOKUP(2,1/('Assignment History'!$B$5:$B$204=A716),'Assignment History'!$D$5:$D$204),IFERROR(VLOOKUP(J716,Configuration!$L$5:$M$50,2,FALSE),J716)))</x:f>
      </x:c>
      <x:c r="L716" s="172" t="str">
        <x:f>IF(A716="","",IF(K716=IFERROR(VLOOKUP(J716,Configuration!$L$5:$M$50,2,FALSE),J716),"Snapshot PIC","Replacement PIC"))</x:f>
      </x:c>
      <x:c r="M716" s="172" t="str">
        <x:f>IF(A716="","",IFERROR(VLOOKUP(I716,Configuration!$O$5:$P$8,2,FALSE),Configuration!$S$6))</x:f>
      </x:c>
      <x:c r="N716" s="172" t="str">
        <x:f>IF(A716="","",IFERROR(LOOKUP(2,1/('Scope Review'!$B$5:$B$204=A716),'Scope Review'!$G$5:$G$204),"Not Reviewed"))</x:f>
      </x:c>
      <x:c r="O716" s="172" t="str">
        <x:f>IF(A716="","",IFERROR(LOOKUP(2,1/('Scope Review'!$B$5:$B$204=A716),'Scope Review'!$H$5:$H$204),""))</x:f>
      </x:c>
      <x:c r="P716" s="172" t="str">
        <x:f>IF(A716="","",IF(AND(C716="executing",N716&lt;&gt;"Confirmed OOS"),M716,0))</x:f>
      </x:c>
      <x:c r="Q716" s="173" t="str">
        <x:f>IF(A716="","",IFERROR(LOOKUP(2,1/('Engineer Updates'!$B$5:$B$704=A716),'Engineer Updates'!$A$5:$A$704),""))</x:f>
      </x:c>
      <x:c r="R716" s="172" t="str">
        <x:f>IF(A716="","",IFERROR(LOOKUP(2,1/('Engineer Updates'!$B$5:$B$704=A716),'Engineer Updates'!$H$5:$H$704),""))</x:f>
      </x:c>
      <x:c r="S716" s="172" t="str">
        <x:f>IF(A716="","",IFERROR(LOOKUP(2,1/('Engineer Updates'!$B$5:$B$704=A716),'Engineer Updates'!$G$5:$G$704),""))</x:f>
      </x:c>
      <x:c r="T716" s="172" t="str">
        <x:f>IF(A716="","",IFERROR(LOOKUP(2,1/('Engineer Updates'!$B$5:$B$704=A716),'Engineer Updates'!$I$5:$I$704),""))</x:f>
      </x:c>
      <x:c r="U716" s="172" t="str">
        <x:f>IF(A716="","",IFERROR(LOOKUP(2,1/('Engineer Updates'!$B$5:$B$704=A716),'Engineer Updates'!$J$5:$J$704),""))</x:f>
      </x:c>
      <x:c r="V716" s="172" t="str">
        <x:f>IF(A716="","",IFERROR(LOOKUP(2,1/('Engineer Updates'!$B$5:$B$704=A716),'Engineer Updates'!$K$5:$K$704),""))</x:f>
      </x:c>
      <x:c r="W716" s="174" t="str">
        <x:f>IF(A716="","",IFERROR(LOOKUP(2,1/('Engineer Updates'!$B$5:$B$704=A716),'Engineer Updates'!$L$5:$L$704),""))</x:f>
      </x:c>
      <x:c r="X716" s="170" t="str">
        <x:f>IF(A716="","",IF(C716="completed","Completed in CSSP",IF(AND(C716="executing",ISERROR(SEARCH("@",K716))),"Executing without named engineer",IF(AND(N716="Confirmed OOS",C716="executing"),"Confirmed OOS still executing",""))))</x:f>
      </x:c>
      <x:c r="Y716" s="170" t="str">
        <x:f>IF(A716="","",IF(B716="Decommissioning","Raw Decommissioning","Raw Provisioning"))</x:f>
      </x:c>
      <x:c r="Z716" s="170" t="str">
        <x:f>IF(A716="","",IF(OR(C716="executing",C716="processing"),"Yes","No"))</x:f>
      </x:c>
    </x:row>
    <x:row r="717">
      <x:c r="A717" s="170" t="str">
        <x:f>IF(ROWS($A$5:A717)&lt;=COUNTA('Raw Decommissioning'!$B$2:$B$1000),INDEX('Raw Decommissioning'!$B$2:$B$1000,ROWS($A$5:A717)),IF(ROWS($A$5:A717)-COUNTA('Raw Decommissioning'!$B$2:$B$1000)&lt;=COUNTA('Raw Provisioning'!$B$2:$B$1000),INDEX('Raw Provisioning'!$B$2:$B$1000,ROWS($A$5:A717)-COUNTA('Raw Decommissioning'!$B$2:$B$1000)),""))</x:f>
      </x:c>
      <x:c r="B717" s="170" t="str">
        <x:f>IF(A717="","",IF(ROWS($A$5:A717)&lt;=COUNTA('Raw Decommissioning'!$B$2:$B$1000),"Decommissioning","Provisioning"))</x:f>
      </x:c>
      <x:c r="C717" s="170" t="str">
        <x:f>IF(A717="","",IF(B717="Decommissioning",IFERROR(INDEX('Raw Decommissioning'!$E$2:$E$1000,MATCH(A717,'Raw Decommissioning'!$B$2:$B$1000,0)),"Missing from latest raw"),IFERROR(INDEX('Raw Provisioning'!$E$2:$E$1000,MATCH(A717,'Raw Provisioning'!$B$2:$B$1000,0)),"Missing from latest raw")))</x:f>
      </x:c>
      <x:c r="D717" s="171" t="str">
        <x:f>IF(A717="","",'Refresh Control'!$B$4)</x:f>
      </x:c>
      <x:c r="E717" s="171" t="str">
        <x:f>IF(A717="","",IF(B717="Decommissioning",INDEX('Raw Decommissioning'!$F$2:$F$1000,ROWS($A$5:A717)),INDEX('Raw Provisioning'!$F$2:$F$1000,ROWS($A$5:A717)-COUNTA('Raw Decommissioning'!$B$2:$B$1000))))</x:f>
      </x:c>
      <x:c r="F717" s="171" t="str">
        <x:f>IF(A717="","",IF(B717="Decommissioning",INDEX('Raw Decommissioning'!$G$2:$G$1000,ROWS($A$5:A717)),INDEX('Raw Provisioning'!$H$2:$H$1000,ROWS($A$5:A717)-COUNTA('Raw Decommissioning'!$B$2:$B$1000))))</x:f>
      </x:c>
      <x:c r="G717" s="170" t="str">
        <x:f>IF(A717="","",IF(B717="Decommissioning",INDEX('Raw Decommissioning'!$I$2:$I$1000,ROWS($A$5:A717)),INDEX('Raw Provisioning'!$J$2:$J$1000,ROWS($A$5:A717)-COUNTA('Raw Decommissioning'!$B$2:$B$1000))))</x:f>
      </x:c>
      <x:c r="H717" s="170" t="str">
        <x:f>IF(A717="","",IF(B717="Decommissioning",INDEX('Raw Decommissioning'!$J$2:$J$1000,ROWS($A$5:A717)),INDEX('Raw Provisioning'!$L$2:$L$1000,ROWS($A$5:A717)-COUNTA('Raw Decommissioning'!$B$2:$B$1000))))</x:f>
      </x:c>
      <x:c r="I717" s="170" t="str">
        <x:f>IF(A717="","",IF(B717="Decommissioning",INDEX('Raw Decommissioning'!$AL$2:$AL$1000,ROWS($A$5:A717)),INDEX('Raw Provisioning'!$R$2:$R$1000,ROWS($A$5:A717)-COUNTA('Raw Decommissioning'!$B$2:$B$1000))))</x:f>
      </x:c>
      <x:c r="J717" s="170" t="str">
        <x:f>IF(A717="","",IF(B717="Decommissioning",INDEX('Raw Decommissioning'!$AG$2:$AG$1000,ROWS($A$5:A717)),INDEX('Raw Provisioning'!$AI$2:$AI$1000,ROWS($A$5:A717)-COUNTA('Raw Decommissioning'!$B$2:$B$1000))))</x:f>
      </x:c>
      <x:c r="K717" s="172" t="str">
        <x:f>IF(A717="","",IFERROR(LOOKUP(2,1/('Assignment History'!$B$5:$B$204=A717),'Assignment History'!$D$5:$D$204),IFERROR(VLOOKUP(J717,Configuration!$L$5:$M$50,2,FALSE),J717)))</x:f>
      </x:c>
      <x:c r="L717" s="172" t="str">
        <x:f>IF(A717="","",IF(K717=IFERROR(VLOOKUP(J717,Configuration!$L$5:$M$50,2,FALSE),J717),"Snapshot PIC","Replacement PIC"))</x:f>
      </x:c>
      <x:c r="M717" s="172" t="str">
        <x:f>IF(A717="","",IFERROR(VLOOKUP(I717,Configuration!$O$5:$P$8,2,FALSE),Configuration!$S$6))</x:f>
      </x:c>
      <x:c r="N717" s="172" t="str">
        <x:f>IF(A717="","",IFERROR(LOOKUP(2,1/('Scope Review'!$B$5:$B$204=A717),'Scope Review'!$G$5:$G$204),"Not Reviewed"))</x:f>
      </x:c>
      <x:c r="O717" s="172" t="str">
        <x:f>IF(A717="","",IFERROR(LOOKUP(2,1/('Scope Review'!$B$5:$B$204=A717),'Scope Review'!$H$5:$H$204),""))</x:f>
      </x:c>
      <x:c r="P717" s="172" t="str">
        <x:f>IF(A717="","",IF(AND(C717="executing",N717&lt;&gt;"Confirmed OOS"),M717,0))</x:f>
      </x:c>
      <x:c r="Q717" s="173" t="str">
        <x:f>IF(A717="","",IFERROR(LOOKUP(2,1/('Engineer Updates'!$B$5:$B$704=A717),'Engineer Updates'!$A$5:$A$704),""))</x:f>
      </x:c>
      <x:c r="R717" s="172" t="str">
        <x:f>IF(A717="","",IFERROR(LOOKUP(2,1/('Engineer Updates'!$B$5:$B$704=A717),'Engineer Updates'!$H$5:$H$704),""))</x:f>
      </x:c>
      <x:c r="S717" s="172" t="str">
        <x:f>IF(A717="","",IFERROR(LOOKUP(2,1/('Engineer Updates'!$B$5:$B$704=A717),'Engineer Updates'!$G$5:$G$704),""))</x:f>
      </x:c>
      <x:c r="T717" s="172" t="str">
        <x:f>IF(A717="","",IFERROR(LOOKUP(2,1/('Engineer Updates'!$B$5:$B$704=A717),'Engineer Updates'!$I$5:$I$704),""))</x:f>
      </x:c>
      <x:c r="U717" s="172" t="str">
        <x:f>IF(A717="","",IFERROR(LOOKUP(2,1/('Engineer Updates'!$B$5:$B$704=A717),'Engineer Updates'!$J$5:$J$704),""))</x:f>
      </x:c>
      <x:c r="V717" s="172" t="str">
        <x:f>IF(A717="","",IFERROR(LOOKUP(2,1/('Engineer Updates'!$B$5:$B$704=A717),'Engineer Updates'!$K$5:$K$704),""))</x:f>
      </x:c>
      <x:c r="W717" s="174" t="str">
        <x:f>IF(A717="","",IFERROR(LOOKUP(2,1/('Engineer Updates'!$B$5:$B$704=A717),'Engineer Updates'!$L$5:$L$704),""))</x:f>
      </x:c>
      <x:c r="X717" s="170" t="str">
        <x:f>IF(A717="","",IF(C717="completed","Completed in CSSP",IF(AND(C717="executing",ISERROR(SEARCH("@",K717))),"Executing without named engineer",IF(AND(N717="Confirmed OOS",C717="executing"),"Confirmed OOS still executing",""))))</x:f>
      </x:c>
      <x:c r="Y717" s="170" t="str">
        <x:f>IF(A717="","",IF(B717="Decommissioning","Raw Decommissioning","Raw Provisioning"))</x:f>
      </x:c>
      <x:c r="Z717" s="170" t="str">
        <x:f>IF(A717="","",IF(OR(C717="executing",C717="processing"),"Yes","No"))</x:f>
      </x:c>
    </x:row>
    <x:row r="718">
      <x:c r="A718" s="170" t="str">
        <x:f>IF(ROWS($A$5:A718)&lt;=COUNTA('Raw Decommissioning'!$B$2:$B$1000),INDEX('Raw Decommissioning'!$B$2:$B$1000,ROWS($A$5:A718)),IF(ROWS($A$5:A718)-COUNTA('Raw Decommissioning'!$B$2:$B$1000)&lt;=COUNTA('Raw Provisioning'!$B$2:$B$1000),INDEX('Raw Provisioning'!$B$2:$B$1000,ROWS($A$5:A718)-COUNTA('Raw Decommissioning'!$B$2:$B$1000)),""))</x:f>
      </x:c>
      <x:c r="B718" s="170" t="str">
        <x:f>IF(A718="","",IF(ROWS($A$5:A718)&lt;=COUNTA('Raw Decommissioning'!$B$2:$B$1000),"Decommissioning","Provisioning"))</x:f>
      </x:c>
      <x:c r="C718" s="170" t="str">
        <x:f>IF(A718="","",IF(B718="Decommissioning",IFERROR(INDEX('Raw Decommissioning'!$E$2:$E$1000,MATCH(A718,'Raw Decommissioning'!$B$2:$B$1000,0)),"Missing from latest raw"),IFERROR(INDEX('Raw Provisioning'!$E$2:$E$1000,MATCH(A718,'Raw Provisioning'!$B$2:$B$1000,0)),"Missing from latest raw")))</x:f>
      </x:c>
      <x:c r="D718" s="171" t="str">
        <x:f>IF(A718="","",'Refresh Control'!$B$4)</x:f>
      </x:c>
      <x:c r="E718" s="171" t="str">
        <x:f>IF(A718="","",IF(B718="Decommissioning",INDEX('Raw Decommissioning'!$F$2:$F$1000,ROWS($A$5:A718)),INDEX('Raw Provisioning'!$F$2:$F$1000,ROWS($A$5:A718)-COUNTA('Raw Decommissioning'!$B$2:$B$1000))))</x:f>
      </x:c>
      <x:c r="F718" s="171" t="str">
        <x:f>IF(A718="","",IF(B718="Decommissioning",INDEX('Raw Decommissioning'!$G$2:$G$1000,ROWS($A$5:A718)),INDEX('Raw Provisioning'!$H$2:$H$1000,ROWS($A$5:A718)-COUNTA('Raw Decommissioning'!$B$2:$B$1000))))</x:f>
      </x:c>
      <x:c r="G718" s="170" t="str">
        <x:f>IF(A718="","",IF(B718="Decommissioning",INDEX('Raw Decommissioning'!$I$2:$I$1000,ROWS($A$5:A718)),INDEX('Raw Provisioning'!$J$2:$J$1000,ROWS($A$5:A718)-COUNTA('Raw Decommissioning'!$B$2:$B$1000))))</x:f>
      </x:c>
      <x:c r="H718" s="170" t="str">
        <x:f>IF(A718="","",IF(B718="Decommissioning",INDEX('Raw Decommissioning'!$J$2:$J$1000,ROWS($A$5:A718)),INDEX('Raw Provisioning'!$L$2:$L$1000,ROWS($A$5:A718)-COUNTA('Raw Decommissioning'!$B$2:$B$1000))))</x:f>
      </x:c>
      <x:c r="I718" s="170" t="str">
        <x:f>IF(A718="","",IF(B718="Decommissioning",INDEX('Raw Decommissioning'!$AL$2:$AL$1000,ROWS($A$5:A718)),INDEX('Raw Provisioning'!$R$2:$R$1000,ROWS($A$5:A718)-COUNTA('Raw Decommissioning'!$B$2:$B$1000))))</x:f>
      </x:c>
      <x:c r="J718" s="170" t="str">
        <x:f>IF(A718="","",IF(B718="Decommissioning",INDEX('Raw Decommissioning'!$AG$2:$AG$1000,ROWS($A$5:A718)),INDEX('Raw Provisioning'!$AI$2:$AI$1000,ROWS($A$5:A718)-COUNTA('Raw Decommissioning'!$B$2:$B$1000))))</x:f>
      </x:c>
      <x:c r="K718" s="172" t="str">
        <x:f>IF(A718="","",IFERROR(LOOKUP(2,1/('Assignment History'!$B$5:$B$204=A718),'Assignment History'!$D$5:$D$204),IFERROR(VLOOKUP(J718,Configuration!$L$5:$M$50,2,FALSE),J718)))</x:f>
      </x:c>
      <x:c r="L718" s="172" t="str">
        <x:f>IF(A718="","",IF(K718=IFERROR(VLOOKUP(J718,Configuration!$L$5:$M$50,2,FALSE),J718),"Snapshot PIC","Replacement PIC"))</x:f>
      </x:c>
      <x:c r="M718" s="172" t="str">
        <x:f>IF(A718="","",IFERROR(VLOOKUP(I718,Configuration!$O$5:$P$8,2,FALSE),Configuration!$S$6))</x:f>
      </x:c>
      <x:c r="N718" s="172" t="str">
        <x:f>IF(A718="","",IFERROR(LOOKUP(2,1/('Scope Review'!$B$5:$B$204=A718),'Scope Review'!$G$5:$G$204),"Not Reviewed"))</x:f>
      </x:c>
      <x:c r="O718" s="172" t="str">
        <x:f>IF(A718="","",IFERROR(LOOKUP(2,1/('Scope Review'!$B$5:$B$204=A718),'Scope Review'!$H$5:$H$204),""))</x:f>
      </x:c>
      <x:c r="P718" s="172" t="str">
        <x:f>IF(A718="","",IF(AND(C718="executing",N718&lt;&gt;"Confirmed OOS"),M718,0))</x:f>
      </x:c>
      <x:c r="Q718" s="173" t="str">
        <x:f>IF(A718="","",IFERROR(LOOKUP(2,1/('Engineer Updates'!$B$5:$B$704=A718),'Engineer Updates'!$A$5:$A$704),""))</x:f>
      </x:c>
      <x:c r="R718" s="172" t="str">
        <x:f>IF(A718="","",IFERROR(LOOKUP(2,1/('Engineer Updates'!$B$5:$B$704=A718),'Engineer Updates'!$H$5:$H$704),""))</x:f>
      </x:c>
      <x:c r="S718" s="172" t="str">
        <x:f>IF(A718="","",IFERROR(LOOKUP(2,1/('Engineer Updates'!$B$5:$B$704=A718),'Engineer Updates'!$G$5:$G$704),""))</x:f>
      </x:c>
      <x:c r="T718" s="172" t="str">
        <x:f>IF(A718="","",IFERROR(LOOKUP(2,1/('Engineer Updates'!$B$5:$B$704=A718),'Engineer Updates'!$I$5:$I$704),""))</x:f>
      </x:c>
      <x:c r="U718" s="172" t="str">
        <x:f>IF(A718="","",IFERROR(LOOKUP(2,1/('Engineer Updates'!$B$5:$B$704=A718),'Engineer Updates'!$J$5:$J$704),""))</x:f>
      </x:c>
      <x:c r="V718" s="172" t="str">
        <x:f>IF(A718="","",IFERROR(LOOKUP(2,1/('Engineer Updates'!$B$5:$B$704=A718),'Engineer Updates'!$K$5:$K$704),""))</x:f>
      </x:c>
      <x:c r="W718" s="174" t="str">
        <x:f>IF(A718="","",IFERROR(LOOKUP(2,1/('Engineer Updates'!$B$5:$B$704=A718),'Engineer Updates'!$L$5:$L$704),""))</x:f>
      </x:c>
      <x:c r="X718" s="170" t="str">
        <x:f>IF(A718="","",IF(C718="completed","Completed in CSSP",IF(AND(C718="executing",ISERROR(SEARCH("@",K718))),"Executing without named engineer",IF(AND(N718="Confirmed OOS",C718="executing"),"Confirmed OOS still executing",""))))</x:f>
      </x:c>
      <x:c r="Y718" s="170" t="str">
        <x:f>IF(A718="","",IF(B718="Decommissioning","Raw Decommissioning","Raw Provisioning"))</x:f>
      </x:c>
      <x:c r="Z718" s="170" t="str">
        <x:f>IF(A718="","",IF(OR(C718="executing",C718="processing"),"Yes","No"))</x:f>
      </x:c>
    </x:row>
    <x:row r="719">
      <x:c r="A719" s="170" t="str">
        <x:f>IF(ROWS($A$5:A719)&lt;=COUNTA('Raw Decommissioning'!$B$2:$B$1000),INDEX('Raw Decommissioning'!$B$2:$B$1000,ROWS($A$5:A719)),IF(ROWS($A$5:A719)-COUNTA('Raw Decommissioning'!$B$2:$B$1000)&lt;=COUNTA('Raw Provisioning'!$B$2:$B$1000),INDEX('Raw Provisioning'!$B$2:$B$1000,ROWS($A$5:A719)-COUNTA('Raw Decommissioning'!$B$2:$B$1000)),""))</x:f>
      </x:c>
      <x:c r="B719" s="170" t="str">
        <x:f>IF(A719="","",IF(ROWS($A$5:A719)&lt;=COUNTA('Raw Decommissioning'!$B$2:$B$1000),"Decommissioning","Provisioning"))</x:f>
      </x:c>
      <x:c r="C719" s="170" t="str">
        <x:f>IF(A719="","",IF(B719="Decommissioning",IFERROR(INDEX('Raw Decommissioning'!$E$2:$E$1000,MATCH(A719,'Raw Decommissioning'!$B$2:$B$1000,0)),"Missing from latest raw"),IFERROR(INDEX('Raw Provisioning'!$E$2:$E$1000,MATCH(A719,'Raw Provisioning'!$B$2:$B$1000,0)),"Missing from latest raw")))</x:f>
      </x:c>
      <x:c r="D719" s="171" t="str">
        <x:f>IF(A719="","",'Refresh Control'!$B$4)</x:f>
      </x:c>
      <x:c r="E719" s="171" t="str">
        <x:f>IF(A719="","",IF(B719="Decommissioning",INDEX('Raw Decommissioning'!$F$2:$F$1000,ROWS($A$5:A719)),INDEX('Raw Provisioning'!$F$2:$F$1000,ROWS($A$5:A719)-COUNTA('Raw Decommissioning'!$B$2:$B$1000))))</x:f>
      </x:c>
      <x:c r="F719" s="171" t="str">
        <x:f>IF(A719="","",IF(B719="Decommissioning",INDEX('Raw Decommissioning'!$G$2:$G$1000,ROWS($A$5:A719)),INDEX('Raw Provisioning'!$H$2:$H$1000,ROWS($A$5:A719)-COUNTA('Raw Decommissioning'!$B$2:$B$1000))))</x:f>
      </x:c>
      <x:c r="G719" s="170" t="str">
        <x:f>IF(A719="","",IF(B719="Decommissioning",INDEX('Raw Decommissioning'!$I$2:$I$1000,ROWS($A$5:A719)),INDEX('Raw Provisioning'!$J$2:$J$1000,ROWS($A$5:A719)-COUNTA('Raw Decommissioning'!$B$2:$B$1000))))</x:f>
      </x:c>
      <x:c r="H719" s="170" t="str">
        <x:f>IF(A719="","",IF(B719="Decommissioning",INDEX('Raw Decommissioning'!$J$2:$J$1000,ROWS($A$5:A719)),INDEX('Raw Provisioning'!$L$2:$L$1000,ROWS($A$5:A719)-COUNTA('Raw Decommissioning'!$B$2:$B$1000))))</x:f>
      </x:c>
      <x:c r="I719" s="170" t="str">
        <x:f>IF(A719="","",IF(B719="Decommissioning",INDEX('Raw Decommissioning'!$AL$2:$AL$1000,ROWS($A$5:A719)),INDEX('Raw Provisioning'!$R$2:$R$1000,ROWS($A$5:A719)-COUNTA('Raw Decommissioning'!$B$2:$B$1000))))</x:f>
      </x:c>
      <x:c r="J719" s="170" t="str">
        <x:f>IF(A719="","",IF(B719="Decommissioning",INDEX('Raw Decommissioning'!$AG$2:$AG$1000,ROWS($A$5:A719)),INDEX('Raw Provisioning'!$AI$2:$AI$1000,ROWS($A$5:A719)-COUNTA('Raw Decommissioning'!$B$2:$B$1000))))</x:f>
      </x:c>
      <x:c r="K719" s="172" t="str">
        <x:f>IF(A719="","",IFERROR(LOOKUP(2,1/('Assignment History'!$B$5:$B$204=A719),'Assignment History'!$D$5:$D$204),IFERROR(VLOOKUP(J719,Configuration!$L$5:$M$50,2,FALSE),J719)))</x:f>
      </x:c>
      <x:c r="L719" s="172" t="str">
        <x:f>IF(A719="","",IF(K719=IFERROR(VLOOKUP(J719,Configuration!$L$5:$M$50,2,FALSE),J719),"Snapshot PIC","Replacement PIC"))</x:f>
      </x:c>
      <x:c r="M719" s="172" t="str">
        <x:f>IF(A719="","",IFERROR(VLOOKUP(I719,Configuration!$O$5:$P$8,2,FALSE),Configuration!$S$6))</x:f>
      </x:c>
      <x:c r="N719" s="172" t="str">
        <x:f>IF(A719="","",IFERROR(LOOKUP(2,1/('Scope Review'!$B$5:$B$204=A719),'Scope Review'!$G$5:$G$204),"Not Reviewed"))</x:f>
      </x:c>
      <x:c r="O719" s="172" t="str">
        <x:f>IF(A719="","",IFERROR(LOOKUP(2,1/('Scope Review'!$B$5:$B$204=A719),'Scope Review'!$H$5:$H$204),""))</x:f>
      </x:c>
      <x:c r="P719" s="172" t="str">
        <x:f>IF(A719="","",IF(AND(C719="executing",N719&lt;&gt;"Confirmed OOS"),M719,0))</x:f>
      </x:c>
      <x:c r="Q719" s="173" t="str">
        <x:f>IF(A719="","",IFERROR(LOOKUP(2,1/('Engineer Updates'!$B$5:$B$704=A719),'Engineer Updates'!$A$5:$A$704),""))</x:f>
      </x:c>
      <x:c r="R719" s="172" t="str">
        <x:f>IF(A719="","",IFERROR(LOOKUP(2,1/('Engineer Updates'!$B$5:$B$704=A719),'Engineer Updates'!$H$5:$H$704),""))</x:f>
      </x:c>
      <x:c r="S719" s="172" t="str">
        <x:f>IF(A719="","",IFERROR(LOOKUP(2,1/('Engineer Updates'!$B$5:$B$704=A719),'Engineer Updates'!$G$5:$G$704),""))</x:f>
      </x:c>
      <x:c r="T719" s="172" t="str">
        <x:f>IF(A719="","",IFERROR(LOOKUP(2,1/('Engineer Updates'!$B$5:$B$704=A719),'Engineer Updates'!$I$5:$I$704),""))</x:f>
      </x:c>
      <x:c r="U719" s="172" t="str">
        <x:f>IF(A719="","",IFERROR(LOOKUP(2,1/('Engineer Updates'!$B$5:$B$704=A719),'Engineer Updates'!$J$5:$J$704),""))</x:f>
      </x:c>
      <x:c r="V719" s="172" t="str">
        <x:f>IF(A719="","",IFERROR(LOOKUP(2,1/('Engineer Updates'!$B$5:$B$704=A719),'Engineer Updates'!$K$5:$K$704),""))</x:f>
      </x:c>
      <x:c r="W719" s="174" t="str">
        <x:f>IF(A719="","",IFERROR(LOOKUP(2,1/('Engineer Updates'!$B$5:$B$704=A719),'Engineer Updates'!$L$5:$L$704),""))</x:f>
      </x:c>
      <x:c r="X719" s="170" t="str">
        <x:f>IF(A719="","",IF(C719="completed","Completed in CSSP",IF(AND(C719="executing",ISERROR(SEARCH("@",K719))),"Executing without named engineer",IF(AND(N719="Confirmed OOS",C719="executing"),"Confirmed OOS still executing",""))))</x:f>
      </x:c>
      <x:c r="Y719" s="170" t="str">
        <x:f>IF(A719="","",IF(B719="Decommissioning","Raw Decommissioning","Raw Provisioning"))</x:f>
      </x:c>
      <x:c r="Z719" s="170" t="str">
        <x:f>IF(A719="","",IF(OR(C719="executing",C719="processing"),"Yes","No"))</x:f>
      </x:c>
    </x:row>
    <x:row r="720">
      <x:c r="A720" s="170" t="str">
        <x:f>IF(ROWS($A$5:A720)&lt;=COUNTA('Raw Decommissioning'!$B$2:$B$1000),INDEX('Raw Decommissioning'!$B$2:$B$1000,ROWS($A$5:A720)),IF(ROWS($A$5:A720)-COUNTA('Raw Decommissioning'!$B$2:$B$1000)&lt;=COUNTA('Raw Provisioning'!$B$2:$B$1000),INDEX('Raw Provisioning'!$B$2:$B$1000,ROWS($A$5:A720)-COUNTA('Raw Decommissioning'!$B$2:$B$1000)),""))</x:f>
      </x:c>
      <x:c r="B720" s="170" t="str">
        <x:f>IF(A720="","",IF(ROWS($A$5:A720)&lt;=COUNTA('Raw Decommissioning'!$B$2:$B$1000),"Decommissioning","Provisioning"))</x:f>
      </x:c>
      <x:c r="C720" s="170" t="str">
        <x:f>IF(A720="","",IF(B720="Decommissioning",IFERROR(INDEX('Raw Decommissioning'!$E$2:$E$1000,MATCH(A720,'Raw Decommissioning'!$B$2:$B$1000,0)),"Missing from latest raw"),IFERROR(INDEX('Raw Provisioning'!$E$2:$E$1000,MATCH(A720,'Raw Provisioning'!$B$2:$B$1000,0)),"Missing from latest raw")))</x:f>
      </x:c>
      <x:c r="D720" s="171" t="str">
        <x:f>IF(A720="","",'Refresh Control'!$B$4)</x:f>
      </x:c>
      <x:c r="E720" s="171" t="str">
        <x:f>IF(A720="","",IF(B720="Decommissioning",INDEX('Raw Decommissioning'!$F$2:$F$1000,ROWS($A$5:A720)),INDEX('Raw Provisioning'!$F$2:$F$1000,ROWS($A$5:A720)-COUNTA('Raw Decommissioning'!$B$2:$B$1000))))</x:f>
      </x:c>
      <x:c r="F720" s="171" t="str">
        <x:f>IF(A720="","",IF(B720="Decommissioning",INDEX('Raw Decommissioning'!$G$2:$G$1000,ROWS($A$5:A720)),INDEX('Raw Provisioning'!$H$2:$H$1000,ROWS($A$5:A720)-COUNTA('Raw Decommissioning'!$B$2:$B$1000))))</x:f>
      </x:c>
      <x:c r="G720" s="170" t="str">
        <x:f>IF(A720="","",IF(B720="Decommissioning",INDEX('Raw Decommissioning'!$I$2:$I$1000,ROWS($A$5:A720)),INDEX('Raw Provisioning'!$J$2:$J$1000,ROWS($A$5:A720)-COUNTA('Raw Decommissioning'!$B$2:$B$1000))))</x:f>
      </x:c>
      <x:c r="H720" s="170" t="str">
        <x:f>IF(A720="","",IF(B720="Decommissioning",INDEX('Raw Decommissioning'!$J$2:$J$1000,ROWS($A$5:A720)),INDEX('Raw Provisioning'!$L$2:$L$1000,ROWS($A$5:A720)-COUNTA('Raw Decommissioning'!$B$2:$B$1000))))</x:f>
      </x:c>
      <x:c r="I720" s="170" t="str">
        <x:f>IF(A720="","",IF(B720="Decommissioning",INDEX('Raw Decommissioning'!$AL$2:$AL$1000,ROWS($A$5:A720)),INDEX('Raw Provisioning'!$R$2:$R$1000,ROWS($A$5:A720)-COUNTA('Raw Decommissioning'!$B$2:$B$1000))))</x:f>
      </x:c>
      <x:c r="J720" s="170" t="str">
        <x:f>IF(A720="","",IF(B720="Decommissioning",INDEX('Raw Decommissioning'!$AG$2:$AG$1000,ROWS($A$5:A720)),INDEX('Raw Provisioning'!$AI$2:$AI$1000,ROWS($A$5:A720)-COUNTA('Raw Decommissioning'!$B$2:$B$1000))))</x:f>
      </x:c>
      <x:c r="K720" s="172" t="str">
        <x:f>IF(A720="","",IFERROR(LOOKUP(2,1/('Assignment History'!$B$5:$B$204=A720),'Assignment History'!$D$5:$D$204),IFERROR(VLOOKUP(J720,Configuration!$L$5:$M$50,2,FALSE),J720)))</x:f>
      </x:c>
      <x:c r="L720" s="172" t="str">
        <x:f>IF(A720="","",IF(K720=IFERROR(VLOOKUP(J720,Configuration!$L$5:$M$50,2,FALSE),J720),"Snapshot PIC","Replacement PIC"))</x:f>
      </x:c>
      <x:c r="M720" s="172" t="str">
        <x:f>IF(A720="","",IFERROR(VLOOKUP(I720,Configuration!$O$5:$P$8,2,FALSE),Configuration!$S$6))</x:f>
      </x:c>
      <x:c r="N720" s="172" t="str">
        <x:f>IF(A720="","",IFERROR(LOOKUP(2,1/('Scope Review'!$B$5:$B$204=A720),'Scope Review'!$G$5:$G$204),"Not Reviewed"))</x:f>
      </x:c>
      <x:c r="O720" s="172" t="str">
        <x:f>IF(A720="","",IFERROR(LOOKUP(2,1/('Scope Review'!$B$5:$B$204=A720),'Scope Review'!$H$5:$H$204),""))</x:f>
      </x:c>
      <x:c r="P720" s="172" t="str">
        <x:f>IF(A720="","",IF(AND(C720="executing",N720&lt;&gt;"Confirmed OOS"),M720,0))</x:f>
      </x:c>
      <x:c r="Q720" s="173" t="str">
        <x:f>IF(A720="","",IFERROR(LOOKUP(2,1/('Engineer Updates'!$B$5:$B$704=A720),'Engineer Updates'!$A$5:$A$704),""))</x:f>
      </x:c>
      <x:c r="R720" s="172" t="str">
        <x:f>IF(A720="","",IFERROR(LOOKUP(2,1/('Engineer Updates'!$B$5:$B$704=A720),'Engineer Updates'!$H$5:$H$704),""))</x:f>
      </x:c>
      <x:c r="S720" s="172" t="str">
        <x:f>IF(A720="","",IFERROR(LOOKUP(2,1/('Engineer Updates'!$B$5:$B$704=A720),'Engineer Updates'!$G$5:$G$704),""))</x:f>
      </x:c>
      <x:c r="T720" s="172" t="str">
        <x:f>IF(A720="","",IFERROR(LOOKUP(2,1/('Engineer Updates'!$B$5:$B$704=A720),'Engineer Updates'!$I$5:$I$704),""))</x:f>
      </x:c>
      <x:c r="U720" s="172" t="str">
        <x:f>IF(A720="","",IFERROR(LOOKUP(2,1/('Engineer Updates'!$B$5:$B$704=A720),'Engineer Updates'!$J$5:$J$704),""))</x:f>
      </x:c>
      <x:c r="V720" s="172" t="str">
        <x:f>IF(A720="","",IFERROR(LOOKUP(2,1/('Engineer Updates'!$B$5:$B$704=A720),'Engineer Updates'!$K$5:$K$704),""))</x:f>
      </x:c>
      <x:c r="W720" s="174" t="str">
        <x:f>IF(A720="","",IFERROR(LOOKUP(2,1/('Engineer Updates'!$B$5:$B$704=A720),'Engineer Updates'!$L$5:$L$704),""))</x:f>
      </x:c>
      <x:c r="X720" s="170" t="str">
        <x:f>IF(A720="","",IF(C720="completed","Completed in CSSP",IF(AND(C720="executing",ISERROR(SEARCH("@",K720))),"Executing without named engineer",IF(AND(N720="Confirmed OOS",C720="executing"),"Confirmed OOS still executing",""))))</x:f>
      </x:c>
      <x:c r="Y720" s="170" t="str">
        <x:f>IF(A720="","",IF(B720="Decommissioning","Raw Decommissioning","Raw Provisioning"))</x:f>
      </x:c>
      <x:c r="Z720" s="170" t="str">
        <x:f>IF(A720="","",IF(OR(C720="executing",C720="processing"),"Yes","No"))</x:f>
      </x:c>
    </x:row>
    <x:row r="721">
      <x:c r="A721" s="170" t="str">
        <x:f>IF(ROWS($A$5:A721)&lt;=COUNTA('Raw Decommissioning'!$B$2:$B$1000),INDEX('Raw Decommissioning'!$B$2:$B$1000,ROWS($A$5:A721)),IF(ROWS($A$5:A721)-COUNTA('Raw Decommissioning'!$B$2:$B$1000)&lt;=COUNTA('Raw Provisioning'!$B$2:$B$1000),INDEX('Raw Provisioning'!$B$2:$B$1000,ROWS($A$5:A721)-COUNTA('Raw Decommissioning'!$B$2:$B$1000)),""))</x:f>
      </x:c>
      <x:c r="B721" s="170" t="str">
        <x:f>IF(A721="","",IF(ROWS($A$5:A721)&lt;=COUNTA('Raw Decommissioning'!$B$2:$B$1000),"Decommissioning","Provisioning"))</x:f>
      </x:c>
      <x:c r="C721" s="170" t="str">
        <x:f>IF(A721="","",IF(B721="Decommissioning",IFERROR(INDEX('Raw Decommissioning'!$E$2:$E$1000,MATCH(A721,'Raw Decommissioning'!$B$2:$B$1000,0)),"Missing from latest raw"),IFERROR(INDEX('Raw Provisioning'!$E$2:$E$1000,MATCH(A721,'Raw Provisioning'!$B$2:$B$1000,0)),"Missing from latest raw")))</x:f>
      </x:c>
      <x:c r="D721" s="171" t="str">
        <x:f>IF(A721="","",'Refresh Control'!$B$4)</x:f>
      </x:c>
      <x:c r="E721" s="171" t="str">
        <x:f>IF(A721="","",IF(B721="Decommissioning",INDEX('Raw Decommissioning'!$F$2:$F$1000,ROWS($A$5:A721)),INDEX('Raw Provisioning'!$F$2:$F$1000,ROWS($A$5:A721)-COUNTA('Raw Decommissioning'!$B$2:$B$1000))))</x:f>
      </x:c>
      <x:c r="F721" s="171" t="str">
        <x:f>IF(A721="","",IF(B721="Decommissioning",INDEX('Raw Decommissioning'!$G$2:$G$1000,ROWS($A$5:A721)),INDEX('Raw Provisioning'!$H$2:$H$1000,ROWS($A$5:A721)-COUNTA('Raw Decommissioning'!$B$2:$B$1000))))</x:f>
      </x:c>
      <x:c r="G721" s="170" t="str">
        <x:f>IF(A721="","",IF(B721="Decommissioning",INDEX('Raw Decommissioning'!$I$2:$I$1000,ROWS($A$5:A721)),INDEX('Raw Provisioning'!$J$2:$J$1000,ROWS($A$5:A721)-COUNTA('Raw Decommissioning'!$B$2:$B$1000))))</x:f>
      </x:c>
      <x:c r="H721" s="170" t="str">
        <x:f>IF(A721="","",IF(B721="Decommissioning",INDEX('Raw Decommissioning'!$J$2:$J$1000,ROWS($A$5:A721)),INDEX('Raw Provisioning'!$L$2:$L$1000,ROWS($A$5:A721)-COUNTA('Raw Decommissioning'!$B$2:$B$1000))))</x:f>
      </x:c>
      <x:c r="I721" s="170" t="str">
        <x:f>IF(A721="","",IF(B721="Decommissioning",INDEX('Raw Decommissioning'!$AL$2:$AL$1000,ROWS($A$5:A721)),INDEX('Raw Provisioning'!$R$2:$R$1000,ROWS($A$5:A721)-COUNTA('Raw Decommissioning'!$B$2:$B$1000))))</x:f>
      </x:c>
      <x:c r="J721" s="170" t="str">
        <x:f>IF(A721="","",IF(B721="Decommissioning",INDEX('Raw Decommissioning'!$AG$2:$AG$1000,ROWS($A$5:A721)),INDEX('Raw Provisioning'!$AI$2:$AI$1000,ROWS($A$5:A721)-COUNTA('Raw Decommissioning'!$B$2:$B$1000))))</x:f>
      </x:c>
      <x:c r="K721" s="172" t="str">
        <x:f>IF(A721="","",IFERROR(LOOKUP(2,1/('Assignment History'!$B$5:$B$204=A721),'Assignment History'!$D$5:$D$204),IFERROR(VLOOKUP(J721,Configuration!$L$5:$M$50,2,FALSE),J721)))</x:f>
      </x:c>
      <x:c r="L721" s="172" t="str">
        <x:f>IF(A721="","",IF(K721=IFERROR(VLOOKUP(J721,Configuration!$L$5:$M$50,2,FALSE),J721),"Snapshot PIC","Replacement PIC"))</x:f>
      </x:c>
      <x:c r="M721" s="172" t="str">
        <x:f>IF(A721="","",IFERROR(VLOOKUP(I721,Configuration!$O$5:$P$8,2,FALSE),Configuration!$S$6))</x:f>
      </x:c>
      <x:c r="N721" s="172" t="str">
        <x:f>IF(A721="","",IFERROR(LOOKUP(2,1/('Scope Review'!$B$5:$B$204=A721),'Scope Review'!$G$5:$G$204),"Not Reviewed"))</x:f>
      </x:c>
      <x:c r="O721" s="172" t="str">
        <x:f>IF(A721="","",IFERROR(LOOKUP(2,1/('Scope Review'!$B$5:$B$204=A721),'Scope Review'!$H$5:$H$204),""))</x:f>
      </x:c>
      <x:c r="P721" s="172" t="str">
        <x:f>IF(A721="","",IF(AND(C721="executing",N721&lt;&gt;"Confirmed OOS"),M721,0))</x:f>
      </x:c>
      <x:c r="Q721" s="173" t="str">
        <x:f>IF(A721="","",IFERROR(LOOKUP(2,1/('Engineer Updates'!$B$5:$B$704=A721),'Engineer Updates'!$A$5:$A$704),""))</x:f>
      </x:c>
      <x:c r="R721" s="172" t="str">
        <x:f>IF(A721="","",IFERROR(LOOKUP(2,1/('Engineer Updates'!$B$5:$B$704=A721),'Engineer Updates'!$H$5:$H$704),""))</x:f>
      </x:c>
      <x:c r="S721" s="172" t="str">
        <x:f>IF(A721="","",IFERROR(LOOKUP(2,1/('Engineer Updates'!$B$5:$B$704=A721),'Engineer Updates'!$G$5:$G$704),""))</x:f>
      </x:c>
      <x:c r="T721" s="172" t="str">
        <x:f>IF(A721="","",IFERROR(LOOKUP(2,1/('Engineer Updates'!$B$5:$B$704=A721),'Engineer Updates'!$I$5:$I$704),""))</x:f>
      </x:c>
      <x:c r="U721" s="172" t="str">
        <x:f>IF(A721="","",IFERROR(LOOKUP(2,1/('Engineer Updates'!$B$5:$B$704=A721),'Engineer Updates'!$J$5:$J$704),""))</x:f>
      </x:c>
      <x:c r="V721" s="172" t="str">
        <x:f>IF(A721="","",IFERROR(LOOKUP(2,1/('Engineer Updates'!$B$5:$B$704=A721),'Engineer Updates'!$K$5:$K$704),""))</x:f>
      </x:c>
      <x:c r="W721" s="174" t="str">
        <x:f>IF(A721="","",IFERROR(LOOKUP(2,1/('Engineer Updates'!$B$5:$B$704=A721),'Engineer Updates'!$L$5:$L$704),""))</x:f>
      </x:c>
      <x:c r="X721" s="170" t="str">
        <x:f>IF(A721="","",IF(C721="completed","Completed in CSSP",IF(AND(C721="executing",ISERROR(SEARCH("@",K721))),"Executing without named engineer",IF(AND(N721="Confirmed OOS",C721="executing"),"Confirmed OOS still executing",""))))</x:f>
      </x:c>
      <x:c r="Y721" s="170" t="str">
        <x:f>IF(A721="","",IF(B721="Decommissioning","Raw Decommissioning","Raw Provisioning"))</x:f>
      </x:c>
      <x:c r="Z721" s="170" t="str">
        <x:f>IF(A721="","",IF(OR(C721="executing",C721="processing"),"Yes","No"))</x:f>
      </x:c>
    </x:row>
    <x:row r="722">
      <x:c r="A722" s="170" t="str">
        <x:f>IF(ROWS($A$5:A722)&lt;=COUNTA('Raw Decommissioning'!$B$2:$B$1000),INDEX('Raw Decommissioning'!$B$2:$B$1000,ROWS($A$5:A722)),IF(ROWS($A$5:A722)-COUNTA('Raw Decommissioning'!$B$2:$B$1000)&lt;=COUNTA('Raw Provisioning'!$B$2:$B$1000),INDEX('Raw Provisioning'!$B$2:$B$1000,ROWS($A$5:A722)-COUNTA('Raw Decommissioning'!$B$2:$B$1000)),""))</x:f>
      </x:c>
      <x:c r="B722" s="170" t="str">
        <x:f>IF(A722="","",IF(ROWS($A$5:A722)&lt;=COUNTA('Raw Decommissioning'!$B$2:$B$1000),"Decommissioning","Provisioning"))</x:f>
      </x:c>
      <x:c r="C722" s="170" t="str">
        <x:f>IF(A722="","",IF(B722="Decommissioning",IFERROR(INDEX('Raw Decommissioning'!$E$2:$E$1000,MATCH(A722,'Raw Decommissioning'!$B$2:$B$1000,0)),"Missing from latest raw"),IFERROR(INDEX('Raw Provisioning'!$E$2:$E$1000,MATCH(A722,'Raw Provisioning'!$B$2:$B$1000,0)),"Missing from latest raw")))</x:f>
      </x:c>
      <x:c r="D722" s="171" t="str">
        <x:f>IF(A722="","",'Refresh Control'!$B$4)</x:f>
      </x:c>
      <x:c r="E722" s="171" t="str">
        <x:f>IF(A722="","",IF(B722="Decommissioning",INDEX('Raw Decommissioning'!$F$2:$F$1000,ROWS($A$5:A722)),INDEX('Raw Provisioning'!$F$2:$F$1000,ROWS($A$5:A722)-COUNTA('Raw Decommissioning'!$B$2:$B$1000))))</x:f>
      </x:c>
      <x:c r="F722" s="171" t="str">
        <x:f>IF(A722="","",IF(B722="Decommissioning",INDEX('Raw Decommissioning'!$G$2:$G$1000,ROWS($A$5:A722)),INDEX('Raw Provisioning'!$H$2:$H$1000,ROWS($A$5:A722)-COUNTA('Raw Decommissioning'!$B$2:$B$1000))))</x:f>
      </x:c>
      <x:c r="G722" s="170" t="str">
        <x:f>IF(A722="","",IF(B722="Decommissioning",INDEX('Raw Decommissioning'!$I$2:$I$1000,ROWS($A$5:A722)),INDEX('Raw Provisioning'!$J$2:$J$1000,ROWS($A$5:A722)-COUNTA('Raw Decommissioning'!$B$2:$B$1000))))</x:f>
      </x:c>
      <x:c r="H722" s="170" t="str">
        <x:f>IF(A722="","",IF(B722="Decommissioning",INDEX('Raw Decommissioning'!$J$2:$J$1000,ROWS($A$5:A722)),INDEX('Raw Provisioning'!$L$2:$L$1000,ROWS($A$5:A722)-COUNTA('Raw Decommissioning'!$B$2:$B$1000))))</x:f>
      </x:c>
      <x:c r="I722" s="170" t="str">
        <x:f>IF(A722="","",IF(B722="Decommissioning",INDEX('Raw Decommissioning'!$AL$2:$AL$1000,ROWS($A$5:A722)),INDEX('Raw Provisioning'!$R$2:$R$1000,ROWS($A$5:A722)-COUNTA('Raw Decommissioning'!$B$2:$B$1000))))</x:f>
      </x:c>
      <x:c r="J722" s="170" t="str">
        <x:f>IF(A722="","",IF(B722="Decommissioning",INDEX('Raw Decommissioning'!$AG$2:$AG$1000,ROWS($A$5:A722)),INDEX('Raw Provisioning'!$AI$2:$AI$1000,ROWS($A$5:A722)-COUNTA('Raw Decommissioning'!$B$2:$B$1000))))</x:f>
      </x:c>
      <x:c r="K722" s="172" t="str">
        <x:f>IF(A722="","",IFERROR(LOOKUP(2,1/('Assignment History'!$B$5:$B$204=A722),'Assignment History'!$D$5:$D$204),IFERROR(VLOOKUP(J722,Configuration!$L$5:$M$50,2,FALSE),J722)))</x:f>
      </x:c>
      <x:c r="L722" s="172" t="str">
        <x:f>IF(A722="","",IF(K722=IFERROR(VLOOKUP(J722,Configuration!$L$5:$M$50,2,FALSE),J722),"Snapshot PIC","Replacement PIC"))</x:f>
      </x:c>
      <x:c r="M722" s="172" t="str">
        <x:f>IF(A722="","",IFERROR(VLOOKUP(I722,Configuration!$O$5:$P$8,2,FALSE),Configuration!$S$6))</x:f>
      </x:c>
      <x:c r="N722" s="172" t="str">
        <x:f>IF(A722="","",IFERROR(LOOKUP(2,1/('Scope Review'!$B$5:$B$204=A722),'Scope Review'!$G$5:$G$204),"Not Reviewed"))</x:f>
      </x:c>
      <x:c r="O722" s="172" t="str">
        <x:f>IF(A722="","",IFERROR(LOOKUP(2,1/('Scope Review'!$B$5:$B$204=A722),'Scope Review'!$H$5:$H$204),""))</x:f>
      </x:c>
      <x:c r="P722" s="172" t="str">
        <x:f>IF(A722="","",IF(AND(C722="executing",N722&lt;&gt;"Confirmed OOS"),M722,0))</x:f>
      </x:c>
      <x:c r="Q722" s="173" t="str">
        <x:f>IF(A722="","",IFERROR(LOOKUP(2,1/('Engineer Updates'!$B$5:$B$704=A722),'Engineer Updates'!$A$5:$A$704),""))</x:f>
      </x:c>
      <x:c r="R722" s="172" t="str">
        <x:f>IF(A722="","",IFERROR(LOOKUP(2,1/('Engineer Updates'!$B$5:$B$704=A722),'Engineer Updates'!$H$5:$H$704),""))</x:f>
      </x:c>
      <x:c r="S722" s="172" t="str">
        <x:f>IF(A722="","",IFERROR(LOOKUP(2,1/('Engineer Updates'!$B$5:$B$704=A722),'Engineer Updates'!$G$5:$G$704),""))</x:f>
      </x:c>
      <x:c r="T722" s="172" t="str">
        <x:f>IF(A722="","",IFERROR(LOOKUP(2,1/('Engineer Updates'!$B$5:$B$704=A722),'Engineer Updates'!$I$5:$I$704),""))</x:f>
      </x:c>
      <x:c r="U722" s="172" t="str">
        <x:f>IF(A722="","",IFERROR(LOOKUP(2,1/('Engineer Updates'!$B$5:$B$704=A722),'Engineer Updates'!$J$5:$J$704),""))</x:f>
      </x:c>
      <x:c r="V722" s="172" t="str">
        <x:f>IF(A722="","",IFERROR(LOOKUP(2,1/('Engineer Updates'!$B$5:$B$704=A722),'Engineer Updates'!$K$5:$K$704),""))</x:f>
      </x:c>
      <x:c r="W722" s="174" t="str">
        <x:f>IF(A722="","",IFERROR(LOOKUP(2,1/('Engineer Updates'!$B$5:$B$704=A722),'Engineer Updates'!$L$5:$L$704),""))</x:f>
      </x:c>
      <x:c r="X722" s="170" t="str">
        <x:f>IF(A722="","",IF(C722="completed","Completed in CSSP",IF(AND(C722="executing",ISERROR(SEARCH("@",K722))),"Executing without named engineer",IF(AND(N722="Confirmed OOS",C722="executing"),"Confirmed OOS still executing",""))))</x:f>
      </x:c>
      <x:c r="Y722" s="170" t="str">
        <x:f>IF(A722="","",IF(B722="Decommissioning","Raw Decommissioning","Raw Provisioning"))</x:f>
      </x:c>
      <x:c r="Z722" s="170" t="str">
        <x:f>IF(A722="","",IF(OR(C722="executing",C722="processing"),"Yes","No"))</x:f>
      </x:c>
    </x:row>
    <x:row r="723">
      <x:c r="A723" s="170" t="str">
        <x:f>IF(ROWS($A$5:A723)&lt;=COUNTA('Raw Decommissioning'!$B$2:$B$1000),INDEX('Raw Decommissioning'!$B$2:$B$1000,ROWS($A$5:A723)),IF(ROWS($A$5:A723)-COUNTA('Raw Decommissioning'!$B$2:$B$1000)&lt;=COUNTA('Raw Provisioning'!$B$2:$B$1000),INDEX('Raw Provisioning'!$B$2:$B$1000,ROWS($A$5:A723)-COUNTA('Raw Decommissioning'!$B$2:$B$1000)),""))</x:f>
      </x:c>
      <x:c r="B723" s="170" t="str">
        <x:f>IF(A723="","",IF(ROWS($A$5:A723)&lt;=COUNTA('Raw Decommissioning'!$B$2:$B$1000),"Decommissioning","Provisioning"))</x:f>
      </x:c>
      <x:c r="C723" s="170" t="str">
        <x:f>IF(A723="","",IF(B723="Decommissioning",IFERROR(INDEX('Raw Decommissioning'!$E$2:$E$1000,MATCH(A723,'Raw Decommissioning'!$B$2:$B$1000,0)),"Missing from latest raw"),IFERROR(INDEX('Raw Provisioning'!$E$2:$E$1000,MATCH(A723,'Raw Provisioning'!$B$2:$B$1000,0)),"Missing from latest raw")))</x:f>
      </x:c>
      <x:c r="D723" s="171" t="str">
        <x:f>IF(A723="","",'Refresh Control'!$B$4)</x:f>
      </x:c>
      <x:c r="E723" s="171" t="str">
        <x:f>IF(A723="","",IF(B723="Decommissioning",INDEX('Raw Decommissioning'!$F$2:$F$1000,ROWS($A$5:A723)),INDEX('Raw Provisioning'!$F$2:$F$1000,ROWS($A$5:A723)-COUNTA('Raw Decommissioning'!$B$2:$B$1000))))</x:f>
      </x:c>
      <x:c r="F723" s="171" t="str">
        <x:f>IF(A723="","",IF(B723="Decommissioning",INDEX('Raw Decommissioning'!$G$2:$G$1000,ROWS($A$5:A723)),INDEX('Raw Provisioning'!$H$2:$H$1000,ROWS($A$5:A723)-COUNTA('Raw Decommissioning'!$B$2:$B$1000))))</x:f>
      </x:c>
      <x:c r="G723" s="170" t="str">
        <x:f>IF(A723="","",IF(B723="Decommissioning",INDEX('Raw Decommissioning'!$I$2:$I$1000,ROWS($A$5:A723)),INDEX('Raw Provisioning'!$J$2:$J$1000,ROWS($A$5:A723)-COUNTA('Raw Decommissioning'!$B$2:$B$1000))))</x:f>
      </x:c>
      <x:c r="H723" s="170" t="str">
        <x:f>IF(A723="","",IF(B723="Decommissioning",INDEX('Raw Decommissioning'!$J$2:$J$1000,ROWS($A$5:A723)),INDEX('Raw Provisioning'!$L$2:$L$1000,ROWS($A$5:A723)-COUNTA('Raw Decommissioning'!$B$2:$B$1000))))</x:f>
      </x:c>
      <x:c r="I723" s="170" t="str">
        <x:f>IF(A723="","",IF(B723="Decommissioning",INDEX('Raw Decommissioning'!$AL$2:$AL$1000,ROWS($A$5:A723)),INDEX('Raw Provisioning'!$R$2:$R$1000,ROWS($A$5:A723)-COUNTA('Raw Decommissioning'!$B$2:$B$1000))))</x:f>
      </x:c>
      <x:c r="J723" s="170" t="str">
        <x:f>IF(A723="","",IF(B723="Decommissioning",INDEX('Raw Decommissioning'!$AG$2:$AG$1000,ROWS($A$5:A723)),INDEX('Raw Provisioning'!$AI$2:$AI$1000,ROWS($A$5:A723)-COUNTA('Raw Decommissioning'!$B$2:$B$1000))))</x:f>
      </x:c>
      <x:c r="K723" s="172" t="str">
        <x:f>IF(A723="","",IFERROR(LOOKUP(2,1/('Assignment History'!$B$5:$B$204=A723),'Assignment History'!$D$5:$D$204),IFERROR(VLOOKUP(J723,Configuration!$L$5:$M$50,2,FALSE),J723)))</x:f>
      </x:c>
      <x:c r="L723" s="172" t="str">
        <x:f>IF(A723="","",IF(K723=IFERROR(VLOOKUP(J723,Configuration!$L$5:$M$50,2,FALSE),J723),"Snapshot PIC","Replacement PIC"))</x:f>
      </x:c>
      <x:c r="M723" s="172" t="str">
        <x:f>IF(A723="","",IFERROR(VLOOKUP(I723,Configuration!$O$5:$P$8,2,FALSE),Configuration!$S$6))</x:f>
      </x:c>
      <x:c r="N723" s="172" t="str">
        <x:f>IF(A723="","",IFERROR(LOOKUP(2,1/('Scope Review'!$B$5:$B$204=A723),'Scope Review'!$G$5:$G$204),"Not Reviewed"))</x:f>
      </x:c>
      <x:c r="O723" s="172" t="str">
        <x:f>IF(A723="","",IFERROR(LOOKUP(2,1/('Scope Review'!$B$5:$B$204=A723),'Scope Review'!$H$5:$H$204),""))</x:f>
      </x:c>
      <x:c r="P723" s="172" t="str">
        <x:f>IF(A723="","",IF(AND(C723="executing",N723&lt;&gt;"Confirmed OOS"),M723,0))</x:f>
      </x:c>
      <x:c r="Q723" s="173" t="str">
        <x:f>IF(A723="","",IFERROR(LOOKUP(2,1/('Engineer Updates'!$B$5:$B$704=A723),'Engineer Updates'!$A$5:$A$704),""))</x:f>
      </x:c>
      <x:c r="R723" s="172" t="str">
        <x:f>IF(A723="","",IFERROR(LOOKUP(2,1/('Engineer Updates'!$B$5:$B$704=A723),'Engineer Updates'!$H$5:$H$704),""))</x:f>
      </x:c>
      <x:c r="S723" s="172" t="str">
        <x:f>IF(A723="","",IFERROR(LOOKUP(2,1/('Engineer Updates'!$B$5:$B$704=A723),'Engineer Updates'!$G$5:$G$704),""))</x:f>
      </x:c>
      <x:c r="T723" s="172" t="str">
        <x:f>IF(A723="","",IFERROR(LOOKUP(2,1/('Engineer Updates'!$B$5:$B$704=A723),'Engineer Updates'!$I$5:$I$704),""))</x:f>
      </x:c>
      <x:c r="U723" s="172" t="str">
        <x:f>IF(A723="","",IFERROR(LOOKUP(2,1/('Engineer Updates'!$B$5:$B$704=A723),'Engineer Updates'!$J$5:$J$704),""))</x:f>
      </x:c>
      <x:c r="V723" s="172" t="str">
        <x:f>IF(A723="","",IFERROR(LOOKUP(2,1/('Engineer Updates'!$B$5:$B$704=A723),'Engineer Updates'!$K$5:$K$704),""))</x:f>
      </x:c>
      <x:c r="W723" s="174" t="str">
        <x:f>IF(A723="","",IFERROR(LOOKUP(2,1/('Engineer Updates'!$B$5:$B$704=A723),'Engineer Updates'!$L$5:$L$704),""))</x:f>
      </x:c>
      <x:c r="X723" s="170" t="str">
        <x:f>IF(A723="","",IF(C723="completed","Completed in CSSP",IF(AND(C723="executing",ISERROR(SEARCH("@",K723))),"Executing without named engineer",IF(AND(N723="Confirmed OOS",C723="executing"),"Confirmed OOS still executing",""))))</x:f>
      </x:c>
      <x:c r="Y723" s="170" t="str">
        <x:f>IF(A723="","",IF(B723="Decommissioning","Raw Decommissioning","Raw Provisioning"))</x:f>
      </x:c>
      <x:c r="Z723" s="170" t="str">
        <x:f>IF(A723="","",IF(OR(C723="executing",C723="processing"),"Yes","No"))</x:f>
      </x:c>
    </x:row>
    <x:row r="724">
      <x:c r="A724" s="170" t="str">
        <x:f>IF(ROWS($A$5:A724)&lt;=COUNTA('Raw Decommissioning'!$B$2:$B$1000),INDEX('Raw Decommissioning'!$B$2:$B$1000,ROWS($A$5:A724)),IF(ROWS($A$5:A724)-COUNTA('Raw Decommissioning'!$B$2:$B$1000)&lt;=COUNTA('Raw Provisioning'!$B$2:$B$1000),INDEX('Raw Provisioning'!$B$2:$B$1000,ROWS($A$5:A724)-COUNTA('Raw Decommissioning'!$B$2:$B$1000)),""))</x:f>
      </x:c>
      <x:c r="B724" s="170" t="str">
        <x:f>IF(A724="","",IF(ROWS($A$5:A724)&lt;=COUNTA('Raw Decommissioning'!$B$2:$B$1000),"Decommissioning","Provisioning"))</x:f>
      </x:c>
      <x:c r="C724" s="170" t="str">
        <x:f>IF(A724="","",IF(B724="Decommissioning",IFERROR(INDEX('Raw Decommissioning'!$E$2:$E$1000,MATCH(A724,'Raw Decommissioning'!$B$2:$B$1000,0)),"Missing from latest raw"),IFERROR(INDEX('Raw Provisioning'!$E$2:$E$1000,MATCH(A724,'Raw Provisioning'!$B$2:$B$1000,0)),"Missing from latest raw")))</x:f>
      </x:c>
      <x:c r="D724" s="171" t="str">
        <x:f>IF(A724="","",'Refresh Control'!$B$4)</x:f>
      </x:c>
      <x:c r="E724" s="171" t="str">
        <x:f>IF(A724="","",IF(B724="Decommissioning",INDEX('Raw Decommissioning'!$F$2:$F$1000,ROWS($A$5:A724)),INDEX('Raw Provisioning'!$F$2:$F$1000,ROWS($A$5:A724)-COUNTA('Raw Decommissioning'!$B$2:$B$1000))))</x:f>
      </x:c>
      <x:c r="F724" s="171" t="str">
        <x:f>IF(A724="","",IF(B724="Decommissioning",INDEX('Raw Decommissioning'!$G$2:$G$1000,ROWS($A$5:A724)),INDEX('Raw Provisioning'!$H$2:$H$1000,ROWS($A$5:A724)-COUNTA('Raw Decommissioning'!$B$2:$B$1000))))</x:f>
      </x:c>
      <x:c r="G724" s="170" t="str">
        <x:f>IF(A724="","",IF(B724="Decommissioning",INDEX('Raw Decommissioning'!$I$2:$I$1000,ROWS($A$5:A724)),INDEX('Raw Provisioning'!$J$2:$J$1000,ROWS($A$5:A724)-COUNTA('Raw Decommissioning'!$B$2:$B$1000))))</x:f>
      </x:c>
      <x:c r="H724" s="170" t="str">
        <x:f>IF(A724="","",IF(B724="Decommissioning",INDEX('Raw Decommissioning'!$J$2:$J$1000,ROWS($A$5:A724)),INDEX('Raw Provisioning'!$L$2:$L$1000,ROWS($A$5:A724)-COUNTA('Raw Decommissioning'!$B$2:$B$1000))))</x:f>
      </x:c>
      <x:c r="I724" s="170" t="str">
        <x:f>IF(A724="","",IF(B724="Decommissioning",INDEX('Raw Decommissioning'!$AL$2:$AL$1000,ROWS($A$5:A724)),INDEX('Raw Provisioning'!$R$2:$R$1000,ROWS($A$5:A724)-COUNTA('Raw Decommissioning'!$B$2:$B$1000))))</x:f>
      </x:c>
      <x:c r="J724" s="170" t="str">
        <x:f>IF(A724="","",IF(B724="Decommissioning",INDEX('Raw Decommissioning'!$AG$2:$AG$1000,ROWS($A$5:A724)),INDEX('Raw Provisioning'!$AI$2:$AI$1000,ROWS($A$5:A724)-COUNTA('Raw Decommissioning'!$B$2:$B$1000))))</x:f>
      </x:c>
      <x:c r="K724" s="172" t="str">
        <x:f>IF(A724="","",IFERROR(LOOKUP(2,1/('Assignment History'!$B$5:$B$204=A724),'Assignment History'!$D$5:$D$204),IFERROR(VLOOKUP(J724,Configuration!$L$5:$M$50,2,FALSE),J724)))</x:f>
      </x:c>
      <x:c r="L724" s="172" t="str">
        <x:f>IF(A724="","",IF(K724=IFERROR(VLOOKUP(J724,Configuration!$L$5:$M$50,2,FALSE),J724),"Snapshot PIC","Replacement PIC"))</x:f>
      </x:c>
      <x:c r="M724" s="172" t="str">
        <x:f>IF(A724="","",IFERROR(VLOOKUP(I724,Configuration!$O$5:$P$8,2,FALSE),Configuration!$S$6))</x:f>
      </x:c>
      <x:c r="N724" s="172" t="str">
        <x:f>IF(A724="","",IFERROR(LOOKUP(2,1/('Scope Review'!$B$5:$B$204=A724),'Scope Review'!$G$5:$G$204),"Not Reviewed"))</x:f>
      </x:c>
      <x:c r="O724" s="172" t="str">
        <x:f>IF(A724="","",IFERROR(LOOKUP(2,1/('Scope Review'!$B$5:$B$204=A724),'Scope Review'!$H$5:$H$204),""))</x:f>
      </x:c>
      <x:c r="P724" s="172" t="str">
        <x:f>IF(A724="","",IF(AND(C724="executing",N724&lt;&gt;"Confirmed OOS"),M724,0))</x:f>
      </x:c>
      <x:c r="Q724" s="173" t="str">
        <x:f>IF(A724="","",IFERROR(LOOKUP(2,1/('Engineer Updates'!$B$5:$B$704=A724),'Engineer Updates'!$A$5:$A$704),""))</x:f>
      </x:c>
      <x:c r="R724" s="172" t="str">
        <x:f>IF(A724="","",IFERROR(LOOKUP(2,1/('Engineer Updates'!$B$5:$B$704=A724),'Engineer Updates'!$H$5:$H$704),""))</x:f>
      </x:c>
      <x:c r="S724" s="172" t="str">
        <x:f>IF(A724="","",IFERROR(LOOKUP(2,1/('Engineer Updates'!$B$5:$B$704=A724),'Engineer Updates'!$G$5:$G$704),""))</x:f>
      </x:c>
      <x:c r="T724" s="172" t="str">
        <x:f>IF(A724="","",IFERROR(LOOKUP(2,1/('Engineer Updates'!$B$5:$B$704=A724),'Engineer Updates'!$I$5:$I$704),""))</x:f>
      </x:c>
      <x:c r="U724" s="172" t="str">
        <x:f>IF(A724="","",IFERROR(LOOKUP(2,1/('Engineer Updates'!$B$5:$B$704=A724),'Engineer Updates'!$J$5:$J$704),""))</x:f>
      </x:c>
      <x:c r="V724" s="172" t="str">
        <x:f>IF(A724="","",IFERROR(LOOKUP(2,1/('Engineer Updates'!$B$5:$B$704=A724),'Engineer Updates'!$K$5:$K$704),""))</x:f>
      </x:c>
      <x:c r="W724" s="174" t="str">
        <x:f>IF(A724="","",IFERROR(LOOKUP(2,1/('Engineer Updates'!$B$5:$B$704=A724),'Engineer Updates'!$L$5:$L$704),""))</x:f>
      </x:c>
      <x:c r="X724" s="170" t="str">
        <x:f>IF(A724="","",IF(C724="completed","Completed in CSSP",IF(AND(C724="executing",ISERROR(SEARCH("@",K724))),"Executing without named engineer",IF(AND(N724="Confirmed OOS",C724="executing"),"Confirmed OOS still executing",""))))</x:f>
      </x:c>
      <x:c r="Y724" s="170" t="str">
        <x:f>IF(A724="","",IF(B724="Decommissioning","Raw Decommissioning","Raw Provisioning"))</x:f>
      </x:c>
      <x:c r="Z724" s="170" t="str">
        <x:f>IF(A724="","",IF(OR(C724="executing",C724="processing"),"Yes","No"))</x:f>
      </x:c>
    </x:row>
    <x:row r="725">
      <x:c r="A725" s="170" t="str">
        <x:f>IF(ROWS($A$5:A725)&lt;=COUNTA('Raw Decommissioning'!$B$2:$B$1000),INDEX('Raw Decommissioning'!$B$2:$B$1000,ROWS($A$5:A725)),IF(ROWS($A$5:A725)-COUNTA('Raw Decommissioning'!$B$2:$B$1000)&lt;=COUNTA('Raw Provisioning'!$B$2:$B$1000),INDEX('Raw Provisioning'!$B$2:$B$1000,ROWS($A$5:A725)-COUNTA('Raw Decommissioning'!$B$2:$B$1000)),""))</x:f>
      </x:c>
      <x:c r="B725" s="170" t="str">
        <x:f>IF(A725="","",IF(ROWS($A$5:A725)&lt;=COUNTA('Raw Decommissioning'!$B$2:$B$1000),"Decommissioning","Provisioning"))</x:f>
      </x:c>
      <x:c r="C725" s="170" t="str">
        <x:f>IF(A725="","",IF(B725="Decommissioning",IFERROR(INDEX('Raw Decommissioning'!$E$2:$E$1000,MATCH(A725,'Raw Decommissioning'!$B$2:$B$1000,0)),"Missing from latest raw"),IFERROR(INDEX('Raw Provisioning'!$E$2:$E$1000,MATCH(A725,'Raw Provisioning'!$B$2:$B$1000,0)),"Missing from latest raw")))</x:f>
      </x:c>
      <x:c r="D725" s="171" t="str">
        <x:f>IF(A725="","",'Refresh Control'!$B$4)</x:f>
      </x:c>
      <x:c r="E725" s="171" t="str">
        <x:f>IF(A725="","",IF(B725="Decommissioning",INDEX('Raw Decommissioning'!$F$2:$F$1000,ROWS($A$5:A725)),INDEX('Raw Provisioning'!$F$2:$F$1000,ROWS($A$5:A725)-COUNTA('Raw Decommissioning'!$B$2:$B$1000))))</x:f>
      </x:c>
      <x:c r="F725" s="171" t="str">
        <x:f>IF(A725="","",IF(B725="Decommissioning",INDEX('Raw Decommissioning'!$G$2:$G$1000,ROWS($A$5:A725)),INDEX('Raw Provisioning'!$H$2:$H$1000,ROWS($A$5:A725)-COUNTA('Raw Decommissioning'!$B$2:$B$1000))))</x:f>
      </x:c>
      <x:c r="G725" s="170" t="str">
        <x:f>IF(A725="","",IF(B725="Decommissioning",INDEX('Raw Decommissioning'!$I$2:$I$1000,ROWS($A$5:A725)),INDEX('Raw Provisioning'!$J$2:$J$1000,ROWS($A$5:A725)-COUNTA('Raw Decommissioning'!$B$2:$B$1000))))</x:f>
      </x:c>
      <x:c r="H725" s="170" t="str">
        <x:f>IF(A725="","",IF(B725="Decommissioning",INDEX('Raw Decommissioning'!$J$2:$J$1000,ROWS($A$5:A725)),INDEX('Raw Provisioning'!$L$2:$L$1000,ROWS($A$5:A725)-COUNTA('Raw Decommissioning'!$B$2:$B$1000))))</x:f>
      </x:c>
      <x:c r="I725" s="170" t="str">
        <x:f>IF(A725="","",IF(B725="Decommissioning",INDEX('Raw Decommissioning'!$AL$2:$AL$1000,ROWS($A$5:A725)),INDEX('Raw Provisioning'!$R$2:$R$1000,ROWS($A$5:A725)-COUNTA('Raw Decommissioning'!$B$2:$B$1000))))</x:f>
      </x:c>
      <x:c r="J725" s="170" t="str">
        <x:f>IF(A725="","",IF(B725="Decommissioning",INDEX('Raw Decommissioning'!$AG$2:$AG$1000,ROWS($A$5:A725)),INDEX('Raw Provisioning'!$AI$2:$AI$1000,ROWS($A$5:A725)-COUNTA('Raw Decommissioning'!$B$2:$B$1000))))</x:f>
      </x:c>
      <x:c r="K725" s="172" t="str">
        <x:f>IF(A725="","",IFERROR(LOOKUP(2,1/('Assignment History'!$B$5:$B$204=A725),'Assignment History'!$D$5:$D$204),IFERROR(VLOOKUP(J725,Configuration!$L$5:$M$50,2,FALSE),J725)))</x:f>
      </x:c>
      <x:c r="L725" s="172" t="str">
        <x:f>IF(A725="","",IF(K725=IFERROR(VLOOKUP(J725,Configuration!$L$5:$M$50,2,FALSE),J725),"Snapshot PIC","Replacement PIC"))</x:f>
      </x:c>
      <x:c r="M725" s="172" t="str">
        <x:f>IF(A725="","",IFERROR(VLOOKUP(I725,Configuration!$O$5:$P$8,2,FALSE),Configuration!$S$6))</x:f>
      </x:c>
      <x:c r="N725" s="172" t="str">
        <x:f>IF(A725="","",IFERROR(LOOKUP(2,1/('Scope Review'!$B$5:$B$204=A725),'Scope Review'!$G$5:$G$204),"Not Reviewed"))</x:f>
      </x:c>
      <x:c r="O725" s="172" t="str">
        <x:f>IF(A725="","",IFERROR(LOOKUP(2,1/('Scope Review'!$B$5:$B$204=A725),'Scope Review'!$H$5:$H$204),""))</x:f>
      </x:c>
      <x:c r="P725" s="172" t="str">
        <x:f>IF(A725="","",IF(AND(C725="executing",N725&lt;&gt;"Confirmed OOS"),M725,0))</x:f>
      </x:c>
      <x:c r="Q725" s="173" t="str">
        <x:f>IF(A725="","",IFERROR(LOOKUP(2,1/('Engineer Updates'!$B$5:$B$704=A725),'Engineer Updates'!$A$5:$A$704),""))</x:f>
      </x:c>
      <x:c r="R725" s="172" t="str">
        <x:f>IF(A725="","",IFERROR(LOOKUP(2,1/('Engineer Updates'!$B$5:$B$704=A725),'Engineer Updates'!$H$5:$H$704),""))</x:f>
      </x:c>
      <x:c r="S725" s="172" t="str">
        <x:f>IF(A725="","",IFERROR(LOOKUP(2,1/('Engineer Updates'!$B$5:$B$704=A725),'Engineer Updates'!$G$5:$G$704),""))</x:f>
      </x:c>
      <x:c r="T725" s="172" t="str">
        <x:f>IF(A725="","",IFERROR(LOOKUP(2,1/('Engineer Updates'!$B$5:$B$704=A725),'Engineer Updates'!$I$5:$I$704),""))</x:f>
      </x:c>
      <x:c r="U725" s="172" t="str">
        <x:f>IF(A725="","",IFERROR(LOOKUP(2,1/('Engineer Updates'!$B$5:$B$704=A725),'Engineer Updates'!$J$5:$J$704),""))</x:f>
      </x:c>
      <x:c r="V725" s="172" t="str">
        <x:f>IF(A725="","",IFERROR(LOOKUP(2,1/('Engineer Updates'!$B$5:$B$704=A725),'Engineer Updates'!$K$5:$K$704),""))</x:f>
      </x:c>
      <x:c r="W725" s="174" t="str">
        <x:f>IF(A725="","",IFERROR(LOOKUP(2,1/('Engineer Updates'!$B$5:$B$704=A725),'Engineer Updates'!$L$5:$L$704),""))</x:f>
      </x:c>
      <x:c r="X725" s="170" t="str">
        <x:f>IF(A725="","",IF(C725="completed","Completed in CSSP",IF(AND(C725="executing",ISERROR(SEARCH("@",K725))),"Executing without named engineer",IF(AND(N725="Confirmed OOS",C725="executing"),"Confirmed OOS still executing",""))))</x:f>
      </x:c>
      <x:c r="Y725" s="170" t="str">
        <x:f>IF(A725="","",IF(B725="Decommissioning","Raw Decommissioning","Raw Provisioning"))</x:f>
      </x:c>
      <x:c r="Z725" s="170" t="str">
        <x:f>IF(A725="","",IF(OR(C725="executing",C725="processing"),"Yes","No"))</x:f>
      </x:c>
    </x:row>
    <x:row r="726">
      <x:c r="A726" s="170" t="str">
        <x:f>IF(ROWS($A$5:A726)&lt;=COUNTA('Raw Decommissioning'!$B$2:$B$1000),INDEX('Raw Decommissioning'!$B$2:$B$1000,ROWS($A$5:A726)),IF(ROWS($A$5:A726)-COUNTA('Raw Decommissioning'!$B$2:$B$1000)&lt;=COUNTA('Raw Provisioning'!$B$2:$B$1000),INDEX('Raw Provisioning'!$B$2:$B$1000,ROWS($A$5:A726)-COUNTA('Raw Decommissioning'!$B$2:$B$1000)),""))</x:f>
      </x:c>
      <x:c r="B726" s="170" t="str">
        <x:f>IF(A726="","",IF(ROWS($A$5:A726)&lt;=COUNTA('Raw Decommissioning'!$B$2:$B$1000),"Decommissioning","Provisioning"))</x:f>
      </x:c>
      <x:c r="C726" s="170" t="str">
        <x:f>IF(A726="","",IF(B726="Decommissioning",IFERROR(INDEX('Raw Decommissioning'!$E$2:$E$1000,MATCH(A726,'Raw Decommissioning'!$B$2:$B$1000,0)),"Missing from latest raw"),IFERROR(INDEX('Raw Provisioning'!$E$2:$E$1000,MATCH(A726,'Raw Provisioning'!$B$2:$B$1000,0)),"Missing from latest raw")))</x:f>
      </x:c>
      <x:c r="D726" s="171" t="str">
        <x:f>IF(A726="","",'Refresh Control'!$B$4)</x:f>
      </x:c>
      <x:c r="E726" s="171" t="str">
        <x:f>IF(A726="","",IF(B726="Decommissioning",INDEX('Raw Decommissioning'!$F$2:$F$1000,ROWS($A$5:A726)),INDEX('Raw Provisioning'!$F$2:$F$1000,ROWS($A$5:A726)-COUNTA('Raw Decommissioning'!$B$2:$B$1000))))</x:f>
      </x:c>
      <x:c r="F726" s="171" t="str">
        <x:f>IF(A726="","",IF(B726="Decommissioning",INDEX('Raw Decommissioning'!$G$2:$G$1000,ROWS($A$5:A726)),INDEX('Raw Provisioning'!$H$2:$H$1000,ROWS($A$5:A726)-COUNTA('Raw Decommissioning'!$B$2:$B$1000))))</x:f>
      </x:c>
      <x:c r="G726" s="170" t="str">
        <x:f>IF(A726="","",IF(B726="Decommissioning",INDEX('Raw Decommissioning'!$I$2:$I$1000,ROWS($A$5:A726)),INDEX('Raw Provisioning'!$J$2:$J$1000,ROWS($A$5:A726)-COUNTA('Raw Decommissioning'!$B$2:$B$1000))))</x:f>
      </x:c>
      <x:c r="H726" s="170" t="str">
        <x:f>IF(A726="","",IF(B726="Decommissioning",INDEX('Raw Decommissioning'!$J$2:$J$1000,ROWS($A$5:A726)),INDEX('Raw Provisioning'!$L$2:$L$1000,ROWS($A$5:A726)-COUNTA('Raw Decommissioning'!$B$2:$B$1000))))</x:f>
      </x:c>
      <x:c r="I726" s="170" t="str">
        <x:f>IF(A726="","",IF(B726="Decommissioning",INDEX('Raw Decommissioning'!$AL$2:$AL$1000,ROWS($A$5:A726)),INDEX('Raw Provisioning'!$R$2:$R$1000,ROWS($A$5:A726)-COUNTA('Raw Decommissioning'!$B$2:$B$1000))))</x:f>
      </x:c>
      <x:c r="J726" s="170" t="str">
        <x:f>IF(A726="","",IF(B726="Decommissioning",INDEX('Raw Decommissioning'!$AG$2:$AG$1000,ROWS($A$5:A726)),INDEX('Raw Provisioning'!$AI$2:$AI$1000,ROWS($A$5:A726)-COUNTA('Raw Decommissioning'!$B$2:$B$1000))))</x:f>
      </x:c>
      <x:c r="K726" s="172" t="str">
        <x:f>IF(A726="","",IFERROR(LOOKUP(2,1/('Assignment History'!$B$5:$B$204=A726),'Assignment History'!$D$5:$D$204),IFERROR(VLOOKUP(J726,Configuration!$L$5:$M$50,2,FALSE),J726)))</x:f>
      </x:c>
      <x:c r="L726" s="172" t="str">
        <x:f>IF(A726="","",IF(K726=IFERROR(VLOOKUP(J726,Configuration!$L$5:$M$50,2,FALSE),J726),"Snapshot PIC","Replacement PIC"))</x:f>
      </x:c>
      <x:c r="M726" s="172" t="str">
        <x:f>IF(A726="","",IFERROR(VLOOKUP(I726,Configuration!$O$5:$P$8,2,FALSE),Configuration!$S$6))</x:f>
      </x:c>
      <x:c r="N726" s="172" t="str">
        <x:f>IF(A726="","",IFERROR(LOOKUP(2,1/('Scope Review'!$B$5:$B$204=A726),'Scope Review'!$G$5:$G$204),"Not Reviewed"))</x:f>
      </x:c>
      <x:c r="O726" s="172" t="str">
        <x:f>IF(A726="","",IFERROR(LOOKUP(2,1/('Scope Review'!$B$5:$B$204=A726),'Scope Review'!$H$5:$H$204),""))</x:f>
      </x:c>
      <x:c r="P726" s="172" t="str">
        <x:f>IF(A726="","",IF(AND(C726="executing",N726&lt;&gt;"Confirmed OOS"),M726,0))</x:f>
      </x:c>
      <x:c r="Q726" s="173" t="str">
        <x:f>IF(A726="","",IFERROR(LOOKUP(2,1/('Engineer Updates'!$B$5:$B$704=A726),'Engineer Updates'!$A$5:$A$704),""))</x:f>
      </x:c>
      <x:c r="R726" s="172" t="str">
        <x:f>IF(A726="","",IFERROR(LOOKUP(2,1/('Engineer Updates'!$B$5:$B$704=A726),'Engineer Updates'!$H$5:$H$704),""))</x:f>
      </x:c>
      <x:c r="S726" s="172" t="str">
        <x:f>IF(A726="","",IFERROR(LOOKUP(2,1/('Engineer Updates'!$B$5:$B$704=A726),'Engineer Updates'!$G$5:$G$704),""))</x:f>
      </x:c>
      <x:c r="T726" s="172" t="str">
        <x:f>IF(A726="","",IFERROR(LOOKUP(2,1/('Engineer Updates'!$B$5:$B$704=A726),'Engineer Updates'!$I$5:$I$704),""))</x:f>
      </x:c>
      <x:c r="U726" s="172" t="str">
        <x:f>IF(A726="","",IFERROR(LOOKUP(2,1/('Engineer Updates'!$B$5:$B$704=A726),'Engineer Updates'!$J$5:$J$704),""))</x:f>
      </x:c>
      <x:c r="V726" s="172" t="str">
        <x:f>IF(A726="","",IFERROR(LOOKUP(2,1/('Engineer Updates'!$B$5:$B$704=A726),'Engineer Updates'!$K$5:$K$704),""))</x:f>
      </x:c>
      <x:c r="W726" s="174" t="str">
        <x:f>IF(A726="","",IFERROR(LOOKUP(2,1/('Engineer Updates'!$B$5:$B$704=A726),'Engineer Updates'!$L$5:$L$704),""))</x:f>
      </x:c>
      <x:c r="X726" s="170" t="str">
        <x:f>IF(A726="","",IF(C726="completed","Completed in CSSP",IF(AND(C726="executing",ISERROR(SEARCH("@",K726))),"Executing without named engineer",IF(AND(N726="Confirmed OOS",C726="executing"),"Confirmed OOS still executing",""))))</x:f>
      </x:c>
      <x:c r="Y726" s="170" t="str">
        <x:f>IF(A726="","",IF(B726="Decommissioning","Raw Decommissioning","Raw Provisioning"))</x:f>
      </x:c>
      <x:c r="Z726" s="170" t="str">
        <x:f>IF(A726="","",IF(OR(C726="executing",C726="processing"),"Yes","No"))</x:f>
      </x:c>
    </x:row>
    <x:row r="727">
      <x:c r="A727" s="170" t="str">
        <x:f>IF(ROWS($A$5:A727)&lt;=COUNTA('Raw Decommissioning'!$B$2:$B$1000),INDEX('Raw Decommissioning'!$B$2:$B$1000,ROWS($A$5:A727)),IF(ROWS($A$5:A727)-COUNTA('Raw Decommissioning'!$B$2:$B$1000)&lt;=COUNTA('Raw Provisioning'!$B$2:$B$1000),INDEX('Raw Provisioning'!$B$2:$B$1000,ROWS($A$5:A727)-COUNTA('Raw Decommissioning'!$B$2:$B$1000)),""))</x:f>
      </x:c>
      <x:c r="B727" s="170" t="str">
        <x:f>IF(A727="","",IF(ROWS($A$5:A727)&lt;=COUNTA('Raw Decommissioning'!$B$2:$B$1000),"Decommissioning","Provisioning"))</x:f>
      </x:c>
      <x:c r="C727" s="170" t="str">
        <x:f>IF(A727="","",IF(B727="Decommissioning",IFERROR(INDEX('Raw Decommissioning'!$E$2:$E$1000,MATCH(A727,'Raw Decommissioning'!$B$2:$B$1000,0)),"Missing from latest raw"),IFERROR(INDEX('Raw Provisioning'!$E$2:$E$1000,MATCH(A727,'Raw Provisioning'!$B$2:$B$1000,0)),"Missing from latest raw")))</x:f>
      </x:c>
      <x:c r="D727" s="171" t="str">
        <x:f>IF(A727="","",'Refresh Control'!$B$4)</x:f>
      </x:c>
      <x:c r="E727" s="171" t="str">
        <x:f>IF(A727="","",IF(B727="Decommissioning",INDEX('Raw Decommissioning'!$F$2:$F$1000,ROWS($A$5:A727)),INDEX('Raw Provisioning'!$F$2:$F$1000,ROWS($A$5:A727)-COUNTA('Raw Decommissioning'!$B$2:$B$1000))))</x:f>
      </x:c>
      <x:c r="F727" s="171" t="str">
        <x:f>IF(A727="","",IF(B727="Decommissioning",INDEX('Raw Decommissioning'!$G$2:$G$1000,ROWS($A$5:A727)),INDEX('Raw Provisioning'!$H$2:$H$1000,ROWS($A$5:A727)-COUNTA('Raw Decommissioning'!$B$2:$B$1000))))</x:f>
      </x:c>
      <x:c r="G727" s="170" t="str">
        <x:f>IF(A727="","",IF(B727="Decommissioning",INDEX('Raw Decommissioning'!$I$2:$I$1000,ROWS($A$5:A727)),INDEX('Raw Provisioning'!$J$2:$J$1000,ROWS($A$5:A727)-COUNTA('Raw Decommissioning'!$B$2:$B$1000))))</x:f>
      </x:c>
      <x:c r="H727" s="170" t="str">
        <x:f>IF(A727="","",IF(B727="Decommissioning",INDEX('Raw Decommissioning'!$J$2:$J$1000,ROWS($A$5:A727)),INDEX('Raw Provisioning'!$L$2:$L$1000,ROWS($A$5:A727)-COUNTA('Raw Decommissioning'!$B$2:$B$1000))))</x:f>
      </x:c>
      <x:c r="I727" s="170" t="str">
        <x:f>IF(A727="","",IF(B727="Decommissioning",INDEX('Raw Decommissioning'!$AL$2:$AL$1000,ROWS($A$5:A727)),INDEX('Raw Provisioning'!$R$2:$R$1000,ROWS($A$5:A727)-COUNTA('Raw Decommissioning'!$B$2:$B$1000))))</x:f>
      </x:c>
      <x:c r="J727" s="170" t="str">
        <x:f>IF(A727="","",IF(B727="Decommissioning",INDEX('Raw Decommissioning'!$AG$2:$AG$1000,ROWS($A$5:A727)),INDEX('Raw Provisioning'!$AI$2:$AI$1000,ROWS($A$5:A727)-COUNTA('Raw Decommissioning'!$B$2:$B$1000))))</x:f>
      </x:c>
      <x:c r="K727" s="172" t="str">
        <x:f>IF(A727="","",IFERROR(LOOKUP(2,1/('Assignment History'!$B$5:$B$204=A727),'Assignment History'!$D$5:$D$204),IFERROR(VLOOKUP(J727,Configuration!$L$5:$M$50,2,FALSE),J727)))</x:f>
      </x:c>
      <x:c r="L727" s="172" t="str">
        <x:f>IF(A727="","",IF(K727=IFERROR(VLOOKUP(J727,Configuration!$L$5:$M$50,2,FALSE),J727),"Snapshot PIC","Replacement PIC"))</x:f>
      </x:c>
      <x:c r="M727" s="172" t="str">
        <x:f>IF(A727="","",IFERROR(VLOOKUP(I727,Configuration!$O$5:$P$8,2,FALSE),Configuration!$S$6))</x:f>
      </x:c>
      <x:c r="N727" s="172" t="str">
        <x:f>IF(A727="","",IFERROR(LOOKUP(2,1/('Scope Review'!$B$5:$B$204=A727),'Scope Review'!$G$5:$G$204),"Not Reviewed"))</x:f>
      </x:c>
      <x:c r="O727" s="172" t="str">
        <x:f>IF(A727="","",IFERROR(LOOKUP(2,1/('Scope Review'!$B$5:$B$204=A727),'Scope Review'!$H$5:$H$204),""))</x:f>
      </x:c>
      <x:c r="P727" s="172" t="str">
        <x:f>IF(A727="","",IF(AND(C727="executing",N727&lt;&gt;"Confirmed OOS"),M727,0))</x:f>
      </x:c>
      <x:c r="Q727" s="173" t="str">
        <x:f>IF(A727="","",IFERROR(LOOKUP(2,1/('Engineer Updates'!$B$5:$B$704=A727),'Engineer Updates'!$A$5:$A$704),""))</x:f>
      </x:c>
      <x:c r="R727" s="172" t="str">
        <x:f>IF(A727="","",IFERROR(LOOKUP(2,1/('Engineer Updates'!$B$5:$B$704=A727),'Engineer Updates'!$H$5:$H$704),""))</x:f>
      </x:c>
      <x:c r="S727" s="172" t="str">
        <x:f>IF(A727="","",IFERROR(LOOKUP(2,1/('Engineer Updates'!$B$5:$B$704=A727),'Engineer Updates'!$G$5:$G$704),""))</x:f>
      </x:c>
      <x:c r="T727" s="172" t="str">
        <x:f>IF(A727="","",IFERROR(LOOKUP(2,1/('Engineer Updates'!$B$5:$B$704=A727),'Engineer Updates'!$I$5:$I$704),""))</x:f>
      </x:c>
      <x:c r="U727" s="172" t="str">
        <x:f>IF(A727="","",IFERROR(LOOKUP(2,1/('Engineer Updates'!$B$5:$B$704=A727),'Engineer Updates'!$J$5:$J$704),""))</x:f>
      </x:c>
      <x:c r="V727" s="172" t="str">
        <x:f>IF(A727="","",IFERROR(LOOKUP(2,1/('Engineer Updates'!$B$5:$B$704=A727),'Engineer Updates'!$K$5:$K$704),""))</x:f>
      </x:c>
      <x:c r="W727" s="174" t="str">
        <x:f>IF(A727="","",IFERROR(LOOKUP(2,1/('Engineer Updates'!$B$5:$B$704=A727),'Engineer Updates'!$L$5:$L$704),""))</x:f>
      </x:c>
      <x:c r="X727" s="170" t="str">
        <x:f>IF(A727="","",IF(C727="completed","Completed in CSSP",IF(AND(C727="executing",ISERROR(SEARCH("@",K727))),"Executing without named engineer",IF(AND(N727="Confirmed OOS",C727="executing"),"Confirmed OOS still executing",""))))</x:f>
      </x:c>
      <x:c r="Y727" s="170" t="str">
        <x:f>IF(A727="","",IF(B727="Decommissioning","Raw Decommissioning","Raw Provisioning"))</x:f>
      </x:c>
      <x:c r="Z727" s="170" t="str">
        <x:f>IF(A727="","",IF(OR(C727="executing",C727="processing"),"Yes","No"))</x:f>
      </x:c>
    </x:row>
    <x:row r="728">
      <x:c r="A728" s="170" t="str">
        <x:f>IF(ROWS($A$5:A728)&lt;=COUNTA('Raw Decommissioning'!$B$2:$B$1000),INDEX('Raw Decommissioning'!$B$2:$B$1000,ROWS($A$5:A728)),IF(ROWS($A$5:A728)-COUNTA('Raw Decommissioning'!$B$2:$B$1000)&lt;=COUNTA('Raw Provisioning'!$B$2:$B$1000),INDEX('Raw Provisioning'!$B$2:$B$1000,ROWS($A$5:A728)-COUNTA('Raw Decommissioning'!$B$2:$B$1000)),""))</x:f>
      </x:c>
      <x:c r="B728" s="170" t="str">
        <x:f>IF(A728="","",IF(ROWS($A$5:A728)&lt;=COUNTA('Raw Decommissioning'!$B$2:$B$1000),"Decommissioning","Provisioning"))</x:f>
      </x:c>
      <x:c r="C728" s="170" t="str">
        <x:f>IF(A728="","",IF(B728="Decommissioning",IFERROR(INDEX('Raw Decommissioning'!$E$2:$E$1000,MATCH(A728,'Raw Decommissioning'!$B$2:$B$1000,0)),"Missing from latest raw"),IFERROR(INDEX('Raw Provisioning'!$E$2:$E$1000,MATCH(A728,'Raw Provisioning'!$B$2:$B$1000,0)),"Missing from latest raw")))</x:f>
      </x:c>
      <x:c r="D728" s="171" t="str">
        <x:f>IF(A728="","",'Refresh Control'!$B$4)</x:f>
      </x:c>
      <x:c r="E728" s="171" t="str">
        <x:f>IF(A728="","",IF(B728="Decommissioning",INDEX('Raw Decommissioning'!$F$2:$F$1000,ROWS($A$5:A728)),INDEX('Raw Provisioning'!$F$2:$F$1000,ROWS($A$5:A728)-COUNTA('Raw Decommissioning'!$B$2:$B$1000))))</x:f>
      </x:c>
      <x:c r="F728" s="171" t="str">
        <x:f>IF(A728="","",IF(B728="Decommissioning",INDEX('Raw Decommissioning'!$G$2:$G$1000,ROWS($A$5:A728)),INDEX('Raw Provisioning'!$H$2:$H$1000,ROWS($A$5:A728)-COUNTA('Raw Decommissioning'!$B$2:$B$1000))))</x:f>
      </x:c>
      <x:c r="G728" s="170" t="str">
        <x:f>IF(A728="","",IF(B728="Decommissioning",INDEX('Raw Decommissioning'!$I$2:$I$1000,ROWS($A$5:A728)),INDEX('Raw Provisioning'!$J$2:$J$1000,ROWS($A$5:A728)-COUNTA('Raw Decommissioning'!$B$2:$B$1000))))</x:f>
      </x:c>
      <x:c r="H728" s="170" t="str">
        <x:f>IF(A728="","",IF(B728="Decommissioning",INDEX('Raw Decommissioning'!$J$2:$J$1000,ROWS($A$5:A728)),INDEX('Raw Provisioning'!$L$2:$L$1000,ROWS($A$5:A728)-COUNTA('Raw Decommissioning'!$B$2:$B$1000))))</x:f>
      </x:c>
      <x:c r="I728" s="170" t="str">
        <x:f>IF(A728="","",IF(B728="Decommissioning",INDEX('Raw Decommissioning'!$AL$2:$AL$1000,ROWS($A$5:A728)),INDEX('Raw Provisioning'!$R$2:$R$1000,ROWS($A$5:A728)-COUNTA('Raw Decommissioning'!$B$2:$B$1000))))</x:f>
      </x:c>
      <x:c r="J728" s="170" t="str">
        <x:f>IF(A728="","",IF(B728="Decommissioning",INDEX('Raw Decommissioning'!$AG$2:$AG$1000,ROWS($A$5:A728)),INDEX('Raw Provisioning'!$AI$2:$AI$1000,ROWS($A$5:A728)-COUNTA('Raw Decommissioning'!$B$2:$B$1000))))</x:f>
      </x:c>
      <x:c r="K728" s="172" t="str">
        <x:f>IF(A728="","",IFERROR(LOOKUP(2,1/('Assignment History'!$B$5:$B$204=A728),'Assignment History'!$D$5:$D$204),IFERROR(VLOOKUP(J728,Configuration!$L$5:$M$50,2,FALSE),J728)))</x:f>
      </x:c>
      <x:c r="L728" s="172" t="str">
        <x:f>IF(A728="","",IF(K728=IFERROR(VLOOKUP(J728,Configuration!$L$5:$M$50,2,FALSE),J728),"Snapshot PIC","Replacement PIC"))</x:f>
      </x:c>
      <x:c r="M728" s="172" t="str">
        <x:f>IF(A728="","",IFERROR(VLOOKUP(I728,Configuration!$O$5:$P$8,2,FALSE),Configuration!$S$6))</x:f>
      </x:c>
      <x:c r="N728" s="172" t="str">
        <x:f>IF(A728="","",IFERROR(LOOKUP(2,1/('Scope Review'!$B$5:$B$204=A728),'Scope Review'!$G$5:$G$204),"Not Reviewed"))</x:f>
      </x:c>
      <x:c r="O728" s="172" t="str">
        <x:f>IF(A728="","",IFERROR(LOOKUP(2,1/('Scope Review'!$B$5:$B$204=A728),'Scope Review'!$H$5:$H$204),""))</x:f>
      </x:c>
      <x:c r="P728" s="172" t="str">
        <x:f>IF(A728="","",IF(AND(C728="executing",N728&lt;&gt;"Confirmed OOS"),M728,0))</x:f>
      </x:c>
      <x:c r="Q728" s="173" t="str">
        <x:f>IF(A728="","",IFERROR(LOOKUP(2,1/('Engineer Updates'!$B$5:$B$704=A728),'Engineer Updates'!$A$5:$A$704),""))</x:f>
      </x:c>
      <x:c r="R728" s="172" t="str">
        <x:f>IF(A728="","",IFERROR(LOOKUP(2,1/('Engineer Updates'!$B$5:$B$704=A728),'Engineer Updates'!$H$5:$H$704),""))</x:f>
      </x:c>
      <x:c r="S728" s="172" t="str">
        <x:f>IF(A728="","",IFERROR(LOOKUP(2,1/('Engineer Updates'!$B$5:$B$704=A728),'Engineer Updates'!$G$5:$G$704),""))</x:f>
      </x:c>
      <x:c r="T728" s="172" t="str">
        <x:f>IF(A728="","",IFERROR(LOOKUP(2,1/('Engineer Updates'!$B$5:$B$704=A728),'Engineer Updates'!$I$5:$I$704),""))</x:f>
      </x:c>
      <x:c r="U728" s="172" t="str">
        <x:f>IF(A728="","",IFERROR(LOOKUP(2,1/('Engineer Updates'!$B$5:$B$704=A728),'Engineer Updates'!$J$5:$J$704),""))</x:f>
      </x:c>
      <x:c r="V728" s="172" t="str">
        <x:f>IF(A728="","",IFERROR(LOOKUP(2,1/('Engineer Updates'!$B$5:$B$704=A728),'Engineer Updates'!$K$5:$K$704),""))</x:f>
      </x:c>
      <x:c r="W728" s="174" t="str">
        <x:f>IF(A728="","",IFERROR(LOOKUP(2,1/('Engineer Updates'!$B$5:$B$704=A728),'Engineer Updates'!$L$5:$L$704),""))</x:f>
      </x:c>
      <x:c r="X728" s="170" t="str">
        <x:f>IF(A728="","",IF(C728="completed","Completed in CSSP",IF(AND(C728="executing",ISERROR(SEARCH("@",K728))),"Executing without named engineer",IF(AND(N728="Confirmed OOS",C728="executing"),"Confirmed OOS still executing",""))))</x:f>
      </x:c>
      <x:c r="Y728" s="170" t="str">
        <x:f>IF(A728="","",IF(B728="Decommissioning","Raw Decommissioning","Raw Provisioning"))</x:f>
      </x:c>
      <x:c r="Z728" s="170" t="str">
        <x:f>IF(A728="","",IF(OR(C728="executing",C728="processing"),"Yes","No"))</x:f>
      </x:c>
    </x:row>
    <x:row r="729">
      <x:c r="A729" s="170" t="str">
        <x:f>IF(ROWS($A$5:A729)&lt;=COUNTA('Raw Decommissioning'!$B$2:$B$1000),INDEX('Raw Decommissioning'!$B$2:$B$1000,ROWS($A$5:A729)),IF(ROWS($A$5:A729)-COUNTA('Raw Decommissioning'!$B$2:$B$1000)&lt;=COUNTA('Raw Provisioning'!$B$2:$B$1000),INDEX('Raw Provisioning'!$B$2:$B$1000,ROWS($A$5:A729)-COUNTA('Raw Decommissioning'!$B$2:$B$1000)),""))</x:f>
      </x:c>
      <x:c r="B729" s="170" t="str">
        <x:f>IF(A729="","",IF(ROWS($A$5:A729)&lt;=COUNTA('Raw Decommissioning'!$B$2:$B$1000),"Decommissioning","Provisioning"))</x:f>
      </x:c>
      <x:c r="C729" s="170" t="str">
        <x:f>IF(A729="","",IF(B729="Decommissioning",IFERROR(INDEX('Raw Decommissioning'!$E$2:$E$1000,MATCH(A729,'Raw Decommissioning'!$B$2:$B$1000,0)),"Missing from latest raw"),IFERROR(INDEX('Raw Provisioning'!$E$2:$E$1000,MATCH(A729,'Raw Provisioning'!$B$2:$B$1000,0)),"Missing from latest raw")))</x:f>
      </x:c>
      <x:c r="D729" s="171" t="str">
        <x:f>IF(A729="","",'Refresh Control'!$B$4)</x:f>
      </x:c>
      <x:c r="E729" s="171" t="str">
        <x:f>IF(A729="","",IF(B729="Decommissioning",INDEX('Raw Decommissioning'!$F$2:$F$1000,ROWS($A$5:A729)),INDEX('Raw Provisioning'!$F$2:$F$1000,ROWS($A$5:A729)-COUNTA('Raw Decommissioning'!$B$2:$B$1000))))</x:f>
      </x:c>
      <x:c r="F729" s="171" t="str">
        <x:f>IF(A729="","",IF(B729="Decommissioning",INDEX('Raw Decommissioning'!$G$2:$G$1000,ROWS($A$5:A729)),INDEX('Raw Provisioning'!$H$2:$H$1000,ROWS($A$5:A729)-COUNTA('Raw Decommissioning'!$B$2:$B$1000))))</x:f>
      </x:c>
      <x:c r="G729" s="170" t="str">
        <x:f>IF(A729="","",IF(B729="Decommissioning",INDEX('Raw Decommissioning'!$I$2:$I$1000,ROWS($A$5:A729)),INDEX('Raw Provisioning'!$J$2:$J$1000,ROWS($A$5:A729)-COUNTA('Raw Decommissioning'!$B$2:$B$1000))))</x:f>
      </x:c>
      <x:c r="H729" s="170" t="str">
        <x:f>IF(A729="","",IF(B729="Decommissioning",INDEX('Raw Decommissioning'!$J$2:$J$1000,ROWS($A$5:A729)),INDEX('Raw Provisioning'!$L$2:$L$1000,ROWS($A$5:A729)-COUNTA('Raw Decommissioning'!$B$2:$B$1000))))</x:f>
      </x:c>
      <x:c r="I729" s="170" t="str">
        <x:f>IF(A729="","",IF(B729="Decommissioning",INDEX('Raw Decommissioning'!$AL$2:$AL$1000,ROWS($A$5:A729)),INDEX('Raw Provisioning'!$R$2:$R$1000,ROWS($A$5:A729)-COUNTA('Raw Decommissioning'!$B$2:$B$1000))))</x:f>
      </x:c>
      <x:c r="J729" s="170" t="str">
        <x:f>IF(A729="","",IF(B729="Decommissioning",INDEX('Raw Decommissioning'!$AG$2:$AG$1000,ROWS($A$5:A729)),INDEX('Raw Provisioning'!$AI$2:$AI$1000,ROWS($A$5:A729)-COUNTA('Raw Decommissioning'!$B$2:$B$1000))))</x:f>
      </x:c>
      <x:c r="K729" s="172" t="str">
        <x:f>IF(A729="","",IFERROR(LOOKUP(2,1/('Assignment History'!$B$5:$B$204=A729),'Assignment History'!$D$5:$D$204),IFERROR(VLOOKUP(J729,Configuration!$L$5:$M$50,2,FALSE),J729)))</x:f>
      </x:c>
      <x:c r="L729" s="172" t="str">
        <x:f>IF(A729="","",IF(K729=IFERROR(VLOOKUP(J729,Configuration!$L$5:$M$50,2,FALSE),J729),"Snapshot PIC","Replacement PIC"))</x:f>
      </x:c>
      <x:c r="M729" s="172" t="str">
        <x:f>IF(A729="","",IFERROR(VLOOKUP(I729,Configuration!$O$5:$P$8,2,FALSE),Configuration!$S$6))</x:f>
      </x:c>
      <x:c r="N729" s="172" t="str">
        <x:f>IF(A729="","",IFERROR(LOOKUP(2,1/('Scope Review'!$B$5:$B$204=A729),'Scope Review'!$G$5:$G$204),"Not Reviewed"))</x:f>
      </x:c>
      <x:c r="O729" s="172" t="str">
        <x:f>IF(A729="","",IFERROR(LOOKUP(2,1/('Scope Review'!$B$5:$B$204=A729),'Scope Review'!$H$5:$H$204),""))</x:f>
      </x:c>
      <x:c r="P729" s="172" t="str">
        <x:f>IF(A729="","",IF(AND(C729="executing",N729&lt;&gt;"Confirmed OOS"),M729,0))</x:f>
      </x:c>
      <x:c r="Q729" s="173" t="str">
        <x:f>IF(A729="","",IFERROR(LOOKUP(2,1/('Engineer Updates'!$B$5:$B$704=A729),'Engineer Updates'!$A$5:$A$704),""))</x:f>
      </x:c>
      <x:c r="R729" s="172" t="str">
        <x:f>IF(A729="","",IFERROR(LOOKUP(2,1/('Engineer Updates'!$B$5:$B$704=A729),'Engineer Updates'!$H$5:$H$704),""))</x:f>
      </x:c>
      <x:c r="S729" s="172" t="str">
        <x:f>IF(A729="","",IFERROR(LOOKUP(2,1/('Engineer Updates'!$B$5:$B$704=A729),'Engineer Updates'!$G$5:$G$704),""))</x:f>
      </x:c>
      <x:c r="T729" s="172" t="str">
        <x:f>IF(A729="","",IFERROR(LOOKUP(2,1/('Engineer Updates'!$B$5:$B$704=A729),'Engineer Updates'!$I$5:$I$704),""))</x:f>
      </x:c>
      <x:c r="U729" s="172" t="str">
        <x:f>IF(A729="","",IFERROR(LOOKUP(2,1/('Engineer Updates'!$B$5:$B$704=A729),'Engineer Updates'!$J$5:$J$704),""))</x:f>
      </x:c>
      <x:c r="V729" s="172" t="str">
        <x:f>IF(A729="","",IFERROR(LOOKUP(2,1/('Engineer Updates'!$B$5:$B$704=A729),'Engineer Updates'!$K$5:$K$704),""))</x:f>
      </x:c>
      <x:c r="W729" s="174" t="str">
        <x:f>IF(A729="","",IFERROR(LOOKUP(2,1/('Engineer Updates'!$B$5:$B$704=A729),'Engineer Updates'!$L$5:$L$704),""))</x:f>
      </x:c>
      <x:c r="X729" s="170" t="str">
        <x:f>IF(A729="","",IF(C729="completed","Completed in CSSP",IF(AND(C729="executing",ISERROR(SEARCH("@",K729))),"Executing without named engineer",IF(AND(N729="Confirmed OOS",C729="executing"),"Confirmed OOS still executing",""))))</x:f>
      </x:c>
      <x:c r="Y729" s="170" t="str">
        <x:f>IF(A729="","",IF(B729="Decommissioning","Raw Decommissioning","Raw Provisioning"))</x:f>
      </x:c>
      <x:c r="Z729" s="170" t="str">
        <x:f>IF(A729="","",IF(OR(C729="executing",C729="processing"),"Yes","No"))</x:f>
      </x:c>
    </x:row>
    <x:row r="730">
      <x:c r="A730" s="170" t="str">
        <x:f>IF(ROWS($A$5:A730)&lt;=COUNTA('Raw Decommissioning'!$B$2:$B$1000),INDEX('Raw Decommissioning'!$B$2:$B$1000,ROWS($A$5:A730)),IF(ROWS($A$5:A730)-COUNTA('Raw Decommissioning'!$B$2:$B$1000)&lt;=COUNTA('Raw Provisioning'!$B$2:$B$1000),INDEX('Raw Provisioning'!$B$2:$B$1000,ROWS($A$5:A730)-COUNTA('Raw Decommissioning'!$B$2:$B$1000)),""))</x:f>
      </x:c>
      <x:c r="B730" s="170" t="str">
        <x:f>IF(A730="","",IF(ROWS($A$5:A730)&lt;=COUNTA('Raw Decommissioning'!$B$2:$B$1000),"Decommissioning","Provisioning"))</x:f>
      </x:c>
      <x:c r="C730" s="170" t="str">
        <x:f>IF(A730="","",IF(B730="Decommissioning",IFERROR(INDEX('Raw Decommissioning'!$E$2:$E$1000,MATCH(A730,'Raw Decommissioning'!$B$2:$B$1000,0)),"Missing from latest raw"),IFERROR(INDEX('Raw Provisioning'!$E$2:$E$1000,MATCH(A730,'Raw Provisioning'!$B$2:$B$1000,0)),"Missing from latest raw")))</x:f>
      </x:c>
      <x:c r="D730" s="171" t="str">
        <x:f>IF(A730="","",'Refresh Control'!$B$4)</x:f>
      </x:c>
      <x:c r="E730" s="171" t="str">
        <x:f>IF(A730="","",IF(B730="Decommissioning",INDEX('Raw Decommissioning'!$F$2:$F$1000,ROWS($A$5:A730)),INDEX('Raw Provisioning'!$F$2:$F$1000,ROWS($A$5:A730)-COUNTA('Raw Decommissioning'!$B$2:$B$1000))))</x:f>
      </x:c>
      <x:c r="F730" s="171" t="str">
        <x:f>IF(A730="","",IF(B730="Decommissioning",INDEX('Raw Decommissioning'!$G$2:$G$1000,ROWS($A$5:A730)),INDEX('Raw Provisioning'!$H$2:$H$1000,ROWS($A$5:A730)-COUNTA('Raw Decommissioning'!$B$2:$B$1000))))</x:f>
      </x:c>
      <x:c r="G730" s="170" t="str">
        <x:f>IF(A730="","",IF(B730="Decommissioning",INDEX('Raw Decommissioning'!$I$2:$I$1000,ROWS($A$5:A730)),INDEX('Raw Provisioning'!$J$2:$J$1000,ROWS($A$5:A730)-COUNTA('Raw Decommissioning'!$B$2:$B$1000))))</x:f>
      </x:c>
      <x:c r="H730" s="170" t="str">
        <x:f>IF(A730="","",IF(B730="Decommissioning",INDEX('Raw Decommissioning'!$J$2:$J$1000,ROWS($A$5:A730)),INDEX('Raw Provisioning'!$L$2:$L$1000,ROWS($A$5:A730)-COUNTA('Raw Decommissioning'!$B$2:$B$1000))))</x:f>
      </x:c>
      <x:c r="I730" s="170" t="str">
        <x:f>IF(A730="","",IF(B730="Decommissioning",INDEX('Raw Decommissioning'!$AL$2:$AL$1000,ROWS($A$5:A730)),INDEX('Raw Provisioning'!$R$2:$R$1000,ROWS($A$5:A730)-COUNTA('Raw Decommissioning'!$B$2:$B$1000))))</x:f>
      </x:c>
      <x:c r="J730" s="170" t="str">
        <x:f>IF(A730="","",IF(B730="Decommissioning",INDEX('Raw Decommissioning'!$AG$2:$AG$1000,ROWS($A$5:A730)),INDEX('Raw Provisioning'!$AI$2:$AI$1000,ROWS($A$5:A730)-COUNTA('Raw Decommissioning'!$B$2:$B$1000))))</x:f>
      </x:c>
      <x:c r="K730" s="172" t="str">
        <x:f>IF(A730="","",IFERROR(LOOKUP(2,1/('Assignment History'!$B$5:$B$204=A730),'Assignment History'!$D$5:$D$204),IFERROR(VLOOKUP(J730,Configuration!$L$5:$M$50,2,FALSE),J730)))</x:f>
      </x:c>
      <x:c r="L730" s="172" t="str">
        <x:f>IF(A730="","",IF(K730=IFERROR(VLOOKUP(J730,Configuration!$L$5:$M$50,2,FALSE),J730),"Snapshot PIC","Replacement PIC"))</x:f>
      </x:c>
      <x:c r="M730" s="172" t="str">
        <x:f>IF(A730="","",IFERROR(VLOOKUP(I730,Configuration!$O$5:$P$8,2,FALSE),Configuration!$S$6))</x:f>
      </x:c>
      <x:c r="N730" s="172" t="str">
        <x:f>IF(A730="","",IFERROR(LOOKUP(2,1/('Scope Review'!$B$5:$B$204=A730),'Scope Review'!$G$5:$G$204),"Not Reviewed"))</x:f>
      </x:c>
      <x:c r="O730" s="172" t="str">
        <x:f>IF(A730="","",IFERROR(LOOKUP(2,1/('Scope Review'!$B$5:$B$204=A730),'Scope Review'!$H$5:$H$204),""))</x:f>
      </x:c>
      <x:c r="P730" s="172" t="str">
        <x:f>IF(A730="","",IF(AND(C730="executing",N730&lt;&gt;"Confirmed OOS"),M730,0))</x:f>
      </x:c>
      <x:c r="Q730" s="173" t="str">
        <x:f>IF(A730="","",IFERROR(LOOKUP(2,1/('Engineer Updates'!$B$5:$B$704=A730),'Engineer Updates'!$A$5:$A$704),""))</x:f>
      </x:c>
      <x:c r="R730" s="172" t="str">
        <x:f>IF(A730="","",IFERROR(LOOKUP(2,1/('Engineer Updates'!$B$5:$B$704=A730),'Engineer Updates'!$H$5:$H$704),""))</x:f>
      </x:c>
      <x:c r="S730" s="172" t="str">
        <x:f>IF(A730="","",IFERROR(LOOKUP(2,1/('Engineer Updates'!$B$5:$B$704=A730),'Engineer Updates'!$G$5:$G$704),""))</x:f>
      </x:c>
      <x:c r="T730" s="172" t="str">
        <x:f>IF(A730="","",IFERROR(LOOKUP(2,1/('Engineer Updates'!$B$5:$B$704=A730),'Engineer Updates'!$I$5:$I$704),""))</x:f>
      </x:c>
      <x:c r="U730" s="172" t="str">
        <x:f>IF(A730="","",IFERROR(LOOKUP(2,1/('Engineer Updates'!$B$5:$B$704=A730),'Engineer Updates'!$J$5:$J$704),""))</x:f>
      </x:c>
      <x:c r="V730" s="172" t="str">
        <x:f>IF(A730="","",IFERROR(LOOKUP(2,1/('Engineer Updates'!$B$5:$B$704=A730),'Engineer Updates'!$K$5:$K$704),""))</x:f>
      </x:c>
      <x:c r="W730" s="174" t="str">
        <x:f>IF(A730="","",IFERROR(LOOKUP(2,1/('Engineer Updates'!$B$5:$B$704=A730),'Engineer Updates'!$L$5:$L$704),""))</x:f>
      </x:c>
      <x:c r="X730" s="170" t="str">
        <x:f>IF(A730="","",IF(C730="completed","Completed in CSSP",IF(AND(C730="executing",ISERROR(SEARCH("@",K730))),"Executing without named engineer",IF(AND(N730="Confirmed OOS",C730="executing"),"Confirmed OOS still executing",""))))</x:f>
      </x:c>
      <x:c r="Y730" s="170" t="str">
        <x:f>IF(A730="","",IF(B730="Decommissioning","Raw Decommissioning","Raw Provisioning"))</x:f>
      </x:c>
      <x:c r="Z730" s="170" t="str">
        <x:f>IF(A730="","",IF(OR(C730="executing",C730="processing"),"Yes","No"))</x:f>
      </x:c>
    </x:row>
    <x:row r="731">
      <x:c r="A731" s="170" t="str">
        <x:f>IF(ROWS($A$5:A731)&lt;=COUNTA('Raw Decommissioning'!$B$2:$B$1000),INDEX('Raw Decommissioning'!$B$2:$B$1000,ROWS($A$5:A731)),IF(ROWS($A$5:A731)-COUNTA('Raw Decommissioning'!$B$2:$B$1000)&lt;=COUNTA('Raw Provisioning'!$B$2:$B$1000),INDEX('Raw Provisioning'!$B$2:$B$1000,ROWS($A$5:A731)-COUNTA('Raw Decommissioning'!$B$2:$B$1000)),""))</x:f>
      </x:c>
      <x:c r="B731" s="170" t="str">
        <x:f>IF(A731="","",IF(ROWS($A$5:A731)&lt;=COUNTA('Raw Decommissioning'!$B$2:$B$1000),"Decommissioning","Provisioning"))</x:f>
      </x:c>
      <x:c r="C731" s="170" t="str">
        <x:f>IF(A731="","",IF(B731="Decommissioning",IFERROR(INDEX('Raw Decommissioning'!$E$2:$E$1000,MATCH(A731,'Raw Decommissioning'!$B$2:$B$1000,0)),"Missing from latest raw"),IFERROR(INDEX('Raw Provisioning'!$E$2:$E$1000,MATCH(A731,'Raw Provisioning'!$B$2:$B$1000,0)),"Missing from latest raw")))</x:f>
      </x:c>
      <x:c r="D731" s="171" t="str">
        <x:f>IF(A731="","",'Refresh Control'!$B$4)</x:f>
      </x:c>
      <x:c r="E731" s="171" t="str">
        <x:f>IF(A731="","",IF(B731="Decommissioning",INDEX('Raw Decommissioning'!$F$2:$F$1000,ROWS($A$5:A731)),INDEX('Raw Provisioning'!$F$2:$F$1000,ROWS($A$5:A731)-COUNTA('Raw Decommissioning'!$B$2:$B$1000))))</x:f>
      </x:c>
      <x:c r="F731" s="171" t="str">
        <x:f>IF(A731="","",IF(B731="Decommissioning",INDEX('Raw Decommissioning'!$G$2:$G$1000,ROWS($A$5:A731)),INDEX('Raw Provisioning'!$H$2:$H$1000,ROWS($A$5:A731)-COUNTA('Raw Decommissioning'!$B$2:$B$1000))))</x:f>
      </x:c>
      <x:c r="G731" s="170" t="str">
        <x:f>IF(A731="","",IF(B731="Decommissioning",INDEX('Raw Decommissioning'!$I$2:$I$1000,ROWS($A$5:A731)),INDEX('Raw Provisioning'!$J$2:$J$1000,ROWS($A$5:A731)-COUNTA('Raw Decommissioning'!$B$2:$B$1000))))</x:f>
      </x:c>
      <x:c r="H731" s="170" t="str">
        <x:f>IF(A731="","",IF(B731="Decommissioning",INDEX('Raw Decommissioning'!$J$2:$J$1000,ROWS($A$5:A731)),INDEX('Raw Provisioning'!$L$2:$L$1000,ROWS($A$5:A731)-COUNTA('Raw Decommissioning'!$B$2:$B$1000))))</x:f>
      </x:c>
      <x:c r="I731" s="170" t="str">
        <x:f>IF(A731="","",IF(B731="Decommissioning",INDEX('Raw Decommissioning'!$AL$2:$AL$1000,ROWS($A$5:A731)),INDEX('Raw Provisioning'!$R$2:$R$1000,ROWS($A$5:A731)-COUNTA('Raw Decommissioning'!$B$2:$B$1000))))</x:f>
      </x:c>
      <x:c r="J731" s="170" t="str">
        <x:f>IF(A731="","",IF(B731="Decommissioning",INDEX('Raw Decommissioning'!$AG$2:$AG$1000,ROWS($A$5:A731)),INDEX('Raw Provisioning'!$AI$2:$AI$1000,ROWS($A$5:A731)-COUNTA('Raw Decommissioning'!$B$2:$B$1000))))</x:f>
      </x:c>
      <x:c r="K731" s="172" t="str">
        <x:f>IF(A731="","",IFERROR(LOOKUP(2,1/('Assignment History'!$B$5:$B$204=A731),'Assignment History'!$D$5:$D$204),IFERROR(VLOOKUP(J731,Configuration!$L$5:$M$50,2,FALSE),J731)))</x:f>
      </x:c>
      <x:c r="L731" s="172" t="str">
        <x:f>IF(A731="","",IF(K731=IFERROR(VLOOKUP(J731,Configuration!$L$5:$M$50,2,FALSE),J731),"Snapshot PIC","Replacement PIC"))</x:f>
      </x:c>
      <x:c r="M731" s="172" t="str">
        <x:f>IF(A731="","",IFERROR(VLOOKUP(I731,Configuration!$O$5:$P$8,2,FALSE),Configuration!$S$6))</x:f>
      </x:c>
      <x:c r="N731" s="172" t="str">
        <x:f>IF(A731="","",IFERROR(LOOKUP(2,1/('Scope Review'!$B$5:$B$204=A731),'Scope Review'!$G$5:$G$204),"Not Reviewed"))</x:f>
      </x:c>
      <x:c r="O731" s="172" t="str">
        <x:f>IF(A731="","",IFERROR(LOOKUP(2,1/('Scope Review'!$B$5:$B$204=A731),'Scope Review'!$H$5:$H$204),""))</x:f>
      </x:c>
      <x:c r="P731" s="172" t="str">
        <x:f>IF(A731="","",IF(AND(C731="executing",N731&lt;&gt;"Confirmed OOS"),M731,0))</x:f>
      </x:c>
      <x:c r="Q731" s="173" t="str">
        <x:f>IF(A731="","",IFERROR(LOOKUP(2,1/('Engineer Updates'!$B$5:$B$704=A731),'Engineer Updates'!$A$5:$A$704),""))</x:f>
      </x:c>
      <x:c r="R731" s="172" t="str">
        <x:f>IF(A731="","",IFERROR(LOOKUP(2,1/('Engineer Updates'!$B$5:$B$704=A731),'Engineer Updates'!$H$5:$H$704),""))</x:f>
      </x:c>
      <x:c r="S731" s="172" t="str">
        <x:f>IF(A731="","",IFERROR(LOOKUP(2,1/('Engineer Updates'!$B$5:$B$704=A731),'Engineer Updates'!$G$5:$G$704),""))</x:f>
      </x:c>
      <x:c r="T731" s="172" t="str">
        <x:f>IF(A731="","",IFERROR(LOOKUP(2,1/('Engineer Updates'!$B$5:$B$704=A731),'Engineer Updates'!$I$5:$I$704),""))</x:f>
      </x:c>
      <x:c r="U731" s="172" t="str">
        <x:f>IF(A731="","",IFERROR(LOOKUP(2,1/('Engineer Updates'!$B$5:$B$704=A731),'Engineer Updates'!$J$5:$J$704),""))</x:f>
      </x:c>
      <x:c r="V731" s="172" t="str">
        <x:f>IF(A731="","",IFERROR(LOOKUP(2,1/('Engineer Updates'!$B$5:$B$704=A731),'Engineer Updates'!$K$5:$K$704),""))</x:f>
      </x:c>
      <x:c r="W731" s="174" t="str">
        <x:f>IF(A731="","",IFERROR(LOOKUP(2,1/('Engineer Updates'!$B$5:$B$704=A731),'Engineer Updates'!$L$5:$L$704),""))</x:f>
      </x:c>
      <x:c r="X731" s="170" t="str">
        <x:f>IF(A731="","",IF(C731="completed","Completed in CSSP",IF(AND(C731="executing",ISERROR(SEARCH("@",K731))),"Executing without named engineer",IF(AND(N731="Confirmed OOS",C731="executing"),"Confirmed OOS still executing",""))))</x:f>
      </x:c>
      <x:c r="Y731" s="170" t="str">
        <x:f>IF(A731="","",IF(B731="Decommissioning","Raw Decommissioning","Raw Provisioning"))</x:f>
      </x:c>
      <x:c r="Z731" s="170" t="str">
        <x:f>IF(A731="","",IF(OR(C731="executing",C731="processing"),"Yes","No"))</x:f>
      </x:c>
    </x:row>
    <x:row r="732">
      <x:c r="A732" s="170" t="str">
        <x:f>IF(ROWS($A$5:A732)&lt;=COUNTA('Raw Decommissioning'!$B$2:$B$1000),INDEX('Raw Decommissioning'!$B$2:$B$1000,ROWS($A$5:A732)),IF(ROWS($A$5:A732)-COUNTA('Raw Decommissioning'!$B$2:$B$1000)&lt;=COUNTA('Raw Provisioning'!$B$2:$B$1000),INDEX('Raw Provisioning'!$B$2:$B$1000,ROWS($A$5:A732)-COUNTA('Raw Decommissioning'!$B$2:$B$1000)),""))</x:f>
      </x:c>
      <x:c r="B732" s="170" t="str">
        <x:f>IF(A732="","",IF(ROWS($A$5:A732)&lt;=COUNTA('Raw Decommissioning'!$B$2:$B$1000),"Decommissioning","Provisioning"))</x:f>
      </x:c>
      <x:c r="C732" s="170" t="str">
        <x:f>IF(A732="","",IF(B732="Decommissioning",IFERROR(INDEX('Raw Decommissioning'!$E$2:$E$1000,MATCH(A732,'Raw Decommissioning'!$B$2:$B$1000,0)),"Missing from latest raw"),IFERROR(INDEX('Raw Provisioning'!$E$2:$E$1000,MATCH(A732,'Raw Provisioning'!$B$2:$B$1000,0)),"Missing from latest raw")))</x:f>
      </x:c>
      <x:c r="D732" s="171" t="str">
        <x:f>IF(A732="","",'Refresh Control'!$B$4)</x:f>
      </x:c>
      <x:c r="E732" s="171" t="str">
        <x:f>IF(A732="","",IF(B732="Decommissioning",INDEX('Raw Decommissioning'!$F$2:$F$1000,ROWS($A$5:A732)),INDEX('Raw Provisioning'!$F$2:$F$1000,ROWS($A$5:A732)-COUNTA('Raw Decommissioning'!$B$2:$B$1000))))</x:f>
      </x:c>
      <x:c r="F732" s="171" t="str">
        <x:f>IF(A732="","",IF(B732="Decommissioning",INDEX('Raw Decommissioning'!$G$2:$G$1000,ROWS($A$5:A732)),INDEX('Raw Provisioning'!$H$2:$H$1000,ROWS($A$5:A732)-COUNTA('Raw Decommissioning'!$B$2:$B$1000))))</x:f>
      </x:c>
      <x:c r="G732" s="170" t="str">
        <x:f>IF(A732="","",IF(B732="Decommissioning",INDEX('Raw Decommissioning'!$I$2:$I$1000,ROWS($A$5:A732)),INDEX('Raw Provisioning'!$J$2:$J$1000,ROWS($A$5:A732)-COUNTA('Raw Decommissioning'!$B$2:$B$1000))))</x:f>
      </x:c>
      <x:c r="H732" s="170" t="str">
        <x:f>IF(A732="","",IF(B732="Decommissioning",INDEX('Raw Decommissioning'!$J$2:$J$1000,ROWS($A$5:A732)),INDEX('Raw Provisioning'!$L$2:$L$1000,ROWS($A$5:A732)-COUNTA('Raw Decommissioning'!$B$2:$B$1000))))</x:f>
      </x:c>
      <x:c r="I732" s="170" t="str">
        <x:f>IF(A732="","",IF(B732="Decommissioning",INDEX('Raw Decommissioning'!$AL$2:$AL$1000,ROWS($A$5:A732)),INDEX('Raw Provisioning'!$R$2:$R$1000,ROWS($A$5:A732)-COUNTA('Raw Decommissioning'!$B$2:$B$1000))))</x:f>
      </x:c>
      <x:c r="J732" s="170" t="str">
        <x:f>IF(A732="","",IF(B732="Decommissioning",INDEX('Raw Decommissioning'!$AG$2:$AG$1000,ROWS($A$5:A732)),INDEX('Raw Provisioning'!$AI$2:$AI$1000,ROWS($A$5:A732)-COUNTA('Raw Decommissioning'!$B$2:$B$1000))))</x:f>
      </x:c>
      <x:c r="K732" s="172" t="str">
        <x:f>IF(A732="","",IFERROR(LOOKUP(2,1/('Assignment History'!$B$5:$B$204=A732),'Assignment History'!$D$5:$D$204),IFERROR(VLOOKUP(J732,Configuration!$L$5:$M$50,2,FALSE),J732)))</x:f>
      </x:c>
      <x:c r="L732" s="172" t="str">
        <x:f>IF(A732="","",IF(K732=IFERROR(VLOOKUP(J732,Configuration!$L$5:$M$50,2,FALSE),J732),"Snapshot PIC","Replacement PIC"))</x:f>
      </x:c>
      <x:c r="M732" s="172" t="str">
        <x:f>IF(A732="","",IFERROR(VLOOKUP(I732,Configuration!$O$5:$P$8,2,FALSE),Configuration!$S$6))</x:f>
      </x:c>
      <x:c r="N732" s="172" t="str">
        <x:f>IF(A732="","",IFERROR(LOOKUP(2,1/('Scope Review'!$B$5:$B$204=A732),'Scope Review'!$G$5:$G$204),"Not Reviewed"))</x:f>
      </x:c>
      <x:c r="O732" s="172" t="str">
        <x:f>IF(A732="","",IFERROR(LOOKUP(2,1/('Scope Review'!$B$5:$B$204=A732),'Scope Review'!$H$5:$H$204),""))</x:f>
      </x:c>
      <x:c r="P732" s="172" t="str">
        <x:f>IF(A732="","",IF(AND(C732="executing",N732&lt;&gt;"Confirmed OOS"),M732,0))</x:f>
      </x:c>
      <x:c r="Q732" s="173" t="str">
        <x:f>IF(A732="","",IFERROR(LOOKUP(2,1/('Engineer Updates'!$B$5:$B$704=A732),'Engineer Updates'!$A$5:$A$704),""))</x:f>
      </x:c>
      <x:c r="R732" s="172" t="str">
        <x:f>IF(A732="","",IFERROR(LOOKUP(2,1/('Engineer Updates'!$B$5:$B$704=A732),'Engineer Updates'!$H$5:$H$704),""))</x:f>
      </x:c>
      <x:c r="S732" s="172" t="str">
        <x:f>IF(A732="","",IFERROR(LOOKUP(2,1/('Engineer Updates'!$B$5:$B$704=A732),'Engineer Updates'!$G$5:$G$704),""))</x:f>
      </x:c>
      <x:c r="T732" s="172" t="str">
        <x:f>IF(A732="","",IFERROR(LOOKUP(2,1/('Engineer Updates'!$B$5:$B$704=A732),'Engineer Updates'!$I$5:$I$704),""))</x:f>
      </x:c>
      <x:c r="U732" s="172" t="str">
        <x:f>IF(A732="","",IFERROR(LOOKUP(2,1/('Engineer Updates'!$B$5:$B$704=A732),'Engineer Updates'!$J$5:$J$704),""))</x:f>
      </x:c>
      <x:c r="V732" s="172" t="str">
        <x:f>IF(A732="","",IFERROR(LOOKUP(2,1/('Engineer Updates'!$B$5:$B$704=A732),'Engineer Updates'!$K$5:$K$704),""))</x:f>
      </x:c>
      <x:c r="W732" s="174" t="str">
        <x:f>IF(A732="","",IFERROR(LOOKUP(2,1/('Engineer Updates'!$B$5:$B$704=A732),'Engineer Updates'!$L$5:$L$704),""))</x:f>
      </x:c>
      <x:c r="X732" s="170" t="str">
        <x:f>IF(A732="","",IF(C732="completed","Completed in CSSP",IF(AND(C732="executing",ISERROR(SEARCH("@",K732))),"Executing without named engineer",IF(AND(N732="Confirmed OOS",C732="executing"),"Confirmed OOS still executing",""))))</x:f>
      </x:c>
      <x:c r="Y732" s="170" t="str">
        <x:f>IF(A732="","",IF(B732="Decommissioning","Raw Decommissioning","Raw Provisioning"))</x:f>
      </x:c>
      <x:c r="Z732" s="170" t="str">
        <x:f>IF(A732="","",IF(OR(C732="executing",C732="processing"),"Yes","No"))</x:f>
      </x:c>
    </x:row>
    <x:row r="733">
      <x:c r="A733" s="170" t="str">
        <x:f>IF(ROWS($A$5:A733)&lt;=COUNTA('Raw Decommissioning'!$B$2:$B$1000),INDEX('Raw Decommissioning'!$B$2:$B$1000,ROWS($A$5:A733)),IF(ROWS($A$5:A733)-COUNTA('Raw Decommissioning'!$B$2:$B$1000)&lt;=COUNTA('Raw Provisioning'!$B$2:$B$1000),INDEX('Raw Provisioning'!$B$2:$B$1000,ROWS($A$5:A733)-COUNTA('Raw Decommissioning'!$B$2:$B$1000)),""))</x:f>
      </x:c>
      <x:c r="B733" s="170" t="str">
        <x:f>IF(A733="","",IF(ROWS($A$5:A733)&lt;=COUNTA('Raw Decommissioning'!$B$2:$B$1000),"Decommissioning","Provisioning"))</x:f>
      </x:c>
      <x:c r="C733" s="170" t="str">
        <x:f>IF(A733="","",IF(B733="Decommissioning",IFERROR(INDEX('Raw Decommissioning'!$E$2:$E$1000,MATCH(A733,'Raw Decommissioning'!$B$2:$B$1000,0)),"Missing from latest raw"),IFERROR(INDEX('Raw Provisioning'!$E$2:$E$1000,MATCH(A733,'Raw Provisioning'!$B$2:$B$1000,0)),"Missing from latest raw")))</x:f>
      </x:c>
      <x:c r="D733" s="171" t="str">
        <x:f>IF(A733="","",'Refresh Control'!$B$4)</x:f>
      </x:c>
      <x:c r="E733" s="171" t="str">
        <x:f>IF(A733="","",IF(B733="Decommissioning",INDEX('Raw Decommissioning'!$F$2:$F$1000,ROWS($A$5:A733)),INDEX('Raw Provisioning'!$F$2:$F$1000,ROWS($A$5:A733)-COUNTA('Raw Decommissioning'!$B$2:$B$1000))))</x:f>
      </x:c>
      <x:c r="F733" s="171" t="str">
        <x:f>IF(A733="","",IF(B733="Decommissioning",INDEX('Raw Decommissioning'!$G$2:$G$1000,ROWS($A$5:A733)),INDEX('Raw Provisioning'!$H$2:$H$1000,ROWS($A$5:A733)-COUNTA('Raw Decommissioning'!$B$2:$B$1000))))</x:f>
      </x:c>
      <x:c r="G733" s="170" t="str">
        <x:f>IF(A733="","",IF(B733="Decommissioning",INDEX('Raw Decommissioning'!$I$2:$I$1000,ROWS($A$5:A733)),INDEX('Raw Provisioning'!$J$2:$J$1000,ROWS($A$5:A733)-COUNTA('Raw Decommissioning'!$B$2:$B$1000))))</x:f>
      </x:c>
      <x:c r="H733" s="170" t="str">
        <x:f>IF(A733="","",IF(B733="Decommissioning",INDEX('Raw Decommissioning'!$J$2:$J$1000,ROWS($A$5:A733)),INDEX('Raw Provisioning'!$L$2:$L$1000,ROWS($A$5:A733)-COUNTA('Raw Decommissioning'!$B$2:$B$1000))))</x:f>
      </x:c>
      <x:c r="I733" s="170" t="str">
        <x:f>IF(A733="","",IF(B733="Decommissioning",INDEX('Raw Decommissioning'!$AL$2:$AL$1000,ROWS($A$5:A733)),INDEX('Raw Provisioning'!$R$2:$R$1000,ROWS($A$5:A733)-COUNTA('Raw Decommissioning'!$B$2:$B$1000))))</x:f>
      </x:c>
      <x:c r="J733" s="170" t="str">
        <x:f>IF(A733="","",IF(B733="Decommissioning",INDEX('Raw Decommissioning'!$AG$2:$AG$1000,ROWS($A$5:A733)),INDEX('Raw Provisioning'!$AI$2:$AI$1000,ROWS($A$5:A733)-COUNTA('Raw Decommissioning'!$B$2:$B$1000))))</x:f>
      </x:c>
      <x:c r="K733" s="172" t="str">
        <x:f>IF(A733="","",IFERROR(LOOKUP(2,1/('Assignment History'!$B$5:$B$204=A733),'Assignment History'!$D$5:$D$204),IFERROR(VLOOKUP(J733,Configuration!$L$5:$M$50,2,FALSE),J733)))</x:f>
      </x:c>
      <x:c r="L733" s="172" t="str">
        <x:f>IF(A733="","",IF(K733=IFERROR(VLOOKUP(J733,Configuration!$L$5:$M$50,2,FALSE),J733),"Snapshot PIC","Replacement PIC"))</x:f>
      </x:c>
      <x:c r="M733" s="172" t="str">
        <x:f>IF(A733="","",IFERROR(VLOOKUP(I733,Configuration!$O$5:$P$8,2,FALSE),Configuration!$S$6))</x:f>
      </x:c>
      <x:c r="N733" s="172" t="str">
        <x:f>IF(A733="","",IFERROR(LOOKUP(2,1/('Scope Review'!$B$5:$B$204=A733),'Scope Review'!$G$5:$G$204),"Not Reviewed"))</x:f>
      </x:c>
      <x:c r="O733" s="172" t="str">
        <x:f>IF(A733="","",IFERROR(LOOKUP(2,1/('Scope Review'!$B$5:$B$204=A733),'Scope Review'!$H$5:$H$204),""))</x:f>
      </x:c>
      <x:c r="P733" s="172" t="str">
        <x:f>IF(A733="","",IF(AND(C733="executing",N733&lt;&gt;"Confirmed OOS"),M733,0))</x:f>
      </x:c>
      <x:c r="Q733" s="173" t="str">
        <x:f>IF(A733="","",IFERROR(LOOKUP(2,1/('Engineer Updates'!$B$5:$B$704=A733),'Engineer Updates'!$A$5:$A$704),""))</x:f>
      </x:c>
      <x:c r="R733" s="172" t="str">
        <x:f>IF(A733="","",IFERROR(LOOKUP(2,1/('Engineer Updates'!$B$5:$B$704=A733),'Engineer Updates'!$H$5:$H$704),""))</x:f>
      </x:c>
      <x:c r="S733" s="172" t="str">
        <x:f>IF(A733="","",IFERROR(LOOKUP(2,1/('Engineer Updates'!$B$5:$B$704=A733),'Engineer Updates'!$G$5:$G$704),""))</x:f>
      </x:c>
      <x:c r="T733" s="172" t="str">
        <x:f>IF(A733="","",IFERROR(LOOKUP(2,1/('Engineer Updates'!$B$5:$B$704=A733),'Engineer Updates'!$I$5:$I$704),""))</x:f>
      </x:c>
      <x:c r="U733" s="172" t="str">
        <x:f>IF(A733="","",IFERROR(LOOKUP(2,1/('Engineer Updates'!$B$5:$B$704=A733),'Engineer Updates'!$J$5:$J$704),""))</x:f>
      </x:c>
      <x:c r="V733" s="172" t="str">
        <x:f>IF(A733="","",IFERROR(LOOKUP(2,1/('Engineer Updates'!$B$5:$B$704=A733),'Engineer Updates'!$K$5:$K$704),""))</x:f>
      </x:c>
      <x:c r="W733" s="174" t="str">
        <x:f>IF(A733="","",IFERROR(LOOKUP(2,1/('Engineer Updates'!$B$5:$B$704=A733),'Engineer Updates'!$L$5:$L$704),""))</x:f>
      </x:c>
      <x:c r="X733" s="170" t="str">
        <x:f>IF(A733="","",IF(C733="completed","Completed in CSSP",IF(AND(C733="executing",ISERROR(SEARCH("@",K733))),"Executing without named engineer",IF(AND(N733="Confirmed OOS",C733="executing"),"Confirmed OOS still executing",""))))</x:f>
      </x:c>
      <x:c r="Y733" s="170" t="str">
        <x:f>IF(A733="","",IF(B733="Decommissioning","Raw Decommissioning","Raw Provisioning"))</x:f>
      </x:c>
      <x:c r="Z733" s="170" t="str">
        <x:f>IF(A733="","",IF(OR(C733="executing",C733="processing"),"Yes","No"))</x:f>
      </x:c>
    </x:row>
    <x:row r="734">
      <x:c r="A734" s="170" t="str">
        <x:f>IF(ROWS($A$5:A734)&lt;=COUNTA('Raw Decommissioning'!$B$2:$B$1000),INDEX('Raw Decommissioning'!$B$2:$B$1000,ROWS($A$5:A734)),IF(ROWS($A$5:A734)-COUNTA('Raw Decommissioning'!$B$2:$B$1000)&lt;=COUNTA('Raw Provisioning'!$B$2:$B$1000),INDEX('Raw Provisioning'!$B$2:$B$1000,ROWS($A$5:A734)-COUNTA('Raw Decommissioning'!$B$2:$B$1000)),""))</x:f>
      </x:c>
      <x:c r="B734" s="170" t="str">
        <x:f>IF(A734="","",IF(ROWS($A$5:A734)&lt;=COUNTA('Raw Decommissioning'!$B$2:$B$1000),"Decommissioning","Provisioning"))</x:f>
      </x:c>
      <x:c r="C734" s="170" t="str">
        <x:f>IF(A734="","",IF(B734="Decommissioning",IFERROR(INDEX('Raw Decommissioning'!$E$2:$E$1000,MATCH(A734,'Raw Decommissioning'!$B$2:$B$1000,0)),"Missing from latest raw"),IFERROR(INDEX('Raw Provisioning'!$E$2:$E$1000,MATCH(A734,'Raw Provisioning'!$B$2:$B$1000,0)),"Missing from latest raw")))</x:f>
      </x:c>
      <x:c r="D734" s="171" t="str">
        <x:f>IF(A734="","",'Refresh Control'!$B$4)</x:f>
      </x:c>
      <x:c r="E734" s="171" t="str">
        <x:f>IF(A734="","",IF(B734="Decommissioning",INDEX('Raw Decommissioning'!$F$2:$F$1000,ROWS($A$5:A734)),INDEX('Raw Provisioning'!$F$2:$F$1000,ROWS($A$5:A734)-COUNTA('Raw Decommissioning'!$B$2:$B$1000))))</x:f>
      </x:c>
      <x:c r="F734" s="171" t="str">
        <x:f>IF(A734="","",IF(B734="Decommissioning",INDEX('Raw Decommissioning'!$G$2:$G$1000,ROWS($A$5:A734)),INDEX('Raw Provisioning'!$H$2:$H$1000,ROWS($A$5:A734)-COUNTA('Raw Decommissioning'!$B$2:$B$1000))))</x:f>
      </x:c>
      <x:c r="G734" s="170" t="str">
        <x:f>IF(A734="","",IF(B734="Decommissioning",INDEX('Raw Decommissioning'!$I$2:$I$1000,ROWS($A$5:A734)),INDEX('Raw Provisioning'!$J$2:$J$1000,ROWS($A$5:A734)-COUNTA('Raw Decommissioning'!$B$2:$B$1000))))</x:f>
      </x:c>
      <x:c r="H734" s="170" t="str">
        <x:f>IF(A734="","",IF(B734="Decommissioning",INDEX('Raw Decommissioning'!$J$2:$J$1000,ROWS($A$5:A734)),INDEX('Raw Provisioning'!$L$2:$L$1000,ROWS($A$5:A734)-COUNTA('Raw Decommissioning'!$B$2:$B$1000))))</x:f>
      </x:c>
      <x:c r="I734" s="170" t="str">
        <x:f>IF(A734="","",IF(B734="Decommissioning",INDEX('Raw Decommissioning'!$AL$2:$AL$1000,ROWS($A$5:A734)),INDEX('Raw Provisioning'!$R$2:$R$1000,ROWS($A$5:A734)-COUNTA('Raw Decommissioning'!$B$2:$B$1000))))</x:f>
      </x:c>
      <x:c r="J734" s="170" t="str">
        <x:f>IF(A734="","",IF(B734="Decommissioning",INDEX('Raw Decommissioning'!$AG$2:$AG$1000,ROWS($A$5:A734)),INDEX('Raw Provisioning'!$AI$2:$AI$1000,ROWS($A$5:A734)-COUNTA('Raw Decommissioning'!$B$2:$B$1000))))</x:f>
      </x:c>
      <x:c r="K734" s="172" t="str">
        <x:f>IF(A734="","",IFERROR(LOOKUP(2,1/('Assignment History'!$B$5:$B$204=A734),'Assignment History'!$D$5:$D$204),IFERROR(VLOOKUP(J734,Configuration!$L$5:$M$50,2,FALSE),J734)))</x:f>
      </x:c>
      <x:c r="L734" s="172" t="str">
        <x:f>IF(A734="","",IF(K734=IFERROR(VLOOKUP(J734,Configuration!$L$5:$M$50,2,FALSE),J734),"Snapshot PIC","Replacement PIC"))</x:f>
      </x:c>
      <x:c r="M734" s="172" t="str">
        <x:f>IF(A734="","",IFERROR(VLOOKUP(I734,Configuration!$O$5:$P$8,2,FALSE),Configuration!$S$6))</x:f>
      </x:c>
      <x:c r="N734" s="172" t="str">
        <x:f>IF(A734="","",IFERROR(LOOKUP(2,1/('Scope Review'!$B$5:$B$204=A734),'Scope Review'!$G$5:$G$204),"Not Reviewed"))</x:f>
      </x:c>
      <x:c r="O734" s="172" t="str">
        <x:f>IF(A734="","",IFERROR(LOOKUP(2,1/('Scope Review'!$B$5:$B$204=A734),'Scope Review'!$H$5:$H$204),""))</x:f>
      </x:c>
      <x:c r="P734" s="172" t="str">
        <x:f>IF(A734="","",IF(AND(C734="executing",N734&lt;&gt;"Confirmed OOS"),M734,0))</x:f>
      </x:c>
      <x:c r="Q734" s="173" t="str">
        <x:f>IF(A734="","",IFERROR(LOOKUP(2,1/('Engineer Updates'!$B$5:$B$704=A734),'Engineer Updates'!$A$5:$A$704),""))</x:f>
      </x:c>
      <x:c r="R734" s="172" t="str">
        <x:f>IF(A734="","",IFERROR(LOOKUP(2,1/('Engineer Updates'!$B$5:$B$704=A734),'Engineer Updates'!$H$5:$H$704),""))</x:f>
      </x:c>
      <x:c r="S734" s="172" t="str">
        <x:f>IF(A734="","",IFERROR(LOOKUP(2,1/('Engineer Updates'!$B$5:$B$704=A734),'Engineer Updates'!$G$5:$G$704),""))</x:f>
      </x:c>
      <x:c r="T734" s="172" t="str">
        <x:f>IF(A734="","",IFERROR(LOOKUP(2,1/('Engineer Updates'!$B$5:$B$704=A734),'Engineer Updates'!$I$5:$I$704),""))</x:f>
      </x:c>
      <x:c r="U734" s="172" t="str">
        <x:f>IF(A734="","",IFERROR(LOOKUP(2,1/('Engineer Updates'!$B$5:$B$704=A734),'Engineer Updates'!$J$5:$J$704),""))</x:f>
      </x:c>
      <x:c r="V734" s="172" t="str">
        <x:f>IF(A734="","",IFERROR(LOOKUP(2,1/('Engineer Updates'!$B$5:$B$704=A734),'Engineer Updates'!$K$5:$K$704),""))</x:f>
      </x:c>
      <x:c r="W734" s="174" t="str">
        <x:f>IF(A734="","",IFERROR(LOOKUP(2,1/('Engineer Updates'!$B$5:$B$704=A734),'Engineer Updates'!$L$5:$L$704),""))</x:f>
      </x:c>
      <x:c r="X734" s="170" t="str">
        <x:f>IF(A734="","",IF(C734="completed","Completed in CSSP",IF(AND(C734="executing",ISERROR(SEARCH("@",K734))),"Executing without named engineer",IF(AND(N734="Confirmed OOS",C734="executing"),"Confirmed OOS still executing",""))))</x:f>
      </x:c>
      <x:c r="Y734" s="170" t="str">
        <x:f>IF(A734="","",IF(B734="Decommissioning","Raw Decommissioning","Raw Provisioning"))</x:f>
      </x:c>
      <x:c r="Z734" s="170" t="str">
        <x:f>IF(A734="","",IF(OR(C734="executing",C734="processing"),"Yes","No"))</x:f>
      </x:c>
    </x:row>
    <x:row r="735">
      <x:c r="A735" s="170" t="str">
        <x:f>IF(ROWS($A$5:A735)&lt;=COUNTA('Raw Decommissioning'!$B$2:$B$1000),INDEX('Raw Decommissioning'!$B$2:$B$1000,ROWS($A$5:A735)),IF(ROWS($A$5:A735)-COUNTA('Raw Decommissioning'!$B$2:$B$1000)&lt;=COUNTA('Raw Provisioning'!$B$2:$B$1000),INDEX('Raw Provisioning'!$B$2:$B$1000,ROWS($A$5:A735)-COUNTA('Raw Decommissioning'!$B$2:$B$1000)),""))</x:f>
      </x:c>
      <x:c r="B735" s="170" t="str">
        <x:f>IF(A735="","",IF(ROWS($A$5:A735)&lt;=COUNTA('Raw Decommissioning'!$B$2:$B$1000),"Decommissioning","Provisioning"))</x:f>
      </x:c>
      <x:c r="C735" s="170" t="str">
        <x:f>IF(A735="","",IF(B735="Decommissioning",IFERROR(INDEX('Raw Decommissioning'!$E$2:$E$1000,MATCH(A735,'Raw Decommissioning'!$B$2:$B$1000,0)),"Missing from latest raw"),IFERROR(INDEX('Raw Provisioning'!$E$2:$E$1000,MATCH(A735,'Raw Provisioning'!$B$2:$B$1000,0)),"Missing from latest raw")))</x:f>
      </x:c>
      <x:c r="D735" s="171" t="str">
        <x:f>IF(A735="","",'Refresh Control'!$B$4)</x:f>
      </x:c>
      <x:c r="E735" s="171" t="str">
        <x:f>IF(A735="","",IF(B735="Decommissioning",INDEX('Raw Decommissioning'!$F$2:$F$1000,ROWS($A$5:A735)),INDEX('Raw Provisioning'!$F$2:$F$1000,ROWS($A$5:A735)-COUNTA('Raw Decommissioning'!$B$2:$B$1000))))</x:f>
      </x:c>
      <x:c r="F735" s="171" t="str">
        <x:f>IF(A735="","",IF(B735="Decommissioning",INDEX('Raw Decommissioning'!$G$2:$G$1000,ROWS($A$5:A735)),INDEX('Raw Provisioning'!$H$2:$H$1000,ROWS($A$5:A735)-COUNTA('Raw Decommissioning'!$B$2:$B$1000))))</x:f>
      </x:c>
      <x:c r="G735" s="170" t="str">
        <x:f>IF(A735="","",IF(B735="Decommissioning",INDEX('Raw Decommissioning'!$I$2:$I$1000,ROWS($A$5:A735)),INDEX('Raw Provisioning'!$J$2:$J$1000,ROWS($A$5:A735)-COUNTA('Raw Decommissioning'!$B$2:$B$1000))))</x:f>
      </x:c>
      <x:c r="H735" s="170" t="str">
        <x:f>IF(A735="","",IF(B735="Decommissioning",INDEX('Raw Decommissioning'!$J$2:$J$1000,ROWS($A$5:A735)),INDEX('Raw Provisioning'!$L$2:$L$1000,ROWS($A$5:A735)-COUNTA('Raw Decommissioning'!$B$2:$B$1000))))</x:f>
      </x:c>
      <x:c r="I735" s="170" t="str">
        <x:f>IF(A735="","",IF(B735="Decommissioning",INDEX('Raw Decommissioning'!$AL$2:$AL$1000,ROWS($A$5:A735)),INDEX('Raw Provisioning'!$R$2:$R$1000,ROWS($A$5:A735)-COUNTA('Raw Decommissioning'!$B$2:$B$1000))))</x:f>
      </x:c>
      <x:c r="J735" s="170" t="str">
        <x:f>IF(A735="","",IF(B735="Decommissioning",INDEX('Raw Decommissioning'!$AG$2:$AG$1000,ROWS($A$5:A735)),INDEX('Raw Provisioning'!$AI$2:$AI$1000,ROWS($A$5:A735)-COUNTA('Raw Decommissioning'!$B$2:$B$1000))))</x:f>
      </x:c>
      <x:c r="K735" s="172" t="str">
        <x:f>IF(A735="","",IFERROR(LOOKUP(2,1/('Assignment History'!$B$5:$B$204=A735),'Assignment History'!$D$5:$D$204),IFERROR(VLOOKUP(J735,Configuration!$L$5:$M$50,2,FALSE),J735)))</x:f>
      </x:c>
      <x:c r="L735" s="172" t="str">
        <x:f>IF(A735="","",IF(K735=IFERROR(VLOOKUP(J735,Configuration!$L$5:$M$50,2,FALSE),J735),"Snapshot PIC","Replacement PIC"))</x:f>
      </x:c>
      <x:c r="M735" s="172" t="str">
        <x:f>IF(A735="","",IFERROR(VLOOKUP(I735,Configuration!$O$5:$P$8,2,FALSE),Configuration!$S$6))</x:f>
      </x:c>
      <x:c r="N735" s="172" t="str">
        <x:f>IF(A735="","",IFERROR(LOOKUP(2,1/('Scope Review'!$B$5:$B$204=A735),'Scope Review'!$G$5:$G$204),"Not Reviewed"))</x:f>
      </x:c>
      <x:c r="O735" s="172" t="str">
        <x:f>IF(A735="","",IFERROR(LOOKUP(2,1/('Scope Review'!$B$5:$B$204=A735),'Scope Review'!$H$5:$H$204),""))</x:f>
      </x:c>
      <x:c r="P735" s="172" t="str">
        <x:f>IF(A735="","",IF(AND(C735="executing",N735&lt;&gt;"Confirmed OOS"),M735,0))</x:f>
      </x:c>
      <x:c r="Q735" s="173" t="str">
        <x:f>IF(A735="","",IFERROR(LOOKUP(2,1/('Engineer Updates'!$B$5:$B$704=A735),'Engineer Updates'!$A$5:$A$704),""))</x:f>
      </x:c>
      <x:c r="R735" s="172" t="str">
        <x:f>IF(A735="","",IFERROR(LOOKUP(2,1/('Engineer Updates'!$B$5:$B$704=A735),'Engineer Updates'!$H$5:$H$704),""))</x:f>
      </x:c>
      <x:c r="S735" s="172" t="str">
        <x:f>IF(A735="","",IFERROR(LOOKUP(2,1/('Engineer Updates'!$B$5:$B$704=A735),'Engineer Updates'!$G$5:$G$704),""))</x:f>
      </x:c>
      <x:c r="T735" s="172" t="str">
        <x:f>IF(A735="","",IFERROR(LOOKUP(2,1/('Engineer Updates'!$B$5:$B$704=A735),'Engineer Updates'!$I$5:$I$704),""))</x:f>
      </x:c>
      <x:c r="U735" s="172" t="str">
        <x:f>IF(A735="","",IFERROR(LOOKUP(2,1/('Engineer Updates'!$B$5:$B$704=A735),'Engineer Updates'!$J$5:$J$704),""))</x:f>
      </x:c>
      <x:c r="V735" s="172" t="str">
        <x:f>IF(A735="","",IFERROR(LOOKUP(2,1/('Engineer Updates'!$B$5:$B$704=A735),'Engineer Updates'!$K$5:$K$704),""))</x:f>
      </x:c>
      <x:c r="W735" s="174" t="str">
        <x:f>IF(A735="","",IFERROR(LOOKUP(2,1/('Engineer Updates'!$B$5:$B$704=A735),'Engineer Updates'!$L$5:$L$704),""))</x:f>
      </x:c>
      <x:c r="X735" s="170" t="str">
        <x:f>IF(A735="","",IF(C735="completed","Completed in CSSP",IF(AND(C735="executing",ISERROR(SEARCH("@",K735))),"Executing without named engineer",IF(AND(N735="Confirmed OOS",C735="executing"),"Confirmed OOS still executing",""))))</x:f>
      </x:c>
      <x:c r="Y735" s="170" t="str">
        <x:f>IF(A735="","",IF(B735="Decommissioning","Raw Decommissioning","Raw Provisioning"))</x:f>
      </x:c>
      <x:c r="Z735" s="170" t="str">
        <x:f>IF(A735="","",IF(OR(C735="executing",C735="processing"),"Yes","No"))</x:f>
      </x:c>
    </x:row>
    <x:row r="736">
      <x:c r="A736" s="170" t="str">
        <x:f>IF(ROWS($A$5:A736)&lt;=COUNTA('Raw Decommissioning'!$B$2:$B$1000),INDEX('Raw Decommissioning'!$B$2:$B$1000,ROWS($A$5:A736)),IF(ROWS($A$5:A736)-COUNTA('Raw Decommissioning'!$B$2:$B$1000)&lt;=COUNTA('Raw Provisioning'!$B$2:$B$1000),INDEX('Raw Provisioning'!$B$2:$B$1000,ROWS($A$5:A736)-COUNTA('Raw Decommissioning'!$B$2:$B$1000)),""))</x:f>
      </x:c>
      <x:c r="B736" s="170" t="str">
        <x:f>IF(A736="","",IF(ROWS($A$5:A736)&lt;=COUNTA('Raw Decommissioning'!$B$2:$B$1000),"Decommissioning","Provisioning"))</x:f>
      </x:c>
      <x:c r="C736" s="170" t="str">
        <x:f>IF(A736="","",IF(B736="Decommissioning",IFERROR(INDEX('Raw Decommissioning'!$E$2:$E$1000,MATCH(A736,'Raw Decommissioning'!$B$2:$B$1000,0)),"Missing from latest raw"),IFERROR(INDEX('Raw Provisioning'!$E$2:$E$1000,MATCH(A736,'Raw Provisioning'!$B$2:$B$1000,0)),"Missing from latest raw")))</x:f>
      </x:c>
      <x:c r="D736" s="171" t="str">
        <x:f>IF(A736="","",'Refresh Control'!$B$4)</x:f>
      </x:c>
      <x:c r="E736" s="171" t="str">
        <x:f>IF(A736="","",IF(B736="Decommissioning",INDEX('Raw Decommissioning'!$F$2:$F$1000,ROWS($A$5:A736)),INDEX('Raw Provisioning'!$F$2:$F$1000,ROWS($A$5:A736)-COUNTA('Raw Decommissioning'!$B$2:$B$1000))))</x:f>
      </x:c>
      <x:c r="F736" s="171" t="str">
        <x:f>IF(A736="","",IF(B736="Decommissioning",INDEX('Raw Decommissioning'!$G$2:$G$1000,ROWS($A$5:A736)),INDEX('Raw Provisioning'!$H$2:$H$1000,ROWS($A$5:A736)-COUNTA('Raw Decommissioning'!$B$2:$B$1000))))</x:f>
      </x:c>
      <x:c r="G736" s="170" t="str">
        <x:f>IF(A736="","",IF(B736="Decommissioning",INDEX('Raw Decommissioning'!$I$2:$I$1000,ROWS($A$5:A736)),INDEX('Raw Provisioning'!$J$2:$J$1000,ROWS($A$5:A736)-COUNTA('Raw Decommissioning'!$B$2:$B$1000))))</x:f>
      </x:c>
      <x:c r="H736" s="170" t="str">
        <x:f>IF(A736="","",IF(B736="Decommissioning",INDEX('Raw Decommissioning'!$J$2:$J$1000,ROWS($A$5:A736)),INDEX('Raw Provisioning'!$L$2:$L$1000,ROWS($A$5:A736)-COUNTA('Raw Decommissioning'!$B$2:$B$1000))))</x:f>
      </x:c>
      <x:c r="I736" s="170" t="str">
        <x:f>IF(A736="","",IF(B736="Decommissioning",INDEX('Raw Decommissioning'!$AL$2:$AL$1000,ROWS($A$5:A736)),INDEX('Raw Provisioning'!$R$2:$R$1000,ROWS($A$5:A736)-COUNTA('Raw Decommissioning'!$B$2:$B$1000))))</x:f>
      </x:c>
      <x:c r="J736" s="170" t="str">
        <x:f>IF(A736="","",IF(B736="Decommissioning",INDEX('Raw Decommissioning'!$AG$2:$AG$1000,ROWS($A$5:A736)),INDEX('Raw Provisioning'!$AI$2:$AI$1000,ROWS($A$5:A736)-COUNTA('Raw Decommissioning'!$B$2:$B$1000))))</x:f>
      </x:c>
      <x:c r="K736" s="172" t="str">
        <x:f>IF(A736="","",IFERROR(LOOKUP(2,1/('Assignment History'!$B$5:$B$204=A736),'Assignment History'!$D$5:$D$204),IFERROR(VLOOKUP(J736,Configuration!$L$5:$M$50,2,FALSE),J736)))</x:f>
      </x:c>
      <x:c r="L736" s="172" t="str">
        <x:f>IF(A736="","",IF(K736=IFERROR(VLOOKUP(J736,Configuration!$L$5:$M$50,2,FALSE),J736),"Snapshot PIC","Replacement PIC"))</x:f>
      </x:c>
      <x:c r="M736" s="172" t="str">
        <x:f>IF(A736="","",IFERROR(VLOOKUP(I736,Configuration!$O$5:$P$8,2,FALSE),Configuration!$S$6))</x:f>
      </x:c>
      <x:c r="N736" s="172" t="str">
        <x:f>IF(A736="","",IFERROR(LOOKUP(2,1/('Scope Review'!$B$5:$B$204=A736),'Scope Review'!$G$5:$G$204),"Not Reviewed"))</x:f>
      </x:c>
      <x:c r="O736" s="172" t="str">
        <x:f>IF(A736="","",IFERROR(LOOKUP(2,1/('Scope Review'!$B$5:$B$204=A736),'Scope Review'!$H$5:$H$204),""))</x:f>
      </x:c>
      <x:c r="P736" s="172" t="str">
        <x:f>IF(A736="","",IF(AND(C736="executing",N736&lt;&gt;"Confirmed OOS"),M736,0))</x:f>
      </x:c>
      <x:c r="Q736" s="173" t="str">
        <x:f>IF(A736="","",IFERROR(LOOKUP(2,1/('Engineer Updates'!$B$5:$B$704=A736),'Engineer Updates'!$A$5:$A$704),""))</x:f>
      </x:c>
      <x:c r="R736" s="172" t="str">
        <x:f>IF(A736="","",IFERROR(LOOKUP(2,1/('Engineer Updates'!$B$5:$B$704=A736),'Engineer Updates'!$H$5:$H$704),""))</x:f>
      </x:c>
      <x:c r="S736" s="172" t="str">
        <x:f>IF(A736="","",IFERROR(LOOKUP(2,1/('Engineer Updates'!$B$5:$B$704=A736),'Engineer Updates'!$G$5:$G$704),""))</x:f>
      </x:c>
      <x:c r="T736" s="172" t="str">
        <x:f>IF(A736="","",IFERROR(LOOKUP(2,1/('Engineer Updates'!$B$5:$B$704=A736),'Engineer Updates'!$I$5:$I$704),""))</x:f>
      </x:c>
      <x:c r="U736" s="172" t="str">
        <x:f>IF(A736="","",IFERROR(LOOKUP(2,1/('Engineer Updates'!$B$5:$B$704=A736),'Engineer Updates'!$J$5:$J$704),""))</x:f>
      </x:c>
      <x:c r="V736" s="172" t="str">
        <x:f>IF(A736="","",IFERROR(LOOKUP(2,1/('Engineer Updates'!$B$5:$B$704=A736),'Engineer Updates'!$K$5:$K$704),""))</x:f>
      </x:c>
      <x:c r="W736" s="174" t="str">
        <x:f>IF(A736="","",IFERROR(LOOKUP(2,1/('Engineer Updates'!$B$5:$B$704=A736),'Engineer Updates'!$L$5:$L$704),""))</x:f>
      </x:c>
      <x:c r="X736" s="170" t="str">
        <x:f>IF(A736="","",IF(C736="completed","Completed in CSSP",IF(AND(C736="executing",ISERROR(SEARCH("@",K736))),"Executing without named engineer",IF(AND(N736="Confirmed OOS",C736="executing"),"Confirmed OOS still executing",""))))</x:f>
      </x:c>
      <x:c r="Y736" s="170" t="str">
        <x:f>IF(A736="","",IF(B736="Decommissioning","Raw Decommissioning","Raw Provisioning"))</x:f>
      </x:c>
      <x:c r="Z736" s="170" t="str">
        <x:f>IF(A736="","",IF(OR(C736="executing",C736="processing"),"Yes","No"))</x:f>
      </x:c>
    </x:row>
    <x:row r="737">
      <x:c r="A737" s="170" t="str">
        <x:f>IF(ROWS($A$5:A737)&lt;=COUNTA('Raw Decommissioning'!$B$2:$B$1000),INDEX('Raw Decommissioning'!$B$2:$B$1000,ROWS($A$5:A737)),IF(ROWS($A$5:A737)-COUNTA('Raw Decommissioning'!$B$2:$B$1000)&lt;=COUNTA('Raw Provisioning'!$B$2:$B$1000),INDEX('Raw Provisioning'!$B$2:$B$1000,ROWS($A$5:A737)-COUNTA('Raw Decommissioning'!$B$2:$B$1000)),""))</x:f>
      </x:c>
      <x:c r="B737" s="170" t="str">
        <x:f>IF(A737="","",IF(ROWS($A$5:A737)&lt;=COUNTA('Raw Decommissioning'!$B$2:$B$1000),"Decommissioning","Provisioning"))</x:f>
      </x:c>
      <x:c r="C737" s="170" t="str">
        <x:f>IF(A737="","",IF(B737="Decommissioning",IFERROR(INDEX('Raw Decommissioning'!$E$2:$E$1000,MATCH(A737,'Raw Decommissioning'!$B$2:$B$1000,0)),"Missing from latest raw"),IFERROR(INDEX('Raw Provisioning'!$E$2:$E$1000,MATCH(A737,'Raw Provisioning'!$B$2:$B$1000,0)),"Missing from latest raw")))</x:f>
      </x:c>
      <x:c r="D737" s="171" t="str">
        <x:f>IF(A737="","",'Refresh Control'!$B$4)</x:f>
      </x:c>
      <x:c r="E737" s="171" t="str">
        <x:f>IF(A737="","",IF(B737="Decommissioning",INDEX('Raw Decommissioning'!$F$2:$F$1000,ROWS($A$5:A737)),INDEX('Raw Provisioning'!$F$2:$F$1000,ROWS($A$5:A737)-COUNTA('Raw Decommissioning'!$B$2:$B$1000))))</x:f>
      </x:c>
      <x:c r="F737" s="171" t="str">
        <x:f>IF(A737="","",IF(B737="Decommissioning",INDEX('Raw Decommissioning'!$G$2:$G$1000,ROWS($A$5:A737)),INDEX('Raw Provisioning'!$H$2:$H$1000,ROWS($A$5:A737)-COUNTA('Raw Decommissioning'!$B$2:$B$1000))))</x:f>
      </x:c>
      <x:c r="G737" s="170" t="str">
        <x:f>IF(A737="","",IF(B737="Decommissioning",INDEX('Raw Decommissioning'!$I$2:$I$1000,ROWS($A$5:A737)),INDEX('Raw Provisioning'!$J$2:$J$1000,ROWS($A$5:A737)-COUNTA('Raw Decommissioning'!$B$2:$B$1000))))</x:f>
      </x:c>
      <x:c r="H737" s="170" t="str">
        <x:f>IF(A737="","",IF(B737="Decommissioning",INDEX('Raw Decommissioning'!$J$2:$J$1000,ROWS($A$5:A737)),INDEX('Raw Provisioning'!$L$2:$L$1000,ROWS($A$5:A737)-COUNTA('Raw Decommissioning'!$B$2:$B$1000))))</x:f>
      </x:c>
      <x:c r="I737" s="170" t="str">
        <x:f>IF(A737="","",IF(B737="Decommissioning",INDEX('Raw Decommissioning'!$AL$2:$AL$1000,ROWS($A$5:A737)),INDEX('Raw Provisioning'!$R$2:$R$1000,ROWS($A$5:A737)-COUNTA('Raw Decommissioning'!$B$2:$B$1000))))</x:f>
      </x:c>
      <x:c r="J737" s="170" t="str">
        <x:f>IF(A737="","",IF(B737="Decommissioning",INDEX('Raw Decommissioning'!$AG$2:$AG$1000,ROWS($A$5:A737)),INDEX('Raw Provisioning'!$AI$2:$AI$1000,ROWS($A$5:A737)-COUNTA('Raw Decommissioning'!$B$2:$B$1000))))</x:f>
      </x:c>
      <x:c r="K737" s="172" t="str">
        <x:f>IF(A737="","",IFERROR(LOOKUP(2,1/('Assignment History'!$B$5:$B$204=A737),'Assignment History'!$D$5:$D$204),IFERROR(VLOOKUP(J737,Configuration!$L$5:$M$50,2,FALSE),J737)))</x:f>
      </x:c>
      <x:c r="L737" s="172" t="str">
        <x:f>IF(A737="","",IF(K737=IFERROR(VLOOKUP(J737,Configuration!$L$5:$M$50,2,FALSE),J737),"Snapshot PIC","Replacement PIC"))</x:f>
      </x:c>
      <x:c r="M737" s="172" t="str">
        <x:f>IF(A737="","",IFERROR(VLOOKUP(I737,Configuration!$O$5:$P$8,2,FALSE),Configuration!$S$6))</x:f>
      </x:c>
      <x:c r="N737" s="172" t="str">
        <x:f>IF(A737="","",IFERROR(LOOKUP(2,1/('Scope Review'!$B$5:$B$204=A737),'Scope Review'!$G$5:$G$204),"Not Reviewed"))</x:f>
      </x:c>
      <x:c r="O737" s="172" t="str">
        <x:f>IF(A737="","",IFERROR(LOOKUP(2,1/('Scope Review'!$B$5:$B$204=A737),'Scope Review'!$H$5:$H$204),""))</x:f>
      </x:c>
      <x:c r="P737" s="172" t="str">
        <x:f>IF(A737="","",IF(AND(C737="executing",N737&lt;&gt;"Confirmed OOS"),M737,0))</x:f>
      </x:c>
      <x:c r="Q737" s="173" t="str">
        <x:f>IF(A737="","",IFERROR(LOOKUP(2,1/('Engineer Updates'!$B$5:$B$704=A737),'Engineer Updates'!$A$5:$A$704),""))</x:f>
      </x:c>
      <x:c r="R737" s="172" t="str">
        <x:f>IF(A737="","",IFERROR(LOOKUP(2,1/('Engineer Updates'!$B$5:$B$704=A737),'Engineer Updates'!$H$5:$H$704),""))</x:f>
      </x:c>
      <x:c r="S737" s="172" t="str">
        <x:f>IF(A737="","",IFERROR(LOOKUP(2,1/('Engineer Updates'!$B$5:$B$704=A737),'Engineer Updates'!$G$5:$G$704),""))</x:f>
      </x:c>
      <x:c r="T737" s="172" t="str">
        <x:f>IF(A737="","",IFERROR(LOOKUP(2,1/('Engineer Updates'!$B$5:$B$704=A737),'Engineer Updates'!$I$5:$I$704),""))</x:f>
      </x:c>
      <x:c r="U737" s="172" t="str">
        <x:f>IF(A737="","",IFERROR(LOOKUP(2,1/('Engineer Updates'!$B$5:$B$704=A737),'Engineer Updates'!$J$5:$J$704),""))</x:f>
      </x:c>
      <x:c r="V737" s="172" t="str">
        <x:f>IF(A737="","",IFERROR(LOOKUP(2,1/('Engineer Updates'!$B$5:$B$704=A737),'Engineer Updates'!$K$5:$K$704),""))</x:f>
      </x:c>
      <x:c r="W737" s="174" t="str">
        <x:f>IF(A737="","",IFERROR(LOOKUP(2,1/('Engineer Updates'!$B$5:$B$704=A737),'Engineer Updates'!$L$5:$L$704),""))</x:f>
      </x:c>
      <x:c r="X737" s="170" t="str">
        <x:f>IF(A737="","",IF(C737="completed","Completed in CSSP",IF(AND(C737="executing",ISERROR(SEARCH("@",K737))),"Executing without named engineer",IF(AND(N737="Confirmed OOS",C737="executing"),"Confirmed OOS still executing",""))))</x:f>
      </x:c>
      <x:c r="Y737" s="170" t="str">
        <x:f>IF(A737="","",IF(B737="Decommissioning","Raw Decommissioning","Raw Provisioning"))</x:f>
      </x:c>
      <x:c r="Z737" s="170" t="str">
        <x:f>IF(A737="","",IF(OR(C737="executing",C737="processing"),"Yes","No"))</x:f>
      </x:c>
    </x:row>
    <x:row r="738">
      <x:c r="A738" s="170" t="str">
        <x:f>IF(ROWS($A$5:A738)&lt;=COUNTA('Raw Decommissioning'!$B$2:$B$1000),INDEX('Raw Decommissioning'!$B$2:$B$1000,ROWS($A$5:A738)),IF(ROWS($A$5:A738)-COUNTA('Raw Decommissioning'!$B$2:$B$1000)&lt;=COUNTA('Raw Provisioning'!$B$2:$B$1000),INDEX('Raw Provisioning'!$B$2:$B$1000,ROWS($A$5:A738)-COUNTA('Raw Decommissioning'!$B$2:$B$1000)),""))</x:f>
      </x:c>
      <x:c r="B738" s="170" t="str">
        <x:f>IF(A738="","",IF(ROWS($A$5:A738)&lt;=COUNTA('Raw Decommissioning'!$B$2:$B$1000),"Decommissioning","Provisioning"))</x:f>
      </x:c>
      <x:c r="C738" s="170" t="str">
        <x:f>IF(A738="","",IF(B738="Decommissioning",IFERROR(INDEX('Raw Decommissioning'!$E$2:$E$1000,MATCH(A738,'Raw Decommissioning'!$B$2:$B$1000,0)),"Missing from latest raw"),IFERROR(INDEX('Raw Provisioning'!$E$2:$E$1000,MATCH(A738,'Raw Provisioning'!$B$2:$B$1000,0)),"Missing from latest raw")))</x:f>
      </x:c>
      <x:c r="D738" s="171" t="str">
        <x:f>IF(A738="","",'Refresh Control'!$B$4)</x:f>
      </x:c>
      <x:c r="E738" s="171" t="str">
        <x:f>IF(A738="","",IF(B738="Decommissioning",INDEX('Raw Decommissioning'!$F$2:$F$1000,ROWS($A$5:A738)),INDEX('Raw Provisioning'!$F$2:$F$1000,ROWS($A$5:A738)-COUNTA('Raw Decommissioning'!$B$2:$B$1000))))</x:f>
      </x:c>
      <x:c r="F738" s="171" t="str">
        <x:f>IF(A738="","",IF(B738="Decommissioning",INDEX('Raw Decommissioning'!$G$2:$G$1000,ROWS($A$5:A738)),INDEX('Raw Provisioning'!$H$2:$H$1000,ROWS($A$5:A738)-COUNTA('Raw Decommissioning'!$B$2:$B$1000))))</x:f>
      </x:c>
      <x:c r="G738" s="170" t="str">
        <x:f>IF(A738="","",IF(B738="Decommissioning",INDEX('Raw Decommissioning'!$I$2:$I$1000,ROWS($A$5:A738)),INDEX('Raw Provisioning'!$J$2:$J$1000,ROWS($A$5:A738)-COUNTA('Raw Decommissioning'!$B$2:$B$1000))))</x:f>
      </x:c>
      <x:c r="H738" s="170" t="str">
        <x:f>IF(A738="","",IF(B738="Decommissioning",INDEX('Raw Decommissioning'!$J$2:$J$1000,ROWS($A$5:A738)),INDEX('Raw Provisioning'!$L$2:$L$1000,ROWS($A$5:A738)-COUNTA('Raw Decommissioning'!$B$2:$B$1000))))</x:f>
      </x:c>
      <x:c r="I738" s="170" t="str">
        <x:f>IF(A738="","",IF(B738="Decommissioning",INDEX('Raw Decommissioning'!$AL$2:$AL$1000,ROWS($A$5:A738)),INDEX('Raw Provisioning'!$R$2:$R$1000,ROWS($A$5:A738)-COUNTA('Raw Decommissioning'!$B$2:$B$1000))))</x:f>
      </x:c>
      <x:c r="J738" s="170" t="str">
        <x:f>IF(A738="","",IF(B738="Decommissioning",INDEX('Raw Decommissioning'!$AG$2:$AG$1000,ROWS($A$5:A738)),INDEX('Raw Provisioning'!$AI$2:$AI$1000,ROWS($A$5:A738)-COUNTA('Raw Decommissioning'!$B$2:$B$1000))))</x:f>
      </x:c>
      <x:c r="K738" s="172" t="str">
        <x:f>IF(A738="","",IFERROR(LOOKUP(2,1/('Assignment History'!$B$5:$B$204=A738),'Assignment History'!$D$5:$D$204),IFERROR(VLOOKUP(J738,Configuration!$L$5:$M$50,2,FALSE),J738)))</x:f>
      </x:c>
      <x:c r="L738" s="172" t="str">
        <x:f>IF(A738="","",IF(K738=IFERROR(VLOOKUP(J738,Configuration!$L$5:$M$50,2,FALSE),J738),"Snapshot PIC","Replacement PIC"))</x:f>
      </x:c>
      <x:c r="M738" s="172" t="str">
        <x:f>IF(A738="","",IFERROR(VLOOKUP(I738,Configuration!$O$5:$P$8,2,FALSE),Configuration!$S$6))</x:f>
      </x:c>
      <x:c r="N738" s="172" t="str">
        <x:f>IF(A738="","",IFERROR(LOOKUP(2,1/('Scope Review'!$B$5:$B$204=A738),'Scope Review'!$G$5:$G$204),"Not Reviewed"))</x:f>
      </x:c>
      <x:c r="O738" s="172" t="str">
        <x:f>IF(A738="","",IFERROR(LOOKUP(2,1/('Scope Review'!$B$5:$B$204=A738),'Scope Review'!$H$5:$H$204),""))</x:f>
      </x:c>
      <x:c r="P738" s="172" t="str">
        <x:f>IF(A738="","",IF(AND(C738="executing",N738&lt;&gt;"Confirmed OOS"),M738,0))</x:f>
      </x:c>
      <x:c r="Q738" s="173" t="str">
        <x:f>IF(A738="","",IFERROR(LOOKUP(2,1/('Engineer Updates'!$B$5:$B$704=A738),'Engineer Updates'!$A$5:$A$704),""))</x:f>
      </x:c>
      <x:c r="R738" s="172" t="str">
        <x:f>IF(A738="","",IFERROR(LOOKUP(2,1/('Engineer Updates'!$B$5:$B$704=A738),'Engineer Updates'!$H$5:$H$704),""))</x:f>
      </x:c>
      <x:c r="S738" s="172" t="str">
        <x:f>IF(A738="","",IFERROR(LOOKUP(2,1/('Engineer Updates'!$B$5:$B$704=A738),'Engineer Updates'!$G$5:$G$704),""))</x:f>
      </x:c>
      <x:c r="T738" s="172" t="str">
        <x:f>IF(A738="","",IFERROR(LOOKUP(2,1/('Engineer Updates'!$B$5:$B$704=A738),'Engineer Updates'!$I$5:$I$704),""))</x:f>
      </x:c>
      <x:c r="U738" s="172" t="str">
        <x:f>IF(A738="","",IFERROR(LOOKUP(2,1/('Engineer Updates'!$B$5:$B$704=A738),'Engineer Updates'!$J$5:$J$704),""))</x:f>
      </x:c>
      <x:c r="V738" s="172" t="str">
        <x:f>IF(A738="","",IFERROR(LOOKUP(2,1/('Engineer Updates'!$B$5:$B$704=A738),'Engineer Updates'!$K$5:$K$704),""))</x:f>
      </x:c>
      <x:c r="W738" s="174" t="str">
        <x:f>IF(A738="","",IFERROR(LOOKUP(2,1/('Engineer Updates'!$B$5:$B$704=A738),'Engineer Updates'!$L$5:$L$704),""))</x:f>
      </x:c>
      <x:c r="X738" s="170" t="str">
        <x:f>IF(A738="","",IF(C738="completed","Completed in CSSP",IF(AND(C738="executing",ISERROR(SEARCH("@",K738))),"Executing without named engineer",IF(AND(N738="Confirmed OOS",C738="executing"),"Confirmed OOS still executing",""))))</x:f>
      </x:c>
      <x:c r="Y738" s="170" t="str">
        <x:f>IF(A738="","",IF(B738="Decommissioning","Raw Decommissioning","Raw Provisioning"))</x:f>
      </x:c>
      <x:c r="Z738" s="170" t="str">
        <x:f>IF(A738="","",IF(OR(C738="executing",C738="processing"),"Yes","No"))</x:f>
      </x:c>
    </x:row>
    <x:row r="739">
      <x:c r="A739" s="170" t="str">
        <x:f>IF(ROWS($A$5:A739)&lt;=COUNTA('Raw Decommissioning'!$B$2:$B$1000),INDEX('Raw Decommissioning'!$B$2:$B$1000,ROWS($A$5:A739)),IF(ROWS($A$5:A739)-COUNTA('Raw Decommissioning'!$B$2:$B$1000)&lt;=COUNTA('Raw Provisioning'!$B$2:$B$1000),INDEX('Raw Provisioning'!$B$2:$B$1000,ROWS($A$5:A739)-COUNTA('Raw Decommissioning'!$B$2:$B$1000)),""))</x:f>
      </x:c>
      <x:c r="B739" s="170" t="str">
        <x:f>IF(A739="","",IF(ROWS($A$5:A739)&lt;=COUNTA('Raw Decommissioning'!$B$2:$B$1000),"Decommissioning","Provisioning"))</x:f>
      </x:c>
      <x:c r="C739" s="170" t="str">
        <x:f>IF(A739="","",IF(B739="Decommissioning",IFERROR(INDEX('Raw Decommissioning'!$E$2:$E$1000,MATCH(A739,'Raw Decommissioning'!$B$2:$B$1000,0)),"Missing from latest raw"),IFERROR(INDEX('Raw Provisioning'!$E$2:$E$1000,MATCH(A739,'Raw Provisioning'!$B$2:$B$1000,0)),"Missing from latest raw")))</x:f>
      </x:c>
      <x:c r="D739" s="171" t="str">
        <x:f>IF(A739="","",'Refresh Control'!$B$4)</x:f>
      </x:c>
      <x:c r="E739" s="171" t="str">
        <x:f>IF(A739="","",IF(B739="Decommissioning",INDEX('Raw Decommissioning'!$F$2:$F$1000,ROWS($A$5:A739)),INDEX('Raw Provisioning'!$F$2:$F$1000,ROWS($A$5:A739)-COUNTA('Raw Decommissioning'!$B$2:$B$1000))))</x:f>
      </x:c>
      <x:c r="F739" s="171" t="str">
        <x:f>IF(A739="","",IF(B739="Decommissioning",INDEX('Raw Decommissioning'!$G$2:$G$1000,ROWS($A$5:A739)),INDEX('Raw Provisioning'!$H$2:$H$1000,ROWS($A$5:A739)-COUNTA('Raw Decommissioning'!$B$2:$B$1000))))</x:f>
      </x:c>
      <x:c r="G739" s="170" t="str">
        <x:f>IF(A739="","",IF(B739="Decommissioning",INDEX('Raw Decommissioning'!$I$2:$I$1000,ROWS($A$5:A739)),INDEX('Raw Provisioning'!$J$2:$J$1000,ROWS($A$5:A739)-COUNTA('Raw Decommissioning'!$B$2:$B$1000))))</x:f>
      </x:c>
      <x:c r="H739" s="170" t="str">
        <x:f>IF(A739="","",IF(B739="Decommissioning",INDEX('Raw Decommissioning'!$J$2:$J$1000,ROWS($A$5:A739)),INDEX('Raw Provisioning'!$L$2:$L$1000,ROWS($A$5:A739)-COUNTA('Raw Decommissioning'!$B$2:$B$1000))))</x:f>
      </x:c>
      <x:c r="I739" s="170" t="str">
        <x:f>IF(A739="","",IF(B739="Decommissioning",INDEX('Raw Decommissioning'!$AL$2:$AL$1000,ROWS($A$5:A739)),INDEX('Raw Provisioning'!$R$2:$R$1000,ROWS($A$5:A739)-COUNTA('Raw Decommissioning'!$B$2:$B$1000))))</x:f>
      </x:c>
      <x:c r="J739" s="170" t="str">
        <x:f>IF(A739="","",IF(B739="Decommissioning",INDEX('Raw Decommissioning'!$AG$2:$AG$1000,ROWS($A$5:A739)),INDEX('Raw Provisioning'!$AI$2:$AI$1000,ROWS($A$5:A739)-COUNTA('Raw Decommissioning'!$B$2:$B$1000))))</x:f>
      </x:c>
      <x:c r="K739" s="172" t="str">
        <x:f>IF(A739="","",IFERROR(LOOKUP(2,1/('Assignment History'!$B$5:$B$204=A739),'Assignment History'!$D$5:$D$204),IFERROR(VLOOKUP(J739,Configuration!$L$5:$M$50,2,FALSE),J739)))</x:f>
      </x:c>
      <x:c r="L739" s="172" t="str">
        <x:f>IF(A739="","",IF(K739=IFERROR(VLOOKUP(J739,Configuration!$L$5:$M$50,2,FALSE),J739),"Snapshot PIC","Replacement PIC"))</x:f>
      </x:c>
      <x:c r="M739" s="172" t="str">
        <x:f>IF(A739="","",IFERROR(VLOOKUP(I739,Configuration!$O$5:$P$8,2,FALSE),Configuration!$S$6))</x:f>
      </x:c>
      <x:c r="N739" s="172" t="str">
        <x:f>IF(A739="","",IFERROR(LOOKUP(2,1/('Scope Review'!$B$5:$B$204=A739),'Scope Review'!$G$5:$G$204),"Not Reviewed"))</x:f>
      </x:c>
      <x:c r="O739" s="172" t="str">
        <x:f>IF(A739="","",IFERROR(LOOKUP(2,1/('Scope Review'!$B$5:$B$204=A739),'Scope Review'!$H$5:$H$204),""))</x:f>
      </x:c>
      <x:c r="P739" s="172" t="str">
        <x:f>IF(A739="","",IF(AND(C739="executing",N739&lt;&gt;"Confirmed OOS"),M739,0))</x:f>
      </x:c>
      <x:c r="Q739" s="173" t="str">
        <x:f>IF(A739="","",IFERROR(LOOKUP(2,1/('Engineer Updates'!$B$5:$B$704=A739),'Engineer Updates'!$A$5:$A$704),""))</x:f>
      </x:c>
      <x:c r="R739" s="172" t="str">
        <x:f>IF(A739="","",IFERROR(LOOKUP(2,1/('Engineer Updates'!$B$5:$B$704=A739),'Engineer Updates'!$H$5:$H$704),""))</x:f>
      </x:c>
      <x:c r="S739" s="172" t="str">
        <x:f>IF(A739="","",IFERROR(LOOKUP(2,1/('Engineer Updates'!$B$5:$B$704=A739),'Engineer Updates'!$G$5:$G$704),""))</x:f>
      </x:c>
      <x:c r="T739" s="172" t="str">
        <x:f>IF(A739="","",IFERROR(LOOKUP(2,1/('Engineer Updates'!$B$5:$B$704=A739),'Engineer Updates'!$I$5:$I$704),""))</x:f>
      </x:c>
      <x:c r="U739" s="172" t="str">
        <x:f>IF(A739="","",IFERROR(LOOKUP(2,1/('Engineer Updates'!$B$5:$B$704=A739),'Engineer Updates'!$J$5:$J$704),""))</x:f>
      </x:c>
      <x:c r="V739" s="172" t="str">
        <x:f>IF(A739="","",IFERROR(LOOKUP(2,1/('Engineer Updates'!$B$5:$B$704=A739),'Engineer Updates'!$K$5:$K$704),""))</x:f>
      </x:c>
      <x:c r="W739" s="174" t="str">
        <x:f>IF(A739="","",IFERROR(LOOKUP(2,1/('Engineer Updates'!$B$5:$B$704=A739),'Engineer Updates'!$L$5:$L$704),""))</x:f>
      </x:c>
      <x:c r="X739" s="170" t="str">
        <x:f>IF(A739="","",IF(C739="completed","Completed in CSSP",IF(AND(C739="executing",ISERROR(SEARCH("@",K739))),"Executing without named engineer",IF(AND(N739="Confirmed OOS",C739="executing"),"Confirmed OOS still executing",""))))</x:f>
      </x:c>
      <x:c r="Y739" s="170" t="str">
        <x:f>IF(A739="","",IF(B739="Decommissioning","Raw Decommissioning","Raw Provisioning"))</x:f>
      </x:c>
      <x:c r="Z739" s="170" t="str">
        <x:f>IF(A739="","",IF(OR(C739="executing",C739="processing"),"Yes","No"))</x:f>
      </x:c>
    </x:row>
    <x:row r="740">
      <x:c r="A740" s="170" t="str">
        <x:f>IF(ROWS($A$5:A740)&lt;=COUNTA('Raw Decommissioning'!$B$2:$B$1000),INDEX('Raw Decommissioning'!$B$2:$B$1000,ROWS($A$5:A740)),IF(ROWS($A$5:A740)-COUNTA('Raw Decommissioning'!$B$2:$B$1000)&lt;=COUNTA('Raw Provisioning'!$B$2:$B$1000),INDEX('Raw Provisioning'!$B$2:$B$1000,ROWS($A$5:A740)-COUNTA('Raw Decommissioning'!$B$2:$B$1000)),""))</x:f>
      </x:c>
      <x:c r="B740" s="170" t="str">
        <x:f>IF(A740="","",IF(ROWS($A$5:A740)&lt;=COUNTA('Raw Decommissioning'!$B$2:$B$1000),"Decommissioning","Provisioning"))</x:f>
      </x:c>
      <x:c r="C740" s="170" t="str">
        <x:f>IF(A740="","",IF(B740="Decommissioning",IFERROR(INDEX('Raw Decommissioning'!$E$2:$E$1000,MATCH(A740,'Raw Decommissioning'!$B$2:$B$1000,0)),"Missing from latest raw"),IFERROR(INDEX('Raw Provisioning'!$E$2:$E$1000,MATCH(A740,'Raw Provisioning'!$B$2:$B$1000,0)),"Missing from latest raw")))</x:f>
      </x:c>
      <x:c r="D740" s="171" t="str">
        <x:f>IF(A740="","",'Refresh Control'!$B$4)</x:f>
      </x:c>
      <x:c r="E740" s="171" t="str">
        <x:f>IF(A740="","",IF(B740="Decommissioning",INDEX('Raw Decommissioning'!$F$2:$F$1000,ROWS($A$5:A740)),INDEX('Raw Provisioning'!$F$2:$F$1000,ROWS($A$5:A740)-COUNTA('Raw Decommissioning'!$B$2:$B$1000))))</x:f>
      </x:c>
      <x:c r="F740" s="171" t="str">
        <x:f>IF(A740="","",IF(B740="Decommissioning",INDEX('Raw Decommissioning'!$G$2:$G$1000,ROWS($A$5:A740)),INDEX('Raw Provisioning'!$H$2:$H$1000,ROWS($A$5:A740)-COUNTA('Raw Decommissioning'!$B$2:$B$1000))))</x:f>
      </x:c>
      <x:c r="G740" s="170" t="str">
        <x:f>IF(A740="","",IF(B740="Decommissioning",INDEX('Raw Decommissioning'!$I$2:$I$1000,ROWS($A$5:A740)),INDEX('Raw Provisioning'!$J$2:$J$1000,ROWS($A$5:A740)-COUNTA('Raw Decommissioning'!$B$2:$B$1000))))</x:f>
      </x:c>
      <x:c r="H740" s="170" t="str">
        <x:f>IF(A740="","",IF(B740="Decommissioning",INDEX('Raw Decommissioning'!$J$2:$J$1000,ROWS($A$5:A740)),INDEX('Raw Provisioning'!$L$2:$L$1000,ROWS($A$5:A740)-COUNTA('Raw Decommissioning'!$B$2:$B$1000))))</x:f>
      </x:c>
      <x:c r="I740" s="170" t="str">
        <x:f>IF(A740="","",IF(B740="Decommissioning",INDEX('Raw Decommissioning'!$AL$2:$AL$1000,ROWS($A$5:A740)),INDEX('Raw Provisioning'!$R$2:$R$1000,ROWS($A$5:A740)-COUNTA('Raw Decommissioning'!$B$2:$B$1000))))</x:f>
      </x:c>
      <x:c r="J740" s="170" t="str">
        <x:f>IF(A740="","",IF(B740="Decommissioning",INDEX('Raw Decommissioning'!$AG$2:$AG$1000,ROWS($A$5:A740)),INDEX('Raw Provisioning'!$AI$2:$AI$1000,ROWS($A$5:A740)-COUNTA('Raw Decommissioning'!$B$2:$B$1000))))</x:f>
      </x:c>
      <x:c r="K740" s="172" t="str">
        <x:f>IF(A740="","",IFERROR(LOOKUP(2,1/('Assignment History'!$B$5:$B$204=A740),'Assignment History'!$D$5:$D$204),IFERROR(VLOOKUP(J740,Configuration!$L$5:$M$50,2,FALSE),J740)))</x:f>
      </x:c>
      <x:c r="L740" s="172" t="str">
        <x:f>IF(A740="","",IF(K740=IFERROR(VLOOKUP(J740,Configuration!$L$5:$M$50,2,FALSE),J740),"Snapshot PIC","Replacement PIC"))</x:f>
      </x:c>
      <x:c r="M740" s="172" t="str">
        <x:f>IF(A740="","",IFERROR(VLOOKUP(I740,Configuration!$O$5:$P$8,2,FALSE),Configuration!$S$6))</x:f>
      </x:c>
      <x:c r="N740" s="172" t="str">
        <x:f>IF(A740="","",IFERROR(LOOKUP(2,1/('Scope Review'!$B$5:$B$204=A740),'Scope Review'!$G$5:$G$204),"Not Reviewed"))</x:f>
      </x:c>
      <x:c r="O740" s="172" t="str">
        <x:f>IF(A740="","",IFERROR(LOOKUP(2,1/('Scope Review'!$B$5:$B$204=A740),'Scope Review'!$H$5:$H$204),""))</x:f>
      </x:c>
      <x:c r="P740" s="172" t="str">
        <x:f>IF(A740="","",IF(AND(C740="executing",N740&lt;&gt;"Confirmed OOS"),M740,0))</x:f>
      </x:c>
      <x:c r="Q740" s="173" t="str">
        <x:f>IF(A740="","",IFERROR(LOOKUP(2,1/('Engineer Updates'!$B$5:$B$704=A740),'Engineer Updates'!$A$5:$A$704),""))</x:f>
      </x:c>
      <x:c r="R740" s="172" t="str">
        <x:f>IF(A740="","",IFERROR(LOOKUP(2,1/('Engineer Updates'!$B$5:$B$704=A740),'Engineer Updates'!$H$5:$H$704),""))</x:f>
      </x:c>
      <x:c r="S740" s="172" t="str">
        <x:f>IF(A740="","",IFERROR(LOOKUP(2,1/('Engineer Updates'!$B$5:$B$704=A740),'Engineer Updates'!$G$5:$G$704),""))</x:f>
      </x:c>
      <x:c r="T740" s="172" t="str">
        <x:f>IF(A740="","",IFERROR(LOOKUP(2,1/('Engineer Updates'!$B$5:$B$704=A740),'Engineer Updates'!$I$5:$I$704),""))</x:f>
      </x:c>
      <x:c r="U740" s="172" t="str">
        <x:f>IF(A740="","",IFERROR(LOOKUP(2,1/('Engineer Updates'!$B$5:$B$704=A740),'Engineer Updates'!$J$5:$J$704),""))</x:f>
      </x:c>
      <x:c r="V740" s="172" t="str">
        <x:f>IF(A740="","",IFERROR(LOOKUP(2,1/('Engineer Updates'!$B$5:$B$704=A740),'Engineer Updates'!$K$5:$K$704),""))</x:f>
      </x:c>
      <x:c r="W740" s="174" t="str">
        <x:f>IF(A740="","",IFERROR(LOOKUP(2,1/('Engineer Updates'!$B$5:$B$704=A740),'Engineer Updates'!$L$5:$L$704),""))</x:f>
      </x:c>
      <x:c r="X740" s="170" t="str">
        <x:f>IF(A740="","",IF(C740="completed","Completed in CSSP",IF(AND(C740="executing",ISERROR(SEARCH("@",K740))),"Executing without named engineer",IF(AND(N740="Confirmed OOS",C740="executing"),"Confirmed OOS still executing",""))))</x:f>
      </x:c>
      <x:c r="Y740" s="170" t="str">
        <x:f>IF(A740="","",IF(B740="Decommissioning","Raw Decommissioning","Raw Provisioning"))</x:f>
      </x:c>
      <x:c r="Z740" s="170" t="str">
        <x:f>IF(A740="","",IF(OR(C740="executing",C740="processing"),"Yes","No"))</x:f>
      </x:c>
    </x:row>
    <x:row r="741">
      <x:c r="A741" s="170" t="str">
        <x:f>IF(ROWS($A$5:A741)&lt;=COUNTA('Raw Decommissioning'!$B$2:$B$1000),INDEX('Raw Decommissioning'!$B$2:$B$1000,ROWS($A$5:A741)),IF(ROWS($A$5:A741)-COUNTA('Raw Decommissioning'!$B$2:$B$1000)&lt;=COUNTA('Raw Provisioning'!$B$2:$B$1000),INDEX('Raw Provisioning'!$B$2:$B$1000,ROWS($A$5:A741)-COUNTA('Raw Decommissioning'!$B$2:$B$1000)),""))</x:f>
      </x:c>
      <x:c r="B741" s="170" t="str">
        <x:f>IF(A741="","",IF(ROWS($A$5:A741)&lt;=COUNTA('Raw Decommissioning'!$B$2:$B$1000),"Decommissioning","Provisioning"))</x:f>
      </x:c>
      <x:c r="C741" s="170" t="str">
        <x:f>IF(A741="","",IF(B741="Decommissioning",IFERROR(INDEX('Raw Decommissioning'!$E$2:$E$1000,MATCH(A741,'Raw Decommissioning'!$B$2:$B$1000,0)),"Missing from latest raw"),IFERROR(INDEX('Raw Provisioning'!$E$2:$E$1000,MATCH(A741,'Raw Provisioning'!$B$2:$B$1000,0)),"Missing from latest raw")))</x:f>
      </x:c>
      <x:c r="D741" s="171" t="str">
        <x:f>IF(A741="","",'Refresh Control'!$B$4)</x:f>
      </x:c>
      <x:c r="E741" s="171" t="str">
        <x:f>IF(A741="","",IF(B741="Decommissioning",INDEX('Raw Decommissioning'!$F$2:$F$1000,ROWS($A$5:A741)),INDEX('Raw Provisioning'!$F$2:$F$1000,ROWS($A$5:A741)-COUNTA('Raw Decommissioning'!$B$2:$B$1000))))</x:f>
      </x:c>
      <x:c r="F741" s="171" t="str">
        <x:f>IF(A741="","",IF(B741="Decommissioning",INDEX('Raw Decommissioning'!$G$2:$G$1000,ROWS($A$5:A741)),INDEX('Raw Provisioning'!$H$2:$H$1000,ROWS($A$5:A741)-COUNTA('Raw Decommissioning'!$B$2:$B$1000))))</x:f>
      </x:c>
      <x:c r="G741" s="170" t="str">
        <x:f>IF(A741="","",IF(B741="Decommissioning",INDEX('Raw Decommissioning'!$I$2:$I$1000,ROWS($A$5:A741)),INDEX('Raw Provisioning'!$J$2:$J$1000,ROWS($A$5:A741)-COUNTA('Raw Decommissioning'!$B$2:$B$1000))))</x:f>
      </x:c>
      <x:c r="H741" s="170" t="str">
        <x:f>IF(A741="","",IF(B741="Decommissioning",INDEX('Raw Decommissioning'!$J$2:$J$1000,ROWS($A$5:A741)),INDEX('Raw Provisioning'!$L$2:$L$1000,ROWS($A$5:A741)-COUNTA('Raw Decommissioning'!$B$2:$B$1000))))</x:f>
      </x:c>
      <x:c r="I741" s="170" t="str">
        <x:f>IF(A741="","",IF(B741="Decommissioning",INDEX('Raw Decommissioning'!$AL$2:$AL$1000,ROWS($A$5:A741)),INDEX('Raw Provisioning'!$R$2:$R$1000,ROWS($A$5:A741)-COUNTA('Raw Decommissioning'!$B$2:$B$1000))))</x:f>
      </x:c>
      <x:c r="J741" s="170" t="str">
        <x:f>IF(A741="","",IF(B741="Decommissioning",INDEX('Raw Decommissioning'!$AG$2:$AG$1000,ROWS($A$5:A741)),INDEX('Raw Provisioning'!$AI$2:$AI$1000,ROWS($A$5:A741)-COUNTA('Raw Decommissioning'!$B$2:$B$1000))))</x:f>
      </x:c>
      <x:c r="K741" s="172" t="str">
        <x:f>IF(A741="","",IFERROR(LOOKUP(2,1/('Assignment History'!$B$5:$B$204=A741),'Assignment History'!$D$5:$D$204),IFERROR(VLOOKUP(J741,Configuration!$L$5:$M$50,2,FALSE),J741)))</x:f>
      </x:c>
      <x:c r="L741" s="172" t="str">
        <x:f>IF(A741="","",IF(K741=IFERROR(VLOOKUP(J741,Configuration!$L$5:$M$50,2,FALSE),J741),"Snapshot PIC","Replacement PIC"))</x:f>
      </x:c>
      <x:c r="M741" s="172" t="str">
        <x:f>IF(A741="","",IFERROR(VLOOKUP(I741,Configuration!$O$5:$P$8,2,FALSE),Configuration!$S$6))</x:f>
      </x:c>
      <x:c r="N741" s="172" t="str">
        <x:f>IF(A741="","",IFERROR(LOOKUP(2,1/('Scope Review'!$B$5:$B$204=A741),'Scope Review'!$G$5:$G$204),"Not Reviewed"))</x:f>
      </x:c>
      <x:c r="O741" s="172" t="str">
        <x:f>IF(A741="","",IFERROR(LOOKUP(2,1/('Scope Review'!$B$5:$B$204=A741),'Scope Review'!$H$5:$H$204),""))</x:f>
      </x:c>
      <x:c r="P741" s="172" t="str">
        <x:f>IF(A741="","",IF(AND(C741="executing",N741&lt;&gt;"Confirmed OOS"),M741,0))</x:f>
      </x:c>
      <x:c r="Q741" s="173" t="str">
        <x:f>IF(A741="","",IFERROR(LOOKUP(2,1/('Engineer Updates'!$B$5:$B$704=A741),'Engineer Updates'!$A$5:$A$704),""))</x:f>
      </x:c>
      <x:c r="R741" s="172" t="str">
        <x:f>IF(A741="","",IFERROR(LOOKUP(2,1/('Engineer Updates'!$B$5:$B$704=A741),'Engineer Updates'!$H$5:$H$704),""))</x:f>
      </x:c>
      <x:c r="S741" s="172" t="str">
        <x:f>IF(A741="","",IFERROR(LOOKUP(2,1/('Engineer Updates'!$B$5:$B$704=A741),'Engineer Updates'!$G$5:$G$704),""))</x:f>
      </x:c>
      <x:c r="T741" s="172" t="str">
        <x:f>IF(A741="","",IFERROR(LOOKUP(2,1/('Engineer Updates'!$B$5:$B$704=A741),'Engineer Updates'!$I$5:$I$704),""))</x:f>
      </x:c>
      <x:c r="U741" s="172" t="str">
        <x:f>IF(A741="","",IFERROR(LOOKUP(2,1/('Engineer Updates'!$B$5:$B$704=A741),'Engineer Updates'!$J$5:$J$704),""))</x:f>
      </x:c>
      <x:c r="V741" s="172" t="str">
        <x:f>IF(A741="","",IFERROR(LOOKUP(2,1/('Engineer Updates'!$B$5:$B$704=A741),'Engineer Updates'!$K$5:$K$704),""))</x:f>
      </x:c>
      <x:c r="W741" s="174" t="str">
        <x:f>IF(A741="","",IFERROR(LOOKUP(2,1/('Engineer Updates'!$B$5:$B$704=A741),'Engineer Updates'!$L$5:$L$704),""))</x:f>
      </x:c>
      <x:c r="X741" s="170" t="str">
        <x:f>IF(A741="","",IF(C741="completed","Completed in CSSP",IF(AND(C741="executing",ISERROR(SEARCH("@",K741))),"Executing without named engineer",IF(AND(N741="Confirmed OOS",C741="executing"),"Confirmed OOS still executing",""))))</x:f>
      </x:c>
      <x:c r="Y741" s="170" t="str">
        <x:f>IF(A741="","",IF(B741="Decommissioning","Raw Decommissioning","Raw Provisioning"))</x:f>
      </x:c>
      <x:c r="Z741" s="170" t="str">
        <x:f>IF(A741="","",IF(OR(C741="executing",C741="processing"),"Yes","No"))</x:f>
      </x:c>
    </x:row>
    <x:row r="742">
      <x:c r="A742" s="170" t="str">
        <x:f>IF(ROWS($A$5:A742)&lt;=COUNTA('Raw Decommissioning'!$B$2:$B$1000),INDEX('Raw Decommissioning'!$B$2:$B$1000,ROWS($A$5:A742)),IF(ROWS($A$5:A742)-COUNTA('Raw Decommissioning'!$B$2:$B$1000)&lt;=COUNTA('Raw Provisioning'!$B$2:$B$1000),INDEX('Raw Provisioning'!$B$2:$B$1000,ROWS($A$5:A742)-COUNTA('Raw Decommissioning'!$B$2:$B$1000)),""))</x:f>
      </x:c>
      <x:c r="B742" s="170" t="str">
        <x:f>IF(A742="","",IF(ROWS($A$5:A742)&lt;=COUNTA('Raw Decommissioning'!$B$2:$B$1000),"Decommissioning","Provisioning"))</x:f>
      </x:c>
      <x:c r="C742" s="170" t="str">
        <x:f>IF(A742="","",IF(B742="Decommissioning",IFERROR(INDEX('Raw Decommissioning'!$E$2:$E$1000,MATCH(A742,'Raw Decommissioning'!$B$2:$B$1000,0)),"Missing from latest raw"),IFERROR(INDEX('Raw Provisioning'!$E$2:$E$1000,MATCH(A742,'Raw Provisioning'!$B$2:$B$1000,0)),"Missing from latest raw")))</x:f>
      </x:c>
      <x:c r="D742" s="171" t="str">
        <x:f>IF(A742="","",'Refresh Control'!$B$4)</x:f>
      </x:c>
      <x:c r="E742" s="171" t="str">
        <x:f>IF(A742="","",IF(B742="Decommissioning",INDEX('Raw Decommissioning'!$F$2:$F$1000,ROWS($A$5:A742)),INDEX('Raw Provisioning'!$F$2:$F$1000,ROWS($A$5:A742)-COUNTA('Raw Decommissioning'!$B$2:$B$1000))))</x:f>
      </x:c>
      <x:c r="F742" s="171" t="str">
        <x:f>IF(A742="","",IF(B742="Decommissioning",INDEX('Raw Decommissioning'!$G$2:$G$1000,ROWS($A$5:A742)),INDEX('Raw Provisioning'!$H$2:$H$1000,ROWS($A$5:A742)-COUNTA('Raw Decommissioning'!$B$2:$B$1000))))</x:f>
      </x:c>
      <x:c r="G742" s="170" t="str">
        <x:f>IF(A742="","",IF(B742="Decommissioning",INDEX('Raw Decommissioning'!$I$2:$I$1000,ROWS($A$5:A742)),INDEX('Raw Provisioning'!$J$2:$J$1000,ROWS($A$5:A742)-COUNTA('Raw Decommissioning'!$B$2:$B$1000))))</x:f>
      </x:c>
      <x:c r="H742" s="170" t="str">
        <x:f>IF(A742="","",IF(B742="Decommissioning",INDEX('Raw Decommissioning'!$J$2:$J$1000,ROWS($A$5:A742)),INDEX('Raw Provisioning'!$L$2:$L$1000,ROWS($A$5:A742)-COUNTA('Raw Decommissioning'!$B$2:$B$1000))))</x:f>
      </x:c>
      <x:c r="I742" s="170" t="str">
        <x:f>IF(A742="","",IF(B742="Decommissioning",INDEX('Raw Decommissioning'!$AL$2:$AL$1000,ROWS($A$5:A742)),INDEX('Raw Provisioning'!$R$2:$R$1000,ROWS($A$5:A742)-COUNTA('Raw Decommissioning'!$B$2:$B$1000))))</x:f>
      </x:c>
      <x:c r="J742" s="170" t="str">
        <x:f>IF(A742="","",IF(B742="Decommissioning",INDEX('Raw Decommissioning'!$AG$2:$AG$1000,ROWS($A$5:A742)),INDEX('Raw Provisioning'!$AI$2:$AI$1000,ROWS($A$5:A742)-COUNTA('Raw Decommissioning'!$B$2:$B$1000))))</x:f>
      </x:c>
      <x:c r="K742" s="172" t="str">
        <x:f>IF(A742="","",IFERROR(LOOKUP(2,1/('Assignment History'!$B$5:$B$204=A742),'Assignment History'!$D$5:$D$204),IFERROR(VLOOKUP(J742,Configuration!$L$5:$M$50,2,FALSE),J742)))</x:f>
      </x:c>
      <x:c r="L742" s="172" t="str">
        <x:f>IF(A742="","",IF(K742=IFERROR(VLOOKUP(J742,Configuration!$L$5:$M$50,2,FALSE),J742),"Snapshot PIC","Replacement PIC"))</x:f>
      </x:c>
      <x:c r="M742" s="172" t="str">
        <x:f>IF(A742="","",IFERROR(VLOOKUP(I742,Configuration!$O$5:$P$8,2,FALSE),Configuration!$S$6))</x:f>
      </x:c>
      <x:c r="N742" s="172" t="str">
        <x:f>IF(A742="","",IFERROR(LOOKUP(2,1/('Scope Review'!$B$5:$B$204=A742),'Scope Review'!$G$5:$G$204),"Not Reviewed"))</x:f>
      </x:c>
      <x:c r="O742" s="172" t="str">
        <x:f>IF(A742="","",IFERROR(LOOKUP(2,1/('Scope Review'!$B$5:$B$204=A742),'Scope Review'!$H$5:$H$204),""))</x:f>
      </x:c>
      <x:c r="P742" s="172" t="str">
        <x:f>IF(A742="","",IF(AND(C742="executing",N742&lt;&gt;"Confirmed OOS"),M742,0))</x:f>
      </x:c>
      <x:c r="Q742" s="173" t="str">
        <x:f>IF(A742="","",IFERROR(LOOKUP(2,1/('Engineer Updates'!$B$5:$B$704=A742),'Engineer Updates'!$A$5:$A$704),""))</x:f>
      </x:c>
      <x:c r="R742" s="172" t="str">
        <x:f>IF(A742="","",IFERROR(LOOKUP(2,1/('Engineer Updates'!$B$5:$B$704=A742),'Engineer Updates'!$H$5:$H$704),""))</x:f>
      </x:c>
      <x:c r="S742" s="172" t="str">
        <x:f>IF(A742="","",IFERROR(LOOKUP(2,1/('Engineer Updates'!$B$5:$B$704=A742),'Engineer Updates'!$G$5:$G$704),""))</x:f>
      </x:c>
      <x:c r="T742" s="172" t="str">
        <x:f>IF(A742="","",IFERROR(LOOKUP(2,1/('Engineer Updates'!$B$5:$B$704=A742),'Engineer Updates'!$I$5:$I$704),""))</x:f>
      </x:c>
      <x:c r="U742" s="172" t="str">
        <x:f>IF(A742="","",IFERROR(LOOKUP(2,1/('Engineer Updates'!$B$5:$B$704=A742),'Engineer Updates'!$J$5:$J$704),""))</x:f>
      </x:c>
      <x:c r="V742" s="172" t="str">
        <x:f>IF(A742="","",IFERROR(LOOKUP(2,1/('Engineer Updates'!$B$5:$B$704=A742),'Engineer Updates'!$K$5:$K$704),""))</x:f>
      </x:c>
      <x:c r="W742" s="174" t="str">
        <x:f>IF(A742="","",IFERROR(LOOKUP(2,1/('Engineer Updates'!$B$5:$B$704=A742),'Engineer Updates'!$L$5:$L$704),""))</x:f>
      </x:c>
      <x:c r="X742" s="170" t="str">
        <x:f>IF(A742="","",IF(C742="completed","Completed in CSSP",IF(AND(C742="executing",ISERROR(SEARCH("@",K742))),"Executing without named engineer",IF(AND(N742="Confirmed OOS",C742="executing"),"Confirmed OOS still executing",""))))</x:f>
      </x:c>
      <x:c r="Y742" s="170" t="str">
        <x:f>IF(A742="","",IF(B742="Decommissioning","Raw Decommissioning","Raw Provisioning"))</x:f>
      </x:c>
      <x:c r="Z742" s="170" t="str">
        <x:f>IF(A742="","",IF(OR(C742="executing",C742="processing"),"Yes","No"))</x:f>
      </x:c>
    </x:row>
    <x:row r="743">
      <x:c r="A743" s="170" t="str">
        <x:f>IF(ROWS($A$5:A743)&lt;=COUNTA('Raw Decommissioning'!$B$2:$B$1000),INDEX('Raw Decommissioning'!$B$2:$B$1000,ROWS($A$5:A743)),IF(ROWS($A$5:A743)-COUNTA('Raw Decommissioning'!$B$2:$B$1000)&lt;=COUNTA('Raw Provisioning'!$B$2:$B$1000),INDEX('Raw Provisioning'!$B$2:$B$1000,ROWS($A$5:A743)-COUNTA('Raw Decommissioning'!$B$2:$B$1000)),""))</x:f>
      </x:c>
      <x:c r="B743" s="170" t="str">
        <x:f>IF(A743="","",IF(ROWS($A$5:A743)&lt;=COUNTA('Raw Decommissioning'!$B$2:$B$1000),"Decommissioning","Provisioning"))</x:f>
      </x:c>
      <x:c r="C743" s="170" t="str">
        <x:f>IF(A743="","",IF(B743="Decommissioning",IFERROR(INDEX('Raw Decommissioning'!$E$2:$E$1000,MATCH(A743,'Raw Decommissioning'!$B$2:$B$1000,0)),"Missing from latest raw"),IFERROR(INDEX('Raw Provisioning'!$E$2:$E$1000,MATCH(A743,'Raw Provisioning'!$B$2:$B$1000,0)),"Missing from latest raw")))</x:f>
      </x:c>
      <x:c r="D743" s="171" t="str">
        <x:f>IF(A743="","",'Refresh Control'!$B$4)</x:f>
      </x:c>
      <x:c r="E743" s="171" t="str">
        <x:f>IF(A743="","",IF(B743="Decommissioning",INDEX('Raw Decommissioning'!$F$2:$F$1000,ROWS($A$5:A743)),INDEX('Raw Provisioning'!$F$2:$F$1000,ROWS($A$5:A743)-COUNTA('Raw Decommissioning'!$B$2:$B$1000))))</x:f>
      </x:c>
      <x:c r="F743" s="171" t="str">
        <x:f>IF(A743="","",IF(B743="Decommissioning",INDEX('Raw Decommissioning'!$G$2:$G$1000,ROWS($A$5:A743)),INDEX('Raw Provisioning'!$H$2:$H$1000,ROWS($A$5:A743)-COUNTA('Raw Decommissioning'!$B$2:$B$1000))))</x:f>
      </x:c>
      <x:c r="G743" s="170" t="str">
        <x:f>IF(A743="","",IF(B743="Decommissioning",INDEX('Raw Decommissioning'!$I$2:$I$1000,ROWS($A$5:A743)),INDEX('Raw Provisioning'!$J$2:$J$1000,ROWS($A$5:A743)-COUNTA('Raw Decommissioning'!$B$2:$B$1000))))</x:f>
      </x:c>
      <x:c r="H743" s="170" t="str">
        <x:f>IF(A743="","",IF(B743="Decommissioning",INDEX('Raw Decommissioning'!$J$2:$J$1000,ROWS($A$5:A743)),INDEX('Raw Provisioning'!$L$2:$L$1000,ROWS($A$5:A743)-COUNTA('Raw Decommissioning'!$B$2:$B$1000))))</x:f>
      </x:c>
      <x:c r="I743" s="170" t="str">
        <x:f>IF(A743="","",IF(B743="Decommissioning",INDEX('Raw Decommissioning'!$AL$2:$AL$1000,ROWS($A$5:A743)),INDEX('Raw Provisioning'!$R$2:$R$1000,ROWS($A$5:A743)-COUNTA('Raw Decommissioning'!$B$2:$B$1000))))</x:f>
      </x:c>
      <x:c r="J743" s="170" t="str">
        <x:f>IF(A743="","",IF(B743="Decommissioning",INDEX('Raw Decommissioning'!$AG$2:$AG$1000,ROWS($A$5:A743)),INDEX('Raw Provisioning'!$AI$2:$AI$1000,ROWS($A$5:A743)-COUNTA('Raw Decommissioning'!$B$2:$B$1000))))</x:f>
      </x:c>
      <x:c r="K743" s="172" t="str">
        <x:f>IF(A743="","",IFERROR(LOOKUP(2,1/('Assignment History'!$B$5:$B$204=A743),'Assignment History'!$D$5:$D$204),IFERROR(VLOOKUP(J743,Configuration!$L$5:$M$50,2,FALSE),J743)))</x:f>
      </x:c>
      <x:c r="L743" s="172" t="str">
        <x:f>IF(A743="","",IF(K743=IFERROR(VLOOKUP(J743,Configuration!$L$5:$M$50,2,FALSE),J743),"Snapshot PIC","Replacement PIC"))</x:f>
      </x:c>
      <x:c r="M743" s="172" t="str">
        <x:f>IF(A743="","",IFERROR(VLOOKUP(I743,Configuration!$O$5:$P$8,2,FALSE),Configuration!$S$6))</x:f>
      </x:c>
      <x:c r="N743" s="172" t="str">
        <x:f>IF(A743="","",IFERROR(LOOKUP(2,1/('Scope Review'!$B$5:$B$204=A743),'Scope Review'!$G$5:$G$204),"Not Reviewed"))</x:f>
      </x:c>
      <x:c r="O743" s="172" t="str">
        <x:f>IF(A743="","",IFERROR(LOOKUP(2,1/('Scope Review'!$B$5:$B$204=A743),'Scope Review'!$H$5:$H$204),""))</x:f>
      </x:c>
      <x:c r="P743" s="172" t="str">
        <x:f>IF(A743="","",IF(AND(C743="executing",N743&lt;&gt;"Confirmed OOS"),M743,0))</x:f>
      </x:c>
      <x:c r="Q743" s="173" t="str">
        <x:f>IF(A743="","",IFERROR(LOOKUP(2,1/('Engineer Updates'!$B$5:$B$704=A743),'Engineer Updates'!$A$5:$A$704),""))</x:f>
      </x:c>
      <x:c r="R743" s="172" t="str">
        <x:f>IF(A743="","",IFERROR(LOOKUP(2,1/('Engineer Updates'!$B$5:$B$704=A743),'Engineer Updates'!$H$5:$H$704),""))</x:f>
      </x:c>
      <x:c r="S743" s="172" t="str">
        <x:f>IF(A743="","",IFERROR(LOOKUP(2,1/('Engineer Updates'!$B$5:$B$704=A743),'Engineer Updates'!$G$5:$G$704),""))</x:f>
      </x:c>
      <x:c r="T743" s="172" t="str">
        <x:f>IF(A743="","",IFERROR(LOOKUP(2,1/('Engineer Updates'!$B$5:$B$704=A743),'Engineer Updates'!$I$5:$I$704),""))</x:f>
      </x:c>
      <x:c r="U743" s="172" t="str">
        <x:f>IF(A743="","",IFERROR(LOOKUP(2,1/('Engineer Updates'!$B$5:$B$704=A743),'Engineer Updates'!$J$5:$J$704),""))</x:f>
      </x:c>
      <x:c r="V743" s="172" t="str">
        <x:f>IF(A743="","",IFERROR(LOOKUP(2,1/('Engineer Updates'!$B$5:$B$704=A743),'Engineer Updates'!$K$5:$K$704),""))</x:f>
      </x:c>
      <x:c r="W743" s="174" t="str">
        <x:f>IF(A743="","",IFERROR(LOOKUP(2,1/('Engineer Updates'!$B$5:$B$704=A743),'Engineer Updates'!$L$5:$L$704),""))</x:f>
      </x:c>
      <x:c r="X743" s="170" t="str">
        <x:f>IF(A743="","",IF(C743="completed","Completed in CSSP",IF(AND(C743="executing",ISERROR(SEARCH("@",K743))),"Executing without named engineer",IF(AND(N743="Confirmed OOS",C743="executing"),"Confirmed OOS still executing",""))))</x:f>
      </x:c>
      <x:c r="Y743" s="170" t="str">
        <x:f>IF(A743="","",IF(B743="Decommissioning","Raw Decommissioning","Raw Provisioning"))</x:f>
      </x:c>
      <x:c r="Z743" s="170" t="str">
        <x:f>IF(A743="","",IF(OR(C743="executing",C743="processing"),"Yes","No"))</x:f>
      </x:c>
    </x:row>
    <x:row r="744">
      <x:c r="A744" s="170" t="str">
        <x:f>IF(ROWS($A$5:A744)&lt;=COUNTA('Raw Decommissioning'!$B$2:$B$1000),INDEX('Raw Decommissioning'!$B$2:$B$1000,ROWS($A$5:A744)),IF(ROWS($A$5:A744)-COUNTA('Raw Decommissioning'!$B$2:$B$1000)&lt;=COUNTA('Raw Provisioning'!$B$2:$B$1000),INDEX('Raw Provisioning'!$B$2:$B$1000,ROWS($A$5:A744)-COUNTA('Raw Decommissioning'!$B$2:$B$1000)),""))</x:f>
      </x:c>
      <x:c r="B744" s="170" t="str">
        <x:f>IF(A744="","",IF(ROWS($A$5:A744)&lt;=COUNTA('Raw Decommissioning'!$B$2:$B$1000),"Decommissioning","Provisioning"))</x:f>
      </x:c>
      <x:c r="C744" s="170" t="str">
        <x:f>IF(A744="","",IF(B744="Decommissioning",IFERROR(INDEX('Raw Decommissioning'!$E$2:$E$1000,MATCH(A744,'Raw Decommissioning'!$B$2:$B$1000,0)),"Missing from latest raw"),IFERROR(INDEX('Raw Provisioning'!$E$2:$E$1000,MATCH(A744,'Raw Provisioning'!$B$2:$B$1000,0)),"Missing from latest raw")))</x:f>
      </x:c>
      <x:c r="D744" s="171" t="str">
        <x:f>IF(A744="","",'Refresh Control'!$B$4)</x:f>
      </x:c>
      <x:c r="E744" s="171" t="str">
        <x:f>IF(A744="","",IF(B744="Decommissioning",INDEX('Raw Decommissioning'!$F$2:$F$1000,ROWS($A$5:A744)),INDEX('Raw Provisioning'!$F$2:$F$1000,ROWS($A$5:A744)-COUNTA('Raw Decommissioning'!$B$2:$B$1000))))</x:f>
      </x:c>
      <x:c r="F744" s="171" t="str">
        <x:f>IF(A744="","",IF(B744="Decommissioning",INDEX('Raw Decommissioning'!$G$2:$G$1000,ROWS($A$5:A744)),INDEX('Raw Provisioning'!$H$2:$H$1000,ROWS($A$5:A744)-COUNTA('Raw Decommissioning'!$B$2:$B$1000))))</x:f>
      </x:c>
      <x:c r="G744" s="170" t="str">
        <x:f>IF(A744="","",IF(B744="Decommissioning",INDEX('Raw Decommissioning'!$I$2:$I$1000,ROWS($A$5:A744)),INDEX('Raw Provisioning'!$J$2:$J$1000,ROWS($A$5:A744)-COUNTA('Raw Decommissioning'!$B$2:$B$1000))))</x:f>
      </x:c>
      <x:c r="H744" s="170" t="str">
        <x:f>IF(A744="","",IF(B744="Decommissioning",INDEX('Raw Decommissioning'!$J$2:$J$1000,ROWS($A$5:A744)),INDEX('Raw Provisioning'!$L$2:$L$1000,ROWS($A$5:A744)-COUNTA('Raw Decommissioning'!$B$2:$B$1000))))</x:f>
      </x:c>
      <x:c r="I744" s="170" t="str">
        <x:f>IF(A744="","",IF(B744="Decommissioning",INDEX('Raw Decommissioning'!$AL$2:$AL$1000,ROWS($A$5:A744)),INDEX('Raw Provisioning'!$R$2:$R$1000,ROWS($A$5:A744)-COUNTA('Raw Decommissioning'!$B$2:$B$1000))))</x:f>
      </x:c>
      <x:c r="J744" s="170" t="str">
        <x:f>IF(A744="","",IF(B744="Decommissioning",INDEX('Raw Decommissioning'!$AG$2:$AG$1000,ROWS($A$5:A744)),INDEX('Raw Provisioning'!$AI$2:$AI$1000,ROWS($A$5:A744)-COUNTA('Raw Decommissioning'!$B$2:$B$1000))))</x:f>
      </x:c>
      <x:c r="K744" s="172" t="str">
        <x:f>IF(A744="","",IFERROR(LOOKUP(2,1/('Assignment History'!$B$5:$B$204=A744),'Assignment History'!$D$5:$D$204),IFERROR(VLOOKUP(J744,Configuration!$L$5:$M$50,2,FALSE),J744)))</x:f>
      </x:c>
      <x:c r="L744" s="172" t="str">
        <x:f>IF(A744="","",IF(K744=IFERROR(VLOOKUP(J744,Configuration!$L$5:$M$50,2,FALSE),J744),"Snapshot PIC","Replacement PIC"))</x:f>
      </x:c>
      <x:c r="M744" s="172" t="str">
        <x:f>IF(A744="","",IFERROR(VLOOKUP(I744,Configuration!$O$5:$P$8,2,FALSE),Configuration!$S$6))</x:f>
      </x:c>
      <x:c r="N744" s="172" t="str">
        <x:f>IF(A744="","",IFERROR(LOOKUP(2,1/('Scope Review'!$B$5:$B$204=A744),'Scope Review'!$G$5:$G$204),"Not Reviewed"))</x:f>
      </x:c>
      <x:c r="O744" s="172" t="str">
        <x:f>IF(A744="","",IFERROR(LOOKUP(2,1/('Scope Review'!$B$5:$B$204=A744),'Scope Review'!$H$5:$H$204),""))</x:f>
      </x:c>
      <x:c r="P744" s="172" t="str">
        <x:f>IF(A744="","",IF(AND(C744="executing",N744&lt;&gt;"Confirmed OOS"),M744,0))</x:f>
      </x:c>
      <x:c r="Q744" s="173" t="str">
        <x:f>IF(A744="","",IFERROR(LOOKUP(2,1/('Engineer Updates'!$B$5:$B$704=A744),'Engineer Updates'!$A$5:$A$704),""))</x:f>
      </x:c>
      <x:c r="R744" s="172" t="str">
        <x:f>IF(A744="","",IFERROR(LOOKUP(2,1/('Engineer Updates'!$B$5:$B$704=A744),'Engineer Updates'!$H$5:$H$704),""))</x:f>
      </x:c>
      <x:c r="S744" s="172" t="str">
        <x:f>IF(A744="","",IFERROR(LOOKUP(2,1/('Engineer Updates'!$B$5:$B$704=A744),'Engineer Updates'!$G$5:$G$704),""))</x:f>
      </x:c>
      <x:c r="T744" s="172" t="str">
        <x:f>IF(A744="","",IFERROR(LOOKUP(2,1/('Engineer Updates'!$B$5:$B$704=A744),'Engineer Updates'!$I$5:$I$704),""))</x:f>
      </x:c>
      <x:c r="U744" s="172" t="str">
        <x:f>IF(A744="","",IFERROR(LOOKUP(2,1/('Engineer Updates'!$B$5:$B$704=A744),'Engineer Updates'!$J$5:$J$704),""))</x:f>
      </x:c>
      <x:c r="V744" s="172" t="str">
        <x:f>IF(A744="","",IFERROR(LOOKUP(2,1/('Engineer Updates'!$B$5:$B$704=A744),'Engineer Updates'!$K$5:$K$704),""))</x:f>
      </x:c>
      <x:c r="W744" s="174" t="str">
        <x:f>IF(A744="","",IFERROR(LOOKUP(2,1/('Engineer Updates'!$B$5:$B$704=A744),'Engineer Updates'!$L$5:$L$704),""))</x:f>
      </x:c>
      <x:c r="X744" s="170" t="str">
        <x:f>IF(A744="","",IF(C744="completed","Completed in CSSP",IF(AND(C744="executing",ISERROR(SEARCH("@",K744))),"Executing without named engineer",IF(AND(N744="Confirmed OOS",C744="executing"),"Confirmed OOS still executing",""))))</x:f>
      </x:c>
      <x:c r="Y744" s="170" t="str">
        <x:f>IF(A744="","",IF(B744="Decommissioning","Raw Decommissioning","Raw Provisioning"))</x:f>
      </x:c>
      <x:c r="Z744" s="170" t="str">
        <x:f>IF(A744="","",IF(OR(C744="executing",C744="processing"),"Yes","No"))</x:f>
      </x:c>
    </x:row>
    <x:row r="745">
      <x:c r="A745" s="170" t="str">
        <x:f>IF(ROWS($A$5:A745)&lt;=COUNTA('Raw Decommissioning'!$B$2:$B$1000),INDEX('Raw Decommissioning'!$B$2:$B$1000,ROWS($A$5:A745)),IF(ROWS($A$5:A745)-COUNTA('Raw Decommissioning'!$B$2:$B$1000)&lt;=COUNTA('Raw Provisioning'!$B$2:$B$1000),INDEX('Raw Provisioning'!$B$2:$B$1000,ROWS($A$5:A745)-COUNTA('Raw Decommissioning'!$B$2:$B$1000)),""))</x:f>
      </x:c>
      <x:c r="B745" s="170" t="str">
        <x:f>IF(A745="","",IF(ROWS($A$5:A745)&lt;=COUNTA('Raw Decommissioning'!$B$2:$B$1000),"Decommissioning","Provisioning"))</x:f>
      </x:c>
      <x:c r="C745" s="170" t="str">
        <x:f>IF(A745="","",IF(B745="Decommissioning",IFERROR(INDEX('Raw Decommissioning'!$E$2:$E$1000,MATCH(A745,'Raw Decommissioning'!$B$2:$B$1000,0)),"Missing from latest raw"),IFERROR(INDEX('Raw Provisioning'!$E$2:$E$1000,MATCH(A745,'Raw Provisioning'!$B$2:$B$1000,0)),"Missing from latest raw")))</x:f>
      </x:c>
      <x:c r="D745" s="171" t="str">
        <x:f>IF(A745="","",'Refresh Control'!$B$4)</x:f>
      </x:c>
      <x:c r="E745" s="171" t="str">
        <x:f>IF(A745="","",IF(B745="Decommissioning",INDEX('Raw Decommissioning'!$F$2:$F$1000,ROWS($A$5:A745)),INDEX('Raw Provisioning'!$F$2:$F$1000,ROWS($A$5:A745)-COUNTA('Raw Decommissioning'!$B$2:$B$1000))))</x:f>
      </x:c>
      <x:c r="F745" s="171" t="str">
        <x:f>IF(A745="","",IF(B745="Decommissioning",INDEX('Raw Decommissioning'!$G$2:$G$1000,ROWS($A$5:A745)),INDEX('Raw Provisioning'!$H$2:$H$1000,ROWS($A$5:A745)-COUNTA('Raw Decommissioning'!$B$2:$B$1000))))</x:f>
      </x:c>
      <x:c r="G745" s="170" t="str">
        <x:f>IF(A745="","",IF(B745="Decommissioning",INDEX('Raw Decommissioning'!$I$2:$I$1000,ROWS($A$5:A745)),INDEX('Raw Provisioning'!$J$2:$J$1000,ROWS($A$5:A745)-COUNTA('Raw Decommissioning'!$B$2:$B$1000))))</x:f>
      </x:c>
      <x:c r="H745" s="170" t="str">
        <x:f>IF(A745="","",IF(B745="Decommissioning",INDEX('Raw Decommissioning'!$J$2:$J$1000,ROWS($A$5:A745)),INDEX('Raw Provisioning'!$L$2:$L$1000,ROWS($A$5:A745)-COUNTA('Raw Decommissioning'!$B$2:$B$1000))))</x:f>
      </x:c>
      <x:c r="I745" s="170" t="str">
        <x:f>IF(A745="","",IF(B745="Decommissioning",INDEX('Raw Decommissioning'!$AL$2:$AL$1000,ROWS($A$5:A745)),INDEX('Raw Provisioning'!$R$2:$R$1000,ROWS($A$5:A745)-COUNTA('Raw Decommissioning'!$B$2:$B$1000))))</x:f>
      </x:c>
      <x:c r="J745" s="170" t="str">
        <x:f>IF(A745="","",IF(B745="Decommissioning",INDEX('Raw Decommissioning'!$AG$2:$AG$1000,ROWS($A$5:A745)),INDEX('Raw Provisioning'!$AI$2:$AI$1000,ROWS($A$5:A745)-COUNTA('Raw Decommissioning'!$B$2:$B$1000))))</x:f>
      </x:c>
      <x:c r="K745" s="172" t="str">
        <x:f>IF(A745="","",IFERROR(LOOKUP(2,1/('Assignment History'!$B$5:$B$204=A745),'Assignment History'!$D$5:$D$204),IFERROR(VLOOKUP(J745,Configuration!$L$5:$M$50,2,FALSE),J745)))</x:f>
      </x:c>
      <x:c r="L745" s="172" t="str">
        <x:f>IF(A745="","",IF(K745=IFERROR(VLOOKUP(J745,Configuration!$L$5:$M$50,2,FALSE),J745),"Snapshot PIC","Replacement PIC"))</x:f>
      </x:c>
      <x:c r="M745" s="172" t="str">
        <x:f>IF(A745="","",IFERROR(VLOOKUP(I745,Configuration!$O$5:$P$8,2,FALSE),Configuration!$S$6))</x:f>
      </x:c>
      <x:c r="N745" s="172" t="str">
        <x:f>IF(A745="","",IFERROR(LOOKUP(2,1/('Scope Review'!$B$5:$B$204=A745),'Scope Review'!$G$5:$G$204),"Not Reviewed"))</x:f>
      </x:c>
      <x:c r="O745" s="172" t="str">
        <x:f>IF(A745="","",IFERROR(LOOKUP(2,1/('Scope Review'!$B$5:$B$204=A745),'Scope Review'!$H$5:$H$204),""))</x:f>
      </x:c>
      <x:c r="P745" s="172" t="str">
        <x:f>IF(A745="","",IF(AND(C745="executing",N745&lt;&gt;"Confirmed OOS"),M745,0))</x:f>
      </x:c>
      <x:c r="Q745" s="173" t="str">
        <x:f>IF(A745="","",IFERROR(LOOKUP(2,1/('Engineer Updates'!$B$5:$B$704=A745),'Engineer Updates'!$A$5:$A$704),""))</x:f>
      </x:c>
      <x:c r="R745" s="172" t="str">
        <x:f>IF(A745="","",IFERROR(LOOKUP(2,1/('Engineer Updates'!$B$5:$B$704=A745),'Engineer Updates'!$H$5:$H$704),""))</x:f>
      </x:c>
      <x:c r="S745" s="172" t="str">
        <x:f>IF(A745="","",IFERROR(LOOKUP(2,1/('Engineer Updates'!$B$5:$B$704=A745),'Engineer Updates'!$G$5:$G$704),""))</x:f>
      </x:c>
      <x:c r="T745" s="172" t="str">
        <x:f>IF(A745="","",IFERROR(LOOKUP(2,1/('Engineer Updates'!$B$5:$B$704=A745),'Engineer Updates'!$I$5:$I$704),""))</x:f>
      </x:c>
      <x:c r="U745" s="172" t="str">
        <x:f>IF(A745="","",IFERROR(LOOKUP(2,1/('Engineer Updates'!$B$5:$B$704=A745),'Engineer Updates'!$J$5:$J$704),""))</x:f>
      </x:c>
      <x:c r="V745" s="172" t="str">
        <x:f>IF(A745="","",IFERROR(LOOKUP(2,1/('Engineer Updates'!$B$5:$B$704=A745),'Engineer Updates'!$K$5:$K$704),""))</x:f>
      </x:c>
      <x:c r="W745" s="174" t="str">
        <x:f>IF(A745="","",IFERROR(LOOKUP(2,1/('Engineer Updates'!$B$5:$B$704=A745),'Engineer Updates'!$L$5:$L$704),""))</x:f>
      </x:c>
      <x:c r="X745" s="170" t="str">
        <x:f>IF(A745="","",IF(C745="completed","Completed in CSSP",IF(AND(C745="executing",ISERROR(SEARCH("@",K745))),"Executing without named engineer",IF(AND(N745="Confirmed OOS",C745="executing"),"Confirmed OOS still executing",""))))</x:f>
      </x:c>
      <x:c r="Y745" s="170" t="str">
        <x:f>IF(A745="","",IF(B745="Decommissioning","Raw Decommissioning","Raw Provisioning"))</x:f>
      </x:c>
      <x:c r="Z745" s="170" t="str">
        <x:f>IF(A745="","",IF(OR(C745="executing",C745="processing"),"Yes","No"))</x:f>
      </x:c>
    </x:row>
    <x:row r="746">
      <x:c r="A746" s="170" t="str">
        <x:f>IF(ROWS($A$5:A746)&lt;=COUNTA('Raw Decommissioning'!$B$2:$B$1000),INDEX('Raw Decommissioning'!$B$2:$B$1000,ROWS($A$5:A746)),IF(ROWS($A$5:A746)-COUNTA('Raw Decommissioning'!$B$2:$B$1000)&lt;=COUNTA('Raw Provisioning'!$B$2:$B$1000),INDEX('Raw Provisioning'!$B$2:$B$1000,ROWS($A$5:A746)-COUNTA('Raw Decommissioning'!$B$2:$B$1000)),""))</x:f>
      </x:c>
      <x:c r="B746" s="170" t="str">
        <x:f>IF(A746="","",IF(ROWS($A$5:A746)&lt;=COUNTA('Raw Decommissioning'!$B$2:$B$1000),"Decommissioning","Provisioning"))</x:f>
      </x:c>
      <x:c r="C746" s="170" t="str">
        <x:f>IF(A746="","",IF(B746="Decommissioning",IFERROR(INDEX('Raw Decommissioning'!$E$2:$E$1000,MATCH(A746,'Raw Decommissioning'!$B$2:$B$1000,0)),"Missing from latest raw"),IFERROR(INDEX('Raw Provisioning'!$E$2:$E$1000,MATCH(A746,'Raw Provisioning'!$B$2:$B$1000,0)),"Missing from latest raw")))</x:f>
      </x:c>
      <x:c r="D746" s="171" t="str">
        <x:f>IF(A746="","",'Refresh Control'!$B$4)</x:f>
      </x:c>
      <x:c r="E746" s="171" t="str">
        <x:f>IF(A746="","",IF(B746="Decommissioning",INDEX('Raw Decommissioning'!$F$2:$F$1000,ROWS($A$5:A746)),INDEX('Raw Provisioning'!$F$2:$F$1000,ROWS($A$5:A746)-COUNTA('Raw Decommissioning'!$B$2:$B$1000))))</x:f>
      </x:c>
      <x:c r="F746" s="171" t="str">
        <x:f>IF(A746="","",IF(B746="Decommissioning",INDEX('Raw Decommissioning'!$G$2:$G$1000,ROWS($A$5:A746)),INDEX('Raw Provisioning'!$H$2:$H$1000,ROWS($A$5:A746)-COUNTA('Raw Decommissioning'!$B$2:$B$1000))))</x:f>
      </x:c>
      <x:c r="G746" s="170" t="str">
        <x:f>IF(A746="","",IF(B746="Decommissioning",INDEX('Raw Decommissioning'!$I$2:$I$1000,ROWS($A$5:A746)),INDEX('Raw Provisioning'!$J$2:$J$1000,ROWS($A$5:A746)-COUNTA('Raw Decommissioning'!$B$2:$B$1000))))</x:f>
      </x:c>
      <x:c r="H746" s="170" t="str">
        <x:f>IF(A746="","",IF(B746="Decommissioning",INDEX('Raw Decommissioning'!$J$2:$J$1000,ROWS($A$5:A746)),INDEX('Raw Provisioning'!$L$2:$L$1000,ROWS($A$5:A746)-COUNTA('Raw Decommissioning'!$B$2:$B$1000))))</x:f>
      </x:c>
      <x:c r="I746" s="170" t="str">
        <x:f>IF(A746="","",IF(B746="Decommissioning",INDEX('Raw Decommissioning'!$AL$2:$AL$1000,ROWS($A$5:A746)),INDEX('Raw Provisioning'!$R$2:$R$1000,ROWS($A$5:A746)-COUNTA('Raw Decommissioning'!$B$2:$B$1000))))</x:f>
      </x:c>
      <x:c r="J746" s="170" t="str">
        <x:f>IF(A746="","",IF(B746="Decommissioning",INDEX('Raw Decommissioning'!$AG$2:$AG$1000,ROWS($A$5:A746)),INDEX('Raw Provisioning'!$AI$2:$AI$1000,ROWS($A$5:A746)-COUNTA('Raw Decommissioning'!$B$2:$B$1000))))</x:f>
      </x:c>
      <x:c r="K746" s="172" t="str">
        <x:f>IF(A746="","",IFERROR(LOOKUP(2,1/('Assignment History'!$B$5:$B$204=A746),'Assignment History'!$D$5:$D$204),IFERROR(VLOOKUP(J746,Configuration!$L$5:$M$50,2,FALSE),J746)))</x:f>
      </x:c>
      <x:c r="L746" s="172" t="str">
        <x:f>IF(A746="","",IF(K746=IFERROR(VLOOKUP(J746,Configuration!$L$5:$M$50,2,FALSE),J746),"Snapshot PIC","Replacement PIC"))</x:f>
      </x:c>
      <x:c r="M746" s="172" t="str">
        <x:f>IF(A746="","",IFERROR(VLOOKUP(I746,Configuration!$O$5:$P$8,2,FALSE),Configuration!$S$6))</x:f>
      </x:c>
      <x:c r="N746" s="172" t="str">
        <x:f>IF(A746="","",IFERROR(LOOKUP(2,1/('Scope Review'!$B$5:$B$204=A746),'Scope Review'!$G$5:$G$204),"Not Reviewed"))</x:f>
      </x:c>
      <x:c r="O746" s="172" t="str">
        <x:f>IF(A746="","",IFERROR(LOOKUP(2,1/('Scope Review'!$B$5:$B$204=A746),'Scope Review'!$H$5:$H$204),""))</x:f>
      </x:c>
      <x:c r="P746" s="172" t="str">
        <x:f>IF(A746="","",IF(AND(C746="executing",N746&lt;&gt;"Confirmed OOS"),M746,0))</x:f>
      </x:c>
      <x:c r="Q746" s="173" t="str">
        <x:f>IF(A746="","",IFERROR(LOOKUP(2,1/('Engineer Updates'!$B$5:$B$704=A746),'Engineer Updates'!$A$5:$A$704),""))</x:f>
      </x:c>
      <x:c r="R746" s="172" t="str">
        <x:f>IF(A746="","",IFERROR(LOOKUP(2,1/('Engineer Updates'!$B$5:$B$704=A746),'Engineer Updates'!$H$5:$H$704),""))</x:f>
      </x:c>
      <x:c r="S746" s="172" t="str">
        <x:f>IF(A746="","",IFERROR(LOOKUP(2,1/('Engineer Updates'!$B$5:$B$704=A746),'Engineer Updates'!$G$5:$G$704),""))</x:f>
      </x:c>
      <x:c r="T746" s="172" t="str">
        <x:f>IF(A746="","",IFERROR(LOOKUP(2,1/('Engineer Updates'!$B$5:$B$704=A746),'Engineer Updates'!$I$5:$I$704),""))</x:f>
      </x:c>
      <x:c r="U746" s="172" t="str">
        <x:f>IF(A746="","",IFERROR(LOOKUP(2,1/('Engineer Updates'!$B$5:$B$704=A746),'Engineer Updates'!$J$5:$J$704),""))</x:f>
      </x:c>
      <x:c r="V746" s="172" t="str">
        <x:f>IF(A746="","",IFERROR(LOOKUP(2,1/('Engineer Updates'!$B$5:$B$704=A746),'Engineer Updates'!$K$5:$K$704),""))</x:f>
      </x:c>
      <x:c r="W746" s="174" t="str">
        <x:f>IF(A746="","",IFERROR(LOOKUP(2,1/('Engineer Updates'!$B$5:$B$704=A746),'Engineer Updates'!$L$5:$L$704),""))</x:f>
      </x:c>
      <x:c r="X746" s="170" t="str">
        <x:f>IF(A746="","",IF(C746="completed","Completed in CSSP",IF(AND(C746="executing",ISERROR(SEARCH("@",K746))),"Executing without named engineer",IF(AND(N746="Confirmed OOS",C746="executing"),"Confirmed OOS still executing",""))))</x:f>
      </x:c>
      <x:c r="Y746" s="170" t="str">
        <x:f>IF(A746="","",IF(B746="Decommissioning","Raw Decommissioning","Raw Provisioning"))</x:f>
      </x:c>
      <x:c r="Z746" s="170" t="str">
        <x:f>IF(A746="","",IF(OR(C746="executing",C746="processing"),"Yes","No"))</x:f>
      </x:c>
    </x:row>
    <x:row r="747">
      <x:c r="A747" s="170" t="str">
        <x:f>IF(ROWS($A$5:A747)&lt;=COUNTA('Raw Decommissioning'!$B$2:$B$1000),INDEX('Raw Decommissioning'!$B$2:$B$1000,ROWS($A$5:A747)),IF(ROWS($A$5:A747)-COUNTA('Raw Decommissioning'!$B$2:$B$1000)&lt;=COUNTA('Raw Provisioning'!$B$2:$B$1000),INDEX('Raw Provisioning'!$B$2:$B$1000,ROWS($A$5:A747)-COUNTA('Raw Decommissioning'!$B$2:$B$1000)),""))</x:f>
      </x:c>
      <x:c r="B747" s="170" t="str">
        <x:f>IF(A747="","",IF(ROWS($A$5:A747)&lt;=COUNTA('Raw Decommissioning'!$B$2:$B$1000),"Decommissioning","Provisioning"))</x:f>
      </x:c>
      <x:c r="C747" s="170" t="str">
        <x:f>IF(A747="","",IF(B747="Decommissioning",IFERROR(INDEX('Raw Decommissioning'!$E$2:$E$1000,MATCH(A747,'Raw Decommissioning'!$B$2:$B$1000,0)),"Missing from latest raw"),IFERROR(INDEX('Raw Provisioning'!$E$2:$E$1000,MATCH(A747,'Raw Provisioning'!$B$2:$B$1000,0)),"Missing from latest raw")))</x:f>
      </x:c>
      <x:c r="D747" s="171" t="str">
        <x:f>IF(A747="","",'Refresh Control'!$B$4)</x:f>
      </x:c>
      <x:c r="E747" s="171" t="str">
        <x:f>IF(A747="","",IF(B747="Decommissioning",INDEX('Raw Decommissioning'!$F$2:$F$1000,ROWS($A$5:A747)),INDEX('Raw Provisioning'!$F$2:$F$1000,ROWS($A$5:A747)-COUNTA('Raw Decommissioning'!$B$2:$B$1000))))</x:f>
      </x:c>
      <x:c r="F747" s="171" t="str">
        <x:f>IF(A747="","",IF(B747="Decommissioning",INDEX('Raw Decommissioning'!$G$2:$G$1000,ROWS($A$5:A747)),INDEX('Raw Provisioning'!$H$2:$H$1000,ROWS($A$5:A747)-COUNTA('Raw Decommissioning'!$B$2:$B$1000))))</x:f>
      </x:c>
      <x:c r="G747" s="170" t="str">
        <x:f>IF(A747="","",IF(B747="Decommissioning",INDEX('Raw Decommissioning'!$I$2:$I$1000,ROWS($A$5:A747)),INDEX('Raw Provisioning'!$J$2:$J$1000,ROWS($A$5:A747)-COUNTA('Raw Decommissioning'!$B$2:$B$1000))))</x:f>
      </x:c>
      <x:c r="H747" s="170" t="str">
        <x:f>IF(A747="","",IF(B747="Decommissioning",INDEX('Raw Decommissioning'!$J$2:$J$1000,ROWS($A$5:A747)),INDEX('Raw Provisioning'!$L$2:$L$1000,ROWS($A$5:A747)-COUNTA('Raw Decommissioning'!$B$2:$B$1000))))</x:f>
      </x:c>
      <x:c r="I747" s="170" t="str">
        <x:f>IF(A747="","",IF(B747="Decommissioning",INDEX('Raw Decommissioning'!$AL$2:$AL$1000,ROWS($A$5:A747)),INDEX('Raw Provisioning'!$R$2:$R$1000,ROWS($A$5:A747)-COUNTA('Raw Decommissioning'!$B$2:$B$1000))))</x:f>
      </x:c>
      <x:c r="J747" s="170" t="str">
        <x:f>IF(A747="","",IF(B747="Decommissioning",INDEX('Raw Decommissioning'!$AG$2:$AG$1000,ROWS($A$5:A747)),INDEX('Raw Provisioning'!$AI$2:$AI$1000,ROWS($A$5:A747)-COUNTA('Raw Decommissioning'!$B$2:$B$1000))))</x:f>
      </x:c>
      <x:c r="K747" s="172" t="str">
        <x:f>IF(A747="","",IFERROR(LOOKUP(2,1/('Assignment History'!$B$5:$B$204=A747),'Assignment History'!$D$5:$D$204),IFERROR(VLOOKUP(J747,Configuration!$L$5:$M$50,2,FALSE),J747)))</x:f>
      </x:c>
      <x:c r="L747" s="172" t="str">
        <x:f>IF(A747="","",IF(K747=IFERROR(VLOOKUP(J747,Configuration!$L$5:$M$50,2,FALSE),J747),"Snapshot PIC","Replacement PIC"))</x:f>
      </x:c>
      <x:c r="M747" s="172" t="str">
        <x:f>IF(A747="","",IFERROR(VLOOKUP(I747,Configuration!$O$5:$P$8,2,FALSE),Configuration!$S$6))</x:f>
      </x:c>
      <x:c r="N747" s="172" t="str">
        <x:f>IF(A747="","",IFERROR(LOOKUP(2,1/('Scope Review'!$B$5:$B$204=A747),'Scope Review'!$G$5:$G$204),"Not Reviewed"))</x:f>
      </x:c>
      <x:c r="O747" s="172" t="str">
        <x:f>IF(A747="","",IFERROR(LOOKUP(2,1/('Scope Review'!$B$5:$B$204=A747),'Scope Review'!$H$5:$H$204),""))</x:f>
      </x:c>
      <x:c r="P747" s="172" t="str">
        <x:f>IF(A747="","",IF(AND(C747="executing",N747&lt;&gt;"Confirmed OOS"),M747,0))</x:f>
      </x:c>
      <x:c r="Q747" s="173" t="str">
        <x:f>IF(A747="","",IFERROR(LOOKUP(2,1/('Engineer Updates'!$B$5:$B$704=A747),'Engineer Updates'!$A$5:$A$704),""))</x:f>
      </x:c>
      <x:c r="R747" s="172" t="str">
        <x:f>IF(A747="","",IFERROR(LOOKUP(2,1/('Engineer Updates'!$B$5:$B$704=A747),'Engineer Updates'!$H$5:$H$704),""))</x:f>
      </x:c>
      <x:c r="S747" s="172" t="str">
        <x:f>IF(A747="","",IFERROR(LOOKUP(2,1/('Engineer Updates'!$B$5:$B$704=A747),'Engineer Updates'!$G$5:$G$704),""))</x:f>
      </x:c>
      <x:c r="T747" s="172" t="str">
        <x:f>IF(A747="","",IFERROR(LOOKUP(2,1/('Engineer Updates'!$B$5:$B$704=A747),'Engineer Updates'!$I$5:$I$704),""))</x:f>
      </x:c>
      <x:c r="U747" s="172" t="str">
        <x:f>IF(A747="","",IFERROR(LOOKUP(2,1/('Engineer Updates'!$B$5:$B$704=A747),'Engineer Updates'!$J$5:$J$704),""))</x:f>
      </x:c>
      <x:c r="V747" s="172" t="str">
        <x:f>IF(A747="","",IFERROR(LOOKUP(2,1/('Engineer Updates'!$B$5:$B$704=A747),'Engineer Updates'!$K$5:$K$704),""))</x:f>
      </x:c>
      <x:c r="W747" s="174" t="str">
        <x:f>IF(A747="","",IFERROR(LOOKUP(2,1/('Engineer Updates'!$B$5:$B$704=A747),'Engineer Updates'!$L$5:$L$704),""))</x:f>
      </x:c>
      <x:c r="X747" s="170" t="str">
        <x:f>IF(A747="","",IF(C747="completed","Completed in CSSP",IF(AND(C747="executing",ISERROR(SEARCH("@",K747))),"Executing without named engineer",IF(AND(N747="Confirmed OOS",C747="executing"),"Confirmed OOS still executing",""))))</x:f>
      </x:c>
      <x:c r="Y747" s="170" t="str">
        <x:f>IF(A747="","",IF(B747="Decommissioning","Raw Decommissioning","Raw Provisioning"))</x:f>
      </x:c>
      <x:c r="Z747" s="170" t="str">
        <x:f>IF(A747="","",IF(OR(C747="executing",C747="processing"),"Yes","No"))</x:f>
      </x:c>
    </x:row>
    <x:row r="748">
      <x:c r="A748" s="170" t="str">
        <x:f>IF(ROWS($A$5:A748)&lt;=COUNTA('Raw Decommissioning'!$B$2:$B$1000),INDEX('Raw Decommissioning'!$B$2:$B$1000,ROWS($A$5:A748)),IF(ROWS($A$5:A748)-COUNTA('Raw Decommissioning'!$B$2:$B$1000)&lt;=COUNTA('Raw Provisioning'!$B$2:$B$1000),INDEX('Raw Provisioning'!$B$2:$B$1000,ROWS($A$5:A748)-COUNTA('Raw Decommissioning'!$B$2:$B$1000)),""))</x:f>
      </x:c>
      <x:c r="B748" s="170" t="str">
        <x:f>IF(A748="","",IF(ROWS($A$5:A748)&lt;=COUNTA('Raw Decommissioning'!$B$2:$B$1000),"Decommissioning","Provisioning"))</x:f>
      </x:c>
      <x:c r="C748" s="170" t="str">
        <x:f>IF(A748="","",IF(B748="Decommissioning",IFERROR(INDEX('Raw Decommissioning'!$E$2:$E$1000,MATCH(A748,'Raw Decommissioning'!$B$2:$B$1000,0)),"Missing from latest raw"),IFERROR(INDEX('Raw Provisioning'!$E$2:$E$1000,MATCH(A748,'Raw Provisioning'!$B$2:$B$1000,0)),"Missing from latest raw")))</x:f>
      </x:c>
      <x:c r="D748" s="171" t="str">
        <x:f>IF(A748="","",'Refresh Control'!$B$4)</x:f>
      </x:c>
      <x:c r="E748" s="171" t="str">
        <x:f>IF(A748="","",IF(B748="Decommissioning",INDEX('Raw Decommissioning'!$F$2:$F$1000,ROWS($A$5:A748)),INDEX('Raw Provisioning'!$F$2:$F$1000,ROWS($A$5:A748)-COUNTA('Raw Decommissioning'!$B$2:$B$1000))))</x:f>
      </x:c>
      <x:c r="F748" s="171" t="str">
        <x:f>IF(A748="","",IF(B748="Decommissioning",INDEX('Raw Decommissioning'!$G$2:$G$1000,ROWS($A$5:A748)),INDEX('Raw Provisioning'!$H$2:$H$1000,ROWS($A$5:A748)-COUNTA('Raw Decommissioning'!$B$2:$B$1000))))</x:f>
      </x:c>
      <x:c r="G748" s="170" t="str">
        <x:f>IF(A748="","",IF(B748="Decommissioning",INDEX('Raw Decommissioning'!$I$2:$I$1000,ROWS($A$5:A748)),INDEX('Raw Provisioning'!$J$2:$J$1000,ROWS($A$5:A748)-COUNTA('Raw Decommissioning'!$B$2:$B$1000))))</x:f>
      </x:c>
      <x:c r="H748" s="170" t="str">
        <x:f>IF(A748="","",IF(B748="Decommissioning",INDEX('Raw Decommissioning'!$J$2:$J$1000,ROWS($A$5:A748)),INDEX('Raw Provisioning'!$L$2:$L$1000,ROWS($A$5:A748)-COUNTA('Raw Decommissioning'!$B$2:$B$1000))))</x:f>
      </x:c>
      <x:c r="I748" s="170" t="str">
        <x:f>IF(A748="","",IF(B748="Decommissioning",INDEX('Raw Decommissioning'!$AL$2:$AL$1000,ROWS($A$5:A748)),INDEX('Raw Provisioning'!$R$2:$R$1000,ROWS($A$5:A748)-COUNTA('Raw Decommissioning'!$B$2:$B$1000))))</x:f>
      </x:c>
      <x:c r="J748" s="170" t="str">
        <x:f>IF(A748="","",IF(B748="Decommissioning",INDEX('Raw Decommissioning'!$AG$2:$AG$1000,ROWS($A$5:A748)),INDEX('Raw Provisioning'!$AI$2:$AI$1000,ROWS($A$5:A748)-COUNTA('Raw Decommissioning'!$B$2:$B$1000))))</x:f>
      </x:c>
      <x:c r="K748" s="172" t="str">
        <x:f>IF(A748="","",IFERROR(LOOKUP(2,1/('Assignment History'!$B$5:$B$204=A748),'Assignment History'!$D$5:$D$204),IFERROR(VLOOKUP(J748,Configuration!$L$5:$M$50,2,FALSE),J748)))</x:f>
      </x:c>
      <x:c r="L748" s="172" t="str">
        <x:f>IF(A748="","",IF(K748=IFERROR(VLOOKUP(J748,Configuration!$L$5:$M$50,2,FALSE),J748),"Snapshot PIC","Replacement PIC"))</x:f>
      </x:c>
      <x:c r="M748" s="172" t="str">
        <x:f>IF(A748="","",IFERROR(VLOOKUP(I748,Configuration!$O$5:$P$8,2,FALSE),Configuration!$S$6))</x:f>
      </x:c>
      <x:c r="N748" s="172" t="str">
        <x:f>IF(A748="","",IFERROR(LOOKUP(2,1/('Scope Review'!$B$5:$B$204=A748),'Scope Review'!$G$5:$G$204),"Not Reviewed"))</x:f>
      </x:c>
      <x:c r="O748" s="172" t="str">
        <x:f>IF(A748="","",IFERROR(LOOKUP(2,1/('Scope Review'!$B$5:$B$204=A748),'Scope Review'!$H$5:$H$204),""))</x:f>
      </x:c>
      <x:c r="P748" s="172" t="str">
        <x:f>IF(A748="","",IF(AND(C748="executing",N748&lt;&gt;"Confirmed OOS"),M748,0))</x:f>
      </x:c>
      <x:c r="Q748" s="173" t="str">
        <x:f>IF(A748="","",IFERROR(LOOKUP(2,1/('Engineer Updates'!$B$5:$B$704=A748),'Engineer Updates'!$A$5:$A$704),""))</x:f>
      </x:c>
      <x:c r="R748" s="172" t="str">
        <x:f>IF(A748="","",IFERROR(LOOKUP(2,1/('Engineer Updates'!$B$5:$B$704=A748),'Engineer Updates'!$H$5:$H$704),""))</x:f>
      </x:c>
      <x:c r="S748" s="172" t="str">
        <x:f>IF(A748="","",IFERROR(LOOKUP(2,1/('Engineer Updates'!$B$5:$B$704=A748),'Engineer Updates'!$G$5:$G$704),""))</x:f>
      </x:c>
      <x:c r="T748" s="172" t="str">
        <x:f>IF(A748="","",IFERROR(LOOKUP(2,1/('Engineer Updates'!$B$5:$B$704=A748),'Engineer Updates'!$I$5:$I$704),""))</x:f>
      </x:c>
      <x:c r="U748" s="172" t="str">
        <x:f>IF(A748="","",IFERROR(LOOKUP(2,1/('Engineer Updates'!$B$5:$B$704=A748),'Engineer Updates'!$J$5:$J$704),""))</x:f>
      </x:c>
      <x:c r="V748" s="172" t="str">
        <x:f>IF(A748="","",IFERROR(LOOKUP(2,1/('Engineer Updates'!$B$5:$B$704=A748),'Engineer Updates'!$K$5:$K$704),""))</x:f>
      </x:c>
      <x:c r="W748" s="174" t="str">
        <x:f>IF(A748="","",IFERROR(LOOKUP(2,1/('Engineer Updates'!$B$5:$B$704=A748),'Engineer Updates'!$L$5:$L$704),""))</x:f>
      </x:c>
      <x:c r="X748" s="170" t="str">
        <x:f>IF(A748="","",IF(C748="completed","Completed in CSSP",IF(AND(C748="executing",ISERROR(SEARCH("@",K748))),"Executing without named engineer",IF(AND(N748="Confirmed OOS",C748="executing"),"Confirmed OOS still executing",""))))</x:f>
      </x:c>
      <x:c r="Y748" s="170" t="str">
        <x:f>IF(A748="","",IF(B748="Decommissioning","Raw Decommissioning","Raw Provisioning"))</x:f>
      </x:c>
      <x:c r="Z748" s="170" t="str">
        <x:f>IF(A748="","",IF(OR(C748="executing",C748="processing"),"Yes","No"))</x:f>
      </x:c>
    </x:row>
    <x:row r="749">
      <x:c r="A749" s="170" t="str">
        <x:f>IF(ROWS($A$5:A749)&lt;=COUNTA('Raw Decommissioning'!$B$2:$B$1000),INDEX('Raw Decommissioning'!$B$2:$B$1000,ROWS($A$5:A749)),IF(ROWS($A$5:A749)-COUNTA('Raw Decommissioning'!$B$2:$B$1000)&lt;=COUNTA('Raw Provisioning'!$B$2:$B$1000),INDEX('Raw Provisioning'!$B$2:$B$1000,ROWS($A$5:A749)-COUNTA('Raw Decommissioning'!$B$2:$B$1000)),""))</x:f>
      </x:c>
      <x:c r="B749" s="170" t="str">
        <x:f>IF(A749="","",IF(ROWS($A$5:A749)&lt;=COUNTA('Raw Decommissioning'!$B$2:$B$1000),"Decommissioning","Provisioning"))</x:f>
      </x:c>
      <x:c r="C749" s="170" t="str">
        <x:f>IF(A749="","",IF(B749="Decommissioning",IFERROR(INDEX('Raw Decommissioning'!$E$2:$E$1000,MATCH(A749,'Raw Decommissioning'!$B$2:$B$1000,0)),"Missing from latest raw"),IFERROR(INDEX('Raw Provisioning'!$E$2:$E$1000,MATCH(A749,'Raw Provisioning'!$B$2:$B$1000,0)),"Missing from latest raw")))</x:f>
      </x:c>
      <x:c r="D749" s="171" t="str">
        <x:f>IF(A749="","",'Refresh Control'!$B$4)</x:f>
      </x:c>
      <x:c r="E749" s="171" t="str">
        <x:f>IF(A749="","",IF(B749="Decommissioning",INDEX('Raw Decommissioning'!$F$2:$F$1000,ROWS($A$5:A749)),INDEX('Raw Provisioning'!$F$2:$F$1000,ROWS($A$5:A749)-COUNTA('Raw Decommissioning'!$B$2:$B$1000))))</x:f>
      </x:c>
      <x:c r="F749" s="171" t="str">
        <x:f>IF(A749="","",IF(B749="Decommissioning",INDEX('Raw Decommissioning'!$G$2:$G$1000,ROWS($A$5:A749)),INDEX('Raw Provisioning'!$H$2:$H$1000,ROWS($A$5:A749)-COUNTA('Raw Decommissioning'!$B$2:$B$1000))))</x:f>
      </x:c>
      <x:c r="G749" s="170" t="str">
        <x:f>IF(A749="","",IF(B749="Decommissioning",INDEX('Raw Decommissioning'!$I$2:$I$1000,ROWS($A$5:A749)),INDEX('Raw Provisioning'!$J$2:$J$1000,ROWS($A$5:A749)-COUNTA('Raw Decommissioning'!$B$2:$B$1000))))</x:f>
      </x:c>
      <x:c r="H749" s="170" t="str">
        <x:f>IF(A749="","",IF(B749="Decommissioning",INDEX('Raw Decommissioning'!$J$2:$J$1000,ROWS($A$5:A749)),INDEX('Raw Provisioning'!$L$2:$L$1000,ROWS($A$5:A749)-COUNTA('Raw Decommissioning'!$B$2:$B$1000))))</x:f>
      </x:c>
      <x:c r="I749" s="170" t="str">
        <x:f>IF(A749="","",IF(B749="Decommissioning",INDEX('Raw Decommissioning'!$AL$2:$AL$1000,ROWS($A$5:A749)),INDEX('Raw Provisioning'!$R$2:$R$1000,ROWS($A$5:A749)-COUNTA('Raw Decommissioning'!$B$2:$B$1000))))</x:f>
      </x:c>
      <x:c r="J749" s="170" t="str">
        <x:f>IF(A749="","",IF(B749="Decommissioning",INDEX('Raw Decommissioning'!$AG$2:$AG$1000,ROWS($A$5:A749)),INDEX('Raw Provisioning'!$AI$2:$AI$1000,ROWS($A$5:A749)-COUNTA('Raw Decommissioning'!$B$2:$B$1000))))</x:f>
      </x:c>
      <x:c r="K749" s="172" t="str">
        <x:f>IF(A749="","",IFERROR(LOOKUP(2,1/('Assignment History'!$B$5:$B$204=A749),'Assignment History'!$D$5:$D$204),IFERROR(VLOOKUP(J749,Configuration!$L$5:$M$50,2,FALSE),J749)))</x:f>
      </x:c>
      <x:c r="L749" s="172" t="str">
        <x:f>IF(A749="","",IF(K749=IFERROR(VLOOKUP(J749,Configuration!$L$5:$M$50,2,FALSE),J749),"Snapshot PIC","Replacement PIC"))</x:f>
      </x:c>
      <x:c r="M749" s="172" t="str">
        <x:f>IF(A749="","",IFERROR(VLOOKUP(I749,Configuration!$O$5:$P$8,2,FALSE),Configuration!$S$6))</x:f>
      </x:c>
      <x:c r="N749" s="172" t="str">
        <x:f>IF(A749="","",IFERROR(LOOKUP(2,1/('Scope Review'!$B$5:$B$204=A749),'Scope Review'!$G$5:$G$204),"Not Reviewed"))</x:f>
      </x:c>
      <x:c r="O749" s="172" t="str">
        <x:f>IF(A749="","",IFERROR(LOOKUP(2,1/('Scope Review'!$B$5:$B$204=A749),'Scope Review'!$H$5:$H$204),""))</x:f>
      </x:c>
      <x:c r="P749" s="172" t="str">
        <x:f>IF(A749="","",IF(AND(C749="executing",N749&lt;&gt;"Confirmed OOS"),M749,0))</x:f>
      </x:c>
      <x:c r="Q749" s="173" t="str">
        <x:f>IF(A749="","",IFERROR(LOOKUP(2,1/('Engineer Updates'!$B$5:$B$704=A749),'Engineer Updates'!$A$5:$A$704),""))</x:f>
      </x:c>
      <x:c r="R749" s="172" t="str">
        <x:f>IF(A749="","",IFERROR(LOOKUP(2,1/('Engineer Updates'!$B$5:$B$704=A749),'Engineer Updates'!$H$5:$H$704),""))</x:f>
      </x:c>
      <x:c r="S749" s="172" t="str">
        <x:f>IF(A749="","",IFERROR(LOOKUP(2,1/('Engineer Updates'!$B$5:$B$704=A749),'Engineer Updates'!$G$5:$G$704),""))</x:f>
      </x:c>
      <x:c r="T749" s="172" t="str">
        <x:f>IF(A749="","",IFERROR(LOOKUP(2,1/('Engineer Updates'!$B$5:$B$704=A749),'Engineer Updates'!$I$5:$I$704),""))</x:f>
      </x:c>
      <x:c r="U749" s="172" t="str">
        <x:f>IF(A749="","",IFERROR(LOOKUP(2,1/('Engineer Updates'!$B$5:$B$704=A749),'Engineer Updates'!$J$5:$J$704),""))</x:f>
      </x:c>
      <x:c r="V749" s="172" t="str">
        <x:f>IF(A749="","",IFERROR(LOOKUP(2,1/('Engineer Updates'!$B$5:$B$704=A749),'Engineer Updates'!$K$5:$K$704),""))</x:f>
      </x:c>
      <x:c r="W749" s="174" t="str">
        <x:f>IF(A749="","",IFERROR(LOOKUP(2,1/('Engineer Updates'!$B$5:$B$704=A749),'Engineer Updates'!$L$5:$L$704),""))</x:f>
      </x:c>
      <x:c r="X749" s="170" t="str">
        <x:f>IF(A749="","",IF(C749="completed","Completed in CSSP",IF(AND(C749="executing",ISERROR(SEARCH("@",K749))),"Executing without named engineer",IF(AND(N749="Confirmed OOS",C749="executing"),"Confirmed OOS still executing",""))))</x:f>
      </x:c>
      <x:c r="Y749" s="170" t="str">
        <x:f>IF(A749="","",IF(B749="Decommissioning","Raw Decommissioning","Raw Provisioning"))</x:f>
      </x:c>
      <x:c r="Z749" s="170" t="str">
        <x:f>IF(A749="","",IF(OR(C749="executing",C749="processing"),"Yes","No"))</x:f>
      </x:c>
    </x:row>
    <x:row r="750">
      <x:c r="A750" s="170" t="str">
        <x:f>IF(ROWS($A$5:A750)&lt;=COUNTA('Raw Decommissioning'!$B$2:$B$1000),INDEX('Raw Decommissioning'!$B$2:$B$1000,ROWS($A$5:A750)),IF(ROWS($A$5:A750)-COUNTA('Raw Decommissioning'!$B$2:$B$1000)&lt;=COUNTA('Raw Provisioning'!$B$2:$B$1000),INDEX('Raw Provisioning'!$B$2:$B$1000,ROWS($A$5:A750)-COUNTA('Raw Decommissioning'!$B$2:$B$1000)),""))</x:f>
      </x:c>
      <x:c r="B750" s="170" t="str">
        <x:f>IF(A750="","",IF(ROWS($A$5:A750)&lt;=COUNTA('Raw Decommissioning'!$B$2:$B$1000),"Decommissioning","Provisioning"))</x:f>
      </x:c>
      <x:c r="C750" s="170" t="str">
        <x:f>IF(A750="","",IF(B750="Decommissioning",IFERROR(INDEX('Raw Decommissioning'!$E$2:$E$1000,MATCH(A750,'Raw Decommissioning'!$B$2:$B$1000,0)),"Missing from latest raw"),IFERROR(INDEX('Raw Provisioning'!$E$2:$E$1000,MATCH(A750,'Raw Provisioning'!$B$2:$B$1000,0)),"Missing from latest raw")))</x:f>
      </x:c>
      <x:c r="D750" s="171" t="str">
        <x:f>IF(A750="","",'Refresh Control'!$B$4)</x:f>
      </x:c>
      <x:c r="E750" s="171" t="str">
        <x:f>IF(A750="","",IF(B750="Decommissioning",INDEX('Raw Decommissioning'!$F$2:$F$1000,ROWS($A$5:A750)),INDEX('Raw Provisioning'!$F$2:$F$1000,ROWS($A$5:A750)-COUNTA('Raw Decommissioning'!$B$2:$B$1000))))</x:f>
      </x:c>
      <x:c r="F750" s="171" t="str">
        <x:f>IF(A750="","",IF(B750="Decommissioning",INDEX('Raw Decommissioning'!$G$2:$G$1000,ROWS($A$5:A750)),INDEX('Raw Provisioning'!$H$2:$H$1000,ROWS($A$5:A750)-COUNTA('Raw Decommissioning'!$B$2:$B$1000))))</x:f>
      </x:c>
      <x:c r="G750" s="170" t="str">
        <x:f>IF(A750="","",IF(B750="Decommissioning",INDEX('Raw Decommissioning'!$I$2:$I$1000,ROWS($A$5:A750)),INDEX('Raw Provisioning'!$J$2:$J$1000,ROWS($A$5:A750)-COUNTA('Raw Decommissioning'!$B$2:$B$1000))))</x:f>
      </x:c>
      <x:c r="H750" s="170" t="str">
        <x:f>IF(A750="","",IF(B750="Decommissioning",INDEX('Raw Decommissioning'!$J$2:$J$1000,ROWS($A$5:A750)),INDEX('Raw Provisioning'!$L$2:$L$1000,ROWS($A$5:A750)-COUNTA('Raw Decommissioning'!$B$2:$B$1000))))</x:f>
      </x:c>
      <x:c r="I750" s="170" t="str">
        <x:f>IF(A750="","",IF(B750="Decommissioning",INDEX('Raw Decommissioning'!$AL$2:$AL$1000,ROWS($A$5:A750)),INDEX('Raw Provisioning'!$R$2:$R$1000,ROWS($A$5:A750)-COUNTA('Raw Decommissioning'!$B$2:$B$1000))))</x:f>
      </x:c>
      <x:c r="J750" s="170" t="str">
        <x:f>IF(A750="","",IF(B750="Decommissioning",INDEX('Raw Decommissioning'!$AG$2:$AG$1000,ROWS($A$5:A750)),INDEX('Raw Provisioning'!$AI$2:$AI$1000,ROWS($A$5:A750)-COUNTA('Raw Decommissioning'!$B$2:$B$1000))))</x:f>
      </x:c>
      <x:c r="K750" s="172" t="str">
        <x:f>IF(A750="","",IFERROR(LOOKUP(2,1/('Assignment History'!$B$5:$B$204=A750),'Assignment History'!$D$5:$D$204),IFERROR(VLOOKUP(J750,Configuration!$L$5:$M$50,2,FALSE),J750)))</x:f>
      </x:c>
      <x:c r="L750" s="172" t="str">
        <x:f>IF(A750="","",IF(K750=IFERROR(VLOOKUP(J750,Configuration!$L$5:$M$50,2,FALSE),J750),"Snapshot PIC","Replacement PIC"))</x:f>
      </x:c>
      <x:c r="M750" s="172" t="str">
        <x:f>IF(A750="","",IFERROR(VLOOKUP(I750,Configuration!$O$5:$P$8,2,FALSE),Configuration!$S$6))</x:f>
      </x:c>
      <x:c r="N750" s="172" t="str">
        <x:f>IF(A750="","",IFERROR(LOOKUP(2,1/('Scope Review'!$B$5:$B$204=A750),'Scope Review'!$G$5:$G$204),"Not Reviewed"))</x:f>
      </x:c>
      <x:c r="O750" s="172" t="str">
        <x:f>IF(A750="","",IFERROR(LOOKUP(2,1/('Scope Review'!$B$5:$B$204=A750),'Scope Review'!$H$5:$H$204),""))</x:f>
      </x:c>
      <x:c r="P750" s="172" t="str">
        <x:f>IF(A750="","",IF(AND(C750="executing",N750&lt;&gt;"Confirmed OOS"),M750,0))</x:f>
      </x:c>
      <x:c r="Q750" s="173" t="str">
        <x:f>IF(A750="","",IFERROR(LOOKUP(2,1/('Engineer Updates'!$B$5:$B$704=A750),'Engineer Updates'!$A$5:$A$704),""))</x:f>
      </x:c>
      <x:c r="R750" s="172" t="str">
        <x:f>IF(A750="","",IFERROR(LOOKUP(2,1/('Engineer Updates'!$B$5:$B$704=A750),'Engineer Updates'!$H$5:$H$704),""))</x:f>
      </x:c>
      <x:c r="S750" s="172" t="str">
        <x:f>IF(A750="","",IFERROR(LOOKUP(2,1/('Engineer Updates'!$B$5:$B$704=A750),'Engineer Updates'!$G$5:$G$704),""))</x:f>
      </x:c>
      <x:c r="T750" s="172" t="str">
        <x:f>IF(A750="","",IFERROR(LOOKUP(2,1/('Engineer Updates'!$B$5:$B$704=A750),'Engineer Updates'!$I$5:$I$704),""))</x:f>
      </x:c>
      <x:c r="U750" s="172" t="str">
        <x:f>IF(A750="","",IFERROR(LOOKUP(2,1/('Engineer Updates'!$B$5:$B$704=A750),'Engineer Updates'!$J$5:$J$704),""))</x:f>
      </x:c>
      <x:c r="V750" s="172" t="str">
        <x:f>IF(A750="","",IFERROR(LOOKUP(2,1/('Engineer Updates'!$B$5:$B$704=A750),'Engineer Updates'!$K$5:$K$704),""))</x:f>
      </x:c>
      <x:c r="W750" s="174" t="str">
        <x:f>IF(A750="","",IFERROR(LOOKUP(2,1/('Engineer Updates'!$B$5:$B$704=A750),'Engineer Updates'!$L$5:$L$704),""))</x:f>
      </x:c>
      <x:c r="X750" s="170" t="str">
        <x:f>IF(A750="","",IF(C750="completed","Completed in CSSP",IF(AND(C750="executing",ISERROR(SEARCH("@",K750))),"Executing without named engineer",IF(AND(N750="Confirmed OOS",C750="executing"),"Confirmed OOS still executing",""))))</x:f>
      </x:c>
      <x:c r="Y750" s="170" t="str">
        <x:f>IF(A750="","",IF(B750="Decommissioning","Raw Decommissioning","Raw Provisioning"))</x:f>
      </x:c>
      <x:c r="Z750" s="170" t="str">
        <x:f>IF(A750="","",IF(OR(C750="executing",C750="processing"),"Yes","No"))</x:f>
      </x:c>
    </x:row>
    <x:row r="751">
      <x:c r="A751" s="170" t="str">
        <x:f>IF(ROWS($A$5:A751)&lt;=COUNTA('Raw Decommissioning'!$B$2:$B$1000),INDEX('Raw Decommissioning'!$B$2:$B$1000,ROWS($A$5:A751)),IF(ROWS($A$5:A751)-COUNTA('Raw Decommissioning'!$B$2:$B$1000)&lt;=COUNTA('Raw Provisioning'!$B$2:$B$1000),INDEX('Raw Provisioning'!$B$2:$B$1000,ROWS($A$5:A751)-COUNTA('Raw Decommissioning'!$B$2:$B$1000)),""))</x:f>
      </x:c>
      <x:c r="B751" s="170" t="str">
        <x:f>IF(A751="","",IF(ROWS($A$5:A751)&lt;=COUNTA('Raw Decommissioning'!$B$2:$B$1000),"Decommissioning","Provisioning"))</x:f>
      </x:c>
      <x:c r="C751" s="170" t="str">
        <x:f>IF(A751="","",IF(B751="Decommissioning",IFERROR(INDEX('Raw Decommissioning'!$E$2:$E$1000,MATCH(A751,'Raw Decommissioning'!$B$2:$B$1000,0)),"Missing from latest raw"),IFERROR(INDEX('Raw Provisioning'!$E$2:$E$1000,MATCH(A751,'Raw Provisioning'!$B$2:$B$1000,0)),"Missing from latest raw")))</x:f>
      </x:c>
      <x:c r="D751" s="171" t="str">
        <x:f>IF(A751="","",'Refresh Control'!$B$4)</x:f>
      </x:c>
      <x:c r="E751" s="171" t="str">
        <x:f>IF(A751="","",IF(B751="Decommissioning",INDEX('Raw Decommissioning'!$F$2:$F$1000,ROWS($A$5:A751)),INDEX('Raw Provisioning'!$F$2:$F$1000,ROWS($A$5:A751)-COUNTA('Raw Decommissioning'!$B$2:$B$1000))))</x:f>
      </x:c>
      <x:c r="F751" s="171" t="str">
        <x:f>IF(A751="","",IF(B751="Decommissioning",INDEX('Raw Decommissioning'!$G$2:$G$1000,ROWS($A$5:A751)),INDEX('Raw Provisioning'!$H$2:$H$1000,ROWS($A$5:A751)-COUNTA('Raw Decommissioning'!$B$2:$B$1000))))</x:f>
      </x:c>
      <x:c r="G751" s="170" t="str">
        <x:f>IF(A751="","",IF(B751="Decommissioning",INDEX('Raw Decommissioning'!$I$2:$I$1000,ROWS($A$5:A751)),INDEX('Raw Provisioning'!$J$2:$J$1000,ROWS($A$5:A751)-COUNTA('Raw Decommissioning'!$B$2:$B$1000))))</x:f>
      </x:c>
      <x:c r="H751" s="170" t="str">
        <x:f>IF(A751="","",IF(B751="Decommissioning",INDEX('Raw Decommissioning'!$J$2:$J$1000,ROWS($A$5:A751)),INDEX('Raw Provisioning'!$L$2:$L$1000,ROWS($A$5:A751)-COUNTA('Raw Decommissioning'!$B$2:$B$1000))))</x:f>
      </x:c>
      <x:c r="I751" s="170" t="str">
        <x:f>IF(A751="","",IF(B751="Decommissioning",INDEX('Raw Decommissioning'!$AL$2:$AL$1000,ROWS($A$5:A751)),INDEX('Raw Provisioning'!$R$2:$R$1000,ROWS($A$5:A751)-COUNTA('Raw Decommissioning'!$B$2:$B$1000))))</x:f>
      </x:c>
      <x:c r="J751" s="170" t="str">
        <x:f>IF(A751="","",IF(B751="Decommissioning",INDEX('Raw Decommissioning'!$AG$2:$AG$1000,ROWS($A$5:A751)),INDEX('Raw Provisioning'!$AI$2:$AI$1000,ROWS($A$5:A751)-COUNTA('Raw Decommissioning'!$B$2:$B$1000))))</x:f>
      </x:c>
      <x:c r="K751" s="172" t="str">
        <x:f>IF(A751="","",IFERROR(LOOKUP(2,1/('Assignment History'!$B$5:$B$204=A751),'Assignment History'!$D$5:$D$204),IFERROR(VLOOKUP(J751,Configuration!$L$5:$M$50,2,FALSE),J751)))</x:f>
      </x:c>
      <x:c r="L751" s="172" t="str">
        <x:f>IF(A751="","",IF(K751=IFERROR(VLOOKUP(J751,Configuration!$L$5:$M$50,2,FALSE),J751),"Snapshot PIC","Replacement PIC"))</x:f>
      </x:c>
      <x:c r="M751" s="172" t="str">
        <x:f>IF(A751="","",IFERROR(VLOOKUP(I751,Configuration!$O$5:$P$8,2,FALSE),Configuration!$S$6))</x:f>
      </x:c>
      <x:c r="N751" s="172" t="str">
        <x:f>IF(A751="","",IFERROR(LOOKUP(2,1/('Scope Review'!$B$5:$B$204=A751),'Scope Review'!$G$5:$G$204),"Not Reviewed"))</x:f>
      </x:c>
      <x:c r="O751" s="172" t="str">
        <x:f>IF(A751="","",IFERROR(LOOKUP(2,1/('Scope Review'!$B$5:$B$204=A751),'Scope Review'!$H$5:$H$204),""))</x:f>
      </x:c>
      <x:c r="P751" s="172" t="str">
        <x:f>IF(A751="","",IF(AND(C751="executing",N751&lt;&gt;"Confirmed OOS"),M751,0))</x:f>
      </x:c>
      <x:c r="Q751" s="173" t="str">
        <x:f>IF(A751="","",IFERROR(LOOKUP(2,1/('Engineer Updates'!$B$5:$B$704=A751),'Engineer Updates'!$A$5:$A$704),""))</x:f>
      </x:c>
      <x:c r="R751" s="172" t="str">
        <x:f>IF(A751="","",IFERROR(LOOKUP(2,1/('Engineer Updates'!$B$5:$B$704=A751),'Engineer Updates'!$H$5:$H$704),""))</x:f>
      </x:c>
      <x:c r="S751" s="172" t="str">
        <x:f>IF(A751="","",IFERROR(LOOKUP(2,1/('Engineer Updates'!$B$5:$B$704=A751),'Engineer Updates'!$G$5:$G$704),""))</x:f>
      </x:c>
      <x:c r="T751" s="172" t="str">
        <x:f>IF(A751="","",IFERROR(LOOKUP(2,1/('Engineer Updates'!$B$5:$B$704=A751),'Engineer Updates'!$I$5:$I$704),""))</x:f>
      </x:c>
      <x:c r="U751" s="172" t="str">
        <x:f>IF(A751="","",IFERROR(LOOKUP(2,1/('Engineer Updates'!$B$5:$B$704=A751),'Engineer Updates'!$J$5:$J$704),""))</x:f>
      </x:c>
      <x:c r="V751" s="172" t="str">
        <x:f>IF(A751="","",IFERROR(LOOKUP(2,1/('Engineer Updates'!$B$5:$B$704=A751),'Engineer Updates'!$K$5:$K$704),""))</x:f>
      </x:c>
      <x:c r="W751" s="174" t="str">
        <x:f>IF(A751="","",IFERROR(LOOKUP(2,1/('Engineer Updates'!$B$5:$B$704=A751),'Engineer Updates'!$L$5:$L$704),""))</x:f>
      </x:c>
      <x:c r="X751" s="170" t="str">
        <x:f>IF(A751="","",IF(C751="completed","Completed in CSSP",IF(AND(C751="executing",ISERROR(SEARCH("@",K751))),"Executing without named engineer",IF(AND(N751="Confirmed OOS",C751="executing"),"Confirmed OOS still executing",""))))</x:f>
      </x:c>
      <x:c r="Y751" s="170" t="str">
        <x:f>IF(A751="","",IF(B751="Decommissioning","Raw Decommissioning","Raw Provisioning"))</x:f>
      </x:c>
      <x:c r="Z751" s="170" t="str">
        <x:f>IF(A751="","",IF(OR(C751="executing",C751="processing"),"Yes","No"))</x:f>
      </x:c>
    </x:row>
    <x:row r="752">
      <x:c r="A752" s="170" t="str">
        <x:f>IF(ROWS($A$5:A752)&lt;=COUNTA('Raw Decommissioning'!$B$2:$B$1000),INDEX('Raw Decommissioning'!$B$2:$B$1000,ROWS($A$5:A752)),IF(ROWS($A$5:A752)-COUNTA('Raw Decommissioning'!$B$2:$B$1000)&lt;=COUNTA('Raw Provisioning'!$B$2:$B$1000),INDEX('Raw Provisioning'!$B$2:$B$1000,ROWS($A$5:A752)-COUNTA('Raw Decommissioning'!$B$2:$B$1000)),""))</x:f>
      </x:c>
      <x:c r="B752" s="170" t="str">
        <x:f>IF(A752="","",IF(ROWS($A$5:A752)&lt;=COUNTA('Raw Decommissioning'!$B$2:$B$1000),"Decommissioning","Provisioning"))</x:f>
      </x:c>
      <x:c r="C752" s="170" t="str">
        <x:f>IF(A752="","",IF(B752="Decommissioning",IFERROR(INDEX('Raw Decommissioning'!$E$2:$E$1000,MATCH(A752,'Raw Decommissioning'!$B$2:$B$1000,0)),"Missing from latest raw"),IFERROR(INDEX('Raw Provisioning'!$E$2:$E$1000,MATCH(A752,'Raw Provisioning'!$B$2:$B$1000,0)),"Missing from latest raw")))</x:f>
      </x:c>
      <x:c r="D752" s="171" t="str">
        <x:f>IF(A752="","",'Refresh Control'!$B$4)</x:f>
      </x:c>
      <x:c r="E752" s="171" t="str">
        <x:f>IF(A752="","",IF(B752="Decommissioning",INDEX('Raw Decommissioning'!$F$2:$F$1000,ROWS($A$5:A752)),INDEX('Raw Provisioning'!$F$2:$F$1000,ROWS($A$5:A752)-COUNTA('Raw Decommissioning'!$B$2:$B$1000))))</x:f>
      </x:c>
      <x:c r="F752" s="171" t="str">
        <x:f>IF(A752="","",IF(B752="Decommissioning",INDEX('Raw Decommissioning'!$G$2:$G$1000,ROWS($A$5:A752)),INDEX('Raw Provisioning'!$H$2:$H$1000,ROWS($A$5:A752)-COUNTA('Raw Decommissioning'!$B$2:$B$1000))))</x:f>
      </x:c>
      <x:c r="G752" s="170" t="str">
        <x:f>IF(A752="","",IF(B752="Decommissioning",INDEX('Raw Decommissioning'!$I$2:$I$1000,ROWS($A$5:A752)),INDEX('Raw Provisioning'!$J$2:$J$1000,ROWS($A$5:A752)-COUNTA('Raw Decommissioning'!$B$2:$B$1000))))</x:f>
      </x:c>
      <x:c r="H752" s="170" t="str">
        <x:f>IF(A752="","",IF(B752="Decommissioning",INDEX('Raw Decommissioning'!$J$2:$J$1000,ROWS($A$5:A752)),INDEX('Raw Provisioning'!$L$2:$L$1000,ROWS($A$5:A752)-COUNTA('Raw Decommissioning'!$B$2:$B$1000))))</x:f>
      </x:c>
      <x:c r="I752" s="170" t="str">
        <x:f>IF(A752="","",IF(B752="Decommissioning",INDEX('Raw Decommissioning'!$AL$2:$AL$1000,ROWS($A$5:A752)),INDEX('Raw Provisioning'!$R$2:$R$1000,ROWS($A$5:A752)-COUNTA('Raw Decommissioning'!$B$2:$B$1000))))</x:f>
      </x:c>
      <x:c r="J752" s="170" t="str">
        <x:f>IF(A752="","",IF(B752="Decommissioning",INDEX('Raw Decommissioning'!$AG$2:$AG$1000,ROWS($A$5:A752)),INDEX('Raw Provisioning'!$AI$2:$AI$1000,ROWS($A$5:A752)-COUNTA('Raw Decommissioning'!$B$2:$B$1000))))</x:f>
      </x:c>
      <x:c r="K752" s="172" t="str">
        <x:f>IF(A752="","",IFERROR(LOOKUP(2,1/('Assignment History'!$B$5:$B$204=A752),'Assignment History'!$D$5:$D$204),IFERROR(VLOOKUP(J752,Configuration!$L$5:$M$50,2,FALSE),J752)))</x:f>
      </x:c>
      <x:c r="L752" s="172" t="str">
        <x:f>IF(A752="","",IF(K752=IFERROR(VLOOKUP(J752,Configuration!$L$5:$M$50,2,FALSE),J752),"Snapshot PIC","Replacement PIC"))</x:f>
      </x:c>
      <x:c r="M752" s="172" t="str">
        <x:f>IF(A752="","",IFERROR(VLOOKUP(I752,Configuration!$O$5:$P$8,2,FALSE),Configuration!$S$6))</x:f>
      </x:c>
      <x:c r="N752" s="172" t="str">
        <x:f>IF(A752="","",IFERROR(LOOKUP(2,1/('Scope Review'!$B$5:$B$204=A752),'Scope Review'!$G$5:$G$204),"Not Reviewed"))</x:f>
      </x:c>
      <x:c r="O752" s="172" t="str">
        <x:f>IF(A752="","",IFERROR(LOOKUP(2,1/('Scope Review'!$B$5:$B$204=A752),'Scope Review'!$H$5:$H$204),""))</x:f>
      </x:c>
      <x:c r="P752" s="172" t="str">
        <x:f>IF(A752="","",IF(AND(C752="executing",N752&lt;&gt;"Confirmed OOS"),M752,0))</x:f>
      </x:c>
      <x:c r="Q752" s="173" t="str">
        <x:f>IF(A752="","",IFERROR(LOOKUP(2,1/('Engineer Updates'!$B$5:$B$704=A752),'Engineer Updates'!$A$5:$A$704),""))</x:f>
      </x:c>
      <x:c r="R752" s="172" t="str">
        <x:f>IF(A752="","",IFERROR(LOOKUP(2,1/('Engineer Updates'!$B$5:$B$704=A752),'Engineer Updates'!$H$5:$H$704),""))</x:f>
      </x:c>
      <x:c r="S752" s="172" t="str">
        <x:f>IF(A752="","",IFERROR(LOOKUP(2,1/('Engineer Updates'!$B$5:$B$704=A752),'Engineer Updates'!$G$5:$G$704),""))</x:f>
      </x:c>
      <x:c r="T752" s="172" t="str">
        <x:f>IF(A752="","",IFERROR(LOOKUP(2,1/('Engineer Updates'!$B$5:$B$704=A752),'Engineer Updates'!$I$5:$I$704),""))</x:f>
      </x:c>
      <x:c r="U752" s="172" t="str">
        <x:f>IF(A752="","",IFERROR(LOOKUP(2,1/('Engineer Updates'!$B$5:$B$704=A752),'Engineer Updates'!$J$5:$J$704),""))</x:f>
      </x:c>
      <x:c r="V752" s="172" t="str">
        <x:f>IF(A752="","",IFERROR(LOOKUP(2,1/('Engineer Updates'!$B$5:$B$704=A752),'Engineer Updates'!$K$5:$K$704),""))</x:f>
      </x:c>
      <x:c r="W752" s="174" t="str">
        <x:f>IF(A752="","",IFERROR(LOOKUP(2,1/('Engineer Updates'!$B$5:$B$704=A752),'Engineer Updates'!$L$5:$L$704),""))</x:f>
      </x:c>
      <x:c r="X752" s="170" t="str">
        <x:f>IF(A752="","",IF(C752="completed","Completed in CSSP",IF(AND(C752="executing",ISERROR(SEARCH("@",K752))),"Executing without named engineer",IF(AND(N752="Confirmed OOS",C752="executing"),"Confirmed OOS still executing",""))))</x:f>
      </x:c>
      <x:c r="Y752" s="170" t="str">
        <x:f>IF(A752="","",IF(B752="Decommissioning","Raw Decommissioning","Raw Provisioning"))</x:f>
      </x:c>
      <x:c r="Z752" s="170" t="str">
        <x:f>IF(A752="","",IF(OR(C752="executing",C752="processing"),"Yes","No"))</x:f>
      </x:c>
    </x:row>
    <x:row r="753">
      <x:c r="A753" s="170" t="str">
        <x:f>IF(ROWS($A$5:A753)&lt;=COUNTA('Raw Decommissioning'!$B$2:$B$1000),INDEX('Raw Decommissioning'!$B$2:$B$1000,ROWS($A$5:A753)),IF(ROWS($A$5:A753)-COUNTA('Raw Decommissioning'!$B$2:$B$1000)&lt;=COUNTA('Raw Provisioning'!$B$2:$B$1000),INDEX('Raw Provisioning'!$B$2:$B$1000,ROWS($A$5:A753)-COUNTA('Raw Decommissioning'!$B$2:$B$1000)),""))</x:f>
      </x:c>
      <x:c r="B753" s="170" t="str">
        <x:f>IF(A753="","",IF(ROWS($A$5:A753)&lt;=COUNTA('Raw Decommissioning'!$B$2:$B$1000),"Decommissioning","Provisioning"))</x:f>
      </x:c>
      <x:c r="C753" s="170" t="str">
        <x:f>IF(A753="","",IF(B753="Decommissioning",IFERROR(INDEX('Raw Decommissioning'!$E$2:$E$1000,MATCH(A753,'Raw Decommissioning'!$B$2:$B$1000,0)),"Missing from latest raw"),IFERROR(INDEX('Raw Provisioning'!$E$2:$E$1000,MATCH(A753,'Raw Provisioning'!$B$2:$B$1000,0)),"Missing from latest raw")))</x:f>
      </x:c>
      <x:c r="D753" s="171" t="str">
        <x:f>IF(A753="","",'Refresh Control'!$B$4)</x:f>
      </x:c>
      <x:c r="E753" s="171" t="str">
        <x:f>IF(A753="","",IF(B753="Decommissioning",INDEX('Raw Decommissioning'!$F$2:$F$1000,ROWS($A$5:A753)),INDEX('Raw Provisioning'!$F$2:$F$1000,ROWS($A$5:A753)-COUNTA('Raw Decommissioning'!$B$2:$B$1000))))</x:f>
      </x:c>
      <x:c r="F753" s="171" t="str">
        <x:f>IF(A753="","",IF(B753="Decommissioning",INDEX('Raw Decommissioning'!$G$2:$G$1000,ROWS($A$5:A753)),INDEX('Raw Provisioning'!$H$2:$H$1000,ROWS($A$5:A753)-COUNTA('Raw Decommissioning'!$B$2:$B$1000))))</x:f>
      </x:c>
      <x:c r="G753" s="170" t="str">
        <x:f>IF(A753="","",IF(B753="Decommissioning",INDEX('Raw Decommissioning'!$I$2:$I$1000,ROWS($A$5:A753)),INDEX('Raw Provisioning'!$J$2:$J$1000,ROWS($A$5:A753)-COUNTA('Raw Decommissioning'!$B$2:$B$1000))))</x:f>
      </x:c>
      <x:c r="H753" s="170" t="str">
        <x:f>IF(A753="","",IF(B753="Decommissioning",INDEX('Raw Decommissioning'!$J$2:$J$1000,ROWS($A$5:A753)),INDEX('Raw Provisioning'!$L$2:$L$1000,ROWS($A$5:A753)-COUNTA('Raw Decommissioning'!$B$2:$B$1000))))</x:f>
      </x:c>
      <x:c r="I753" s="170" t="str">
        <x:f>IF(A753="","",IF(B753="Decommissioning",INDEX('Raw Decommissioning'!$AL$2:$AL$1000,ROWS($A$5:A753)),INDEX('Raw Provisioning'!$R$2:$R$1000,ROWS($A$5:A753)-COUNTA('Raw Decommissioning'!$B$2:$B$1000))))</x:f>
      </x:c>
      <x:c r="J753" s="170" t="str">
        <x:f>IF(A753="","",IF(B753="Decommissioning",INDEX('Raw Decommissioning'!$AG$2:$AG$1000,ROWS($A$5:A753)),INDEX('Raw Provisioning'!$AI$2:$AI$1000,ROWS($A$5:A753)-COUNTA('Raw Decommissioning'!$B$2:$B$1000))))</x:f>
      </x:c>
      <x:c r="K753" s="172" t="str">
        <x:f>IF(A753="","",IFERROR(LOOKUP(2,1/('Assignment History'!$B$5:$B$204=A753),'Assignment History'!$D$5:$D$204),IFERROR(VLOOKUP(J753,Configuration!$L$5:$M$50,2,FALSE),J753)))</x:f>
      </x:c>
      <x:c r="L753" s="172" t="str">
        <x:f>IF(A753="","",IF(K753=IFERROR(VLOOKUP(J753,Configuration!$L$5:$M$50,2,FALSE),J753),"Snapshot PIC","Replacement PIC"))</x:f>
      </x:c>
      <x:c r="M753" s="172" t="str">
        <x:f>IF(A753="","",IFERROR(VLOOKUP(I753,Configuration!$O$5:$P$8,2,FALSE),Configuration!$S$6))</x:f>
      </x:c>
      <x:c r="N753" s="172" t="str">
        <x:f>IF(A753="","",IFERROR(LOOKUP(2,1/('Scope Review'!$B$5:$B$204=A753),'Scope Review'!$G$5:$G$204),"Not Reviewed"))</x:f>
      </x:c>
      <x:c r="O753" s="172" t="str">
        <x:f>IF(A753="","",IFERROR(LOOKUP(2,1/('Scope Review'!$B$5:$B$204=A753),'Scope Review'!$H$5:$H$204),""))</x:f>
      </x:c>
      <x:c r="P753" s="172" t="str">
        <x:f>IF(A753="","",IF(AND(C753="executing",N753&lt;&gt;"Confirmed OOS"),M753,0))</x:f>
      </x:c>
      <x:c r="Q753" s="173" t="str">
        <x:f>IF(A753="","",IFERROR(LOOKUP(2,1/('Engineer Updates'!$B$5:$B$704=A753),'Engineer Updates'!$A$5:$A$704),""))</x:f>
      </x:c>
      <x:c r="R753" s="172" t="str">
        <x:f>IF(A753="","",IFERROR(LOOKUP(2,1/('Engineer Updates'!$B$5:$B$704=A753),'Engineer Updates'!$H$5:$H$704),""))</x:f>
      </x:c>
      <x:c r="S753" s="172" t="str">
        <x:f>IF(A753="","",IFERROR(LOOKUP(2,1/('Engineer Updates'!$B$5:$B$704=A753),'Engineer Updates'!$G$5:$G$704),""))</x:f>
      </x:c>
      <x:c r="T753" s="172" t="str">
        <x:f>IF(A753="","",IFERROR(LOOKUP(2,1/('Engineer Updates'!$B$5:$B$704=A753),'Engineer Updates'!$I$5:$I$704),""))</x:f>
      </x:c>
      <x:c r="U753" s="172" t="str">
        <x:f>IF(A753="","",IFERROR(LOOKUP(2,1/('Engineer Updates'!$B$5:$B$704=A753),'Engineer Updates'!$J$5:$J$704),""))</x:f>
      </x:c>
      <x:c r="V753" s="172" t="str">
        <x:f>IF(A753="","",IFERROR(LOOKUP(2,1/('Engineer Updates'!$B$5:$B$704=A753),'Engineer Updates'!$K$5:$K$704),""))</x:f>
      </x:c>
      <x:c r="W753" s="174" t="str">
        <x:f>IF(A753="","",IFERROR(LOOKUP(2,1/('Engineer Updates'!$B$5:$B$704=A753),'Engineer Updates'!$L$5:$L$704),""))</x:f>
      </x:c>
      <x:c r="X753" s="170" t="str">
        <x:f>IF(A753="","",IF(C753="completed","Completed in CSSP",IF(AND(C753="executing",ISERROR(SEARCH("@",K753))),"Executing without named engineer",IF(AND(N753="Confirmed OOS",C753="executing"),"Confirmed OOS still executing",""))))</x:f>
      </x:c>
      <x:c r="Y753" s="170" t="str">
        <x:f>IF(A753="","",IF(B753="Decommissioning","Raw Decommissioning","Raw Provisioning"))</x:f>
      </x:c>
      <x:c r="Z753" s="170" t="str">
        <x:f>IF(A753="","",IF(OR(C753="executing",C753="processing"),"Yes","No"))</x:f>
      </x:c>
    </x:row>
    <x:row r="754">
      <x:c r="A754" s="170" t="str">
        <x:f>IF(ROWS($A$5:A754)&lt;=COUNTA('Raw Decommissioning'!$B$2:$B$1000),INDEX('Raw Decommissioning'!$B$2:$B$1000,ROWS($A$5:A754)),IF(ROWS($A$5:A754)-COUNTA('Raw Decommissioning'!$B$2:$B$1000)&lt;=COUNTA('Raw Provisioning'!$B$2:$B$1000),INDEX('Raw Provisioning'!$B$2:$B$1000,ROWS($A$5:A754)-COUNTA('Raw Decommissioning'!$B$2:$B$1000)),""))</x:f>
      </x:c>
      <x:c r="B754" s="170" t="str">
        <x:f>IF(A754="","",IF(ROWS($A$5:A754)&lt;=COUNTA('Raw Decommissioning'!$B$2:$B$1000),"Decommissioning","Provisioning"))</x:f>
      </x:c>
      <x:c r="C754" s="170" t="str">
        <x:f>IF(A754="","",IF(B754="Decommissioning",IFERROR(INDEX('Raw Decommissioning'!$E$2:$E$1000,MATCH(A754,'Raw Decommissioning'!$B$2:$B$1000,0)),"Missing from latest raw"),IFERROR(INDEX('Raw Provisioning'!$E$2:$E$1000,MATCH(A754,'Raw Provisioning'!$B$2:$B$1000,0)),"Missing from latest raw")))</x:f>
      </x:c>
      <x:c r="D754" s="171" t="str">
        <x:f>IF(A754="","",'Refresh Control'!$B$4)</x:f>
      </x:c>
      <x:c r="E754" s="171" t="str">
        <x:f>IF(A754="","",IF(B754="Decommissioning",INDEX('Raw Decommissioning'!$F$2:$F$1000,ROWS($A$5:A754)),INDEX('Raw Provisioning'!$F$2:$F$1000,ROWS($A$5:A754)-COUNTA('Raw Decommissioning'!$B$2:$B$1000))))</x:f>
      </x:c>
      <x:c r="F754" s="171" t="str">
        <x:f>IF(A754="","",IF(B754="Decommissioning",INDEX('Raw Decommissioning'!$G$2:$G$1000,ROWS($A$5:A754)),INDEX('Raw Provisioning'!$H$2:$H$1000,ROWS($A$5:A754)-COUNTA('Raw Decommissioning'!$B$2:$B$1000))))</x:f>
      </x:c>
      <x:c r="G754" s="170" t="str">
        <x:f>IF(A754="","",IF(B754="Decommissioning",INDEX('Raw Decommissioning'!$I$2:$I$1000,ROWS($A$5:A754)),INDEX('Raw Provisioning'!$J$2:$J$1000,ROWS($A$5:A754)-COUNTA('Raw Decommissioning'!$B$2:$B$1000))))</x:f>
      </x:c>
      <x:c r="H754" s="170" t="str">
        <x:f>IF(A754="","",IF(B754="Decommissioning",INDEX('Raw Decommissioning'!$J$2:$J$1000,ROWS($A$5:A754)),INDEX('Raw Provisioning'!$L$2:$L$1000,ROWS($A$5:A754)-COUNTA('Raw Decommissioning'!$B$2:$B$1000))))</x:f>
      </x:c>
      <x:c r="I754" s="170" t="str">
        <x:f>IF(A754="","",IF(B754="Decommissioning",INDEX('Raw Decommissioning'!$AL$2:$AL$1000,ROWS($A$5:A754)),INDEX('Raw Provisioning'!$R$2:$R$1000,ROWS($A$5:A754)-COUNTA('Raw Decommissioning'!$B$2:$B$1000))))</x:f>
      </x:c>
      <x:c r="J754" s="170" t="str">
        <x:f>IF(A754="","",IF(B754="Decommissioning",INDEX('Raw Decommissioning'!$AG$2:$AG$1000,ROWS($A$5:A754)),INDEX('Raw Provisioning'!$AI$2:$AI$1000,ROWS($A$5:A754)-COUNTA('Raw Decommissioning'!$B$2:$B$1000))))</x:f>
      </x:c>
      <x:c r="K754" s="172" t="str">
        <x:f>IF(A754="","",IFERROR(LOOKUP(2,1/('Assignment History'!$B$5:$B$204=A754),'Assignment History'!$D$5:$D$204),IFERROR(VLOOKUP(J754,Configuration!$L$5:$M$50,2,FALSE),J754)))</x:f>
      </x:c>
      <x:c r="L754" s="172" t="str">
        <x:f>IF(A754="","",IF(K754=IFERROR(VLOOKUP(J754,Configuration!$L$5:$M$50,2,FALSE),J754),"Snapshot PIC","Replacement PIC"))</x:f>
      </x:c>
      <x:c r="M754" s="172" t="str">
        <x:f>IF(A754="","",IFERROR(VLOOKUP(I754,Configuration!$O$5:$P$8,2,FALSE),Configuration!$S$6))</x:f>
      </x:c>
      <x:c r="N754" s="172" t="str">
        <x:f>IF(A754="","",IFERROR(LOOKUP(2,1/('Scope Review'!$B$5:$B$204=A754),'Scope Review'!$G$5:$G$204),"Not Reviewed"))</x:f>
      </x:c>
      <x:c r="O754" s="172" t="str">
        <x:f>IF(A754="","",IFERROR(LOOKUP(2,1/('Scope Review'!$B$5:$B$204=A754),'Scope Review'!$H$5:$H$204),""))</x:f>
      </x:c>
      <x:c r="P754" s="172" t="str">
        <x:f>IF(A754="","",IF(AND(C754="executing",N754&lt;&gt;"Confirmed OOS"),M754,0))</x:f>
      </x:c>
      <x:c r="Q754" s="173" t="str">
        <x:f>IF(A754="","",IFERROR(LOOKUP(2,1/('Engineer Updates'!$B$5:$B$704=A754),'Engineer Updates'!$A$5:$A$704),""))</x:f>
      </x:c>
      <x:c r="R754" s="172" t="str">
        <x:f>IF(A754="","",IFERROR(LOOKUP(2,1/('Engineer Updates'!$B$5:$B$704=A754),'Engineer Updates'!$H$5:$H$704),""))</x:f>
      </x:c>
      <x:c r="S754" s="172" t="str">
        <x:f>IF(A754="","",IFERROR(LOOKUP(2,1/('Engineer Updates'!$B$5:$B$704=A754),'Engineer Updates'!$G$5:$G$704),""))</x:f>
      </x:c>
      <x:c r="T754" s="172" t="str">
        <x:f>IF(A754="","",IFERROR(LOOKUP(2,1/('Engineer Updates'!$B$5:$B$704=A754),'Engineer Updates'!$I$5:$I$704),""))</x:f>
      </x:c>
      <x:c r="U754" s="172" t="str">
        <x:f>IF(A754="","",IFERROR(LOOKUP(2,1/('Engineer Updates'!$B$5:$B$704=A754),'Engineer Updates'!$J$5:$J$704),""))</x:f>
      </x:c>
      <x:c r="V754" s="172" t="str">
        <x:f>IF(A754="","",IFERROR(LOOKUP(2,1/('Engineer Updates'!$B$5:$B$704=A754),'Engineer Updates'!$K$5:$K$704),""))</x:f>
      </x:c>
      <x:c r="W754" s="174" t="str">
        <x:f>IF(A754="","",IFERROR(LOOKUP(2,1/('Engineer Updates'!$B$5:$B$704=A754),'Engineer Updates'!$L$5:$L$704),""))</x:f>
      </x:c>
      <x:c r="X754" s="170" t="str">
        <x:f>IF(A754="","",IF(C754="completed","Completed in CSSP",IF(AND(C754="executing",ISERROR(SEARCH("@",K754))),"Executing without named engineer",IF(AND(N754="Confirmed OOS",C754="executing"),"Confirmed OOS still executing",""))))</x:f>
      </x:c>
      <x:c r="Y754" s="170" t="str">
        <x:f>IF(A754="","",IF(B754="Decommissioning","Raw Decommissioning","Raw Provisioning"))</x:f>
      </x:c>
      <x:c r="Z754" s="170" t="str">
        <x:f>IF(A754="","",IF(OR(C754="executing",C754="processing"),"Yes","No"))</x:f>
      </x:c>
    </x:row>
    <x:row r="755">
      <x:c r="A755" s="170" t="str">
        <x:f>IF(ROWS($A$5:A755)&lt;=COUNTA('Raw Decommissioning'!$B$2:$B$1000),INDEX('Raw Decommissioning'!$B$2:$B$1000,ROWS($A$5:A755)),IF(ROWS($A$5:A755)-COUNTA('Raw Decommissioning'!$B$2:$B$1000)&lt;=COUNTA('Raw Provisioning'!$B$2:$B$1000),INDEX('Raw Provisioning'!$B$2:$B$1000,ROWS($A$5:A755)-COUNTA('Raw Decommissioning'!$B$2:$B$1000)),""))</x:f>
      </x:c>
      <x:c r="B755" s="170" t="str">
        <x:f>IF(A755="","",IF(ROWS($A$5:A755)&lt;=COUNTA('Raw Decommissioning'!$B$2:$B$1000),"Decommissioning","Provisioning"))</x:f>
      </x:c>
      <x:c r="C755" s="170" t="str">
        <x:f>IF(A755="","",IF(B755="Decommissioning",IFERROR(INDEX('Raw Decommissioning'!$E$2:$E$1000,MATCH(A755,'Raw Decommissioning'!$B$2:$B$1000,0)),"Missing from latest raw"),IFERROR(INDEX('Raw Provisioning'!$E$2:$E$1000,MATCH(A755,'Raw Provisioning'!$B$2:$B$1000,0)),"Missing from latest raw")))</x:f>
      </x:c>
      <x:c r="D755" s="171" t="str">
        <x:f>IF(A755="","",'Refresh Control'!$B$4)</x:f>
      </x:c>
      <x:c r="E755" s="171" t="str">
        <x:f>IF(A755="","",IF(B755="Decommissioning",INDEX('Raw Decommissioning'!$F$2:$F$1000,ROWS($A$5:A755)),INDEX('Raw Provisioning'!$F$2:$F$1000,ROWS($A$5:A755)-COUNTA('Raw Decommissioning'!$B$2:$B$1000))))</x:f>
      </x:c>
      <x:c r="F755" s="171" t="str">
        <x:f>IF(A755="","",IF(B755="Decommissioning",INDEX('Raw Decommissioning'!$G$2:$G$1000,ROWS($A$5:A755)),INDEX('Raw Provisioning'!$H$2:$H$1000,ROWS($A$5:A755)-COUNTA('Raw Decommissioning'!$B$2:$B$1000))))</x:f>
      </x:c>
      <x:c r="G755" s="170" t="str">
        <x:f>IF(A755="","",IF(B755="Decommissioning",INDEX('Raw Decommissioning'!$I$2:$I$1000,ROWS($A$5:A755)),INDEX('Raw Provisioning'!$J$2:$J$1000,ROWS($A$5:A755)-COUNTA('Raw Decommissioning'!$B$2:$B$1000))))</x:f>
      </x:c>
      <x:c r="H755" s="170" t="str">
        <x:f>IF(A755="","",IF(B755="Decommissioning",INDEX('Raw Decommissioning'!$J$2:$J$1000,ROWS($A$5:A755)),INDEX('Raw Provisioning'!$L$2:$L$1000,ROWS($A$5:A755)-COUNTA('Raw Decommissioning'!$B$2:$B$1000))))</x:f>
      </x:c>
      <x:c r="I755" s="170" t="str">
        <x:f>IF(A755="","",IF(B755="Decommissioning",INDEX('Raw Decommissioning'!$AL$2:$AL$1000,ROWS($A$5:A755)),INDEX('Raw Provisioning'!$R$2:$R$1000,ROWS($A$5:A755)-COUNTA('Raw Decommissioning'!$B$2:$B$1000))))</x:f>
      </x:c>
      <x:c r="J755" s="170" t="str">
        <x:f>IF(A755="","",IF(B755="Decommissioning",INDEX('Raw Decommissioning'!$AG$2:$AG$1000,ROWS($A$5:A755)),INDEX('Raw Provisioning'!$AI$2:$AI$1000,ROWS($A$5:A755)-COUNTA('Raw Decommissioning'!$B$2:$B$1000))))</x:f>
      </x:c>
      <x:c r="K755" s="172" t="str">
        <x:f>IF(A755="","",IFERROR(LOOKUP(2,1/('Assignment History'!$B$5:$B$204=A755),'Assignment History'!$D$5:$D$204),IFERROR(VLOOKUP(J755,Configuration!$L$5:$M$50,2,FALSE),J755)))</x:f>
      </x:c>
      <x:c r="L755" s="172" t="str">
        <x:f>IF(A755="","",IF(K755=IFERROR(VLOOKUP(J755,Configuration!$L$5:$M$50,2,FALSE),J755),"Snapshot PIC","Replacement PIC"))</x:f>
      </x:c>
      <x:c r="M755" s="172" t="str">
        <x:f>IF(A755="","",IFERROR(VLOOKUP(I755,Configuration!$O$5:$P$8,2,FALSE),Configuration!$S$6))</x:f>
      </x:c>
      <x:c r="N755" s="172" t="str">
        <x:f>IF(A755="","",IFERROR(LOOKUP(2,1/('Scope Review'!$B$5:$B$204=A755),'Scope Review'!$G$5:$G$204),"Not Reviewed"))</x:f>
      </x:c>
      <x:c r="O755" s="172" t="str">
        <x:f>IF(A755="","",IFERROR(LOOKUP(2,1/('Scope Review'!$B$5:$B$204=A755),'Scope Review'!$H$5:$H$204),""))</x:f>
      </x:c>
      <x:c r="P755" s="172" t="str">
        <x:f>IF(A755="","",IF(AND(C755="executing",N755&lt;&gt;"Confirmed OOS"),M755,0))</x:f>
      </x:c>
      <x:c r="Q755" s="173" t="str">
        <x:f>IF(A755="","",IFERROR(LOOKUP(2,1/('Engineer Updates'!$B$5:$B$704=A755),'Engineer Updates'!$A$5:$A$704),""))</x:f>
      </x:c>
      <x:c r="R755" s="172" t="str">
        <x:f>IF(A755="","",IFERROR(LOOKUP(2,1/('Engineer Updates'!$B$5:$B$704=A755),'Engineer Updates'!$H$5:$H$704),""))</x:f>
      </x:c>
      <x:c r="S755" s="172" t="str">
        <x:f>IF(A755="","",IFERROR(LOOKUP(2,1/('Engineer Updates'!$B$5:$B$704=A755),'Engineer Updates'!$G$5:$G$704),""))</x:f>
      </x:c>
      <x:c r="T755" s="172" t="str">
        <x:f>IF(A755="","",IFERROR(LOOKUP(2,1/('Engineer Updates'!$B$5:$B$704=A755),'Engineer Updates'!$I$5:$I$704),""))</x:f>
      </x:c>
      <x:c r="U755" s="172" t="str">
        <x:f>IF(A755="","",IFERROR(LOOKUP(2,1/('Engineer Updates'!$B$5:$B$704=A755),'Engineer Updates'!$J$5:$J$704),""))</x:f>
      </x:c>
      <x:c r="V755" s="172" t="str">
        <x:f>IF(A755="","",IFERROR(LOOKUP(2,1/('Engineer Updates'!$B$5:$B$704=A755),'Engineer Updates'!$K$5:$K$704),""))</x:f>
      </x:c>
      <x:c r="W755" s="174" t="str">
        <x:f>IF(A755="","",IFERROR(LOOKUP(2,1/('Engineer Updates'!$B$5:$B$704=A755),'Engineer Updates'!$L$5:$L$704),""))</x:f>
      </x:c>
      <x:c r="X755" s="170" t="str">
        <x:f>IF(A755="","",IF(C755="completed","Completed in CSSP",IF(AND(C755="executing",ISERROR(SEARCH("@",K755))),"Executing without named engineer",IF(AND(N755="Confirmed OOS",C755="executing"),"Confirmed OOS still executing",""))))</x:f>
      </x:c>
      <x:c r="Y755" s="170" t="str">
        <x:f>IF(A755="","",IF(B755="Decommissioning","Raw Decommissioning","Raw Provisioning"))</x:f>
      </x:c>
      <x:c r="Z755" s="170" t="str">
        <x:f>IF(A755="","",IF(OR(C755="executing",C755="processing"),"Yes","No"))</x:f>
      </x:c>
    </x:row>
    <x:row r="756">
      <x:c r="A756" s="170" t="str">
        <x:f>IF(ROWS($A$5:A756)&lt;=COUNTA('Raw Decommissioning'!$B$2:$B$1000),INDEX('Raw Decommissioning'!$B$2:$B$1000,ROWS($A$5:A756)),IF(ROWS($A$5:A756)-COUNTA('Raw Decommissioning'!$B$2:$B$1000)&lt;=COUNTA('Raw Provisioning'!$B$2:$B$1000),INDEX('Raw Provisioning'!$B$2:$B$1000,ROWS($A$5:A756)-COUNTA('Raw Decommissioning'!$B$2:$B$1000)),""))</x:f>
      </x:c>
      <x:c r="B756" s="170" t="str">
        <x:f>IF(A756="","",IF(ROWS($A$5:A756)&lt;=COUNTA('Raw Decommissioning'!$B$2:$B$1000),"Decommissioning","Provisioning"))</x:f>
      </x:c>
      <x:c r="C756" s="170" t="str">
        <x:f>IF(A756="","",IF(B756="Decommissioning",IFERROR(INDEX('Raw Decommissioning'!$E$2:$E$1000,MATCH(A756,'Raw Decommissioning'!$B$2:$B$1000,0)),"Missing from latest raw"),IFERROR(INDEX('Raw Provisioning'!$E$2:$E$1000,MATCH(A756,'Raw Provisioning'!$B$2:$B$1000,0)),"Missing from latest raw")))</x:f>
      </x:c>
      <x:c r="D756" s="171" t="str">
        <x:f>IF(A756="","",'Refresh Control'!$B$4)</x:f>
      </x:c>
      <x:c r="E756" s="171" t="str">
        <x:f>IF(A756="","",IF(B756="Decommissioning",INDEX('Raw Decommissioning'!$F$2:$F$1000,ROWS($A$5:A756)),INDEX('Raw Provisioning'!$F$2:$F$1000,ROWS($A$5:A756)-COUNTA('Raw Decommissioning'!$B$2:$B$1000))))</x:f>
      </x:c>
      <x:c r="F756" s="171" t="str">
        <x:f>IF(A756="","",IF(B756="Decommissioning",INDEX('Raw Decommissioning'!$G$2:$G$1000,ROWS($A$5:A756)),INDEX('Raw Provisioning'!$H$2:$H$1000,ROWS($A$5:A756)-COUNTA('Raw Decommissioning'!$B$2:$B$1000))))</x:f>
      </x:c>
      <x:c r="G756" s="170" t="str">
        <x:f>IF(A756="","",IF(B756="Decommissioning",INDEX('Raw Decommissioning'!$I$2:$I$1000,ROWS($A$5:A756)),INDEX('Raw Provisioning'!$J$2:$J$1000,ROWS($A$5:A756)-COUNTA('Raw Decommissioning'!$B$2:$B$1000))))</x:f>
      </x:c>
      <x:c r="H756" s="170" t="str">
        <x:f>IF(A756="","",IF(B756="Decommissioning",INDEX('Raw Decommissioning'!$J$2:$J$1000,ROWS($A$5:A756)),INDEX('Raw Provisioning'!$L$2:$L$1000,ROWS($A$5:A756)-COUNTA('Raw Decommissioning'!$B$2:$B$1000))))</x:f>
      </x:c>
      <x:c r="I756" s="170" t="str">
        <x:f>IF(A756="","",IF(B756="Decommissioning",INDEX('Raw Decommissioning'!$AL$2:$AL$1000,ROWS($A$5:A756)),INDEX('Raw Provisioning'!$R$2:$R$1000,ROWS($A$5:A756)-COUNTA('Raw Decommissioning'!$B$2:$B$1000))))</x:f>
      </x:c>
      <x:c r="J756" s="170" t="str">
        <x:f>IF(A756="","",IF(B756="Decommissioning",INDEX('Raw Decommissioning'!$AG$2:$AG$1000,ROWS($A$5:A756)),INDEX('Raw Provisioning'!$AI$2:$AI$1000,ROWS($A$5:A756)-COUNTA('Raw Decommissioning'!$B$2:$B$1000))))</x:f>
      </x:c>
      <x:c r="K756" s="172" t="str">
        <x:f>IF(A756="","",IFERROR(LOOKUP(2,1/('Assignment History'!$B$5:$B$204=A756),'Assignment History'!$D$5:$D$204),IFERROR(VLOOKUP(J756,Configuration!$L$5:$M$50,2,FALSE),J756)))</x:f>
      </x:c>
      <x:c r="L756" s="172" t="str">
        <x:f>IF(A756="","",IF(K756=IFERROR(VLOOKUP(J756,Configuration!$L$5:$M$50,2,FALSE),J756),"Snapshot PIC","Replacement PIC"))</x:f>
      </x:c>
      <x:c r="M756" s="172" t="str">
        <x:f>IF(A756="","",IFERROR(VLOOKUP(I756,Configuration!$O$5:$P$8,2,FALSE),Configuration!$S$6))</x:f>
      </x:c>
      <x:c r="N756" s="172" t="str">
        <x:f>IF(A756="","",IFERROR(LOOKUP(2,1/('Scope Review'!$B$5:$B$204=A756),'Scope Review'!$G$5:$G$204),"Not Reviewed"))</x:f>
      </x:c>
      <x:c r="O756" s="172" t="str">
        <x:f>IF(A756="","",IFERROR(LOOKUP(2,1/('Scope Review'!$B$5:$B$204=A756),'Scope Review'!$H$5:$H$204),""))</x:f>
      </x:c>
      <x:c r="P756" s="172" t="str">
        <x:f>IF(A756="","",IF(AND(C756="executing",N756&lt;&gt;"Confirmed OOS"),M756,0))</x:f>
      </x:c>
      <x:c r="Q756" s="173" t="str">
        <x:f>IF(A756="","",IFERROR(LOOKUP(2,1/('Engineer Updates'!$B$5:$B$704=A756),'Engineer Updates'!$A$5:$A$704),""))</x:f>
      </x:c>
      <x:c r="R756" s="172" t="str">
        <x:f>IF(A756="","",IFERROR(LOOKUP(2,1/('Engineer Updates'!$B$5:$B$704=A756),'Engineer Updates'!$H$5:$H$704),""))</x:f>
      </x:c>
      <x:c r="S756" s="172" t="str">
        <x:f>IF(A756="","",IFERROR(LOOKUP(2,1/('Engineer Updates'!$B$5:$B$704=A756),'Engineer Updates'!$G$5:$G$704),""))</x:f>
      </x:c>
      <x:c r="T756" s="172" t="str">
        <x:f>IF(A756="","",IFERROR(LOOKUP(2,1/('Engineer Updates'!$B$5:$B$704=A756),'Engineer Updates'!$I$5:$I$704),""))</x:f>
      </x:c>
      <x:c r="U756" s="172" t="str">
        <x:f>IF(A756="","",IFERROR(LOOKUP(2,1/('Engineer Updates'!$B$5:$B$704=A756),'Engineer Updates'!$J$5:$J$704),""))</x:f>
      </x:c>
      <x:c r="V756" s="172" t="str">
        <x:f>IF(A756="","",IFERROR(LOOKUP(2,1/('Engineer Updates'!$B$5:$B$704=A756),'Engineer Updates'!$K$5:$K$704),""))</x:f>
      </x:c>
      <x:c r="W756" s="174" t="str">
        <x:f>IF(A756="","",IFERROR(LOOKUP(2,1/('Engineer Updates'!$B$5:$B$704=A756),'Engineer Updates'!$L$5:$L$704),""))</x:f>
      </x:c>
      <x:c r="X756" s="170" t="str">
        <x:f>IF(A756="","",IF(C756="completed","Completed in CSSP",IF(AND(C756="executing",ISERROR(SEARCH("@",K756))),"Executing without named engineer",IF(AND(N756="Confirmed OOS",C756="executing"),"Confirmed OOS still executing",""))))</x:f>
      </x:c>
      <x:c r="Y756" s="170" t="str">
        <x:f>IF(A756="","",IF(B756="Decommissioning","Raw Decommissioning","Raw Provisioning"))</x:f>
      </x:c>
      <x:c r="Z756" s="170" t="str">
        <x:f>IF(A756="","",IF(OR(C756="executing",C756="processing"),"Yes","No"))</x:f>
      </x:c>
    </x:row>
    <x:row r="757">
      <x:c r="A757" s="170" t="str">
        <x:f>IF(ROWS($A$5:A757)&lt;=COUNTA('Raw Decommissioning'!$B$2:$B$1000),INDEX('Raw Decommissioning'!$B$2:$B$1000,ROWS($A$5:A757)),IF(ROWS($A$5:A757)-COUNTA('Raw Decommissioning'!$B$2:$B$1000)&lt;=COUNTA('Raw Provisioning'!$B$2:$B$1000),INDEX('Raw Provisioning'!$B$2:$B$1000,ROWS($A$5:A757)-COUNTA('Raw Decommissioning'!$B$2:$B$1000)),""))</x:f>
      </x:c>
      <x:c r="B757" s="170" t="str">
        <x:f>IF(A757="","",IF(ROWS($A$5:A757)&lt;=COUNTA('Raw Decommissioning'!$B$2:$B$1000),"Decommissioning","Provisioning"))</x:f>
      </x:c>
      <x:c r="C757" s="170" t="str">
        <x:f>IF(A757="","",IF(B757="Decommissioning",IFERROR(INDEX('Raw Decommissioning'!$E$2:$E$1000,MATCH(A757,'Raw Decommissioning'!$B$2:$B$1000,0)),"Missing from latest raw"),IFERROR(INDEX('Raw Provisioning'!$E$2:$E$1000,MATCH(A757,'Raw Provisioning'!$B$2:$B$1000,0)),"Missing from latest raw")))</x:f>
      </x:c>
      <x:c r="D757" s="171" t="str">
        <x:f>IF(A757="","",'Refresh Control'!$B$4)</x:f>
      </x:c>
      <x:c r="E757" s="171" t="str">
        <x:f>IF(A757="","",IF(B757="Decommissioning",INDEX('Raw Decommissioning'!$F$2:$F$1000,ROWS($A$5:A757)),INDEX('Raw Provisioning'!$F$2:$F$1000,ROWS($A$5:A757)-COUNTA('Raw Decommissioning'!$B$2:$B$1000))))</x:f>
      </x:c>
      <x:c r="F757" s="171" t="str">
        <x:f>IF(A757="","",IF(B757="Decommissioning",INDEX('Raw Decommissioning'!$G$2:$G$1000,ROWS($A$5:A757)),INDEX('Raw Provisioning'!$H$2:$H$1000,ROWS($A$5:A757)-COUNTA('Raw Decommissioning'!$B$2:$B$1000))))</x:f>
      </x:c>
      <x:c r="G757" s="170" t="str">
        <x:f>IF(A757="","",IF(B757="Decommissioning",INDEX('Raw Decommissioning'!$I$2:$I$1000,ROWS($A$5:A757)),INDEX('Raw Provisioning'!$J$2:$J$1000,ROWS($A$5:A757)-COUNTA('Raw Decommissioning'!$B$2:$B$1000))))</x:f>
      </x:c>
      <x:c r="H757" s="170" t="str">
        <x:f>IF(A757="","",IF(B757="Decommissioning",INDEX('Raw Decommissioning'!$J$2:$J$1000,ROWS($A$5:A757)),INDEX('Raw Provisioning'!$L$2:$L$1000,ROWS($A$5:A757)-COUNTA('Raw Decommissioning'!$B$2:$B$1000))))</x:f>
      </x:c>
      <x:c r="I757" s="170" t="str">
        <x:f>IF(A757="","",IF(B757="Decommissioning",INDEX('Raw Decommissioning'!$AL$2:$AL$1000,ROWS($A$5:A757)),INDEX('Raw Provisioning'!$R$2:$R$1000,ROWS($A$5:A757)-COUNTA('Raw Decommissioning'!$B$2:$B$1000))))</x:f>
      </x:c>
      <x:c r="J757" s="170" t="str">
        <x:f>IF(A757="","",IF(B757="Decommissioning",INDEX('Raw Decommissioning'!$AG$2:$AG$1000,ROWS($A$5:A757)),INDEX('Raw Provisioning'!$AI$2:$AI$1000,ROWS($A$5:A757)-COUNTA('Raw Decommissioning'!$B$2:$B$1000))))</x:f>
      </x:c>
      <x:c r="K757" s="172" t="str">
        <x:f>IF(A757="","",IFERROR(LOOKUP(2,1/('Assignment History'!$B$5:$B$204=A757),'Assignment History'!$D$5:$D$204),IFERROR(VLOOKUP(J757,Configuration!$L$5:$M$50,2,FALSE),J757)))</x:f>
      </x:c>
      <x:c r="L757" s="172" t="str">
        <x:f>IF(A757="","",IF(K757=IFERROR(VLOOKUP(J757,Configuration!$L$5:$M$50,2,FALSE),J757),"Snapshot PIC","Replacement PIC"))</x:f>
      </x:c>
      <x:c r="M757" s="172" t="str">
        <x:f>IF(A757="","",IFERROR(VLOOKUP(I757,Configuration!$O$5:$P$8,2,FALSE),Configuration!$S$6))</x:f>
      </x:c>
      <x:c r="N757" s="172" t="str">
        <x:f>IF(A757="","",IFERROR(LOOKUP(2,1/('Scope Review'!$B$5:$B$204=A757),'Scope Review'!$G$5:$G$204),"Not Reviewed"))</x:f>
      </x:c>
      <x:c r="O757" s="172" t="str">
        <x:f>IF(A757="","",IFERROR(LOOKUP(2,1/('Scope Review'!$B$5:$B$204=A757),'Scope Review'!$H$5:$H$204),""))</x:f>
      </x:c>
      <x:c r="P757" s="172" t="str">
        <x:f>IF(A757="","",IF(AND(C757="executing",N757&lt;&gt;"Confirmed OOS"),M757,0))</x:f>
      </x:c>
      <x:c r="Q757" s="173" t="str">
        <x:f>IF(A757="","",IFERROR(LOOKUP(2,1/('Engineer Updates'!$B$5:$B$704=A757),'Engineer Updates'!$A$5:$A$704),""))</x:f>
      </x:c>
      <x:c r="R757" s="172" t="str">
        <x:f>IF(A757="","",IFERROR(LOOKUP(2,1/('Engineer Updates'!$B$5:$B$704=A757),'Engineer Updates'!$H$5:$H$704),""))</x:f>
      </x:c>
      <x:c r="S757" s="172" t="str">
        <x:f>IF(A757="","",IFERROR(LOOKUP(2,1/('Engineer Updates'!$B$5:$B$704=A757),'Engineer Updates'!$G$5:$G$704),""))</x:f>
      </x:c>
      <x:c r="T757" s="172" t="str">
        <x:f>IF(A757="","",IFERROR(LOOKUP(2,1/('Engineer Updates'!$B$5:$B$704=A757),'Engineer Updates'!$I$5:$I$704),""))</x:f>
      </x:c>
      <x:c r="U757" s="172" t="str">
        <x:f>IF(A757="","",IFERROR(LOOKUP(2,1/('Engineer Updates'!$B$5:$B$704=A757),'Engineer Updates'!$J$5:$J$704),""))</x:f>
      </x:c>
      <x:c r="V757" s="172" t="str">
        <x:f>IF(A757="","",IFERROR(LOOKUP(2,1/('Engineer Updates'!$B$5:$B$704=A757),'Engineer Updates'!$K$5:$K$704),""))</x:f>
      </x:c>
      <x:c r="W757" s="174" t="str">
        <x:f>IF(A757="","",IFERROR(LOOKUP(2,1/('Engineer Updates'!$B$5:$B$704=A757),'Engineer Updates'!$L$5:$L$704),""))</x:f>
      </x:c>
      <x:c r="X757" s="170" t="str">
        <x:f>IF(A757="","",IF(C757="completed","Completed in CSSP",IF(AND(C757="executing",ISERROR(SEARCH("@",K757))),"Executing without named engineer",IF(AND(N757="Confirmed OOS",C757="executing"),"Confirmed OOS still executing",""))))</x:f>
      </x:c>
      <x:c r="Y757" s="170" t="str">
        <x:f>IF(A757="","",IF(B757="Decommissioning","Raw Decommissioning","Raw Provisioning"))</x:f>
      </x:c>
      <x:c r="Z757" s="170" t="str">
        <x:f>IF(A757="","",IF(OR(C757="executing",C757="processing"),"Yes","No"))</x:f>
      </x:c>
    </x:row>
    <x:row r="758">
      <x:c r="A758" s="170" t="str">
        <x:f>IF(ROWS($A$5:A758)&lt;=COUNTA('Raw Decommissioning'!$B$2:$B$1000),INDEX('Raw Decommissioning'!$B$2:$B$1000,ROWS($A$5:A758)),IF(ROWS($A$5:A758)-COUNTA('Raw Decommissioning'!$B$2:$B$1000)&lt;=COUNTA('Raw Provisioning'!$B$2:$B$1000),INDEX('Raw Provisioning'!$B$2:$B$1000,ROWS($A$5:A758)-COUNTA('Raw Decommissioning'!$B$2:$B$1000)),""))</x:f>
      </x:c>
      <x:c r="B758" s="170" t="str">
        <x:f>IF(A758="","",IF(ROWS($A$5:A758)&lt;=COUNTA('Raw Decommissioning'!$B$2:$B$1000),"Decommissioning","Provisioning"))</x:f>
      </x:c>
      <x:c r="C758" s="170" t="str">
        <x:f>IF(A758="","",IF(B758="Decommissioning",IFERROR(INDEX('Raw Decommissioning'!$E$2:$E$1000,MATCH(A758,'Raw Decommissioning'!$B$2:$B$1000,0)),"Missing from latest raw"),IFERROR(INDEX('Raw Provisioning'!$E$2:$E$1000,MATCH(A758,'Raw Provisioning'!$B$2:$B$1000,0)),"Missing from latest raw")))</x:f>
      </x:c>
      <x:c r="D758" s="171" t="str">
        <x:f>IF(A758="","",'Refresh Control'!$B$4)</x:f>
      </x:c>
      <x:c r="E758" s="171" t="str">
        <x:f>IF(A758="","",IF(B758="Decommissioning",INDEX('Raw Decommissioning'!$F$2:$F$1000,ROWS($A$5:A758)),INDEX('Raw Provisioning'!$F$2:$F$1000,ROWS($A$5:A758)-COUNTA('Raw Decommissioning'!$B$2:$B$1000))))</x:f>
      </x:c>
      <x:c r="F758" s="171" t="str">
        <x:f>IF(A758="","",IF(B758="Decommissioning",INDEX('Raw Decommissioning'!$G$2:$G$1000,ROWS($A$5:A758)),INDEX('Raw Provisioning'!$H$2:$H$1000,ROWS($A$5:A758)-COUNTA('Raw Decommissioning'!$B$2:$B$1000))))</x:f>
      </x:c>
      <x:c r="G758" s="170" t="str">
        <x:f>IF(A758="","",IF(B758="Decommissioning",INDEX('Raw Decommissioning'!$I$2:$I$1000,ROWS($A$5:A758)),INDEX('Raw Provisioning'!$J$2:$J$1000,ROWS($A$5:A758)-COUNTA('Raw Decommissioning'!$B$2:$B$1000))))</x:f>
      </x:c>
      <x:c r="H758" s="170" t="str">
        <x:f>IF(A758="","",IF(B758="Decommissioning",INDEX('Raw Decommissioning'!$J$2:$J$1000,ROWS($A$5:A758)),INDEX('Raw Provisioning'!$L$2:$L$1000,ROWS($A$5:A758)-COUNTA('Raw Decommissioning'!$B$2:$B$1000))))</x:f>
      </x:c>
      <x:c r="I758" s="170" t="str">
        <x:f>IF(A758="","",IF(B758="Decommissioning",INDEX('Raw Decommissioning'!$AL$2:$AL$1000,ROWS($A$5:A758)),INDEX('Raw Provisioning'!$R$2:$R$1000,ROWS($A$5:A758)-COUNTA('Raw Decommissioning'!$B$2:$B$1000))))</x:f>
      </x:c>
      <x:c r="J758" s="170" t="str">
        <x:f>IF(A758="","",IF(B758="Decommissioning",INDEX('Raw Decommissioning'!$AG$2:$AG$1000,ROWS($A$5:A758)),INDEX('Raw Provisioning'!$AI$2:$AI$1000,ROWS($A$5:A758)-COUNTA('Raw Decommissioning'!$B$2:$B$1000))))</x:f>
      </x:c>
      <x:c r="K758" s="172" t="str">
        <x:f>IF(A758="","",IFERROR(LOOKUP(2,1/('Assignment History'!$B$5:$B$204=A758),'Assignment History'!$D$5:$D$204),IFERROR(VLOOKUP(J758,Configuration!$L$5:$M$50,2,FALSE),J758)))</x:f>
      </x:c>
      <x:c r="L758" s="172" t="str">
        <x:f>IF(A758="","",IF(K758=IFERROR(VLOOKUP(J758,Configuration!$L$5:$M$50,2,FALSE),J758),"Snapshot PIC","Replacement PIC"))</x:f>
      </x:c>
      <x:c r="M758" s="172" t="str">
        <x:f>IF(A758="","",IFERROR(VLOOKUP(I758,Configuration!$O$5:$P$8,2,FALSE),Configuration!$S$6))</x:f>
      </x:c>
      <x:c r="N758" s="172" t="str">
        <x:f>IF(A758="","",IFERROR(LOOKUP(2,1/('Scope Review'!$B$5:$B$204=A758),'Scope Review'!$G$5:$G$204),"Not Reviewed"))</x:f>
      </x:c>
      <x:c r="O758" s="172" t="str">
        <x:f>IF(A758="","",IFERROR(LOOKUP(2,1/('Scope Review'!$B$5:$B$204=A758),'Scope Review'!$H$5:$H$204),""))</x:f>
      </x:c>
      <x:c r="P758" s="172" t="str">
        <x:f>IF(A758="","",IF(AND(C758="executing",N758&lt;&gt;"Confirmed OOS"),M758,0))</x:f>
      </x:c>
      <x:c r="Q758" s="173" t="str">
        <x:f>IF(A758="","",IFERROR(LOOKUP(2,1/('Engineer Updates'!$B$5:$B$704=A758),'Engineer Updates'!$A$5:$A$704),""))</x:f>
      </x:c>
      <x:c r="R758" s="172" t="str">
        <x:f>IF(A758="","",IFERROR(LOOKUP(2,1/('Engineer Updates'!$B$5:$B$704=A758),'Engineer Updates'!$H$5:$H$704),""))</x:f>
      </x:c>
      <x:c r="S758" s="172" t="str">
        <x:f>IF(A758="","",IFERROR(LOOKUP(2,1/('Engineer Updates'!$B$5:$B$704=A758),'Engineer Updates'!$G$5:$G$704),""))</x:f>
      </x:c>
      <x:c r="T758" s="172" t="str">
        <x:f>IF(A758="","",IFERROR(LOOKUP(2,1/('Engineer Updates'!$B$5:$B$704=A758),'Engineer Updates'!$I$5:$I$704),""))</x:f>
      </x:c>
      <x:c r="U758" s="172" t="str">
        <x:f>IF(A758="","",IFERROR(LOOKUP(2,1/('Engineer Updates'!$B$5:$B$704=A758),'Engineer Updates'!$J$5:$J$704),""))</x:f>
      </x:c>
      <x:c r="V758" s="172" t="str">
        <x:f>IF(A758="","",IFERROR(LOOKUP(2,1/('Engineer Updates'!$B$5:$B$704=A758),'Engineer Updates'!$K$5:$K$704),""))</x:f>
      </x:c>
      <x:c r="W758" s="174" t="str">
        <x:f>IF(A758="","",IFERROR(LOOKUP(2,1/('Engineer Updates'!$B$5:$B$704=A758),'Engineer Updates'!$L$5:$L$704),""))</x:f>
      </x:c>
      <x:c r="X758" s="170" t="str">
        <x:f>IF(A758="","",IF(C758="completed","Completed in CSSP",IF(AND(C758="executing",ISERROR(SEARCH("@",K758))),"Executing without named engineer",IF(AND(N758="Confirmed OOS",C758="executing"),"Confirmed OOS still executing",""))))</x:f>
      </x:c>
      <x:c r="Y758" s="170" t="str">
        <x:f>IF(A758="","",IF(B758="Decommissioning","Raw Decommissioning","Raw Provisioning"))</x:f>
      </x:c>
      <x:c r="Z758" s="170" t="str">
        <x:f>IF(A758="","",IF(OR(C758="executing",C758="processing"),"Yes","No"))</x:f>
      </x:c>
    </x:row>
    <x:row r="759">
      <x:c r="A759" s="170" t="str">
        <x:f>IF(ROWS($A$5:A759)&lt;=COUNTA('Raw Decommissioning'!$B$2:$B$1000),INDEX('Raw Decommissioning'!$B$2:$B$1000,ROWS($A$5:A759)),IF(ROWS($A$5:A759)-COUNTA('Raw Decommissioning'!$B$2:$B$1000)&lt;=COUNTA('Raw Provisioning'!$B$2:$B$1000),INDEX('Raw Provisioning'!$B$2:$B$1000,ROWS($A$5:A759)-COUNTA('Raw Decommissioning'!$B$2:$B$1000)),""))</x:f>
      </x:c>
      <x:c r="B759" s="170" t="str">
        <x:f>IF(A759="","",IF(ROWS($A$5:A759)&lt;=COUNTA('Raw Decommissioning'!$B$2:$B$1000),"Decommissioning","Provisioning"))</x:f>
      </x:c>
      <x:c r="C759" s="170" t="str">
        <x:f>IF(A759="","",IF(B759="Decommissioning",IFERROR(INDEX('Raw Decommissioning'!$E$2:$E$1000,MATCH(A759,'Raw Decommissioning'!$B$2:$B$1000,0)),"Missing from latest raw"),IFERROR(INDEX('Raw Provisioning'!$E$2:$E$1000,MATCH(A759,'Raw Provisioning'!$B$2:$B$1000,0)),"Missing from latest raw")))</x:f>
      </x:c>
      <x:c r="D759" s="171" t="str">
        <x:f>IF(A759="","",'Refresh Control'!$B$4)</x:f>
      </x:c>
      <x:c r="E759" s="171" t="str">
        <x:f>IF(A759="","",IF(B759="Decommissioning",INDEX('Raw Decommissioning'!$F$2:$F$1000,ROWS($A$5:A759)),INDEX('Raw Provisioning'!$F$2:$F$1000,ROWS($A$5:A759)-COUNTA('Raw Decommissioning'!$B$2:$B$1000))))</x:f>
      </x:c>
      <x:c r="F759" s="171" t="str">
        <x:f>IF(A759="","",IF(B759="Decommissioning",INDEX('Raw Decommissioning'!$G$2:$G$1000,ROWS($A$5:A759)),INDEX('Raw Provisioning'!$H$2:$H$1000,ROWS($A$5:A759)-COUNTA('Raw Decommissioning'!$B$2:$B$1000))))</x:f>
      </x:c>
      <x:c r="G759" s="170" t="str">
        <x:f>IF(A759="","",IF(B759="Decommissioning",INDEX('Raw Decommissioning'!$I$2:$I$1000,ROWS($A$5:A759)),INDEX('Raw Provisioning'!$J$2:$J$1000,ROWS($A$5:A759)-COUNTA('Raw Decommissioning'!$B$2:$B$1000))))</x:f>
      </x:c>
      <x:c r="H759" s="170" t="str">
        <x:f>IF(A759="","",IF(B759="Decommissioning",INDEX('Raw Decommissioning'!$J$2:$J$1000,ROWS($A$5:A759)),INDEX('Raw Provisioning'!$L$2:$L$1000,ROWS($A$5:A759)-COUNTA('Raw Decommissioning'!$B$2:$B$1000))))</x:f>
      </x:c>
      <x:c r="I759" s="170" t="str">
        <x:f>IF(A759="","",IF(B759="Decommissioning",INDEX('Raw Decommissioning'!$AL$2:$AL$1000,ROWS($A$5:A759)),INDEX('Raw Provisioning'!$R$2:$R$1000,ROWS($A$5:A759)-COUNTA('Raw Decommissioning'!$B$2:$B$1000))))</x:f>
      </x:c>
      <x:c r="J759" s="170" t="str">
        <x:f>IF(A759="","",IF(B759="Decommissioning",INDEX('Raw Decommissioning'!$AG$2:$AG$1000,ROWS($A$5:A759)),INDEX('Raw Provisioning'!$AI$2:$AI$1000,ROWS($A$5:A759)-COUNTA('Raw Decommissioning'!$B$2:$B$1000))))</x:f>
      </x:c>
      <x:c r="K759" s="172" t="str">
        <x:f>IF(A759="","",IFERROR(LOOKUP(2,1/('Assignment History'!$B$5:$B$204=A759),'Assignment History'!$D$5:$D$204),IFERROR(VLOOKUP(J759,Configuration!$L$5:$M$50,2,FALSE),J759)))</x:f>
      </x:c>
      <x:c r="L759" s="172" t="str">
        <x:f>IF(A759="","",IF(K759=IFERROR(VLOOKUP(J759,Configuration!$L$5:$M$50,2,FALSE),J759),"Snapshot PIC","Replacement PIC"))</x:f>
      </x:c>
      <x:c r="M759" s="172" t="str">
        <x:f>IF(A759="","",IFERROR(VLOOKUP(I759,Configuration!$O$5:$P$8,2,FALSE),Configuration!$S$6))</x:f>
      </x:c>
      <x:c r="N759" s="172" t="str">
        <x:f>IF(A759="","",IFERROR(LOOKUP(2,1/('Scope Review'!$B$5:$B$204=A759),'Scope Review'!$G$5:$G$204),"Not Reviewed"))</x:f>
      </x:c>
      <x:c r="O759" s="172" t="str">
        <x:f>IF(A759="","",IFERROR(LOOKUP(2,1/('Scope Review'!$B$5:$B$204=A759),'Scope Review'!$H$5:$H$204),""))</x:f>
      </x:c>
      <x:c r="P759" s="172" t="str">
        <x:f>IF(A759="","",IF(AND(C759="executing",N759&lt;&gt;"Confirmed OOS"),M759,0))</x:f>
      </x:c>
      <x:c r="Q759" s="173" t="str">
        <x:f>IF(A759="","",IFERROR(LOOKUP(2,1/('Engineer Updates'!$B$5:$B$704=A759),'Engineer Updates'!$A$5:$A$704),""))</x:f>
      </x:c>
      <x:c r="R759" s="172" t="str">
        <x:f>IF(A759="","",IFERROR(LOOKUP(2,1/('Engineer Updates'!$B$5:$B$704=A759),'Engineer Updates'!$H$5:$H$704),""))</x:f>
      </x:c>
      <x:c r="S759" s="172" t="str">
        <x:f>IF(A759="","",IFERROR(LOOKUP(2,1/('Engineer Updates'!$B$5:$B$704=A759),'Engineer Updates'!$G$5:$G$704),""))</x:f>
      </x:c>
      <x:c r="T759" s="172" t="str">
        <x:f>IF(A759="","",IFERROR(LOOKUP(2,1/('Engineer Updates'!$B$5:$B$704=A759),'Engineer Updates'!$I$5:$I$704),""))</x:f>
      </x:c>
      <x:c r="U759" s="172" t="str">
        <x:f>IF(A759="","",IFERROR(LOOKUP(2,1/('Engineer Updates'!$B$5:$B$704=A759),'Engineer Updates'!$J$5:$J$704),""))</x:f>
      </x:c>
      <x:c r="V759" s="172" t="str">
        <x:f>IF(A759="","",IFERROR(LOOKUP(2,1/('Engineer Updates'!$B$5:$B$704=A759),'Engineer Updates'!$K$5:$K$704),""))</x:f>
      </x:c>
      <x:c r="W759" s="174" t="str">
        <x:f>IF(A759="","",IFERROR(LOOKUP(2,1/('Engineer Updates'!$B$5:$B$704=A759),'Engineer Updates'!$L$5:$L$704),""))</x:f>
      </x:c>
      <x:c r="X759" s="170" t="str">
        <x:f>IF(A759="","",IF(C759="completed","Completed in CSSP",IF(AND(C759="executing",ISERROR(SEARCH("@",K759))),"Executing without named engineer",IF(AND(N759="Confirmed OOS",C759="executing"),"Confirmed OOS still executing",""))))</x:f>
      </x:c>
      <x:c r="Y759" s="170" t="str">
        <x:f>IF(A759="","",IF(B759="Decommissioning","Raw Decommissioning","Raw Provisioning"))</x:f>
      </x:c>
      <x:c r="Z759" s="170" t="str">
        <x:f>IF(A759="","",IF(OR(C759="executing",C759="processing"),"Yes","No"))</x:f>
      </x:c>
    </x:row>
    <x:row r="760">
      <x:c r="A760" s="170" t="str">
        <x:f>IF(ROWS($A$5:A760)&lt;=COUNTA('Raw Decommissioning'!$B$2:$B$1000),INDEX('Raw Decommissioning'!$B$2:$B$1000,ROWS($A$5:A760)),IF(ROWS($A$5:A760)-COUNTA('Raw Decommissioning'!$B$2:$B$1000)&lt;=COUNTA('Raw Provisioning'!$B$2:$B$1000),INDEX('Raw Provisioning'!$B$2:$B$1000,ROWS($A$5:A760)-COUNTA('Raw Decommissioning'!$B$2:$B$1000)),""))</x:f>
      </x:c>
      <x:c r="B760" s="170" t="str">
        <x:f>IF(A760="","",IF(ROWS($A$5:A760)&lt;=COUNTA('Raw Decommissioning'!$B$2:$B$1000),"Decommissioning","Provisioning"))</x:f>
      </x:c>
      <x:c r="C760" s="170" t="str">
        <x:f>IF(A760="","",IF(B760="Decommissioning",IFERROR(INDEX('Raw Decommissioning'!$E$2:$E$1000,MATCH(A760,'Raw Decommissioning'!$B$2:$B$1000,0)),"Missing from latest raw"),IFERROR(INDEX('Raw Provisioning'!$E$2:$E$1000,MATCH(A760,'Raw Provisioning'!$B$2:$B$1000,0)),"Missing from latest raw")))</x:f>
      </x:c>
      <x:c r="D760" s="171" t="str">
        <x:f>IF(A760="","",'Refresh Control'!$B$4)</x:f>
      </x:c>
      <x:c r="E760" s="171" t="str">
        <x:f>IF(A760="","",IF(B760="Decommissioning",INDEX('Raw Decommissioning'!$F$2:$F$1000,ROWS($A$5:A760)),INDEX('Raw Provisioning'!$F$2:$F$1000,ROWS($A$5:A760)-COUNTA('Raw Decommissioning'!$B$2:$B$1000))))</x:f>
      </x:c>
      <x:c r="F760" s="171" t="str">
        <x:f>IF(A760="","",IF(B760="Decommissioning",INDEX('Raw Decommissioning'!$G$2:$G$1000,ROWS($A$5:A760)),INDEX('Raw Provisioning'!$H$2:$H$1000,ROWS($A$5:A760)-COUNTA('Raw Decommissioning'!$B$2:$B$1000))))</x:f>
      </x:c>
      <x:c r="G760" s="170" t="str">
        <x:f>IF(A760="","",IF(B760="Decommissioning",INDEX('Raw Decommissioning'!$I$2:$I$1000,ROWS($A$5:A760)),INDEX('Raw Provisioning'!$J$2:$J$1000,ROWS($A$5:A760)-COUNTA('Raw Decommissioning'!$B$2:$B$1000))))</x:f>
      </x:c>
      <x:c r="H760" s="170" t="str">
        <x:f>IF(A760="","",IF(B760="Decommissioning",INDEX('Raw Decommissioning'!$J$2:$J$1000,ROWS($A$5:A760)),INDEX('Raw Provisioning'!$L$2:$L$1000,ROWS($A$5:A760)-COUNTA('Raw Decommissioning'!$B$2:$B$1000))))</x:f>
      </x:c>
      <x:c r="I760" s="170" t="str">
        <x:f>IF(A760="","",IF(B760="Decommissioning",INDEX('Raw Decommissioning'!$AL$2:$AL$1000,ROWS($A$5:A760)),INDEX('Raw Provisioning'!$R$2:$R$1000,ROWS($A$5:A760)-COUNTA('Raw Decommissioning'!$B$2:$B$1000))))</x:f>
      </x:c>
      <x:c r="J760" s="170" t="str">
        <x:f>IF(A760="","",IF(B760="Decommissioning",INDEX('Raw Decommissioning'!$AG$2:$AG$1000,ROWS($A$5:A760)),INDEX('Raw Provisioning'!$AI$2:$AI$1000,ROWS($A$5:A760)-COUNTA('Raw Decommissioning'!$B$2:$B$1000))))</x:f>
      </x:c>
      <x:c r="K760" s="172" t="str">
        <x:f>IF(A760="","",IFERROR(LOOKUP(2,1/('Assignment History'!$B$5:$B$204=A760),'Assignment History'!$D$5:$D$204),IFERROR(VLOOKUP(J760,Configuration!$L$5:$M$50,2,FALSE),J760)))</x:f>
      </x:c>
      <x:c r="L760" s="172" t="str">
        <x:f>IF(A760="","",IF(K760=IFERROR(VLOOKUP(J760,Configuration!$L$5:$M$50,2,FALSE),J760),"Snapshot PIC","Replacement PIC"))</x:f>
      </x:c>
      <x:c r="M760" s="172" t="str">
        <x:f>IF(A760="","",IFERROR(VLOOKUP(I760,Configuration!$O$5:$P$8,2,FALSE),Configuration!$S$6))</x:f>
      </x:c>
      <x:c r="N760" s="172" t="str">
        <x:f>IF(A760="","",IFERROR(LOOKUP(2,1/('Scope Review'!$B$5:$B$204=A760),'Scope Review'!$G$5:$G$204),"Not Reviewed"))</x:f>
      </x:c>
      <x:c r="O760" s="172" t="str">
        <x:f>IF(A760="","",IFERROR(LOOKUP(2,1/('Scope Review'!$B$5:$B$204=A760),'Scope Review'!$H$5:$H$204),""))</x:f>
      </x:c>
      <x:c r="P760" s="172" t="str">
        <x:f>IF(A760="","",IF(AND(C760="executing",N760&lt;&gt;"Confirmed OOS"),M760,0))</x:f>
      </x:c>
      <x:c r="Q760" s="173" t="str">
        <x:f>IF(A760="","",IFERROR(LOOKUP(2,1/('Engineer Updates'!$B$5:$B$704=A760),'Engineer Updates'!$A$5:$A$704),""))</x:f>
      </x:c>
      <x:c r="R760" s="172" t="str">
        <x:f>IF(A760="","",IFERROR(LOOKUP(2,1/('Engineer Updates'!$B$5:$B$704=A760),'Engineer Updates'!$H$5:$H$704),""))</x:f>
      </x:c>
      <x:c r="S760" s="172" t="str">
        <x:f>IF(A760="","",IFERROR(LOOKUP(2,1/('Engineer Updates'!$B$5:$B$704=A760),'Engineer Updates'!$G$5:$G$704),""))</x:f>
      </x:c>
      <x:c r="T760" s="172" t="str">
        <x:f>IF(A760="","",IFERROR(LOOKUP(2,1/('Engineer Updates'!$B$5:$B$704=A760),'Engineer Updates'!$I$5:$I$704),""))</x:f>
      </x:c>
      <x:c r="U760" s="172" t="str">
        <x:f>IF(A760="","",IFERROR(LOOKUP(2,1/('Engineer Updates'!$B$5:$B$704=A760),'Engineer Updates'!$J$5:$J$704),""))</x:f>
      </x:c>
      <x:c r="V760" s="172" t="str">
        <x:f>IF(A760="","",IFERROR(LOOKUP(2,1/('Engineer Updates'!$B$5:$B$704=A760),'Engineer Updates'!$K$5:$K$704),""))</x:f>
      </x:c>
      <x:c r="W760" s="174" t="str">
        <x:f>IF(A760="","",IFERROR(LOOKUP(2,1/('Engineer Updates'!$B$5:$B$704=A760),'Engineer Updates'!$L$5:$L$704),""))</x:f>
      </x:c>
      <x:c r="X760" s="170" t="str">
        <x:f>IF(A760="","",IF(C760="completed","Completed in CSSP",IF(AND(C760="executing",ISERROR(SEARCH("@",K760))),"Executing without named engineer",IF(AND(N760="Confirmed OOS",C760="executing"),"Confirmed OOS still executing",""))))</x:f>
      </x:c>
      <x:c r="Y760" s="170" t="str">
        <x:f>IF(A760="","",IF(B760="Decommissioning","Raw Decommissioning","Raw Provisioning"))</x:f>
      </x:c>
      <x:c r="Z760" s="170" t="str">
        <x:f>IF(A760="","",IF(OR(C760="executing",C760="processing"),"Yes","No"))</x:f>
      </x:c>
    </x:row>
    <x:row r="761">
      <x:c r="A761" s="170" t="str">
        <x:f>IF(ROWS($A$5:A761)&lt;=COUNTA('Raw Decommissioning'!$B$2:$B$1000),INDEX('Raw Decommissioning'!$B$2:$B$1000,ROWS($A$5:A761)),IF(ROWS($A$5:A761)-COUNTA('Raw Decommissioning'!$B$2:$B$1000)&lt;=COUNTA('Raw Provisioning'!$B$2:$B$1000),INDEX('Raw Provisioning'!$B$2:$B$1000,ROWS($A$5:A761)-COUNTA('Raw Decommissioning'!$B$2:$B$1000)),""))</x:f>
      </x:c>
      <x:c r="B761" s="170" t="str">
        <x:f>IF(A761="","",IF(ROWS($A$5:A761)&lt;=COUNTA('Raw Decommissioning'!$B$2:$B$1000),"Decommissioning","Provisioning"))</x:f>
      </x:c>
      <x:c r="C761" s="170" t="str">
        <x:f>IF(A761="","",IF(B761="Decommissioning",IFERROR(INDEX('Raw Decommissioning'!$E$2:$E$1000,MATCH(A761,'Raw Decommissioning'!$B$2:$B$1000,0)),"Missing from latest raw"),IFERROR(INDEX('Raw Provisioning'!$E$2:$E$1000,MATCH(A761,'Raw Provisioning'!$B$2:$B$1000,0)),"Missing from latest raw")))</x:f>
      </x:c>
      <x:c r="D761" s="171" t="str">
        <x:f>IF(A761="","",'Refresh Control'!$B$4)</x:f>
      </x:c>
      <x:c r="E761" s="171" t="str">
        <x:f>IF(A761="","",IF(B761="Decommissioning",INDEX('Raw Decommissioning'!$F$2:$F$1000,ROWS($A$5:A761)),INDEX('Raw Provisioning'!$F$2:$F$1000,ROWS($A$5:A761)-COUNTA('Raw Decommissioning'!$B$2:$B$1000))))</x:f>
      </x:c>
      <x:c r="F761" s="171" t="str">
        <x:f>IF(A761="","",IF(B761="Decommissioning",INDEX('Raw Decommissioning'!$G$2:$G$1000,ROWS($A$5:A761)),INDEX('Raw Provisioning'!$H$2:$H$1000,ROWS($A$5:A761)-COUNTA('Raw Decommissioning'!$B$2:$B$1000))))</x:f>
      </x:c>
      <x:c r="G761" s="170" t="str">
        <x:f>IF(A761="","",IF(B761="Decommissioning",INDEX('Raw Decommissioning'!$I$2:$I$1000,ROWS($A$5:A761)),INDEX('Raw Provisioning'!$J$2:$J$1000,ROWS($A$5:A761)-COUNTA('Raw Decommissioning'!$B$2:$B$1000))))</x:f>
      </x:c>
      <x:c r="H761" s="170" t="str">
        <x:f>IF(A761="","",IF(B761="Decommissioning",INDEX('Raw Decommissioning'!$J$2:$J$1000,ROWS($A$5:A761)),INDEX('Raw Provisioning'!$L$2:$L$1000,ROWS($A$5:A761)-COUNTA('Raw Decommissioning'!$B$2:$B$1000))))</x:f>
      </x:c>
      <x:c r="I761" s="170" t="str">
        <x:f>IF(A761="","",IF(B761="Decommissioning",INDEX('Raw Decommissioning'!$AL$2:$AL$1000,ROWS($A$5:A761)),INDEX('Raw Provisioning'!$R$2:$R$1000,ROWS($A$5:A761)-COUNTA('Raw Decommissioning'!$B$2:$B$1000))))</x:f>
      </x:c>
      <x:c r="J761" s="170" t="str">
        <x:f>IF(A761="","",IF(B761="Decommissioning",INDEX('Raw Decommissioning'!$AG$2:$AG$1000,ROWS($A$5:A761)),INDEX('Raw Provisioning'!$AI$2:$AI$1000,ROWS($A$5:A761)-COUNTA('Raw Decommissioning'!$B$2:$B$1000))))</x:f>
      </x:c>
      <x:c r="K761" s="172" t="str">
        <x:f>IF(A761="","",IFERROR(LOOKUP(2,1/('Assignment History'!$B$5:$B$204=A761),'Assignment History'!$D$5:$D$204),IFERROR(VLOOKUP(J761,Configuration!$L$5:$M$50,2,FALSE),J761)))</x:f>
      </x:c>
      <x:c r="L761" s="172" t="str">
        <x:f>IF(A761="","",IF(K761=IFERROR(VLOOKUP(J761,Configuration!$L$5:$M$50,2,FALSE),J761),"Snapshot PIC","Replacement PIC"))</x:f>
      </x:c>
      <x:c r="M761" s="172" t="str">
        <x:f>IF(A761="","",IFERROR(VLOOKUP(I761,Configuration!$O$5:$P$8,2,FALSE),Configuration!$S$6))</x:f>
      </x:c>
      <x:c r="N761" s="172" t="str">
        <x:f>IF(A761="","",IFERROR(LOOKUP(2,1/('Scope Review'!$B$5:$B$204=A761),'Scope Review'!$G$5:$G$204),"Not Reviewed"))</x:f>
      </x:c>
      <x:c r="O761" s="172" t="str">
        <x:f>IF(A761="","",IFERROR(LOOKUP(2,1/('Scope Review'!$B$5:$B$204=A761),'Scope Review'!$H$5:$H$204),""))</x:f>
      </x:c>
      <x:c r="P761" s="172" t="str">
        <x:f>IF(A761="","",IF(AND(C761="executing",N761&lt;&gt;"Confirmed OOS"),M761,0))</x:f>
      </x:c>
      <x:c r="Q761" s="173" t="str">
        <x:f>IF(A761="","",IFERROR(LOOKUP(2,1/('Engineer Updates'!$B$5:$B$704=A761),'Engineer Updates'!$A$5:$A$704),""))</x:f>
      </x:c>
      <x:c r="R761" s="172" t="str">
        <x:f>IF(A761="","",IFERROR(LOOKUP(2,1/('Engineer Updates'!$B$5:$B$704=A761),'Engineer Updates'!$H$5:$H$704),""))</x:f>
      </x:c>
      <x:c r="S761" s="172" t="str">
        <x:f>IF(A761="","",IFERROR(LOOKUP(2,1/('Engineer Updates'!$B$5:$B$704=A761),'Engineer Updates'!$G$5:$G$704),""))</x:f>
      </x:c>
      <x:c r="T761" s="172" t="str">
        <x:f>IF(A761="","",IFERROR(LOOKUP(2,1/('Engineer Updates'!$B$5:$B$704=A761),'Engineer Updates'!$I$5:$I$704),""))</x:f>
      </x:c>
      <x:c r="U761" s="172" t="str">
        <x:f>IF(A761="","",IFERROR(LOOKUP(2,1/('Engineer Updates'!$B$5:$B$704=A761),'Engineer Updates'!$J$5:$J$704),""))</x:f>
      </x:c>
      <x:c r="V761" s="172" t="str">
        <x:f>IF(A761="","",IFERROR(LOOKUP(2,1/('Engineer Updates'!$B$5:$B$704=A761),'Engineer Updates'!$K$5:$K$704),""))</x:f>
      </x:c>
      <x:c r="W761" s="174" t="str">
        <x:f>IF(A761="","",IFERROR(LOOKUP(2,1/('Engineer Updates'!$B$5:$B$704=A761),'Engineer Updates'!$L$5:$L$704),""))</x:f>
      </x:c>
      <x:c r="X761" s="170" t="str">
        <x:f>IF(A761="","",IF(C761="completed","Completed in CSSP",IF(AND(C761="executing",ISERROR(SEARCH("@",K761))),"Executing without named engineer",IF(AND(N761="Confirmed OOS",C761="executing"),"Confirmed OOS still executing",""))))</x:f>
      </x:c>
      <x:c r="Y761" s="170" t="str">
        <x:f>IF(A761="","",IF(B761="Decommissioning","Raw Decommissioning","Raw Provisioning"))</x:f>
      </x:c>
      <x:c r="Z761" s="170" t="str">
        <x:f>IF(A761="","",IF(OR(C761="executing",C761="processing"),"Yes","No"))</x:f>
      </x:c>
    </x:row>
    <x:row r="762">
      <x:c r="A762" s="170" t="str">
        <x:f>IF(ROWS($A$5:A762)&lt;=COUNTA('Raw Decommissioning'!$B$2:$B$1000),INDEX('Raw Decommissioning'!$B$2:$B$1000,ROWS($A$5:A762)),IF(ROWS($A$5:A762)-COUNTA('Raw Decommissioning'!$B$2:$B$1000)&lt;=COUNTA('Raw Provisioning'!$B$2:$B$1000),INDEX('Raw Provisioning'!$B$2:$B$1000,ROWS($A$5:A762)-COUNTA('Raw Decommissioning'!$B$2:$B$1000)),""))</x:f>
      </x:c>
      <x:c r="B762" s="170" t="str">
        <x:f>IF(A762="","",IF(ROWS($A$5:A762)&lt;=COUNTA('Raw Decommissioning'!$B$2:$B$1000),"Decommissioning","Provisioning"))</x:f>
      </x:c>
      <x:c r="C762" s="170" t="str">
        <x:f>IF(A762="","",IF(B762="Decommissioning",IFERROR(INDEX('Raw Decommissioning'!$E$2:$E$1000,MATCH(A762,'Raw Decommissioning'!$B$2:$B$1000,0)),"Missing from latest raw"),IFERROR(INDEX('Raw Provisioning'!$E$2:$E$1000,MATCH(A762,'Raw Provisioning'!$B$2:$B$1000,0)),"Missing from latest raw")))</x:f>
      </x:c>
      <x:c r="D762" s="171" t="str">
        <x:f>IF(A762="","",'Refresh Control'!$B$4)</x:f>
      </x:c>
      <x:c r="E762" s="171" t="str">
        <x:f>IF(A762="","",IF(B762="Decommissioning",INDEX('Raw Decommissioning'!$F$2:$F$1000,ROWS($A$5:A762)),INDEX('Raw Provisioning'!$F$2:$F$1000,ROWS($A$5:A762)-COUNTA('Raw Decommissioning'!$B$2:$B$1000))))</x:f>
      </x:c>
      <x:c r="F762" s="171" t="str">
        <x:f>IF(A762="","",IF(B762="Decommissioning",INDEX('Raw Decommissioning'!$G$2:$G$1000,ROWS($A$5:A762)),INDEX('Raw Provisioning'!$H$2:$H$1000,ROWS($A$5:A762)-COUNTA('Raw Decommissioning'!$B$2:$B$1000))))</x:f>
      </x:c>
      <x:c r="G762" s="170" t="str">
        <x:f>IF(A762="","",IF(B762="Decommissioning",INDEX('Raw Decommissioning'!$I$2:$I$1000,ROWS($A$5:A762)),INDEX('Raw Provisioning'!$J$2:$J$1000,ROWS($A$5:A762)-COUNTA('Raw Decommissioning'!$B$2:$B$1000))))</x:f>
      </x:c>
      <x:c r="H762" s="170" t="str">
        <x:f>IF(A762="","",IF(B762="Decommissioning",INDEX('Raw Decommissioning'!$J$2:$J$1000,ROWS($A$5:A762)),INDEX('Raw Provisioning'!$L$2:$L$1000,ROWS($A$5:A762)-COUNTA('Raw Decommissioning'!$B$2:$B$1000))))</x:f>
      </x:c>
      <x:c r="I762" s="170" t="str">
        <x:f>IF(A762="","",IF(B762="Decommissioning",INDEX('Raw Decommissioning'!$AL$2:$AL$1000,ROWS($A$5:A762)),INDEX('Raw Provisioning'!$R$2:$R$1000,ROWS($A$5:A762)-COUNTA('Raw Decommissioning'!$B$2:$B$1000))))</x:f>
      </x:c>
      <x:c r="J762" s="170" t="str">
        <x:f>IF(A762="","",IF(B762="Decommissioning",INDEX('Raw Decommissioning'!$AG$2:$AG$1000,ROWS($A$5:A762)),INDEX('Raw Provisioning'!$AI$2:$AI$1000,ROWS($A$5:A762)-COUNTA('Raw Decommissioning'!$B$2:$B$1000))))</x:f>
      </x:c>
      <x:c r="K762" s="172" t="str">
        <x:f>IF(A762="","",IFERROR(LOOKUP(2,1/('Assignment History'!$B$5:$B$204=A762),'Assignment History'!$D$5:$D$204),IFERROR(VLOOKUP(J762,Configuration!$L$5:$M$50,2,FALSE),J762)))</x:f>
      </x:c>
      <x:c r="L762" s="172" t="str">
        <x:f>IF(A762="","",IF(K762=IFERROR(VLOOKUP(J762,Configuration!$L$5:$M$50,2,FALSE),J762),"Snapshot PIC","Replacement PIC"))</x:f>
      </x:c>
      <x:c r="M762" s="172" t="str">
        <x:f>IF(A762="","",IFERROR(VLOOKUP(I762,Configuration!$O$5:$P$8,2,FALSE),Configuration!$S$6))</x:f>
      </x:c>
      <x:c r="N762" s="172" t="str">
        <x:f>IF(A762="","",IFERROR(LOOKUP(2,1/('Scope Review'!$B$5:$B$204=A762),'Scope Review'!$G$5:$G$204),"Not Reviewed"))</x:f>
      </x:c>
      <x:c r="O762" s="172" t="str">
        <x:f>IF(A762="","",IFERROR(LOOKUP(2,1/('Scope Review'!$B$5:$B$204=A762),'Scope Review'!$H$5:$H$204),""))</x:f>
      </x:c>
      <x:c r="P762" s="172" t="str">
        <x:f>IF(A762="","",IF(AND(C762="executing",N762&lt;&gt;"Confirmed OOS"),M762,0))</x:f>
      </x:c>
      <x:c r="Q762" s="173" t="str">
        <x:f>IF(A762="","",IFERROR(LOOKUP(2,1/('Engineer Updates'!$B$5:$B$704=A762),'Engineer Updates'!$A$5:$A$704),""))</x:f>
      </x:c>
      <x:c r="R762" s="172" t="str">
        <x:f>IF(A762="","",IFERROR(LOOKUP(2,1/('Engineer Updates'!$B$5:$B$704=A762),'Engineer Updates'!$H$5:$H$704),""))</x:f>
      </x:c>
      <x:c r="S762" s="172" t="str">
        <x:f>IF(A762="","",IFERROR(LOOKUP(2,1/('Engineer Updates'!$B$5:$B$704=A762),'Engineer Updates'!$G$5:$G$704),""))</x:f>
      </x:c>
      <x:c r="T762" s="172" t="str">
        <x:f>IF(A762="","",IFERROR(LOOKUP(2,1/('Engineer Updates'!$B$5:$B$704=A762),'Engineer Updates'!$I$5:$I$704),""))</x:f>
      </x:c>
      <x:c r="U762" s="172" t="str">
        <x:f>IF(A762="","",IFERROR(LOOKUP(2,1/('Engineer Updates'!$B$5:$B$704=A762),'Engineer Updates'!$J$5:$J$704),""))</x:f>
      </x:c>
      <x:c r="V762" s="172" t="str">
        <x:f>IF(A762="","",IFERROR(LOOKUP(2,1/('Engineer Updates'!$B$5:$B$704=A762),'Engineer Updates'!$K$5:$K$704),""))</x:f>
      </x:c>
      <x:c r="W762" s="174" t="str">
        <x:f>IF(A762="","",IFERROR(LOOKUP(2,1/('Engineer Updates'!$B$5:$B$704=A762),'Engineer Updates'!$L$5:$L$704),""))</x:f>
      </x:c>
      <x:c r="X762" s="170" t="str">
        <x:f>IF(A762="","",IF(C762="completed","Completed in CSSP",IF(AND(C762="executing",ISERROR(SEARCH("@",K762))),"Executing without named engineer",IF(AND(N762="Confirmed OOS",C762="executing"),"Confirmed OOS still executing",""))))</x:f>
      </x:c>
      <x:c r="Y762" s="170" t="str">
        <x:f>IF(A762="","",IF(B762="Decommissioning","Raw Decommissioning","Raw Provisioning"))</x:f>
      </x:c>
      <x:c r="Z762" s="170" t="str">
        <x:f>IF(A762="","",IF(OR(C762="executing",C762="processing"),"Yes","No"))</x:f>
      </x:c>
    </x:row>
    <x:row r="763">
      <x:c r="A763" s="170" t="str">
        <x:f>IF(ROWS($A$5:A763)&lt;=COUNTA('Raw Decommissioning'!$B$2:$B$1000),INDEX('Raw Decommissioning'!$B$2:$B$1000,ROWS($A$5:A763)),IF(ROWS($A$5:A763)-COUNTA('Raw Decommissioning'!$B$2:$B$1000)&lt;=COUNTA('Raw Provisioning'!$B$2:$B$1000),INDEX('Raw Provisioning'!$B$2:$B$1000,ROWS($A$5:A763)-COUNTA('Raw Decommissioning'!$B$2:$B$1000)),""))</x:f>
      </x:c>
      <x:c r="B763" s="170" t="str">
        <x:f>IF(A763="","",IF(ROWS($A$5:A763)&lt;=COUNTA('Raw Decommissioning'!$B$2:$B$1000),"Decommissioning","Provisioning"))</x:f>
      </x:c>
      <x:c r="C763" s="170" t="str">
        <x:f>IF(A763="","",IF(B763="Decommissioning",IFERROR(INDEX('Raw Decommissioning'!$E$2:$E$1000,MATCH(A763,'Raw Decommissioning'!$B$2:$B$1000,0)),"Missing from latest raw"),IFERROR(INDEX('Raw Provisioning'!$E$2:$E$1000,MATCH(A763,'Raw Provisioning'!$B$2:$B$1000,0)),"Missing from latest raw")))</x:f>
      </x:c>
      <x:c r="D763" s="171" t="str">
        <x:f>IF(A763="","",'Refresh Control'!$B$4)</x:f>
      </x:c>
      <x:c r="E763" s="171" t="str">
        <x:f>IF(A763="","",IF(B763="Decommissioning",INDEX('Raw Decommissioning'!$F$2:$F$1000,ROWS($A$5:A763)),INDEX('Raw Provisioning'!$F$2:$F$1000,ROWS($A$5:A763)-COUNTA('Raw Decommissioning'!$B$2:$B$1000))))</x:f>
      </x:c>
      <x:c r="F763" s="171" t="str">
        <x:f>IF(A763="","",IF(B763="Decommissioning",INDEX('Raw Decommissioning'!$G$2:$G$1000,ROWS($A$5:A763)),INDEX('Raw Provisioning'!$H$2:$H$1000,ROWS($A$5:A763)-COUNTA('Raw Decommissioning'!$B$2:$B$1000))))</x:f>
      </x:c>
      <x:c r="G763" s="170" t="str">
        <x:f>IF(A763="","",IF(B763="Decommissioning",INDEX('Raw Decommissioning'!$I$2:$I$1000,ROWS($A$5:A763)),INDEX('Raw Provisioning'!$J$2:$J$1000,ROWS($A$5:A763)-COUNTA('Raw Decommissioning'!$B$2:$B$1000))))</x:f>
      </x:c>
      <x:c r="H763" s="170" t="str">
        <x:f>IF(A763="","",IF(B763="Decommissioning",INDEX('Raw Decommissioning'!$J$2:$J$1000,ROWS($A$5:A763)),INDEX('Raw Provisioning'!$L$2:$L$1000,ROWS($A$5:A763)-COUNTA('Raw Decommissioning'!$B$2:$B$1000))))</x:f>
      </x:c>
      <x:c r="I763" s="170" t="str">
        <x:f>IF(A763="","",IF(B763="Decommissioning",INDEX('Raw Decommissioning'!$AL$2:$AL$1000,ROWS($A$5:A763)),INDEX('Raw Provisioning'!$R$2:$R$1000,ROWS($A$5:A763)-COUNTA('Raw Decommissioning'!$B$2:$B$1000))))</x:f>
      </x:c>
      <x:c r="J763" s="170" t="str">
        <x:f>IF(A763="","",IF(B763="Decommissioning",INDEX('Raw Decommissioning'!$AG$2:$AG$1000,ROWS($A$5:A763)),INDEX('Raw Provisioning'!$AI$2:$AI$1000,ROWS($A$5:A763)-COUNTA('Raw Decommissioning'!$B$2:$B$1000))))</x:f>
      </x:c>
      <x:c r="K763" s="172" t="str">
        <x:f>IF(A763="","",IFERROR(LOOKUP(2,1/('Assignment History'!$B$5:$B$204=A763),'Assignment History'!$D$5:$D$204),IFERROR(VLOOKUP(J763,Configuration!$L$5:$M$50,2,FALSE),J763)))</x:f>
      </x:c>
      <x:c r="L763" s="172" t="str">
        <x:f>IF(A763="","",IF(K763=IFERROR(VLOOKUP(J763,Configuration!$L$5:$M$50,2,FALSE),J763),"Snapshot PIC","Replacement PIC"))</x:f>
      </x:c>
      <x:c r="M763" s="172" t="str">
        <x:f>IF(A763="","",IFERROR(VLOOKUP(I763,Configuration!$O$5:$P$8,2,FALSE),Configuration!$S$6))</x:f>
      </x:c>
      <x:c r="N763" s="172" t="str">
        <x:f>IF(A763="","",IFERROR(LOOKUP(2,1/('Scope Review'!$B$5:$B$204=A763),'Scope Review'!$G$5:$G$204),"Not Reviewed"))</x:f>
      </x:c>
      <x:c r="O763" s="172" t="str">
        <x:f>IF(A763="","",IFERROR(LOOKUP(2,1/('Scope Review'!$B$5:$B$204=A763),'Scope Review'!$H$5:$H$204),""))</x:f>
      </x:c>
      <x:c r="P763" s="172" t="str">
        <x:f>IF(A763="","",IF(AND(C763="executing",N763&lt;&gt;"Confirmed OOS"),M763,0))</x:f>
      </x:c>
      <x:c r="Q763" s="173" t="str">
        <x:f>IF(A763="","",IFERROR(LOOKUP(2,1/('Engineer Updates'!$B$5:$B$704=A763),'Engineer Updates'!$A$5:$A$704),""))</x:f>
      </x:c>
      <x:c r="R763" s="172" t="str">
        <x:f>IF(A763="","",IFERROR(LOOKUP(2,1/('Engineer Updates'!$B$5:$B$704=A763),'Engineer Updates'!$H$5:$H$704),""))</x:f>
      </x:c>
      <x:c r="S763" s="172" t="str">
        <x:f>IF(A763="","",IFERROR(LOOKUP(2,1/('Engineer Updates'!$B$5:$B$704=A763),'Engineer Updates'!$G$5:$G$704),""))</x:f>
      </x:c>
      <x:c r="T763" s="172" t="str">
        <x:f>IF(A763="","",IFERROR(LOOKUP(2,1/('Engineer Updates'!$B$5:$B$704=A763),'Engineer Updates'!$I$5:$I$704),""))</x:f>
      </x:c>
      <x:c r="U763" s="172" t="str">
        <x:f>IF(A763="","",IFERROR(LOOKUP(2,1/('Engineer Updates'!$B$5:$B$704=A763),'Engineer Updates'!$J$5:$J$704),""))</x:f>
      </x:c>
      <x:c r="V763" s="172" t="str">
        <x:f>IF(A763="","",IFERROR(LOOKUP(2,1/('Engineer Updates'!$B$5:$B$704=A763),'Engineer Updates'!$K$5:$K$704),""))</x:f>
      </x:c>
      <x:c r="W763" s="174" t="str">
        <x:f>IF(A763="","",IFERROR(LOOKUP(2,1/('Engineer Updates'!$B$5:$B$704=A763),'Engineer Updates'!$L$5:$L$704),""))</x:f>
      </x:c>
      <x:c r="X763" s="170" t="str">
        <x:f>IF(A763="","",IF(C763="completed","Completed in CSSP",IF(AND(C763="executing",ISERROR(SEARCH("@",K763))),"Executing without named engineer",IF(AND(N763="Confirmed OOS",C763="executing"),"Confirmed OOS still executing",""))))</x:f>
      </x:c>
      <x:c r="Y763" s="170" t="str">
        <x:f>IF(A763="","",IF(B763="Decommissioning","Raw Decommissioning","Raw Provisioning"))</x:f>
      </x:c>
      <x:c r="Z763" s="170" t="str">
        <x:f>IF(A763="","",IF(OR(C763="executing",C763="processing"),"Yes","No"))</x:f>
      </x:c>
    </x:row>
    <x:row r="764">
      <x:c r="A764" s="170" t="str">
        <x:f>IF(ROWS($A$5:A764)&lt;=COUNTA('Raw Decommissioning'!$B$2:$B$1000),INDEX('Raw Decommissioning'!$B$2:$B$1000,ROWS($A$5:A764)),IF(ROWS($A$5:A764)-COUNTA('Raw Decommissioning'!$B$2:$B$1000)&lt;=COUNTA('Raw Provisioning'!$B$2:$B$1000),INDEX('Raw Provisioning'!$B$2:$B$1000,ROWS($A$5:A764)-COUNTA('Raw Decommissioning'!$B$2:$B$1000)),""))</x:f>
      </x:c>
      <x:c r="B764" s="170" t="str">
        <x:f>IF(A764="","",IF(ROWS($A$5:A764)&lt;=COUNTA('Raw Decommissioning'!$B$2:$B$1000),"Decommissioning","Provisioning"))</x:f>
      </x:c>
      <x:c r="C764" s="170" t="str">
        <x:f>IF(A764="","",IF(B764="Decommissioning",IFERROR(INDEX('Raw Decommissioning'!$E$2:$E$1000,MATCH(A764,'Raw Decommissioning'!$B$2:$B$1000,0)),"Missing from latest raw"),IFERROR(INDEX('Raw Provisioning'!$E$2:$E$1000,MATCH(A764,'Raw Provisioning'!$B$2:$B$1000,0)),"Missing from latest raw")))</x:f>
      </x:c>
      <x:c r="D764" s="171" t="str">
        <x:f>IF(A764="","",'Refresh Control'!$B$4)</x:f>
      </x:c>
      <x:c r="E764" s="171" t="str">
        <x:f>IF(A764="","",IF(B764="Decommissioning",INDEX('Raw Decommissioning'!$F$2:$F$1000,ROWS($A$5:A764)),INDEX('Raw Provisioning'!$F$2:$F$1000,ROWS($A$5:A764)-COUNTA('Raw Decommissioning'!$B$2:$B$1000))))</x:f>
      </x:c>
      <x:c r="F764" s="171" t="str">
        <x:f>IF(A764="","",IF(B764="Decommissioning",INDEX('Raw Decommissioning'!$G$2:$G$1000,ROWS($A$5:A764)),INDEX('Raw Provisioning'!$H$2:$H$1000,ROWS($A$5:A764)-COUNTA('Raw Decommissioning'!$B$2:$B$1000))))</x:f>
      </x:c>
      <x:c r="G764" s="170" t="str">
        <x:f>IF(A764="","",IF(B764="Decommissioning",INDEX('Raw Decommissioning'!$I$2:$I$1000,ROWS($A$5:A764)),INDEX('Raw Provisioning'!$J$2:$J$1000,ROWS($A$5:A764)-COUNTA('Raw Decommissioning'!$B$2:$B$1000))))</x:f>
      </x:c>
      <x:c r="H764" s="170" t="str">
        <x:f>IF(A764="","",IF(B764="Decommissioning",INDEX('Raw Decommissioning'!$J$2:$J$1000,ROWS($A$5:A764)),INDEX('Raw Provisioning'!$L$2:$L$1000,ROWS($A$5:A764)-COUNTA('Raw Decommissioning'!$B$2:$B$1000))))</x:f>
      </x:c>
      <x:c r="I764" s="170" t="str">
        <x:f>IF(A764="","",IF(B764="Decommissioning",INDEX('Raw Decommissioning'!$AL$2:$AL$1000,ROWS($A$5:A764)),INDEX('Raw Provisioning'!$R$2:$R$1000,ROWS($A$5:A764)-COUNTA('Raw Decommissioning'!$B$2:$B$1000))))</x:f>
      </x:c>
      <x:c r="J764" s="170" t="str">
        <x:f>IF(A764="","",IF(B764="Decommissioning",INDEX('Raw Decommissioning'!$AG$2:$AG$1000,ROWS($A$5:A764)),INDEX('Raw Provisioning'!$AI$2:$AI$1000,ROWS($A$5:A764)-COUNTA('Raw Decommissioning'!$B$2:$B$1000))))</x:f>
      </x:c>
      <x:c r="K764" s="172" t="str">
        <x:f>IF(A764="","",IFERROR(LOOKUP(2,1/('Assignment History'!$B$5:$B$204=A764),'Assignment History'!$D$5:$D$204),IFERROR(VLOOKUP(J764,Configuration!$L$5:$M$50,2,FALSE),J764)))</x:f>
      </x:c>
      <x:c r="L764" s="172" t="str">
        <x:f>IF(A764="","",IF(K764=IFERROR(VLOOKUP(J764,Configuration!$L$5:$M$50,2,FALSE),J764),"Snapshot PIC","Replacement PIC"))</x:f>
      </x:c>
      <x:c r="M764" s="172" t="str">
        <x:f>IF(A764="","",IFERROR(VLOOKUP(I764,Configuration!$O$5:$P$8,2,FALSE),Configuration!$S$6))</x:f>
      </x:c>
      <x:c r="N764" s="172" t="str">
        <x:f>IF(A764="","",IFERROR(LOOKUP(2,1/('Scope Review'!$B$5:$B$204=A764),'Scope Review'!$G$5:$G$204),"Not Reviewed"))</x:f>
      </x:c>
      <x:c r="O764" s="172" t="str">
        <x:f>IF(A764="","",IFERROR(LOOKUP(2,1/('Scope Review'!$B$5:$B$204=A764),'Scope Review'!$H$5:$H$204),""))</x:f>
      </x:c>
      <x:c r="P764" s="172" t="str">
        <x:f>IF(A764="","",IF(AND(C764="executing",N764&lt;&gt;"Confirmed OOS"),M764,0))</x:f>
      </x:c>
      <x:c r="Q764" s="173" t="str">
        <x:f>IF(A764="","",IFERROR(LOOKUP(2,1/('Engineer Updates'!$B$5:$B$704=A764),'Engineer Updates'!$A$5:$A$704),""))</x:f>
      </x:c>
      <x:c r="R764" s="172" t="str">
        <x:f>IF(A764="","",IFERROR(LOOKUP(2,1/('Engineer Updates'!$B$5:$B$704=A764),'Engineer Updates'!$H$5:$H$704),""))</x:f>
      </x:c>
      <x:c r="S764" s="172" t="str">
        <x:f>IF(A764="","",IFERROR(LOOKUP(2,1/('Engineer Updates'!$B$5:$B$704=A764),'Engineer Updates'!$G$5:$G$704),""))</x:f>
      </x:c>
      <x:c r="T764" s="172" t="str">
        <x:f>IF(A764="","",IFERROR(LOOKUP(2,1/('Engineer Updates'!$B$5:$B$704=A764),'Engineer Updates'!$I$5:$I$704),""))</x:f>
      </x:c>
      <x:c r="U764" s="172" t="str">
        <x:f>IF(A764="","",IFERROR(LOOKUP(2,1/('Engineer Updates'!$B$5:$B$704=A764),'Engineer Updates'!$J$5:$J$704),""))</x:f>
      </x:c>
      <x:c r="V764" s="172" t="str">
        <x:f>IF(A764="","",IFERROR(LOOKUP(2,1/('Engineer Updates'!$B$5:$B$704=A764),'Engineer Updates'!$K$5:$K$704),""))</x:f>
      </x:c>
      <x:c r="W764" s="174" t="str">
        <x:f>IF(A764="","",IFERROR(LOOKUP(2,1/('Engineer Updates'!$B$5:$B$704=A764),'Engineer Updates'!$L$5:$L$704),""))</x:f>
      </x:c>
      <x:c r="X764" s="170" t="str">
        <x:f>IF(A764="","",IF(C764="completed","Completed in CSSP",IF(AND(C764="executing",ISERROR(SEARCH("@",K764))),"Executing without named engineer",IF(AND(N764="Confirmed OOS",C764="executing"),"Confirmed OOS still executing",""))))</x:f>
      </x:c>
      <x:c r="Y764" s="170" t="str">
        <x:f>IF(A764="","",IF(B764="Decommissioning","Raw Decommissioning","Raw Provisioning"))</x:f>
      </x:c>
      <x:c r="Z764" s="170" t="str">
        <x:f>IF(A764="","",IF(OR(C764="executing",C764="processing"),"Yes","No"))</x:f>
      </x:c>
    </x:row>
    <x:row r="765">
      <x:c r="A765" s="170" t="str">
        <x:f>IF(ROWS($A$5:A765)&lt;=COUNTA('Raw Decommissioning'!$B$2:$B$1000),INDEX('Raw Decommissioning'!$B$2:$B$1000,ROWS($A$5:A765)),IF(ROWS($A$5:A765)-COUNTA('Raw Decommissioning'!$B$2:$B$1000)&lt;=COUNTA('Raw Provisioning'!$B$2:$B$1000),INDEX('Raw Provisioning'!$B$2:$B$1000,ROWS($A$5:A765)-COUNTA('Raw Decommissioning'!$B$2:$B$1000)),""))</x:f>
      </x:c>
      <x:c r="B765" s="170" t="str">
        <x:f>IF(A765="","",IF(ROWS($A$5:A765)&lt;=COUNTA('Raw Decommissioning'!$B$2:$B$1000),"Decommissioning","Provisioning"))</x:f>
      </x:c>
      <x:c r="C765" s="170" t="str">
        <x:f>IF(A765="","",IF(B765="Decommissioning",IFERROR(INDEX('Raw Decommissioning'!$E$2:$E$1000,MATCH(A765,'Raw Decommissioning'!$B$2:$B$1000,0)),"Missing from latest raw"),IFERROR(INDEX('Raw Provisioning'!$E$2:$E$1000,MATCH(A765,'Raw Provisioning'!$B$2:$B$1000,0)),"Missing from latest raw")))</x:f>
      </x:c>
      <x:c r="D765" s="171" t="str">
        <x:f>IF(A765="","",'Refresh Control'!$B$4)</x:f>
      </x:c>
      <x:c r="E765" s="171" t="str">
        <x:f>IF(A765="","",IF(B765="Decommissioning",INDEX('Raw Decommissioning'!$F$2:$F$1000,ROWS($A$5:A765)),INDEX('Raw Provisioning'!$F$2:$F$1000,ROWS($A$5:A765)-COUNTA('Raw Decommissioning'!$B$2:$B$1000))))</x:f>
      </x:c>
      <x:c r="F765" s="171" t="str">
        <x:f>IF(A765="","",IF(B765="Decommissioning",INDEX('Raw Decommissioning'!$G$2:$G$1000,ROWS($A$5:A765)),INDEX('Raw Provisioning'!$H$2:$H$1000,ROWS($A$5:A765)-COUNTA('Raw Decommissioning'!$B$2:$B$1000))))</x:f>
      </x:c>
      <x:c r="G765" s="170" t="str">
        <x:f>IF(A765="","",IF(B765="Decommissioning",INDEX('Raw Decommissioning'!$I$2:$I$1000,ROWS($A$5:A765)),INDEX('Raw Provisioning'!$J$2:$J$1000,ROWS($A$5:A765)-COUNTA('Raw Decommissioning'!$B$2:$B$1000))))</x:f>
      </x:c>
      <x:c r="H765" s="170" t="str">
        <x:f>IF(A765="","",IF(B765="Decommissioning",INDEX('Raw Decommissioning'!$J$2:$J$1000,ROWS($A$5:A765)),INDEX('Raw Provisioning'!$L$2:$L$1000,ROWS($A$5:A765)-COUNTA('Raw Decommissioning'!$B$2:$B$1000))))</x:f>
      </x:c>
      <x:c r="I765" s="170" t="str">
        <x:f>IF(A765="","",IF(B765="Decommissioning",INDEX('Raw Decommissioning'!$AL$2:$AL$1000,ROWS($A$5:A765)),INDEX('Raw Provisioning'!$R$2:$R$1000,ROWS($A$5:A765)-COUNTA('Raw Decommissioning'!$B$2:$B$1000))))</x:f>
      </x:c>
      <x:c r="J765" s="170" t="str">
        <x:f>IF(A765="","",IF(B765="Decommissioning",INDEX('Raw Decommissioning'!$AG$2:$AG$1000,ROWS($A$5:A765)),INDEX('Raw Provisioning'!$AI$2:$AI$1000,ROWS($A$5:A765)-COUNTA('Raw Decommissioning'!$B$2:$B$1000))))</x:f>
      </x:c>
      <x:c r="K765" s="172" t="str">
        <x:f>IF(A765="","",IFERROR(LOOKUP(2,1/('Assignment History'!$B$5:$B$204=A765),'Assignment History'!$D$5:$D$204),IFERROR(VLOOKUP(J765,Configuration!$L$5:$M$50,2,FALSE),J765)))</x:f>
      </x:c>
      <x:c r="L765" s="172" t="str">
        <x:f>IF(A765="","",IF(K765=IFERROR(VLOOKUP(J765,Configuration!$L$5:$M$50,2,FALSE),J765),"Snapshot PIC","Replacement PIC"))</x:f>
      </x:c>
      <x:c r="M765" s="172" t="str">
        <x:f>IF(A765="","",IFERROR(VLOOKUP(I765,Configuration!$O$5:$P$8,2,FALSE),Configuration!$S$6))</x:f>
      </x:c>
      <x:c r="N765" s="172" t="str">
        <x:f>IF(A765="","",IFERROR(LOOKUP(2,1/('Scope Review'!$B$5:$B$204=A765),'Scope Review'!$G$5:$G$204),"Not Reviewed"))</x:f>
      </x:c>
      <x:c r="O765" s="172" t="str">
        <x:f>IF(A765="","",IFERROR(LOOKUP(2,1/('Scope Review'!$B$5:$B$204=A765),'Scope Review'!$H$5:$H$204),""))</x:f>
      </x:c>
      <x:c r="P765" s="172" t="str">
        <x:f>IF(A765="","",IF(AND(C765="executing",N765&lt;&gt;"Confirmed OOS"),M765,0))</x:f>
      </x:c>
      <x:c r="Q765" s="173" t="str">
        <x:f>IF(A765="","",IFERROR(LOOKUP(2,1/('Engineer Updates'!$B$5:$B$704=A765),'Engineer Updates'!$A$5:$A$704),""))</x:f>
      </x:c>
      <x:c r="R765" s="172" t="str">
        <x:f>IF(A765="","",IFERROR(LOOKUP(2,1/('Engineer Updates'!$B$5:$B$704=A765),'Engineer Updates'!$H$5:$H$704),""))</x:f>
      </x:c>
      <x:c r="S765" s="172" t="str">
        <x:f>IF(A765="","",IFERROR(LOOKUP(2,1/('Engineer Updates'!$B$5:$B$704=A765),'Engineer Updates'!$G$5:$G$704),""))</x:f>
      </x:c>
      <x:c r="T765" s="172" t="str">
        <x:f>IF(A765="","",IFERROR(LOOKUP(2,1/('Engineer Updates'!$B$5:$B$704=A765),'Engineer Updates'!$I$5:$I$704),""))</x:f>
      </x:c>
      <x:c r="U765" s="172" t="str">
        <x:f>IF(A765="","",IFERROR(LOOKUP(2,1/('Engineer Updates'!$B$5:$B$704=A765),'Engineer Updates'!$J$5:$J$704),""))</x:f>
      </x:c>
      <x:c r="V765" s="172" t="str">
        <x:f>IF(A765="","",IFERROR(LOOKUP(2,1/('Engineer Updates'!$B$5:$B$704=A765),'Engineer Updates'!$K$5:$K$704),""))</x:f>
      </x:c>
      <x:c r="W765" s="174" t="str">
        <x:f>IF(A765="","",IFERROR(LOOKUP(2,1/('Engineer Updates'!$B$5:$B$704=A765),'Engineer Updates'!$L$5:$L$704),""))</x:f>
      </x:c>
      <x:c r="X765" s="170" t="str">
        <x:f>IF(A765="","",IF(C765="completed","Completed in CSSP",IF(AND(C765="executing",ISERROR(SEARCH("@",K765))),"Executing without named engineer",IF(AND(N765="Confirmed OOS",C765="executing"),"Confirmed OOS still executing",""))))</x:f>
      </x:c>
      <x:c r="Y765" s="170" t="str">
        <x:f>IF(A765="","",IF(B765="Decommissioning","Raw Decommissioning","Raw Provisioning"))</x:f>
      </x:c>
      <x:c r="Z765" s="170" t="str">
        <x:f>IF(A765="","",IF(OR(C765="executing",C765="processing"),"Yes","No"))</x:f>
      </x:c>
    </x:row>
    <x:row r="766">
      <x:c r="A766" s="170" t="str">
        <x:f>IF(ROWS($A$5:A766)&lt;=COUNTA('Raw Decommissioning'!$B$2:$B$1000),INDEX('Raw Decommissioning'!$B$2:$B$1000,ROWS($A$5:A766)),IF(ROWS($A$5:A766)-COUNTA('Raw Decommissioning'!$B$2:$B$1000)&lt;=COUNTA('Raw Provisioning'!$B$2:$B$1000),INDEX('Raw Provisioning'!$B$2:$B$1000,ROWS($A$5:A766)-COUNTA('Raw Decommissioning'!$B$2:$B$1000)),""))</x:f>
      </x:c>
      <x:c r="B766" s="170" t="str">
        <x:f>IF(A766="","",IF(ROWS($A$5:A766)&lt;=COUNTA('Raw Decommissioning'!$B$2:$B$1000),"Decommissioning","Provisioning"))</x:f>
      </x:c>
      <x:c r="C766" s="170" t="str">
        <x:f>IF(A766="","",IF(B766="Decommissioning",IFERROR(INDEX('Raw Decommissioning'!$E$2:$E$1000,MATCH(A766,'Raw Decommissioning'!$B$2:$B$1000,0)),"Missing from latest raw"),IFERROR(INDEX('Raw Provisioning'!$E$2:$E$1000,MATCH(A766,'Raw Provisioning'!$B$2:$B$1000,0)),"Missing from latest raw")))</x:f>
      </x:c>
      <x:c r="D766" s="171" t="str">
        <x:f>IF(A766="","",'Refresh Control'!$B$4)</x:f>
      </x:c>
      <x:c r="E766" s="171" t="str">
        <x:f>IF(A766="","",IF(B766="Decommissioning",INDEX('Raw Decommissioning'!$F$2:$F$1000,ROWS($A$5:A766)),INDEX('Raw Provisioning'!$F$2:$F$1000,ROWS($A$5:A766)-COUNTA('Raw Decommissioning'!$B$2:$B$1000))))</x:f>
      </x:c>
      <x:c r="F766" s="171" t="str">
        <x:f>IF(A766="","",IF(B766="Decommissioning",INDEX('Raw Decommissioning'!$G$2:$G$1000,ROWS($A$5:A766)),INDEX('Raw Provisioning'!$H$2:$H$1000,ROWS($A$5:A766)-COUNTA('Raw Decommissioning'!$B$2:$B$1000))))</x:f>
      </x:c>
      <x:c r="G766" s="170" t="str">
        <x:f>IF(A766="","",IF(B766="Decommissioning",INDEX('Raw Decommissioning'!$I$2:$I$1000,ROWS($A$5:A766)),INDEX('Raw Provisioning'!$J$2:$J$1000,ROWS($A$5:A766)-COUNTA('Raw Decommissioning'!$B$2:$B$1000))))</x:f>
      </x:c>
      <x:c r="H766" s="170" t="str">
        <x:f>IF(A766="","",IF(B766="Decommissioning",INDEX('Raw Decommissioning'!$J$2:$J$1000,ROWS($A$5:A766)),INDEX('Raw Provisioning'!$L$2:$L$1000,ROWS($A$5:A766)-COUNTA('Raw Decommissioning'!$B$2:$B$1000))))</x:f>
      </x:c>
      <x:c r="I766" s="170" t="str">
        <x:f>IF(A766="","",IF(B766="Decommissioning",INDEX('Raw Decommissioning'!$AL$2:$AL$1000,ROWS($A$5:A766)),INDEX('Raw Provisioning'!$R$2:$R$1000,ROWS($A$5:A766)-COUNTA('Raw Decommissioning'!$B$2:$B$1000))))</x:f>
      </x:c>
      <x:c r="J766" s="170" t="str">
        <x:f>IF(A766="","",IF(B766="Decommissioning",INDEX('Raw Decommissioning'!$AG$2:$AG$1000,ROWS($A$5:A766)),INDEX('Raw Provisioning'!$AI$2:$AI$1000,ROWS($A$5:A766)-COUNTA('Raw Decommissioning'!$B$2:$B$1000))))</x:f>
      </x:c>
      <x:c r="K766" s="172" t="str">
        <x:f>IF(A766="","",IFERROR(LOOKUP(2,1/('Assignment History'!$B$5:$B$204=A766),'Assignment History'!$D$5:$D$204),IFERROR(VLOOKUP(J766,Configuration!$L$5:$M$50,2,FALSE),J766)))</x:f>
      </x:c>
      <x:c r="L766" s="172" t="str">
        <x:f>IF(A766="","",IF(K766=IFERROR(VLOOKUP(J766,Configuration!$L$5:$M$50,2,FALSE),J766),"Snapshot PIC","Replacement PIC"))</x:f>
      </x:c>
      <x:c r="M766" s="172" t="str">
        <x:f>IF(A766="","",IFERROR(VLOOKUP(I766,Configuration!$O$5:$P$8,2,FALSE),Configuration!$S$6))</x:f>
      </x:c>
      <x:c r="N766" s="172" t="str">
        <x:f>IF(A766="","",IFERROR(LOOKUP(2,1/('Scope Review'!$B$5:$B$204=A766),'Scope Review'!$G$5:$G$204),"Not Reviewed"))</x:f>
      </x:c>
      <x:c r="O766" s="172" t="str">
        <x:f>IF(A766="","",IFERROR(LOOKUP(2,1/('Scope Review'!$B$5:$B$204=A766),'Scope Review'!$H$5:$H$204),""))</x:f>
      </x:c>
      <x:c r="P766" s="172" t="str">
        <x:f>IF(A766="","",IF(AND(C766="executing",N766&lt;&gt;"Confirmed OOS"),M766,0))</x:f>
      </x:c>
      <x:c r="Q766" s="173" t="str">
        <x:f>IF(A766="","",IFERROR(LOOKUP(2,1/('Engineer Updates'!$B$5:$B$704=A766),'Engineer Updates'!$A$5:$A$704),""))</x:f>
      </x:c>
      <x:c r="R766" s="172" t="str">
        <x:f>IF(A766="","",IFERROR(LOOKUP(2,1/('Engineer Updates'!$B$5:$B$704=A766),'Engineer Updates'!$H$5:$H$704),""))</x:f>
      </x:c>
      <x:c r="S766" s="172" t="str">
        <x:f>IF(A766="","",IFERROR(LOOKUP(2,1/('Engineer Updates'!$B$5:$B$704=A766),'Engineer Updates'!$G$5:$G$704),""))</x:f>
      </x:c>
      <x:c r="T766" s="172" t="str">
        <x:f>IF(A766="","",IFERROR(LOOKUP(2,1/('Engineer Updates'!$B$5:$B$704=A766),'Engineer Updates'!$I$5:$I$704),""))</x:f>
      </x:c>
      <x:c r="U766" s="172" t="str">
        <x:f>IF(A766="","",IFERROR(LOOKUP(2,1/('Engineer Updates'!$B$5:$B$704=A766),'Engineer Updates'!$J$5:$J$704),""))</x:f>
      </x:c>
      <x:c r="V766" s="172" t="str">
        <x:f>IF(A766="","",IFERROR(LOOKUP(2,1/('Engineer Updates'!$B$5:$B$704=A766),'Engineer Updates'!$K$5:$K$704),""))</x:f>
      </x:c>
      <x:c r="W766" s="174" t="str">
        <x:f>IF(A766="","",IFERROR(LOOKUP(2,1/('Engineer Updates'!$B$5:$B$704=A766),'Engineer Updates'!$L$5:$L$704),""))</x:f>
      </x:c>
      <x:c r="X766" s="170" t="str">
        <x:f>IF(A766="","",IF(C766="completed","Completed in CSSP",IF(AND(C766="executing",ISERROR(SEARCH("@",K766))),"Executing without named engineer",IF(AND(N766="Confirmed OOS",C766="executing"),"Confirmed OOS still executing",""))))</x:f>
      </x:c>
      <x:c r="Y766" s="170" t="str">
        <x:f>IF(A766="","",IF(B766="Decommissioning","Raw Decommissioning","Raw Provisioning"))</x:f>
      </x:c>
      <x:c r="Z766" s="170" t="str">
        <x:f>IF(A766="","",IF(OR(C766="executing",C766="processing"),"Yes","No"))</x:f>
      </x:c>
    </x:row>
    <x:row r="767">
      <x:c r="A767" s="170" t="str">
        <x:f>IF(ROWS($A$5:A767)&lt;=COUNTA('Raw Decommissioning'!$B$2:$B$1000),INDEX('Raw Decommissioning'!$B$2:$B$1000,ROWS($A$5:A767)),IF(ROWS($A$5:A767)-COUNTA('Raw Decommissioning'!$B$2:$B$1000)&lt;=COUNTA('Raw Provisioning'!$B$2:$B$1000),INDEX('Raw Provisioning'!$B$2:$B$1000,ROWS($A$5:A767)-COUNTA('Raw Decommissioning'!$B$2:$B$1000)),""))</x:f>
      </x:c>
      <x:c r="B767" s="170" t="str">
        <x:f>IF(A767="","",IF(ROWS($A$5:A767)&lt;=COUNTA('Raw Decommissioning'!$B$2:$B$1000),"Decommissioning","Provisioning"))</x:f>
      </x:c>
      <x:c r="C767" s="170" t="str">
        <x:f>IF(A767="","",IF(B767="Decommissioning",IFERROR(INDEX('Raw Decommissioning'!$E$2:$E$1000,MATCH(A767,'Raw Decommissioning'!$B$2:$B$1000,0)),"Missing from latest raw"),IFERROR(INDEX('Raw Provisioning'!$E$2:$E$1000,MATCH(A767,'Raw Provisioning'!$B$2:$B$1000,0)),"Missing from latest raw")))</x:f>
      </x:c>
      <x:c r="D767" s="171" t="str">
        <x:f>IF(A767="","",'Refresh Control'!$B$4)</x:f>
      </x:c>
      <x:c r="E767" s="171" t="str">
        <x:f>IF(A767="","",IF(B767="Decommissioning",INDEX('Raw Decommissioning'!$F$2:$F$1000,ROWS($A$5:A767)),INDEX('Raw Provisioning'!$F$2:$F$1000,ROWS($A$5:A767)-COUNTA('Raw Decommissioning'!$B$2:$B$1000))))</x:f>
      </x:c>
      <x:c r="F767" s="171" t="str">
        <x:f>IF(A767="","",IF(B767="Decommissioning",INDEX('Raw Decommissioning'!$G$2:$G$1000,ROWS($A$5:A767)),INDEX('Raw Provisioning'!$H$2:$H$1000,ROWS($A$5:A767)-COUNTA('Raw Decommissioning'!$B$2:$B$1000))))</x:f>
      </x:c>
      <x:c r="G767" s="170" t="str">
        <x:f>IF(A767="","",IF(B767="Decommissioning",INDEX('Raw Decommissioning'!$I$2:$I$1000,ROWS($A$5:A767)),INDEX('Raw Provisioning'!$J$2:$J$1000,ROWS($A$5:A767)-COUNTA('Raw Decommissioning'!$B$2:$B$1000))))</x:f>
      </x:c>
      <x:c r="H767" s="170" t="str">
        <x:f>IF(A767="","",IF(B767="Decommissioning",INDEX('Raw Decommissioning'!$J$2:$J$1000,ROWS($A$5:A767)),INDEX('Raw Provisioning'!$L$2:$L$1000,ROWS($A$5:A767)-COUNTA('Raw Decommissioning'!$B$2:$B$1000))))</x:f>
      </x:c>
      <x:c r="I767" s="170" t="str">
        <x:f>IF(A767="","",IF(B767="Decommissioning",INDEX('Raw Decommissioning'!$AL$2:$AL$1000,ROWS($A$5:A767)),INDEX('Raw Provisioning'!$R$2:$R$1000,ROWS($A$5:A767)-COUNTA('Raw Decommissioning'!$B$2:$B$1000))))</x:f>
      </x:c>
      <x:c r="J767" s="170" t="str">
        <x:f>IF(A767="","",IF(B767="Decommissioning",INDEX('Raw Decommissioning'!$AG$2:$AG$1000,ROWS($A$5:A767)),INDEX('Raw Provisioning'!$AI$2:$AI$1000,ROWS($A$5:A767)-COUNTA('Raw Decommissioning'!$B$2:$B$1000))))</x:f>
      </x:c>
      <x:c r="K767" s="172" t="str">
        <x:f>IF(A767="","",IFERROR(LOOKUP(2,1/('Assignment History'!$B$5:$B$204=A767),'Assignment History'!$D$5:$D$204),IFERROR(VLOOKUP(J767,Configuration!$L$5:$M$50,2,FALSE),J767)))</x:f>
      </x:c>
      <x:c r="L767" s="172" t="str">
        <x:f>IF(A767="","",IF(K767=IFERROR(VLOOKUP(J767,Configuration!$L$5:$M$50,2,FALSE),J767),"Snapshot PIC","Replacement PIC"))</x:f>
      </x:c>
      <x:c r="M767" s="172" t="str">
        <x:f>IF(A767="","",IFERROR(VLOOKUP(I767,Configuration!$O$5:$P$8,2,FALSE),Configuration!$S$6))</x:f>
      </x:c>
      <x:c r="N767" s="172" t="str">
        <x:f>IF(A767="","",IFERROR(LOOKUP(2,1/('Scope Review'!$B$5:$B$204=A767),'Scope Review'!$G$5:$G$204),"Not Reviewed"))</x:f>
      </x:c>
      <x:c r="O767" s="172" t="str">
        <x:f>IF(A767="","",IFERROR(LOOKUP(2,1/('Scope Review'!$B$5:$B$204=A767),'Scope Review'!$H$5:$H$204),""))</x:f>
      </x:c>
      <x:c r="P767" s="172" t="str">
        <x:f>IF(A767="","",IF(AND(C767="executing",N767&lt;&gt;"Confirmed OOS"),M767,0))</x:f>
      </x:c>
      <x:c r="Q767" s="173" t="str">
        <x:f>IF(A767="","",IFERROR(LOOKUP(2,1/('Engineer Updates'!$B$5:$B$704=A767),'Engineer Updates'!$A$5:$A$704),""))</x:f>
      </x:c>
      <x:c r="R767" s="172" t="str">
        <x:f>IF(A767="","",IFERROR(LOOKUP(2,1/('Engineer Updates'!$B$5:$B$704=A767),'Engineer Updates'!$H$5:$H$704),""))</x:f>
      </x:c>
      <x:c r="S767" s="172" t="str">
        <x:f>IF(A767="","",IFERROR(LOOKUP(2,1/('Engineer Updates'!$B$5:$B$704=A767),'Engineer Updates'!$G$5:$G$704),""))</x:f>
      </x:c>
      <x:c r="T767" s="172" t="str">
        <x:f>IF(A767="","",IFERROR(LOOKUP(2,1/('Engineer Updates'!$B$5:$B$704=A767),'Engineer Updates'!$I$5:$I$704),""))</x:f>
      </x:c>
      <x:c r="U767" s="172" t="str">
        <x:f>IF(A767="","",IFERROR(LOOKUP(2,1/('Engineer Updates'!$B$5:$B$704=A767),'Engineer Updates'!$J$5:$J$704),""))</x:f>
      </x:c>
      <x:c r="V767" s="172" t="str">
        <x:f>IF(A767="","",IFERROR(LOOKUP(2,1/('Engineer Updates'!$B$5:$B$704=A767),'Engineer Updates'!$K$5:$K$704),""))</x:f>
      </x:c>
      <x:c r="W767" s="174" t="str">
        <x:f>IF(A767="","",IFERROR(LOOKUP(2,1/('Engineer Updates'!$B$5:$B$704=A767),'Engineer Updates'!$L$5:$L$704),""))</x:f>
      </x:c>
      <x:c r="X767" s="170" t="str">
        <x:f>IF(A767="","",IF(C767="completed","Completed in CSSP",IF(AND(C767="executing",ISERROR(SEARCH("@",K767))),"Executing without named engineer",IF(AND(N767="Confirmed OOS",C767="executing"),"Confirmed OOS still executing",""))))</x:f>
      </x:c>
      <x:c r="Y767" s="170" t="str">
        <x:f>IF(A767="","",IF(B767="Decommissioning","Raw Decommissioning","Raw Provisioning"))</x:f>
      </x:c>
      <x:c r="Z767" s="170" t="str">
        <x:f>IF(A767="","",IF(OR(C767="executing",C767="processing"),"Yes","No"))</x:f>
      </x:c>
    </x:row>
    <x:row r="768">
      <x:c r="A768" s="170" t="str">
        <x:f>IF(ROWS($A$5:A768)&lt;=COUNTA('Raw Decommissioning'!$B$2:$B$1000),INDEX('Raw Decommissioning'!$B$2:$B$1000,ROWS($A$5:A768)),IF(ROWS($A$5:A768)-COUNTA('Raw Decommissioning'!$B$2:$B$1000)&lt;=COUNTA('Raw Provisioning'!$B$2:$B$1000),INDEX('Raw Provisioning'!$B$2:$B$1000,ROWS($A$5:A768)-COUNTA('Raw Decommissioning'!$B$2:$B$1000)),""))</x:f>
      </x:c>
      <x:c r="B768" s="170" t="str">
        <x:f>IF(A768="","",IF(ROWS($A$5:A768)&lt;=COUNTA('Raw Decommissioning'!$B$2:$B$1000),"Decommissioning","Provisioning"))</x:f>
      </x:c>
      <x:c r="C768" s="170" t="str">
        <x:f>IF(A768="","",IF(B768="Decommissioning",IFERROR(INDEX('Raw Decommissioning'!$E$2:$E$1000,MATCH(A768,'Raw Decommissioning'!$B$2:$B$1000,0)),"Missing from latest raw"),IFERROR(INDEX('Raw Provisioning'!$E$2:$E$1000,MATCH(A768,'Raw Provisioning'!$B$2:$B$1000,0)),"Missing from latest raw")))</x:f>
      </x:c>
      <x:c r="D768" s="171" t="str">
        <x:f>IF(A768="","",'Refresh Control'!$B$4)</x:f>
      </x:c>
      <x:c r="E768" s="171" t="str">
        <x:f>IF(A768="","",IF(B768="Decommissioning",INDEX('Raw Decommissioning'!$F$2:$F$1000,ROWS($A$5:A768)),INDEX('Raw Provisioning'!$F$2:$F$1000,ROWS($A$5:A768)-COUNTA('Raw Decommissioning'!$B$2:$B$1000))))</x:f>
      </x:c>
      <x:c r="F768" s="171" t="str">
        <x:f>IF(A768="","",IF(B768="Decommissioning",INDEX('Raw Decommissioning'!$G$2:$G$1000,ROWS($A$5:A768)),INDEX('Raw Provisioning'!$H$2:$H$1000,ROWS($A$5:A768)-COUNTA('Raw Decommissioning'!$B$2:$B$1000))))</x:f>
      </x:c>
      <x:c r="G768" s="170" t="str">
        <x:f>IF(A768="","",IF(B768="Decommissioning",INDEX('Raw Decommissioning'!$I$2:$I$1000,ROWS($A$5:A768)),INDEX('Raw Provisioning'!$J$2:$J$1000,ROWS($A$5:A768)-COUNTA('Raw Decommissioning'!$B$2:$B$1000))))</x:f>
      </x:c>
      <x:c r="H768" s="170" t="str">
        <x:f>IF(A768="","",IF(B768="Decommissioning",INDEX('Raw Decommissioning'!$J$2:$J$1000,ROWS($A$5:A768)),INDEX('Raw Provisioning'!$L$2:$L$1000,ROWS($A$5:A768)-COUNTA('Raw Decommissioning'!$B$2:$B$1000))))</x:f>
      </x:c>
      <x:c r="I768" s="170" t="str">
        <x:f>IF(A768="","",IF(B768="Decommissioning",INDEX('Raw Decommissioning'!$AL$2:$AL$1000,ROWS($A$5:A768)),INDEX('Raw Provisioning'!$R$2:$R$1000,ROWS($A$5:A768)-COUNTA('Raw Decommissioning'!$B$2:$B$1000))))</x:f>
      </x:c>
      <x:c r="J768" s="170" t="str">
        <x:f>IF(A768="","",IF(B768="Decommissioning",INDEX('Raw Decommissioning'!$AG$2:$AG$1000,ROWS($A$5:A768)),INDEX('Raw Provisioning'!$AI$2:$AI$1000,ROWS($A$5:A768)-COUNTA('Raw Decommissioning'!$B$2:$B$1000))))</x:f>
      </x:c>
      <x:c r="K768" s="172" t="str">
        <x:f>IF(A768="","",IFERROR(LOOKUP(2,1/('Assignment History'!$B$5:$B$204=A768),'Assignment History'!$D$5:$D$204),IFERROR(VLOOKUP(J768,Configuration!$L$5:$M$50,2,FALSE),J768)))</x:f>
      </x:c>
      <x:c r="L768" s="172" t="str">
        <x:f>IF(A768="","",IF(K768=IFERROR(VLOOKUP(J768,Configuration!$L$5:$M$50,2,FALSE),J768),"Snapshot PIC","Replacement PIC"))</x:f>
      </x:c>
      <x:c r="M768" s="172" t="str">
        <x:f>IF(A768="","",IFERROR(VLOOKUP(I768,Configuration!$O$5:$P$8,2,FALSE),Configuration!$S$6))</x:f>
      </x:c>
      <x:c r="N768" s="172" t="str">
        <x:f>IF(A768="","",IFERROR(LOOKUP(2,1/('Scope Review'!$B$5:$B$204=A768),'Scope Review'!$G$5:$G$204),"Not Reviewed"))</x:f>
      </x:c>
      <x:c r="O768" s="172" t="str">
        <x:f>IF(A768="","",IFERROR(LOOKUP(2,1/('Scope Review'!$B$5:$B$204=A768),'Scope Review'!$H$5:$H$204),""))</x:f>
      </x:c>
      <x:c r="P768" s="172" t="str">
        <x:f>IF(A768="","",IF(AND(C768="executing",N768&lt;&gt;"Confirmed OOS"),M768,0))</x:f>
      </x:c>
      <x:c r="Q768" s="173" t="str">
        <x:f>IF(A768="","",IFERROR(LOOKUP(2,1/('Engineer Updates'!$B$5:$B$704=A768),'Engineer Updates'!$A$5:$A$704),""))</x:f>
      </x:c>
      <x:c r="R768" s="172" t="str">
        <x:f>IF(A768="","",IFERROR(LOOKUP(2,1/('Engineer Updates'!$B$5:$B$704=A768),'Engineer Updates'!$H$5:$H$704),""))</x:f>
      </x:c>
      <x:c r="S768" s="172" t="str">
        <x:f>IF(A768="","",IFERROR(LOOKUP(2,1/('Engineer Updates'!$B$5:$B$704=A768),'Engineer Updates'!$G$5:$G$704),""))</x:f>
      </x:c>
      <x:c r="T768" s="172" t="str">
        <x:f>IF(A768="","",IFERROR(LOOKUP(2,1/('Engineer Updates'!$B$5:$B$704=A768),'Engineer Updates'!$I$5:$I$704),""))</x:f>
      </x:c>
      <x:c r="U768" s="172" t="str">
        <x:f>IF(A768="","",IFERROR(LOOKUP(2,1/('Engineer Updates'!$B$5:$B$704=A768),'Engineer Updates'!$J$5:$J$704),""))</x:f>
      </x:c>
      <x:c r="V768" s="172" t="str">
        <x:f>IF(A768="","",IFERROR(LOOKUP(2,1/('Engineer Updates'!$B$5:$B$704=A768),'Engineer Updates'!$K$5:$K$704),""))</x:f>
      </x:c>
      <x:c r="W768" s="174" t="str">
        <x:f>IF(A768="","",IFERROR(LOOKUP(2,1/('Engineer Updates'!$B$5:$B$704=A768),'Engineer Updates'!$L$5:$L$704),""))</x:f>
      </x:c>
      <x:c r="X768" s="170" t="str">
        <x:f>IF(A768="","",IF(C768="completed","Completed in CSSP",IF(AND(C768="executing",ISERROR(SEARCH("@",K768))),"Executing without named engineer",IF(AND(N768="Confirmed OOS",C768="executing"),"Confirmed OOS still executing",""))))</x:f>
      </x:c>
      <x:c r="Y768" s="170" t="str">
        <x:f>IF(A768="","",IF(B768="Decommissioning","Raw Decommissioning","Raw Provisioning"))</x:f>
      </x:c>
      <x:c r="Z768" s="170" t="str">
        <x:f>IF(A768="","",IF(OR(C768="executing",C768="processing"),"Yes","No"))</x:f>
      </x:c>
    </x:row>
    <x:row r="769">
      <x:c r="A769" s="170" t="str">
        <x:f>IF(ROWS($A$5:A769)&lt;=COUNTA('Raw Decommissioning'!$B$2:$B$1000),INDEX('Raw Decommissioning'!$B$2:$B$1000,ROWS($A$5:A769)),IF(ROWS($A$5:A769)-COUNTA('Raw Decommissioning'!$B$2:$B$1000)&lt;=COUNTA('Raw Provisioning'!$B$2:$B$1000),INDEX('Raw Provisioning'!$B$2:$B$1000,ROWS($A$5:A769)-COUNTA('Raw Decommissioning'!$B$2:$B$1000)),""))</x:f>
      </x:c>
      <x:c r="B769" s="170" t="str">
        <x:f>IF(A769="","",IF(ROWS($A$5:A769)&lt;=COUNTA('Raw Decommissioning'!$B$2:$B$1000),"Decommissioning","Provisioning"))</x:f>
      </x:c>
      <x:c r="C769" s="170" t="str">
        <x:f>IF(A769="","",IF(B769="Decommissioning",IFERROR(INDEX('Raw Decommissioning'!$E$2:$E$1000,MATCH(A769,'Raw Decommissioning'!$B$2:$B$1000,0)),"Missing from latest raw"),IFERROR(INDEX('Raw Provisioning'!$E$2:$E$1000,MATCH(A769,'Raw Provisioning'!$B$2:$B$1000,0)),"Missing from latest raw")))</x:f>
      </x:c>
      <x:c r="D769" s="171" t="str">
        <x:f>IF(A769="","",'Refresh Control'!$B$4)</x:f>
      </x:c>
      <x:c r="E769" s="171" t="str">
        <x:f>IF(A769="","",IF(B769="Decommissioning",INDEX('Raw Decommissioning'!$F$2:$F$1000,ROWS($A$5:A769)),INDEX('Raw Provisioning'!$F$2:$F$1000,ROWS($A$5:A769)-COUNTA('Raw Decommissioning'!$B$2:$B$1000))))</x:f>
      </x:c>
      <x:c r="F769" s="171" t="str">
        <x:f>IF(A769="","",IF(B769="Decommissioning",INDEX('Raw Decommissioning'!$G$2:$G$1000,ROWS($A$5:A769)),INDEX('Raw Provisioning'!$H$2:$H$1000,ROWS($A$5:A769)-COUNTA('Raw Decommissioning'!$B$2:$B$1000))))</x:f>
      </x:c>
      <x:c r="G769" s="170" t="str">
        <x:f>IF(A769="","",IF(B769="Decommissioning",INDEX('Raw Decommissioning'!$I$2:$I$1000,ROWS($A$5:A769)),INDEX('Raw Provisioning'!$J$2:$J$1000,ROWS($A$5:A769)-COUNTA('Raw Decommissioning'!$B$2:$B$1000))))</x:f>
      </x:c>
      <x:c r="H769" s="170" t="str">
        <x:f>IF(A769="","",IF(B769="Decommissioning",INDEX('Raw Decommissioning'!$J$2:$J$1000,ROWS($A$5:A769)),INDEX('Raw Provisioning'!$L$2:$L$1000,ROWS($A$5:A769)-COUNTA('Raw Decommissioning'!$B$2:$B$1000))))</x:f>
      </x:c>
      <x:c r="I769" s="170" t="str">
        <x:f>IF(A769="","",IF(B769="Decommissioning",INDEX('Raw Decommissioning'!$AL$2:$AL$1000,ROWS($A$5:A769)),INDEX('Raw Provisioning'!$R$2:$R$1000,ROWS($A$5:A769)-COUNTA('Raw Decommissioning'!$B$2:$B$1000))))</x:f>
      </x:c>
      <x:c r="J769" s="170" t="str">
        <x:f>IF(A769="","",IF(B769="Decommissioning",INDEX('Raw Decommissioning'!$AG$2:$AG$1000,ROWS($A$5:A769)),INDEX('Raw Provisioning'!$AI$2:$AI$1000,ROWS($A$5:A769)-COUNTA('Raw Decommissioning'!$B$2:$B$1000))))</x:f>
      </x:c>
      <x:c r="K769" s="172" t="str">
        <x:f>IF(A769="","",IFERROR(LOOKUP(2,1/('Assignment History'!$B$5:$B$204=A769),'Assignment History'!$D$5:$D$204),IFERROR(VLOOKUP(J769,Configuration!$L$5:$M$50,2,FALSE),J769)))</x:f>
      </x:c>
      <x:c r="L769" s="172" t="str">
        <x:f>IF(A769="","",IF(K769=IFERROR(VLOOKUP(J769,Configuration!$L$5:$M$50,2,FALSE),J769),"Snapshot PIC","Replacement PIC"))</x:f>
      </x:c>
      <x:c r="M769" s="172" t="str">
        <x:f>IF(A769="","",IFERROR(VLOOKUP(I769,Configuration!$O$5:$P$8,2,FALSE),Configuration!$S$6))</x:f>
      </x:c>
      <x:c r="N769" s="172" t="str">
        <x:f>IF(A769="","",IFERROR(LOOKUP(2,1/('Scope Review'!$B$5:$B$204=A769),'Scope Review'!$G$5:$G$204),"Not Reviewed"))</x:f>
      </x:c>
      <x:c r="O769" s="172" t="str">
        <x:f>IF(A769="","",IFERROR(LOOKUP(2,1/('Scope Review'!$B$5:$B$204=A769),'Scope Review'!$H$5:$H$204),""))</x:f>
      </x:c>
      <x:c r="P769" s="172" t="str">
        <x:f>IF(A769="","",IF(AND(C769="executing",N769&lt;&gt;"Confirmed OOS"),M769,0))</x:f>
      </x:c>
      <x:c r="Q769" s="173" t="str">
        <x:f>IF(A769="","",IFERROR(LOOKUP(2,1/('Engineer Updates'!$B$5:$B$704=A769),'Engineer Updates'!$A$5:$A$704),""))</x:f>
      </x:c>
      <x:c r="R769" s="172" t="str">
        <x:f>IF(A769="","",IFERROR(LOOKUP(2,1/('Engineer Updates'!$B$5:$B$704=A769),'Engineer Updates'!$H$5:$H$704),""))</x:f>
      </x:c>
      <x:c r="S769" s="172" t="str">
        <x:f>IF(A769="","",IFERROR(LOOKUP(2,1/('Engineer Updates'!$B$5:$B$704=A769),'Engineer Updates'!$G$5:$G$704),""))</x:f>
      </x:c>
      <x:c r="T769" s="172" t="str">
        <x:f>IF(A769="","",IFERROR(LOOKUP(2,1/('Engineer Updates'!$B$5:$B$704=A769),'Engineer Updates'!$I$5:$I$704),""))</x:f>
      </x:c>
      <x:c r="U769" s="172" t="str">
        <x:f>IF(A769="","",IFERROR(LOOKUP(2,1/('Engineer Updates'!$B$5:$B$704=A769),'Engineer Updates'!$J$5:$J$704),""))</x:f>
      </x:c>
      <x:c r="V769" s="172" t="str">
        <x:f>IF(A769="","",IFERROR(LOOKUP(2,1/('Engineer Updates'!$B$5:$B$704=A769),'Engineer Updates'!$K$5:$K$704),""))</x:f>
      </x:c>
      <x:c r="W769" s="174" t="str">
        <x:f>IF(A769="","",IFERROR(LOOKUP(2,1/('Engineer Updates'!$B$5:$B$704=A769),'Engineer Updates'!$L$5:$L$704),""))</x:f>
      </x:c>
      <x:c r="X769" s="170" t="str">
        <x:f>IF(A769="","",IF(C769="completed","Completed in CSSP",IF(AND(C769="executing",ISERROR(SEARCH("@",K769))),"Executing without named engineer",IF(AND(N769="Confirmed OOS",C769="executing"),"Confirmed OOS still executing",""))))</x:f>
      </x:c>
      <x:c r="Y769" s="170" t="str">
        <x:f>IF(A769="","",IF(B769="Decommissioning","Raw Decommissioning","Raw Provisioning"))</x:f>
      </x:c>
      <x:c r="Z769" s="170" t="str">
        <x:f>IF(A769="","",IF(OR(C769="executing",C769="processing"),"Yes","No"))</x:f>
      </x:c>
    </x:row>
    <x:row r="770">
      <x:c r="A770" s="170" t="str">
        <x:f>IF(ROWS($A$5:A770)&lt;=COUNTA('Raw Decommissioning'!$B$2:$B$1000),INDEX('Raw Decommissioning'!$B$2:$B$1000,ROWS($A$5:A770)),IF(ROWS($A$5:A770)-COUNTA('Raw Decommissioning'!$B$2:$B$1000)&lt;=COUNTA('Raw Provisioning'!$B$2:$B$1000),INDEX('Raw Provisioning'!$B$2:$B$1000,ROWS($A$5:A770)-COUNTA('Raw Decommissioning'!$B$2:$B$1000)),""))</x:f>
      </x:c>
      <x:c r="B770" s="170" t="str">
        <x:f>IF(A770="","",IF(ROWS($A$5:A770)&lt;=COUNTA('Raw Decommissioning'!$B$2:$B$1000),"Decommissioning","Provisioning"))</x:f>
      </x:c>
      <x:c r="C770" s="170" t="str">
        <x:f>IF(A770="","",IF(B770="Decommissioning",IFERROR(INDEX('Raw Decommissioning'!$E$2:$E$1000,MATCH(A770,'Raw Decommissioning'!$B$2:$B$1000,0)),"Missing from latest raw"),IFERROR(INDEX('Raw Provisioning'!$E$2:$E$1000,MATCH(A770,'Raw Provisioning'!$B$2:$B$1000,0)),"Missing from latest raw")))</x:f>
      </x:c>
      <x:c r="D770" s="171" t="str">
        <x:f>IF(A770="","",'Refresh Control'!$B$4)</x:f>
      </x:c>
      <x:c r="E770" s="171" t="str">
        <x:f>IF(A770="","",IF(B770="Decommissioning",INDEX('Raw Decommissioning'!$F$2:$F$1000,ROWS($A$5:A770)),INDEX('Raw Provisioning'!$F$2:$F$1000,ROWS($A$5:A770)-COUNTA('Raw Decommissioning'!$B$2:$B$1000))))</x:f>
      </x:c>
      <x:c r="F770" s="171" t="str">
        <x:f>IF(A770="","",IF(B770="Decommissioning",INDEX('Raw Decommissioning'!$G$2:$G$1000,ROWS($A$5:A770)),INDEX('Raw Provisioning'!$H$2:$H$1000,ROWS($A$5:A770)-COUNTA('Raw Decommissioning'!$B$2:$B$1000))))</x:f>
      </x:c>
      <x:c r="G770" s="170" t="str">
        <x:f>IF(A770="","",IF(B770="Decommissioning",INDEX('Raw Decommissioning'!$I$2:$I$1000,ROWS($A$5:A770)),INDEX('Raw Provisioning'!$J$2:$J$1000,ROWS($A$5:A770)-COUNTA('Raw Decommissioning'!$B$2:$B$1000))))</x:f>
      </x:c>
      <x:c r="H770" s="170" t="str">
        <x:f>IF(A770="","",IF(B770="Decommissioning",INDEX('Raw Decommissioning'!$J$2:$J$1000,ROWS($A$5:A770)),INDEX('Raw Provisioning'!$L$2:$L$1000,ROWS($A$5:A770)-COUNTA('Raw Decommissioning'!$B$2:$B$1000))))</x:f>
      </x:c>
      <x:c r="I770" s="170" t="str">
        <x:f>IF(A770="","",IF(B770="Decommissioning",INDEX('Raw Decommissioning'!$AL$2:$AL$1000,ROWS($A$5:A770)),INDEX('Raw Provisioning'!$R$2:$R$1000,ROWS($A$5:A770)-COUNTA('Raw Decommissioning'!$B$2:$B$1000))))</x:f>
      </x:c>
      <x:c r="J770" s="170" t="str">
        <x:f>IF(A770="","",IF(B770="Decommissioning",INDEX('Raw Decommissioning'!$AG$2:$AG$1000,ROWS($A$5:A770)),INDEX('Raw Provisioning'!$AI$2:$AI$1000,ROWS($A$5:A770)-COUNTA('Raw Decommissioning'!$B$2:$B$1000))))</x:f>
      </x:c>
      <x:c r="K770" s="172" t="str">
        <x:f>IF(A770="","",IFERROR(LOOKUP(2,1/('Assignment History'!$B$5:$B$204=A770),'Assignment History'!$D$5:$D$204),IFERROR(VLOOKUP(J770,Configuration!$L$5:$M$50,2,FALSE),J770)))</x:f>
      </x:c>
      <x:c r="L770" s="172" t="str">
        <x:f>IF(A770="","",IF(K770=IFERROR(VLOOKUP(J770,Configuration!$L$5:$M$50,2,FALSE),J770),"Snapshot PIC","Replacement PIC"))</x:f>
      </x:c>
      <x:c r="M770" s="172" t="str">
        <x:f>IF(A770="","",IFERROR(VLOOKUP(I770,Configuration!$O$5:$P$8,2,FALSE),Configuration!$S$6))</x:f>
      </x:c>
      <x:c r="N770" s="172" t="str">
        <x:f>IF(A770="","",IFERROR(LOOKUP(2,1/('Scope Review'!$B$5:$B$204=A770),'Scope Review'!$G$5:$G$204),"Not Reviewed"))</x:f>
      </x:c>
      <x:c r="O770" s="172" t="str">
        <x:f>IF(A770="","",IFERROR(LOOKUP(2,1/('Scope Review'!$B$5:$B$204=A770),'Scope Review'!$H$5:$H$204),""))</x:f>
      </x:c>
      <x:c r="P770" s="172" t="str">
        <x:f>IF(A770="","",IF(AND(C770="executing",N770&lt;&gt;"Confirmed OOS"),M770,0))</x:f>
      </x:c>
      <x:c r="Q770" s="173" t="str">
        <x:f>IF(A770="","",IFERROR(LOOKUP(2,1/('Engineer Updates'!$B$5:$B$704=A770),'Engineer Updates'!$A$5:$A$704),""))</x:f>
      </x:c>
      <x:c r="R770" s="172" t="str">
        <x:f>IF(A770="","",IFERROR(LOOKUP(2,1/('Engineer Updates'!$B$5:$B$704=A770),'Engineer Updates'!$H$5:$H$704),""))</x:f>
      </x:c>
      <x:c r="S770" s="172" t="str">
        <x:f>IF(A770="","",IFERROR(LOOKUP(2,1/('Engineer Updates'!$B$5:$B$704=A770),'Engineer Updates'!$G$5:$G$704),""))</x:f>
      </x:c>
      <x:c r="T770" s="172" t="str">
        <x:f>IF(A770="","",IFERROR(LOOKUP(2,1/('Engineer Updates'!$B$5:$B$704=A770),'Engineer Updates'!$I$5:$I$704),""))</x:f>
      </x:c>
      <x:c r="U770" s="172" t="str">
        <x:f>IF(A770="","",IFERROR(LOOKUP(2,1/('Engineer Updates'!$B$5:$B$704=A770),'Engineer Updates'!$J$5:$J$704),""))</x:f>
      </x:c>
      <x:c r="V770" s="172" t="str">
        <x:f>IF(A770="","",IFERROR(LOOKUP(2,1/('Engineer Updates'!$B$5:$B$704=A770),'Engineer Updates'!$K$5:$K$704),""))</x:f>
      </x:c>
      <x:c r="W770" s="174" t="str">
        <x:f>IF(A770="","",IFERROR(LOOKUP(2,1/('Engineer Updates'!$B$5:$B$704=A770),'Engineer Updates'!$L$5:$L$704),""))</x:f>
      </x:c>
      <x:c r="X770" s="170" t="str">
        <x:f>IF(A770="","",IF(C770="completed","Completed in CSSP",IF(AND(C770="executing",ISERROR(SEARCH("@",K770))),"Executing without named engineer",IF(AND(N770="Confirmed OOS",C770="executing"),"Confirmed OOS still executing",""))))</x:f>
      </x:c>
      <x:c r="Y770" s="170" t="str">
        <x:f>IF(A770="","",IF(B770="Decommissioning","Raw Decommissioning","Raw Provisioning"))</x:f>
      </x:c>
      <x:c r="Z770" s="170" t="str">
        <x:f>IF(A770="","",IF(OR(C770="executing",C770="processing"),"Yes","No"))</x:f>
      </x:c>
    </x:row>
    <x:row r="771">
      <x:c r="A771" s="170" t="str">
        <x:f>IF(ROWS($A$5:A771)&lt;=COUNTA('Raw Decommissioning'!$B$2:$B$1000),INDEX('Raw Decommissioning'!$B$2:$B$1000,ROWS($A$5:A771)),IF(ROWS($A$5:A771)-COUNTA('Raw Decommissioning'!$B$2:$B$1000)&lt;=COUNTA('Raw Provisioning'!$B$2:$B$1000),INDEX('Raw Provisioning'!$B$2:$B$1000,ROWS($A$5:A771)-COUNTA('Raw Decommissioning'!$B$2:$B$1000)),""))</x:f>
      </x:c>
      <x:c r="B771" s="170" t="str">
        <x:f>IF(A771="","",IF(ROWS($A$5:A771)&lt;=COUNTA('Raw Decommissioning'!$B$2:$B$1000),"Decommissioning","Provisioning"))</x:f>
      </x:c>
      <x:c r="C771" s="170" t="str">
        <x:f>IF(A771="","",IF(B771="Decommissioning",IFERROR(INDEX('Raw Decommissioning'!$E$2:$E$1000,MATCH(A771,'Raw Decommissioning'!$B$2:$B$1000,0)),"Missing from latest raw"),IFERROR(INDEX('Raw Provisioning'!$E$2:$E$1000,MATCH(A771,'Raw Provisioning'!$B$2:$B$1000,0)),"Missing from latest raw")))</x:f>
      </x:c>
      <x:c r="D771" s="171" t="str">
        <x:f>IF(A771="","",'Refresh Control'!$B$4)</x:f>
      </x:c>
      <x:c r="E771" s="171" t="str">
        <x:f>IF(A771="","",IF(B771="Decommissioning",INDEX('Raw Decommissioning'!$F$2:$F$1000,ROWS($A$5:A771)),INDEX('Raw Provisioning'!$F$2:$F$1000,ROWS($A$5:A771)-COUNTA('Raw Decommissioning'!$B$2:$B$1000))))</x:f>
      </x:c>
      <x:c r="F771" s="171" t="str">
        <x:f>IF(A771="","",IF(B771="Decommissioning",INDEX('Raw Decommissioning'!$G$2:$G$1000,ROWS($A$5:A771)),INDEX('Raw Provisioning'!$H$2:$H$1000,ROWS($A$5:A771)-COUNTA('Raw Decommissioning'!$B$2:$B$1000))))</x:f>
      </x:c>
      <x:c r="G771" s="170" t="str">
        <x:f>IF(A771="","",IF(B771="Decommissioning",INDEX('Raw Decommissioning'!$I$2:$I$1000,ROWS($A$5:A771)),INDEX('Raw Provisioning'!$J$2:$J$1000,ROWS($A$5:A771)-COUNTA('Raw Decommissioning'!$B$2:$B$1000))))</x:f>
      </x:c>
      <x:c r="H771" s="170" t="str">
        <x:f>IF(A771="","",IF(B771="Decommissioning",INDEX('Raw Decommissioning'!$J$2:$J$1000,ROWS($A$5:A771)),INDEX('Raw Provisioning'!$L$2:$L$1000,ROWS($A$5:A771)-COUNTA('Raw Decommissioning'!$B$2:$B$1000))))</x:f>
      </x:c>
      <x:c r="I771" s="170" t="str">
        <x:f>IF(A771="","",IF(B771="Decommissioning",INDEX('Raw Decommissioning'!$AL$2:$AL$1000,ROWS($A$5:A771)),INDEX('Raw Provisioning'!$R$2:$R$1000,ROWS($A$5:A771)-COUNTA('Raw Decommissioning'!$B$2:$B$1000))))</x:f>
      </x:c>
      <x:c r="J771" s="170" t="str">
        <x:f>IF(A771="","",IF(B771="Decommissioning",INDEX('Raw Decommissioning'!$AG$2:$AG$1000,ROWS($A$5:A771)),INDEX('Raw Provisioning'!$AI$2:$AI$1000,ROWS($A$5:A771)-COUNTA('Raw Decommissioning'!$B$2:$B$1000))))</x:f>
      </x:c>
      <x:c r="K771" s="172" t="str">
        <x:f>IF(A771="","",IFERROR(LOOKUP(2,1/('Assignment History'!$B$5:$B$204=A771),'Assignment History'!$D$5:$D$204),IFERROR(VLOOKUP(J771,Configuration!$L$5:$M$50,2,FALSE),J771)))</x:f>
      </x:c>
      <x:c r="L771" s="172" t="str">
        <x:f>IF(A771="","",IF(K771=IFERROR(VLOOKUP(J771,Configuration!$L$5:$M$50,2,FALSE),J771),"Snapshot PIC","Replacement PIC"))</x:f>
      </x:c>
      <x:c r="M771" s="172" t="str">
        <x:f>IF(A771="","",IFERROR(VLOOKUP(I771,Configuration!$O$5:$P$8,2,FALSE),Configuration!$S$6))</x:f>
      </x:c>
      <x:c r="N771" s="172" t="str">
        <x:f>IF(A771="","",IFERROR(LOOKUP(2,1/('Scope Review'!$B$5:$B$204=A771),'Scope Review'!$G$5:$G$204),"Not Reviewed"))</x:f>
      </x:c>
      <x:c r="O771" s="172" t="str">
        <x:f>IF(A771="","",IFERROR(LOOKUP(2,1/('Scope Review'!$B$5:$B$204=A771),'Scope Review'!$H$5:$H$204),""))</x:f>
      </x:c>
      <x:c r="P771" s="172" t="str">
        <x:f>IF(A771="","",IF(AND(C771="executing",N771&lt;&gt;"Confirmed OOS"),M771,0))</x:f>
      </x:c>
      <x:c r="Q771" s="173" t="str">
        <x:f>IF(A771="","",IFERROR(LOOKUP(2,1/('Engineer Updates'!$B$5:$B$704=A771),'Engineer Updates'!$A$5:$A$704),""))</x:f>
      </x:c>
      <x:c r="R771" s="172" t="str">
        <x:f>IF(A771="","",IFERROR(LOOKUP(2,1/('Engineer Updates'!$B$5:$B$704=A771),'Engineer Updates'!$H$5:$H$704),""))</x:f>
      </x:c>
      <x:c r="S771" s="172" t="str">
        <x:f>IF(A771="","",IFERROR(LOOKUP(2,1/('Engineer Updates'!$B$5:$B$704=A771),'Engineer Updates'!$G$5:$G$704),""))</x:f>
      </x:c>
      <x:c r="T771" s="172" t="str">
        <x:f>IF(A771="","",IFERROR(LOOKUP(2,1/('Engineer Updates'!$B$5:$B$704=A771),'Engineer Updates'!$I$5:$I$704),""))</x:f>
      </x:c>
      <x:c r="U771" s="172" t="str">
        <x:f>IF(A771="","",IFERROR(LOOKUP(2,1/('Engineer Updates'!$B$5:$B$704=A771),'Engineer Updates'!$J$5:$J$704),""))</x:f>
      </x:c>
      <x:c r="V771" s="172" t="str">
        <x:f>IF(A771="","",IFERROR(LOOKUP(2,1/('Engineer Updates'!$B$5:$B$704=A771),'Engineer Updates'!$K$5:$K$704),""))</x:f>
      </x:c>
      <x:c r="W771" s="174" t="str">
        <x:f>IF(A771="","",IFERROR(LOOKUP(2,1/('Engineer Updates'!$B$5:$B$704=A771),'Engineer Updates'!$L$5:$L$704),""))</x:f>
      </x:c>
      <x:c r="X771" s="170" t="str">
        <x:f>IF(A771="","",IF(C771="completed","Completed in CSSP",IF(AND(C771="executing",ISERROR(SEARCH("@",K771))),"Executing without named engineer",IF(AND(N771="Confirmed OOS",C771="executing"),"Confirmed OOS still executing",""))))</x:f>
      </x:c>
      <x:c r="Y771" s="170" t="str">
        <x:f>IF(A771="","",IF(B771="Decommissioning","Raw Decommissioning","Raw Provisioning"))</x:f>
      </x:c>
      <x:c r="Z771" s="170" t="str">
        <x:f>IF(A771="","",IF(OR(C771="executing",C771="processing"),"Yes","No"))</x:f>
      </x:c>
    </x:row>
    <x:row r="772">
      <x:c r="A772" s="170" t="str">
        <x:f>IF(ROWS($A$5:A772)&lt;=COUNTA('Raw Decommissioning'!$B$2:$B$1000),INDEX('Raw Decommissioning'!$B$2:$B$1000,ROWS($A$5:A772)),IF(ROWS($A$5:A772)-COUNTA('Raw Decommissioning'!$B$2:$B$1000)&lt;=COUNTA('Raw Provisioning'!$B$2:$B$1000),INDEX('Raw Provisioning'!$B$2:$B$1000,ROWS($A$5:A772)-COUNTA('Raw Decommissioning'!$B$2:$B$1000)),""))</x:f>
      </x:c>
      <x:c r="B772" s="170" t="str">
        <x:f>IF(A772="","",IF(ROWS($A$5:A772)&lt;=COUNTA('Raw Decommissioning'!$B$2:$B$1000),"Decommissioning","Provisioning"))</x:f>
      </x:c>
      <x:c r="C772" s="170" t="str">
        <x:f>IF(A772="","",IF(B772="Decommissioning",IFERROR(INDEX('Raw Decommissioning'!$E$2:$E$1000,MATCH(A772,'Raw Decommissioning'!$B$2:$B$1000,0)),"Missing from latest raw"),IFERROR(INDEX('Raw Provisioning'!$E$2:$E$1000,MATCH(A772,'Raw Provisioning'!$B$2:$B$1000,0)),"Missing from latest raw")))</x:f>
      </x:c>
      <x:c r="D772" s="171" t="str">
        <x:f>IF(A772="","",'Refresh Control'!$B$4)</x:f>
      </x:c>
      <x:c r="E772" s="171" t="str">
        <x:f>IF(A772="","",IF(B772="Decommissioning",INDEX('Raw Decommissioning'!$F$2:$F$1000,ROWS($A$5:A772)),INDEX('Raw Provisioning'!$F$2:$F$1000,ROWS($A$5:A772)-COUNTA('Raw Decommissioning'!$B$2:$B$1000))))</x:f>
      </x:c>
      <x:c r="F772" s="171" t="str">
        <x:f>IF(A772="","",IF(B772="Decommissioning",INDEX('Raw Decommissioning'!$G$2:$G$1000,ROWS($A$5:A772)),INDEX('Raw Provisioning'!$H$2:$H$1000,ROWS($A$5:A772)-COUNTA('Raw Decommissioning'!$B$2:$B$1000))))</x:f>
      </x:c>
      <x:c r="G772" s="170" t="str">
        <x:f>IF(A772="","",IF(B772="Decommissioning",INDEX('Raw Decommissioning'!$I$2:$I$1000,ROWS($A$5:A772)),INDEX('Raw Provisioning'!$J$2:$J$1000,ROWS($A$5:A772)-COUNTA('Raw Decommissioning'!$B$2:$B$1000))))</x:f>
      </x:c>
      <x:c r="H772" s="170" t="str">
        <x:f>IF(A772="","",IF(B772="Decommissioning",INDEX('Raw Decommissioning'!$J$2:$J$1000,ROWS($A$5:A772)),INDEX('Raw Provisioning'!$L$2:$L$1000,ROWS($A$5:A772)-COUNTA('Raw Decommissioning'!$B$2:$B$1000))))</x:f>
      </x:c>
      <x:c r="I772" s="170" t="str">
        <x:f>IF(A772="","",IF(B772="Decommissioning",INDEX('Raw Decommissioning'!$AL$2:$AL$1000,ROWS($A$5:A772)),INDEX('Raw Provisioning'!$R$2:$R$1000,ROWS($A$5:A772)-COUNTA('Raw Decommissioning'!$B$2:$B$1000))))</x:f>
      </x:c>
      <x:c r="J772" s="170" t="str">
        <x:f>IF(A772="","",IF(B772="Decommissioning",INDEX('Raw Decommissioning'!$AG$2:$AG$1000,ROWS($A$5:A772)),INDEX('Raw Provisioning'!$AI$2:$AI$1000,ROWS($A$5:A772)-COUNTA('Raw Decommissioning'!$B$2:$B$1000))))</x:f>
      </x:c>
      <x:c r="K772" s="172" t="str">
        <x:f>IF(A772="","",IFERROR(LOOKUP(2,1/('Assignment History'!$B$5:$B$204=A772),'Assignment History'!$D$5:$D$204),IFERROR(VLOOKUP(J772,Configuration!$L$5:$M$50,2,FALSE),J772)))</x:f>
      </x:c>
      <x:c r="L772" s="172" t="str">
        <x:f>IF(A772="","",IF(K772=IFERROR(VLOOKUP(J772,Configuration!$L$5:$M$50,2,FALSE),J772),"Snapshot PIC","Replacement PIC"))</x:f>
      </x:c>
      <x:c r="M772" s="172" t="str">
        <x:f>IF(A772="","",IFERROR(VLOOKUP(I772,Configuration!$O$5:$P$8,2,FALSE),Configuration!$S$6))</x:f>
      </x:c>
      <x:c r="N772" s="172" t="str">
        <x:f>IF(A772="","",IFERROR(LOOKUP(2,1/('Scope Review'!$B$5:$B$204=A772),'Scope Review'!$G$5:$G$204),"Not Reviewed"))</x:f>
      </x:c>
      <x:c r="O772" s="172" t="str">
        <x:f>IF(A772="","",IFERROR(LOOKUP(2,1/('Scope Review'!$B$5:$B$204=A772),'Scope Review'!$H$5:$H$204),""))</x:f>
      </x:c>
      <x:c r="P772" s="172" t="str">
        <x:f>IF(A772="","",IF(AND(C772="executing",N772&lt;&gt;"Confirmed OOS"),M772,0))</x:f>
      </x:c>
      <x:c r="Q772" s="173" t="str">
        <x:f>IF(A772="","",IFERROR(LOOKUP(2,1/('Engineer Updates'!$B$5:$B$704=A772),'Engineer Updates'!$A$5:$A$704),""))</x:f>
      </x:c>
      <x:c r="R772" s="172" t="str">
        <x:f>IF(A772="","",IFERROR(LOOKUP(2,1/('Engineer Updates'!$B$5:$B$704=A772),'Engineer Updates'!$H$5:$H$704),""))</x:f>
      </x:c>
      <x:c r="S772" s="172" t="str">
        <x:f>IF(A772="","",IFERROR(LOOKUP(2,1/('Engineer Updates'!$B$5:$B$704=A772),'Engineer Updates'!$G$5:$G$704),""))</x:f>
      </x:c>
      <x:c r="T772" s="172" t="str">
        <x:f>IF(A772="","",IFERROR(LOOKUP(2,1/('Engineer Updates'!$B$5:$B$704=A772),'Engineer Updates'!$I$5:$I$704),""))</x:f>
      </x:c>
      <x:c r="U772" s="172" t="str">
        <x:f>IF(A772="","",IFERROR(LOOKUP(2,1/('Engineer Updates'!$B$5:$B$704=A772),'Engineer Updates'!$J$5:$J$704),""))</x:f>
      </x:c>
      <x:c r="V772" s="172" t="str">
        <x:f>IF(A772="","",IFERROR(LOOKUP(2,1/('Engineer Updates'!$B$5:$B$704=A772),'Engineer Updates'!$K$5:$K$704),""))</x:f>
      </x:c>
      <x:c r="W772" s="174" t="str">
        <x:f>IF(A772="","",IFERROR(LOOKUP(2,1/('Engineer Updates'!$B$5:$B$704=A772),'Engineer Updates'!$L$5:$L$704),""))</x:f>
      </x:c>
      <x:c r="X772" s="170" t="str">
        <x:f>IF(A772="","",IF(C772="completed","Completed in CSSP",IF(AND(C772="executing",ISERROR(SEARCH("@",K772))),"Executing without named engineer",IF(AND(N772="Confirmed OOS",C772="executing"),"Confirmed OOS still executing",""))))</x:f>
      </x:c>
      <x:c r="Y772" s="170" t="str">
        <x:f>IF(A772="","",IF(B772="Decommissioning","Raw Decommissioning","Raw Provisioning"))</x:f>
      </x:c>
      <x:c r="Z772" s="170" t="str">
        <x:f>IF(A772="","",IF(OR(C772="executing",C772="processing"),"Yes","No"))</x:f>
      </x:c>
    </x:row>
    <x:row r="773">
      <x:c r="A773" s="170" t="str">
        <x:f>IF(ROWS($A$5:A773)&lt;=COUNTA('Raw Decommissioning'!$B$2:$B$1000),INDEX('Raw Decommissioning'!$B$2:$B$1000,ROWS($A$5:A773)),IF(ROWS($A$5:A773)-COUNTA('Raw Decommissioning'!$B$2:$B$1000)&lt;=COUNTA('Raw Provisioning'!$B$2:$B$1000),INDEX('Raw Provisioning'!$B$2:$B$1000,ROWS($A$5:A773)-COUNTA('Raw Decommissioning'!$B$2:$B$1000)),""))</x:f>
      </x:c>
      <x:c r="B773" s="170" t="str">
        <x:f>IF(A773="","",IF(ROWS($A$5:A773)&lt;=COUNTA('Raw Decommissioning'!$B$2:$B$1000),"Decommissioning","Provisioning"))</x:f>
      </x:c>
      <x:c r="C773" s="170" t="str">
        <x:f>IF(A773="","",IF(B773="Decommissioning",IFERROR(INDEX('Raw Decommissioning'!$E$2:$E$1000,MATCH(A773,'Raw Decommissioning'!$B$2:$B$1000,0)),"Missing from latest raw"),IFERROR(INDEX('Raw Provisioning'!$E$2:$E$1000,MATCH(A773,'Raw Provisioning'!$B$2:$B$1000,0)),"Missing from latest raw")))</x:f>
      </x:c>
      <x:c r="D773" s="171" t="str">
        <x:f>IF(A773="","",'Refresh Control'!$B$4)</x:f>
      </x:c>
      <x:c r="E773" s="171" t="str">
        <x:f>IF(A773="","",IF(B773="Decommissioning",INDEX('Raw Decommissioning'!$F$2:$F$1000,ROWS($A$5:A773)),INDEX('Raw Provisioning'!$F$2:$F$1000,ROWS($A$5:A773)-COUNTA('Raw Decommissioning'!$B$2:$B$1000))))</x:f>
      </x:c>
      <x:c r="F773" s="171" t="str">
        <x:f>IF(A773="","",IF(B773="Decommissioning",INDEX('Raw Decommissioning'!$G$2:$G$1000,ROWS($A$5:A773)),INDEX('Raw Provisioning'!$H$2:$H$1000,ROWS($A$5:A773)-COUNTA('Raw Decommissioning'!$B$2:$B$1000))))</x:f>
      </x:c>
      <x:c r="G773" s="170" t="str">
        <x:f>IF(A773="","",IF(B773="Decommissioning",INDEX('Raw Decommissioning'!$I$2:$I$1000,ROWS($A$5:A773)),INDEX('Raw Provisioning'!$J$2:$J$1000,ROWS($A$5:A773)-COUNTA('Raw Decommissioning'!$B$2:$B$1000))))</x:f>
      </x:c>
      <x:c r="H773" s="170" t="str">
        <x:f>IF(A773="","",IF(B773="Decommissioning",INDEX('Raw Decommissioning'!$J$2:$J$1000,ROWS($A$5:A773)),INDEX('Raw Provisioning'!$L$2:$L$1000,ROWS($A$5:A773)-COUNTA('Raw Decommissioning'!$B$2:$B$1000))))</x:f>
      </x:c>
      <x:c r="I773" s="170" t="str">
        <x:f>IF(A773="","",IF(B773="Decommissioning",INDEX('Raw Decommissioning'!$AL$2:$AL$1000,ROWS($A$5:A773)),INDEX('Raw Provisioning'!$R$2:$R$1000,ROWS($A$5:A773)-COUNTA('Raw Decommissioning'!$B$2:$B$1000))))</x:f>
      </x:c>
      <x:c r="J773" s="170" t="str">
        <x:f>IF(A773="","",IF(B773="Decommissioning",INDEX('Raw Decommissioning'!$AG$2:$AG$1000,ROWS($A$5:A773)),INDEX('Raw Provisioning'!$AI$2:$AI$1000,ROWS($A$5:A773)-COUNTA('Raw Decommissioning'!$B$2:$B$1000))))</x:f>
      </x:c>
      <x:c r="K773" s="172" t="str">
        <x:f>IF(A773="","",IFERROR(LOOKUP(2,1/('Assignment History'!$B$5:$B$204=A773),'Assignment History'!$D$5:$D$204),IFERROR(VLOOKUP(J773,Configuration!$L$5:$M$50,2,FALSE),J773)))</x:f>
      </x:c>
      <x:c r="L773" s="172" t="str">
        <x:f>IF(A773="","",IF(K773=IFERROR(VLOOKUP(J773,Configuration!$L$5:$M$50,2,FALSE),J773),"Snapshot PIC","Replacement PIC"))</x:f>
      </x:c>
      <x:c r="M773" s="172" t="str">
        <x:f>IF(A773="","",IFERROR(VLOOKUP(I773,Configuration!$O$5:$P$8,2,FALSE),Configuration!$S$6))</x:f>
      </x:c>
      <x:c r="N773" s="172" t="str">
        <x:f>IF(A773="","",IFERROR(LOOKUP(2,1/('Scope Review'!$B$5:$B$204=A773),'Scope Review'!$G$5:$G$204),"Not Reviewed"))</x:f>
      </x:c>
      <x:c r="O773" s="172" t="str">
        <x:f>IF(A773="","",IFERROR(LOOKUP(2,1/('Scope Review'!$B$5:$B$204=A773),'Scope Review'!$H$5:$H$204),""))</x:f>
      </x:c>
      <x:c r="P773" s="172" t="str">
        <x:f>IF(A773="","",IF(AND(C773="executing",N773&lt;&gt;"Confirmed OOS"),M773,0))</x:f>
      </x:c>
      <x:c r="Q773" s="173" t="str">
        <x:f>IF(A773="","",IFERROR(LOOKUP(2,1/('Engineer Updates'!$B$5:$B$704=A773),'Engineer Updates'!$A$5:$A$704),""))</x:f>
      </x:c>
      <x:c r="R773" s="172" t="str">
        <x:f>IF(A773="","",IFERROR(LOOKUP(2,1/('Engineer Updates'!$B$5:$B$704=A773),'Engineer Updates'!$H$5:$H$704),""))</x:f>
      </x:c>
      <x:c r="S773" s="172" t="str">
        <x:f>IF(A773="","",IFERROR(LOOKUP(2,1/('Engineer Updates'!$B$5:$B$704=A773),'Engineer Updates'!$G$5:$G$704),""))</x:f>
      </x:c>
      <x:c r="T773" s="172" t="str">
        <x:f>IF(A773="","",IFERROR(LOOKUP(2,1/('Engineer Updates'!$B$5:$B$704=A773),'Engineer Updates'!$I$5:$I$704),""))</x:f>
      </x:c>
      <x:c r="U773" s="172" t="str">
        <x:f>IF(A773="","",IFERROR(LOOKUP(2,1/('Engineer Updates'!$B$5:$B$704=A773),'Engineer Updates'!$J$5:$J$704),""))</x:f>
      </x:c>
      <x:c r="V773" s="172" t="str">
        <x:f>IF(A773="","",IFERROR(LOOKUP(2,1/('Engineer Updates'!$B$5:$B$704=A773),'Engineer Updates'!$K$5:$K$704),""))</x:f>
      </x:c>
      <x:c r="W773" s="174" t="str">
        <x:f>IF(A773="","",IFERROR(LOOKUP(2,1/('Engineer Updates'!$B$5:$B$704=A773),'Engineer Updates'!$L$5:$L$704),""))</x:f>
      </x:c>
      <x:c r="X773" s="170" t="str">
        <x:f>IF(A773="","",IF(C773="completed","Completed in CSSP",IF(AND(C773="executing",ISERROR(SEARCH("@",K773))),"Executing without named engineer",IF(AND(N773="Confirmed OOS",C773="executing"),"Confirmed OOS still executing",""))))</x:f>
      </x:c>
      <x:c r="Y773" s="170" t="str">
        <x:f>IF(A773="","",IF(B773="Decommissioning","Raw Decommissioning","Raw Provisioning"))</x:f>
      </x:c>
      <x:c r="Z773" s="170" t="str">
        <x:f>IF(A773="","",IF(OR(C773="executing",C773="processing"),"Yes","No"))</x:f>
      </x:c>
    </x:row>
    <x:row r="774">
      <x:c r="A774" s="170" t="str">
        <x:f>IF(ROWS($A$5:A774)&lt;=COUNTA('Raw Decommissioning'!$B$2:$B$1000),INDEX('Raw Decommissioning'!$B$2:$B$1000,ROWS($A$5:A774)),IF(ROWS($A$5:A774)-COUNTA('Raw Decommissioning'!$B$2:$B$1000)&lt;=COUNTA('Raw Provisioning'!$B$2:$B$1000),INDEX('Raw Provisioning'!$B$2:$B$1000,ROWS($A$5:A774)-COUNTA('Raw Decommissioning'!$B$2:$B$1000)),""))</x:f>
      </x:c>
      <x:c r="B774" s="170" t="str">
        <x:f>IF(A774="","",IF(ROWS($A$5:A774)&lt;=COUNTA('Raw Decommissioning'!$B$2:$B$1000),"Decommissioning","Provisioning"))</x:f>
      </x:c>
      <x:c r="C774" s="170" t="str">
        <x:f>IF(A774="","",IF(B774="Decommissioning",IFERROR(INDEX('Raw Decommissioning'!$E$2:$E$1000,MATCH(A774,'Raw Decommissioning'!$B$2:$B$1000,0)),"Missing from latest raw"),IFERROR(INDEX('Raw Provisioning'!$E$2:$E$1000,MATCH(A774,'Raw Provisioning'!$B$2:$B$1000,0)),"Missing from latest raw")))</x:f>
      </x:c>
      <x:c r="D774" s="171" t="str">
        <x:f>IF(A774="","",'Refresh Control'!$B$4)</x:f>
      </x:c>
      <x:c r="E774" s="171" t="str">
        <x:f>IF(A774="","",IF(B774="Decommissioning",INDEX('Raw Decommissioning'!$F$2:$F$1000,ROWS($A$5:A774)),INDEX('Raw Provisioning'!$F$2:$F$1000,ROWS($A$5:A774)-COUNTA('Raw Decommissioning'!$B$2:$B$1000))))</x:f>
      </x:c>
      <x:c r="F774" s="171" t="str">
        <x:f>IF(A774="","",IF(B774="Decommissioning",INDEX('Raw Decommissioning'!$G$2:$G$1000,ROWS($A$5:A774)),INDEX('Raw Provisioning'!$H$2:$H$1000,ROWS($A$5:A774)-COUNTA('Raw Decommissioning'!$B$2:$B$1000))))</x:f>
      </x:c>
      <x:c r="G774" s="170" t="str">
        <x:f>IF(A774="","",IF(B774="Decommissioning",INDEX('Raw Decommissioning'!$I$2:$I$1000,ROWS($A$5:A774)),INDEX('Raw Provisioning'!$J$2:$J$1000,ROWS($A$5:A774)-COUNTA('Raw Decommissioning'!$B$2:$B$1000))))</x:f>
      </x:c>
      <x:c r="H774" s="170" t="str">
        <x:f>IF(A774="","",IF(B774="Decommissioning",INDEX('Raw Decommissioning'!$J$2:$J$1000,ROWS($A$5:A774)),INDEX('Raw Provisioning'!$L$2:$L$1000,ROWS($A$5:A774)-COUNTA('Raw Decommissioning'!$B$2:$B$1000))))</x:f>
      </x:c>
      <x:c r="I774" s="170" t="str">
        <x:f>IF(A774="","",IF(B774="Decommissioning",INDEX('Raw Decommissioning'!$AL$2:$AL$1000,ROWS($A$5:A774)),INDEX('Raw Provisioning'!$R$2:$R$1000,ROWS($A$5:A774)-COUNTA('Raw Decommissioning'!$B$2:$B$1000))))</x:f>
      </x:c>
      <x:c r="J774" s="170" t="str">
        <x:f>IF(A774="","",IF(B774="Decommissioning",INDEX('Raw Decommissioning'!$AG$2:$AG$1000,ROWS($A$5:A774)),INDEX('Raw Provisioning'!$AI$2:$AI$1000,ROWS($A$5:A774)-COUNTA('Raw Decommissioning'!$B$2:$B$1000))))</x:f>
      </x:c>
      <x:c r="K774" s="172" t="str">
        <x:f>IF(A774="","",IFERROR(LOOKUP(2,1/('Assignment History'!$B$5:$B$204=A774),'Assignment History'!$D$5:$D$204),IFERROR(VLOOKUP(J774,Configuration!$L$5:$M$50,2,FALSE),J774)))</x:f>
      </x:c>
      <x:c r="L774" s="172" t="str">
        <x:f>IF(A774="","",IF(K774=IFERROR(VLOOKUP(J774,Configuration!$L$5:$M$50,2,FALSE),J774),"Snapshot PIC","Replacement PIC"))</x:f>
      </x:c>
      <x:c r="M774" s="172" t="str">
        <x:f>IF(A774="","",IFERROR(VLOOKUP(I774,Configuration!$O$5:$P$8,2,FALSE),Configuration!$S$6))</x:f>
      </x:c>
      <x:c r="N774" s="172" t="str">
        <x:f>IF(A774="","",IFERROR(LOOKUP(2,1/('Scope Review'!$B$5:$B$204=A774),'Scope Review'!$G$5:$G$204),"Not Reviewed"))</x:f>
      </x:c>
      <x:c r="O774" s="172" t="str">
        <x:f>IF(A774="","",IFERROR(LOOKUP(2,1/('Scope Review'!$B$5:$B$204=A774),'Scope Review'!$H$5:$H$204),""))</x:f>
      </x:c>
      <x:c r="P774" s="172" t="str">
        <x:f>IF(A774="","",IF(AND(C774="executing",N774&lt;&gt;"Confirmed OOS"),M774,0))</x:f>
      </x:c>
      <x:c r="Q774" s="173" t="str">
        <x:f>IF(A774="","",IFERROR(LOOKUP(2,1/('Engineer Updates'!$B$5:$B$704=A774),'Engineer Updates'!$A$5:$A$704),""))</x:f>
      </x:c>
      <x:c r="R774" s="172" t="str">
        <x:f>IF(A774="","",IFERROR(LOOKUP(2,1/('Engineer Updates'!$B$5:$B$704=A774),'Engineer Updates'!$H$5:$H$704),""))</x:f>
      </x:c>
      <x:c r="S774" s="172" t="str">
        <x:f>IF(A774="","",IFERROR(LOOKUP(2,1/('Engineer Updates'!$B$5:$B$704=A774),'Engineer Updates'!$G$5:$G$704),""))</x:f>
      </x:c>
      <x:c r="T774" s="172" t="str">
        <x:f>IF(A774="","",IFERROR(LOOKUP(2,1/('Engineer Updates'!$B$5:$B$704=A774),'Engineer Updates'!$I$5:$I$704),""))</x:f>
      </x:c>
      <x:c r="U774" s="172" t="str">
        <x:f>IF(A774="","",IFERROR(LOOKUP(2,1/('Engineer Updates'!$B$5:$B$704=A774),'Engineer Updates'!$J$5:$J$704),""))</x:f>
      </x:c>
      <x:c r="V774" s="172" t="str">
        <x:f>IF(A774="","",IFERROR(LOOKUP(2,1/('Engineer Updates'!$B$5:$B$704=A774),'Engineer Updates'!$K$5:$K$704),""))</x:f>
      </x:c>
      <x:c r="W774" s="174" t="str">
        <x:f>IF(A774="","",IFERROR(LOOKUP(2,1/('Engineer Updates'!$B$5:$B$704=A774),'Engineer Updates'!$L$5:$L$704),""))</x:f>
      </x:c>
      <x:c r="X774" s="170" t="str">
        <x:f>IF(A774="","",IF(C774="completed","Completed in CSSP",IF(AND(C774="executing",ISERROR(SEARCH("@",K774))),"Executing without named engineer",IF(AND(N774="Confirmed OOS",C774="executing"),"Confirmed OOS still executing",""))))</x:f>
      </x:c>
      <x:c r="Y774" s="170" t="str">
        <x:f>IF(A774="","",IF(B774="Decommissioning","Raw Decommissioning","Raw Provisioning"))</x:f>
      </x:c>
      <x:c r="Z774" s="170" t="str">
        <x:f>IF(A774="","",IF(OR(C774="executing",C774="processing"),"Yes","No"))</x:f>
      </x:c>
    </x:row>
    <x:row r="775">
      <x:c r="A775" s="170" t="str">
        <x:f>IF(ROWS($A$5:A775)&lt;=COUNTA('Raw Decommissioning'!$B$2:$B$1000),INDEX('Raw Decommissioning'!$B$2:$B$1000,ROWS($A$5:A775)),IF(ROWS($A$5:A775)-COUNTA('Raw Decommissioning'!$B$2:$B$1000)&lt;=COUNTA('Raw Provisioning'!$B$2:$B$1000),INDEX('Raw Provisioning'!$B$2:$B$1000,ROWS($A$5:A775)-COUNTA('Raw Decommissioning'!$B$2:$B$1000)),""))</x:f>
      </x:c>
      <x:c r="B775" s="170" t="str">
        <x:f>IF(A775="","",IF(ROWS($A$5:A775)&lt;=COUNTA('Raw Decommissioning'!$B$2:$B$1000),"Decommissioning","Provisioning"))</x:f>
      </x:c>
      <x:c r="C775" s="170" t="str">
        <x:f>IF(A775="","",IF(B775="Decommissioning",IFERROR(INDEX('Raw Decommissioning'!$E$2:$E$1000,MATCH(A775,'Raw Decommissioning'!$B$2:$B$1000,0)),"Missing from latest raw"),IFERROR(INDEX('Raw Provisioning'!$E$2:$E$1000,MATCH(A775,'Raw Provisioning'!$B$2:$B$1000,0)),"Missing from latest raw")))</x:f>
      </x:c>
      <x:c r="D775" s="171" t="str">
        <x:f>IF(A775="","",'Refresh Control'!$B$4)</x:f>
      </x:c>
      <x:c r="E775" s="171" t="str">
        <x:f>IF(A775="","",IF(B775="Decommissioning",INDEX('Raw Decommissioning'!$F$2:$F$1000,ROWS($A$5:A775)),INDEX('Raw Provisioning'!$F$2:$F$1000,ROWS($A$5:A775)-COUNTA('Raw Decommissioning'!$B$2:$B$1000))))</x:f>
      </x:c>
      <x:c r="F775" s="171" t="str">
        <x:f>IF(A775="","",IF(B775="Decommissioning",INDEX('Raw Decommissioning'!$G$2:$G$1000,ROWS($A$5:A775)),INDEX('Raw Provisioning'!$H$2:$H$1000,ROWS($A$5:A775)-COUNTA('Raw Decommissioning'!$B$2:$B$1000))))</x:f>
      </x:c>
      <x:c r="G775" s="170" t="str">
        <x:f>IF(A775="","",IF(B775="Decommissioning",INDEX('Raw Decommissioning'!$I$2:$I$1000,ROWS($A$5:A775)),INDEX('Raw Provisioning'!$J$2:$J$1000,ROWS($A$5:A775)-COUNTA('Raw Decommissioning'!$B$2:$B$1000))))</x:f>
      </x:c>
      <x:c r="H775" s="170" t="str">
        <x:f>IF(A775="","",IF(B775="Decommissioning",INDEX('Raw Decommissioning'!$J$2:$J$1000,ROWS($A$5:A775)),INDEX('Raw Provisioning'!$L$2:$L$1000,ROWS($A$5:A775)-COUNTA('Raw Decommissioning'!$B$2:$B$1000))))</x:f>
      </x:c>
      <x:c r="I775" s="170" t="str">
        <x:f>IF(A775="","",IF(B775="Decommissioning",INDEX('Raw Decommissioning'!$AL$2:$AL$1000,ROWS($A$5:A775)),INDEX('Raw Provisioning'!$R$2:$R$1000,ROWS($A$5:A775)-COUNTA('Raw Decommissioning'!$B$2:$B$1000))))</x:f>
      </x:c>
      <x:c r="J775" s="170" t="str">
        <x:f>IF(A775="","",IF(B775="Decommissioning",INDEX('Raw Decommissioning'!$AG$2:$AG$1000,ROWS($A$5:A775)),INDEX('Raw Provisioning'!$AI$2:$AI$1000,ROWS($A$5:A775)-COUNTA('Raw Decommissioning'!$B$2:$B$1000))))</x:f>
      </x:c>
      <x:c r="K775" s="172" t="str">
        <x:f>IF(A775="","",IFERROR(LOOKUP(2,1/('Assignment History'!$B$5:$B$204=A775),'Assignment History'!$D$5:$D$204),IFERROR(VLOOKUP(J775,Configuration!$L$5:$M$50,2,FALSE),J775)))</x:f>
      </x:c>
      <x:c r="L775" s="172" t="str">
        <x:f>IF(A775="","",IF(K775=IFERROR(VLOOKUP(J775,Configuration!$L$5:$M$50,2,FALSE),J775),"Snapshot PIC","Replacement PIC"))</x:f>
      </x:c>
      <x:c r="M775" s="172" t="str">
        <x:f>IF(A775="","",IFERROR(VLOOKUP(I775,Configuration!$O$5:$P$8,2,FALSE),Configuration!$S$6))</x:f>
      </x:c>
      <x:c r="N775" s="172" t="str">
        <x:f>IF(A775="","",IFERROR(LOOKUP(2,1/('Scope Review'!$B$5:$B$204=A775),'Scope Review'!$G$5:$G$204),"Not Reviewed"))</x:f>
      </x:c>
      <x:c r="O775" s="172" t="str">
        <x:f>IF(A775="","",IFERROR(LOOKUP(2,1/('Scope Review'!$B$5:$B$204=A775),'Scope Review'!$H$5:$H$204),""))</x:f>
      </x:c>
      <x:c r="P775" s="172" t="str">
        <x:f>IF(A775="","",IF(AND(C775="executing",N775&lt;&gt;"Confirmed OOS"),M775,0))</x:f>
      </x:c>
      <x:c r="Q775" s="173" t="str">
        <x:f>IF(A775="","",IFERROR(LOOKUP(2,1/('Engineer Updates'!$B$5:$B$704=A775),'Engineer Updates'!$A$5:$A$704),""))</x:f>
      </x:c>
      <x:c r="R775" s="172" t="str">
        <x:f>IF(A775="","",IFERROR(LOOKUP(2,1/('Engineer Updates'!$B$5:$B$704=A775),'Engineer Updates'!$H$5:$H$704),""))</x:f>
      </x:c>
      <x:c r="S775" s="172" t="str">
        <x:f>IF(A775="","",IFERROR(LOOKUP(2,1/('Engineer Updates'!$B$5:$B$704=A775),'Engineer Updates'!$G$5:$G$704),""))</x:f>
      </x:c>
      <x:c r="T775" s="172" t="str">
        <x:f>IF(A775="","",IFERROR(LOOKUP(2,1/('Engineer Updates'!$B$5:$B$704=A775),'Engineer Updates'!$I$5:$I$704),""))</x:f>
      </x:c>
      <x:c r="U775" s="172" t="str">
        <x:f>IF(A775="","",IFERROR(LOOKUP(2,1/('Engineer Updates'!$B$5:$B$704=A775),'Engineer Updates'!$J$5:$J$704),""))</x:f>
      </x:c>
      <x:c r="V775" s="172" t="str">
        <x:f>IF(A775="","",IFERROR(LOOKUP(2,1/('Engineer Updates'!$B$5:$B$704=A775),'Engineer Updates'!$K$5:$K$704),""))</x:f>
      </x:c>
      <x:c r="W775" s="174" t="str">
        <x:f>IF(A775="","",IFERROR(LOOKUP(2,1/('Engineer Updates'!$B$5:$B$704=A775),'Engineer Updates'!$L$5:$L$704),""))</x:f>
      </x:c>
      <x:c r="X775" s="170" t="str">
        <x:f>IF(A775="","",IF(C775="completed","Completed in CSSP",IF(AND(C775="executing",ISERROR(SEARCH("@",K775))),"Executing without named engineer",IF(AND(N775="Confirmed OOS",C775="executing"),"Confirmed OOS still executing",""))))</x:f>
      </x:c>
      <x:c r="Y775" s="170" t="str">
        <x:f>IF(A775="","",IF(B775="Decommissioning","Raw Decommissioning","Raw Provisioning"))</x:f>
      </x:c>
      <x:c r="Z775" s="170" t="str">
        <x:f>IF(A775="","",IF(OR(C775="executing",C775="processing"),"Yes","No"))</x:f>
      </x:c>
    </x:row>
    <x:row r="776">
      <x:c r="A776" s="170" t="str">
        <x:f>IF(ROWS($A$5:A776)&lt;=COUNTA('Raw Decommissioning'!$B$2:$B$1000),INDEX('Raw Decommissioning'!$B$2:$B$1000,ROWS($A$5:A776)),IF(ROWS($A$5:A776)-COUNTA('Raw Decommissioning'!$B$2:$B$1000)&lt;=COUNTA('Raw Provisioning'!$B$2:$B$1000),INDEX('Raw Provisioning'!$B$2:$B$1000,ROWS($A$5:A776)-COUNTA('Raw Decommissioning'!$B$2:$B$1000)),""))</x:f>
      </x:c>
      <x:c r="B776" s="170" t="str">
        <x:f>IF(A776="","",IF(ROWS($A$5:A776)&lt;=COUNTA('Raw Decommissioning'!$B$2:$B$1000),"Decommissioning","Provisioning"))</x:f>
      </x:c>
      <x:c r="C776" s="170" t="str">
        <x:f>IF(A776="","",IF(B776="Decommissioning",IFERROR(INDEX('Raw Decommissioning'!$E$2:$E$1000,MATCH(A776,'Raw Decommissioning'!$B$2:$B$1000,0)),"Missing from latest raw"),IFERROR(INDEX('Raw Provisioning'!$E$2:$E$1000,MATCH(A776,'Raw Provisioning'!$B$2:$B$1000,0)),"Missing from latest raw")))</x:f>
      </x:c>
      <x:c r="D776" s="171" t="str">
        <x:f>IF(A776="","",'Refresh Control'!$B$4)</x:f>
      </x:c>
      <x:c r="E776" s="171" t="str">
        <x:f>IF(A776="","",IF(B776="Decommissioning",INDEX('Raw Decommissioning'!$F$2:$F$1000,ROWS($A$5:A776)),INDEX('Raw Provisioning'!$F$2:$F$1000,ROWS($A$5:A776)-COUNTA('Raw Decommissioning'!$B$2:$B$1000))))</x:f>
      </x:c>
      <x:c r="F776" s="171" t="str">
        <x:f>IF(A776="","",IF(B776="Decommissioning",INDEX('Raw Decommissioning'!$G$2:$G$1000,ROWS($A$5:A776)),INDEX('Raw Provisioning'!$H$2:$H$1000,ROWS($A$5:A776)-COUNTA('Raw Decommissioning'!$B$2:$B$1000))))</x:f>
      </x:c>
      <x:c r="G776" s="170" t="str">
        <x:f>IF(A776="","",IF(B776="Decommissioning",INDEX('Raw Decommissioning'!$I$2:$I$1000,ROWS($A$5:A776)),INDEX('Raw Provisioning'!$J$2:$J$1000,ROWS($A$5:A776)-COUNTA('Raw Decommissioning'!$B$2:$B$1000))))</x:f>
      </x:c>
      <x:c r="H776" s="170" t="str">
        <x:f>IF(A776="","",IF(B776="Decommissioning",INDEX('Raw Decommissioning'!$J$2:$J$1000,ROWS($A$5:A776)),INDEX('Raw Provisioning'!$L$2:$L$1000,ROWS($A$5:A776)-COUNTA('Raw Decommissioning'!$B$2:$B$1000))))</x:f>
      </x:c>
      <x:c r="I776" s="170" t="str">
        <x:f>IF(A776="","",IF(B776="Decommissioning",INDEX('Raw Decommissioning'!$AL$2:$AL$1000,ROWS($A$5:A776)),INDEX('Raw Provisioning'!$R$2:$R$1000,ROWS($A$5:A776)-COUNTA('Raw Decommissioning'!$B$2:$B$1000))))</x:f>
      </x:c>
      <x:c r="J776" s="170" t="str">
        <x:f>IF(A776="","",IF(B776="Decommissioning",INDEX('Raw Decommissioning'!$AG$2:$AG$1000,ROWS($A$5:A776)),INDEX('Raw Provisioning'!$AI$2:$AI$1000,ROWS($A$5:A776)-COUNTA('Raw Decommissioning'!$B$2:$B$1000))))</x:f>
      </x:c>
      <x:c r="K776" s="172" t="str">
        <x:f>IF(A776="","",IFERROR(LOOKUP(2,1/('Assignment History'!$B$5:$B$204=A776),'Assignment History'!$D$5:$D$204),IFERROR(VLOOKUP(J776,Configuration!$L$5:$M$50,2,FALSE),J776)))</x:f>
      </x:c>
      <x:c r="L776" s="172" t="str">
        <x:f>IF(A776="","",IF(K776=IFERROR(VLOOKUP(J776,Configuration!$L$5:$M$50,2,FALSE),J776),"Snapshot PIC","Replacement PIC"))</x:f>
      </x:c>
      <x:c r="M776" s="172" t="str">
        <x:f>IF(A776="","",IFERROR(VLOOKUP(I776,Configuration!$O$5:$P$8,2,FALSE),Configuration!$S$6))</x:f>
      </x:c>
      <x:c r="N776" s="172" t="str">
        <x:f>IF(A776="","",IFERROR(LOOKUP(2,1/('Scope Review'!$B$5:$B$204=A776),'Scope Review'!$G$5:$G$204),"Not Reviewed"))</x:f>
      </x:c>
      <x:c r="O776" s="172" t="str">
        <x:f>IF(A776="","",IFERROR(LOOKUP(2,1/('Scope Review'!$B$5:$B$204=A776),'Scope Review'!$H$5:$H$204),""))</x:f>
      </x:c>
      <x:c r="P776" s="172" t="str">
        <x:f>IF(A776="","",IF(AND(C776="executing",N776&lt;&gt;"Confirmed OOS"),M776,0))</x:f>
      </x:c>
      <x:c r="Q776" s="173" t="str">
        <x:f>IF(A776="","",IFERROR(LOOKUP(2,1/('Engineer Updates'!$B$5:$B$704=A776),'Engineer Updates'!$A$5:$A$704),""))</x:f>
      </x:c>
      <x:c r="R776" s="172" t="str">
        <x:f>IF(A776="","",IFERROR(LOOKUP(2,1/('Engineer Updates'!$B$5:$B$704=A776),'Engineer Updates'!$H$5:$H$704),""))</x:f>
      </x:c>
      <x:c r="S776" s="172" t="str">
        <x:f>IF(A776="","",IFERROR(LOOKUP(2,1/('Engineer Updates'!$B$5:$B$704=A776),'Engineer Updates'!$G$5:$G$704),""))</x:f>
      </x:c>
      <x:c r="T776" s="172" t="str">
        <x:f>IF(A776="","",IFERROR(LOOKUP(2,1/('Engineer Updates'!$B$5:$B$704=A776),'Engineer Updates'!$I$5:$I$704),""))</x:f>
      </x:c>
      <x:c r="U776" s="172" t="str">
        <x:f>IF(A776="","",IFERROR(LOOKUP(2,1/('Engineer Updates'!$B$5:$B$704=A776),'Engineer Updates'!$J$5:$J$704),""))</x:f>
      </x:c>
      <x:c r="V776" s="172" t="str">
        <x:f>IF(A776="","",IFERROR(LOOKUP(2,1/('Engineer Updates'!$B$5:$B$704=A776),'Engineer Updates'!$K$5:$K$704),""))</x:f>
      </x:c>
      <x:c r="W776" s="174" t="str">
        <x:f>IF(A776="","",IFERROR(LOOKUP(2,1/('Engineer Updates'!$B$5:$B$704=A776),'Engineer Updates'!$L$5:$L$704),""))</x:f>
      </x:c>
      <x:c r="X776" s="170" t="str">
        <x:f>IF(A776="","",IF(C776="completed","Completed in CSSP",IF(AND(C776="executing",ISERROR(SEARCH("@",K776))),"Executing without named engineer",IF(AND(N776="Confirmed OOS",C776="executing"),"Confirmed OOS still executing",""))))</x:f>
      </x:c>
      <x:c r="Y776" s="170" t="str">
        <x:f>IF(A776="","",IF(B776="Decommissioning","Raw Decommissioning","Raw Provisioning"))</x:f>
      </x:c>
      <x:c r="Z776" s="170" t="str">
        <x:f>IF(A776="","",IF(OR(C776="executing",C776="processing"),"Yes","No"))</x:f>
      </x:c>
    </x:row>
    <x:row r="777">
      <x:c r="A777" s="170" t="str">
        <x:f>IF(ROWS($A$5:A777)&lt;=COUNTA('Raw Decommissioning'!$B$2:$B$1000),INDEX('Raw Decommissioning'!$B$2:$B$1000,ROWS($A$5:A777)),IF(ROWS($A$5:A777)-COUNTA('Raw Decommissioning'!$B$2:$B$1000)&lt;=COUNTA('Raw Provisioning'!$B$2:$B$1000),INDEX('Raw Provisioning'!$B$2:$B$1000,ROWS($A$5:A777)-COUNTA('Raw Decommissioning'!$B$2:$B$1000)),""))</x:f>
      </x:c>
      <x:c r="B777" s="170" t="str">
        <x:f>IF(A777="","",IF(ROWS($A$5:A777)&lt;=COUNTA('Raw Decommissioning'!$B$2:$B$1000),"Decommissioning","Provisioning"))</x:f>
      </x:c>
      <x:c r="C777" s="170" t="str">
        <x:f>IF(A777="","",IF(B777="Decommissioning",IFERROR(INDEX('Raw Decommissioning'!$E$2:$E$1000,MATCH(A777,'Raw Decommissioning'!$B$2:$B$1000,0)),"Missing from latest raw"),IFERROR(INDEX('Raw Provisioning'!$E$2:$E$1000,MATCH(A777,'Raw Provisioning'!$B$2:$B$1000,0)),"Missing from latest raw")))</x:f>
      </x:c>
      <x:c r="D777" s="171" t="str">
        <x:f>IF(A777="","",'Refresh Control'!$B$4)</x:f>
      </x:c>
      <x:c r="E777" s="171" t="str">
        <x:f>IF(A777="","",IF(B777="Decommissioning",INDEX('Raw Decommissioning'!$F$2:$F$1000,ROWS($A$5:A777)),INDEX('Raw Provisioning'!$F$2:$F$1000,ROWS($A$5:A777)-COUNTA('Raw Decommissioning'!$B$2:$B$1000))))</x:f>
      </x:c>
      <x:c r="F777" s="171" t="str">
        <x:f>IF(A777="","",IF(B777="Decommissioning",INDEX('Raw Decommissioning'!$G$2:$G$1000,ROWS($A$5:A777)),INDEX('Raw Provisioning'!$H$2:$H$1000,ROWS($A$5:A777)-COUNTA('Raw Decommissioning'!$B$2:$B$1000))))</x:f>
      </x:c>
      <x:c r="G777" s="170" t="str">
        <x:f>IF(A777="","",IF(B777="Decommissioning",INDEX('Raw Decommissioning'!$I$2:$I$1000,ROWS($A$5:A777)),INDEX('Raw Provisioning'!$J$2:$J$1000,ROWS($A$5:A777)-COUNTA('Raw Decommissioning'!$B$2:$B$1000))))</x:f>
      </x:c>
      <x:c r="H777" s="170" t="str">
        <x:f>IF(A777="","",IF(B777="Decommissioning",INDEX('Raw Decommissioning'!$J$2:$J$1000,ROWS($A$5:A777)),INDEX('Raw Provisioning'!$L$2:$L$1000,ROWS($A$5:A777)-COUNTA('Raw Decommissioning'!$B$2:$B$1000))))</x:f>
      </x:c>
      <x:c r="I777" s="170" t="str">
        <x:f>IF(A777="","",IF(B777="Decommissioning",INDEX('Raw Decommissioning'!$AL$2:$AL$1000,ROWS($A$5:A777)),INDEX('Raw Provisioning'!$R$2:$R$1000,ROWS($A$5:A777)-COUNTA('Raw Decommissioning'!$B$2:$B$1000))))</x:f>
      </x:c>
      <x:c r="J777" s="170" t="str">
        <x:f>IF(A777="","",IF(B777="Decommissioning",INDEX('Raw Decommissioning'!$AG$2:$AG$1000,ROWS($A$5:A777)),INDEX('Raw Provisioning'!$AI$2:$AI$1000,ROWS($A$5:A777)-COUNTA('Raw Decommissioning'!$B$2:$B$1000))))</x:f>
      </x:c>
      <x:c r="K777" s="172" t="str">
        <x:f>IF(A777="","",IFERROR(LOOKUP(2,1/('Assignment History'!$B$5:$B$204=A777),'Assignment History'!$D$5:$D$204),IFERROR(VLOOKUP(J777,Configuration!$L$5:$M$50,2,FALSE),J777)))</x:f>
      </x:c>
      <x:c r="L777" s="172" t="str">
        <x:f>IF(A777="","",IF(K777=IFERROR(VLOOKUP(J777,Configuration!$L$5:$M$50,2,FALSE),J777),"Snapshot PIC","Replacement PIC"))</x:f>
      </x:c>
      <x:c r="M777" s="172" t="str">
        <x:f>IF(A777="","",IFERROR(VLOOKUP(I777,Configuration!$O$5:$P$8,2,FALSE),Configuration!$S$6))</x:f>
      </x:c>
      <x:c r="N777" s="172" t="str">
        <x:f>IF(A777="","",IFERROR(LOOKUP(2,1/('Scope Review'!$B$5:$B$204=A777),'Scope Review'!$G$5:$G$204),"Not Reviewed"))</x:f>
      </x:c>
      <x:c r="O777" s="172" t="str">
        <x:f>IF(A777="","",IFERROR(LOOKUP(2,1/('Scope Review'!$B$5:$B$204=A777),'Scope Review'!$H$5:$H$204),""))</x:f>
      </x:c>
      <x:c r="P777" s="172" t="str">
        <x:f>IF(A777="","",IF(AND(C777="executing",N777&lt;&gt;"Confirmed OOS"),M777,0))</x:f>
      </x:c>
      <x:c r="Q777" s="173" t="str">
        <x:f>IF(A777="","",IFERROR(LOOKUP(2,1/('Engineer Updates'!$B$5:$B$704=A777),'Engineer Updates'!$A$5:$A$704),""))</x:f>
      </x:c>
      <x:c r="R777" s="172" t="str">
        <x:f>IF(A777="","",IFERROR(LOOKUP(2,1/('Engineer Updates'!$B$5:$B$704=A777),'Engineer Updates'!$H$5:$H$704),""))</x:f>
      </x:c>
      <x:c r="S777" s="172" t="str">
        <x:f>IF(A777="","",IFERROR(LOOKUP(2,1/('Engineer Updates'!$B$5:$B$704=A777),'Engineer Updates'!$G$5:$G$704),""))</x:f>
      </x:c>
      <x:c r="T777" s="172" t="str">
        <x:f>IF(A777="","",IFERROR(LOOKUP(2,1/('Engineer Updates'!$B$5:$B$704=A777),'Engineer Updates'!$I$5:$I$704),""))</x:f>
      </x:c>
      <x:c r="U777" s="172" t="str">
        <x:f>IF(A777="","",IFERROR(LOOKUP(2,1/('Engineer Updates'!$B$5:$B$704=A777),'Engineer Updates'!$J$5:$J$704),""))</x:f>
      </x:c>
      <x:c r="V777" s="172" t="str">
        <x:f>IF(A777="","",IFERROR(LOOKUP(2,1/('Engineer Updates'!$B$5:$B$704=A777),'Engineer Updates'!$K$5:$K$704),""))</x:f>
      </x:c>
      <x:c r="W777" s="174" t="str">
        <x:f>IF(A777="","",IFERROR(LOOKUP(2,1/('Engineer Updates'!$B$5:$B$704=A777),'Engineer Updates'!$L$5:$L$704),""))</x:f>
      </x:c>
      <x:c r="X777" s="170" t="str">
        <x:f>IF(A777="","",IF(C777="completed","Completed in CSSP",IF(AND(C777="executing",ISERROR(SEARCH("@",K777))),"Executing without named engineer",IF(AND(N777="Confirmed OOS",C777="executing"),"Confirmed OOS still executing",""))))</x:f>
      </x:c>
      <x:c r="Y777" s="170" t="str">
        <x:f>IF(A777="","",IF(B777="Decommissioning","Raw Decommissioning","Raw Provisioning"))</x:f>
      </x:c>
      <x:c r="Z777" s="170" t="str">
        <x:f>IF(A777="","",IF(OR(C777="executing",C777="processing"),"Yes","No"))</x:f>
      </x:c>
    </x:row>
    <x:row r="778">
      <x:c r="A778" s="170" t="str">
        <x:f>IF(ROWS($A$5:A778)&lt;=COUNTA('Raw Decommissioning'!$B$2:$B$1000),INDEX('Raw Decommissioning'!$B$2:$B$1000,ROWS($A$5:A778)),IF(ROWS($A$5:A778)-COUNTA('Raw Decommissioning'!$B$2:$B$1000)&lt;=COUNTA('Raw Provisioning'!$B$2:$B$1000),INDEX('Raw Provisioning'!$B$2:$B$1000,ROWS($A$5:A778)-COUNTA('Raw Decommissioning'!$B$2:$B$1000)),""))</x:f>
      </x:c>
      <x:c r="B778" s="170" t="str">
        <x:f>IF(A778="","",IF(ROWS($A$5:A778)&lt;=COUNTA('Raw Decommissioning'!$B$2:$B$1000),"Decommissioning","Provisioning"))</x:f>
      </x:c>
      <x:c r="C778" s="170" t="str">
        <x:f>IF(A778="","",IF(B778="Decommissioning",IFERROR(INDEX('Raw Decommissioning'!$E$2:$E$1000,MATCH(A778,'Raw Decommissioning'!$B$2:$B$1000,0)),"Missing from latest raw"),IFERROR(INDEX('Raw Provisioning'!$E$2:$E$1000,MATCH(A778,'Raw Provisioning'!$B$2:$B$1000,0)),"Missing from latest raw")))</x:f>
      </x:c>
      <x:c r="D778" s="171" t="str">
        <x:f>IF(A778="","",'Refresh Control'!$B$4)</x:f>
      </x:c>
      <x:c r="E778" s="171" t="str">
        <x:f>IF(A778="","",IF(B778="Decommissioning",INDEX('Raw Decommissioning'!$F$2:$F$1000,ROWS($A$5:A778)),INDEX('Raw Provisioning'!$F$2:$F$1000,ROWS($A$5:A778)-COUNTA('Raw Decommissioning'!$B$2:$B$1000))))</x:f>
      </x:c>
      <x:c r="F778" s="171" t="str">
        <x:f>IF(A778="","",IF(B778="Decommissioning",INDEX('Raw Decommissioning'!$G$2:$G$1000,ROWS($A$5:A778)),INDEX('Raw Provisioning'!$H$2:$H$1000,ROWS($A$5:A778)-COUNTA('Raw Decommissioning'!$B$2:$B$1000))))</x:f>
      </x:c>
      <x:c r="G778" s="170" t="str">
        <x:f>IF(A778="","",IF(B778="Decommissioning",INDEX('Raw Decommissioning'!$I$2:$I$1000,ROWS($A$5:A778)),INDEX('Raw Provisioning'!$J$2:$J$1000,ROWS($A$5:A778)-COUNTA('Raw Decommissioning'!$B$2:$B$1000))))</x:f>
      </x:c>
      <x:c r="H778" s="170" t="str">
        <x:f>IF(A778="","",IF(B778="Decommissioning",INDEX('Raw Decommissioning'!$J$2:$J$1000,ROWS($A$5:A778)),INDEX('Raw Provisioning'!$L$2:$L$1000,ROWS($A$5:A778)-COUNTA('Raw Decommissioning'!$B$2:$B$1000))))</x:f>
      </x:c>
      <x:c r="I778" s="170" t="str">
        <x:f>IF(A778="","",IF(B778="Decommissioning",INDEX('Raw Decommissioning'!$AL$2:$AL$1000,ROWS($A$5:A778)),INDEX('Raw Provisioning'!$R$2:$R$1000,ROWS($A$5:A778)-COUNTA('Raw Decommissioning'!$B$2:$B$1000))))</x:f>
      </x:c>
      <x:c r="J778" s="170" t="str">
        <x:f>IF(A778="","",IF(B778="Decommissioning",INDEX('Raw Decommissioning'!$AG$2:$AG$1000,ROWS($A$5:A778)),INDEX('Raw Provisioning'!$AI$2:$AI$1000,ROWS($A$5:A778)-COUNTA('Raw Decommissioning'!$B$2:$B$1000))))</x:f>
      </x:c>
      <x:c r="K778" s="172" t="str">
        <x:f>IF(A778="","",IFERROR(LOOKUP(2,1/('Assignment History'!$B$5:$B$204=A778),'Assignment History'!$D$5:$D$204),IFERROR(VLOOKUP(J778,Configuration!$L$5:$M$50,2,FALSE),J778)))</x:f>
      </x:c>
      <x:c r="L778" s="172" t="str">
        <x:f>IF(A778="","",IF(K778=IFERROR(VLOOKUP(J778,Configuration!$L$5:$M$50,2,FALSE),J778),"Snapshot PIC","Replacement PIC"))</x:f>
      </x:c>
      <x:c r="M778" s="172" t="str">
        <x:f>IF(A778="","",IFERROR(VLOOKUP(I778,Configuration!$O$5:$P$8,2,FALSE),Configuration!$S$6))</x:f>
      </x:c>
      <x:c r="N778" s="172" t="str">
        <x:f>IF(A778="","",IFERROR(LOOKUP(2,1/('Scope Review'!$B$5:$B$204=A778),'Scope Review'!$G$5:$G$204),"Not Reviewed"))</x:f>
      </x:c>
      <x:c r="O778" s="172" t="str">
        <x:f>IF(A778="","",IFERROR(LOOKUP(2,1/('Scope Review'!$B$5:$B$204=A778),'Scope Review'!$H$5:$H$204),""))</x:f>
      </x:c>
      <x:c r="P778" s="172" t="str">
        <x:f>IF(A778="","",IF(AND(C778="executing",N778&lt;&gt;"Confirmed OOS"),M778,0))</x:f>
      </x:c>
      <x:c r="Q778" s="173" t="str">
        <x:f>IF(A778="","",IFERROR(LOOKUP(2,1/('Engineer Updates'!$B$5:$B$704=A778),'Engineer Updates'!$A$5:$A$704),""))</x:f>
      </x:c>
      <x:c r="R778" s="172" t="str">
        <x:f>IF(A778="","",IFERROR(LOOKUP(2,1/('Engineer Updates'!$B$5:$B$704=A778),'Engineer Updates'!$H$5:$H$704),""))</x:f>
      </x:c>
      <x:c r="S778" s="172" t="str">
        <x:f>IF(A778="","",IFERROR(LOOKUP(2,1/('Engineer Updates'!$B$5:$B$704=A778),'Engineer Updates'!$G$5:$G$704),""))</x:f>
      </x:c>
      <x:c r="T778" s="172" t="str">
        <x:f>IF(A778="","",IFERROR(LOOKUP(2,1/('Engineer Updates'!$B$5:$B$704=A778),'Engineer Updates'!$I$5:$I$704),""))</x:f>
      </x:c>
      <x:c r="U778" s="172" t="str">
        <x:f>IF(A778="","",IFERROR(LOOKUP(2,1/('Engineer Updates'!$B$5:$B$704=A778),'Engineer Updates'!$J$5:$J$704),""))</x:f>
      </x:c>
      <x:c r="V778" s="172" t="str">
        <x:f>IF(A778="","",IFERROR(LOOKUP(2,1/('Engineer Updates'!$B$5:$B$704=A778),'Engineer Updates'!$K$5:$K$704),""))</x:f>
      </x:c>
      <x:c r="W778" s="174" t="str">
        <x:f>IF(A778="","",IFERROR(LOOKUP(2,1/('Engineer Updates'!$B$5:$B$704=A778),'Engineer Updates'!$L$5:$L$704),""))</x:f>
      </x:c>
      <x:c r="X778" s="170" t="str">
        <x:f>IF(A778="","",IF(C778="completed","Completed in CSSP",IF(AND(C778="executing",ISERROR(SEARCH("@",K778))),"Executing without named engineer",IF(AND(N778="Confirmed OOS",C778="executing"),"Confirmed OOS still executing",""))))</x:f>
      </x:c>
      <x:c r="Y778" s="170" t="str">
        <x:f>IF(A778="","",IF(B778="Decommissioning","Raw Decommissioning","Raw Provisioning"))</x:f>
      </x:c>
      <x:c r="Z778" s="170" t="str">
        <x:f>IF(A778="","",IF(OR(C778="executing",C778="processing"),"Yes","No"))</x:f>
      </x:c>
    </x:row>
    <x:row r="779">
      <x:c r="A779" s="170" t="str">
        <x:f>IF(ROWS($A$5:A779)&lt;=COUNTA('Raw Decommissioning'!$B$2:$B$1000),INDEX('Raw Decommissioning'!$B$2:$B$1000,ROWS($A$5:A779)),IF(ROWS($A$5:A779)-COUNTA('Raw Decommissioning'!$B$2:$B$1000)&lt;=COUNTA('Raw Provisioning'!$B$2:$B$1000),INDEX('Raw Provisioning'!$B$2:$B$1000,ROWS($A$5:A779)-COUNTA('Raw Decommissioning'!$B$2:$B$1000)),""))</x:f>
      </x:c>
      <x:c r="B779" s="170" t="str">
        <x:f>IF(A779="","",IF(ROWS($A$5:A779)&lt;=COUNTA('Raw Decommissioning'!$B$2:$B$1000),"Decommissioning","Provisioning"))</x:f>
      </x:c>
      <x:c r="C779" s="170" t="str">
        <x:f>IF(A779="","",IF(B779="Decommissioning",IFERROR(INDEX('Raw Decommissioning'!$E$2:$E$1000,MATCH(A779,'Raw Decommissioning'!$B$2:$B$1000,0)),"Missing from latest raw"),IFERROR(INDEX('Raw Provisioning'!$E$2:$E$1000,MATCH(A779,'Raw Provisioning'!$B$2:$B$1000,0)),"Missing from latest raw")))</x:f>
      </x:c>
      <x:c r="D779" s="171" t="str">
        <x:f>IF(A779="","",'Refresh Control'!$B$4)</x:f>
      </x:c>
      <x:c r="E779" s="171" t="str">
        <x:f>IF(A779="","",IF(B779="Decommissioning",INDEX('Raw Decommissioning'!$F$2:$F$1000,ROWS($A$5:A779)),INDEX('Raw Provisioning'!$F$2:$F$1000,ROWS($A$5:A779)-COUNTA('Raw Decommissioning'!$B$2:$B$1000))))</x:f>
      </x:c>
      <x:c r="F779" s="171" t="str">
        <x:f>IF(A779="","",IF(B779="Decommissioning",INDEX('Raw Decommissioning'!$G$2:$G$1000,ROWS($A$5:A779)),INDEX('Raw Provisioning'!$H$2:$H$1000,ROWS($A$5:A779)-COUNTA('Raw Decommissioning'!$B$2:$B$1000))))</x:f>
      </x:c>
      <x:c r="G779" s="170" t="str">
        <x:f>IF(A779="","",IF(B779="Decommissioning",INDEX('Raw Decommissioning'!$I$2:$I$1000,ROWS($A$5:A779)),INDEX('Raw Provisioning'!$J$2:$J$1000,ROWS($A$5:A779)-COUNTA('Raw Decommissioning'!$B$2:$B$1000))))</x:f>
      </x:c>
      <x:c r="H779" s="170" t="str">
        <x:f>IF(A779="","",IF(B779="Decommissioning",INDEX('Raw Decommissioning'!$J$2:$J$1000,ROWS($A$5:A779)),INDEX('Raw Provisioning'!$L$2:$L$1000,ROWS($A$5:A779)-COUNTA('Raw Decommissioning'!$B$2:$B$1000))))</x:f>
      </x:c>
      <x:c r="I779" s="170" t="str">
        <x:f>IF(A779="","",IF(B779="Decommissioning",INDEX('Raw Decommissioning'!$AL$2:$AL$1000,ROWS($A$5:A779)),INDEX('Raw Provisioning'!$R$2:$R$1000,ROWS($A$5:A779)-COUNTA('Raw Decommissioning'!$B$2:$B$1000))))</x:f>
      </x:c>
      <x:c r="J779" s="170" t="str">
        <x:f>IF(A779="","",IF(B779="Decommissioning",INDEX('Raw Decommissioning'!$AG$2:$AG$1000,ROWS($A$5:A779)),INDEX('Raw Provisioning'!$AI$2:$AI$1000,ROWS($A$5:A779)-COUNTA('Raw Decommissioning'!$B$2:$B$1000))))</x:f>
      </x:c>
      <x:c r="K779" s="172" t="str">
        <x:f>IF(A779="","",IFERROR(LOOKUP(2,1/('Assignment History'!$B$5:$B$204=A779),'Assignment History'!$D$5:$D$204),IFERROR(VLOOKUP(J779,Configuration!$L$5:$M$50,2,FALSE),J779)))</x:f>
      </x:c>
      <x:c r="L779" s="172" t="str">
        <x:f>IF(A779="","",IF(K779=IFERROR(VLOOKUP(J779,Configuration!$L$5:$M$50,2,FALSE),J779),"Snapshot PIC","Replacement PIC"))</x:f>
      </x:c>
      <x:c r="M779" s="172" t="str">
        <x:f>IF(A779="","",IFERROR(VLOOKUP(I779,Configuration!$O$5:$P$8,2,FALSE),Configuration!$S$6))</x:f>
      </x:c>
      <x:c r="N779" s="172" t="str">
        <x:f>IF(A779="","",IFERROR(LOOKUP(2,1/('Scope Review'!$B$5:$B$204=A779),'Scope Review'!$G$5:$G$204),"Not Reviewed"))</x:f>
      </x:c>
      <x:c r="O779" s="172" t="str">
        <x:f>IF(A779="","",IFERROR(LOOKUP(2,1/('Scope Review'!$B$5:$B$204=A779),'Scope Review'!$H$5:$H$204),""))</x:f>
      </x:c>
      <x:c r="P779" s="172" t="str">
        <x:f>IF(A779="","",IF(AND(C779="executing",N779&lt;&gt;"Confirmed OOS"),M779,0))</x:f>
      </x:c>
      <x:c r="Q779" s="173" t="str">
        <x:f>IF(A779="","",IFERROR(LOOKUP(2,1/('Engineer Updates'!$B$5:$B$704=A779),'Engineer Updates'!$A$5:$A$704),""))</x:f>
      </x:c>
      <x:c r="R779" s="172" t="str">
        <x:f>IF(A779="","",IFERROR(LOOKUP(2,1/('Engineer Updates'!$B$5:$B$704=A779),'Engineer Updates'!$H$5:$H$704),""))</x:f>
      </x:c>
      <x:c r="S779" s="172" t="str">
        <x:f>IF(A779="","",IFERROR(LOOKUP(2,1/('Engineer Updates'!$B$5:$B$704=A779),'Engineer Updates'!$G$5:$G$704),""))</x:f>
      </x:c>
      <x:c r="T779" s="172" t="str">
        <x:f>IF(A779="","",IFERROR(LOOKUP(2,1/('Engineer Updates'!$B$5:$B$704=A779),'Engineer Updates'!$I$5:$I$704),""))</x:f>
      </x:c>
      <x:c r="U779" s="172" t="str">
        <x:f>IF(A779="","",IFERROR(LOOKUP(2,1/('Engineer Updates'!$B$5:$B$704=A779),'Engineer Updates'!$J$5:$J$704),""))</x:f>
      </x:c>
      <x:c r="V779" s="172" t="str">
        <x:f>IF(A779="","",IFERROR(LOOKUP(2,1/('Engineer Updates'!$B$5:$B$704=A779),'Engineer Updates'!$K$5:$K$704),""))</x:f>
      </x:c>
      <x:c r="W779" s="174" t="str">
        <x:f>IF(A779="","",IFERROR(LOOKUP(2,1/('Engineer Updates'!$B$5:$B$704=A779),'Engineer Updates'!$L$5:$L$704),""))</x:f>
      </x:c>
      <x:c r="X779" s="170" t="str">
        <x:f>IF(A779="","",IF(C779="completed","Completed in CSSP",IF(AND(C779="executing",ISERROR(SEARCH("@",K779))),"Executing without named engineer",IF(AND(N779="Confirmed OOS",C779="executing"),"Confirmed OOS still executing",""))))</x:f>
      </x:c>
      <x:c r="Y779" s="170" t="str">
        <x:f>IF(A779="","",IF(B779="Decommissioning","Raw Decommissioning","Raw Provisioning"))</x:f>
      </x:c>
      <x:c r="Z779" s="170" t="str">
        <x:f>IF(A779="","",IF(OR(C779="executing",C779="processing"),"Yes","No"))</x:f>
      </x:c>
    </x:row>
    <x:row r="780">
      <x:c r="A780" s="170" t="str">
        <x:f>IF(ROWS($A$5:A780)&lt;=COUNTA('Raw Decommissioning'!$B$2:$B$1000),INDEX('Raw Decommissioning'!$B$2:$B$1000,ROWS($A$5:A780)),IF(ROWS($A$5:A780)-COUNTA('Raw Decommissioning'!$B$2:$B$1000)&lt;=COUNTA('Raw Provisioning'!$B$2:$B$1000),INDEX('Raw Provisioning'!$B$2:$B$1000,ROWS($A$5:A780)-COUNTA('Raw Decommissioning'!$B$2:$B$1000)),""))</x:f>
      </x:c>
      <x:c r="B780" s="170" t="str">
        <x:f>IF(A780="","",IF(ROWS($A$5:A780)&lt;=COUNTA('Raw Decommissioning'!$B$2:$B$1000),"Decommissioning","Provisioning"))</x:f>
      </x:c>
      <x:c r="C780" s="170" t="str">
        <x:f>IF(A780="","",IF(B780="Decommissioning",IFERROR(INDEX('Raw Decommissioning'!$E$2:$E$1000,MATCH(A780,'Raw Decommissioning'!$B$2:$B$1000,0)),"Missing from latest raw"),IFERROR(INDEX('Raw Provisioning'!$E$2:$E$1000,MATCH(A780,'Raw Provisioning'!$B$2:$B$1000,0)),"Missing from latest raw")))</x:f>
      </x:c>
      <x:c r="D780" s="171" t="str">
        <x:f>IF(A780="","",'Refresh Control'!$B$4)</x:f>
      </x:c>
      <x:c r="E780" s="171" t="str">
        <x:f>IF(A780="","",IF(B780="Decommissioning",INDEX('Raw Decommissioning'!$F$2:$F$1000,ROWS($A$5:A780)),INDEX('Raw Provisioning'!$F$2:$F$1000,ROWS($A$5:A780)-COUNTA('Raw Decommissioning'!$B$2:$B$1000))))</x:f>
      </x:c>
      <x:c r="F780" s="171" t="str">
        <x:f>IF(A780="","",IF(B780="Decommissioning",INDEX('Raw Decommissioning'!$G$2:$G$1000,ROWS($A$5:A780)),INDEX('Raw Provisioning'!$H$2:$H$1000,ROWS($A$5:A780)-COUNTA('Raw Decommissioning'!$B$2:$B$1000))))</x:f>
      </x:c>
      <x:c r="G780" s="170" t="str">
        <x:f>IF(A780="","",IF(B780="Decommissioning",INDEX('Raw Decommissioning'!$I$2:$I$1000,ROWS($A$5:A780)),INDEX('Raw Provisioning'!$J$2:$J$1000,ROWS($A$5:A780)-COUNTA('Raw Decommissioning'!$B$2:$B$1000))))</x:f>
      </x:c>
      <x:c r="H780" s="170" t="str">
        <x:f>IF(A780="","",IF(B780="Decommissioning",INDEX('Raw Decommissioning'!$J$2:$J$1000,ROWS($A$5:A780)),INDEX('Raw Provisioning'!$L$2:$L$1000,ROWS($A$5:A780)-COUNTA('Raw Decommissioning'!$B$2:$B$1000))))</x:f>
      </x:c>
      <x:c r="I780" s="170" t="str">
        <x:f>IF(A780="","",IF(B780="Decommissioning",INDEX('Raw Decommissioning'!$AL$2:$AL$1000,ROWS($A$5:A780)),INDEX('Raw Provisioning'!$R$2:$R$1000,ROWS($A$5:A780)-COUNTA('Raw Decommissioning'!$B$2:$B$1000))))</x:f>
      </x:c>
      <x:c r="J780" s="170" t="str">
        <x:f>IF(A780="","",IF(B780="Decommissioning",INDEX('Raw Decommissioning'!$AG$2:$AG$1000,ROWS($A$5:A780)),INDEX('Raw Provisioning'!$AI$2:$AI$1000,ROWS($A$5:A780)-COUNTA('Raw Decommissioning'!$B$2:$B$1000))))</x:f>
      </x:c>
      <x:c r="K780" s="172" t="str">
        <x:f>IF(A780="","",IFERROR(LOOKUP(2,1/('Assignment History'!$B$5:$B$204=A780),'Assignment History'!$D$5:$D$204),IFERROR(VLOOKUP(J780,Configuration!$L$5:$M$50,2,FALSE),J780)))</x:f>
      </x:c>
      <x:c r="L780" s="172" t="str">
        <x:f>IF(A780="","",IF(K780=IFERROR(VLOOKUP(J780,Configuration!$L$5:$M$50,2,FALSE),J780),"Snapshot PIC","Replacement PIC"))</x:f>
      </x:c>
      <x:c r="M780" s="172" t="str">
        <x:f>IF(A780="","",IFERROR(VLOOKUP(I780,Configuration!$O$5:$P$8,2,FALSE),Configuration!$S$6))</x:f>
      </x:c>
      <x:c r="N780" s="172" t="str">
        <x:f>IF(A780="","",IFERROR(LOOKUP(2,1/('Scope Review'!$B$5:$B$204=A780),'Scope Review'!$G$5:$G$204),"Not Reviewed"))</x:f>
      </x:c>
      <x:c r="O780" s="172" t="str">
        <x:f>IF(A780="","",IFERROR(LOOKUP(2,1/('Scope Review'!$B$5:$B$204=A780),'Scope Review'!$H$5:$H$204),""))</x:f>
      </x:c>
      <x:c r="P780" s="172" t="str">
        <x:f>IF(A780="","",IF(AND(C780="executing",N780&lt;&gt;"Confirmed OOS"),M780,0))</x:f>
      </x:c>
      <x:c r="Q780" s="173" t="str">
        <x:f>IF(A780="","",IFERROR(LOOKUP(2,1/('Engineer Updates'!$B$5:$B$704=A780),'Engineer Updates'!$A$5:$A$704),""))</x:f>
      </x:c>
      <x:c r="R780" s="172" t="str">
        <x:f>IF(A780="","",IFERROR(LOOKUP(2,1/('Engineer Updates'!$B$5:$B$704=A780),'Engineer Updates'!$H$5:$H$704),""))</x:f>
      </x:c>
      <x:c r="S780" s="172" t="str">
        <x:f>IF(A780="","",IFERROR(LOOKUP(2,1/('Engineer Updates'!$B$5:$B$704=A780),'Engineer Updates'!$G$5:$G$704),""))</x:f>
      </x:c>
      <x:c r="T780" s="172" t="str">
        <x:f>IF(A780="","",IFERROR(LOOKUP(2,1/('Engineer Updates'!$B$5:$B$704=A780),'Engineer Updates'!$I$5:$I$704),""))</x:f>
      </x:c>
      <x:c r="U780" s="172" t="str">
        <x:f>IF(A780="","",IFERROR(LOOKUP(2,1/('Engineer Updates'!$B$5:$B$704=A780),'Engineer Updates'!$J$5:$J$704),""))</x:f>
      </x:c>
      <x:c r="V780" s="172" t="str">
        <x:f>IF(A780="","",IFERROR(LOOKUP(2,1/('Engineer Updates'!$B$5:$B$704=A780),'Engineer Updates'!$K$5:$K$704),""))</x:f>
      </x:c>
      <x:c r="W780" s="174" t="str">
        <x:f>IF(A780="","",IFERROR(LOOKUP(2,1/('Engineer Updates'!$B$5:$B$704=A780),'Engineer Updates'!$L$5:$L$704),""))</x:f>
      </x:c>
      <x:c r="X780" s="170" t="str">
        <x:f>IF(A780="","",IF(C780="completed","Completed in CSSP",IF(AND(C780="executing",ISERROR(SEARCH("@",K780))),"Executing without named engineer",IF(AND(N780="Confirmed OOS",C780="executing"),"Confirmed OOS still executing",""))))</x:f>
      </x:c>
      <x:c r="Y780" s="170" t="str">
        <x:f>IF(A780="","",IF(B780="Decommissioning","Raw Decommissioning","Raw Provisioning"))</x:f>
      </x:c>
      <x:c r="Z780" s="170" t="str">
        <x:f>IF(A780="","",IF(OR(C780="executing",C780="processing"),"Yes","No"))</x:f>
      </x:c>
    </x:row>
    <x:row r="781">
      <x:c r="A781" s="170" t="str">
        <x:f>IF(ROWS($A$5:A781)&lt;=COUNTA('Raw Decommissioning'!$B$2:$B$1000),INDEX('Raw Decommissioning'!$B$2:$B$1000,ROWS($A$5:A781)),IF(ROWS($A$5:A781)-COUNTA('Raw Decommissioning'!$B$2:$B$1000)&lt;=COUNTA('Raw Provisioning'!$B$2:$B$1000),INDEX('Raw Provisioning'!$B$2:$B$1000,ROWS($A$5:A781)-COUNTA('Raw Decommissioning'!$B$2:$B$1000)),""))</x:f>
      </x:c>
      <x:c r="B781" s="170" t="str">
        <x:f>IF(A781="","",IF(ROWS($A$5:A781)&lt;=COUNTA('Raw Decommissioning'!$B$2:$B$1000),"Decommissioning","Provisioning"))</x:f>
      </x:c>
      <x:c r="C781" s="170" t="str">
        <x:f>IF(A781="","",IF(B781="Decommissioning",IFERROR(INDEX('Raw Decommissioning'!$E$2:$E$1000,MATCH(A781,'Raw Decommissioning'!$B$2:$B$1000,0)),"Missing from latest raw"),IFERROR(INDEX('Raw Provisioning'!$E$2:$E$1000,MATCH(A781,'Raw Provisioning'!$B$2:$B$1000,0)),"Missing from latest raw")))</x:f>
      </x:c>
      <x:c r="D781" s="171" t="str">
        <x:f>IF(A781="","",'Refresh Control'!$B$4)</x:f>
      </x:c>
      <x:c r="E781" s="171" t="str">
        <x:f>IF(A781="","",IF(B781="Decommissioning",INDEX('Raw Decommissioning'!$F$2:$F$1000,ROWS($A$5:A781)),INDEX('Raw Provisioning'!$F$2:$F$1000,ROWS($A$5:A781)-COUNTA('Raw Decommissioning'!$B$2:$B$1000))))</x:f>
      </x:c>
      <x:c r="F781" s="171" t="str">
        <x:f>IF(A781="","",IF(B781="Decommissioning",INDEX('Raw Decommissioning'!$G$2:$G$1000,ROWS($A$5:A781)),INDEX('Raw Provisioning'!$H$2:$H$1000,ROWS($A$5:A781)-COUNTA('Raw Decommissioning'!$B$2:$B$1000))))</x:f>
      </x:c>
      <x:c r="G781" s="170" t="str">
        <x:f>IF(A781="","",IF(B781="Decommissioning",INDEX('Raw Decommissioning'!$I$2:$I$1000,ROWS($A$5:A781)),INDEX('Raw Provisioning'!$J$2:$J$1000,ROWS($A$5:A781)-COUNTA('Raw Decommissioning'!$B$2:$B$1000))))</x:f>
      </x:c>
      <x:c r="H781" s="170" t="str">
        <x:f>IF(A781="","",IF(B781="Decommissioning",INDEX('Raw Decommissioning'!$J$2:$J$1000,ROWS($A$5:A781)),INDEX('Raw Provisioning'!$L$2:$L$1000,ROWS($A$5:A781)-COUNTA('Raw Decommissioning'!$B$2:$B$1000))))</x:f>
      </x:c>
      <x:c r="I781" s="170" t="str">
        <x:f>IF(A781="","",IF(B781="Decommissioning",INDEX('Raw Decommissioning'!$AL$2:$AL$1000,ROWS($A$5:A781)),INDEX('Raw Provisioning'!$R$2:$R$1000,ROWS($A$5:A781)-COUNTA('Raw Decommissioning'!$B$2:$B$1000))))</x:f>
      </x:c>
      <x:c r="J781" s="170" t="str">
        <x:f>IF(A781="","",IF(B781="Decommissioning",INDEX('Raw Decommissioning'!$AG$2:$AG$1000,ROWS($A$5:A781)),INDEX('Raw Provisioning'!$AI$2:$AI$1000,ROWS($A$5:A781)-COUNTA('Raw Decommissioning'!$B$2:$B$1000))))</x:f>
      </x:c>
      <x:c r="K781" s="172" t="str">
        <x:f>IF(A781="","",IFERROR(LOOKUP(2,1/('Assignment History'!$B$5:$B$204=A781),'Assignment History'!$D$5:$D$204),IFERROR(VLOOKUP(J781,Configuration!$L$5:$M$50,2,FALSE),J781)))</x:f>
      </x:c>
      <x:c r="L781" s="172" t="str">
        <x:f>IF(A781="","",IF(K781=IFERROR(VLOOKUP(J781,Configuration!$L$5:$M$50,2,FALSE),J781),"Snapshot PIC","Replacement PIC"))</x:f>
      </x:c>
      <x:c r="M781" s="172" t="str">
        <x:f>IF(A781="","",IFERROR(VLOOKUP(I781,Configuration!$O$5:$P$8,2,FALSE),Configuration!$S$6))</x:f>
      </x:c>
      <x:c r="N781" s="172" t="str">
        <x:f>IF(A781="","",IFERROR(LOOKUP(2,1/('Scope Review'!$B$5:$B$204=A781),'Scope Review'!$G$5:$G$204),"Not Reviewed"))</x:f>
      </x:c>
      <x:c r="O781" s="172" t="str">
        <x:f>IF(A781="","",IFERROR(LOOKUP(2,1/('Scope Review'!$B$5:$B$204=A781),'Scope Review'!$H$5:$H$204),""))</x:f>
      </x:c>
      <x:c r="P781" s="172" t="str">
        <x:f>IF(A781="","",IF(AND(C781="executing",N781&lt;&gt;"Confirmed OOS"),M781,0))</x:f>
      </x:c>
      <x:c r="Q781" s="173" t="str">
        <x:f>IF(A781="","",IFERROR(LOOKUP(2,1/('Engineer Updates'!$B$5:$B$704=A781),'Engineer Updates'!$A$5:$A$704),""))</x:f>
      </x:c>
      <x:c r="R781" s="172" t="str">
        <x:f>IF(A781="","",IFERROR(LOOKUP(2,1/('Engineer Updates'!$B$5:$B$704=A781),'Engineer Updates'!$H$5:$H$704),""))</x:f>
      </x:c>
      <x:c r="S781" s="172" t="str">
        <x:f>IF(A781="","",IFERROR(LOOKUP(2,1/('Engineer Updates'!$B$5:$B$704=A781),'Engineer Updates'!$G$5:$G$704),""))</x:f>
      </x:c>
      <x:c r="T781" s="172" t="str">
        <x:f>IF(A781="","",IFERROR(LOOKUP(2,1/('Engineer Updates'!$B$5:$B$704=A781),'Engineer Updates'!$I$5:$I$704),""))</x:f>
      </x:c>
      <x:c r="U781" s="172" t="str">
        <x:f>IF(A781="","",IFERROR(LOOKUP(2,1/('Engineer Updates'!$B$5:$B$704=A781),'Engineer Updates'!$J$5:$J$704),""))</x:f>
      </x:c>
      <x:c r="V781" s="172" t="str">
        <x:f>IF(A781="","",IFERROR(LOOKUP(2,1/('Engineer Updates'!$B$5:$B$704=A781),'Engineer Updates'!$K$5:$K$704),""))</x:f>
      </x:c>
      <x:c r="W781" s="174" t="str">
        <x:f>IF(A781="","",IFERROR(LOOKUP(2,1/('Engineer Updates'!$B$5:$B$704=A781),'Engineer Updates'!$L$5:$L$704),""))</x:f>
      </x:c>
      <x:c r="X781" s="170" t="str">
        <x:f>IF(A781="","",IF(C781="completed","Completed in CSSP",IF(AND(C781="executing",ISERROR(SEARCH("@",K781))),"Executing without named engineer",IF(AND(N781="Confirmed OOS",C781="executing"),"Confirmed OOS still executing",""))))</x:f>
      </x:c>
      <x:c r="Y781" s="170" t="str">
        <x:f>IF(A781="","",IF(B781="Decommissioning","Raw Decommissioning","Raw Provisioning"))</x:f>
      </x:c>
      <x:c r="Z781" s="170" t="str">
        <x:f>IF(A781="","",IF(OR(C781="executing",C781="processing"),"Yes","No"))</x:f>
      </x:c>
    </x:row>
    <x:row r="782">
      <x:c r="A782" s="170" t="str">
        <x:f>IF(ROWS($A$5:A782)&lt;=COUNTA('Raw Decommissioning'!$B$2:$B$1000),INDEX('Raw Decommissioning'!$B$2:$B$1000,ROWS($A$5:A782)),IF(ROWS($A$5:A782)-COUNTA('Raw Decommissioning'!$B$2:$B$1000)&lt;=COUNTA('Raw Provisioning'!$B$2:$B$1000),INDEX('Raw Provisioning'!$B$2:$B$1000,ROWS($A$5:A782)-COUNTA('Raw Decommissioning'!$B$2:$B$1000)),""))</x:f>
      </x:c>
      <x:c r="B782" s="170" t="str">
        <x:f>IF(A782="","",IF(ROWS($A$5:A782)&lt;=COUNTA('Raw Decommissioning'!$B$2:$B$1000),"Decommissioning","Provisioning"))</x:f>
      </x:c>
      <x:c r="C782" s="170" t="str">
        <x:f>IF(A782="","",IF(B782="Decommissioning",IFERROR(INDEX('Raw Decommissioning'!$E$2:$E$1000,MATCH(A782,'Raw Decommissioning'!$B$2:$B$1000,0)),"Missing from latest raw"),IFERROR(INDEX('Raw Provisioning'!$E$2:$E$1000,MATCH(A782,'Raw Provisioning'!$B$2:$B$1000,0)),"Missing from latest raw")))</x:f>
      </x:c>
      <x:c r="D782" s="171" t="str">
        <x:f>IF(A782="","",'Refresh Control'!$B$4)</x:f>
      </x:c>
      <x:c r="E782" s="171" t="str">
        <x:f>IF(A782="","",IF(B782="Decommissioning",INDEX('Raw Decommissioning'!$F$2:$F$1000,ROWS($A$5:A782)),INDEX('Raw Provisioning'!$F$2:$F$1000,ROWS($A$5:A782)-COUNTA('Raw Decommissioning'!$B$2:$B$1000))))</x:f>
      </x:c>
      <x:c r="F782" s="171" t="str">
        <x:f>IF(A782="","",IF(B782="Decommissioning",INDEX('Raw Decommissioning'!$G$2:$G$1000,ROWS($A$5:A782)),INDEX('Raw Provisioning'!$H$2:$H$1000,ROWS($A$5:A782)-COUNTA('Raw Decommissioning'!$B$2:$B$1000))))</x:f>
      </x:c>
      <x:c r="G782" s="170" t="str">
        <x:f>IF(A782="","",IF(B782="Decommissioning",INDEX('Raw Decommissioning'!$I$2:$I$1000,ROWS($A$5:A782)),INDEX('Raw Provisioning'!$J$2:$J$1000,ROWS($A$5:A782)-COUNTA('Raw Decommissioning'!$B$2:$B$1000))))</x:f>
      </x:c>
      <x:c r="H782" s="170" t="str">
        <x:f>IF(A782="","",IF(B782="Decommissioning",INDEX('Raw Decommissioning'!$J$2:$J$1000,ROWS($A$5:A782)),INDEX('Raw Provisioning'!$L$2:$L$1000,ROWS($A$5:A782)-COUNTA('Raw Decommissioning'!$B$2:$B$1000))))</x:f>
      </x:c>
      <x:c r="I782" s="170" t="str">
        <x:f>IF(A782="","",IF(B782="Decommissioning",INDEX('Raw Decommissioning'!$AL$2:$AL$1000,ROWS($A$5:A782)),INDEX('Raw Provisioning'!$R$2:$R$1000,ROWS($A$5:A782)-COUNTA('Raw Decommissioning'!$B$2:$B$1000))))</x:f>
      </x:c>
      <x:c r="J782" s="170" t="str">
        <x:f>IF(A782="","",IF(B782="Decommissioning",INDEX('Raw Decommissioning'!$AG$2:$AG$1000,ROWS($A$5:A782)),INDEX('Raw Provisioning'!$AI$2:$AI$1000,ROWS($A$5:A782)-COUNTA('Raw Decommissioning'!$B$2:$B$1000))))</x:f>
      </x:c>
      <x:c r="K782" s="172" t="str">
        <x:f>IF(A782="","",IFERROR(LOOKUP(2,1/('Assignment History'!$B$5:$B$204=A782),'Assignment History'!$D$5:$D$204),IFERROR(VLOOKUP(J782,Configuration!$L$5:$M$50,2,FALSE),J782)))</x:f>
      </x:c>
      <x:c r="L782" s="172" t="str">
        <x:f>IF(A782="","",IF(K782=IFERROR(VLOOKUP(J782,Configuration!$L$5:$M$50,2,FALSE),J782),"Snapshot PIC","Replacement PIC"))</x:f>
      </x:c>
      <x:c r="M782" s="172" t="str">
        <x:f>IF(A782="","",IFERROR(VLOOKUP(I782,Configuration!$O$5:$P$8,2,FALSE),Configuration!$S$6))</x:f>
      </x:c>
      <x:c r="N782" s="172" t="str">
        <x:f>IF(A782="","",IFERROR(LOOKUP(2,1/('Scope Review'!$B$5:$B$204=A782),'Scope Review'!$G$5:$G$204),"Not Reviewed"))</x:f>
      </x:c>
      <x:c r="O782" s="172" t="str">
        <x:f>IF(A782="","",IFERROR(LOOKUP(2,1/('Scope Review'!$B$5:$B$204=A782),'Scope Review'!$H$5:$H$204),""))</x:f>
      </x:c>
      <x:c r="P782" s="172" t="str">
        <x:f>IF(A782="","",IF(AND(C782="executing",N782&lt;&gt;"Confirmed OOS"),M782,0))</x:f>
      </x:c>
      <x:c r="Q782" s="173" t="str">
        <x:f>IF(A782="","",IFERROR(LOOKUP(2,1/('Engineer Updates'!$B$5:$B$704=A782),'Engineer Updates'!$A$5:$A$704),""))</x:f>
      </x:c>
      <x:c r="R782" s="172" t="str">
        <x:f>IF(A782="","",IFERROR(LOOKUP(2,1/('Engineer Updates'!$B$5:$B$704=A782),'Engineer Updates'!$H$5:$H$704),""))</x:f>
      </x:c>
      <x:c r="S782" s="172" t="str">
        <x:f>IF(A782="","",IFERROR(LOOKUP(2,1/('Engineer Updates'!$B$5:$B$704=A782),'Engineer Updates'!$G$5:$G$704),""))</x:f>
      </x:c>
      <x:c r="T782" s="172" t="str">
        <x:f>IF(A782="","",IFERROR(LOOKUP(2,1/('Engineer Updates'!$B$5:$B$704=A782),'Engineer Updates'!$I$5:$I$704),""))</x:f>
      </x:c>
      <x:c r="U782" s="172" t="str">
        <x:f>IF(A782="","",IFERROR(LOOKUP(2,1/('Engineer Updates'!$B$5:$B$704=A782),'Engineer Updates'!$J$5:$J$704),""))</x:f>
      </x:c>
      <x:c r="V782" s="172" t="str">
        <x:f>IF(A782="","",IFERROR(LOOKUP(2,1/('Engineer Updates'!$B$5:$B$704=A782),'Engineer Updates'!$K$5:$K$704),""))</x:f>
      </x:c>
      <x:c r="W782" s="174" t="str">
        <x:f>IF(A782="","",IFERROR(LOOKUP(2,1/('Engineer Updates'!$B$5:$B$704=A782),'Engineer Updates'!$L$5:$L$704),""))</x:f>
      </x:c>
      <x:c r="X782" s="170" t="str">
        <x:f>IF(A782="","",IF(C782="completed","Completed in CSSP",IF(AND(C782="executing",ISERROR(SEARCH("@",K782))),"Executing without named engineer",IF(AND(N782="Confirmed OOS",C782="executing"),"Confirmed OOS still executing",""))))</x:f>
      </x:c>
      <x:c r="Y782" s="170" t="str">
        <x:f>IF(A782="","",IF(B782="Decommissioning","Raw Decommissioning","Raw Provisioning"))</x:f>
      </x:c>
      <x:c r="Z782" s="170" t="str">
        <x:f>IF(A782="","",IF(OR(C782="executing",C782="processing"),"Yes","No"))</x:f>
      </x:c>
    </x:row>
    <x:row r="783">
      <x:c r="A783" s="170" t="str">
        <x:f>IF(ROWS($A$5:A783)&lt;=COUNTA('Raw Decommissioning'!$B$2:$B$1000),INDEX('Raw Decommissioning'!$B$2:$B$1000,ROWS($A$5:A783)),IF(ROWS($A$5:A783)-COUNTA('Raw Decommissioning'!$B$2:$B$1000)&lt;=COUNTA('Raw Provisioning'!$B$2:$B$1000),INDEX('Raw Provisioning'!$B$2:$B$1000,ROWS($A$5:A783)-COUNTA('Raw Decommissioning'!$B$2:$B$1000)),""))</x:f>
      </x:c>
      <x:c r="B783" s="170" t="str">
        <x:f>IF(A783="","",IF(ROWS($A$5:A783)&lt;=COUNTA('Raw Decommissioning'!$B$2:$B$1000),"Decommissioning","Provisioning"))</x:f>
      </x:c>
      <x:c r="C783" s="170" t="str">
        <x:f>IF(A783="","",IF(B783="Decommissioning",IFERROR(INDEX('Raw Decommissioning'!$E$2:$E$1000,MATCH(A783,'Raw Decommissioning'!$B$2:$B$1000,0)),"Missing from latest raw"),IFERROR(INDEX('Raw Provisioning'!$E$2:$E$1000,MATCH(A783,'Raw Provisioning'!$B$2:$B$1000,0)),"Missing from latest raw")))</x:f>
      </x:c>
      <x:c r="D783" s="171" t="str">
        <x:f>IF(A783="","",'Refresh Control'!$B$4)</x:f>
      </x:c>
      <x:c r="E783" s="171" t="str">
        <x:f>IF(A783="","",IF(B783="Decommissioning",INDEX('Raw Decommissioning'!$F$2:$F$1000,ROWS($A$5:A783)),INDEX('Raw Provisioning'!$F$2:$F$1000,ROWS($A$5:A783)-COUNTA('Raw Decommissioning'!$B$2:$B$1000))))</x:f>
      </x:c>
      <x:c r="F783" s="171" t="str">
        <x:f>IF(A783="","",IF(B783="Decommissioning",INDEX('Raw Decommissioning'!$G$2:$G$1000,ROWS($A$5:A783)),INDEX('Raw Provisioning'!$H$2:$H$1000,ROWS($A$5:A783)-COUNTA('Raw Decommissioning'!$B$2:$B$1000))))</x:f>
      </x:c>
      <x:c r="G783" s="170" t="str">
        <x:f>IF(A783="","",IF(B783="Decommissioning",INDEX('Raw Decommissioning'!$I$2:$I$1000,ROWS($A$5:A783)),INDEX('Raw Provisioning'!$J$2:$J$1000,ROWS($A$5:A783)-COUNTA('Raw Decommissioning'!$B$2:$B$1000))))</x:f>
      </x:c>
      <x:c r="H783" s="170" t="str">
        <x:f>IF(A783="","",IF(B783="Decommissioning",INDEX('Raw Decommissioning'!$J$2:$J$1000,ROWS($A$5:A783)),INDEX('Raw Provisioning'!$L$2:$L$1000,ROWS($A$5:A783)-COUNTA('Raw Decommissioning'!$B$2:$B$1000))))</x:f>
      </x:c>
      <x:c r="I783" s="170" t="str">
        <x:f>IF(A783="","",IF(B783="Decommissioning",INDEX('Raw Decommissioning'!$AL$2:$AL$1000,ROWS($A$5:A783)),INDEX('Raw Provisioning'!$R$2:$R$1000,ROWS($A$5:A783)-COUNTA('Raw Decommissioning'!$B$2:$B$1000))))</x:f>
      </x:c>
      <x:c r="J783" s="170" t="str">
        <x:f>IF(A783="","",IF(B783="Decommissioning",INDEX('Raw Decommissioning'!$AG$2:$AG$1000,ROWS($A$5:A783)),INDEX('Raw Provisioning'!$AI$2:$AI$1000,ROWS($A$5:A783)-COUNTA('Raw Decommissioning'!$B$2:$B$1000))))</x:f>
      </x:c>
      <x:c r="K783" s="172" t="str">
        <x:f>IF(A783="","",IFERROR(LOOKUP(2,1/('Assignment History'!$B$5:$B$204=A783),'Assignment History'!$D$5:$D$204),IFERROR(VLOOKUP(J783,Configuration!$L$5:$M$50,2,FALSE),J783)))</x:f>
      </x:c>
      <x:c r="L783" s="172" t="str">
        <x:f>IF(A783="","",IF(K783=IFERROR(VLOOKUP(J783,Configuration!$L$5:$M$50,2,FALSE),J783),"Snapshot PIC","Replacement PIC"))</x:f>
      </x:c>
      <x:c r="M783" s="172" t="str">
        <x:f>IF(A783="","",IFERROR(VLOOKUP(I783,Configuration!$O$5:$P$8,2,FALSE),Configuration!$S$6))</x:f>
      </x:c>
      <x:c r="N783" s="172" t="str">
        <x:f>IF(A783="","",IFERROR(LOOKUP(2,1/('Scope Review'!$B$5:$B$204=A783),'Scope Review'!$G$5:$G$204),"Not Reviewed"))</x:f>
      </x:c>
      <x:c r="O783" s="172" t="str">
        <x:f>IF(A783="","",IFERROR(LOOKUP(2,1/('Scope Review'!$B$5:$B$204=A783),'Scope Review'!$H$5:$H$204),""))</x:f>
      </x:c>
      <x:c r="P783" s="172" t="str">
        <x:f>IF(A783="","",IF(AND(C783="executing",N783&lt;&gt;"Confirmed OOS"),M783,0))</x:f>
      </x:c>
      <x:c r="Q783" s="173" t="str">
        <x:f>IF(A783="","",IFERROR(LOOKUP(2,1/('Engineer Updates'!$B$5:$B$704=A783),'Engineer Updates'!$A$5:$A$704),""))</x:f>
      </x:c>
      <x:c r="R783" s="172" t="str">
        <x:f>IF(A783="","",IFERROR(LOOKUP(2,1/('Engineer Updates'!$B$5:$B$704=A783),'Engineer Updates'!$H$5:$H$704),""))</x:f>
      </x:c>
      <x:c r="S783" s="172" t="str">
        <x:f>IF(A783="","",IFERROR(LOOKUP(2,1/('Engineer Updates'!$B$5:$B$704=A783),'Engineer Updates'!$G$5:$G$704),""))</x:f>
      </x:c>
      <x:c r="T783" s="172" t="str">
        <x:f>IF(A783="","",IFERROR(LOOKUP(2,1/('Engineer Updates'!$B$5:$B$704=A783),'Engineer Updates'!$I$5:$I$704),""))</x:f>
      </x:c>
      <x:c r="U783" s="172" t="str">
        <x:f>IF(A783="","",IFERROR(LOOKUP(2,1/('Engineer Updates'!$B$5:$B$704=A783),'Engineer Updates'!$J$5:$J$704),""))</x:f>
      </x:c>
      <x:c r="V783" s="172" t="str">
        <x:f>IF(A783="","",IFERROR(LOOKUP(2,1/('Engineer Updates'!$B$5:$B$704=A783),'Engineer Updates'!$K$5:$K$704),""))</x:f>
      </x:c>
      <x:c r="W783" s="174" t="str">
        <x:f>IF(A783="","",IFERROR(LOOKUP(2,1/('Engineer Updates'!$B$5:$B$704=A783),'Engineer Updates'!$L$5:$L$704),""))</x:f>
      </x:c>
      <x:c r="X783" s="170" t="str">
        <x:f>IF(A783="","",IF(C783="completed","Completed in CSSP",IF(AND(C783="executing",ISERROR(SEARCH("@",K783))),"Executing without named engineer",IF(AND(N783="Confirmed OOS",C783="executing"),"Confirmed OOS still executing",""))))</x:f>
      </x:c>
      <x:c r="Y783" s="170" t="str">
        <x:f>IF(A783="","",IF(B783="Decommissioning","Raw Decommissioning","Raw Provisioning"))</x:f>
      </x:c>
      <x:c r="Z783" s="170" t="str">
        <x:f>IF(A783="","",IF(OR(C783="executing",C783="processing"),"Yes","No"))</x:f>
      </x:c>
    </x:row>
    <x:row r="784">
      <x:c r="A784" s="170" t="str">
        <x:f>IF(ROWS($A$5:A784)&lt;=COUNTA('Raw Decommissioning'!$B$2:$B$1000),INDEX('Raw Decommissioning'!$B$2:$B$1000,ROWS($A$5:A784)),IF(ROWS($A$5:A784)-COUNTA('Raw Decommissioning'!$B$2:$B$1000)&lt;=COUNTA('Raw Provisioning'!$B$2:$B$1000),INDEX('Raw Provisioning'!$B$2:$B$1000,ROWS($A$5:A784)-COUNTA('Raw Decommissioning'!$B$2:$B$1000)),""))</x:f>
      </x:c>
      <x:c r="B784" s="170" t="str">
        <x:f>IF(A784="","",IF(ROWS($A$5:A784)&lt;=COUNTA('Raw Decommissioning'!$B$2:$B$1000),"Decommissioning","Provisioning"))</x:f>
      </x:c>
      <x:c r="C784" s="170" t="str">
        <x:f>IF(A784="","",IF(B784="Decommissioning",IFERROR(INDEX('Raw Decommissioning'!$E$2:$E$1000,MATCH(A784,'Raw Decommissioning'!$B$2:$B$1000,0)),"Missing from latest raw"),IFERROR(INDEX('Raw Provisioning'!$E$2:$E$1000,MATCH(A784,'Raw Provisioning'!$B$2:$B$1000,0)),"Missing from latest raw")))</x:f>
      </x:c>
      <x:c r="D784" s="171" t="str">
        <x:f>IF(A784="","",'Refresh Control'!$B$4)</x:f>
      </x:c>
      <x:c r="E784" s="171" t="str">
        <x:f>IF(A784="","",IF(B784="Decommissioning",INDEX('Raw Decommissioning'!$F$2:$F$1000,ROWS($A$5:A784)),INDEX('Raw Provisioning'!$F$2:$F$1000,ROWS($A$5:A784)-COUNTA('Raw Decommissioning'!$B$2:$B$1000))))</x:f>
      </x:c>
      <x:c r="F784" s="171" t="str">
        <x:f>IF(A784="","",IF(B784="Decommissioning",INDEX('Raw Decommissioning'!$G$2:$G$1000,ROWS($A$5:A784)),INDEX('Raw Provisioning'!$H$2:$H$1000,ROWS($A$5:A784)-COUNTA('Raw Decommissioning'!$B$2:$B$1000))))</x:f>
      </x:c>
      <x:c r="G784" s="170" t="str">
        <x:f>IF(A784="","",IF(B784="Decommissioning",INDEX('Raw Decommissioning'!$I$2:$I$1000,ROWS($A$5:A784)),INDEX('Raw Provisioning'!$J$2:$J$1000,ROWS($A$5:A784)-COUNTA('Raw Decommissioning'!$B$2:$B$1000))))</x:f>
      </x:c>
      <x:c r="H784" s="170" t="str">
        <x:f>IF(A784="","",IF(B784="Decommissioning",INDEX('Raw Decommissioning'!$J$2:$J$1000,ROWS($A$5:A784)),INDEX('Raw Provisioning'!$L$2:$L$1000,ROWS($A$5:A784)-COUNTA('Raw Decommissioning'!$B$2:$B$1000))))</x:f>
      </x:c>
      <x:c r="I784" s="170" t="str">
        <x:f>IF(A784="","",IF(B784="Decommissioning",INDEX('Raw Decommissioning'!$AL$2:$AL$1000,ROWS($A$5:A784)),INDEX('Raw Provisioning'!$R$2:$R$1000,ROWS($A$5:A784)-COUNTA('Raw Decommissioning'!$B$2:$B$1000))))</x:f>
      </x:c>
      <x:c r="J784" s="170" t="str">
        <x:f>IF(A784="","",IF(B784="Decommissioning",INDEX('Raw Decommissioning'!$AG$2:$AG$1000,ROWS($A$5:A784)),INDEX('Raw Provisioning'!$AI$2:$AI$1000,ROWS($A$5:A784)-COUNTA('Raw Decommissioning'!$B$2:$B$1000))))</x:f>
      </x:c>
      <x:c r="K784" s="172" t="str">
        <x:f>IF(A784="","",IFERROR(LOOKUP(2,1/('Assignment History'!$B$5:$B$204=A784),'Assignment History'!$D$5:$D$204),IFERROR(VLOOKUP(J784,Configuration!$L$5:$M$50,2,FALSE),J784)))</x:f>
      </x:c>
      <x:c r="L784" s="172" t="str">
        <x:f>IF(A784="","",IF(K784=IFERROR(VLOOKUP(J784,Configuration!$L$5:$M$50,2,FALSE),J784),"Snapshot PIC","Replacement PIC"))</x:f>
      </x:c>
      <x:c r="M784" s="172" t="str">
        <x:f>IF(A784="","",IFERROR(VLOOKUP(I784,Configuration!$O$5:$P$8,2,FALSE),Configuration!$S$6))</x:f>
      </x:c>
      <x:c r="N784" s="172" t="str">
        <x:f>IF(A784="","",IFERROR(LOOKUP(2,1/('Scope Review'!$B$5:$B$204=A784),'Scope Review'!$G$5:$G$204),"Not Reviewed"))</x:f>
      </x:c>
      <x:c r="O784" s="172" t="str">
        <x:f>IF(A784="","",IFERROR(LOOKUP(2,1/('Scope Review'!$B$5:$B$204=A784),'Scope Review'!$H$5:$H$204),""))</x:f>
      </x:c>
      <x:c r="P784" s="172" t="str">
        <x:f>IF(A784="","",IF(AND(C784="executing",N784&lt;&gt;"Confirmed OOS"),M784,0))</x:f>
      </x:c>
      <x:c r="Q784" s="173" t="str">
        <x:f>IF(A784="","",IFERROR(LOOKUP(2,1/('Engineer Updates'!$B$5:$B$704=A784),'Engineer Updates'!$A$5:$A$704),""))</x:f>
      </x:c>
      <x:c r="R784" s="172" t="str">
        <x:f>IF(A784="","",IFERROR(LOOKUP(2,1/('Engineer Updates'!$B$5:$B$704=A784),'Engineer Updates'!$H$5:$H$704),""))</x:f>
      </x:c>
      <x:c r="S784" s="172" t="str">
        <x:f>IF(A784="","",IFERROR(LOOKUP(2,1/('Engineer Updates'!$B$5:$B$704=A784),'Engineer Updates'!$G$5:$G$704),""))</x:f>
      </x:c>
      <x:c r="T784" s="172" t="str">
        <x:f>IF(A784="","",IFERROR(LOOKUP(2,1/('Engineer Updates'!$B$5:$B$704=A784),'Engineer Updates'!$I$5:$I$704),""))</x:f>
      </x:c>
      <x:c r="U784" s="172" t="str">
        <x:f>IF(A784="","",IFERROR(LOOKUP(2,1/('Engineer Updates'!$B$5:$B$704=A784),'Engineer Updates'!$J$5:$J$704),""))</x:f>
      </x:c>
      <x:c r="V784" s="172" t="str">
        <x:f>IF(A784="","",IFERROR(LOOKUP(2,1/('Engineer Updates'!$B$5:$B$704=A784),'Engineer Updates'!$K$5:$K$704),""))</x:f>
      </x:c>
      <x:c r="W784" s="174" t="str">
        <x:f>IF(A784="","",IFERROR(LOOKUP(2,1/('Engineer Updates'!$B$5:$B$704=A784),'Engineer Updates'!$L$5:$L$704),""))</x:f>
      </x:c>
      <x:c r="X784" s="170" t="str">
        <x:f>IF(A784="","",IF(C784="completed","Completed in CSSP",IF(AND(C784="executing",ISERROR(SEARCH("@",K784))),"Executing without named engineer",IF(AND(N784="Confirmed OOS",C784="executing"),"Confirmed OOS still executing",""))))</x:f>
      </x:c>
      <x:c r="Y784" s="170" t="str">
        <x:f>IF(A784="","",IF(B784="Decommissioning","Raw Decommissioning","Raw Provisioning"))</x:f>
      </x:c>
      <x:c r="Z784" s="170" t="str">
        <x:f>IF(A784="","",IF(OR(C784="executing",C784="processing"),"Yes","No"))</x:f>
      </x:c>
    </x:row>
    <x:row r="785">
      <x:c r="A785" s="170" t="str">
        <x:f>IF(ROWS($A$5:A785)&lt;=COUNTA('Raw Decommissioning'!$B$2:$B$1000),INDEX('Raw Decommissioning'!$B$2:$B$1000,ROWS($A$5:A785)),IF(ROWS($A$5:A785)-COUNTA('Raw Decommissioning'!$B$2:$B$1000)&lt;=COUNTA('Raw Provisioning'!$B$2:$B$1000),INDEX('Raw Provisioning'!$B$2:$B$1000,ROWS($A$5:A785)-COUNTA('Raw Decommissioning'!$B$2:$B$1000)),""))</x:f>
      </x:c>
      <x:c r="B785" s="170" t="str">
        <x:f>IF(A785="","",IF(ROWS($A$5:A785)&lt;=COUNTA('Raw Decommissioning'!$B$2:$B$1000),"Decommissioning","Provisioning"))</x:f>
      </x:c>
      <x:c r="C785" s="170" t="str">
        <x:f>IF(A785="","",IF(B785="Decommissioning",IFERROR(INDEX('Raw Decommissioning'!$E$2:$E$1000,MATCH(A785,'Raw Decommissioning'!$B$2:$B$1000,0)),"Missing from latest raw"),IFERROR(INDEX('Raw Provisioning'!$E$2:$E$1000,MATCH(A785,'Raw Provisioning'!$B$2:$B$1000,0)),"Missing from latest raw")))</x:f>
      </x:c>
      <x:c r="D785" s="171" t="str">
        <x:f>IF(A785="","",'Refresh Control'!$B$4)</x:f>
      </x:c>
      <x:c r="E785" s="171" t="str">
        <x:f>IF(A785="","",IF(B785="Decommissioning",INDEX('Raw Decommissioning'!$F$2:$F$1000,ROWS($A$5:A785)),INDEX('Raw Provisioning'!$F$2:$F$1000,ROWS($A$5:A785)-COUNTA('Raw Decommissioning'!$B$2:$B$1000))))</x:f>
      </x:c>
      <x:c r="F785" s="171" t="str">
        <x:f>IF(A785="","",IF(B785="Decommissioning",INDEX('Raw Decommissioning'!$G$2:$G$1000,ROWS($A$5:A785)),INDEX('Raw Provisioning'!$H$2:$H$1000,ROWS($A$5:A785)-COUNTA('Raw Decommissioning'!$B$2:$B$1000))))</x:f>
      </x:c>
      <x:c r="G785" s="170" t="str">
        <x:f>IF(A785="","",IF(B785="Decommissioning",INDEX('Raw Decommissioning'!$I$2:$I$1000,ROWS($A$5:A785)),INDEX('Raw Provisioning'!$J$2:$J$1000,ROWS($A$5:A785)-COUNTA('Raw Decommissioning'!$B$2:$B$1000))))</x:f>
      </x:c>
      <x:c r="H785" s="170" t="str">
        <x:f>IF(A785="","",IF(B785="Decommissioning",INDEX('Raw Decommissioning'!$J$2:$J$1000,ROWS($A$5:A785)),INDEX('Raw Provisioning'!$L$2:$L$1000,ROWS($A$5:A785)-COUNTA('Raw Decommissioning'!$B$2:$B$1000))))</x:f>
      </x:c>
      <x:c r="I785" s="170" t="str">
        <x:f>IF(A785="","",IF(B785="Decommissioning",INDEX('Raw Decommissioning'!$AL$2:$AL$1000,ROWS($A$5:A785)),INDEX('Raw Provisioning'!$R$2:$R$1000,ROWS($A$5:A785)-COUNTA('Raw Decommissioning'!$B$2:$B$1000))))</x:f>
      </x:c>
      <x:c r="J785" s="170" t="str">
        <x:f>IF(A785="","",IF(B785="Decommissioning",INDEX('Raw Decommissioning'!$AG$2:$AG$1000,ROWS($A$5:A785)),INDEX('Raw Provisioning'!$AI$2:$AI$1000,ROWS($A$5:A785)-COUNTA('Raw Decommissioning'!$B$2:$B$1000))))</x:f>
      </x:c>
      <x:c r="K785" s="172" t="str">
        <x:f>IF(A785="","",IFERROR(LOOKUP(2,1/('Assignment History'!$B$5:$B$204=A785),'Assignment History'!$D$5:$D$204),IFERROR(VLOOKUP(J785,Configuration!$L$5:$M$50,2,FALSE),J785)))</x:f>
      </x:c>
      <x:c r="L785" s="172" t="str">
        <x:f>IF(A785="","",IF(K785=IFERROR(VLOOKUP(J785,Configuration!$L$5:$M$50,2,FALSE),J785),"Snapshot PIC","Replacement PIC"))</x:f>
      </x:c>
      <x:c r="M785" s="172" t="str">
        <x:f>IF(A785="","",IFERROR(VLOOKUP(I785,Configuration!$O$5:$P$8,2,FALSE),Configuration!$S$6))</x:f>
      </x:c>
      <x:c r="N785" s="172" t="str">
        <x:f>IF(A785="","",IFERROR(LOOKUP(2,1/('Scope Review'!$B$5:$B$204=A785),'Scope Review'!$G$5:$G$204),"Not Reviewed"))</x:f>
      </x:c>
      <x:c r="O785" s="172" t="str">
        <x:f>IF(A785="","",IFERROR(LOOKUP(2,1/('Scope Review'!$B$5:$B$204=A785),'Scope Review'!$H$5:$H$204),""))</x:f>
      </x:c>
      <x:c r="P785" s="172" t="str">
        <x:f>IF(A785="","",IF(AND(C785="executing",N785&lt;&gt;"Confirmed OOS"),M785,0))</x:f>
      </x:c>
      <x:c r="Q785" s="173" t="str">
        <x:f>IF(A785="","",IFERROR(LOOKUP(2,1/('Engineer Updates'!$B$5:$B$704=A785),'Engineer Updates'!$A$5:$A$704),""))</x:f>
      </x:c>
      <x:c r="R785" s="172" t="str">
        <x:f>IF(A785="","",IFERROR(LOOKUP(2,1/('Engineer Updates'!$B$5:$B$704=A785),'Engineer Updates'!$H$5:$H$704),""))</x:f>
      </x:c>
      <x:c r="S785" s="172" t="str">
        <x:f>IF(A785="","",IFERROR(LOOKUP(2,1/('Engineer Updates'!$B$5:$B$704=A785),'Engineer Updates'!$G$5:$G$704),""))</x:f>
      </x:c>
      <x:c r="T785" s="172" t="str">
        <x:f>IF(A785="","",IFERROR(LOOKUP(2,1/('Engineer Updates'!$B$5:$B$704=A785),'Engineer Updates'!$I$5:$I$704),""))</x:f>
      </x:c>
      <x:c r="U785" s="172" t="str">
        <x:f>IF(A785="","",IFERROR(LOOKUP(2,1/('Engineer Updates'!$B$5:$B$704=A785),'Engineer Updates'!$J$5:$J$704),""))</x:f>
      </x:c>
      <x:c r="V785" s="172" t="str">
        <x:f>IF(A785="","",IFERROR(LOOKUP(2,1/('Engineer Updates'!$B$5:$B$704=A785),'Engineer Updates'!$K$5:$K$704),""))</x:f>
      </x:c>
      <x:c r="W785" s="174" t="str">
        <x:f>IF(A785="","",IFERROR(LOOKUP(2,1/('Engineer Updates'!$B$5:$B$704=A785),'Engineer Updates'!$L$5:$L$704),""))</x:f>
      </x:c>
      <x:c r="X785" s="170" t="str">
        <x:f>IF(A785="","",IF(C785="completed","Completed in CSSP",IF(AND(C785="executing",ISERROR(SEARCH("@",K785))),"Executing without named engineer",IF(AND(N785="Confirmed OOS",C785="executing"),"Confirmed OOS still executing",""))))</x:f>
      </x:c>
      <x:c r="Y785" s="170" t="str">
        <x:f>IF(A785="","",IF(B785="Decommissioning","Raw Decommissioning","Raw Provisioning"))</x:f>
      </x:c>
      <x:c r="Z785" s="170" t="str">
        <x:f>IF(A785="","",IF(OR(C785="executing",C785="processing"),"Yes","No"))</x:f>
      </x:c>
    </x:row>
    <x:row r="786">
      <x:c r="A786" s="170" t="str">
        <x:f>IF(ROWS($A$5:A786)&lt;=COUNTA('Raw Decommissioning'!$B$2:$B$1000),INDEX('Raw Decommissioning'!$B$2:$B$1000,ROWS($A$5:A786)),IF(ROWS($A$5:A786)-COUNTA('Raw Decommissioning'!$B$2:$B$1000)&lt;=COUNTA('Raw Provisioning'!$B$2:$B$1000),INDEX('Raw Provisioning'!$B$2:$B$1000,ROWS($A$5:A786)-COUNTA('Raw Decommissioning'!$B$2:$B$1000)),""))</x:f>
      </x:c>
      <x:c r="B786" s="170" t="str">
        <x:f>IF(A786="","",IF(ROWS($A$5:A786)&lt;=COUNTA('Raw Decommissioning'!$B$2:$B$1000),"Decommissioning","Provisioning"))</x:f>
      </x:c>
      <x:c r="C786" s="170" t="str">
        <x:f>IF(A786="","",IF(B786="Decommissioning",IFERROR(INDEX('Raw Decommissioning'!$E$2:$E$1000,MATCH(A786,'Raw Decommissioning'!$B$2:$B$1000,0)),"Missing from latest raw"),IFERROR(INDEX('Raw Provisioning'!$E$2:$E$1000,MATCH(A786,'Raw Provisioning'!$B$2:$B$1000,0)),"Missing from latest raw")))</x:f>
      </x:c>
      <x:c r="D786" s="171" t="str">
        <x:f>IF(A786="","",'Refresh Control'!$B$4)</x:f>
      </x:c>
      <x:c r="E786" s="171" t="str">
        <x:f>IF(A786="","",IF(B786="Decommissioning",INDEX('Raw Decommissioning'!$F$2:$F$1000,ROWS($A$5:A786)),INDEX('Raw Provisioning'!$F$2:$F$1000,ROWS($A$5:A786)-COUNTA('Raw Decommissioning'!$B$2:$B$1000))))</x:f>
      </x:c>
      <x:c r="F786" s="171" t="str">
        <x:f>IF(A786="","",IF(B786="Decommissioning",INDEX('Raw Decommissioning'!$G$2:$G$1000,ROWS($A$5:A786)),INDEX('Raw Provisioning'!$H$2:$H$1000,ROWS($A$5:A786)-COUNTA('Raw Decommissioning'!$B$2:$B$1000))))</x:f>
      </x:c>
      <x:c r="G786" s="170" t="str">
        <x:f>IF(A786="","",IF(B786="Decommissioning",INDEX('Raw Decommissioning'!$I$2:$I$1000,ROWS($A$5:A786)),INDEX('Raw Provisioning'!$J$2:$J$1000,ROWS($A$5:A786)-COUNTA('Raw Decommissioning'!$B$2:$B$1000))))</x:f>
      </x:c>
      <x:c r="H786" s="170" t="str">
        <x:f>IF(A786="","",IF(B786="Decommissioning",INDEX('Raw Decommissioning'!$J$2:$J$1000,ROWS($A$5:A786)),INDEX('Raw Provisioning'!$L$2:$L$1000,ROWS($A$5:A786)-COUNTA('Raw Decommissioning'!$B$2:$B$1000))))</x:f>
      </x:c>
      <x:c r="I786" s="170" t="str">
        <x:f>IF(A786="","",IF(B786="Decommissioning",INDEX('Raw Decommissioning'!$AL$2:$AL$1000,ROWS($A$5:A786)),INDEX('Raw Provisioning'!$R$2:$R$1000,ROWS($A$5:A786)-COUNTA('Raw Decommissioning'!$B$2:$B$1000))))</x:f>
      </x:c>
      <x:c r="J786" s="170" t="str">
        <x:f>IF(A786="","",IF(B786="Decommissioning",INDEX('Raw Decommissioning'!$AG$2:$AG$1000,ROWS($A$5:A786)),INDEX('Raw Provisioning'!$AI$2:$AI$1000,ROWS($A$5:A786)-COUNTA('Raw Decommissioning'!$B$2:$B$1000))))</x:f>
      </x:c>
      <x:c r="K786" s="172" t="str">
        <x:f>IF(A786="","",IFERROR(LOOKUP(2,1/('Assignment History'!$B$5:$B$204=A786),'Assignment History'!$D$5:$D$204),IFERROR(VLOOKUP(J786,Configuration!$L$5:$M$50,2,FALSE),J786)))</x:f>
      </x:c>
      <x:c r="L786" s="172" t="str">
        <x:f>IF(A786="","",IF(K786=IFERROR(VLOOKUP(J786,Configuration!$L$5:$M$50,2,FALSE),J786),"Snapshot PIC","Replacement PIC"))</x:f>
      </x:c>
      <x:c r="M786" s="172" t="str">
        <x:f>IF(A786="","",IFERROR(VLOOKUP(I786,Configuration!$O$5:$P$8,2,FALSE),Configuration!$S$6))</x:f>
      </x:c>
      <x:c r="N786" s="172" t="str">
        <x:f>IF(A786="","",IFERROR(LOOKUP(2,1/('Scope Review'!$B$5:$B$204=A786),'Scope Review'!$G$5:$G$204),"Not Reviewed"))</x:f>
      </x:c>
      <x:c r="O786" s="172" t="str">
        <x:f>IF(A786="","",IFERROR(LOOKUP(2,1/('Scope Review'!$B$5:$B$204=A786),'Scope Review'!$H$5:$H$204),""))</x:f>
      </x:c>
      <x:c r="P786" s="172" t="str">
        <x:f>IF(A786="","",IF(AND(C786="executing",N786&lt;&gt;"Confirmed OOS"),M786,0))</x:f>
      </x:c>
      <x:c r="Q786" s="173" t="str">
        <x:f>IF(A786="","",IFERROR(LOOKUP(2,1/('Engineer Updates'!$B$5:$B$704=A786),'Engineer Updates'!$A$5:$A$704),""))</x:f>
      </x:c>
      <x:c r="R786" s="172" t="str">
        <x:f>IF(A786="","",IFERROR(LOOKUP(2,1/('Engineer Updates'!$B$5:$B$704=A786),'Engineer Updates'!$H$5:$H$704),""))</x:f>
      </x:c>
      <x:c r="S786" s="172" t="str">
        <x:f>IF(A786="","",IFERROR(LOOKUP(2,1/('Engineer Updates'!$B$5:$B$704=A786),'Engineer Updates'!$G$5:$G$704),""))</x:f>
      </x:c>
      <x:c r="T786" s="172" t="str">
        <x:f>IF(A786="","",IFERROR(LOOKUP(2,1/('Engineer Updates'!$B$5:$B$704=A786),'Engineer Updates'!$I$5:$I$704),""))</x:f>
      </x:c>
      <x:c r="U786" s="172" t="str">
        <x:f>IF(A786="","",IFERROR(LOOKUP(2,1/('Engineer Updates'!$B$5:$B$704=A786),'Engineer Updates'!$J$5:$J$704),""))</x:f>
      </x:c>
      <x:c r="V786" s="172" t="str">
        <x:f>IF(A786="","",IFERROR(LOOKUP(2,1/('Engineer Updates'!$B$5:$B$704=A786),'Engineer Updates'!$K$5:$K$704),""))</x:f>
      </x:c>
      <x:c r="W786" s="174" t="str">
        <x:f>IF(A786="","",IFERROR(LOOKUP(2,1/('Engineer Updates'!$B$5:$B$704=A786),'Engineer Updates'!$L$5:$L$704),""))</x:f>
      </x:c>
      <x:c r="X786" s="170" t="str">
        <x:f>IF(A786="","",IF(C786="completed","Completed in CSSP",IF(AND(C786="executing",ISERROR(SEARCH("@",K786))),"Executing without named engineer",IF(AND(N786="Confirmed OOS",C786="executing"),"Confirmed OOS still executing",""))))</x:f>
      </x:c>
      <x:c r="Y786" s="170" t="str">
        <x:f>IF(A786="","",IF(B786="Decommissioning","Raw Decommissioning","Raw Provisioning"))</x:f>
      </x:c>
      <x:c r="Z786" s="170" t="str">
        <x:f>IF(A786="","",IF(OR(C786="executing",C786="processing"),"Yes","No"))</x:f>
      </x:c>
    </x:row>
    <x:row r="787">
      <x:c r="A787" s="170" t="str">
        <x:f>IF(ROWS($A$5:A787)&lt;=COUNTA('Raw Decommissioning'!$B$2:$B$1000),INDEX('Raw Decommissioning'!$B$2:$B$1000,ROWS($A$5:A787)),IF(ROWS($A$5:A787)-COUNTA('Raw Decommissioning'!$B$2:$B$1000)&lt;=COUNTA('Raw Provisioning'!$B$2:$B$1000),INDEX('Raw Provisioning'!$B$2:$B$1000,ROWS($A$5:A787)-COUNTA('Raw Decommissioning'!$B$2:$B$1000)),""))</x:f>
      </x:c>
      <x:c r="B787" s="170" t="str">
        <x:f>IF(A787="","",IF(ROWS($A$5:A787)&lt;=COUNTA('Raw Decommissioning'!$B$2:$B$1000),"Decommissioning","Provisioning"))</x:f>
      </x:c>
      <x:c r="C787" s="170" t="str">
        <x:f>IF(A787="","",IF(B787="Decommissioning",IFERROR(INDEX('Raw Decommissioning'!$E$2:$E$1000,MATCH(A787,'Raw Decommissioning'!$B$2:$B$1000,0)),"Missing from latest raw"),IFERROR(INDEX('Raw Provisioning'!$E$2:$E$1000,MATCH(A787,'Raw Provisioning'!$B$2:$B$1000,0)),"Missing from latest raw")))</x:f>
      </x:c>
      <x:c r="D787" s="171" t="str">
        <x:f>IF(A787="","",'Refresh Control'!$B$4)</x:f>
      </x:c>
      <x:c r="E787" s="171" t="str">
        <x:f>IF(A787="","",IF(B787="Decommissioning",INDEX('Raw Decommissioning'!$F$2:$F$1000,ROWS($A$5:A787)),INDEX('Raw Provisioning'!$F$2:$F$1000,ROWS($A$5:A787)-COUNTA('Raw Decommissioning'!$B$2:$B$1000))))</x:f>
      </x:c>
      <x:c r="F787" s="171" t="str">
        <x:f>IF(A787="","",IF(B787="Decommissioning",INDEX('Raw Decommissioning'!$G$2:$G$1000,ROWS($A$5:A787)),INDEX('Raw Provisioning'!$H$2:$H$1000,ROWS($A$5:A787)-COUNTA('Raw Decommissioning'!$B$2:$B$1000))))</x:f>
      </x:c>
      <x:c r="G787" s="170" t="str">
        <x:f>IF(A787="","",IF(B787="Decommissioning",INDEX('Raw Decommissioning'!$I$2:$I$1000,ROWS($A$5:A787)),INDEX('Raw Provisioning'!$J$2:$J$1000,ROWS($A$5:A787)-COUNTA('Raw Decommissioning'!$B$2:$B$1000))))</x:f>
      </x:c>
      <x:c r="H787" s="170" t="str">
        <x:f>IF(A787="","",IF(B787="Decommissioning",INDEX('Raw Decommissioning'!$J$2:$J$1000,ROWS($A$5:A787)),INDEX('Raw Provisioning'!$L$2:$L$1000,ROWS($A$5:A787)-COUNTA('Raw Decommissioning'!$B$2:$B$1000))))</x:f>
      </x:c>
      <x:c r="I787" s="170" t="str">
        <x:f>IF(A787="","",IF(B787="Decommissioning",INDEX('Raw Decommissioning'!$AL$2:$AL$1000,ROWS($A$5:A787)),INDEX('Raw Provisioning'!$R$2:$R$1000,ROWS($A$5:A787)-COUNTA('Raw Decommissioning'!$B$2:$B$1000))))</x:f>
      </x:c>
      <x:c r="J787" s="170" t="str">
        <x:f>IF(A787="","",IF(B787="Decommissioning",INDEX('Raw Decommissioning'!$AG$2:$AG$1000,ROWS($A$5:A787)),INDEX('Raw Provisioning'!$AI$2:$AI$1000,ROWS($A$5:A787)-COUNTA('Raw Decommissioning'!$B$2:$B$1000))))</x:f>
      </x:c>
      <x:c r="K787" s="172" t="str">
        <x:f>IF(A787="","",IFERROR(LOOKUP(2,1/('Assignment History'!$B$5:$B$204=A787),'Assignment History'!$D$5:$D$204),IFERROR(VLOOKUP(J787,Configuration!$L$5:$M$50,2,FALSE),J787)))</x:f>
      </x:c>
      <x:c r="L787" s="172" t="str">
        <x:f>IF(A787="","",IF(K787=IFERROR(VLOOKUP(J787,Configuration!$L$5:$M$50,2,FALSE),J787),"Snapshot PIC","Replacement PIC"))</x:f>
      </x:c>
      <x:c r="M787" s="172" t="str">
        <x:f>IF(A787="","",IFERROR(VLOOKUP(I787,Configuration!$O$5:$P$8,2,FALSE),Configuration!$S$6))</x:f>
      </x:c>
      <x:c r="N787" s="172" t="str">
        <x:f>IF(A787="","",IFERROR(LOOKUP(2,1/('Scope Review'!$B$5:$B$204=A787),'Scope Review'!$G$5:$G$204),"Not Reviewed"))</x:f>
      </x:c>
      <x:c r="O787" s="172" t="str">
        <x:f>IF(A787="","",IFERROR(LOOKUP(2,1/('Scope Review'!$B$5:$B$204=A787),'Scope Review'!$H$5:$H$204),""))</x:f>
      </x:c>
      <x:c r="P787" s="172" t="str">
        <x:f>IF(A787="","",IF(AND(C787="executing",N787&lt;&gt;"Confirmed OOS"),M787,0))</x:f>
      </x:c>
      <x:c r="Q787" s="173" t="str">
        <x:f>IF(A787="","",IFERROR(LOOKUP(2,1/('Engineer Updates'!$B$5:$B$704=A787),'Engineer Updates'!$A$5:$A$704),""))</x:f>
      </x:c>
      <x:c r="R787" s="172" t="str">
        <x:f>IF(A787="","",IFERROR(LOOKUP(2,1/('Engineer Updates'!$B$5:$B$704=A787),'Engineer Updates'!$H$5:$H$704),""))</x:f>
      </x:c>
      <x:c r="S787" s="172" t="str">
        <x:f>IF(A787="","",IFERROR(LOOKUP(2,1/('Engineer Updates'!$B$5:$B$704=A787),'Engineer Updates'!$G$5:$G$704),""))</x:f>
      </x:c>
      <x:c r="T787" s="172" t="str">
        <x:f>IF(A787="","",IFERROR(LOOKUP(2,1/('Engineer Updates'!$B$5:$B$704=A787),'Engineer Updates'!$I$5:$I$704),""))</x:f>
      </x:c>
      <x:c r="U787" s="172" t="str">
        <x:f>IF(A787="","",IFERROR(LOOKUP(2,1/('Engineer Updates'!$B$5:$B$704=A787),'Engineer Updates'!$J$5:$J$704),""))</x:f>
      </x:c>
      <x:c r="V787" s="172" t="str">
        <x:f>IF(A787="","",IFERROR(LOOKUP(2,1/('Engineer Updates'!$B$5:$B$704=A787),'Engineer Updates'!$K$5:$K$704),""))</x:f>
      </x:c>
      <x:c r="W787" s="174" t="str">
        <x:f>IF(A787="","",IFERROR(LOOKUP(2,1/('Engineer Updates'!$B$5:$B$704=A787),'Engineer Updates'!$L$5:$L$704),""))</x:f>
      </x:c>
      <x:c r="X787" s="170" t="str">
        <x:f>IF(A787="","",IF(C787="completed","Completed in CSSP",IF(AND(C787="executing",ISERROR(SEARCH("@",K787))),"Executing without named engineer",IF(AND(N787="Confirmed OOS",C787="executing"),"Confirmed OOS still executing",""))))</x:f>
      </x:c>
      <x:c r="Y787" s="170" t="str">
        <x:f>IF(A787="","",IF(B787="Decommissioning","Raw Decommissioning","Raw Provisioning"))</x:f>
      </x:c>
      <x:c r="Z787" s="170" t="str">
        <x:f>IF(A787="","",IF(OR(C787="executing",C787="processing"),"Yes","No"))</x:f>
      </x:c>
    </x:row>
    <x:row r="788">
      <x:c r="A788" s="170" t="str">
        <x:f>IF(ROWS($A$5:A788)&lt;=COUNTA('Raw Decommissioning'!$B$2:$B$1000),INDEX('Raw Decommissioning'!$B$2:$B$1000,ROWS($A$5:A788)),IF(ROWS($A$5:A788)-COUNTA('Raw Decommissioning'!$B$2:$B$1000)&lt;=COUNTA('Raw Provisioning'!$B$2:$B$1000),INDEX('Raw Provisioning'!$B$2:$B$1000,ROWS($A$5:A788)-COUNTA('Raw Decommissioning'!$B$2:$B$1000)),""))</x:f>
      </x:c>
      <x:c r="B788" s="170" t="str">
        <x:f>IF(A788="","",IF(ROWS($A$5:A788)&lt;=COUNTA('Raw Decommissioning'!$B$2:$B$1000),"Decommissioning","Provisioning"))</x:f>
      </x:c>
      <x:c r="C788" s="170" t="str">
        <x:f>IF(A788="","",IF(B788="Decommissioning",IFERROR(INDEX('Raw Decommissioning'!$E$2:$E$1000,MATCH(A788,'Raw Decommissioning'!$B$2:$B$1000,0)),"Missing from latest raw"),IFERROR(INDEX('Raw Provisioning'!$E$2:$E$1000,MATCH(A788,'Raw Provisioning'!$B$2:$B$1000,0)),"Missing from latest raw")))</x:f>
      </x:c>
      <x:c r="D788" s="171" t="str">
        <x:f>IF(A788="","",'Refresh Control'!$B$4)</x:f>
      </x:c>
      <x:c r="E788" s="171" t="str">
        <x:f>IF(A788="","",IF(B788="Decommissioning",INDEX('Raw Decommissioning'!$F$2:$F$1000,ROWS($A$5:A788)),INDEX('Raw Provisioning'!$F$2:$F$1000,ROWS($A$5:A788)-COUNTA('Raw Decommissioning'!$B$2:$B$1000))))</x:f>
      </x:c>
      <x:c r="F788" s="171" t="str">
        <x:f>IF(A788="","",IF(B788="Decommissioning",INDEX('Raw Decommissioning'!$G$2:$G$1000,ROWS($A$5:A788)),INDEX('Raw Provisioning'!$H$2:$H$1000,ROWS($A$5:A788)-COUNTA('Raw Decommissioning'!$B$2:$B$1000))))</x:f>
      </x:c>
      <x:c r="G788" s="170" t="str">
        <x:f>IF(A788="","",IF(B788="Decommissioning",INDEX('Raw Decommissioning'!$I$2:$I$1000,ROWS($A$5:A788)),INDEX('Raw Provisioning'!$J$2:$J$1000,ROWS($A$5:A788)-COUNTA('Raw Decommissioning'!$B$2:$B$1000))))</x:f>
      </x:c>
      <x:c r="H788" s="170" t="str">
        <x:f>IF(A788="","",IF(B788="Decommissioning",INDEX('Raw Decommissioning'!$J$2:$J$1000,ROWS($A$5:A788)),INDEX('Raw Provisioning'!$L$2:$L$1000,ROWS($A$5:A788)-COUNTA('Raw Decommissioning'!$B$2:$B$1000))))</x:f>
      </x:c>
      <x:c r="I788" s="170" t="str">
        <x:f>IF(A788="","",IF(B788="Decommissioning",INDEX('Raw Decommissioning'!$AL$2:$AL$1000,ROWS($A$5:A788)),INDEX('Raw Provisioning'!$R$2:$R$1000,ROWS($A$5:A788)-COUNTA('Raw Decommissioning'!$B$2:$B$1000))))</x:f>
      </x:c>
      <x:c r="J788" s="170" t="str">
        <x:f>IF(A788="","",IF(B788="Decommissioning",INDEX('Raw Decommissioning'!$AG$2:$AG$1000,ROWS($A$5:A788)),INDEX('Raw Provisioning'!$AI$2:$AI$1000,ROWS($A$5:A788)-COUNTA('Raw Decommissioning'!$B$2:$B$1000))))</x:f>
      </x:c>
      <x:c r="K788" s="172" t="str">
        <x:f>IF(A788="","",IFERROR(LOOKUP(2,1/('Assignment History'!$B$5:$B$204=A788),'Assignment History'!$D$5:$D$204),IFERROR(VLOOKUP(J788,Configuration!$L$5:$M$50,2,FALSE),J788)))</x:f>
      </x:c>
      <x:c r="L788" s="172" t="str">
        <x:f>IF(A788="","",IF(K788=IFERROR(VLOOKUP(J788,Configuration!$L$5:$M$50,2,FALSE),J788),"Snapshot PIC","Replacement PIC"))</x:f>
      </x:c>
      <x:c r="M788" s="172" t="str">
        <x:f>IF(A788="","",IFERROR(VLOOKUP(I788,Configuration!$O$5:$P$8,2,FALSE),Configuration!$S$6))</x:f>
      </x:c>
      <x:c r="N788" s="172" t="str">
        <x:f>IF(A788="","",IFERROR(LOOKUP(2,1/('Scope Review'!$B$5:$B$204=A788),'Scope Review'!$G$5:$G$204),"Not Reviewed"))</x:f>
      </x:c>
      <x:c r="O788" s="172" t="str">
        <x:f>IF(A788="","",IFERROR(LOOKUP(2,1/('Scope Review'!$B$5:$B$204=A788),'Scope Review'!$H$5:$H$204),""))</x:f>
      </x:c>
      <x:c r="P788" s="172" t="str">
        <x:f>IF(A788="","",IF(AND(C788="executing",N788&lt;&gt;"Confirmed OOS"),M788,0))</x:f>
      </x:c>
      <x:c r="Q788" s="173" t="str">
        <x:f>IF(A788="","",IFERROR(LOOKUP(2,1/('Engineer Updates'!$B$5:$B$704=A788),'Engineer Updates'!$A$5:$A$704),""))</x:f>
      </x:c>
      <x:c r="R788" s="172" t="str">
        <x:f>IF(A788="","",IFERROR(LOOKUP(2,1/('Engineer Updates'!$B$5:$B$704=A788),'Engineer Updates'!$H$5:$H$704),""))</x:f>
      </x:c>
      <x:c r="S788" s="172" t="str">
        <x:f>IF(A788="","",IFERROR(LOOKUP(2,1/('Engineer Updates'!$B$5:$B$704=A788),'Engineer Updates'!$G$5:$G$704),""))</x:f>
      </x:c>
      <x:c r="T788" s="172" t="str">
        <x:f>IF(A788="","",IFERROR(LOOKUP(2,1/('Engineer Updates'!$B$5:$B$704=A788),'Engineer Updates'!$I$5:$I$704),""))</x:f>
      </x:c>
      <x:c r="U788" s="172" t="str">
        <x:f>IF(A788="","",IFERROR(LOOKUP(2,1/('Engineer Updates'!$B$5:$B$704=A788),'Engineer Updates'!$J$5:$J$704),""))</x:f>
      </x:c>
      <x:c r="V788" s="172" t="str">
        <x:f>IF(A788="","",IFERROR(LOOKUP(2,1/('Engineer Updates'!$B$5:$B$704=A788),'Engineer Updates'!$K$5:$K$704),""))</x:f>
      </x:c>
      <x:c r="W788" s="174" t="str">
        <x:f>IF(A788="","",IFERROR(LOOKUP(2,1/('Engineer Updates'!$B$5:$B$704=A788),'Engineer Updates'!$L$5:$L$704),""))</x:f>
      </x:c>
      <x:c r="X788" s="170" t="str">
        <x:f>IF(A788="","",IF(C788="completed","Completed in CSSP",IF(AND(C788="executing",ISERROR(SEARCH("@",K788))),"Executing without named engineer",IF(AND(N788="Confirmed OOS",C788="executing"),"Confirmed OOS still executing",""))))</x:f>
      </x:c>
      <x:c r="Y788" s="170" t="str">
        <x:f>IF(A788="","",IF(B788="Decommissioning","Raw Decommissioning","Raw Provisioning"))</x:f>
      </x:c>
      <x:c r="Z788" s="170" t="str">
        <x:f>IF(A788="","",IF(OR(C788="executing",C788="processing"),"Yes","No"))</x:f>
      </x:c>
    </x:row>
    <x:row r="789">
      <x:c r="A789" s="170" t="str">
        <x:f>IF(ROWS($A$5:A789)&lt;=COUNTA('Raw Decommissioning'!$B$2:$B$1000),INDEX('Raw Decommissioning'!$B$2:$B$1000,ROWS($A$5:A789)),IF(ROWS($A$5:A789)-COUNTA('Raw Decommissioning'!$B$2:$B$1000)&lt;=COUNTA('Raw Provisioning'!$B$2:$B$1000),INDEX('Raw Provisioning'!$B$2:$B$1000,ROWS($A$5:A789)-COUNTA('Raw Decommissioning'!$B$2:$B$1000)),""))</x:f>
      </x:c>
      <x:c r="B789" s="170" t="str">
        <x:f>IF(A789="","",IF(ROWS($A$5:A789)&lt;=COUNTA('Raw Decommissioning'!$B$2:$B$1000),"Decommissioning","Provisioning"))</x:f>
      </x:c>
      <x:c r="C789" s="170" t="str">
        <x:f>IF(A789="","",IF(B789="Decommissioning",IFERROR(INDEX('Raw Decommissioning'!$E$2:$E$1000,MATCH(A789,'Raw Decommissioning'!$B$2:$B$1000,0)),"Missing from latest raw"),IFERROR(INDEX('Raw Provisioning'!$E$2:$E$1000,MATCH(A789,'Raw Provisioning'!$B$2:$B$1000,0)),"Missing from latest raw")))</x:f>
      </x:c>
      <x:c r="D789" s="171" t="str">
        <x:f>IF(A789="","",'Refresh Control'!$B$4)</x:f>
      </x:c>
      <x:c r="E789" s="171" t="str">
        <x:f>IF(A789="","",IF(B789="Decommissioning",INDEX('Raw Decommissioning'!$F$2:$F$1000,ROWS($A$5:A789)),INDEX('Raw Provisioning'!$F$2:$F$1000,ROWS($A$5:A789)-COUNTA('Raw Decommissioning'!$B$2:$B$1000))))</x:f>
      </x:c>
      <x:c r="F789" s="171" t="str">
        <x:f>IF(A789="","",IF(B789="Decommissioning",INDEX('Raw Decommissioning'!$G$2:$G$1000,ROWS($A$5:A789)),INDEX('Raw Provisioning'!$H$2:$H$1000,ROWS($A$5:A789)-COUNTA('Raw Decommissioning'!$B$2:$B$1000))))</x:f>
      </x:c>
      <x:c r="G789" s="170" t="str">
        <x:f>IF(A789="","",IF(B789="Decommissioning",INDEX('Raw Decommissioning'!$I$2:$I$1000,ROWS($A$5:A789)),INDEX('Raw Provisioning'!$J$2:$J$1000,ROWS($A$5:A789)-COUNTA('Raw Decommissioning'!$B$2:$B$1000))))</x:f>
      </x:c>
      <x:c r="H789" s="170" t="str">
        <x:f>IF(A789="","",IF(B789="Decommissioning",INDEX('Raw Decommissioning'!$J$2:$J$1000,ROWS($A$5:A789)),INDEX('Raw Provisioning'!$L$2:$L$1000,ROWS($A$5:A789)-COUNTA('Raw Decommissioning'!$B$2:$B$1000))))</x:f>
      </x:c>
      <x:c r="I789" s="170" t="str">
        <x:f>IF(A789="","",IF(B789="Decommissioning",INDEX('Raw Decommissioning'!$AL$2:$AL$1000,ROWS($A$5:A789)),INDEX('Raw Provisioning'!$R$2:$R$1000,ROWS($A$5:A789)-COUNTA('Raw Decommissioning'!$B$2:$B$1000))))</x:f>
      </x:c>
      <x:c r="J789" s="170" t="str">
        <x:f>IF(A789="","",IF(B789="Decommissioning",INDEX('Raw Decommissioning'!$AG$2:$AG$1000,ROWS($A$5:A789)),INDEX('Raw Provisioning'!$AI$2:$AI$1000,ROWS($A$5:A789)-COUNTA('Raw Decommissioning'!$B$2:$B$1000))))</x:f>
      </x:c>
      <x:c r="K789" s="172" t="str">
        <x:f>IF(A789="","",IFERROR(LOOKUP(2,1/('Assignment History'!$B$5:$B$204=A789),'Assignment History'!$D$5:$D$204),IFERROR(VLOOKUP(J789,Configuration!$L$5:$M$50,2,FALSE),J789)))</x:f>
      </x:c>
      <x:c r="L789" s="172" t="str">
        <x:f>IF(A789="","",IF(K789=IFERROR(VLOOKUP(J789,Configuration!$L$5:$M$50,2,FALSE),J789),"Snapshot PIC","Replacement PIC"))</x:f>
      </x:c>
      <x:c r="M789" s="172" t="str">
        <x:f>IF(A789="","",IFERROR(VLOOKUP(I789,Configuration!$O$5:$P$8,2,FALSE),Configuration!$S$6))</x:f>
      </x:c>
      <x:c r="N789" s="172" t="str">
        <x:f>IF(A789="","",IFERROR(LOOKUP(2,1/('Scope Review'!$B$5:$B$204=A789),'Scope Review'!$G$5:$G$204),"Not Reviewed"))</x:f>
      </x:c>
      <x:c r="O789" s="172" t="str">
        <x:f>IF(A789="","",IFERROR(LOOKUP(2,1/('Scope Review'!$B$5:$B$204=A789),'Scope Review'!$H$5:$H$204),""))</x:f>
      </x:c>
      <x:c r="P789" s="172" t="str">
        <x:f>IF(A789="","",IF(AND(C789="executing",N789&lt;&gt;"Confirmed OOS"),M789,0))</x:f>
      </x:c>
      <x:c r="Q789" s="173" t="str">
        <x:f>IF(A789="","",IFERROR(LOOKUP(2,1/('Engineer Updates'!$B$5:$B$704=A789),'Engineer Updates'!$A$5:$A$704),""))</x:f>
      </x:c>
      <x:c r="R789" s="172" t="str">
        <x:f>IF(A789="","",IFERROR(LOOKUP(2,1/('Engineer Updates'!$B$5:$B$704=A789),'Engineer Updates'!$H$5:$H$704),""))</x:f>
      </x:c>
      <x:c r="S789" s="172" t="str">
        <x:f>IF(A789="","",IFERROR(LOOKUP(2,1/('Engineer Updates'!$B$5:$B$704=A789),'Engineer Updates'!$G$5:$G$704),""))</x:f>
      </x:c>
      <x:c r="T789" s="172" t="str">
        <x:f>IF(A789="","",IFERROR(LOOKUP(2,1/('Engineer Updates'!$B$5:$B$704=A789),'Engineer Updates'!$I$5:$I$704),""))</x:f>
      </x:c>
      <x:c r="U789" s="172" t="str">
        <x:f>IF(A789="","",IFERROR(LOOKUP(2,1/('Engineer Updates'!$B$5:$B$704=A789),'Engineer Updates'!$J$5:$J$704),""))</x:f>
      </x:c>
      <x:c r="V789" s="172" t="str">
        <x:f>IF(A789="","",IFERROR(LOOKUP(2,1/('Engineer Updates'!$B$5:$B$704=A789),'Engineer Updates'!$K$5:$K$704),""))</x:f>
      </x:c>
      <x:c r="W789" s="174" t="str">
        <x:f>IF(A789="","",IFERROR(LOOKUP(2,1/('Engineer Updates'!$B$5:$B$704=A789),'Engineer Updates'!$L$5:$L$704),""))</x:f>
      </x:c>
      <x:c r="X789" s="170" t="str">
        <x:f>IF(A789="","",IF(C789="completed","Completed in CSSP",IF(AND(C789="executing",ISERROR(SEARCH("@",K789))),"Executing without named engineer",IF(AND(N789="Confirmed OOS",C789="executing"),"Confirmed OOS still executing",""))))</x:f>
      </x:c>
      <x:c r="Y789" s="170" t="str">
        <x:f>IF(A789="","",IF(B789="Decommissioning","Raw Decommissioning","Raw Provisioning"))</x:f>
      </x:c>
      <x:c r="Z789" s="170" t="str">
        <x:f>IF(A789="","",IF(OR(C789="executing",C789="processing"),"Yes","No"))</x:f>
      </x:c>
    </x:row>
    <x:row r="790">
      <x:c r="A790" s="170" t="str">
        <x:f>IF(ROWS($A$5:A790)&lt;=COUNTA('Raw Decommissioning'!$B$2:$B$1000),INDEX('Raw Decommissioning'!$B$2:$B$1000,ROWS($A$5:A790)),IF(ROWS($A$5:A790)-COUNTA('Raw Decommissioning'!$B$2:$B$1000)&lt;=COUNTA('Raw Provisioning'!$B$2:$B$1000),INDEX('Raw Provisioning'!$B$2:$B$1000,ROWS($A$5:A790)-COUNTA('Raw Decommissioning'!$B$2:$B$1000)),""))</x:f>
      </x:c>
      <x:c r="B790" s="170" t="str">
        <x:f>IF(A790="","",IF(ROWS($A$5:A790)&lt;=COUNTA('Raw Decommissioning'!$B$2:$B$1000),"Decommissioning","Provisioning"))</x:f>
      </x:c>
      <x:c r="C790" s="170" t="str">
        <x:f>IF(A790="","",IF(B790="Decommissioning",IFERROR(INDEX('Raw Decommissioning'!$E$2:$E$1000,MATCH(A790,'Raw Decommissioning'!$B$2:$B$1000,0)),"Missing from latest raw"),IFERROR(INDEX('Raw Provisioning'!$E$2:$E$1000,MATCH(A790,'Raw Provisioning'!$B$2:$B$1000,0)),"Missing from latest raw")))</x:f>
      </x:c>
      <x:c r="D790" s="171" t="str">
        <x:f>IF(A790="","",'Refresh Control'!$B$4)</x:f>
      </x:c>
      <x:c r="E790" s="171" t="str">
        <x:f>IF(A790="","",IF(B790="Decommissioning",INDEX('Raw Decommissioning'!$F$2:$F$1000,ROWS($A$5:A790)),INDEX('Raw Provisioning'!$F$2:$F$1000,ROWS($A$5:A790)-COUNTA('Raw Decommissioning'!$B$2:$B$1000))))</x:f>
      </x:c>
      <x:c r="F790" s="171" t="str">
        <x:f>IF(A790="","",IF(B790="Decommissioning",INDEX('Raw Decommissioning'!$G$2:$G$1000,ROWS($A$5:A790)),INDEX('Raw Provisioning'!$H$2:$H$1000,ROWS($A$5:A790)-COUNTA('Raw Decommissioning'!$B$2:$B$1000))))</x:f>
      </x:c>
      <x:c r="G790" s="170" t="str">
        <x:f>IF(A790="","",IF(B790="Decommissioning",INDEX('Raw Decommissioning'!$I$2:$I$1000,ROWS($A$5:A790)),INDEX('Raw Provisioning'!$J$2:$J$1000,ROWS($A$5:A790)-COUNTA('Raw Decommissioning'!$B$2:$B$1000))))</x:f>
      </x:c>
      <x:c r="H790" s="170" t="str">
        <x:f>IF(A790="","",IF(B790="Decommissioning",INDEX('Raw Decommissioning'!$J$2:$J$1000,ROWS($A$5:A790)),INDEX('Raw Provisioning'!$L$2:$L$1000,ROWS($A$5:A790)-COUNTA('Raw Decommissioning'!$B$2:$B$1000))))</x:f>
      </x:c>
      <x:c r="I790" s="170" t="str">
        <x:f>IF(A790="","",IF(B790="Decommissioning",INDEX('Raw Decommissioning'!$AL$2:$AL$1000,ROWS($A$5:A790)),INDEX('Raw Provisioning'!$R$2:$R$1000,ROWS($A$5:A790)-COUNTA('Raw Decommissioning'!$B$2:$B$1000))))</x:f>
      </x:c>
      <x:c r="J790" s="170" t="str">
        <x:f>IF(A790="","",IF(B790="Decommissioning",INDEX('Raw Decommissioning'!$AG$2:$AG$1000,ROWS($A$5:A790)),INDEX('Raw Provisioning'!$AI$2:$AI$1000,ROWS($A$5:A790)-COUNTA('Raw Decommissioning'!$B$2:$B$1000))))</x:f>
      </x:c>
      <x:c r="K790" s="172" t="str">
        <x:f>IF(A790="","",IFERROR(LOOKUP(2,1/('Assignment History'!$B$5:$B$204=A790),'Assignment History'!$D$5:$D$204),IFERROR(VLOOKUP(J790,Configuration!$L$5:$M$50,2,FALSE),J790)))</x:f>
      </x:c>
      <x:c r="L790" s="172" t="str">
        <x:f>IF(A790="","",IF(K790=IFERROR(VLOOKUP(J790,Configuration!$L$5:$M$50,2,FALSE),J790),"Snapshot PIC","Replacement PIC"))</x:f>
      </x:c>
      <x:c r="M790" s="172" t="str">
        <x:f>IF(A790="","",IFERROR(VLOOKUP(I790,Configuration!$O$5:$P$8,2,FALSE),Configuration!$S$6))</x:f>
      </x:c>
      <x:c r="N790" s="172" t="str">
        <x:f>IF(A790="","",IFERROR(LOOKUP(2,1/('Scope Review'!$B$5:$B$204=A790),'Scope Review'!$G$5:$G$204),"Not Reviewed"))</x:f>
      </x:c>
      <x:c r="O790" s="172" t="str">
        <x:f>IF(A790="","",IFERROR(LOOKUP(2,1/('Scope Review'!$B$5:$B$204=A790),'Scope Review'!$H$5:$H$204),""))</x:f>
      </x:c>
      <x:c r="P790" s="172" t="str">
        <x:f>IF(A790="","",IF(AND(C790="executing",N790&lt;&gt;"Confirmed OOS"),M790,0))</x:f>
      </x:c>
      <x:c r="Q790" s="173" t="str">
        <x:f>IF(A790="","",IFERROR(LOOKUP(2,1/('Engineer Updates'!$B$5:$B$704=A790),'Engineer Updates'!$A$5:$A$704),""))</x:f>
      </x:c>
      <x:c r="R790" s="172" t="str">
        <x:f>IF(A790="","",IFERROR(LOOKUP(2,1/('Engineer Updates'!$B$5:$B$704=A790),'Engineer Updates'!$H$5:$H$704),""))</x:f>
      </x:c>
      <x:c r="S790" s="172" t="str">
        <x:f>IF(A790="","",IFERROR(LOOKUP(2,1/('Engineer Updates'!$B$5:$B$704=A790),'Engineer Updates'!$G$5:$G$704),""))</x:f>
      </x:c>
      <x:c r="T790" s="172" t="str">
        <x:f>IF(A790="","",IFERROR(LOOKUP(2,1/('Engineer Updates'!$B$5:$B$704=A790),'Engineer Updates'!$I$5:$I$704),""))</x:f>
      </x:c>
      <x:c r="U790" s="172" t="str">
        <x:f>IF(A790="","",IFERROR(LOOKUP(2,1/('Engineer Updates'!$B$5:$B$704=A790),'Engineer Updates'!$J$5:$J$704),""))</x:f>
      </x:c>
      <x:c r="V790" s="172" t="str">
        <x:f>IF(A790="","",IFERROR(LOOKUP(2,1/('Engineer Updates'!$B$5:$B$704=A790),'Engineer Updates'!$K$5:$K$704),""))</x:f>
      </x:c>
      <x:c r="W790" s="174" t="str">
        <x:f>IF(A790="","",IFERROR(LOOKUP(2,1/('Engineer Updates'!$B$5:$B$704=A790),'Engineer Updates'!$L$5:$L$704),""))</x:f>
      </x:c>
      <x:c r="X790" s="170" t="str">
        <x:f>IF(A790="","",IF(C790="completed","Completed in CSSP",IF(AND(C790="executing",ISERROR(SEARCH("@",K790))),"Executing without named engineer",IF(AND(N790="Confirmed OOS",C790="executing"),"Confirmed OOS still executing",""))))</x:f>
      </x:c>
      <x:c r="Y790" s="170" t="str">
        <x:f>IF(A790="","",IF(B790="Decommissioning","Raw Decommissioning","Raw Provisioning"))</x:f>
      </x:c>
      <x:c r="Z790" s="170" t="str">
        <x:f>IF(A790="","",IF(OR(C790="executing",C790="processing"),"Yes","No"))</x:f>
      </x:c>
    </x:row>
    <x:row r="791">
      <x:c r="A791" s="170" t="str">
        <x:f>IF(ROWS($A$5:A791)&lt;=COUNTA('Raw Decommissioning'!$B$2:$B$1000),INDEX('Raw Decommissioning'!$B$2:$B$1000,ROWS($A$5:A791)),IF(ROWS($A$5:A791)-COUNTA('Raw Decommissioning'!$B$2:$B$1000)&lt;=COUNTA('Raw Provisioning'!$B$2:$B$1000),INDEX('Raw Provisioning'!$B$2:$B$1000,ROWS($A$5:A791)-COUNTA('Raw Decommissioning'!$B$2:$B$1000)),""))</x:f>
      </x:c>
      <x:c r="B791" s="170" t="str">
        <x:f>IF(A791="","",IF(ROWS($A$5:A791)&lt;=COUNTA('Raw Decommissioning'!$B$2:$B$1000),"Decommissioning","Provisioning"))</x:f>
      </x:c>
      <x:c r="C791" s="170" t="str">
        <x:f>IF(A791="","",IF(B791="Decommissioning",IFERROR(INDEX('Raw Decommissioning'!$E$2:$E$1000,MATCH(A791,'Raw Decommissioning'!$B$2:$B$1000,0)),"Missing from latest raw"),IFERROR(INDEX('Raw Provisioning'!$E$2:$E$1000,MATCH(A791,'Raw Provisioning'!$B$2:$B$1000,0)),"Missing from latest raw")))</x:f>
      </x:c>
      <x:c r="D791" s="171" t="str">
        <x:f>IF(A791="","",'Refresh Control'!$B$4)</x:f>
      </x:c>
      <x:c r="E791" s="171" t="str">
        <x:f>IF(A791="","",IF(B791="Decommissioning",INDEX('Raw Decommissioning'!$F$2:$F$1000,ROWS($A$5:A791)),INDEX('Raw Provisioning'!$F$2:$F$1000,ROWS($A$5:A791)-COUNTA('Raw Decommissioning'!$B$2:$B$1000))))</x:f>
      </x:c>
      <x:c r="F791" s="171" t="str">
        <x:f>IF(A791="","",IF(B791="Decommissioning",INDEX('Raw Decommissioning'!$G$2:$G$1000,ROWS($A$5:A791)),INDEX('Raw Provisioning'!$H$2:$H$1000,ROWS($A$5:A791)-COUNTA('Raw Decommissioning'!$B$2:$B$1000))))</x:f>
      </x:c>
      <x:c r="G791" s="170" t="str">
        <x:f>IF(A791="","",IF(B791="Decommissioning",INDEX('Raw Decommissioning'!$I$2:$I$1000,ROWS($A$5:A791)),INDEX('Raw Provisioning'!$J$2:$J$1000,ROWS($A$5:A791)-COUNTA('Raw Decommissioning'!$B$2:$B$1000))))</x:f>
      </x:c>
      <x:c r="H791" s="170" t="str">
        <x:f>IF(A791="","",IF(B791="Decommissioning",INDEX('Raw Decommissioning'!$J$2:$J$1000,ROWS($A$5:A791)),INDEX('Raw Provisioning'!$L$2:$L$1000,ROWS($A$5:A791)-COUNTA('Raw Decommissioning'!$B$2:$B$1000))))</x:f>
      </x:c>
      <x:c r="I791" s="170" t="str">
        <x:f>IF(A791="","",IF(B791="Decommissioning",INDEX('Raw Decommissioning'!$AL$2:$AL$1000,ROWS($A$5:A791)),INDEX('Raw Provisioning'!$R$2:$R$1000,ROWS($A$5:A791)-COUNTA('Raw Decommissioning'!$B$2:$B$1000))))</x:f>
      </x:c>
      <x:c r="J791" s="170" t="str">
        <x:f>IF(A791="","",IF(B791="Decommissioning",INDEX('Raw Decommissioning'!$AG$2:$AG$1000,ROWS($A$5:A791)),INDEX('Raw Provisioning'!$AI$2:$AI$1000,ROWS($A$5:A791)-COUNTA('Raw Decommissioning'!$B$2:$B$1000))))</x:f>
      </x:c>
      <x:c r="K791" s="172" t="str">
        <x:f>IF(A791="","",IFERROR(LOOKUP(2,1/('Assignment History'!$B$5:$B$204=A791),'Assignment History'!$D$5:$D$204),IFERROR(VLOOKUP(J791,Configuration!$L$5:$M$50,2,FALSE),J791)))</x:f>
      </x:c>
      <x:c r="L791" s="172" t="str">
        <x:f>IF(A791="","",IF(K791=IFERROR(VLOOKUP(J791,Configuration!$L$5:$M$50,2,FALSE),J791),"Snapshot PIC","Replacement PIC"))</x:f>
      </x:c>
      <x:c r="M791" s="172" t="str">
        <x:f>IF(A791="","",IFERROR(VLOOKUP(I791,Configuration!$O$5:$P$8,2,FALSE),Configuration!$S$6))</x:f>
      </x:c>
      <x:c r="N791" s="172" t="str">
        <x:f>IF(A791="","",IFERROR(LOOKUP(2,1/('Scope Review'!$B$5:$B$204=A791),'Scope Review'!$G$5:$G$204),"Not Reviewed"))</x:f>
      </x:c>
      <x:c r="O791" s="172" t="str">
        <x:f>IF(A791="","",IFERROR(LOOKUP(2,1/('Scope Review'!$B$5:$B$204=A791),'Scope Review'!$H$5:$H$204),""))</x:f>
      </x:c>
      <x:c r="P791" s="172" t="str">
        <x:f>IF(A791="","",IF(AND(C791="executing",N791&lt;&gt;"Confirmed OOS"),M791,0))</x:f>
      </x:c>
      <x:c r="Q791" s="173" t="str">
        <x:f>IF(A791="","",IFERROR(LOOKUP(2,1/('Engineer Updates'!$B$5:$B$704=A791),'Engineer Updates'!$A$5:$A$704),""))</x:f>
      </x:c>
      <x:c r="R791" s="172" t="str">
        <x:f>IF(A791="","",IFERROR(LOOKUP(2,1/('Engineer Updates'!$B$5:$B$704=A791),'Engineer Updates'!$H$5:$H$704),""))</x:f>
      </x:c>
      <x:c r="S791" s="172" t="str">
        <x:f>IF(A791="","",IFERROR(LOOKUP(2,1/('Engineer Updates'!$B$5:$B$704=A791),'Engineer Updates'!$G$5:$G$704),""))</x:f>
      </x:c>
      <x:c r="T791" s="172" t="str">
        <x:f>IF(A791="","",IFERROR(LOOKUP(2,1/('Engineer Updates'!$B$5:$B$704=A791),'Engineer Updates'!$I$5:$I$704),""))</x:f>
      </x:c>
      <x:c r="U791" s="172" t="str">
        <x:f>IF(A791="","",IFERROR(LOOKUP(2,1/('Engineer Updates'!$B$5:$B$704=A791),'Engineer Updates'!$J$5:$J$704),""))</x:f>
      </x:c>
      <x:c r="V791" s="172" t="str">
        <x:f>IF(A791="","",IFERROR(LOOKUP(2,1/('Engineer Updates'!$B$5:$B$704=A791),'Engineer Updates'!$K$5:$K$704),""))</x:f>
      </x:c>
      <x:c r="W791" s="174" t="str">
        <x:f>IF(A791="","",IFERROR(LOOKUP(2,1/('Engineer Updates'!$B$5:$B$704=A791),'Engineer Updates'!$L$5:$L$704),""))</x:f>
      </x:c>
      <x:c r="X791" s="170" t="str">
        <x:f>IF(A791="","",IF(C791="completed","Completed in CSSP",IF(AND(C791="executing",ISERROR(SEARCH("@",K791))),"Executing without named engineer",IF(AND(N791="Confirmed OOS",C791="executing"),"Confirmed OOS still executing",""))))</x:f>
      </x:c>
      <x:c r="Y791" s="170" t="str">
        <x:f>IF(A791="","",IF(B791="Decommissioning","Raw Decommissioning","Raw Provisioning"))</x:f>
      </x:c>
      <x:c r="Z791" s="170" t="str">
        <x:f>IF(A791="","",IF(OR(C791="executing",C791="processing"),"Yes","No"))</x:f>
      </x:c>
    </x:row>
    <x:row r="792">
      <x:c r="A792" s="170" t="str">
        <x:f>IF(ROWS($A$5:A792)&lt;=COUNTA('Raw Decommissioning'!$B$2:$B$1000),INDEX('Raw Decommissioning'!$B$2:$B$1000,ROWS($A$5:A792)),IF(ROWS($A$5:A792)-COUNTA('Raw Decommissioning'!$B$2:$B$1000)&lt;=COUNTA('Raw Provisioning'!$B$2:$B$1000),INDEX('Raw Provisioning'!$B$2:$B$1000,ROWS($A$5:A792)-COUNTA('Raw Decommissioning'!$B$2:$B$1000)),""))</x:f>
      </x:c>
      <x:c r="B792" s="170" t="str">
        <x:f>IF(A792="","",IF(ROWS($A$5:A792)&lt;=COUNTA('Raw Decommissioning'!$B$2:$B$1000),"Decommissioning","Provisioning"))</x:f>
      </x:c>
      <x:c r="C792" s="170" t="str">
        <x:f>IF(A792="","",IF(B792="Decommissioning",IFERROR(INDEX('Raw Decommissioning'!$E$2:$E$1000,MATCH(A792,'Raw Decommissioning'!$B$2:$B$1000,0)),"Missing from latest raw"),IFERROR(INDEX('Raw Provisioning'!$E$2:$E$1000,MATCH(A792,'Raw Provisioning'!$B$2:$B$1000,0)),"Missing from latest raw")))</x:f>
      </x:c>
      <x:c r="D792" s="171" t="str">
        <x:f>IF(A792="","",'Refresh Control'!$B$4)</x:f>
      </x:c>
      <x:c r="E792" s="171" t="str">
        <x:f>IF(A792="","",IF(B792="Decommissioning",INDEX('Raw Decommissioning'!$F$2:$F$1000,ROWS($A$5:A792)),INDEX('Raw Provisioning'!$F$2:$F$1000,ROWS($A$5:A792)-COUNTA('Raw Decommissioning'!$B$2:$B$1000))))</x:f>
      </x:c>
      <x:c r="F792" s="171" t="str">
        <x:f>IF(A792="","",IF(B792="Decommissioning",INDEX('Raw Decommissioning'!$G$2:$G$1000,ROWS($A$5:A792)),INDEX('Raw Provisioning'!$H$2:$H$1000,ROWS($A$5:A792)-COUNTA('Raw Decommissioning'!$B$2:$B$1000))))</x:f>
      </x:c>
      <x:c r="G792" s="170" t="str">
        <x:f>IF(A792="","",IF(B792="Decommissioning",INDEX('Raw Decommissioning'!$I$2:$I$1000,ROWS($A$5:A792)),INDEX('Raw Provisioning'!$J$2:$J$1000,ROWS($A$5:A792)-COUNTA('Raw Decommissioning'!$B$2:$B$1000))))</x:f>
      </x:c>
      <x:c r="H792" s="170" t="str">
        <x:f>IF(A792="","",IF(B792="Decommissioning",INDEX('Raw Decommissioning'!$J$2:$J$1000,ROWS($A$5:A792)),INDEX('Raw Provisioning'!$L$2:$L$1000,ROWS($A$5:A792)-COUNTA('Raw Decommissioning'!$B$2:$B$1000))))</x:f>
      </x:c>
      <x:c r="I792" s="170" t="str">
        <x:f>IF(A792="","",IF(B792="Decommissioning",INDEX('Raw Decommissioning'!$AL$2:$AL$1000,ROWS($A$5:A792)),INDEX('Raw Provisioning'!$R$2:$R$1000,ROWS($A$5:A792)-COUNTA('Raw Decommissioning'!$B$2:$B$1000))))</x:f>
      </x:c>
      <x:c r="J792" s="170" t="str">
        <x:f>IF(A792="","",IF(B792="Decommissioning",INDEX('Raw Decommissioning'!$AG$2:$AG$1000,ROWS($A$5:A792)),INDEX('Raw Provisioning'!$AI$2:$AI$1000,ROWS($A$5:A792)-COUNTA('Raw Decommissioning'!$B$2:$B$1000))))</x:f>
      </x:c>
      <x:c r="K792" s="172" t="str">
        <x:f>IF(A792="","",IFERROR(LOOKUP(2,1/('Assignment History'!$B$5:$B$204=A792),'Assignment History'!$D$5:$D$204),IFERROR(VLOOKUP(J792,Configuration!$L$5:$M$50,2,FALSE),J792)))</x:f>
      </x:c>
      <x:c r="L792" s="172" t="str">
        <x:f>IF(A792="","",IF(K792=IFERROR(VLOOKUP(J792,Configuration!$L$5:$M$50,2,FALSE),J792),"Snapshot PIC","Replacement PIC"))</x:f>
      </x:c>
      <x:c r="M792" s="172" t="str">
        <x:f>IF(A792="","",IFERROR(VLOOKUP(I792,Configuration!$O$5:$P$8,2,FALSE),Configuration!$S$6))</x:f>
      </x:c>
      <x:c r="N792" s="172" t="str">
        <x:f>IF(A792="","",IFERROR(LOOKUP(2,1/('Scope Review'!$B$5:$B$204=A792),'Scope Review'!$G$5:$G$204),"Not Reviewed"))</x:f>
      </x:c>
      <x:c r="O792" s="172" t="str">
        <x:f>IF(A792="","",IFERROR(LOOKUP(2,1/('Scope Review'!$B$5:$B$204=A792),'Scope Review'!$H$5:$H$204),""))</x:f>
      </x:c>
      <x:c r="P792" s="172" t="str">
        <x:f>IF(A792="","",IF(AND(C792="executing",N792&lt;&gt;"Confirmed OOS"),M792,0))</x:f>
      </x:c>
      <x:c r="Q792" s="173" t="str">
        <x:f>IF(A792="","",IFERROR(LOOKUP(2,1/('Engineer Updates'!$B$5:$B$704=A792),'Engineer Updates'!$A$5:$A$704),""))</x:f>
      </x:c>
      <x:c r="R792" s="172" t="str">
        <x:f>IF(A792="","",IFERROR(LOOKUP(2,1/('Engineer Updates'!$B$5:$B$704=A792),'Engineer Updates'!$H$5:$H$704),""))</x:f>
      </x:c>
      <x:c r="S792" s="172" t="str">
        <x:f>IF(A792="","",IFERROR(LOOKUP(2,1/('Engineer Updates'!$B$5:$B$704=A792),'Engineer Updates'!$G$5:$G$704),""))</x:f>
      </x:c>
      <x:c r="T792" s="172" t="str">
        <x:f>IF(A792="","",IFERROR(LOOKUP(2,1/('Engineer Updates'!$B$5:$B$704=A792),'Engineer Updates'!$I$5:$I$704),""))</x:f>
      </x:c>
      <x:c r="U792" s="172" t="str">
        <x:f>IF(A792="","",IFERROR(LOOKUP(2,1/('Engineer Updates'!$B$5:$B$704=A792),'Engineer Updates'!$J$5:$J$704),""))</x:f>
      </x:c>
      <x:c r="V792" s="172" t="str">
        <x:f>IF(A792="","",IFERROR(LOOKUP(2,1/('Engineer Updates'!$B$5:$B$704=A792),'Engineer Updates'!$K$5:$K$704),""))</x:f>
      </x:c>
      <x:c r="W792" s="174" t="str">
        <x:f>IF(A792="","",IFERROR(LOOKUP(2,1/('Engineer Updates'!$B$5:$B$704=A792),'Engineer Updates'!$L$5:$L$704),""))</x:f>
      </x:c>
      <x:c r="X792" s="170" t="str">
        <x:f>IF(A792="","",IF(C792="completed","Completed in CSSP",IF(AND(C792="executing",ISERROR(SEARCH("@",K792))),"Executing without named engineer",IF(AND(N792="Confirmed OOS",C792="executing"),"Confirmed OOS still executing",""))))</x:f>
      </x:c>
      <x:c r="Y792" s="170" t="str">
        <x:f>IF(A792="","",IF(B792="Decommissioning","Raw Decommissioning","Raw Provisioning"))</x:f>
      </x:c>
      <x:c r="Z792" s="170" t="str">
        <x:f>IF(A792="","",IF(OR(C792="executing",C792="processing"),"Yes","No"))</x:f>
      </x:c>
    </x:row>
    <x:row r="793">
      <x:c r="A793" s="170" t="str">
        <x:f>IF(ROWS($A$5:A793)&lt;=COUNTA('Raw Decommissioning'!$B$2:$B$1000),INDEX('Raw Decommissioning'!$B$2:$B$1000,ROWS($A$5:A793)),IF(ROWS($A$5:A793)-COUNTA('Raw Decommissioning'!$B$2:$B$1000)&lt;=COUNTA('Raw Provisioning'!$B$2:$B$1000),INDEX('Raw Provisioning'!$B$2:$B$1000,ROWS($A$5:A793)-COUNTA('Raw Decommissioning'!$B$2:$B$1000)),""))</x:f>
      </x:c>
      <x:c r="B793" s="170" t="str">
        <x:f>IF(A793="","",IF(ROWS($A$5:A793)&lt;=COUNTA('Raw Decommissioning'!$B$2:$B$1000),"Decommissioning","Provisioning"))</x:f>
      </x:c>
      <x:c r="C793" s="170" t="str">
        <x:f>IF(A793="","",IF(B793="Decommissioning",IFERROR(INDEX('Raw Decommissioning'!$E$2:$E$1000,MATCH(A793,'Raw Decommissioning'!$B$2:$B$1000,0)),"Missing from latest raw"),IFERROR(INDEX('Raw Provisioning'!$E$2:$E$1000,MATCH(A793,'Raw Provisioning'!$B$2:$B$1000,0)),"Missing from latest raw")))</x:f>
      </x:c>
      <x:c r="D793" s="171" t="str">
        <x:f>IF(A793="","",'Refresh Control'!$B$4)</x:f>
      </x:c>
      <x:c r="E793" s="171" t="str">
        <x:f>IF(A793="","",IF(B793="Decommissioning",INDEX('Raw Decommissioning'!$F$2:$F$1000,ROWS($A$5:A793)),INDEX('Raw Provisioning'!$F$2:$F$1000,ROWS($A$5:A793)-COUNTA('Raw Decommissioning'!$B$2:$B$1000))))</x:f>
      </x:c>
      <x:c r="F793" s="171" t="str">
        <x:f>IF(A793="","",IF(B793="Decommissioning",INDEX('Raw Decommissioning'!$G$2:$G$1000,ROWS($A$5:A793)),INDEX('Raw Provisioning'!$H$2:$H$1000,ROWS($A$5:A793)-COUNTA('Raw Decommissioning'!$B$2:$B$1000))))</x:f>
      </x:c>
      <x:c r="G793" s="170" t="str">
        <x:f>IF(A793="","",IF(B793="Decommissioning",INDEX('Raw Decommissioning'!$I$2:$I$1000,ROWS($A$5:A793)),INDEX('Raw Provisioning'!$J$2:$J$1000,ROWS($A$5:A793)-COUNTA('Raw Decommissioning'!$B$2:$B$1000))))</x:f>
      </x:c>
      <x:c r="H793" s="170" t="str">
        <x:f>IF(A793="","",IF(B793="Decommissioning",INDEX('Raw Decommissioning'!$J$2:$J$1000,ROWS($A$5:A793)),INDEX('Raw Provisioning'!$L$2:$L$1000,ROWS($A$5:A793)-COUNTA('Raw Decommissioning'!$B$2:$B$1000))))</x:f>
      </x:c>
      <x:c r="I793" s="170" t="str">
        <x:f>IF(A793="","",IF(B793="Decommissioning",INDEX('Raw Decommissioning'!$AL$2:$AL$1000,ROWS($A$5:A793)),INDEX('Raw Provisioning'!$R$2:$R$1000,ROWS($A$5:A793)-COUNTA('Raw Decommissioning'!$B$2:$B$1000))))</x:f>
      </x:c>
      <x:c r="J793" s="170" t="str">
        <x:f>IF(A793="","",IF(B793="Decommissioning",INDEX('Raw Decommissioning'!$AG$2:$AG$1000,ROWS($A$5:A793)),INDEX('Raw Provisioning'!$AI$2:$AI$1000,ROWS($A$5:A793)-COUNTA('Raw Decommissioning'!$B$2:$B$1000))))</x:f>
      </x:c>
      <x:c r="K793" s="172" t="str">
        <x:f>IF(A793="","",IFERROR(LOOKUP(2,1/('Assignment History'!$B$5:$B$204=A793),'Assignment History'!$D$5:$D$204),IFERROR(VLOOKUP(J793,Configuration!$L$5:$M$50,2,FALSE),J793)))</x:f>
      </x:c>
      <x:c r="L793" s="172" t="str">
        <x:f>IF(A793="","",IF(K793=IFERROR(VLOOKUP(J793,Configuration!$L$5:$M$50,2,FALSE),J793),"Snapshot PIC","Replacement PIC"))</x:f>
      </x:c>
      <x:c r="M793" s="172" t="str">
        <x:f>IF(A793="","",IFERROR(VLOOKUP(I793,Configuration!$O$5:$P$8,2,FALSE),Configuration!$S$6))</x:f>
      </x:c>
      <x:c r="N793" s="172" t="str">
        <x:f>IF(A793="","",IFERROR(LOOKUP(2,1/('Scope Review'!$B$5:$B$204=A793),'Scope Review'!$G$5:$G$204),"Not Reviewed"))</x:f>
      </x:c>
      <x:c r="O793" s="172" t="str">
        <x:f>IF(A793="","",IFERROR(LOOKUP(2,1/('Scope Review'!$B$5:$B$204=A793),'Scope Review'!$H$5:$H$204),""))</x:f>
      </x:c>
      <x:c r="P793" s="172" t="str">
        <x:f>IF(A793="","",IF(AND(C793="executing",N793&lt;&gt;"Confirmed OOS"),M793,0))</x:f>
      </x:c>
      <x:c r="Q793" s="173" t="str">
        <x:f>IF(A793="","",IFERROR(LOOKUP(2,1/('Engineer Updates'!$B$5:$B$704=A793),'Engineer Updates'!$A$5:$A$704),""))</x:f>
      </x:c>
      <x:c r="R793" s="172" t="str">
        <x:f>IF(A793="","",IFERROR(LOOKUP(2,1/('Engineer Updates'!$B$5:$B$704=A793),'Engineer Updates'!$H$5:$H$704),""))</x:f>
      </x:c>
      <x:c r="S793" s="172" t="str">
        <x:f>IF(A793="","",IFERROR(LOOKUP(2,1/('Engineer Updates'!$B$5:$B$704=A793),'Engineer Updates'!$G$5:$G$704),""))</x:f>
      </x:c>
      <x:c r="T793" s="172" t="str">
        <x:f>IF(A793="","",IFERROR(LOOKUP(2,1/('Engineer Updates'!$B$5:$B$704=A793),'Engineer Updates'!$I$5:$I$704),""))</x:f>
      </x:c>
      <x:c r="U793" s="172" t="str">
        <x:f>IF(A793="","",IFERROR(LOOKUP(2,1/('Engineer Updates'!$B$5:$B$704=A793),'Engineer Updates'!$J$5:$J$704),""))</x:f>
      </x:c>
      <x:c r="V793" s="172" t="str">
        <x:f>IF(A793="","",IFERROR(LOOKUP(2,1/('Engineer Updates'!$B$5:$B$704=A793),'Engineer Updates'!$K$5:$K$704),""))</x:f>
      </x:c>
      <x:c r="W793" s="174" t="str">
        <x:f>IF(A793="","",IFERROR(LOOKUP(2,1/('Engineer Updates'!$B$5:$B$704=A793),'Engineer Updates'!$L$5:$L$704),""))</x:f>
      </x:c>
      <x:c r="X793" s="170" t="str">
        <x:f>IF(A793="","",IF(C793="completed","Completed in CSSP",IF(AND(C793="executing",ISERROR(SEARCH("@",K793))),"Executing without named engineer",IF(AND(N793="Confirmed OOS",C793="executing"),"Confirmed OOS still executing",""))))</x:f>
      </x:c>
      <x:c r="Y793" s="170" t="str">
        <x:f>IF(A793="","",IF(B793="Decommissioning","Raw Decommissioning","Raw Provisioning"))</x:f>
      </x:c>
      <x:c r="Z793" s="170" t="str">
        <x:f>IF(A793="","",IF(OR(C793="executing",C793="processing"),"Yes","No"))</x:f>
      </x:c>
    </x:row>
    <x:row r="794">
      <x:c r="A794" s="170" t="str">
        <x:f>IF(ROWS($A$5:A794)&lt;=COUNTA('Raw Decommissioning'!$B$2:$B$1000),INDEX('Raw Decommissioning'!$B$2:$B$1000,ROWS($A$5:A794)),IF(ROWS($A$5:A794)-COUNTA('Raw Decommissioning'!$B$2:$B$1000)&lt;=COUNTA('Raw Provisioning'!$B$2:$B$1000),INDEX('Raw Provisioning'!$B$2:$B$1000,ROWS($A$5:A794)-COUNTA('Raw Decommissioning'!$B$2:$B$1000)),""))</x:f>
      </x:c>
      <x:c r="B794" s="170" t="str">
        <x:f>IF(A794="","",IF(ROWS($A$5:A794)&lt;=COUNTA('Raw Decommissioning'!$B$2:$B$1000),"Decommissioning","Provisioning"))</x:f>
      </x:c>
      <x:c r="C794" s="170" t="str">
        <x:f>IF(A794="","",IF(B794="Decommissioning",IFERROR(INDEX('Raw Decommissioning'!$E$2:$E$1000,MATCH(A794,'Raw Decommissioning'!$B$2:$B$1000,0)),"Missing from latest raw"),IFERROR(INDEX('Raw Provisioning'!$E$2:$E$1000,MATCH(A794,'Raw Provisioning'!$B$2:$B$1000,0)),"Missing from latest raw")))</x:f>
      </x:c>
      <x:c r="D794" s="171" t="str">
        <x:f>IF(A794="","",'Refresh Control'!$B$4)</x:f>
      </x:c>
      <x:c r="E794" s="171" t="str">
        <x:f>IF(A794="","",IF(B794="Decommissioning",INDEX('Raw Decommissioning'!$F$2:$F$1000,ROWS($A$5:A794)),INDEX('Raw Provisioning'!$F$2:$F$1000,ROWS($A$5:A794)-COUNTA('Raw Decommissioning'!$B$2:$B$1000))))</x:f>
      </x:c>
      <x:c r="F794" s="171" t="str">
        <x:f>IF(A794="","",IF(B794="Decommissioning",INDEX('Raw Decommissioning'!$G$2:$G$1000,ROWS($A$5:A794)),INDEX('Raw Provisioning'!$H$2:$H$1000,ROWS($A$5:A794)-COUNTA('Raw Decommissioning'!$B$2:$B$1000))))</x:f>
      </x:c>
      <x:c r="G794" s="170" t="str">
        <x:f>IF(A794="","",IF(B794="Decommissioning",INDEX('Raw Decommissioning'!$I$2:$I$1000,ROWS($A$5:A794)),INDEX('Raw Provisioning'!$J$2:$J$1000,ROWS($A$5:A794)-COUNTA('Raw Decommissioning'!$B$2:$B$1000))))</x:f>
      </x:c>
      <x:c r="H794" s="170" t="str">
        <x:f>IF(A794="","",IF(B794="Decommissioning",INDEX('Raw Decommissioning'!$J$2:$J$1000,ROWS($A$5:A794)),INDEX('Raw Provisioning'!$L$2:$L$1000,ROWS($A$5:A794)-COUNTA('Raw Decommissioning'!$B$2:$B$1000))))</x:f>
      </x:c>
      <x:c r="I794" s="170" t="str">
        <x:f>IF(A794="","",IF(B794="Decommissioning",INDEX('Raw Decommissioning'!$AL$2:$AL$1000,ROWS($A$5:A794)),INDEX('Raw Provisioning'!$R$2:$R$1000,ROWS($A$5:A794)-COUNTA('Raw Decommissioning'!$B$2:$B$1000))))</x:f>
      </x:c>
      <x:c r="J794" s="170" t="str">
        <x:f>IF(A794="","",IF(B794="Decommissioning",INDEX('Raw Decommissioning'!$AG$2:$AG$1000,ROWS($A$5:A794)),INDEX('Raw Provisioning'!$AI$2:$AI$1000,ROWS($A$5:A794)-COUNTA('Raw Decommissioning'!$B$2:$B$1000))))</x:f>
      </x:c>
      <x:c r="K794" s="172" t="str">
        <x:f>IF(A794="","",IFERROR(LOOKUP(2,1/('Assignment History'!$B$5:$B$204=A794),'Assignment History'!$D$5:$D$204),IFERROR(VLOOKUP(J794,Configuration!$L$5:$M$50,2,FALSE),J794)))</x:f>
      </x:c>
      <x:c r="L794" s="172" t="str">
        <x:f>IF(A794="","",IF(K794=IFERROR(VLOOKUP(J794,Configuration!$L$5:$M$50,2,FALSE),J794),"Snapshot PIC","Replacement PIC"))</x:f>
      </x:c>
      <x:c r="M794" s="172" t="str">
        <x:f>IF(A794="","",IFERROR(VLOOKUP(I794,Configuration!$O$5:$P$8,2,FALSE),Configuration!$S$6))</x:f>
      </x:c>
      <x:c r="N794" s="172" t="str">
        <x:f>IF(A794="","",IFERROR(LOOKUP(2,1/('Scope Review'!$B$5:$B$204=A794),'Scope Review'!$G$5:$G$204),"Not Reviewed"))</x:f>
      </x:c>
      <x:c r="O794" s="172" t="str">
        <x:f>IF(A794="","",IFERROR(LOOKUP(2,1/('Scope Review'!$B$5:$B$204=A794),'Scope Review'!$H$5:$H$204),""))</x:f>
      </x:c>
      <x:c r="P794" s="172" t="str">
        <x:f>IF(A794="","",IF(AND(C794="executing",N794&lt;&gt;"Confirmed OOS"),M794,0))</x:f>
      </x:c>
      <x:c r="Q794" s="173" t="str">
        <x:f>IF(A794="","",IFERROR(LOOKUP(2,1/('Engineer Updates'!$B$5:$B$704=A794),'Engineer Updates'!$A$5:$A$704),""))</x:f>
      </x:c>
      <x:c r="R794" s="172" t="str">
        <x:f>IF(A794="","",IFERROR(LOOKUP(2,1/('Engineer Updates'!$B$5:$B$704=A794),'Engineer Updates'!$H$5:$H$704),""))</x:f>
      </x:c>
      <x:c r="S794" s="172" t="str">
        <x:f>IF(A794="","",IFERROR(LOOKUP(2,1/('Engineer Updates'!$B$5:$B$704=A794),'Engineer Updates'!$G$5:$G$704),""))</x:f>
      </x:c>
      <x:c r="T794" s="172" t="str">
        <x:f>IF(A794="","",IFERROR(LOOKUP(2,1/('Engineer Updates'!$B$5:$B$704=A794),'Engineer Updates'!$I$5:$I$704),""))</x:f>
      </x:c>
      <x:c r="U794" s="172" t="str">
        <x:f>IF(A794="","",IFERROR(LOOKUP(2,1/('Engineer Updates'!$B$5:$B$704=A794),'Engineer Updates'!$J$5:$J$704),""))</x:f>
      </x:c>
      <x:c r="V794" s="172" t="str">
        <x:f>IF(A794="","",IFERROR(LOOKUP(2,1/('Engineer Updates'!$B$5:$B$704=A794),'Engineer Updates'!$K$5:$K$704),""))</x:f>
      </x:c>
      <x:c r="W794" s="174" t="str">
        <x:f>IF(A794="","",IFERROR(LOOKUP(2,1/('Engineer Updates'!$B$5:$B$704=A794),'Engineer Updates'!$L$5:$L$704),""))</x:f>
      </x:c>
      <x:c r="X794" s="170" t="str">
        <x:f>IF(A794="","",IF(C794="completed","Completed in CSSP",IF(AND(C794="executing",ISERROR(SEARCH("@",K794))),"Executing without named engineer",IF(AND(N794="Confirmed OOS",C794="executing"),"Confirmed OOS still executing",""))))</x:f>
      </x:c>
      <x:c r="Y794" s="170" t="str">
        <x:f>IF(A794="","",IF(B794="Decommissioning","Raw Decommissioning","Raw Provisioning"))</x:f>
      </x:c>
      <x:c r="Z794" s="170" t="str">
        <x:f>IF(A794="","",IF(OR(C794="executing",C794="processing"),"Yes","No"))</x:f>
      </x:c>
    </x:row>
    <x:row r="795">
      <x:c r="A795" s="170" t="str">
        <x:f>IF(ROWS($A$5:A795)&lt;=COUNTA('Raw Decommissioning'!$B$2:$B$1000),INDEX('Raw Decommissioning'!$B$2:$B$1000,ROWS($A$5:A795)),IF(ROWS($A$5:A795)-COUNTA('Raw Decommissioning'!$B$2:$B$1000)&lt;=COUNTA('Raw Provisioning'!$B$2:$B$1000),INDEX('Raw Provisioning'!$B$2:$B$1000,ROWS($A$5:A795)-COUNTA('Raw Decommissioning'!$B$2:$B$1000)),""))</x:f>
      </x:c>
      <x:c r="B795" s="170" t="str">
        <x:f>IF(A795="","",IF(ROWS($A$5:A795)&lt;=COUNTA('Raw Decommissioning'!$B$2:$B$1000),"Decommissioning","Provisioning"))</x:f>
      </x:c>
      <x:c r="C795" s="170" t="str">
        <x:f>IF(A795="","",IF(B795="Decommissioning",IFERROR(INDEX('Raw Decommissioning'!$E$2:$E$1000,MATCH(A795,'Raw Decommissioning'!$B$2:$B$1000,0)),"Missing from latest raw"),IFERROR(INDEX('Raw Provisioning'!$E$2:$E$1000,MATCH(A795,'Raw Provisioning'!$B$2:$B$1000,0)),"Missing from latest raw")))</x:f>
      </x:c>
      <x:c r="D795" s="171" t="str">
        <x:f>IF(A795="","",'Refresh Control'!$B$4)</x:f>
      </x:c>
      <x:c r="E795" s="171" t="str">
        <x:f>IF(A795="","",IF(B795="Decommissioning",INDEX('Raw Decommissioning'!$F$2:$F$1000,ROWS($A$5:A795)),INDEX('Raw Provisioning'!$F$2:$F$1000,ROWS($A$5:A795)-COUNTA('Raw Decommissioning'!$B$2:$B$1000))))</x:f>
      </x:c>
      <x:c r="F795" s="171" t="str">
        <x:f>IF(A795="","",IF(B795="Decommissioning",INDEX('Raw Decommissioning'!$G$2:$G$1000,ROWS($A$5:A795)),INDEX('Raw Provisioning'!$H$2:$H$1000,ROWS($A$5:A795)-COUNTA('Raw Decommissioning'!$B$2:$B$1000))))</x:f>
      </x:c>
      <x:c r="G795" s="170" t="str">
        <x:f>IF(A795="","",IF(B795="Decommissioning",INDEX('Raw Decommissioning'!$I$2:$I$1000,ROWS($A$5:A795)),INDEX('Raw Provisioning'!$J$2:$J$1000,ROWS($A$5:A795)-COUNTA('Raw Decommissioning'!$B$2:$B$1000))))</x:f>
      </x:c>
      <x:c r="H795" s="170" t="str">
        <x:f>IF(A795="","",IF(B795="Decommissioning",INDEX('Raw Decommissioning'!$J$2:$J$1000,ROWS($A$5:A795)),INDEX('Raw Provisioning'!$L$2:$L$1000,ROWS($A$5:A795)-COUNTA('Raw Decommissioning'!$B$2:$B$1000))))</x:f>
      </x:c>
      <x:c r="I795" s="170" t="str">
        <x:f>IF(A795="","",IF(B795="Decommissioning",INDEX('Raw Decommissioning'!$AL$2:$AL$1000,ROWS($A$5:A795)),INDEX('Raw Provisioning'!$R$2:$R$1000,ROWS($A$5:A795)-COUNTA('Raw Decommissioning'!$B$2:$B$1000))))</x:f>
      </x:c>
      <x:c r="J795" s="170" t="str">
        <x:f>IF(A795="","",IF(B795="Decommissioning",INDEX('Raw Decommissioning'!$AG$2:$AG$1000,ROWS($A$5:A795)),INDEX('Raw Provisioning'!$AI$2:$AI$1000,ROWS($A$5:A795)-COUNTA('Raw Decommissioning'!$B$2:$B$1000))))</x:f>
      </x:c>
      <x:c r="K795" s="172" t="str">
        <x:f>IF(A795="","",IFERROR(LOOKUP(2,1/('Assignment History'!$B$5:$B$204=A795),'Assignment History'!$D$5:$D$204),IFERROR(VLOOKUP(J795,Configuration!$L$5:$M$50,2,FALSE),J795)))</x:f>
      </x:c>
      <x:c r="L795" s="172" t="str">
        <x:f>IF(A795="","",IF(K795=IFERROR(VLOOKUP(J795,Configuration!$L$5:$M$50,2,FALSE),J795),"Snapshot PIC","Replacement PIC"))</x:f>
      </x:c>
      <x:c r="M795" s="172" t="str">
        <x:f>IF(A795="","",IFERROR(VLOOKUP(I795,Configuration!$O$5:$P$8,2,FALSE),Configuration!$S$6))</x:f>
      </x:c>
      <x:c r="N795" s="172" t="str">
        <x:f>IF(A795="","",IFERROR(LOOKUP(2,1/('Scope Review'!$B$5:$B$204=A795),'Scope Review'!$G$5:$G$204),"Not Reviewed"))</x:f>
      </x:c>
      <x:c r="O795" s="172" t="str">
        <x:f>IF(A795="","",IFERROR(LOOKUP(2,1/('Scope Review'!$B$5:$B$204=A795),'Scope Review'!$H$5:$H$204),""))</x:f>
      </x:c>
      <x:c r="P795" s="172" t="str">
        <x:f>IF(A795="","",IF(AND(C795="executing",N795&lt;&gt;"Confirmed OOS"),M795,0))</x:f>
      </x:c>
      <x:c r="Q795" s="173" t="str">
        <x:f>IF(A795="","",IFERROR(LOOKUP(2,1/('Engineer Updates'!$B$5:$B$704=A795),'Engineer Updates'!$A$5:$A$704),""))</x:f>
      </x:c>
      <x:c r="R795" s="172" t="str">
        <x:f>IF(A795="","",IFERROR(LOOKUP(2,1/('Engineer Updates'!$B$5:$B$704=A795),'Engineer Updates'!$H$5:$H$704),""))</x:f>
      </x:c>
      <x:c r="S795" s="172" t="str">
        <x:f>IF(A795="","",IFERROR(LOOKUP(2,1/('Engineer Updates'!$B$5:$B$704=A795),'Engineer Updates'!$G$5:$G$704),""))</x:f>
      </x:c>
      <x:c r="T795" s="172" t="str">
        <x:f>IF(A795="","",IFERROR(LOOKUP(2,1/('Engineer Updates'!$B$5:$B$704=A795),'Engineer Updates'!$I$5:$I$704),""))</x:f>
      </x:c>
      <x:c r="U795" s="172" t="str">
        <x:f>IF(A795="","",IFERROR(LOOKUP(2,1/('Engineer Updates'!$B$5:$B$704=A795),'Engineer Updates'!$J$5:$J$704),""))</x:f>
      </x:c>
      <x:c r="V795" s="172" t="str">
        <x:f>IF(A795="","",IFERROR(LOOKUP(2,1/('Engineer Updates'!$B$5:$B$704=A795),'Engineer Updates'!$K$5:$K$704),""))</x:f>
      </x:c>
      <x:c r="W795" s="174" t="str">
        <x:f>IF(A795="","",IFERROR(LOOKUP(2,1/('Engineer Updates'!$B$5:$B$704=A795),'Engineer Updates'!$L$5:$L$704),""))</x:f>
      </x:c>
      <x:c r="X795" s="170" t="str">
        <x:f>IF(A795="","",IF(C795="completed","Completed in CSSP",IF(AND(C795="executing",ISERROR(SEARCH("@",K795))),"Executing without named engineer",IF(AND(N795="Confirmed OOS",C795="executing"),"Confirmed OOS still executing",""))))</x:f>
      </x:c>
      <x:c r="Y795" s="170" t="str">
        <x:f>IF(A795="","",IF(B795="Decommissioning","Raw Decommissioning","Raw Provisioning"))</x:f>
      </x:c>
      <x:c r="Z795" s="170" t="str">
        <x:f>IF(A795="","",IF(OR(C795="executing",C795="processing"),"Yes","No"))</x:f>
      </x:c>
    </x:row>
    <x:row r="796">
      <x:c r="A796" s="170" t="str">
        <x:f>IF(ROWS($A$5:A796)&lt;=COUNTA('Raw Decommissioning'!$B$2:$B$1000),INDEX('Raw Decommissioning'!$B$2:$B$1000,ROWS($A$5:A796)),IF(ROWS($A$5:A796)-COUNTA('Raw Decommissioning'!$B$2:$B$1000)&lt;=COUNTA('Raw Provisioning'!$B$2:$B$1000),INDEX('Raw Provisioning'!$B$2:$B$1000,ROWS($A$5:A796)-COUNTA('Raw Decommissioning'!$B$2:$B$1000)),""))</x:f>
      </x:c>
      <x:c r="B796" s="170" t="str">
        <x:f>IF(A796="","",IF(ROWS($A$5:A796)&lt;=COUNTA('Raw Decommissioning'!$B$2:$B$1000),"Decommissioning","Provisioning"))</x:f>
      </x:c>
      <x:c r="C796" s="170" t="str">
        <x:f>IF(A796="","",IF(B796="Decommissioning",IFERROR(INDEX('Raw Decommissioning'!$E$2:$E$1000,MATCH(A796,'Raw Decommissioning'!$B$2:$B$1000,0)),"Missing from latest raw"),IFERROR(INDEX('Raw Provisioning'!$E$2:$E$1000,MATCH(A796,'Raw Provisioning'!$B$2:$B$1000,0)),"Missing from latest raw")))</x:f>
      </x:c>
      <x:c r="D796" s="171" t="str">
        <x:f>IF(A796="","",'Refresh Control'!$B$4)</x:f>
      </x:c>
      <x:c r="E796" s="171" t="str">
        <x:f>IF(A796="","",IF(B796="Decommissioning",INDEX('Raw Decommissioning'!$F$2:$F$1000,ROWS($A$5:A796)),INDEX('Raw Provisioning'!$F$2:$F$1000,ROWS($A$5:A796)-COUNTA('Raw Decommissioning'!$B$2:$B$1000))))</x:f>
      </x:c>
      <x:c r="F796" s="171" t="str">
        <x:f>IF(A796="","",IF(B796="Decommissioning",INDEX('Raw Decommissioning'!$G$2:$G$1000,ROWS($A$5:A796)),INDEX('Raw Provisioning'!$H$2:$H$1000,ROWS($A$5:A796)-COUNTA('Raw Decommissioning'!$B$2:$B$1000))))</x:f>
      </x:c>
      <x:c r="G796" s="170" t="str">
        <x:f>IF(A796="","",IF(B796="Decommissioning",INDEX('Raw Decommissioning'!$I$2:$I$1000,ROWS($A$5:A796)),INDEX('Raw Provisioning'!$J$2:$J$1000,ROWS($A$5:A796)-COUNTA('Raw Decommissioning'!$B$2:$B$1000))))</x:f>
      </x:c>
      <x:c r="H796" s="170" t="str">
        <x:f>IF(A796="","",IF(B796="Decommissioning",INDEX('Raw Decommissioning'!$J$2:$J$1000,ROWS($A$5:A796)),INDEX('Raw Provisioning'!$L$2:$L$1000,ROWS($A$5:A796)-COUNTA('Raw Decommissioning'!$B$2:$B$1000))))</x:f>
      </x:c>
      <x:c r="I796" s="170" t="str">
        <x:f>IF(A796="","",IF(B796="Decommissioning",INDEX('Raw Decommissioning'!$AL$2:$AL$1000,ROWS($A$5:A796)),INDEX('Raw Provisioning'!$R$2:$R$1000,ROWS($A$5:A796)-COUNTA('Raw Decommissioning'!$B$2:$B$1000))))</x:f>
      </x:c>
      <x:c r="J796" s="170" t="str">
        <x:f>IF(A796="","",IF(B796="Decommissioning",INDEX('Raw Decommissioning'!$AG$2:$AG$1000,ROWS($A$5:A796)),INDEX('Raw Provisioning'!$AI$2:$AI$1000,ROWS($A$5:A796)-COUNTA('Raw Decommissioning'!$B$2:$B$1000))))</x:f>
      </x:c>
      <x:c r="K796" s="172" t="str">
        <x:f>IF(A796="","",IFERROR(LOOKUP(2,1/('Assignment History'!$B$5:$B$204=A796),'Assignment History'!$D$5:$D$204),IFERROR(VLOOKUP(J796,Configuration!$L$5:$M$50,2,FALSE),J796)))</x:f>
      </x:c>
      <x:c r="L796" s="172" t="str">
        <x:f>IF(A796="","",IF(K796=IFERROR(VLOOKUP(J796,Configuration!$L$5:$M$50,2,FALSE),J796),"Snapshot PIC","Replacement PIC"))</x:f>
      </x:c>
      <x:c r="M796" s="172" t="str">
        <x:f>IF(A796="","",IFERROR(VLOOKUP(I796,Configuration!$O$5:$P$8,2,FALSE),Configuration!$S$6))</x:f>
      </x:c>
      <x:c r="N796" s="172" t="str">
        <x:f>IF(A796="","",IFERROR(LOOKUP(2,1/('Scope Review'!$B$5:$B$204=A796),'Scope Review'!$G$5:$G$204),"Not Reviewed"))</x:f>
      </x:c>
      <x:c r="O796" s="172" t="str">
        <x:f>IF(A796="","",IFERROR(LOOKUP(2,1/('Scope Review'!$B$5:$B$204=A796),'Scope Review'!$H$5:$H$204),""))</x:f>
      </x:c>
      <x:c r="P796" s="172" t="str">
        <x:f>IF(A796="","",IF(AND(C796="executing",N796&lt;&gt;"Confirmed OOS"),M796,0))</x:f>
      </x:c>
      <x:c r="Q796" s="173" t="str">
        <x:f>IF(A796="","",IFERROR(LOOKUP(2,1/('Engineer Updates'!$B$5:$B$704=A796),'Engineer Updates'!$A$5:$A$704),""))</x:f>
      </x:c>
      <x:c r="R796" s="172" t="str">
        <x:f>IF(A796="","",IFERROR(LOOKUP(2,1/('Engineer Updates'!$B$5:$B$704=A796),'Engineer Updates'!$H$5:$H$704),""))</x:f>
      </x:c>
      <x:c r="S796" s="172" t="str">
        <x:f>IF(A796="","",IFERROR(LOOKUP(2,1/('Engineer Updates'!$B$5:$B$704=A796),'Engineer Updates'!$G$5:$G$704),""))</x:f>
      </x:c>
      <x:c r="T796" s="172" t="str">
        <x:f>IF(A796="","",IFERROR(LOOKUP(2,1/('Engineer Updates'!$B$5:$B$704=A796),'Engineer Updates'!$I$5:$I$704),""))</x:f>
      </x:c>
      <x:c r="U796" s="172" t="str">
        <x:f>IF(A796="","",IFERROR(LOOKUP(2,1/('Engineer Updates'!$B$5:$B$704=A796),'Engineer Updates'!$J$5:$J$704),""))</x:f>
      </x:c>
      <x:c r="V796" s="172" t="str">
        <x:f>IF(A796="","",IFERROR(LOOKUP(2,1/('Engineer Updates'!$B$5:$B$704=A796),'Engineer Updates'!$K$5:$K$704),""))</x:f>
      </x:c>
      <x:c r="W796" s="174" t="str">
        <x:f>IF(A796="","",IFERROR(LOOKUP(2,1/('Engineer Updates'!$B$5:$B$704=A796),'Engineer Updates'!$L$5:$L$704),""))</x:f>
      </x:c>
      <x:c r="X796" s="170" t="str">
        <x:f>IF(A796="","",IF(C796="completed","Completed in CSSP",IF(AND(C796="executing",ISERROR(SEARCH("@",K796))),"Executing without named engineer",IF(AND(N796="Confirmed OOS",C796="executing"),"Confirmed OOS still executing",""))))</x:f>
      </x:c>
      <x:c r="Y796" s="170" t="str">
        <x:f>IF(A796="","",IF(B796="Decommissioning","Raw Decommissioning","Raw Provisioning"))</x:f>
      </x:c>
      <x:c r="Z796" s="170" t="str">
        <x:f>IF(A796="","",IF(OR(C796="executing",C796="processing"),"Yes","No"))</x:f>
      </x:c>
    </x:row>
    <x:row r="797">
      <x:c r="A797" s="170" t="str">
        <x:f>IF(ROWS($A$5:A797)&lt;=COUNTA('Raw Decommissioning'!$B$2:$B$1000),INDEX('Raw Decommissioning'!$B$2:$B$1000,ROWS($A$5:A797)),IF(ROWS($A$5:A797)-COUNTA('Raw Decommissioning'!$B$2:$B$1000)&lt;=COUNTA('Raw Provisioning'!$B$2:$B$1000),INDEX('Raw Provisioning'!$B$2:$B$1000,ROWS($A$5:A797)-COUNTA('Raw Decommissioning'!$B$2:$B$1000)),""))</x:f>
      </x:c>
      <x:c r="B797" s="170" t="str">
        <x:f>IF(A797="","",IF(ROWS($A$5:A797)&lt;=COUNTA('Raw Decommissioning'!$B$2:$B$1000),"Decommissioning","Provisioning"))</x:f>
      </x:c>
      <x:c r="C797" s="170" t="str">
        <x:f>IF(A797="","",IF(B797="Decommissioning",IFERROR(INDEX('Raw Decommissioning'!$E$2:$E$1000,MATCH(A797,'Raw Decommissioning'!$B$2:$B$1000,0)),"Missing from latest raw"),IFERROR(INDEX('Raw Provisioning'!$E$2:$E$1000,MATCH(A797,'Raw Provisioning'!$B$2:$B$1000,0)),"Missing from latest raw")))</x:f>
      </x:c>
      <x:c r="D797" s="171" t="str">
        <x:f>IF(A797="","",'Refresh Control'!$B$4)</x:f>
      </x:c>
      <x:c r="E797" s="171" t="str">
        <x:f>IF(A797="","",IF(B797="Decommissioning",INDEX('Raw Decommissioning'!$F$2:$F$1000,ROWS($A$5:A797)),INDEX('Raw Provisioning'!$F$2:$F$1000,ROWS($A$5:A797)-COUNTA('Raw Decommissioning'!$B$2:$B$1000))))</x:f>
      </x:c>
      <x:c r="F797" s="171" t="str">
        <x:f>IF(A797="","",IF(B797="Decommissioning",INDEX('Raw Decommissioning'!$G$2:$G$1000,ROWS($A$5:A797)),INDEX('Raw Provisioning'!$H$2:$H$1000,ROWS($A$5:A797)-COUNTA('Raw Decommissioning'!$B$2:$B$1000))))</x:f>
      </x:c>
      <x:c r="G797" s="170" t="str">
        <x:f>IF(A797="","",IF(B797="Decommissioning",INDEX('Raw Decommissioning'!$I$2:$I$1000,ROWS($A$5:A797)),INDEX('Raw Provisioning'!$J$2:$J$1000,ROWS($A$5:A797)-COUNTA('Raw Decommissioning'!$B$2:$B$1000))))</x:f>
      </x:c>
      <x:c r="H797" s="170" t="str">
        <x:f>IF(A797="","",IF(B797="Decommissioning",INDEX('Raw Decommissioning'!$J$2:$J$1000,ROWS($A$5:A797)),INDEX('Raw Provisioning'!$L$2:$L$1000,ROWS($A$5:A797)-COUNTA('Raw Decommissioning'!$B$2:$B$1000))))</x:f>
      </x:c>
      <x:c r="I797" s="170" t="str">
        <x:f>IF(A797="","",IF(B797="Decommissioning",INDEX('Raw Decommissioning'!$AL$2:$AL$1000,ROWS($A$5:A797)),INDEX('Raw Provisioning'!$R$2:$R$1000,ROWS($A$5:A797)-COUNTA('Raw Decommissioning'!$B$2:$B$1000))))</x:f>
      </x:c>
      <x:c r="J797" s="170" t="str">
        <x:f>IF(A797="","",IF(B797="Decommissioning",INDEX('Raw Decommissioning'!$AG$2:$AG$1000,ROWS($A$5:A797)),INDEX('Raw Provisioning'!$AI$2:$AI$1000,ROWS($A$5:A797)-COUNTA('Raw Decommissioning'!$B$2:$B$1000))))</x:f>
      </x:c>
      <x:c r="K797" s="172" t="str">
        <x:f>IF(A797="","",IFERROR(LOOKUP(2,1/('Assignment History'!$B$5:$B$204=A797),'Assignment History'!$D$5:$D$204),IFERROR(VLOOKUP(J797,Configuration!$L$5:$M$50,2,FALSE),J797)))</x:f>
      </x:c>
      <x:c r="L797" s="172" t="str">
        <x:f>IF(A797="","",IF(K797=IFERROR(VLOOKUP(J797,Configuration!$L$5:$M$50,2,FALSE),J797),"Snapshot PIC","Replacement PIC"))</x:f>
      </x:c>
      <x:c r="M797" s="172" t="str">
        <x:f>IF(A797="","",IFERROR(VLOOKUP(I797,Configuration!$O$5:$P$8,2,FALSE),Configuration!$S$6))</x:f>
      </x:c>
      <x:c r="N797" s="172" t="str">
        <x:f>IF(A797="","",IFERROR(LOOKUP(2,1/('Scope Review'!$B$5:$B$204=A797),'Scope Review'!$G$5:$G$204),"Not Reviewed"))</x:f>
      </x:c>
      <x:c r="O797" s="172" t="str">
        <x:f>IF(A797="","",IFERROR(LOOKUP(2,1/('Scope Review'!$B$5:$B$204=A797),'Scope Review'!$H$5:$H$204),""))</x:f>
      </x:c>
      <x:c r="P797" s="172" t="str">
        <x:f>IF(A797="","",IF(AND(C797="executing",N797&lt;&gt;"Confirmed OOS"),M797,0))</x:f>
      </x:c>
      <x:c r="Q797" s="173" t="str">
        <x:f>IF(A797="","",IFERROR(LOOKUP(2,1/('Engineer Updates'!$B$5:$B$704=A797),'Engineer Updates'!$A$5:$A$704),""))</x:f>
      </x:c>
      <x:c r="R797" s="172" t="str">
        <x:f>IF(A797="","",IFERROR(LOOKUP(2,1/('Engineer Updates'!$B$5:$B$704=A797),'Engineer Updates'!$H$5:$H$704),""))</x:f>
      </x:c>
      <x:c r="S797" s="172" t="str">
        <x:f>IF(A797="","",IFERROR(LOOKUP(2,1/('Engineer Updates'!$B$5:$B$704=A797),'Engineer Updates'!$G$5:$G$704),""))</x:f>
      </x:c>
      <x:c r="T797" s="172" t="str">
        <x:f>IF(A797="","",IFERROR(LOOKUP(2,1/('Engineer Updates'!$B$5:$B$704=A797),'Engineer Updates'!$I$5:$I$704),""))</x:f>
      </x:c>
      <x:c r="U797" s="172" t="str">
        <x:f>IF(A797="","",IFERROR(LOOKUP(2,1/('Engineer Updates'!$B$5:$B$704=A797),'Engineer Updates'!$J$5:$J$704),""))</x:f>
      </x:c>
      <x:c r="V797" s="172" t="str">
        <x:f>IF(A797="","",IFERROR(LOOKUP(2,1/('Engineer Updates'!$B$5:$B$704=A797),'Engineer Updates'!$K$5:$K$704),""))</x:f>
      </x:c>
      <x:c r="W797" s="174" t="str">
        <x:f>IF(A797="","",IFERROR(LOOKUP(2,1/('Engineer Updates'!$B$5:$B$704=A797),'Engineer Updates'!$L$5:$L$704),""))</x:f>
      </x:c>
      <x:c r="X797" s="170" t="str">
        <x:f>IF(A797="","",IF(C797="completed","Completed in CSSP",IF(AND(C797="executing",ISERROR(SEARCH("@",K797))),"Executing without named engineer",IF(AND(N797="Confirmed OOS",C797="executing"),"Confirmed OOS still executing",""))))</x:f>
      </x:c>
      <x:c r="Y797" s="170" t="str">
        <x:f>IF(A797="","",IF(B797="Decommissioning","Raw Decommissioning","Raw Provisioning"))</x:f>
      </x:c>
      <x:c r="Z797" s="170" t="str">
        <x:f>IF(A797="","",IF(OR(C797="executing",C797="processing"),"Yes","No"))</x:f>
      </x:c>
    </x:row>
    <x:row r="798">
      <x:c r="A798" s="170" t="str">
        <x:f>IF(ROWS($A$5:A798)&lt;=COUNTA('Raw Decommissioning'!$B$2:$B$1000),INDEX('Raw Decommissioning'!$B$2:$B$1000,ROWS($A$5:A798)),IF(ROWS($A$5:A798)-COUNTA('Raw Decommissioning'!$B$2:$B$1000)&lt;=COUNTA('Raw Provisioning'!$B$2:$B$1000),INDEX('Raw Provisioning'!$B$2:$B$1000,ROWS($A$5:A798)-COUNTA('Raw Decommissioning'!$B$2:$B$1000)),""))</x:f>
      </x:c>
      <x:c r="B798" s="170" t="str">
        <x:f>IF(A798="","",IF(ROWS($A$5:A798)&lt;=COUNTA('Raw Decommissioning'!$B$2:$B$1000),"Decommissioning","Provisioning"))</x:f>
      </x:c>
      <x:c r="C798" s="170" t="str">
        <x:f>IF(A798="","",IF(B798="Decommissioning",IFERROR(INDEX('Raw Decommissioning'!$E$2:$E$1000,MATCH(A798,'Raw Decommissioning'!$B$2:$B$1000,0)),"Missing from latest raw"),IFERROR(INDEX('Raw Provisioning'!$E$2:$E$1000,MATCH(A798,'Raw Provisioning'!$B$2:$B$1000,0)),"Missing from latest raw")))</x:f>
      </x:c>
      <x:c r="D798" s="171" t="str">
        <x:f>IF(A798="","",'Refresh Control'!$B$4)</x:f>
      </x:c>
      <x:c r="E798" s="171" t="str">
        <x:f>IF(A798="","",IF(B798="Decommissioning",INDEX('Raw Decommissioning'!$F$2:$F$1000,ROWS($A$5:A798)),INDEX('Raw Provisioning'!$F$2:$F$1000,ROWS($A$5:A798)-COUNTA('Raw Decommissioning'!$B$2:$B$1000))))</x:f>
      </x:c>
      <x:c r="F798" s="171" t="str">
        <x:f>IF(A798="","",IF(B798="Decommissioning",INDEX('Raw Decommissioning'!$G$2:$G$1000,ROWS($A$5:A798)),INDEX('Raw Provisioning'!$H$2:$H$1000,ROWS($A$5:A798)-COUNTA('Raw Decommissioning'!$B$2:$B$1000))))</x:f>
      </x:c>
      <x:c r="G798" s="170" t="str">
        <x:f>IF(A798="","",IF(B798="Decommissioning",INDEX('Raw Decommissioning'!$I$2:$I$1000,ROWS($A$5:A798)),INDEX('Raw Provisioning'!$J$2:$J$1000,ROWS($A$5:A798)-COUNTA('Raw Decommissioning'!$B$2:$B$1000))))</x:f>
      </x:c>
      <x:c r="H798" s="170" t="str">
        <x:f>IF(A798="","",IF(B798="Decommissioning",INDEX('Raw Decommissioning'!$J$2:$J$1000,ROWS($A$5:A798)),INDEX('Raw Provisioning'!$L$2:$L$1000,ROWS($A$5:A798)-COUNTA('Raw Decommissioning'!$B$2:$B$1000))))</x:f>
      </x:c>
      <x:c r="I798" s="170" t="str">
        <x:f>IF(A798="","",IF(B798="Decommissioning",INDEX('Raw Decommissioning'!$AL$2:$AL$1000,ROWS($A$5:A798)),INDEX('Raw Provisioning'!$R$2:$R$1000,ROWS($A$5:A798)-COUNTA('Raw Decommissioning'!$B$2:$B$1000))))</x:f>
      </x:c>
      <x:c r="J798" s="170" t="str">
        <x:f>IF(A798="","",IF(B798="Decommissioning",INDEX('Raw Decommissioning'!$AG$2:$AG$1000,ROWS($A$5:A798)),INDEX('Raw Provisioning'!$AI$2:$AI$1000,ROWS($A$5:A798)-COUNTA('Raw Decommissioning'!$B$2:$B$1000))))</x:f>
      </x:c>
      <x:c r="K798" s="172" t="str">
        <x:f>IF(A798="","",IFERROR(LOOKUP(2,1/('Assignment History'!$B$5:$B$204=A798),'Assignment History'!$D$5:$D$204),IFERROR(VLOOKUP(J798,Configuration!$L$5:$M$50,2,FALSE),J798)))</x:f>
      </x:c>
      <x:c r="L798" s="172" t="str">
        <x:f>IF(A798="","",IF(K798=IFERROR(VLOOKUP(J798,Configuration!$L$5:$M$50,2,FALSE),J798),"Snapshot PIC","Replacement PIC"))</x:f>
      </x:c>
      <x:c r="M798" s="172" t="str">
        <x:f>IF(A798="","",IFERROR(VLOOKUP(I798,Configuration!$O$5:$P$8,2,FALSE),Configuration!$S$6))</x:f>
      </x:c>
      <x:c r="N798" s="172" t="str">
        <x:f>IF(A798="","",IFERROR(LOOKUP(2,1/('Scope Review'!$B$5:$B$204=A798),'Scope Review'!$G$5:$G$204),"Not Reviewed"))</x:f>
      </x:c>
      <x:c r="O798" s="172" t="str">
        <x:f>IF(A798="","",IFERROR(LOOKUP(2,1/('Scope Review'!$B$5:$B$204=A798),'Scope Review'!$H$5:$H$204),""))</x:f>
      </x:c>
      <x:c r="P798" s="172" t="str">
        <x:f>IF(A798="","",IF(AND(C798="executing",N798&lt;&gt;"Confirmed OOS"),M798,0))</x:f>
      </x:c>
      <x:c r="Q798" s="173" t="str">
        <x:f>IF(A798="","",IFERROR(LOOKUP(2,1/('Engineer Updates'!$B$5:$B$704=A798),'Engineer Updates'!$A$5:$A$704),""))</x:f>
      </x:c>
      <x:c r="R798" s="172" t="str">
        <x:f>IF(A798="","",IFERROR(LOOKUP(2,1/('Engineer Updates'!$B$5:$B$704=A798),'Engineer Updates'!$H$5:$H$704),""))</x:f>
      </x:c>
      <x:c r="S798" s="172" t="str">
        <x:f>IF(A798="","",IFERROR(LOOKUP(2,1/('Engineer Updates'!$B$5:$B$704=A798),'Engineer Updates'!$G$5:$G$704),""))</x:f>
      </x:c>
      <x:c r="T798" s="172" t="str">
        <x:f>IF(A798="","",IFERROR(LOOKUP(2,1/('Engineer Updates'!$B$5:$B$704=A798),'Engineer Updates'!$I$5:$I$704),""))</x:f>
      </x:c>
      <x:c r="U798" s="172" t="str">
        <x:f>IF(A798="","",IFERROR(LOOKUP(2,1/('Engineer Updates'!$B$5:$B$704=A798),'Engineer Updates'!$J$5:$J$704),""))</x:f>
      </x:c>
      <x:c r="V798" s="172" t="str">
        <x:f>IF(A798="","",IFERROR(LOOKUP(2,1/('Engineer Updates'!$B$5:$B$704=A798),'Engineer Updates'!$K$5:$K$704),""))</x:f>
      </x:c>
      <x:c r="W798" s="174" t="str">
        <x:f>IF(A798="","",IFERROR(LOOKUP(2,1/('Engineer Updates'!$B$5:$B$704=A798),'Engineer Updates'!$L$5:$L$704),""))</x:f>
      </x:c>
      <x:c r="X798" s="170" t="str">
        <x:f>IF(A798="","",IF(C798="completed","Completed in CSSP",IF(AND(C798="executing",ISERROR(SEARCH("@",K798))),"Executing without named engineer",IF(AND(N798="Confirmed OOS",C798="executing"),"Confirmed OOS still executing",""))))</x:f>
      </x:c>
      <x:c r="Y798" s="170" t="str">
        <x:f>IF(A798="","",IF(B798="Decommissioning","Raw Decommissioning","Raw Provisioning"))</x:f>
      </x:c>
      <x:c r="Z798" s="170" t="str">
        <x:f>IF(A798="","",IF(OR(C798="executing",C798="processing"),"Yes","No"))</x:f>
      </x:c>
    </x:row>
    <x:row r="799">
      <x:c r="A799" s="170" t="str">
        <x:f>IF(ROWS($A$5:A799)&lt;=COUNTA('Raw Decommissioning'!$B$2:$B$1000),INDEX('Raw Decommissioning'!$B$2:$B$1000,ROWS($A$5:A799)),IF(ROWS($A$5:A799)-COUNTA('Raw Decommissioning'!$B$2:$B$1000)&lt;=COUNTA('Raw Provisioning'!$B$2:$B$1000),INDEX('Raw Provisioning'!$B$2:$B$1000,ROWS($A$5:A799)-COUNTA('Raw Decommissioning'!$B$2:$B$1000)),""))</x:f>
      </x:c>
      <x:c r="B799" s="170" t="str">
        <x:f>IF(A799="","",IF(ROWS($A$5:A799)&lt;=COUNTA('Raw Decommissioning'!$B$2:$B$1000),"Decommissioning","Provisioning"))</x:f>
      </x:c>
      <x:c r="C799" s="170" t="str">
        <x:f>IF(A799="","",IF(B799="Decommissioning",IFERROR(INDEX('Raw Decommissioning'!$E$2:$E$1000,MATCH(A799,'Raw Decommissioning'!$B$2:$B$1000,0)),"Missing from latest raw"),IFERROR(INDEX('Raw Provisioning'!$E$2:$E$1000,MATCH(A799,'Raw Provisioning'!$B$2:$B$1000,0)),"Missing from latest raw")))</x:f>
      </x:c>
      <x:c r="D799" s="171" t="str">
        <x:f>IF(A799="","",'Refresh Control'!$B$4)</x:f>
      </x:c>
      <x:c r="E799" s="171" t="str">
        <x:f>IF(A799="","",IF(B799="Decommissioning",INDEX('Raw Decommissioning'!$F$2:$F$1000,ROWS($A$5:A799)),INDEX('Raw Provisioning'!$F$2:$F$1000,ROWS($A$5:A799)-COUNTA('Raw Decommissioning'!$B$2:$B$1000))))</x:f>
      </x:c>
      <x:c r="F799" s="171" t="str">
        <x:f>IF(A799="","",IF(B799="Decommissioning",INDEX('Raw Decommissioning'!$G$2:$G$1000,ROWS($A$5:A799)),INDEX('Raw Provisioning'!$H$2:$H$1000,ROWS($A$5:A799)-COUNTA('Raw Decommissioning'!$B$2:$B$1000))))</x:f>
      </x:c>
      <x:c r="G799" s="170" t="str">
        <x:f>IF(A799="","",IF(B799="Decommissioning",INDEX('Raw Decommissioning'!$I$2:$I$1000,ROWS($A$5:A799)),INDEX('Raw Provisioning'!$J$2:$J$1000,ROWS($A$5:A799)-COUNTA('Raw Decommissioning'!$B$2:$B$1000))))</x:f>
      </x:c>
      <x:c r="H799" s="170" t="str">
        <x:f>IF(A799="","",IF(B799="Decommissioning",INDEX('Raw Decommissioning'!$J$2:$J$1000,ROWS($A$5:A799)),INDEX('Raw Provisioning'!$L$2:$L$1000,ROWS($A$5:A799)-COUNTA('Raw Decommissioning'!$B$2:$B$1000))))</x:f>
      </x:c>
      <x:c r="I799" s="170" t="str">
        <x:f>IF(A799="","",IF(B799="Decommissioning",INDEX('Raw Decommissioning'!$AL$2:$AL$1000,ROWS($A$5:A799)),INDEX('Raw Provisioning'!$R$2:$R$1000,ROWS($A$5:A799)-COUNTA('Raw Decommissioning'!$B$2:$B$1000))))</x:f>
      </x:c>
      <x:c r="J799" s="170" t="str">
        <x:f>IF(A799="","",IF(B799="Decommissioning",INDEX('Raw Decommissioning'!$AG$2:$AG$1000,ROWS($A$5:A799)),INDEX('Raw Provisioning'!$AI$2:$AI$1000,ROWS($A$5:A799)-COUNTA('Raw Decommissioning'!$B$2:$B$1000))))</x:f>
      </x:c>
      <x:c r="K799" s="172" t="str">
        <x:f>IF(A799="","",IFERROR(LOOKUP(2,1/('Assignment History'!$B$5:$B$204=A799),'Assignment History'!$D$5:$D$204),IFERROR(VLOOKUP(J799,Configuration!$L$5:$M$50,2,FALSE),J799)))</x:f>
      </x:c>
      <x:c r="L799" s="172" t="str">
        <x:f>IF(A799="","",IF(K799=IFERROR(VLOOKUP(J799,Configuration!$L$5:$M$50,2,FALSE),J799),"Snapshot PIC","Replacement PIC"))</x:f>
      </x:c>
      <x:c r="M799" s="172" t="str">
        <x:f>IF(A799="","",IFERROR(VLOOKUP(I799,Configuration!$O$5:$P$8,2,FALSE),Configuration!$S$6))</x:f>
      </x:c>
      <x:c r="N799" s="172" t="str">
        <x:f>IF(A799="","",IFERROR(LOOKUP(2,1/('Scope Review'!$B$5:$B$204=A799),'Scope Review'!$G$5:$G$204),"Not Reviewed"))</x:f>
      </x:c>
      <x:c r="O799" s="172" t="str">
        <x:f>IF(A799="","",IFERROR(LOOKUP(2,1/('Scope Review'!$B$5:$B$204=A799),'Scope Review'!$H$5:$H$204),""))</x:f>
      </x:c>
      <x:c r="P799" s="172" t="str">
        <x:f>IF(A799="","",IF(AND(C799="executing",N799&lt;&gt;"Confirmed OOS"),M799,0))</x:f>
      </x:c>
      <x:c r="Q799" s="173" t="str">
        <x:f>IF(A799="","",IFERROR(LOOKUP(2,1/('Engineer Updates'!$B$5:$B$704=A799),'Engineer Updates'!$A$5:$A$704),""))</x:f>
      </x:c>
      <x:c r="R799" s="172" t="str">
        <x:f>IF(A799="","",IFERROR(LOOKUP(2,1/('Engineer Updates'!$B$5:$B$704=A799),'Engineer Updates'!$H$5:$H$704),""))</x:f>
      </x:c>
      <x:c r="S799" s="172" t="str">
        <x:f>IF(A799="","",IFERROR(LOOKUP(2,1/('Engineer Updates'!$B$5:$B$704=A799),'Engineer Updates'!$G$5:$G$704),""))</x:f>
      </x:c>
      <x:c r="T799" s="172" t="str">
        <x:f>IF(A799="","",IFERROR(LOOKUP(2,1/('Engineer Updates'!$B$5:$B$704=A799),'Engineer Updates'!$I$5:$I$704),""))</x:f>
      </x:c>
      <x:c r="U799" s="172" t="str">
        <x:f>IF(A799="","",IFERROR(LOOKUP(2,1/('Engineer Updates'!$B$5:$B$704=A799),'Engineer Updates'!$J$5:$J$704),""))</x:f>
      </x:c>
      <x:c r="V799" s="172" t="str">
        <x:f>IF(A799="","",IFERROR(LOOKUP(2,1/('Engineer Updates'!$B$5:$B$704=A799),'Engineer Updates'!$K$5:$K$704),""))</x:f>
      </x:c>
      <x:c r="W799" s="174" t="str">
        <x:f>IF(A799="","",IFERROR(LOOKUP(2,1/('Engineer Updates'!$B$5:$B$704=A799),'Engineer Updates'!$L$5:$L$704),""))</x:f>
      </x:c>
      <x:c r="X799" s="170" t="str">
        <x:f>IF(A799="","",IF(C799="completed","Completed in CSSP",IF(AND(C799="executing",ISERROR(SEARCH("@",K799))),"Executing without named engineer",IF(AND(N799="Confirmed OOS",C799="executing"),"Confirmed OOS still executing",""))))</x:f>
      </x:c>
      <x:c r="Y799" s="170" t="str">
        <x:f>IF(A799="","",IF(B799="Decommissioning","Raw Decommissioning","Raw Provisioning"))</x:f>
      </x:c>
      <x:c r="Z799" s="170" t="str">
        <x:f>IF(A799="","",IF(OR(C799="executing",C799="processing"),"Yes","No"))</x:f>
      </x:c>
    </x:row>
    <x:row r="800">
      <x:c r="A800" s="170" t="str">
        <x:f>IF(ROWS($A$5:A800)&lt;=COUNTA('Raw Decommissioning'!$B$2:$B$1000),INDEX('Raw Decommissioning'!$B$2:$B$1000,ROWS($A$5:A800)),IF(ROWS($A$5:A800)-COUNTA('Raw Decommissioning'!$B$2:$B$1000)&lt;=COUNTA('Raw Provisioning'!$B$2:$B$1000),INDEX('Raw Provisioning'!$B$2:$B$1000,ROWS($A$5:A800)-COUNTA('Raw Decommissioning'!$B$2:$B$1000)),""))</x:f>
      </x:c>
      <x:c r="B800" s="170" t="str">
        <x:f>IF(A800="","",IF(ROWS($A$5:A800)&lt;=COUNTA('Raw Decommissioning'!$B$2:$B$1000),"Decommissioning","Provisioning"))</x:f>
      </x:c>
      <x:c r="C800" s="170" t="str">
        <x:f>IF(A800="","",IF(B800="Decommissioning",IFERROR(INDEX('Raw Decommissioning'!$E$2:$E$1000,MATCH(A800,'Raw Decommissioning'!$B$2:$B$1000,0)),"Missing from latest raw"),IFERROR(INDEX('Raw Provisioning'!$E$2:$E$1000,MATCH(A800,'Raw Provisioning'!$B$2:$B$1000,0)),"Missing from latest raw")))</x:f>
      </x:c>
      <x:c r="D800" s="171" t="str">
        <x:f>IF(A800="","",'Refresh Control'!$B$4)</x:f>
      </x:c>
      <x:c r="E800" s="171" t="str">
        <x:f>IF(A800="","",IF(B800="Decommissioning",INDEX('Raw Decommissioning'!$F$2:$F$1000,ROWS($A$5:A800)),INDEX('Raw Provisioning'!$F$2:$F$1000,ROWS($A$5:A800)-COUNTA('Raw Decommissioning'!$B$2:$B$1000))))</x:f>
      </x:c>
      <x:c r="F800" s="171" t="str">
        <x:f>IF(A800="","",IF(B800="Decommissioning",INDEX('Raw Decommissioning'!$G$2:$G$1000,ROWS($A$5:A800)),INDEX('Raw Provisioning'!$H$2:$H$1000,ROWS($A$5:A800)-COUNTA('Raw Decommissioning'!$B$2:$B$1000))))</x:f>
      </x:c>
      <x:c r="G800" s="170" t="str">
        <x:f>IF(A800="","",IF(B800="Decommissioning",INDEX('Raw Decommissioning'!$I$2:$I$1000,ROWS($A$5:A800)),INDEX('Raw Provisioning'!$J$2:$J$1000,ROWS($A$5:A800)-COUNTA('Raw Decommissioning'!$B$2:$B$1000))))</x:f>
      </x:c>
      <x:c r="H800" s="170" t="str">
        <x:f>IF(A800="","",IF(B800="Decommissioning",INDEX('Raw Decommissioning'!$J$2:$J$1000,ROWS($A$5:A800)),INDEX('Raw Provisioning'!$L$2:$L$1000,ROWS($A$5:A800)-COUNTA('Raw Decommissioning'!$B$2:$B$1000))))</x:f>
      </x:c>
      <x:c r="I800" s="170" t="str">
        <x:f>IF(A800="","",IF(B800="Decommissioning",INDEX('Raw Decommissioning'!$AL$2:$AL$1000,ROWS($A$5:A800)),INDEX('Raw Provisioning'!$R$2:$R$1000,ROWS($A$5:A800)-COUNTA('Raw Decommissioning'!$B$2:$B$1000))))</x:f>
      </x:c>
      <x:c r="J800" s="170" t="str">
        <x:f>IF(A800="","",IF(B800="Decommissioning",INDEX('Raw Decommissioning'!$AG$2:$AG$1000,ROWS($A$5:A800)),INDEX('Raw Provisioning'!$AI$2:$AI$1000,ROWS($A$5:A800)-COUNTA('Raw Decommissioning'!$B$2:$B$1000))))</x:f>
      </x:c>
      <x:c r="K800" s="172" t="str">
        <x:f>IF(A800="","",IFERROR(LOOKUP(2,1/('Assignment History'!$B$5:$B$204=A800),'Assignment History'!$D$5:$D$204),IFERROR(VLOOKUP(J800,Configuration!$L$5:$M$50,2,FALSE),J800)))</x:f>
      </x:c>
      <x:c r="L800" s="172" t="str">
        <x:f>IF(A800="","",IF(K800=IFERROR(VLOOKUP(J800,Configuration!$L$5:$M$50,2,FALSE),J800),"Snapshot PIC","Replacement PIC"))</x:f>
      </x:c>
      <x:c r="M800" s="172" t="str">
        <x:f>IF(A800="","",IFERROR(VLOOKUP(I800,Configuration!$O$5:$P$8,2,FALSE),Configuration!$S$6))</x:f>
      </x:c>
      <x:c r="N800" s="172" t="str">
        <x:f>IF(A800="","",IFERROR(LOOKUP(2,1/('Scope Review'!$B$5:$B$204=A800),'Scope Review'!$G$5:$G$204),"Not Reviewed"))</x:f>
      </x:c>
      <x:c r="O800" s="172" t="str">
        <x:f>IF(A800="","",IFERROR(LOOKUP(2,1/('Scope Review'!$B$5:$B$204=A800),'Scope Review'!$H$5:$H$204),""))</x:f>
      </x:c>
      <x:c r="P800" s="172" t="str">
        <x:f>IF(A800="","",IF(AND(C800="executing",N800&lt;&gt;"Confirmed OOS"),M800,0))</x:f>
      </x:c>
      <x:c r="Q800" s="173" t="str">
        <x:f>IF(A800="","",IFERROR(LOOKUP(2,1/('Engineer Updates'!$B$5:$B$704=A800),'Engineer Updates'!$A$5:$A$704),""))</x:f>
      </x:c>
      <x:c r="R800" s="172" t="str">
        <x:f>IF(A800="","",IFERROR(LOOKUP(2,1/('Engineer Updates'!$B$5:$B$704=A800),'Engineer Updates'!$H$5:$H$704),""))</x:f>
      </x:c>
      <x:c r="S800" s="172" t="str">
        <x:f>IF(A800="","",IFERROR(LOOKUP(2,1/('Engineer Updates'!$B$5:$B$704=A800),'Engineer Updates'!$G$5:$G$704),""))</x:f>
      </x:c>
      <x:c r="T800" s="172" t="str">
        <x:f>IF(A800="","",IFERROR(LOOKUP(2,1/('Engineer Updates'!$B$5:$B$704=A800),'Engineer Updates'!$I$5:$I$704),""))</x:f>
      </x:c>
      <x:c r="U800" s="172" t="str">
        <x:f>IF(A800="","",IFERROR(LOOKUP(2,1/('Engineer Updates'!$B$5:$B$704=A800),'Engineer Updates'!$J$5:$J$704),""))</x:f>
      </x:c>
      <x:c r="V800" s="172" t="str">
        <x:f>IF(A800="","",IFERROR(LOOKUP(2,1/('Engineer Updates'!$B$5:$B$704=A800),'Engineer Updates'!$K$5:$K$704),""))</x:f>
      </x:c>
      <x:c r="W800" s="174" t="str">
        <x:f>IF(A800="","",IFERROR(LOOKUP(2,1/('Engineer Updates'!$B$5:$B$704=A800),'Engineer Updates'!$L$5:$L$704),""))</x:f>
      </x:c>
      <x:c r="X800" s="170" t="str">
        <x:f>IF(A800="","",IF(C800="completed","Completed in CSSP",IF(AND(C800="executing",ISERROR(SEARCH("@",K800))),"Executing without named engineer",IF(AND(N800="Confirmed OOS",C800="executing"),"Confirmed OOS still executing",""))))</x:f>
      </x:c>
      <x:c r="Y800" s="170" t="str">
        <x:f>IF(A800="","",IF(B800="Decommissioning","Raw Decommissioning","Raw Provisioning"))</x:f>
      </x:c>
      <x:c r="Z800" s="170" t="str">
        <x:f>IF(A800="","",IF(OR(C800="executing",C800="processing"),"Yes","No"))</x:f>
      </x:c>
    </x:row>
    <x:row r="801">
      <x:c r="A801" s="170" t="str">
        <x:f>IF(ROWS($A$5:A801)&lt;=COUNTA('Raw Decommissioning'!$B$2:$B$1000),INDEX('Raw Decommissioning'!$B$2:$B$1000,ROWS($A$5:A801)),IF(ROWS($A$5:A801)-COUNTA('Raw Decommissioning'!$B$2:$B$1000)&lt;=COUNTA('Raw Provisioning'!$B$2:$B$1000),INDEX('Raw Provisioning'!$B$2:$B$1000,ROWS($A$5:A801)-COUNTA('Raw Decommissioning'!$B$2:$B$1000)),""))</x:f>
      </x:c>
      <x:c r="B801" s="170" t="str">
        <x:f>IF(A801="","",IF(ROWS($A$5:A801)&lt;=COUNTA('Raw Decommissioning'!$B$2:$B$1000),"Decommissioning","Provisioning"))</x:f>
      </x:c>
      <x:c r="C801" s="170" t="str">
        <x:f>IF(A801="","",IF(B801="Decommissioning",IFERROR(INDEX('Raw Decommissioning'!$E$2:$E$1000,MATCH(A801,'Raw Decommissioning'!$B$2:$B$1000,0)),"Missing from latest raw"),IFERROR(INDEX('Raw Provisioning'!$E$2:$E$1000,MATCH(A801,'Raw Provisioning'!$B$2:$B$1000,0)),"Missing from latest raw")))</x:f>
      </x:c>
      <x:c r="D801" s="171" t="str">
        <x:f>IF(A801="","",'Refresh Control'!$B$4)</x:f>
      </x:c>
      <x:c r="E801" s="171" t="str">
        <x:f>IF(A801="","",IF(B801="Decommissioning",INDEX('Raw Decommissioning'!$F$2:$F$1000,ROWS($A$5:A801)),INDEX('Raw Provisioning'!$F$2:$F$1000,ROWS($A$5:A801)-COUNTA('Raw Decommissioning'!$B$2:$B$1000))))</x:f>
      </x:c>
      <x:c r="F801" s="171" t="str">
        <x:f>IF(A801="","",IF(B801="Decommissioning",INDEX('Raw Decommissioning'!$G$2:$G$1000,ROWS($A$5:A801)),INDEX('Raw Provisioning'!$H$2:$H$1000,ROWS($A$5:A801)-COUNTA('Raw Decommissioning'!$B$2:$B$1000))))</x:f>
      </x:c>
      <x:c r="G801" s="170" t="str">
        <x:f>IF(A801="","",IF(B801="Decommissioning",INDEX('Raw Decommissioning'!$I$2:$I$1000,ROWS($A$5:A801)),INDEX('Raw Provisioning'!$J$2:$J$1000,ROWS($A$5:A801)-COUNTA('Raw Decommissioning'!$B$2:$B$1000))))</x:f>
      </x:c>
      <x:c r="H801" s="170" t="str">
        <x:f>IF(A801="","",IF(B801="Decommissioning",INDEX('Raw Decommissioning'!$J$2:$J$1000,ROWS($A$5:A801)),INDEX('Raw Provisioning'!$L$2:$L$1000,ROWS($A$5:A801)-COUNTA('Raw Decommissioning'!$B$2:$B$1000))))</x:f>
      </x:c>
      <x:c r="I801" s="170" t="str">
        <x:f>IF(A801="","",IF(B801="Decommissioning",INDEX('Raw Decommissioning'!$AL$2:$AL$1000,ROWS($A$5:A801)),INDEX('Raw Provisioning'!$R$2:$R$1000,ROWS($A$5:A801)-COUNTA('Raw Decommissioning'!$B$2:$B$1000))))</x:f>
      </x:c>
      <x:c r="J801" s="170" t="str">
        <x:f>IF(A801="","",IF(B801="Decommissioning",INDEX('Raw Decommissioning'!$AG$2:$AG$1000,ROWS($A$5:A801)),INDEX('Raw Provisioning'!$AI$2:$AI$1000,ROWS($A$5:A801)-COUNTA('Raw Decommissioning'!$B$2:$B$1000))))</x:f>
      </x:c>
      <x:c r="K801" s="172" t="str">
        <x:f>IF(A801="","",IFERROR(LOOKUP(2,1/('Assignment History'!$B$5:$B$204=A801),'Assignment History'!$D$5:$D$204),IFERROR(VLOOKUP(J801,Configuration!$L$5:$M$50,2,FALSE),J801)))</x:f>
      </x:c>
      <x:c r="L801" s="172" t="str">
        <x:f>IF(A801="","",IF(K801=IFERROR(VLOOKUP(J801,Configuration!$L$5:$M$50,2,FALSE),J801),"Snapshot PIC","Replacement PIC"))</x:f>
      </x:c>
      <x:c r="M801" s="172" t="str">
        <x:f>IF(A801="","",IFERROR(VLOOKUP(I801,Configuration!$O$5:$P$8,2,FALSE),Configuration!$S$6))</x:f>
      </x:c>
      <x:c r="N801" s="172" t="str">
        <x:f>IF(A801="","",IFERROR(LOOKUP(2,1/('Scope Review'!$B$5:$B$204=A801),'Scope Review'!$G$5:$G$204),"Not Reviewed"))</x:f>
      </x:c>
      <x:c r="O801" s="172" t="str">
        <x:f>IF(A801="","",IFERROR(LOOKUP(2,1/('Scope Review'!$B$5:$B$204=A801),'Scope Review'!$H$5:$H$204),""))</x:f>
      </x:c>
      <x:c r="P801" s="172" t="str">
        <x:f>IF(A801="","",IF(AND(C801="executing",N801&lt;&gt;"Confirmed OOS"),M801,0))</x:f>
      </x:c>
      <x:c r="Q801" s="173" t="str">
        <x:f>IF(A801="","",IFERROR(LOOKUP(2,1/('Engineer Updates'!$B$5:$B$704=A801),'Engineer Updates'!$A$5:$A$704),""))</x:f>
      </x:c>
      <x:c r="R801" s="172" t="str">
        <x:f>IF(A801="","",IFERROR(LOOKUP(2,1/('Engineer Updates'!$B$5:$B$704=A801),'Engineer Updates'!$H$5:$H$704),""))</x:f>
      </x:c>
      <x:c r="S801" s="172" t="str">
        <x:f>IF(A801="","",IFERROR(LOOKUP(2,1/('Engineer Updates'!$B$5:$B$704=A801),'Engineer Updates'!$G$5:$G$704),""))</x:f>
      </x:c>
      <x:c r="T801" s="172" t="str">
        <x:f>IF(A801="","",IFERROR(LOOKUP(2,1/('Engineer Updates'!$B$5:$B$704=A801),'Engineer Updates'!$I$5:$I$704),""))</x:f>
      </x:c>
      <x:c r="U801" s="172" t="str">
        <x:f>IF(A801="","",IFERROR(LOOKUP(2,1/('Engineer Updates'!$B$5:$B$704=A801),'Engineer Updates'!$J$5:$J$704),""))</x:f>
      </x:c>
      <x:c r="V801" s="172" t="str">
        <x:f>IF(A801="","",IFERROR(LOOKUP(2,1/('Engineer Updates'!$B$5:$B$704=A801),'Engineer Updates'!$K$5:$K$704),""))</x:f>
      </x:c>
      <x:c r="W801" s="174" t="str">
        <x:f>IF(A801="","",IFERROR(LOOKUP(2,1/('Engineer Updates'!$B$5:$B$704=A801),'Engineer Updates'!$L$5:$L$704),""))</x:f>
      </x:c>
      <x:c r="X801" s="170" t="str">
        <x:f>IF(A801="","",IF(C801="completed","Completed in CSSP",IF(AND(C801="executing",ISERROR(SEARCH("@",K801))),"Executing without named engineer",IF(AND(N801="Confirmed OOS",C801="executing"),"Confirmed OOS still executing",""))))</x:f>
      </x:c>
      <x:c r="Y801" s="170" t="str">
        <x:f>IF(A801="","",IF(B801="Decommissioning","Raw Decommissioning","Raw Provisioning"))</x:f>
      </x:c>
      <x:c r="Z801" s="170" t="str">
        <x:f>IF(A801="","",IF(OR(C801="executing",C801="processing"),"Yes","No"))</x:f>
      </x:c>
    </x:row>
    <x:row r="802">
      <x:c r="A802" s="170" t="str">
        <x:f>IF(ROWS($A$5:A802)&lt;=COUNTA('Raw Decommissioning'!$B$2:$B$1000),INDEX('Raw Decommissioning'!$B$2:$B$1000,ROWS($A$5:A802)),IF(ROWS($A$5:A802)-COUNTA('Raw Decommissioning'!$B$2:$B$1000)&lt;=COUNTA('Raw Provisioning'!$B$2:$B$1000),INDEX('Raw Provisioning'!$B$2:$B$1000,ROWS($A$5:A802)-COUNTA('Raw Decommissioning'!$B$2:$B$1000)),""))</x:f>
      </x:c>
      <x:c r="B802" s="170" t="str">
        <x:f>IF(A802="","",IF(ROWS($A$5:A802)&lt;=COUNTA('Raw Decommissioning'!$B$2:$B$1000),"Decommissioning","Provisioning"))</x:f>
      </x:c>
      <x:c r="C802" s="170" t="str">
        <x:f>IF(A802="","",IF(B802="Decommissioning",IFERROR(INDEX('Raw Decommissioning'!$E$2:$E$1000,MATCH(A802,'Raw Decommissioning'!$B$2:$B$1000,0)),"Missing from latest raw"),IFERROR(INDEX('Raw Provisioning'!$E$2:$E$1000,MATCH(A802,'Raw Provisioning'!$B$2:$B$1000,0)),"Missing from latest raw")))</x:f>
      </x:c>
      <x:c r="D802" s="171" t="str">
        <x:f>IF(A802="","",'Refresh Control'!$B$4)</x:f>
      </x:c>
      <x:c r="E802" s="171" t="str">
        <x:f>IF(A802="","",IF(B802="Decommissioning",INDEX('Raw Decommissioning'!$F$2:$F$1000,ROWS($A$5:A802)),INDEX('Raw Provisioning'!$F$2:$F$1000,ROWS($A$5:A802)-COUNTA('Raw Decommissioning'!$B$2:$B$1000))))</x:f>
      </x:c>
      <x:c r="F802" s="171" t="str">
        <x:f>IF(A802="","",IF(B802="Decommissioning",INDEX('Raw Decommissioning'!$G$2:$G$1000,ROWS($A$5:A802)),INDEX('Raw Provisioning'!$H$2:$H$1000,ROWS($A$5:A802)-COUNTA('Raw Decommissioning'!$B$2:$B$1000))))</x:f>
      </x:c>
      <x:c r="G802" s="170" t="str">
        <x:f>IF(A802="","",IF(B802="Decommissioning",INDEX('Raw Decommissioning'!$I$2:$I$1000,ROWS($A$5:A802)),INDEX('Raw Provisioning'!$J$2:$J$1000,ROWS($A$5:A802)-COUNTA('Raw Decommissioning'!$B$2:$B$1000))))</x:f>
      </x:c>
      <x:c r="H802" s="170" t="str">
        <x:f>IF(A802="","",IF(B802="Decommissioning",INDEX('Raw Decommissioning'!$J$2:$J$1000,ROWS($A$5:A802)),INDEX('Raw Provisioning'!$L$2:$L$1000,ROWS($A$5:A802)-COUNTA('Raw Decommissioning'!$B$2:$B$1000))))</x:f>
      </x:c>
      <x:c r="I802" s="170" t="str">
        <x:f>IF(A802="","",IF(B802="Decommissioning",INDEX('Raw Decommissioning'!$AL$2:$AL$1000,ROWS($A$5:A802)),INDEX('Raw Provisioning'!$R$2:$R$1000,ROWS($A$5:A802)-COUNTA('Raw Decommissioning'!$B$2:$B$1000))))</x:f>
      </x:c>
      <x:c r="J802" s="170" t="str">
        <x:f>IF(A802="","",IF(B802="Decommissioning",INDEX('Raw Decommissioning'!$AG$2:$AG$1000,ROWS($A$5:A802)),INDEX('Raw Provisioning'!$AI$2:$AI$1000,ROWS($A$5:A802)-COUNTA('Raw Decommissioning'!$B$2:$B$1000))))</x:f>
      </x:c>
      <x:c r="K802" s="172" t="str">
        <x:f>IF(A802="","",IFERROR(LOOKUP(2,1/('Assignment History'!$B$5:$B$204=A802),'Assignment History'!$D$5:$D$204),IFERROR(VLOOKUP(J802,Configuration!$L$5:$M$50,2,FALSE),J802)))</x:f>
      </x:c>
      <x:c r="L802" s="172" t="str">
        <x:f>IF(A802="","",IF(K802=IFERROR(VLOOKUP(J802,Configuration!$L$5:$M$50,2,FALSE),J802),"Snapshot PIC","Replacement PIC"))</x:f>
      </x:c>
      <x:c r="M802" s="172" t="str">
        <x:f>IF(A802="","",IFERROR(VLOOKUP(I802,Configuration!$O$5:$P$8,2,FALSE),Configuration!$S$6))</x:f>
      </x:c>
      <x:c r="N802" s="172" t="str">
        <x:f>IF(A802="","",IFERROR(LOOKUP(2,1/('Scope Review'!$B$5:$B$204=A802),'Scope Review'!$G$5:$G$204),"Not Reviewed"))</x:f>
      </x:c>
      <x:c r="O802" s="172" t="str">
        <x:f>IF(A802="","",IFERROR(LOOKUP(2,1/('Scope Review'!$B$5:$B$204=A802),'Scope Review'!$H$5:$H$204),""))</x:f>
      </x:c>
      <x:c r="P802" s="172" t="str">
        <x:f>IF(A802="","",IF(AND(C802="executing",N802&lt;&gt;"Confirmed OOS"),M802,0))</x:f>
      </x:c>
      <x:c r="Q802" s="173" t="str">
        <x:f>IF(A802="","",IFERROR(LOOKUP(2,1/('Engineer Updates'!$B$5:$B$704=A802),'Engineer Updates'!$A$5:$A$704),""))</x:f>
      </x:c>
      <x:c r="R802" s="172" t="str">
        <x:f>IF(A802="","",IFERROR(LOOKUP(2,1/('Engineer Updates'!$B$5:$B$704=A802),'Engineer Updates'!$H$5:$H$704),""))</x:f>
      </x:c>
      <x:c r="S802" s="172" t="str">
        <x:f>IF(A802="","",IFERROR(LOOKUP(2,1/('Engineer Updates'!$B$5:$B$704=A802),'Engineer Updates'!$G$5:$G$704),""))</x:f>
      </x:c>
      <x:c r="T802" s="172" t="str">
        <x:f>IF(A802="","",IFERROR(LOOKUP(2,1/('Engineer Updates'!$B$5:$B$704=A802),'Engineer Updates'!$I$5:$I$704),""))</x:f>
      </x:c>
      <x:c r="U802" s="172" t="str">
        <x:f>IF(A802="","",IFERROR(LOOKUP(2,1/('Engineer Updates'!$B$5:$B$704=A802),'Engineer Updates'!$J$5:$J$704),""))</x:f>
      </x:c>
      <x:c r="V802" s="172" t="str">
        <x:f>IF(A802="","",IFERROR(LOOKUP(2,1/('Engineer Updates'!$B$5:$B$704=A802),'Engineer Updates'!$K$5:$K$704),""))</x:f>
      </x:c>
      <x:c r="W802" s="174" t="str">
        <x:f>IF(A802="","",IFERROR(LOOKUP(2,1/('Engineer Updates'!$B$5:$B$704=A802),'Engineer Updates'!$L$5:$L$704),""))</x:f>
      </x:c>
      <x:c r="X802" s="170" t="str">
        <x:f>IF(A802="","",IF(C802="completed","Completed in CSSP",IF(AND(C802="executing",ISERROR(SEARCH("@",K802))),"Executing without named engineer",IF(AND(N802="Confirmed OOS",C802="executing"),"Confirmed OOS still executing",""))))</x:f>
      </x:c>
      <x:c r="Y802" s="170" t="str">
        <x:f>IF(A802="","",IF(B802="Decommissioning","Raw Decommissioning","Raw Provisioning"))</x:f>
      </x:c>
      <x:c r="Z802" s="170" t="str">
        <x:f>IF(A802="","",IF(OR(C802="executing",C802="processing"),"Yes","No"))</x:f>
      </x:c>
    </x:row>
    <x:row r="803">
      <x:c r="A803" s="170" t="str">
        <x:f>IF(ROWS($A$5:A803)&lt;=COUNTA('Raw Decommissioning'!$B$2:$B$1000),INDEX('Raw Decommissioning'!$B$2:$B$1000,ROWS($A$5:A803)),IF(ROWS($A$5:A803)-COUNTA('Raw Decommissioning'!$B$2:$B$1000)&lt;=COUNTA('Raw Provisioning'!$B$2:$B$1000),INDEX('Raw Provisioning'!$B$2:$B$1000,ROWS($A$5:A803)-COUNTA('Raw Decommissioning'!$B$2:$B$1000)),""))</x:f>
      </x:c>
      <x:c r="B803" s="170" t="str">
        <x:f>IF(A803="","",IF(ROWS($A$5:A803)&lt;=COUNTA('Raw Decommissioning'!$B$2:$B$1000),"Decommissioning","Provisioning"))</x:f>
      </x:c>
      <x:c r="C803" s="170" t="str">
        <x:f>IF(A803="","",IF(B803="Decommissioning",IFERROR(INDEX('Raw Decommissioning'!$E$2:$E$1000,MATCH(A803,'Raw Decommissioning'!$B$2:$B$1000,0)),"Missing from latest raw"),IFERROR(INDEX('Raw Provisioning'!$E$2:$E$1000,MATCH(A803,'Raw Provisioning'!$B$2:$B$1000,0)),"Missing from latest raw")))</x:f>
      </x:c>
      <x:c r="D803" s="171" t="str">
        <x:f>IF(A803="","",'Refresh Control'!$B$4)</x:f>
      </x:c>
      <x:c r="E803" s="171" t="str">
        <x:f>IF(A803="","",IF(B803="Decommissioning",INDEX('Raw Decommissioning'!$F$2:$F$1000,ROWS($A$5:A803)),INDEX('Raw Provisioning'!$F$2:$F$1000,ROWS($A$5:A803)-COUNTA('Raw Decommissioning'!$B$2:$B$1000))))</x:f>
      </x:c>
      <x:c r="F803" s="171" t="str">
        <x:f>IF(A803="","",IF(B803="Decommissioning",INDEX('Raw Decommissioning'!$G$2:$G$1000,ROWS($A$5:A803)),INDEX('Raw Provisioning'!$H$2:$H$1000,ROWS($A$5:A803)-COUNTA('Raw Decommissioning'!$B$2:$B$1000))))</x:f>
      </x:c>
      <x:c r="G803" s="170" t="str">
        <x:f>IF(A803="","",IF(B803="Decommissioning",INDEX('Raw Decommissioning'!$I$2:$I$1000,ROWS($A$5:A803)),INDEX('Raw Provisioning'!$J$2:$J$1000,ROWS($A$5:A803)-COUNTA('Raw Decommissioning'!$B$2:$B$1000))))</x:f>
      </x:c>
      <x:c r="H803" s="170" t="str">
        <x:f>IF(A803="","",IF(B803="Decommissioning",INDEX('Raw Decommissioning'!$J$2:$J$1000,ROWS($A$5:A803)),INDEX('Raw Provisioning'!$L$2:$L$1000,ROWS($A$5:A803)-COUNTA('Raw Decommissioning'!$B$2:$B$1000))))</x:f>
      </x:c>
      <x:c r="I803" s="170" t="str">
        <x:f>IF(A803="","",IF(B803="Decommissioning",INDEX('Raw Decommissioning'!$AL$2:$AL$1000,ROWS($A$5:A803)),INDEX('Raw Provisioning'!$R$2:$R$1000,ROWS($A$5:A803)-COUNTA('Raw Decommissioning'!$B$2:$B$1000))))</x:f>
      </x:c>
      <x:c r="J803" s="170" t="str">
        <x:f>IF(A803="","",IF(B803="Decommissioning",INDEX('Raw Decommissioning'!$AG$2:$AG$1000,ROWS($A$5:A803)),INDEX('Raw Provisioning'!$AI$2:$AI$1000,ROWS($A$5:A803)-COUNTA('Raw Decommissioning'!$B$2:$B$1000))))</x:f>
      </x:c>
      <x:c r="K803" s="172" t="str">
        <x:f>IF(A803="","",IFERROR(LOOKUP(2,1/('Assignment History'!$B$5:$B$204=A803),'Assignment History'!$D$5:$D$204),IFERROR(VLOOKUP(J803,Configuration!$L$5:$M$50,2,FALSE),J803)))</x:f>
      </x:c>
      <x:c r="L803" s="172" t="str">
        <x:f>IF(A803="","",IF(K803=IFERROR(VLOOKUP(J803,Configuration!$L$5:$M$50,2,FALSE),J803),"Snapshot PIC","Replacement PIC"))</x:f>
      </x:c>
      <x:c r="M803" s="172" t="str">
        <x:f>IF(A803="","",IFERROR(VLOOKUP(I803,Configuration!$O$5:$P$8,2,FALSE),Configuration!$S$6))</x:f>
      </x:c>
      <x:c r="N803" s="172" t="str">
        <x:f>IF(A803="","",IFERROR(LOOKUP(2,1/('Scope Review'!$B$5:$B$204=A803),'Scope Review'!$G$5:$G$204),"Not Reviewed"))</x:f>
      </x:c>
      <x:c r="O803" s="172" t="str">
        <x:f>IF(A803="","",IFERROR(LOOKUP(2,1/('Scope Review'!$B$5:$B$204=A803),'Scope Review'!$H$5:$H$204),""))</x:f>
      </x:c>
      <x:c r="P803" s="172" t="str">
        <x:f>IF(A803="","",IF(AND(C803="executing",N803&lt;&gt;"Confirmed OOS"),M803,0))</x:f>
      </x:c>
      <x:c r="Q803" s="173" t="str">
        <x:f>IF(A803="","",IFERROR(LOOKUP(2,1/('Engineer Updates'!$B$5:$B$704=A803),'Engineer Updates'!$A$5:$A$704),""))</x:f>
      </x:c>
      <x:c r="R803" s="172" t="str">
        <x:f>IF(A803="","",IFERROR(LOOKUP(2,1/('Engineer Updates'!$B$5:$B$704=A803),'Engineer Updates'!$H$5:$H$704),""))</x:f>
      </x:c>
      <x:c r="S803" s="172" t="str">
        <x:f>IF(A803="","",IFERROR(LOOKUP(2,1/('Engineer Updates'!$B$5:$B$704=A803),'Engineer Updates'!$G$5:$G$704),""))</x:f>
      </x:c>
      <x:c r="T803" s="172" t="str">
        <x:f>IF(A803="","",IFERROR(LOOKUP(2,1/('Engineer Updates'!$B$5:$B$704=A803),'Engineer Updates'!$I$5:$I$704),""))</x:f>
      </x:c>
      <x:c r="U803" s="172" t="str">
        <x:f>IF(A803="","",IFERROR(LOOKUP(2,1/('Engineer Updates'!$B$5:$B$704=A803),'Engineer Updates'!$J$5:$J$704),""))</x:f>
      </x:c>
      <x:c r="V803" s="172" t="str">
        <x:f>IF(A803="","",IFERROR(LOOKUP(2,1/('Engineer Updates'!$B$5:$B$704=A803),'Engineer Updates'!$K$5:$K$704),""))</x:f>
      </x:c>
      <x:c r="W803" s="174" t="str">
        <x:f>IF(A803="","",IFERROR(LOOKUP(2,1/('Engineer Updates'!$B$5:$B$704=A803),'Engineer Updates'!$L$5:$L$704),""))</x:f>
      </x:c>
      <x:c r="X803" s="170" t="str">
        <x:f>IF(A803="","",IF(C803="completed","Completed in CSSP",IF(AND(C803="executing",ISERROR(SEARCH("@",K803))),"Executing without named engineer",IF(AND(N803="Confirmed OOS",C803="executing"),"Confirmed OOS still executing",""))))</x:f>
      </x:c>
      <x:c r="Y803" s="170" t="str">
        <x:f>IF(A803="","",IF(B803="Decommissioning","Raw Decommissioning","Raw Provisioning"))</x:f>
      </x:c>
      <x:c r="Z803" s="170" t="str">
        <x:f>IF(A803="","",IF(OR(C803="executing",C803="processing"),"Yes","No"))</x:f>
      </x:c>
    </x:row>
    <x:row r="804">
      <x:c r="A804" s="170" t="str">
        <x:f>IF(ROWS($A$5:A804)&lt;=COUNTA('Raw Decommissioning'!$B$2:$B$1000),INDEX('Raw Decommissioning'!$B$2:$B$1000,ROWS($A$5:A804)),IF(ROWS($A$5:A804)-COUNTA('Raw Decommissioning'!$B$2:$B$1000)&lt;=COUNTA('Raw Provisioning'!$B$2:$B$1000),INDEX('Raw Provisioning'!$B$2:$B$1000,ROWS($A$5:A804)-COUNTA('Raw Decommissioning'!$B$2:$B$1000)),""))</x:f>
      </x:c>
      <x:c r="B804" s="170" t="str">
        <x:f>IF(A804="","",IF(ROWS($A$5:A804)&lt;=COUNTA('Raw Decommissioning'!$B$2:$B$1000),"Decommissioning","Provisioning"))</x:f>
      </x:c>
      <x:c r="C804" s="170" t="str">
        <x:f>IF(A804="","",IF(B804="Decommissioning",IFERROR(INDEX('Raw Decommissioning'!$E$2:$E$1000,MATCH(A804,'Raw Decommissioning'!$B$2:$B$1000,0)),"Missing from latest raw"),IFERROR(INDEX('Raw Provisioning'!$E$2:$E$1000,MATCH(A804,'Raw Provisioning'!$B$2:$B$1000,0)),"Missing from latest raw")))</x:f>
      </x:c>
      <x:c r="D804" s="171" t="str">
        <x:f>IF(A804="","",'Refresh Control'!$B$4)</x:f>
      </x:c>
      <x:c r="E804" s="171" t="str">
        <x:f>IF(A804="","",IF(B804="Decommissioning",INDEX('Raw Decommissioning'!$F$2:$F$1000,ROWS($A$5:A804)),INDEX('Raw Provisioning'!$F$2:$F$1000,ROWS($A$5:A804)-COUNTA('Raw Decommissioning'!$B$2:$B$1000))))</x:f>
      </x:c>
      <x:c r="F804" s="171" t="str">
        <x:f>IF(A804="","",IF(B804="Decommissioning",INDEX('Raw Decommissioning'!$G$2:$G$1000,ROWS($A$5:A804)),INDEX('Raw Provisioning'!$H$2:$H$1000,ROWS($A$5:A804)-COUNTA('Raw Decommissioning'!$B$2:$B$1000))))</x:f>
      </x:c>
      <x:c r="G804" s="170" t="str">
        <x:f>IF(A804="","",IF(B804="Decommissioning",INDEX('Raw Decommissioning'!$I$2:$I$1000,ROWS($A$5:A804)),INDEX('Raw Provisioning'!$J$2:$J$1000,ROWS($A$5:A804)-COUNTA('Raw Decommissioning'!$B$2:$B$1000))))</x:f>
      </x:c>
      <x:c r="H804" s="170" t="str">
        <x:f>IF(A804="","",IF(B804="Decommissioning",INDEX('Raw Decommissioning'!$J$2:$J$1000,ROWS($A$5:A804)),INDEX('Raw Provisioning'!$L$2:$L$1000,ROWS($A$5:A804)-COUNTA('Raw Decommissioning'!$B$2:$B$1000))))</x:f>
      </x:c>
      <x:c r="I804" s="170" t="str">
        <x:f>IF(A804="","",IF(B804="Decommissioning",INDEX('Raw Decommissioning'!$AL$2:$AL$1000,ROWS($A$5:A804)),INDEX('Raw Provisioning'!$R$2:$R$1000,ROWS($A$5:A804)-COUNTA('Raw Decommissioning'!$B$2:$B$1000))))</x:f>
      </x:c>
      <x:c r="J804" s="170" t="str">
        <x:f>IF(A804="","",IF(B804="Decommissioning",INDEX('Raw Decommissioning'!$AG$2:$AG$1000,ROWS($A$5:A804)),INDEX('Raw Provisioning'!$AI$2:$AI$1000,ROWS($A$5:A804)-COUNTA('Raw Decommissioning'!$B$2:$B$1000))))</x:f>
      </x:c>
      <x:c r="K804" s="172" t="str">
        <x:f>IF(A804="","",IFERROR(LOOKUP(2,1/('Assignment History'!$B$5:$B$204=A804),'Assignment History'!$D$5:$D$204),IFERROR(VLOOKUP(J804,Configuration!$L$5:$M$50,2,FALSE),J804)))</x:f>
      </x:c>
      <x:c r="L804" s="172" t="str">
        <x:f>IF(A804="","",IF(K804=IFERROR(VLOOKUP(J804,Configuration!$L$5:$M$50,2,FALSE),J804),"Snapshot PIC","Replacement PIC"))</x:f>
      </x:c>
      <x:c r="M804" s="172" t="str">
        <x:f>IF(A804="","",IFERROR(VLOOKUP(I804,Configuration!$O$5:$P$8,2,FALSE),Configuration!$S$6))</x:f>
      </x:c>
      <x:c r="N804" s="172" t="str">
        <x:f>IF(A804="","",IFERROR(LOOKUP(2,1/('Scope Review'!$B$5:$B$204=A804),'Scope Review'!$G$5:$G$204),"Not Reviewed"))</x:f>
      </x:c>
      <x:c r="O804" s="172" t="str">
        <x:f>IF(A804="","",IFERROR(LOOKUP(2,1/('Scope Review'!$B$5:$B$204=A804),'Scope Review'!$H$5:$H$204),""))</x:f>
      </x:c>
      <x:c r="P804" s="172" t="str">
        <x:f>IF(A804="","",IF(AND(C804="executing",N804&lt;&gt;"Confirmed OOS"),M804,0))</x:f>
      </x:c>
      <x:c r="Q804" s="173" t="str">
        <x:f>IF(A804="","",IFERROR(LOOKUP(2,1/('Engineer Updates'!$B$5:$B$704=A804),'Engineer Updates'!$A$5:$A$704),""))</x:f>
      </x:c>
      <x:c r="R804" s="172" t="str">
        <x:f>IF(A804="","",IFERROR(LOOKUP(2,1/('Engineer Updates'!$B$5:$B$704=A804),'Engineer Updates'!$H$5:$H$704),""))</x:f>
      </x:c>
      <x:c r="S804" s="172" t="str">
        <x:f>IF(A804="","",IFERROR(LOOKUP(2,1/('Engineer Updates'!$B$5:$B$704=A804),'Engineer Updates'!$G$5:$G$704),""))</x:f>
      </x:c>
      <x:c r="T804" s="172" t="str">
        <x:f>IF(A804="","",IFERROR(LOOKUP(2,1/('Engineer Updates'!$B$5:$B$704=A804),'Engineer Updates'!$I$5:$I$704),""))</x:f>
      </x:c>
      <x:c r="U804" s="172" t="str">
        <x:f>IF(A804="","",IFERROR(LOOKUP(2,1/('Engineer Updates'!$B$5:$B$704=A804),'Engineer Updates'!$J$5:$J$704),""))</x:f>
      </x:c>
      <x:c r="V804" s="172" t="str">
        <x:f>IF(A804="","",IFERROR(LOOKUP(2,1/('Engineer Updates'!$B$5:$B$704=A804),'Engineer Updates'!$K$5:$K$704),""))</x:f>
      </x:c>
      <x:c r="W804" s="174" t="str">
        <x:f>IF(A804="","",IFERROR(LOOKUP(2,1/('Engineer Updates'!$B$5:$B$704=A804),'Engineer Updates'!$L$5:$L$704),""))</x:f>
      </x:c>
      <x:c r="X804" s="170" t="str">
        <x:f>IF(A804="","",IF(C804="completed","Completed in CSSP",IF(AND(C804="executing",ISERROR(SEARCH("@",K804))),"Executing without named engineer",IF(AND(N804="Confirmed OOS",C804="executing"),"Confirmed OOS still executing",""))))</x:f>
      </x:c>
      <x:c r="Y804" s="170" t="str">
        <x:f>IF(A804="","",IF(B804="Decommissioning","Raw Decommissioning","Raw Provisioning"))</x:f>
      </x:c>
      <x:c r="Z804" s="170" t="str">
        <x:f>IF(A804="","",IF(OR(C804="executing",C804="processing"),"Yes","No"))</x:f>
      </x:c>
    </x:row>
  </x:sheetData>
  <x:mergeCells>
    <x:mergeCell ref="A1:Z1"/>
    <x:mergeCell ref="A2:Z2"/>
  </x:mergeCells>
  <x:conditionalFormatting sqref="C5:C100">
    <x:cfRule type="containsText" dxfId="199" priority="1" operator="containsText" text="processing"/>
    <x:cfRule type="containsText" dxfId="198" priority="2" operator="containsText" text="executing"/>
  </x:conditionalFormatting>
  <x:conditionalFormatting sqref="X5:X100">
    <x:cfRule type="notContainsBlanks" dxfId="197" priority="3"/>
  </x:conditionalFormatting>
  <x:conditionalFormatting sqref="C5:C804">
    <x:cfRule type="containsText" dxfId="201" priority="4" operator="containsText" text="completed"/>
    <x:cfRule type="containsText" dxfId="202" priority="5" operator="containsText" text="executing"/>
    <x:cfRule type="containsText" dxfId="203" priority="6" operator="containsText" text="processing"/>
  </x:conditionalFormatting>
  <x:conditionalFormatting sqref="X5:X804">
    <x:cfRule type="containsText" dxfId="204" priority="7" operator="containsText" text="without named"/>
  </x:conditionalFormatting>
  <x:pageMargins left="0.7" right="0.7" top="0.75" bottom="0.75" header="0.3" footer="0.3"/>
  <x:drawing xmlns:r="http://schemas.openxmlformats.org/officeDocument/2006/relationships" r:id="R122de40a2b3b418e"/>
  <x:legacyDrawing xmlns:r="http://schemas.openxmlformats.org/officeDocument/2006/relationships" r:id="R6d79245638364af6"/>
  <x:tableParts count="1">
    <x:tablePart xmlns:r="http://schemas.openxmlformats.org/officeDocument/2006/relationships" r:id="R9e81fca1bf5c45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style="2" customWidth="1"/>
    <x:col min="2" max="2" width="18" style="2" customWidth="1"/>
    <x:col min="3" max="3" width="15" style="2" customWidth="1"/>
    <x:col min="4" max="5" width="34" style="2" customWidth="1"/>
    <x:col min="6" max="6" width="18" style="2" customWidth="1"/>
    <x:col min="7" max="7" width="34" style="2" customWidth="1"/>
    <x:col min="8" max="8" width="24" style="2" customWidth="1"/>
    <x:col min="9" max="9" width="30" style="2" customWidth="1"/>
    <x:col min="10" max="10" width="20" style="2" customWidth="1"/>
    <x:col min="11" max="11" width="27" style="2" customWidth="1"/>
    <x:col min="12" max="12" width="20" style="2" customWidth="1"/>
    <x:col min="13" max="13" width="42" style="2" customWidth="1"/>
    <x:col min="14" max="14" width="40" style="2" customWidth="1"/>
    <x:col min="15" max="15" width="16" style="2" customWidth="1"/>
    <x:col min="16" max="16" width="40" style="2" customWidth="1"/>
    <x:col min="17" max="16384" width="9" style="2" customWidth="0"/>
  </x:cols>
  <x:sheetData>
    <x:row r="1" ht="30" customHeight="1">
      <x:c r="A1" s="1" t="s">
        <x:v>56</x:v>
      </x:c>
      <x:c r="B1" s="1"/>
      <x:c r="C1" s="1"/>
      <x:c r="D1" s="1"/>
      <x:c r="E1" s="1"/>
      <x:c r="F1" s="1"/>
      <x:c r="G1" s="1"/>
      <x:c r="H1" s="1"/>
      <x:c r="I1" s="1"/>
      <x:c r="J1" s="1"/>
      <x:c r="K1" s="1"/>
      <x:c r="L1" s="1"/>
      <x:c r="M1" s="1"/>
      <x:c r="N1" s="1"/>
      <x:c r="O1" s="1"/>
      <x:c r="P1" s="1"/>
    </x:row>
    <x:row r="2" ht="24" customHeight="1">
      <x:c r="A2" s="3" t="s">
        <x:v>57</x:v>
      </x:c>
      <x:c r="B2" s="3"/>
      <x:c r="C2" s="3"/>
      <x:c r="D2" s="3"/>
      <x:c r="E2" s="3"/>
      <x:c r="F2" s="3"/>
      <x:c r="G2" s="3"/>
      <x:c r="H2" s="3"/>
      <x:c r="I2" s="3"/>
      <x:c r="J2" s="3"/>
      <x:c r="K2" s="3"/>
      <x:c r="L2" s="3"/>
      <x:c r="M2" s="3"/>
      <x:c r="N2" s="3"/>
      <x:c r="O2" s="3"/>
      <x:c r="P2" s="3"/>
    </x:row>
    <x:row r="4" ht="32.099998474121094" customHeight="1">
      <x:c r="A4" s="4" t="s">
        <x:v>58</x:v>
      </x:c>
      <x:c r="B4" s="5" t="s">
        <x:v>59</x:v>
      </x:c>
      <x:c r="C4" s="5" t="str">
        <x:v>Current CSSP Status</x:v>
      </x:c>
      <x:c r="D4" s="5" t="s">
        <x:v>60</x:v>
      </x:c>
      <x:c r="E4" s="5" t="s">
        <x:v>61</x:v>
      </x:c>
      <x:c r="F4" s="5" t="s">
        <x:v>62</x:v>
      </x:c>
      <x:c r="G4" s="5" t="s">
        <x:v>63</x:v>
      </x:c>
      <x:c r="H4" s="5" t="s">
        <x:v>64</x:v>
      </x:c>
      <x:c r="I4" s="5" t="s">
        <x:v>65</x:v>
      </x:c>
      <x:c r="J4" s="5" t="s">
        <x:v>66</x:v>
      </x:c>
      <x:c r="K4" s="5" t="s">
        <x:v>67</x:v>
      </x:c>
      <x:c r="L4" s="5" t="s">
        <x:v>68</x:v>
      </x:c>
      <x:c r="M4" s="5" t="s">
        <x:v>69</x:v>
      </x:c>
      <x:c r="N4" s="5" t="s">
        <x:v>70</x:v>
      </x:c>
      <x:c r="O4" s="5" t="s">
        <x:v>71</x:v>
      </x:c>
      <x:c r="P4" s="6" t="s">
        <x:v>72</x:v>
      </x:c>
    </x:row>
    <x:row r="5">
      <x:c r="A5" s="96"/>
      <x:c r="B5" s="97"/>
      <x:c r="C5" s="98" t="str">
        <x:f>IF(B5="","",IFERROR(INDEX('Task Master'!$C$5:$C$804,MATCH(B5,'Task Master'!$A$5:$A$804,0)),"Not in latest raw"))</x:f>
      </x:c>
      <x:c r="D5" s="98" t="str">
        <x:f>IF(B5="","",IFERROR(INDEX('Task Master'!$J$5:$J$804,MATCH(B5,'Task Master'!$A$5:$A$804,0)),""))</x:f>
      </x:c>
      <x:c r="E5" s="98" t="str">
        <x:f>IF(B5="","",IFERROR(INDEX('Task Master'!$K$5:$K$804,MATCH(B5,'Task Master'!$A$5:$A$804,0)),""))</x:f>
      </x:c>
      <x:c r="F5" s="97" t="str">
        <x:f>IF(B5="","",IF(COUNTIFS('Assignment History'!$B$5:$B$204,B5,'Assignment History'!$A$5:$A$204,"&gt;="&amp;A5,'Assignment History'!$A$5:$A$204,"&lt;"&amp;A5+1)&gt;0,"Yes","No"))</x:f>
      </x:c>
      <x:c r="G5" s="97" t="str">
        <x:f>IF(B5="","",IF(F5="Yes",IFERROR(LOOKUP(2,1/(('Assignment History'!$B$5:$B$204=B5)*('Assignment History'!$A$5:$A$204&gt;=A5)*('Assignment History'!$A$5:$A$204&lt;A5+1)),'Assignment History'!$C$5:$C$204),""),""))</x:f>
      </x:c>
      <x:c r="H5" s="97"/>
      <x:c r="I5" s="97"/>
      <x:c r="J5" s="99"/>
      <x:c r="K5" s="97"/>
      <x:c r="L5" s="99"/>
      <x:c r="M5" s="100"/>
      <x:c r="N5" s="100"/>
      <x:c r="O5" s="101" t="str">
        <x:f t="shared" ref="O5:O36" si="0">IF(K5="","",IF(K5="Achieved","Yes","No"))</x:f>
      </x:c>
      <x:c r="P5" s="100"/>
    </x:row>
    <x:row r="6">
      <x:c r="A6" s="96"/>
      <x:c r="B6" s="97"/>
      <x:c r="C6" s="98" t="str">
        <x:f>IF(B6="","",IFERROR(INDEX('Task Master'!$C$5:$C$804,MATCH(B6,'Task Master'!$A$5:$A$804,0)),"Not in latest raw"))</x:f>
      </x:c>
      <x:c r="D6" s="98" t="str">
        <x:f>IF(B6="","",IFERROR(INDEX('Task Master'!$J$5:$J$804,MATCH(B6,'Task Master'!$A$5:$A$804,0)),""))</x:f>
      </x:c>
      <x:c r="E6" s="98" t="str">
        <x:f>IF(B6="","",IFERROR(INDEX('Task Master'!$K$5:$K$804,MATCH(B6,'Task Master'!$A$5:$A$804,0)),""))</x:f>
      </x:c>
      <x:c r="F6" s="97" t="str">
        <x:f>IF(B6="","",IF(COUNTIFS('Assignment History'!$B$5:$B$204,B6,'Assignment History'!$A$5:$A$204,"&gt;="&amp;A6,'Assignment History'!$A$5:$A$204,"&lt;"&amp;A6+1)&gt;0,"Yes","No"))</x:f>
      </x:c>
      <x:c r="G6" s="97" t="str">
        <x:f>IF(B6="","",IF(F6="Yes",IFERROR(LOOKUP(2,1/(('Assignment History'!$B$5:$B$204=B6)*('Assignment History'!$A$5:$A$204&gt;=A6)*('Assignment History'!$A$5:$A$204&lt;A6+1)),'Assignment History'!$C$5:$C$204),""),""))</x:f>
      </x:c>
      <x:c r="H6" s="97"/>
      <x:c r="I6" s="97"/>
      <x:c r="J6" s="99"/>
      <x:c r="K6" s="97"/>
      <x:c r="L6" s="99"/>
      <x:c r="M6" s="100"/>
      <x:c r="N6" s="100"/>
      <x:c r="O6" s="101" t="str">
        <x:f t="shared" si="0">IF(K6="","",IF(K6="Achieved","Yes","No"))</x:f>
      </x:c>
      <x:c r="P6" s="100"/>
    </x:row>
    <x:row r="7">
      <x:c r="A7" s="96"/>
      <x:c r="B7" s="97"/>
      <x:c r="C7" s="98" t="str">
        <x:f>IF(B7="","",IFERROR(INDEX('Task Master'!$C$5:$C$804,MATCH(B7,'Task Master'!$A$5:$A$804,0)),"Not in latest raw"))</x:f>
      </x:c>
      <x:c r="D7" s="98" t="str">
        <x:f>IF(B7="","",IFERROR(INDEX('Task Master'!$J$5:$J$804,MATCH(B7,'Task Master'!$A$5:$A$804,0)),""))</x:f>
      </x:c>
      <x:c r="E7" s="98" t="str">
        <x:f>IF(B7="","",IFERROR(INDEX('Task Master'!$K$5:$K$804,MATCH(B7,'Task Master'!$A$5:$A$804,0)),""))</x:f>
      </x:c>
      <x:c r="F7" s="97" t="str">
        <x:f>IF(B7="","",IF(COUNTIFS('Assignment History'!$B$5:$B$204,B7,'Assignment History'!$A$5:$A$204,"&gt;="&amp;A7,'Assignment History'!$A$5:$A$204,"&lt;"&amp;A7+1)&gt;0,"Yes","No"))</x:f>
      </x:c>
      <x:c r="G7" s="97" t="str">
        <x:f>IF(B7="","",IF(F7="Yes",IFERROR(LOOKUP(2,1/(('Assignment History'!$B$5:$B$204=B7)*('Assignment History'!$A$5:$A$204&gt;=A7)*('Assignment History'!$A$5:$A$204&lt;A7+1)),'Assignment History'!$C$5:$C$204),""),""))</x:f>
      </x:c>
      <x:c r="H7" s="97"/>
      <x:c r="I7" s="97"/>
      <x:c r="J7" s="99"/>
      <x:c r="K7" s="97"/>
      <x:c r="L7" s="99"/>
      <x:c r="M7" s="100"/>
      <x:c r="N7" s="100"/>
      <x:c r="O7" s="101" t="str">
        <x:f t="shared" si="0">IF(K7="","",IF(K7="Achieved","Yes","No"))</x:f>
      </x:c>
      <x:c r="P7" s="100"/>
    </x:row>
    <x:row r="8">
      <x:c r="A8" s="96"/>
      <x:c r="B8" s="97"/>
      <x:c r="C8" s="98" t="str">
        <x:f>IF(B8="","",IFERROR(INDEX('Task Master'!$C$5:$C$804,MATCH(B8,'Task Master'!$A$5:$A$804,0)),"Not in latest raw"))</x:f>
      </x:c>
      <x:c r="D8" s="98" t="str">
        <x:f>IF(B8="","",IFERROR(INDEX('Task Master'!$J$5:$J$804,MATCH(B8,'Task Master'!$A$5:$A$804,0)),""))</x:f>
      </x:c>
      <x:c r="E8" s="98" t="str">
        <x:f>IF(B8="","",IFERROR(INDEX('Task Master'!$K$5:$K$804,MATCH(B8,'Task Master'!$A$5:$A$804,0)),""))</x:f>
      </x:c>
      <x:c r="F8" s="97" t="str">
        <x:f>IF(B8="","",IF(COUNTIFS('Assignment History'!$B$5:$B$204,B8,'Assignment History'!$A$5:$A$204,"&gt;="&amp;A8,'Assignment History'!$A$5:$A$204,"&lt;"&amp;A8+1)&gt;0,"Yes","No"))</x:f>
      </x:c>
      <x:c r="G8" s="97" t="str">
        <x:f>IF(B8="","",IF(F8="Yes",IFERROR(LOOKUP(2,1/(('Assignment History'!$B$5:$B$204=B8)*('Assignment History'!$A$5:$A$204&gt;=A8)*('Assignment History'!$A$5:$A$204&lt;A8+1)),'Assignment History'!$C$5:$C$204),""),""))</x:f>
      </x:c>
      <x:c r="H8" s="97"/>
      <x:c r="I8" s="97"/>
      <x:c r="J8" s="99"/>
      <x:c r="K8" s="97"/>
      <x:c r="L8" s="99"/>
      <x:c r="M8" s="100"/>
      <x:c r="N8" s="100"/>
      <x:c r="O8" s="101" t="str">
        <x:f t="shared" si="0">IF(K8="","",IF(K8="Achieved","Yes","No"))</x:f>
      </x:c>
      <x:c r="P8" s="100"/>
    </x:row>
    <x:row r="9">
      <x:c r="A9" s="96"/>
      <x:c r="B9" s="97"/>
      <x:c r="C9" s="98" t="str">
        <x:f>IF(B9="","",IFERROR(INDEX('Task Master'!$C$5:$C$804,MATCH(B9,'Task Master'!$A$5:$A$804,0)),"Not in latest raw"))</x:f>
      </x:c>
      <x:c r="D9" s="98" t="str">
        <x:f>IF(B9="","",IFERROR(INDEX('Task Master'!$J$5:$J$804,MATCH(B9,'Task Master'!$A$5:$A$804,0)),""))</x:f>
      </x:c>
      <x:c r="E9" s="98" t="str">
        <x:f>IF(B9="","",IFERROR(INDEX('Task Master'!$K$5:$K$804,MATCH(B9,'Task Master'!$A$5:$A$804,0)),""))</x:f>
      </x:c>
      <x:c r="F9" s="97" t="str">
        <x:f>IF(B9="","",IF(COUNTIFS('Assignment History'!$B$5:$B$204,B9,'Assignment History'!$A$5:$A$204,"&gt;="&amp;A9,'Assignment History'!$A$5:$A$204,"&lt;"&amp;A9+1)&gt;0,"Yes","No"))</x:f>
      </x:c>
      <x:c r="G9" s="97" t="str">
        <x:f>IF(B9="","",IF(F9="Yes",IFERROR(LOOKUP(2,1/(('Assignment History'!$B$5:$B$204=B9)*('Assignment History'!$A$5:$A$204&gt;=A9)*('Assignment History'!$A$5:$A$204&lt;A9+1)),'Assignment History'!$C$5:$C$204),""),""))</x:f>
      </x:c>
      <x:c r="H9" s="97"/>
      <x:c r="I9" s="97"/>
      <x:c r="J9" s="99"/>
      <x:c r="K9" s="97"/>
      <x:c r="L9" s="99"/>
      <x:c r="M9" s="100"/>
      <x:c r="N9" s="100"/>
      <x:c r="O9" s="101" t="str">
        <x:f t="shared" si="0">IF(K9="","",IF(K9="Achieved","Yes","No"))</x:f>
      </x:c>
      <x:c r="P9" s="100"/>
    </x:row>
    <x:row r="10">
      <x:c r="A10" s="96"/>
      <x:c r="B10" s="97"/>
      <x:c r="C10" s="98" t="str">
        <x:f>IF(B10="","",IFERROR(INDEX('Task Master'!$C$5:$C$804,MATCH(B10,'Task Master'!$A$5:$A$804,0)),"Not in latest raw"))</x:f>
      </x:c>
      <x:c r="D10" s="98" t="str">
        <x:f>IF(B10="","",IFERROR(INDEX('Task Master'!$J$5:$J$804,MATCH(B10,'Task Master'!$A$5:$A$804,0)),""))</x:f>
      </x:c>
      <x:c r="E10" s="98" t="str">
        <x:f>IF(B10="","",IFERROR(INDEX('Task Master'!$K$5:$K$804,MATCH(B10,'Task Master'!$A$5:$A$804,0)),""))</x:f>
      </x:c>
      <x:c r="F10" s="97" t="str">
        <x:f>IF(B10="","",IF(COUNTIFS('Assignment History'!$B$5:$B$204,B10,'Assignment History'!$A$5:$A$204,"&gt;="&amp;A10,'Assignment History'!$A$5:$A$204,"&lt;"&amp;A10+1)&gt;0,"Yes","No"))</x:f>
      </x:c>
      <x:c r="G10" s="97" t="str">
        <x:f>IF(B10="","",IF(F10="Yes",IFERROR(LOOKUP(2,1/(('Assignment History'!$B$5:$B$204=B10)*('Assignment History'!$A$5:$A$204&gt;=A10)*('Assignment History'!$A$5:$A$204&lt;A10+1)),'Assignment History'!$C$5:$C$204),""),""))</x:f>
      </x:c>
      <x:c r="H10" s="97"/>
      <x:c r="I10" s="97"/>
      <x:c r="J10" s="99"/>
      <x:c r="K10" s="97"/>
      <x:c r="L10" s="99"/>
      <x:c r="M10" s="100"/>
      <x:c r="N10" s="100"/>
      <x:c r="O10" s="101" t="str">
        <x:f t="shared" si="0">IF(K10="","",IF(K10="Achieved","Yes","No"))</x:f>
      </x:c>
      <x:c r="P10" s="100"/>
    </x:row>
    <x:row r="11">
      <x:c r="A11" s="96"/>
      <x:c r="B11" s="97"/>
      <x:c r="C11" s="98" t="str">
        <x:f>IF(B11="","",IFERROR(INDEX('Task Master'!$C$5:$C$804,MATCH(B11,'Task Master'!$A$5:$A$804,0)),"Not in latest raw"))</x:f>
      </x:c>
      <x:c r="D11" s="98" t="str">
        <x:f>IF(B11="","",IFERROR(INDEX('Task Master'!$J$5:$J$804,MATCH(B11,'Task Master'!$A$5:$A$804,0)),""))</x:f>
      </x:c>
      <x:c r="E11" s="98" t="str">
        <x:f>IF(B11="","",IFERROR(INDEX('Task Master'!$K$5:$K$804,MATCH(B11,'Task Master'!$A$5:$A$804,0)),""))</x:f>
      </x:c>
      <x:c r="F11" s="97" t="str">
        <x:f>IF(B11="","",IF(COUNTIFS('Assignment History'!$B$5:$B$204,B11,'Assignment History'!$A$5:$A$204,"&gt;="&amp;A11,'Assignment History'!$A$5:$A$204,"&lt;"&amp;A11+1)&gt;0,"Yes","No"))</x:f>
      </x:c>
      <x:c r="G11" s="97" t="str">
        <x:f>IF(B11="","",IF(F11="Yes",IFERROR(LOOKUP(2,1/(('Assignment History'!$B$5:$B$204=B11)*('Assignment History'!$A$5:$A$204&gt;=A11)*('Assignment History'!$A$5:$A$204&lt;A11+1)),'Assignment History'!$C$5:$C$204),""),""))</x:f>
      </x:c>
      <x:c r="H11" s="97"/>
      <x:c r="I11" s="97"/>
      <x:c r="J11" s="99"/>
      <x:c r="K11" s="97"/>
      <x:c r="L11" s="99"/>
      <x:c r="M11" s="100"/>
      <x:c r="N11" s="100"/>
      <x:c r="O11" s="101" t="str">
        <x:f t="shared" si="0">IF(K11="","",IF(K11="Achieved","Yes","No"))</x:f>
      </x:c>
      <x:c r="P11" s="100"/>
    </x:row>
    <x:row r="12">
      <x:c r="A12" s="96"/>
      <x:c r="B12" s="97"/>
      <x:c r="C12" s="98" t="str">
        <x:f>IF(B12="","",IFERROR(INDEX('Task Master'!$C$5:$C$804,MATCH(B12,'Task Master'!$A$5:$A$804,0)),"Not in latest raw"))</x:f>
      </x:c>
      <x:c r="D12" s="98" t="str">
        <x:f>IF(B12="","",IFERROR(INDEX('Task Master'!$J$5:$J$804,MATCH(B12,'Task Master'!$A$5:$A$804,0)),""))</x:f>
      </x:c>
      <x:c r="E12" s="98" t="str">
        <x:f>IF(B12="","",IFERROR(INDEX('Task Master'!$K$5:$K$804,MATCH(B12,'Task Master'!$A$5:$A$804,0)),""))</x:f>
      </x:c>
      <x:c r="F12" s="97" t="str">
        <x:f>IF(B12="","",IF(COUNTIFS('Assignment History'!$B$5:$B$204,B12,'Assignment History'!$A$5:$A$204,"&gt;="&amp;A12,'Assignment History'!$A$5:$A$204,"&lt;"&amp;A12+1)&gt;0,"Yes","No"))</x:f>
      </x:c>
      <x:c r="G12" s="97" t="str">
        <x:f>IF(B12="","",IF(F12="Yes",IFERROR(LOOKUP(2,1/(('Assignment History'!$B$5:$B$204=B12)*('Assignment History'!$A$5:$A$204&gt;=A12)*('Assignment History'!$A$5:$A$204&lt;A12+1)),'Assignment History'!$C$5:$C$204),""),""))</x:f>
      </x:c>
      <x:c r="H12" s="97"/>
      <x:c r="I12" s="97"/>
      <x:c r="J12" s="99"/>
      <x:c r="K12" s="97"/>
      <x:c r="L12" s="99"/>
      <x:c r="M12" s="100"/>
      <x:c r="N12" s="100"/>
      <x:c r="O12" s="101" t="str">
        <x:f t="shared" si="0">IF(K12="","",IF(K12="Achieved","Yes","No"))</x:f>
      </x:c>
      <x:c r="P12" s="100"/>
    </x:row>
    <x:row r="13">
      <x:c r="A13" s="96"/>
      <x:c r="B13" s="97"/>
      <x:c r="C13" s="98" t="str">
        <x:f>IF(B13="","",IFERROR(INDEX('Task Master'!$C$5:$C$804,MATCH(B13,'Task Master'!$A$5:$A$804,0)),"Not in latest raw"))</x:f>
      </x:c>
      <x:c r="D13" s="98" t="str">
        <x:f>IF(B13="","",IFERROR(INDEX('Task Master'!$J$5:$J$804,MATCH(B13,'Task Master'!$A$5:$A$804,0)),""))</x:f>
      </x:c>
      <x:c r="E13" s="98" t="str">
        <x:f>IF(B13="","",IFERROR(INDEX('Task Master'!$K$5:$K$804,MATCH(B13,'Task Master'!$A$5:$A$804,0)),""))</x:f>
      </x:c>
      <x:c r="F13" s="97" t="str">
        <x:f>IF(B13="","",IF(COUNTIFS('Assignment History'!$B$5:$B$204,B13,'Assignment History'!$A$5:$A$204,"&gt;="&amp;A13,'Assignment History'!$A$5:$A$204,"&lt;"&amp;A13+1)&gt;0,"Yes","No"))</x:f>
      </x:c>
      <x:c r="G13" s="97" t="str">
        <x:f>IF(B13="","",IF(F13="Yes",IFERROR(LOOKUP(2,1/(('Assignment History'!$B$5:$B$204=B13)*('Assignment History'!$A$5:$A$204&gt;=A13)*('Assignment History'!$A$5:$A$204&lt;A13+1)),'Assignment History'!$C$5:$C$204),""),""))</x:f>
      </x:c>
      <x:c r="H13" s="97"/>
      <x:c r="I13" s="97"/>
      <x:c r="J13" s="99"/>
      <x:c r="K13" s="97"/>
      <x:c r="L13" s="99"/>
      <x:c r="M13" s="100"/>
      <x:c r="N13" s="100"/>
      <x:c r="O13" s="101" t="str">
        <x:f t="shared" si="0">IF(K13="","",IF(K13="Achieved","Yes","No"))</x:f>
      </x:c>
      <x:c r="P13" s="100"/>
    </x:row>
    <x:row r="14">
      <x:c r="A14" s="96"/>
      <x:c r="B14" s="97"/>
      <x:c r="C14" s="98" t="str">
        <x:f>IF(B14="","",IFERROR(INDEX('Task Master'!$C$5:$C$804,MATCH(B14,'Task Master'!$A$5:$A$804,0)),"Not in latest raw"))</x:f>
      </x:c>
      <x:c r="D14" s="98" t="str">
        <x:f>IF(B14="","",IFERROR(INDEX('Task Master'!$J$5:$J$804,MATCH(B14,'Task Master'!$A$5:$A$804,0)),""))</x:f>
      </x:c>
      <x:c r="E14" s="98" t="str">
        <x:f>IF(B14="","",IFERROR(INDEX('Task Master'!$K$5:$K$804,MATCH(B14,'Task Master'!$A$5:$A$804,0)),""))</x:f>
      </x:c>
      <x:c r="F14" s="97" t="str">
        <x:f>IF(B14="","",IF(COUNTIFS('Assignment History'!$B$5:$B$204,B14,'Assignment History'!$A$5:$A$204,"&gt;="&amp;A14,'Assignment History'!$A$5:$A$204,"&lt;"&amp;A14+1)&gt;0,"Yes","No"))</x:f>
      </x:c>
      <x:c r="G14" s="97" t="str">
        <x:f>IF(B14="","",IF(F14="Yes",IFERROR(LOOKUP(2,1/(('Assignment History'!$B$5:$B$204=B14)*('Assignment History'!$A$5:$A$204&gt;=A14)*('Assignment History'!$A$5:$A$204&lt;A14+1)),'Assignment History'!$C$5:$C$204),""),""))</x:f>
      </x:c>
      <x:c r="H14" s="97"/>
      <x:c r="I14" s="97"/>
      <x:c r="J14" s="99"/>
      <x:c r="K14" s="97"/>
      <x:c r="L14" s="99"/>
      <x:c r="M14" s="100"/>
      <x:c r="N14" s="100"/>
      <x:c r="O14" s="101" t="str">
        <x:f t="shared" si="0">IF(K14="","",IF(K14="Achieved","Yes","No"))</x:f>
      </x:c>
      <x:c r="P14" s="100"/>
    </x:row>
    <x:row r="15">
      <x:c r="A15" s="96"/>
      <x:c r="B15" s="97"/>
      <x:c r="C15" s="98" t="str">
        <x:f>IF(B15="","",IFERROR(INDEX('Task Master'!$C$5:$C$804,MATCH(B15,'Task Master'!$A$5:$A$804,0)),"Not in latest raw"))</x:f>
      </x:c>
      <x:c r="D15" s="98" t="str">
        <x:f>IF(B15="","",IFERROR(INDEX('Task Master'!$J$5:$J$804,MATCH(B15,'Task Master'!$A$5:$A$804,0)),""))</x:f>
      </x:c>
      <x:c r="E15" s="98" t="str">
        <x:f>IF(B15="","",IFERROR(INDEX('Task Master'!$K$5:$K$804,MATCH(B15,'Task Master'!$A$5:$A$804,0)),""))</x:f>
      </x:c>
      <x:c r="F15" s="97" t="str">
        <x:f>IF(B15="","",IF(COUNTIFS('Assignment History'!$B$5:$B$204,B15,'Assignment History'!$A$5:$A$204,"&gt;="&amp;A15,'Assignment History'!$A$5:$A$204,"&lt;"&amp;A15+1)&gt;0,"Yes","No"))</x:f>
      </x:c>
      <x:c r="G15" s="97" t="str">
        <x:f>IF(B15="","",IF(F15="Yes",IFERROR(LOOKUP(2,1/(('Assignment History'!$B$5:$B$204=B15)*('Assignment History'!$A$5:$A$204&gt;=A15)*('Assignment History'!$A$5:$A$204&lt;A15+1)),'Assignment History'!$C$5:$C$204),""),""))</x:f>
      </x:c>
      <x:c r="H15" s="97"/>
      <x:c r="I15" s="97"/>
      <x:c r="J15" s="99"/>
      <x:c r="K15" s="97"/>
      <x:c r="L15" s="99"/>
      <x:c r="M15" s="100"/>
      <x:c r="N15" s="100"/>
      <x:c r="O15" s="101" t="str">
        <x:f t="shared" si="0">IF(K15="","",IF(K15="Achieved","Yes","No"))</x:f>
      </x:c>
      <x:c r="P15" s="100"/>
    </x:row>
    <x:row r="16">
      <x:c r="A16" s="96"/>
      <x:c r="B16" s="97"/>
      <x:c r="C16" s="98" t="str">
        <x:f>IF(B16="","",IFERROR(INDEX('Task Master'!$C$5:$C$804,MATCH(B16,'Task Master'!$A$5:$A$804,0)),"Not in latest raw"))</x:f>
      </x:c>
      <x:c r="D16" s="98" t="str">
        <x:f>IF(B16="","",IFERROR(INDEX('Task Master'!$J$5:$J$804,MATCH(B16,'Task Master'!$A$5:$A$804,0)),""))</x:f>
      </x:c>
      <x:c r="E16" s="98" t="str">
        <x:f>IF(B16="","",IFERROR(INDEX('Task Master'!$K$5:$K$804,MATCH(B16,'Task Master'!$A$5:$A$804,0)),""))</x:f>
      </x:c>
      <x:c r="F16" s="97" t="str">
        <x:f>IF(B16="","",IF(COUNTIFS('Assignment History'!$B$5:$B$204,B16,'Assignment History'!$A$5:$A$204,"&gt;="&amp;A16,'Assignment History'!$A$5:$A$204,"&lt;"&amp;A16+1)&gt;0,"Yes","No"))</x:f>
      </x:c>
      <x:c r="G16" s="97" t="str">
        <x:f>IF(B16="","",IF(F16="Yes",IFERROR(LOOKUP(2,1/(('Assignment History'!$B$5:$B$204=B16)*('Assignment History'!$A$5:$A$204&gt;=A16)*('Assignment History'!$A$5:$A$204&lt;A16+1)),'Assignment History'!$C$5:$C$204),""),""))</x:f>
      </x:c>
      <x:c r="H16" s="97"/>
      <x:c r="I16" s="97"/>
      <x:c r="J16" s="99"/>
      <x:c r="K16" s="97"/>
      <x:c r="L16" s="99"/>
      <x:c r="M16" s="100"/>
      <x:c r="N16" s="100"/>
      <x:c r="O16" s="101" t="str">
        <x:f t="shared" si="0">IF(K16="","",IF(K16="Achieved","Yes","No"))</x:f>
      </x:c>
      <x:c r="P16" s="100"/>
    </x:row>
    <x:row r="17">
      <x:c r="A17" s="96"/>
      <x:c r="B17" s="97"/>
      <x:c r="C17" s="98" t="str">
        <x:f>IF(B17="","",IFERROR(INDEX('Task Master'!$C$5:$C$804,MATCH(B17,'Task Master'!$A$5:$A$804,0)),"Not in latest raw"))</x:f>
      </x:c>
      <x:c r="D17" s="98" t="str">
        <x:f>IF(B17="","",IFERROR(INDEX('Task Master'!$J$5:$J$804,MATCH(B17,'Task Master'!$A$5:$A$804,0)),""))</x:f>
      </x:c>
      <x:c r="E17" s="98" t="str">
        <x:f>IF(B17="","",IFERROR(INDEX('Task Master'!$K$5:$K$804,MATCH(B17,'Task Master'!$A$5:$A$804,0)),""))</x:f>
      </x:c>
      <x:c r="F17" s="97" t="str">
        <x:f>IF(B17="","",IF(COUNTIFS('Assignment History'!$B$5:$B$204,B17,'Assignment History'!$A$5:$A$204,"&gt;="&amp;A17,'Assignment History'!$A$5:$A$204,"&lt;"&amp;A17+1)&gt;0,"Yes","No"))</x:f>
      </x:c>
      <x:c r="G17" s="97" t="str">
        <x:f>IF(B17="","",IF(F17="Yes",IFERROR(LOOKUP(2,1/(('Assignment History'!$B$5:$B$204=B17)*('Assignment History'!$A$5:$A$204&gt;=A17)*('Assignment History'!$A$5:$A$204&lt;A17+1)),'Assignment History'!$C$5:$C$204),""),""))</x:f>
      </x:c>
      <x:c r="H17" s="97"/>
      <x:c r="I17" s="97"/>
      <x:c r="J17" s="99"/>
      <x:c r="K17" s="97"/>
      <x:c r="L17" s="99"/>
      <x:c r="M17" s="100"/>
      <x:c r="N17" s="100"/>
      <x:c r="O17" s="101" t="str">
        <x:f t="shared" si="0">IF(K17="","",IF(K17="Achieved","Yes","No"))</x:f>
      </x:c>
      <x:c r="P17" s="100"/>
    </x:row>
    <x:row r="18">
      <x:c r="A18" s="96"/>
      <x:c r="B18" s="97"/>
      <x:c r="C18" s="98" t="str">
        <x:f>IF(B18="","",IFERROR(INDEX('Task Master'!$C$5:$C$804,MATCH(B18,'Task Master'!$A$5:$A$804,0)),"Not in latest raw"))</x:f>
      </x:c>
      <x:c r="D18" s="98" t="str">
        <x:f>IF(B18="","",IFERROR(INDEX('Task Master'!$J$5:$J$804,MATCH(B18,'Task Master'!$A$5:$A$804,0)),""))</x:f>
      </x:c>
      <x:c r="E18" s="98" t="str">
        <x:f>IF(B18="","",IFERROR(INDEX('Task Master'!$K$5:$K$804,MATCH(B18,'Task Master'!$A$5:$A$804,0)),""))</x:f>
      </x:c>
      <x:c r="F18" s="97" t="str">
        <x:f>IF(B18="","",IF(COUNTIFS('Assignment History'!$B$5:$B$204,B18,'Assignment History'!$A$5:$A$204,"&gt;="&amp;A18,'Assignment History'!$A$5:$A$204,"&lt;"&amp;A18+1)&gt;0,"Yes","No"))</x:f>
      </x:c>
      <x:c r="G18" s="97" t="str">
        <x:f>IF(B18="","",IF(F18="Yes",IFERROR(LOOKUP(2,1/(('Assignment History'!$B$5:$B$204=B18)*('Assignment History'!$A$5:$A$204&gt;=A18)*('Assignment History'!$A$5:$A$204&lt;A18+1)),'Assignment History'!$C$5:$C$204),""),""))</x:f>
      </x:c>
      <x:c r="H18" s="97"/>
      <x:c r="I18" s="97"/>
      <x:c r="J18" s="99"/>
      <x:c r="K18" s="97"/>
      <x:c r="L18" s="99"/>
      <x:c r="M18" s="100"/>
      <x:c r="N18" s="100"/>
      <x:c r="O18" s="101" t="str">
        <x:f t="shared" si="0">IF(K18="","",IF(K18="Achieved","Yes","No"))</x:f>
      </x:c>
      <x:c r="P18" s="100"/>
    </x:row>
    <x:row r="19">
      <x:c r="A19" s="96"/>
      <x:c r="B19" s="97"/>
      <x:c r="C19" s="98" t="str">
        <x:f>IF(B19="","",IFERROR(INDEX('Task Master'!$C$5:$C$804,MATCH(B19,'Task Master'!$A$5:$A$804,0)),"Not in latest raw"))</x:f>
      </x:c>
      <x:c r="D19" s="98" t="str">
        <x:f>IF(B19="","",IFERROR(INDEX('Task Master'!$J$5:$J$804,MATCH(B19,'Task Master'!$A$5:$A$804,0)),""))</x:f>
      </x:c>
      <x:c r="E19" s="98" t="str">
        <x:f>IF(B19="","",IFERROR(INDEX('Task Master'!$K$5:$K$804,MATCH(B19,'Task Master'!$A$5:$A$804,0)),""))</x:f>
      </x:c>
      <x:c r="F19" s="97" t="str">
        <x:f>IF(B19="","",IF(COUNTIFS('Assignment History'!$B$5:$B$204,B19,'Assignment History'!$A$5:$A$204,"&gt;="&amp;A19,'Assignment History'!$A$5:$A$204,"&lt;"&amp;A19+1)&gt;0,"Yes","No"))</x:f>
      </x:c>
      <x:c r="G19" s="97" t="str">
        <x:f>IF(B19="","",IF(F19="Yes",IFERROR(LOOKUP(2,1/(('Assignment History'!$B$5:$B$204=B19)*('Assignment History'!$A$5:$A$204&gt;=A19)*('Assignment History'!$A$5:$A$204&lt;A19+1)),'Assignment History'!$C$5:$C$204),""),""))</x:f>
      </x:c>
      <x:c r="H19" s="97"/>
      <x:c r="I19" s="97"/>
      <x:c r="J19" s="99"/>
      <x:c r="K19" s="97"/>
      <x:c r="L19" s="99"/>
      <x:c r="M19" s="100"/>
      <x:c r="N19" s="100"/>
      <x:c r="O19" s="101" t="str">
        <x:f t="shared" si="0">IF(K19="","",IF(K19="Achieved","Yes","No"))</x:f>
      </x:c>
      <x:c r="P19" s="100"/>
    </x:row>
    <x:row r="20">
      <x:c r="A20" s="96"/>
      <x:c r="B20" s="97"/>
      <x:c r="C20" s="98" t="str">
        <x:f>IF(B20="","",IFERROR(INDEX('Task Master'!$C$5:$C$804,MATCH(B20,'Task Master'!$A$5:$A$804,0)),"Not in latest raw"))</x:f>
      </x:c>
      <x:c r="D20" s="98" t="str">
        <x:f>IF(B20="","",IFERROR(INDEX('Task Master'!$J$5:$J$804,MATCH(B20,'Task Master'!$A$5:$A$804,0)),""))</x:f>
      </x:c>
      <x:c r="E20" s="98" t="str">
        <x:f>IF(B20="","",IFERROR(INDEX('Task Master'!$K$5:$K$804,MATCH(B20,'Task Master'!$A$5:$A$804,0)),""))</x:f>
      </x:c>
      <x:c r="F20" s="97" t="str">
        <x:f>IF(B20="","",IF(COUNTIFS('Assignment History'!$B$5:$B$204,B20,'Assignment History'!$A$5:$A$204,"&gt;="&amp;A20,'Assignment History'!$A$5:$A$204,"&lt;"&amp;A20+1)&gt;0,"Yes","No"))</x:f>
      </x:c>
      <x:c r="G20" s="97" t="str">
        <x:f>IF(B20="","",IF(F20="Yes",IFERROR(LOOKUP(2,1/(('Assignment History'!$B$5:$B$204=B20)*('Assignment History'!$A$5:$A$204&gt;=A20)*('Assignment History'!$A$5:$A$204&lt;A20+1)),'Assignment History'!$C$5:$C$204),""),""))</x:f>
      </x:c>
      <x:c r="H20" s="97"/>
      <x:c r="I20" s="97"/>
      <x:c r="J20" s="99"/>
      <x:c r="K20" s="97"/>
      <x:c r="L20" s="99"/>
      <x:c r="M20" s="100"/>
      <x:c r="N20" s="100"/>
      <x:c r="O20" s="101" t="str">
        <x:f t="shared" si="0">IF(K20="","",IF(K20="Achieved","Yes","No"))</x:f>
      </x:c>
      <x:c r="P20" s="100"/>
    </x:row>
    <x:row r="21">
      <x:c r="A21" s="96"/>
      <x:c r="B21" s="97"/>
      <x:c r="C21" s="98" t="str">
        <x:f>IF(B21="","",IFERROR(INDEX('Task Master'!$C$5:$C$804,MATCH(B21,'Task Master'!$A$5:$A$804,0)),"Not in latest raw"))</x:f>
      </x:c>
      <x:c r="D21" s="98" t="str">
        <x:f>IF(B21="","",IFERROR(INDEX('Task Master'!$J$5:$J$804,MATCH(B21,'Task Master'!$A$5:$A$804,0)),""))</x:f>
      </x:c>
      <x:c r="E21" s="98" t="str">
        <x:f>IF(B21="","",IFERROR(INDEX('Task Master'!$K$5:$K$804,MATCH(B21,'Task Master'!$A$5:$A$804,0)),""))</x:f>
      </x:c>
      <x:c r="F21" s="97" t="str">
        <x:f>IF(B21="","",IF(COUNTIFS('Assignment History'!$B$5:$B$204,B21,'Assignment History'!$A$5:$A$204,"&gt;="&amp;A21,'Assignment History'!$A$5:$A$204,"&lt;"&amp;A21+1)&gt;0,"Yes","No"))</x:f>
      </x:c>
      <x:c r="G21" s="97" t="str">
        <x:f>IF(B21="","",IF(F21="Yes",IFERROR(LOOKUP(2,1/(('Assignment History'!$B$5:$B$204=B21)*('Assignment History'!$A$5:$A$204&gt;=A21)*('Assignment History'!$A$5:$A$204&lt;A21+1)),'Assignment History'!$C$5:$C$204),""),""))</x:f>
      </x:c>
      <x:c r="H21" s="97"/>
      <x:c r="I21" s="97"/>
      <x:c r="J21" s="99"/>
      <x:c r="K21" s="97"/>
      <x:c r="L21" s="99"/>
      <x:c r="M21" s="100"/>
      <x:c r="N21" s="100"/>
      <x:c r="O21" s="101" t="str">
        <x:f t="shared" si="0">IF(K21="","",IF(K21="Achieved","Yes","No"))</x:f>
      </x:c>
      <x:c r="P21" s="100"/>
    </x:row>
    <x:row r="22">
      <x:c r="A22" s="96"/>
      <x:c r="B22" s="97"/>
      <x:c r="C22" s="98" t="str">
        <x:f>IF(B22="","",IFERROR(INDEX('Task Master'!$C$5:$C$804,MATCH(B22,'Task Master'!$A$5:$A$804,0)),"Not in latest raw"))</x:f>
      </x:c>
      <x:c r="D22" s="98" t="str">
        <x:f>IF(B22="","",IFERROR(INDEX('Task Master'!$J$5:$J$804,MATCH(B22,'Task Master'!$A$5:$A$804,0)),""))</x:f>
      </x:c>
      <x:c r="E22" s="98" t="str">
        <x:f>IF(B22="","",IFERROR(INDEX('Task Master'!$K$5:$K$804,MATCH(B22,'Task Master'!$A$5:$A$804,0)),""))</x:f>
      </x:c>
      <x:c r="F22" s="97" t="str">
        <x:f>IF(B22="","",IF(COUNTIFS('Assignment History'!$B$5:$B$204,B22,'Assignment History'!$A$5:$A$204,"&gt;="&amp;A22,'Assignment History'!$A$5:$A$204,"&lt;"&amp;A22+1)&gt;0,"Yes","No"))</x:f>
      </x:c>
      <x:c r="G22" s="97" t="str">
        <x:f>IF(B22="","",IF(F22="Yes",IFERROR(LOOKUP(2,1/(('Assignment History'!$B$5:$B$204=B22)*('Assignment History'!$A$5:$A$204&gt;=A22)*('Assignment History'!$A$5:$A$204&lt;A22+1)),'Assignment History'!$C$5:$C$204),""),""))</x:f>
      </x:c>
      <x:c r="H22" s="97"/>
      <x:c r="I22" s="97"/>
      <x:c r="J22" s="99"/>
      <x:c r="K22" s="97"/>
      <x:c r="L22" s="99"/>
      <x:c r="M22" s="100"/>
      <x:c r="N22" s="100"/>
      <x:c r="O22" s="101" t="str">
        <x:f t="shared" si="0">IF(K22="","",IF(K22="Achieved","Yes","No"))</x:f>
      </x:c>
      <x:c r="P22" s="100"/>
    </x:row>
    <x:row r="23">
      <x:c r="A23" s="96"/>
      <x:c r="B23" s="97"/>
      <x:c r="C23" s="98" t="str">
        <x:f>IF(B23="","",IFERROR(INDEX('Task Master'!$C$5:$C$804,MATCH(B23,'Task Master'!$A$5:$A$804,0)),"Not in latest raw"))</x:f>
      </x:c>
      <x:c r="D23" s="98" t="str">
        <x:f>IF(B23="","",IFERROR(INDEX('Task Master'!$J$5:$J$804,MATCH(B23,'Task Master'!$A$5:$A$804,0)),""))</x:f>
      </x:c>
      <x:c r="E23" s="98" t="str">
        <x:f>IF(B23="","",IFERROR(INDEX('Task Master'!$K$5:$K$804,MATCH(B23,'Task Master'!$A$5:$A$804,0)),""))</x:f>
      </x:c>
      <x:c r="F23" s="97" t="str">
        <x:f>IF(B23="","",IF(COUNTIFS('Assignment History'!$B$5:$B$204,B23,'Assignment History'!$A$5:$A$204,"&gt;="&amp;A23,'Assignment History'!$A$5:$A$204,"&lt;"&amp;A23+1)&gt;0,"Yes","No"))</x:f>
      </x:c>
      <x:c r="G23" s="97" t="str">
        <x:f>IF(B23="","",IF(F23="Yes",IFERROR(LOOKUP(2,1/(('Assignment History'!$B$5:$B$204=B23)*('Assignment History'!$A$5:$A$204&gt;=A23)*('Assignment History'!$A$5:$A$204&lt;A23+1)),'Assignment History'!$C$5:$C$204),""),""))</x:f>
      </x:c>
      <x:c r="H23" s="97"/>
      <x:c r="I23" s="97"/>
      <x:c r="J23" s="99"/>
      <x:c r="K23" s="97"/>
      <x:c r="L23" s="99"/>
      <x:c r="M23" s="100"/>
      <x:c r="N23" s="100"/>
      <x:c r="O23" s="101" t="str">
        <x:f t="shared" si="0">IF(K23="","",IF(K23="Achieved","Yes","No"))</x:f>
      </x:c>
      <x:c r="P23" s="100"/>
    </x:row>
    <x:row r="24">
      <x:c r="A24" s="96"/>
      <x:c r="B24" s="97"/>
      <x:c r="C24" s="98" t="str">
        <x:f>IF(B24="","",IFERROR(INDEX('Task Master'!$C$5:$C$804,MATCH(B24,'Task Master'!$A$5:$A$804,0)),"Not in latest raw"))</x:f>
      </x:c>
      <x:c r="D24" s="98" t="str">
        <x:f>IF(B24="","",IFERROR(INDEX('Task Master'!$J$5:$J$804,MATCH(B24,'Task Master'!$A$5:$A$804,0)),""))</x:f>
      </x:c>
      <x:c r="E24" s="98" t="str">
        <x:f>IF(B24="","",IFERROR(INDEX('Task Master'!$K$5:$K$804,MATCH(B24,'Task Master'!$A$5:$A$804,0)),""))</x:f>
      </x:c>
      <x:c r="F24" s="97" t="str">
        <x:f>IF(B24="","",IF(COUNTIFS('Assignment History'!$B$5:$B$204,B24,'Assignment History'!$A$5:$A$204,"&gt;="&amp;A24,'Assignment History'!$A$5:$A$204,"&lt;"&amp;A24+1)&gt;0,"Yes","No"))</x:f>
      </x:c>
      <x:c r="G24" s="97" t="str">
        <x:f>IF(B24="","",IF(F24="Yes",IFERROR(LOOKUP(2,1/(('Assignment History'!$B$5:$B$204=B24)*('Assignment History'!$A$5:$A$204&gt;=A24)*('Assignment History'!$A$5:$A$204&lt;A24+1)),'Assignment History'!$C$5:$C$204),""),""))</x:f>
      </x:c>
      <x:c r="H24" s="97"/>
      <x:c r="I24" s="97"/>
      <x:c r="J24" s="99"/>
      <x:c r="K24" s="97"/>
      <x:c r="L24" s="99"/>
      <x:c r="M24" s="100"/>
      <x:c r="N24" s="100"/>
      <x:c r="O24" s="101" t="str">
        <x:f t="shared" si="0">IF(K24="","",IF(K24="Achieved","Yes","No"))</x:f>
      </x:c>
      <x:c r="P24" s="100"/>
    </x:row>
    <x:row r="25">
      <x:c r="A25" s="96"/>
      <x:c r="B25" s="97"/>
      <x:c r="C25" s="98" t="str">
        <x:f>IF(B25="","",IFERROR(INDEX('Task Master'!$C$5:$C$804,MATCH(B25,'Task Master'!$A$5:$A$804,0)),"Not in latest raw"))</x:f>
      </x:c>
      <x:c r="D25" s="98" t="str">
        <x:f>IF(B25="","",IFERROR(INDEX('Task Master'!$J$5:$J$804,MATCH(B25,'Task Master'!$A$5:$A$804,0)),""))</x:f>
      </x:c>
      <x:c r="E25" s="98" t="str">
        <x:f>IF(B25="","",IFERROR(INDEX('Task Master'!$K$5:$K$804,MATCH(B25,'Task Master'!$A$5:$A$804,0)),""))</x:f>
      </x:c>
      <x:c r="F25" s="97" t="str">
        <x:f>IF(B25="","",IF(COUNTIFS('Assignment History'!$B$5:$B$204,B25,'Assignment History'!$A$5:$A$204,"&gt;="&amp;A25,'Assignment History'!$A$5:$A$204,"&lt;"&amp;A25+1)&gt;0,"Yes","No"))</x:f>
      </x:c>
      <x:c r="G25" s="97" t="str">
        <x:f>IF(B25="","",IF(F25="Yes",IFERROR(LOOKUP(2,1/(('Assignment History'!$B$5:$B$204=B25)*('Assignment History'!$A$5:$A$204&gt;=A25)*('Assignment History'!$A$5:$A$204&lt;A25+1)),'Assignment History'!$C$5:$C$204),""),""))</x:f>
      </x:c>
      <x:c r="H25" s="97"/>
      <x:c r="I25" s="97"/>
      <x:c r="J25" s="99"/>
      <x:c r="K25" s="97"/>
      <x:c r="L25" s="99"/>
      <x:c r="M25" s="100"/>
      <x:c r="N25" s="100"/>
      <x:c r="O25" s="101" t="str">
        <x:f t="shared" si="0">IF(K25="","",IF(K25="Achieved","Yes","No"))</x:f>
      </x:c>
      <x:c r="P25" s="100"/>
    </x:row>
    <x:row r="26">
      <x:c r="A26" s="96"/>
      <x:c r="B26" s="97"/>
      <x:c r="C26" s="98" t="str">
        <x:f>IF(B26="","",IFERROR(INDEX('Task Master'!$C$5:$C$804,MATCH(B26,'Task Master'!$A$5:$A$804,0)),"Not in latest raw"))</x:f>
      </x:c>
      <x:c r="D26" s="98" t="str">
        <x:f>IF(B26="","",IFERROR(INDEX('Task Master'!$J$5:$J$804,MATCH(B26,'Task Master'!$A$5:$A$804,0)),""))</x:f>
      </x:c>
      <x:c r="E26" s="98" t="str">
        <x:f>IF(B26="","",IFERROR(INDEX('Task Master'!$K$5:$K$804,MATCH(B26,'Task Master'!$A$5:$A$804,0)),""))</x:f>
      </x:c>
      <x:c r="F26" s="97" t="str">
        <x:f>IF(B26="","",IF(COUNTIFS('Assignment History'!$B$5:$B$204,B26,'Assignment History'!$A$5:$A$204,"&gt;="&amp;A26,'Assignment History'!$A$5:$A$204,"&lt;"&amp;A26+1)&gt;0,"Yes","No"))</x:f>
      </x:c>
      <x:c r="G26" s="97" t="str">
        <x:f>IF(B26="","",IF(F26="Yes",IFERROR(LOOKUP(2,1/(('Assignment History'!$B$5:$B$204=B26)*('Assignment History'!$A$5:$A$204&gt;=A26)*('Assignment History'!$A$5:$A$204&lt;A26+1)),'Assignment History'!$C$5:$C$204),""),""))</x:f>
      </x:c>
      <x:c r="H26" s="97"/>
      <x:c r="I26" s="97"/>
      <x:c r="J26" s="99"/>
      <x:c r="K26" s="97"/>
      <x:c r="L26" s="99"/>
      <x:c r="M26" s="100"/>
      <x:c r="N26" s="100"/>
      <x:c r="O26" s="101" t="str">
        <x:f t="shared" si="0">IF(K26="","",IF(K26="Achieved","Yes","No"))</x:f>
      </x:c>
      <x:c r="P26" s="100"/>
    </x:row>
    <x:row r="27">
      <x:c r="A27" s="96"/>
      <x:c r="B27" s="97"/>
      <x:c r="C27" s="98" t="str">
        <x:f>IF(B27="","",IFERROR(INDEX('Task Master'!$C$5:$C$804,MATCH(B27,'Task Master'!$A$5:$A$804,0)),"Not in latest raw"))</x:f>
      </x:c>
      <x:c r="D27" s="98" t="str">
        <x:f>IF(B27="","",IFERROR(INDEX('Task Master'!$J$5:$J$804,MATCH(B27,'Task Master'!$A$5:$A$804,0)),""))</x:f>
      </x:c>
      <x:c r="E27" s="98" t="str">
        <x:f>IF(B27="","",IFERROR(INDEX('Task Master'!$K$5:$K$804,MATCH(B27,'Task Master'!$A$5:$A$804,0)),""))</x:f>
      </x:c>
      <x:c r="F27" s="97" t="str">
        <x:f>IF(B27="","",IF(COUNTIFS('Assignment History'!$B$5:$B$204,B27,'Assignment History'!$A$5:$A$204,"&gt;="&amp;A27,'Assignment History'!$A$5:$A$204,"&lt;"&amp;A27+1)&gt;0,"Yes","No"))</x:f>
      </x:c>
      <x:c r="G27" s="97" t="str">
        <x:f>IF(B27="","",IF(F27="Yes",IFERROR(LOOKUP(2,1/(('Assignment History'!$B$5:$B$204=B27)*('Assignment History'!$A$5:$A$204&gt;=A27)*('Assignment History'!$A$5:$A$204&lt;A27+1)),'Assignment History'!$C$5:$C$204),""),""))</x:f>
      </x:c>
      <x:c r="H27" s="97"/>
      <x:c r="I27" s="97"/>
      <x:c r="J27" s="99"/>
      <x:c r="K27" s="97"/>
      <x:c r="L27" s="99"/>
      <x:c r="M27" s="100"/>
      <x:c r="N27" s="100"/>
      <x:c r="O27" s="101" t="str">
        <x:f t="shared" si="0">IF(K27="","",IF(K27="Achieved","Yes","No"))</x:f>
      </x:c>
      <x:c r="P27" s="100"/>
    </x:row>
    <x:row r="28">
      <x:c r="A28" s="96"/>
      <x:c r="B28" s="97"/>
      <x:c r="C28" s="98" t="str">
        <x:f>IF(B28="","",IFERROR(INDEX('Task Master'!$C$5:$C$804,MATCH(B28,'Task Master'!$A$5:$A$804,0)),"Not in latest raw"))</x:f>
      </x:c>
      <x:c r="D28" s="98" t="str">
        <x:f>IF(B28="","",IFERROR(INDEX('Task Master'!$J$5:$J$804,MATCH(B28,'Task Master'!$A$5:$A$804,0)),""))</x:f>
      </x:c>
      <x:c r="E28" s="98" t="str">
        <x:f>IF(B28="","",IFERROR(INDEX('Task Master'!$K$5:$K$804,MATCH(B28,'Task Master'!$A$5:$A$804,0)),""))</x:f>
      </x:c>
      <x:c r="F28" s="97" t="str">
        <x:f>IF(B28="","",IF(COUNTIFS('Assignment History'!$B$5:$B$204,B28,'Assignment History'!$A$5:$A$204,"&gt;="&amp;A28,'Assignment History'!$A$5:$A$204,"&lt;"&amp;A28+1)&gt;0,"Yes","No"))</x:f>
      </x:c>
      <x:c r="G28" s="97" t="str">
        <x:f>IF(B28="","",IF(F28="Yes",IFERROR(LOOKUP(2,1/(('Assignment History'!$B$5:$B$204=B28)*('Assignment History'!$A$5:$A$204&gt;=A28)*('Assignment History'!$A$5:$A$204&lt;A28+1)),'Assignment History'!$C$5:$C$204),""),""))</x:f>
      </x:c>
      <x:c r="H28" s="97"/>
      <x:c r="I28" s="97"/>
      <x:c r="J28" s="99"/>
      <x:c r="K28" s="97"/>
      <x:c r="L28" s="99"/>
      <x:c r="M28" s="100"/>
      <x:c r="N28" s="100"/>
      <x:c r="O28" s="101" t="str">
        <x:f t="shared" si="0">IF(K28="","",IF(K28="Achieved","Yes","No"))</x:f>
      </x:c>
      <x:c r="P28" s="100"/>
    </x:row>
    <x:row r="29">
      <x:c r="A29" s="96"/>
      <x:c r="B29" s="97"/>
      <x:c r="C29" s="98" t="str">
        <x:f>IF(B29="","",IFERROR(INDEX('Task Master'!$C$5:$C$804,MATCH(B29,'Task Master'!$A$5:$A$804,0)),"Not in latest raw"))</x:f>
      </x:c>
      <x:c r="D29" s="98" t="str">
        <x:f>IF(B29="","",IFERROR(INDEX('Task Master'!$J$5:$J$804,MATCH(B29,'Task Master'!$A$5:$A$804,0)),""))</x:f>
      </x:c>
      <x:c r="E29" s="98" t="str">
        <x:f>IF(B29="","",IFERROR(INDEX('Task Master'!$K$5:$K$804,MATCH(B29,'Task Master'!$A$5:$A$804,0)),""))</x:f>
      </x:c>
      <x:c r="F29" s="97" t="str">
        <x:f>IF(B29="","",IF(COUNTIFS('Assignment History'!$B$5:$B$204,B29,'Assignment History'!$A$5:$A$204,"&gt;="&amp;A29,'Assignment History'!$A$5:$A$204,"&lt;"&amp;A29+1)&gt;0,"Yes","No"))</x:f>
      </x:c>
      <x:c r="G29" s="97" t="str">
        <x:f>IF(B29="","",IF(F29="Yes",IFERROR(LOOKUP(2,1/(('Assignment History'!$B$5:$B$204=B29)*('Assignment History'!$A$5:$A$204&gt;=A29)*('Assignment History'!$A$5:$A$204&lt;A29+1)),'Assignment History'!$C$5:$C$204),""),""))</x:f>
      </x:c>
      <x:c r="H29" s="97"/>
      <x:c r="I29" s="97"/>
      <x:c r="J29" s="99"/>
      <x:c r="K29" s="97"/>
      <x:c r="L29" s="99"/>
      <x:c r="M29" s="100"/>
      <x:c r="N29" s="100"/>
      <x:c r="O29" s="101" t="str">
        <x:f t="shared" si="0">IF(K29="","",IF(K29="Achieved","Yes","No"))</x:f>
      </x:c>
      <x:c r="P29" s="100"/>
    </x:row>
    <x:row r="30">
      <x:c r="A30" s="96"/>
      <x:c r="B30" s="97"/>
      <x:c r="C30" s="98" t="str">
        <x:f>IF(B30="","",IFERROR(INDEX('Task Master'!$C$5:$C$804,MATCH(B30,'Task Master'!$A$5:$A$804,0)),"Not in latest raw"))</x:f>
      </x:c>
      <x:c r="D30" s="98" t="str">
        <x:f>IF(B30="","",IFERROR(INDEX('Task Master'!$J$5:$J$804,MATCH(B30,'Task Master'!$A$5:$A$804,0)),""))</x:f>
      </x:c>
      <x:c r="E30" s="98" t="str">
        <x:f>IF(B30="","",IFERROR(INDEX('Task Master'!$K$5:$K$804,MATCH(B30,'Task Master'!$A$5:$A$804,0)),""))</x:f>
      </x:c>
      <x:c r="F30" s="97" t="str">
        <x:f>IF(B30="","",IF(COUNTIFS('Assignment History'!$B$5:$B$204,B30,'Assignment History'!$A$5:$A$204,"&gt;="&amp;A30,'Assignment History'!$A$5:$A$204,"&lt;"&amp;A30+1)&gt;0,"Yes","No"))</x:f>
      </x:c>
      <x:c r="G30" s="97" t="str">
        <x:f>IF(B30="","",IF(F30="Yes",IFERROR(LOOKUP(2,1/(('Assignment History'!$B$5:$B$204=B30)*('Assignment History'!$A$5:$A$204&gt;=A30)*('Assignment History'!$A$5:$A$204&lt;A30+1)),'Assignment History'!$C$5:$C$204),""),""))</x:f>
      </x:c>
      <x:c r="H30" s="97"/>
      <x:c r="I30" s="97"/>
      <x:c r="J30" s="99"/>
      <x:c r="K30" s="97"/>
      <x:c r="L30" s="99"/>
      <x:c r="M30" s="100"/>
      <x:c r="N30" s="100"/>
      <x:c r="O30" s="101" t="str">
        <x:f t="shared" si="0">IF(K30="","",IF(K30="Achieved","Yes","No"))</x:f>
      </x:c>
      <x:c r="P30" s="100"/>
    </x:row>
    <x:row r="31">
      <x:c r="A31" s="96"/>
      <x:c r="B31" s="97"/>
      <x:c r="C31" s="98" t="str">
        <x:f>IF(B31="","",IFERROR(INDEX('Task Master'!$C$5:$C$804,MATCH(B31,'Task Master'!$A$5:$A$804,0)),"Not in latest raw"))</x:f>
      </x:c>
      <x:c r="D31" s="98" t="str">
        <x:f>IF(B31="","",IFERROR(INDEX('Task Master'!$J$5:$J$804,MATCH(B31,'Task Master'!$A$5:$A$804,0)),""))</x:f>
      </x:c>
      <x:c r="E31" s="98" t="str">
        <x:f>IF(B31="","",IFERROR(INDEX('Task Master'!$K$5:$K$804,MATCH(B31,'Task Master'!$A$5:$A$804,0)),""))</x:f>
      </x:c>
      <x:c r="F31" s="97" t="str">
        <x:f>IF(B31="","",IF(COUNTIFS('Assignment History'!$B$5:$B$204,B31,'Assignment History'!$A$5:$A$204,"&gt;="&amp;A31,'Assignment History'!$A$5:$A$204,"&lt;"&amp;A31+1)&gt;0,"Yes","No"))</x:f>
      </x:c>
      <x:c r="G31" s="97" t="str">
        <x:f>IF(B31="","",IF(F31="Yes",IFERROR(LOOKUP(2,1/(('Assignment History'!$B$5:$B$204=B31)*('Assignment History'!$A$5:$A$204&gt;=A31)*('Assignment History'!$A$5:$A$204&lt;A31+1)),'Assignment History'!$C$5:$C$204),""),""))</x:f>
      </x:c>
      <x:c r="H31" s="97"/>
      <x:c r="I31" s="97"/>
      <x:c r="J31" s="99"/>
      <x:c r="K31" s="97"/>
      <x:c r="L31" s="99"/>
      <x:c r="M31" s="100"/>
      <x:c r="N31" s="100"/>
      <x:c r="O31" s="101" t="str">
        <x:f t="shared" si="0">IF(K31="","",IF(K31="Achieved","Yes","No"))</x:f>
      </x:c>
      <x:c r="P31" s="100"/>
    </x:row>
    <x:row r="32">
      <x:c r="A32" s="96"/>
      <x:c r="B32" s="97"/>
      <x:c r="C32" s="98" t="str">
        <x:f>IF(B32="","",IFERROR(INDEX('Task Master'!$C$5:$C$804,MATCH(B32,'Task Master'!$A$5:$A$804,0)),"Not in latest raw"))</x:f>
      </x:c>
      <x:c r="D32" s="98" t="str">
        <x:f>IF(B32="","",IFERROR(INDEX('Task Master'!$J$5:$J$804,MATCH(B32,'Task Master'!$A$5:$A$804,0)),""))</x:f>
      </x:c>
      <x:c r="E32" s="98" t="str">
        <x:f>IF(B32="","",IFERROR(INDEX('Task Master'!$K$5:$K$804,MATCH(B32,'Task Master'!$A$5:$A$804,0)),""))</x:f>
      </x:c>
      <x:c r="F32" s="97" t="str">
        <x:f>IF(B32="","",IF(COUNTIFS('Assignment History'!$B$5:$B$204,B32,'Assignment History'!$A$5:$A$204,"&gt;="&amp;A32,'Assignment History'!$A$5:$A$204,"&lt;"&amp;A32+1)&gt;0,"Yes","No"))</x:f>
      </x:c>
      <x:c r="G32" s="97" t="str">
        <x:f>IF(B32="","",IF(F32="Yes",IFERROR(LOOKUP(2,1/(('Assignment History'!$B$5:$B$204=B32)*('Assignment History'!$A$5:$A$204&gt;=A32)*('Assignment History'!$A$5:$A$204&lt;A32+1)),'Assignment History'!$C$5:$C$204),""),""))</x:f>
      </x:c>
      <x:c r="H32" s="97"/>
      <x:c r="I32" s="97"/>
      <x:c r="J32" s="99"/>
      <x:c r="K32" s="97"/>
      <x:c r="L32" s="99"/>
      <x:c r="M32" s="100"/>
      <x:c r="N32" s="100"/>
      <x:c r="O32" s="101" t="str">
        <x:f t="shared" si="0">IF(K32="","",IF(K32="Achieved","Yes","No"))</x:f>
      </x:c>
      <x:c r="P32" s="100"/>
    </x:row>
    <x:row r="33">
      <x:c r="A33" s="96"/>
      <x:c r="B33" s="97"/>
      <x:c r="C33" s="98" t="str">
        <x:f>IF(B33="","",IFERROR(INDEX('Task Master'!$C$5:$C$804,MATCH(B33,'Task Master'!$A$5:$A$804,0)),"Not in latest raw"))</x:f>
      </x:c>
      <x:c r="D33" s="98" t="str">
        <x:f>IF(B33="","",IFERROR(INDEX('Task Master'!$J$5:$J$804,MATCH(B33,'Task Master'!$A$5:$A$804,0)),""))</x:f>
      </x:c>
      <x:c r="E33" s="98" t="str">
        <x:f>IF(B33="","",IFERROR(INDEX('Task Master'!$K$5:$K$804,MATCH(B33,'Task Master'!$A$5:$A$804,0)),""))</x:f>
      </x:c>
      <x:c r="F33" s="97" t="str">
        <x:f>IF(B33="","",IF(COUNTIFS('Assignment History'!$B$5:$B$204,B33,'Assignment History'!$A$5:$A$204,"&gt;="&amp;A33,'Assignment History'!$A$5:$A$204,"&lt;"&amp;A33+1)&gt;0,"Yes","No"))</x:f>
      </x:c>
      <x:c r="G33" s="97" t="str">
        <x:f>IF(B33="","",IF(F33="Yes",IFERROR(LOOKUP(2,1/(('Assignment History'!$B$5:$B$204=B33)*('Assignment History'!$A$5:$A$204&gt;=A33)*('Assignment History'!$A$5:$A$204&lt;A33+1)),'Assignment History'!$C$5:$C$204),""),""))</x:f>
      </x:c>
      <x:c r="H33" s="97"/>
      <x:c r="I33" s="97"/>
      <x:c r="J33" s="99"/>
      <x:c r="K33" s="97"/>
      <x:c r="L33" s="99"/>
      <x:c r="M33" s="100"/>
      <x:c r="N33" s="100"/>
      <x:c r="O33" s="101" t="str">
        <x:f t="shared" si="0">IF(K33="","",IF(K33="Achieved","Yes","No"))</x:f>
      </x:c>
      <x:c r="P33" s="100"/>
    </x:row>
    <x:row r="34">
      <x:c r="A34" s="96"/>
      <x:c r="B34" s="97"/>
      <x:c r="C34" s="98" t="str">
        <x:f>IF(B34="","",IFERROR(INDEX('Task Master'!$C$5:$C$804,MATCH(B34,'Task Master'!$A$5:$A$804,0)),"Not in latest raw"))</x:f>
      </x:c>
      <x:c r="D34" s="98" t="str">
        <x:f>IF(B34="","",IFERROR(INDEX('Task Master'!$J$5:$J$804,MATCH(B34,'Task Master'!$A$5:$A$804,0)),""))</x:f>
      </x:c>
      <x:c r="E34" s="98" t="str">
        <x:f>IF(B34="","",IFERROR(INDEX('Task Master'!$K$5:$K$804,MATCH(B34,'Task Master'!$A$5:$A$804,0)),""))</x:f>
      </x:c>
      <x:c r="F34" s="97" t="str">
        <x:f>IF(B34="","",IF(COUNTIFS('Assignment History'!$B$5:$B$204,B34,'Assignment History'!$A$5:$A$204,"&gt;="&amp;A34,'Assignment History'!$A$5:$A$204,"&lt;"&amp;A34+1)&gt;0,"Yes","No"))</x:f>
      </x:c>
      <x:c r="G34" s="97" t="str">
        <x:f>IF(B34="","",IF(F34="Yes",IFERROR(LOOKUP(2,1/(('Assignment History'!$B$5:$B$204=B34)*('Assignment History'!$A$5:$A$204&gt;=A34)*('Assignment History'!$A$5:$A$204&lt;A34+1)),'Assignment History'!$C$5:$C$204),""),""))</x:f>
      </x:c>
      <x:c r="H34" s="97"/>
      <x:c r="I34" s="97"/>
      <x:c r="J34" s="99"/>
      <x:c r="K34" s="97"/>
      <x:c r="L34" s="99"/>
      <x:c r="M34" s="100"/>
      <x:c r="N34" s="100"/>
      <x:c r="O34" s="101" t="str">
        <x:f t="shared" si="0">IF(K34="","",IF(K34="Achieved","Yes","No"))</x:f>
      </x:c>
      <x:c r="P34" s="100"/>
    </x:row>
    <x:row r="35">
      <x:c r="A35" s="96"/>
      <x:c r="B35" s="97"/>
      <x:c r="C35" s="98" t="str">
        <x:f>IF(B35="","",IFERROR(INDEX('Task Master'!$C$5:$C$804,MATCH(B35,'Task Master'!$A$5:$A$804,0)),"Not in latest raw"))</x:f>
      </x:c>
      <x:c r="D35" s="98" t="str">
        <x:f>IF(B35="","",IFERROR(INDEX('Task Master'!$J$5:$J$804,MATCH(B35,'Task Master'!$A$5:$A$804,0)),""))</x:f>
      </x:c>
      <x:c r="E35" s="98" t="str">
        <x:f>IF(B35="","",IFERROR(INDEX('Task Master'!$K$5:$K$804,MATCH(B35,'Task Master'!$A$5:$A$804,0)),""))</x:f>
      </x:c>
      <x:c r="F35" s="97" t="str">
        <x:f>IF(B35="","",IF(COUNTIFS('Assignment History'!$B$5:$B$204,B35,'Assignment History'!$A$5:$A$204,"&gt;="&amp;A35,'Assignment History'!$A$5:$A$204,"&lt;"&amp;A35+1)&gt;0,"Yes","No"))</x:f>
      </x:c>
      <x:c r="G35" s="97" t="str">
        <x:f>IF(B35="","",IF(F35="Yes",IFERROR(LOOKUP(2,1/(('Assignment History'!$B$5:$B$204=B35)*('Assignment History'!$A$5:$A$204&gt;=A35)*('Assignment History'!$A$5:$A$204&lt;A35+1)),'Assignment History'!$C$5:$C$204),""),""))</x:f>
      </x:c>
      <x:c r="H35" s="97"/>
      <x:c r="I35" s="97"/>
      <x:c r="J35" s="99"/>
      <x:c r="K35" s="97"/>
      <x:c r="L35" s="99"/>
      <x:c r="M35" s="100"/>
      <x:c r="N35" s="100"/>
      <x:c r="O35" s="101" t="str">
        <x:f t="shared" si="0">IF(K35="","",IF(K35="Achieved","Yes","No"))</x:f>
      </x:c>
      <x:c r="P35" s="100"/>
    </x:row>
    <x:row r="36">
      <x:c r="A36" s="96"/>
      <x:c r="B36" s="97"/>
      <x:c r="C36" s="98" t="str">
        <x:f>IF(B36="","",IFERROR(INDEX('Task Master'!$C$5:$C$804,MATCH(B36,'Task Master'!$A$5:$A$804,0)),"Not in latest raw"))</x:f>
      </x:c>
      <x:c r="D36" s="98" t="str">
        <x:f>IF(B36="","",IFERROR(INDEX('Task Master'!$J$5:$J$804,MATCH(B36,'Task Master'!$A$5:$A$804,0)),""))</x:f>
      </x:c>
      <x:c r="E36" s="98" t="str">
        <x:f>IF(B36="","",IFERROR(INDEX('Task Master'!$K$5:$K$804,MATCH(B36,'Task Master'!$A$5:$A$804,0)),""))</x:f>
      </x:c>
      <x:c r="F36" s="97" t="str">
        <x:f>IF(B36="","",IF(COUNTIFS('Assignment History'!$B$5:$B$204,B36,'Assignment History'!$A$5:$A$204,"&gt;="&amp;A36,'Assignment History'!$A$5:$A$204,"&lt;"&amp;A36+1)&gt;0,"Yes","No"))</x:f>
      </x:c>
      <x:c r="G36" s="97" t="str">
        <x:f>IF(B36="","",IF(F36="Yes",IFERROR(LOOKUP(2,1/(('Assignment History'!$B$5:$B$204=B36)*('Assignment History'!$A$5:$A$204&gt;=A36)*('Assignment History'!$A$5:$A$204&lt;A36+1)),'Assignment History'!$C$5:$C$204),""),""))</x:f>
      </x:c>
      <x:c r="H36" s="97"/>
      <x:c r="I36" s="97"/>
      <x:c r="J36" s="99"/>
      <x:c r="K36" s="97"/>
      <x:c r="L36" s="99"/>
      <x:c r="M36" s="100"/>
      <x:c r="N36" s="100"/>
      <x:c r="O36" s="101" t="str">
        <x:f t="shared" si="0">IF(K36="","",IF(K36="Achieved","Yes","No"))</x:f>
      </x:c>
      <x:c r="P36" s="100"/>
    </x:row>
    <x:row r="37">
      <x:c r="A37" s="96"/>
      <x:c r="B37" s="97"/>
      <x:c r="C37" s="98" t="str">
        <x:f>IF(B37="","",IFERROR(INDEX('Task Master'!$C$5:$C$804,MATCH(B37,'Task Master'!$A$5:$A$804,0)),"Not in latest raw"))</x:f>
      </x:c>
      <x:c r="D37" s="98" t="str">
        <x:f>IF(B37="","",IFERROR(INDEX('Task Master'!$J$5:$J$804,MATCH(B37,'Task Master'!$A$5:$A$804,0)),""))</x:f>
      </x:c>
      <x:c r="E37" s="98" t="str">
        <x:f>IF(B37="","",IFERROR(INDEX('Task Master'!$K$5:$K$804,MATCH(B37,'Task Master'!$A$5:$A$804,0)),""))</x:f>
      </x:c>
      <x:c r="F37" s="97" t="str">
        <x:f>IF(B37="","",IF(COUNTIFS('Assignment History'!$B$5:$B$204,B37,'Assignment History'!$A$5:$A$204,"&gt;="&amp;A37,'Assignment History'!$A$5:$A$204,"&lt;"&amp;A37+1)&gt;0,"Yes","No"))</x:f>
      </x:c>
      <x:c r="G37" s="97" t="str">
        <x:f>IF(B37="","",IF(F37="Yes",IFERROR(LOOKUP(2,1/(('Assignment History'!$B$5:$B$204=B37)*('Assignment History'!$A$5:$A$204&gt;=A37)*('Assignment History'!$A$5:$A$204&lt;A37+1)),'Assignment History'!$C$5:$C$204),""),""))</x:f>
      </x:c>
      <x:c r="H37" s="97"/>
      <x:c r="I37" s="97"/>
      <x:c r="J37" s="99"/>
      <x:c r="K37" s="97"/>
      <x:c r="L37" s="99"/>
      <x:c r="M37" s="100"/>
      <x:c r="N37" s="100"/>
      <x:c r="O37" s="101" t="str">
        <x:f t="shared" ref="O37:O68" si="1">IF(K37="","",IF(K37="Achieved","Yes","No"))</x:f>
      </x:c>
      <x:c r="P37" s="100"/>
    </x:row>
    <x:row r="38">
      <x:c r="A38" s="96"/>
      <x:c r="B38" s="97"/>
      <x:c r="C38" s="98" t="str">
        <x:f>IF(B38="","",IFERROR(INDEX('Task Master'!$C$5:$C$804,MATCH(B38,'Task Master'!$A$5:$A$804,0)),"Not in latest raw"))</x:f>
      </x:c>
      <x:c r="D38" s="98" t="str">
        <x:f>IF(B38="","",IFERROR(INDEX('Task Master'!$J$5:$J$804,MATCH(B38,'Task Master'!$A$5:$A$804,0)),""))</x:f>
      </x:c>
      <x:c r="E38" s="98" t="str">
        <x:f>IF(B38="","",IFERROR(INDEX('Task Master'!$K$5:$K$804,MATCH(B38,'Task Master'!$A$5:$A$804,0)),""))</x:f>
      </x:c>
      <x:c r="F38" s="97" t="str">
        <x:f>IF(B38="","",IF(COUNTIFS('Assignment History'!$B$5:$B$204,B38,'Assignment History'!$A$5:$A$204,"&gt;="&amp;A38,'Assignment History'!$A$5:$A$204,"&lt;"&amp;A38+1)&gt;0,"Yes","No"))</x:f>
      </x:c>
      <x:c r="G38" s="97" t="str">
        <x:f>IF(B38="","",IF(F38="Yes",IFERROR(LOOKUP(2,1/(('Assignment History'!$B$5:$B$204=B38)*('Assignment History'!$A$5:$A$204&gt;=A38)*('Assignment History'!$A$5:$A$204&lt;A38+1)),'Assignment History'!$C$5:$C$204),""),""))</x:f>
      </x:c>
      <x:c r="H38" s="97"/>
      <x:c r="I38" s="97"/>
      <x:c r="J38" s="99"/>
      <x:c r="K38" s="97"/>
      <x:c r="L38" s="99"/>
      <x:c r="M38" s="100"/>
      <x:c r="N38" s="100"/>
      <x:c r="O38" s="101" t="str">
        <x:f t="shared" si="1">IF(K38="","",IF(K38="Achieved","Yes","No"))</x:f>
      </x:c>
      <x:c r="P38" s="100"/>
    </x:row>
    <x:row r="39">
      <x:c r="A39" s="96"/>
      <x:c r="B39" s="97"/>
      <x:c r="C39" s="98" t="str">
        <x:f>IF(B39="","",IFERROR(INDEX('Task Master'!$C$5:$C$804,MATCH(B39,'Task Master'!$A$5:$A$804,0)),"Not in latest raw"))</x:f>
      </x:c>
      <x:c r="D39" s="98" t="str">
        <x:f>IF(B39="","",IFERROR(INDEX('Task Master'!$J$5:$J$804,MATCH(B39,'Task Master'!$A$5:$A$804,0)),""))</x:f>
      </x:c>
      <x:c r="E39" s="98" t="str">
        <x:f>IF(B39="","",IFERROR(INDEX('Task Master'!$K$5:$K$804,MATCH(B39,'Task Master'!$A$5:$A$804,0)),""))</x:f>
      </x:c>
      <x:c r="F39" s="97" t="str">
        <x:f>IF(B39="","",IF(COUNTIFS('Assignment History'!$B$5:$B$204,B39,'Assignment History'!$A$5:$A$204,"&gt;="&amp;A39,'Assignment History'!$A$5:$A$204,"&lt;"&amp;A39+1)&gt;0,"Yes","No"))</x:f>
      </x:c>
      <x:c r="G39" s="97" t="str">
        <x:f>IF(B39="","",IF(F39="Yes",IFERROR(LOOKUP(2,1/(('Assignment History'!$B$5:$B$204=B39)*('Assignment History'!$A$5:$A$204&gt;=A39)*('Assignment History'!$A$5:$A$204&lt;A39+1)),'Assignment History'!$C$5:$C$204),""),""))</x:f>
      </x:c>
      <x:c r="H39" s="97"/>
      <x:c r="I39" s="97"/>
      <x:c r="J39" s="99"/>
      <x:c r="K39" s="97"/>
      <x:c r="L39" s="99"/>
      <x:c r="M39" s="100"/>
      <x:c r="N39" s="100"/>
      <x:c r="O39" s="101" t="str">
        <x:f t="shared" si="1">IF(K39="","",IF(K39="Achieved","Yes","No"))</x:f>
      </x:c>
      <x:c r="P39" s="100"/>
    </x:row>
    <x:row r="40">
      <x:c r="A40" s="96"/>
      <x:c r="B40" s="97"/>
      <x:c r="C40" s="98" t="str">
        <x:f>IF(B40="","",IFERROR(INDEX('Task Master'!$C$5:$C$804,MATCH(B40,'Task Master'!$A$5:$A$804,0)),"Not in latest raw"))</x:f>
      </x:c>
      <x:c r="D40" s="98" t="str">
        <x:f>IF(B40="","",IFERROR(INDEX('Task Master'!$J$5:$J$804,MATCH(B40,'Task Master'!$A$5:$A$804,0)),""))</x:f>
      </x:c>
      <x:c r="E40" s="98" t="str">
        <x:f>IF(B40="","",IFERROR(INDEX('Task Master'!$K$5:$K$804,MATCH(B40,'Task Master'!$A$5:$A$804,0)),""))</x:f>
      </x:c>
      <x:c r="F40" s="97" t="str">
        <x:f>IF(B40="","",IF(COUNTIFS('Assignment History'!$B$5:$B$204,B40,'Assignment History'!$A$5:$A$204,"&gt;="&amp;A40,'Assignment History'!$A$5:$A$204,"&lt;"&amp;A40+1)&gt;0,"Yes","No"))</x:f>
      </x:c>
      <x:c r="G40" s="97" t="str">
        <x:f>IF(B40="","",IF(F40="Yes",IFERROR(LOOKUP(2,1/(('Assignment History'!$B$5:$B$204=B40)*('Assignment History'!$A$5:$A$204&gt;=A40)*('Assignment History'!$A$5:$A$204&lt;A40+1)),'Assignment History'!$C$5:$C$204),""),""))</x:f>
      </x:c>
      <x:c r="H40" s="97"/>
      <x:c r="I40" s="97"/>
      <x:c r="J40" s="99"/>
      <x:c r="K40" s="97"/>
      <x:c r="L40" s="99"/>
      <x:c r="M40" s="100"/>
      <x:c r="N40" s="100"/>
      <x:c r="O40" s="101" t="str">
        <x:f t="shared" si="1">IF(K40="","",IF(K40="Achieved","Yes","No"))</x:f>
      </x:c>
      <x:c r="P40" s="100"/>
    </x:row>
    <x:row r="41">
      <x:c r="A41" s="96"/>
      <x:c r="B41" s="97"/>
      <x:c r="C41" s="98" t="str">
        <x:f>IF(B41="","",IFERROR(INDEX('Task Master'!$C$5:$C$804,MATCH(B41,'Task Master'!$A$5:$A$804,0)),"Not in latest raw"))</x:f>
      </x:c>
      <x:c r="D41" s="98" t="str">
        <x:f>IF(B41="","",IFERROR(INDEX('Task Master'!$J$5:$J$804,MATCH(B41,'Task Master'!$A$5:$A$804,0)),""))</x:f>
      </x:c>
      <x:c r="E41" s="98" t="str">
        <x:f>IF(B41="","",IFERROR(INDEX('Task Master'!$K$5:$K$804,MATCH(B41,'Task Master'!$A$5:$A$804,0)),""))</x:f>
      </x:c>
      <x:c r="F41" s="97" t="str">
        <x:f>IF(B41="","",IF(COUNTIFS('Assignment History'!$B$5:$B$204,B41,'Assignment History'!$A$5:$A$204,"&gt;="&amp;A41,'Assignment History'!$A$5:$A$204,"&lt;"&amp;A41+1)&gt;0,"Yes","No"))</x:f>
      </x:c>
      <x:c r="G41" s="97" t="str">
        <x:f>IF(B41="","",IF(F41="Yes",IFERROR(LOOKUP(2,1/(('Assignment History'!$B$5:$B$204=B41)*('Assignment History'!$A$5:$A$204&gt;=A41)*('Assignment History'!$A$5:$A$204&lt;A41+1)),'Assignment History'!$C$5:$C$204),""),""))</x:f>
      </x:c>
      <x:c r="H41" s="97"/>
      <x:c r="I41" s="97"/>
      <x:c r="J41" s="99"/>
      <x:c r="K41" s="97"/>
      <x:c r="L41" s="99"/>
      <x:c r="M41" s="100"/>
      <x:c r="N41" s="100"/>
      <x:c r="O41" s="101" t="str">
        <x:f t="shared" si="1">IF(K41="","",IF(K41="Achieved","Yes","No"))</x:f>
      </x:c>
      <x:c r="P41" s="100"/>
    </x:row>
    <x:row r="42">
      <x:c r="A42" s="96"/>
      <x:c r="B42" s="97"/>
      <x:c r="C42" s="98" t="str">
        <x:f>IF(B42="","",IFERROR(INDEX('Task Master'!$C$5:$C$804,MATCH(B42,'Task Master'!$A$5:$A$804,0)),"Not in latest raw"))</x:f>
      </x:c>
      <x:c r="D42" s="98" t="str">
        <x:f>IF(B42="","",IFERROR(INDEX('Task Master'!$J$5:$J$804,MATCH(B42,'Task Master'!$A$5:$A$804,0)),""))</x:f>
      </x:c>
      <x:c r="E42" s="98" t="str">
        <x:f>IF(B42="","",IFERROR(INDEX('Task Master'!$K$5:$K$804,MATCH(B42,'Task Master'!$A$5:$A$804,0)),""))</x:f>
      </x:c>
      <x:c r="F42" s="97" t="str">
        <x:f>IF(B42="","",IF(COUNTIFS('Assignment History'!$B$5:$B$204,B42,'Assignment History'!$A$5:$A$204,"&gt;="&amp;A42,'Assignment History'!$A$5:$A$204,"&lt;"&amp;A42+1)&gt;0,"Yes","No"))</x:f>
      </x:c>
      <x:c r="G42" s="97" t="str">
        <x:f>IF(B42="","",IF(F42="Yes",IFERROR(LOOKUP(2,1/(('Assignment History'!$B$5:$B$204=B42)*('Assignment History'!$A$5:$A$204&gt;=A42)*('Assignment History'!$A$5:$A$204&lt;A42+1)),'Assignment History'!$C$5:$C$204),""),""))</x:f>
      </x:c>
      <x:c r="H42" s="97"/>
      <x:c r="I42" s="97"/>
      <x:c r="J42" s="99"/>
      <x:c r="K42" s="97"/>
      <x:c r="L42" s="99"/>
      <x:c r="M42" s="100"/>
      <x:c r="N42" s="100"/>
      <x:c r="O42" s="101" t="str">
        <x:f t="shared" si="1">IF(K42="","",IF(K42="Achieved","Yes","No"))</x:f>
      </x:c>
      <x:c r="P42" s="100"/>
    </x:row>
    <x:row r="43">
      <x:c r="A43" s="96"/>
      <x:c r="B43" s="97"/>
      <x:c r="C43" s="98" t="str">
        <x:f>IF(B43="","",IFERROR(INDEX('Task Master'!$C$5:$C$804,MATCH(B43,'Task Master'!$A$5:$A$804,0)),"Not in latest raw"))</x:f>
      </x:c>
      <x:c r="D43" s="98" t="str">
        <x:f>IF(B43="","",IFERROR(INDEX('Task Master'!$J$5:$J$804,MATCH(B43,'Task Master'!$A$5:$A$804,0)),""))</x:f>
      </x:c>
      <x:c r="E43" s="98" t="str">
        <x:f>IF(B43="","",IFERROR(INDEX('Task Master'!$K$5:$K$804,MATCH(B43,'Task Master'!$A$5:$A$804,0)),""))</x:f>
      </x:c>
      <x:c r="F43" s="97" t="str">
        <x:f>IF(B43="","",IF(COUNTIFS('Assignment History'!$B$5:$B$204,B43,'Assignment History'!$A$5:$A$204,"&gt;="&amp;A43,'Assignment History'!$A$5:$A$204,"&lt;"&amp;A43+1)&gt;0,"Yes","No"))</x:f>
      </x:c>
      <x:c r="G43" s="97" t="str">
        <x:f>IF(B43="","",IF(F43="Yes",IFERROR(LOOKUP(2,1/(('Assignment History'!$B$5:$B$204=B43)*('Assignment History'!$A$5:$A$204&gt;=A43)*('Assignment History'!$A$5:$A$204&lt;A43+1)),'Assignment History'!$C$5:$C$204),""),""))</x:f>
      </x:c>
      <x:c r="H43" s="97"/>
      <x:c r="I43" s="97"/>
      <x:c r="J43" s="99"/>
      <x:c r="K43" s="97"/>
      <x:c r="L43" s="99"/>
      <x:c r="M43" s="100"/>
      <x:c r="N43" s="100"/>
      <x:c r="O43" s="101" t="str">
        <x:f t="shared" si="1">IF(K43="","",IF(K43="Achieved","Yes","No"))</x:f>
      </x:c>
      <x:c r="P43" s="100"/>
    </x:row>
    <x:row r="44">
      <x:c r="A44" s="96"/>
      <x:c r="B44" s="97"/>
      <x:c r="C44" s="98" t="str">
        <x:f>IF(B44="","",IFERROR(INDEX('Task Master'!$C$5:$C$804,MATCH(B44,'Task Master'!$A$5:$A$804,0)),"Not in latest raw"))</x:f>
      </x:c>
      <x:c r="D44" s="98" t="str">
        <x:f>IF(B44="","",IFERROR(INDEX('Task Master'!$J$5:$J$804,MATCH(B44,'Task Master'!$A$5:$A$804,0)),""))</x:f>
      </x:c>
      <x:c r="E44" s="98" t="str">
        <x:f>IF(B44="","",IFERROR(INDEX('Task Master'!$K$5:$K$804,MATCH(B44,'Task Master'!$A$5:$A$804,0)),""))</x:f>
      </x:c>
      <x:c r="F44" s="97" t="str">
        <x:f>IF(B44="","",IF(COUNTIFS('Assignment History'!$B$5:$B$204,B44,'Assignment History'!$A$5:$A$204,"&gt;="&amp;A44,'Assignment History'!$A$5:$A$204,"&lt;"&amp;A44+1)&gt;0,"Yes","No"))</x:f>
      </x:c>
      <x:c r="G44" s="97" t="str">
        <x:f>IF(B44="","",IF(F44="Yes",IFERROR(LOOKUP(2,1/(('Assignment History'!$B$5:$B$204=B44)*('Assignment History'!$A$5:$A$204&gt;=A44)*('Assignment History'!$A$5:$A$204&lt;A44+1)),'Assignment History'!$C$5:$C$204),""),""))</x:f>
      </x:c>
      <x:c r="H44" s="97"/>
      <x:c r="I44" s="97"/>
      <x:c r="J44" s="99"/>
      <x:c r="K44" s="97"/>
      <x:c r="L44" s="99"/>
      <x:c r="M44" s="100"/>
      <x:c r="N44" s="100"/>
      <x:c r="O44" s="101" t="str">
        <x:f t="shared" si="1">IF(K44="","",IF(K44="Achieved","Yes","No"))</x:f>
      </x:c>
      <x:c r="P44" s="100"/>
    </x:row>
    <x:row r="45">
      <x:c r="A45" s="96"/>
      <x:c r="B45" s="97"/>
      <x:c r="C45" s="98" t="str">
        <x:f>IF(B45="","",IFERROR(INDEX('Task Master'!$C$5:$C$804,MATCH(B45,'Task Master'!$A$5:$A$804,0)),"Not in latest raw"))</x:f>
      </x:c>
      <x:c r="D45" s="98" t="str">
        <x:f>IF(B45="","",IFERROR(INDEX('Task Master'!$J$5:$J$804,MATCH(B45,'Task Master'!$A$5:$A$804,0)),""))</x:f>
      </x:c>
      <x:c r="E45" s="98" t="str">
        <x:f>IF(B45="","",IFERROR(INDEX('Task Master'!$K$5:$K$804,MATCH(B45,'Task Master'!$A$5:$A$804,0)),""))</x:f>
      </x:c>
      <x:c r="F45" s="97" t="str">
        <x:f>IF(B45="","",IF(COUNTIFS('Assignment History'!$B$5:$B$204,B45,'Assignment History'!$A$5:$A$204,"&gt;="&amp;A45,'Assignment History'!$A$5:$A$204,"&lt;"&amp;A45+1)&gt;0,"Yes","No"))</x:f>
      </x:c>
      <x:c r="G45" s="97" t="str">
        <x:f>IF(B45="","",IF(F45="Yes",IFERROR(LOOKUP(2,1/(('Assignment History'!$B$5:$B$204=B45)*('Assignment History'!$A$5:$A$204&gt;=A45)*('Assignment History'!$A$5:$A$204&lt;A45+1)),'Assignment History'!$C$5:$C$204),""),""))</x:f>
      </x:c>
      <x:c r="H45" s="97"/>
      <x:c r="I45" s="97"/>
      <x:c r="J45" s="99"/>
      <x:c r="K45" s="97"/>
      <x:c r="L45" s="99"/>
      <x:c r="M45" s="100"/>
      <x:c r="N45" s="100"/>
      <x:c r="O45" s="101" t="str">
        <x:f t="shared" si="1">IF(K45="","",IF(K45="Achieved","Yes","No"))</x:f>
      </x:c>
      <x:c r="P45" s="100"/>
    </x:row>
    <x:row r="46">
      <x:c r="A46" s="96"/>
      <x:c r="B46" s="97"/>
      <x:c r="C46" s="98" t="str">
        <x:f>IF(B46="","",IFERROR(INDEX('Task Master'!$C$5:$C$804,MATCH(B46,'Task Master'!$A$5:$A$804,0)),"Not in latest raw"))</x:f>
      </x:c>
      <x:c r="D46" s="98" t="str">
        <x:f>IF(B46="","",IFERROR(INDEX('Task Master'!$J$5:$J$804,MATCH(B46,'Task Master'!$A$5:$A$804,0)),""))</x:f>
      </x:c>
      <x:c r="E46" s="98" t="str">
        <x:f>IF(B46="","",IFERROR(INDEX('Task Master'!$K$5:$K$804,MATCH(B46,'Task Master'!$A$5:$A$804,0)),""))</x:f>
      </x:c>
      <x:c r="F46" s="97" t="str">
        <x:f>IF(B46="","",IF(COUNTIFS('Assignment History'!$B$5:$B$204,B46,'Assignment History'!$A$5:$A$204,"&gt;="&amp;A46,'Assignment History'!$A$5:$A$204,"&lt;"&amp;A46+1)&gt;0,"Yes","No"))</x:f>
      </x:c>
      <x:c r="G46" s="97" t="str">
        <x:f>IF(B46="","",IF(F46="Yes",IFERROR(LOOKUP(2,1/(('Assignment History'!$B$5:$B$204=B46)*('Assignment History'!$A$5:$A$204&gt;=A46)*('Assignment History'!$A$5:$A$204&lt;A46+1)),'Assignment History'!$C$5:$C$204),""),""))</x:f>
      </x:c>
      <x:c r="H46" s="97"/>
      <x:c r="I46" s="97"/>
      <x:c r="J46" s="99"/>
      <x:c r="K46" s="97"/>
      <x:c r="L46" s="99"/>
      <x:c r="M46" s="100"/>
      <x:c r="N46" s="100"/>
      <x:c r="O46" s="101" t="str">
        <x:f t="shared" si="1">IF(K46="","",IF(K46="Achieved","Yes","No"))</x:f>
      </x:c>
      <x:c r="P46" s="100"/>
    </x:row>
    <x:row r="47">
      <x:c r="A47" s="96"/>
      <x:c r="B47" s="97"/>
      <x:c r="C47" s="98" t="str">
        <x:f>IF(B47="","",IFERROR(INDEX('Task Master'!$C$5:$C$804,MATCH(B47,'Task Master'!$A$5:$A$804,0)),"Not in latest raw"))</x:f>
      </x:c>
      <x:c r="D47" s="98" t="str">
        <x:f>IF(B47="","",IFERROR(INDEX('Task Master'!$J$5:$J$804,MATCH(B47,'Task Master'!$A$5:$A$804,0)),""))</x:f>
      </x:c>
      <x:c r="E47" s="98" t="str">
        <x:f>IF(B47="","",IFERROR(INDEX('Task Master'!$K$5:$K$804,MATCH(B47,'Task Master'!$A$5:$A$804,0)),""))</x:f>
      </x:c>
      <x:c r="F47" s="97" t="str">
        <x:f>IF(B47="","",IF(COUNTIFS('Assignment History'!$B$5:$B$204,B47,'Assignment History'!$A$5:$A$204,"&gt;="&amp;A47,'Assignment History'!$A$5:$A$204,"&lt;"&amp;A47+1)&gt;0,"Yes","No"))</x:f>
      </x:c>
      <x:c r="G47" s="97" t="str">
        <x:f>IF(B47="","",IF(F47="Yes",IFERROR(LOOKUP(2,1/(('Assignment History'!$B$5:$B$204=B47)*('Assignment History'!$A$5:$A$204&gt;=A47)*('Assignment History'!$A$5:$A$204&lt;A47+1)),'Assignment History'!$C$5:$C$204),""),""))</x:f>
      </x:c>
      <x:c r="H47" s="97"/>
      <x:c r="I47" s="97"/>
      <x:c r="J47" s="99"/>
      <x:c r="K47" s="97"/>
      <x:c r="L47" s="99"/>
      <x:c r="M47" s="100"/>
      <x:c r="N47" s="100"/>
      <x:c r="O47" s="101" t="str">
        <x:f t="shared" si="1">IF(K47="","",IF(K47="Achieved","Yes","No"))</x:f>
      </x:c>
      <x:c r="P47" s="100"/>
    </x:row>
    <x:row r="48">
      <x:c r="A48" s="96"/>
      <x:c r="B48" s="97"/>
      <x:c r="C48" s="98" t="str">
        <x:f>IF(B48="","",IFERROR(INDEX('Task Master'!$C$5:$C$804,MATCH(B48,'Task Master'!$A$5:$A$804,0)),"Not in latest raw"))</x:f>
      </x:c>
      <x:c r="D48" s="98" t="str">
        <x:f>IF(B48="","",IFERROR(INDEX('Task Master'!$J$5:$J$804,MATCH(B48,'Task Master'!$A$5:$A$804,0)),""))</x:f>
      </x:c>
      <x:c r="E48" s="98" t="str">
        <x:f>IF(B48="","",IFERROR(INDEX('Task Master'!$K$5:$K$804,MATCH(B48,'Task Master'!$A$5:$A$804,0)),""))</x:f>
      </x:c>
      <x:c r="F48" s="97" t="str">
        <x:f>IF(B48="","",IF(COUNTIFS('Assignment History'!$B$5:$B$204,B48,'Assignment History'!$A$5:$A$204,"&gt;="&amp;A48,'Assignment History'!$A$5:$A$204,"&lt;"&amp;A48+1)&gt;0,"Yes","No"))</x:f>
      </x:c>
      <x:c r="G48" s="97" t="str">
        <x:f>IF(B48="","",IF(F48="Yes",IFERROR(LOOKUP(2,1/(('Assignment History'!$B$5:$B$204=B48)*('Assignment History'!$A$5:$A$204&gt;=A48)*('Assignment History'!$A$5:$A$204&lt;A48+1)),'Assignment History'!$C$5:$C$204),""),""))</x:f>
      </x:c>
      <x:c r="H48" s="97"/>
      <x:c r="I48" s="97"/>
      <x:c r="J48" s="99"/>
      <x:c r="K48" s="97"/>
      <x:c r="L48" s="99"/>
      <x:c r="M48" s="100"/>
      <x:c r="N48" s="100"/>
      <x:c r="O48" s="101" t="str">
        <x:f t="shared" si="1">IF(K48="","",IF(K48="Achieved","Yes","No"))</x:f>
      </x:c>
      <x:c r="P48" s="100"/>
    </x:row>
    <x:row r="49">
      <x:c r="A49" s="96"/>
      <x:c r="B49" s="97"/>
      <x:c r="C49" s="98" t="str">
        <x:f>IF(B49="","",IFERROR(INDEX('Task Master'!$C$5:$C$804,MATCH(B49,'Task Master'!$A$5:$A$804,0)),"Not in latest raw"))</x:f>
      </x:c>
      <x:c r="D49" s="98" t="str">
        <x:f>IF(B49="","",IFERROR(INDEX('Task Master'!$J$5:$J$804,MATCH(B49,'Task Master'!$A$5:$A$804,0)),""))</x:f>
      </x:c>
      <x:c r="E49" s="98" t="str">
        <x:f>IF(B49="","",IFERROR(INDEX('Task Master'!$K$5:$K$804,MATCH(B49,'Task Master'!$A$5:$A$804,0)),""))</x:f>
      </x:c>
      <x:c r="F49" s="97" t="str">
        <x:f>IF(B49="","",IF(COUNTIFS('Assignment History'!$B$5:$B$204,B49,'Assignment History'!$A$5:$A$204,"&gt;="&amp;A49,'Assignment History'!$A$5:$A$204,"&lt;"&amp;A49+1)&gt;0,"Yes","No"))</x:f>
      </x:c>
      <x:c r="G49" s="97" t="str">
        <x:f>IF(B49="","",IF(F49="Yes",IFERROR(LOOKUP(2,1/(('Assignment History'!$B$5:$B$204=B49)*('Assignment History'!$A$5:$A$204&gt;=A49)*('Assignment History'!$A$5:$A$204&lt;A49+1)),'Assignment History'!$C$5:$C$204),""),""))</x:f>
      </x:c>
      <x:c r="H49" s="97"/>
      <x:c r="I49" s="97"/>
      <x:c r="J49" s="99"/>
      <x:c r="K49" s="97"/>
      <x:c r="L49" s="99"/>
      <x:c r="M49" s="100"/>
      <x:c r="N49" s="100"/>
      <x:c r="O49" s="101" t="str">
        <x:f t="shared" si="1">IF(K49="","",IF(K49="Achieved","Yes","No"))</x:f>
      </x:c>
      <x:c r="P49" s="100"/>
    </x:row>
    <x:row r="50">
      <x:c r="A50" s="96"/>
      <x:c r="B50" s="97"/>
      <x:c r="C50" s="98" t="str">
        <x:f>IF(B50="","",IFERROR(INDEX('Task Master'!$C$5:$C$804,MATCH(B50,'Task Master'!$A$5:$A$804,0)),"Not in latest raw"))</x:f>
      </x:c>
      <x:c r="D50" s="98" t="str">
        <x:f>IF(B50="","",IFERROR(INDEX('Task Master'!$J$5:$J$804,MATCH(B50,'Task Master'!$A$5:$A$804,0)),""))</x:f>
      </x:c>
      <x:c r="E50" s="98" t="str">
        <x:f>IF(B50="","",IFERROR(INDEX('Task Master'!$K$5:$K$804,MATCH(B50,'Task Master'!$A$5:$A$804,0)),""))</x:f>
      </x:c>
      <x:c r="F50" s="97" t="str">
        <x:f>IF(B50="","",IF(COUNTIFS('Assignment History'!$B$5:$B$204,B50,'Assignment History'!$A$5:$A$204,"&gt;="&amp;A50,'Assignment History'!$A$5:$A$204,"&lt;"&amp;A50+1)&gt;0,"Yes","No"))</x:f>
      </x:c>
      <x:c r="G50" s="97" t="str">
        <x:f>IF(B50="","",IF(F50="Yes",IFERROR(LOOKUP(2,1/(('Assignment History'!$B$5:$B$204=B50)*('Assignment History'!$A$5:$A$204&gt;=A50)*('Assignment History'!$A$5:$A$204&lt;A50+1)),'Assignment History'!$C$5:$C$204),""),""))</x:f>
      </x:c>
      <x:c r="H50" s="97"/>
      <x:c r="I50" s="97"/>
      <x:c r="J50" s="99"/>
      <x:c r="K50" s="97"/>
      <x:c r="L50" s="99"/>
      <x:c r="M50" s="100"/>
      <x:c r="N50" s="100"/>
      <x:c r="O50" s="101" t="str">
        <x:f t="shared" si="1">IF(K50="","",IF(K50="Achieved","Yes","No"))</x:f>
      </x:c>
      <x:c r="P50" s="100"/>
    </x:row>
    <x:row r="51">
      <x:c r="A51" s="96"/>
      <x:c r="B51" s="97"/>
      <x:c r="C51" s="98" t="str">
        <x:f>IF(B51="","",IFERROR(INDEX('Task Master'!$C$5:$C$804,MATCH(B51,'Task Master'!$A$5:$A$804,0)),"Not in latest raw"))</x:f>
      </x:c>
      <x:c r="D51" s="98" t="str">
        <x:f>IF(B51="","",IFERROR(INDEX('Task Master'!$J$5:$J$804,MATCH(B51,'Task Master'!$A$5:$A$804,0)),""))</x:f>
      </x:c>
      <x:c r="E51" s="98" t="str">
        <x:f>IF(B51="","",IFERROR(INDEX('Task Master'!$K$5:$K$804,MATCH(B51,'Task Master'!$A$5:$A$804,0)),""))</x:f>
      </x:c>
      <x:c r="F51" s="97" t="str">
        <x:f>IF(B51="","",IF(COUNTIFS('Assignment History'!$B$5:$B$204,B51,'Assignment History'!$A$5:$A$204,"&gt;="&amp;A51,'Assignment History'!$A$5:$A$204,"&lt;"&amp;A51+1)&gt;0,"Yes","No"))</x:f>
      </x:c>
      <x:c r="G51" s="97" t="str">
        <x:f>IF(B51="","",IF(F51="Yes",IFERROR(LOOKUP(2,1/(('Assignment History'!$B$5:$B$204=B51)*('Assignment History'!$A$5:$A$204&gt;=A51)*('Assignment History'!$A$5:$A$204&lt;A51+1)),'Assignment History'!$C$5:$C$204),""),""))</x:f>
      </x:c>
      <x:c r="H51" s="97"/>
      <x:c r="I51" s="97"/>
      <x:c r="J51" s="99"/>
      <x:c r="K51" s="97"/>
      <x:c r="L51" s="99"/>
      <x:c r="M51" s="100"/>
      <x:c r="N51" s="100"/>
      <x:c r="O51" s="101" t="str">
        <x:f t="shared" si="1">IF(K51="","",IF(K51="Achieved","Yes","No"))</x:f>
      </x:c>
      <x:c r="P51" s="100"/>
    </x:row>
    <x:row r="52">
      <x:c r="A52" s="96"/>
      <x:c r="B52" s="97"/>
      <x:c r="C52" s="98" t="str">
        <x:f>IF(B52="","",IFERROR(INDEX('Task Master'!$C$5:$C$804,MATCH(B52,'Task Master'!$A$5:$A$804,0)),"Not in latest raw"))</x:f>
      </x:c>
      <x:c r="D52" s="98" t="str">
        <x:f>IF(B52="","",IFERROR(INDEX('Task Master'!$J$5:$J$804,MATCH(B52,'Task Master'!$A$5:$A$804,0)),""))</x:f>
      </x:c>
      <x:c r="E52" s="98" t="str">
        <x:f>IF(B52="","",IFERROR(INDEX('Task Master'!$K$5:$K$804,MATCH(B52,'Task Master'!$A$5:$A$804,0)),""))</x:f>
      </x:c>
      <x:c r="F52" s="97" t="str">
        <x:f>IF(B52="","",IF(COUNTIFS('Assignment History'!$B$5:$B$204,B52,'Assignment History'!$A$5:$A$204,"&gt;="&amp;A52,'Assignment History'!$A$5:$A$204,"&lt;"&amp;A52+1)&gt;0,"Yes","No"))</x:f>
      </x:c>
      <x:c r="G52" s="97" t="str">
        <x:f>IF(B52="","",IF(F52="Yes",IFERROR(LOOKUP(2,1/(('Assignment History'!$B$5:$B$204=B52)*('Assignment History'!$A$5:$A$204&gt;=A52)*('Assignment History'!$A$5:$A$204&lt;A52+1)),'Assignment History'!$C$5:$C$204),""),""))</x:f>
      </x:c>
      <x:c r="H52" s="97"/>
      <x:c r="I52" s="97"/>
      <x:c r="J52" s="99"/>
      <x:c r="K52" s="97"/>
      <x:c r="L52" s="99"/>
      <x:c r="M52" s="100"/>
      <x:c r="N52" s="100"/>
      <x:c r="O52" s="101" t="str">
        <x:f t="shared" si="1">IF(K52="","",IF(K52="Achieved","Yes","No"))</x:f>
      </x:c>
      <x:c r="P52" s="100"/>
    </x:row>
    <x:row r="53">
      <x:c r="A53" s="96"/>
      <x:c r="B53" s="97"/>
      <x:c r="C53" s="98" t="str">
        <x:f>IF(B53="","",IFERROR(INDEX('Task Master'!$C$5:$C$804,MATCH(B53,'Task Master'!$A$5:$A$804,0)),"Not in latest raw"))</x:f>
      </x:c>
      <x:c r="D53" s="98" t="str">
        <x:f>IF(B53="","",IFERROR(INDEX('Task Master'!$J$5:$J$804,MATCH(B53,'Task Master'!$A$5:$A$804,0)),""))</x:f>
      </x:c>
      <x:c r="E53" s="98" t="str">
        <x:f>IF(B53="","",IFERROR(INDEX('Task Master'!$K$5:$K$804,MATCH(B53,'Task Master'!$A$5:$A$804,0)),""))</x:f>
      </x:c>
      <x:c r="F53" s="97" t="str">
        <x:f>IF(B53="","",IF(COUNTIFS('Assignment History'!$B$5:$B$204,B53,'Assignment History'!$A$5:$A$204,"&gt;="&amp;A53,'Assignment History'!$A$5:$A$204,"&lt;"&amp;A53+1)&gt;0,"Yes","No"))</x:f>
      </x:c>
      <x:c r="G53" s="97" t="str">
        <x:f>IF(B53="","",IF(F53="Yes",IFERROR(LOOKUP(2,1/(('Assignment History'!$B$5:$B$204=B53)*('Assignment History'!$A$5:$A$204&gt;=A53)*('Assignment History'!$A$5:$A$204&lt;A53+1)),'Assignment History'!$C$5:$C$204),""),""))</x:f>
      </x:c>
      <x:c r="H53" s="97"/>
      <x:c r="I53" s="97"/>
      <x:c r="J53" s="99"/>
      <x:c r="K53" s="97"/>
      <x:c r="L53" s="99"/>
      <x:c r="M53" s="100"/>
      <x:c r="N53" s="100"/>
      <x:c r="O53" s="101" t="str">
        <x:f t="shared" si="1">IF(K53="","",IF(K53="Achieved","Yes","No"))</x:f>
      </x:c>
      <x:c r="P53" s="100"/>
    </x:row>
    <x:row r="54">
      <x:c r="A54" s="96"/>
      <x:c r="B54" s="97"/>
      <x:c r="C54" s="98" t="str">
        <x:f>IF(B54="","",IFERROR(INDEX('Task Master'!$C$5:$C$804,MATCH(B54,'Task Master'!$A$5:$A$804,0)),"Not in latest raw"))</x:f>
      </x:c>
      <x:c r="D54" s="98" t="str">
        <x:f>IF(B54="","",IFERROR(INDEX('Task Master'!$J$5:$J$804,MATCH(B54,'Task Master'!$A$5:$A$804,0)),""))</x:f>
      </x:c>
      <x:c r="E54" s="98" t="str">
        <x:f>IF(B54="","",IFERROR(INDEX('Task Master'!$K$5:$K$804,MATCH(B54,'Task Master'!$A$5:$A$804,0)),""))</x:f>
      </x:c>
      <x:c r="F54" s="97" t="str">
        <x:f>IF(B54="","",IF(COUNTIFS('Assignment History'!$B$5:$B$204,B54,'Assignment History'!$A$5:$A$204,"&gt;="&amp;A54,'Assignment History'!$A$5:$A$204,"&lt;"&amp;A54+1)&gt;0,"Yes","No"))</x:f>
      </x:c>
      <x:c r="G54" s="97" t="str">
        <x:f>IF(B54="","",IF(F54="Yes",IFERROR(LOOKUP(2,1/(('Assignment History'!$B$5:$B$204=B54)*('Assignment History'!$A$5:$A$204&gt;=A54)*('Assignment History'!$A$5:$A$204&lt;A54+1)),'Assignment History'!$C$5:$C$204),""),""))</x:f>
      </x:c>
      <x:c r="H54" s="97"/>
      <x:c r="I54" s="97"/>
      <x:c r="J54" s="99"/>
      <x:c r="K54" s="97"/>
      <x:c r="L54" s="99"/>
      <x:c r="M54" s="100"/>
      <x:c r="N54" s="100"/>
      <x:c r="O54" s="101" t="str">
        <x:f t="shared" si="1">IF(K54="","",IF(K54="Achieved","Yes","No"))</x:f>
      </x:c>
      <x:c r="P54" s="100"/>
    </x:row>
    <x:row r="55">
      <x:c r="A55" s="96"/>
      <x:c r="B55" s="97"/>
      <x:c r="C55" s="98" t="str">
        <x:f>IF(B55="","",IFERROR(INDEX('Task Master'!$C$5:$C$804,MATCH(B55,'Task Master'!$A$5:$A$804,0)),"Not in latest raw"))</x:f>
      </x:c>
      <x:c r="D55" s="98" t="str">
        <x:f>IF(B55="","",IFERROR(INDEX('Task Master'!$J$5:$J$804,MATCH(B55,'Task Master'!$A$5:$A$804,0)),""))</x:f>
      </x:c>
      <x:c r="E55" s="98" t="str">
        <x:f>IF(B55="","",IFERROR(INDEX('Task Master'!$K$5:$K$804,MATCH(B55,'Task Master'!$A$5:$A$804,0)),""))</x:f>
      </x:c>
      <x:c r="F55" s="97" t="str">
        <x:f>IF(B55="","",IF(COUNTIFS('Assignment History'!$B$5:$B$204,B55,'Assignment History'!$A$5:$A$204,"&gt;="&amp;A55,'Assignment History'!$A$5:$A$204,"&lt;"&amp;A55+1)&gt;0,"Yes","No"))</x:f>
      </x:c>
      <x:c r="G55" s="97" t="str">
        <x:f>IF(B55="","",IF(F55="Yes",IFERROR(LOOKUP(2,1/(('Assignment History'!$B$5:$B$204=B55)*('Assignment History'!$A$5:$A$204&gt;=A55)*('Assignment History'!$A$5:$A$204&lt;A55+1)),'Assignment History'!$C$5:$C$204),""),""))</x:f>
      </x:c>
      <x:c r="H55" s="97"/>
      <x:c r="I55" s="97"/>
      <x:c r="J55" s="99"/>
      <x:c r="K55" s="97"/>
      <x:c r="L55" s="99"/>
      <x:c r="M55" s="100"/>
      <x:c r="N55" s="100"/>
      <x:c r="O55" s="101" t="str">
        <x:f t="shared" si="1">IF(K55="","",IF(K55="Achieved","Yes","No"))</x:f>
      </x:c>
      <x:c r="P55" s="100"/>
    </x:row>
    <x:row r="56">
      <x:c r="A56" s="96"/>
      <x:c r="B56" s="97"/>
      <x:c r="C56" s="98" t="str">
        <x:f>IF(B56="","",IFERROR(INDEX('Task Master'!$C$5:$C$804,MATCH(B56,'Task Master'!$A$5:$A$804,0)),"Not in latest raw"))</x:f>
      </x:c>
      <x:c r="D56" s="98" t="str">
        <x:f>IF(B56="","",IFERROR(INDEX('Task Master'!$J$5:$J$804,MATCH(B56,'Task Master'!$A$5:$A$804,0)),""))</x:f>
      </x:c>
      <x:c r="E56" s="98" t="str">
        <x:f>IF(B56="","",IFERROR(INDEX('Task Master'!$K$5:$K$804,MATCH(B56,'Task Master'!$A$5:$A$804,0)),""))</x:f>
      </x:c>
      <x:c r="F56" s="97" t="str">
        <x:f>IF(B56="","",IF(COUNTIFS('Assignment History'!$B$5:$B$204,B56,'Assignment History'!$A$5:$A$204,"&gt;="&amp;A56,'Assignment History'!$A$5:$A$204,"&lt;"&amp;A56+1)&gt;0,"Yes","No"))</x:f>
      </x:c>
      <x:c r="G56" s="97" t="str">
        <x:f>IF(B56="","",IF(F56="Yes",IFERROR(LOOKUP(2,1/(('Assignment History'!$B$5:$B$204=B56)*('Assignment History'!$A$5:$A$204&gt;=A56)*('Assignment History'!$A$5:$A$204&lt;A56+1)),'Assignment History'!$C$5:$C$204),""),""))</x:f>
      </x:c>
      <x:c r="H56" s="97"/>
      <x:c r="I56" s="97"/>
      <x:c r="J56" s="99"/>
      <x:c r="K56" s="97"/>
      <x:c r="L56" s="99"/>
      <x:c r="M56" s="100"/>
      <x:c r="N56" s="100"/>
      <x:c r="O56" s="101" t="str">
        <x:f t="shared" si="1">IF(K56="","",IF(K56="Achieved","Yes","No"))</x:f>
      </x:c>
      <x:c r="P56" s="100"/>
    </x:row>
    <x:row r="57">
      <x:c r="A57" s="96"/>
      <x:c r="B57" s="97"/>
      <x:c r="C57" s="98" t="str">
        <x:f>IF(B57="","",IFERROR(INDEX('Task Master'!$C$5:$C$804,MATCH(B57,'Task Master'!$A$5:$A$804,0)),"Not in latest raw"))</x:f>
      </x:c>
      <x:c r="D57" s="98" t="str">
        <x:f>IF(B57="","",IFERROR(INDEX('Task Master'!$J$5:$J$804,MATCH(B57,'Task Master'!$A$5:$A$804,0)),""))</x:f>
      </x:c>
      <x:c r="E57" s="98" t="str">
        <x:f>IF(B57="","",IFERROR(INDEX('Task Master'!$K$5:$K$804,MATCH(B57,'Task Master'!$A$5:$A$804,0)),""))</x:f>
      </x:c>
      <x:c r="F57" s="97" t="str">
        <x:f>IF(B57="","",IF(COUNTIFS('Assignment History'!$B$5:$B$204,B57,'Assignment History'!$A$5:$A$204,"&gt;="&amp;A57,'Assignment History'!$A$5:$A$204,"&lt;"&amp;A57+1)&gt;0,"Yes","No"))</x:f>
      </x:c>
      <x:c r="G57" s="97" t="str">
        <x:f>IF(B57="","",IF(F57="Yes",IFERROR(LOOKUP(2,1/(('Assignment History'!$B$5:$B$204=B57)*('Assignment History'!$A$5:$A$204&gt;=A57)*('Assignment History'!$A$5:$A$204&lt;A57+1)),'Assignment History'!$C$5:$C$204),""),""))</x:f>
      </x:c>
      <x:c r="H57" s="97"/>
      <x:c r="I57" s="97"/>
      <x:c r="J57" s="99"/>
      <x:c r="K57" s="97"/>
      <x:c r="L57" s="99"/>
      <x:c r="M57" s="100"/>
      <x:c r="N57" s="100"/>
      <x:c r="O57" s="101" t="str">
        <x:f t="shared" si="1">IF(K57="","",IF(K57="Achieved","Yes","No"))</x:f>
      </x:c>
      <x:c r="P57" s="100"/>
    </x:row>
    <x:row r="58">
      <x:c r="A58" s="96"/>
      <x:c r="B58" s="97"/>
      <x:c r="C58" s="98" t="str">
        <x:f>IF(B58="","",IFERROR(INDEX('Task Master'!$C$5:$C$804,MATCH(B58,'Task Master'!$A$5:$A$804,0)),"Not in latest raw"))</x:f>
      </x:c>
      <x:c r="D58" s="98" t="str">
        <x:f>IF(B58="","",IFERROR(INDEX('Task Master'!$J$5:$J$804,MATCH(B58,'Task Master'!$A$5:$A$804,0)),""))</x:f>
      </x:c>
      <x:c r="E58" s="98" t="str">
        <x:f>IF(B58="","",IFERROR(INDEX('Task Master'!$K$5:$K$804,MATCH(B58,'Task Master'!$A$5:$A$804,0)),""))</x:f>
      </x:c>
      <x:c r="F58" s="97" t="str">
        <x:f>IF(B58="","",IF(COUNTIFS('Assignment History'!$B$5:$B$204,B58,'Assignment History'!$A$5:$A$204,"&gt;="&amp;A58,'Assignment History'!$A$5:$A$204,"&lt;"&amp;A58+1)&gt;0,"Yes","No"))</x:f>
      </x:c>
      <x:c r="G58" s="97" t="str">
        <x:f>IF(B58="","",IF(F58="Yes",IFERROR(LOOKUP(2,1/(('Assignment History'!$B$5:$B$204=B58)*('Assignment History'!$A$5:$A$204&gt;=A58)*('Assignment History'!$A$5:$A$204&lt;A58+1)),'Assignment History'!$C$5:$C$204),""),""))</x:f>
      </x:c>
      <x:c r="H58" s="97"/>
      <x:c r="I58" s="97"/>
      <x:c r="J58" s="99"/>
      <x:c r="K58" s="97"/>
      <x:c r="L58" s="99"/>
      <x:c r="M58" s="100"/>
      <x:c r="N58" s="100"/>
      <x:c r="O58" s="101" t="str">
        <x:f t="shared" si="1">IF(K58="","",IF(K58="Achieved","Yes","No"))</x:f>
      </x:c>
      <x:c r="P58" s="100"/>
    </x:row>
    <x:row r="59">
      <x:c r="A59" s="96"/>
      <x:c r="B59" s="97"/>
      <x:c r="C59" s="98" t="str">
        <x:f>IF(B59="","",IFERROR(INDEX('Task Master'!$C$5:$C$804,MATCH(B59,'Task Master'!$A$5:$A$804,0)),"Not in latest raw"))</x:f>
      </x:c>
      <x:c r="D59" s="98" t="str">
        <x:f>IF(B59="","",IFERROR(INDEX('Task Master'!$J$5:$J$804,MATCH(B59,'Task Master'!$A$5:$A$804,0)),""))</x:f>
      </x:c>
      <x:c r="E59" s="98" t="str">
        <x:f>IF(B59="","",IFERROR(INDEX('Task Master'!$K$5:$K$804,MATCH(B59,'Task Master'!$A$5:$A$804,0)),""))</x:f>
      </x:c>
      <x:c r="F59" s="97" t="str">
        <x:f>IF(B59="","",IF(COUNTIFS('Assignment History'!$B$5:$B$204,B59,'Assignment History'!$A$5:$A$204,"&gt;="&amp;A59,'Assignment History'!$A$5:$A$204,"&lt;"&amp;A59+1)&gt;0,"Yes","No"))</x:f>
      </x:c>
      <x:c r="G59" s="97" t="str">
        <x:f>IF(B59="","",IF(F59="Yes",IFERROR(LOOKUP(2,1/(('Assignment History'!$B$5:$B$204=B59)*('Assignment History'!$A$5:$A$204&gt;=A59)*('Assignment History'!$A$5:$A$204&lt;A59+1)),'Assignment History'!$C$5:$C$204),""),""))</x:f>
      </x:c>
      <x:c r="H59" s="97"/>
      <x:c r="I59" s="97"/>
      <x:c r="J59" s="99"/>
      <x:c r="K59" s="97"/>
      <x:c r="L59" s="99"/>
      <x:c r="M59" s="100"/>
      <x:c r="N59" s="100"/>
      <x:c r="O59" s="101" t="str">
        <x:f t="shared" si="1">IF(K59="","",IF(K59="Achieved","Yes","No"))</x:f>
      </x:c>
      <x:c r="P59" s="100"/>
    </x:row>
    <x:row r="60">
      <x:c r="A60" s="96"/>
      <x:c r="B60" s="97"/>
      <x:c r="C60" s="98" t="str">
        <x:f>IF(B60="","",IFERROR(INDEX('Task Master'!$C$5:$C$804,MATCH(B60,'Task Master'!$A$5:$A$804,0)),"Not in latest raw"))</x:f>
      </x:c>
      <x:c r="D60" s="98" t="str">
        <x:f>IF(B60="","",IFERROR(INDEX('Task Master'!$J$5:$J$804,MATCH(B60,'Task Master'!$A$5:$A$804,0)),""))</x:f>
      </x:c>
      <x:c r="E60" s="98" t="str">
        <x:f>IF(B60="","",IFERROR(INDEX('Task Master'!$K$5:$K$804,MATCH(B60,'Task Master'!$A$5:$A$804,0)),""))</x:f>
      </x:c>
      <x:c r="F60" s="97" t="str">
        <x:f>IF(B60="","",IF(COUNTIFS('Assignment History'!$B$5:$B$204,B60,'Assignment History'!$A$5:$A$204,"&gt;="&amp;A60,'Assignment History'!$A$5:$A$204,"&lt;"&amp;A60+1)&gt;0,"Yes","No"))</x:f>
      </x:c>
      <x:c r="G60" s="97" t="str">
        <x:f>IF(B60="","",IF(F60="Yes",IFERROR(LOOKUP(2,1/(('Assignment History'!$B$5:$B$204=B60)*('Assignment History'!$A$5:$A$204&gt;=A60)*('Assignment History'!$A$5:$A$204&lt;A60+1)),'Assignment History'!$C$5:$C$204),""),""))</x:f>
      </x:c>
      <x:c r="H60" s="97"/>
      <x:c r="I60" s="97"/>
      <x:c r="J60" s="99"/>
      <x:c r="K60" s="97"/>
      <x:c r="L60" s="99"/>
      <x:c r="M60" s="100"/>
      <x:c r="N60" s="100"/>
      <x:c r="O60" s="101" t="str">
        <x:f t="shared" si="1">IF(K60="","",IF(K60="Achieved","Yes","No"))</x:f>
      </x:c>
      <x:c r="P60" s="100"/>
    </x:row>
    <x:row r="61">
      <x:c r="A61" s="96"/>
      <x:c r="B61" s="97"/>
      <x:c r="C61" s="98" t="str">
        <x:f>IF(B61="","",IFERROR(INDEX('Task Master'!$C$5:$C$804,MATCH(B61,'Task Master'!$A$5:$A$804,0)),"Not in latest raw"))</x:f>
      </x:c>
      <x:c r="D61" s="98" t="str">
        <x:f>IF(B61="","",IFERROR(INDEX('Task Master'!$J$5:$J$804,MATCH(B61,'Task Master'!$A$5:$A$804,0)),""))</x:f>
      </x:c>
      <x:c r="E61" s="98" t="str">
        <x:f>IF(B61="","",IFERROR(INDEX('Task Master'!$K$5:$K$804,MATCH(B61,'Task Master'!$A$5:$A$804,0)),""))</x:f>
      </x:c>
      <x:c r="F61" s="97" t="str">
        <x:f>IF(B61="","",IF(COUNTIFS('Assignment History'!$B$5:$B$204,B61,'Assignment History'!$A$5:$A$204,"&gt;="&amp;A61,'Assignment History'!$A$5:$A$204,"&lt;"&amp;A61+1)&gt;0,"Yes","No"))</x:f>
      </x:c>
      <x:c r="G61" s="97" t="str">
        <x:f>IF(B61="","",IF(F61="Yes",IFERROR(LOOKUP(2,1/(('Assignment History'!$B$5:$B$204=B61)*('Assignment History'!$A$5:$A$204&gt;=A61)*('Assignment History'!$A$5:$A$204&lt;A61+1)),'Assignment History'!$C$5:$C$204),""),""))</x:f>
      </x:c>
      <x:c r="H61" s="97"/>
      <x:c r="I61" s="97"/>
      <x:c r="J61" s="99"/>
      <x:c r="K61" s="97"/>
      <x:c r="L61" s="99"/>
      <x:c r="M61" s="100"/>
      <x:c r="N61" s="100"/>
      <x:c r="O61" s="101" t="str">
        <x:f t="shared" si="1">IF(K61="","",IF(K61="Achieved","Yes","No"))</x:f>
      </x:c>
      <x:c r="P61" s="100"/>
    </x:row>
    <x:row r="62">
      <x:c r="A62" s="96"/>
      <x:c r="B62" s="97"/>
      <x:c r="C62" s="98" t="str">
        <x:f>IF(B62="","",IFERROR(INDEX('Task Master'!$C$5:$C$804,MATCH(B62,'Task Master'!$A$5:$A$804,0)),"Not in latest raw"))</x:f>
      </x:c>
      <x:c r="D62" s="98" t="str">
        <x:f>IF(B62="","",IFERROR(INDEX('Task Master'!$J$5:$J$804,MATCH(B62,'Task Master'!$A$5:$A$804,0)),""))</x:f>
      </x:c>
      <x:c r="E62" s="98" t="str">
        <x:f>IF(B62="","",IFERROR(INDEX('Task Master'!$K$5:$K$804,MATCH(B62,'Task Master'!$A$5:$A$804,0)),""))</x:f>
      </x:c>
      <x:c r="F62" s="97" t="str">
        <x:f>IF(B62="","",IF(COUNTIFS('Assignment History'!$B$5:$B$204,B62,'Assignment History'!$A$5:$A$204,"&gt;="&amp;A62,'Assignment History'!$A$5:$A$204,"&lt;"&amp;A62+1)&gt;0,"Yes","No"))</x:f>
      </x:c>
      <x:c r="G62" s="97" t="str">
        <x:f>IF(B62="","",IF(F62="Yes",IFERROR(LOOKUP(2,1/(('Assignment History'!$B$5:$B$204=B62)*('Assignment History'!$A$5:$A$204&gt;=A62)*('Assignment History'!$A$5:$A$204&lt;A62+1)),'Assignment History'!$C$5:$C$204),""),""))</x:f>
      </x:c>
      <x:c r="H62" s="97"/>
      <x:c r="I62" s="97"/>
      <x:c r="J62" s="99"/>
      <x:c r="K62" s="97"/>
      <x:c r="L62" s="99"/>
      <x:c r="M62" s="100"/>
      <x:c r="N62" s="100"/>
      <x:c r="O62" s="101" t="str">
        <x:f t="shared" si="1">IF(K62="","",IF(K62="Achieved","Yes","No"))</x:f>
      </x:c>
      <x:c r="P62" s="100"/>
    </x:row>
    <x:row r="63">
      <x:c r="A63" s="96"/>
      <x:c r="B63" s="97"/>
      <x:c r="C63" s="98" t="str">
        <x:f>IF(B63="","",IFERROR(INDEX('Task Master'!$C$5:$C$804,MATCH(B63,'Task Master'!$A$5:$A$804,0)),"Not in latest raw"))</x:f>
      </x:c>
      <x:c r="D63" s="98" t="str">
        <x:f>IF(B63="","",IFERROR(INDEX('Task Master'!$J$5:$J$804,MATCH(B63,'Task Master'!$A$5:$A$804,0)),""))</x:f>
      </x:c>
      <x:c r="E63" s="98" t="str">
        <x:f>IF(B63="","",IFERROR(INDEX('Task Master'!$K$5:$K$804,MATCH(B63,'Task Master'!$A$5:$A$804,0)),""))</x:f>
      </x:c>
      <x:c r="F63" s="97" t="str">
        <x:f>IF(B63="","",IF(COUNTIFS('Assignment History'!$B$5:$B$204,B63,'Assignment History'!$A$5:$A$204,"&gt;="&amp;A63,'Assignment History'!$A$5:$A$204,"&lt;"&amp;A63+1)&gt;0,"Yes","No"))</x:f>
      </x:c>
      <x:c r="G63" s="97" t="str">
        <x:f>IF(B63="","",IF(F63="Yes",IFERROR(LOOKUP(2,1/(('Assignment History'!$B$5:$B$204=B63)*('Assignment History'!$A$5:$A$204&gt;=A63)*('Assignment History'!$A$5:$A$204&lt;A63+1)),'Assignment History'!$C$5:$C$204),""),""))</x:f>
      </x:c>
      <x:c r="H63" s="97"/>
      <x:c r="I63" s="97"/>
      <x:c r="J63" s="99"/>
      <x:c r="K63" s="97"/>
      <x:c r="L63" s="99"/>
      <x:c r="M63" s="100"/>
      <x:c r="N63" s="100"/>
      <x:c r="O63" s="101" t="str">
        <x:f t="shared" si="1">IF(K63="","",IF(K63="Achieved","Yes","No"))</x:f>
      </x:c>
      <x:c r="P63" s="100"/>
    </x:row>
    <x:row r="64">
      <x:c r="A64" s="96"/>
      <x:c r="B64" s="97"/>
      <x:c r="C64" s="98" t="str">
        <x:f>IF(B64="","",IFERROR(INDEX('Task Master'!$C$5:$C$804,MATCH(B64,'Task Master'!$A$5:$A$804,0)),"Not in latest raw"))</x:f>
      </x:c>
      <x:c r="D64" s="98" t="str">
        <x:f>IF(B64="","",IFERROR(INDEX('Task Master'!$J$5:$J$804,MATCH(B64,'Task Master'!$A$5:$A$804,0)),""))</x:f>
      </x:c>
      <x:c r="E64" s="98" t="str">
        <x:f>IF(B64="","",IFERROR(INDEX('Task Master'!$K$5:$K$804,MATCH(B64,'Task Master'!$A$5:$A$804,0)),""))</x:f>
      </x:c>
      <x:c r="F64" s="97" t="str">
        <x:f>IF(B64="","",IF(COUNTIFS('Assignment History'!$B$5:$B$204,B64,'Assignment History'!$A$5:$A$204,"&gt;="&amp;A64,'Assignment History'!$A$5:$A$204,"&lt;"&amp;A64+1)&gt;0,"Yes","No"))</x:f>
      </x:c>
      <x:c r="G64" s="97" t="str">
        <x:f>IF(B64="","",IF(F64="Yes",IFERROR(LOOKUP(2,1/(('Assignment History'!$B$5:$B$204=B64)*('Assignment History'!$A$5:$A$204&gt;=A64)*('Assignment History'!$A$5:$A$204&lt;A64+1)),'Assignment History'!$C$5:$C$204),""),""))</x:f>
      </x:c>
      <x:c r="H64" s="97"/>
      <x:c r="I64" s="97"/>
      <x:c r="J64" s="99"/>
      <x:c r="K64" s="97"/>
      <x:c r="L64" s="99"/>
      <x:c r="M64" s="100"/>
      <x:c r="N64" s="100"/>
      <x:c r="O64" s="101" t="str">
        <x:f t="shared" si="1">IF(K64="","",IF(K64="Achieved","Yes","No"))</x:f>
      </x:c>
      <x:c r="P64" s="100"/>
    </x:row>
    <x:row r="65">
      <x:c r="A65" s="96"/>
      <x:c r="B65" s="97"/>
      <x:c r="C65" s="98" t="str">
        <x:f>IF(B65="","",IFERROR(INDEX('Task Master'!$C$5:$C$804,MATCH(B65,'Task Master'!$A$5:$A$804,0)),"Not in latest raw"))</x:f>
      </x:c>
      <x:c r="D65" s="98" t="str">
        <x:f>IF(B65="","",IFERROR(INDEX('Task Master'!$J$5:$J$804,MATCH(B65,'Task Master'!$A$5:$A$804,0)),""))</x:f>
      </x:c>
      <x:c r="E65" s="98" t="str">
        <x:f>IF(B65="","",IFERROR(INDEX('Task Master'!$K$5:$K$804,MATCH(B65,'Task Master'!$A$5:$A$804,0)),""))</x:f>
      </x:c>
      <x:c r="F65" s="97" t="str">
        <x:f>IF(B65="","",IF(COUNTIFS('Assignment History'!$B$5:$B$204,B65,'Assignment History'!$A$5:$A$204,"&gt;="&amp;A65,'Assignment History'!$A$5:$A$204,"&lt;"&amp;A65+1)&gt;0,"Yes","No"))</x:f>
      </x:c>
      <x:c r="G65" s="97" t="str">
        <x:f>IF(B65="","",IF(F65="Yes",IFERROR(LOOKUP(2,1/(('Assignment History'!$B$5:$B$204=B65)*('Assignment History'!$A$5:$A$204&gt;=A65)*('Assignment History'!$A$5:$A$204&lt;A65+1)),'Assignment History'!$C$5:$C$204),""),""))</x:f>
      </x:c>
      <x:c r="H65" s="97"/>
      <x:c r="I65" s="97"/>
      <x:c r="J65" s="99"/>
      <x:c r="K65" s="97"/>
      <x:c r="L65" s="99"/>
      <x:c r="M65" s="100"/>
      <x:c r="N65" s="100"/>
      <x:c r="O65" s="101" t="str">
        <x:f t="shared" si="1">IF(K65="","",IF(K65="Achieved","Yes","No"))</x:f>
      </x:c>
      <x:c r="P65" s="100"/>
    </x:row>
    <x:row r="66">
      <x:c r="A66" s="96"/>
      <x:c r="B66" s="97"/>
      <x:c r="C66" s="98" t="str">
        <x:f>IF(B66="","",IFERROR(INDEX('Task Master'!$C$5:$C$804,MATCH(B66,'Task Master'!$A$5:$A$804,0)),"Not in latest raw"))</x:f>
      </x:c>
      <x:c r="D66" s="98" t="str">
        <x:f>IF(B66="","",IFERROR(INDEX('Task Master'!$J$5:$J$804,MATCH(B66,'Task Master'!$A$5:$A$804,0)),""))</x:f>
      </x:c>
      <x:c r="E66" s="98" t="str">
        <x:f>IF(B66="","",IFERROR(INDEX('Task Master'!$K$5:$K$804,MATCH(B66,'Task Master'!$A$5:$A$804,0)),""))</x:f>
      </x:c>
      <x:c r="F66" s="97" t="str">
        <x:f>IF(B66="","",IF(COUNTIFS('Assignment History'!$B$5:$B$204,B66,'Assignment History'!$A$5:$A$204,"&gt;="&amp;A66,'Assignment History'!$A$5:$A$204,"&lt;"&amp;A66+1)&gt;0,"Yes","No"))</x:f>
      </x:c>
      <x:c r="G66" s="97" t="str">
        <x:f>IF(B66="","",IF(F66="Yes",IFERROR(LOOKUP(2,1/(('Assignment History'!$B$5:$B$204=B66)*('Assignment History'!$A$5:$A$204&gt;=A66)*('Assignment History'!$A$5:$A$204&lt;A66+1)),'Assignment History'!$C$5:$C$204),""),""))</x:f>
      </x:c>
      <x:c r="H66" s="97"/>
      <x:c r="I66" s="97"/>
      <x:c r="J66" s="99"/>
      <x:c r="K66" s="97"/>
      <x:c r="L66" s="99"/>
      <x:c r="M66" s="100"/>
      <x:c r="N66" s="100"/>
      <x:c r="O66" s="101" t="str">
        <x:f t="shared" si="1">IF(K66="","",IF(K66="Achieved","Yes","No"))</x:f>
      </x:c>
      <x:c r="P66" s="100"/>
    </x:row>
    <x:row r="67">
      <x:c r="A67" s="96"/>
      <x:c r="B67" s="97"/>
      <x:c r="C67" s="98" t="str">
        <x:f>IF(B67="","",IFERROR(INDEX('Task Master'!$C$5:$C$804,MATCH(B67,'Task Master'!$A$5:$A$804,0)),"Not in latest raw"))</x:f>
      </x:c>
      <x:c r="D67" s="98" t="str">
        <x:f>IF(B67="","",IFERROR(INDEX('Task Master'!$J$5:$J$804,MATCH(B67,'Task Master'!$A$5:$A$804,0)),""))</x:f>
      </x:c>
      <x:c r="E67" s="98" t="str">
        <x:f>IF(B67="","",IFERROR(INDEX('Task Master'!$K$5:$K$804,MATCH(B67,'Task Master'!$A$5:$A$804,0)),""))</x:f>
      </x:c>
      <x:c r="F67" s="97" t="str">
        <x:f>IF(B67="","",IF(COUNTIFS('Assignment History'!$B$5:$B$204,B67,'Assignment History'!$A$5:$A$204,"&gt;="&amp;A67,'Assignment History'!$A$5:$A$204,"&lt;"&amp;A67+1)&gt;0,"Yes","No"))</x:f>
      </x:c>
      <x:c r="G67" s="97" t="str">
        <x:f>IF(B67="","",IF(F67="Yes",IFERROR(LOOKUP(2,1/(('Assignment History'!$B$5:$B$204=B67)*('Assignment History'!$A$5:$A$204&gt;=A67)*('Assignment History'!$A$5:$A$204&lt;A67+1)),'Assignment History'!$C$5:$C$204),""),""))</x:f>
      </x:c>
      <x:c r="H67" s="97"/>
      <x:c r="I67" s="97"/>
      <x:c r="J67" s="99"/>
      <x:c r="K67" s="97"/>
      <x:c r="L67" s="99"/>
      <x:c r="M67" s="100"/>
      <x:c r="N67" s="100"/>
      <x:c r="O67" s="101" t="str">
        <x:f t="shared" si="1">IF(K67="","",IF(K67="Achieved","Yes","No"))</x:f>
      </x:c>
      <x:c r="P67" s="100"/>
    </x:row>
    <x:row r="68">
      <x:c r="A68" s="96"/>
      <x:c r="B68" s="97"/>
      <x:c r="C68" s="98" t="str">
        <x:f>IF(B68="","",IFERROR(INDEX('Task Master'!$C$5:$C$804,MATCH(B68,'Task Master'!$A$5:$A$804,0)),"Not in latest raw"))</x:f>
      </x:c>
      <x:c r="D68" s="98" t="str">
        <x:f>IF(B68="","",IFERROR(INDEX('Task Master'!$J$5:$J$804,MATCH(B68,'Task Master'!$A$5:$A$804,0)),""))</x:f>
      </x:c>
      <x:c r="E68" s="98" t="str">
        <x:f>IF(B68="","",IFERROR(INDEX('Task Master'!$K$5:$K$804,MATCH(B68,'Task Master'!$A$5:$A$804,0)),""))</x:f>
      </x:c>
      <x:c r="F68" s="97" t="str">
        <x:f>IF(B68="","",IF(COUNTIFS('Assignment History'!$B$5:$B$204,B68,'Assignment History'!$A$5:$A$204,"&gt;="&amp;A68,'Assignment History'!$A$5:$A$204,"&lt;"&amp;A68+1)&gt;0,"Yes","No"))</x:f>
      </x:c>
      <x:c r="G68" s="97" t="str">
        <x:f>IF(B68="","",IF(F68="Yes",IFERROR(LOOKUP(2,1/(('Assignment History'!$B$5:$B$204=B68)*('Assignment History'!$A$5:$A$204&gt;=A68)*('Assignment History'!$A$5:$A$204&lt;A68+1)),'Assignment History'!$C$5:$C$204),""),""))</x:f>
      </x:c>
      <x:c r="H68" s="97"/>
      <x:c r="I68" s="97"/>
      <x:c r="J68" s="99"/>
      <x:c r="K68" s="97"/>
      <x:c r="L68" s="99"/>
      <x:c r="M68" s="100"/>
      <x:c r="N68" s="100"/>
      <x:c r="O68" s="101" t="str">
        <x:f t="shared" si="1">IF(K68="","",IF(K68="Achieved","Yes","No"))</x:f>
      </x:c>
      <x:c r="P68" s="100"/>
    </x:row>
    <x:row r="69">
      <x:c r="A69" s="96"/>
      <x:c r="B69" s="97"/>
      <x:c r="C69" s="98" t="str">
        <x:f>IF(B69="","",IFERROR(INDEX('Task Master'!$C$5:$C$804,MATCH(B69,'Task Master'!$A$5:$A$804,0)),"Not in latest raw"))</x:f>
      </x:c>
      <x:c r="D69" s="98" t="str">
        <x:f>IF(B69="","",IFERROR(INDEX('Task Master'!$J$5:$J$804,MATCH(B69,'Task Master'!$A$5:$A$804,0)),""))</x:f>
      </x:c>
      <x:c r="E69" s="98" t="str">
        <x:f>IF(B69="","",IFERROR(INDEX('Task Master'!$K$5:$K$804,MATCH(B69,'Task Master'!$A$5:$A$804,0)),""))</x:f>
      </x:c>
      <x:c r="F69" s="97" t="str">
        <x:f>IF(B69="","",IF(COUNTIFS('Assignment History'!$B$5:$B$204,B69,'Assignment History'!$A$5:$A$204,"&gt;="&amp;A69,'Assignment History'!$A$5:$A$204,"&lt;"&amp;A69+1)&gt;0,"Yes","No"))</x:f>
      </x:c>
      <x:c r="G69" s="97" t="str">
        <x:f>IF(B69="","",IF(F69="Yes",IFERROR(LOOKUP(2,1/(('Assignment History'!$B$5:$B$204=B69)*('Assignment History'!$A$5:$A$204&gt;=A69)*('Assignment History'!$A$5:$A$204&lt;A69+1)),'Assignment History'!$C$5:$C$204),""),""))</x:f>
      </x:c>
      <x:c r="H69" s="97"/>
      <x:c r="I69" s="97"/>
      <x:c r="J69" s="99"/>
      <x:c r="K69" s="97"/>
      <x:c r="L69" s="99"/>
      <x:c r="M69" s="100"/>
      <x:c r="N69" s="100"/>
      <x:c r="O69" s="101" t="str">
        <x:f t="shared" ref="O69:O100" si="2">IF(K69="","",IF(K69="Achieved","Yes","No"))</x:f>
      </x:c>
      <x:c r="P69" s="100"/>
    </x:row>
    <x:row r="70">
      <x:c r="A70" s="96"/>
      <x:c r="B70" s="97"/>
      <x:c r="C70" s="98" t="str">
        <x:f>IF(B70="","",IFERROR(INDEX('Task Master'!$C$5:$C$804,MATCH(B70,'Task Master'!$A$5:$A$804,0)),"Not in latest raw"))</x:f>
      </x:c>
      <x:c r="D70" s="98" t="str">
        <x:f>IF(B70="","",IFERROR(INDEX('Task Master'!$J$5:$J$804,MATCH(B70,'Task Master'!$A$5:$A$804,0)),""))</x:f>
      </x:c>
      <x:c r="E70" s="98" t="str">
        <x:f>IF(B70="","",IFERROR(INDEX('Task Master'!$K$5:$K$804,MATCH(B70,'Task Master'!$A$5:$A$804,0)),""))</x:f>
      </x:c>
      <x:c r="F70" s="97" t="str">
        <x:f>IF(B70="","",IF(COUNTIFS('Assignment History'!$B$5:$B$204,B70,'Assignment History'!$A$5:$A$204,"&gt;="&amp;A70,'Assignment History'!$A$5:$A$204,"&lt;"&amp;A70+1)&gt;0,"Yes","No"))</x:f>
      </x:c>
      <x:c r="G70" s="97" t="str">
        <x:f>IF(B70="","",IF(F70="Yes",IFERROR(LOOKUP(2,1/(('Assignment History'!$B$5:$B$204=B70)*('Assignment History'!$A$5:$A$204&gt;=A70)*('Assignment History'!$A$5:$A$204&lt;A70+1)),'Assignment History'!$C$5:$C$204),""),""))</x:f>
      </x:c>
      <x:c r="H70" s="97"/>
      <x:c r="I70" s="97"/>
      <x:c r="J70" s="99"/>
      <x:c r="K70" s="97"/>
      <x:c r="L70" s="99"/>
      <x:c r="M70" s="100"/>
      <x:c r="N70" s="100"/>
      <x:c r="O70" s="101" t="str">
        <x:f t="shared" si="2">IF(K70="","",IF(K70="Achieved","Yes","No"))</x:f>
      </x:c>
      <x:c r="P70" s="100"/>
    </x:row>
    <x:row r="71">
      <x:c r="A71" s="96"/>
      <x:c r="B71" s="97"/>
      <x:c r="C71" s="98" t="str">
        <x:f>IF(B71="","",IFERROR(INDEX('Task Master'!$C$5:$C$804,MATCH(B71,'Task Master'!$A$5:$A$804,0)),"Not in latest raw"))</x:f>
      </x:c>
      <x:c r="D71" s="98" t="str">
        <x:f>IF(B71="","",IFERROR(INDEX('Task Master'!$J$5:$J$804,MATCH(B71,'Task Master'!$A$5:$A$804,0)),""))</x:f>
      </x:c>
      <x:c r="E71" s="98" t="str">
        <x:f>IF(B71="","",IFERROR(INDEX('Task Master'!$K$5:$K$804,MATCH(B71,'Task Master'!$A$5:$A$804,0)),""))</x:f>
      </x:c>
      <x:c r="F71" s="97" t="str">
        <x:f>IF(B71="","",IF(COUNTIFS('Assignment History'!$B$5:$B$204,B71,'Assignment History'!$A$5:$A$204,"&gt;="&amp;A71,'Assignment History'!$A$5:$A$204,"&lt;"&amp;A71+1)&gt;0,"Yes","No"))</x:f>
      </x:c>
      <x:c r="G71" s="97" t="str">
        <x:f>IF(B71="","",IF(F71="Yes",IFERROR(LOOKUP(2,1/(('Assignment History'!$B$5:$B$204=B71)*('Assignment History'!$A$5:$A$204&gt;=A71)*('Assignment History'!$A$5:$A$204&lt;A71+1)),'Assignment History'!$C$5:$C$204),""),""))</x:f>
      </x:c>
      <x:c r="H71" s="97"/>
      <x:c r="I71" s="97"/>
      <x:c r="J71" s="99"/>
      <x:c r="K71" s="97"/>
      <x:c r="L71" s="99"/>
      <x:c r="M71" s="100"/>
      <x:c r="N71" s="100"/>
      <x:c r="O71" s="101" t="str">
        <x:f t="shared" si="2">IF(K71="","",IF(K71="Achieved","Yes","No"))</x:f>
      </x:c>
      <x:c r="P71" s="100"/>
    </x:row>
    <x:row r="72">
      <x:c r="A72" s="96"/>
      <x:c r="B72" s="97"/>
      <x:c r="C72" s="98" t="str">
        <x:f>IF(B72="","",IFERROR(INDEX('Task Master'!$C$5:$C$804,MATCH(B72,'Task Master'!$A$5:$A$804,0)),"Not in latest raw"))</x:f>
      </x:c>
      <x:c r="D72" s="98" t="str">
        <x:f>IF(B72="","",IFERROR(INDEX('Task Master'!$J$5:$J$804,MATCH(B72,'Task Master'!$A$5:$A$804,0)),""))</x:f>
      </x:c>
      <x:c r="E72" s="98" t="str">
        <x:f>IF(B72="","",IFERROR(INDEX('Task Master'!$K$5:$K$804,MATCH(B72,'Task Master'!$A$5:$A$804,0)),""))</x:f>
      </x:c>
      <x:c r="F72" s="97" t="str">
        <x:f>IF(B72="","",IF(COUNTIFS('Assignment History'!$B$5:$B$204,B72,'Assignment History'!$A$5:$A$204,"&gt;="&amp;A72,'Assignment History'!$A$5:$A$204,"&lt;"&amp;A72+1)&gt;0,"Yes","No"))</x:f>
      </x:c>
      <x:c r="G72" s="97" t="str">
        <x:f>IF(B72="","",IF(F72="Yes",IFERROR(LOOKUP(2,1/(('Assignment History'!$B$5:$B$204=B72)*('Assignment History'!$A$5:$A$204&gt;=A72)*('Assignment History'!$A$5:$A$204&lt;A72+1)),'Assignment History'!$C$5:$C$204),""),""))</x:f>
      </x:c>
      <x:c r="H72" s="97"/>
      <x:c r="I72" s="97"/>
      <x:c r="J72" s="99"/>
      <x:c r="K72" s="97"/>
      <x:c r="L72" s="99"/>
      <x:c r="M72" s="100"/>
      <x:c r="N72" s="100"/>
      <x:c r="O72" s="101" t="str">
        <x:f t="shared" si="2">IF(K72="","",IF(K72="Achieved","Yes","No"))</x:f>
      </x:c>
      <x:c r="P72" s="100"/>
    </x:row>
    <x:row r="73">
      <x:c r="A73" s="96"/>
      <x:c r="B73" s="97"/>
      <x:c r="C73" s="98" t="str">
        <x:f>IF(B73="","",IFERROR(INDEX('Task Master'!$C$5:$C$804,MATCH(B73,'Task Master'!$A$5:$A$804,0)),"Not in latest raw"))</x:f>
      </x:c>
      <x:c r="D73" s="98" t="str">
        <x:f>IF(B73="","",IFERROR(INDEX('Task Master'!$J$5:$J$804,MATCH(B73,'Task Master'!$A$5:$A$804,0)),""))</x:f>
      </x:c>
      <x:c r="E73" s="98" t="str">
        <x:f>IF(B73="","",IFERROR(INDEX('Task Master'!$K$5:$K$804,MATCH(B73,'Task Master'!$A$5:$A$804,0)),""))</x:f>
      </x:c>
      <x:c r="F73" s="97" t="str">
        <x:f>IF(B73="","",IF(COUNTIFS('Assignment History'!$B$5:$B$204,B73,'Assignment History'!$A$5:$A$204,"&gt;="&amp;A73,'Assignment History'!$A$5:$A$204,"&lt;"&amp;A73+1)&gt;0,"Yes","No"))</x:f>
      </x:c>
      <x:c r="G73" s="97" t="str">
        <x:f>IF(B73="","",IF(F73="Yes",IFERROR(LOOKUP(2,1/(('Assignment History'!$B$5:$B$204=B73)*('Assignment History'!$A$5:$A$204&gt;=A73)*('Assignment History'!$A$5:$A$204&lt;A73+1)),'Assignment History'!$C$5:$C$204),""),""))</x:f>
      </x:c>
      <x:c r="H73" s="97"/>
      <x:c r="I73" s="97"/>
      <x:c r="J73" s="99"/>
      <x:c r="K73" s="97"/>
      <x:c r="L73" s="99"/>
      <x:c r="M73" s="100"/>
      <x:c r="N73" s="100"/>
      <x:c r="O73" s="101" t="str">
        <x:f t="shared" si="2">IF(K73="","",IF(K73="Achieved","Yes","No"))</x:f>
      </x:c>
      <x:c r="P73" s="100"/>
    </x:row>
    <x:row r="74">
      <x:c r="A74" s="96"/>
      <x:c r="B74" s="97"/>
      <x:c r="C74" s="98" t="str">
        <x:f>IF(B74="","",IFERROR(INDEX('Task Master'!$C$5:$C$804,MATCH(B74,'Task Master'!$A$5:$A$804,0)),"Not in latest raw"))</x:f>
      </x:c>
      <x:c r="D74" s="98" t="str">
        <x:f>IF(B74="","",IFERROR(INDEX('Task Master'!$J$5:$J$804,MATCH(B74,'Task Master'!$A$5:$A$804,0)),""))</x:f>
      </x:c>
      <x:c r="E74" s="98" t="str">
        <x:f>IF(B74="","",IFERROR(INDEX('Task Master'!$K$5:$K$804,MATCH(B74,'Task Master'!$A$5:$A$804,0)),""))</x:f>
      </x:c>
      <x:c r="F74" s="97" t="str">
        <x:f>IF(B74="","",IF(COUNTIFS('Assignment History'!$B$5:$B$204,B74,'Assignment History'!$A$5:$A$204,"&gt;="&amp;A74,'Assignment History'!$A$5:$A$204,"&lt;"&amp;A74+1)&gt;0,"Yes","No"))</x:f>
      </x:c>
      <x:c r="G74" s="97" t="str">
        <x:f>IF(B74="","",IF(F74="Yes",IFERROR(LOOKUP(2,1/(('Assignment History'!$B$5:$B$204=B74)*('Assignment History'!$A$5:$A$204&gt;=A74)*('Assignment History'!$A$5:$A$204&lt;A74+1)),'Assignment History'!$C$5:$C$204),""),""))</x:f>
      </x:c>
      <x:c r="H74" s="97"/>
      <x:c r="I74" s="97"/>
      <x:c r="J74" s="99"/>
      <x:c r="K74" s="97"/>
      <x:c r="L74" s="99"/>
      <x:c r="M74" s="100"/>
      <x:c r="N74" s="100"/>
      <x:c r="O74" s="101" t="str">
        <x:f t="shared" si="2">IF(K74="","",IF(K74="Achieved","Yes","No"))</x:f>
      </x:c>
      <x:c r="P74" s="100"/>
    </x:row>
    <x:row r="75">
      <x:c r="A75" s="96"/>
      <x:c r="B75" s="97"/>
      <x:c r="C75" s="98" t="str">
        <x:f>IF(B75="","",IFERROR(INDEX('Task Master'!$C$5:$C$804,MATCH(B75,'Task Master'!$A$5:$A$804,0)),"Not in latest raw"))</x:f>
      </x:c>
      <x:c r="D75" s="98" t="str">
        <x:f>IF(B75="","",IFERROR(INDEX('Task Master'!$J$5:$J$804,MATCH(B75,'Task Master'!$A$5:$A$804,0)),""))</x:f>
      </x:c>
      <x:c r="E75" s="98" t="str">
        <x:f>IF(B75="","",IFERROR(INDEX('Task Master'!$K$5:$K$804,MATCH(B75,'Task Master'!$A$5:$A$804,0)),""))</x:f>
      </x:c>
      <x:c r="F75" s="97" t="str">
        <x:f>IF(B75="","",IF(COUNTIFS('Assignment History'!$B$5:$B$204,B75,'Assignment History'!$A$5:$A$204,"&gt;="&amp;A75,'Assignment History'!$A$5:$A$204,"&lt;"&amp;A75+1)&gt;0,"Yes","No"))</x:f>
      </x:c>
      <x:c r="G75" s="97" t="str">
        <x:f>IF(B75="","",IF(F75="Yes",IFERROR(LOOKUP(2,1/(('Assignment History'!$B$5:$B$204=B75)*('Assignment History'!$A$5:$A$204&gt;=A75)*('Assignment History'!$A$5:$A$204&lt;A75+1)),'Assignment History'!$C$5:$C$204),""),""))</x:f>
      </x:c>
      <x:c r="H75" s="97"/>
      <x:c r="I75" s="97"/>
      <x:c r="J75" s="99"/>
      <x:c r="K75" s="97"/>
      <x:c r="L75" s="99"/>
      <x:c r="M75" s="100"/>
      <x:c r="N75" s="100"/>
      <x:c r="O75" s="101" t="str">
        <x:f t="shared" si="2">IF(K75="","",IF(K75="Achieved","Yes","No"))</x:f>
      </x:c>
      <x:c r="P75" s="100"/>
    </x:row>
    <x:row r="76">
      <x:c r="A76" s="96"/>
      <x:c r="B76" s="97"/>
      <x:c r="C76" s="98" t="str">
        <x:f>IF(B76="","",IFERROR(INDEX('Task Master'!$C$5:$C$804,MATCH(B76,'Task Master'!$A$5:$A$804,0)),"Not in latest raw"))</x:f>
      </x:c>
      <x:c r="D76" s="98" t="str">
        <x:f>IF(B76="","",IFERROR(INDEX('Task Master'!$J$5:$J$804,MATCH(B76,'Task Master'!$A$5:$A$804,0)),""))</x:f>
      </x:c>
      <x:c r="E76" s="98" t="str">
        <x:f>IF(B76="","",IFERROR(INDEX('Task Master'!$K$5:$K$804,MATCH(B76,'Task Master'!$A$5:$A$804,0)),""))</x:f>
      </x:c>
      <x:c r="F76" s="97" t="str">
        <x:f>IF(B76="","",IF(COUNTIFS('Assignment History'!$B$5:$B$204,B76,'Assignment History'!$A$5:$A$204,"&gt;="&amp;A76,'Assignment History'!$A$5:$A$204,"&lt;"&amp;A76+1)&gt;0,"Yes","No"))</x:f>
      </x:c>
      <x:c r="G76" s="97" t="str">
        <x:f>IF(B76="","",IF(F76="Yes",IFERROR(LOOKUP(2,1/(('Assignment History'!$B$5:$B$204=B76)*('Assignment History'!$A$5:$A$204&gt;=A76)*('Assignment History'!$A$5:$A$204&lt;A76+1)),'Assignment History'!$C$5:$C$204),""),""))</x:f>
      </x:c>
      <x:c r="H76" s="97"/>
      <x:c r="I76" s="97"/>
      <x:c r="J76" s="99"/>
      <x:c r="K76" s="97"/>
      <x:c r="L76" s="99"/>
      <x:c r="M76" s="100"/>
      <x:c r="N76" s="100"/>
      <x:c r="O76" s="101" t="str">
        <x:f t="shared" si="2">IF(K76="","",IF(K76="Achieved","Yes","No"))</x:f>
      </x:c>
      <x:c r="P76" s="100"/>
    </x:row>
    <x:row r="77">
      <x:c r="A77" s="96"/>
      <x:c r="B77" s="97"/>
      <x:c r="C77" s="98" t="str">
        <x:f>IF(B77="","",IFERROR(INDEX('Task Master'!$C$5:$C$804,MATCH(B77,'Task Master'!$A$5:$A$804,0)),"Not in latest raw"))</x:f>
      </x:c>
      <x:c r="D77" s="98" t="str">
        <x:f>IF(B77="","",IFERROR(INDEX('Task Master'!$J$5:$J$804,MATCH(B77,'Task Master'!$A$5:$A$804,0)),""))</x:f>
      </x:c>
      <x:c r="E77" s="98" t="str">
        <x:f>IF(B77="","",IFERROR(INDEX('Task Master'!$K$5:$K$804,MATCH(B77,'Task Master'!$A$5:$A$804,0)),""))</x:f>
      </x:c>
      <x:c r="F77" s="97" t="str">
        <x:f>IF(B77="","",IF(COUNTIFS('Assignment History'!$B$5:$B$204,B77,'Assignment History'!$A$5:$A$204,"&gt;="&amp;A77,'Assignment History'!$A$5:$A$204,"&lt;"&amp;A77+1)&gt;0,"Yes","No"))</x:f>
      </x:c>
      <x:c r="G77" s="97" t="str">
        <x:f>IF(B77="","",IF(F77="Yes",IFERROR(LOOKUP(2,1/(('Assignment History'!$B$5:$B$204=B77)*('Assignment History'!$A$5:$A$204&gt;=A77)*('Assignment History'!$A$5:$A$204&lt;A77+1)),'Assignment History'!$C$5:$C$204),""),""))</x:f>
      </x:c>
      <x:c r="H77" s="97"/>
      <x:c r="I77" s="97"/>
      <x:c r="J77" s="99"/>
      <x:c r="K77" s="97"/>
      <x:c r="L77" s="99"/>
      <x:c r="M77" s="100"/>
      <x:c r="N77" s="100"/>
      <x:c r="O77" s="101" t="str">
        <x:f t="shared" si="2">IF(K77="","",IF(K77="Achieved","Yes","No"))</x:f>
      </x:c>
      <x:c r="P77" s="100"/>
    </x:row>
    <x:row r="78">
      <x:c r="A78" s="96"/>
      <x:c r="B78" s="97"/>
      <x:c r="C78" s="98" t="str">
        <x:f>IF(B78="","",IFERROR(INDEX('Task Master'!$C$5:$C$804,MATCH(B78,'Task Master'!$A$5:$A$804,0)),"Not in latest raw"))</x:f>
      </x:c>
      <x:c r="D78" s="98" t="str">
        <x:f>IF(B78="","",IFERROR(INDEX('Task Master'!$J$5:$J$804,MATCH(B78,'Task Master'!$A$5:$A$804,0)),""))</x:f>
      </x:c>
      <x:c r="E78" s="98" t="str">
        <x:f>IF(B78="","",IFERROR(INDEX('Task Master'!$K$5:$K$804,MATCH(B78,'Task Master'!$A$5:$A$804,0)),""))</x:f>
      </x:c>
      <x:c r="F78" s="97" t="str">
        <x:f>IF(B78="","",IF(COUNTIFS('Assignment History'!$B$5:$B$204,B78,'Assignment History'!$A$5:$A$204,"&gt;="&amp;A78,'Assignment History'!$A$5:$A$204,"&lt;"&amp;A78+1)&gt;0,"Yes","No"))</x:f>
      </x:c>
      <x:c r="G78" s="97" t="str">
        <x:f>IF(B78="","",IF(F78="Yes",IFERROR(LOOKUP(2,1/(('Assignment History'!$B$5:$B$204=B78)*('Assignment History'!$A$5:$A$204&gt;=A78)*('Assignment History'!$A$5:$A$204&lt;A78+1)),'Assignment History'!$C$5:$C$204),""),""))</x:f>
      </x:c>
      <x:c r="H78" s="97"/>
      <x:c r="I78" s="97"/>
      <x:c r="J78" s="99"/>
      <x:c r="K78" s="97"/>
      <x:c r="L78" s="99"/>
      <x:c r="M78" s="100"/>
      <x:c r="N78" s="100"/>
      <x:c r="O78" s="101" t="str">
        <x:f t="shared" si="2">IF(K78="","",IF(K78="Achieved","Yes","No"))</x:f>
      </x:c>
      <x:c r="P78" s="100"/>
    </x:row>
    <x:row r="79">
      <x:c r="A79" s="96"/>
      <x:c r="B79" s="97"/>
      <x:c r="C79" s="98" t="str">
        <x:f>IF(B79="","",IFERROR(INDEX('Task Master'!$C$5:$C$804,MATCH(B79,'Task Master'!$A$5:$A$804,0)),"Not in latest raw"))</x:f>
      </x:c>
      <x:c r="D79" s="98" t="str">
        <x:f>IF(B79="","",IFERROR(INDEX('Task Master'!$J$5:$J$804,MATCH(B79,'Task Master'!$A$5:$A$804,0)),""))</x:f>
      </x:c>
      <x:c r="E79" s="98" t="str">
        <x:f>IF(B79="","",IFERROR(INDEX('Task Master'!$K$5:$K$804,MATCH(B79,'Task Master'!$A$5:$A$804,0)),""))</x:f>
      </x:c>
      <x:c r="F79" s="97" t="str">
        <x:f>IF(B79="","",IF(COUNTIFS('Assignment History'!$B$5:$B$204,B79,'Assignment History'!$A$5:$A$204,"&gt;="&amp;A79,'Assignment History'!$A$5:$A$204,"&lt;"&amp;A79+1)&gt;0,"Yes","No"))</x:f>
      </x:c>
      <x:c r="G79" s="97" t="str">
        <x:f>IF(B79="","",IF(F79="Yes",IFERROR(LOOKUP(2,1/(('Assignment History'!$B$5:$B$204=B79)*('Assignment History'!$A$5:$A$204&gt;=A79)*('Assignment History'!$A$5:$A$204&lt;A79+1)),'Assignment History'!$C$5:$C$204),""),""))</x:f>
      </x:c>
      <x:c r="H79" s="97"/>
      <x:c r="I79" s="97"/>
      <x:c r="J79" s="99"/>
      <x:c r="K79" s="97"/>
      <x:c r="L79" s="99"/>
      <x:c r="M79" s="100"/>
      <x:c r="N79" s="100"/>
      <x:c r="O79" s="101" t="str">
        <x:f t="shared" si="2">IF(K79="","",IF(K79="Achieved","Yes","No"))</x:f>
      </x:c>
      <x:c r="P79" s="100"/>
    </x:row>
    <x:row r="80">
      <x:c r="A80" s="96"/>
      <x:c r="B80" s="97"/>
      <x:c r="C80" s="98" t="str">
        <x:f>IF(B80="","",IFERROR(INDEX('Task Master'!$C$5:$C$804,MATCH(B80,'Task Master'!$A$5:$A$804,0)),"Not in latest raw"))</x:f>
      </x:c>
      <x:c r="D80" s="98" t="str">
        <x:f>IF(B80="","",IFERROR(INDEX('Task Master'!$J$5:$J$804,MATCH(B80,'Task Master'!$A$5:$A$804,0)),""))</x:f>
      </x:c>
      <x:c r="E80" s="98" t="str">
        <x:f>IF(B80="","",IFERROR(INDEX('Task Master'!$K$5:$K$804,MATCH(B80,'Task Master'!$A$5:$A$804,0)),""))</x:f>
      </x:c>
      <x:c r="F80" s="97" t="str">
        <x:f>IF(B80="","",IF(COUNTIFS('Assignment History'!$B$5:$B$204,B80,'Assignment History'!$A$5:$A$204,"&gt;="&amp;A80,'Assignment History'!$A$5:$A$204,"&lt;"&amp;A80+1)&gt;0,"Yes","No"))</x:f>
      </x:c>
      <x:c r="G80" s="97" t="str">
        <x:f>IF(B80="","",IF(F80="Yes",IFERROR(LOOKUP(2,1/(('Assignment History'!$B$5:$B$204=B80)*('Assignment History'!$A$5:$A$204&gt;=A80)*('Assignment History'!$A$5:$A$204&lt;A80+1)),'Assignment History'!$C$5:$C$204),""),""))</x:f>
      </x:c>
      <x:c r="H80" s="97"/>
      <x:c r="I80" s="97"/>
      <x:c r="J80" s="99"/>
      <x:c r="K80" s="97"/>
      <x:c r="L80" s="99"/>
      <x:c r="M80" s="100"/>
      <x:c r="N80" s="100"/>
      <x:c r="O80" s="101" t="str">
        <x:f t="shared" si="2">IF(K80="","",IF(K80="Achieved","Yes","No"))</x:f>
      </x:c>
      <x:c r="P80" s="100"/>
    </x:row>
    <x:row r="81">
      <x:c r="A81" s="96"/>
      <x:c r="B81" s="97"/>
      <x:c r="C81" s="98" t="str">
        <x:f>IF(B81="","",IFERROR(INDEX('Task Master'!$C$5:$C$804,MATCH(B81,'Task Master'!$A$5:$A$804,0)),"Not in latest raw"))</x:f>
      </x:c>
      <x:c r="D81" s="98" t="str">
        <x:f>IF(B81="","",IFERROR(INDEX('Task Master'!$J$5:$J$804,MATCH(B81,'Task Master'!$A$5:$A$804,0)),""))</x:f>
      </x:c>
      <x:c r="E81" s="98" t="str">
        <x:f>IF(B81="","",IFERROR(INDEX('Task Master'!$K$5:$K$804,MATCH(B81,'Task Master'!$A$5:$A$804,0)),""))</x:f>
      </x:c>
      <x:c r="F81" s="97" t="str">
        <x:f>IF(B81="","",IF(COUNTIFS('Assignment History'!$B$5:$B$204,B81,'Assignment History'!$A$5:$A$204,"&gt;="&amp;A81,'Assignment History'!$A$5:$A$204,"&lt;"&amp;A81+1)&gt;0,"Yes","No"))</x:f>
      </x:c>
      <x:c r="G81" s="97" t="str">
        <x:f>IF(B81="","",IF(F81="Yes",IFERROR(LOOKUP(2,1/(('Assignment History'!$B$5:$B$204=B81)*('Assignment History'!$A$5:$A$204&gt;=A81)*('Assignment History'!$A$5:$A$204&lt;A81+1)),'Assignment History'!$C$5:$C$204),""),""))</x:f>
      </x:c>
      <x:c r="H81" s="97"/>
      <x:c r="I81" s="97"/>
      <x:c r="J81" s="99"/>
      <x:c r="K81" s="97"/>
      <x:c r="L81" s="99"/>
      <x:c r="M81" s="100"/>
      <x:c r="N81" s="100"/>
      <x:c r="O81" s="101" t="str">
        <x:f t="shared" si="2">IF(K81="","",IF(K81="Achieved","Yes","No"))</x:f>
      </x:c>
      <x:c r="P81" s="100"/>
    </x:row>
    <x:row r="82">
      <x:c r="A82" s="96"/>
      <x:c r="B82" s="97"/>
      <x:c r="C82" s="98" t="str">
        <x:f>IF(B82="","",IFERROR(INDEX('Task Master'!$C$5:$C$804,MATCH(B82,'Task Master'!$A$5:$A$804,0)),"Not in latest raw"))</x:f>
      </x:c>
      <x:c r="D82" s="98" t="str">
        <x:f>IF(B82="","",IFERROR(INDEX('Task Master'!$J$5:$J$804,MATCH(B82,'Task Master'!$A$5:$A$804,0)),""))</x:f>
      </x:c>
      <x:c r="E82" s="98" t="str">
        <x:f>IF(B82="","",IFERROR(INDEX('Task Master'!$K$5:$K$804,MATCH(B82,'Task Master'!$A$5:$A$804,0)),""))</x:f>
      </x:c>
      <x:c r="F82" s="97" t="str">
        <x:f>IF(B82="","",IF(COUNTIFS('Assignment History'!$B$5:$B$204,B82,'Assignment History'!$A$5:$A$204,"&gt;="&amp;A82,'Assignment History'!$A$5:$A$204,"&lt;"&amp;A82+1)&gt;0,"Yes","No"))</x:f>
      </x:c>
      <x:c r="G82" s="97" t="str">
        <x:f>IF(B82="","",IF(F82="Yes",IFERROR(LOOKUP(2,1/(('Assignment History'!$B$5:$B$204=B82)*('Assignment History'!$A$5:$A$204&gt;=A82)*('Assignment History'!$A$5:$A$204&lt;A82+1)),'Assignment History'!$C$5:$C$204),""),""))</x:f>
      </x:c>
      <x:c r="H82" s="97"/>
      <x:c r="I82" s="97"/>
      <x:c r="J82" s="99"/>
      <x:c r="K82" s="97"/>
      <x:c r="L82" s="99"/>
      <x:c r="M82" s="100"/>
      <x:c r="N82" s="100"/>
      <x:c r="O82" s="101" t="str">
        <x:f t="shared" si="2">IF(K82="","",IF(K82="Achieved","Yes","No"))</x:f>
      </x:c>
      <x:c r="P82" s="100"/>
    </x:row>
    <x:row r="83">
      <x:c r="A83" s="96"/>
      <x:c r="B83" s="97"/>
      <x:c r="C83" s="98" t="str">
        <x:f>IF(B83="","",IFERROR(INDEX('Task Master'!$C$5:$C$804,MATCH(B83,'Task Master'!$A$5:$A$804,0)),"Not in latest raw"))</x:f>
      </x:c>
      <x:c r="D83" s="98" t="str">
        <x:f>IF(B83="","",IFERROR(INDEX('Task Master'!$J$5:$J$804,MATCH(B83,'Task Master'!$A$5:$A$804,0)),""))</x:f>
      </x:c>
      <x:c r="E83" s="98" t="str">
        <x:f>IF(B83="","",IFERROR(INDEX('Task Master'!$K$5:$K$804,MATCH(B83,'Task Master'!$A$5:$A$804,0)),""))</x:f>
      </x:c>
      <x:c r="F83" s="97" t="str">
        <x:f>IF(B83="","",IF(COUNTIFS('Assignment History'!$B$5:$B$204,B83,'Assignment History'!$A$5:$A$204,"&gt;="&amp;A83,'Assignment History'!$A$5:$A$204,"&lt;"&amp;A83+1)&gt;0,"Yes","No"))</x:f>
      </x:c>
      <x:c r="G83" s="97" t="str">
        <x:f>IF(B83="","",IF(F83="Yes",IFERROR(LOOKUP(2,1/(('Assignment History'!$B$5:$B$204=B83)*('Assignment History'!$A$5:$A$204&gt;=A83)*('Assignment History'!$A$5:$A$204&lt;A83+1)),'Assignment History'!$C$5:$C$204),""),""))</x:f>
      </x:c>
      <x:c r="H83" s="97"/>
      <x:c r="I83" s="97"/>
      <x:c r="J83" s="99"/>
      <x:c r="K83" s="97"/>
      <x:c r="L83" s="99"/>
      <x:c r="M83" s="100"/>
      <x:c r="N83" s="100"/>
      <x:c r="O83" s="101" t="str">
        <x:f t="shared" si="2">IF(K83="","",IF(K83="Achieved","Yes","No"))</x:f>
      </x:c>
      <x:c r="P83" s="100"/>
    </x:row>
    <x:row r="84">
      <x:c r="A84" s="96"/>
      <x:c r="B84" s="97"/>
      <x:c r="C84" s="98" t="str">
        <x:f>IF(B84="","",IFERROR(INDEX('Task Master'!$C$5:$C$804,MATCH(B84,'Task Master'!$A$5:$A$804,0)),"Not in latest raw"))</x:f>
      </x:c>
      <x:c r="D84" s="98" t="str">
        <x:f>IF(B84="","",IFERROR(INDEX('Task Master'!$J$5:$J$804,MATCH(B84,'Task Master'!$A$5:$A$804,0)),""))</x:f>
      </x:c>
      <x:c r="E84" s="98" t="str">
        <x:f>IF(B84="","",IFERROR(INDEX('Task Master'!$K$5:$K$804,MATCH(B84,'Task Master'!$A$5:$A$804,0)),""))</x:f>
      </x:c>
      <x:c r="F84" s="97" t="str">
        <x:f>IF(B84="","",IF(COUNTIFS('Assignment History'!$B$5:$B$204,B84,'Assignment History'!$A$5:$A$204,"&gt;="&amp;A84,'Assignment History'!$A$5:$A$204,"&lt;"&amp;A84+1)&gt;0,"Yes","No"))</x:f>
      </x:c>
      <x:c r="G84" s="97" t="str">
        <x:f>IF(B84="","",IF(F84="Yes",IFERROR(LOOKUP(2,1/(('Assignment History'!$B$5:$B$204=B84)*('Assignment History'!$A$5:$A$204&gt;=A84)*('Assignment History'!$A$5:$A$204&lt;A84+1)),'Assignment History'!$C$5:$C$204),""),""))</x:f>
      </x:c>
      <x:c r="H84" s="97"/>
      <x:c r="I84" s="97"/>
      <x:c r="J84" s="99"/>
      <x:c r="K84" s="97"/>
      <x:c r="L84" s="99"/>
      <x:c r="M84" s="100"/>
      <x:c r="N84" s="100"/>
      <x:c r="O84" s="101" t="str">
        <x:f t="shared" si="2">IF(K84="","",IF(K84="Achieved","Yes","No"))</x:f>
      </x:c>
      <x:c r="P84" s="100"/>
    </x:row>
    <x:row r="85">
      <x:c r="A85" s="96"/>
      <x:c r="B85" s="97"/>
      <x:c r="C85" s="98" t="str">
        <x:f>IF(B85="","",IFERROR(INDEX('Task Master'!$C$5:$C$804,MATCH(B85,'Task Master'!$A$5:$A$804,0)),"Not in latest raw"))</x:f>
      </x:c>
      <x:c r="D85" s="98" t="str">
        <x:f>IF(B85="","",IFERROR(INDEX('Task Master'!$J$5:$J$804,MATCH(B85,'Task Master'!$A$5:$A$804,0)),""))</x:f>
      </x:c>
      <x:c r="E85" s="98" t="str">
        <x:f>IF(B85="","",IFERROR(INDEX('Task Master'!$K$5:$K$804,MATCH(B85,'Task Master'!$A$5:$A$804,0)),""))</x:f>
      </x:c>
      <x:c r="F85" s="97" t="str">
        <x:f>IF(B85="","",IF(COUNTIFS('Assignment History'!$B$5:$B$204,B85,'Assignment History'!$A$5:$A$204,"&gt;="&amp;A85,'Assignment History'!$A$5:$A$204,"&lt;"&amp;A85+1)&gt;0,"Yes","No"))</x:f>
      </x:c>
      <x:c r="G85" s="97" t="str">
        <x:f>IF(B85="","",IF(F85="Yes",IFERROR(LOOKUP(2,1/(('Assignment History'!$B$5:$B$204=B85)*('Assignment History'!$A$5:$A$204&gt;=A85)*('Assignment History'!$A$5:$A$204&lt;A85+1)),'Assignment History'!$C$5:$C$204),""),""))</x:f>
      </x:c>
      <x:c r="H85" s="97"/>
      <x:c r="I85" s="97"/>
      <x:c r="J85" s="99"/>
      <x:c r="K85" s="97"/>
      <x:c r="L85" s="99"/>
      <x:c r="M85" s="100"/>
      <x:c r="N85" s="100"/>
      <x:c r="O85" s="101" t="str">
        <x:f t="shared" si="2">IF(K85="","",IF(K85="Achieved","Yes","No"))</x:f>
      </x:c>
      <x:c r="P85" s="100"/>
    </x:row>
    <x:row r="86">
      <x:c r="A86" s="96"/>
      <x:c r="B86" s="97"/>
      <x:c r="C86" s="98" t="str">
        <x:f>IF(B86="","",IFERROR(INDEX('Task Master'!$C$5:$C$804,MATCH(B86,'Task Master'!$A$5:$A$804,0)),"Not in latest raw"))</x:f>
      </x:c>
      <x:c r="D86" s="98" t="str">
        <x:f>IF(B86="","",IFERROR(INDEX('Task Master'!$J$5:$J$804,MATCH(B86,'Task Master'!$A$5:$A$804,0)),""))</x:f>
      </x:c>
      <x:c r="E86" s="98" t="str">
        <x:f>IF(B86="","",IFERROR(INDEX('Task Master'!$K$5:$K$804,MATCH(B86,'Task Master'!$A$5:$A$804,0)),""))</x:f>
      </x:c>
      <x:c r="F86" s="97" t="str">
        <x:f>IF(B86="","",IF(COUNTIFS('Assignment History'!$B$5:$B$204,B86,'Assignment History'!$A$5:$A$204,"&gt;="&amp;A86,'Assignment History'!$A$5:$A$204,"&lt;"&amp;A86+1)&gt;0,"Yes","No"))</x:f>
      </x:c>
      <x:c r="G86" s="97" t="str">
        <x:f>IF(B86="","",IF(F86="Yes",IFERROR(LOOKUP(2,1/(('Assignment History'!$B$5:$B$204=B86)*('Assignment History'!$A$5:$A$204&gt;=A86)*('Assignment History'!$A$5:$A$204&lt;A86+1)),'Assignment History'!$C$5:$C$204),""),""))</x:f>
      </x:c>
      <x:c r="H86" s="97"/>
      <x:c r="I86" s="97"/>
      <x:c r="J86" s="99"/>
      <x:c r="K86" s="97"/>
      <x:c r="L86" s="99"/>
      <x:c r="M86" s="100"/>
      <x:c r="N86" s="100"/>
      <x:c r="O86" s="101" t="str">
        <x:f t="shared" si="2">IF(K86="","",IF(K86="Achieved","Yes","No"))</x:f>
      </x:c>
      <x:c r="P86" s="100"/>
    </x:row>
    <x:row r="87">
      <x:c r="A87" s="96"/>
      <x:c r="B87" s="97"/>
      <x:c r="C87" s="98" t="str">
        <x:f>IF(B87="","",IFERROR(INDEX('Task Master'!$C$5:$C$804,MATCH(B87,'Task Master'!$A$5:$A$804,0)),"Not in latest raw"))</x:f>
      </x:c>
      <x:c r="D87" s="98" t="str">
        <x:f>IF(B87="","",IFERROR(INDEX('Task Master'!$J$5:$J$804,MATCH(B87,'Task Master'!$A$5:$A$804,0)),""))</x:f>
      </x:c>
      <x:c r="E87" s="98" t="str">
        <x:f>IF(B87="","",IFERROR(INDEX('Task Master'!$K$5:$K$804,MATCH(B87,'Task Master'!$A$5:$A$804,0)),""))</x:f>
      </x:c>
      <x:c r="F87" s="97" t="str">
        <x:f>IF(B87="","",IF(COUNTIFS('Assignment History'!$B$5:$B$204,B87,'Assignment History'!$A$5:$A$204,"&gt;="&amp;A87,'Assignment History'!$A$5:$A$204,"&lt;"&amp;A87+1)&gt;0,"Yes","No"))</x:f>
      </x:c>
      <x:c r="G87" s="97" t="str">
        <x:f>IF(B87="","",IF(F87="Yes",IFERROR(LOOKUP(2,1/(('Assignment History'!$B$5:$B$204=B87)*('Assignment History'!$A$5:$A$204&gt;=A87)*('Assignment History'!$A$5:$A$204&lt;A87+1)),'Assignment History'!$C$5:$C$204),""),""))</x:f>
      </x:c>
      <x:c r="H87" s="97"/>
      <x:c r="I87" s="97"/>
      <x:c r="J87" s="99"/>
      <x:c r="K87" s="97"/>
      <x:c r="L87" s="99"/>
      <x:c r="M87" s="100"/>
      <x:c r="N87" s="100"/>
      <x:c r="O87" s="101" t="str">
        <x:f t="shared" si="2">IF(K87="","",IF(K87="Achieved","Yes","No"))</x:f>
      </x:c>
      <x:c r="P87" s="100"/>
    </x:row>
    <x:row r="88">
      <x:c r="A88" s="96"/>
      <x:c r="B88" s="97"/>
      <x:c r="C88" s="98" t="str">
        <x:f>IF(B88="","",IFERROR(INDEX('Task Master'!$C$5:$C$804,MATCH(B88,'Task Master'!$A$5:$A$804,0)),"Not in latest raw"))</x:f>
      </x:c>
      <x:c r="D88" s="98" t="str">
        <x:f>IF(B88="","",IFERROR(INDEX('Task Master'!$J$5:$J$804,MATCH(B88,'Task Master'!$A$5:$A$804,0)),""))</x:f>
      </x:c>
      <x:c r="E88" s="98" t="str">
        <x:f>IF(B88="","",IFERROR(INDEX('Task Master'!$K$5:$K$804,MATCH(B88,'Task Master'!$A$5:$A$804,0)),""))</x:f>
      </x:c>
      <x:c r="F88" s="97" t="str">
        <x:f>IF(B88="","",IF(COUNTIFS('Assignment History'!$B$5:$B$204,B88,'Assignment History'!$A$5:$A$204,"&gt;="&amp;A88,'Assignment History'!$A$5:$A$204,"&lt;"&amp;A88+1)&gt;0,"Yes","No"))</x:f>
      </x:c>
      <x:c r="G88" s="97" t="str">
        <x:f>IF(B88="","",IF(F88="Yes",IFERROR(LOOKUP(2,1/(('Assignment History'!$B$5:$B$204=B88)*('Assignment History'!$A$5:$A$204&gt;=A88)*('Assignment History'!$A$5:$A$204&lt;A88+1)),'Assignment History'!$C$5:$C$204),""),""))</x:f>
      </x:c>
      <x:c r="H88" s="97"/>
      <x:c r="I88" s="97"/>
      <x:c r="J88" s="99"/>
      <x:c r="K88" s="97"/>
      <x:c r="L88" s="99"/>
      <x:c r="M88" s="100"/>
      <x:c r="N88" s="100"/>
      <x:c r="O88" s="101" t="str">
        <x:f t="shared" si="2">IF(K88="","",IF(K88="Achieved","Yes","No"))</x:f>
      </x:c>
      <x:c r="P88" s="100"/>
    </x:row>
    <x:row r="89">
      <x:c r="A89" s="96"/>
      <x:c r="B89" s="97"/>
      <x:c r="C89" s="98" t="str">
        <x:f>IF(B89="","",IFERROR(INDEX('Task Master'!$C$5:$C$804,MATCH(B89,'Task Master'!$A$5:$A$804,0)),"Not in latest raw"))</x:f>
      </x:c>
      <x:c r="D89" s="98" t="str">
        <x:f>IF(B89="","",IFERROR(INDEX('Task Master'!$J$5:$J$804,MATCH(B89,'Task Master'!$A$5:$A$804,0)),""))</x:f>
      </x:c>
      <x:c r="E89" s="98" t="str">
        <x:f>IF(B89="","",IFERROR(INDEX('Task Master'!$K$5:$K$804,MATCH(B89,'Task Master'!$A$5:$A$804,0)),""))</x:f>
      </x:c>
      <x:c r="F89" s="97" t="str">
        <x:f>IF(B89="","",IF(COUNTIFS('Assignment History'!$B$5:$B$204,B89,'Assignment History'!$A$5:$A$204,"&gt;="&amp;A89,'Assignment History'!$A$5:$A$204,"&lt;"&amp;A89+1)&gt;0,"Yes","No"))</x:f>
      </x:c>
      <x:c r="G89" s="97" t="str">
        <x:f>IF(B89="","",IF(F89="Yes",IFERROR(LOOKUP(2,1/(('Assignment History'!$B$5:$B$204=B89)*('Assignment History'!$A$5:$A$204&gt;=A89)*('Assignment History'!$A$5:$A$204&lt;A89+1)),'Assignment History'!$C$5:$C$204),""),""))</x:f>
      </x:c>
      <x:c r="H89" s="97"/>
      <x:c r="I89" s="97"/>
      <x:c r="J89" s="99"/>
      <x:c r="K89" s="97"/>
      <x:c r="L89" s="99"/>
      <x:c r="M89" s="100"/>
      <x:c r="N89" s="100"/>
      <x:c r="O89" s="101" t="str">
        <x:f t="shared" si="2">IF(K89="","",IF(K89="Achieved","Yes","No"))</x:f>
      </x:c>
      <x:c r="P89" s="100"/>
    </x:row>
    <x:row r="90">
      <x:c r="A90" s="96"/>
      <x:c r="B90" s="97"/>
      <x:c r="C90" s="98" t="str">
        <x:f>IF(B90="","",IFERROR(INDEX('Task Master'!$C$5:$C$804,MATCH(B90,'Task Master'!$A$5:$A$804,0)),"Not in latest raw"))</x:f>
      </x:c>
      <x:c r="D90" s="98" t="str">
        <x:f>IF(B90="","",IFERROR(INDEX('Task Master'!$J$5:$J$804,MATCH(B90,'Task Master'!$A$5:$A$804,0)),""))</x:f>
      </x:c>
      <x:c r="E90" s="98" t="str">
        <x:f>IF(B90="","",IFERROR(INDEX('Task Master'!$K$5:$K$804,MATCH(B90,'Task Master'!$A$5:$A$804,0)),""))</x:f>
      </x:c>
      <x:c r="F90" s="97" t="str">
        <x:f>IF(B90="","",IF(COUNTIFS('Assignment History'!$B$5:$B$204,B90,'Assignment History'!$A$5:$A$204,"&gt;="&amp;A90,'Assignment History'!$A$5:$A$204,"&lt;"&amp;A90+1)&gt;0,"Yes","No"))</x:f>
      </x:c>
      <x:c r="G90" s="97" t="str">
        <x:f>IF(B90="","",IF(F90="Yes",IFERROR(LOOKUP(2,1/(('Assignment History'!$B$5:$B$204=B90)*('Assignment History'!$A$5:$A$204&gt;=A90)*('Assignment History'!$A$5:$A$204&lt;A90+1)),'Assignment History'!$C$5:$C$204),""),""))</x:f>
      </x:c>
      <x:c r="H90" s="97"/>
      <x:c r="I90" s="97"/>
      <x:c r="J90" s="99"/>
      <x:c r="K90" s="97"/>
      <x:c r="L90" s="99"/>
      <x:c r="M90" s="100"/>
      <x:c r="N90" s="100"/>
      <x:c r="O90" s="101" t="str">
        <x:f t="shared" si="2">IF(K90="","",IF(K90="Achieved","Yes","No"))</x:f>
      </x:c>
      <x:c r="P90" s="100"/>
    </x:row>
    <x:row r="91">
      <x:c r="A91" s="96"/>
      <x:c r="B91" s="97"/>
      <x:c r="C91" s="98" t="str">
        <x:f>IF(B91="","",IFERROR(INDEX('Task Master'!$C$5:$C$804,MATCH(B91,'Task Master'!$A$5:$A$804,0)),"Not in latest raw"))</x:f>
      </x:c>
      <x:c r="D91" s="98" t="str">
        <x:f>IF(B91="","",IFERROR(INDEX('Task Master'!$J$5:$J$804,MATCH(B91,'Task Master'!$A$5:$A$804,0)),""))</x:f>
      </x:c>
      <x:c r="E91" s="98" t="str">
        <x:f>IF(B91="","",IFERROR(INDEX('Task Master'!$K$5:$K$804,MATCH(B91,'Task Master'!$A$5:$A$804,0)),""))</x:f>
      </x:c>
      <x:c r="F91" s="97" t="str">
        <x:f>IF(B91="","",IF(COUNTIFS('Assignment History'!$B$5:$B$204,B91,'Assignment History'!$A$5:$A$204,"&gt;="&amp;A91,'Assignment History'!$A$5:$A$204,"&lt;"&amp;A91+1)&gt;0,"Yes","No"))</x:f>
      </x:c>
      <x:c r="G91" s="97" t="str">
        <x:f>IF(B91="","",IF(F91="Yes",IFERROR(LOOKUP(2,1/(('Assignment History'!$B$5:$B$204=B91)*('Assignment History'!$A$5:$A$204&gt;=A91)*('Assignment History'!$A$5:$A$204&lt;A91+1)),'Assignment History'!$C$5:$C$204),""),""))</x:f>
      </x:c>
      <x:c r="H91" s="97"/>
      <x:c r="I91" s="97"/>
      <x:c r="J91" s="99"/>
      <x:c r="K91" s="97"/>
      <x:c r="L91" s="99"/>
      <x:c r="M91" s="100"/>
      <x:c r="N91" s="100"/>
      <x:c r="O91" s="101" t="str">
        <x:f t="shared" si="2">IF(K91="","",IF(K91="Achieved","Yes","No"))</x:f>
      </x:c>
      <x:c r="P91" s="100"/>
    </x:row>
    <x:row r="92">
      <x:c r="A92" s="96"/>
      <x:c r="B92" s="97"/>
      <x:c r="C92" s="98" t="str">
        <x:f>IF(B92="","",IFERROR(INDEX('Task Master'!$C$5:$C$804,MATCH(B92,'Task Master'!$A$5:$A$804,0)),"Not in latest raw"))</x:f>
      </x:c>
      <x:c r="D92" s="98" t="str">
        <x:f>IF(B92="","",IFERROR(INDEX('Task Master'!$J$5:$J$804,MATCH(B92,'Task Master'!$A$5:$A$804,0)),""))</x:f>
      </x:c>
      <x:c r="E92" s="98" t="str">
        <x:f>IF(B92="","",IFERROR(INDEX('Task Master'!$K$5:$K$804,MATCH(B92,'Task Master'!$A$5:$A$804,0)),""))</x:f>
      </x:c>
      <x:c r="F92" s="97" t="str">
        <x:f>IF(B92="","",IF(COUNTIFS('Assignment History'!$B$5:$B$204,B92,'Assignment History'!$A$5:$A$204,"&gt;="&amp;A92,'Assignment History'!$A$5:$A$204,"&lt;"&amp;A92+1)&gt;0,"Yes","No"))</x:f>
      </x:c>
      <x:c r="G92" s="97" t="str">
        <x:f>IF(B92="","",IF(F92="Yes",IFERROR(LOOKUP(2,1/(('Assignment History'!$B$5:$B$204=B92)*('Assignment History'!$A$5:$A$204&gt;=A92)*('Assignment History'!$A$5:$A$204&lt;A92+1)),'Assignment History'!$C$5:$C$204),""),""))</x:f>
      </x:c>
      <x:c r="H92" s="97"/>
      <x:c r="I92" s="97"/>
      <x:c r="J92" s="99"/>
      <x:c r="K92" s="97"/>
      <x:c r="L92" s="99"/>
      <x:c r="M92" s="100"/>
      <x:c r="N92" s="100"/>
      <x:c r="O92" s="101" t="str">
        <x:f t="shared" si="2">IF(K92="","",IF(K92="Achieved","Yes","No"))</x:f>
      </x:c>
      <x:c r="P92" s="100"/>
    </x:row>
    <x:row r="93">
      <x:c r="A93" s="96"/>
      <x:c r="B93" s="97"/>
      <x:c r="C93" s="98" t="str">
        <x:f>IF(B93="","",IFERROR(INDEX('Task Master'!$C$5:$C$804,MATCH(B93,'Task Master'!$A$5:$A$804,0)),"Not in latest raw"))</x:f>
      </x:c>
      <x:c r="D93" s="98" t="str">
        <x:f>IF(B93="","",IFERROR(INDEX('Task Master'!$J$5:$J$804,MATCH(B93,'Task Master'!$A$5:$A$804,0)),""))</x:f>
      </x:c>
      <x:c r="E93" s="98" t="str">
        <x:f>IF(B93="","",IFERROR(INDEX('Task Master'!$K$5:$K$804,MATCH(B93,'Task Master'!$A$5:$A$804,0)),""))</x:f>
      </x:c>
      <x:c r="F93" s="97" t="str">
        <x:f>IF(B93="","",IF(COUNTIFS('Assignment History'!$B$5:$B$204,B93,'Assignment History'!$A$5:$A$204,"&gt;="&amp;A93,'Assignment History'!$A$5:$A$204,"&lt;"&amp;A93+1)&gt;0,"Yes","No"))</x:f>
      </x:c>
      <x:c r="G93" s="97" t="str">
        <x:f>IF(B93="","",IF(F93="Yes",IFERROR(LOOKUP(2,1/(('Assignment History'!$B$5:$B$204=B93)*('Assignment History'!$A$5:$A$204&gt;=A93)*('Assignment History'!$A$5:$A$204&lt;A93+1)),'Assignment History'!$C$5:$C$204),""),""))</x:f>
      </x:c>
      <x:c r="H93" s="97"/>
      <x:c r="I93" s="97"/>
      <x:c r="J93" s="99"/>
      <x:c r="K93" s="97"/>
      <x:c r="L93" s="99"/>
      <x:c r="M93" s="100"/>
      <x:c r="N93" s="100"/>
      <x:c r="O93" s="101" t="str">
        <x:f t="shared" si="2">IF(K93="","",IF(K93="Achieved","Yes","No"))</x:f>
      </x:c>
      <x:c r="P93" s="100"/>
    </x:row>
    <x:row r="94">
      <x:c r="A94" s="96"/>
      <x:c r="B94" s="97"/>
      <x:c r="C94" s="98" t="str">
        <x:f>IF(B94="","",IFERROR(INDEX('Task Master'!$C$5:$C$804,MATCH(B94,'Task Master'!$A$5:$A$804,0)),"Not in latest raw"))</x:f>
      </x:c>
      <x:c r="D94" s="98" t="str">
        <x:f>IF(B94="","",IFERROR(INDEX('Task Master'!$J$5:$J$804,MATCH(B94,'Task Master'!$A$5:$A$804,0)),""))</x:f>
      </x:c>
      <x:c r="E94" s="98" t="str">
        <x:f>IF(B94="","",IFERROR(INDEX('Task Master'!$K$5:$K$804,MATCH(B94,'Task Master'!$A$5:$A$804,0)),""))</x:f>
      </x:c>
      <x:c r="F94" s="97" t="str">
        <x:f>IF(B94="","",IF(COUNTIFS('Assignment History'!$B$5:$B$204,B94,'Assignment History'!$A$5:$A$204,"&gt;="&amp;A94,'Assignment History'!$A$5:$A$204,"&lt;"&amp;A94+1)&gt;0,"Yes","No"))</x:f>
      </x:c>
      <x:c r="G94" s="97" t="str">
        <x:f>IF(B94="","",IF(F94="Yes",IFERROR(LOOKUP(2,1/(('Assignment History'!$B$5:$B$204=B94)*('Assignment History'!$A$5:$A$204&gt;=A94)*('Assignment History'!$A$5:$A$204&lt;A94+1)),'Assignment History'!$C$5:$C$204),""),""))</x:f>
      </x:c>
      <x:c r="H94" s="97"/>
      <x:c r="I94" s="97"/>
      <x:c r="J94" s="99"/>
      <x:c r="K94" s="97"/>
      <x:c r="L94" s="99"/>
      <x:c r="M94" s="100"/>
      <x:c r="N94" s="100"/>
      <x:c r="O94" s="101" t="str">
        <x:f t="shared" si="2">IF(K94="","",IF(K94="Achieved","Yes","No"))</x:f>
      </x:c>
      <x:c r="P94" s="100"/>
    </x:row>
    <x:row r="95">
      <x:c r="A95" s="96"/>
      <x:c r="B95" s="97"/>
      <x:c r="C95" s="98" t="str">
        <x:f>IF(B95="","",IFERROR(INDEX('Task Master'!$C$5:$C$804,MATCH(B95,'Task Master'!$A$5:$A$804,0)),"Not in latest raw"))</x:f>
      </x:c>
      <x:c r="D95" s="98" t="str">
        <x:f>IF(B95="","",IFERROR(INDEX('Task Master'!$J$5:$J$804,MATCH(B95,'Task Master'!$A$5:$A$804,0)),""))</x:f>
      </x:c>
      <x:c r="E95" s="98" t="str">
        <x:f>IF(B95="","",IFERROR(INDEX('Task Master'!$K$5:$K$804,MATCH(B95,'Task Master'!$A$5:$A$804,0)),""))</x:f>
      </x:c>
      <x:c r="F95" s="97" t="str">
        <x:f>IF(B95="","",IF(COUNTIFS('Assignment History'!$B$5:$B$204,B95,'Assignment History'!$A$5:$A$204,"&gt;="&amp;A95,'Assignment History'!$A$5:$A$204,"&lt;"&amp;A95+1)&gt;0,"Yes","No"))</x:f>
      </x:c>
      <x:c r="G95" s="97" t="str">
        <x:f>IF(B95="","",IF(F95="Yes",IFERROR(LOOKUP(2,1/(('Assignment History'!$B$5:$B$204=B95)*('Assignment History'!$A$5:$A$204&gt;=A95)*('Assignment History'!$A$5:$A$204&lt;A95+1)),'Assignment History'!$C$5:$C$204),""),""))</x:f>
      </x:c>
      <x:c r="H95" s="97"/>
      <x:c r="I95" s="97"/>
      <x:c r="J95" s="99"/>
      <x:c r="K95" s="97"/>
      <x:c r="L95" s="99"/>
      <x:c r="M95" s="100"/>
      <x:c r="N95" s="100"/>
      <x:c r="O95" s="101" t="str">
        <x:f t="shared" si="2">IF(K95="","",IF(K95="Achieved","Yes","No"))</x:f>
      </x:c>
      <x:c r="P95" s="100"/>
    </x:row>
    <x:row r="96">
      <x:c r="A96" s="96"/>
      <x:c r="B96" s="97"/>
      <x:c r="C96" s="98" t="str">
        <x:f>IF(B96="","",IFERROR(INDEX('Task Master'!$C$5:$C$804,MATCH(B96,'Task Master'!$A$5:$A$804,0)),"Not in latest raw"))</x:f>
      </x:c>
      <x:c r="D96" s="98" t="str">
        <x:f>IF(B96="","",IFERROR(INDEX('Task Master'!$J$5:$J$804,MATCH(B96,'Task Master'!$A$5:$A$804,0)),""))</x:f>
      </x:c>
      <x:c r="E96" s="98" t="str">
        <x:f>IF(B96="","",IFERROR(INDEX('Task Master'!$K$5:$K$804,MATCH(B96,'Task Master'!$A$5:$A$804,0)),""))</x:f>
      </x:c>
      <x:c r="F96" s="97" t="str">
        <x:f>IF(B96="","",IF(COUNTIFS('Assignment History'!$B$5:$B$204,B96,'Assignment History'!$A$5:$A$204,"&gt;="&amp;A96,'Assignment History'!$A$5:$A$204,"&lt;"&amp;A96+1)&gt;0,"Yes","No"))</x:f>
      </x:c>
      <x:c r="G96" s="97" t="str">
        <x:f>IF(B96="","",IF(F96="Yes",IFERROR(LOOKUP(2,1/(('Assignment History'!$B$5:$B$204=B96)*('Assignment History'!$A$5:$A$204&gt;=A96)*('Assignment History'!$A$5:$A$204&lt;A96+1)),'Assignment History'!$C$5:$C$204),""),""))</x:f>
      </x:c>
      <x:c r="H96" s="97"/>
      <x:c r="I96" s="97"/>
      <x:c r="J96" s="99"/>
      <x:c r="K96" s="97"/>
      <x:c r="L96" s="99"/>
      <x:c r="M96" s="100"/>
      <x:c r="N96" s="100"/>
      <x:c r="O96" s="101" t="str">
        <x:f t="shared" si="2">IF(K96="","",IF(K96="Achieved","Yes","No"))</x:f>
      </x:c>
      <x:c r="P96" s="100"/>
    </x:row>
    <x:row r="97">
      <x:c r="A97" s="96"/>
      <x:c r="B97" s="97"/>
      <x:c r="C97" s="98" t="str">
        <x:f>IF(B97="","",IFERROR(INDEX('Task Master'!$C$5:$C$804,MATCH(B97,'Task Master'!$A$5:$A$804,0)),"Not in latest raw"))</x:f>
      </x:c>
      <x:c r="D97" s="98" t="str">
        <x:f>IF(B97="","",IFERROR(INDEX('Task Master'!$J$5:$J$804,MATCH(B97,'Task Master'!$A$5:$A$804,0)),""))</x:f>
      </x:c>
      <x:c r="E97" s="98" t="str">
        <x:f>IF(B97="","",IFERROR(INDEX('Task Master'!$K$5:$K$804,MATCH(B97,'Task Master'!$A$5:$A$804,0)),""))</x:f>
      </x:c>
      <x:c r="F97" s="97" t="str">
        <x:f>IF(B97="","",IF(COUNTIFS('Assignment History'!$B$5:$B$204,B97,'Assignment History'!$A$5:$A$204,"&gt;="&amp;A97,'Assignment History'!$A$5:$A$204,"&lt;"&amp;A97+1)&gt;0,"Yes","No"))</x:f>
      </x:c>
      <x:c r="G97" s="97" t="str">
        <x:f>IF(B97="","",IF(F97="Yes",IFERROR(LOOKUP(2,1/(('Assignment History'!$B$5:$B$204=B97)*('Assignment History'!$A$5:$A$204&gt;=A97)*('Assignment History'!$A$5:$A$204&lt;A97+1)),'Assignment History'!$C$5:$C$204),""),""))</x:f>
      </x:c>
      <x:c r="H97" s="97"/>
      <x:c r="I97" s="97"/>
      <x:c r="J97" s="99"/>
      <x:c r="K97" s="97"/>
      <x:c r="L97" s="99"/>
      <x:c r="M97" s="100"/>
      <x:c r="N97" s="100"/>
      <x:c r="O97" s="101" t="str">
        <x:f t="shared" si="2">IF(K97="","",IF(K97="Achieved","Yes","No"))</x:f>
      </x:c>
      <x:c r="P97" s="100"/>
    </x:row>
    <x:row r="98">
      <x:c r="A98" s="96"/>
      <x:c r="B98" s="97"/>
      <x:c r="C98" s="98" t="str">
        <x:f>IF(B98="","",IFERROR(INDEX('Task Master'!$C$5:$C$804,MATCH(B98,'Task Master'!$A$5:$A$804,0)),"Not in latest raw"))</x:f>
      </x:c>
      <x:c r="D98" s="98" t="str">
        <x:f>IF(B98="","",IFERROR(INDEX('Task Master'!$J$5:$J$804,MATCH(B98,'Task Master'!$A$5:$A$804,0)),""))</x:f>
      </x:c>
      <x:c r="E98" s="98" t="str">
        <x:f>IF(B98="","",IFERROR(INDEX('Task Master'!$K$5:$K$804,MATCH(B98,'Task Master'!$A$5:$A$804,0)),""))</x:f>
      </x:c>
      <x:c r="F98" s="97" t="str">
        <x:f>IF(B98="","",IF(COUNTIFS('Assignment History'!$B$5:$B$204,B98,'Assignment History'!$A$5:$A$204,"&gt;="&amp;A98,'Assignment History'!$A$5:$A$204,"&lt;"&amp;A98+1)&gt;0,"Yes","No"))</x:f>
      </x:c>
      <x:c r="G98" s="97" t="str">
        <x:f>IF(B98="","",IF(F98="Yes",IFERROR(LOOKUP(2,1/(('Assignment History'!$B$5:$B$204=B98)*('Assignment History'!$A$5:$A$204&gt;=A98)*('Assignment History'!$A$5:$A$204&lt;A98+1)),'Assignment History'!$C$5:$C$204),""),""))</x:f>
      </x:c>
      <x:c r="H98" s="97"/>
      <x:c r="I98" s="97"/>
      <x:c r="J98" s="99"/>
      <x:c r="K98" s="97"/>
      <x:c r="L98" s="99"/>
      <x:c r="M98" s="100"/>
      <x:c r="N98" s="100"/>
      <x:c r="O98" s="101" t="str">
        <x:f t="shared" si="2">IF(K98="","",IF(K98="Achieved","Yes","No"))</x:f>
      </x:c>
      <x:c r="P98" s="100"/>
    </x:row>
    <x:row r="99">
      <x:c r="A99" s="96"/>
      <x:c r="B99" s="97"/>
      <x:c r="C99" s="98" t="str">
        <x:f>IF(B99="","",IFERROR(INDEX('Task Master'!$C$5:$C$804,MATCH(B99,'Task Master'!$A$5:$A$804,0)),"Not in latest raw"))</x:f>
      </x:c>
      <x:c r="D99" s="98" t="str">
        <x:f>IF(B99="","",IFERROR(INDEX('Task Master'!$J$5:$J$804,MATCH(B99,'Task Master'!$A$5:$A$804,0)),""))</x:f>
      </x:c>
      <x:c r="E99" s="98" t="str">
        <x:f>IF(B99="","",IFERROR(INDEX('Task Master'!$K$5:$K$804,MATCH(B99,'Task Master'!$A$5:$A$804,0)),""))</x:f>
      </x:c>
      <x:c r="F99" s="97" t="str">
        <x:f>IF(B99="","",IF(COUNTIFS('Assignment History'!$B$5:$B$204,B99,'Assignment History'!$A$5:$A$204,"&gt;="&amp;A99,'Assignment History'!$A$5:$A$204,"&lt;"&amp;A99+1)&gt;0,"Yes","No"))</x:f>
      </x:c>
      <x:c r="G99" s="97" t="str">
        <x:f>IF(B99="","",IF(F99="Yes",IFERROR(LOOKUP(2,1/(('Assignment History'!$B$5:$B$204=B99)*('Assignment History'!$A$5:$A$204&gt;=A99)*('Assignment History'!$A$5:$A$204&lt;A99+1)),'Assignment History'!$C$5:$C$204),""),""))</x:f>
      </x:c>
      <x:c r="H99" s="97"/>
      <x:c r="I99" s="97"/>
      <x:c r="J99" s="99"/>
      <x:c r="K99" s="97"/>
      <x:c r="L99" s="99"/>
      <x:c r="M99" s="100"/>
      <x:c r="N99" s="100"/>
      <x:c r="O99" s="101" t="str">
        <x:f t="shared" si="2">IF(K99="","",IF(K99="Achieved","Yes","No"))</x:f>
      </x:c>
      <x:c r="P99" s="100"/>
    </x:row>
    <x:row r="100">
      <x:c r="A100" s="96"/>
      <x:c r="B100" s="97"/>
      <x:c r="C100" s="98" t="str">
        <x:f>IF(B100="","",IFERROR(INDEX('Task Master'!$C$5:$C$804,MATCH(B100,'Task Master'!$A$5:$A$804,0)),"Not in latest raw"))</x:f>
      </x:c>
      <x:c r="D100" s="98" t="str">
        <x:f>IF(B100="","",IFERROR(INDEX('Task Master'!$J$5:$J$804,MATCH(B100,'Task Master'!$A$5:$A$804,0)),""))</x:f>
      </x:c>
      <x:c r="E100" s="98" t="str">
        <x:f>IF(B100="","",IFERROR(INDEX('Task Master'!$K$5:$K$804,MATCH(B100,'Task Master'!$A$5:$A$804,0)),""))</x:f>
      </x:c>
      <x:c r="F100" s="97" t="str">
        <x:f>IF(B100="","",IF(COUNTIFS('Assignment History'!$B$5:$B$204,B100,'Assignment History'!$A$5:$A$204,"&gt;="&amp;A100,'Assignment History'!$A$5:$A$204,"&lt;"&amp;A100+1)&gt;0,"Yes","No"))</x:f>
      </x:c>
      <x:c r="G100" s="97" t="str">
        <x:f>IF(B100="","",IF(F100="Yes",IFERROR(LOOKUP(2,1/(('Assignment History'!$B$5:$B$204=B100)*('Assignment History'!$A$5:$A$204&gt;=A100)*('Assignment History'!$A$5:$A$204&lt;A100+1)),'Assignment History'!$C$5:$C$204),""),""))</x:f>
      </x:c>
      <x:c r="H100" s="97"/>
      <x:c r="I100" s="97"/>
      <x:c r="J100" s="99"/>
      <x:c r="K100" s="97"/>
      <x:c r="L100" s="99"/>
      <x:c r="M100" s="100"/>
      <x:c r="N100" s="100"/>
      <x:c r="O100" s="101" t="str">
        <x:f t="shared" si="2">IF(K100="","",IF(K100="Achieved","Yes","No"))</x:f>
      </x:c>
      <x:c r="P100" s="100"/>
    </x:row>
    <x:row r="101">
      <x:c r="A101" s="96"/>
      <x:c r="B101" s="97"/>
      <x:c r="C101" s="98" t="str">
        <x:f>IF(B101="","",IFERROR(INDEX('Task Master'!$C$5:$C$804,MATCH(B101,'Task Master'!$A$5:$A$804,0)),"Not in latest raw"))</x:f>
      </x:c>
      <x:c r="D101" s="98" t="str">
        <x:f>IF(B101="","",IFERROR(INDEX('Task Master'!$J$5:$J$804,MATCH(B101,'Task Master'!$A$5:$A$804,0)),""))</x:f>
      </x:c>
      <x:c r="E101" s="98" t="str">
        <x:f>IF(B101="","",IFERROR(INDEX('Task Master'!$K$5:$K$804,MATCH(B101,'Task Master'!$A$5:$A$804,0)),""))</x:f>
      </x:c>
      <x:c r="F101" s="97" t="str">
        <x:f>IF(B101="","",IF(COUNTIFS('Assignment History'!$B$5:$B$204,B101,'Assignment History'!$A$5:$A$204,"&gt;="&amp;A101,'Assignment History'!$A$5:$A$204,"&lt;"&amp;A101+1)&gt;0,"Yes","No"))</x:f>
      </x:c>
      <x:c r="G101" s="97" t="str">
        <x:f>IF(B101="","",IF(F101="Yes",IFERROR(LOOKUP(2,1/(('Assignment History'!$B$5:$B$204=B101)*('Assignment History'!$A$5:$A$204&gt;=A101)*('Assignment History'!$A$5:$A$204&lt;A101+1)),'Assignment History'!$C$5:$C$204),""),""))</x:f>
      </x:c>
      <x:c r="H101" s="97"/>
      <x:c r="I101" s="97"/>
      <x:c r="J101" s="99"/>
      <x:c r="K101" s="97"/>
      <x:c r="L101" s="99"/>
      <x:c r="M101" s="100"/>
      <x:c r="N101" s="100"/>
      <x:c r="O101" s="101" t="str">
        <x:f t="shared" ref="O101:O132" si="3">IF(K101="","",IF(K101="Achieved","Yes","No"))</x:f>
      </x:c>
      <x:c r="P101" s="100"/>
    </x:row>
    <x:row r="102">
      <x:c r="A102" s="96"/>
      <x:c r="B102" s="97"/>
      <x:c r="C102" s="98" t="str">
        <x:f>IF(B102="","",IFERROR(INDEX('Task Master'!$C$5:$C$804,MATCH(B102,'Task Master'!$A$5:$A$804,0)),"Not in latest raw"))</x:f>
      </x:c>
      <x:c r="D102" s="98" t="str">
        <x:f>IF(B102="","",IFERROR(INDEX('Task Master'!$J$5:$J$804,MATCH(B102,'Task Master'!$A$5:$A$804,0)),""))</x:f>
      </x:c>
      <x:c r="E102" s="98" t="str">
        <x:f>IF(B102="","",IFERROR(INDEX('Task Master'!$K$5:$K$804,MATCH(B102,'Task Master'!$A$5:$A$804,0)),""))</x:f>
      </x:c>
      <x:c r="F102" s="97" t="str">
        <x:f>IF(B102="","",IF(COUNTIFS('Assignment History'!$B$5:$B$204,B102,'Assignment History'!$A$5:$A$204,"&gt;="&amp;A102,'Assignment History'!$A$5:$A$204,"&lt;"&amp;A102+1)&gt;0,"Yes","No"))</x:f>
      </x:c>
      <x:c r="G102" s="97" t="str">
        <x:f>IF(B102="","",IF(F102="Yes",IFERROR(LOOKUP(2,1/(('Assignment History'!$B$5:$B$204=B102)*('Assignment History'!$A$5:$A$204&gt;=A102)*('Assignment History'!$A$5:$A$204&lt;A102+1)),'Assignment History'!$C$5:$C$204),""),""))</x:f>
      </x:c>
      <x:c r="H102" s="97"/>
      <x:c r="I102" s="97"/>
      <x:c r="J102" s="99"/>
      <x:c r="K102" s="97"/>
      <x:c r="L102" s="99"/>
      <x:c r="M102" s="100"/>
      <x:c r="N102" s="100"/>
      <x:c r="O102" s="101" t="str">
        <x:f t="shared" si="3">IF(K102="","",IF(K102="Achieved","Yes","No"))</x:f>
      </x:c>
      <x:c r="P102" s="100"/>
    </x:row>
    <x:row r="103">
      <x:c r="A103" s="96"/>
      <x:c r="B103" s="97"/>
      <x:c r="C103" s="98" t="str">
        <x:f>IF(B103="","",IFERROR(INDEX('Task Master'!$C$5:$C$804,MATCH(B103,'Task Master'!$A$5:$A$804,0)),"Not in latest raw"))</x:f>
      </x:c>
      <x:c r="D103" s="98" t="str">
        <x:f>IF(B103="","",IFERROR(INDEX('Task Master'!$J$5:$J$804,MATCH(B103,'Task Master'!$A$5:$A$804,0)),""))</x:f>
      </x:c>
      <x:c r="E103" s="98" t="str">
        <x:f>IF(B103="","",IFERROR(INDEX('Task Master'!$K$5:$K$804,MATCH(B103,'Task Master'!$A$5:$A$804,0)),""))</x:f>
      </x:c>
      <x:c r="F103" s="97" t="str">
        <x:f>IF(B103="","",IF(COUNTIFS('Assignment History'!$B$5:$B$204,B103,'Assignment History'!$A$5:$A$204,"&gt;="&amp;A103,'Assignment History'!$A$5:$A$204,"&lt;"&amp;A103+1)&gt;0,"Yes","No"))</x:f>
      </x:c>
      <x:c r="G103" s="97" t="str">
        <x:f>IF(B103="","",IF(F103="Yes",IFERROR(LOOKUP(2,1/(('Assignment History'!$B$5:$B$204=B103)*('Assignment History'!$A$5:$A$204&gt;=A103)*('Assignment History'!$A$5:$A$204&lt;A103+1)),'Assignment History'!$C$5:$C$204),""),""))</x:f>
      </x:c>
      <x:c r="H103" s="97"/>
      <x:c r="I103" s="97"/>
      <x:c r="J103" s="99"/>
      <x:c r="K103" s="97"/>
      <x:c r="L103" s="99"/>
      <x:c r="M103" s="100"/>
      <x:c r="N103" s="100"/>
      <x:c r="O103" s="101" t="str">
        <x:f t="shared" si="3">IF(K103="","",IF(K103="Achieved","Yes","No"))</x:f>
      </x:c>
      <x:c r="P103" s="100"/>
    </x:row>
    <x:row r="104">
      <x:c r="A104" s="96"/>
      <x:c r="B104" s="97"/>
      <x:c r="C104" s="98" t="str">
        <x:f>IF(B104="","",IFERROR(INDEX('Task Master'!$C$5:$C$804,MATCH(B104,'Task Master'!$A$5:$A$804,0)),"Not in latest raw"))</x:f>
      </x:c>
      <x:c r="D104" s="98" t="str">
        <x:f>IF(B104="","",IFERROR(INDEX('Task Master'!$J$5:$J$804,MATCH(B104,'Task Master'!$A$5:$A$804,0)),""))</x:f>
      </x:c>
      <x:c r="E104" s="98" t="str">
        <x:f>IF(B104="","",IFERROR(INDEX('Task Master'!$K$5:$K$804,MATCH(B104,'Task Master'!$A$5:$A$804,0)),""))</x:f>
      </x:c>
      <x:c r="F104" s="97" t="str">
        <x:f>IF(B104="","",IF(COUNTIFS('Assignment History'!$B$5:$B$204,B104,'Assignment History'!$A$5:$A$204,"&gt;="&amp;A104,'Assignment History'!$A$5:$A$204,"&lt;"&amp;A104+1)&gt;0,"Yes","No"))</x:f>
      </x:c>
      <x:c r="G104" s="97" t="str">
        <x:f>IF(B104="","",IF(F104="Yes",IFERROR(LOOKUP(2,1/(('Assignment History'!$B$5:$B$204=B104)*('Assignment History'!$A$5:$A$204&gt;=A104)*('Assignment History'!$A$5:$A$204&lt;A104+1)),'Assignment History'!$C$5:$C$204),""),""))</x:f>
      </x:c>
      <x:c r="H104" s="97"/>
      <x:c r="I104" s="97"/>
      <x:c r="J104" s="99"/>
      <x:c r="K104" s="97"/>
      <x:c r="L104" s="99"/>
      <x:c r="M104" s="100"/>
      <x:c r="N104" s="100"/>
      <x:c r="O104" s="101" t="str">
        <x:f t="shared" si="3">IF(K104="","",IF(K104="Achieved","Yes","No"))</x:f>
      </x:c>
      <x:c r="P104" s="100"/>
    </x:row>
    <x:row r="105">
      <x:c r="A105" s="96"/>
      <x:c r="B105" s="97"/>
      <x:c r="C105" s="98" t="str">
        <x:f>IF(B105="","",IFERROR(INDEX('Task Master'!$C$5:$C$804,MATCH(B105,'Task Master'!$A$5:$A$804,0)),"Not in latest raw"))</x:f>
      </x:c>
      <x:c r="D105" s="98" t="str">
        <x:f>IF(B105="","",IFERROR(INDEX('Task Master'!$J$5:$J$804,MATCH(B105,'Task Master'!$A$5:$A$804,0)),""))</x:f>
      </x:c>
      <x:c r="E105" s="98" t="str">
        <x:f>IF(B105="","",IFERROR(INDEX('Task Master'!$K$5:$K$804,MATCH(B105,'Task Master'!$A$5:$A$804,0)),""))</x:f>
      </x:c>
      <x:c r="F105" s="97" t="str">
        <x:f>IF(B105="","",IF(COUNTIFS('Assignment History'!$B$5:$B$204,B105,'Assignment History'!$A$5:$A$204,"&gt;="&amp;A105,'Assignment History'!$A$5:$A$204,"&lt;"&amp;A105+1)&gt;0,"Yes","No"))</x:f>
      </x:c>
      <x:c r="G105" s="97" t="str">
        <x:f>IF(B105="","",IF(F105="Yes",IFERROR(LOOKUP(2,1/(('Assignment History'!$B$5:$B$204=B105)*('Assignment History'!$A$5:$A$204&gt;=A105)*('Assignment History'!$A$5:$A$204&lt;A105+1)),'Assignment History'!$C$5:$C$204),""),""))</x:f>
      </x:c>
      <x:c r="H105" s="97"/>
      <x:c r="I105" s="97"/>
      <x:c r="J105" s="99"/>
      <x:c r="K105" s="97"/>
      <x:c r="L105" s="99"/>
      <x:c r="M105" s="100"/>
      <x:c r="N105" s="100"/>
      <x:c r="O105" s="101" t="str">
        <x:f t="shared" si="3">IF(K105="","",IF(K105="Achieved","Yes","No"))</x:f>
      </x:c>
      <x:c r="P105" s="100"/>
    </x:row>
    <x:row r="106">
      <x:c r="A106" s="96"/>
      <x:c r="B106" s="97"/>
      <x:c r="C106" s="98" t="str">
        <x:f>IF(B106="","",IFERROR(INDEX('Task Master'!$C$5:$C$804,MATCH(B106,'Task Master'!$A$5:$A$804,0)),"Not in latest raw"))</x:f>
      </x:c>
      <x:c r="D106" s="98" t="str">
        <x:f>IF(B106="","",IFERROR(INDEX('Task Master'!$J$5:$J$804,MATCH(B106,'Task Master'!$A$5:$A$804,0)),""))</x:f>
      </x:c>
      <x:c r="E106" s="98" t="str">
        <x:f>IF(B106="","",IFERROR(INDEX('Task Master'!$K$5:$K$804,MATCH(B106,'Task Master'!$A$5:$A$804,0)),""))</x:f>
      </x:c>
      <x:c r="F106" s="97" t="str">
        <x:f>IF(B106="","",IF(COUNTIFS('Assignment History'!$B$5:$B$204,B106,'Assignment History'!$A$5:$A$204,"&gt;="&amp;A106,'Assignment History'!$A$5:$A$204,"&lt;"&amp;A106+1)&gt;0,"Yes","No"))</x:f>
      </x:c>
      <x:c r="G106" s="97" t="str">
        <x:f>IF(B106="","",IF(F106="Yes",IFERROR(LOOKUP(2,1/(('Assignment History'!$B$5:$B$204=B106)*('Assignment History'!$A$5:$A$204&gt;=A106)*('Assignment History'!$A$5:$A$204&lt;A106+1)),'Assignment History'!$C$5:$C$204),""),""))</x:f>
      </x:c>
      <x:c r="H106" s="97"/>
      <x:c r="I106" s="97"/>
      <x:c r="J106" s="99"/>
      <x:c r="K106" s="97"/>
      <x:c r="L106" s="99"/>
      <x:c r="M106" s="100"/>
      <x:c r="N106" s="100"/>
      <x:c r="O106" s="101" t="str">
        <x:f t="shared" si="3">IF(K106="","",IF(K106="Achieved","Yes","No"))</x:f>
      </x:c>
      <x:c r="P106" s="100"/>
    </x:row>
    <x:row r="107">
      <x:c r="A107" s="96"/>
      <x:c r="B107" s="97"/>
      <x:c r="C107" s="98" t="str">
        <x:f>IF(B107="","",IFERROR(INDEX('Task Master'!$C$5:$C$804,MATCH(B107,'Task Master'!$A$5:$A$804,0)),"Not in latest raw"))</x:f>
      </x:c>
      <x:c r="D107" s="98" t="str">
        <x:f>IF(B107="","",IFERROR(INDEX('Task Master'!$J$5:$J$804,MATCH(B107,'Task Master'!$A$5:$A$804,0)),""))</x:f>
      </x:c>
      <x:c r="E107" s="98" t="str">
        <x:f>IF(B107="","",IFERROR(INDEX('Task Master'!$K$5:$K$804,MATCH(B107,'Task Master'!$A$5:$A$804,0)),""))</x:f>
      </x:c>
      <x:c r="F107" s="97" t="str">
        <x:f>IF(B107="","",IF(COUNTIFS('Assignment History'!$B$5:$B$204,B107,'Assignment History'!$A$5:$A$204,"&gt;="&amp;A107,'Assignment History'!$A$5:$A$204,"&lt;"&amp;A107+1)&gt;0,"Yes","No"))</x:f>
      </x:c>
      <x:c r="G107" s="97" t="str">
        <x:f>IF(B107="","",IF(F107="Yes",IFERROR(LOOKUP(2,1/(('Assignment History'!$B$5:$B$204=B107)*('Assignment History'!$A$5:$A$204&gt;=A107)*('Assignment History'!$A$5:$A$204&lt;A107+1)),'Assignment History'!$C$5:$C$204),""),""))</x:f>
      </x:c>
      <x:c r="H107" s="97"/>
      <x:c r="I107" s="97"/>
      <x:c r="J107" s="99"/>
      <x:c r="K107" s="97"/>
      <x:c r="L107" s="99"/>
      <x:c r="M107" s="100"/>
      <x:c r="N107" s="100"/>
      <x:c r="O107" s="101" t="str">
        <x:f t="shared" si="3">IF(K107="","",IF(K107="Achieved","Yes","No"))</x:f>
      </x:c>
      <x:c r="P107" s="100"/>
    </x:row>
    <x:row r="108">
      <x:c r="A108" s="96"/>
      <x:c r="B108" s="97"/>
      <x:c r="C108" s="98" t="str">
        <x:f>IF(B108="","",IFERROR(INDEX('Task Master'!$C$5:$C$804,MATCH(B108,'Task Master'!$A$5:$A$804,0)),"Not in latest raw"))</x:f>
      </x:c>
      <x:c r="D108" s="98" t="str">
        <x:f>IF(B108="","",IFERROR(INDEX('Task Master'!$J$5:$J$804,MATCH(B108,'Task Master'!$A$5:$A$804,0)),""))</x:f>
      </x:c>
      <x:c r="E108" s="98" t="str">
        <x:f>IF(B108="","",IFERROR(INDEX('Task Master'!$K$5:$K$804,MATCH(B108,'Task Master'!$A$5:$A$804,0)),""))</x:f>
      </x:c>
      <x:c r="F108" s="97" t="str">
        <x:f>IF(B108="","",IF(COUNTIFS('Assignment History'!$B$5:$B$204,B108,'Assignment History'!$A$5:$A$204,"&gt;="&amp;A108,'Assignment History'!$A$5:$A$204,"&lt;"&amp;A108+1)&gt;0,"Yes","No"))</x:f>
      </x:c>
      <x:c r="G108" s="97" t="str">
        <x:f>IF(B108="","",IF(F108="Yes",IFERROR(LOOKUP(2,1/(('Assignment History'!$B$5:$B$204=B108)*('Assignment History'!$A$5:$A$204&gt;=A108)*('Assignment History'!$A$5:$A$204&lt;A108+1)),'Assignment History'!$C$5:$C$204),""),""))</x:f>
      </x:c>
      <x:c r="H108" s="97"/>
      <x:c r="I108" s="97"/>
      <x:c r="J108" s="99"/>
      <x:c r="K108" s="97"/>
      <x:c r="L108" s="99"/>
      <x:c r="M108" s="100"/>
      <x:c r="N108" s="100"/>
      <x:c r="O108" s="101" t="str">
        <x:f t="shared" si="3">IF(K108="","",IF(K108="Achieved","Yes","No"))</x:f>
      </x:c>
      <x:c r="P108" s="100"/>
    </x:row>
    <x:row r="109">
      <x:c r="A109" s="96"/>
      <x:c r="B109" s="97"/>
      <x:c r="C109" s="98" t="str">
        <x:f>IF(B109="","",IFERROR(INDEX('Task Master'!$C$5:$C$804,MATCH(B109,'Task Master'!$A$5:$A$804,0)),"Not in latest raw"))</x:f>
      </x:c>
      <x:c r="D109" s="98" t="str">
        <x:f>IF(B109="","",IFERROR(INDEX('Task Master'!$J$5:$J$804,MATCH(B109,'Task Master'!$A$5:$A$804,0)),""))</x:f>
      </x:c>
      <x:c r="E109" s="98" t="str">
        <x:f>IF(B109="","",IFERROR(INDEX('Task Master'!$K$5:$K$804,MATCH(B109,'Task Master'!$A$5:$A$804,0)),""))</x:f>
      </x:c>
      <x:c r="F109" s="97" t="str">
        <x:f>IF(B109="","",IF(COUNTIFS('Assignment History'!$B$5:$B$204,B109,'Assignment History'!$A$5:$A$204,"&gt;="&amp;A109,'Assignment History'!$A$5:$A$204,"&lt;"&amp;A109+1)&gt;0,"Yes","No"))</x:f>
      </x:c>
      <x:c r="G109" s="97" t="str">
        <x:f>IF(B109="","",IF(F109="Yes",IFERROR(LOOKUP(2,1/(('Assignment History'!$B$5:$B$204=B109)*('Assignment History'!$A$5:$A$204&gt;=A109)*('Assignment History'!$A$5:$A$204&lt;A109+1)),'Assignment History'!$C$5:$C$204),""),""))</x:f>
      </x:c>
      <x:c r="H109" s="97"/>
      <x:c r="I109" s="97"/>
      <x:c r="J109" s="99"/>
      <x:c r="K109" s="97"/>
      <x:c r="L109" s="99"/>
      <x:c r="M109" s="100"/>
      <x:c r="N109" s="100"/>
      <x:c r="O109" s="101" t="str">
        <x:f t="shared" si="3">IF(K109="","",IF(K109="Achieved","Yes","No"))</x:f>
      </x:c>
      <x:c r="P109" s="100"/>
    </x:row>
    <x:row r="110">
      <x:c r="A110" s="96"/>
      <x:c r="B110" s="97"/>
      <x:c r="C110" s="98" t="str">
        <x:f>IF(B110="","",IFERROR(INDEX('Task Master'!$C$5:$C$804,MATCH(B110,'Task Master'!$A$5:$A$804,0)),"Not in latest raw"))</x:f>
      </x:c>
      <x:c r="D110" s="98" t="str">
        <x:f>IF(B110="","",IFERROR(INDEX('Task Master'!$J$5:$J$804,MATCH(B110,'Task Master'!$A$5:$A$804,0)),""))</x:f>
      </x:c>
      <x:c r="E110" s="98" t="str">
        <x:f>IF(B110="","",IFERROR(INDEX('Task Master'!$K$5:$K$804,MATCH(B110,'Task Master'!$A$5:$A$804,0)),""))</x:f>
      </x:c>
      <x:c r="F110" s="97" t="str">
        <x:f>IF(B110="","",IF(COUNTIFS('Assignment History'!$B$5:$B$204,B110,'Assignment History'!$A$5:$A$204,"&gt;="&amp;A110,'Assignment History'!$A$5:$A$204,"&lt;"&amp;A110+1)&gt;0,"Yes","No"))</x:f>
      </x:c>
      <x:c r="G110" s="97" t="str">
        <x:f>IF(B110="","",IF(F110="Yes",IFERROR(LOOKUP(2,1/(('Assignment History'!$B$5:$B$204=B110)*('Assignment History'!$A$5:$A$204&gt;=A110)*('Assignment History'!$A$5:$A$204&lt;A110+1)),'Assignment History'!$C$5:$C$204),""),""))</x:f>
      </x:c>
      <x:c r="H110" s="97"/>
      <x:c r="I110" s="97"/>
      <x:c r="J110" s="99"/>
      <x:c r="K110" s="97"/>
      <x:c r="L110" s="99"/>
      <x:c r="M110" s="100"/>
      <x:c r="N110" s="100"/>
      <x:c r="O110" s="101" t="str">
        <x:f t="shared" si="3">IF(K110="","",IF(K110="Achieved","Yes","No"))</x:f>
      </x:c>
      <x:c r="P110" s="100"/>
    </x:row>
    <x:row r="111">
      <x:c r="A111" s="96"/>
      <x:c r="B111" s="97"/>
      <x:c r="C111" s="98" t="str">
        <x:f>IF(B111="","",IFERROR(INDEX('Task Master'!$C$5:$C$804,MATCH(B111,'Task Master'!$A$5:$A$804,0)),"Not in latest raw"))</x:f>
      </x:c>
      <x:c r="D111" s="98" t="str">
        <x:f>IF(B111="","",IFERROR(INDEX('Task Master'!$J$5:$J$804,MATCH(B111,'Task Master'!$A$5:$A$804,0)),""))</x:f>
      </x:c>
      <x:c r="E111" s="98" t="str">
        <x:f>IF(B111="","",IFERROR(INDEX('Task Master'!$K$5:$K$804,MATCH(B111,'Task Master'!$A$5:$A$804,0)),""))</x:f>
      </x:c>
      <x:c r="F111" s="97" t="str">
        <x:f>IF(B111="","",IF(COUNTIFS('Assignment History'!$B$5:$B$204,B111,'Assignment History'!$A$5:$A$204,"&gt;="&amp;A111,'Assignment History'!$A$5:$A$204,"&lt;"&amp;A111+1)&gt;0,"Yes","No"))</x:f>
      </x:c>
      <x:c r="G111" s="97" t="str">
        <x:f>IF(B111="","",IF(F111="Yes",IFERROR(LOOKUP(2,1/(('Assignment History'!$B$5:$B$204=B111)*('Assignment History'!$A$5:$A$204&gt;=A111)*('Assignment History'!$A$5:$A$204&lt;A111+1)),'Assignment History'!$C$5:$C$204),""),""))</x:f>
      </x:c>
      <x:c r="H111" s="97"/>
      <x:c r="I111" s="97"/>
      <x:c r="J111" s="99"/>
      <x:c r="K111" s="97"/>
      <x:c r="L111" s="99"/>
      <x:c r="M111" s="100"/>
      <x:c r="N111" s="100"/>
      <x:c r="O111" s="101" t="str">
        <x:f t="shared" si="3">IF(K111="","",IF(K111="Achieved","Yes","No"))</x:f>
      </x:c>
      <x:c r="P111" s="100"/>
    </x:row>
    <x:row r="112">
      <x:c r="A112" s="96"/>
      <x:c r="B112" s="97"/>
      <x:c r="C112" s="98" t="str">
        <x:f>IF(B112="","",IFERROR(INDEX('Task Master'!$C$5:$C$804,MATCH(B112,'Task Master'!$A$5:$A$804,0)),"Not in latest raw"))</x:f>
      </x:c>
      <x:c r="D112" s="98" t="str">
        <x:f>IF(B112="","",IFERROR(INDEX('Task Master'!$J$5:$J$804,MATCH(B112,'Task Master'!$A$5:$A$804,0)),""))</x:f>
      </x:c>
      <x:c r="E112" s="98" t="str">
        <x:f>IF(B112="","",IFERROR(INDEX('Task Master'!$K$5:$K$804,MATCH(B112,'Task Master'!$A$5:$A$804,0)),""))</x:f>
      </x:c>
      <x:c r="F112" s="97" t="str">
        <x:f>IF(B112="","",IF(COUNTIFS('Assignment History'!$B$5:$B$204,B112,'Assignment History'!$A$5:$A$204,"&gt;="&amp;A112,'Assignment History'!$A$5:$A$204,"&lt;"&amp;A112+1)&gt;0,"Yes","No"))</x:f>
      </x:c>
      <x:c r="G112" s="97" t="str">
        <x:f>IF(B112="","",IF(F112="Yes",IFERROR(LOOKUP(2,1/(('Assignment History'!$B$5:$B$204=B112)*('Assignment History'!$A$5:$A$204&gt;=A112)*('Assignment History'!$A$5:$A$204&lt;A112+1)),'Assignment History'!$C$5:$C$204),""),""))</x:f>
      </x:c>
      <x:c r="H112" s="97"/>
      <x:c r="I112" s="97"/>
      <x:c r="J112" s="99"/>
      <x:c r="K112" s="97"/>
      <x:c r="L112" s="99"/>
      <x:c r="M112" s="100"/>
      <x:c r="N112" s="100"/>
      <x:c r="O112" s="101" t="str">
        <x:f t="shared" si="3">IF(K112="","",IF(K112="Achieved","Yes","No"))</x:f>
      </x:c>
      <x:c r="P112" s="100"/>
    </x:row>
    <x:row r="113">
      <x:c r="A113" s="96"/>
      <x:c r="B113" s="97"/>
      <x:c r="C113" s="98" t="str">
        <x:f>IF(B113="","",IFERROR(INDEX('Task Master'!$C$5:$C$804,MATCH(B113,'Task Master'!$A$5:$A$804,0)),"Not in latest raw"))</x:f>
      </x:c>
      <x:c r="D113" s="98" t="str">
        <x:f>IF(B113="","",IFERROR(INDEX('Task Master'!$J$5:$J$804,MATCH(B113,'Task Master'!$A$5:$A$804,0)),""))</x:f>
      </x:c>
      <x:c r="E113" s="98" t="str">
        <x:f>IF(B113="","",IFERROR(INDEX('Task Master'!$K$5:$K$804,MATCH(B113,'Task Master'!$A$5:$A$804,0)),""))</x:f>
      </x:c>
      <x:c r="F113" s="97" t="str">
        <x:f>IF(B113="","",IF(COUNTIFS('Assignment History'!$B$5:$B$204,B113,'Assignment History'!$A$5:$A$204,"&gt;="&amp;A113,'Assignment History'!$A$5:$A$204,"&lt;"&amp;A113+1)&gt;0,"Yes","No"))</x:f>
      </x:c>
      <x:c r="G113" s="97" t="str">
        <x:f>IF(B113="","",IF(F113="Yes",IFERROR(LOOKUP(2,1/(('Assignment History'!$B$5:$B$204=B113)*('Assignment History'!$A$5:$A$204&gt;=A113)*('Assignment History'!$A$5:$A$204&lt;A113+1)),'Assignment History'!$C$5:$C$204),""),""))</x:f>
      </x:c>
      <x:c r="H113" s="97"/>
      <x:c r="I113" s="97"/>
      <x:c r="J113" s="99"/>
      <x:c r="K113" s="97"/>
      <x:c r="L113" s="99"/>
      <x:c r="M113" s="100"/>
      <x:c r="N113" s="100"/>
      <x:c r="O113" s="101" t="str">
        <x:f t="shared" si="3">IF(K113="","",IF(K113="Achieved","Yes","No"))</x:f>
      </x:c>
      <x:c r="P113" s="100"/>
    </x:row>
    <x:row r="114">
      <x:c r="A114" s="96"/>
      <x:c r="B114" s="97"/>
      <x:c r="C114" s="98" t="str">
        <x:f>IF(B114="","",IFERROR(INDEX('Task Master'!$C$5:$C$804,MATCH(B114,'Task Master'!$A$5:$A$804,0)),"Not in latest raw"))</x:f>
      </x:c>
      <x:c r="D114" s="98" t="str">
        <x:f>IF(B114="","",IFERROR(INDEX('Task Master'!$J$5:$J$804,MATCH(B114,'Task Master'!$A$5:$A$804,0)),""))</x:f>
      </x:c>
      <x:c r="E114" s="98" t="str">
        <x:f>IF(B114="","",IFERROR(INDEX('Task Master'!$K$5:$K$804,MATCH(B114,'Task Master'!$A$5:$A$804,0)),""))</x:f>
      </x:c>
      <x:c r="F114" s="97" t="str">
        <x:f>IF(B114="","",IF(COUNTIFS('Assignment History'!$B$5:$B$204,B114,'Assignment History'!$A$5:$A$204,"&gt;="&amp;A114,'Assignment History'!$A$5:$A$204,"&lt;"&amp;A114+1)&gt;0,"Yes","No"))</x:f>
      </x:c>
      <x:c r="G114" s="97" t="str">
        <x:f>IF(B114="","",IF(F114="Yes",IFERROR(LOOKUP(2,1/(('Assignment History'!$B$5:$B$204=B114)*('Assignment History'!$A$5:$A$204&gt;=A114)*('Assignment History'!$A$5:$A$204&lt;A114+1)),'Assignment History'!$C$5:$C$204),""),""))</x:f>
      </x:c>
      <x:c r="H114" s="97"/>
      <x:c r="I114" s="97"/>
      <x:c r="J114" s="99"/>
      <x:c r="K114" s="97"/>
      <x:c r="L114" s="99"/>
      <x:c r="M114" s="100"/>
      <x:c r="N114" s="100"/>
      <x:c r="O114" s="101" t="str">
        <x:f t="shared" si="3">IF(K114="","",IF(K114="Achieved","Yes","No"))</x:f>
      </x:c>
      <x:c r="P114" s="100"/>
    </x:row>
    <x:row r="115">
      <x:c r="A115" s="96"/>
      <x:c r="B115" s="97"/>
      <x:c r="C115" s="98" t="str">
        <x:f>IF(B115="","",IFERROR(INDEX('Task Master'!$C$5:$C$804,MATCH(B115,'Task Master'!$A$5:$A$804,0)),"Not in latest raw"))</x:f>
      </x:c>
      <x:c r="D115" s="98" t="str">
        <x:f>IF(B115="","",IFERROR(INDEX('Task Master'!$J$5:$J$804,MATCH(B115,'Task Master'!$A$5:$A$804,0)),""))</x:f>
      </x:c>
      <x:c r="E115" s="98" t="str">
        <x:f>IF(B115="","",IFERROR(INDEX('Task Master'!$K$5:$K$804,MATCH(B115,'Task Master'!$A$5:$A$804,0)),""))</x:f>
      </x:c>
      <x:c r="F115" s="97" t="str">
        <x:f>IF(B115="","",IF(COUNTIFS('Assignment History'!$B$5:$B$204,B115,'Assignment History'!$A$5:$A$204,"&gt;="&amp;A115,'Assignment History'!$A$5:$A$204,"&lt;"&amp;A115+1)&gt;0,"Yes","No"))</x:f>
      </x:c>
      <x:c r="G115" s="97" t="str">
        <x:f>IF(B115="","",IF(F115="Yes",IFERROR(LOOKUP(2,1/(('Assignment History'!$B$5:$B$204=B115)*('Assignment History'!$A$5:$A$204&gt;=A115)*('Assignment History'!$A$5:$A$204&lt;A115+1)),'Assignment History'!$C$5:$C$204),""),""))</x:f>
      </x:c>
      <x:c r="H115" s="97"/>
      <x:c r="I115" s="97"/>
      <x:c r="J115" s="99"/>
      <x:c r="K115" s="97"/>
      <x:c r="L115" s="99"/>
      <x:c r="M115" s="100"/>
      <x:c r="N115" s="100"/>
      <x:c r="O115" s="101" t="str">
        <x:f t="shared" si="3">IF(K115="","",IF(K115="Achieved","Yes","No"))</x:f>
      </x:c>
      <x:c r="P115" s="100"/>
    </x:row>
    <x:row r="116">
      <x:c r="A116" s="96"/>
      <x:c r="B116" s="97"/>
      <x:c r="C116" s="98" t="str">
        <x:f>IF(B116="","",IFERROR(INDEX('Task Master'!$C$5:$C$804,MATCH(B116,'Task Master'!$A$5:$A$804,0)),"Not in latest raw"))</x:f>
      </x:c>
      <x:c r="D116" s="98" t="str">
        <x:f>IF(B116="","",IFERROR(INDEX('Task Master'!$J$5:$J$804,MATCH(B116,'Task Master'!$A$5:$A$804,0)),""))</x:f>
      </x:c>
      <x:c r="E116" s="98" t="str">
        <x:f>IF(B116="","",IFERROR(INDEX('Task Master'!$K$5:$K$804,MATCH(B116,'Task Master'!$A$5:$A$804,0)),""))</x:f>
      </x:c>
      <x:c r="F116" s="97" t="str">
        <x:f>IF(B116="","",IF(COUNTIFS('Assignment History'!$B$5:$B$204,B116,'Assignment History'!$A$5:$A$204,"&gt;="&amp;A116,'Assignment History'!$A$5:$A$204,"&lt;"&amp;A116+1)&gt;0,"Yes","No"))</x:f>
      </x:c>
      <x:c r="G116" s="97" t="str">
        <x:f>IF(B116="","",IF(F116="Yes",IFERROR(LOOKUP(2,1/(('Assignment History'!$B$5:$B$204=B116)*('Assignment History'!$A$5:$A$204&gt;=A116)*('Assignment History'!$A$5:$A$204&lt;A116+1)),'Assignment History'!$C$5:$C$204),""),""))</x:f>
      </x:c>
      <x:c r="H116" s="97"/>
      <x:c r="I116" s="97"/>
      <x:c r="J116" s="99"/>
      <x:c r="K116" s="97"/>
      <x:c r="L116" s="99"/>
      <x:c r="M116" s="100"/>
      <x:c r="N116" s="100"/>
      <x:c r="O116" s="101" t="str">
        <x:f t="shared" si="3">IF(K116="","",IF(K116="Achieved","Yes","No"))</x:f>
      </x:c>
      <x:c r="P116" s="100"/>
    </x:row>
    <x:row r="117">
      <x:c r="A117" s="96"/>
      <x:c r="B117" s="97"/>
      <x:c r="C117" s="98" t="str">
        <x:f>IF(B117="","",IFERROR(INDEX('Task Master'!$C$5:$C$804,MATCH(B117,'Task Master'!$A$5:$A$804,0)),"Not in latest raw"))</x:f>
      </x:c>
      <x:c r="D117" s="98" t="str">
        <x:f>IF(B117="","",IFERROR(INDEX('Task Master'!$J$5:$J$804,MATCH(B117,'Task Master'!$A$5:$A$804,0)),""))</x:f>
      </x:c>
      <x:c r="E117" s="98" t="str">
        <x:f>IF(B117="","",IFERROR(INDEX('Task Master'!$K$5:$K$804,MATCH(B117,'Task Master'!$A$5:$A$804,0)),""))</x:f>
      </x:c>
      <x:c r="F117" s="97" t="str">
        <x:f>IF(B117="","",IF(COUNTIFS('Assignment History'!$B$5:$B$204,B117,'Assignment History'!$A$5:$A$204,"&gt;="&amp;A117,'Assignment History'!$A$5:$A$204,"&lt;"&amp;A117+1)&gt;0,"Yes","No"))</x:f>
      </x:c>
      <x:c r="G117" s="97" t="str">
        <x:f>IF(B117="","",IF(F117="Yes",IFERROR(LOOKUP(2,1/(('Assignment History'!$B$5:$B$204=B117)*('Assignment History'!$A$5:$A$204&gt;=A117)*('Assignment History'!$A$5:$A$204&lt;A117+1)),'Assignment History'!$C$5:$C$204),""),""))</x:f>
      </x:c>
      <x:c r="H117" s="97"/>
      <x:c r="I117" s="97"/>
      <x:c r="J117" s="99"/>
      <x:c r="K117" s="97"/>
      <x:c r="L117" s="99"/>
      <x:c r="M117" s="100"/>
      <x:c r="N117" s="100"/>
      <x:c r="O117" s="101" t="str">
        <x:f t="shared" si="3">IF(K117="","",IF(K117="Achieved","Yes","No"))</x:f>
      </x:c>
      <x:c r="P117" s="100"/>
    </x:row>
    <x:row r="118">
      <x:c r="A118" s="96"/>
      <x:c r="B118" s="97"/>
      <x:c r="C118" s="98" t="str">
        <x:f>IF(B118="","",IFERROR(INDEX('Task Master'!$C$5:$C$804,MATCH(B118,'Task Master'!$A$5:$A$804,0)),"Not in latest raw"))</x:f>
      </x:c>
      <x:c r="D118" s="98" t="str">
        <x:f>IF(B118="","",IFERROR(INDEX('Task Master'!$J$5:$J$804,MATCH(B118,'Task Master'!$A$5:$A$804,0)),""))</x:f>
      </x:c>
      <x:c r="E118" s="98" t="str">
        <x:f>IF(B118="","",IFERROR(INDEX('Task Master'!$K$5:$K$804,MATCH(B118,'Task Master'!$A$5:$A$804,0)),""))</x:f>
      </x:c>
      <x:c r="F118" s="97" t="str">
        <x:f>IF(B118="","",IF(COUNTIFS('Assignment History'!$B$5:$B$204,B118,'Assignment History'!$A$5:$A$204,"&gt;="&amp;A118,'Assignment History'!$A$5:$A$204,"&lt;"&amp;A118+1)&gt;0,"Yes","No"))</x:f>
      </x:c>
      <x:c r="G118" s="97" t="str">
        <x:f>IF(B118="","",IF(F118="Yes",IFERROR(LOOKUP(2,1/(('Assignment History'!$B$5:$B$204=B118)*('Assignment History'!$A$5:$A$204&gt;=A118)*('Assignment History'!$A$5:$A$204&lt;A118+1)),'Assignment History'!$C$5:$C$204),""),""))</x:f>
      </x:c>
      <x:c r="H118" s="97"/>
      <x:c r="I118" s="97"/>
      <x:c r="J118" s="99"/>
      <x:c r="K118" s="97"/>
      <x:c r="L118" s="99"/>
      <x:c r="M118" s="100"/>
      <x:c r="N118" s="100"/>
      <x:c r="O118" s="101" t="str">
        <x:f t="shared" si="3">IF(K118="","",IF(K118="Achieved","Yes","No"))</x:f>
      </x:c>
      <x:c r="P118" s="100"/>
    </x:row>
    <x:row r="119">
      <x:c r="A119" s="96"/>
      <x:c r="B119" s="97"/>
      <x:c r="C119" s="98" t="str">
        <x:f>IF(B119="","",IFERROR(INDEX('Task Master'!$C$5:$C$804,MATCH(B119,'Task Master'!$A$5:$A$804,0)),"Not in latest raw"))</x:f>
      </x:c>
      <x:c r="D119" s="98" t="str">
        <x:f>IF(B119="","",IFERROR(INDEX('Task Master'!$J$5:$J$804,MATCH(B119,'Task Master'!$A$5:$A$804,0)),""))</x:f>
      </x:c>
      <x:c r="E119" s="98" t="str">
        <x:f>IF(B119="","",IFERROR(INDEX('Task Master'!$K$5:$K$804,MATCH(B119,'Task Master'!$A$5:$A$804,0)),""))</x:f>
      </x:c>
      <x:c r="F119" s="97" t="str">
        <x:f>IF(B119="","",IF(COUNTIFS('Assignment History'!$B$5:$B$204,B119,'Assignment History'!$A$5:$A$204,"&gt;="&amp;A119,'Assignment History'!$A$5:$A$204,"&lt;"&amp;A119+1)&gt;0,"Yes","No"))</x:f>
      </x:c>
      <x:c r="G119" s="97" t="str">
        <x:f>IF(B119="","",IF(F119="Yes",IFERROR(LOOKUP(2,1/(('Assignment History'!$B$5:$B$204=B119)*('Assignment History'!$A$5:$A$204&gt;=A119)*('Assignment History'!$A$5:$A$204&lt;A119+1)),'Assignment History'!$C$5:$C$204),""),""))</x:f>
      </x:c>
      <x:c r="H119" s="97"/>
      <x:c r="I119" s="97"/>
      <x:c r="J119" s="99"/>
      <x:c r="K119" s="97"/>
      <x:c r="L119" s="99"/>
      <x:c r="M119" s="100"/>
      <x:c r="N119" s="100"/>
      <x:c r="O119" s="101" t="str">
        <x:f t="shared" si="3">IF(K119="","",IF(K119="Achieved","Yes","No"))</x:f>
      </x:c>
      <x:c r="P119" s="100"/>
    </x:row>
    <x:row r="120">
      <x:c r="A120" s="96"/>
      <x:c r="B120" s="97"/>
      <x:c r="C120" s="98" t="str">
        <x:f>IF(B120="","",IFERROR(INDEX('Task Master'!$C$5:$C$804,MATCH(B120,'Task Master'!$A$5:$A$804,0)),"Not in latest raw"))</x:f>
      </x:c>
      <x:c r="D120" s="98" t="str">
        <x:f>IF(B120="","",IFERROR(INDEX('Task Master'!$J$5:$J$804,MATCH(B120,'Task Master'!$A$5:$A$804,0)),""))</x:f>
      </x:c>
      <x:c r="E120" s="98" t="str">
        <x:f>IF(B120="","",IFERROR(INDEX('Task Master'!$K$5:$K$804,MATCH(B120,'Task Master'!$A$5:$A$804,0)),""))</x:f>
      </x:c>
      <x:c r="F120" s="97" t="str">
        <x:f>IF(B120="","",IF(COUNTIFS('Assignment History'!$B$5:$B$204,B120,'Assignment History'!$A$5:$A$204,"&gt;="&amp;A120,'Assignment History'!$A$5:$A$204,"&lt;"&amp;A120+1)&gt;0,"Yes","No"))</x:f>
      </x:c>
      <x:c r="G120" s="97" t="str">
        <x:f>IF(B120="","",IF(F120="Yes",IFERROR(LOOKUP(2,1/(('Assignment History'!$B$5:$B$204=B120)*('Assignment History'!$A$5:$A$204&gt;=A120)*('Assignment History'!$A$5:$A$204&lt;A120+1)),'Assignment History'!$C$5:$C$204),""),""))</x:f>
      </x:c>
      <x:c r="H120" s="97"/>
      <x:c r="I120" s="97"/>
      <x:c r="J120" s="99"/>
      <x:c r="K120" s="97"/>
      <x:c r="L120" s="99"/>
      <x:c r="M120" s="100"/>
      <x:c r="N120" s="100"/>
      <x:c r="O120" s="101" t="str">
        <x:f t="shared" si="3">IF(K120="","",IF(K120="Achieved","Yes","No"))</x:f>
      </x:c>
      <x:c r="P120" s="100"/>
    </x:row>
    <x:row r="121">
      <x:c r="A121" s="96"/>
      <x:c r="B121" s="97"/>
      <x:c r="C121" s="98" t="str">
        <x:f>IF(B121="","",IFERROR(INDEX('Task Master'!$C$5:$C$804,MATCH(B121,'Task Master'!$A$5:$A$804,0)),"Not in latest raw"))</x:f>
      </x:c>
      <x:c r="D121" s="98" t="str">
        <x:f>IF(B121="","",IFERROR(INDEX('Task Master'!$J$5:$J$804,MATCH(B121,'Task Master'!$A$5:$A$804,0)),""))</x:f>
      </x:c>
      <x:c r="E121" s="98" t="str">
        <x:f>IF(B121="","",IFERROR(INDEX('Task Master'!$K$5:$K$804,MATCH(B121,'Task Master'!$A$5:$A$804,0)),""))</x:f>
      </x:c>
      <x:c r="F121" s="97" t="str">
        <x:f>IF(B121="","",IF(COUNTIFS('Assignment History'!$B$5:$B$204,B121,'Assignment History'!$A$5:$A$204,"&gt;="&amp;A121,'Assignment History'!$A$5:$A$204,"&lt;"&amp;A121+1)&gt;0,"Yes","No"))</x:f>
      </x:c>
      <x:c r="G121" s="97" t="str">
        <x:f>IF(B121="","",IF(F121="Yes",IFERROR(LOOKUP(2,1/(('Assignment History'!$B$5:$B$204=B121)*('Assignment History'!$A$5:$A$204&gt;=A121)*('Assignment History'!$A$5:$A$204&lt;A121+1)),'Assignment History'!$C$5:$C$204),""),""))</x:f>
      </x:c>
      <x:c r="H121" s="97"/>
      <x:c r="I121" s="97"/>
      <x:c r="J121" s="99"/>
      <x:c r="K121" s="97"/>
      <x:c r="L121" s="99"/>
      <x:c r="M121" s="100"/>
      <x:c r="N121" s="100"/>
      <x:c r="O121" s="101" t="str">
        <x:f t="shared" si="3">IF(K121="","",IF(K121="Achieved","Yes","No"))</x:f>
      </x:c>
      <x:c r="P121" s="100"/>
    </x:row>
    <x:row r="122">
      <x:c r="A122" s="96"/>
      <x:c r="B122" s="97"/>
      <x:c r="C122" s="98" t="str">
        <x:f>IF(B122="","",IFERROR(INDEX('Task Master'!$C$5:$C$804,MATCH(B122,'Task Master'!$A$5:$A$804,0)),"Not in latest raw"))</x:f>
      </x:c>
      <x:c r="D122" s="98" t="str">
        <x:f>IF(B122="","",IFERROR(INDEX('Task Master'!$J$5:$J$804,MATCH(B122,'Task Master'!$A$5:$A$804,0)),""))</x:f>
      </x:c>
      <x:c r="E122" s="98" t="str">
        <x:f>IF(B122="","",IFERROR(INDEX('Task Master'!$K$5:$K$804,MATCH(B122,'Task Master'!$A$5:$A$804,0)),""))</x:f>
      </x:c>
      <x:c r="F122" s="97" t="str">
        <x:f>IF(B122="","",IF(COUNTIFS('Assignment History'!$B$5:$B$204,B122,'Assignment History'!$A$5:$A$204,"&gt;="&amp;A122,'Assignment History'!$A$5:$A$204,"&lt;"&amp;A122+1)&gt;0,"Yes","No"))</x:f>
      </x:c>
      <x:c r="G122" s="97" t="str">
        <x:f>IF(B122="","",IF(F122="Yes",IFERROR(LOOKUP(2,1/(('Assignment History'!$B$5:$B$204=B122)*('Assignment History'!$A$5:$A$204&gt;=A122)*('Assignment History'!$A$5:$A$204&lt;A122+1)),'Assignment History'!$C$5:$C$204),""),""))</x:f>
      </x:c>
      <x:c r="H122" s="97"/>
      <x:c r="I122" s="97"/>
      <x:c r="J122" s="99"/>
      <x:c r="K122" s="97"/>
      <x:c r="L122" s="99"/>
      <x:c r="M122" s="100"/>
      <x:c r="N122" s="100"/>
      <x:c r="O122" s="101" t="str">
        <x:f t="shared" si="3">IF(K122="","",IF(K122="Achieved","Yes","No"))</x:f>
      </x:c>
      <x:c r="P122" s="100"/>
    </x:row>
    <x:row r="123">
      <x:c r="A123" s="96"/>
      <x:c r="B123" s="97"/>
      <x:c r="C123" s="98" t="str">
        <x:f>IF(B123="","",IFERROR(INDEX('Task Master'!$C$5:$C$804,MATCH(B123,'Task Master'!$A$5:$A$804,0)),"Not in latest raw"))</x:f>
      </x:c>
      <x:c r="D123" s="98" t="str">
        <x:f>IF(B123="","",IFERROR(INDEX('Task Master'!$J$5:$J$804,MATCH(B123,'Task Master'!$A$5:$A$804,0)),""))</x:f>
      </x:c>
      <x:c r="E123" s="98" t="str">
        <x:f>IF(B123="","",IFERROR(INDEX('Task Master'!$K$5:$K$804,MATCH(B123,'Task Master'!$A$5:$A$804,0)),""))</x:f>
      </x:c>
      <x:c r="F123" s="97" t="str">
        <x:f>IF(B123="","",IF(COUNTIFS('Assignment History'!$B$5:$B$204,B123,'Assignment History'!$A$5:$A$204,"&gt;="&amp;A123,'Assignment History'!$A$5:$A$204,"&lt;"&amp;A123+1)&gt;0,"Yes","No"))</x:f>
      </x:c>
      <x:c r="G123" s="97" t="str">
        <x:f>IF(B123="","",IF(F123="Yes",IFERROR(LOOKUP(2,1/(('Assignment History'!$B$5:$B$204=B123)*('Assignment History'!$A$5:$A$204&gt;=A123)*('Assignment History'!$A$5:$A$204&lt;A123+1)),'Assignment History'!$C$5:$C$204),""),""))</x:f>
      </x:c>
      <x:c r="H123" s="97"/>
      <x:c r="I123" s="97"/>
      <x:c r="J123" s="99"/>
      <x:c r="K123" s="97"/>
      <x:c r="L123" s="99"/>
      <x:c r="M123" s="100"/>
      <x:c r="N123" s="100"/>
      <x:c r="O123" s="101" t="str">
        <x:f t="shared" si="3">IF(K123="","",IF(K123="Achieved","Yes","No"))</x:f>
      </x:c>
      <x:c r="P123" s="100"/>
    </x:row>
    <x:row r="124">
      <x:c r="A124" s="96"/>
      <x:c r="B124" s="97"/>
      <x:c r="C124" s="98" t="str">
        <x:f>IF(B124="","",IFERROR(INDEX('Task Master'!$C$5:$C$804,MATCH(B124,'Task Master'!$A$5:$A$804,0)),"Not in latest raw"))</x:f>
      </x:c>
      <x:c r="D124" s="98" t="str">
        <x:f>IF(B124="","",IFERROR(INDEX('Task Master'!$J$5:$J$804,MATCH(B124,'Task Master'!$A$5:$A$804,0)),""))</x:f>
      </x:c>
      <x:c r="E124" s="98" t="str">
        <x:f>IF(B124="","",IFERROR(INDEX('Task Master'!$K$5:$K$804,MATCH(B124,'Task Master'!$A$5:$A$804,0)),""))</x:f>
      </x:c>
      <x:c r="F124" s="97" t="str">
        <x:f>IF(B124="","",IF(COUNTIFS('Assignment History'!$B$5:$B$204,B124,'Assignment History'!$A$5:$A$204,"&gt;="&amp;A124,'Assignment History'!$A$5:$A$204,"&lt;"&amp;A124+1)&gt;0,"Yes","No"))</x:f>
      </x:c>
      <x:c r="G124" s="97" t="str">
        <x:f>IF(B124="","",IF(F124="Yes",IFERROR(LOOKUP(2,1/(('Assignment History'!$B$5:$B$204=B124)*('Assignment History'!$A$5:$A$204&gt;=A124)*('Assignment History'!$A$5:$A$204&lt;A124+1)),'Assignment History'!$C$5:$C$204),""),""))</x:f>
      </x:c>
      <x:c r="H124" s="97"/>
      <x:c r="I124" s="97"/>
      <x:c r="J124" s="99"/>
      <x:c r="K124" s="97"/>
      <x:c r="L124" s="99"/>
      <x:c r="M124" s="100"/>
      <x:c r="N124" s="100"/>
      <x:c r="O124" s="101" t="str">
        <x:f t="shared" si="3">IF(K124="","",IF(K124="Achieved","Yes","No"))</x:f>
      </x:c>
      <x:c r="P124" s="100"/>
    </x:row>
    <x:row r="125">
      <x:c r="A125" s="96"/>
      <x:c r="B125" s="97"/>
      <x:c r="C125" s="98" t="str">
        <x:f>IF(B125="","",IFERROR(INDEX('Task Master'!$C$5:$C$804,MATCH(B125,'Task Master'!$A$5:$A$804,0)),"Not in latest raw"))</x:f>
      </x:c>
      <x:c r="D125" s="98" t="str">
        <x:f>IF(B125="","",IFERROR(INDEX('Task Master'!$J$5:$J$804,MATCH(B125,'Task Master'!$A$5:$A$804,0)),""))</x:f>
      </x:c>
      <x:c r="E125" s="98" t="str">
        <x:f>IF(B125="","",IFERROR(INDEX('Task Master'!$K$5:$K$804,MATCH(B125,'Task Master'!$A$5:$A$804,0)),""))</x:f>
      </x:c>
      <x:c r="F125" s="97" t="str">
        <x:f>IF(B125="","",IF(COUNTIFS('Assignment History'!$B$5:$B$204,B125,'Assignment History'!$A$5:$A$204,"&gt;="&amp;A125,'Assignment History'!$A$5:$A$204,"&lt;"&amp;A125+1)&gt;0,"Yes","No"))</x:f>
      </x:c>
      <x:c r="G125" s="97" t="str">
        <x:f>IF(B125="","",IF(F125="Yes",IFERROR(LOOKUP(2,1/(('Assignment History'!$B$5:$B$204=B125)*('Assignment History'!$A$5:$A$204&gt;=A125)*('Assignment History'!$A$5:$A$204&lt;A125+1)),'Assignment History'!$C$5:$C$204),""),""))</x:f>
      </x:c>
      <x:c r="H125" s="97"/>
      <x:c r="I125" s="97"/>
      <x:c r="J125" s="99"/>
      <x:c r="K125" s="97"/>
      <x:c r="L125" s="99"/>
      <x:c r="M125" s="100"/>
      <x:c r="N125" s="100"/>
      <x:c r="O125" s="101" t="str">
        <x:f t="shared" si="3">IF(K125="","",IF(K125="Achieved","Yes","No"))</x:f>
      </x:c>
      <x:c r="P125" s="100"/>
    </x:row>
    <x:row r="126">
      <x:c r="A126" s="96"/>
      <x:c r="B126" s="97"/>
      <x:c r="C126" s="98" t="str">
        <x:f>IF(B126="","",IFERROR(INDEX('Task Master'!$C$5:$C$804,MATCH(B126,'Task Master'!$A$5:$A$804,0)),"Not in latest raw"))</x:f>
      </x:c>
      <x:c r="D126" s="98" t="str">
        <x:f>IF(B126="","",IFERROR(INDEX('Task Master'!$J$5:$J$804,MATCH(B126,'Task Master'!$A$5:$A$804,0)),""))</x:f>
      </x:c>
      <x:c r="E126" s="98" t="str">
        <x:f>IF(B126="","",IFERROR(INDEX('Task Master'!$K$5:$K$804,MATCH(B126,'Task Master'!$A$5:$A$804,0)),""))</x:f>
      </x:c>
      <x:c r="F126" s="97" t="str">
        <x:f>IF(B126="","",IF(COUNTIFS('Assignment History'!$B$5:$B$204,B126,'Assignment History'!$A$5:$A$204,"&gt;="&amp;A126,'Assignment History'!$A$5:$A$204,"&lt;"&amp;A126+1)&gt;0,"Yes","No"))</x:f>
      </x:c>
      <x:c r="G126" s="97" t="str">
        <x:f>IF(B126="","",IF(F126="Yes",IFERROR(LOOKUP(2,1/(('Assignment History'!$B$5:$B$204=B126)*('Assignment History'!$A$5:$A$204&gt;=A126)*('Assignment History'!$A$5:$A$204&lt;A126+1)),'Assignment History'!$C$5:$C$204),""),""))</x:f>
      </x:c>
      <x:c r="H126" s="97"/>
      <x:c r="I126" s="97"/>
      <x:c r="J126" s="99"/>
      <x:c r="K126" s="97"/>
      <x:c r="L126" s="99"/>
      <x:c r="M126" s="100"/>
      <x:c r="N126" s="100"/>
      <x:c r="O126" s="101" t="str">
        <x:f t="shared" si="3">IF(K126="","",IF(K126="Achieved","Yes","No"))</x:f>
      </x:c>
      <x:c r="P126" s="100"/>
    </x:row>
    <x:row r="127">
      <x:c r="A127" s="96"/>
      <x:c r="B127" s="97"/>
      <x:c r="C127" s="98" t="str">
        <x:f>IF(B127="","",IFERROR(INDEX('Task Master'!$C$5:$C$804,MATCH(B127,'Task Master'!$A$5:$A$804,0)),"Not in latest raw"))</x:f>
      </x:c>
      <x:c r="D127" s="98" t="str">
        <x:f>IF(B127="","",IFERROR(INDEX('Task Master'!$J$5:$J$804,MATCH(B127,'Task Master'!$A$5:$A$804,0)),""))</x:f>
      </x:c>
      <x:c r="E127" s="98" t="str">
        <x:f>IF(B127="","",IFERROR(INDEX('Task Master'!$K$5:$K$804,MATCH(B127,'Task Master'!$A$5:$A$804,0)),""))</x:f>
      </x:c>
      <x:c r="F127" s="97" t="str">
        <x:f>IF(B127="","",IF(COUNTIFS('Assignment History'!$B$5:$B$204,B127,'Assignment History'!$A$5:$A$204,"&gt;="&amp;A127,'Assignment History'!$A$5:$A$204,"&lt;"&amp;A127+1)&gt;0,"Yes","No"))</x:f>
      </x:c>
      <x:c r="G127" s="97" t="str">
        <x:f>IF(B127="","",IF(F127="Yes",IFERROR(LOOKUP(2,1/(('Assignment History'!$B$5:$B$204=B127)*('Assignment History'!$A$5:$A$204&gt;=A127)*('Assignment History'!$A$5:$A$204&lt;A127+1)),'Assignment History'!$C$5:$C$204),""),""))</x:f>
      </x:c>
      <x:c r="H127" s="97"/>
      <x:c r="I127" s="97"/>
      <x:c r="J127" s="99"/>
      <x:c r="K127" s="97"/>
      <x:c r="L127" s="99"/>
      <x:c r="M127" s="100"/>
      <x:c r="N127" s="100"/>
      <x:c r="O127" s="101" t="str">
        <x:f t="shared" si="3">IF(K127="","",IF(K127="Achieved","Yes","No"))</x:f>
      </x:c>
      <x:c r="P127" s="100"/>
    </x:row>
    <x:row r="128">
      <x:c r="A128" s="96"/>
      <x:c r="B128" s="97"/>
      <x:c r="C128" s="98" t="str">
        <x:f>IF(B128="","",IFERROR(INDEX('Task Master'!$C$5:$C$804,MATCH(B128,'Task Master'!$A$5:$A$804,0)),"Not in latest raw"))</x:f>
      </x:c>
      <x:c r="D128" s="98" t="str">
        <x:f>IF(B128="","",IFERROR(INDEX('Task Master'!$J$5:$J$804,MATCH(B128,'Task Master'!$A$5:$A$804,0)),""))</x:f>
      </x:c>
      <x:c r="E128" s="98" t="str">
        <x:f>IF(B128="","",IFERROR(INDEX('Task Master'!$K$5:$K$804,MATCH(B128,'Task Master'!$A$5:$A$804,0)),""))</x:f>
      </x:c>
      <x:c r="F128" s="97" t="str">
        <x:f>IF(B128="","",IF(COUNTIFS('Assignment History'!$B$5:$B$204,B128,'Assignment History'!$A$5:$A$204,"&gt;="&amp;A128,'Assignment History'!$A$5:$A$204,"&lt;"&amp;A128+1)&gt;0,"Yes","No"))</x:f>
      </x:c>
      <x:c r="G128" s="97" t="str">
        <x:f>IF(B128="","",IF(F128="Yes",IFERROR(LOOKUP(2,1/(('Assignment History'!$B$5:$B$204=B128)*('Assignment History'!$A$5:$A$204&gt;=A128)*('Assignment History'!$A$5:$A$204&lt;A128+1)),'Assignment History'!$C$5:$C$204),""),""))</x:f>
      </x:c>
      <x:c r="H128" s="97"/>
      <x:c r="I128" s="97"/>
      <x:c r="J128" s="99"/>
      <x:c r="K128" s="97"/>
      <x:c r="L128" s="99"/>
      <x:c r="M128" s="100"/>
      <x:c r="N128" s="100"/>
      <x:c r="O128" s="101" t="str">
        <x:f t="shared" si="3">IF(K128="","",IF(K128="Achieved","Yes","No"))</x:f>
      </x:c>
      <x:c r="P128" s="100"/>
    </x:row>
    <x:row r="129">
      <x:c r="A129" s="96"/>
      <x:c r="B129" s="97"/>
      <x:c r="C129" s="98" t="str">
        <x:f>IF(B129="","",IFERROR(INDEX('Task Master'!$C$5:$C$804,MATCH(B129,'Task Master'!$A$5:$A$804,0)),"Not in latest raw"))</x:f>
      </x:c>
      <x:c r="D129" s="98" t="str">
        <x:f>IF(B129="","",IFERROR(INDEX('Task Master'!$J$5:$J$804,MATCH(B129,'Task Master'!$A$5:$A$804,0)),""))</x:f>
      </x:c>
      <x:c r="E129" s="98" t="str">
        <x:f>IF(B129="","",IFERROR(INDEX('Task Master'!$K$5:$K$804,MATCH(B129,'Task Master'!$A$5:$A$804,0)),""))</x:f>
      </x:c>
      <x:c r="F129" s="97" t="str">
        <x:f>IF(B129="","",IF(COUNTIFS('Assignment History'!$B$5:$B$204,B129,'Assignment History'!$A$5:$A$204,"&gt;="&amp;A129,'Assignment History'!$A$5:$A$204,"&lt;"&amp;A129+1)&gt;0,"Yes","No"))</x:f>
      </x:c>
      <x:c r="G129" s="97" t="str">
        <x:f>IF(B129="","",IF(F129="Yes",IFERROR(LOOKUP(2,1/(('Assignment History'!$B$5:$B$204=B129)*('Assignment History'!$A$5:$A$204&gt;=A129)*('Assignment History'!$A$5:$A$204&lt;A129+1)),'Assignment History'!$C$5:$C$204),""),""))</x:f>
      </x:c>
      <x:c r="H129" s="97"/>
      <x:c r="I129" s="97"/>
      <x:c r="J129" s="99"/>
      <x:c r="K129" s="97"/>
      <x:c r="L129" s="99"/>
      <x:c r="M129" s="100"/>
      <x:c r="N129" s="100"/>
      <x:c r="O129" s="101" t="str">
        <x:f t="shared" si="3">IF(K129="","",IF(K129="Achieved","Yes","No"))</x:f>
      </x:c>
      <x:c r="P129" s="100"/>
    </x:row>
    <x:row r="130">
      <x:c r="A130" s="96"/>
      <x:c r="B130" s="97"/>
      <x:c r="C130" s="98" t="str">
        <x:f>IF(B130="","",IFERROR(INDEX('Task Master'!$C$5:$C$804,MATCH(B130,'Task Master'!$A$5:$A$804,0)),"Not in latest raw"))</x:f>
      </x:c>
      <x:c r="D130" s="98" t="str">
        <x:f>IF(B130="","",IFERROR(INDEX('Task Master'!$J$5:$J$804,MATCH(B130,'Task Master'!$A$5:$A$804,0)),""))</x:f>
      </x:c>
      <x:c r="E130" s="98" t="str">
        <x:f>IF(B130="","",IFERROR(INDEX('Task Master'!$K$5:$K$804,MATCH(B130,'Task Master'!$A$5:$A$804,0)),""))</x:f>
      </x:c>
      <x:c r="F130" s="97" t="str">
        <x:f>IF(B130="","",IF(COUNTIFS('Assignment History'!$B$5:$B$204,B130,'Assignment History'!$A$5:$A$204,"&gt;="&amp;A130,'Assignment History'!$A$5:$A$204,"&lt;"&amp;A130+1)&gt;0,"Yes","No"))</x:f>
      </x:c>
      <x:c r="G130" s="97" t="str">
        <x:f>IF(B130="","",IF(F130="Yes",IFERROR(LOOKUP(2,1/(('Assignment History'!$B$5:$B$204=B130)*('Assignment History'!$A$5:$A$204&gt;=A130)*('Assignment History'!$A$5:$A$204&lt;A130+1)),'Assignment History'!$C$5:$C$204),""),""))</x:f>
      </x:c>
      <x:c r="H130" s="97"/>
      <x:c r="I130" s="97"/>
      <x:c r="J130" s="99"/>
      <x:c r="K130" s="97"/>
      <x:c r="L130" s="99"/>
      <x:c r="M130" s="100"/>
      <x:c r="N130" s="100"/>
      <x:c r="O130" s="101" t="str">
        <x:f t="shared" si="3">IF(K130="","",IF(K130="Achieved","Yes","No"))</x:f>
      </x:c>
      <x:c r="P130" s="100"/>
    </x:row>
    <x:row r="131">
      <x:c r="A131" s="96"/>
      <x:c r="B131" s="97"/>
      <x:c r="C131" s="98" t="str">
        <x:f>IF(B131="","",IFERROR(INDEX('Task Master'!$C$5:$C$804,MATCH(B131,'Task Master'!$A$5:$A$804,0)),"Not in latest raw"))</x:f>
      </x:c>
      <x:c r="D131" s="98" t="str">
        <x:f>IF(B131="","",IFERROR(INDEX('Task Master'!$J$5:$J$804,MATCH(B131,'Task Master'!$A$5:$A$804,0)),""))</x:f>
      </x:c>
      <x:c r="E131" s="98" t="str">
        <x:f>IF(B131="","",IFERROR(INDEX('Task Master'!$K$5:$K$804,MATCH(B131,'Task Master'!$A$5:$A$804,0)),""))</x:f>
      </x:c>
      <x:c r="F131" s="97" t="str">
        <x:f>IF(B131="","",IF(COUNTIFS('Assignment History'!$B$5:$B$204,B131,'Assignment History'!$A$5:$A$204,"&gt;="&amp;A131,'Assignment History'!$A$5:$A$204,"&lt;"&amp;A131+1)&gt;0,"Yes","No"))</x:f>
      </x:c>
      <x:c r="G131" s="97" t="str">
        <x:f>IF(B131="","",IF(F131="Yes",IFERROR(LOOKUP(2,1/(('Assignment History'!$B$5:$B$204=B131)*('Assignment History'!$A$5:$A$204&gt;=A131)*('Assignment History'!$A$5:$A$204&lt;A131+1)),'Assignment History'!$C$5:$C$204),""),""))</x:f>
      </x:c>
      <x:c r="H131" s="97"/>
      <x:c r="I131" s="97"/>
      <x:c r="J131" s="99"/>
      <x:c r="K131" s="97"/>
      <x:c r="L131" s="99"/>
      <x:c r="M131" s="100"/>
      <x:c r="N131" s="100"/>
      <x:c r="O131" s="101" t="str">
        <x:f t="shared" si="3">IF(K131="","",IF(K131="Achieved","Yes","No"))</x:f>
      </x:c>
      <x:c r="P131" s="100"/>
    </x:row>
    <x:row r="132">
      <x:c r="A132" s="96"/>
      <x:c r="B132" s="97"/>
      <x:c r="C132" s="98" t="str">
        <x:f>IF(B132="","",IFERROR(INDEX('Task Master'!$C$5:$C$804,MATCH(B132,'Task Master'!$A$5:$A$804,0)),"Not in latest raw"))</x:f>
      </x:c>
      <x:c r="D132" s="98" t="str">
        <x:f>IF(B132="","",IFERROR(INDEX('Task Master'!$J$5:$J$804,MATCH(B132,'Task Master'!$A$5:$A$804,0)),""))</x:f>
      </x:c>
      <x:c r="E132" s="98" t="str">
        <x:f>IF(B132="","",IFERROR(INDEX('Task Master'!$K$5:$K$804,MATCH(B132,'Task Master'!$A$5:$A$804,0)),""))</x:f>
      </x:c>
      <x:c r="F132" s="97" t="str">
        <x:f>IF(B132="","",IF(COUNTIFS('Assignment History'!$B$5:$B$204,B132,'Assignment History'!$A$5:$A$204,"&gt;="&amp;A132,'Assignment History'!$A$5:$A$204,"&lt;"&amp;A132+1)&gt;0,"Yes","No"))</x:f>
      </x:c>
      <x:c r="G132" s="97" t="str">
        <x:f>IF(B132="","",IF(F132="Yes",IFERROR(LOOKUP(2,1/(('Assignment History'!$B$5:$B$204=B132)*('Assignment History'!$A$5:$A$204&gt;=A132)*('Assignment History'!$A$5:$A$204&lt;A132+1)),'Assignment History'!$C$5:$C$204),""),""))</x:f>
      </x:c>
      <x:c r="H132" s="97"/>
      <x:c r="I132" s="97"/>
      <x:c r="J132" s="99"/>
      <x:c r="K132" s="97"/>
      <x:c r="L132" s="99"/>
      <x:c r="M132" s="100"/>
      <x:c r="N132" s="100"/>
      <x:c r="O132" s="101" t="str">
        <x:f t="shared" si="3">IF(K132="","",IF(K132="Achieved","Yes","No"))</x:f>
      </x:c>
      <x:c r="P132" s="100"/>
    </x:row>
    <x:row r="133">
      <x:c r="A133" s="96"/>
      <x:c r="B133" s="97"/>
      <x:c r="C133" s="98" t="str">
        <x:f>IF(B133="","",IFERROR(INDEX('Task Master'!$C$5:$C$804,MATCH(B133,'Task Master'!$A$5:$A$804,0)),"Not in latest raw"))</x:f>
      </x:c>
      <x:c r="D133" s="98" t="str">
        <x:f>IF(B133="","",IFERROR(INDEX('Task Master'!$J$5:$J$804,MATCH(B133,'Task Master'!$A$5:$A$804,0)),""))</x:f>
      </x:c>
      <x:c r="E133" s="98" t="str">
        <x:f>IF(B133="","",IFERROR(INDEX('Task Master'!$K$5:$K$804,MATCH(B133,'Task Master'!$A$5:$A$804,0)),""))</x:f>
      </x:c>
      <x:c r="F133" s="97" t="str">
        <x:f>IF(B133="","",IF(COUNTIFS('Assignment History'!$B$5:$B$204,B133,'Assignment History'!$A$5:$A$204,"&gt;="&amp;A133,'Assignment History'!$A$5:$A$204,"&lt;"&amp;A133+1)&gt;0,"Yes","No"))</x:f>
      </x:c>
      <x:c r="G133" s="97" t="str">
        <x:f>IF(B133="","",IF(F133="Yes",IFERROR(LOOKUP(2,1/(('Assignment History'!$B$5:$B$204=B133)*('Assignment History'!$A$5:$A$204&gt;=A133)*('Assignment History'!$A$5:$A$204&lt;A133+1)),'Assignment History'!$C$5:$C$204),""),""))</x:f>
      </x:c>
      <x:c r="H133" s="97"/>
      <x:c r="I133" s="97"/>
      <x:c r="J133" s="99"/>
      <x:c r="K133" s="97"/>
      <x:c r="L133" s="99"/>
      <x:c r="M133" s="100"/>
      <x:c r="N133" s="100"/>
      <x:c r="O133" s="101" t="str">
        <x:f t="shared" ref="O133:O164" si="4">IF(K133="","",IF(K133="Achieved","Yes","No"))</x:f>
      </x:c>
      <x:c r="P133" s="100"/>
    </x:row>
    <x:row r="134">
      <x:c r="A134" s="96"/>
      <x:c r="B134" s="97"/>
      <x:c r="C134" s="98" t="str">
        <x:f>IF(B134="","",IFERROR(INDEX('Task Master'!$C$5:$C$804,MATCH(B134,'Task Master'!$A$5:$A$804,0)),"Not in latest raw"))</x:f>
      </x:c>
      <x:c r="D134" s="98" t="str">
        <x:f>IF(B134="","",IFERROR(INDEX('Task Master'!$J$5:$J$804,MATCH(B134,'Task Master'!$A$5:$A$804,0)),""))</x:f>
      </x:c>
      <x:c r="E134" s="98" t="str">
        <x:f>IF(B134="","",IFERROR(INDEX('Task Master'!$K$5:$K$804,MATCH(B134,'Task Master'!$A$5:$A$804,0)),""))</x:f>
      </x:c>
      <x:c r="F134" s="97" t="str">
        <x:f>IF(B134="","",IF(COUNTIFS('Assignment History'!$B$5:$B$204,B134,'Assignment History'!$A$5:$A$204,"&gt;="&amp;A134,'Assignment History'!$A$5:$A$204,"&lt;"&amp;A134+1)&gt;0,"Yes","No"))</x:f>
      </x:c>
      <x:c r="G134" s="97" t="str">
        <x:f>IF(B134="","",IF(F134="Yes",IFERROR(LOOKUP(2,1/(('Assignment History'!$B$5:$B$204=B134)*('Assignment History'!$A$5:$A$204&gt;=A134)*('Assignment History'!$A$5:$A$204&lt;A134+1)),'Assignment History'!$C$5:$C$204),""),""))</x:f>
      </x:c>
      <x:c r="H134" s="97"/>
      <x:c r="I134" s="97"/>
      <x:c r="J134" s="99"/>
      <x:c r="K134" s="97"/>
      <x:c r="L134" s="99"/>
      <x:c r="M134" s="100"/>
      <x:c r="N134" s="100"/>
      <x:c r="O134" s="101" t="str">
        <x:f t="shared" si="4">IF(K134="","",IF(K134="Achieved","Yes","No"))</x:f>
      </x:c>
      <x:c r="P134" s="100"/>
    </x:row>
    <x:row r="135">
      <x:c r="A135" s="96"/>
      <x:c r="B135" s="97"/>
      <x:c r="C135" s="98" t="str">
        <x:f>IF(B135="","",IFERROR(INDEX('Task Master'!$C$5:$C$804,MATCH(B135,'Task Master'!$A$5:$A$804,0)),"Not in latest raw"))</x:f>
      </x:c>
      <x:c r="D135" s="98" t="str">
        <x:f>IF(B135="","",IFERROR(INDEX('Task Master'!$J$5:$J$804,MATCH(B135,'Task Master'!$A$5:$A$804,0)),""))</x:f>
      </x:c>
      <x:c r="E135" s="98" t="str">
        <x:f>IF(B135="","",IFERROR(INDEX('Task Master'!$K$5:$K$804,MATCH(B135,'Task Master'!$A$5:$A$804,0)),""))</x:f>
      </x:c>
      <x:c r="F135" s="97" t="str">
        <x:f>IF(B135="","",IF(COUNTIFS('Assignment History'!$B$5:$B$204,B135,'Assignment History'!$A$5:$A$204,"&gt;="&amp;A135,'Assignment History'!$A$5:$A$204,"&lt;"&amp;A135+1)&gt;0,"Yes","No"))</x:f>
      </x:c>
      <x:c r="G135" s="97" t="str">
        <x:f>IF(B135="","",IF(F135="Yes",IFERROR(LOOKUP(2,1/(('Assignment History'!$B$5:$B$204=B135)*('Assignment History'!$A$5:$A$204&gt;=A135)*('Assignment History'!$A$5:$A$204&lt;A135+1)),'Assignment History'!$C$5:$C$204),""),""))</x:f>
      </x:c>
      <x:c r="H135" s="97"/>
      <x:c r="I135" s="97"/>
      <x:c r="J135" s="99"/>
      <x:c r="K135" s="97"/>
      <x:c r="L135" s="99"/>
      <x:c r="M135" s="100"/>
      <x:c r="N135" s="100"/>
      <x:c r="O135" s="101" t="str">
        <x:f t="shared" si="4">IF(K135="","",IF(K135="Achieved","Yes","No"))</x:f>
      </x:c>
      <x:c r="P135" s="100"/>
    </x:row>
    <x:row r="136">
      <x:c r="A136" s="96"/>
      <x:c r="B136" s="97"/>
      <x:c r="C136" s="98" t="str">
        <x:f>IF(B136="","",IFERROR(INDEX('Task Master'!$C$5:$C$804,MATCH(B136,'Task Master'!$A$5:$A$804,0)),"Not in latest raw"))</x:f>
      </x:c>
      <x:c r="D136" s="98" t="str">
        <x:f>IF(B136="","",IFERROR(INDEX('Task Master'!$J$5:$J$804,MATCH(B136,'Task Master'!$A$5:$A$804,0)),""))</x:f>
      </x:c>
      <x:c r="E136" s="98" t="str">
        <x:f>IF(B136="","",IFERROR(INDEX('Task Master'!$K$5:$K$804,MATCH(B136,'Task Master'!$A$5:$A$804,0)),""))</x:f>
      </x:c>
      <x:c r="F136" s="97" t="str">
        <x:f>IF(B136="","",IF(COUNTIFS('Assignment History'!$B$5:$B$204,B136,'Assignment History'!$A$5:$A$204,"&gt;="&amp;A136,'Assignment History'!$A$5:$A$204,"&lt;"&amp;A136+1)&gt;0,"Yes","No"))</x:f>
      </x:c>
      <x:c r="G136" s="97" t="str">
        <x:f>IF(B136="","",IF(F136="Yes",IFERROR(LOOKUP(2,1/(('Assignment History'!$B$5:$B$204=B136)*('Assignment History'!$A$5:$A$204&gt;=A136)*('Assignment History'!$A$5:$A$204&lt;A136+1)),'Assignment History'!$C$5:$C$204),""),""))</x:f>
      </x:c>
      <x:c r="H136" s="97"/>
      <x:c r="I136" s="97"/>
      <x:c r="J136" s="99"/>
      <x:c r="K136" s="97"/>
      <x:c r="L136" s="99"/>
      <x:c r="M136" s="100"/>
      <x:c r="N136" s="100"/>
      <x:c r="O136" s="101" t="str">
        <x:f t="shared" si="4">IF(K136="","",IF(K136="Achieved","Yes","No"))</x:f>
      </x:c>
      <x:c r="P136" s="100"/>
    </x:row>
    <x:row r="137">
      <x:c r="A137" s="96"/>
      <x:c r="B137" s="97"/>
      <x:c r="C137" s="98" t="str">
        <x:f>IF(B137="","",IFERROR(INDEX('Task Master'!$C$5:$C$804,MATCH(B137,'Task Master'!$A$5:$A$804,0)),"Not in latest raw"))</x:f>
      </x:c>
      <x:c r="D137" s="98" t="str">
        <x:f>IF(B137="","",IFERROR(INDEX('Task Master'!$J$5:$J$804,MATCH(B137,'Task Master'!$A$5:$A$804,0)),""))</x:f>
      </x:c>
      <x:c r="E137" s="98" t="str">
        <x:f>IF(B137="","",IFERROR(INDEX('Task Master'!$K$5:$K$804,MATCH(B137,'Task Master'!$A$5:$A$804,0)),""))</x:f>
      </x:c>
      <x:c r="F137" s="97" t="str">
        <x:f>IF(B137="","",IF(COUNTIFS('Assignment History'!$B$5:$B$204,B137,'Assignment History'!$A$5:$A$204,"&gt;="&amp;A137,'Assignment History'!$A$5:$A$204,"&lt;"&amp;A137+1)&gt;0,"Yes","No"))</x:f>
      </x:c>
      <x:c r="G137" s="97" t="str">
        <x:f>IF(B137="","",IF(F137="Yes",IFERROR(LOOKUP(2,1/(('Assignment History'!$B$5:$B$204=B137)*('Assignment History'!$A$5:$A$204&gt;=A137)*('Assignment History'!$A$5:$A$204&lt;A137+1)),'Assignment History'!$C$5:$C$204),""),""))</x:f>
      </x:c>
      <x:c r="H137" s="97"/>
      <x:c r="I137" s="97"/>
      <x:c r="J137" s="99"/>
      <x:c r="K137" s="97"/>
      <x:c r="L137" s="99"/>
      <x:c r="M137" s="100"/>
      <x:c r="N137" s="100"/>
      <x:c r="O137" s="101" t="str">
        <x:f t="shared" si="4">IF(K137="","",IF(K137="Achieved","Yes","No"))</x:f>
      </x:c>
      <x:c r="P137" s="100"/>
    </x:row>
    <x:row r="138">
      <x:c r="A138" s="96"/>
      <x:c r="B138" s="97"/>
      <x:c r="C138" s="98" t="str">
        <x:f>IF(B138="","",IFERROR(INDEX('Task Master'!$C$5:$C$804,MATCH(B138,'Task Master'!$A$5:$A$804,0)),"Not in latest raw"))</x:f>
      </x:c>
      <x:c r="D138" s="98" t="str">
        <x:f>IF(B138="","",IFERROR(INDEX('Task Master'!$J$5:$J$804,MATCH(B138,'Task Master'!$A$5:$A$804,0)),""))</x:f>
      </x:c>
      <x:c r="E138" s="98" t="str">
        <x:f>IF(B138="","",IFERROR(INDEX('Task Master'!$K$5:$K$804,MATCH(B138,'Task Master'!$A$5:$A$804,0)),""))</x:f>
      </x:c>
      <x:c r="F138" s="97" t="str">
        <x:f>IF(B138="","",IF(COUNTIFS('Assignment History'!$B$5:$B$204,B138,'Assignment History'!$A$5:$A$204,"&gt;="&amp;A138,'Assignment History'!$A$5:$A$204,"&lt;"&amp;A138+1)&gt;0,"Yes","No"))</x:f>
      </x:c>
      <x:c r="G138" s="97" t="str">
        <x:f>IF(B138="","",IF(F138="Yes",IFERROR(LOOKUP(2,1/(('Assignment History'!$B$5:$B$204=B138)*('Assignment History'!$A$5:$A$204&gt;=A138)*('Assignment History'!$A$5:$A$204&lt;A138+1)),'Assignment History'!$C$5:$C$204),""),""))</x:f>
      </x:c>
      <x:c r="H138" s="97"/>
      <x:c r="I138" s="97"/>
      <x:c r="J138" s="99"/>
      <x:c r="K138" s="97"/>
      <x:c r="L138" s="99"/>
      <x:c r="M138" s="100"/>
      <x:c r="N138" s="100"/>
      <x:c r="O138" s="101" t="str">
        <x:f t="shared" si="4">IF(K138="","",IF(K138="Achieved","Yes","No"))</x:f>
      </x:c>
      <x:c r="P138" s="100"/>
    </x:row>
    <x:row r="139">
      <x:c r="A139" s="96"/>
      <x:c r="B139" s="97"/>
      <x:c r="C139" s="98" t="str">
        <x:f>IF(B139="","",IFERROR(INDEX('Task Master'!$C$5:$C$804,MATCH(B139,'Task Master'!$A$5:$A$804,0)),"Not in latest raw"))</x:f>
      </x:c>
      <x:c r="D139" s="98" t="str">
        <x:f>IF(B139="","",IFERROR(INDEX('Task Master'!$J$5:$J$804,MATCH(B139,'Task Master'!$A$5:$A$804,0)),""))</x:f>
      </x:c>
      <x:c r="E139" s="98" t="str">
        <x:f>IF(B139="","",IFERROR(INDEX('Task Master'!$K$5:$K$804,MATCH(B139,'Task Master'!$A$5:$A$804,0)),""))</x:f>
      </x:c>
      <x:c r="F139" s="97" t="str">
        <x:f>IF(B139="","",IF(COUNTIFS('Assignment History'!$B$5:$B$204,B139,'Assignment History'!$A$5:$A$204,"&gt;="&amp;A139,'Assignment History'!$A$5:$A$204,"&lt;"&amp;A139+1)&gt;0,"Yes","No"))</x:f>
      </x:c>
      <x:c r="G139" s="97" t="str">
        <x:f>IF(B139="","",IF(F139="Yes",IFERROR(LOOKUP(2,1/(('Assignment History'!$B$5:$B$204=B139)*('Assignment History'!$A$5:$A$204&gt;=A139)*('Assignment History'!$A$5:$A$204&lt;A139+1)),'Assignment History'!$C$5:$C$204),""),""))</x:f>
      </x:c>
      <x:c r="H139" s="97"/>
      <x:c r="I139" s="97"/>
      <x:c r="J139" s="99"/>
      <x:c r="K139" s="97"/>
      <x:c r="L139" s="99"/>
      <x:c r="M139" s="100"/>
      <x:c r="N139" s="100"/>
      <x:c r="O139" s="101" t="str">
        <x:f t="shared" si="4">IF(K139="","",IF(K139="Achieved","Yes","No"))</x:f>
      </x:c>
      <x:c r="P139" s="100"/>
    </x:row>
    <x:row r="140">
      <x:c r="A140" s="96"/>
      <x:c r="B140" s="97"/>
      <x:c r="C140" s="98" t="str">
        <x:f>IF(B140="","",IFERROR(INDEX('Task Master'!$C$5:$C$804,MATCH(B140,'Task Master'!$A$5:$A$804,0)),"Not in latest raw"))</x:f>
      </x:c>
      <x:c r="D140" s="98" t="str">
        <x:f>IF(B140="","",IFERROR(INDEX('Task Master'!$J$5:$J$804,MATCH(B140,'Task Master'!$A$5:$A$804,0)),""))</x:f>
      </x:c>
      <x:c r="E140" s="98" t="str">
        <x:f>IF(B140="","",IFERROR(INDEX('Task Master'!$K$5:$K$804,MATCH(B140,'Task Master'!$A$5:$A$804,0)),""))</x:f>
      </x:c>
      <x:c r="F140" s="97" t="str">
        <x:f>IF(B140="","",IF(COUNTIFS('Assignment History'!$B$5:$B$204,B140,'Assignment History'!$A$5:$A$204,"&gt;="&amp;A140,'Assignment History'!$A$5:$A$204,"&lt;"&amp;A140+1)&gt;0,"Yes","No"))</x:f>
      </x:c>
      <x:c r="G140" s="97" t="str">
        <x:f>IF(B140="","",IF(F140="Yes",IFERROR(LOOKUP(2,1/(('Assignment History'!$B$5:$B$204=B140)*('Assignment History'!$A$5:$A$204&gt;=A140)*('Assignment History'!$A$5:$A$204&lt;A140+1)),'Assignment History'!$C$5:$C$204),""),""))</x:f>
      </x:c>
      <x:c r="H140" s="97"/>
      <x:c r="I140" s="97"/>
      <x:c r="J140" s="99"/>
      <x:c r="K140" s="97"/>
      <x:c r="L140" s="99"/>
      <x:c r="M140" s="100"/>
      <x:c r="N140" s="100"/>
      <x:c r="O140" s="101" t="str">
        <x:f t="shared" si="4">IF(K140="","",IF(K140="Achieved","Yes","No"))</x:f>
      </x:c>
      <x:c r="P140" s="100"/>
    </x:row>
    <x:row r="141">
      <x:c r="A141" s="96"/>
      <x:c r="B141" s="97"/>
      <x:c r="C141" s="98" t="str">
        <x:f>IF(B141="","",IFERROR(INDEX('Task Master'!$C$5:$C$804,MATCH(B141,'Task Master'!$A$5:$A$804,0)),"Not in latest raw"))</x:f>
      </x:c>
      <x:c r="D141" s="98" t="str">
        <x:f>IF(B141="","",IFERROR(INDEX('Task Master'!$J$5:$J$804,MATCH(B141,'Task Master'!$A$5:$A$804,0)),""))</x:f>
      </x:c>
      <x:c r="E141" s="98" t="str">
        <x:f>IF(B141="","",IFERROR(INDEX('Task Master'!$K$5:$K$804,MATCH(B141,'Task Master'!$A$5:$A$804,0)),""))</x:f>
      </x:c>
      <x:c r="F141" s="97" t="str">
        <x:f>IF(B141="","",IF(COUNTIFS('Assignment History'!$B$5:$B$204,B141,'Assignment History'!$A$5:$A$204,"&gt;="&amp;A141,'Assignment History'!$A$5:$A$204,"&lt;"&amp;A141+1)&gt;0,"Yes","No"))</x:f>
      </x:c>
      <x:c r="G141" s="97" t="str">
        <x:f>IF(B141="","",IF(F141="Yes",IFERROR(LOOKUP(2,1/(('Assignment History'!$B$5:$B$204=B141)*('Assignment History'!$A$5:$A$204&gt;=A141)*('Assignment History'!$A$5:$A$204&lt;A141+1)),'Assignment History'!$C$5:$C$204),""),""))</x:f>
      </x:c>
      <x:c r="H141" s="97"/>
      <x:c r="I141" s="97"/>
      <x:c r="J141" s="99"/>
      <x:c r="K141" s="97"/>
      <x:c r="L141" s="99"/>
      <x:c r="M141" s="100"/>
      <x:c r="N141" s="100"/>
      <x:c r="O141" s="101" t="str">
        <x:f t="shared" si="4">IF(K141="","",IF(K141="Achieved","Yes","No"))</x:f>
      </x:c>
      <x:c r="P141" s="100"/>
    </x:row>
    <x:row r="142">
      <x:c r="A142" s="96"/>
      <x:c r="B142" s="97"/>
      <x:c r="C142" s="98" t="str">
        <x:f>IF(B142="","",IFERROR(INDEX('Task Master'!$C$5:$C$804,MATCH(B142,'Task Master'!$A$5:$A$804,0)),"Not in latest raw"))</x:f>
      </x:c>
      <x:c r="D142" s="98" t="str">
        <x:f>IF(B142="","",IFERROR(INDEX('Task Master'!$J$5:$J$804,MATCH(B142,'Task Master'!$A$5:$A$804,0)),""))</x:f>
      </x:c>
      <x:c r="E142" s="98" t="str">
        <x:f>IF(B142="","",IFERROR(INDEX('Task Master'!$K$5:$K$804,MATCH(B142,'Task Master'!$A$5:$A$804,0)),""))</x:f>
      </x:c>
      <x:c r="F142" s="97" t="str">
        <x:f>IF(B142="","",IF(COUNTIFS('Assignment History'!$B$5:$B$204,B142,'Assignment History'!$A$5:$A$204,"&gt;="&amp;A142,'Assignment History'!$A$5:$A$204,"&lt;"&amp;A142+1)&gt;0,"Yes","No"))</x:f>
      </x:c>
      <x:c r="G142" s="97" t="str">
        <x:f>IF(B142="","",IF(F142="Yes",IFERROR(LOOKUP(2,1/(('Assignment History'!$B$5:$B$204=B142)*('Assignment History'!$A$5:$A$204&gt;=A142)*('Assignment History'!$A$5:$A$204&lt;A142+1)),'Assignment History'!$C$5:$C$204),""),""))</x:f>
      </x:c>
      <x:c r="H142" s="97"/>
      <x:c r="I142" s="97"/>
      <x:c r="J142" s="99"/>
      <x:c r="K142" s="97"/>
      <x:c r="L142" s="99"/>
      <x:c r="M142" s="100"/>
      <x:c r="N142" s="100"/>
      <x:c r="O142" s="101" t="str">
        <x:f t="shared" si="4">IF(K142="","",IF(K142="Achieved","Yes","No"))</x:f>
      </x:c>
      <x:c r="P142" s="100"/>
    </x:row>
    <x:row r="143">
      <x:c r="A143" s="96"/>
      <x:c r="B143" s="97"/>
      <x:c r="C143" s="98" t="str">
        <x:f>IF(B143="","",IFERROR(INDEX('Task Master'!$C$5:$C$804,MATCH(B143,'Task Master'!$A$5:$A$804,0)),"Not in latest raw"))</x:f>
      </x:c>
      <x:c r="D143" s="98" t="str">
        <x:f>IF(B143="","",IFERROR(INDEX('Task Master'!$J$5:$J$804,MATCH(B143,'Task Master'!$A$5:$A$804,0)),""))</x:f>
      </x:c>
      <x:c r="E143" s="98" t="str">
        <x:f>IF(B143="","",IFERROR(INDEX('Task Master'!$K$5:$K$804,MATCH(B143,'Task Master'!$A$5:$A$804,0)),""))</x:f>
      </x:c>
      <x:c r="F143" s="97" t="str">
        <x:f>IF(B143="","",IF(COUNTIFS('Assignment History'!$B$5:$B$204,B143,'Assignment History'!$A$5:$A$204,"&gt;="&amp;A143,'Assignment History'!$A$5:$A$204,"&lt;"&amp;A143+1)&gt;0,"Yes","No"))</x:f>
      </x:c>
      <x:c r="G143" s="97" t="str">
        <x:f>IF(B143="","",IF(F143="Yes",IFERROR(LOOKUP(2,1/(('Assignment History'!$B$5:$B$204=B143)*('Assignment History'!$A$5:$A$204&gt;=A143)*('Assignment History'!$A$5:$A$204&lt;A143+1)),'Assignment History'!$C$5:$C$204),""),""))</x:f>
      </x:c>
      <x:c r="H143" s="97"/>
      <x:c r="I143" s="97"/>
      <x:c r="J143" s="99"/>
      <x:c r="K143" s="97"/>
      <x:c r="L143" s="99"/>
      <x:c r="M143" s="100"/>
      <x:c r="N143" s="100"/>
      <x:c r="O143" s="101" t="str">
        <x:f t="shared" si="4">IF(K143="","",IF(K143="Achieved","Yes","No"))</x:f>
      </x:c>
      <x:c r="P143" s="100"/>
    </x:row>
    <x:row r="144">
      <x:c r="A144" s="96"/>
      <x:c r="B144" s="97"/>
      <x:c r="C144" s="98" t="str">
        <x:f>IF(B144="","",IFERROR(INDEX('Task Master'!$C$5:$C$804,MATCH(B144,'Task Master'!$A$5:$A$804,0)),"Not in latest raw"))</x:f>
      </x:c>
      <x:c r="D144" s="98" t="str">
        <x:f>IF(B144="","",IFERROR(INDEX('Task Master'!$J$5:$J$804,MATCH(B144,'Task Master'!$A$5:$A$804,0)),""))</x:f>
      </x:c>
      <x:c r="E144" s="98" t="str">
        <x:f>IF(B144="","",IFERROR(INDEX('Task Master'!$K$5:$K$804,MATCH(B144,'Task Master'!$A$5:$A$804,0)),""))</x:f>
      </x:c>
      <x:c r="F144" s="97" t="str">
        <x:f>IF(B144="","",IF(COUNTIFS('Assignment History'!$B$5:$B$204,B144,'Assignment History'!$A$5:$A$204,"&gt;="&amp;A144,'Assignment History'!$A$5:$A$204,"&lt;"&amp;A144+1)&gt;0,"Yes","No"))</x:f>
      </x:c>
      <x:c r="G144" s="97" t="str">
        <x:f>IF(B144="","",IF(F144="Yes",IFERROR(LOOKUP(2,1/(('Assignment History'!$B$5:$B$204=B144)*('Assignment History'!$A$5:$A$204&gt;=A144)*('Assignment History'!$A$5:$A$204&lt;A144+1)),'Assignment History'!$C$5:$C$204),""),""))</x:f>
      </x:c>
      <x:c r="H144" s="97"/>
      <x:c r="I144" s="97"/>
      <x:c r="J144" s="99"/>
      <x:c r="K144" s="97"/>
      <x:c r="L144" s="99"/>
      <x:c r="M144" s="100"/>
      <x:c r="N144" s="100"/>
      <x:c r="O144" s="101" t="str">
        <x:f t="shared" si="4">IF(K144="","",IF(K144="Achieved","Yes","No"))</x:f>
      </x:c>
      <x:c r="P144" s="100"/>
    </x:row>
    <x:row r="145">
      <x:c r="A145" s="96"/>
      <x:c r="B145" s="97"/>
      <x:c r="C145" s="98" t="str">
        <x:f>IF(B145="","",IFERROR(INDEX('Task Master'!$C$5:$C$804,MATCH(B145,'Task Master'!$A$5:$A$804,0)),"Not in latest raw"))</x:f>
      </x:c>
      <x:c r="D145" s="98" t="str">
        <x:f>IF(B145="","",IFERROR(INDEX('Task Master'!$J$5:$J$804,MATCH(B145,'Task Master'!$A$5:$A$804,0)),""))</x:f>
      </x:c>
      <x:c r="E145" s="98" t="str">
        <x:f>IF(B145="","",IFERROR(INDEX('Task Master'!$K$5:$K$804,MATCH(B145,'Task Master'!$A$5:$A$804,0)),""))</x:f>
      </x:c>
      <x:c r="F145" s="97" t="str">
        <x:f>IF(B145="","",IF(COUNTIFS('Assignment History'!$B$5:$B$204,B145,'Assignment History'!$A$5:$A$204,"&gt;="&amp;A145,'Assignment History'!$A$5:$A$204,"&lt;"&amp;A145+1)&gt;0,"Yes","No"))</x:f>
      </x:c>
      <x:c r="G145" s="97" t="str">
        <x:f>IF(B145="","",IF(F145="Yes",IFERROR(LOOKUP(2,1/(('Assignment History'!$B$5:$B$204=B145)*('Assignment History'!$A$5:$A$204&gt;=A145)*('Assignment History'!$A$5:$A$204&lt;A145+1)),'Assignment History'!$C$5:$C$204),""),""))</x:f>
      </x:c>
      <x:c r="H145" s="97"/>
      <x:c r="I145" s="97"/>
      <x:c r="J145" s="99"/>
      <x:c r="K145" s="97"/>
      <x:c r="L145" s="99"/>
      <x:c r="M145" s="100"/>
      <x:c r="N145" s="100"/>
      <x:c r="O145" s="101" t="str">
        <x:f t="shared" si="4">IF(K145="","",IF(K145="Achieved","Yes","No"))</x:f>
      </x:c>
      <x:c r="P145" s="100"/>
    </x:row>
    <x:row r="146">
      <x:c r="A146" s="96"/>
      <x:c r="B146" s="97"/>
      <x:c r="C146" s="98" t="str">
        <x:f>IF(B146="","",IFERROR(INDEX('Task Master'!$C$5:$C$804,MATCH(B146,'Task Master'!$A$5:$A$804,0)),"Not in latest raw"))</x:f>
      </x:c>
      <x:c r="D146" s="98" t="str">
        <x:f>IF(B146="","",IFERROR(INDEX('Task Master'!$J$5:$J$804,MATCH(B146,'Task Master'!$A$5:$A$804,0)),""))</x:f>
      </x:c>
      <x:c r="E146" s="98" t="str">
        <x:f>IF(B146="","",IFERROR(INDEX('Task Master'!$K$5:$K$804,MATCH(B146,'Task Master'!$A$5:$A$804,0)),""))</x:f>
      </x:c>
      <x:c r="F146" s="97" t="str">
        <x:f>IF(B146="","",IF(COUNTIFS('Assignment History'!$B$5:$B$204,B146,'Assignment History'!$A$5:$A$204,"&gt;="&amp;A146,'Assignment History'!$A$5:$A$204,"&lt;"&amp;A146+1)&gt;0,"Yes","No"))</x:f>
      </x:c>
      <x:c r="G146" s="97" t="str">
        <x:f>IF(B146="","",IF(F146="Yes",IFERROR(LOOKUP(2,1/(('Assignment History'!$B$5:$B$204=B146)*('Assignment History'!$A$5:$A$204&gt;=A146)*('Assignment History'!$A$5:$A$204&lt;A146+1)),'Assignment History'!$C$5:$C$204),""),""))</x:f>
      </x:c>
      <x:c r="H146" s="97"/>
      <x:c r="I146" s="97"/>
      <x:c r="J146" s="99"/>
      <x:c r="K146" s="97"/>
      <x:c r="L146" s="99"/>
      <x:c r="M146" s="100"/>
      <x:c r="N146" s="100"/>
      <x:c r="O146" s="101" t="str">
        <x:f t="shared" si="4">IF(K146="","",IF(K146="Achieved","Yes","No"))</x:f>
      </x:c>
      <x:c r="P146" s="100"/>
    </x:row>
    <x:row r="147">
      <x:c r="A147" s="96"/>
      <x:c r="B147" s="97"/>
      <x:c r="C147" s="98" t="str">
        <x:f>IF(B147="","",IFERROR(INDEX('Task Master'!$C$5:$C$804,MATCH(B147,'Task Master'!$A$5:$A$804,0)),"Not in latest raw"))</x:f>
      </x:c>
      <x:c r="D147" s="98" t="str">
        <x:f>IF(B147="","",IFERROR(INDEX('Task Master'!$J$5:$J$804,MATCH(B147,'Task Master'!$A$5:$A$804,0)),""))</x:f>
      </x:c>
      <x:c r="E147" s="98" t="str">
        <x:f>IF(B147="","",IFERROR(INDEX('Task Master'!$K$5:$K$804,MATCH(B147,'Task Master'!$A$5:$A$804,0)),""))</x:f>
      </x:c>
      <x:c r="F147" s="97" t="str">
        <x:f>IF(B147="","",IF(COUNTIFS('Assignment History'!$B$5:$B$204,B147,'Assignment History'!$A$5:$A$204,"&gt;="&amp;A147,'Assignment History'!$A$5:$A$204,"&lt;"&amp;A147+1)&gt;0,"Yes","No"))</x:f>
      </x:c>
      <x:c r="G147" s="97" t="str">
        <x:f>IF(B147="","",IF(F147="Yes",IFERROR(LOOKUP(2,1/(('Assignment History'!$B$5:$B$204=B147)*('Assignment History'!$A$5:$A$204&gt;=A147)*('Assignment History'!$A$5:$A$204&lt;A147+1)),'Assignment History'!$C$5:$C$204),""),""))</x:f>
      </x:c>
      <x:c r="H147" s="97"/>
      <x:c r="I147" s="97"/>
      <x:c r="J147" s="99"/>
      <x:c r="K147" s="97"/>
      <x:c r="L147" s="99"/>
      <x:c r="M147" s="100"/>
      <x:c r="N147" s="100"/>
      <x:c r="O147" s="101" t="str">
        <x:f t="shared" si="4">IF(K147="","",IF(K147="Achieved","Yes","No"))</x:f>
      </x:c>
      <x:c r="P147" s="100"/>
    </x:row>
    <x:row r="148">
      <x:c r="A148" s="96"/>
      <x:c r="B148" s="97"/>
      <x:c r="C148" s="98" t="str">
        <x:f>IF(B148="","",IFERROR(INDEX('Task Master'!$C$5:$C$804,MATCH(B148,'Task Master'!$A$5:$A$804,0)),"Not in latest raw"))</x:f>
      </x:c>
      <x:c r="D148" s="98" t="str">
        <x:f>IF(B148="","",IFERROR(INDEX('Task Master'!$J$5:$J$804,MATCH(B148,'Task Master'!$A$5:$A$804,0)),""))</x:f>
      </x:c>
      <x:c r="E148" s="98" t="str">
        <x:f>IF(B148="","",IFERROR(INDEX('Task Master'!$K$5:$K$804,MATCH(B148,'Task Master'!$A$5:$A$804,0)),""))</x:f>
      </x:c>
      <x:c r="F148" s="97" t="str">
        <x:f>IF(B148="","",IF(COUNTIFS('Assignment History'!$B$5:$B$204,B148,'Assignment History'!$A$5:$A$204,"&gt;="&amp;A148,'Assignment History'!$A$5:$A$204,"&lt;"&amp;A148+1)&gt;0,"Yes","No"))</x:f>
      </x:c>
      <x:c r="G148" s="97" t="str">
        <x:f>IF(B148="","",IF(F148="Yes",IFERROR(LOOKUP(2,1/(('Assignment History'!$B$5:$B$204=B148)*('Assignment History'!$A$5:$A$204&gt;=A148)*('Assignment History'!$A$5:$A$204&lt;A148+1)),'Assignment History'!$C$5:$C$204),""),""))</x:f>
      </x:c>
      <x:c r="H148" s="97"/>
      <x:c r="I148" s="97"/>
      <x:c r="J148" s="99"/>
      <x:c r="K148" s="97"/>
      <x:c r="L148" s="99"/>
      <x:c r="M148" s="100"/>
      <x:c r="N148" s="100"/>
      <x:c r="O148" s="101" t="str">
        <x:f t="shared" si="4">IF(K148="","",IF(K148="Achieved","Yes","No"))</x:f>
      </x:c>
      <x:c r="P148" s="100"/>
    </x:row>
    <x:row r="149">
      <x:c r="A149" s="96"/>
      <x:c r="B149" s="97"/>
      <x:c r="C149" s="98" t="str">
        <x:f>IF(B149="","",IFERROR(INDEX('Task Master'!$C$5:$C$804,MATCH(B149,'Task Master'!$A$5:$A$804,0)),"Not in latest raw"))</x:f>
      </x:c>
      <x:c r="D149" s="98" t="str">
        <x:f>IF(B149="","",IFERROR(INDEX('Task Master'!$J$5:$J$804,MATCH(B149,'Task Master'!$A$5:$A$804,0)),""))</x:f>
      </x:c>
      <x:c r="E149" s="98" t="str">
        <x:f>IF(B149="","",IFERROR(INDEX('Task Master'!$K$5:$K$804,MATCH(B149,'Task Master'!$A$5:$A$804,0)),""))</x:f>
      </x:c>
      <x:c r="F149" s="97" t="str">
        <x:f>IF(B149="","",IF(COUNTIFS('Assignment History'!$B$5:$B$204,B149,'Assignment History'!$A$5:$A$204,"&gt;="&amp;A149,'Assignment History'!$A$5:$A$204,"&lt;"&amp;A149+1)&gt;0,"Yes","No"))</x:f>
      </x:c>
      <x:c r="G149" s="97" t="str">
        <x:f>IF(B149="","",IF(F149="Yes",IFERROR(LOOKUP(2,1/(('Assignment History'!$B$5:$B$204=B149)*('Assignment History'!$A$5:$A$204&gt;=A149)*('Assignment History'!$A$5:$A$204&lt;A149+1)),'Assignment History'!$C$5:$C$204),""),""))</x:f>
      </x:c>
      <x:c r="H149" s="97"/>
      <x:c r="I149" s="97"/>
      <x:c r="J149" s="99"/>
      <x:c r="K149" s="97"/>
      <x:c r="L149" s="99"/>
      <x:c r="M149" s="100"/>
      <x:c r="N149" s="100"/>
      <x:c r="O149" s="101" t="str">
        <x:f t="shared" si="4">IF(K149="","",IF(K149="Achieved","Yes","No"))</x:f>
      </x:c>
      <x:c r="P149" s="100"/>
    </x:row>
    <x:row r="150">
      <x:c r="A150" s="96"/>
      <x:c r="B150" s="97"/>
      <x:c r="C150" s="98" t="str">
        <x:f>IF(B150="","",IFERROR(INDEX('Task Master'!$C$5:$C$804,MATCH(B150,'Task Master'!$A$5:$A$804,0)),"Not in latest raw"))</x:f>
      </x:c>
      <x:c r="D150" s="98" t="str">
        <x:f>IF(B150="","",IFERROR(INDEX('Task Master'!$J$5:$J$804,MATCH(B150,'Task Master'!$A$5:$A$804,0)),""))</x:f>
      </x:c>
      <x:c r="E150" s="98" t="str">
        <x:f>IF(B150="","",IFERROR(INDEX('Task Master'!$K$5:$K$804,MATCH(B150,'Task Master'!$A$5:$A$804,0)),""))</x:f>
      </x:c>
      <x:c r="F150" s="97" t="str">
        <x:f>IF(B150="","",IF(COUNTIFS('Assignment History'!$B$5:$B$204,B150,'Assignment History'!$A$5:$A$204,"&gt;="&amp;A150,'Assignment History'!$A$5:$A$204,"&lt;"&amp;A150+1)&gt;0,"Yes","No"))</x:f>
      </x:c>
      <x:c r="G150" s="97" t="str">
        <x:f>IF(B150="","",IF(F150="Yes",IFERROR(LOOKUP(2,1/(('Assignment History'!$B$5:$B$204=B150)*('Assignment History'!$A$5:$A$204&gt;=A150)*('Assignment History'!$A$5:$A$204&lt;A150+1)),'Assignment History'!$C$5:$C$204),""),""))</x:f>
      </x:c>
      <x:c r="H150" s="97"/>
      <x:c r="I150" s="97"/>
      <x:c r="J150" s="99"/>
      <x:c r="K150" s="97"/>
      <x:c r="L150" s="99"/>
      <x:c r="M150" s="100"/>
      <x:c r="N150" s="100"/>
      <x:c r="O150" s="101" t="str">
        <x:f t="shared" si="4">IF(K150="","",IF(K150="Achieved","Yes","No"))</x:f>
      </x:c>
      <x:c r="P150" s="100"/>
    </x:row>
    <x:row r="151">
      <x:c r="A151" s="96"/>
      <x:c r="B151" s="97"/>
      <x:c r="C151" s="98" t="str">
        <x:f>IF(B151="","",IFERROR(INDEX('Task Master'!$C$5:$C$804,MATCH(B151,'Task Master'!$A$5:$A$804,0)),"Not in latest raw"))</x:f>
      </x:c>
      <x:c r="D151" s="98" t="str">
        <x:f>IF(B151="","",IFERROR(INDEX('Task Master'!$J$5:$J$804,MATCH(B151,'Task Master'!$A$5:$A$804,0)),""))</x:f>
      </x:c>
      <x:c r="E151" s="98" t="str">
        <x:f>IF(B151="","",IFERROR(INDEX('Task Master'!$K$5:$K$804,MATCH(B151,'Task Master'!$A$5:$A$804,0)),""))</x:f>
      </x:c>
      <x:c r="F151" s="97" t="str">
        <x:f>IF(B151="","",IF(COUNTIFS('Assignment History'!$B$5:$B$204,B151,'Assignment History'!$A$5:$A$204,"&gt;="&amp;A151,'Assignment History'!$A$5:$A$204,"&lt;"&amp;A151+1)&gt;0,"Yes","No"))</x:f>
      </x:c>
      <x:c r="G151" s="97" t="str">
        <x:f>IF(B151="","",IF(F151="Yes",IFERROR(LOOKUP(2,1/(('Assignment History'!$B$5:$B$204=B151)*('Assignment History'!$A$5:$A$204&gt;=A151)*('Assignment History'!$A$5:$A$204&lt;A151+1)),'Assignment History'!$C$5:$C$204),""),""))</x:f>
      </x:c>
      <x:c r="H151" s="97"/>
      <x:c r="I151" s="97"/>
      <x:c r="J151" s="99"/>
      <x:c r="K151" s="97"/>
      <x:c r="L151" s="99"/>
      <x:c r="M151" s="100"/>
      <x:c r="N151" s="100"/>
      <x:c r="O151" s="101" t="str">
        <x:f t="shared" si="4">IF(K151="","",IF(K151="Achieved","Yes","No"))</x:f>
      </x:c>
      <x:c r="P151" s="100"/>
    </x:row>
    <x:row r="152">
      <x:c r="A152" s="96"/>
      <x:c r="B152" s="97"/>
      <x:c r="C152" s="98" t="str">
        <x:f>IF(B152="","",IFERROR(INDEX('Task Master'!$C$5:$C$804,MATCH(B152,'Task Master'!$A$5:$A$804,0)),"Not in latest raw"))</x:f>
      </x:c>
      <x:c r="D152" s="98" t="str">
        <x:f>IF(B152="","",IFERROR(INDEX('Task Master'!$J$5:$J$804,MATCH(B152,'Task Master'!$A$5:$A$804,0)),""))</x:f>
      </x:c>
      <x:c r="E152" s="98" t="str">
        <x:f>IF(B152="","",IFERROR(INDEX('Task Master'!$K$5:$K$804,MATCH(B152,'Task Master'!$A$5:$A$804,0)),""))</x:f>
      </x:c>
      <x:c r="F152" s="97" t="str">
        <x:f>IF(B152="","",IF(COUNTIFS('Assignment History'!$B$5:$B$204,B152,'Assignment History'!$A$5:$A$204,"&gt;="&amp;A152,'Assignment History'!$A$5:$A$204,"&lt;"&amp;A152+1)&gt;0,"Yes","No"))</x:f>
      </x:c>
      <x:c r="G152" s="97" t="str">
        <x:f>IF(B152="","",IF(F152="Yes",IFERROR(LOOKUP(2,1/(('Assignment History'!$B$5:$B$204=B152)*('Assignment History'!$A$5:$A$204&gt;=A152)*('Assignment History'!$A$5:$A$204&lt;A152+1)),'Assignment History'!$C$5:$C$204),""),""))</x:f>
      </x:c>
      <x:c r="H152" s="97"/>
      <x:c r="I152" s="97"/>
      <x:c r="J152" s="99"/>
      <x:c r="K152" s="97"/>
      <x:c r="L152" s="99"/>
      <x:c r="M152" s="100"/>
      <x:c r="N152" s="100"/>
      <x:c r="O152" s="101" t="str">
        <x:f t="shared" si="4">IF(K152="","",IF(K152="Achieved","Yes","No"))</x:f>
      </x:c>
      <x:c r="P152" s="100"/>
    </x:row>
    <x:row r="153">
      <x:c r="A153" s="96"/>
      <x:c r="B153" s="97"/>
      <x:c r="C153" s="98" t="str">
        <x:f>IF(B153="","",IFERROR(INDEX('Task Master'!$C$5:$C$804,MATCH(B153,'Task Master'!$A$5:$A$804,0)),"Not in latest raw"))</x:f>
      </x:c>
      <x:c r="D153" s="98" t="str">
        <x:f>IF(B153="","",IFERROR(INDEX('Task Master'!$J$5:$J$804,MATCH(B153,'Task Master'!$A$5:$A$804,0)),""))</x:f>
      </x:c>
      <x:c r="E153" s="98" t="str">
        <x:f>IF(B153="","",IFERROR(INDEX('Task Master'!$K$5:$K$804,MATCH(B153,'Task Master'!$A$5:$A$804,0)),""))</x:f>
      </x:c>
      <x:c r="F153" s="97" t="str">
        <x:f>IF(B153="","",IF(COUNTIFS('Assignment History'!$B$5:$B$204,B153,'Assignment History'!$A$5:$A$204,"&gt;="&amp;A153,'Assignment History'!$A$5:$A$204,"&lt;"&amp;A153+1)&gt;0,"Yes","No"))</x:f>
      </x:c>
      <x:c r="G153" s="97" t="str">
        <x:f>IF(B153="","",IF(F153="Yes",IFERROR(LOOKUP(2,1/(('Assignment History'!$B$5:$B$204=B153)*('Assignment History'!$A$5:$A$204&gt;=A153)*('Assignment History'!$A$5:$A$204&lt;A153+1)),'Assignment History'!$C$5:$C$204),""),""))</x:f>
      </x:c>
      <x:c r="H153" s="97"/>
      <x:c r="I153" s="97"/>
      <x:c r="J153" s="99"/>
      <x:c r="K153" s="97"/>
      <x:c r="L153" s="99"/>
      <x:c r="M153" s="100"/>
      <x:c r="N153" s="100"/>
      <x:c r="O153" s="101" t="str">
        <x:f t="shared" si="4">IF(K153="","",IF(K153="Achieved","Yes","No"))</x:f>
      </x:c>
      <x:c r="P153" s="100"/>
    </x:row>
    <x:row r="154">
      <x:c r="A154" s="96"/>
      <x:c r="B154" s="97"/>
      <x:c r="C154" s="98" t="str">
        <x:f>IF(B154="","",IFERROR(INDEX('Task Master'!$C$5:$C$804,MATCH(B154,'Task Master'!$A$5:$A$804,0)),"Not in latest raw"))</x:f>
      </x:c>
      <x:c r="D154" s="98" t="str">
        <x:f>IF(B154="","",IFERROR(INDEX('Task Master'!$J$5:$J$804,MATCH(B154,'Task Master'!$A$5:$A$804,0)),""))</x:f>
      </x:c>
      <x:c r="E154" s="98" t="str">
        <x:f>IF(B154="","",IFERROR(INDEX('Task Master'!$K$5:$K$804,MATCH(B154,'Task Master'!$A$5:$A$804,0)),""))</x:f>
      </x:c>
      <x:c r="F154" s="97" t="str">
        <x:f>IF(B154="","",IF(COUNTIFS('Assignment History'!$B$5:$B$204,B154,'Assignment History'!$A$5:$A$204,"&gt;="&amp;A154,'Assignment History'!$A$5:$A$204,"&lt;"&amp;A154+1)&gt;0,"Yes","No"))</x:f>
      </x:c>
      <x:c r="G154" s="97" t="str">
        <x:f>IF(B154="","",IF(F154="Yes",IFERROR(LOOKUP(2,1/(('Assignment History'!$B$5:$B$204=B154)*('Assignment History'!$A$5:$A$204&gt;=A154)*('Assignment History'!$A$5:$A$204&lt;A154+1)),'Assignment History'!$C$5:$C$204),""),""))</x:f>
      </x:c>
      <x:c r="H154" s="97"/>
      <x:c r="I154" s="97"/>
      <x:c r="J154" s="99"/>
      <x:c r="K154" s="97"/>
      <x:c r="L154" s="99"/>
      <x:c r="M154" s="100"/>
      <x:c r="N154" s="100"/>
      <x:c r="O154" s="101" t="str">
        <x:f t="shared" si="4">IF(K154="","",IF(K154="Achieved","Yes","No"))</x:f>
      </x:c>
      <x:c r="P154" s="100"/>
    </x:row>
    <x:row r="155">
      <x:c r="A155" s="96"/>
      <x:c r="B155" s="97"/>
      <x:c r="C155" s="98" t="str">
        <x:f>IF(B155="","",IFERROR(INDEX('Task Master'!$C$5:$C$804,MATCH(B155,'Task Master'!$A$5:$A$804,0)),"Not in latest raw"))</x:f>
      </x:c>
      <x:c r="D155" s="98" t="str">
        <x:f>IF(B155="","",IFERROR(INDEX('Task Master'!$J$5:$J$804,MATCH(B155,'Task Master'!$A$5:$A$804,0)),""))</x:f>
      </x:c>
      <x:c r="E155" s="98" t="str">
        <x:f>IF(B155="","",IFERROR(INDEX('Task Master'!$K$5:$K$804,MATCH(B155,'Task Master'!$A$5:$A$804,0)),""))</x:f>
      </x:c>
      <x:c r="F155" s="97" t="str">
        <x:f>IF(B155="","",IF(COUNTIFS('Assignment History'!$B$5:$B$204,B155,'Assignment History'!$A$5:$A$204,"&gt;="&amp;A155,'Assignment History'!$A$5:$A$204,"&lt;"&amp;A155+1)&gt;0,"Yes","No"))</x:f>
      </x:c>
      <x:c r="G155" s="97" t="str">
        <x:f>IF(B155="","",IF(F155="Yes",IFERROR(LOOKUP(2,1/(('Assignment History'!$B$5:$B$204=B155)*('Assignment History'!$A$5:$A$204&gt;=A155)*('Assignment History'!$A$5:$A$204&lt;A155+1)),'Assignment History'!$C$5:$C$204),""),""))</x:f>
      </x:c>
      <x:c r="H155" s="97"/>
      <x:c r="I155" s="97"/>
      <x:c r="J155" s="99"/>
      <x:c r="K155" s="97"/>
      <x:c r="L155" s="99"/>
      <x:c r="M155" s="100"/>
      <x:c r="N155" s="100"/>
      <x:c r="O155" s="101" t="str">
        <x:f t="shared" si="4">IF(K155="","",IF(K155="Achieved","Yes","No"))</x:f>
      </x:c>
      <x:c r="P155" s="100"/>
    </x:row>
    <x:row r="156">
      <x:c r="A156" s="96"/>
      <x:c r="B156" s="97"/>
      <x:c r="C156" s="98" t="str">
        <x:f>IF(B156="","",IFERROR(INDEX('Task Master'!$C$5:$C$804,MATCH(B156,'Task Master'!$A$5:$A$804,0)),"Not in latest raw"))</x:f>
      </x:c>
      <x:c r="D156" s="98" t="str">
        <x:f>IF(B156="","",IFERROR(INDEX('Task Master'!$J$5:$J$804,MATCH(B156,'Task Master'!$A$5:$A$804,0)),""))</x:f>
      </x:c>
      <x:c r="E156" s="98" t="str">
        <x:f>IF(B156="","",IFERROR(INDEX('Task Master'!$K$5:$K$804,MATCH(B156,'Task Master'!$A$5:$A$804,0)),""))</x:f>
      </x:c>
      <x:c r="F156" s="97" t="str">
        <x:f>IF(B156="","",IF(COUNTIFS('Assignment History'!$B$5:$B$204,B156,'Assignment History'!$A$5:$A$204,"&gt;="&amp;A156,'Assignment History'!$A$5:$A$204,"&lt;"&amp;A156+1)&gt;0,"Yes","No"))</x:f>
      </x:c>
      <x:c r="G156" s="97" t="str">
        <x:f>IF(B156="","",IF(F156="Yes",IFERROR(LOOKUP(2,1/(('Assignment History'!$B$5:$B$204=B156)*('Assignment History'!$A$5:$A$204&gt;=A156)*('Assignment History'!$A$5:$A$204&lt;A156+1)),'Assignment History'!$C$5:$C$204),""),""))</x:f>
      </x:c>
      <x:c r="H156" s="97"/>
      <x:c r="I156" s="97"/>
      <x:c r="J156" s="99"/>
      <x:c r="K156" s="97"/>
      <x:c r="L156" s="99"/>
      <x:c r="M156" s="100"/>
      <x:c r="N156" s="100"/>
      <x:c r="O156" s="101" t="str">
        <x:f t="shared" si="4">IF(K156="","",IF(K156="Achieved","Yes","No"))</x:f>
      </x:c>
      <x:c r="P156" s="100"/>
    </x:row>
    <x:row r="157">
      <x:c r="A157" s="96"/>
      <x:c r="B157" s="97"/>
      <x:c r="C157" s="98" t="str">
        <x:f>IF(B157="","",IFERROR(INDEX('Task Master'!$C$5:$C$804,MATCH(B157,'Task Master'!$A$5:$A$804,0)),"Not in latest raw"))</x:f>
      </x:c>
      <x:c r="D157" s="98" t="str">
        <x:f>IF(B157="","",IFERROR(INDEX('Task Master'!$J$5:$J$804,MATCH(B157,'Task Master'!$A$5:$A$804,0)),""))</x:f>
      </x:c>
      <x:c r="E157" s="98" t="str">
        <x:f>IF(B157="","",IFERROR(INDEX('Task Master'!$K$5:$K$804,MATCH(B157,'Task Master'!$A$5:$A$804,0)),""))</x:f>
      </x:c>
      <x:c r="F157" s="97" t="str">
        <x:f>IF(B157="","",IF(COUNTIFS('Assignment History'!$B$5:$B$204,B157,'Assignment History'!$A$5:$A$204,"&gt;="&amp;A157,'Assignment History'!$A$5:$A$204,"&lt;"&amp;A157+1)&gt;0,"Yes","No"))</x:f>
      </x:c>
      <x:c r="G157" s="97" t="str">
        <x:f>IF(B157="","",IF(F157="Yes",IFERROR(LOOKUP(2,1/(('Assignment History'!$B$5:$B$204=B157)*('Assignment History'!$A$5:$A$204&gt;=A157)*('Assignment History'!$A$5:$A$204&lt;A157+1)),'Assignment History'!$C$5:$C$204),""),""))</x:f>
      </x:c>
      <x:c r="H157" s="97"/>
      <x:c r="I157" s="97"/>
      <x:c r="J157" s="99"/>
      <x:c r="K157" s="97"/>
      <x:c r="L157" s="99"/>
      <x:c r="M157" s="100"/>
      <x:c r="N157" s="100"/>
      <x:c r="O157" s="101" t="str">
        <x:f t="shared" si="4">IF(K157="","",IF(K157="Achieved","Yes","No"))</x:f>
      </x:c>
      <x:c r="P157" s="100"/>
    </x:row>
    <x:row r="158">
      <x:c r="A158" s="96"/>
      <x:c r="B158" s="97"/>
      <x:c r="C158" s="98" t="str">
        <x:f>IF(B158="","",IFERROR(INDEX('Task Master'!$C$5:$C$804,MATCH(B158,'Task Master'!$A$5:$A$804,0)),"Not in latest raw"))</x:f>
      </x:c>
      <x:c r="D158" s="98" t="str">
        <x:f>IF(B158="","",IFERROR(INDEX('Task Master'!$J$5:$J$804,MATCH(B158,'Task Master'!$A$5:$A$804,0)),""))</x:f>
      </x:c>
      <x:c r="E158" s="98" t="str">
        <x:f>IF(B158="","",IFERROR(INDEX('Task Master'!$K$5:$K$804,MATCH(B158,'Task Master'!$A$5:$A$804,0)),""))</x:f>
      </x:c>
      <x:c r="F158" s="97" t="str">
        <x:f>IF(B158="","",IF(COUNTIFS('Assignment History'!$B$5:$B$204,B158,'Assignment History'!$A$5:$A$204,"&gt;="&amp;A158,'Assignment History'!$A$5:$A$204,"&lt;"&amp;A158+1)&gt;0,"Yes","No"))</x:f>
      </x:c>
      <x:c r="G158" s="97" t="str">
        <x:f>IF(B158="","",IF(F158="Yes",IFERROR(LOOKUP(2,1/(('Assignment History'!$B$5:$B$204=B158)*('Assignment History'!$A$5:$A$204&gt;=A158)*('Assignment History'!$A$5:$A$204&lt;A158+1)),'Assignment History'!$C$5:$C$204),""),""))</x:f>
      </x:c>
      <x:c r="H158" s="97"/>
      <x:c r="I158" s="97"/>
      <x:c r="J158" s="99"/>
      <x:c r="K158" s="97"/>
      <x:c r="L158" s="99"/>
      <x:c r="M158" s="100"/>
      <x:c r="N158" s="100"/>
      <x:c r="O158" s="101" t="str">
        <x:f t="shared" si="4">IF(K158="","",IF(K158="Achieved","Yes","No"))</x:f>
      </x:c>
      <x:c r="P158" s="100"/>
    </x:row>
    <x:row r="159">
      <x:c r="A159" s="96"/>
      <x:c r="B159" s="97"/>
      <x:c r="C159" s="98" t="str">
        <x:f>IF(B159="","",IFERROR(INDEX('Task Master'!$C$5:$C$804,MATCH(B159,'Task Master'!$A$5:$A$804,0)),"Not in latest raw"))</x:f>
      </x:c>
      <x:c r="D159" s="98" t="str">
        <x:f>IF(B159="","",IFERROR(INDEX('Task Master'!$J$5:$J$804,MATCH(B159,'Task Master'!$A$5:$A$804,0)),""))</x:f>
      </x:c>
      <x:c r="E159" s="98" t="str">
        <x:f>IF(B159="","",IFERROR(INDEX('Task Master'!$K$5:$K$804,MATCH(B159,'Task Master'!$A$5:$A$804,0)),""))</x:f>
      </x:c>
      <x:c r="F159" s="97" t="str">
        <x:f>IF(B159="","",IF(COUNTIFS('Assignment History'!$B$5:$B$204,B159,'Assignment History'!$A$5:$A$204,"&gt;="&amp;A159,'Assignment History'!$A$5:$A$204,"&lt;"&amp;A159+1)&gt;0,"Yes","No"))</x:f>
      </x:c>
      <x:c r="G159" s="97" t="str">
        <x:f>IF(B159="","",IF(F159="Yes",IFERROR(LOOKUP(2,1/(('Assignment History'!$B$5:$B$204=B159)*('Assignment History'!$A$5:$A$204&gt;=A159)*('Assignment History'!$A$5:$A$204&lt;A159+1)),'Assignment History'!$C$5:$C$204),""),""))</x:f>
      </x:c>
      <x:c r="H159" s="97"/>
      <x:c r="I159" s="97"/>
      <x:c r="J159" s="99"/>
      <x:c r="K159" s="97"/>
      <x:c r="L159" s="99"/>
      <x:c r="M159" s="100"/>
      <x:c r="N159" s="100"/>
      <x:c r="O159" s="101" t="str">
        <x:f t="shared" si="4">IF(K159="","",IF(K159="Achieved","Yes","No"))</x:f>
      </x:c>
      <x:c r="P159" s="100"/>
    </x:row>
    <x:row r="160">
      <x:c r="A160" s="96"/>
      <x:c r="B160" s="97"/>
      <x:c r="C160" s="98" t="str">
        <x:f>IF(B160="","",IFERROR(INDEX('Task Master'!$C$5:$C$804,MATCH(B160,'Task Master'!$A$5:$A$804,0)),"Not in latest raw"))</x:f>
      </x:c>
      <x:c r="D160" s="98" t="str">
        <x:f>IF(B160="","",IFERROR(INDEX('Task Master'!$J$5:$J$804,MATCH(B160,'Task Master'!$A$5:$A$804,0)),""))</x:f>
      </x:c>
      <x:c r="E160" s="98" t="str">
        <x:f>IF(B160="","",IFERROR(INDEX('Task Master'!$K$5:$K$804,MATCH(B160,'Task Master'!$A$5:$A$804,0)),""))</x:f>
      </x:c>
      <x:c r="F160" s="97" t="str">
        <x:f>IF(B160="","",IF(COUNTIFS('Assignment History'!$B$5:$B$204,B160,'Assignment History'!$A$5:$A$204,"&gt;="&amp;A160,'Assignment History'!$A$5:$A$204,"&lt;"&amp;A160+1)&gt;0,"Yes","No"))</x:f>
      </x:c>
      <x:c r="G160" s="97" t="str">
        <x:f>IF(B160="","",IF(F160="Yes",IFERROR(LOOKUP(2,1/(('Assignment History'!$B$5:$B$204=B160)*('Assignment History'!$A$5:$A$204&gt;=A160)*('Assignment History'!$A$5:$A$204&lt;A160+1)),'Assignment History'!$C$5:$C$204),""),""))</x:f>
      </x:c>
      <x:c r="H160" s="97"/>
      <x:c r="I160" s="97"/>
      <x:c r="J160" s="99"/>
      <x:c r="K160" s="97"/>
      <x:c r="L160" s="99"/>
      <x:c r="M160" s="100"/>
      <x:c r="N160" s="100"/>
      <x:c r="O160" s="101" t="str">
        <x:f t="shared" si="4">IF(K160="","",IF(K160="Achieved","Yes","No"))</x:f>
      </x:c>
      <x:c r="P160" s="100"/>
    </x:row>
    <x:row r="161">
      <x:c r="A161" s="96"/>
      <x:c r="B161" s="97"/>
      <x:c r="C161" s="98" t="str">
        <x:f>IF(B161="","",IFERROR(INDEX('Task Master'!$C$5:$C$804,MATCH(B161,'Task Master'!$A$5:$A$804,0)),"Not in latest raw"))</x:f>
      </x:c>
      <x:c r="D161" s="98" t="str">
        <x:f>IF(B161="","",IFERROR(INDEX('Task Master'!$J$5:$J$804,MATCH(B161,'Task Master'!$A$5:$A$804,0)),""))</x:f>
      </x:c>
      <x:c r="E161" s="98" t="str">
        <x:f>IF(B161="","",IFERROR(INDEX('Task Master'!$K$5:$K$804,MATCH(B161,'Task Master'!$A$5:$A$804,0)),""))</x:f>
      </x:c>
      <x:c r="F161" s="97" t="str">
        <x:f>IF(B161="","",IF(COUNTIFS('Assignment History'!$B$5:$B$204,B161,'Assignment History'!$A$5:$A$204,"&gt;="&amp;A161,'Assignment History'!$A$5:$A$204,"&lt;"&amp;A161+1)&gt;0,"Yes","No"))</x:f>
      </x:c>
      <x:c r="G161" s="97" t="str">
        <x:f>IF(B161="","",IF(F161="Yes",IFERROR(LOOKUP(2,1/(('Assignment History'!$B$5:$B$204=B161)*('Assignment History'!$A$5:$A$204&gt;=A161)*('Assignment History'!$A$5:$A$204&lt;A161+1)),'Assignment History'!$C$5:$C$204),""),""))</x:f>
      </x:c>
      <x:c r="H161" s="97"/>
      <x:c r="I161" s="97"/>
      <x:c r="J161" s="99"/>
      <x:c r="K161" s="97"/>
      <x:c r="L161" s="99"/>
      <x:c r="M161" s="100"/>
      <x:c r="N161" s="100"/>
      <x:c r="O161" s="101" t="str">
        <x:f t="shared" si="4">IF(K161="","",IF(K161="Achieved","Yes","No"))</x:f>
      </x:c>
      <x:c r="P161" s="100"/>
    </x:row>
    <x:row r="162">
      <x:c r="A162" s="96"/>
      <x:c r="B162" s="97"/>
      <x:c r="C162" s="98" t="str">
        <x:f>IF(B162="","",IFERROR(INDEX('Task Master'!$C$5:$C$804,MATCH(B162,'Task Master'!$A$5:$A$804,0)),"Not in latest raw"))</x:f>
      </x:c>
      <x:c r="D162" s="98" t="str">
        <x:f>IF(B162="","",IFERROR(INDEX('Task Master'!$J$5:$J$804,MATCH(B162,'Task Master'!$A$5:$A$804,0)),""))</x:f>
      </x:c>
      <x:c r="E162" s="98" t="str">
        <x:f>IF(B162="","",IFERROR(INDEX('Task Master'!$K$5:$K$804,MATCH(B162,'Task Master'!$A$5:$A$804,0)),""))</x:f>
      </x:c>
      <x:c r="F162" s="97" t="str">
        <x:f>IF(B162="","",IF(COUNTIFS('Assignment History'!$B$5:$B$204,B162,'Assignment History'!$A$5:$A$204,"&gt;="&amp;A162,'Assignment History'!$A$5:$A$204,"&lt;"&amp;A162+1)&gt;0,"Yes","No"))</x:f>
      </x:c>
      <x:c r="G162" s="97" t="str">
        <x:f>IF(B162="","",IF(F162="Yes",IFERROR(LOOKUP(2,1/(('Assignment History'!$B$5:$B$204=B162)*('Assignment History'!$A$5:$A$204&gt;=A162)*('Assignment History'!$A$5:$A$204&lt;A162+1)),'Assignment History'!$C$5:$C$204),""),""))</x:f>
      </x:c>
      <x:c r="H162" s="97"/>
      <x:c r="I162" s="97"/>
      <x:c r="J162" s="99"/>
      <x:c r="K162" s="97"/>
      <x:c r="L162" s="99"/>
      <x:c r="M162" s="100"/>
      <x:c r="N162" s="100"/>
      <x:c r="O162" s="101" t="str">
        <x:f t="shared" si="4">IF(K162="","",IF(K162="Achieved","Yes","No"))</x:f>
      </x:c>
      <x:c r="P162" s="100"/>
    </x:row>
    <x:row r="163">
      <x:c r="A163" s="96"/>
      <x:c r="B163" s="97"/>
      <x:c r="C163" s="98" t="str">
        <x:f>IF(B163="","",IFERROR(INDEX('Task Master'!$C$5:$C$804,MATCH(B163,'Task Master'!$A$5:$A$804,0)),"Not in latest raw"))</x:f>
      </x:c>
      <x:c r="D163" s="98" t="str">
        <x:f>IF(B163="","",IFERROR(INDEX('Task Master'!$J$5:$J$804,MATCH(B163,'Task Master'!$A$5:$A$804,0)),""))</x:f>
      </x:c>
      <x:c r="E163" s="98" t="str">
        <x:f>IF(B163="","",IFERROR(INDEX('Task Master'!$K$5:$K$804,MATCH(B163,'Task Master'!$A$5:$A$804,0)),""))</x:f>
      </x:c>
      <x:c r="F163" s="97" t="str">
        <x:f>IF(B163="","",IF(COUNTIFS('Assignment History'!$B$5:$B$204,B163,'Assignment History'!$A$5:$A$204,"&gt;="&amp;A163,'Assignment History'!$A$5:$A$204,"&lt;"&amp;A163+1)&gt;0,"Yes","No"))</x:f>
      </x:c>
      <x:c r="G163" s="97" t="str">
        <x:f>IF(B163="","",IF(F163="Yes",IFERROR(LOOKUP(2,1/(('Assignment History'!$B$5:$B$204=B163)*('Assignment History'!$A$5:$A$204&gt;=A163)*('Assignment History'!$A$5:$A$204&lt;A163+1)),'Assignment History'!$C$5:$C$204),""),""))</x:f>
      </x:c>
      <x:c r="H163" s="97"/>
      <x:c r="I163" s="97"/>
      <x:c r="J163" s="99"/>
      <x:c r="K163" s="97"/>
      <x:c r="L163" s="99"/>
      <x:c r="M163" s="100"/>
      <x:c r="N163" s="100"/>
      <x:c r="O163" s="101" t="str">
        <x:f t="shared" si="4">IF(K163="","",IF(K163="Achieved","Yes","No"))</x:f>
      </x:c>
      <x:c r="P163" s="100"/>
    </x:row>
    <x:row r="164">
      <x:c r="A164" s="96"/>
      <x:c r="B164" s="97"/>
      <x:c r="C164" s="98" t="str">
        <x:f>IF(B164="","",IFERROR(INDEX('Task Master'!$C$5:$C$804,MATCH(B164,'Task Master'!$A$5:$A$804,0)),"Not in latest raw"))</x:f>
      </x:c>
      <x:c r="D164" s="98" t="str">
        <x:f>IF(B164="","",IFERROR(INDEX('Task Master'!$J$5:$J$804,MATCH(B164,'Task Master'!$A$5:$A$804,0)),""))</x:f>
      </x:c>
      <x:c r="E164" s="98" t="str">
        <x:f>IF(B164="","",IFERROR(INDEX('Task Master'!$K$5:$K$804,MATCH(B164,'Task Master'!$A$5:$A$804,0)),""))</x:f>
      </x:c>
      <x:c r="F164" s="97" t="str">
        <x:f>IF(B164="","",IF(COUNTIFS('Assignment History'!$B$5:$B$204,B164,'Assignment History'!$A$5:$A$204,"&gt;="&amp;A164,'Assignment History'!$A$5:$A$204,"&lt;"&amp;A164+1)&gt;0,"Yes","No"))</x:f>
      </x:c>
      <x:c r="G164" s="97" t="str">
        <x:f>IF(B164="","",IF(F164="Yes",IFERROR(LOOKUP(2,1/(('Assignment History'!$B$5:$B$204=B164)*('Assignment History'!$A$5:$A$204&gt;=A164)*('Assignment History'!$A$5:$A$204&lt;A164+1)),'Assignment History'!$C$5:$C$204),""),""))</x:f>
      </x:c>
      <x:c r="H164" s="97"/>
      <x:c r="I164" s="97"/>
      <x:c r="J164" s="99"/>
      <x:c r="K164" s="97"/>
      <x:c r="L164" s="99"/>
      <x:c r="M164" s="100"/>
      <x:c r="N164" s="100"/>
      <x:c r="O164" s="101" t="str">
        <x:f t="shared" si="4">IF(K164="","",IF(K164="Achieved","Yes","No"))</x:f>
      </x:c>
      <x:c r="P164" s="100"/>
    </x:row>
    <x:row r="165">
      <x:c r="A165" s="96"/>
      <x:c r="B165" s="97"/>
      <x:c r="C165" s="98" t="str">
        <x:f>IF(B165="","",IFERROR(INDEX('Task Master'!$C$5:$C$804,MATCH(B165,'Task Master'!$A$5:$A$804,0)),"Not in latest raw"))</x:f>
      </x:c>
      <x:c r="D165" s="98" t="str">
        <x:f>IF(B165="","",IFERROR(INDEX('Task Master'!$J$5:$J$804,MATCH(B165,'Task Master'!$A$5:$A$804,0)),""))</x:f>
      </x:c>
      <x:c r="E165" s="98" t="str">
        <x:f>IF(B165="","",IFERROR(INDEX('Task Master'!$K$5:$K$804,MATCH(B165,'Task Master'!$A$5:$A$804,0)),""))</x:f>
      </x:c>
      <x:c r="F165" s="97" t="str">
        <x:f>IF(B165="","",IF(COUNTIFS('Assignment History'!$B$5:$B$204,B165,'Assignment History'!$A$5:$A$204,"&gt;="&amp;A165,'Assignment History'!$A$5:$A$204,"&lt;"&amp;A165+1)&gt;0,"Yes","No"))</x:f>
      </x:c>
      <x:c r="G165" s="97" t="str">
        <x:f>IF(B165="","",IF(F165="Yes",IFERROR(LOOKUP(2,1/(('Assignment History'!$B$5:$B$204=B165)*('Assignment History'!$A$5:$A$204&gt;=A165)*('Assignment History'!$A$5:$A$204&lt;A165+1)),'Assignment History'!$C$5:$C$204),""),""))</x:f>
      </x:c>
      <x:c r="H165" s="97"/>
      <x:c r="I165" s="97"/>
      <x:c r="J165" s="99"/>
      <x:c r="K165" s="97"/>
      <x:c r="L165" s="99"/>
      <x:c r="M165" s="100"/>
      <x:c r="N165" s="100"/>
      <x:c r="O165" s="101" t="str">
        <x:f t="shared" ref="O165:O196" si="5">IF(K165="","",IF(K165="Achieved","Yes","No"))</x:f>
      </x:c>
      <x:c r="P165" s="100"/>
    </x:row>
    <x:row r="166">
      <x:c r="A166" s="96"/>
      <x:c r="B166" s="97"/>
      <x:c r="C166" s="98" t="str">
        <x:f>IF(B166="","",IFERROR(INDEX('Task Master'!$C$5:$C$804,MATCH(B166,'Task Master'!$A$5:$A$804,0)),"Not in latest raw"))</x:f>
      </x:c>
      <x:c r="D166" s="98" t="str">
        <x:f>IF(B166="","",IFERROR(INDEX('Task Master'!$J$5:$J$804,MATCH(B166,'Task Master'!$A$5:$A$804,0)),""))</x:f>
      </x:c>
      <x:c r="E166" s="98" t="str">
        <x:f>IF(B166="","",IFERROR(INDEX('Task Master'!$K$5:$K$804,MATCH(B166,'Task Master'!$A$5:$A$804,0)),""))</x:f>
      </x:c>
      <x:c r="F166" s="97" t="str">
        <x:f>IF(B166="","",IF(COUNTIFS('Assignment History'!$B$5:$B$204,B166,'Assignment History'!$A$5:$A$204,"&gt;="&amp;A166,'Assignment History'!$A$5:$A$204,"&lt;"&amp;A166+1)&gt;0,"Yes","No"))</x:f>
      </x:c>
      <x:c r="G166" s="97" t="str">
        <x:f>IF(B166="","",IF(F166="Yes",IFERROR(LOOKUP(2,1/(('Assignment History'!$B$5:$B$204=B166)*('Assignment History'!$A$5:$A$204&gt;=A166)*('Assignment History'!$A$5:$A$204&lt;A166+1)),'Assignment History'!$C$5:$C$204),""),""))</x:f>
      </x:c>
      <x:c r="H166" s="97"/>
      <x:c r="I166" s="97"/>
      <x:c r="J166" s="99"/>
      <x:c r="K166" s="97"/>
      <x:c r="L166" s="99"/>
      <x:c r="M166" s="100"/>
      <x:c r="N166" s="100"/>
      <x:c r="O166" s="101" t="str">
        <x:f t="shared" si="5">IF(K166="","",IF(K166="Achieved","Yes","No"))</x:f>
      </x:c>
      <x:c r="P166" s="100"/>
    </x:row>
    <x:row r="167">
      <x:c r="A167" s="96"/>
      <x:c r="B167" s="97"/>
      <x:c r="C167" s="98" t="str">
        <x:f>IF(B167="","",IFERROR(INDEX('Task Master'!$C$5:$C$804,MATCH(B167,'Task Master'!$A$5:$A$804,0)),"Not in latest raw"))</x:f>
      </x:c>
      <x:c r="D167" s="98" t="str">
        <x:f>IF(B167="","",IFERROR(INDEX('Task Master'!$J$5:$J$804,MATCH(B167,'Task Master'!$A$5:$A$804,0)),""))</x:f>
      </x:c>
      <x:c r="E167" s="98" t="str">
        <x:f>IF(B167="","",IFERROR(INDEX('Task Master'!$K$5:$K$804,MATCH(B167,'Task Master'!$A$5:$A$804,0)),""))</x:f>
      </x:c>
      <x:c r="F167" s="97" t="str">
        <x:f>IF(B167="","",IF(COUNTIFS('Assignment History'!$B$5:$B$204,B167,'Assignment History'!$A$5:$A$204,"&gt;="&amp;A167,'Assignment History'!$A$5:$A$204,"&lt;"&amp;A167+1)&gt;0,"Yes","No"))</x:f>
      </x:c>
      <x:c r="G167" s="97" t="str">
        <x:f>IF(B167="","",IF(F167="Yes",IFERROR(LOOKUP(2,1/(('Assignment History'!$B$5:$B$204=B167)*('Assignment History'!$A$5:$A$204&gt;=A167)*('Assignment History'!$A$5:$A$204&lt;A167+1)),'Assignment History'!$C$5:$C$204),""),""))</x:f>
      </x:c>
      <x:c r="H167" s="97"/>
      <x:c r="I167" s="97"/>
      <x:c r="J167" s="99"/>
      <x:c r="K167" s="97"/>
      <x:c r="L167" s="99"/>
      <x:c r="M167" s="100"/>
      <x:c r="N167" s="100"/>
      <x:c r="O167" s="101" t="str">
        <x:f t="shared" si="5">IF(K167="","",IF(K167="Achieved","Yes","No"))</x:f>
      </x:c>
      <x:c r="P167" s="100"/>
    </x:row>
    <x:row r="168">
      <x:c r="A168" s="96"/>
      <x:c r="B168" s="97"/>
      <x:c r="C168" s="98" t="str">
        <x:f>IF(B168="","",IFERROR(INDEX('Task Master'!$C$5:$C$804,MATCH(B168,'Task Master'!$A$5:$A$804,0)),"Not in latest raw"))</x:f>
      </x:c>
      <x:c r="D168" s="98" t="str">
        <x:f>IF(B168="","",IFERROR(INDEX('Task Master'!$J$5:$J$804,MATCH(B168,'Task Master'!$A$5:$A$804,0)),""))</x:f>
      </x:c>
      <x:c r="E168" s="98" t="str">
        <x:f>IF(B168="","",IFERROR(INDEX('Task Master'!$K$5:$K$804,MATCH(B168,'Task Master'!$A$5:$A$804,0)),""))</x:f>
      </x:c>
      <x:c r="F168" s="97" t="str">
        <x:f>IF(B168="","",IF(COUNTIFS('Assignment History'!$B$5:$B$204,B168,'Assignment History'!$A$5:$A$204,"&gt;="&amp;A168,'Assignment History'!$A$5:$A$204,"&lt;"&amp;A168+1)&gt;0,"Yes","No"))</x:f>
      </x:c>
      <x:c r="G168" s="97" t="str">
        <x:f>IF(B168="","",IF(F168="Yes",IFERROR(LOOKUP(2,1/(('Assignment History'!$B$5:$B$204=B168)*('Assignment History'!$A$5:$A$204&gt;=A168)*('Assignment History'!$A$5:$A$204&lt;A168+1)),'Assignment History'!$C$5:$C$204),""),""))</x:f>
      </x:c>
      <x:c r="H168" s="97"/>
      <x:c r="I168" s="97"/>
      <x:c r="J168" s="99"/>
      <x:c r="K168" s="97"/>
      <x:c r="L168" s="99"/>
      <x:c r="M168" s="100"/>
      <x:c r="N168" s="100"/>
      <x:c r="O168" s="101" t="str">
        <x:f t="shared" si="5">IF(K168="","",IF(K168="Achieved","Yes","No"))</x:f>
      </x:c>
      <x:c r="P168" s="100"/>
    </x:row>
    <x:row r="169">
      <x:c r="A169" s="96"/>
      <x:c r="B169" s="97"/>
      <x:c r="C169" s="98" t="str">
        <x:f>IF(B169="","",IFERROR(INDEX('Task Master'!$C$5:$C$804,MATCH(B169,'Task Master'!$A$5:$A$804,0)),"Not in latest raw"))</x:f>
      </x:c>
      <x:c r="D169" s="98" t="str">
        <x:f>IF(B169="","",IFERROR(INDEX('Task Master'!$J$5:$J$804,MATCH(B169,'Task Master'!$A$5:$A$804,0)),""))</x:f>
      </x:c>
      <x:c r="E169" s="98" t="str">
        <x:f>IF(B169="","",IFERROR(INDEX('Task Master'!$K$5:$K$804,MATCH(B169,'Task Master'!$A$5:$A$804,0)),""))</x:f>
      </x:c>
      <x:c r="F169" s="97" t="str">
        <x:f>IF(B169="","",IF(COUNTIFS('Assignment History'!$B$5:$B$204,B169,'Assignment History'!$A$5:$A$204,"&gt;="&amp;A169,'Assignment History'!$A$5:$A$204,"&lt;"&amp;A169+1)&gt;0,"Yes","No"))</x:f>
      </x:c>
      <x:c r="G169" s="97" t="str">
        <x:f>IF(B169="","",IF(F169="Yes",IFERROR(LOOKUP(2,1/(('Assignment History'!$B$5:$B$204=B169)*('Assignment History'!$A$5:$A$204&gt;=A169)*('Assignment History'!$A$5:$A$204&lt;A169+1)),'Assignment History'!$C$5:$C$204),""),""))</x:f>
      </x:c>
      <x:c r="H169" s="97"/>
      <x:c r="I169" s="97"/>
      <x:c r="J169" s="99"/>
      <x:c r="K169" s="97"/>
      <x:c r="L169" s="99"/>
      <x:c r="M169" s="100"/>
      <x:c r="N169" s="100"/>
      <x:c r="O169" s="101" t="str">
        <x:f t="shared" si="5">IF(K169="","",IF(K169="Achieved","Yes","No"))</x:f>
      </x:c>
      <x:c r="P169" s="100"/>
    </x:row>
    <x:row r="170">
      <x:c r="A170" s="96"/>
      <x:c r="B170" s="97"/>
      <x:c r="C170" s="98" t="str">
        <x:f>IF(B170="","",IFERROR(INDEX('Task Master'!$C$5:$C$804,MATCH(B170,'Task Master'!$A$5:$A$804,0)),"Not in latest raw"))</x:f>
      </x:c>
      <x:c r="D170" s="98" t="str">
        <x:f>IF(B170="","",IFERROR(INDEX('Task Master'!$J$5:$J$804,MATCH(B170,'Task Master'!$A$5:$A$804,0)),""))</x:f>
      </x:c>
      <x:c r="E170" s="98" t="str">
        <x:f>IF(B170="","",IFERROR(INDEX('Task Master'!$K$5:$K$804,MATCH(B170,'Task Master'!$A$5:$A$804,0)),""))</x:f>
      </x:c>
      <x:c r="F170" s="97" t="str">
        <x:f>IF(B170="","",IF(COUNTIFS('Assignment History'!$B$5:$B$204,B170,'Assignment History'!$A$5:$A$204,"&gt;="&amp;A170,'Assignment History'!$A$5:$A$204,"&lt;"&amp;A170+1)&gt;0,"Yes","No"))</x:f>
      </x:c>
      <x:c r="G170" s="97" t="str">
        <x:f>IF(B170="","",IF(F170="Yes",IFERROR(LOOKUP(2,1/(('Assignment History'!$B$5:$B$204=B170)*('Assignment History'!$A$5:$A$204&gt;=A170)*('Assignment History'!$A$5:$A$204&lt;A170+1)),'Assignment History'!$C$5:$C$204),""),""))</x:f>
      </x:c>
      <x:c r="H170" s="97"/>
      <x:c r="I170" s="97"/>
      <x:c r="J170" s="99"/>
      <x:c r="K170" s="97"/>
      <x:c r="L170" s="99"/>
      <x:c r="M170" s="100"/>
      <x:c r="N170" s="100"/>
      <x:c r="O170" s="101" t="str">
        <x:f t="shared" si="5">IF(K170="","",IF(K170="Achieved","Yes","No"))</x:f>
      </x:c>
      <x:c r="P170" s="100"/>
    </x:row>
    <x:row r="171">
      <x:c r="A171" s="96"/>
      <x:c r="B171" s="97"/>
      <x:c r="C171" s="98" t="str">
        <x:f>IF(B171="","",IFERROR(INDEX('Task Master'!$C$5:$C$804,MATCH(B171,'Task Master'!$A$5:$A$804,0)),"Not in latest raw"))</x:f>
      </x:c>
      <x:c r="D171" s="98" t="str">
        <x:f>IF(B171="","",IFERROR(INDEX('Task Master'!$J$5:$J$804,MATCH(B171,'Task Master'!$A$5:$A$804,0)),""))</x:f>
      </x:c>
      <x:c r="E171" s="98" t="str">
        <x:f>IF(B171="","",IFERROR(INDEX('Task Master'!$K$5:$K$804,MATCH(B171,'Task Master'!$A$5:$A$804,0)),""))</x:f>
      </x:c>
      <x:c r="F171" s="97" t="str">
        <x:f>IF(B171="","",IF(COUNTIFS('Assignment History'!$B$5:$B$204,B171,'Assignment History'!$A$5:$A$204,"&gt;="&amp;A171,'Assignment History'!$A$5:$A$204,"&lt;"&amp;A171+1)&gt;0,"Yes","No"))</x:f>
      </x:c>
      <x:c r="G171" s="97" t="str">
        <x:f>IF(B171="","",IF(F171="Yes",IFERROR(LOOKUP(2,1/(('Assignment History'!$B$5:$B$204=B171)*('Assignment History'!$A$5:$A$204&gt;=A171)*('Assignment History'!$A$5:$A$204&lt;A171+1)),'Assignment History'!$C$5:$C$204),""),""))</x:f>
      </x:c>
      <x:c r="H171" s="97"/>
      <x:c r="I171" s="97"/>
      <x:c r="J171" s="99"/>
      <x:c r="K171" s="97"/>
      <x:c r="L171" s="99"/>
      <x:c r="M171" s="100"/>
      <x:c r="N171" s="100"/>
      <x:c r="O171" s="101" t="str">
        <x:f t="shared" si="5">IF(K171="","",IF(K171="Achieved","Yes","No"))</x:f>
      </x:c>
      <x:c r="P171" s="100"/>
    </x:row>
    <x:row r="172">
      <x:c r="A172" s="96"/>
      <x:c r="B172" s="97"/>
      <x:c r="C172" s="98" t="str">
        <x:f>IF(B172="","",IFERROR(INDEX('Task Master'!$C$5:$C$804,MATCH(B172,'Task Master'!$A$5:$A$804,0)),"Not in latest raw"))</x:f>
      </x:c>
      <x:c r="D172" s="98" t="str">
        <x:f>IF(B172="","",IFERROR(INDEX('Task Master'!$J$5:$J$804,MATCH(B172,'Task Master'!$A$5:$A$804,0)),""))</x:f>
      </x:c>
      <x:c r="E172" s="98" t="str">
        <x:f>IF(B172="","",IFERROR(INDEX('Task Master'!$K$5:$K$804,MATCH(B172,'Task Master'!$A$5:$A$804,0)),""))</x:f>
      </x:c>
      <x:c r="F172" s="97" t="str">
        <x:f>IF(B172="","",IF(COUNTIFS('Assignment History'!$B$5:$B$204,B172,'Assignment History'!$A$5:$A$204,"&gt;="&amp;A172,'Assignment History'!$A$5:$A$204,"&lt;"&amp;A172+1)&gt;0,"Yes","No"))</x:f>
      </x:c>
      <x:c r="G172" s="97" t="str">
        <x:f>IF(B172="","",IF(F172="Yes",IFERROR(LOOKUP(2,1/(('Assignment History'!$B$5:$B$204=B172)*('Assignment History'!$A$5:$A$204&gt;=A172)*('Assignment History'!$A$5:$A$204&lt;A172+1)),'Assignment History'!$C$5:$C$204),""),""))</x:f>
      </x:c>
      <x:c r="H172" s="97"/>
      <x:c r="I172" s="97"/>
      <x:c r="J172" s="99"/>
      <x:c r="K172" s="97"/>
      <x:c r="L172" s="99"/>
      <x:c r="M172" s="100"/>
      <x:c r="N172" s="100"/>
      <x:c r="O172" s="101" t="str">
        <x:f t="shared" si="5">IF(K172="","",IF(K172="Achieved","Yes","No"))</x:f>
      </x:c>
      <x:c r="P172" s="100"/>
    </x:row>
    <x:row r="173">
      <x:c r="A173" s="96"/>
      <x:c r="B173" s="97"/>
      <x:c r="C173" s="98" t="str">
        <x:f>IF(B173="","",IFERROR(INDEX('Task Master'!$C$5:$C$804,MATCH(B173,'Task Master'!$A$5:$A$804,0)),"Not in latest raw"))</x:f>
      </x:c>
      <x:c r="D173" s="98" t="str">
        <x:f>IF(B173="","",IFERROR(INDEX('Task Master'!$J$5:$J$804,MATCH(B173,'Task Master'!$A$5:$A$804,0)),""))</x:f>
      </x:c>
      <x:c r="E173" s="98" t="str">
        <x:f>IF(B173="","",IFERROR(INDEX('Task Master'!$K$5:$K$804,MATCH(B173,'Task Master'!$A$5:$A$804,0)),""))</x:f>
      </x:c>
      <x:c r="F173" s="97" t="str">
        <x:f>IF(B173="","",IF(COUNTIFS('Assignment History'!$B$5:$B$204,B173,'Assignment History'!$A$5:$A$204,"&gt;="&amp;A173,'Assignment History'!$A$5:$A$204,"&lt;"&amp;A173+1)&gt;0,"Yes","No"))</x:f>
      </x:c>
      <x:c r="G173" s="97" t="str">
        <x:f>IF(B173="","",IF(F173="Yes",IFERROR(LOOKUP(2,1/(('Assignment History'!$B$5:$B$204=B173)*('Assignment History'!$A$5:$A$204&gt;=A173)*('Assignment History'!$A$5:$A$204&lt;A173+1)),'Assignment History'!$C$5:$C$204),""),""))</x:f>
      </x:c>
      <x:c r="H173" s="97"/>
      <x:c r="I173" s="97"/>
      <x:c r="J173" s="99"/>
      <x:c r="K173" s="97"/>
      <x:c r="L173" s="99"/>
      <x:c r="M173" s="100"/>
      <x:c r="N173" s="100"/>
      <x:c r="O173" s="101" t="str">
        <x:f t="shared" si="5">IF(K173="","",IF(K173="Achieved","Yes","No"))</x:f>
      </x:c>
      <x:c r="P173" s="100"/>
    </x:row>
    <x:row r="174">
      <x:c r="A174" s="96"/>
      <x:c r="B174" s="97"/>
      <x:c r="C174" s="98" t="str">
        <x:f>IF(B174="","",IFERROR(INDEX('Task Master'!$C$5:$C$804,MATCH(B174,'Task Master'!$A$5:$A$804,0)),"Not in latest raw"))</x:f>
      </x:c>
      <x:c r="D174" s="98" t="str">
        <x:f>IF(B174="","",IFERROR(INDEX('Task Master'!$J$5:$J$804,MATCH(B174,'Task Master'!$A$5:$A$804,0)),""))</x:f>
      </x:c>
      <x:c r="E174" s="98" t="str">
        <x:f>IF(B174="","",IFERROR(INDEX('Task Master'!$K$5:$K$804,MATCH(B174,'Task Master'!$A$5:$A$804,0)),""))</x:f>
      </x:c>
      <x:c r="F174" s="97" t="str">
        <x:f>IF(B174="","",IF(COUNTIFS('Assignment History'!$B$5:$B$204,B174,'Assignment History'!$A$5:$A$204,"&gt;="&amp;A174,'Assignment History'!$A$5:$A$204,"&lt;"&amp;A174+1)&gt;0,"Yes","No"))</x:f>
      </x:c>
      <x:c r="G174" s="97" t="str">
        <x:f>IF(B174="","",IF(F174="Yes",IFERROR(LOOKUP(2,1/(('Assignment History'!$B$5:$B$204=B174)*('Assignment History'!$A$5:$A$204&gt;=A174)*('Assignment History'!$A$5:$A$204&lt;A174+1)),'Assignment History'!$C$5:$C$204),""),""))</x:f>
      </x:c>
      <x:c r="H174" s="97"/>
      <x:c r="I174" s="97"/>
      <x:c r="J174" s="99"/>
      <x:c r="K174" s="97"/>
      <x:c r="L174" s="99"/>
      <x:c r="M174" s="100"/>
      <x:c r="N174" s="100"/>
      <x:c r="O174" s="101" t="str">
        <x:f t="shared" si="5">IF(K174="","",IF(K174="Achieved","Yes","No"))</x:f>
      </x:c>
      <x:c r="P174" s="100"/>
    </x:row>
    <x:row r="175">
      <x:c r="A175" s="96"/>
      <x:c r="B175" s="97"/>
      <x:c r="C175" s="98" t="str">
        <x:f>IF(B175="","",IFERROR(INDEX('Task Master'!$C$5:$C$804,MATCH(B175,'Task Master'!$A$5:$A$804,0)),"Not in latest raw"))</x:f>
      </x:c>
      <x:c r="D175" s="98" t="str">
        <x:f>IF(B175="","",IFERROR(INDEX('Task Master'!$J$5:$J$804,MATCH(B175,'Task Master'!$A$5:$A$804,0)),""))</x:f>
      </x:c>
      <x:c r="E175" s="98" t="str">
        <x:f>IF(B175="","",IFERROR(INDEX('Task Master'!$K$5:$K$804,MATCH(B175,'Task Master'!$A$5:$A$804,0)),""))</x:f>
      </x:c>
      <x:c r="F175" s="97" t="str">
        <x:f>IF(B175="","",IF(COUNTIFS('Assignment History'!$B$5:$B$204,B175,'Assignment History'!$A$5:$A$204,"&gt;="&amp;A175,'Assignment History'!$A$5:$A$204,"&lt;"&amp;A175+1)&gt;0,"Yes","No"))</x:f>
      </x:c>
      <x:c r="G175" s="97" t="str">
        <x:f>IF(B175="","",IF(F175="Yes",IFERROR(LOOKUP(2,1/(('Assignment History'!$B$5:$B$204=B175)*('Assignment History'!$A$5:$A$204&gt;=A175)*('Assignment History'!$A$5:$A$204&lt;A175+1)),'Assignment History'!$C$5:$C$204),""),""))</x:f>
      </x:c>
      <x:c r="H175" s="97"/>
      <x:c r="I175" s="97"/>
      <x:c r="J175" s="99"/>
      <x:c r="K175" s="97"/>
      <x:c r="L175" s="99"/>
      <x:c r="M175" s="100"/>
      <x:c r="N175" s="100"/>
      <x:c r="O175" s="101" t="str">
        <x:f t="shared" si="5">IF(K175="","",IF(K175="Achieved","Yes","No"))</x:f>
      </x:c>
      <x:c r="P175" s="100"/>
    </x:row>
    <x:row r="176">
      <x:c r="A176" s="96"/>
      <x:c r="B176" s="97"/>
      <x:c r="C176" s="98" t="str">
        <x:f>IF(B176="","",IFERROR(INDEX('Task Master'!$C$5:$C$804,MATCH(B176,'Task Master'!$A$5:$A$804,0)),"Not in latest raw"))</x:f>
      </x:c>
      <x:c r="D176" s="98" t="str">
        <x:f>IF(B176="","",IFERROR(INDEX('Task Master'!$J$5:$J$804,MATCH(B176,'Task Master'!$A$5:$A$804,0)),""))</x:f>
      </x:c>
      <x:c r="E176" s="98" t="str">
        <x:f>IF(B176="","",IFERROR(INDEX('Task Master'!$K$5:$K$804,MATCH(B176,'Task Master'!$A$5:$A$804,0)),""))</x:f>
      </x:c>
      <x:c r="F176" s="97" t="str">
        <x:f>IF(B176="","",IF(COUNTIFS('Assignment History'!$B$5:$B$204,B176,'Assignment History'!$A$5:$A$204,"&gt;="&amp;A176,'Assignment History'!$A$5:$A$204,"&lt;"&amp;A176+1)&gt;0,"Yes","No"))</x:f>
      </x:c>
      <x:c r="G176" s="97" t="str">
        <x:f>IF(B176="","",IF(F176="Yes",IFERROR(LOOKUP(2,1/(('Assignment History'!$B$5:$B$204=B176)*('Assignment History'!$A$5:$A$204&gt;=A176)*('Assignment History'!$A$5:$A$204&lt;A176+1)),'Assignment History'!$C$5:$C$204),""),""))</x:f>
      </x:c>
      <x:c r="H176" s="97"/>
      <x:c r="I176" s="97"/>
      <x:c r="J176" s="99"/>
      <x:c r="K176" s="97"/>
      <x:c r="L176" s="99"/>
      <x:c r="M176" s="100"/>
      <x:c r="N176" s="100"/>
      <x:c r="O176" s="101" t="str">
        <x:f t="shared" si="5">IF(K176="","",IF(K176="Achieved","Yes","No"))</x:f>
      </x:c>
      <x:c r="P176" s="100"/>
    </x:row>
    <x:row r="177">
      <x:c r="A177" s="96"/>
      <x:c r="B177" s="97"/>
      <x:c r="C177" s="98" t="str">
        <x:f>IF(B177="","",IFERROR(INDEX('Task Master'!$C$5:$C$804,MATCH(B177,'Task Master'!$A$5:$A$804,0)),"Not in latest raw"))</x:f>
      </x:c>
      <x:c r="D177" s="98" t="str">
        <x:f>IF(B177="","",IFERROR(INDEX('Task Master'!$J$5:$J$804,MATCH(B177,'Task Master'!$A$5:$A$804,0)),""))</x:f>
      </x:c>
      <x:c r="E177" s="98" t="str">
        <x:f>IF(B177="","",IFERROR(INDEX('Task Master'!$K$5:$K$804,MATCH(B177,'Task Master'!$A$5:$A$804,0)),""))</x:f>
      </x:c>
      <x:c r="F177" s="97" t="str">
        <x:f>IF(B177="","",IF(COUNTIFS('Assignment History'!$B$5:$B$204,B177,'Assignment History'!$A$5:$A$204,"&gt;="&amp;A177,'Assignment History'!$A$5:$A$204,"&lt;"&amp;A177+1)&gt;0,"Yes","No"))</x:f>
      </x:c>
      <x:c r="G177" s="97" t="str">
        <x:f>IF(B177="","",IF(F177="Yes",IFERROR(LOOKUP(2,1/(('Assignment History'!$B$5:$B$204=B177)*('Assignment History'!$A$5:$A$204&gt;=A177)*('Assignment History'!$A$5:$A$204&lt;A177+1)),'Assignment History'!$C$5:$C$204),""),""))</x:f>
      </x:c>
      <x:c r="H177" s="97"/>
      <x:c r="I177" s="97"/>
      <x:c r="J177" s="99"/>
      <x:c r="K177" s="97"/>
      <x:c r="L177" s="99"/>
      <x:c r="M177" s="100"/>
      <x:c r="N177" s="100"/>
      <x:c r="O177" s="101" t="str">
        <x:f t="shared" si="5">IF(K177="","",IF(K177="Achieved","Yes","No"))</x:f>
      </x:c>
      <x:c r="P177" s="100"/>
    </x:row>
    <x:row r="178">
      <x:c r="A178" s="96"/>
      <x:c r="B178" s="97"/>
      <x:c r="C178" s="98" t="str">
        <x:f>IF(B178="","",IFERROR(INDEX('Task Master'!$C$5:$C$804,MATCH(B178,'Task Master'!$A$5:$A$804,0)),"Not in latest raw"))</x:f>
      </x:c>
      <x:c r="D178" s="98" t="str">
        <x:f>IF(B178="","",IFERROR(INDEX('Task Master'!$J$5:$J$804,MATCH(B178,'Task Master'!$A$5:$A$804,0)),""))</x:f>
      </x:c>
      <x:c r="E178" s="98" t="str">
        <x:f>IF(B178="","",IFERROR(INDEX('Task Master'!$K$5:$K$804,MATCH(B178,'Task Master'!$A$5:$A$804,0)),""))</x:f>
      </x:c>
      <x:c r="F178" s="97" t="str">
        <x:f>IF(B178="","",IF(COUNTIFS('Assignment History'!$B$5:$B$204,B178,'Assignment History'!$A$5:$A$204,"&gt;="&amp;A178,'Assignment History'!$A$5:$A$204,"&lt;"&amp;A178+1)&gt;0,"Yes","No"))</x:f>
      </x:c>
      <x:c r="G178" s="97" t="str">
        <x:f>IF(B178="","",IF(F178="Yes",IFERROR(LOOKUP(2,1/(('Assignment History'!$B$5:$B$204=B178)*('Assignment History'!$A$5:$A$204&gt;=A178)*('Assignment History'!$A$5:$A$204&lt;A178+1)),'Assignment History'!$C$5:$C$204),""),""))</x:f>
      </x:c>
      <x:c r="H178" s="97"/>
      <x:c r="I178" s="97"/>
      <x:c r="J178" s="99"/>
      <x:c r="K178" s="97"/>
      <x:c r="L178" s="99"/>
      <x:c r="M178" s="100"/>
      <x:c r="N178" s="100"/>
      <x:c r="O178" s="101" t="str">
        <x:f t="shared" si="5">IF(K178="","",IF(K178="Achieved","Yes","No"))</x:f>
      </x:c>
      <x:c r="P178" s="100"/>
    </x:row>
    <x:row r="179">
      <x:c r="A179" s="96"/>
      <x:c r="B179" s="97"/>
      <x:c r="C179" s="98" t="str">
        <x:f>IF(B179="","",IFERROR(INDEX('Task Master'!$C$5:$C$804,MATCH(B179,'Task Master'!$A$5:$A$804,0)),"Not in latest raw"))</x:f>
      </x:c>
      <x:c r="D179" s="98" t="str">
        <x:f>IF(B179="","",IFERROR(INDEX('Task Master'!$J$5:$J$804,MATCH(B179,'Task Master'!$A$5:$A$804,0)),""))</x:f>
      </x:c>
      <x:c r="E179" s="98" t="str">
        <x:f>IF(B179="","",IFERROR(INDEX('Task Master'!$K$5:$K$804,MATCH(B179,'Task Master'!$A$5:$A$804,0)),""))</x:f>
      </x:c>
      <x:c r="F179" s="97" t="str">
        <x:f>IF(B179="","",IF(COUNTIFS('Assignment History'!$B$5:$B$204,B179,'Assignment History'!$A$5:$A$204,"&gt;="&amp;A179,'Assignment History'!$A$5:$A$204,"&lt;"&amp;A179+1)&gt;0,"Yes","No"))</x:f>
      </x:c>
      <x:c r="G179" s="97" t="str">
        <x:f>IF(B179="","",IF(F179="Yes",IFERROR(LOOKUP(2,1/(('Assignment History'!$B$5:$B$204=B179)*('Assignment History'!$A$5:$A$204&gt;=A179)*('Assignment History'!$A$5:$A$204&lt;A179+1)),'Assignment History'!$C$5:$C$204),""),""))</x:f>
      </x:c>
      <x:c r="H179" s="97"/>
      <x:c r="I179" s="97"/>
      <x:c r="J179" s="99"/>
      <x:c r="K179" s="97"/>
      <x:c r="L179" s="99"/>
      <x:c r="M179" s="100"/>
      <x:c r="N179" s="100"/>
      <x:c r="O179" s="101" t="str">
        <x:f t="shared" si="5">IF(K179="","",IF(K179="Achieved","Yes","No"))</x:f>
      </x:c>
      <x:c r="P179" s="100"/>
    </x:row>
    <x:row r="180">
      <x:c r="A180" s="96"/>
      <x:c r="B180" s="97"/>
      <x:c r="C180" s="98" t="str">
        <x:f>IF(B180="","",IFERROR(INDEX('Task Master'!$C$5:$C$804,MATCH(B180,'Task Master'!$A$5:$A$804,0)),"Not in latest raw"))</x:f>
      </x:c>
      <x:c r="D180" s="98" t="str">
        <x:f>IF(B180="","",IFERROR(INDEX('Task Master'!$J$5:$J$804,MATCH(B180,'Task Master'!$A$5:$A$804,0)),""))</x:f>
      </x:c>
      <x:c r="E180" s="98" t="str">
        <x:f>IF(B180="","",IFERROR(INDEX('Task Master'!$K$5:$K$804,MATCH(B180,'Task Master'!$A$5:$A$804,0)),""))</x:f>
      </x:c>
      <x:c r="F180" s="97" t="str">
        <x:f>IF(B180="","",IF(COUNTIFS('Assignment History'!$B$5:$B$204,B180,'Assignment History'!$A$5:$A$204,"&gt;="&amp;A180,'Assignment History'!$A$5:$A$204,"&lt;"&amp;A180+1)&gt;0,"Yes","No"))</x:f>
      </x:c>
      <x:c r="G180" s="97" t="str">
        <x:f>IF(B180="","",IF(F180="Yes",IFERROR(LOOKUP(2,1/(('Assignment History'!$B$5:$B$204=B180)*('Assignment History'!$A$5:$A$204&gt;=A180)*('Assignment History'!$A$5:$A$204&lt;A180+1)),'Assignment History'!$C$5:$C$204),""),""))</x:f>
      </x:c>
      <x:c r="H180" s="97"/>
      <x:c r="I180" s="97"/>
      <x:c r="J180" s="99"/>
      <x:c r="K180" s="97"/>
      <x:c r="L180" s="99"/>
      <x:c r="M180" s="100"/>
      <x:c r="N180" s="100"/>
      <x:c r="O180" s="101" t="str">
        <x:f t="shared" si="5">IF(K180="","",IF(K180="Achieved","Yes","No"))</x:f>
      </x:c>
      <x:c r="P180" s="100"/>
    </x:row>
    <x:row r="181">
      <x:c r="A181" s="96"/>
      <x:c r="B181" s="97"/>
      <x:c r="C181" s="98" t="str">
        <x:f>IF(B181="","",IFERROR(INDEX('Task Master'!$C$5:$C$804,MATCH(B181,'Task Master'!$A$5:$A$804,0)),"Not in latest raw"))</x:f>
      </x:c>
      <x:c r="D181" s="98" t="str">
        <x:f>IF(B181="","",IFERROR(INDEX('Task Master'!$J$5:$J$804,MATCH(B181,'Task Master'!$A$5:$A$804,0)),""))</x:f>
      </x:c>
      <x:c r="E181" s="98" t="str">
        <x:f>IF(B181="","",IFERROR(INDEX('Task Master'!$K$5:$K$804,MATCH(B181,'Task Master'!$A$5:$A$804,0)),""))</x:f>
      </x:c>
      <x:c r="F181" s="97" t="str">
        <x:f>IF(B181="","",IF(COUNTIFS('Assignment History'!$B$5:$B$204,B181,'Assignment History'!$A$5:$A$204,"&gt;="&amp;A181,'Assignment History'!$A$5:$A$204,"&lt;"&amp;A181+1)&gt;0,"Yes","No"))</x:f>
      </x:c>
      <x:c r="G181" s="97" t="str">
        <x:f>IF(B181="","",IF(F181="Yes",IFERROR(LOOKUP(2,1/(('Assignment History'!$B$5:$B$204=B181)*('Assignment History'!$A$5:$A$204&gt;=A181)*('Assignment History'!$A$5:$A$204&lt;A181+1)),'Assignment History'!$C$5:$C$204),""),""))</x:f>
      </x:c>
      <x:c r="H181" s="97"/>
      <x:c r="I181" s="97"/>
      <x:c r="J181" s="99"/>
      <x:c r="K181" s="97"/>
      <x:c r="L181" s="99"/>
      <x:c r="M181" s="100"/>
      <x:c r="N181" s="100"/>
      <x:c r="O181" s="101" t="str">
        <x:f t="shared" si="5">IF(K181="","",IF(K181="Achieved","Yes","No"))</x:f>
      </x:c>
      <x:c r="P181" s="100"/>
    </x:row>
    <x:row r="182">
      <x:c r="A182" s="96"/>
      <x:c r="B182" s="97"/>
      <x:c r="C182" s="98" t="str">
        <x:f>IF(B182="","",IFERROR(INDEX('Task Master'!$C$5:$C$804,MATCH(B182,'Task Master'!$A$5:$A$804,0)),"Not in latest raw"))</x:f>
      </x:c>
      <x:c r="D182" s="98" t="str">
        <x:f>IF(B182="","",IFERROR(INDEX('Task Master'!$J$5:$J$804,MATCH(B182,'Task Master'!$A$5:$A$804,0)),""))</x:f>
      </x:c>
      <x:c r="E182" s="98" t="str">
        <x:f>IF(B182="","",IFERROR(INDEX('Task Master'!$K$5:$K$804,MATCH(B182,'Task Master'!$A$5:$A$804,0)),""))</x:f>
      </x:c>
      <x:c r="F182" s="97" t="str">
        <x:f>IF(B182="","",IF(COUNTIFS('Assignment History'!$B$5:$B$204,B182,'Assignment History'!$A$5:$A$204,"&gt;="&amp;A182,'Assignment History'!$A$5:$A$204,"&lt;"&amp;A182+1)&gt;0,"Yes","No"))</x:f>
      </x:c>
      <x:c r="G182" s="97" t="str">
        <x:f>IF(B182="","",IF(F182="Yes",IFERROR(LOOKUP(2,1/(('Assignment History'!$B$5:$B$204=B182)*('Assignment History'!$A$5:$A$204&gt;=A182)*('Assignment History'!$A$5:$A$204&lt;A182+1)),'Assignment History'!$C$5:$C$204),""),""))</x:f>
      </x:c>
      <x:c r="H182" s="97"/>
      <x:c r="I182" s="97"/>
      <x:c r="J182" s="99"/>
      <x:c r="K182" s="97"/>
      <x:c r="L182" s="99"/>
      <x:c r="M182" s="100"/>
      <x:c r="N182" s="100"/>
      <x:c r="O182" s="101" t="str">
        <x:f t="shared" si="5">IF(K182="","",IF(K182="Achieved","Yes","No"))</x:f>
      </x:c>
      <x:c r="P182" s="100"/>
    </x:row>
    <x:row r="183">
      <x:c r="A183" s="96"/>
      <x:c r="B183" s="97"/>
      <x:c r="C183" s="98" t="str">
        <x:f>IF(B183="","",IFERROR(INDEX('Task Master'!$C$5:$C$804,MATCH(B183,'Task Master'!$A$5:$A$804,0)),"Not in latest raw"))</x:f>
      </x:c>
      <x:c r="D183" s="98" t="str">
        <x:f>IF(B183="","",IFERROR(INDEX('Task Master'!$J$5:$J$804,MATCH(B183,'Task Master'!$A$5:$A$804,0)),""))</x:f>
      </x:c>
      <x:c r="E183" s="98" t="str">
        <x:f>IF(B183="","",IFERROR(INDEX('Task Master'!$K$5:$K$804,MATCH(B183,'Task Master'!$A$5:$A$804,0)),""))</x:f>
      </x:c>
      <x:c r="F183" s="97" t="str">
        <x:f>IF(B183="","",IF(COUNTIFS('Assignment History'!$B$5:$B$204,B183,'Assignment History'!$A$5:$A$204,"&gt;="&amp;A183,'Assignment History'!$A$5:$A$204,"&lt;"&amp;A183+1)&gt;0,"Yes","No"))</x:f>
      </x:c>
      <x:c r="G183" s="97" t="str">
        <x:f>IF(B183="","",IF(F183="Yes",IFERROR(LOOKUP(2,1/(('Assignment History'!$B$5:$B$204=B183)*('Assignment History'!$A$5:$A$204&gt;=A183)*('Assignment History'!$A$5:$A$204&lt;A183+1)),'Assignment History'!$C$5:$C$204),""),""))</x:f>
      </x:c>
      <x:c r="H183" s="97"/>
      <x:c r="I183" s="97"/>
      <x:c r="J183" s="99"/>
      <x:c r="K183" s="97"/>
      <x:c r="L183" s="99"/>
      <x:c r="M183" s="100"/>
      <x:c r="N183" s="100"/>
      <x:c r="O183" s="101" t="str">
        <x:f t="shared" si="5">IF(K183="","",IF(K183="Achieved","Yes","No"))</x:f>
      </x:c>
      <x:c r="P183" s="100"/>
    </x:row>
    <x:row r="184">
      <x:c r="A184" s="96"/>
      <x:c r="B184" s="97"/>
      <x:c r="C184" s="98" t="str">
        <x:f>IF(B184="","",IFERROR(INDEX('Task Master'!$C$5:$C$804,MATCH(B184,'Task Master'!$A$5:$A$804,0)),"Not in latest raw"))</x:f>
      </x:c>
      <x:c r="D184" s="98" t="str">
        <x:f>IF(B184="","",IFERROR(INDEX('Task Master'!$J$5:$J$804,MATCH(B184,'Task Master'!$A$5:$A$804,0)),""))</x:f>
      </x:c>
      <x:c r="E184" s="98" t="str">
        <x:f>IF(B184="","",IFERROR(INDEX('Task Master'!$K$5:$K$804,MATCH(B184,'Task Master'!$A$5:$A$804,0)),""))</x:f>
      </x:c>
      <x:c r="F184" s="97" t="str">
        <x:f>IF(B184="","",IF(COUNTIFS('Assignment History'!$B$5:$B$204,B184,'Assignment History'!$A$5:$A$204,"&gt;="&amp;A184,'Assignment History'!$A$5:$A$204,"&lt;"&amp;A184+1)&gt;0,"Yes","No"))</x:f>
      </x:c>
      <x:c r="G184" s="97" t="str">
        <x:f>IF(B184="","",IF(F184="Yes",IFERROR(LOOKUP(2,1/(('Assignment History'!$B$5:$B$204=B184)*('Assignment History'!$A$5:$A$204&gt;=A184)*('Assignment History'!$A$5:$A$204&lt;A184+1)),'Assignment History'!$C$5:$C$204),""),""))</x:f>
      </x:c>
      <x:c r="H184" s="97"/>
      <x:c r="I184" s="97"/>
      <x:c r="J184" s="99"/>
      <x:c r="K184" s="97"/>
      <x:c r="L184" s="99"/>
      <x:c r="M184" s="100"/>
      <x:c r="N184" s="100"/>
      <x:c r="O184" s="101" t="str">
        <x:f t="shared" si="5">IF(K184="","",IF(K184="Achieved","Yes","No"))</x:f>
      </x:c>
      <x:c r="P184" s="100"/>
    </x:row>
    <x:row r="185">
      <x:c r="A185" s="96"/>
      <x:c r="B185" s="97"/>
      <x:c r="C185" s="98" t="str">
        <x:f>IF(B185="","",IFERROR(INDEX('Task Master'!$C$5:$C$804,MATCH(B185,'Task Master'!$A$5:$A$804,0)),"Not in latest raw"))</x:f>
      </x:c>
      <x:c r="D185" s="98" t="str">
        <x:f>IF(B185="","",IFERROR(INDEX('Task Master'!$J$5:$J$804,MATCH(B185,'Task Master'!$A$5:$A$804,0)),""))</x:f>
      </x:c>
      <x:c r="E185" s="98" t="str">
        <x:f>IF(B185="","",IFERROR(INDEX('Task Master'!$K$5:$K$804,MATCH(B185,'Task Master'!$A$5:$A$804,0)),""))</x:f>
      </x:c>
      <x:c r="F185" s="97" t="str">
        <x:f>IF(B185="","",IF(COUNTIFS('Assignment History'!$B$5:$B$204,B185,'Assignment History'!$A$5:$A$204,"&gt;="&amp;A185,'Assignment History'!$A$5:$A$204,"&lt;"&amp;A185+1)&gt;0,"Yes","No"))</x:f>
      </x:c>
      <x:c r="G185" s="97" t="str">
        <x:f>IF(B185="","",IF(F185="Yes",IFERROR(LOOKUP(2,1/(('Assignment History'!$B$5:$B$204=B185)*('Assignment History'!$A$5:$A$204&gt;=A185)*('Assignment History'!$A$5:$A$204&lt;A185+1)),'Assignment History'!$C$5:$C$204),""),""))</x:f>
      </x:c>
      <x:c r="H185" s="97"/>
      <x:c r="I185" s="97"/>
      <x:c r="J185" s="99"/>
      <x:c r="K185" s="97"/>
      <x:c r="L185" s="99"/>
      <x:c r="M185" s="100"/>
      <x:c r="N185" s="100"/>
      <x:c r="O185" s="101" t="str">
        <x:f t="shared" si="5">IF(K185="","",IF(K185="Achieved","Yes","No"))</x:f>
      </x:c>
      <x:c r="P185" s="100"/>
    </x:row>
    <x:row r="186">
      <x:c r="A186" s="96"/>
      <x:c r="B186" s="97"/>
      <x:c r="C186" s="98" t="str">
        <x:f>IF(B186="","",IFERROR(INDEX('Task Master'!$C$5:$C$804,MATCH(B186,'Task Master'!$A$5:$A$804,0)),"Not in latest raw"))</x:f>
      </x:c>
      <x:c r="D186" s="98" t="str">
        <x:f>IF(B186="","",IFERROR(INDEX('Task Master'!$J$5:$J$804,MATCH(B186,'Task Master'!$A$5:$A$804,0)),""))</x:f>
      </x:c>
      <x:c r="E186" s="98" t="str">
        <x:f>IF(B186="","",IFERROR(INDEX('Task Master'!$K$5:$K$804,MATCH(B186,'Task Master'!$A$5:$A$804,0)),""))</x:f>
      </x:c>
      <x:c r="F186" s="97" t="str">
        <x:f>IF(B186="","",IF(COUNTIFS('Assignment History'!$B$5:$B$204,B186,'Assignment History'!$A$5:$A$204,"&gt;="&amp;A186,'Assignment History'!$A$5:$A$204,"&lt;"&amp;A186+1)&gt;0,"Yes","No"))</x:f>
      </x:c>
      <x:c r="G186" s="97" t="str">
        <x:f>IF(B186="","",IF(F186="Yes",IFERROR(LOOKUP(2,1/(('Assignment History'!$B$5:$B$204=B186)*('Assignment History'!$A$5:$A$204&gt;=A186)*('Assignment History'!$A$5:$A$204&lt;A186+1)),'Assignment History'!$C$5:$C$204),""),""))</x:f>
      </x:c>
      <x:c r="H186" s="97"/>
      <x:c r="I186" s="97"/>
      <x:c r="J186" s="99"/>
      <x:c r="K186" s="97"/>
      <x:c r="L186" s="99"/>
      <x:c r="M186" s="100"/>
      <x:c r="N186" s="100"/>
      <x:c r="O186" s="101" t="str">
        <x:f t="shared" si="5">IF(K186="","",IF(K186="Achieved","Yes","No"))</x:f>
      </x:c>
      <x:c r="P186" s="100"/>
    </x:row>
    <x:row r="187">
      <x:c r="A187" s="96"/>
      <x:c r="B187" s="97"/>
      <x:c r="C187" s="98" t="str">
        <x:f>IF(B187="","",IFERROR(INDEX('Task Master'!$C$5:$C$804,MATCH(B187,'Task Master'!$A$5:$A$804,0)),"Not in latest raw"))</x:f>
      </x:c>
      <x:c r="D187" s="98" t="str">
        <x:f>IF(B187="","",IFERROR(INDEX('Task Master'!$J$5:$J$804,MATCH(B187,'Task Master'!$A$5:$A$804,0)),""))</x:f>
      </x:c>
      <x:c r="E187" s="98" t="str">
        <x:f>IF(B187="","",IFERROR(INDEX('Task Master'!$K$5:$K$804,MATCH(B187,'Task Master'!$A$5:$A$804,0)),""))</x:f>
      </x:c>
      <x:c r="F187" s="97" t="str">
        <x:f>IF(B187="","",IF(COUNTIFS('Assignment History'!$B$5:$B$204,B187,'Assignment History'!$A$5:$A$204,"&gt;="&amp;A187,'Assignment History'!$A$5:$A$204,"&lt;"&amp;A187+1)&gt;0,"Yes","No"))</x:f>
      </x:c>
      <x:c r="G187" s="97" t="str">
        <x:f>IF(B187="","",IF(F187="Yes",IFERROR(LOOKUP(2,1/(('Assignment History'!$B$5:$B$204=B187)*('Assignment History'!$A$5:$A$204&gt;=A187)*('Assignment History'!$A$5:$A$204&lt;A187+1)),'Assignment History'!$C$5:$C$204),""),""))</x:f>
      </x:c>
      <x:c r="H187" s="97"/>
      <x:c r="I187" s="97"/>
      <x:c r="J187" s="99"/>
      <x:c r="K187" s="97"/>
      <x:c r="L187" s="99"/>
      <x:c r="M187" s="100"/>
      <x:c r="N187" s="100"/>
      <x:c r="O187" s="101" t="str">
        <x:f t="shared" si="5">IF(K187="","",IF(K187="Achieved","Yes","No"))</x:f>
      </x:c>
      <x:c r="P187" s="100"/>
    </x:row>
    <x:row r="188">
      <x:c r="A188" s="96"/>
      <x:c r="B188" s="97"/>
      <x:c r="C188" s="98" t="str">
        <x:f>IF(B188="","",IFERROR(INDEX('Task Master'!$C$5:$C$804,MATCH(B188,'Task Master'!$A$5:$A$804,0)),"Not in latest raw"))</x:f>
      </x:c>
      <x:c r="D188" s="98" t="str">
        <x:f>IF(B188="","",IFERROR(INDEX('Task Master'!$J$5:$J$804,MATCH(B188,'Task Master'!$A$5:$A$804,0)),""))</x:f>
      </x:c>
      <x:c r="E188" s="98" t="str">
        <x:f>IF(B188="","",IFERROR(INDEX('Task Master'!$K$5:$K$804,MATCH(B188,'Task Master'!$A$5:$A$804,0)),""))</x:f>
      </x:c>
      <x:c r="F188" s="97" t="str">
        <x:f>IF(B188="","",IF(COUNTIFS('Assignment History'!$B$5:$B$204,B188,'Assignment History'!$A$5:$A$204,"&gt;="&amp;A188,'Assignment History'!$A$5:$A$204,"&lt;"&amp;A188+1)&gt;0,"Yes","No"))</x:f>
      </x:c>
      <x:c r="G188" s="97" t="str">
        <x:f>IF(B188="","",IF(F188="Yes",IFERROR(LOOKUP(2,1/(('Assignment History'!$B$5:$B$204=B188)*('Assignment History'!$A$5:$A$204&gt;=A188)*('Assignment History'!$A$5:$A$204&lt;A188+1)),'Assignment History'!$C$5:$C$204),""),""))</x:f>
      </x:c>
      <x:c r="H188" s="97"/>
      <x:c r="I188" s="97"/>
      <x:c r="J188" s="99"/>
      <x:c r="K188" s="97"/>
      <x:c r="L188" s="99"/>
      <x:c r="M188" s="100"/>
      <x:c r="N188" s="100"/>
      <x:c r="O188" s="101" t="str">
        <x:f t="shared" si="5">IF(K188="","",IF(K188="Achieved","Yes","No"))</x:f>
      </x:c>
      <x:c r="P188" s="100"/>
    </x:row>
    <x:row r="189">
      <x:c r="A189" s="96"/>
      <x:c r="B189" s="97"/>
      <x:c r="C189" s="98" t="str">
        <x:f>IF(B189="","",IFERROR(INDEX('Task Master'!$C$5:$C$804,MATCH(B189,'Task Master'!$A$5:$A$804,0)),"Not in latest raw"))</x:f>
      </x:c>
      <x:c r="D189" s="98" t="str">
        <x:f>IF(B189="","",IFERROR(INDEX('Task Master'!$J$5:$J$804,MATCH(B189,'Task Master'!$A$5:$A$804,0)),""))</x:f>
      </x:c>
      <x:c r="E189" s="98" t="str">
        <x:f>IF(B189="","",IFERROR(INDEX('Task Master'!$K$5:$K$804,MATCH(B189,'Task Master'!$A$5:$A$804,0)),""))</x:f>
      </x:c>
      <x:c r="F189" s="97" t="str">
        <x:f>IF(B189="","",IF(COUNTIFS('Assignment History'!$B$5:$B$204,B189,'Assignment History'!$A$5:$A$204,"&gt;="&amp;A189,'Assignment History'!$A$5:$A$204,"&lt;"&amp;A189+1)&gt;0,"Yes","No"))</x:f>
      </x:c>
      <x:c r="G189" s="97" t="str">
        <x:f>IF(B189="","",IF(F189="Yes",IFERROR(LOOKUP(2,1/(('Assignment History'!$B$5:$B$204=B189)*('Assignment History'!$A$5:$A$204&gt;=A189)*('Assignment History'!$A$5:$A$204&lt;A189+1)),'Assignment History'!$C$5:$C$204),""),""))</x:f>
      </x:c>
      <x:c r="H189" s="97"/>
      <x:c r="I189" s="97"/>
      <x:c r="J189" s="99"/>
      <x:c r="K189" s="97"/>
      <x:c r="L189" s="99"/>
      <x:c r="M189" s="100"/>
      <x:c r="N189" s="100"/>
      <x:c r="O189" s="101" t="str">
        <x:f t="shared" si="5">IF(K189="","",IF(K189="Achieved","Yes","No"))</x:f>
      </x:c>
      <x:c r="P189" s="100"/>
    </x:row>
    <x:row r="190">
      <x:c r="A190" s="96"/>
      <x:c r="B190" s="97"/>
      <x:c r="C190" s="98" t="str">
        <x:f>IF(B190="","",IFERROR(INDEX('Task Master'!$C$5:$C$804,MATCH(B190,'Task Master'!$A$5:$A$804,0)),"Not in latest raw"))</x:f>
      </x:c>
      <x:c r="D190" s="98" t="str">
        <x:f>IF(B190="","",IFERROR(INDEX('Task Master'!$J$5:$J$804,MATCH(B190,'Task Master'!$A$5:$A$804,0)),""))</x:f>
      </x:c>
      <x:c r="E190" s="98" t="str">
        <x:f>IF(B190="","",IFERROR(INDEX('Task Master'!$K$5:$K$804,MATCH(B190,'Task Master'!$A$5:$A$804,0)),""))</x:f>
      </x:c>
      <x:c r="F190" s="97" t="str">
        <x:f>IF(B190="","",IF(COUNTIFS('Assignment History'!$B$5:$B$204,B190,'Assignment History'!$A$5:$A$204,"&gt;="&amp;A190,'Assignment History'!$A$5:$A$204,"&lt;"&amp;A190+1)&gt;0,"Yes","No"))</x:f>
      </x:c>
      <x:c r="G190" s="97" t="str">
        <x:f>IF(B190="","",IF(F190="Yes",IFERROR(LOOKUP(2,1/(('Assignment History'!$B$5:$B$204=B190)*('Assignment History'!$A$5:$A$204&gt;=A190)*('Assignment History'!$A$5:$A$204&lt;A190+1)),'Assignment History'!$C$5:$C$204),""),""))</x:f>
      </x:c>
      <x:c r="H190" s="97"/>
      <x:c r="I190" s="97"/>
      <x:c r="J190" s="99"/>
      <x:c r="K190" s="97"/>
      <x:c r="L190" s="99"/>
      <x:c r="M190" s="100"/>
      <x:c r="N190" s="100"/>
      <x:c r="O190" s="101" t="str">
        <x:f t="shared" si="5">IF(K190="","",IF(K190="Achieved","Yes","No"))</x:f>
      </x:c>
      <x:c r="P190" s="100"/>
    </x:row>
    <x:row r="191">
      <x:c r="A191" s="96"/>
      <x:c r="B191" s="97"/>
      <x:c r="C191" s="98" t="str">
        <x:f>IF(B191="","",IFERROR(INDEX('Task Master'!$C$5:$C$804,MATCH(B191,'Task Master'!$A$5:$A$804,0)),"Not in latest raw"))</x:f>
      </x:c>
      <x:c r="D191" s="98" t="str">
        <x:f>IF(B191="","",IFERROR(INDEX('Task Master'!$J$5:$J$804,MATCH(B191,'Task Master'!$A$5:$A$804,0)),""))</x:f>
      </x:c>
      <x:c r="E191" s="98" t="str">
        <x:f>IF(B191="","",IFERROR(INDEX('Task Master'!$K$5:$K$804,MATCH(B191,'Task Master'!$A$5:$A$804,0)),""))</x:f>
      </x:c>
      <x:c r="F191" s="97" t="str">
        <x:f>IF(B191="","",IF(COUNTIFS('Assignment History'!$B$5:$B$204,B191,'Assignment History'!$A$5:$A$204,"&gt;="&amp;A191,'Assignment History'!$A$5:$A$204,"&lt;"&amp;A191+1)&gt;0,"Yes","No"))</x:f>
      </x:c>
      <x:c r="G191" s="97" t="str">
        <x:f>IF(B191="","",IF(F191="Yes",IFERROR(LOOKUP(2,1/(('Assignment History'!$B$5:$B$204=B191)*('Assignment History'!$A$5:$A$204&gt;=A191)*('Assignment History'!$A$5:$A$204&lt;A191+1)),'Assignment History'!$C$5:$C$204),""),""))</x:f>
      </x:c>
      <x:c r="H191" s="97"/>
      <x:c r="I191" s="97"/>
      <x:c r="J191" s="99"/>
      <x:c r="K191" s="97"/>
      <x:c r="L191" s="99"/>
      <x:c r="M191" s="100"/>
      <x:c r="N191" s="100"/>
      <x:c r="O191" s="101" t="str">
        <x:f t="shared" si="5">IF(K191="","",IF(K191="Achieved","Yes","No"))</x:f>
      </x:c>
      <x:c r="P191" s="100"/>
    </x:row>
    <x:row r="192">
      <x:c r="A192" s="96"/>
      <x:c r="B192" s="97"/>
      <x:c r="C192" s="98" t="str">
        <x:f>IF(B192="","",IFERROR(INDEX('Task Master'!$C$5:$C$804,MATCH(B192,'Task Master'!$A$5:$A$804,0)),"Not in latest raw"))</x:f>
      </x:c>
      <x:c r="D192" s="98" t="str">
        <x:f>IF(B192="","",IFERROR(INDEX('Task Master'!$J$5:$J$804,MATCH(B192,'Task Master'!$A$5:$A$804,0)),""))</x:f>
      </x:c>
      <x:c r="E192" s="98" t="str">
        <x:f>IF(B192="","",IFERROR(INDEX('Task Master'!$K$5:$K$804,MATCH(B192,'Task Master'!$A$5:$A$804,0)),""))</x:f>
      </x:c>
      <x:c r="F192" s="97" t="str">
        <x:f>IF(B192="","",IF(COUNTIFS('Assignment History'!$B$5:$B$204,B192,'Assignment History'!$A$5:$A$204,"&gt;="&amp;A192,'Assignment History'!$A$5:$A$204,"&lt;"&amp;A192+1)&gt;0,"Yes","No"))</x:f>
      </x:c>
      <x:c r="G192" s="97" t="str">
        <x:f>IF(B192="","",IF(F192="Yes",IFERROR(LOOKUP(2,1/(('Assignment History'!$B$5:$B$204=B192)*('Assignment History'!$A$5:$A$204&gt;=A192)*('Assignment History'!$A$5:$A$204&lt;A192+1)),'Assignment History'!$C$5:$C$204),""),""))</x:f>
      </x:c>
      <x:c r="H192" s="97"/>
      <x:c r="I192" s="97"/>
      <x:c r="J192" s="99"/>
      <x:c r="K192" s="97"/>
      <x:c r="L192" s="99"/>
      <x:c r="M192" s="100"/>
      <x:c r="N192" s="100"/>
      <x:c r="O192" s="101" t="str">
        <x:f t="shared" si="5">IF(K192="","",IF(K192="Achieved","Yes","No"))</x:f>
      </x:c>
      <x:c r="P192" s="100"/>
    </x:row>
    <x:row r="193">
      <x:c r="A193" s="96"/>
      <x:c r="B193" s="97"/>
      <x:c r="C193" s="98" t="str">
        <x:f>IF(B193="","",IFERROR(INDEX('Task Master'!$C$5:$C$804,MATCH(B193,'Task Master'!$A$5:$A$804,0)),"Not in latest raw"))</x:f>
      </x:c>
      <x:c r="D193" s="98" t="str">
        <x:f>IF(B193="","",IFERROR(INDEX('Task Master'!$J$5:$J$804,MATCH(B193,'Task Master'!$A$5:$A$804,0)),""))</x:f>
      </x:c>
      <x:c r="E193" s="98" t="str">
        <x:f>IF(B193="","",IFERROR(INDEX('Task Master'!$K$5:$K$804,MATCH(B193,'Task Master'!$A$5:$A$804,0)),""))</x:f>
      </x:c>
      <x:c r="F193" s="97" t="str">
        <x:f>IF(B193="","",IF(COUNTIFS('Assignment History'!$B$5:$B$204,B193,'Assignment History'!$A$5:$A$204,"&gt;="&amp;A193,'Assignment History'!$A$5:$A$204,"&lt;"&amp;A193+1)&gt;0,"Yes","No"))</x:f>
      </x:c>
      <x:c r="G193" s="97" t="str">
        <x:f>IF(B193="","",IF(F193="Yes",IFERROR(LOOKUP(2,1/(('Assignment History'!$B$5:$B$204=B193)*('Assignment History'!$A$5:$A$204&gt;=A193)*('Assignment History'!$A$5:$A$204&lt;A193+1)),'Assignment History'!$C$5:$C$204),""),""))</x:f>
      </x:c>
      <x:c r="H193" s="97"/>
      <x:c r="I193" s="97"/>
      <x:c r="J193" s="99"/>
      <x:c r="K193" s="97"/>
      <x:c r="L193" s="99"/>
      <x:c r="M193" s="100"/>
      <x:c r="N193" s="100"/>
      <x:c r="O193" s="101" t="str">
        <x:f t="shared" si="5">IF(K193="","",IF(K193="Achieved","Yes","No"))</x:f>
      </x:c>
      <x:c r="P193" s="100"/>
    </x:row>
    <x:row r="194">
      <x:c r="A194" s="96"/>
      <x:c r="B194" s="97"/>
      <x:c r="C194" s="98" t="str">
        <x:f>IF(B194="","",IFERROR(INDEX('Task Master'!$C$5:$C$804,MATCH(B194,'Task Master'!$A$5:$A$804,0)),"Not in latest raw"))</x:f>
      </x:c>
      <x:c r="D194" s="98" t="str">
        <x:f>IF(B194="","",IFERROR(INDEX('Task Master'!$J$5:$J$804,MATCH(B194,'Task Master'!$A$5:$A$804,0)),""))</x:f>
      </x:c>
      <x:c r="E194" s="98" t="str">
        <x:f>IF(B194="","",IFERROR(INDEX('Task Master'!$K$5:$K$804,MATCH(B194,'Task Master'!$A$5:$A$804,0)),""))</x:f>
      </x:c>
      <x:c r="F194" s="97" t="str">
        <x:f>IF(B194="","",IF(COUNTIFS('Assignment History'!$B$5:$B$204,B194,'Assignment History'!$A$5:$A$204,"&gt;="&amp;A194,'Assignment History'!$A$5:$A$204,"&lt;"&amp;A194+1)&gt;0,"Yes","No"))</x:f>
      </x:c>
      <x:c r="G194" s="97" t="str">
        <x:f>IF(B194="","",IF(F194="Yes",IFERROR(LOOKUP(2,1/(('Assignment History'!$B$5:$B$204=B194)*('Assignment History'!$A$5:$A$204&gt;=A194)*('Assignment History'!$A$5:$A$204&lt;A194+1)),'Assignment History'!$C$5:$C$204),""),""))</x:f>
      </x:c>
      <x:c r="H194" s="97"/>
      <x:c r="I194" s="97"/>
      <x:c r="J194" s="99"/>
      <x:c r="K194" s="97"/>
      <x:c r="L194" s="99"/>
      <x:c r="M194" s="100"/>
      <x:c r="N194" s="100"/>
      <x:c r="O194" s="101" t="str">
        <x:f t="shared" si="5">IF(K194="","",IF(K194="Achieved","Yes","No"))</x:f>
      </x:c>
      <x:c r="P194" s="100"/>
    </x:row>
    <x:row r="195">
      <x:c r="A195" s="96"/>
      <x:c r="B195" s="97"/>
      <x:c r="C195" s="98" t="str">
        <x:f>IF(B195="","",IFERROR(INDEX('Task Master'!$C$5:$C$804,MATCH(B195,'Task Master'!$A$5:$A$804,0)),"Not in latest raw"))</x:f>
      </x:c>
      <x:c r="D195" s="98" t="str">
        <x:f>IF(B195="","",IFERROR(INDEX('Task Master'!$J$5:$J$804,MATCH(B195,'Task Master'!$A$5:$A$804,0)),""))</x:f>
      </x:c>
      <x:c r="E195" s="98" t="str">
        <x:f>IF(B195="","",IFERROR(INDEX('Task Master'!$K$5:$K$804,MATCH(B195,'Task Master'!$A$5:$A$804,0)),""))</x:f>
      </x:c>
      <x:c r="F195" s="97" t="str">
        <x:f>IF(B195="","",IF(COUNTIFS('Assignment History'!$B$5:$B$204,B195,'Assignment History'!$A$5:$A$204,"&gt;="&amp;A195,'Assignment History'!$A$5:$A$204,"&lt;"&amp;A195+1)&gt;0,"Yes","No"))</x:f>
      </x:c>
      <x:c r="G195" s="97" t="str">
        <x:f>IF(B195="","",IF(F195="Yes",IFERROR(LOOKUP(2,1/(('Assignment History'!$B$5:$B$204=B195)*('Assignment History'!$A$5:$A$204&gt;=A195)*('Assignment History'!$A$5:$A$204&lt;A195+1)),'Assignment History'!$C$5:$C$204),""),""))</x:f>
      </x:c>
      <x:c r="H195" s="97"/>
      <x:c r="I195" s="97"/>
      <x:c r="J195" s="99"/>
      <x:c r="K195" s="97"/>
      <x:c r="L195" s="99"/>
      <x:c r="M195" s="100"/>
      <x:c r="N195" s="100"/>
      <x:c r="O195" s="101" t="str">
        <x:f t="shared" si="5">IF(K195="","",IF(K195="Achieved","Yes","No"))</x:f>
      </x:c>
      <x:c r="P195" s="100"/>
    </x:row>
    <x:row r="196">
      <x:c r="A196" s="96"/>
      <x:c r="B196" s="97"/>
      <x:c r="C196" s="98" t="str">
        <x:f>IF(B196="","",IFERROR(INDEX('Task Master'!$C$5:$C$804,MATCH(B196,'Task Master'!$A$5:$A$804,0)),"Not in latest raw"))</x:f>
      </x:c>
      <x:c r="D196" s="98" t="str">
        <x:f>IF(B196="","",IFERROR(INDEX('Task Master'!$J$5:$J$804,MATCH(B196,'Task Master'!$A$5:$A$804,0)),""))</x:f>
      </x:c>
      <x:c r="E196" s="98" t="str">
        <x:f>IF(B196="","",IFERROR(INDEX('Task Master'!$K$5:$K$804,MATCH(B196,'Task Master'!$A$5:$A$804,0)),""))</x:f>
      </x:c>
      <x:c r="F196" s="97" t="str">
        <x:f>IF(B196="","",IF(COUNTIFS('Assignment History'!$B$5:$B$204,B196,'Assignment History'!$A$5:$A$204,"&gt;="&amp;A196,'Assignment History'!$A$5:$A$204,"&lt;"&amp;A196+1)&gt;0,"Yes","No"))</x:f>
      </x:c>
      <x:c r="G196" s="97" t="str">
        <x:f>IF(B196="","",IF(F196="Yes",IFERROR(LOOKUP(2,1/(('Assignment History'!$B$5:$B$204=B196)*('Assignment History'!$A$5:$A$204&gt;=A196)*('Assignment History'!$A$5:$A$204&lt;A196+1)),'Assignment History'!$C$5:$C$204),""),""))</x:f>
      </x:c>
      <x:c r="H196" s="97"/>
      <x:c r="I196" s="97"/>
      <x:c r="J196" s="99"/>
      <x:c r="K196" s="97"/>
      <x:c r="L196" s="99"/>
      <x:c r="M196" s="100"/>
      <x:c r="N196" s="100"/>
      <x:c r="O196" s="101" t="str">
        <x:f t="shared" si="5">IF(K196="","",IF(K196="Achieved","Yes","No"))</x:f>
      </x:c>
      <x:c r="P196" s="100"/>
    </x:row>
    <x:row r="197">
      <x:c r="A197" s="96"/>
      <x:c r="B197" s="97"/>
      <x:c r="C197" s="98" t="str">
        <x:f>IF(B197="","",IFERROR(INDEX('Task Master'!$C$5:$C$804,MATCH(B197,'Task Master'!$A$5:$A$804,0)),"Not in latest raw"))</x:f>
      </x:c>
      <x:c r="D197" s="98" t="str">
        <x:f>IF(B197="","",IFERROR(INDEX('Task Master'!$J$5:$J$804,MATCH(B197,'Task Master'!$A$5:$A$804,0)),""))</x:f>
      </x:c>
      <x:c r="E197" s="98" t="str">
        <x:f>IF(B197="","",IFERROR(INDEX('Task Master'!$K$5:$K$804,MATCH(B197,'Task Master'!$A$5:$A$804,0)),""))</x:f>
      </x:c>
      <x:c r="F197" s="97" t="str">
        <x:f>IF(B197="","",IF(COUNTIFS('Assignment History'!$B$5:$B$204,B197,'Assignment History'!$A$5:$A$204,"&gt;="&amp;A197,'Assignment History'!$A$5:$A$204,"&lt;"&amp;A197+1)&gt;0,"Yes","No"))</x:f>
      </x:c>
      <x:c r="G197" s="97" t="str">
        <x:f>IF(B197="","",IF(F197="Yes",IFERROR(LOOKUP(2,1/(('Assignment History'!$B$5:$B$204=B197)*('Assignment History'!$A$5:$A$204&gt;=A197)*('Assignment History'!$A$5:$A$204&lt;A197+1)),'Assignment History'!$C$5:$C$204),""),""))</x:f>
      </x:c>
      <x:c r="H197" s="97"/>
      <x:c r="I197" s="97"/>
      <x:c r="J197" s="99"/>
      <x:c r="K197" s="97"/>
      <x:c r="L197" s="99"/>
      <x:c r="M197" s="100"/>
      <x:c r="N197" s="100"/>
      <x:c r="O197" s="101" t="str">
        <x:f t="shared" ref="O197:O204" si="6">IF(K197="","",IF(K197="Achieved","Yes","No"))</x:f>
      </x:c>
      <x:c r="P197" s="100"/>
    </x:row>
    <x:row r="198">
      <x:c r="A198" s="96"/>
      <x:c r="B198" s="97"/>
      <x:c r="C198" s="98" t="str">
        <x:f>IF(B198="","",IFERROR(INDEX('Task Master'!$C$5:$C$804,MATCH(B198,'Task Master'!$A$5:$A$804,0)),"Not in latest raw"))</x:f>
      </x:c>
      <x:c r="D198" s="98" t="str">
        <x:f>IF(B198="","",IFERROR(INDEX('Task Master'!$J$5:$J$804,MATCH(B198,'Task Master'!$A$5:$A$804,0)),""))</x:f>
      </x:c>
      <x:c r="E198" s="98" t="str">
        <x:f>IF(B198="","",IFERROR(INDEX('Task Master'!$K$5:$K$804,MATCH(B198,'Task Master'!$A$5:$A$804,0)),""))</x:f>
      </x:c>
      <x:c r="F198" s="97" t="str">
        <x:f>IF(B198="","",IF(COUNTIFS('Assignment History'!$B$5:$B$204,B198,'Assignment History'!$A$5:$A$204,"&gt;="&amp;A198,'Assignment History'!$A$5:$A$204,"&lt;"&amp;A198+1)&gt;0,"Yes","No"))</x:f>
      </x:c>
      <x:c r="G198" s="97" t="str">
        <x:f>IF(B198="","",IF(F198="Yes",IFERROR(LOOKUP(2,1/(('Assignment History'!$B$5:$B$204=B198)*('Assignment History'!$A$5:$A$204&gt;=A198)*('Assignment History'!$A$5:$A$204&lt;A198+1)),'Assignment History'!$C$5:$C$204),""),""))</x:f>
      </x:c>
      <x:c r="H198" s="97"/>
      <x:c r="I198" s="97"/>
      <x:c r="J198" s="99"/>
      <x:c r="K198" s="97"/>
      <x:c r="L198" s="99"/>
      <x:c r="M198" s="100"/>
      <x:c r="N198" s="100"/>
      <x:c r="O198" s="101" t="str">
        <x:f t="shared" si="6">IF(K198="","",IF(K198="Achieved","Yes","No"))</x:f>
      </x:c>
      <x:c r="P198" s="100"/>
    </x:row>
    <x:row r="199">
      <x:c r="A199" s="96"/>
      <x:c r="B199" s="97"/>
      <x:c r="C199" s="98" t="str">
        <x:f>IF(B199="","",IFERROR(INDEX('Task Master'!$C$5:$C$804,MATCH(B199,'Task Master'!$A$5:$A$804,0)),"Not in latest raw"))</x:f>
      </x:c>
      <x:c r="D199" s="98" t="str">
        <x:f>IF(B199="","",IFERROR(INDEX('Task Master'!$J$5:$J$804,MATCH(B199,'Task Master'!$A$5:$A$804,0)),""))</x:f>
      </x:c>
      <x:c r="E199" s="98" t="str">
        <x:f>IF(B199="","",IFERROR(INDEX('Task Master'!$K$5:$K$804,MATCH(B199,'Task Master'!$A$5:$A$804,0)),""))</x:f>
      </x:c>
      <x:c r="F199" s="97" t="str">
        <x:f>IF(B199="","",IF(COUNTIFS('Assignment History'!$B$5:$B$204,B199,'Assignment History'!$A$5:$A$204,"&gt;="&amp;A199,'Assignment History'!$A$5:$A$204,"&lt;"&amp;A199+1)&gt;0,"Yes","No"))</x:f>
      </x:c>
      <x:c r="G199" s="97" t="str">
        <x:f>IF(B199="","",IF(F199="Yes",IFERROR(LOOKUP(2,1/(('Assignment History'!$B$5:$B$204=B199)*('Assignment History'!$A$5:$A$204&gt;=A199)*('Assignment History'!$A$5:$A$204&lt;A199+1)),'Assignment History'!$C$5:$C$204),""),""))</x:f>
      </x:c>
      <x:c r="H199" s="97"/>
      <x:c r="I199" s="97"/>
      <x:c r="J199" s="99"/>
      <x:c r="K199" s="97"/>
      <x:c r="L199" s="99"/>
      <x:c r="M199" s="100"/>
      <x:c r="N199" s="100"/>
      <x:c r="O199" s="101" t="str">
        <x:f t="shared" si="6">IF(K199="","",IF(K199="Achieved","Yes","No"))</x:f>
      </x:c>
      <x:c r="P199" s="100"/>
    </x:row>
    <x:row r="200">
      <x:c r="A200" s="96"/>
      <x:c r="B200" s="97"/>
      <x:c r="C200" s="98" t="str">
        <x:f>IF(B200="","",IFERROR(INDEX('Task Master'!$C$5:$C$804,MATCH(B200,'Task Master'!$A$5:$A$804,0)),"Not in latest raw"))</x:f>
      </x:c>
      <x:c r="D200" s="98" t="str">
        <x:f>IF(B200="","",IFERROR(INDEX('Task Master'!$J$5:$J$804,MATCH(B200,'Task Master'!$A$5:$A$804,0)),""))</x:f>
      </x:c>
      <x:c r="E200" s="98" t="str">
        <x:f>IF(B200="","",IFERROR(INDEX('Task Master'!$K$5:$K$804,MATCH(B200,'Task Master'!$A$5:$A$804,0)),""))</x:f>
      </x:c>
      <x:c r="F200" s="97" t="str">
        <x:f>IF(B200="","",IF(COUNTIFS('Assignment History'!$B$5:$B$204,B200,'Assignment History'!$A$5:$A$204,"&gt;="&amp;A200,'Assignment History'!$A$5:$A$204,"&lt;"&amp;A200+1)&gt;0,"Yes","No"))</x:f>
      </x:c>
      <x:c r="G200" s="97" t="str">
        <x:f>IF(B200="","",IF(F200="Yes",IFERROR(LOOKUP(2,1/(('Assignment History'!$B$5:$B$204=B200)*('Assignment History'!$A$5:$A$204&gt;=A200)*('Assignment History'!$A$5:$A$204&lt;A200+1)),'Assignment History'!$C$5:$C$204),""),""))</x:f>
      </x:c>
      <x:c r="H200" s="97"/>
      <x:c r="I200" s="97"/>
      <x:c r="J200" s="99"/>
      <x:c r="K200" s="97"/>
      <x:c r="L200" s="99"/>
      <x:c r="M200" s="100"/>
      <x:c r="N200" s="100"/>
      <x:c r="O200" s="101" t="str">
        <x:f t="shared" si="6">IF(K200="","",IF(K200="Achieved","Yes","No"))</x:f>
      </x:c>
      <x:c r="P200" s="100"/>
    </x:row>
    <x:row r="201">
      <x:c r="A201" s="96"/>
      <x:c r="B201" s="97"/>
      <x:c r="C201" s="98" t="str">
        <x:f>IF(B201="","",IFERROR(INDEX('Task Master'!$C$5:$C$804,MATCH(B201,'Task Master'!$A$5:$A$804,0)),"Not in latest raw"))</x:f>
      </x:c>
      <x:c r="D201" s="98" t="str">
        <x:f>IF(B201="","",IFERROR(INDEX('Task Master'!$J$5:$J$804,MATCH(B201,'Task Master'!$A$5:$A$804,0)),""))</x:f>
      </x:c>
      <x:c r="E201" s="98" t="str">
        <x:f>IF(B201="","",IFERROR(INDEX('Task Master'!$K$5:$K$804,MATCH(B201,'Task Master'!$A$5:$A$804,0)),""))</x:f>
      </x:c>
      <x:c r="F201" s="97" t="str">
        <x:f>IF(B201="","",IF(COUNTIFS('Assignment History'!$B$5:$B$204,B201,'Assignment History'!$A$5:$A$204,"&gt;="&amp;A201,'Assignment History'!$A$5:$A$204,"&lt;"&amp;A201+1)&gt;0,"Yes","No"))</x:f>
      </x:c>
      <x:c r="G201" s="97" t="str">
        <x:f>IF(B201="","",IF(F201="Yes",IFERROR(LOOKUP(2,1/(('Assignment History'!$B$5:$B$204=B201)*('Assignment History'!$A$5:$A$204&gt;=A201)*('Assignment History'!$A$5:$A$204&lt;A201+1)),'Assignment History'!$C$5:$C$204),""),""))</x:f>
      </x:c>
      <x:c r="H201" s="97"/>
      <x:c r="I201" s="97"/>
      <x:c r="J201" s="99"/>
      <x:c r="K201" s="97"/>
      <x:c r="L201" s="99"/>
      <x:c r="M201" s="100"/>
      <x:c r="N201" s="100"/>
      <x:c r="O201" s="101" t="str">
        <x:f t="shared" si="6">IF(K201="","",IF(K201="Achieved","Yes","No"))</x:f>
      </x:c>
      <x:c r="P201" s="100"/>
    </x:row>
    <x:row r="202">
      <x:c r="A202" s="96"/>
      <x:c r="B202" s="97"/>
      <x:c r="C202" s="98" t="str">
        <x:f>IF(B202="","",IFERROR(INDEX('Task Master'!$C$5:$C$804,MATCH(B202,'Task Master'!$A$5:$A$804,0)),"Not in latest raw"))</x:f>
      </x:c>
      <x:c r="D202" s="98" t="str">
        <x:f>IF(B202="","",IFERROR(INDEX('Task Master'!$J$5:$J$804,MATCH(B202,'Task Master'!$A$5:$A$804,0)),""))</x:f>
      </x:c>
      <x:c r="E202" s="98" t="str">
        <x:f>IF(B202="","",IFERROR(INDEX('Task Master'!$K$5:$K$804,MATCH(B202,'Task Master'!$A$5:$A$804,0)),""))</x:f>
      </x:c>
      <x:c r="F202" s="97" t="str">
        <x:f>IF(B202="","",IF(COUNTIFS('Assignment History'!$B$5:$B$204,B202,'Assignment History'!$A$5:$A$204,"&gt;="&amp;A202,'Assignment History'!$A$5:$A$204,"&lt;"&amp;A202+1)&gt;0,"Yes","No"))</x:f>
      </x:c>
      <x:c r="G202" s="97" t="str">
        <x:f>IF(B202="","",IF(F202="Yes",IFERROR(LOOKUP(2,1/(('Assignment History'!$B$5:$B$204=B202)*('Assignment History'!$A$5:$A$204&gt;=A202)*('Assignment History'!$A$5:$A$204&lt;A202+1)),'Assignment History'!$C$5:$C$204),""),""))</x:f>
      </x:c>
      <x:c r="H202" s="97"/>
      <x:c r="I202" s="97"/>
      <x:c r="J202" s="99"/>
      <x:c r="K202" s="97"/>
      <x:c r="L202" s="99"/>
      <x:c r="M202" s="100"/>
      <x:c r="N202" s="100"/>
      <x:c r="O202" s="101" t="str">
        <x:f t="shared" si="6">IF(K202="","",IF(K202="Achieved","Yes","No"))</x:f>
      </x:c>
      <x:c r="P202" s="100"/>
    </x:row>
    <x:row r="203">
      <x:c r="A203" s="96"/>
      <x:c r="B203" s="97"/>
      <x:c r="C203" s="98" t="str">
        <x:f>IF(B203="","",IFERROR(INDEX('Task Master'!$C$5:$C$804,MATCH(B203,'Task Master'!$A$5:$A$804,0)),"Not in latest raw"))</x:f>
      </x:c>
      <x:c r="D203" s="98" t="str">
        <x:f>IF(B203="","",IFERROR(INDEX('Task Master'!$J$5:$J$804,MATCH(B203,'Task Master'!$A$5:$A$804,0)),""))</x:f>
      </x:c>
      <x:c r="E203" s="98" t="str">
        <x:f>IF(B203="","",IFERROR(INDEX('Task Master'!$K$5:$K$804,MATCH(B203,'Task Master'!$A$5:$A$804,0)),""))</x:f>
      </x:c>
      <x:c r="F203" s="97" t="str">
        <x:f>IF(B203="","",IF(COUNTIFS('Assignment History'!$B$5:$B$204,B203,'Assignment History'!$A$5:$A$204,"&gt;="&amp;A203,'Assignment History'!$A$5:$A$204,"&lt;"&amp;A203+1)&gt;0,"Yes","No"))</x:f>
      </x:c>
      <x:c r="G203" s="97" t="str">
        <x:f>IF(B203="","",IF(F203="Yes",IFERROR(LOOKUP(2,1/(('Assignment History'!$B$5:$B$204=B203)*('Assignment History'!$A$5:$A$204&gt;=A203)*('Assignment History'!$A$5:$A$204&lt;A203+1)),'Assignment History'!$C$5:$C$204),""),""))</x:f>
      </x:c>
      <x:c r="H203" s="97"/>
      <x:c r="I203" s="97"/>
      <x:c r="J203" s="99"/>
      <x:c r="K203" s="97"/>
      <x:c r="L203" s="99"/>
      <x:c r="M203" s="100"/>
      <x:c r="N203" s="100"/>
      <x:c r="O203" s="101" t="str">
        <x:f t="shared" si="6">IF(K203="","",IF(K203="Achieved","Yes","No"))</x:f>
      </x:c>
      <x:c r="P203" s="100"/>
    </x:row>
    <x:row r="204">
      <x:c r="A204" s="96"/>
      <x:c r="B204" s="97"/>
      <x:c r="C204" s="98" t="str">
        <x:f>IF(B204="","",IFERROR(INDEX('Task Master'!$C$5:$C$804,MATCH(B204,'Task Master'!$A$5:$A$804,0)),"Not in latest raw"))</x:f>
      </x:c>
      <x:c r="D204" s="98" t="str">
        <x:f>IF(B204="","",IFERROR(INDEX('Task Master'!$J$5:$J$804,MATCH(B204,'Task Master'!$A$5:$A$804,0)),""))</x:f>
      </x:c>
      <x:c r="E204" s="98" t="str">
        <x:f>IF(B204="","",IFERROR(INDEX('Task Master'!$K$5:$K$804,MATCH(B204,'Task Master'!$A$5:$A$804,0)),""))</x:f>
      </x:c>
      <x:c r="F204" s="97" t="str">
        <x:f>IF(B204="","",IF(COUNTIFS('Assignment History'!$B$5:$B$204,B204,'Assignment History'!$A$5:$A$204,"&gt;="&amp;A204,'Assignment History'!$A$5:$A$204,"&lt;"&amp;A204+1)&gt;0,"Yes","No"))</x:f>
      </x:c>
      <x:c r="G204" s="97" t="str">
        <x:f>IF(B204="","",IF(F204="Yes",IFERROR(LOOKUP(2,1/(('Assignment History'!$B$5:$B$204=B204)*('Assignment History'!$A$5:$A$204&gt;=A204)*('Assignment History'!$A$5:$A$204&lt;A204+1)),'Assignment History'!$C$5:$C$204),""),""))</x:f>
      </x:c>
      <x:c r="H204" s="97"/>
      <x:c r="I204" s="97"/>
      <x:c r="J204" s="99"/>
      <x:c r="K204" s="97"/>
      <x:c r="L204" s="99"/>
      <x:c r="M204" s="100"/>
      <x:c r="N204" s="100"/>
      <x:c r="O204" s="101" t="str">
        <x:f t="shared" si="6">IF(K204="","",IF(K204="Achieved","Yes","No"))</x:f>
      </x:c>
      <x:c r="P204" s="100"/>
    </x:row>
  </x:sheetData>
  <x:mergeCells>
    <x:mergeCell ref="A1:P1"/>
    <x:mergeCell ref="A2:P2"/>
  </x:mergeCells>
  <x:conditionalFormatting sqref="K5:K204">
    <x:cfRule type="containsText" dxfId="196" priority="1" operator="containsText" text="Achieved"/>
    <x:cfRule type="containsText" dxfId="195" priority="2" operator="containsText" text="Blocked"/>
    <x:cfRule type="containsText" dxfId="194" priority="4" operator="containsText" text="Out-of-Scope"/>
  </x:conditionalFormatting>
  <x:dataValidations count="4">
    <x:dataValidation type="list" sqref="F5:F204">
      <x:formula1>"No,Yes"</x:formula1>
    </x:dataValidation>
    <x:dataValidation type="list" sqref="H5:H204">
      <x:formula1>"Complete Task,Confirm Out-of-Scope"</x:formula1>
    </x:dataValidation>
    <x:dataValidation type="list" sqref="K5:K204">
      <x:formula1>"Not Started,In Progress,Achieved,Blocked,Missed,Out-of-Scope Submitted,Out-of-Scope Confirmed"</x:formula1>
    </x:dataValidation>
    <x:dataValidation type="list" sqref="B5:B204">
      <x:formula1>'Task Master'!$A$5:$A$804</x:formula1>
    </x:dataValidation>
  </x:dataValidations>
  <x:pageMargins left="0.7" right="0.7" top="0.75" bottom="0.75" header="0.3" footer="0.3"/>
  <x:drawing xmlns:r="http://schemas.openxmlformats.org/officeDocument/2006/relationships" r:id="R45876c31d2614176"/>
  <x:legacyDrawing xmlns:r="http://schemas.openxmlformats.org/officeDocument/2006/relationships" r:id="R40155c19fd8a4839"/>
  <x:tableParts count="1">
    <x:tablePart xmlns:r="http://schemas.openxmlformats.org/officeDocument/2006/relationships" r:id="R48e8a957501746e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9" style="2" hidden="0" customWidth="1"/>
    <x:col min="2" max="2" width="16" style="2" hidden="0" customWidth="1"/>
    <x:col min="3" max="3" width="18" style="2" hidden="0" customWidth="1"/>
    <x:col min="4" max="4" width="18" style="2" hidden="0" customWidth="1"/>
    <x:col min="5" max="5" width="21" style="2" hidden="0" customWidth="1"/>
    <x:col min="6" max="6" width="28" style="2" hidden="0" customWidth="1"/>
    <x:col min="7" max="7" width="25" style="2" hidden="0" customWidth="1"/>
    <x:col min="8" max="8" width="20" style="2" hidden="0" customWidth="1"/>
    <x:col min="9" max="9" width="34" style="2" hidden="0" customWidth="1"/>
    <x:col min="10" max="10" width="34" style="2" hidden="0" customWidth="1"/>
    <x:col min="11" max="11" width="28" style="2" hidden="0" customWidth="1"/>
    <x:col min="12" max="12" width="15" style="2" hidden="0" customWidth="1"/>
    <x:col min="13" max="13" width="20" style="2" hidden="0" customWidth="1"/>
    <x:col min="14" max="14" width="20" style="2" hidden="0" customWidth="1"/>
    <x:col min="15" max="16384" width="9" style="2" customWidth="0"/>
    <x:col min="15" max="15" width="30" hidden="0" customWidth="1"/>
    <x:col min="16" max="16" width="25" hidden="0" customWidth="1"/>
    <x:col min="17" max="17" width="11" hidden="0" customWidth="1"/>
  </x:cols>
  <x:sheetData>
    <x:row r="1" ht="30" customHeight="1">
      <x:c r="A1" s="138" t="str">
        <x:v>Engineer Updates — Persistent Progress Log</x:v>
      </x:c>
      <x:c r="B1" s="138"/>
      <x:c r="C1" s="138"/>
      <x:c r="D1" s="138"/>
      <x:c r="E1" s="138"/>
      <x:c r="F1" s="138"/>
      <x:c r="G1" s="138"/>
      <x:c r="H1" s="138"/>
      <x:c r="I1" s="138"/>
      <x:c r="J1" s="138"/>
      <x:c r="K1" s="138"/>
      <x:c r="L1" s="138"/>
      <x:c r="M1" s="138"/>
      <x:c r="N1" s="138"/>
      <x:c r="O1" s="120"/>
      <x:c r="P1" s="120"/>
      <x:c r="Q1" s="120"/>
    </x:row>
    <x:row r="2" ht="24" customHeight="1">
      <x:c r="A2" s="140" t="str">
        <x:v>Engineers append a new row for every meaningful update. Blue cells persist when raw snapshots are replaced; gray cells reconcile task type and current CSSP status automatically.</x:v>
      </x:c>
      <x:c r="B2" s="140"/>
      <x:c r="C2" s="140"/>
      <x:c r="D2" s="140"/>
      <x:c r="E2" s="140"/>
      <x:c r="F2" s="140"/>
      <x:c r="G2" s="140"/>
      <x:c r="H2" s="140"/>
      <x:c r="I2" s="140"/>
      <x:c r="J2" s="140"/>
      <x:c r="K2" s="140"/>
      <x:c r="L2" s="140"/>
      <x:c r="M2" s="140"/>
      <x:c r="N2" s="140"/>
      <x:c r="O2" s="122"/>
      <x:c r="P2" s="122"/>
      <x:c r="Q2" s="122"/>
    </x:row>
    <x:row r="4" ht="32.099998474121094" customHeight="1">
      <x:c r="A4" s="175" t="str">
        <x:v>Update Timestamp</x:v>
      </x:c>
      <x:c r="B4" s="176" t="str">
        <x:v>Request Number</x:v>
      </x:c>
      <x:c r="C4" s="176" t="str">
        <x:v>Task Type</x:v>
      </x:c>
      <x:c r="D4" s="176" t="str">
        <x:v>Current CSSP Status</x:v>
      </x:c>
      <x:c r="E4" s="176" t="str">
        <x:v>Reconciliation State</x:v>
      </x:c>
      <x:c r="F4" s="176" t="str">
        <x:v>Operational PIC</x:v>
      </x:c>
      <x:c r="G4" s="176" t="str">
        <x:v>Workflow Stage</x:v>
      </x:c>
      <x:c r="H4" s="176" t="str">
        <x:v>Engineer Update State</x:v>
      </x:c>
      <x:c r="I4" s="176" t="str">
        <x:v>Progress Update</x:v>
      </x:c>
      <x:c r="J4" s="176" t="str">
        <x:v>Next Action</x:v>
      </x:c>
      <x:c r="K4" s="176" t="str">
        <x:v>Blocker</x:v>
      </x:c>
      <x:c r="L4" s="176" t="str">
        <x:v>ETA</x:v>
      </x:c>
      <x:c r="M4" s="176" t="str">
        <x:v>Scope Assessment</x:v>
      </x:c>
      <x:c r="N4" s="177" t="str">
        <x:v>OOS Type</x:v>
      </x:c>
      <x:c r="O4" s="178" t="str">
        <x:v>Evidence / Link</x:v>
      </x:c>
      <x:c r="P4" s="178" t="str">
        <x:v>Updated By</x:v>
      </x:c>
      <x:c r="Q4" s="178" t="str">
        <x:v>Is Latest</x:v>
      </x:c>
    </x:row>
    <x:row r="5">
      <x:c r="A5" s="193" t="n">
        <x:v>46251</x:v>
      </x:c>
      <x:c r="B5" s="187" t="str">
        <x:v>CSSP10916071</x:v>
      </x:c>
      <x:c r="C5" s="188" t="str">
        <x:f>IF(B5="","",IF(COUNTIF('Raw Decommissioning'!$B$2:$B$1000,B5)&gt;0,"Decommissioning",IF(COUNTIF('Raw Provisioning'!$B$2:$B$1000,B5)&gt;0,"Provisioning","Not in latest raw")))</x:f>
        <x:v>Decommissioning</x:v>
      </x:c>
      <x:c r="D5" s="188" t="str">
        <x:f>IF(B5="","",IFERROR(INDEX('Raw Decommissioning'!$E$2:$E$1000,MATCH(B5,'Raw Decommissioning'!$B$2:$B$1000,0)),IFERROR(INDEX('Raw Provisioning'!$E$2:$E$1000,MATCH(B5,'Raw Provisioning'!$B$2:$B$1000,0)),"Missing from latest raw")))</x:f>
        <x:v>executing</x:v>
      </x:c>
      <x:c r="E5" s="188" t="str">
        <x:f>IF(B5="","",IF(D5="completed","Completed in CSSP",IF(D5="executing","Active - Executing",IF(D5="processing","Ready to Assign",IF(D5="Missing from latest raw","Check Source","Not Managed - "&amp;D5)))))</x:f>
        <x:v>Active - Executing</x:v>
      </x:c>
      <x:c r="F5" s="189" t="str">
        <x:f>IF(B5="","",IFERROR(INDEX('Task Master'!$K$5:$K$804,MATCH(B5,'Task Master'!$A$5:$A$804,0)),""))</x:f>
        <x:v>abdul.khoir@petronas.com</x:v>
      </x:c>
      <x:c r="G5" s="190"/>
      <x:c r="H5" s="190" t="str">
        <x:v>Not Started</x:v>
      </x:c>
      <x:c r="I5" s="191"/>
      <x:c r="J5" s="190"/>
      <x:c r="K5" s="190"/>
      <x:c r="L5" s="195"/>
      <x:c r="M5" s="190" t="str">
        <x:v>Not Assessed</x:v>
      </x:c>
      <x:c r="N5" s="187">
        <x:f ca="1"/>
      </x:c>
      <x:c r="O5" s="192"/>
      <x:c r="P5" s="192" t="str">
        <x:v>System Initial Load</x:v>
      </x:c>
      <x:c r="Q5" s="170" t="str">
        <x:f>IF(OR(A5="",B5=""),"",IF(A5=LOOKUP(2,1/($B$5:$B$704=B5),$A$5:$A$704),"Yes","No"))</x:f>
        <x:v>Yes</x:v>
      </x:c>
    </x:row>
    <x:row r="6">
      <x:c r="A6" s="193" t="n">
        <x:v>46251</x:v>
      </x:c>
      <x:c r="B6" s="187" t="str">
        <x:v>CSSP10372916</x:v>
      </x:c>
      <x:c r="C6" s="188" t="str">
        <x:f>IF(B6="","",IF(COUNTIF('Raw Decommissioning'!$B$2:$B$1000,B6)&gt;0,"Decommissioning",IF(COUNTIF('Raw Provisioning'!$B$2:$B$1000,B6)&gt;0,"Provisioning","Not in latest raw")))</x:f>
        <x:v>Decommissioning</x:v>
      </x:c>
      <x:c r="D6" s="188" t="str">
        <x:f>IF(B6="","",IFERROR(INDEX('Raw Decommissioning'!$E$2:$E$1000,MATCH(B6,'Raw Decommissioning'!$B$2:$B$1000,0)),IFERROR(INDEX('Raw Provisioning'!$E$2:$E$1000,MATCH(B6,'Raw Provisioning'!$B$2:$B$1000,0)),"Missing from latest raw")))</x:f>
        <x:v>executing</x:v>
      </x:c>
      <x:c r="E6" s="188" t="str">
        <x:f>IF(B6="","",IF(D6="completed","Completed in CSSP",IF(D6="executing","Active - Executing",IF(D6="processing","Ready to Assign",IF(D6="Missing from latest raw","Check Source","Not Managed - "&amp;D6)))))</x:f>
        <x:v>Active - Executing</x:v>
      </x:c>
      <x:c r="F6" s="189" t="str">
        <x:f>IF(B6="","",IFERROR(INDEX('Task Master'!$K$5:$K$804,MATCH(B6,'Task Master'!$A$5:$A$804,0)),""))</x:f>
        <x:v>abhishek.bhowate@petronas.com</x:v>
      </x:c>
      <x:c r="G6" s="190"/>
      <x:c r="H6" s="190" t="str">
        <x:v>Not Started</x:v>
      </x:c>
      <x:c r="I6" s="191"/>
      <x:c r="J6" s="190"/>
      <x:c r="K6" s="190"/>
      <x:c r="L6" s="195"/>
      <x:c r="M6" s="190" t="str">
        <x:v>Not Assessed</x:v>
      </x:c>
      <x:c r="N6" s="187">
        <x:f ca="1"/>
      </x:c>
      <x:c r="O6" s="192"/>
      <x:c r="P6" s="192" t="str">
        <x:v>System Initial Load</x:v>
      </x:c>
      <x:c r="Q6" s="170" t="str">
        <x:f>IF(OR(A6="",B6=""),"",IF(A6=LOOKUP(2,1/($B$5:$B$704=B6),$A$5:$A$704),"Yes","No"))</x:f>
        <x:v>Yes</x:v>
      </x:c>
    </x:row>
    <x:row r="7">
      <x:c r="A7" s="193" t="n">
        <x:v>46251</x:v>
      </x:c>
      <x:c r="B7" s="187" t="str">
        <x:v>CSSP10989463</x:v>
      </x:c>
      <x:c r="C7" s="188" t="str">
        <x:f>IF(B7="","",IF(COUNTIF('Raw Decommissioning'!$B$2:$B$1000,B7)&gt;0,"Decommissioning",IF(COUNTIF('Raw Provisioning'!$B$2:$B$1000,B7)&gt;0,"Provisioning","Not in latest raw")))</x:f>
        <x:v>Decommissioning</x:v>
      </x:c>
      <x:c r="D7" s="188" t="str">
        <x:f>IF(B7="","",IFERROR(INDEX('Raw Decommissioning'!$E$2:$E$1000,MATCH(B7,'Raw Decommissioning'!$B$2:$B$1000,0)),IFERROR(INDEX('Raw Provisioning'!$E$2:$E$1000,MATCH(B7,'Raw Provisioning'!$B$2:$B$1000,0)),"Missing from latest raw")))</x:f>
        <x:v>executing</x:v>
      </x:c>
      <x:c r="E7" s="188" t="str">
        <x:f>IF(B7="","",IF(D7="completed","Completed in CSSP",IF(D7="executing","Active - Executing",IF(D7="processing","Ready to Assign",IF(D7="Missing from latest raw","Check Source","Not Managed - "&amp;D7)))))</x:f>
        <x:v>Active - Executing</x:v>
      </x:c>
      <x:c r="F7" s="189" t="str">
        <x:f>IF(B7="","",IFERROR(INDEX('Task Master'!$K$5:$K$804,MATCH(B7,'Task Master'!$A$5:$A$804,0)),""))</x:f>
        <x:v>abhishek.bhowate@petronas.com</x:v>
      </x:c>
      <x:c r="G7" s="190"/>
      <x:c r="H7" s="190" t="str">
        <x:v>Not Started</x:v>
      </x:c>
      <x:c r="I7" s="191"/>
      <x:c r="J7" s="190"/>
      <x:c r="K7" s="190"/>
      <x:c r="L7" s="195"/>
      <x:c r="M7" s="190" t="str">
        <x:v>Not Assessed</x:v>
      </x:c>
      <x:c r="N7" s="187">
        <x:f ca="1"/>
      </x:c>
      <x:c r="O7" s="192"/>
      <x:c r="P7" s="192" t="str">
        <x:v>System Initial Load</x:v>
      </x:c>
      <x:c r="Q7" s="170" t="str">
        <x:f>IF(OR(A7="",B7=""),"",IF(A7=LOOKUP(2,1/($B$5:$B$704=B7),$A$5:$A$704),"Yes","No"))</x:f>
        <x:v>Yes</x:v>
      </x:c>
    </x:row>
    <x:row r="8">
      <x:c r="A8" s="193" t="n">
        <x:v>46251</x:v>
      </x:c>
      <x:c r="B8" s="187" t="str">
        <x:v>CSSP10186192</x:v>
      </x:c>
      <x:c r="C8" s="188" t="str">
        <x:f>IF(B8="","",IF(COUNTIF('Raw Decommissioning'!$B$2:$B$1000,B8)&gt;0,"Decommissioning",IF(COUNTIF('Raw Provisioning'!$B$2:$B$1000,B8)&gt;0,"Provisioning","Not in latest raw")))</x:f>
        <x:v>Decommissioning</x:v>
      </x:c>
      <x:c r="D8" s="188" t="str">
        <x:f>IF(B8="","",IFERROR(INDEX('Raw Decommissioning'!$E$2:$E$1000,MATCH(B8,'Raw Decommissioning'!$B$2:$B$1000,0)),IFERROR(INDEX('Raw Provisioning'!$E$2:$E$1000,MATCH(B8,'Raw Provisioning'!$B$2:$B$1000,0)),"Missing from latest raw")))</x:f>
        <x:v>executing</x:v>
      </x:c>
      <x:c r="E8" s="188" t="str">
        <x:f>IF(B8="","",IF(D8="completed","Completed in CSSP",IF(D8="executing","Active - Executing",IF(D8="processing","Ready to Assign",IF(D8="Missing from latest raw","Check Source","Not Managed - "&amp;D8)))))</x:f>
        <x:v>Active - Executing</x:v>
      </x:c>
      <x:c r="F8" s="189" t="str">
        <x:f>IF(B8="","",IFERROR(INDEX('Task Master'!$K$5:$K$804,MATCH(B8,'Task Master'!$A$5:$A$804,0)),""))</x:f>
        <x:v>amarja.kawade@petronas.com</x:v>
      </x:c>
      <x:c r="G8" s="190"/>
      <x:c r="H8" s="190" t="str">
        <x:v>Not Started</x:v>
      </x:c>
      <x:c r="I8" s="191"/>
      <x:c r="J8" s="190"/>
      <x:c r="K8" s="190"/>
      <x:c r="L8" s="195"/>
      <x:c r="M8" s="190" t="str">
        <x:v>Not Assessed</x:v>
      </x:c>
      <x:c r="N8" s="187">
        <x:f ca="1"/>
      </x:c>
      <x:c r="O8" s="192"/>
      <x:c r="P8" s="192" t="str">
        <x:v>System Initial Load</x:v>
      </x:c>
      <x:c r="Q8" s="170" t="str">
        <x:f>IF(OR(A8="",B8=""),"",IF(A8=LOOKUP(2,1/($B$5:$B$704=B8),$A$5:$A$704),"Yes","No"))</x:f>
        <x:v>Yes</x:v>
      </x:c>
    </x:row>
    <x:row r="9">
      <x:c r="A9" s="193" t="n">
        <x:v>46251</x:v>
      </x:c>
      <x:c r="B9" s="187" t="str">
        <x:v>CSSP10187579</x:v>
      </x:c>
      <x:c r="C9" s="188" t="str">
        <x:f>IF(B9="","",IF(COUNTIF('Raw Decommissioning'!$B$2:$B$1000,B9)&gt;0,"Decommissioning",IF(COUNTIF('Raw Provisioning'!$B$2:$B$1000,B9)&gt;0,"Provisioning","Not in latest raw")))</x:f>
        <x:v>Decommissioning</x:v>
      </x:c>
      <x:c r="D9" s="188" t="str">
        <x:f>IF(B9="","",IFERROR(INDEX('Raw Decommissioning'!$E$2:$E$1000,MATCH(B9,'Raw Decommissioning'!$B$2:$B$1000,0)),IFERROR(INDEX('Raw Provisioning'!$E$2:$E$1000,MATCH(B9,'Raw Provisioning'!$B$2:$B$1000,0)),"Missing from latest raw")))</x:f>
        <x:v>executing</x:v>
      </x:c>
      <x:c r="E9" s="188" t="str">
        <x:f>IF(B9="","",IF(D9="completed","Completed in CSSP",IF(D9="executing","Active - Executing",IF(D9="processing","Ready to Assign",IF(D9="Missing from latest raw","Check Source","Not Managed - "&amp;D9)))))</x:f>
        <x:v>Active - Executing</x:v>
      </x:c>
      <x:c r="F9" s="189" t="str">
        <x:f>IF(B9="","",IFERROR(INDEX('Task Master'!$K$5:$K$804,MATCH(B9,'Task Master'!$A$5:$A$804,0)),""))</x:f>
        <x:v>amarja.kawade@petronas.com</x:v>
      </x:c>
      <x:c r="G9" s="190"/>
      <x:c r="H9" s="190" t="str">
        <x:v>Not Started</x:v>
      </x:c>
      <x:c r="I9" s="191"/>
      <x:c r="J9" s="190"/>
      <x:c r="K9" s="190"/>
      <x:c r="L9" s="195"/>
      <x:c r="M9" s="190" t="str">
        <x:v>Not Assessed</x:v>
      </x:c>
      <x:c r="N9" s="187">
        <x:f ca="1"/>
      </x:c>
      <x:c r="O9" s="192"/>
      <x:c r="P9" s="192" t="str">
        <x:v>System Initial Load</x:v>
      </x:c>
      <x:c r="Q9" s="170" t="str">
        <x:f>IF(OR(A9="",B9=""),"",IF(A9=LOOKUP(2,1/($B$5:$B$704=B9),$A$5:$A$704),"Yes","No"))</x:f>
        <x:v>Yes</x:v>
      </x:c>
    </x:row>
    <x:row r="10">
      <x:c r="A10" s="193" t="n">
        <x:v>46251</x:v>
      </x:c>
      <x:c r="B10" s="187" t="str">
        <x:v>CSSP10323752</x:v>
      </x:c>
      <x:c r="C10" s="188" t="str">
        <x:f>IF(B10="","",IF(COUNTIF('Raw Decommissioning'!$B$2:$B$1000,B10)&gt;0,"Decommissioning",IF(COUNTIF('Raw Provisioning'!$B$2:$B$1000,B10)&gt;0,"Provisioning","Not in latest raw")))</x:f>
        <x:v>Decommissioning</x:v>
      </x:c>
      <x:c r="D10" s="188" t="str">
        <x:f>IF(B10="","",IFERROR(INDEX('Raw Decommissioning'!$E$2:$E$1000,MATCH(B10,'Raw Decommissioning'!$B$2:$B$1000,0)),IFERROR(INDEX('Raw Provisioning'!$E$2:$E$1000,MATCH(B10,'Raw Provisioning'!$B$2:$B$1000,0)),"Missing from latest raw")))</x:f>
        <x:v>executing</x:v>
      </x:c>
      <x:c r="E10" s="188" t="str">
        <x:f>IF(B10="","",IF(D10="completed","Completed in CSSP",IF(D10="executing","Active - Executing",IF(D10="processing","Ready to Assign",IF(D10="Missing from latest raw","Check Source","Not Managed - "&amp;D10)))))</x:f>
        <x:v>Active - Executing</x:v>
      </x:c>
      <x:c r="F10" s="189" t="str">
        <x:f>IF(B10="","",IFERROR(INDEX('Task Master'!$K$5:$K$804,MATCH(B10,'Task Master'!$A$5:$A$804,0)),""))</x:f>
        <x:v>amarja.kawade@petronas.com</x:v>
      </x:c>
      <x:c r="G10" s="190"/>
      <x:c r="H10" s="190" t="str">
        <x:v>Not Started</x:v>
      </x:c>
      <x:c r="I10" s="191"/>
      <x:c r="J10" s="190"/>
      <x:c r="K10" s="190"/>
      <x:c r="L10" s="195"/>
      <x:c r="M10" s="190" t="str">
        <x:v>Not Assessed</x:v>
      </x:c>
      <x:c r="N10" s="187">
        <x:f ca="1"/>
      </x:c>
      <x:c r="O10" s="192"/>
      <x:c r="P10" s="192" t="str">
        <x:v>System Initial Load</x:v>
      </x:c>
      <x:c r="Q10" s="170" t="str">
        <x:f>IF(OR(A10="",B10=""),"",IF(A10=LOOKUP(2,1/($B$5:$B$704=B10),$A$5:$A$704),"Yes","No"))</x:f>
        <x:v>Yes</x:v>
      </x:c>
    </x:row>
    <x:row r="11">
      <x:c r="A11" s="193" t="n">
        <x:v>46251</x:v>
      </x:c>
      <x:c r="B11" s="187" t="str">
        <x:v>CSSP10327858</x:v>
      </x:c>
      <x:c r="C11" s="188" t="str">
        <x:f>IF(B11="","",IF(COUNTIF('Raw Decommissioning'!$B$2:$B$1000,B11)&gt;0,"Decommissioning",IF(COUNTIF('Raw Provisioning'!$B$2:$B$1000,B11)&gt;0,"Provisioning","Not in latest raw")))</x:f>
        <x:v>Decommissioning</x:v>
      </x:c>
      <x:c r="D11" s="188" t="str">
        <x:f>IF(B11="","",IFERROR(INDEX('Raw Decommissioning'!$E$2:$E$1000,MATCH(B11,'Raw Decommissioning'!$B$2:$B$1000,0)),IFERROR(INDEX('Raw Provisioning'!$E$2:$E$1000,MATCH(B11,'Raw Provisioning'!$B$2:$B$1000,0)),"Missing from latest raw")))</x:f>
        <x:v>executing</x:v>
      </x:c>
      <x:c r="E11" s="188" t="str">
        <x:f>IF(B11="","",IF(D11="completed","Completed in CSSP",IF(D11="executing","Active - Executing",IF(D11="processing","Ready to Assign",IF(D11="Missing from latest raw","Check Source","Not Managed - "&amp;D11)))))</x:f>
        <x:v>Active - Executing</x:v>
      </x:c>
      <x:c r="F11" s="189" t="str">
        <x:f>IF(B11="","",IFERROR(INDEX('Task Master'!$K$5:$K$804,MATCH(B11,'Task Master'!$A$5:$A$804,0)),""))</x:f>
        <x:v>amarja.kawade@petronas.com</x:v>
      </x:c>
      <x:c r="G11" s="190"/>
      <x:c r="H11" s="190" t="str">
        <x:v>Not Started</x:v>
      </x:c>
      <x:c r="I11" s="191"/>
      <x:c r="J11" s="190"/>
      <x:c r="K11" s="190"/>
      <x:c r="L11" s="195"/>
      <x:c r="M11" s="190" t="str">
        <x:v>Not Assessed</x:v>
      </x:c>
      <x:c r="N11" s="187">
        <x:f ca="1"/>
      </x:c>
      <x:c r="O11" s="192"/>
      <x:c r="P11" s="192" t="str">
        <x:v>System Initial Load</x:v>
      </x:c>
      <x:c r="Q11" s="170" t="str">
        <x:f>IF(OR(A11="",B11=""),"",IF(A11=LOOKUP(2,1/($B$5:$B$704=B11),$A$5:$A$704),"Yes","No"))</x:f>
        <x:v>Yes</x:v>
      </x:c>
    </x:row>
    <x:row r="12">
      <x:c r="A12" s="193" t="n">
        <x:v>46251</x:v>
      </x:c>
      <x:c r="B12" s="187" t="str">
        <x:v>CSSP10376841</x:v>
      </x:c>
      <x:c r="C12" s="188" t="str">
        <x:f>IF(B12="","",IF(COUNTIF('Raw Decommissioning'!$B$2:$B$1000,B12)&gt;0,"Decommissioning",IF(COUNTIF('Raw Provisioning'!$B$2:$B$1000,B12)&gt;0,"Provisioning","Not in latest raw")))</x:f>
        <x:v>Decommissioning</x:v>
      </x:c>
      <x:c r="D12" s="188" t="str">
        <x:f>IF(B12="","",IFERROR(INDEX('Raw Decommissioning'!$E$2:$E$1000,MATCH(B12,'Raw Decommissioning'!$B$2:$B$1000,0)),IFERROR(INDEX('Raw Provisioning'!$E$2:$E$1000,MATCH(B12,'Raw Provisioning'!$B$2:$B$1000,0)),"Missing from latest raw")))</x:f>
        <x:v>executing</x:v>
      </x:c>
      <x:c r="E12" s="188" t="str">
        <x:f>IF(B12="","",IF(D12="completed","Completed in CSSP",IF(D12="executing","Active - Executing",IF(D12="processing","Ready to Assign",IF(D12="Missing from latest raw","Check Source","Not Managed - "&amp;D12)))))</x:f>
        <x:v>Active - Executing</x:v>
      </x:c>
      <x:c r="F12" s="189" t="str">
        <x:f>IF(B12="","",IFERROR(INDEX('Task Master'!$K$5:$K$804,MATCH(B12,'Task Master'!$A$5:$A$804,0)),""))</x:f>
        <x:v>amarja.kawade@petronas.com</x:v>
      </x:c>
      <x:c r="G12" s="190"/>
      <x:c r="H12" s="190" t="str">
        <x:v>Not Started</x:v>
      </x:c>
      <x:c r="I12" s="191"/>
      <x:c r="J12" s="190"/>
      <x:c r="K12" s="190"/>
      <x:c r="L12" s="195"/>
      <x:c r="M12" s="190" t="str">
        <x:v>Not Assessed</x:v>
      </x:c>
      <x:c r="N12" s="187">
        <x:f ca="1"/>
      </x:c>
      <x:c r="O12" s="192"/>
      <x:c r="P12" s="192" t="str">
        <x:v>System Initial Load</x:v>
      </x:c>
      <x:c r="Q12" s="170" t="str">
        <x:f>IF(OR(A12="",B12=""),"",IF(A12=LOOKUP(2,1/($B$5:$B$704=B12),$A$5:$A$704),"Yes","No"))</x:f>
        <x:v>Yes</x:v>
      </x:c>
    </x:row>
    <x:row r="13">
      <x:c r="A13" s="193" t="n">
        <x:v>46251</x:v>
      </x:c>
      <x:c r="B13" s="187" t="str">
        <x:v>CSSP10413108</x:v>
      </x:c>
      <x:c r="C13" s="188" t="str">
        <x:f>IF(B13="","",IF(COUNTIF('Raw Decommissioning'!$B$2:$B$1000,B13)&gt;0,"Decommissioning",IF(COUNTIF('Raw Provisioning'!$B$2:$B$1000,B13)&gt;0,"Provisioning","Not in latest raw")))</x:f>
        <x:v>Decommissioning</x:v>
      </x:c>
      <x:c r="D13" s="188" t="str">
        <x:f>IF(B13="","",IFERROR(INDEX('Raw Decommissioning'!$E$2:$E$1000,MATCH(B13,'Raw Decommissioning'!$B$2:$B$1000,0)),IFERROR(INDEX('Raw Provisioning'!$E$2:$E$1000,MATCH(B13,'Raw Provisioning'!$B$2:$B$1000,0)),"Missing from latest raw")))</x:f>
        <x:v>executing</x:v>
      </x:c>
      <x:c r="E13" s="188" t="str">
        <x:f>IF(B13="","",IF(D13="completed","Completed in CSSP",IF(D13="executing","Active - Executing",IF(D13="processing","Ready to Assign",IF(D13="Missing from latest raw","Check Source","Not Managed - "&amp;D13)))))</x:f>
        <x:v>Active - Executing</x:v>
      </x:c>
      <x:c r="F13" s="189" t="str">
        <x:f>IF(B13="","",IFERROR(INDEX('Task Master'!$K$5:$K$804,MATCH(B13,'Task Master'!$A$5:$A$804,0)),""))</x:f>
        <x:v>amarja.kawade@petronas.com</x:v>
      </x:c>
      <x:c r="G13" s="190"/>
      <x:c r="H13" s="190" t="str">
        <x:v>Not Started</x:v>
      </x:c>
      <x:c r="I13" s="191"/>
      <x:c r="J13" s="190"/>
      <x:c r="K13" s="190"/>
      <x:c r="L13" s="195"/>
      <x:c r="M13" s="190" t="str">
        <x:v>Not Assessed</x:v>
      </x:c>
      <x:c r="N13" s="187">
        <x:f ca="1"/>
      </x:c>
      <x:c r="O13" s="192"/>
      <x:c r="P13" s="192" t="str">
        <x:v>System Initial Load</x:v>
      </x:c>
      <x:c r="Q13" s="170" t="str">
        <x:f>IF(OR(A13="",B13=""),"",IF(A13=LOOKUP(2,1/($B$5:$B$704=B13),$A$5:$A$704),"Yes","No"))</x:f>
        <x:v>Yes</x:v>
      </x:c>
    </x:row>
    <x:row r="14">
      <x:c r="A14" s="193" t="n">
        <x:v>46251</x:v>
      </x:c>
      <x:c r="B14" s="187" t="str">
        <x:v>CSSP10626318</x:v>
      </x:c>
      <x:c r="C14" s="188" t="str">
        <x:f>IF(B14="","",IF(COUNTIF('Raw Decommissioning'!$B$2:$B$1000,B14)&gt;0,"Decommissioning",IF(COUNTIF('Raw Provisioning'!$B$2:$B$1000,B14)&gt;0,"Provisioning","Not in latest raw")))</x:f>
        <x:v>Decommissioning</x:v>
      </x:c>
      <x:c r="D14" s="188" t="str">
        <x:f>IF(B14="","",IFERROR(INDEX('Raw Decommissioning'!$E$2:$E$1000,MATCH(B14,'Raw Decommissioning'!$B$2:$B$1000,0)),IFERROR(INDEX('Raw Provisioning'!$E$2:$E$1000,MATCH(B14,'Raw Provisioning'!$B$2:$B$1000,0)),"Missing from latest raw")))</x:f>
        <x:v>executing</x:v>
      </x:c>
      <x:c r="E14" s="188" t="str">
        <x:f>IF(B14="","",IF(D14="completed","Completed in CSSP",IF(D14="executing","Active - Executing",IF(D14="processing","Ready to Assign",IF(D14="Missing from latest raw","Check Source","Not Managed - "&amp;D14)))))</x:f>
        <x:v>Active - Executing</x:v>
      </x:c>
      <x:c r="F14" s="189" t="str">
        <x:f>IF(B14="","",IFERROR(INDEX('Task Master'!$K$5:$K$804,MATCH(B14,'Task Master'!$A$5:$A$804,0)),""))</x:f>
        <x:v>amarja.kawade@petronas.com</x:v>
      </x:c>
      <x:c r="G14" s="190"/>
      <x:c r="H14" s="190" t="str">
        <x:v>Not Started</x:v>
      </x:c>
      <x:c r="I14" s="191"/>
      <x:c r="J14" s="190"/>
      <x:c r="K14" s="190"/>
      <x:c r="L14" s="195"/>
      <x:c r="M14" s="190" t="str">
        <x:v>Not Assessed</x:v>
      </x:c>
      <x:c r="N14" s="187">
        <x:f ca="1"/>
      </x:c>
      <x:c r="O14" s="192"/>
      <x:c r="P14" s="192" t="str">
        <x:v>System Initial Load</x:v>
      </x:c>
      <x:c r="Q14" s="170" t="str">
        <x:f>IF(OR(A14="",B14=""),"",IF(A14=LOOKUP(2,1/($B$5:$B$704=B14),$A$5:$A$704),"Yes","No"))</x:f>
        <x:v>Yes</x:v>
      </x:c>
    </x:row>
    <x:row r="15">
      <x:c r="A15" s="193" t="n">
        <x:v>46251</x:v>
      </x:c>
      <x:c r="B15" s="187" t="str">
        <x:v>CSSP10689831</x:v>
      </x:c>
      <x:c r="C15" s="188" t="str">
        <x:f>IF(B15="","",IF(COUNTIF('Raw Decommissioning'!$B$2:$B$1000,B15)&gt;0,"Decommissioning",IF(COUNTIF('Raw Provisioning'!$B$2:$B$1000,B15)&gt;0,"Provisioning","Not in latest raw")))</x:f>
        <x:v>Decommissioning</x:v>
      </x:c>
      <x:c r="D15" s="188" t="str">
        <x:f>IF(B15="","",IFERROR(INDEX('Raw Decommissioning'!$E$2:$E$1000,MATCH(B15,'Raw Decommissioning'!$B$2:$B$1000,0)),IFERROR(INDEX('Raw Provisioning'!$E$2:$E$1000,MATCH(B15,'Raw Provisioning'!$B$2:$B$1000,0)),"Missing from latest raw")))</x:f>
        <x:v>executing</x:v>
      </x:c>
      <x:c r="E15" s="188" t="str">
        <x:f>IF(B15="","",IF(D15="completed","Completed in CSSP",IF(D15="executing","Active - Executing",IF(D15="processing","Ready to Assign",IF(D15="Missing from latest raw","Check Source","Not Managed - "&amp;D15)))))</x:f>
        <x:v>Active - Executing</x:v>
      </x:c>
      <x:c r="F15" s="189" t="str">
        <x:f>IF(B15="","",IFERROR(INDEX('Task Master'!$K$5:$K$804,MATCH(B15,'Task Master'!$A$5:$A$804,0)),""))</x:f>
        <x:v>amarja.kawade@petronas.com</x:v>
      </x:c>
      <x:c r="G15" s="190"/>
      <x:c r="H15" s="190" t="str">
        <x:v>Not Started</x:v>
      </x:c>
      <x:c r="I15" s="191"/>
      <x:c r="J15" s="190"/>
      <x:c r="K15" s="190"/>
      <x:c r="L15" s="195"/>
      <x:c r="M15" s="190" t="str">
        <x:v>Not Assessed</x:v>
      </x:c>
      <x:c r="N15" s="187">
        <x:f ca="1"/>
      </x:c>
      <x:c r="O15" s="192"/>
      <x:c r="P15" s="192" t="str">
        <x:v>System Initial Load</x:v>
      </x:c>
      <x:c r="Q15" s="170" t="str">
        <x:f>IF(OR(A15="",B15=""),"",IF(A15=LOOKUP(2,1/($B$5:$B$704=B15),$A$5:$A$704),"Yes","No"))</x:f>
        <x:v>Yes</x:v>
      </x:c>
    </x:row>
    <x:row r="16">
      <x:c r="A16" s="193" t="n">
        <x:v>46251</x:v>
      </x:c>
      <x:c r="B16" s="187" t="str">
        <x:v>CSSP10733928</x:v>
      </x:c>
      <x:c r="C16" s="188" t="str">
        <x:f>IF(B16="","",IF(COUNTIF('Raw Decommissioning'!$B$2:$B$1000,B16)&gt;0,"Decommissioning",IF(COUNTIF('Raw Provisioning'!$B$2:$B$1000,B16)&gt;0,"Provisioning","Not in latest raw")))</x:f>
        <x:v>Decommissioning</x:v>
      </x:c>
      <x:c r="D16" s="188" t="str">
        <x:f>IF(B16="","",IFERROR(INDEX('Raw Decommissioning'!$E$2:$E$1000,MATCH(B16,'Raw Decommissioning'!$B$2:$B$1000,0)),IFERROR(INDEX('Raw Provisioning'!$E$2:$E$1000,MATCH(B16,'Raw Provisioning'!$B$2:$B$1000,0)),"Missing from latest raw")))</x:f>
        <x:v>executing</x:v>
      </x:c>
      <x:c r="E16" s="188" t="str">
        <x:f>IF(B16="","",IF(D16="completed","Completed in CSSP",IF(D16="executing","Active - Executing",IF(D16="processing","Ready to Assign",IF(D16="Missing from latest raw","Check Source","Not Managed - "&amp;D16)))))</x:f>
        <x:v>Active - Executing</x:v>
      </x:c>
      <x:c r="F16" s="189" t="str">
        <x:f>IF(B16="","",IFERROR(INDEX('Task Master'!$K$5:$K$804,MATCH(B16,'Task Master'!$A$5:$A$804,0)),""))</x:f>
        <x:v>amarja.kawade@petronas.com</x:v>
      </x:c>
      <x:c r="G16" s="190"/>
      <x:c r="H16" s="190" t="str">
        <x:v>Not Started</x:v>
      </x:c>
      <x:c r="I16" s="191"/>
      <x:c r="J16" s="190"/>
      <x:c r="K16" s="190"/>
      <x:c r="L16" s="195"/>
      <x:c r="M16" s="190" t="str">
        <x:v>Not Assessed</x:v>
      </x:c>
      <x:c r="N16" s="187">
        <x:f ca="1"/>
      </x:c>
      <x:c r="O16" s="192"/>
      <x:c r="P16" s="192" t="str">
        <x:v>System Initial Load</x:v>
      </x:c>
      <x:c r="Q16" s="170" t="str">
        <x:f>IF(OR(A16="",B16=""),"",IF(A16=LOOKUP(2,1/($B$5:$B$704=B16),$A$5:$A$704),"Yes","No"))</x:f>
        <x:v>Yes</x:v>
      </x:c>
    </x:row>
    <x:row r="17">
      <x:c r="A17" s="193" t="n">
        <x:v>46251</x:v>
      </x:c>
      <x:c r="B17" s="187" t="str">
        <x:v>CSSP10746310</x:v>
      </x:c>
      <x:c r="C17" s="188" t="str">
        <x:f>IF(B17="","",IF(COUNTIF('Raw Decommissioning'!$B$2:$B$1000,B17)&gt;0,"Decommissioning",IF(COUNTIF('Raw Provisioning'!$B$2:$B$1000,B17)&gt;0,"Provisioning","Not in latest raw")))</x:f>
        <x:v>Decommissioning</x:v>
      </x:c>
      <x:c r="D17" s="188" t="str">
        <x:f>IF(B17="","",IFERROR(INDEX('Raw Decommissioning'!$E$2:$E$1000,MATCH(B17,'Raw Decommissioning'!$B$2:$B$1000,0)),IFERROR(INDEX('Raw Provisioning'!$E$2:$E$1000,MATCH(B17,'Raw Provisioning'!$B$2:$B$1000,0)),"Missing from latest raw")))</x:f>
        <x:v>executing</x:v>
      </x:c>
      <x:c r="E17" s="188" t="str">
        <x:f>IF(B17="","",IF(D17="completed","Completed in CSSP",IF(D17="executing","Active - Executing",IF(D17="processing","Ready to Assign",IF(D17="Missing from latest raw","Check Source","Not Managed - "&amp;D17)))))</x:f>
        <x:v>Active - Executing</x:v>
      </x:c>
      <x:c r="F17" s="189" t="str">
        <x:f>IF(B17="","",IFERROR(INDEX('Task Master'!$K$5:$K$804,MATCH(B17,'Task Master'!$A$5:$A$804,0)),""))</x:f>
        <x:v>amarja.kawade@petronas.com</x:v>
      </x:c>
      <x:c r="G17" s="190"/>
      <x:c r="H17" s="190" t="str">
        <x:v>Not Started</x:v>
      </x:c>
      <x:c r="I17" s="191"/>
      <x:c r="J17" s="190"/>
      <x:c r="K17" s="190"/>
      <x:c r="L17" s="195"/>
      <x:c r="M17" s="190" t="str">
        <x:v>Not Assessed</x:v>
      </x:c>
      <x:c r="N17" s="187">
        <x:f ca="1"/>
      </x:c>
      <x:c r="O17" s="192"/>
      <x:c r="P17" s="192" t="str">
        <x:v>System Initial Load</x:v>
      </x:c>
      <x:c r="Q17" s="170" t="str">
        <x:f>IF(OR(A17="",B17=""),"",IF(A17=LOOKUP(2,1/($B$5:$B$704=B17),$A$5:$A$704),"Yes","No"))</x:f>
        <x:v>Yes</x:v>
      </x:c>
    </x:row>
    <x:row r="18">
      <x:c r="A18" s="193" t="n">
        <x:v>46251</x:v>
      </x:c>
      <x:c r="B18" s="187" t="str">
        <x:v>CSSP10749532</x:v>
      </x:c>
      <x:c r="C18" s="188" t="str">
        <x:f>IF(B18="","",IF(COUNTIF('Raw Decommissioning'!$B$2:$B$1000,B18)&gt;0,"Decommissioning",IF(COUNTIF('Raw Provisioning'!$B$2:$B$1000,B18)&gt;0,"Provisioning","Not in latest raw")))</x:f>
        <x:v>Decommissioning</x:v>
      </x:c>
      <x:c r="D18" s="188" t="str">
        <x:f>IF(B18="","",IFERROR(INDEX('Raw Decommissioning'!$E$2:$E$1000,MATCH(B18,'Raw Decommissioning'!$B$2:$B$1000,0)),IFERROR(INDEX('Raw Provisioning'!$E$2:$E$1000,MATCH(B18,'Raw Provisioning'!$B$2:$B$1000,0)),"Missing from latest raw")))</x:f>
        <x:v>executing</x:v>
      </x:c>
      <x:c r="E18" s="188" t="str">
        <x:f>IF(B18="","",IF(D18="completed","Completed in CSSP",IF(D18="executing","Active - Executing",IF(D18="processing","Ready to Assign",IF(D18="Missing from latest raw","Check Source","Not Managed - "&amp;D18)))))</x:f>
        <x:v>Active - Executing</x:v>
      </x:c>
      <x:c r="F18" s="189" t="str">
        <x:f>IF(B18="","",IFERROR(INDEX('Task Master'!$K$5:$K$804,MATCH(B18,'Task Master'!$A$5:$A$804,0)),""))</x:f>
        <x:v>amarja.kawade@petronas.com</x:v>
      </x:c>
      <x:c r="G18" s="190"/>
      <x:c r="H18" s="190" t="str">
        <x:v>Not Started</x:v>
      </x:c>
      <x:c r="I18" s="191"/>
      <x:c r="J18" s="190"/>
      <x:c r="K18" s="190"/>
      <x:c r="L18" s="195"/>
      <x:c r="M18" s="190" t="str">
        <x:v>Not Assessed</x:v>
      </x:c>
      <x:c r="N18" s="187">
        <x:f ca="1"/>
      </x:c>
      <x:c r="O18" s="192"/>
      <x:c r="P18" s="192" t="str">
        <x:v>System Initial Load</x:v>
      </x:c>
      <x:c r="Q18" s="170" t="str">
        <x:f>IF(OR(A18="",B18=""),"",IF(A18=LOOKUP(2,1/($B$5:$B$704=B18),$A$5:$A$704),"Yes","No"))</x:f>
        <x:v>Yes</x:v>
      </x:c>
    </x:row>
    <x:row r="19">
      <x:c r="A19" s="193" t="n">
        <x:v>46251</x:v>
      </x:c>
      <x:c r="B19" s="187" t="str">
        <x:v>CSSP10766912</x:v>
      </x:c>
      <x:c r="C19" s="188" t="str">
        <x:f>IF(B19="","",IF(COUNTIF('Raw Decommissioning'!$B$2:$B$1000,B19)&gt;0,"Decommissioning",IF(COUNTIF('Raw Provisioning'!$B$2:$B$1000,B19)&gt;0,"Provisioning","Not in latest raw")))</x:f>
        <x:v>Decommissioning</x:v>
      </x:c>
      <x:c r="D19" s="188" t="str">
        <x:f>IF(B19="","",IFERROR(INDEX('Raw Decommissioning'!$E$2:$E$1000,MATCH(B19,'Raw Decommissioning'!$B$2:$B$1000,0)),IFERROR(INDEX('Raw Provisioning'!$E$2:$E$1000,MATCH(B19,'Raw Provisioning'!$B$2:$B$1000,0)),"Missing from latest raw")))</x:f>
        <x:v>executing</x:v>
      </x:c>
      <x:c r="E19" s="188" t="str">
        <x:f>IF(B19="","",IF(D19="completed","Completed in CSSP",IF(D19="executing","Active - Executing",IF(D19="processing","Ready to Assign",IF(D19="Missing from latest raw","Check Source","Not Managed - "&amp;D19)))))</x:f>
        <x:v>Active - Executing</x:v>
      </x:c>
      <x:c r="F19" s="189" t="str">
        <x:f>IF(B19="","",IFERROR(INDEX('Task Master'!$K$5:$K$804,MATCH(B19,'Task Master'!$A$5:$A$804,0)),""))</x:f>
        <x:v>amarja.kawade@petronas.com</x:v>
      </x:c>
      <x:c r="G19" s="190"/>
      <x:c r="H19" s="190" t="str">
        <x:v>Not Started</x:v>
      </x:c>
      <x:c r="I19" s="191"/>
      <x:c r="J19" s="190"/>
      <x:c r="K19" s="190"/>
      <x:c r="L19" s="195"/>
      <x:c r="M19" s="190" t="str">
        <x:v>Not Assessed</x:v>
      </x:c>
      <x:c r="N19" s="187">
        <x:f ca="1"/>
      </x:c>
      <x:c r="O19" s="192"/>
      <x:c r="P19" s="192" t="str">
        <x:v>System Initial Load</x:v>
      </x:c>
      <x:c r="Q19" s="170" t="str">
        <x:f>IF(OR(A19="",B19=""),"",IF(A19=LOOKUP(2,1/($B$5:$B$704=B19),$A$5:$A$704),"Yes","No"))</x:f>
        <x:v>Yes</x:v>
      </x:c>
    </x:row>
    <x:row r="20">
      <x:c r="A20" s="193" t="n">
        <x:v>46251</x:v>
      </x:c>
      <x:c r="B20" s="187" t="str">
        <x:v>CSSP10777447</x:v>
      </x:c>
      <x:c r="C20" s="188" t="str">
        <x:f>IF(B20="","",IF(COUNTIF('Raw Decommissioning'!$B$2:$B$1000,B20)&gt;0,"Decommissioning",IF(COUNTIF('Raw Provisioning'!$B$2:$B$1000,B20)&gt;0,"Provisioning","Not in latest raw")))</x:f>
        <x:v>Decommissioning</x:v>
      </x:c>
      <x:c r="D20" s="188" t="str">
        <x:f>IF(B20="","",IFERROR(INDEX('Raw Decommissioning'!$E$2:$E$1000,MATCH(B20,'Raw Decommissioning'!$B$2:$B$1000,0)),IFERROR(INDEX('Raw Provisioning'!$E$2:$E$1000,MATCH(B20,'Raw Provisioning'!$B$2:$B$1000,0)),"Missing from latest raw")))</x:f>
        <x:v>executing</x:v>
      </x:c>
      <x:c r="E20" s="188" t="str">
        <x:f>IF(B20="","",IF(D20="completed","Completed in CSSP",IF(D20="executing","Active - Executing",IF(D20="processing","Ready to Assign",IF(D20="Missing from latest raw","Check Source","Not Managed - "&amp;D20)))))</x:f>
        <x:v>Active - Executing</x:v>
      </x:c>
      <x:c r="F20" s="189" t="str">
        <x:f>IF(B20="","",IFERROR(INDEX('Task Master'!$K$5:$K$804,MATCH(B20,'Task Master'!$A$5:$A$804,0)),""))</x:f>
        <x:v>amarja.kawade@petronas.com</x:v>
      </x:c>
      <x:c r="G20" s="190"/>
      <x:c r="H20" s="190" t="str">
        <x:v>Not Started</x:v>
      </x:c>
      <x:c r="I20" s="191"/>
      <x:c r="J20" s="190"/>
      <x:c r="K20" s="190"/>
      <x:c r="L20" s="195"/>
      <x:c r="M20" s="190" t="str">
        <x:v>Not Assessed</x:v>
      </x:c>
      <x:c r="N20" s="187">
        <x:f ca="1"/>
      </x:c>
      <x:c r="O20" s="192"/>
      <x:c r="P20" s="192" t="str">
        <x:v>System Initial Load</x:v>
      </x:c>
      <x:c r="Q20" s="170" t="str">
        <x:f>IF(OR(A20="",B20=""),"",IF(A20=LOOKUP(2,1/($B$5:$B$704=B20),$A$5:$A$704),"Yes","No"))</x:f>
        <x:v>Yes</x:v>
      </x:c>
    </x:row>
    <x:row r="21">
      <x:c r="A21" s="193" t="n">
        <x:v>46251</x:v>
      </x:c>
      <x:c r="B21" s="187" t="str">
        <x:v>CSSP10876136</x:v>
      </x:c>
      <x:c r="C21" s="188" t="str">
        <x:f>IF(B21="","",IF(COUNTIF('Raw Decommissioning'!$B$2:$B$1000,B21)&gt;0,"Decommissioning",IF(COUNTIF('Raw Provisioning'!$B$2:$B$1000,B21)&gt;0,"Provisioning","Not in latest raw")))</x:f>
        <x:v>Decommissioning</x:v>
      </x:c>
      <x:c r="D21" s="188" t="str">
        <x:f>IF(B21="","",IFERROR(INDEX('Raw Decommissioning'!$E$2:$E$1000,MATCH(B21,'Raw Decommissioning'!$B$2:$B$1000,0)),IFERROR(INDEX('Raw Provisioning'!$E$2:$E$1000,MATCH(B21,'Raw Provisioning'!$B$2:$B$1000,0)),"Missing from latest raw")))</x:f>
        <x:v>executing</x:v>
      </x:c>
      <x:c r="E21" s="188" t="str">
        <x:f>IF(B21="","",IF(D21="completed","Completed in CSSP",IF(D21="executing","Active - Executing",IF(D21="processing","Ready to Assign",IF(D21="Missing from latest raw","Check Source","Not Managed - "&amp;D21)))))</x:f>
        <x:v>Active - Executing</x:v>
      </x:c>
      <x:c r="F21" s="189" t="str">
        <x:f>IF(B21="","",IFERROR(INDEX('Task Master'!$K$5:$K$804,MATCH(B21,'Task Master'!$A$5:$A$804,0)),""))</x:f>
        <x:v>amarja.kawade@petronas.com</x:v>
      </x:c>
      <x:c r="G21" s="190"/>
      <x:c r="H21" s="190" t="str">
        <x:v>Not Started</x:v>
      </x:c>
      <x:c r="I21" s="191"/>
      <x:c r="J21" s="190"/>
      <x:c r="K21" s="190"/>
      <x:c r="L21" s="195"/>
      <x:c r="M21" s="190" t="str">
        <x:v>Not Assessed</x:v>
      </x:c>
      <x:c r="N21" s="187">
        <x:f ca="1"/>
      </x:c>
      <x:c r="O21" s="192"/>
      <x:c r="P21" s="192" t="str">
        <x:v>System Initial Load</x:v>
      </x:c>
      <x:c r="Q21" s="170" t="str">
        <x:f>IF(OR(A21="",B21=""),"",IF(A21=LOOKUP(2,1/($B$5:$B$704=B21),$A$5:$A$704),"Yes","No"))</x:f>
        <x:v>Yes</x:v>
      </x:c>
    </x:row>
    <x:row r="22">
      <x:c r="A22" s="193" t="n">
        <x:v>46251</x:v>
      </x:c>
      <x:c r="B22" s="187" t="str">
        <x:v>CSSP10910215</x:v>
      </x:c>
      <x:c r="C22" s="188" t="str">
        <x:f>IF(B22="","",IF(COUNTIF('Raw Decommissioning'!$B$2:$B$1000,B22)&gt;0,"Decommissioning",IF(COUNTIF('Raw Provisioning'!$B$2:$B$1000,B22)&gt;0,"Provisioning","Not in latest raw")))</x:f>
        <x:v>Decommissioning</x:v>
      </x:c>
      <x:c r="D22" s="188" t="str">
        <x:f>IF(B22="","",IFERROR(INDEX('Raw Decommissioning'!$E$2:$E$1000,MATCH(B22,'Raw Decommissioning'!$B$2:$B$1000,0)),IFERROR(INDEX('Raw Provisioning'!$E$2:$E$1000,MATCH(B22,'Raw Provisioning'!$B$2:$B$1000,0)),"Missing from latest raw")))</x:f>
        <x:v>executing</x:v>
      </x:c>
      <x:c r="E22" s="188" t="str">
        <x:f>IF(B22="","",IF(D22="completed","Completed in CSSP",IF(D22="executing","Active - Executing",IF(D22="processing","Ready to Assign",IF(D22="Missing from latest raw","Check Source","Not Managed - "&amp;D22)))))</x:f>
        <x:v>Active - Executing</x:v>
      </x:c>
      <x:c r="F22" s="189" t="str">
        <x:f>IF(B22="","",IFERROR(INDEX('Task Master'!$K$5:$K$804,MATCH(B22,'Task Master'!$A$5:$A$804,0)),""))</x:f>
        <x:v>amarja.kawade@petronas.com</x:v>
      </x:c>
      <x:c r="G22" s="190"/>
      <x:c r="H22" s="190" t="str">
        <x:v>Not Started</x:v>
      </x:c>
      <x:c r="I22" s="191"/>
      <x:c r="J22" s="190"/>
      <x:c r="K22" s="190"/>
      <x:c r="L22" s="195"/>
      <x:c r="M22" s="190" t="str">
        <x:v>Not Assessed</x:v>
      </x:c>
      <x:c r="N22" s="187">
        <x:f ca="1"/>
      </x:c>
      <x:c r="O22" s="192"/>
      <x:c r="P22" s="192" t="str">
        <x:v>System Initial Load</x:v>
      </x:c>
      <x:c r="Q22" s="170" t="str">
        <x:f>IF(OR(A22="",B22=""),"",IF(A22=LOOKUP(2,1/($B$5:$B$704=B22),$A$5:$A$704),"Yes","No"))</x:f>
        <x:v>Yes</x:v>
      </x:c>
    </x:row>
    <x:row r="23">
      <x:c r="A23" s="193" t="n">
        <x:v>46251</x:v>
      </x:c>
      <x:c r="B23" s="187" t="str">
        <x:v>CSSP10914400</x:v>
      </x:c>
      <x:c r="C23" s="188" t="str">
        <x:f>IF(B23="","",IF(COUNTIF('Raw Decommissioning'!$B$2:$B$1000,B23)&gt;0,"Decommissioning",IF(COUNTIF('Raw Provisioning'!$B$2:$B$1000,B23)&gt;0,"Provisioning","Not in latest raw")))</x:f>
        <x:v>Decommissioning</x:v>
      </x:c>
      <x:c r="D23" s="188" t="str">
        <x:f>IF(B23="","",IFERROR(INDEX('Raw Decommissioning'!$E$2:$E$1000,MATCH(B23,'Raw Decommissioning'!$B$2:$B$1000,0)),IFERROR(INDEX('Raw Provisioning'!$E$2:$E$1000,MATCH(B23,'Raw Provisioning'!$B$2:$B$1000,0)),"Missing from latest raw")))</x:f>
        <x:v>executing</x:v>
      </x:c>
      <x:c r="E23" s="188" t="str">
        <x:f>IF(B23="","",IF(D23="completed","Completed in CSSP",IF(D23="executing","Active - Executing",IF(D23="processing","Ready to Assign",IF(D23="Missing from latest raw","Check Source","Not Managed - "&amp;D23)))))</x:f>
        <x:v>Active - Executing</x:v>
      </x:c>
      <x:c r="F23" s="189" t="str">
        <x:f>IF(B23="","",IFERROR(INDEX('Task Master'!$K$5:$K$804,MATCH(B23,'Task Master'!$A$5:$A$804,0)),""))</x:f>
        <x:v>amarja.kawade@petronas.com</x:v>
      </x:c>
      <x:c r="G23" s="190"/>
      <x:c r="H23" s="190" t="str">
        <x:v>Not Started</x:v>
      </x:c>
      <x:c r="I23" s="191"/>
      <x:c r="J23" s="190"/>
      <x:c r="K23" s="190"/>
      <x:c r="L23" s="195"/>
      <x:c r="M23" s="190" t="str">
        <x:v>Not Assessed</x:v>
      </x:c>
      <x:c r="N23" s="187">
        <x:f ca="1"/>
      </x:c>
      <x:c r="O23" s="192"/>
      <x:c r="P23" s="192" t="str">
        <x:v>System Initial Load</x:v>
      </x:c>
      <x:c r="Q23" s="170" t="str">
        <x:f>IF(OR(A23="",B23=""),"",IF(A23=LOOKUP(2,1/($B$5:$B$704=B23),$A$5:$A$704),"Yes","No"))</x:f>
        <x:v>Yes</x:v>
      </x:c>
    </x:row>
    <x:row r="24">
      <x:c r="A24" s="193" t="n">
        <x:v>46251</x:v>
      </x:c>
      <x:c r="B24" s="187" t="str">
        <x:v>CSSP10375827</x:v>
      </x:c>
      <x:c r="C24" s="188" t="str">
        <x:f>IF(B24="","",IF(COUNTIF('Raw Decommissioning'!$B$2:$B$1000,B24)&gt;0,"Decommissioning",IF(COUNTIF('Raw Provisioning'!$B$2:$B$1000,B24)&gt;0,"Provisioning","Not in latest raw")))</x:f>
        <x:v>Decommissioning</x:v>
      </x:c>
      <x:c r="D24" s="188" t="str">
        <x:f>IF(B24="","",IFERROR(INDEX('Raw Decommissioning'!$E$2:$E$1000,MATCH(B24,'Raw Decommissioning'!$B$2:$B$1000,0)),IFERROR(INDEX('Raw Provisioning'!$E$2:$E$1000,MATCH(B24,'Raw Provisioning'!$B$2:$B$1000,0)),"Missing from latest raw")))</x:f>
        <x:v>executing</x:v>
      </x:c>
      <x:c r="E24" s="188" t="str">
        <x:f>IF(B24="","",IF(D24="completed","Completed in CSSP",IF(D24="executing","Active - Executing",IF(D24="processing","Ready to Assign",IF(D24="Missing from latest raw","Check Source","Not Managed - "&amp;D24)))))</x:f>
        <x:v>Active - Executing</x:v>
      </x:c>
      <x:c r="F24" s="189" t="str">
        <x:f>IF(B24="","",IFERROR(INDEX('Task Master'!$K$5:$K$804,MATCH(B24,'Task Master'!$A$5:$A$804,0)),""))</x:f>
        <x:v>amarja.kawade@petronas.com</x:v>
      </x:c>
      <x:c r="G24" s="190"/>
      <x:c r="H24" s="190" t="str">
        <x:v>Not Started</x:v>
      </x:c>
      <x:c r="I24" s="191"/>
      <x:c r="J24" s="190"/>
      <x:c r="K24" s="190"/>
      <x:c r="L24" s="195"/>
      <x:c r="M24" s="190" t="str">
        <x:v>Not Assessed</x:v>
      </x:c>
      <x:c r="N24" s="187">
        <x:f ca="1"/>
      </x:c>
      <x:c r="O24" s="192"/>
      <x:c r="P24" s="192" t="str">
        <x:v>System Initial Load</x:v>
      </x:c>
      <x:c r="Q24" s="170" t="str">
        <x:f>IF(OR(A24="",B24=""),"",IF(A24=LOOKUP(2,1/($B$5:$B$704=B24),$A$5:$A$704),"Yes","No"))</x:f>
        <x:v>Yes</x:v>
      </x:c>
    </x:row>
    <x:row r="25">
      <x:c r="A25" s="193" t="n">
        <x:v>46251</x:v>
      </x:c>
      <x:c r="B25" s="187" t="str">
        <x:v>CSSP10516713</x:v>
      </x:c>
      <x:c r="C25" s="188" t="str">
        <x:f>IF(B25="","",IF(COUNTIF('Raw Decommissioning'!$B$2:$B$1000,B25)&gt;0,"Decommissioning",IF(COUNTIF('Raw Provisioning'!$B$2:$B$1000,B25)&gt;0,"Provisioning","Not in latest raw")))</x:f>
        <x:v>Decommissioning</x:v>
      </x:c>
      <x:c r="D25" s="188" t="str">
        <x:f>IF(B25="","",IFERROR(INDEX('Raw Decommissioning'!$E$2:$E$1000,MATCH(B25,'Raw Decommissioning'!$B$2:$B$1000,0)),IFERROR(INDEX('Raw Provisioning'!$E$2:$E$1000,MATCH(B25,'Raw Provisioning'!$B$2:$B$1000,0)),"Missing from latest raw")))</x:f>
        <x:v>executing</x:v>
      </x:c>
      <x:c r="E25" s="188" t="str">
        <x:f>IF(B25="","",IF(D25="completed","Completed in CSSP",IF(D25="executing","Active - Executing",IF(D25="processing","Ready to Assign",IF(D25="Missing from latest raw","Check Source","Not Managed - "&amp;D25)))))</x:f>
        <x:v>Active - Executing</x:v>
      </x:c>
      <x:c r="F25" s="189" t="str">
        <x:f>IF(B25="","",IFERROR(INDEX('Task Master'!$K$5:$K$804,MATCH(B25,'Task Master'!$A$5:$A$804,0)),""))</x:f>
        <x:v>amarja.kawade@petronas.com</x:v>
      </x:c>
      <x:c r="G25" s="190"/>
      <x:c r="H25" s="190" t="str">
        <x:v>Not Started</x:v>
      </x:c>
      <x:c r="I25" s="191"/>
      <x:c r="J25" s="190"/>
      <x:c r="K25" s="190"/>
      <x:c r="L25" s="195"/>
      <x:c r="M25" s="190" t="str">
        <x:v>Not Assessed</x:v>
      </x:c>
      <x:c r="N25" s="187">
        <x:f ca="1"/>
      </x:c>
      <x:c r="O25" s="192"/>
      <x:c r="P25" s="192" t="str">
        <x:v>System Initial Load</x:v>
      </x:c>
      <x:c r="Q25" s="170" t="str">
        <x:f>IF(OR(A25="",B25=""),"",IF(A25=LOOKUP(2,1/($B$5:$B$704=B25),$A$5:$A$704),"Yes","No"))</x:f>
        <x:v>Yes</x:v>
      </x:c>
    </x:row>
    <x:row r="26">
      <x:c r="A26" s="193" t="n">
        <x:v>46251</x:v>
      </x:c>
      <x:c r="B26" s="187" t="str">
        <x:v>CSSP10668539</x:v>
      </x:c>
      <x:c r="C26" s="188" t="str">
        <x:f>IF(B26="","",IF(COUNTIF('Raw Decommissioning'!$B$2:$B$1000,B26)&gt;0,"Decommissioning",IF(COUNTIF('Raw Provisioning'!$B$2:$B$1000,B26)&gt;0,"Provisioning","Not in latest raw")))</x:f>
        <x:v>Decommissioning</x:v>
      </x:c>
      <x:c r="D26" s="188" t="str">
        <x:f>IF(B26="","",IFERROR(INDEX('Raw Decommissioning'!$E$2:$E$1000,MATCH(B26,'Raw Decommissioning'!$B$2:$B$1000,0)),IFERROR(INDEX('Raw Provisioning'!$E$2:$E$1000,MATCH(B26,'Raw Provisioning'!$B$2:$B$1000,0)),"Missing from latest raw")))</x:f>
        <x:v>executing</x:v>
      </x:c>
      <x:c r="E26" s="188" t="str">
        <x:f>IF(B26="","",IF(D26="completed","Completed in CSSP",IF(D26="executing","Active - Executing",IF(D26="processing","Ready to Assign",IF(D26="Missing from latest raw","Check Source","Not Managed - "&amp;D26)))))</x:f>
        <x:v>Active - Executing</x:v>
      </x:c>
      <x:c r="F26" s="189" t="str">
        <x:f>IF(B26="","",IFERROR(INDEX('Task Master'!$K$5:$K$804,MATCH(B26,'Task Master'!$A$5:$A$804,0)),""))</x:f>
        <x:v>amarja.kawade@petronas.com</x:v>
      </x:c>
      <x:c r="G26" s="190"/>
      <x:c r="H26" s="190" t="str">
        <x:v>Not Started</x:v>
      </x:c>
      <x:c r="I26" s="191"/>
      <x:c r="J26" s="190"/>
      <x:c r="K26" s="190"/>
      <x:c r="L26" s="195"/>
      <x:c r="M26" s="190" t="str">
        <x:v>Not Assessed</x:v>
      </x:c>
      <x:c r="N26" s="187">
        <x:f ca="1"/>
      </x:c>
      <x:c r="O26" s="192"/>
      <x:c r="P26" s="192" t="str">
        <x:v>System Initial Load</x:v>
      </x:c>
      <x:c r="Q26" s="170" t="str">
        <x:f>IF(OR(A26="",B26=""),"",IF(A26=LOOKUP(2,1/($B$5:$B$704=B26),$A$5:$A$704),"Yes","No"))</x:f>
        <x:v>Yes</x:v>
      </x:c>
    </x:row>
    <x:row r="27">
      <x:c r="A27" s="193" t="n">
        <x:v>46251</x:v>
      </x:c>
      <x:c r="B27" s="187" t="str">
        <x:v>CSSP10768118</x:v>
      </x:c>
      <x:c r="C27" s="188" t="str">
        <x:f>IF(B27="","",IF(COUNTIF('Raw Decommissioning'!$B$2:$B$1000,B27)&gt;0,"Decommissioning",IF(COUNTIF('Raw Provisioning'!$B$2:$B$1000,B27)&gt;0,"Provisioning","Not in latest raw")))</x:f>
        <x:v>Decommissioning</x:v>
      </x:c>
      <x:c r="D27" s="188" t="str">
        <x:f>IF(B27="","",IFERROR(INDEX('Raw Decommissioning'!$E$2:$E$1000,MATCH(B27,'Raw Decommissioning'!$B$2:$B$1000,0)),IFERROR(INDEX('Raw Provisioning'!$E$2:$E$1000,MATCH(B27,'Raw Provisioning'!$B$2:$B$1000,0)),"Missing from latest raw")))</x:f>
        <x:v>executing</x:v>
      </x:c>
      <x:c r="E27" s="188" t="str">
        <x:f>IF(B27="","",IF(D27="completed","Completed in CSSP",IF(D27="executing","Active - Executing",IF(D27="processing","Ready to Assign",IF(D27="Missing from latest raw","Check Source","Not Managed - "&amp;D27)))))</x:f>
        <x:v>Active - Executing</x:v>
      </x:c>
      <x:c r="F27" s="189" t="str">
        <x:f>IF(B27="","",IFERROR(INDEX('Task Master'!$K$5:$K$804,MATCH(B27,'Task Master'!$A$5:$A$804,0)),""))</x:f>
        <x:v>amarja.kawade@petronas.com</x:v>
      </x:c>
      <x:c r="G27" s="190"/>
      <x:c r="H27" s="190" t="str">
        <x:v>Not Started</x:v>
      </x:c>
      <x:c r="I27" s="191"/>
      <x:c r="J27" s="190"/>
      <x:c r="K27" s="190"/>
      <x:c r="L27" s="195"/>
      <x:c r="M27" s="190" t="str">
        <x:v>Not Assessed</x:v>
      </x:c>
      <x:c r="N27" s="187">
        <x:f ca="1"/>
      </x:c>
      <x:c r="O27" s="192"/>
      <x:c r="P27" s="192" t="str">
        <x:v>System Initial Load</x:v>
      </x:c>
      <x:c r="Q27" s="170" t="str">
        <x:f>IF(OR(A27="",B27=""),"",IF(A27=LOOKUP(2,1/($B$5:$B$704=B27),$A$5:$A$704),"Yes","No"))</x:f>
        <x:v>Yes</x:v>
      </x:c>
    </x:row>
    <x:row r="28">
      <x:c r="A28" s="193" t="n">
        <x:v>46251</x:v>
      </x:c>
      <x:c r="B28" s="187" t="str">
        <x:v>CSSP10353907</x:v>
      </x:c>
      <x:c r="C28" s="188" t="str">
        <x:f>IF(B28="","",IF(COUNTIF('Raw Decommissioning'!$B$2:$B$1000,B28)&gt;0,"Decommissioning",IF(COUNTIF('Raw Provisioning'!$B$2:$B$1000,B28)&gt;0,"Provisioning","Not in latest raw")))</x:f>
        <x:v>Decommissioning</x:v>
      </x:c>
      <x:c r="D28" s="188" t="str">
        <x:f>IF(B28="","",IFERROR(INDEX('Raw Decommissioning'!$E$2:$E$1000,MATCH(B28,'Raw Decommissioning'!$B$2:$B$1000,0)),IFERROR(INDEX('Raw Provisioning'!$E$2:$E$1000,MATCH(B28,'Raw Provisioning'!$B$2:$B$1000,0)),"Missing from latest raw")))</x:f>
        <x:v>executing</x:v>
      </x:c>
      <x:c r="E28" s="188" t="str">
        <x:f>IF(B28="","",IF(D28="completed","Completed in CSSP",IF(D28="executing","Active - Executing",IF(D28="processing","Ready to Assign",IF(D28="Missing from latest raw","Check Source","Not Managed - "&amp;D28)))))</x:f>
        <x:v>Active - Executing</x:v>
      </x:c>
      <x:c r="F28" s="189" t="str">
        <x:f>IF(B28="","",IFERROR(INDEX('Task Master'!$K$5:$K$804,MATCH(B28,'Task Master'!$A$5:$A$804,0)),""))</x:f>
        <x:v>IMS - CLOUD CSSP EXECUTOR</x:v>
      </x:c>
      <x:c r="G28" s="190"/>
      <x:c r="H28" s="190" t="str">
        <x:v>Not Started</x:v>
      </x:c>
      <x:c r="I28" s="191"/>
      <x:c r="J28" s="190"/>
      <x:c r="K28" s="190"/>
      <x:c r="L28" s="195"/>
      <x:c r="M28" s="190" t="str">
        <x:v>Not Assessed</x:v>
      </x:c>
      <x:c r="N28" s="187">
        <x:f ca="1"/>
      </x:c>
      <x:c r="O28" s="192"/>
      <x:c r="P28" s="192" t="str">
        <x:v>System Initial Load</x:v>
      </x:c>
      <x:c r="Q28" s="170" t="str">
        <x:f>IF(OR(A28="",B28=""),"",IF(A28=LOOKUP(2,1/($B$5:$B$704=B28),$A$5:$A$704),"Yes","No"))</x:f>
        <x:v>Yes</x:v>
      </x:c>
    </x:row>
    <x:row r="29">
      <x:c r="A29" s="193" t="n">
        <x:v>46251</x:v>
      </x:c>
      <x:c r="B29" s="187" t="str">
        <x:v>CSSP10685915</x:v>
      </x:c>
      <x:c r="C29" s="188" t="str">
        <x:f>IF(B29="","",IF(COUNTIF('Raw Decommissioning'!$B$2:$B$1000,B29)&gt;0,"Decommissioning",IF(COUNTIF('Raw Provisioning'!$B$2:$B$1000,B29)&gt;0,"Provisioning","Not in latest raw")))</x:f>
        <x:v>Decommissioning</x:v>
      </x:c>
      <x:c r="D29" s="188" t="str">
        <x:f>IF(B29="","",IFERROR(INDEX('Raw Decommissioning'!$E$2:$E$1000,MATCH(B29,'Raw Decommissioning'!$B$2:$B$1000,0)),IFERROR(INDEX('Raw Provisioning'!$E$2:$E$1000,MATCH(B29,'Raw Provisioning'!$B$2:$B$1000,0)),"Missing from latest raw")))</x:f>
        <x:v>executing</x:v>
      </x:c>
      <x:c r="E29" s="188" t="str">
        <x:f>IF(B29="","",IF(D29="completed","Completed in CSSP",IF(D29="executing","Active - Executing",IF(D29="processing","Ready to Assign",IF(D29="Missing from latest raw","Check Source","Not Managed - "&amp;D29)))))</x:f>
        <x:v>Active - Executing</x:v>
      </x:c>
      <x:c r="F29" s="189" t="str">
        <x:f>IF(B29="","",IFERROR(INDEX('Task Master'!$K$5:$K$804,MATCH(B29,'Task Master'!$A$5:$A$804,0)),""))</x:f>
        <x:v>IMS - CLOUD CSSP EXECUTOR</x:v>
      </x:c>
      <x:c r="G29" s="190"/>
      <x:c r="H29" s="190" t="str">
        <x:v>Not Started</x:v>
      </x:c>
      <x:c r="I29" s="191"/>
      <x:c r="J29" s="190"/>
      <x:c r="K29" s="190"/>
      <x:c r="L29" s="195"/>
      <x:c r="M29" s="190" t="str">
        <x:v>Not Assessed</x:v>
      </x:c>
      <x:c r="N29" s="187">
        <x:f ca="1"/>
      </x:c>
      <x:c r="O29" s="192"/>
      <x:c r="P29" s="192" t="str">
        <x:v>System Initial Load</x:v>
      </x:c>
      <x:c r="Q29" s="170" t="str">
        <x:f>IF(OR(A29="",B29=""),"",IF(A29=LOOKUP(2,1/($B$5:$B$704=B29),$A$5:$A$704),"Yes","No"))</x:f>
        <x:v>Yes</x:v>
      </x:c>
    </x:row>
    <x:row r="30">
      <x:c r="A30" s="193" t="n">
        <x:v>46251</x:v>
      </x:c>
      <x:c r="B30" s="187" t="str">
        <x:v>CSSP10231806</x:v>
      </x:c>
      <x:c r="C30" s="188" t="str">
        <x:f>IF(B30="","",IF(COUNTIF('Raw Decommissioning'!$B$2:$B$1000,B30)&gt;0,"Decommissioning",IF(COUNTIF('Raw Provisioning'!$B$2:$B$1000,B30)&gt;0,"Provisioning","Not in latest raw")))</x:f>
        <x:v>Decommissioning</x:v>
      </x:c>
      <x:c r="D30" s="188" t="str">
        <x:f>IF(B30="","",IFERROR(INDEX('Raw Decommissioning'!$E$2:$E$1000,MATCH(B30,'Raw Decommissioning'!$B$2:$B$1000,0)),IFERROR(INDEX('Raw Provisioning'!$E$2:$E$1000,MATCH(B30,'Raw Provisioning'!$B$2:$B$1000,0)),"Missing from latest raw")))</x:f>
        <x:v>executing</x:v>
      </x:c>
      <x:c r="E30" s="188" t="str">
        <x:f>IF(B30="","",IF(D30="completed","Completed in CSSP",IF(D30="executing","Active - Executing",IF(D30="processing","Ready to Assign",IF(D30="Missing from latest raw","Check Source","Not Managed - "&amp;D30)))))</x:f>
        <x:v>Active - Executing</x:v>
      </x:c>
      <x:c r="F30" s="189" t="str">
        <x:f>IF(B30="","",IFERROR(INDEX('Task Master'!$K$5:$K$804,MATCH(B30,'Task Master'!$A$5:$A$804,0)),""))</x:f>
        <x:v>k.saktivelu@petronas.com</x:v>
      </x:c>
      <x:c r="G30" s="190"/>
      <x:c r="H30" s="190" t="str">
        <x:v>Not Started</x:v>
      </x:c>
      <x:c r="I30" s="191"/>
      <x:c r="J30" s="190"/>
      <x:c r="K30" s="190"/>
      <x:c r="L30" s="195"/>
      <x:c r="M30" s="190" t="str">
        <x:v>Not Assessed</x:v>
      </x:c>
      <x:c r="N30" s="187">
        <x:f ca="1"/>
      </x:c>
      <x:c r="O30" s="192"/>
      <x:c r="P30" s="192" t="str">
        <x:v>System Initial Load</x:v>
      </x:c>
      <x:c r="Q30" s="170" t="str">
        <x:f>IF(OR(A30="",B30=""),"",IF(A30=LOOKUP(2,1/($B$5:$B$704=B30),$A$5:$A$704),"Yes","No"))</x:f>
        <x:v>Yes</x:v>
      </x:c>
    </x:row>
    <x:row r="31">
      <x:c r="A31" s="193" t="n">
        <x:v>46251</x:v>
      </x:c>
      <x:c r="B31" s="187" t="str">
        <x:v>CSSP10328360</x:v>
      </x:c>
      <x:c r="C31" s="188" t="str">
        <x:f>IF(B31="","",IF(COUNTIF('Raw Decommissioning'!$B$2:$B$1000,B31)&gt;0,"Decommissioning",IF(COUNTIF('Raw Provisioning'!$B$2:$B$1000,B31)&gt;0,"Provisioning","Not in latest raw")))</x:f>
        <x:v>Decommissioning</x:v>
      </x:c>
      <x:c r="D31" s="188" t="str">
        <x:f>IF(B31="","",IFERROR(INDEX('Raw Decommissioning'!$E$2:$E$1000,MATCH(B31,'Raw Decommissioning'!$B$2:$B$1000,0)),IFERROR(INDEX('Raw Provisioning'!$E$2:$E$1000,MATCH(B31,'Raw Provisioning'!$B$2:$B$1000,0)),"Missing from latest raw")))</x:f>
        <x:v>executing</x:v>
      </x:c>
      <x:c r="E31" s="188" t="str">
        <x:f>IF(B31="","",IF(D31="completed","Completed in CSSP",IF(D31="executing","Active - Executing",IF(D31="processing","Ready to Assign",IF(D31="Missing from latest raw","Check Source","Not Managed - "&amp;D31)))))</x:f>
        <x:v>Active - Executing</x:v>
      </x:c>
      <x:c r="F31" s="189" t="str">
        <x:f>IF(B31="","",IFERROR(INDEX('Task Master'!$K$5:$K$804,MATCH(B31,'Task Master'!$A$5:$A$804,0)),""))</x:f>
        <x:v>k.saktivelu@petronas.com</x:v>
      </x:c>
      <x:c r="G31" s="190"/>
      <x:c r="H31" s="190" t="str">
        <x:v>Not Started</x:v>
      </x:c>
      <x:c r="I31" s="191"/>
      <x:c r="J31" s="190"/>
      <x:c r="K31" s="190"/>
      <x:c r="L31" s="195"/>
      <x:c r="M31" s="190" t="str">
        <x:v>Not Assessed</x:v>
      </x:c>
      <x:c r="N31" s="187">
        <x:f ca="1"/>
      </x:c>
      <x:c r="O31" s="192"/>
      <x:c r="P31" s="192" t="str">
        <x:v>System Initial Load</x:v>
      </x:c>
      <x:c r="Q31" s="170" t="str">
        <x:f>IF(OR(A31="",B31=""),"",IF(A31=LOOKUP(2,1/($B$5:$B$704=B31),$A$5:$A$704),"Yes","No"))</x:f>
        <x:v>Yes</x:v>
      </x:c>
    </x:row>
    <x:row r="32">
      <x:c r="A32" s="193" t="n">
        <x:v>46251</x:v>
      </x:c>
      <x:c r="B32" s="187" t="str">
        <x:v>CSSP10170528</x:v>
      </x:c>
      <x:c r="C32" s="188" t="str">
        <x:f>IF(B32="","",IF(COUNTIF('Raw Decommissioning'!$B$2:$B$1000,B32)&gt;0,"Decommissioning",IF(COUNTIF('Raw Provisioning'!$B$2:$B$1000,B32)&gt;0,"Provisioning","Not in latest raw")))</x:f>
        <x:v>Decommissioning</x:v>
      </x:c>
      <x:c r="D32" s="188" t="str">
        <x:f>IF(B32="","",IFERROR(INDEX('Raw Decommissioning'!$E$2:$E$1000,MATCH(B32,'Raw Decommissioning'!$B$2:$B$1000,0)),IFERROR(INDEX('Raw Provisioning'!$E$2:$E$1000,MATCH(B32,'Raw Provisioning'!$B$2:$B$1000,0)),"Missing from latest raw")))</x:f>
        <x:v>executing</x:v>
      </x:c>
      <x:c r="E32" s="188" t="str">
        <x:f>IF(B32="","",IF(D32="completed","Completed in CSSP",IF(D32="executing","Active - Executing",IF(D32="processing","Ready to Assign",IF(D32="Missing from latest raw","Check Source","Not Managed - "&amp;D32)))))</x:f>
        <x:v>Active - Executing</x:v>
      </x:c>
      <x:c r="F32" s="189" t="str">
        <x:f>IF(B32="","",IFERROR(INDEX('Task Master'!$K$5:$K$804,MATCH(B32,'Task Master'!$A$5:$A$804,0)),""))</x:f>
        <x:v>mardiansyah.rayasa@petronas.com</x:v>
      </x:c>
      <x:c r="G32" s="190"/>
      <x:c r="H32" s="190" t="str">
        <x:v>Not Started</x:v>
      </x:c>
      <x:c r="I32" s="191"/>
      <x:c r="J32" s="190"/>
      <x:c r="K32" s="190"/>
      <x:c r="L32" s="195"/>
      <x:c r="M32" s="190" t="str">
        <x:v>Not Assessed</x:v>
      </x:c>
      <x:c r="N32" s="187">
        <x:f ca="1"/>
      </x:c>
      <x:c r="O32" s="192"/>
      <x:c r="P32" s="192" t="str">
        <x:v>System Initial Load</x:v>
      </x:c>
      <x:c r="Q32" s="170" t="str">
        <x:f>IF(OR(A32="",B32=""),"",IF(A32=LOOKUP(2,1/($B$5:$B$704=B32),$A$5:$A$704),"Yes","No"))</x:f>
        <x:v>Yes</x:v>
      </x:c>
    </x:row>
    <x:row r="33">
      <x:c r="A33" s="193" t="n">
        <x:v>46251</x:v>
      </x:c>
      <x:c r="B33" s="187" t="str">
        <x:v>CSSP10446011</x:v>
      </x:c>
      <x:c r="C33" s="188" t="str">
        <x:f>IF(B33="","",IF(COUNTIF('Raw Decommissioning'!$B$2:$B$1000,B33)&gt;0,"Decommissioning",IF(COUNTIF('Raw Provisioning'!$B$2:$B$1000,B33)&gt;0,"Provisioning","Not in latest raw")))</x:f>
        <x:v>Decommissioning</x:v>
      </x:c>
      <x:c r="D33" s="188" t="str">
        <x:f>IF(B33="","",IFERROR(INDEX('Raw Decommissioning'!$E$2:$E$1000,MATCH(B33,'Raw Decommissioning'!$B$2:$B$1000,0)),IFERROR(INDEX('Raw Provisioning'!$E$2:$E$1000,MATCH(B33,'Raw Provisioning'!$B$2:$B$1000,0)),"Missing from latest raw")))</x:f>
        <x:v>executing</x:v>
      </x:c>
      <x:c r="E33" s="188" t="str">
        <x:f>IF(B33="","",IF(D33="completed","Completed in CSSP",IF(D33="executing","Active - Executing",IF(D33="processing","Ready to Assign",IF(D33="Missing from latest raw","Check Source","Not Managed - "&amp;D33)))))</x:f>
        <x:v>Active - Executing</x:v>
      </x:c>
      <x:c r="F33" s="189" t="str">
        <x:f>IF(B33="","",IFERROR(INDEX('Task Master'!$K$5:$K$804,MATCH(B33,'Task Master'!$A$5:$A$804,0)),""))</x:f>
        <x:v>mardiansyah.rayasa@petronas.com</x:v>
      </x:c>
      <x:c r="G33" s="190"/>
      <x:c r="H33" s="190" t="str">
        <x:v>Not Started</x:v>
      </x:c>
      <x:c r="I33" s="191"/>
      <x:c r="J33" s="190"/>
      <x:c r="K33" s="190"/>
      <x:c r="L33" s="195"/>
      <x:c r="M33" s="190" t="str">
        <x:v>Not Assessed</x:v>
      </x:c>
      <x:c r="N33" s="187">
        <x:f ca="1"/>
      </x:c>
      <x:c r="O33" s="192"/>
      <x:c r="P33" s="192" t="str">
        <x:v>System Initial Load</x:v>
      </x:c>
      <x:c r="Q33" s="170" t="str">
        <x:f>IF(OR(A33="",B33=""),"",IF(A33=LOOKUP(2,1/($B$5:$B$704=B33),$A$5:$A$704),"Yes","No"))</x:f>
        <x:v>Yes</x:v>
      </x:c>
    </x:row>
    <x:row r="34">
      <x:c r="A34" s="193" t="n">
        <x:v>46251</x:v>
      </x:c>
      <x:c r="B34" s="187" t="str">
        <x:v>CSSP10733854</x:v>
      </x:c>
      <x:c r="C34" s="188" t="str">
        <x:f>IF(B34="","",IF(COUNTIF('Raw Decommissioning'!$B$2:$B$1000,B34)&gt;0,"Decommissioning",IF(COUNTIF('Raw Provisioning'!$B$2:$B$1000,B34)&gt;0,"Provisioning","Not in latest raw")))</x:f>
        <x:v>Decommissioning</x:v>
      </x:c>
      <x:c r="D34" s="188" t="str">
        <x:f>IF(B34="","",IFERROR(INDEX('Raw Decommissioning'!$E$2:$E$1000,MATCH(B34,'Raw Decommissioning'!$B$2:$B$1000,0)),IFERROR(INDEX('Raw Provisioning'!$E$2:$E$1000,MATCH(B34,'Raw Provisioning'!$B$2:$B$1000,0)),"Missing from latest raw")))</x:f>
        <x:v>executing</x:v>
      </x:c>
      <x:c r="E34" s="188" t="str">
        <x:f>IF(B34="","",IF(D34="completed","Completed in CSSP",IF(D34="executing","Active - Executing",IF(D34="processing","Ready to Assign",IF(D34="Missing from latest raw","Check Source","Not Managed - "&amp;D34)))))</x:f>
        <x:v>Active - Executing</x:v>
      </x:c>
      <x:c r="F34" s="189" t="str">
        <x:f>IF(B34="","",IFERROR(INDEX('Task Master'!$K$5:$K$804,MATCH(B34,'Task Master'!$A$5:$A$804,0)),""))</x:f>
        <x:v>mardiansyah.rayasa@petronas.com</x:v>
      </x:c>
      <x:c r="G34" s="190"/>
      <x:c r="H34" s="190" t="str">
        <x:v>Not Started</x:v>
      </x:c>
      <x:c r="I34" s="191"/>
      <x:c r="J34" s="190"/>
      <x:c r="K34" s="190"/>
      <x:c r="L34" s="195"/>
      <x:c r="M34" s="190" t="str">
        <x:v>Not Assessed</x:v>
      </x:c>
      <x:c r="N34" s="187">
        <x:f ca="1"/>
      </x:c>
      <x:c r="O34" s="192"/>
      <x:c r="P34" s="192" t="str">
        <x:v>System Initial Load</x:v>
      </x:c>
      <x:c r="Q34" s="170" t="str">
        <x:f>IF(OR(A34="",B34=""),"",IF(A34=LOOKUP(2,1/($B$5:$B$704=B34),$A$5:$A$704),"Yes","No"))</x:f>
        <x:v>Yes</x:v>
      </x:c>
    </x:row>
    <x:row r="35">
      <x:c r="A35" s="193" t="n">
        <x:v>46251</x:v>
      </x:c>
      <x:c r="B35" s="187" t="str">
        <x:v>CSSP10844488</x:v>
      </x:c>
      <x:c r="C35" s="188" t="str">
        <x:f>IF(B35="","",IF(COUNTIF('Raw Decommissioning'!$B$2:$B$1000,B35)&gt;0,"Decommissioning",IF(COUNTIF('Raw Provisioning'!$B$2:$B$1000,B35)&gt;0,"Provisioning","Not in latest raw")))</x:f>
        <x:v>Decommissioning</x:v>
      </x:c>
      <x:c r="D35" s="188" t="str">
        <x:f>IF(B35="","",IFERROR(INDEX('Raw Decommissioning'!$E$2:$E$1000,MATCH(B35,'Raw Decommissioning'!$B$2:$B$1000,0)),IFERROR(INDEX('Raw Provisioning'!$E$2:$E$1000,MATCH(B35,'Raw Provisioning'!$B$2:$B$1000,0)),"Missing from latest raw")))</x:f>
        <x:v>executing</x:v>
      </x:c>
      <x:c r="E35" s="188" t="str">
        <x:f>IF(B35="","",IF(D35="completed","Completed in CSSP",IF(D35="executing","Active - Executing",IF(D35="processing","Ready to Assign",IF(D35="Missing from latest raw","Check Source","Not Managed - "&amp;D35)))))</x:f>
        <x:v>Active - Executing</x:v>
      </x:c>
      <x:c r="F35" s="189" t="str">
        <x:f>IF(B35="","",IFERROR(INDEX('Task Master'!$K$5:$K$804,MATCH(B35,'Task Master'!$A$5:$A$804,0)),""))</x:f>
        <x:v>mardiansyah.rayasa@petronas.com</x:v>
      </x:c>
      <x:c r="G35" s="190"/>
      <x:c r="H35" s="190" t="str">
        <x:v>Not Started</x:v>
      </x:c>
      <x:c r="I35" s="191"/>
      <x:c r="J35" s="190"/>
      <x:c r="K35" s="190"/>
      <x:c r="L35" s="195"/>
      <x:c r="M35" s="190" t="str">
        <x:v>Not Assessed</x:v>
      </x:c>
      <x:c r="N35" s="187">
        <x:f ca="1"/>
      </x:c>
      <x:c r="O35" s="192"/>
      <x:c r="P35" s="192" t="str">
        <x:v>System Initial Load</x:v>
      </x:c>
      <x:c r="Q35" s="170" t="str">
        <x:f>IF(OR(A35="",B35=""),"",IF(A35=LOOKUP(2,1/($B$5:$B$704=B35),$A$5:$A$704),"Yes","No"))</x:f>
        <x:v>Yes</x:v>
      </x:c>
    </x:row>
    <x:row r="36">
      <x:c r="A36" s="193" t="n">
        <x:v>46251</x:v>
      </x:c>
      <x:c r="B36" s="187" t="str">
        <x:v>CSSP10391895</x:v>
      </x:c>
      <x:c r="C36" s="188" t="str">
        <x:f>IF(B36="","",IF(COUNTIF('Raw Decommissioning'!$B$2:$B$1000,B36)&gt;0,"Decommissioning",IF(COUNTIF('Raw Provisioning'!$B$2:$B$1000,B36)&gt;0,"Provisioning","Not in latest raw")))</x:f>
        <x:v>Decommissioning</x:v>
      </x:c>
      <x:c r="D36" s="188" t="str">
        <x:f>IF(B36="","",IFERROR(INDEX('Raw Decommissioning'!$E$2:$E$1000,MATCH(B36,'Raw Decommissioning'!$B$2:$B$1000,0)),IFERROR(INDEX('Raw Provisioning'!$E$2:$E$1000,MATCH(B36,'Raw Provisioning'!$B$2:$B$1000,0)),"Missing from latest raw")))</x:f>
        <x:v>executing</x:v>
      </x:c>
      <x:c r="E36" s="188" t="str">
        <x:f>IF(B36="","",IF(D36="completed","Completed in CSSP",IF(D36="executing","Active - Executing",IF(D36="processing","Ready to Assign",IF(D36="Missing from latest raw","Check Source","Not Managed - "&amp;D36)))))</x:f>
        <x:v>Active - Executing</x:v>
      </x:c>
      <x:c r="F36" s="189" t="str">
        <x:f>IF(B36="","",IFERROR(INDEX('Task Master'!$K$5:$K$804,MATCH(B36,'Task Master'!$A$5:$A$804,0)),""))</x:f>
        <x:v>nilesh.sankpal@petronas.com</x:v>
      </x:c>
      <x:c r="G36" s="190"/>
      <x:c r="H36" s="190" t="str">
        <x:v>Not Started</x:v>
      </x:c>
      <x:c r="I36" s="191"/>
      <x:c r="J36" s="190"/>
      <x:c r="K36" s="190"/>
      <x:c r="L36" s="195"/>
      <x:c r="M36" s="190" t="str">
        <x:v>Not Assessed</x:v>
      </x:c>
      <x:c r="N36" s="187">
        <x:f ca="1"/>
      </x:c>
      <x:c r="O36" s="192"/>
      <x:c r="P36" s="192" t="str">
        <x:v>System Initial Load</x:v>
      </x:c>
      <x:c r="Q36" s="170" t="str">
        <x:f>IF(OR(A36="",B36=""),"",IF(A36=LOOKUP(2,1/($B$5:$B$704=B36),$A$5:$A$704),"Yes","No"))</x:f>
        <x:v>Yes</x:v>
      </x:c>
    </x:row>
    <x:row r="37">
      <x:c r="A37" s="193" t="n">
        <x:v>46251</x:v>
      </x:c>
      <x:c r="B37" s="187" t="str">
        <x:v>CSSP10434772</x:v>
      </x:c>
      <x:c r="C37" s="188" t="str">
        <x:f>IF(B37="","",IF(COUNTIF('Raw Decommissioning'!$B$2:$B$1000,B37)&gt;0,"Decommissioning",IF(COUNTIF('Raw Provisioning'!$B$2:$B$1000,B37)&gt;0,"Provisioning","Not in latest raw")))</x:f>
        <x:v>Decommissioning</x:v>
      </x:c>
      <x:c r="D37" s="188" t="str">
        <x:f>IF(B37="","",IFERROR(INDEX('Raw Decommissioning'!$E$2:$E$1000,MATCH(B37,'Raw Decommissioning'!$B$2:$B$1000,0)),IFERROR(INDEX('Raw Provisioning'!$E$2:$E$1000,MATCH(B37,'Raw Provisioning'!$B$2:$B$1000,0)),"Missing from latest raw")))</x:f>
        <x:v>executing</x:v>
      </x:c>
      <x:c r="E37" s="188" t="str">
        <x:f>IF(B37="","",IF(D37="completed","Completed in CSSP",IF(D37="executing","Active - Executing",IF(D37="processing","Ready to Assign",IF(D37="Missing from latest raw","Check Source","Not Managed - "&amp;D37)))))</x:f>
        <x:v>Active - Executing</x:v>
      </x:c>
      <x:c r="F37" s="189" t="str">
        <x:f>IF(B37="","",IFERROR(INDEX('Task Master'!$K$5:$K$804,MATCH(B37,'Task Master'!$A$5:$A$804,0)),""))</x:f>
        <x:v>raditya.nugraha@petronas.com</x:v>
      </x:c>
      <x:c r="G37" s="190"/>
      <x:c r="H37" s="190" t="str">
        <x:v>Not Started</x:v>
      </x:c>
      <x:c r="I37" s="191"/>
      <x:c r="J37" s="190"/>
      <x:c r="K37" s="190"/>
      <x:c r="L37" s="195"/>
      <x:c r="M37" s="190" t="str">
        <x:v>Not Assessed</x:v>
      </x:c>
      <x:c r="N37" s="187">
        <x:f ca="1"/>
      </x:c>
      <x:c r="O37" s="192"/>
      <x:c r="P37" s="192" t="str">
        <x:v>System Initial Load</x:v>
      </x:c>
      <x:c r="Q37" s="170" t="str">
        <x:f>IF(OR(A37="",B37=""),"",IF(A37=LOOKUP(2,1/($B$5:$B$704=B37),$A$5:$A$704),"Yes","No"))</x:f>
        <x:v>Yes</x:v>
      </x:c>
    </x:row>
    <x:row r="38">
      <x:c r="A38" s="193" t="n">
        <x:v>46251</x:v>
      </x:c>
      <x:c r="B38" s="187" t="str">
        <x:v>CSSP10969032</x:v>
      </x:c>
      <x:c r="C38" s="188" t="str">
        <x:f>IF(B38="","",IF(COUNTIF('Raw Decommissioning'!$B$2:$B$1000,B38)&gt;0,"Decommissioning",IF(COUNTIF('Raw Provisioning'!$B$2:$B$1000,B38)&gt;0,"Provisioning","Not in latest raw")))</x:f>
        <x:v>Decommissioning</x:v>
      </x:c>
      <x:c r="D38" s="188" t="str">
        <x:f>IF(B38="","",IFERROR(INDEX('Raw Decommissioning'!$E$2:$E$1000,MATCH(B38,'Raw Decommissioning'!$B$2:$B$1000,0)),IFERROR(INDEX('Raw Provisioning'!$E$2:$E$1000,MATCH(B38,'Raw Provisioning'!$B$2:$B$1000,0)),"Missing from latest raw")))</x:f>
        <x:v>executing</x:v>
      </x:c>
      <x:c r="E38" s="188" t="str">
        <x:f>IF(B38="","",IF(D38="completed","Completed in CSSP",IF(D38="executing","Active - Executing",IF(D38="processing","Ready to Assign",IF(D38="Missing from latest raw","Check Source","Not Managed - "&amp;D38)))))</x:f>
        <x:v>Active - Executing</x:v>
      </x:c>
      <x:c r="F38" s="189" t="str">
        <x:f>IF(B38="","",IFERROR(INDEX('Task Master'!$K$5:$K$804,MATCH(B38,'Task Master'!$A$5:$A$804,0)),""))</x:f>
        <x:v>sairam.villa@petronas.com</x:v>
      </x:c>
      <x:c r="G38" s="190"/>
      <x:c r="H38" s="190" t="str">
        <x:v>Not Started</x:v>
      </x:c>
      <x:c r="I38" s="191"/>
      <x:c r="J38" s="190"/>
      <x:c r="K38" s="190"/>
      <x:c r="L38" s="195"/>
      <x:c r="M38" s="190" t="str">
        <x:v>Not Assessed</x:v>
      </x:c>
      <x:c r="N38" s="187">
        <x:f ca="1"/>
      </x:c>
      <x:c r="O38" s="192"/>
      <x:c r="P38" s="192" t="str">
        <x:v>System Initial Load</x:v>
      </x:c>
      <x:c r="Q38" s="170" t="str">
        <x:f>IF(OR(A38="",B38=""),"",IF(A38=LOOKUP(2,1/($B$5:$B$704=B38),$A$5:$A$704),"Yes","No"))</x:f>
        <x:v>Yes</x:v>
      </x:c>
    </x:row>
    <x:row r="39">
      <x:c r="A39" s="193" t="n">
        <x:v>46251</x:v>
      </x:c>
      <x:c r="B39" s="187" t="str">
        <x:v>CSSP10140378</x:v>
      </x:c>
      <x:c r="C39" s="188" t="str">
        <x:f>IF(B39="","",IF(COUNTIF('Raw Decommissioning'!$B$2:$B$1000,B39)&gt;0,"Decommissioning",IF(COUNTIF('Raw Provisioning'!$B$2:$B$1000,B39)&gt;0,"Provisioning","Not in latest raw")))</x:f>
        <x:v>Decommissioning</x:v>
      </x:c>
      <x:c r="D39" s="188" t="str">
        <x:f>IF(B39="","",IFERROR(INDEX('Raw Decommissioning'!$E$2:$E$1000,MATCH(B39,'Raw Decommissioning'!$B$2:$B$1000,0)),IFERROR(INDEX('Raw Provisioning'!$E$2:$E$1000,MATCH(B39,'Raw Provisioning'!$B$2:$B$1000,0)),"Missing from latest raw")))</x:f>
        <x:v>executing</x:v>
      </x:c>
      <x:c r="E39" s="188" t="str">
        <x:f>IF(B39="","",IF(D39="completed","Completed in CSSP",IF(D39="executing","Active - Executing",IF(D39="processing","Ready to Assign",IF(D39="Missing from latest raw","Check Source","Not Managed - "&amp;D39)))))</x:f>
        <x:v>Active - Executing</x:v>
      </x:c>
      <x:c r="F39" s="189" t="str">
        <x:f>IF(B39="","",IFERROR(INDEX('Task Master'!$K$5:$K$804,MATCH(B39,'Task Master'!$A$5:$A$804,0)),""))</x:f>
        <x:v>swaminadh.chirakala@petronas.com</x:v>
      </x:c>
      <x:c r="G39" s="190"/>
      <x:c r="H39" s="190" t="str">
        <x:v>Not Started</x:v>
      </x:c>
      <x:c r="I39" s="191"/>
      <x:c r="J39" s="190"/>
      <x:c r="K39" s="190"/>
      <x:c r="L39" s="195"/>
      <x:c r="M39" s="190" t="str">
        <x:v>Not Assessed</x:v>
      </x:c>
      <x:c r="N39" s="187">
        <x:f ca="1"/>
      </x:c>
      <x:c r="O39" s="192"/>
      <x:c r="P39" s="192" t="str">
        <x:v>System Initial Load</x:v>
      </x:c>
      <x:c r="Q39" s="170" t="str">
        <x:f>IF(OR(A39="",B39=""),"",IF(A39=LOOKUP(2,1/($B$5:$B$704=B39),$A$5:$A$704),"Yes","No"))</x:f>
        <x:v>Yes</x:v>
      </x:c>
    </x:row>
    <x:row r="40">
      <x:c r="A40" s="193" t="n">
        <x:v>46251</x:v>
      </x:c>
      <x:c r="B40" s="187" t="str">
        <x:v>CSSP10183688</x:v>
      </x:c>
      <x:c r="C40" s="188" t="str">
        <x:f>IF(B40="","",IF(COUNTIF('Raw Decommissioning'!$B$2:$B$1000,B40)&gt;0,"Decommissioning",IF(COUNTIF('Raw Provisioning'!$B$2:$B$1000,B40)&gt;0,"Provisioning","Not in latest raw")))</x:f>
        <x:v>Decommissioning</x:v>
      </x:c>
      <x:c r="D40" s="188" t="str">
        <x:f>IF(B40="","",IFERROR(INDEX('Raw Decommissioning'!$E$2:$E$1000,MATCH(B40,'Raw Decommissioning'!$B$2:$B$1000,0)),IFERROR(INDEX('Raw Provisioning'!$E$2:$E$1000,MATCH(B40,'Raw Provisioning'!$B$2:$B$1000,0)),"Missing from latest raw")))</x:f>
        <x:v>executing</x:v>
      </x:c>
      <x:c r="E40" s="188" t="str">
        <x:f>IF(B40="","",IF(D40="completed","Completed in CSSP",IF(D40="executing","Active - Executing",IF(D40="processing","Ready to Assign",IF(D40="Missing from latest raw","Check Source","Not Managed - "&amp;D40)))))</x:f>
        <x:v>Active - Executing</x:v>
      </x:c>
      <x:c r="F40" s="189" t="str">
        <x:f>IF(B40="","",IFERROR(INDEX('Task Master'!$K$5:$K$804,MATCH(B40,'Task Master'!$A$5:$A$804,0)),""))</x:f>
        <x:v>swaminadh.chirakala@petronas.com</x:v>
      </x:c>
      <x:c r="G40" s="190"/>
      <x:c r="H40" s="190" t="str">
        <x:v>Not Started</x:v>
      </x:c>
      <x:c r="I40" s="191"/>
      <x:c r="J40" s="190"/>
      <x:c r="K40" s="190"/>
      <x:c r="L40" s="195"/>
      <x:c r="M40" s="190" t="str">
        <x:v>Not Assessed</x:v>
      </x:c>
      <x:c r="N40" s="187">
        <x:f ca="1"/>
      </x:c>
      <x:c r="O40" s="192"/>
      <x:c r="P40" s="192" t="str">
        <x:v>System Initial Load</x:v>
      </x:c>
      <x:c r="Q40" s="170" t="str">
        <x:f>IF(OR(A40="",B40=""),"",IF(A40=LOOKUP(2,1/($B$5:$B$704=B40),$A$5:$A$704),"Yes","No"))</x:f>
        <x:v>Yes</x:v>
      </x:c>
    </x:row>
    <x:row r="41">
      <x:c r="A41" s="193" t="n">
        <x:v>46251</x:v>
      </x:c>
      <x:c r="B41" s="187" t="str">
        <x:v>CSSP10191098</x:v>
      </x:c>
      <x:c r="C41" s="188" t="str">
        <x:f>IF(B41="","",IF(COUNTIF('Raw Decommissioning'!$B$2:$B$1000,B41)&gt;0,"Decommissioning",IF(COUNTIF('Raw Provisioning'!$B$2:$B$1000,B41)&gt;0,"Provisioning","Not in latest raw")))</x:f>
        <x:v>Decommissioning</x:v>
      </x:c>
      <x:c r="D41" s="188" t="str">
        <x:f>IF(B41="","",IFERROR(INDEX('Raw Decommissioning'!$E$2:$E$1000,MATCH(B41,'Raw Decommissioning'!$B$2:$B$1000,0)),IFERROR(INDEX('Raw Provisioning'!$E$2:$E$1000,MATCH(B41,'Raw Provisioning'!$B$2:$B$1000,0)),"Missing from latest raw")))</x:f>
        <x:v>executing</x:v>
      </x:c>
      <x:c r="E41" s="188" t="str">
        <x:f>IF(B41="","",IF(D41="completed","Completed in CSSP",IF(D41="executing","Active - Executing",IF(D41="processing","Ready to Assign",IF(D41="Missing from latest raw","Check Source","Not Managed - "&amp;D41)))))</x:f>
        <x:v>Active - Executing</x:v>
      </x:c>
      <x:c r="F41" s="189" t="str">
        <x:f>IF(B41="","",IFERROR(INDEX('Task Master'!$K$5:$K$804,MATCH(B41,'Task Master'!$A$5:$A$804,0)),""))</x:f>
        <x:v>swaminadh.chirakala@petronas.com</x:v>
      </x:c>
      <x:c r="G41" s="190"/>
      <x:c r="H41" s="190" t="str">
        <x:v>Not Started</x:v>
      </x:c>
      <x:c r="I41" s="191"/>
      <x:c r="J41" s="190"/>
      <x:c r="K41" s="190"/>
      <x:c r="L41" s="195"/>
      <x:c r="M41" s="190" t="str">
        <x:v>Not Assessed</x:v>
      </x:c>
      <x:c r="N41" s="187">
        <x:f ca="1"/>
      </x:c>
      <x:c r="O41" s="192"/>
      <x:c r="P41" s="192" t="str">
        <x:v>System Initial Load</x:v>
      </x:c>
      <x:c r="Q41" s="170" t="str">
        <x:f>IF(OR(A41="",B41=""),"",IF(A41=LOOKUP(2,1/($B$5:$B$704=B41),$A$5:$A$704),"Yes","No"))</x:f>
        <x:v>Yes</x:v>
      </x:c>
    </x:row>
    <x:row r="42">
      <x:c r="A42" s="193" t="n">
        <x:v>46251</x:v>
      </x:c>
      <x:c r="B42" s="187" t="str">
        <x:v>CSSP10204623</x:v>
      </x:c>
      <x:c r="C42" s="188" t="str">
        <x:f>IF(B42="","",IF(COUNTIF('Raw Decommissioning'!$B$2:$B$1000,B42)&gt;0,"Decommissioning",IF(COUNTIF('Raw Provisioning'!$B$2:$B$1000,B42)&gt;0,"Provisioning","Not in latest raw")))</x:f>
        <x:v>Decommissioning</x:v>
      </x:c>
      <x:c r="D42" s="188" t="str">
        <x:f>IF(B42="","",IFERROR(INDEX('Raw Decommissioning'!$E$2:$E$1000,MATCH(B42,'Raw Decommissioning'!$B$2:$B$1000,0)),IFERROR(INDEX('Raw Provisioning'!$E$2:$E$1000,MATCH(B42,'Raw Provisioning'!$B$2:$B$1000,0)),"Missing from latest raw")))</x:f>
        <x:v>executing</x:v>
      </x:c>
      <x:c r="E42" s="188" t="str">
        <x:f>IF(B42="","",IF(D42="completed","Completed in CSSP",IF(D42="executing","Active - Executing",IF(D42="processing","Ready to Assign",IF(D42="Missing from latest raw","Check Source","Not Managed - "&amp;D42)))))</x:f>
        <x:v>Active - Executing</x:v>
      </x:c>
      <x:c r="F42" s="189" t="str">
        <x:f>IF(B42="","",IFERROR(INDEX('Task Master'!$K$5:$K$804,MATCH(B42,'Task Master'!$A$5:$A$804,0)),""))</x:f>
        <x:v>swaminadh.chirakala@petronas.com</x:v>
      </x:c>
      <x:c r="G42" s="190"/>
      <x:c r="H42" s="190" t="str">
        <x:v>Not Started</x:v>
      </x:c>
      <x:c r="I42" s="191"/>
      <x:c r="J42" s="190"/>
      <x:c r="K42" s="190"/>
      <x:c r="L42" s="195"/>
      <x:c r="M42" s="190" t="str">
        <x:v>Not Assessed</x:v>
      </x:c>
      <x:c r="N42" s="187">
        <x:f ca="1"/>
      </x:c>
      <x:c r="O42" s="192"/>
      <x:c r="P42" s="192" t="str">
        <x:v>System Initial Load</x:v>
      </x:c>
      <x:c r="Q42" s="170" t="str">
        <x:f>IF(OR(A42="",B42=""),"",IF(A42=LOOKUP(2,1/($B$5:$B$704=B42),$A$5:$A$704),"Yes","No"))</x:f>
        <x:v>Yes</x:v>
      </x:c>
    </x:row>
    <x:row r="43">
      <x:c r="A43" s="193" t="n">
        <x:v>46251</x:v>
      </x:c>
      <x:c r="B43" s="187" t="str">
        <x:v>CSSP10264991</x:v>
      </x:c>
      <x:c r="C43" s="188" t="str">
        <x:f>IF(B43="","",IF(COUNTIF('Raw Decommissioning'!$B$2:$B$1000,B43)&gt;0,"Decommissioning",IF(COUNTIF('Raw Provisioning'!$B$2:$B$1000,B43)&gt;0,"Provisioning","Not in latest raw")))</x:f>
        <x:v>Decommissioning</x:v>
      </x:c>
      <x:c r="D43" s="188" t="str">
        <x:f>IF(B43="","",IFERROR(INDEX('Raw Decommissioning'!$E$2:$E$1000,MATCH(B43,'Raw Decommissioning'!$B$2:$B$1000,0)),IFERROR(INDEX('Raw Provisioning'!$E$2:$E$1000,MATCH(B43,'Raw Provisioning'!$B$2:$B$1000,0)),"Missing from latest raw")))</x:f>
        <x:v>executing</x:v>
      </x:c>
      <x:c r="E43" s="188" t="str">
        <x:f>IF(B43="","",IF(D43="completed","Completed in CSSP",IF(D43="executing","Active - Executing",IF(D43="processing","Ready to Assign",IF(D43="Missing from latest raw","Check Source","Not Managed - "&amp;D43)))))</x:f>
        <x:v>Active - Executing</x:v>
      </x:c>
      <x:c r="F43" s="189" t="str">
        <x:f>IF(B43="","",IFERROR(INDEX('Task Master'!$K$5:$K$804,MATCH(B43,'Task Master'!$A$5:$A$804,0)),""))</x:f>
        <x:v>swaminadh.chirakala@petronas.com</x:v>
      </x:c>
      <x:c r="G43" s="190"/>
      <x:c r="H43" s="190" t="str">
        <x:v>Not Started</x:v>
      </x:c>
      <x:c r="I43" s="191"/>
      <x:c r="J43" s="190"/>
      <x:c r="K43" s="190"/>
      <x:c r="L43" s="195"/>
      <x:c r="M43" s="190" t="str">
        <x:v>Not Assessed</x:v>
      </x:c>
      <x:c r="N43" s="187">
        <x:f ca="1"/>
      </x:c>
      <x:c r="O43" s="192"/>
      <x:c r="P43" s="192" t="str">
        <x:v>System Initial Load</x:v>
      </x:c>
      <x:c r="Q43" s="170" t="str">
        <x:f>IF(OR(A43="",B43=""),"",IF(A43=LOOKUP(2,1/($B$5:$B$704=B43),$A$5:$A$704),"Yes","No"))</x:f>
        <x:v>Yes</x:v>
      </x:c>
    </x:row>
    <x:row r="44">
      <x:c r="A44" s="193" t="n">
        <x:v>46251</x:v>
      </x:c>
      <x:c r="B44" s="187" t="str">
        <x:v>CSSP10306491</x:v>
      </x:c>
      <x:c r="C44" s="188" t="str">
        <x:f>IF(B44="","",IF(COUNTIF('Raw Decommissioning'!$B$2:$B$1000,B44)&gt;0,"Decommissioning",IF(COUNTIF('Raw Provisioning'!$B$2:$B$1000,B44)&gt;0,"Provisioning","Not in latest raw")))</x:f>
        <x:v>Decommissioning</x:v>
      </x:c>
      <x:c r="D44" s="188" t="str">
        <x:f>IF(B44="","",IFERROR(INDEX('Raw Decommissioning'!$E$2:$E$1000,MATCH(B44,'Raw Decommissioning'!$B$2:$B$1000,0)),IFERROR(INDEX('Raw Provisioning'!$E$2:$E$1000,MATCH(B44,'Raw Provisioning'!$B$2:$B$1000,0)),"Missing from latest raw")))</x:f>
        <x:v>executing</x:v>
      </x:c>
      <x:c r="E44" s="188" t="str">
        <x:f>IF(B44="","",IF(D44="completed","Completed in CSSP",IF(D44="executing","Active - Executing",IF(D44="processing","Ready to Assign",IF(D44="Missing from latest raw","Check Source","Not Managed - "&amp;D44)))))</x:f>
        <x:v>Active - Executing</x:v>
      </x:c>
      <x:c r="F44" s="189" t="str">
        <x:f>IF(B44="","",IFERROR(INDEX('Task Master'!$K$5:$K$804,MATCH(B44,'Task Master'!$A$5:$A$804,0)),""))</x:f>
        <x:v>swaminadh.chirakala@petronas.com</x:v>
      </x:c>
      <x:c r="G44" s="190"/>
      <x:c r="H44" s="190" t="str">
        <x:v>Not Started</x:v>
      </x:c>
      <x:c r="I44" s="191"/>
      <x:c r="J44" s="190"/>
      <x:c r="K44" s="190"/>
      <x:c r="L44" s="195"/>
      <x:c r="M44" s="190" t="str">
        <x:v>Not Assessed</x:v>
      </x:c>
      <x:c r="N44" s="187">
        <x:f ca="1"/>
      </x:c>
      <x:c r="O44" s="192"/>
      <x:c r="P44" s="192" t="str">
        <x:v>System Initial Load</x:v>
      </x:c>
      <x:c r="Q44" s="170" t="str">
        <x:f>IF(OR(A44="",B44=""),"",IF(A44=LOOKUP(2,1/($B$5:$B$704=B44),$A$5:$A$704),"Yes","No"))</x:f>
        <x:v>Yes</x:v>
      </x:c>
    </x:row>
    <x:row r="45">
      <x:c r="A45" s="193" t="n">
        <x:v>46251</x:v>
      </x:c>
      <x:c r="B45" s="187" t="str">
        <x:v>CSSP10308509</x:v>
      </x:c>
      <x:c r="C45" s="188" t="str">
        <x:f>IF(B45="","",IF(COUNTIF('Raw Decommissioning'!$B$2:$B$1000,B45)&gt;0,"Decommissioning",IF(COUNTIF('Raw Provisioning'!$B$2:$B$1000,B45)&gt;0,"Provisioning","Not in latest raw")))</x:f>
        <x:v>Decommissioning</x:v>
      </x:c>
      <x:c r="D45" s="188" t="str">
        <x:f>IF(B45="","",IFERROR(INDEX('Raw Decommissioning'!$E$2:$E$1000,MATCH(B45,'Raw Decommissioning'!$B$2:$B$1000,0)),IFERROR(INDEX('Raw Provisioning'!$E$2:$E$1000,MATCH(B45,'Raw Provisioning'!$B$2:$B$1000,0)),"Missing from latest raw")))</x:f>
        <x:v>executing</x:v>
      </x:c>
      <x:c r="E45" s="188" t="str">
        <x:f>IF(B45="","",IF(D45="completed","Completed in CSSP",IF(D45="executing","Active - Executing",IF(D45="processing","Ready to Assign",IF(D45="Missing from latest raw","Check Source","Not Managed - "&amp;D45)))))</x:f>
        <x:v>Active - Executing</x:v>
      </x:c>
      <x:c r="F45" s="189" t="str">
        <x:f>IF(B45="","",IFERROR(INDEX('Task Master'!$K$5:$K$804,MATCH(B45,'Task Master'!$A$5:$A$804,0)),""))</x:f>
        <x:v>swaminadh.chirakala@petronas.com</x:v>
      </x:c>
      <x:c r="G45" s="190"/>
      <x:c r="H45" s="190" t="str">
        <x:v>Not Started</x:v>
      </x:c>
      <x:c r="I45" s="191"/>
      <x:c r="J45" s="190"/>
      <x:c r="K45" s="190"/>
      <x:c r="L45" s="195"/>
      <x:c r="M45" s="190" t="str">
        <x:v>Not Assessed</x:v>
      </x:c>
      <x:c r="N45" s="187">
        <x:f ca="1"/>
      </x:c>
      <x:c r="O45" s="192"/>
      <x:c r="P45" s="192" t="str">
        <x:v>System Initial Load</x:v>
      </x:c>
      <x:c r="Q45" s="170" t="str">
        <x:f>IF(OR(A45="",B45=""),"",IF(A45=LOOKUP(2,1/($B$5:$B$704=B45),$A$5:$A$704),"Yes","No"))</x:f>
        <x:v>Yes</x:v>
      </x:c>
    </x:row>
    <x:row r="46">
      <x:c r="A46" s="193" t="n">
        <x:v>46251</x:v>
      </x:c>
      <x:c r="B46" s="187" t="str">
        <x:v>CSSP10327864</x:v>
      </x:c>
      <x:c r="C46" s="188" t="str">
        <x:f>IF(B46="","",IF(COUNTIF('Raw Decommissioning'!$B$2:$B$1000,B46)&gt;0,"Decommissioning",IF(COUNTIF('Raw Provisioning'!$B$2:$B$1000,B46)&gt;0,"Provisioning","Not in latest raw")))</x:f>
        <x:v>Decommissioning</x:v>
      </x:c>
      <x:c r="D46" s="188" t="str">
        <x:f>IF(B46="","",IFERROR(INDEX('Raw Decommissioning'!$E$2:$E$1000,MATCH(B46,'Raw Decommissioning'!$B$2:$B$1000,0)),IFERROR(INDEX('Raw Provisioning'!$E$2:$E$1000,MATCH(B46,'Raw Provisioning'!$B$2:$B$1000,0)),"Missing from latest raw")))</x:f>
        <x:v>executing</x:v>
      </x:c>
      <x:c r="E46" s="188" t="str">
        <x:f>IF(B46="","",IF(D46="completed","Completed in CSSP",IF(D46="executing","Active - Executing",IF(D46="processing","Ready to Assign",IF(D46="Missing from latest raw","Check Source","Not Managed - "&amp;D46)))))</x:f>
        <x:v>Active - Executing</x:v>
      </x:c>
      <x:c r="F46" s="189" t="str">
        <x:f>IF(B46="","",IFERROR(INDEX('Task Master'!$K$5:$K$804,MATCH(B46,'Task Master'!$A$5:$A$804,0)),""))</x:f>
        <x:v>swaminadh.chirakala@petronas.com</x:v>
      </x:c>
      <x:c r="G46" s="190"/>
      <x:c r="H46" s="190" t="str">
        <x:v>Not Started</x:v>
      </x:c>
      <x:c r="I46" s="191"/>
      <x:c r="J46" s="190"/>
      <x:c r="K46" s="190"/>
      <x:c r="L46" s="195"/>
      <x:c r="M46" s="190" t="str">
        <x:v>Not Assessed</x:v>
      </x:c>
      <x:c r="N46" s="187">
        <x:f ca="1"/>
      </x:c>
      <x:c r="O46" s="192"/>
      <x:c r="P46" s="192" t="str">
        <x:v>System Initial Load</x:v>
      </x:c>
      <x:c r="Q46" s="170" t="str">
        <x:f>IF(OR(A46="",B46=""),"",IF(A46=LOOKUP(2,1/($B$5:$B$704=B46),$A$5:$A$704),"Yes","No"))</x:f>
        <x:v>Yes</x:v>
      </x:c>
    </x:row>
    <x:row r="47">
      <x:c r="A47" s="193" t="n">
        <x:v>46251</x:v>
      </x:c>
      <x:c r="B47" s="187" t="str">
        <x:v>CSSP10420125</x:v>
      </x:c>
      <x:c r="C47" s="188" t="str">
        <x:f>IF(B47="","",IF(COUNTIF('Raw Decommissioning'!$B$2:$B$1000,B47)&gt;0,"Decommissioning",IF(COUNTIF('Raw Provisioning'!$B$2:$B$1000,B47)&gt;0,"Provisioning","Not in latest raw")))</x:f>
        <x:v>Decommissioning</x:v>
      </x:c>
      <x:c r="D47" s="188" t="str">
        <x:f>IF(B47="","",IFERROR(INDEX('Raw Decommissioning'!$E$2:$E$1000,MATCH(B47,'Raw Decommissioning'!$B$2:$B$1000,0)),IFERROR(INDEX('Raw Provisioning'!$E$2:$E$1000,MATCH(B47,'Raw Provisioning'!$B$2:$B$1000,0)),"Missing from latest raw")))</x:f>
        <x:v>executing</x:v>
      </x:c>
      <x:c r="E47" s="188" t="str">
        <x:f>IF(B47="","",IF(D47="completed","Completed in CSSP",IF(D47="executing","Active - Executing",IF(D47="processing","Ready to Assign",IF(D47="Missing from latest raw","Check Source","Not Managed - "&amp;D47)))))</x:f>
        <x:v>Active - Executing</x:v>
      </x:c>
      <x:c r="F47" s="189" t="str">
        <x:f>IF(B47="","",IFERROR(INDEX('Task Master'!$K$5:$K$804,MATCH(B47,'Task Master'!$A$5:$A$804,0)),""))</x:f>
        <x:v>swaminadh.chirakala@petronas.com</x:v>
      </x:c>
      <x:c r="G47" s="190"/>
      <x:c r="H47" s="190" t="str">
        <x:v>Not Started</x:v>
      </x:c>
      <x:c r="I47" s="191"/>
      <x:c r="J47" s="190"/>
      <x:c r="K47" s="190"/>
      <x:c r="L47" s="195"/>
      <x:c r="M47" s="190" t="str">
        <x:v>Not Assessed</x:v>
      </x:c>
      <x:c r="N47" s="187">
        <x:f ca="1"/>
      </x:c>
      <x:c r="O47" s="192"/>
      <x:c r="P47" s="192" t="str">
        <x:v>System Initial Load</x:v>
      </x:c>
      <x:c r="Q47" s="170" t="str">
        <x:f>IF(OR(A47="",B47=""),"",IF(A47=LOOKUP(2,1/($B$5:$B$704=B47),$A$5:$A$704),"Yes","No"))</x:f>
        <x:v>Yes</x:v>
      </x:c>
    </x:row>
    <x:row r="48">
      <x:c r="A48" s="193" t="n">
        <x:v>46251</x:v>
      </x:c>
      <x:c r="B48" s="187" t="str">
        <x:v>CSSP10467486</x:v>
      </x:c>
      <x:c r="C48" s="188" t="str">
        <x:f>IF(B48="","",IF(COUNTIF('Raw Decommissioning'!$B$2:$B$1000,B48)&gt;0,"Decommissioning",IF(COUNTIF('Raw Provisioning'!$B$2:$B$1000,B48)&gt;0,"Provisioning","Not in latest raw")))</x:f>
        <x:v>Decommissioning</x:v>
      </x:c>
      <x:c r="D48" s="188" t="str">
        <x:f>IF(B48="","",IFERROR(INDEX('Raw Decommissioning'!$E$2:$E$1000,MATCH(B48,'Raw Decommissioning'!$B$2:$B$1000,0)),IFERROR(INDEX('Raw Provisioning'!$E$2:$E$1000,MATCH(B48,'Raw Provisioning'!$B$2:$B$1000,0)),"Missing from latest raw")))</x:f>
        <x:v>executing</x:v>
      </x:c>
      <x:c r="E48" s="188" t="str">
        <x:f>IF(B48="","",IF(D48="completed","Completed in CSSP",IF(D48="executing","Active - Executing",IF(D48="processing","Ready to Assign",IF(D48="Missing from latest raw","Check Source","Not Managed - "&amp;D48)))))</x:f>
        <x:v>Active - Executing</x:v>
      </x:c>
      <x:c r="F48" s="189" t="str">
        <x:f>IF(B48="","",IFERROR(INDEX('Task Master'!$K$5:$K$804,MATCH(B48,'Task Master'!$A$5:$A$804,0)),""))</x:f>
        <x:v>swaminadh.chirakala@petronas.com</x:v>
      </x:c>
      <x:c r="G48" s="190"/>
      <x:c r="H48" s="190" t="str">
        <x:v>Not Started</x:v>
      </x:c>
      <x:c r="I48" s="191"/>
      <x:c r="J48" s="190"/>
      <x:c r="K48" s="190"/>
      <x:c r="L48" s="195"/>
      <x:c r="M48" s="190" t="str">
        <x:v>Not Assessed</x:v>
      </x:c>
      <x:c r="N48" s="187">
        <x:f ca="1"/>
      </x:c>
      <x:c r="O48" s="192"/>
      <x:c r="P48" s="192" t="str">
        <x:v>System Initial Load</x:v>
      </x:c>
      <x:c r="Q48" s="170" t="str">
        <x:f>IF(OR(A48="",B48=""),"",IF(A48=LOOKUP(2,1/($B$5:$B$704=B48),$A$5:$A$704),"Yes","No"))</x:f>
        <x:v>Yes</x:v>
      </x:c>
    </x:row>
    <x:row r="49">
      <x:c r="A49" s="193" t="n">
        <x:v>46251</x:v>
      </x:c>
      <x:c r="B49" s="187" t="str">
        <x:v>CSSP10504866</x:v>
      </x:c>
      <x:c r="C49" s="188" t="str">
        <x:f>IF(B49="","",IF(COUNTIF('Raw Decommissioning'!$B$2:$B$1000,B49)&gt;0,"Decommissioning",IF(COUNTIF('Raw Provisioning'!$B$2:$B$1000,B49)&gt;0,"Provisioning","Not in latest raw")))</x:f>
        <x:v>Decommissioning</x:v>
      </x:c>
      <x:c r="D49" s="188" t="str">
        <x:f>IF(B49="","",IFERROR(INDEX('Raw Decommissioning'!$E$2:$E$1000,MATCH(B49,'Raw Decommissioning'!$B$2:$B$1000,0)),IFERROR(INDEX('Raw Provisioning'!$E$2:$E$1000,MATCH(B49,'Raw Provisioning'!$B$2:$B$1000,0)),"Missing from latest raw")))</x:f>
        <x:v>executing</x:v>
      </x:c>
      <x:c r="E49" s="188" t="str">
        <x:f>IF(B49="","",IF(D49="completed","Completed in CSSP",IF(D49="executing","Active - Executing",IF(D49="processing","Ready to Assign",IF(D49="Missing from latest raw","Check Source","Not Managed - "&amp;D49)))))</x:f>
        <x:v>Active - Executing</x:v>
      </x:c>
      <x:c r="F49" s="189" t="str">
        <x:f>IF(B49="","",IFERROR(INDEX('Task Master'!$K$5:$K$804,MATCH(B49,'Task Master'!$A$5:$A$804,0)),""))</x:f>
        <x:v>swaminadh.chirakala@petronas.com</x:v>
      </x:c>
      <x:c r="G49" s="190"/>
      <x:c r="H49" s="190" t="str">
        <x:v>Not Started</x:v>
      </x:c>
      <x:c r="I49" s="191"/>
      <x:c r="J49" s="190"/>
      <x:c r="K49" s="190"/>
      <x:c r="L49" s="195"/>
      <x:c r="M49" s="190" t="str">
        <x:v>Not Assessed</x:v>
      </x:c>
      <x:c r="N49" s="187">
        <x:f ca="1"/>
      </x:c>
      <x:c r="O49" s="192"/>
      <x:c r="P49" s="192" t="str">
        <x:v>System Initial Load</x:v>
      </x:c>
      <x:c r="Q49" s="170" t="str">
        <x:f>IF(OR(A49="",B49=""),"",IF(A49=LOOKUP(2,1/($B$5:$B$704=B49),$A$5:$A$704),"Yes","No"))</x:f>
        <x:v>Yes</x:v>
      </x:c>
    </x:row>
    <x:row r="50">
      <x:c r="A50" s="193" t="n">
        <x:v>46251</x:v>
      </x:c>
      <x:c r="B50" s="187" t="str">
        <x:v>CSSP10521586</x:v>
      </x:c>
      <x:c r="C50" s="188" t="str">
        <x:f>IF(B50="","",IF(COUNTIF('Raw Decommissioning'!$B$2:$B$1000,B50)&gt;0,"Decommissioning",IF(COUNTIF('Raw Provisioning'!$B$2:$B$1000,B50)&gt;0,"Provisioning","Not in latest raw")))</x:f>
        <x:v>Decommissioning</x:v>
      </x:c>
      <x:c r="D50" s="188" t="str">
        <x:f>IF(B50="","",IFERROR(INDEX('Raw Decommissioning'!$E$2:$E$1000,MATCH(B50,'Raw Decommissioning'!$B$2:$B$1000,0)),IFERROR(INDEX('Raw Provisioning'!$E$2:$E$1000,MATCH(B50,'Raw Provisioning'!$B$2:$B$1000,0)),"Missing from latest raw")))</x:f>
        <x:v>executing</x:v>
      </x:c>
      <x:c r="E50" s="188" t="str">
        <x:f>IF(B50="","",IF(D50="completed","Completed in CSSP",IF(D50="executing","Active - Executing",IF(D50="processing","Ready to Assign",IF(D50="Missing from latest raw","Check Source","Not Managed - "&amp;D50)))))</x:f>
        <x:v>Active - Executing</x:v>
      </x:c>
      <x:c r="F50" s="189" t="str">
        <x:f>IF(B50="","",IFERROR(INDEX('Task Master'!$K$5:$K$804,MATCH(B50,'Task Master'!$A$5:$A$804,0)),""))</x:f>
        <x:v>swaminadh.chirakala@petronas.com</x:v>
      </x:c>
      <x:c r="G50" s="190"/>
      <x:c r="H50" s="190" t="str">
        <x:v>Not Started</x:v>
      </x:c>
      <x:c r="I50" s="191"/>
      <x:c r="J50" s="190"/>
      <x:c r="K50" s="190"/>
      <x:c r="L50" s="195"/>
      <x:c r="M50" s="190" t="str">
        <x:v>Not Assessed</x:v>
      </x:c>
      <x:c r="N50" s="187">
        <x:f ca="1"/>
      </x:c>
      <x:c r="O50" s="192"/>
      <x:c r="P50" s="192" t="str">
        <x:v>System Initial Load</x:v>
      </x:c>
      <x:c r="Q50" s="170" t="str">
        <x:f>IF(OR(A50="",B50=""),"",IF(A50=LOOKUP(2,1/($B$5:$B$704=B50),$A$5:$A$704),"Yes","No"))</x:f>
        <x:v>Yes</x:v>
      </x:c>
    </x:row>
    <x:row r="51">
      <x:c r="A51" s="193" t="n">
        <x:v>46251</x:v>
      </x:c>
      <x:c r="B51" s="187" t="str">
        <x:v>CSSP10657709</x:v>
      </x:c>
      <x:c r="C51" s="188" t="str">
        <x:f>IF(B51="","",IF(COUNTIF('Raw Decommissioning'!$B$2:$B$1000,B51)&gt;0,"Decommissioning",IF(COUNTIF('Raw Provisioning'!$B$2:$B$1000,B51)&gt;0,"Provisioning","Not in latest raw")))</x:f>
        <x:v>Decommissioning</x:v>
      </x:c>
      <x:c r="D51" s="188" t="str">
        <x:f>IF(B51="","",IFERROR(INDEX('Raw Decommissioning'!$E$2:$E$1000,MATCH(B51,'Raw Decommissioning'!$B$2:$B$1000,0)),IFERROR(INDEX('Raw Provisioning'!$E$2:$E$1000,MATCH(B51,'Raw Provisioning'!$B$2:$B$1000,0)),"Missing from latest raw")))</x:f>
        <x:v>executing</x:v>
      </x:c>
      <x:c r="E51" s="188" t="str">
        <x:f>IF(B51="","",IF(D51="completed","Completed in CSSP",IF(D51="executing","Active - Executing",IF(D51="processing","Ready to Assign",IF(D51="Missing from latest raw","Check Source","Not Managed - "&amp;D51)))))</x:f>
        <x:v>Active - Executing</x:v>
      </x:c>
      <x:c r="F51" s="189" t="str">
        <x:f>IF(B51="","",IFERROR(INDEX('Task Master'!$K$5:$K$804,MATCH(B51,'Task Master'!$A$5:$A$804,0)),""))</x:f>
        <x:v>swaminadh.chirakala@petronas.com</x:v>
      </x:c>
      <x:c r="G51" s="190"/>
      <x:c r="H51" s="190" t="str">
        <x:v>Not Started</x:v>
      </x:c>
      <x:c r="I51" s="191"/>
      <x:c r="J51" s="190"/>
      <x:c r="K51" s="190"/>
      <x:c r="L51" s="195"/>
      <x:c r="M51" s="190" t="str">
        <x:v>Not Assessed</x:v>
      </x:c>
      <x:c r="N51" s="187">
        <x:f ca="1"/>
      </x:c>
      <x:c r="O51" s="192"/>
      <x:c r="P51" s="192" t="str">
        <x:v>System Initial Load</x:v>
      </x:c>
      <x:c r="Q51" s="170" t="str">
        <x:f>IF(OR(A51="",B51=""),"",IF(A51=LOOKUP(2,1/($B$5:$B$704=B51),$A$5:$A$704),"Yes","No"))</x:f>
        <x:v>Yes</x:v>
      </x:c>
    </x:row>
    <x:row r="52">
      <x:c r="A52" s="193" t="n">
        <x:v>46251</x:v>
      </x:c>
      <x:c r="B52" s="187" t="str">
        <x:v>CSSP10945256</x:v>
      </x:c>
      <x:c r="C52" s="188" t="str">
        <x:f>IF(B52="","",IF(COUNTIF('Raw Decommissioning'!$B$2:$B$1000,B52)&gt;0,"Decommissioning",IF(COUNTIF('Raw Provisioning'!$B$2:$B$1000,B52)&gt;0,"Provisioning","Not in latest raw")))</x:f>
        <x:v>Decommissioning</x:v>
      </x:c>
      <x:c r="D52" s="188" t="str">
        <x:f>IF(B52="","",IFERROR(INDEX('Raw Decommissioning'!$E$2:$E$1000,MATCH(B52,'Raw Decommissioning'!$B$2:$B$1000,0)),IFERROR(INDEX('Raw Provisioning'!$E$2:$E$1000,MATCH(B52,'Raw Provisioning'!$B$2:$B$1000,0)),"Missing from latest raw")))</x:f>
        <x:v>executing</x:v>
      </x:c>
      <x:c r="E52" s="188" t="str">
        <x:f>IF(B52="","",IF(D52="completed","Completed in CSSP",IF(D52="executing","Active - Executing",IF(D52="processing","Ready to Assign",IF(D52="Missing from latest raw","Check Source","Not Managed - "&amp;D52)))))</x:f>
        <x:v>Active - Executing</x:v>
      </x:c>
      <x:c r="F52" s="189" t="str">
        <x:f>IF(B52="","",IFERROR(INDEX('Task Master'!$K$5:$K$804,MATCH(B52,'Task Master'!$A$5:$A$804,0)),""))</x:f>
        <x:v>swaminadh.chirakala@petronas.com</x:v>
      </x:c>
      <x:c r="G52" s="190"/>
      <x:c r="H52" s="190" t="str">
        <x:v>Not Started</x:v>
      </x:c>
      <x:c r="I52" s="191"/>
      <x:c r="J52" s="190"/>
      <x:c r="K52" s="190"/>
      <x:c r="L52" s="195"/>
      <x:c r="M52" s="190" t="str">
        <x:v>Not Assessed</x:v>
      </x:c>
      <x:c r="N52" s="187">
        <x:f ca="1"/>
      </x:c>
      <x:c r="O52" s="192"/>
      <x:c r="P52" s="192" t="str">
        <x:v>System Initial Load</x:v>
      </x:c>
      <x:c r="Q52" s="170" t="str">
        <x:f>IF(OR(A52="",B52=""),"",IF(A52=LOOKUP(2,1/($B$5:$B$704=B52),$A$5:$A$704),"Yes","No"))</x:f>
        <x:v>Yes</x:v>
      </x:c>
    </x:row>
    <x:row r="53">
      <x:c r="A53" s="193" t="n">
        <x:v>46251</x:v>
      </x:c>
      <x:c r="B53" s="187" t="str">
        <x:v>CSSP10949785</x:v>
      </x:c>
      <x:c r="C53" s="188" t="str">
        <x:f>IF(B53="","",IF(COUNTIF('Raw Decommissioning'!$B$2:$B$1000,B53)&gt;0,"Decommissioning",IF(COUNTIF('Raw Provisioning'!$B$2:$B$1000,B53)&gt;0,"Provisioning","Not in latest raw")))</x:f>
        <x:v>Decommissioning</x:v>
      </x:c>
      <x:c r="D53" s="188" t="str">
        <x:f>IF(B53="","",IFERROR(INDEX('Raw Decommissioning'!$E$2:$E$1000,MATCH(B53,'Raw Decommissioning'!$B$2:$B$1000,0)),IFERROR(INDEX('Raw Provisioning'!$E$2:$E$1000,MATCH(B53,'Raw Provisioning'!$B$2:$B$1000,0)),"Missing from latest raw")))</x:f>
        <x:v>executing</x:v>
      </x:c>
      <x:c r="E53" s="188" t="str">
        <x:f>IF(B53="","",IF(D53="completed","Completed in CSSP",IF(D53="executing","Active - Executing",IF(D53="processing","Ready to Assign",IF(D53="Missing from latest raw","Check Source","Not Managed - "&amp;D53)))))</x:f>
        <x:v>Active - Executing</x:v>
      </x:c>
      <x:c r="F53" s="189" t="str">
        <x:f>IF(B53="","",IFERROR(INDEX('Task Master'!$K$5:$K$804,MATCH(B53,'Task Master'!$A$5:$A$804,0)),""))</x:f>
        <x:v>swaminadh.chirakala@petronas.com</x:v>
      </x:c>
      <x:c r="G53" s="190"/>
      <x:c r="H53" s="190" t="str">
        <x:v>Not Started</x:v>
      </x:c>
      <x:c r="I53" s="191"/>
      <x:c r="J53" s="190"/>
      <x:c r="K53" s="190"/>
      <x:c r="L53" s="195"/>
      <x:c r="M53" s="190" t="str">
        <x:v>Not Assessed</x:v>
      </x:c>
      <x:c r="N53" s="187">
        <x:f ca="1"/>
      </x:c>
      <x:c r="O53" s="192"/>
      <x:c r="P53" s="192" t="str">
        <x:v>System Initial Load</x:v>
      </x:c>
      <x:c r="Q53" s="170" t="str">
        <x:f>IF(OR(A53="",B53=""),"",IF(A53=LOOKUP(2,1/($B$5:$B$704=B53),$A$5:$A$704),"Yes","No"))</x:f>
        <x:v>Yes</x:v>
      </x:c>
    </x:row>
    <x:row r="54">
      <x:c r="A54" s="193" t="n">
        <x:v>46251</x:v>
      </x:c>
      <x:c r="B54" s="187" t="str">
        <x:v>CSSP10983605</x:v>
      </x:c>
      <x:c r="C54" s="188" t="str">
        <x:f>IF(B54="","",IF(COUNTIF('Raw Decommissioning'!$B$2:$B$1000,B54)&gt;0,"Decommissioning",IF(COUNTIF('Raw Provisioning'!$B$2:$B$1000,B54)&gt;0,"Provisioning","Not in latest raw")))</x:f>
        <x:v>Decommissioning</x:v>
      </x:c>
      <x:c r="D54" s="188" t="str">
        <x:f>IF(B54="","",IFERROR(INDEX('Raw Decommissioning'!$E$2:$E$1000,MATCH(B54,'Raw Decommissioning'!$B$2:$B$1000,0)),IFERROR(INDEX('Raw Provisioning'!$E$2:$E$1000,MATCH(B54,'Raw Provisioning'!$B$2:$B$1000,0)),"Missing from latest raw")))</x:f>
        <x:v>executing</x:v>
      </x:c>
      <x:c r="E54" s="188" t="str">
        <x:f>IF(B54="","",IF(D54="completed","Completed in CSSP",IF(D54="executing","Active - Executing",IF(D54="processing","Ready to Assign",IF(D54="Missing from latest raw","Check Source","Not Managed - "&amp;D54)))))</x:f>
        <x:v>Active - Executing</x:v>
      </x:c>
      <x:c r="F54" s="189" t="str">
        <x:f>IF(B54="","",IFERROR(INDEX('Task Master'!$K$5:$K$804,MATCH(B54,'Task Master'!$A$5:$A$804,0)),""))</x:f>
        <x:v>swaminadh.chirakala@petronas.com</x:v>
      </x:c>
      <x:c r="G54" s="190"/>
      <x:c r="H54" s="190" t="str">
        <x:v>Not Started</x:v>
      </x:c>
      <x:c r="I54" s="191"/>
      <x:c r="J54" s="190"/>
      <x:c r="K54" s="190"/>
      <x:c r="L54" s="195"/>
      <x:c r="M54" s="190" t="str">
        <x:v>Not Assessed</x:v>
      </x:c>
      <x:c r="N54" s="187">
        <x:f ca="1"/>
      </x:c>
      <x:c r="O54" s="192"/>
      <x:c r="P54" s="192" t="str">
        <x:v>System Initial Load</x:v>
      </x:c>
      <x:c r="Q54" s="170" t="str">
        <x:f>IF(OR(A54="",B54=""),"",IF(A54=LOOKUP(2,1/($B$5:$B$704=B54),$A$5:$A$704),"Yes","No"))</x:f>
        <x:v>Yes</x:v>
      </x:c>
    </x:row>
    <x:row r="55">
      <x:c r="A55" s="193" t="n">
        <x:v>46251</x:v>
      </x:c>
      <x:c r="B55" s="187" t="str">
        <x:v>CSSP10271745</x:v>
      </x:c>
      <x:c r="C55" s="188" t="str">
        <x:f>IF(B55="","",IF(COUNTIF('Raw Decommissioning'!$B$2:$B$1000,B55)&gt;0,"Decommissioning",IF(COUNTIF('Raw Provisioning'!$B$2:$B$1000,B55)&gt;0,"Provisioning","Not in latest raw")))</x:f>
        <x:v>Decommissioning</x:v>
      </x:c>
      <x:c r="D55" s="188" t="str">
        <x:f>IF(B55="","",IFERROR(INDEX('Raw Decommissioning'!$E$2:$E$1000,MATCH(B55,'Raw Decommissioning'!$B$2:$B$1000,0)),IFERROR(INDEX('Raw Provisioning'!$E$2:$E$1000,MATCH(B55,'Raw Provisioning'!$B$2:$B$1000,0)),"Missing from latest raw")))</x:f>
        <x:v>executing</x:v>
      </x:c>
      <x:c r="E55" s="188" t="str">
        <x:f>IF(B55="","",IF(D55="completed","Completed in CSSP",IF(D55="executing","Active - Executing",IF(D55="processing","Ready to Assign",IF(D55="Missing from latest raw","Check Source","Not Managed - "&amp;D55)))))</x:f>
        <x:v>Active - Executing</x:v>
      </x:c>
      <x:c r="F55" s="189" t="str">
        <x:f>IF(B55="","",IFERROR(INDEX('Task Master'!$K$5:$K$804,MATCH(B55,'Task Master'!$A$5:$A$804,0)),""))</x:f>
        <x:v>venkatesh.kalikivayi@petronas.com</x:v>
      </x:c>
      <x:c r="G55" s="190"/>
      <x:c r="H55" s="190" t="str">
        <x:v>Not Started</x:v>
      </x:c>
      <x:c r="I55" s="191"/>
      <x:c r="J55" s="190"/>
      <x:c r="K55" s="190"/>
      <x:c r="L55" s="195"/>
      <x:c r="M55" s="190" t="str">
        <x:v>Not Assessed</x:v>
      </x:c>
      <x:c r="N55" s="187">
        <x:f ca="1"/>
      </x:c>
      <x:c r="O55" s="192"/>
      <x:c r="P55" s="192" t="str">
        <x:v>System Initial Load</x:v>
      </x:c>
      <x:c r="Q55" s="170" t="str">
        <x:f>IF(OR(A55="",B55=""),"",IF(A55=LOOKUP(2,1/($B$5:$B$704=B55),$A$5:$A$704),"Yes","No"))</x:f>
        <x:v>Yes</x:v>
      </x:c>
    </x:row>
    <x:row r="56">
      <x:c r="A56" s="193" t="n">
        <x:v>46251</x:v>
      </x:c>
      <x:c r="B56" s="187" t="str">
        <x:v>CSSP10478501</x:v>
      </x:c>
      <x:c r="C56" s="188" t="str">
        <x:f>IF(B56="","",IF(COUNTIF('Raw Decommissioning'!$B$2:$B$1000,B56)&gt;0,"Decommissioning",IF(COUNTIF('Raw Provisioning'!$B$2:$B$1000,B56)&gt;0,"Provisioning","Not in latest raw")))</x:f>
        <x:v>Decommissioning</x:v>
      </x:c>
      <x:c r="D56" s="188" t="str">
        <x:f>IF(B56="","",IFERROR(INDEX('Raw Decommissioning'!$E$2:$E$1000,MATCH(B56,'Raw Decommissioning'!$B$2:$B$1000,0)),IFERROR(INDEX('Raw Provisioning'!$E$2:$E$1000,MATCH(B56,'Raw Provisioning'!$B$2:$B$1000,0)),"Missing from latest raw")))</x:f>
        <x:v>executing</x:v>
      </x:c>
      <x:c r="E56" s="188" t="str">
        <x:f>IF(B56="","",IF(D56="completed","Completed in CSSP",IF(D56="executing","Active - Executing",IF(D56="processing","Ready to Assign",IF(D56="Missing from latest raw","Check Source","Not Managed - "&amp;D56)))))</x:f>
        <x:v>Active - Executing</x:v>
      </x:c>
      <x:c r="F56" s="189" t="str">
        <x:f>IF(B56="","",IFERROR(INDEX('Task Master'!$K$5:$K$804,MATCH(B56,'Task Master'!$A$5:$A$804,0)),""))</x:f>
        <x:v>venkatesh.kalikivayi@petronas.com</x:v>
      </x:c>
      <x:c r="G56" s="190"/>
      <x:c r="H56" s="190" t="str">
        <x:v>Not Started</x:v>
      </x:c>
      <x:c r="I56" s="191"/>
      <x:c r="J56" s="190"/>
      <x:c r="K56" s="190"/>
      <x:c r="L56" s="195"/>
      <x:c r="M56" s="190" t="str">
        <x:v>Not Assessed</x:v>
      </x:c>
      <x:c r="N56" s="187">
        <x:f ca="1"/>
      </x:c>
      <x:c r="O56" s="192"/>
      <x:c r="P56" s="192" t="str">
        <x:v>System Initial Load</x:v>
      </x:c>
      <x:c r="Q56" s="170" t="str">
        <x:f>IF(OR(A56="",B56=""),"",IF(A56=LOOKUP(2,1/($B$5:$B$704=B56),$A$5:$A$704),"Yes","No"))</x:f>
        <x:v>Yes</x:v>
      </x:c>
    </x:row>
    <x:row r="57">
      <x:c r="A57" s="193" t="n">
        <x:v>46251</x:v>
      </x:c>
      <x:c r="B57" s="187" t="str">
        <x:v>CSSP10523448</x:v>
      </x:c>
      <x:c r="C57" s="188" t="str">
        <x:f>IF(B57="","",IF(COUNTIF('Raw Decommissioning'!$B$2:$B$1000,B57)&gt;0,"Decommissioning",IF(COUNTIF('Raw Provisioning'!$B$2:$B$1000,B57)&gt;0,"Provisioning","Not in latest raw")))</x:f>
        <x:v>Decommissioning</x:v>
      </x:c>
      <x:c r="D57" s="188" t="str">
        <x:f>IF(B57="","",IFERROR(INDEX('Raw Decommissioning'!$E$2:$E$1000,MATCH(B57,'Raw Decommissioning'!$B$2:$B$1000,0)),IFERROR(INDEX('Raw Provisioning'!$E$2:$E$1000,MATCH(B57,'Raw Provisioning'!$B$2:$B$1000,0)),"Missing from latest raw")))</x:f>
        <x:v>executing</x:v>
      </x:c>
      <x:c r="E57" s="188" t="str">
        <x:f>IF(B57="","",IF(D57="completed","Completed in CSSP",IF(D57="executing","Active - Executing",IF(D57="processing","Ready to Assign",IF(D57="Missing from latest raw","Check Source","Not Managed - "&amp;D57)))))</x:f>
        <x:v>Active - Executing</x:v>
      </x:c>
      <x:c r="F57" s="189" t="str">
        <x:f>IF(B57="","",IFERROR(INDEX('Task Master'!$K$5:$K$804,MATCH(B57,'Task Master'!$A$5:$A$804,0)),""))</x:f>
        <x:v>venkatesh.kalikivayi@petronas.com</x:v>
      </x:c>
      <x:c r="G57" s="190"/>
      <x:c r="H57" s="190" t="str">
        <x:v>Not Started</x:v>
      </x:c>
      <x:c r="I57" s="191"/>
      <x:c r="J57" s="190"/>
      <x:c r="K57" s="190"/>
      <x:c r="L57" s="195"/>
      <x:c r="M57" s="190" t="str">
        <x:v>Not Assessed</x:v>
      </x:c>
      <x:c r="N57" s="187">
        <x:f ca="1"/>
      </x:c>
      <x:c r="O57" s="192"/>
      <x:c r="P57" s="192" t="str">
        <x:v>System Initial Load</x:v>
      </x:c>
      <x:c r="Q57" s="170" t="str">
        <x:f>IF(OR(A57="",B57=""),"",IF(A57=LOOKUP(2,1/($B$5:$B$704=B57),$A$5:$A$704),"Yes","No"))</x:f>
        <x:v>Yes</x:v>
      </x:c>
    </x:row>
    <x:row r="58">
      <x:c r="A58" s="193" t="n">
        <x:v>46251</x:v>
      </x:c>
      <x:c r="B58" s="187" t="str">
        <x:v>CSSP10546101</x:v>
      </x:c>
      <x:c r="C58" s="188" t="str">
        <x:f>IF(B58="","",IF(COUNTIF('Raw Decommissioning'!$B$2:$B$1000,B58)&gt;0,"Decommissioning",IF(COUNTIF('Raw Provisioning'!$B$2:$B$1000,B58)&gt;0,"Provisioning","Not in latest raw")))</x:f>
        <x:v>Decommissioning</x:v>
      </x:c>
      <x:c r="D58" s="188" t="str">
        <x:f>IF(B58="","",IFERROR(INDEX('Raw Decommissioning'!$E$2:$E$1000,MATCH(B58,'Raw Decommissioning'!$B$2:$B$1000,0)),IFERROR(INDEX('Raw Provisioning'!$E$2:$E$1000,MATCH(B58,'Raw Provisioning'!$B$2:$B$1000,0)),"Missing from latest raw")))</x:f>
        <x:v>executing</x:v>
      </x:c>
      <x:c r="E58" s="188" t="str">
        <x:f>IF(B58="","",IF(D58="completed","Completed in CSSP",IF(D58="executing","Active - Executing",IF(D58="processing","Ready to Assign",IF(D58="Missing from latest raw","Check Source","Not Managed - "&amp;D58)))))</x:f>
        <x:v>Active - Executing</x:v>
      </x:c>
      <x:c r="F58" s="189" t="str">
        <x:f>IF(B58="","",IFERROR(INDEX('Task Master'!$K$5:$K$804,MATCH(B58,'Task Master'!$A$5:$A$804,0)),""))</x:f>
        <x:v>venkatesh.kalikivayi@petronas.com</x:v>
      </x:c>
      <x:c r="G58" s="190"/>
      <x:c r="H58" s="190" t="str">
        <x:v>Not Started</x:v>
      </x:c>
      <x:c r="I58" s="191"/>
      <x:c r="J58" s="190"/>
      <x:c r="K58" s="190"/>
      <x:c r="L58" s="195"/>
      <x:c r="M58" s="190" t="str">
        <x:v>Not Assessed</x:v>
      </x:c>
      <x:c r="N58" s="187">
        <x:f ca="1"/>
      </x:c>
      <x:c r="O58" s="192"/>
      <x:c r="P58" s="192" t="str">
        <x:v>System Initial Load</x:v>
      </x:c>
      <x:c r="Q58" s="170" t="str">
        <x:f>IF(OR(A58="",B58=""),"",IF(A58=LOOKUP(2,1/($B$5:$B$704=B58),$A$5:$A$704),"Yes","No"))</x:f>
        <x:v>Yes</x:v>
      </x:c>
    </x:row>
    <x:row r="59">
      <x:c r="A59" s="193" t="n">
        <x:v>46251</x:v>
      </x:c>
      <x:c r="B59" s="187" t="str">
        <x:v>CSSP10707894</x:v>
      </x:c>
      <x:c r="C59" s="188" t="str">
        <x:f>IF(B59="","",IF(COUNTIF('Raw Decommissioning'!$B$2:$B$1000,B59)&gt;0,"Decommissioning",IF(COUNTIF('Raw Provisioning'!$B$2:$B$1000,B59)&gt;0,"Provisioning","Not in latest raw")))</x:f>
        <x:v>Decommissioning</x:v>
      </x:c>
      <x:c r="D59" s="188" t="str">
        <x:f>IF(B59="","",IFERROR(INDEX('Raw Decommissioning'!$E$2:$E$1000,MATCH(B59,'Raw Decommissioning'!$B$2:$B$1000,0)),IFERROR(INDEX('Raw Provisioning'!$E$2:$E$1000,MATCH(B59,'Raw Provisioning'!$B$2:$B$1000,0)),"Missing from latest raw")))</x:f>
        <x:v>executing</x:v>
      </x:c>
      <x:c r="E59" s="188" t="str">
        <x:f>IF(B59="","",IF(D59="completed","Completed in CSSP",IF(D59="executing","Active - Executing",IF(D59="processing","Ready to Assign",IF(D59="Missing from latest raw","Check Source","Not Managed - "&amp;D59)))))</x:f>
        <x:v>Active - Executing</x:v>
      </x:c>
      <x:c r="F59" s="189" t="str">
        <x:f>IF(B59="","",IFERROR(INDEX('Task Master'!$K$5:$K$804,MATCH(B59,'Task Master'!$A$5:$A$804,0)),""))</x:f>
        <x:v>venkatesh.kalikivayi@petronas.com</x:v>
      </x:c>
      <x:c r="G59" s="190"/>
      <x:c r="H59" s="190" t="str">
        <x:v>Not Started</x:v>
      </x:c>
      <x:c r="I59" s="191"/>
      <x:c r="J59" s="190"/>
      <x:c r="K59" s="190"/>
      <x:c r="L59" s="195"/>
      <x:c r="M59" s="190" t="str">
        <x:v>Not Assessed</x:v>
      </x:c>
      <x:c r="N59" s="187">
        <x:f ca="1"/>
      </x:c>
      <x:c r="O59" s="192"/>
      <x:c r="P59" s="192" t="str">
        <x:v>System Initial Load</x:v>
      </x:c>
      <x:c r="Q59" s="170" t="str">
        <x:f>IF(OR(A59="",B59=""),"",IF(A59=LOOKUP(2,1/($B$5:$B$704=B59),$A$5:$A$704),"Yes","No"))</x:f>
        <x:v>Yes</x:v>
      </x:c>
    </x:row>
    <x:row r="60">
      <x:c r="A60" s="193" t="n">
        <x:v>46251</x:v>
      </x:c>
      <x:c r="B60" s="187" t="str">
        <x:v>CSSP10891746</x:v>
      </x:c>
      <x:c r="C60" s="188" t="str">
        <x:f>IF(B60="","",IF(COUNTIF('Raw Decommissioning'!$B$2:$B$1000,B60)&gt;0,"Decommissioning",IF(COUNTIF('Raw Provisioning'!$B$2:$B$1000,B60)&gt;0,"Provisioning","Not in latest raw")))</x:f>
        <x:v>Decommissioning</x:v>
      </x:c>
      <x:c r="D60" s="188" t="str">
        <x:f>IF(B60="","",IFERROR(INDEX('Raw Decommissioning'!$E$2:$E$1000,MATCH(B60,'Raw Decommissioning'!$B$2:$B$1000,0)),IFERROR(INDEX('Raw Provisioning'!$E$2:$E$1000,MATCH(B60,'Raw Provisioning'!$B$2:$B$1000,0)),"Missing from latest raw")))</x:f>
        <x:v>executing</x:v>
      </x:c>
      <x:c r="E60" s="188" t="str">
        <x:f>IF(B60="","",IF(D60="completed","Completed in CSSP",IF(D60="executing","Active - Executing",IF(D60="processing","Ready to Assign",IF(D60="Missing from latest raw","Check Source","Not Managed - "&amp;D60)))))</x:f>
        <x:v>Active - Executing</x:v>
      </x:c>
      <x:c r="F60" s="189" t="str">
        <x:f>IF(B60="","",IFERROR(INDEX('Task Master'!$K$5:$K$804,MATCH(B60,'Task Master'!$A$5:$A$804,0)),""))</x:f>
        <x:v>venkatesh.kalikivayi@petronas.com</x:v>
      </x:c>
      <x:c r="G60" s="190"/>
      <x:c r="H60" s="190" t="str">
        <x:v>Not Started</x:v>
      </x:c>
      <x:c r="I60" s="191"/>
      <x:c r="J60" s="190"/>
      <x:c r="K60" s="190"/>
      <x:c r="L60" s="195"/>
      <x:c r="M60" s="190" t="str">
        <x:v>Not Assessed</x:v>
      </x:c>
      <x:c r="N60" s="187">
        <x:f ca="1"/>
      </x:c>
      <x:c r="O60" s="192"/>
      <x:c r="P60" s="192" t="str">
        <x:v>System Initial Load</x:v>
      </x:c>
      <x:c r="Q60" s="170" t="str">
        <x:f>IF(OR(A60="",B60=""),"",IF(A60=LOOKUP(2,1/($B$5:$B$704=B60),$A$5:$A$704),"Yes","No"))</x:f>
        <x:v>Yes</x:v>
      </x:c>
    </x:row>
    <x:row r="61">
      <x:c r="A61" s="193" t="n">
        <x:v>46251</x:v>
      </x:c>
      <x:c r="B61" s="187" t="str">
        <x:v>CSSP10113283</x:v>
      </x:c>
      <x:c r="C61" s="188" t="str">
        <x:f>IF(B61="","",IF(COUNTIF('Raw Decommissioning'!$B$2:$B$1000,B61)&gt;0,"Decommissioning",IF(COUNTIF('Raw Provisioning'!$B$2:$B$1000,B61)&gt;0,"Provisioning","Not in latest raw")))</x:f>
        <x:v>Provisioning</x:v>
      </x:c>
      <x:c r="D61" s="188" t="str">
        <x:f>IF(B61="","",IFERROR(INDEX('Raw Decommissioning'!$E$2:$E$1000,MATCH(B61,'Raw Decommissioning'!$B$2:$B$1000,0)),IFERROR(INDEX('Raw Provisioning'!$E$2:$E$1000,MATCH(B61,'Raw Provisioning'!$B$2:$B$1000,0)),"Missing from latest raw")))</x:f>
        <x:v>executing</x:v>
      </x:c>
      <x:c r="E61" s="188" t="str">
        <x:f>IF(B61="","",IF(D61="completed","Completed in CSSP",IF(D61="executing","Active - Executing",IF(D61="processing","Ready to Assign",IF(D61="Missing from latest raw","Check Source","Not Managed - "&amp;D61)))))</x:f>
        <x:v>Active - Executing</x:v>
      </x:c>
      <x:c r="F61" s="189" t="str">
        <x:f>IF(B61="","",IFERROR(INDEX('Task Master'!$K$5:$K$804,MATCH(B61,'Task Master'!$A$5:$A$804,0)),""))</x:f>
        <x:v>abdul.khoir@petronas.com</x:v>
      </x:c>
      <x:c r="G61" s="190"/>
      <x:c r="H61" s="190" t="str">
        <x:v>Not Started</x:v>
      </x:c>
      <x:c r="I61" s="191"/>
      <x:c r="J61" s="190"/>
      <x:c r="K61" s="190"/>
      <x:c r="L61" s="195"/>
      <x:c r="M61" s="190" t="str">
        <x:v>Not Assessed</x:v>
      </x:c>
      <x:c r="N61" s="187">
        <x:f ca="1"/>
      </x:c>
      <x:c r="O61" s="192"/>
      <x:c r="P61" s="192" t="str">
        <x:v>System Initial Load</x:v>
      </x:c>
      <x:c r="Q61" s="170" t="str">
        <x:f>IF(OR(A61="",B61=""),"",IF(A61=LOOKUP(2,1/($B$5:$B$704=B61),$A$5:$A$704),"Yes","No"))</x:f>
        <x:v>Yes</x:v>
      </x:c>
    </x:row>
    <x:row r="62">
      <x:c r="A62" s="193" t="n">
        <x:v>46251</x:v>
      </x:c>
      <x:c r="B62" s="187" t="str">
        <x:v>CSSP10141118</x:v>
      </x:c>
      <x:c r="C62" s="188" t="str">
        <x:f>IF(B62="","",IF(COUNTIF('Raw Decommissioning'!$B$2:$B$1000,B62)&gt;0,"Decommissioning",IF(COUNTIF('Raw Provisioning'!$B$2:$B$1000,B62)&gt;0,"Provisioning","Not in latest raw")))</x:f>
        <x:v>Provisioning</x:v>
      </x:c>
      <x:c r="D62" s="188" t="str">
        <x:f>IF(B62="","",IFERROR(INDEX('Raw Decommissioning'!$E$2:$E$1000,MATCH(B62,'Raw Decommissioning'!$B$2:$B$1000,0)),IFERROR(INDEX('Raw Provisioning'!$E$2:$E$1000,MATCH(B62,'Raw Provisioning'!$B$2:$B$1000,0)),"Missing from latest raw")))</x:f>
        <x:v>executing</x:v>
      </x:c>
      <x:c r="E62" s="188" t="str">
        <x:f>IF(B62="","",IF(D62="completed","Completed in CSSP",IF(D62="executing","Active - Executing",IF(D62="processing","Ready to Assign",IF(D62="Missing from latest raw","Check Source","Not Managed - "&amp;D62)))))</x:f>
        <x:v>Active - Executing</x:v>
      </x:c>
      <x:c r="F62" s="189" t="str">
        <x:f>IF(B62="","",IFERROR(INDEX('Task Master'!$K$5:$K$804,MATCH(B62,'Task Master'!$A$5:$A$804,0)),""))</x:f>
        <x:v>abdul.khoir@petronas.com</x:v>
      </x:c>
      <x:c r="G62" s="190"/>
      <x:c r="H62" s="190" t="str">
        <x:v>Not Started</x:v>
      </x:c>
      <x:c r="I62" s="191"/>
      <x:c r="J62" s="190"/>
      <x:c r="K62" s="190"/>
      <x:c r="L62" s="195"/>
      <x:c r="M62" s="190" t="str">
        <x:v>Not Assessed</x:v>
      </x:c>
      <x:c r="N62" s="187">
        <x:f ca="1"/>
      </x:c>
      <x:c r="O62" s="192"/>
      <x:c r="P62" s="192" t="str">
        <x:v>System Initial Load</x:v>
      </x:c>
      <x:c r="Q62" s="170" t="str">
        <x:f>IF(OR(A62="",B62=""),"",IF(A62=LOOKUP(2,1/($B$5:$B$704=B62),$A$5:$A$704),"Yes","No"))</x:f>
        <x:v>Yes</x:v>
      </x:c>
    </x:row>
    <x:row r="63">
      <x:c r="A63" s="193" t="n">
        <x:v>46251</x:v>
      </x:c>
      <x:c r="B63" s="187" t="str">
        <x:v>CSSP10444708</x:v>
      </x:c>
      <x:c r="C63" s="188" t="str">
        <x:f>IF(B63="","",IF(COUNTIF('Raw Decommissioning'!$B$2:$B$1000,B63)&gt;0,"Decommissioning",IF(COUNTIF('Raw Provisioning'!$B$2:$B$1000,B63)&gt;0,"Provisioning","Not in latest raw")))</x:f>
        <x:v>Provisioning</x:v>
      </x:c>
      <x:c r="D63" s="188" t="str">
        <x:f>IF(B63="","",IFERROR(INDEX('Raw Decommissioning'!$E$2:$E$1000,MATCH(B63,'Raw Decommissioning'!$B$2:$B$1000,0)),IFERROR(INDEX('Raw Provisioning'!$E$2:$E$1000,MATCH(B63,'Raw Provisioning'!$B$2:$B$1000,0)),"Missing from latest raw")))</x:f>
        <x:v>executing</x:v>
      </x:c>
      <x:c r="E63" s="188" t="str">
        <x:f>IF(B63="","",IF(D63="completed","Completed in CSSP",IF(D63="executing","Active - Executing",IF(D63="processing","Ready to Assign",IF(D63="Missing from latest raw","Check Source","Not Managed - "&amp;D63)))))</x:f>
        <x:v>Active - Executing</x:v>
      </x:c>
      <x:c r="F63" s="189" t="str">
        <x:f>IF(B63="","",IFERROR(INDEX('Task Master'!$K$5:$K$804,MATCH(B63,'Task Master'!$A$5:$A$804,0)),""))</x:f>
        <x:v>abdul.khoir@petronas.com</x:v>
      </x:c>
      <x:c r="G63" s="190"/>
      <x:c r="H63" s="190" t="str">
        <x:v>Not Started</x:v>
      </x:c>
      <x:c r="I63" s="191"/>
      <x:c r="J63" s="190"/>
      <x:c r="K63" s="190"/>
      <x:c r="L63" s="195"/>
      <x:c r="M63" s="190" t="str">
        <x:v>Not Assessed</x:v>
      </x:c>
      <x:c r="N63" s="187">
        <x:f ca="1"/>
      </x:c>
      <x:c r="O63" s="192"/>
      <x:c r="P63" s="192" t="str">
        <x:v>System Initial Load</x:v>
      </x:c>
      <x:c r="Q63" s="170" t="str">
        <x:f>IF(OR(A63="",B63=""),"",IF(A63=LOOKUP(2,1/($B$5:$B$704=B63),$A$5:$A$704),"Yes","No"))</x:f>
        <x:v>Yes</x:v>
      </x:c>
    </x:row>
    <x:row r="64">
      <x:c r="A64" s="193" t="n">
        <x:v>46251</x:v>
      </x:c>
      <x:c r="B64" s="187" t="str">
        <x:v>CSSP10605623</x:v>
      </x:c>
      <x:c r="C64" s="188" t="str">
        <x:f>IF(B64="","",IF(COUNTIF('Raw Decommissioning'!$B$2:$B$1000,B64)&gt;0,"Decommissioning",IF(COUNTIF('Raw Provisioning'!$B$2:$B$1000,B64)&gt;0,"Provisioning","Not in latest raw")))</x:f>
        <x:v>Provisioning</x:v>
      </x:c>
      <x:c r="D64" s="188" t="str">
        <x:f>IF(B64="","",IFERROR(INDEX('Raw Decommissioning'!$E$2:$E$1000,MATCH(B64,'Raw Decommissioning'!$B$2:$B$1000,0)),IFERROR(INDEX('Raw Provisioning'!$E$2:$E$1000,MATCH(B64,'Raw Provisioning'!$B$2:$B$1000,0)),"Missing from latest raw")))</x:f>
        <x:v>executing</x:v>
      </x:c>
      <x:c r="E64" s="188" t="str">
        <x:f>IF(B64="","",IF(D64="completed","Completed in CSSP",IF(D64="executing","Active - Executing",IF(D64="processing","Ready to Assign",IF(D64="Missing from latest raw","Check Source","Not Managed - "&amp;D64)))))</x:f>
        <x:v>Active - Executing</x:v>
      </x:c>
      <x:c r="F64" s="189" t="str">
        <x:f>IF(B64="","",IFERROR(INDEX('Task Master'!$K$5:$K$804,MATCH(B64,'Task Master'!$A$5:$A$804,0)),""))</x:f>
        <x:v>abdul.khoir@petronas.com</x:v>
      </x:c>
      <x:c r="G64" s="190"/>
      <x:c r="H64" s="190" t="str">
        <x:v>Not Started</x:v>
      </x:c>
      <x:c r="I64" s="191"/>
      <x:c r="J64" s="190"/>
      <x:c r="K64" s="190"/>
      <x:c r="L64" s="195"/>
      <x:c r="M64" s="190" t="str">
        <x:v>Not Assessed</x:v>
      </x:c>
      <x:c r="N64" s="187">
        <x:f ca="1"/>
      </x:c>
      <x:c r="O64" s="192"/>
      <x:c r="P64" s="192" t="str">
        <x:v>System Initial Load</x:v>
      </x:c>
      <x:c r="Q64" s="170" t="str">
        <x:f>IF(OR(A64="",B64=""),"",IF(A64=LOOKUP(2,1/($B$5:$B$704=B64),$A$5:$A$704),"Yes","No"))</x:f>
        <x:v>Yes</x:v>
      </x:c>
    </x:row>
    <x:row r="65">
      <x:c r="A65" s="193" t="n">
        <x:v>46251</x:v>
      </x:c>
      <x:c r="B65" s="187" t="str">
        <x:v>CSSP10760217</x:v>
      </x:c>
      <x:c r="C65" s="188" t="str">
        <x:f>IF(B65="","",IF(COUNTIF('Raw Decommissioning'!$B$2:$B$1000,B65)&gt;0,"Decommissioning",IF(COUNTIF('Raw Provisioning'!$B$2:$B$1000,B65)&gt;0,"Provisioning","Not in latest raw")))</x:f>
        <x:v>Provisioning</x:v>
      </x:c>
      <x:c r="D65" s="188" t="str">
        <x:f>IF(B65="","",IFERROR(INDEX('Raw Decommissioning'!$E$2:$E$1000,MATCH(B65,'Raw Decommissioning'!$B$2:$B$1000,0)),IFERROR(INDEX('Raw Provisioning'!$E$2:$E$1000,MATCH(B65,'Raw Provisioning'!$B$2:$B$1000,0)),"Missing from latest raw")))</x:f>
        <x:v>executing</x:v>
      </x:c>
      <x:c r="E65" s="188" t="str">
        <x:f>IF(B65="","",IF(D65="completed","Completed in CSSP",IF(D65="executing","Active - Executing",IF(D65="processing","Ready to Assign",IF(D65="Missing from latest raw","Check Source","Not Managed - "&amp;D65)))))</x:f>
        <x:v>Active - Executing</x:v>
      </x:c>
      <x:c r="F65" s="189" t="str">
        <x:f>IF(B65="","",IFERROR(INDEX('Task Master'!$K$5:$K$804,MATCH(B65,'Task Master'!$A$5:$A$804,0)),""))</x:f>
        <x:v>abdul.khoir@petronas.com</x:v>
      </x:c>
      <x:c r="G65" s="190"/>
      <x:c r="H65" s="190" t="str">
        <x:v>Not Started</x:v>
      </x:c>
      <x:c r="I65" s="191"/>
      <x:c r="J65" s="190"/>
      <x:c r="K65" s="190"/>
      <x:c r="L65" s="195"/>
      <x:c r="M65" s="190" t="str">
        <x:v>Not Assessed</x:v>
      </x:c>
      <x:c r="N65" s="187">
        <x:f ca="1"/>
      </x:c>
      <x:c r="O65" s="192"/>
      <x:c r="P65" s="192" t="str">
        <x:v>System Initial Load</x:v>
      </x:c>
      <x:c r="Q65" s="170" t="str">
        <x:f>IF(OR(A65="",B65=""),"",IF(A65=LOOKUP(2,1/($B$5:$B$704=B65),$A$5:$A$704),"Yes","No"))</x:f>
        <x:v>Yes</x:v>
      </x:c>
    </x:row>
    <x:row r="66">
      <x:c r="A66" s="193" t="n">
        <x:v>46251</x:v>
      </x:c>
      <x:c r="B66" s="187" t="str">
        <x:v>CSSP10825398</x:v>
      </x:c>
      <x:c r="C66" s="188" t="str">
        <x:f>IF(B66="","",IF(COUNTIF('Raw Decommissioning'!$B$2:$B$1000,B66)&gt;0,"Decommissioning",IF(COUNTIF('Raw Provisioning'!$B$2:$B$1000,B66)&gt;0,"Provisioning","Not in latest raw")))</x:f>
        <x:v>Provisioning</x:v>
      </x:c>
      <x:c r="D66" s="188" t="str">
        <x:f>IF(B66="","",IFERROR(INDEX('Raw Decommissioning'!$E$2:$E$1000,MATCH(B66,'Raw Decommissioning'!$B$2:$B$1000,0)),IFERROR(INDEX('Raw Provisioning'!$E$2:$E$1000,MATCH(B66,'Raw Provisioning'!$B$2:$B$1000,0)),"Missing from latest raw")))</x:f>
        <x:v>executing</x:v>
      </x:c>
      <x:c r="E66" s="188" t="str">
        <x:f>IF(B66="","",IF(D66="completed","Completed in CSSP",IF(D66="executing","Active - Executing",IF(D66="processing","Ready to Assign",IF(D66="Missing from latest raw","Check Source","Not Managed - "&amp;D66)))))</x:f>
        <x:v>Active - Executing</x:v>
      </x:c>
      <x:c r="F66" s="189" t="str">
        <x:f>IF(B66="","",IFERROR(INDEX('Task Master'!$K$5:$K$804,MATCH(B66,'Task Master'!$A$5:$A$804,0)),""))</x:f>
        <x:v>abdul.khoir@petronas.com</x:v>
      </x:c>
      <x:c r="G66" s="190"/>
      <x:c r="H66" s="190" t="str">
        <x:v>Not Started</x:v>
      </x:c>
      <x:c r="I66" s="191"/>
      <x:c r="J66" s="190"/>
      <x:c r="K66" s="190"/>
      <x:c r="L66" s="195"/>
      <x:c r="M66" s="190" t="str">
        <x:v>Not Assessed</x:v>
      </x:c>
      <x:c r="N66" s="187">
        <x:f ca="1"/>
      </x:c>
      <x:c r="O66" s="192"/>
      <x:c r="P66" s="192" t="str">
        <x:v>System Initial Load</x:v>
      </x:c>
      <x:c r="Q66" s="170" t="str">
        <x:f>IF(OR(A66="",B66=""),"",IF(A66=LOOKUP(2,1/($B$5:$B$704=B66),$A$5:$A$704),"Yes","No"))</x:f>
        <x:v>Yes</x:v>
      </x:c>
    </x:row>
    <x:row r="67">
      <x:c r="A67" s="193" t="n">
        <x:v>46251</x:v>
      </x:c>
      <x:c r="B67" s="187" t="str">
        <x:v>CSSP10233187</x:v>
      </x:c>
      <x:c r="C67" s="188" t="str">
        <x:f>IF(B67="","",IF(COUNTIF('Raw Decommissioning'!$B$2:$B$1000,B67)&gt;0,"Decommissioning",IF(COUNTIF('Raw Provisioning'!$B$2:$B$1000,B67)&gt;0,"Provisioning","Not in latest raw")))</x:f>
        <x:v>Provisioning</x:v>
      </x:c>
      <x:c r="D67" s="188" t="str">
        <x:f>IF(B67="","",IFERROR(INDEX('Raw Decommissioning'!$E$2:$E$1000,MATCH(B67,'Raw Decommissioning'!$B$2:$B$1000,0)),IFERROR(INDEX('Raw Provisioning'!$E$2:$E$1000,MATCH(B67,'Raw Provisioning'!$B$2:$B$1000,0)),"Missing from latest raw")))</x:f>
        <x:v>executing</x:v>
      </x:c>
      <x:c r="E67" s="188" t="str">
        <x:f>IF(B67="","",IF(D67="completed","Completed in CSSP",IF(D67="executing","Active - Executing",IF(D67="processing","Ready to Assign",IF(D67="Missing from latest raw","Check Source","Not Managed - "&amp;D67)))))</x:f>
        <x:v>Active - Executing</x:v>
      </x:c>
      <x:c r="F67" s="189" t="str">
        <x:f>IF(B67="","",IFERROR(INDEX('Task Master'!$K$5:$K$804,MATCH(B67,'Task Master'!$A$5:$A$804,0)),""))</x:f>
        <x:v>abhishek.bhowate@petronas.com</x:v>
      </x:c>
      <x:c r="G67" s="190"/>
      <x:c r="H67" s="190" t="str">
        <x:v>Not Started</x:v>
      </x:c>
      <x:c r="I67" s="191"/>
      <x:c r="J67" s="190"/>
      <x:c r="K67" s="190"/>
      <x:c r="L67" s="195"/>
      <x:c r="M67" s="190" t="str">
        <x:v>Not Assessed</x:v>
      </x:c>
      <x:c r="N67" s="187">
        <x:f ca="1"/>
      </x:c>
      <x:c r="O67" s="192"/>
      <x:c r="P67" s="192" t="str">
        <x:v>System Initial Load</x:v>
      </x:c>
      <x:c r="Q67" s="170" t="str">
        <x:f>IF(OR(A67="",B67=""),"",IF(A67=LOOKUP(2,1/($B$5:$B$704=B67),$A$5:$A$704),"Yes","No"))</x:f>
        <x:v>Yes</x:v>
      </x:c>
    </x:row>
    <x:row r="68">
      <x:c r="A68" s="193" t="n">
        <x:v>46251</x:v>
      </x:c>
      <x:c r="B68" s="187" t="str">
        <x:v>CSSP10530003</x:v>
      </x:c>
      <x:c r="C68" s="188" t="str">
        <x:f>IF(B68="","",IF(COUNTIF('Raw Decommissioning'!$B$2:$B$1000,B68)&gt;0,"Decommissioning",IF(COUNTIF('Raw Provisioning'!$B$2:$B$1000,B68)&gt;0,"Provisioning","Not in latest raw")))</x:f>
        <x:v>Provisioning</x:v>
      </x:c>
      <x:c r="D68" s="188" t="str">
        <x:f>IF(B68="","",IFERROR(INDEX('Raw Decommissioning'!$E$2:$E$1000,MATCH(B68,'Raw Decommissioning'!$B$2:$B$1000,0)),IFERROR(INDEX('Raw Provisioning'!$E$2:$E$1000,MATCH(B68,'Raw Provisioning'!$B$2:$B$1000,0)),"Missing from latest raw")))</x:f>
        <x:v>executing</x:v>
      </x:c>
      <x:c r="E68" s="188" t="str">
        <x:f>IF(B68="","",IF(D68="completed","Completed in CSSP",IF(D68="executing","Active - Executing",IF(D68="processing","Ready to Assign",IF(D68="Missing from latest raw","Check Source","Not Managed - "&amp;D68)))))</x:f>
        <x:v>Active - Executing</x:v>
      </x:c>
      <x:c r="F68" s="189" t="str">
        <x:f>IF(B68="","",IFERROR(INDEX('Task Master'!$K$5:$K$804,MATCH(B68,'Task Master'!$A$5:$A$804,0)),""))</x:f>
        <x:v>abhishek.bhowate@petronas.com</x:v>
      </x:c>
      <x:c r="G68" s="190"/>
      <x:c r="H68" s="190" t="str">
        <x:v>Not Started</x:v>
      </x:c>
      <x:c r="I68" s="191"/>
      <x:c r="J68" s="190"/>
      <x:c r="K68" s="190"/>
      <x:c r="L68" s="195"/>
      <x:c r="M68" s="190" t="str">
        <x:v>Not Assessed</x:v>
      </x:c>
      <x:c r="N68" s="187">
        <x:f ca="1"/>
      </x:c>
      <x:c r="O68" s="192"/>
      <x:c r="P68" s="192" t="str">
        <x:v>System Initial Load</x:v>
      </x:c>
      <x:c r="Q68" s="170" t="str">
        <x:f>IF(OR(A68="",B68=""),"",IF(A68=LOOKUP(2,1/($B$5:$B$704=B68),$A$5:$A$704),"Yes","No"))</x:f>
        <x:v>Yes</x:v>
      </x:c>
    </x:row>
    <x:row r="69">
      <x:c r="A69" s="193" t="n">
        <x:v>46251</x:v>
      </x:c>
      <x:c r="B69" s="187" t="str">
        <x:v>CSSP10895954</x:v>
      </x:c>
      <x:c r="C69" s="188" t="str">
        <x:f>IF(B69="","",IF(COUNTIF('Raw Decommissioning'!$B$2:$B$1000,B69)&gt;0,"Decommissioning",IF(COUNTIF('Raw Provisioning'!$B$2:$B$1000,B69)&gt;0,"Provisioning","Not in latest raw")))</x:f>
        <x:v>Provisioning</x:v>
      </x:c>
      <x:c r="D69" s="188" t="str">
        <x:f>IF(B69="","",IFERROR(INDEX('Raw Decommissioning'!$E$2:$E$1000,MATCH(B69,'Raw Decommissioning'!$B$2:$B$1000,0)),IFERROR(INDEX('Raw Provisioning'!$E$2:$E$1000,MATCH(B69,'Raw Provisioning'!$B$2:$B$1000,0)),"Missing from latest raw")))</x:f>
        <x:v>executing</x:v>
      </x:c>
      <x:c r="E69" s="188" t="str">
        <x:f>IF(B69="","",IF(D69="completed","Completed in CSSP",IF(D69="executing","Active - Executing",IF(D69="processing","Ready to Assign",IF(D69="Missing from latest raw","Check Source","Not Managed - "&amp;D69)))))</x:f>
        <x:v>Active - Executing</x:v>
      </x:c>
      <x:c r="F69" s="189" t="str">
        <x:f>IF(B69="","",IFERROR(INDEX('Task Master'!$K$5:$K$804,MATCH(B69,'Task Master'!$A$5:$A$804,0)),""))</x:f>
        <x:v>abhishek.bhowate@petronas.com</x:v>
      </x:c>
      <x:c r="G69" s="190"/>
      <x:c r="H69" s="190" t="str">
        <x:v>Not Started</x:v>
      </x:c>
      <x:c r="I69" s="191"/>
      <x:c r="J69" s="190"/>
      <x:c r="K69" s="190"/>
      <x:c r="L69" s="195"/>
      <x:c r="M69" s="190" t="str">
        <x:v>Not Assessed</x:v>
      </x:c>
      <x:c r="N69" s="187">
        <x:f ca="1"/>
      </x:c>
      <x:c r="O69" s="192"/>
      <x:c r="P69" s="192" t="str">
        <x:v>System Initial Load</x:v>
      </x:c>
      <x:c r="Q69" s="170" t="str">
        <x:f>IF(OR(A69="",B69=""),"",IF(A69=LOOKUP(2,1/($B$5:$B$704=B69),$A$5:$A$704),"Yes","No"))</x:f>
        <x:v>Yes</x:v>
      </x:c>
    </x:row>
    <x:row r="70">
      <x:c r="A70" s="193" t="n">
        <x:v>46251</x:v>
      </x:c>
      <x:c r="B70" s="187" t="str">
        <x:v>CSSP10466348</x:v>
      </x:c>
      <x:c r="C70" s="188" t="str">
        <x:f>IF(B70="","",IF(COUNTIF('Raw Decommissioning'!$B$2:$B$1000,B70)&gt;0,"Decommissioning",IF(COUNTIF('Raw Provisioning'!$B$2:$B$1000,B70)&gt;0,"Provisioning","Not in latest raw")))</x:f>
        <x:v>Provisioning</x:v>
      </x:c>
      <x:c r="D70" s="188" t="str">
        <x:f>IF(B70="","",IFERROR(INDEX('Raw Decommissioning'!$E$2:$E$1000,MATCH(B70,'Raw Decommissioning'!$B$2:$B$1000,0)),IFERROR(INDEX('Raw Provisioning'!$E$2:$E$1000,MATCH(B70,'Raw Provisioning'!$B$2:$B$1000,0)),"Missing from latest raw")))</x:f>
        <x:v>executing</x:v>
      </x:c>
      <x:c r="E70" s="188" t="str">
        <x:f>IF(B70="","",IF(D70="completed","Completed in CSSP",IF(D70="executing","Active - Executing",IF(D70="processing","Ready to Assign",IF(D70="Missing from latest raw","Check Source","Not Managed - "&amp;D70)))))</x:f>
        <x:v>Active - Executing</x:v>
      </x:c>
      <x:c r="F70" s="189" t="str">
        <x:f>IF(B70="","",IFERROR(INDEX('Task Master'!$K$5:$K$804,MATCH(B70,'Task Master'!$A$5:$A$804,0)),""))</x:f>
        <x:v>amarja.kawade@petronas.com</x:v>
      </x:c>
      <x:c r="G70" s="190"/>
      <x:c r="H70" s="190" t="str">
        <x:v>Not Started</x:v>
      </x:c>
      <x:c r="I70" s="191"/>
      <x:c r="J70" s="190"/>
      <x:c r="K70" s="190"/>
      <x:c r="L70" s="195"/>
      <x:c r="M70" s="190" t="str">
        <x:v>Not Assessed</x:v>
      </x:c>
      <x:c r="N70" s="187">
        <x:f ca="1"/>
      </x:c>
      <x:c r="O70" s="192"/>
      <x:c r="P70" s="192" t="str">
        <x:v>System Initial Load</x:v>
      </x:c>
      <x:c r="Q70" s="170" t="str">
        <x:f>IF(OR(A70="",B70=""),"",IF(A70=LOOKUP(2,1/($B$5:$B$704=B70),$A$5:$A$704),"Yes","No"))</x:f>
        <x:v>Yes</x:v>
      </x:c>
    </x:row>
    <x:row r="71">
      <x:c r="A71" s="193" t="n">
        <x:v>46251</x:v>
      </x:c>
      <x:c r="B71" s="187" t="str">
        <x:v>CSSP10635363</x:v>
      </x:c>
      <x:c r="C71" s="188" t="str">
        <x:f>IF(B71="","",IF(COUNTIF('Raw Decommissioning'!$B$2:$B$1000,B71)&gt;0,"Decommissioning",IF(COUNTIF('Raw Provisioning'!$B$2:$B$1000,B71)&gt;0,"Provisioning","Not in latest raw")))</x:f>
        <x:v>Provisioning</x:v>
      </x:c>
      <x:c r="D71" s="188" t="str">
        <x:f>IF(B71="","",IFERROR(INDEX('Raw Decommissioning'!$E$2:$E$1000,MATCH(B71,'Raw Decommissioning'!$B$2:$B$1000,0)),IFERROR(INDEX('Raw Provisioning'!$E$2:$E$1000,MATCH(B71,'Raw Provisioning'!$B$2:$B$1000,0)),"Missing from latest raw")))</x:f>
        <x:v>executing</x:v>
      </x:c>
      <x:c r="E71" s="188" t="str">
        <x:f>IF(B71="","",IF(D71="completed","Completed in CSSP",IF(D71="executing","Active - Executing",IF(D71="processing","Ready to Assign",IF(D71="Missing from latest raw","Check Source","Not Managed - "&amp;D71)))))</x:f>
        <x:v>Active - Executing</x:v>
      </x:c>
      <x:c r="F71" s="189" t="str">
        <x:f>IF(B71="","",IFERROR(INDEX('Task Master'!$K$5:$K$804,MATCH(B71,'Task Master'!$A$5:$A$804,0)),""))</x:f>
        <x:v>amarja.kawade@petronas.com</x:v>
      </x:c>
      <x:c r="G71" s="190"/>
      <x:c r="H71" s="190" t="str">
        <x:v>Not Started</x:v>
      </x:c>
      <x:c r="I71" s="191"/>
      <x:c r="J71" s="190"/>
      <x:c r="K71" s="190"/>
      <x:c r="L71" s="195"/>
      <x:c r="M71" s="190" t="str">
        <x:v>Not Assessed</x:v>
      </x:c>
      <x:c r="N71" s="187">
        <x:f ca="1"/>
      </x:c>
      <x:c r="O71" s="192"/>
      <x:c r="P71" s="192" t="str">
        <x:v>System Initial Load</x:v>
      </x:c>
      <x:c r="Q71" s="170" t="str">
        <x:f>IF(OR(A71="",B71=""),"",IF(A71=LOOKUP(2,1/($B$5:$B$704=B71),$A$5:$A$704),"Yes","No"))</x:f>
        <x:v>Yes</x:v>
      </x:c>
    </x:row>
    <x:row r="72">
      <x:c r="A72" s="193" t="n">
        <x:v>46251</x:v>
      </x:c>
      <x:c r="B72" s="187" t="str">
        <x:v>CSSP10753669</x:v>
      </x:c>
      <x:c r="C72" s="188" t="str">
        <x:f>IF(B72="","",IF(COUNTIF('Raw Decommissioning'!$B$2:$B$1000,B72)&gt;0,"Decommissioning",IF(COUNTIF('Raw Provisioning'!$B$2:$B$1000,B72)&gt;0,"Provisioning","Not in latest raw")))</x:f>
        <x:v>Provisioning</x:v>
      </x:c>
      <x:c r="D72" s="188" t="str">
        <x:f>IF(B72="","",IFERROR(INDEX('Raw Decommissioning'!$E$2:$E$1000,MATCH(B72,'Raw Decommissioning'!$B$2:$B$1000,0)),IFERROR(INDEX('Raw Provisioning'!$E$2:$E$1000,MATCH(B72,'Raw Provisioning'!$B$2:$B$1000,0)),"Missing from latest raw")))</x:f>
        <x:v>executing</x:v>
      </x:c>
      <x:c r="E72" s="188" t="str">
        <x:f>IF(B72="","",IF(D72="completed","Completed in CSSP",IF(D72="executing","Active - Executing",IF(D72="processing","Ready to Assign",IF(D72="Missing from latest raw","Check Source","Not Managed - "&amp;D72)))))</x:f>
        <x:v>Active - Executing</x:v>
      </x:c>
      <x:c r="F72" s="189" t="str">
        <x:f>IF(B72="","",IFERROR(INDEX('Task Master'!$K$5:$K$804,MATCH(B72,'Task Master'!$A$5:$A$804,0)),""))</x:f>
        <x:v>amarja.kawade@petronas.com</x:v>
      </x:c>
      <x:c r="G72" s="190"/>
      <x:c r="H72" s="190" t="str">
        <x:v>Not Started</x:v>
      </x:c>
      <x:c r="I72" s="191"/>
      <x:c r="J72" s="190"/>
      <x:c r="K72" s="190"/>
      <x:c r="L72" s="195"/>
      <x:c r="M72" s="190" t="str">
        <x:v>Not Assessed</x:v>
      </x:c>
      <x:c r="N72" s="187">
        <x:f ca="1"/>
      </x:c>
      <x:c r="O72" s="192"/>
      <x:c r="P72" s="192" t="str">
        <x:v>System Initial Load</x:v>
      </x:c>
      <x:c r="Q72" s="170" t="str">
        <x:f>IF(OR(A72="",B72=""),"",IF(A72=LOOKUP(2,1/($B$5:$B$704=B72),$A$5:$A$704),"Yes","No"))</x:f>
        <x:v>Yes</x:v>
      </x:c>
    </x:row>
    <x:row r="73">
      <x:c r="A73" s="193" t="n">
        <x:v>46251</x:v>
      </x:c>
      <x:c r="B73" s="187" t="str">
        <x:v>CSSP10538665</x:v>
      </x:c>
      <x:c r="C73" s="188" t="str">
        <x:f>IF(B73="","",IF(COUNTIF('Raw Decommissioning'!$B$2:$B$1000,B73)&gt;0,"Decommissioning",IF(COUNTIF('Raw Provisioning'!$B$2:$B$1000,B73)&gt;0,"Provisioning","Not in latest raw")))</x:f>
        <x:v>Provisioning</x:v>
      </x:c>
      <x:c r="D73" s="188" t="str">
        <x:f>IF(B73="","",IFERROR(INDEX('Raw Decommissioning'!$E$2:$E$1000,MATCH(B73,'Raw Decommissioning'!$B$2:$B$1000,0)),IFERROR(INDEX('Raw Provisioning'!$E$2:$E$1000,MATCH(B73,'Raw Provisioning'!$B$2:$B$1000,0)),"Missing from latest raw")))</x:f>
        <x:v>executing</x:v>
      </x:c>
      <x:c r="E73" s="188" t="str">
        <x:f>IF(B73="","",IF(D73="completed","Completed in CSSP",IF(D73="executing","Active - Executing",IF(D73="processing","Ready to Assign",IF(D73="Missing from latest raw","Check Source","Not Managed - "&amp;D73)))))</x:f>
        <x:v>Active - Executing</x:v>
      </x:c>
      <x:c r="F73" s="189" t="str">
        <x:f>IF(B73="","",IFERROR(INDEX('Task Master'!$K$5:$K$804,MATCH(B73,'Task Master'!$A$5:$A$804,0)),""))</x:f>
        <x:v>arun.karuppiah@petronas.com</x:v>
      </x:c>
      <x:c r="G73" s="190"/>
      <x:c r="H73" s="190" t="str">
        <x:v>Not Started</x:v>
      </x:c>
      <x:c r="I73" s="191"/>
      <x:c r="J73" s="190"/>
      <x:c r="K73" s="190"/>
      <x:c r="L73" s="195"/>
      <x:c r="M73" s="190" t="str">
        <x:v>Not Assessed</x:v>
      </x:c>
      <x:c r="N73" s="187">
        <x:f ca="1"/>
      </x:c>
      <x:c r="O73" s="192"/>
      <x:c r="P73" s="192" t="str">
        <x:v>System Initial Load</x:v>
      </x:c>
      <x:c r="Q73" s="170" t="str">
        <x:f>IF(OR(A73="",B73=""),"",IF(A73=LOOKUP(2,1/($B$5:$B$704=B73),$A$5:$A$704),"Yes","No"))</x:f>
        <x:v>Yes</x:v>
      </x:c>
    </x:row>
    <x:row r="74">
      <x:c r="A74" s="193" t="n">
        <x:v>46251</x:v>
      </x:c>
      <x:c r="B74" s="187" t="str">
        <x:v>CSSP10953253</x:v>
      </x:c>
      <x:c r="C74" s="188" t="str">
        <x:f>IF(B74="","",IF(COUNTIF('Raw Decommissioning'!$B$2:$B$1000,B74)&gt;0,"Decommissioning",IF(COUNTIF('Raw Provisioning'!$B$2:$B$1000,B74)&gt;0,"Provisioning","Not in latest raw")))</x:f>
        <x:v>Provisioning</x:v>
      </x:c>
      <x:c r="D74" s="188" t="str">
        <x:f>IF(B74="","",IFERROR(INDEX('Raw Decommissioning'!$E$2:$E$1000,MATCH(B74,'Raw Decommissioning'!$B$2:$B$1000,0)),IFERROR(INDEX('Raw Provisioning'!$E$2:$E$1000,MATCH(B74,'Raw Provisioning'!$B$2:$B$1000,0)),"Missing from latest raw")))</x:f>
        <x:v>executing</x:v>
      </x:c>
      <x:c r="E74" s="188" t="str">
        <x:f>IF(B74="","",IF(D74="completed","Completed in CSSP",IF(D74="executing","Active - Executing",IF(D74="processing","Ready to Assign",IF(D74="Missing from latest raw","Check Source","Not Managed - "&amp;D74)))))</x:f>
        <x:v>Active - Executing</x:v>
      </x:c>
      <x:c r="F74" s="189" t="str">
        <x:f>IF(B74="","",IFERROR(INDEX('Task Master'!$K$5:$K$804,MATCH(B74,'Task Master'!$A$5:$A$804,0)),""))</x:f>
        <x:v>arun.karuppiah@petronas.com</x:v>
      </x:c>
      <x:c r="G74" s="190"/>
      <x:c r="H74" s="190" t="str">
        <x:v>Not Started</x:v>
      </x:c>
      <x:c r="I74" s="191"/>
      <x:c r="J74" s="190"/>
      <x:c r="K74" s="190"/>
      <x:c r="L74" s="195"/>
      <x:c r="M74" s="190" t="str">
        <x:v>Not Assessed</x:v>
      </x:c>
      <x:c r="N74" s="187">
        <x:f ca="1"/>
      </x:c>
      <x:c r="O74" s="192"/>
      <x:c r="P74" s="192" t="str">
        <x:v>System Initial Load</x:v>
      </x:c>
      <x:c r="Q74" s="170" t="str">
        <x:f>IF(OR(A74="",B74=""),"",IF(A74=LOOKUP(2,1/($B$5:$B$704=B74),$A$5:$A$704),"Yes","No"))</x:f>
        <x:v>Yes</x:v>
      </x:c>
    </x:row>
    <x:row r="75">
      <x:c r="A75" s="193" t="n">
        <x:v>46251</x:v>
      </x:c>
      <x:c r="B75" s="187" t="str">
        <x:v>CSSP10166697</x:v>
      </x:c>
      <x:c r="C75" s="188" t="str">
        <x:f>IF(B75="","",IF(COUNTIF('Raw Decommissioning'!$B$2:$B$1000,B75)&gt;0,"Decommissioning",IF(COUNTIF('Raw Provisioning'!$B$2:$B$1000,B75)&gt;0,"Provisioning","Not in latest raw")))</x:f>
        <x:v>Provisioning</x:v>
      </x:c>
      <x:c r="D75" s="188" t="str">
        <x:f>IF(B75="","",IFERROR(INDEX('Raw Decommissioning'!$E$2:$E$1000,MATCH(B75,'Raw Decommissioning'!$B$2:$B$1000,0)),IFERROR(INDEX('Raw Provisioning'!$E$2:$E$1000,MATCH(B75,'Raw Provisioning'!$B$2:$B$1000,0)),"Missing from latest raw")))</x:f>
        <x:v>executing</x:v>
      </x:c>
      <x:c r="E75" s="188" t="str">
        <x:f>IF(B75="","",IF(D75="completed","Completed in CSSP",IF(D75="executing","Active - Executing",IF(D75="processing","Ready to Assign",IF(D75="Missing from latest raw","Check Source","Not Managed - "&amp;D75)))))</x:f>
        <x:v>Active - Executing</x:v>
      </x:c>
      <x:c r="F75" s="189" t="str">
        <x:f>IF(B75="","",IFERROR(INDEX('Task Master'!$K$5:$K$804,MATCH(B75,'Task Master'!$A$5:$A$804,0)),""))</x:f>
        <x:v>k.saktivelu@petronas.com</x:v>
      </x:c>
      <x:c r="G75" s="190"/>
      <x:c r="H75" s="190" t="str">
        <x:v>Not Started</x:v>
      </x:c>
      <x:c r="I75" s="191"/>
      <x:c r="J75" s="190"/>
      <x:c r="K75" s="190"/>
      <x:c r="L75" s="195"/>
      <x:c r="M75" s="190" t="str">
        <x:v>Not Assessed</x:v>
      </x:c>
      <x:c r="N75" s="187">
        <x:f ca="1"/>
      </x:c>
      <x:c r="O75" s="192"/>
      <x:c r="P75" s="192" t="str">
        <x:v>System Initial Load</x:v>
      </x:c>
      <x:c r="Q75" s="170" t="str">
        <x:f>IF(OR(A75="",B75=""),"",IF(A75=LOOKUP(2,1/($B$5:$B$704=B75),$A$5:$A$704),"Yes","No"))</x:f>
        <x:v>Yes</x:v>
      </x:c>
    </x:row>
    <x:row r="76">
      <x:c r="A76" s="193" t="n">
        <x:v>46251</x:v>
      </x:c>
      <x:c r="B76" s="187" t="str">
        <x:v>CSSP10245235</x:v>
      </x:c>
      <x:c r="C76" s="188" t="str">
        <x:f>IF(B76="","",IF(COUNTIF('Raw Decommissioning'!$B$2:$B$1000,B76)&gt;0,"Decommissioning",IF(COUNTIF('Raw Provisioning'!$B$2:$B$1000,B76)&gt;0,"Provisioning","Not in latest raw")))</x:f>
        <x:v>Provisioning</x:v>
      </x:c>
      <x:c r="D76" s="188" t="str">
        <x:f>IF(B76="","",IFERROR(INDEX('Raw Decommissioning'!$E$2:$E$1000,MATCH(B76,'Raw Decommissioning'!$B$2:$B$1000,0)),IFERROR(INDEX('Raw Provisioning'!$E$2:$E$1000,MATCH(B76,'Raw Provisioning'!$B$2:$B$1000,0)),"Missing from latest raw")))</x:f>
        <x:v>executing</x:v>
      </x:c>
      <x:c r="E76" s="188" t="str">
        <x:f>IF(B76="","",IF(D76="completed","Completed in CSSP",IF(D76="executing","Active - Executing",IF(D76="processing","Ready to Assign",IF(D76="Missing from latest raw","Check Source","Not Managed - "&amp;D76)))))</x:f>
        <x:v>Active - Executing</x:v>
      </x:c>
      <x:c r="F76" s="189" t="str">
        <x:f>IF(B76="","",IFERROR(INDEX('Task Master'!$K$5:$K$804,MATCH(B76,'Task Master'!$A$5:$A$804,0)),""))</x:f>
        <x:v>k.saktivelu@petronas.com</x:v>
      </x:c>
      <x:c r="G76" s="190"/>
      <x:c r="H76" s="190" t="str">
        <x:v>Not Started</x:v>
      </x:c>
      <x:c r="I76" s="191"/>
      <x:c r="J76" s="190"/>
      <x:c r="K76" s="190"/>
      <x:c r="L76" s="195"/>
      <x:c r="M76" s="190" t="str">
        <x:v>Not Assessed</x:v>
      </x:c>
      <x:c r="N76" s="187">
        <x:f ca="1"/>
      </x:c>
      <x:c r="O76" s="192"/>
      <x:c r="P76" s="192" t="str">
        <x:v>System Initial Load</x:v>
      </x:c>
      <x:c r="Q76" s="170" t="str">
        <x:f>IF(OR(A76="",B76=""),"",IF(A76=LOOKUP(2,1/($B$5:$B$704=B76),$A$5:$A$704),"Yes","No"))</x:f>
        <x:v>Yes</x:v>
      </x:c>
    </x:row>
    <x:row r="77">
      <x:c r="A77" s="193" t="n">
        <x:v>46251</x:v>
      </x:c>
      <x:c r="B77" s="187" t="str">
        <x:v>CSSP10771930</x:v>
      </x:c>
      <x:c r="C77" s="188" t="str">
        <x:f>IF(B77="","",IF(COUNTIF('Raw Decommissioning'!$B$2:$B$1000,B77)&gt;0,"Decommissioning",IF(COUNTIF('Raw Provisioning'!$B$2:$B$1000,B77)&gt;0,"Provisioning","Not in latest raw")))</x:f>
        <x:v>Provisioning</x:v>
      </x:c>
      <x:c r="D77" s="188" t="str">
        <x:f>IF(B77="","",IFERROR(INDEX('Raw Decommissioning'!$E$2:$E$1000,MATCH(B77,'Raw Decommissioning'!$B$2:$B$1000,0)),IFERROR(INDEX('Raw Provisioning'!$E$2:$E$1000,MATCH(B77,'Raw Provisioning'!$B$2:$B$1000,0)),"Missing from latest raw")))</x:f>
        <x:v>executing</x:v>
      </x:c>
      <x:c r="E77" s="188" t="str">
        <x:f>IF(B77="","",IF(D77="completed","Completed in CSSP",IF(D77="executing","Active - Executing",IF(D77="processing","Ready to Assign",IF(D77="Missing from latest raw","Check Source","Not Managed - "&amp;D77)))))</x:f>
        <x:v>Active - Executing</x:v>
      </x:c>
      <x:c r="F77" s="189" t="str">
        <x:f>IF(B77="","",IFERROR(INDEX('Task Master'!$K$5:$K$804,MATCH(B77,'Task Master'!$A$5:$A$804,0)),""))</x:f>
        <x:v>k.saktivelu@petronas.com</x:v>
      </x:c>
      <x:c r="G77" s="190"/>
      <x:c r="H77" s="190" t="str">
        <x:v>Not Started</x:v>
      </x:c>
      <x:c r="I77" s="191"/>
      <x:c r="J77" s="190"/>
      <x:c r="K77" s="190"/>
      <x:c r="L77" s="195"/>
      <x:c r="M77" s="190" t="str">
        <x:v>Not Assessed</x:v>
      </x:c>
      <x:c r="N77" s="187">
        <x:f ca="1"/>
      </x:c>
      <x:c r="O77" s="192"/>
      <x:c r="P77" s="192" t="str">
        <x:v>System Initial Load</x:v>
      </x:c>
      <x:c r="Q77" s="170" t="str">
        <x:f>IF(OR(A77="",B77=""),"",IF(A77=LOOKUP(2,1/($B$5:$B$704=B77),$A$5:$A$704),"Yes","No"))</x:f>
        <x:v>Yes</x:v>
      </x:c>
    </x:row>
    <x:row r="78">
      <x:c r="A78" s="193" t="n">
        <x:v>46251</x:v>
      </x:c>
      <x:c r="B78" s="187" t="str">
        <x:v>CSSP10865009</x:v>
      </x:c>
      <x:c r="C78" s="188" t="str">
        <x:f>IF(B78="","",IF(COUNTIF('Raw Decommissioning'!$B$2:$B$1000,B78)&gt;0,"Decommissioning",IF(COUNTIF('Raw Provisioning'!$B$2:$B$1000,B78)&gt;0,"Provisioning","Not in latest raw")))</x:f>
        <x:v>Provisioning</x:v>
      </x:c>
      <x:c r="D78" s="188" t="str">
        <x:f>IF(B78="","",IFERROR(INDEX('Raw Decommissioning'!$E$2:$E$1000,MATCH(B78,'Raw Decommissioning'!$B$2:$B$1000,0)),IFERROR(INDEX('Raw Provisioning'!$E$2:$E$1000,MATCH(B78,'Raw Provisioning'!$B$2:$B$1000,0)),"Missing from latest raw")))</x:f>
        <x:v>executing</x:v>
      </x:c>
      <x:c r="E78" s="188" t="str">
        <x:f>IF(B78="","",IF(D78="completed","Completed in CSSP",IF(D78="executing","Active - Executing",IF(D78="processing","Ready to Assign",IF(D78="Missing from latest raw","Check Source","Not Managed - "&amp;D78)))))</x:f>
        <x:v>Active - Executing</x:v>
      </x:c>
      <x:c r="F78" s="189" t="str">
        <x:f>IF(B78="","",IFERROR(INDEX('Task Master'!$K$5:$K$804,MATCH(B78,'Task Master'!$A$5:$A$804,0)),""))</x:f>
        <x:v>k.saktivelu@petronas.com</x:v>
      </x:c>
      <x:c r="G78" s="190"/>
      <x:c r="H78" s="190" t="str">
        <x:v>Not Started</x:v>
      </x:c>
      <x:c r="I78" s="191"/>
      <x:c r="J78" s="190"/>
      <x:c r="K78" s="190"/>
      <x:c r="L78" s="195"/>
      <x:c r="M78" s="190" t="str">
        <x:v>Not Assessed</x:v>
      </x:c>
      <x:c r="N78" s="187">
        <x:f ca="1"/>
      </x:c>
      <x:c r="O78" s="192"/>
      <x:c r="P78" s="192" t="str">
        <x:v>System Initial Load</x:v>
      </x:c>
      <x:c r="Q78" s="170" t="str">
        <x:f>IF(OR(A78="",B78=""),"",IF(A78=LOOKUP(2,1/($B$5:$B$704=B78),$A$5:$A$704),"Yes","No"))</x:f>
        <x:v>Yes</x:v>
      </x:c>
    </x:row>
    <x:row r="79">
      <x:c r="A79" s="193" t="n">
        <x:v>46251</x:v>
      </x:c>
      <x:c r="B79" s="187" t="str">
        <x:v>CSSP10201868</x:v>
      </x:c>
      <x:c r="C79" s="188" t="str">
        <x:f>IF(B79="","",IF(COUNTIF('Raw Decommissioning'!$B$2:$B$1000,B79)&gt;0,"Decommissioning",IF(COUNTIF('Raw Provisioning'!$B$2:$B$1000,B79)&gt;0,"Provisioning","Not in latest raw")))</x:f>
        <x:v>Provisioning</x:v>
      </x:c>
      <x:c r="D79" s="188" t="str">
        <x:f>IF(B79="","",IFERROR(INDEX('Raw Decommissioning'!$E$2:$E$1000,MATCH(B79,'Raw Decommissioning'!$B$2:$B$1000,0)),IFERROR(INDEX('Raw Provisioning'!$E$2:$E$1000,MATCH(B79,'Raw Provisioning'!$B$2:$B$1000,0)),"Missing from latest raw")))</x:f>
        <x:v>executing</x:v>
      </x:c>
      <x:c r="E79" s="188" t="str">
        <x:f>IF(B79="","",IF(D79="completed","Completed in CSSP",IF(D79="executing","Active - Executing",IF(D79="processing","Ready to Assign",IF(D79="Missing from latest raw","Check Source","Not Managed - "&amp;D79)))))</x:f>
        <x:v>Active - Executing</x:v>
      </x:c>
      <x:c r="F79" s="189" t="str">
        <x:f>IF(B79="","",IFERROR(INDEX('Task Master'!$K$5:$K$804,MATCH(B79,'Task Master'!$A$5:$A$804,0)),""))</x:f>
        <x:v>mardiansyah.rayasa@petronas.com</x:v>
      </x:c>
      <x:c r="G79" s="190"/>
      <x:c r="H79" s="190" t="str">
        <x:v>Not Started</x:v>
      </x:c>
      <x:c r="I79" s="191"/>
      <x:c r="J79" s="190"/>
      <x:c r="K79" s="190"/>
      <x:c r="L79" s="195"/>
      <x:c r="M79" s="190" t="str">
        <x:v>Not Assessed</x:v>
      </x:c>
      <x:c r="N79" s="187">
        <x:f ca="1"/>
      </x:c>
      <x:c r="O79" s="192"/>
      <x:c r="P79" s="192" t="str">
        <x:v>System Initial Load</x:v>
      </x:c>
      <x:c r="Q79" s="170" t="str">
        <x:f>IF(OR(A79="",B79=""),"",IF(A79=LOOKUP(2,1/($B$5:$B$704=B79),$A$5:$A$704),"Yes","No"))</x:f>
        <x:v>Yes</x:v>
      </x:c>
    </x:row>
    <x:row r="80">
      <x:c r="A80" s="193" t="n">
        <x:v>46251</x:v>
      </x:c>
      <x:c r="B80" s="187" t="str">
        <x:v>CSSP10939855</x:v>
      </x:c>
      <x:c r="C80" s="188" t="str">
        <x:f>IF(B80="","",IF(COUNTIF('Raw Decommissioning'!$B$2:$B$1000,B80)&gt;0,"Decommissioning",IF(COUNTIF('Raw Provisioning'!$B$2:$B$1000,B80)&gt;0,"Provisioning","Not in latest raw")))</x:f>
        <x:v>Provisioning</x:v>
      </x:c>
      <x:c r="D80" s="188" t="str">
        <x:f>IF(B80="","",IFERROR(INDEX('Raw Decommissioning'!$E$2:$E$1000,MATCH(B80,'Raw Decommissioning'!$B$2:$B$1000,0)),IFERROR(INDEX('Raw Provisioning'!$E$2:$E$1000,MATCH(B80,'Raw Provisioning'!$B$2:$B$1000,0)),"Missing from latest raw")))</x:f>
        <x:v>executing</x:v>
      </x:c>
      <x:c r="E80" s="188" t="str">
        <x:f>IF(B80="","",IF(D80="completed","Completed in CSSP",IF(D80="executing","Active - Executing",IF(D80="processing","Ready to Assign",IF(D80="Missing from latest raw","Check Source","Not Managed - "&amp;D80)))))</x:f>
        <x:v>Active - Executing</x:v>
      </x:c>
      <x:c r="F80" s="189" t="str">
        <x:f>IF(B80="","",IFERROR(INDEX('Task Master'!$K$5:$K$804,MATCH(B80,'Task Master'!$A$5:$A$804,0)),""))</x:f>
        <x:v>mardiansyah.rayasa@petronas.com</x:v>
      </x:c>
      <x:c r="G80" s="190"/>
      <x:c r="H80" s="190" t="str">
        <x:v>Not Started</x:v>
      </x:c>
      <x:c r="I80" s="191"/>
      <x:c r="J80" s="190"/>
      <x:c r="K80" s="190"/>
      <x:c r="L80" s="195"/>
      <x:c r="M80" s="190" t="str">
        <x:v>Not Assessed</x:v>
      </x:c>
      <x:c r="N80" s="187">
        <x:f ca="1"/>
      </x:c>
      <x:c r="O80" s="192"/>
      <x:c r="P80" s="192" t="str">
        <x:v>System Initial Load</x:v>
      </x:c>
      <x:c r="Q80" s="170" t="str">
        <x:f>IF(OR(A80="",B80=""),"",IF(A80=LOOKUP(2,1/($B$5:$B$704=B80),$A$5:$A$704),"Yes","No"))</x:f>
        <x:v>Yes</x:v>
      </x:c>
    </x:row>
    <x:row r="81">
      <x:c r="A81" s="193" t="n">
        <x:v>46251</x:v>
      </x:c>
      <x:c r="B81" s="187" t="str">
        <x:v>CSSP10965023</x:v>
      </x:c>
      <x:c r="C81" s="188" t="str">
        <x:f>IF(B81="","",IF(COUNTIF('Raw Decommissioning'!$B$2:$B$1000,B81)&gt;0,"Decommissioning",IF(COUNTIF('Raw Provisioning'!$B$2:$B$1000,B81)&gt;0,"Provisioning","Not in latest raw")))</x:f>
        <x:v>Provisioning</x:v>
      </x:c>
      <x:c r="D81" s="188" t="str">
        <x:f>IF(B81="","",IFERROR(INDEX('Raw Decommissioning'!$E$2:$E$1000,MATCH(B81,'Raw Decommissioning'!$B$2:$B$1000,0)),IFERROR(INDEX('Raw Provisioning'!$E$2:$E$1000,MATCH(B81,'Raw Provisioning'!$B$2:$B$1000,0)),"Missing from latest raw")))</x:f>
        <x:v>executing</x:v>
      </x:c>
      <x:c r="E81" s="188" t="str">
        <x:f>IF(B81="","",IF(D81="completed","Completed in CSSP",IF(D81="executing","Active - Executing",IF(D81="processing","Ready to Assign",IF(D81="Missing from latest raw","Check Source","Not Managed - "&amp;D81)))))</x:f>
        <x:v>Active - Executing</x:v>
      </x:c>
      <x:c r="F81" s="189" t="str">
        <x:f>IF(B81="","",IFERROR(INDEX('Task Master'!$K$5:$K$804,MATCH(B81,'Task Master'!$A$5:$A$804,0)),""))</x:f>
        <x:v>mardiansyah.rayasa@petronas.com</x:v>
      </x:c>
      <x:c r="G81" s="190"/>
      <x:c r="H81" s="190" t="str">
        <x:v>Not Started</x:v>
      </x:c>
      <x:c r="I81" s="191"/>
      <x:c r="J81" s="190"/>
      <x:c r="K81" s="190"/>
      <x:c r="L81" s="195"/>
      <x:c r="M81" s="190" t="str">
        <x:v>Not Assessed</x:v>
      </x:c>
      <x:c r="N81" s="187">
        <x:f ca="1"/>
      </x:c>
      <x:c r="O81" s="192"/>
      <x:c r="P81" s="192" t="str">
        <x:v>System Initial Load</x:v>
      </x:c>
      <x:c r="Q81" s="170" t="str">
        <x:f>IF(OR(A81="",B81=""),"",IF(A81=LOOKUP(2,1/($B$5:$B$704=B81),$A$5:$A$704),"Yes","No"))</x:f>
        <x:v>Yes</x:v>
      </x:c>
    </x:row>
    <x:row r="82">
      <x:c r="A82" s="193" t="n">
        <x:v>46251</x:v>
      </x:c>
      <x:c r="B82" s="187" t="str">
        <x:v>CSSP10390950</x:v>
      </x:c>
      <x:c r="C82" s="188" t="str">
        <x:f>IF(B82="","",IF(COUNTIF('Raw Decommissioning'!$B$2:$B$1000,B82)&gt;0,"Decommissioning",IF(COUNTIF('Raw Provisioning'!$B$2:$B$1000,B82)&gt;0,"Provisioning","Not in latest raw")))</x:f>
        <x:v>Provisioning</x:v>
      </x:c>
      <x:c r="D82" s="188" t="str">
        <x:f>IF(B82="","",IFERROR(INDEX('Raw Decommissioning'!$E$2:$E$1000,MATCH(B82,'Raw Decommissioning'!$B$2:$B$1000,0)),IFERROR(INDEX('Raw Provisioning'!$E$2:$E$1000,MATCH(B82,'Raw Provisioning'!$B$2:$B$1000,0)),"Missing from latest raw")))</x:f>
        <x:v>executing</x:v>
      </x:c>
      <x:c r="E82" s="188" t="str">
        <x:f>IF(B82="","",IF(D82="completed","Completed in CSSP",IF(D82="executing","Active - Executing",IF(D82="processing","Ready to Assign",IF(D82="Missing from latest raw","Check Source","Not Managed - "&amp;D82)))))</x:f>
        <x:v>Active - Executing</x:v>
      </x:c>
      <x:c r="F82" s="189" t="str">
        <x:f>IF(B82="","",IFERROR(INDEX('Task Master'!$K$5:$K$804,MATCH(B82,'Task Master'!$A$5:$A$804,0)),""))</x:f>
        <x:v>raditya.nugraha@petronas.com</x:v>
      </x:c>
      <x:c r="G82" s="190"/>
      <x:c r="H82" s="190" t="str">
        <x:v>Not Started</x:v>
      </x:c>
      <x:c r="I82" s="191"/>
      <x:c r="J82" s="190"/>
      <x:c r="K82" s="190"/>
      <x:c r="L82" s="195"/>
      <x:c r="M82" s="190" t="str">
        <x:v>Not Assessed</x:v>
      </x:c>
      <x:c r="N82" s="187">
        <x:f ca="1"/>
      </x:c>
      <x:c r="O82" s="192"/>
      <x:c r="P82" s="192" t="str">
        <x:v>System Initial Load</x:v>
      </x:c>
      <x:c r="Q82" s="170" t="str">
        <x:f>IF(OR(A82="",B82=""),"",IF(A82=LOOKUP(2,1/($B$5:$B$704=B82),$A$5:$A$704),"Yes","No"))</x:f>
        <x:v>Yes</x:v>
      </x:c>
    </x:row>
    <x:row r="83">
      <x:c r="A83" s="193" t="n">
        <x:v>46251</x:v>
      </x:c>
      <x:c r="B83" s="187" t="str">
        <x:v>CSSP10313811</x:v>
      </x:c>
      <x:c r="C83" s="188" t="str">
        <x:f>IF(B83="","",IF(COUNTIF('Raw Decommissioning'!$B$2:$B$1000,B83)&gt;0,"Decommissioning",IF(COUNTIF('Raw Provisioning'!$B$2:$B$1000,B83)&gt;0,"Provisioning","Not in latest raw")))</x:f>
        <x:v>Provisioning</x:v>
      </x:c>
      <x:c r="D83" s="188" t="str">
        <x:f>IF(B83="","",IFERROR(INDEX('Raw Decommissioning'!$E$2:$E$1000,MATCH(B83,'Raw Decommissioning'!$B$2:$B$1000,0)),IFERROR(INDEX('Raw Provisioning'!$E$2:$E$1000,MATCH(B83,'Raw Provisioning'!$B$2:$B$1000,0)),"Missing from latest raw")))</x:f>
        <x:v>executing</x:v>
      </x:c>
      <x:c r="E83" s="188" t="str">
        <x:f>IF(B83="","",IF(D83="completed","Completed in CSSP",IF(D83="executing","Active - Executing",IF(D83="processing","Ready to Assign",IF(D83="Missing from latest raw","Check Source","Not Managed - "&amp;D83)))))</x:f>
        <x:v>Active - Executing</x:v>
      </x:c>
      <x:c r="F83" s="189" t="str">
        <x:f>IF(B83="","",IFERROR(INDEX('Task Master'!$K$5:$K$804,MATCH(B83,'Task Master'!$A$5:$A$804,0)),""))</x:f>
        <x:v>venkatesh.kalikivayi@petronas.com</x:v>
      </x:c>
      <x:c r="G83" s="190"/>
      <x:c r="H83" s="190" t="str">
        <x:v>Not Started</x:v>
      </x:c>
      <x:c r="I83" s="191"/>
      <x:c r="J83" s="190"/>
      <x:c r="K83" s="190"/>
      <x:c r="L83" s="195"/>
      <x:c r="M83" s="190" t="str">
        <x:v>Not Assessed</x:v>
      </x:c>
      <x:c r="N83" s="187">
        <x:f ca="1"/>
      </x:c>
      <x:c r="O83" s="192"/>
      <x:c r="P83" s="192" t="str">
        <x:v>System Initial Load</x:v>
      </x:c>
      <x:c r="Q83" s="170" t="str">
        <x:f>IF(OR(A83="",B83=""),"",IF(A83=LOOKUP(2,1/($B$5:$B$704=B83),$A$5:$A$704),"Yes","No"))</x:f>
        <x:v>Yes</x:v>
      </x:c>
    </x:row>
    <x:row r="84">
      <x:c r="A84" s="193" t="n">
        <x:v>46251</x:v>
      </x:c>
      <x:c r="B84" s="187" t="str">
        <x:v>CSSP10755207</x:v>
      </x:c>
      <x:c r="C84" s="188" t="str">
        <x:f>IF(B84="","",IF(COUNTIF('Raw Decommissioning'!$B$2:$B$1000,B84)&gt;0,"Decommissioning",IF(COUNTIF('Raw Provisioning'!$B$2:$B$1000,B84)&gt;0,"Provisioning","Not in latest raw")))</x:f>
        <x:v>Provisioning</x:v>
      </x:c>
      <x:c r="D84" s="188" t="str">
        <x:f>IF(B84="","",IFERROR(INDEX('Raw Decommissioning'!$E$2:$E$1000,MATCH(B84,'Raw Decommissioning'!$B$2:$B$1000,0)),IFERROR(INDEX('Raw Provisioning'!$E$2:$E$1000,MATCH(B84,'Raw Provisioning'!$B$2:$B$1000,0)),"Missing from latest raw")))</x:f>
        <x:v>executing</x:v>
      </x:c>
      <x:c r="E84" s="188" t="str">
        <x:f>IF(B84="","",IF(D84="completed","Completed in CSSP",IF(D84="executing","Active - Executing",IF(D84="processing","Ready to Assign",IF(D84="Missing from latest raw","Check Source","Not Managed - "&amp;D84)))))</x:f>
        <x:v>Active - Executing</x:v>
      </x:c>
      <x:c r="F84" s="189" t="str">
        <x:f>IF(B84="","",IFERROR(INDEX('Task Master'!$K$5:$K$804,MATCH(B84,'Task Master'!$A$5:$A$804,0)),""))</x:f>
        <x:v>venkatesh.kalikivayi@petronas.com</x:v>
      </x:c>
      <x:c r="G84" s="190"/>
      <x:c r="H84" s="190" t="str">
        <x:v>Not Started</x:v>
      </x:c>
      <x:c r="I84" s="191"/>
      <x:c r="J84" s="190"/>
      <x:c r="K84" s="190"/>
      <x:c r="L84" s="195"/>
      <x:c r="M84" s="190" t="str">
        <x:v>Not Assessed</x:v>
      </x:c>
      <x:c r="N84" s="187">
        <x:f ca="1"/>
      </x:c>
      <x:c r="O84" s="192"/>
      <x:c r="P84" s="192" t="str">
        <x:v>System Initial Load</x:v>
      </x:c>
      <x:c r="Q84" s="170" t="str">
        <x:f>IF(OR(A84="",B84=""),"",IF(A84=LOOKUP(2,1/($B$5:$B$704=B84),$A$5:$A$704),"Yes","No"))</x:f>
        <x:v>Yes</x:v>
      </x:c>
    </x:row>
    <x:row r="85">
      <x:c r="A85" s="193" t="n">
        <x:v>46251</x:v>
      </x:c>
      <x:c r="B85" s="187" t="str">
        <x:v>CSSP10984683</x:v>
      </x:c>
      <x:c r="C85" s="188" t="str">
        <x:f>IF(B85="","",IF(COUNTIF('Raw Decommissioning'!$B$2:$B$1000,B85)&gt;0,"Decommissioning",IF(COUNTIF('Raw Provisioning'!$B$2:$B$1000,B85)&gt;0,"Provisioning","Not in latest raw")))</x:f>
        <x:v>Provisioning</x:v>
      </x:c>
      <x:c r="D85" s="188" t="str">
        <x:f>IF(B85="","",IFERROR(INDEX('Raw Decommissioning'!$E$2:$E$1000,MATCH(B85,'Raw Decommissioning'!$B$2:$B$1000,0)),IFERROR(INDEX('Raw Provisioning'!$E$2:$E$1000,MATCH(B85,'Raw Provisioning'!$B$2:$B$1000,0)),"Missing from latest raw")))</x:f>
        <x:v>executing</x:v>
      </x:c>
      <x:c r="E85" s="188" t="str">
        <x:f>IF(B85="","",IF(D85="completed","Completed in CSSP",IF(D85="executing","Active - Executing",IF(D85="processing","Ready to Assign",IF(D85="Missing from latest raw","Check Source","Not Managed - "&amp;D85)))))</x:f>
        <x:v>Active - Executing</x:v>
      </x:c>
      <x:c r="F85" s="189" t="str">
        <x:f>IF(B85="","",IFERROR(INDEX('Task Master'!$K$5:$K$804,MATCH(B85,'Task Master'!$A$5:$A$804,0)),""))</x:f>
        <x:v>venkatesh.kalikivayi@petronas.com</x:v>
      </x:c>
      <x:c r="G85" s="190"/>
      <x:c r="H85" s="190" t="str">
        <x:v>Not Started</x:v>
      </x:c>
      <x:c r="I85" s="191"/>
      <x:c r="J85" s="190"/>
      <x:c r="K85" s="190"/>
      <x:c r="L85" s="195"/>
      <x:c r="M85" s="190" t="str">
        <x:v>Not Assessed</x:v>
      </x:c>
      <x:c r="N85" s="187">
        <x:f ca="1"/>
      </x:c>
      <x:c r="O85" s="192"/>
      <x:c r="P85" s="192" t="str">
        <x:v>System Initial Load</x:v>
      </x:c>
      <x:c r="Q85" s="170" t="str">
        <x:f>IF(OR(A85="",B85=""),"",IF(A85=LOOKUP(2,1/($B$5:$B$704=B85),$A$5:$A$704),"Yes","No"))</x:f>
        <x:v>Yes</x:v>
      </x:c>
    </x:row>
    <x:row r="86">
      <x:c r="A86" s="193"/>
      <x:c r="B86" s="187"/>
      <x:c r="C86" s="188" t="str">
        <x:f>IF(B86="","",IF(COUNTIF('Raw Decommissioning'!$B$2:$B$1000,B86)&gt;0,"Decommissioning",IF(COUNTIF('Raw Provisioning'!$B$2:$B$1000,B86)&gt;0,"Provisioning","Not in latest raw")))</x:f>
      </x:c>
      <x:c r="D86" s="188" t="str">
        <x:f>IF(B86="","",IFERROR(INDEX('Raw Decommissioning'!$E$2:$E$1000,MATCH(B86,'Raw Decommissioning'!$B$2:$B$1000,0)),IFERROR(INDEX('Raw Provisioning'!$E$2:$E$1000,MATCH(B86,'Raw Provisioning'!$B$2:$B$1000,0)),"Missing from latest raw")))</x:f>
      </x:c>
      <x:c r="E86" s="188" t="str">
        <x:f>IF(B86="","",IF(D86="completed","Completed in CSSP",IF(D86="executing","Active - Executing",IF(D86="processing","Ready to Assign",IF(D86="Missing from latest raw","Check Source","Not Managed - "&amp;D86)))))</x:f>
      </x:c>
      <x:c r="F86" s="189" t="str">
        <x:f>IF(B86="","",IFERROR(INDEX('Task Master'!$K$5:$K$804,MATCH(B86,'Task Master'!$A$5:$A$804,0)),""))</x:f>
      </x:c>
      <x:c r="G86" s="190"/>
      <x:c r="H86" s="190"/>
      <x:c r="I86" s="191"/>
      <x:c r="J86" s="190"/>
      <x:c r="K86" s="190"/>
      <x:c r="L86" s="195"/>
      <x:c r="M86" s="190"/>
      <x:c r="N86" s="187"/>
      <x:c r="O86" s="192"/>
      <x:c r="P86" s="192"/>
      <x:c r="Q86" s="170" t="str">
        <x:f>IF(OR(A86="",B86=""),"",IF(A86=LOOKUP(2,1/($B$5:$B$704=B86),$A$5:$A$704),"Yes","No"))</x:f>
      </x:c>
    </x:row>
    <x:row r="87">
      <x:c r="A87" s="193"/>
      <x:c r="B87" s="187"/>
      <x:c r="C87" s="188" t="str">
        <x:f>IF(B87="","",IF(COUNTIF('Raw Decommissioning'!$B$2:$B$1000,B87)&gt;0,"Decommissioning",IF(COUNTIF('Raw Provisioning'!$B$2:$B$1000,B87)&gt;0,"Provisioning","Not in latest raw")))</x:f>
      </x:c>
      <x:c r="D87" s="188" t="str">
        <x:f>IF(B87="","",IFERROR(INDEX('Raw Decommissioning'!$E$2:$E$1000,MATCH(B87,'Raw Decommissioning'!$B$2:$B$1000,0)),IFERROR(INDEX('Raw Provisioning'!$E$2:$E$1000,MATCH(B87,'Raw Provisioning'!$B$2:$B$1000,0)),"Missing from latest raw")))</x:f>
      </x:c>
      <x:c r="E87" s="188" t="str">
        <x:f>IF(B87="","",IF(D87="completed","Completed in CSSP",IF(D87="executing","Active - Executing",IF(D87="processing","Ready to Assign",IF(D87="Missing from latest raw","Check Source","Not Managed - "&amp;D87)))))</x:f>
      </x:c>
      <x:c r="F87" s="189" t="str">
        <x:f>IF(B87="","",IFERROR(INDEX('Task Master'!$K$5:$K$804,MATCH(B87,'Task Master'!$A$5:$A$804,0)),""))</x:f>
      </x:c>
      <x:c r="G87" s="190"/>
      <x:c r="H87" s="190"/>
      <x:c r="I87" s="191"/>
      <x:c r="J87" s="190"/>
      <x:c r="K87" s="190"/>
      <x:c r="L87" s="195"/>
      <x:c r="M87" s="190"/>
      <x:c r="N87" s="187"/>
      <x:c r="O87" s="192"/>
      <x:c r="P87" s="192"/>
      <x:c r="Q87" s="170" t="str">
        <x:f>IF(OR(A87="",B87=""),"",IF(A87=LOOKUP(2,1/($B$5:$B$704=B87),$A$5:$A$704),"Yes","No"))</x:f>
      </x:c>
    </x:row>
    <x:row r="88">
      <x:c r="A88" s="193"/>
      <x:c r="B88" s="187"/>
      <x:c r="C88" s="188" t="str">
        <x:f>IF(B88="","",IF(COUNTIF('Raw Decommissioning'!$B$2:$B$1000,B88)&gt;0,"Decommissioning",IF(COUNTIF('Raw Provisioning'!$B$2:$B$1000,B88)&gt;0,"Provisioning","Not in latest raw")))</x:f>
      </x:c>
      <x:c r="D88" s="188" t="str">
        <x:f>IF(B88="","",IFERROR(INDEX('Raw Decommissioning'!$E$2:$E$1000,MATCH(B88,'Raw Decommissioning'!$B$2:$B$1000,0)),IFERROR(INDEX('Raw Provisioning'!$E$2:$E$1000,MATCH(B88,'Raw Provisioning'!$B$2:$B$1000,0)),"Missing from latest raw")))</x:f>
      </x:c>
      <x:c r="E88" s="188" t="str">
        <x:f>IF(B88="","",IF(D88="completed","Completed in CSSP",IF(D88="executing","Active - Executing",IF(D88="processing","Ready to Assign",IF(D88="Missing from latest raw","Check Source","Not Managed - "&amp;D88)))))</x:f>
      </x:c>
      <x:c r="F88" s="189" t="str">
        <x:f>IF(B88="","",IFERROR(INDEX('Task Master'!$K$5:$K$804,MATCH(B88,'Task Master'!$A$5:$A$804,0)),""))</x:f>
      </x:c>
      <x:c r="G88" s="190"/>
      <x:c r="H88" s="190"/>
      <x:c r="I88" s="191"/>
      <x:c r="J88" s="190"/>
      <x:c r="K88" s="190"/>
      <x:c r="L88" s="195"/>
      <x:c r="M88" s="190"/>
      <x:c r="N88" s="187"/>
      <x:c r="O88" s="192"/>
      <x:c r="P88" s="192"/>
      <x:c r="Q88" s="170" t="str">
        <x:f>IF(OR(A88="",B88=""),"",IF(A88=LOOKUP(2,1/($B$5:$B$704=B88),$A$5:$A$704),"Yes","No"))</x:f>
      </x:c>
    </x:row>
    <x:row r="89">
      <x:c r="A89" s="193"/>
      <x:c r="B89" s="187"/>
      <x:c r="C89" s="188" t="str">
        <x:f>IF(B89="","",IF(COUNTIF('Raw Decommissioning'!$B$2:$B$1000,B89)&gt;0,"Decommissioning",IF(COUNTIF('Raw Provisioning'!$B$2:$B$1000,B89)&gt;0,"Provisioning","Not in latest raw")))</x:f>
      </x:c>
      <x:c r="D89" s="188" t="str">
        <x:f>IF(B89="","",IFERROR(INDEX('Raw Decommissioning'!$E$2:$E$1000,MATCH(B89,'Raw Decommissioning'!$B$2:$B$1000,0)),IFERROR(INDEX('Raw Provisioning'!$E$2:$E$1000,MATCH(B89,'Raw Provisioning'!$B$2:$B$1000,0)),"Missing from latest raw")))</x:f>
      </x:c>
      <x:c r="E89" s="188" t="str">
        <x:f>IF(B89="","",IF(D89="completed","Completed in CSSP",IF(D89="executing","Active - Executing",IF(D89="processing","Ready to Assign",IF(D89="Missing from latest raw","Check Source","Not Managed - "&amp;D89)))))</x:f>
      </x:c>
      <x:c r="F89" s="189" t="str">
        <x:f>IF(B89="","",IFERROR(INDEX('Task Master'!$K$5:$K$804,MATCH(B89,'Task Master'!$A$5:$A$804,0)),""))</x:f>
      </x:c>
      <x:c r="G89" s="190"/>
      <x:c r="H89" s="190"/>
      <x:c r="I89" s="191"/>
      <x:c r="J89" s="190"/>
      <x:c r="K89" s="190"/>
      <x:c r="L89" s="195"/>
      <x:c r="M89" s="190"/>
      <x:c r="N89" s="187"/>
      <x:c r="O89" s="192"/>
      <x:c r="P89" s="192"/>
      <x:c r="Q89" s="170" t="str">
        <x:f>IF(OR(A89="",B89=""),"",IF(A89=LOOKUP(2,1/($B$5:$B$704=B89),$A$5:$A$704),"Yes","No"))</x:f>
      </x:c>
    </x:row>
    <x:row r="90">
      <x:c r="A90" s="193"/>
      <x:c r="B90" s="187"/>
      <x:c r="C90" s="188" t="str">
        <x:f>IF(B90="","",IF(COUNTIF('Raw Decommissioning'!$B$2:$B$1000,B90)&gt;0,"Decommissioning",IF(COUNTIF('Raw Provisioning'!$B$2:$B$1000,B90)&gt;0,"Provisioning","Not in latest raw")))</x:f>
      </x:c>
      <x:c r="D90" s="188" t="str">
        <x:f>IF(B90="","",IFERROR(INDEX('Raw Decommissioning'!$E$2:$E$1000,MATCH(B90,'Raw Decommissioning'!$B$2:$B$1000,0)),IFERROR(INDEX('Raw Provisioning'!$E$2:$E$1000,MATCH(B90,'Raw Provisioning'!$B$2:$B$1000,0)),"Missing from latest raw")))</x:f>
      </x:c>
      <x:c r="E90" s="188" t="str">
        <x:f>IF(B90="","",IF(D90="completed","Completed in CSSP",IF(D90="executing","Active - Executing",IF(D90="processing","Ready to Assign",IF(D90="Missing from latest raw","Check Source","Not Managed - "&amp;D90)))))</x:f>
      </x:c>
      <x:c r="F90" s="189" t="str">
        <x:f>IF(B90="","",IFERROR(INDEX('Task Master'!$K$5:$K$804,MATCH(B90,'Task Master'!$A$5:$A$804,0)),""))</x:f>
      </x:c>
      <x:c r="G90" s="190"/>
      <x:c r="H90" s="190"/>
      <x:c r="I90" s="191"/>
      <x:c r="J90" s="190"/>
      <x:c r="K90" s="190"/>
      <x:c r="L90" s="195"/>
      <x:c r="M90" s="190"/>
      <x:c r="N90" s="187"/>
      <x:c r="O90" s="192"/>
      <x:c r="P90" s="192"/>
      <x:c r="Q90" s="170" t="str">
        <x:f>IF(OR(A90="",B90=""),"",IF(A90=LOOKUP(2,1/($B$5:$B$704=B90),$A$5:$A$704),"Yes","No"))</x:f>
      </x:c>
    </x:row>
    <x:row r="91">
      <x:c r="A91" s="193"/>
      <x:c r="B91" s="187"/>
      <x:c r="C91" s="188" t="str">
        <x:f>IF(B91="","",IF(COUNTIF('Raw Decommissioning'!$B$2:$B$1000,B91)&gt;0,"Decommissioning",IF(COUNTIF('Raw Provisioning'!$B$2:$B$1000,B91)&gt;0,"Provisioning","Not in latest raw")))</x:f>
      </x:c>
      <x:c r="D91" s="188" t="str">
        <x:f>IF(B91="","",IFERROR(INDEX('Raw Decommissioning'!$E$2:$E$1000,MATCH(B91,'Raw Decommissioning'!$B$2:$B$1000,0)),IFERROR(INDEX('Raw Provisioning'!$E$2:$E$1000,MATCH(B91,'Raw Provisioning'!$B$2:$B$1000,0)),"Missing from latest raw")))</x:f>
      </x:c>
      <x:c r="E91" s="188" t="str">
        <x:f>IF(B91="","",IF(D91="completed","Completed in CSSP",IF(D91="executing","Active - Executing",IF(D91="processing","Ready to Assign",IF(D91="Missing from latest raw","Check Source","Not Managed - "&amp;D91)))))</x:f>
      </x:c>
      <x:c r="F91" s="189" t="str">
        <x:f>IF(B91="","",IFERROR(INDEX('Task Master'!$K$5:$K$804,MATCH(B91,'Task Master'!$A$5:$A$804,0)),""))</x:f>
      </x:c>
      <x:c r="G91" s="190"/>
      <x:c r="H91" s="190"/>
      <x:c r="I91" s="191"/>
      <x:c r="J91" s="190"/>
      <x:c r="K91" s="190"/>
      <x:c r="L91" s="195"/>
      <x:c r="M91" s="190"/>
      <x:c r="N91" s="187"/>
      <x:c r="O91" s="192"/>
      <x:c r="P91" s="192"/>
      <x:c r="Q91" s="170" t="str">
        <x:f>IF(OR(A91="",B91=""),"",IF(A91=LOOKUP(2,1/($B$5:$B$704=B91),$A$5:$A$704),"Yes","No"))</x:f>
      </x:c>
    </x:row>
    <x:row r="92">
      <x:c r="A92" s="193"/>
      <x:c r="B92" s="187"/>
      <x:c r="C92" s="188" t="str">
        <x:f>IF(B92="","",IF(COUNTIF('Raw Decommissioning'!$B$2:$B$1000,B92)&gt;0,"Decommissioning",IF(COUNTIF('Raw Provisioning'!$B$2:$B$1000,B92)&gt;0,"Provisioning","Not in latest raw")))</x:f>
      </x:c>
      <x:c r="D92" s="188" t="str">
        <x:f>IF(B92="","",IFERROR(INDEX('Raw Decommissioning'!$E$2:$E$1000,MATCH(B92,'Raw Decommissioning'!$B$2:$B$1000,0)),IFERROR(INDEX('Raw Provisioning'!$E$2:$E$1000,MATCH(B92,'Raw Provisioning'!$B$2:$B$1000,0)),"Missing from latest raw")))</x:f>
      </x:c>
      <x:c r="E92" s="188" t="str">
        <x:f>IF(B92="","",IF(D92="completed","Completed in CSSP",IF(D92="executing","Active - Executing",IF(D92="processing","Ready to Assign",IF(D92="Missing from latest raw","Check Source","Not Managed - "&amp;D92)))))</x:f>
      </x:c>
      <x:c r="F92" s="189" t="str">
        <x:f>IF(B92="","",IFERROR(INDEX('Task Master'!$K$5:$K$804,MATCH(B92,'Task Master'!$A$5:$A$804,0)),""))</x:f>
      </x:c>
      <x:c r="G92" s="190"/>
      <x:c r="H92" s="190"/>
      <x:c r="I92" s="191"/>
      <x:c r="J92" s="190"/>
      <x:c r="K92" s="190"/>
      <x:c r="L92" s="195"/>
      <x:c r="M92" s="190"/>
      <x:c r="N92" s="187"/>
      <x:c r="O92" s="192"/>
      <x:c r="P92" s="192"/>
      <x:c r="Q92" s="170" t="str">
        <x:f>IF(OR(A92="",B92=""),"",IF(A92=LOOKUP(2,1/($B$5:$B$704=B92),$A$5:$A$704),"Yes","No"))</x:f>
      </x:c>
    </x:row>
    <x:row r="93">
      <x:c r="A93" s="193"/>
      <x:c r="B93" s="187"/>
      <x:c r="C93" s="188" t="str">
        <x:f>IF(B93="","",IF(COUNTIF('Raw Decommissioning'!$B$2:$B$1000,B93)&gt;0,"Decommissioning",IF(COUNTIF('Raw Provisioning'!$B$2:$B$1000,B93)&gt;0,"Provisioning","Not in latest raw")))</x:f>
      </x:c>
      <x:c r="D93" s="188" t="str">
        <x:f>IF(B93="","",IFERROR(INDEX('Raw Decommissioning'!$E$2:$E$1000,MATCH(B93,'Raw Decommissioning'!$B$2:$B$1000,0)),IFERROR(INDEX('Raw Provisioning'!$E$2:$E$1000,MATCH(B93,'Raw Provisioning'!$B$2:$B$1000,0)),"Missing from latest raw")))</x:f>
      </x:c>
      <x:c r="E93" s="188" t="str">
        <x:f>IF(B93="","",IF(D93="completed","Completed in CSSP",IF(D93="executing","Active - Executing",IF(D93="processing","Ready to Assign",IF(D93="Missing from latest raw","Check Source","Not Managed - "&amp;D93)))))</x:f>
      </x:c>
      <x:c r="F93" s="189" t="str">
        <x:f>IF(B93="","",IFERROR(INDEX('Task Master'!$K$5:$K$804,MATCH(B93,'Task Master'!$A$5:$A$804,0)),""))</x:f>
      </x:c>
      <x:c r="G93" s="190"/>
      <x:c r="H93" s="190"/>
      <x:c r="I93" s="191"/>
      <x:c r="J93" s="190"/>
      <x:c r="K93" s="190"/>
      <x:c r="L93" s="195"/>
      <x:c r="M93" s="190"/>
      <x:c r="N93" s="187"/>
      <x:c r="O93" s="192"/>
      <x:c r="P93" s="192"/>
      <x:c r="Q93" s="170" t="str">
        <x:f>IF(OR(A93="",B93=""),"",IF(A93=LOOKUP(2,1/($B$5:$B$704=B93),$A$5:$A$704),"Yes","No"))</x:f>
      </x:c>
    </x:row>
    <x:row r="94">
      <x:c r="A94" s="193"/>
      <x:c r="B94" s="187"/>
      <x:c r="C94" s="188" t="str">
        <x:f>IF(B94="","",IF(COUNTIF('Raw Decommissioning'!$B$2:$B$1000,B94)&gt;0,"Decommissioning",IF(COUNTIF('Raw Provisioning'!$B$2:$B$1000,B94)&gt;0,"Provisioning","Not in latest raw")))</x:f>
      </x:c>
      <x:c r="D94" s="188" t="str">
        <x:f>IF(B94="","",IFERROR(INDEX('Raw Decommissioning'!$E$2:$E$1000,MATCH(B94,'Raw Decommissioning'!$B$2:$B$1000,0)),IFERROR(INDEX('Raw Provisioning'!$E$2:$E$1000,MATCH(B94,'Raw Provisioning'!$B$2:$B$1000,0)),"Missing from latest raw")))</x:f>
      </x:c>
      <x:c r="E94" s="188" t="str">
        <x:f>IF(B94="","",IF(D94="completed","Completed in CSSP",IF(D94="executing","Active - Executing",IF(D94="processing","Ready to Assign",IF(D94="Missing from latest raw","Check Source","Not Managed - "&amp;D94)))))</x:f>
      </x:c>
      <x:c r="F94" s="189" t="str">
        <x:f>IF(B94="","",IFERROR(INDEX('Task Master'!$K$5:$K$804,MATCH(B94,'Task Master'!$A$5:$A$804,0)),""))</x:f>
      </x:c>
      <x:c r="G94" s="190"/>
      <x:c r="H94" s="190"/>
      <x:c r="I94" s="191"/>
      <x:c r="J94" s="190"/>
      <x:c r="K94" s="190"/>
      <x:c r="L94" s="195"/>
      <x:c r="M94" s="190"/>
      <x:c r="N94" s="187"/>
      <x:c r="O94" s="192"/>
      <x:c r="P94" s="192"/>
      <x:c r="Q94" s="170" t="str">
        <x:f>IF(OR(A94="",B94=""),"",IF(A94=LOOKUP(2,1/($B$5:$B$704=B94),$A$5:$A$704),"Yes","No"))</x:f>
      </x:c>
    </x:row>
    <x:row r="95">
      <x:c r="A95" s="193"/>
      <x:c r="B95" s="187"/>
      <x:c r="C95" s="188" t="str">
        <x:f>IF(B95="","",IF(COUNTIF('Raw Decommissioning'!$B$2:$B$1000,B95)&gt;0,"Decommissioning",IF(COUNTIF('Raw Provisioning'!$B$2:$B$1000,B95)&gt;0,"Provisioning","Not in latest raw")))</x:f>
      </x:c>
      <x:c r="D95" s="188" t="str">
        <x:f>IF(B95="","",IFERROR(INDEX('Raw Decommissioning'!$E$2:$E$1000,MATCH(B95,'Raw Decommissioning'!$B$2:$B$1000,0)),IFERROR(INDEX('Raw Provisioning'!$E$2:$E$1000,MATCH(B95,'Raw Provisioning'!$B$2:$B$1000,0)),"Missing from latest raw")))</x:f>
      </x:c>
      <x:c r="E95" s="188" t="str">
        <x:f>IF(B95="","",IF(D95="completed","Completed in CSSP",IF(D95="executing","Active - Executing",IF(D95="processing","Ready to Assign",IF(D95="Missing from latest raw","Check Source","Not Managed - "&amp;D95)))))</x:f>
      </x:c>
      <x:c r="F95" s="189" t="str">
        <x:f>IF(B95="","",IFERROR(INDEX('Task Master'!$K$5:$K$804,MATCH(B95,'Task Master'!$A$5:$A$804,0)),""))</x:f>
      </x:c>
      <x:c r="G95" s="190"/>
      <x:c r="H95" s="190"/>
      <x:c r="I95" s="191"/>
      <x:c r="J95" s="190"/>
      <x:c r="K95" s="190"/>
      <x:c r="L95" s="195"/>
      <x:c r="M95" s="190"/>
      <x:c r="N95" s="187"/>
      <x:c r="O95" s="192"/>
      <x:c r="P95" s="192"/>
      <x:c r="Q95" s="170" t="str">
        <x:f>IF(OR(A95="",B95=""),"",IF(A95=LOOKUP(2,1/($B$5:$B$704=B95),$A$5:$A$704),"Yes","No"))</x:f>
      </x:c>
    </x:row>
    <x:row r="96">
      <x:c r="A96" s="193"/>
      <x:c r="B96" s="187"/>
      <x:c r="C96" s="188" t="str">
        <x:f>IF(B96="","",IF(COUNTIF('Raw Decommissioning'!$B$2:$B$1000,B96)&gt;0,"Decommissioning",IF(COUNTIF('Raw Provisioning'!$B$2:$B$1000,B96)&gt;0,"Provisioning","Not in latest raw")))</x:f>
      </x:c>
      <x:c r="D96" s="188" t="str">
        <x:f>IF(B96="","",IFERROR(INDEX('Raw Decommissioning'!$E$2:$E$1000,MATCH(B96,'Raw Decommissioning'!$B$2:$B$1000,0)),IFERROR(INDEX('Raw Provisioning'!$E$2:$E$1000,MATCH(B96,'Raw Provisioning'!$B$2:$B$1000,0)),"Missing from latest raw")))</x:f>
      </x:c>
      <x:c r="E96" s="188" t="str">
        <x:f>IF(B96="","",IF(D96="completed","Completed in CSSP",IF(D96="executing","Active - Executing",IF(D96="processing","Ready to Assign",IF(D96="Missing from latest raw","Check Source","Not Managed - "&amp;D96)))))</x:f>
      </x:c>
      <x:c r="F96" s="189" t="str">
        <x:f>IF(B96="","",IFERROR(INDEX('Task Master'!$K$5:$K$804,MATCH(B96,'Task Master'!$A$5:$A$804,0)),""))</x:f>
      </x:c>
      <x:c r="G96" s="190"/>
      <x:c r="H96" s="190"/>
      <x:c r="I96" s="191"/>
      <x:c r="J96" s="190"/>
      <x:c r="K96" s="190"/>
      <x:c r="L96" s="195"/>
      <x:c r="M96" s="190"/>
      <x:c r="N96" s="187"/>
      <x:c r="O96" s="192"/>
      <x:c r="P96" s="192"/>
      <x:c r="Q96" s="170" t="str">
        <x:f>IF(OR(A96="",B96=""),"",IF(A96=LOOKUP(2,1/($B$5:$B$704=B96),$A$5:$A$704),"Yes","No"))</x:f>
      </x:c>
    </x:row>
    <x:row r="97">
      <x:c r="A97" s="193"/>
      <x:c r="B97" s="187"/>
      <x:c r="C97" s="188" t="str">
        <x:f>IF(B97="","",IF(COUNTIF('Raw Decommissioning'!$B$2:$B$1000,B97)&gt;0,"Decommissioning",IF(COUNTIF('Raw Provisioning'!$B$2:$B$1000,B97)&gt;0,"Provisioning","Not in latest raw")))</x:f>
      </x:c>
      <x:c r="D97" s="188" t="str">
        <x:f>IF(B97="","",IFERROR(INDEX('Raw Decommissioning'!$E$2:$E$1000,MATCH(B97,'Raw Decommissioning'!$B$2:$B$1000,0)),IFERROR(INDEX('Raw Provisioning'!$E$2:$E$1000,MATCH(B97,'Raw Provisioning'!$B$2:$B$1000,0)),"Missing from latest raw")))</x:f>
      </x:c>
      <x:c r="E97" s="188" t="str">
        <x:f>IF(B97="","",IF(D97="completed","Completed in CSSP",IF(D97="executing","Active - Executing",IF(D97="processing","Ready to Assign",IF(D97="Missing from latest raw","Check Source","Not Managed - "&amp;D97)))))</x:f>
      </x:c>
      <x:c r="F97" s="189" t="str">
        <x:f>IF(B97="","",IFERROR(INDEX('Task Master'!$K$5:$K$804,MATCH(B97,'Task Master'!$A$5:$A$804,0)),""))</x:f>
      </x:c>
      <x:c r="G97" s="190"/>
      <x:c r="H97" s="190"/>
      <x:c r="I97" s="191"/>
      <x:c r="J97" s="190"/>
      <x:c r="K97" s="190"/>
      <x:c r="L97" s="195"/>
      <x:c r="M97" s="190"/>
      <x:c r="N97" s="187"/>
      <x:c r="O97" s="192"/>
      <x:c r="P97" s="192"/>
      <x:c r="Q97" s="170" t="str">
        <x:f>IF(OR(A97="",B97=""),"",IF(A97=LOOKUP(2,1/($B$5:$B$704=B97),$A$5:$A$704),"Yes","No"))</x:f>
      </x:c>
    </x:row>
    <x:row r="98">
      <x:c r="A98" s="193"/>
      <x:c r="B98" s="187"/>
      <x:c r="C98" s="188" t="str">
        <x:f>IF(B98="","",IF(COUNTIF('Raw Decommissioning'!$B$2:$B$1000,B98)&gt;0,"Decommissioning",IF(COUNTIF('Raw Provisioning'!$B$2:$B$1000,B98)&gt;0,"Provisioning","Not in latest raw")))</x:f>
      </x:c>
      <x:c r="D98" s="188" t="str">
        <x:f>IF(B98="","",IFERROR(INDEX('Raw Decommissioning'!$E$2:$E$1000,MATCH(B98,'Raw Decommissioning'!$B$2:$B$1000,0)),IFERROR(INDEX('Raw Provisioning'!$E$2:$E$1000,MATCH(B98,'Raw Provisioning'!$B$2:$B$1000,0)),"Missing from latest raw")))</x:f>
      </x:c>
      <x:c r="E98" s="188" t="str">
        <x:f>IF(B98="","",IF(D98="completed","Completed in CSSP",IF(D98="executing","Active - Executing",IF(D98="processing","Ready to Assign",IF(D98="Missing from latest raw","Check Source","Not Managed - "&amp;D98)))))</x:f>
      </x:c>
      <x:c r="F98" s="189" t="str">
        <x:f>IF(B98="","",IFERROR(INDEX('Task Master'!$K$5:$K$804,MATCH(B98,'Task Master'!$A$5:$A$804,0)),""))</x:f>
      </x:c>
      <x:c r="G98" s="190"/>
      <x:c r="H98" s="190"/>
      <x:c r="I98" s="191"/>
      <x:c r="J98" s="190"/>
      <x:c r="K98" s="190"/>
      <x:c r="L98" s="195"/>
      <x:c r="M98" s="190"/>
      <x:c r="N98" s="187"/>
      <x:c r="O98" s="192"/>
      <x:c r="P98" s="192"/>
      <x:c r="Q98" s="170" t="str">
        <x:f>IF(OR(A98="",B98=""),"",IF(A98=LOOKUP(2,1/($B$5:$B$704=B98),$A$5:$A$704),"Yes","No"))</x:f>
      </x:c>
    </x:row>
    <x:row r="99">
      <x:c r="A99" s="193"/>
      <x:c r="B99" s="187"/>
      <x:c r="C99" s="188" t="str">
        <x:f>IF(B99="","",IF(COUNTIF('Raw Decommissioning'!$B$2:$B$1000,B99)&gt;0,"Decommissioning",IF(COUNTIF('Raw Provisioning'!$B$2:$B$1000,B99)&gt;0,"Provisioning","Not in latest raw")))</x:f>
      </x:c>
      <x:c r="D99" s="188" t="str">
        <x:f>IF(B99="","",IFERROR(INDEX('Raw Decommissioning'!$E$2:$E$1000,MATCH(B99,'Raw Decommissioning'!$B$2:$B$1000,0)),IFERROR(INDEX('Raw Provisioning'!$E$2:$E$1000,MATCH(B99,'Raw Provisioning'!$B$2:$B$1000,0)),"Missing from latest raw")))</x:f>
      </x:c>
      <x:c r="E99" s="188" t="str">
        <x:f>IF(B99="","",IF(D99="completed","Completed in CSSP",IF(D99="executing","Active - Executing",IF(D99="processing","Ready to Assign",IF(D99="Missing from latest raw","Check Source","Not Managed - "&amp;D99)))))</x:f>
      </x:c>
      <x:c r="F99" s="189" t="str">
        <x:f>IF(B99="","",IFERROR(INDEX('Task Master'!$K$5:$K$804,MATCH(B99,'Task Master'!$A$5:$A$804,0)),""))</x:f>
      </x:c>
      <x:c r="G99" s="190"/>
      <x:c r="H99" s="190"/>
      <x:c r="I99" s="191"/>
      <x:c r="J99" s="190"/>
      <x:c r="K99" s="190"/>
      <x:c r="L99" s="195"/>
      <x:c r="M99" s="190"/>
      <x:c r="N99" s="187"/>
      <x:c r="O99" s="192"/>
      <x:c r="P99" s="192"/>
      <x:c r="Q99" s="170" t="str">
        <x:f>IF(OR(A99="",B99=""),"",IF(A99=LOOKUP(2,1/($B$5:$B$704=B99),$A$5:$A$704),"Yes","No"))</x:f>
      </x:c>
    </x:row>
    <x:row r="100">
      <x:c r="A100" s="193"/>
      <x:c r="B100" s="187"/>
      <x:c r="C100" s="188" t="str">
        <x:f>IF(B100="","",IF(COUNTIF('Raw Decommissioning'!$B$2:$B$1000,B100)&gt;0,"Decommissioning",IF(COUNTIF('Raw Provisioning'!$B$2:$B$1000,B100)&gt;0,"Provisioning","Not in latest raw")))</x:f>
      </x:c>
      <x:c r="D100" s="188" t="str">
        <x:f>IF(B100="","",IFERROR(INDEX('Raw Decommissioning'!$E$2:$E$1000,MATCH(B100,'Raw Decommissioning'!$B$2:$B$1000,0)),IFERROR(INDEX('Raw Provisioning'!$E$2:$E$1000,MATCH(B100,'Raw Provisioning'!$B$2:$B$1000,0)),"Missing from latest raw")))</x:f>
      </x:c>
      <x:c r="E100" s="188" t="str">
        <x:f>IF(B100="","",IF(D100="completed","Completed in CSSP",IF(D100="executing","Active - Executing",IF(D100="processing","Ready to Assign",IF(D100="Missing from latest raw","Check Source","Not Managed - "&amp;D100)))))</x:f>
      </x:c>
      <x:c r="F100" s="189" t="str">
        <x:f>IF(B100="","",IFERROR(INDEX('Task Master'!$K$5:$K$804,MATCH(B100,'Task Master'!$A$5:$A$804,0)),""))</x:f>
      </x:c>
      <x:c r="G100" s="190"/>
      <x:c r="H100" s="190"/>
      <x:c r="I100" s="191"/>
      <x:c r="J100" s="190"/>
      <x:c r="K100" s="190"/>
      <x:c r="L100" s="195"/>
      <x:c r="M100" s="190"/>
      <x:c r="N100" s="187"/>
      <x:c r="O100" s="192"/>
      <x:c r="P100" s="192"/>
      <x:c r="Q100" s="170" t="str">
        <x:f>IF(OR(A100="",B100=""),"",IF(A100=LOOKUP(2,1/($B$5:$B$704=B100),$A$5:$A$704),"Yes","No"))</x:f>
      </x:c>
    </x:row>
    <x:row r="101">
      <x:c r="A101" s="193"/>
      <x:c r="B101" s="187"/>
      <x:c r="C101" s="188" t="str">
        <x:f>IF(B101="","",IF(COUNTIF('Raw Decommissioning'!$B$2:$B$1000,B101)&gt;0,"Decommissioning",IF(COUNTIF('Raw Provisioning'!$B$2:$B$1000,B101)&gt;0,"Provisioning","Not in latest raw")))</x:f>
      </x:c>
      <x:c r="D101" s="188" t="str">
        <x:f>IF(B101="","",IFERROR(INDEX('Raw Decommissioning'!$E$2:$E$1000,MATCH(B101,'Raw Decommissioning'!$B$2:$B$1000,0)),IFERROR(INDEX('Raw Provisioning'!$E$2:$E$1000,MATCH(B101,'Raw Provisioning'!$B$2:$B$1000,0)),"Missing from latest raw")))</x:f>
      </x:c>
      <x:c r="E101" s="188" t="str">
        <x:f>IF(B101="","",IF(D101="completed","Completed in CSSP",IF(D101="executing","Active - Executing",IF(D101="processing","Ready to Assign",IF(D101="Missing from latest raw","Check Source","Not Managed - "&amp;D101)))))</x:f>
      </x:c>
      <x:c r="F101" s="189" t="str">
        <x:f>IF(B101="","",IFERROR(INDEX('Task Master'!$K$5:$K$804,MATCH(B101,'Task Master'!$A$5:$A$804,0)),""))</x:f>
      </x:c>
      <x:c r="G101" s="190"/>
      <x:c r="H101" s="190"/>
      <x:c r="I101" s="191"/>
      <x:c r="J101" s="190"/>
      <x:c r="K101" s="190"/>
      <x:c r="L101" s="195"/>
      <x:c r="M101" s="190"/>
      <x:c r="N101" s="187"/>
      <x:c r="O101" s="192"/>
      <x:c r="P101" s="192"/>
      <x:c r="Q101" s="170" t="str">
        <x:f>IF(OR(A101="",B101=""),"",IF(A101=LOOKUP(2,1/($B$5:$B$704=B101),$A$5:$A$704),"Yes","No"))</x:f>
      </x:c>
    </x:row>
    <x:row r="102">
      <x:c r="A102" s="193"/>
      <x:c r="B102" s="187"/>
      <x:c r="C102" s="188" t="str">
        <x:f>IF(B102="","",IF(COUNTIF('Raw Decommissioning'!$B$2:$B$1000,B102)&gt;0,"Decommissioning",IF(COUNTIF('Raw Provisioning'!$B$2:$B$1000,B102)&gt;0,"Provisioning","Not in latest raw")))</x:f>
      </x:c>
      <x:c r="D102" s="188" t="str">
        <x:f>IF(B102="","",IFERROR(INDEX('Raw Decommissioning'!$E$2:$E$1000,MATCH(B102,'Raw Decommissioning'!$B$2:$B$1000,0)),IFERROR(INDEX('Raw Provisioning'!$E$2:$E$1000,MATCH(B102,'Raw Provisioning'!$B$2:$B$1000,0)),"Missing from latest raw")))</x:f>
      </x:c>
      <x:c r="E102" s="188" t="str">
        <x:f>IF(B102="","",IF(D102="completed","Completed in CSSP",IF(D102="executing","Active - Executing",IF(D102="processing","Ready to Assign",IF(D102="Missing from latest raw","Check Source","Not Managed - "&amp;D102)))))</x:f>
      </x:c>
      <x:c r="F102" s="189" t="str">
        <x:f>IF(B102="","",IFERROR(INDEX('Task Master'!$K$5:$K$804,MATCH(B102,'Task Master'!$A$5:$A$804,0)),""))</x:f>
      </x:c>
      <x:c r="G102" s="190"/>
      <x:c r="H102" s="190"/>
      <x:c r="I102" s="191"/>
      <x:c r="J102" s="190"/>
      <x:c r="K102" s="190"/>
      <x:c r="L102" s="195"/>
      <x:c r="M102" s="190"/>
      <x:c r="N102" s="187"/>
      <x:c r="O102" s="192"/>
      <x:c r="P102" s="192"/>
      <x:c r="Q102" s="170" t="str">
        <x:f>IF(OR(A102="",B102=""),"",IF(A102=LOOKUP(2,1/($B$5:$B$704=B102),$A$5:$A$704),"Yes","No"))</x:f>
      </x:c>
    </x:row>
    <x:row r="103">
      <x:c r="A103" s="193"/>
      <x:c r="B103" s="187"/>
      <x:c r="C103" s="188" t="str">
        <x:f>IF(B103="","",IF(COUNTIF('Raw Decommissioning'!$B$2:$B$1000,B103)&gt;0,"Decommissioning",IF(COUNTIF('Raw Provisioning'!$B$2:$B$1000,B103)&gt;0,"Provisioning","Not in latest raw")))</x:f>
      </x:c>
      <x:c r="D103" s="188" t="str">
        <x:f>IF(B103="","",IFERROR(INDEX('Raw Decommissioning'!$E$2:$E$1000,MATCH(B103,'Raw Decommissioning'!$B$2:$B$1000,0)),IFERROR(INDEX('Raw Provisioning'!$E$2:$E$1000,MATCH(B103,'Raw Provisioning'!$B$2:$B$1000,0)),"Missing from latest raw")))</x:f>
      </x:c>
      <x:c r="E103" s="188" t="str">
        <x:f>IF(B103="","",IF(D103="completed","Completed in CSSP",IF(D103="executing","Active - Executing",IF(D103="processing","Ready to Assign",IF(D103="Missing from latest raw","Check Source","Not Managed - "&amp;D103)))))</x:f>
      </x:c>
      <x:c r="F103" s="189" t="str">
        <x:f>IF(B103="","",IFERROR(INDEX('Task Master'!$K$5:$K$804,MATCH(B103,'Task Master'!$A$5:$A$804,0)),""))</x:f>
      </x:c>
      <x:c r="G103" s="190"/>
      <x:c r="H103" s="190"/>
      <x:c r="I103" s="191"/>
      <x:c r="J103" s="190"/>
      <x:c r="K103" s="190"/>
      <x:c r="L103" s="195"/>
      <x:c r="M103" s="190"/>
      <x:c r="N103" s="187"/>
      <x:c r="O103" s="192"/>
      <x:c r="P103" s="192"/>
      <x:c r="Q103" s="170" t="str">
        <x:f>IF(OR(A103="",B103=""),"",IF(A103=LOOKUP(2,1/($B$5:$B$704=B103),$A$5:$A$704),"Yes","No"))</x:f>
      </x:c>
    </x:row>
    <x:row r="104">
      <x:c r="A104" s="193"/>
      <x:c r="B104" s="187"/>
      <x:c r="C104" s="188" t="str">
        <x:f>IF(B104="","",IF(COUNTIF('Raw Decommissioning'!$B$2:$B$1000,B104)&gt;0,"Decommissioning",IF(COUNTIF('Raw Provisioning'!$B$2:$B$1000,B104)&gt;0,"Provisioning","Not in latest raw")))</x:f>
      </x:c>
      <x:c r="D104" s="188" t="str">
        <x:f>IF(B104="","",IFERROR(INDEX('Raw Decommissioning'!$E$2:$E$1000,MATCH(B104,'Raw Decommissioning'!$B$2:$B$1000,0)),IFERROR(INDEX('Raw Provisioning'!$E$2:$E$1000,MATCH(B104,'Raw Provisioning'!$B$2:$B$1000,0)),"Missing from latest raw")))</x:f>
      </x:c>
      <x:c r="E104" s="188" t="str">
        <x:f>IF(B104="","",IF(D104="completed","Completed in CSSP",IF(D104="executing","Active - Executing",IF(D104="processing","Ready to Assign",IF(D104="Missing from latest raw","Check Source","Not Managed - "&amp;D104)))))</x:f>
      </x:c>
      <x:c r="F104" s="189" t="str">
        <x:f>IF(B104="","",IFERROR(INDEX('Task Master'!$K$5:$K$804,MATCH(B104,'Task Master'!$A$5:$A$804,0)),""))</x:f>
      </x:c>
      <x:c r="G104" s="190"/>
      <x:c r="H104" s="190"/>
      <x:c r="I104" s="191"/>
      <x:c r="J104" s="190"/>
      <x:c r="K104" s="190"/>
      <x:c r="L104" s="195"/>
      <x:c r="M104" s="190"/>
      <x:c r="N104" s="187"/>
      <x:c r="O104" s="192"/>
      <x:c r="P104" s="192"/>
      <x:c r="Q104" s="170" t="str">
        <x:f>IF(OR(A104="",B104=""),"",IF(A104=LOOKUP(2,1/($B$5:$B$704=B104),$A$5:$A$704),"Yes","No"))</x:f>
      </x:c>
    </x:row>
    <x:row r="105">
      <x:c r="A105" s="193"/>
      <x:c r="B105" s="187"/>
      <x:c r="C105" s="188" t="str">
        <x:f>IF(B105="","",IF(COUNTIF('Raw Decommissioning'!$B$2:$B$1000,B105)&gt;0,"Decommissioning",IF(COUNTIF('Raw Provisioning'!$B$2:$B$1000,B105)&gt;0,"Provisioning","Not in latest raw")))</x:f>
      </x:c>
      <x:c r="D105" s="188" t="str">
        <x:f>IF(B105="","",IFERROR(INDEX('Raw Decommissioning'!$E$2:$E$1000,MATCH(B105,'Raw Decommissioning'!$B$2:$B$1000,0)),IFERROR(INDEX('Raw Provisioning'!$E$2:$E$1000,MATCH(B105,'Raw Provisioning'!$B$2:$B$1000,0)),"Missing from latest raw")))</x:f>
      </x:c>
      <x:c r="E105" s="188" t="str">
        <x:f>IF(B105="","",IF(D105="completed","Completed in CSSP",IF(D105="executing","Active - Executing",IF(D105="processing","Ready to Assign",IF(D105="Missing from latest raw","Check Source","Not Managed - "&amp;D105)))))</x:f>
      </x:c>
      <x:c r="F105" s="189" t="str">
        <x:f>IF(B105="","",IFERROR(INDEX('Task Master'!$K$5:$K$804,MATCH(B105,'Task Master'!$A$5:$A$804,0)),""))</x:f>
      </x:c>
      <x:c r="G105" s="190"/>
      <x:c r="H105" s="190"/>
      <x:c r="I105" s="191"/>
      <x:c r="J105" s="190"/>
      <x:c r="K105" s="190"/>
      <x:c r="L105" s="195"/>
      <x:c r="M105" s="190"/>
      <x:c r="N105" s="187"/>
      <x:c r="O105" s="192"/>
      <x:c r="P105" s="192"/>
      <x:c r="Q105" s="170" t="str">
        <x:f>IF(OR(A105="",B105=""),"",IF(A105=LOOKUP(2,1/($B$5:$B$704=B105),$A$5:$A$704),"Yes","No"))</x:f>
      </x:c>
    </x:row>
    <x:row r="106">
      <x:c r="A106" s="193"/>
      <x:c r="B106" s="187"/>
      <x:c r="C106" s="188" t="str">
        <x:f>IF(B106="","",IF(COUNTIF('Raw Decommissioning'!$B$2:$B$1000,B106)&gt;0,"Decommissioning",IF(COUNTIF('Raw Provisioning'!$B$2:$B$1000,B106)&gt;0,"Provisioning","Not in latest raw")))</x:f>
      </x:c>
      <x:c r="D106" s="188" t="str">
        <x:f>IF(B106="","",IFERROR(INDEX('Raw Decommissioning'!$E$2:$E$1000,MATCH(B106,'Raw Decommissioning'!$B$2:$B$1000,0)),IFERROR(INDEX('Raw Provisioning'!$E$2:$E$1000,MATCH(B106,'Raw Provisioning'!$B$2:$B$1000,0)),"Missing from latest raw")))</x:f>
      </x:c>
      <x:c r="E106" s="188" t="str">
        <x:f>IF(B106="","",IF(D106="completed","Completed in CSSP",IF(D106="executing","Active - Executing",IF(D106="processing","Ready to Assign",IF(D106="Missing from latest raw","Check Source","Not Managed - "&amp;D106)))))</x:f>
      </x:c>
      <x:c r="F106" s="189" t="str">
        <x:f>IF(B106="","",IFERROR(INDEX('Task Master'!$K$5:$K$804,MATCH(B106,'Task Master'!$A$5:$A$804,0)),""))</x:f>
      </x:c>
      <x:c r="G106" s="190"/>
      <x:c r="H106" s="190"/>
      <x:c r="I106" s="191"/>
      <x:c r="J106" s="190"/>
      <x:c r="K106" s="190"/>
      <x:c r="L106" s="195"/>
      <x:c r="M106" s="190"/>
      <x:c r="N106" s="187"/>
      <x:c r="O106" s="192"/>
      <x:c r="P106" s="192"/>
      <x:c r="Q106" s="170" t="str">
        <x:f>IF(OR(A106="",B106=""),"",IF(A106=LOOKUP(2,1/($B$5:$B$704=B106),$A$5:$A$704),"Yes","No"))</x:f>
      </x:c>
    </x:row>
    <x:row r="107">
      <x:c r="A107" s="193"/>
      <x:c r="B107" s="187"/>
      <x:c r="C107" s="188" t="str">
        <x:f>IF(B107="","",IF(COUNTIF('Raw Decommissioning'!$B$2:$B$1000,B107)&gt;0,"Decommissioning",IF(COUNTIF('Raw Provisioning'!$B$2:$B$1000,B107)&gt;0,"Provisioning","Not in latest raw")))</x:f>
      </x:c>
      <x:c r="D107" s="188" t="str">
        <x:f>IF(B107="","",IFERROR(INDEX('Raw Decommissioning'!$E$2:$E$1000,MATCH(B107,'Raw Decommissioning'!$B$2:$B$1000,0)),IFERROR(INDEX('Raw Provisioning'!$E$2:$E$1000,MATCH(B107,'Raw Provisioning'!$B$2:$B$1000,0)),"Missing from latest raw")))</x:f>
      </x:c>
      <x:c r="E107" s="188" t="str">
        <x:f>IF(B107="","",IF(D107="completed","Completed in CSSP",IF(D107="executing","Active - Executing",IF(D107="processing","Ready to Assign",IF(D107="Missing from latest raw","Check Source","Not Managed - "&amp;D107)))))</x:f>
      </x:c>
      <x:c r="F107" s="189" t="str">
        <x:f>IF(B107="","",IFERROR(INDEX('Task Master'!$K$5:$K$804,MATCH(B107,'Task Master'!$A$5:$A$804,0)),""))</x:f>
      </x:c>
      <x:c r="G107" s="190"/>
      <x:c r="H107" s="190"/>
      <x:c r="I107" s="191"/>
      <x:c r="J107" s="190"/>
      <x:c r="K107" s="190"/>
      <x:c r="L107" s="195"/>
      <x:c r="M107" s="190"/>
      <x:c r="N107" s="187"/>
      <x:c r="O107" s="192"/>
      <x:c r="P107" s="192"/>
      <x:c r="Q107" s="170" t="str">
        <x:f>IF(OR(A107="",B107=""),"",IF(A107=LOOKUP(2,1/($B$5:$B$704=B107),$A$5:$A$704),"Yes","No"))</x:f>
      </x:c>
    </x:row>
    <x:row r="108">
      <x:c r="A108" s="193"/>
      <x:c r="B108" s="187"/>
      <x:c r="C108" s="188" t="str">
        <x:f>IF(B108="","",IF(COUNTIF('Raw Decommissioning'!$B$2:$B$1000,B108)&gt;0,"Decommissioning",IF(COUNTIF('Raw Provisioning'!$B$2:$B$1000,B108)&gt;0,"Provisioning","Not in latest raw")))</x:f>
      </x:c>
      <x:c r="D108" s="188" t="str">
        <x:f>IF(B108="","",IFERROR(INDEX('Raw Decommissioning'!$E$2:$E$1000,MATCH(B108,'Raw Decommissioning'!$B$2:$B$1000,0)),IFERROR(INDEX('Raw Provisioning'!$E$2:$E$1000,MATCH(B108,'Raw Provisioning'!$B$2:$B$1000,0)),"Missing from latest raw")))</x:f>
      </x:c>
      <x:c r="E108" s="188" t="str">
        <x:f>IF(B108="","",IF(D108="completed","Completed in CSSP",IF(D108="executing","Active - Executing",IF(D108="processing","Ready to Assign",IF(D108="Missing from latest raw","Check Source","Not Managed - "&amp;D108)))))</x:f>
      </x:c>
      <x:c r="F108" s="189" t="str">
        <x:f>IF(B108="","",IFERROR(INDEX('Task Master'!$K$5:$K$804,MATCH(B108,'Task Master'!$A$5:$A$804,0)),""))</x:f>
      </x:c>
      <x:c r="G108" s="190"/>
      <x:c r="H108" s="190"/>
      <x:c r="I108" s="191"/>
      <x:c r="J108" s="190"/>
      <x:c r="K108" s="190"/>
      <x:c r="L108" s="195"/>
      <x:c r="M108" s="190"/>
      <x:c r="N108" s="187"/>
      <x:c r="O108" s="192"/>
      <x:c r="P108" s="192"/>
      <x:c r="Q108" s="170" t="str">
        <x:f>IF(OR(A108="",B108=""),"",IF(A108=LOOKUP(2,1/($B$5:$B$704=B108),$A$5:$A$704),"Yes","No"))</x:f>
      </x:c>
    </x:row>
    <x:row r="109">
      <x:c r="A109" s="193"/>
      <x:c r="B109" s="187"/>
      <x:c r="C109" s="188" t="str">
        <x:f>IF(B109="","",IF(COUNTIF('Raw Decommissioning'!$B$2:$B$1000,B109)&gt;0,"Decommissioning",IF(COUNTIF('Raw Provisioning'!$B$2:$B$1000,B109)&gt;0,"Provisioning","Not in latest raw")))</x:f>
      </x:c>
      <x:c r="D109" s="188" t="str">
        <x:f>IF(B109="","",IFERROR(INDEX('Raw Decommissioning'!$E$2:$E$1000,MATCH(B109,'Raw Decommissioning'!$B$2:$B$1000,0)),IFERROR(INDEX('Raw Provisioning'!$E$2:$E$1000,MATCH(B109,'Raw Provisioning'!$B$2:$B$1000,0)),"Missing from latest raw")))</x:f>
      </x:c>
      <x:c r="E109" s="188" t="str">
        <x:f>IF(B109="","",IF(D109="completed","Completed in CSSP",IF(D109="executing","Active - Executing",IF(D109="processing","Ready to Assign",IF(D109="Missing from latest raw","Check Source","Not Managed - "&amp;D109)))))</x:f>
      </x:c>
      <x:c r="F109" s="189" t="str">
        <x:f>IF(B109="","",IFERROR(INDEX('Task Master'!$K$5:$K$804,MATCH(B109,'Task Master'!$A$5:$A$804,0)),""))</x:f>
      </x:c>
      <x:c r="G109" s="190"/>
      <x:c r="H109" s="190"/>
      <x:c r="I109" s="191"/>
      <x:c r="J109" s="190"/>
      <x:c r="K109" s="190"/>
      <x:c r="L109" s="195"/>
      <x:c r="M109" s="190"/>
      <x:c r="N109" s="187"/>
      <x:c r="O109" s="192"/>
      <x:c r="P109" s="192"/>
      <x:c r="Q109" s="170" t="str">
        <x:f>IF(OR(A109="",B109=""),"",IF(A109=LOOKUP(2,1/($B$5:$B$704=B109),$A$5:$A$704),"Yes","No"))</x:f>
      </x:c>
    </x:row>
    <x:row r="110">
      <x:c r="A110" s="193"/>
      <x:c r="B110" s="187"/>
      <x:c r="C110" s="188" t="str">
        <x:f>IF(B110="","",IF(COUNTIF('Raw Decommissioning'!$B$2:$B$1000,B110)&gt;0,"Decommissioning",IF(COUNTIF('Raw Provisioning'!$B$2:$B$1000,B110)&gt;0,"Provisioning","Not in latest raw")))</x:f>
      </x:c>
      <x:c r="D110" s="188" t="str">
        <x:f>IF(B110="","",IFERROR(INDEX('Raw Decommissioning'!$E$2:$E$1000,MATCH(B110,'Raw Decommissioning'!$B$2:$B$1000,0)),IFERROR(INDEX('Raw Provisioning'!$E$2:$E$1000,MATCH(B110,'Raw Provisioning'!$B$2:$B$1000,0)),"Missing from latest raw")))</x:f>
      </x:c>
      <x:c r="E110" s="188" t="str">
        <x:f>IF(B110="","",IF(D110="completed","Completed in CSSP",IF(D110="executing","Active - Executing",IF(D110="processing","Ready to Assign",IF(D110="Missing from latest raw","Check Source","Not Managed - "&amp;D110)))))</x:f>
      </x:c>
      <x:c r="F110" s="189" t="str">
        <x:f>IF(B110="","",IFERROR(INDEX('Task Master'!$K$5:$K$804,MATCH(B110,'Task Master'!$A$5:$A$804,0)),""))</x:f>
      </x:c>
      <x:c r="G110" s="190"/>
      <x:c r="H110" s="190"/>
      <x:c r="I110" s="191"/>
      <x:c r="J110" s="190"/>
      <x:c r="K110" s="190"/>
      <x:c r="L110" s="195"/>
      <x:c r="M110" s="190"/>
      <x:c r="N110" s="187"/>
      <x:c r="O110" s="192"/>
      <x:c r="P110" s="192"/>
      <x:c r="Q110" s="170" t="str">
        <x:f>IF(OR(A110="",B110=""),"",IF(A110=LOOKUP(2,1/($B$5:$B$704=B110),$A$5:$A$704),"Yes","No"))</x:f>
      </x:c>
    </x:row>
    <x:row r="111">
      <x:c r="A111" s="193"/>
      <x:c r="B111" s="187"/>
      <x:c r="C111" s="188" t="str">
        <x:f>IF(B111="","",IF(COUNTIF('Raw Decommissioning'!$B$2:$B$1000,B111)&gt;0,"Decommissioning",IF(COUNTIF('Raw Provisioning'!$B$2:$B$1000,B111)&gt;0,"Provisioning","Not in latest raw")))</x:f>
      </x:c>
      <x:c r="D111" s="188" t="str">
        <x:f>IF(B111="","",IFERROR(INDEX('Raw Decommissioning'!$E$2:$E$1000,MATCH(B111,'Raw Decommissioning'!$B$2:$B$1000,0)),IFERROR(INDEX('Raw Provisioning'!$E$2:$E$1000,MATCH(B111,'Raw Provisioning'!$B$2:$B$1000,0)),"Missing from latest raw")))</x:f>
      </x:c>
      <x:c r="E111" s="188" t="str">
        <x:f>IF(B111="","",IF(D111="completed","Completed in CSSP",IF(D111="executing","Active - Executing",IF(D111="processing","Ready to Assign",IF(D111="Missing from latest raw","Check Source","Not Managed - "&amp;D111)))))</x:f>
      </x:c>
      <x:c r="F111" s="189" t="str">
        <x:f>IF(B111="","",IFERROR(INDEX('Task Master'!$K$5:$K$804,MATCH(B111,'Task Master'!$A$5:$A$804,0)),""))</x:f>
      </x:c>
      <x:c r="G111" s="190"/>
      <x:c r="H111" s="190"/>
      <x:c r="I111" s="191"/>
      <x:c r="J111" s="190"/>
      <x:c r="K111" s="190"/>
      <x:c r="L111" s="195"/>
      <x:c r="M111" s="190"/>
      <x:c r="N111" s="187"/>
      <x:c r="O111" s="192"/>
      <x:c r="P111" s="192"/>
      <x:c r="Q111" s="170" t="str">
        <x:f>IF(OR(A111="",B111=""),"",IF(A111=LOOKUP(2,1/($B$5:$B$704=B111),$A$5:$A$704),"Yes","No"))</x:f>
      </x:c>
    </x:row>
    <x:row r="112">
      <x:c r="A112" s="193"/>
      <x:c r="B112" s="187"/>
      <x:c r="C112" s="188" t="str">
        <x:f>IF(B112="","",IF(COUNTIF('Raw Decommissioning'!$B$2:$B$1000,B112)&gt;0,"Decommissioning",IF(COUNTIF('Raw Provisioning'!$B$2:$B$1000,B112)&gt;0,"Provisioning","Not in latest raw")))</x:f>
      </x:c>
      <x:c r="D112" s="188" t="str">
        <x:f>IF(B112="","",IFERROR(INDEX('Raw Decommissioning'!$E$2:$E$1000,MATCH(B112,'Raw Decommissioning'!$B$2:$B$1000,0)),IFERROR(INDEX('Raw Provisioning'!$E$2:$E$1000,MATCH(B112,'Raw Provisioning'!$B$2:$B$1000,0)),"Missing from latest raw")))</x:f>
      </x:c>
      <x:c r="E112" s="188" t="str">
        <x:f>IF(B112="","",IF(D112="completed","Completed in CSSP",IF(D112="executing","Active - Executing",IF(D112="processing","Ready to Assign",IF(D112="Missing from latest raw","Check Source","Not Managed - "&amp;D112)))))</x:f>
      </x:c>
      <x:c r="F112" s="189" t="str">
        <x:f>IF(B112="","",IFERROR(INDEX('Task Master'!$K$5:$K$804,MATCH(B112,'Task Master'!$A$5:$A$804,0)),""))</x:f>
      </x:c>
      <x:c r="G112" s="190"/>
      <x:c r="H112" s="190"/>
      <x:c r="I112" s="191"/>
      <x:c r="J112" s="190"/>
      <x:c r="K112" s="190"/>
      <x:c r="L112" s="195"/>
      <x:c r="M112" s="190"/>
      <x:c r="N112" s="187"/>
      <x:c r="O112" s="192"/>
      <x:c r="P112" s="192"/>
      <x:c r="Q112" s="170" t="str">
        <x:f>IF(OR(A112="",B112=""),"",IF(A112=LOOKUP(2,1/($B$5:$B$704=B112),$A$5:$A$704),"Yes","No"))</x:f>
      </x:c>
    </x:row>
    <x:row r="113">
      <x:c r="A113" s="193"/>
      <x:c r="B113" s="187"/>
      <x:c r="C113" s="188" t="str">
        <x:f>IF(B113="","",IF(COUNTIF('Raw Decommissioning'!$B$2:$B$1000,B113)&gt;0,"Decommissioning",IF(COUNTIF('Raw Provisioning'!$B$2:$B$1000,B113)&gt;0,"Provisioning","Not in latest raw")))</x:f>
      </x:c>
      <x:c r="D113" s="188" t="str">
        <x:f>IF(B113="","",IFERROR(INDEX('Raw Decommissioning'!$E$2:$E$1000,MATCH(B113,'Raw Decommissioning'!$B$2:$B$1000,0)),IFERROR(INDEX('Raw Provisioning'!$E$2:$E$1000,MATCH(B113,'Raw Provisioning'!$B$2:$B$1000,0)),"Missing from latest raw")))</x:f>
      </x:c>
      <x:c r="E113" s="188" t="str">
        <x:f>IF(B113="","",IF(D113="completed","Completed in CSSP",IF(D113="executing","Active - Executing",IF(D113="processing","Ready to Assign",IF(D113="Missing from latest raw","Check Source","Not Managed - "&amp;D113)))))</x:f>
      </x:c>
      <x:c r="F113" s="189" t="str">
        <x:f>IF(B113="","",IFERROR(INDEX('Task Master'!$K$5:$K$804,MATCH(B113,'Task Master'!$A$5:$A$804,0)),""))</x:f>
      </x:c>
      <x:c r="G113" s="190"/>
      <x:c r="H113" s="190"/>
      <x:c r="I113" s="191"/>
      <x:c r="J113" s="190"/>
      <x:c r="K113" s="190"/>
      <x:c r="L113" s="195"/>
      <x:c r="M113" s="190"/>
      <x:c r="N113" s="187"/>
      <x:c r="O113" s="192"/>
      <x:c r="P113" s="192"/>
      <x:c r="Q113" s="170" t="str">
        <x:f>IF(OR(A113="",B113=""),"",IF(A113=LOOKUP(2,1/($B$5:$B$704=B113),$A$5:$A$704),"Yes","No"))</x:f>
      </x:c>
    </x:row>
    <x:row r="114">
      <x:c r="A114" s="193"/>
      <x:c r="B114" s="187"/>
      <x:c r="C114" s="188" t="str">
        <x:f>IF(B114="","",IF(COUNTIF('Raw Decommissioning'!$B$2:$B$1000,B114)&gt;0,"Decommissioning",IF(COUNTIF('Raw Provisioning'!$B$2:$B$1000,B114)&gt;0,"Provisioning","Not in latest raw")))</x:f>
      </x:c>
      <x:c r="D114" s="188" t="str">
        <x:f>IF(B114="","",IFERROR(INDEX('Raw Decommissioning'!$E$2:$E$1000,MATCH(B114,'Raw Decommissioning'!$B$2:$B$1000,0)),IFERROR(INDEX('Raw Provisioning'!$E$2:$E$1000,MATCH(B114,'Raw Provisioning'!$B$2:$B$1000,0)),"Missing from latest raw")))</x:f>
      </x:c>
      <x:c r="E114" s="188" t="str">
        <x:f>IF(B114="","",IF(D114="completed","Completed in CSSP",IF(D114="executing","Active - Executing",IF(D114="processing","Ready to Assign",IF(D114="Missing from latest raw","Check Source","Not Managed - "&amp;D114)))))</x:f>
      </x:c>
      <x:c r="F114" s="189" t="str">
        <x:f>IF(B114="","",IFERROR(INDEX('Task Master'!$K$5:$K$804,MATCH(B114,'Task Master'!$A$5:$A$804,0)),""))</x:f>
      </x:c>
      <x:c r="G114" s="190"/>
      <x:c r="H114" s="190"/>
      <x:c r="I114" s="191"/>
      <x:c r="J114" s="190"/>
      <x:c r="K114" s="190"/>
      <x:c r="L114" s="195"/>
      <x:c r="M114" s="190"/>
      <x:c r="N114" s="187"/>
      <x:c r="O114" s="192"/>
      <x:c r="P114" s="192"/>
      <x:c r="Q114" s="170" t="str">
        <x:f>IF(OR(A114="",B114=""),"",IF(A114=LOOKUP(2,1/($B$5:$B$704=B114),$A$5:$A$704),"Yes","No"))</x:f>
      </x:c>
    </x:row>
    <x:row r="115">
      <x:c r="A115" s="193"/>
      <x:c r="B115" s="187"/>
      <x:c r="C115" s="188" t="str">
        <x:f>IF(B115="","",IF(COUNTIF('Raw Decommissioning'!$B$2:$B$1000,B115)&gt;0,"Decommissioning",IF(COUNTIF('Raw Provisioning'!$B$2:$B$1000,B115)&gt;0,"Provisioning","Not in latest raw")))</x:f>
      </x:c>
      <x:c r="D115" s="188" t="str">
        <x:f>IF(B115="","",IFERROR(INDEX('Raw Decommissioning'!$E$2:$E$1000,MATCH(B115,'Raw Decommissioning'!$B$2:$B$1000,0)),IFERROR(INDEX('Raw Provisioning'!$E$2:$E$1000,MATCH(B115,'Raw Provisioning'!$B$2:$B$1000,0)),"Missing from latest raw")))</x:f>
      </x:c>
      <x:c r="E115" s="188" t="str">
        <x:f>IF(B115="","",IF(D115="completed","Completed in CSSP",IF(D115="executing","Active - Executing",IF(D115="processing","Ready to Assign",IF(D115="Missing from latest raw","Check Source","Not Managed - "&amp;D115)))))</x:f>
      </x:c>
      <x:c r="F115" s="189" t="str">
        <x:f>IF(B115="","",IFERROR(INDEX('Task Master'!$K$5:$K$804,MATCH(B115,'Task Master'!$A$5:$A$804,0)),""))</x:f>
      </x:c>
      <x:c r="G115" s="190"/>
      <x:c r="H115" s="190"/>
      <x:c r="I115" s="191"/>
      <x:c r="J115" s="190"/>
      <x:c r="K115" s="190"/>
      <x:c r="L115" s="195"/>
      <x:c r="M115" s="190"/>
      <x:c r="N115" s="187"/>
      <x:c r="O115" s="192"/>
      <x:c r="P115" s="192"/>
      <x:c r="Q115" s="170" t="str">
        <x:f>IF(OR(A115="",B115=""),"",IF(A115=LOOKUP(2,1/($B$5:$B$704=B115),$A$5:$A$704),"Yes","No"))</x:f>
      </x:c>
    </x:row>
    <x:row r="116">
      <x:c r="A116" s="193"/>
      <x:c r="B116" s="187"/>
      <x:c r="C116" s="188" t="str">
        <x:f>IF(B116="","",IF(COUNTIF('Raw Decommissioning'!$B$2:$B$1000,B116)&gt;0,"Decommissioning",IF(COUNTIF('Raw Provisioning'!$B$2:$B$1000,B116)&gt;0,"Provisioning","Not in latest raw")))</x:f>
      </x:c>
      <x:c r="D116" s="188" t="str">
        <x:f>IF(B116="","",IFERROR(INDEX('Raw Decommissioning'!$E$2:$E$1000,MATCH(B116,'Raw Decommissioning'!$B$2:$B$1000,0)),IFERROR(INDEX('Raw Provisioning'!$E$2:$E$1000,MATCH(B116,'Raw Provisioning'!$B$2:$B$1000,0)),"Missing from latest raw")))</x:f>
      </x:c>
      <x:c r="E116" s="188" t="str">
        <x:f>IF(B116="","",IF(D116="completed","Completed in CSSP",IF(D116="executing","Active - Executing",IF(D116="processing","Ready to Assign",IF(D116="Missing from latest raw","Check Source","Not Managed - "&amp;D116)))))</x:f>
      </x:c>
      <x:c r="F116" s="189" t="str">
        <x:f>IF(B116="","",IFERROR(INDEX('Task Master'!$K$5:$K$804,MATCH(B116,'Task Master'!$A$5:$A$804,0)),""))</x:f>
      </x:c>
      <x:c r="G116" s="190"/>
      <x:c r="H116" s="190"/>
      <x:c r="I116" s="191"/>
      <x:c r="J116" s="190"/>
      <x:c r="K116" s="190"/>
      <x:c r="L116" s="195"/>
      <x:c r="M116" s="190"/>
      <x:c r="N116" s="187"/>
      <x:c r="O116" s="192"/>
      <x:c r="P116" s="192"/>
      <x:c r="Q116" s="170" t="str">
        <x:f>IF(OR(A116="",B116=""),"",IF(A116=LOOKUP(2,1/($B$5:$B$704=B116),$A$5:$A$704),"Yes","No"))</x:f>
      </x:c>
    </x:row>
    <x:row r="117">
      <x:c r="A117" s="193"/>
      <x:c r="B117" s="187"/>
      <x:c r="C117" s="188" t="str">
        <x:f>IF(B117="","",IF(COUNTIF('Raw Decommissioning'!$B$2:$B$1000,B117)&gt;0,"Decommissioning",IF(COUNTIF('Raw Provisioning'!$B$2:$B$1000,B117)&gt;0,"Provisioning","Not in latest raw")))</x:f>
      </x:c>
      <x:c r="D117" s="188" t="str">
        <x:f>IF(B117="","",IFERROR(INDEX('Raw Decommissioning'!$E$2:$E$1000,MATCH(B117,'Raw Decommissioning'!$B$2:$B$1000,0)),IFERROR(INDEX('Raw Provisioning'!$E$2:$E$1000,MATCH(B117,'Raw Provisioning'!$B$2:$B$1000,0)),"Missing from latest raw")))</x:f>
      </x:c>
      <x:c r="E117" s="188" t="str">
        <x:f>IF(B117="","",IF(D117="completed","Completed in CSSP",IF(D117="executing","Active - Executing",IF(D117="processing","Ready to Assign",IF(D117="Missing from latest raw","Check Source","Not Managed - "&amp;D117)))))</x:f>
      </x:c>
      <x:c r="F117" s="189" t="str">
        <x:f>IF(B117="","",IFERROR(INDEX('Task Master'!$K$5:$K$804,MATCH(B117,'Task Master'!$A$5:$A$804,0)),""))</x:f>
      </x:c>
      <x:c r="G117" s="190"/>
      <x:c r="H117" s="190"/>
      <x:c r="I117" s="191"/>
      <x:c r="J117" s="190"/>
      <x:c r="K117" s="190"/>
      <x:c r="L117" s="195"/>
      <x:c r="M117" s="190"/>
      <x:c r="N117" s="187"/>
      <x:c r="O117" s="192"/>
      <x:c r="P117" s="192"/>
      <x:c r="Q117" s="170" t="str">
        <x:f>IF(OR(A117="",B117=""),"",IF(A117=LOOKUP(2,1/($B$5:$B$704=B117),$A$5:$A$704),"Yes","No"))</x:f>
      </x:c>
    </x:row>
    <x:row r="118">
      <x:c r="A118" s="193"/>
      <x:c r="B118" s="187"/>
      <x:c r="C118" s="188" t="str">
        <x:f>IF(B118="","",IF(COUNTIF('Raw Decommissioning'!$B$2:$B$1000,B118)&gt;0,"Decommissioning",IF(COUNTIF('Raw Provisioning'!$B$2:$B$1000,B118)&gt;0,"Provisioning","Not in latest raw")))</x:f>
      </x:c>
      <x:c r="D118" s="188" t="str">
        <x:f>IF(B118="","",IFERROR(INDEX('Raw Decommissioning'!$E$2:$E$1000,MATCH(B118,'Raw Decommissioning'!$B$2:$B$1000,0)),IFERROR(INDEX('Raw Provisioning'!$E$2:$E$1000,MATCH(B118,'Raw Provisioning'!$B$2:$B$1000,0)),"Missing from latest raw")))</x:f>
      </x:c>
      <x:c r="E118" s="188" t="str">
        <x:f>IF(B118="","",IF(D118="completed","Completed in CSSP",IF(D118="executing","Active - Executing",IF(D118="processing","Ready to Assign",IF(D118="Missing from latest raw","Check Source","Not Managed - "&amp;D118)))))</x:f>
      </x:c>
      <x:c r="F118" s="189" t="str">
        <x:f>IF(B118="","",IFERROR(INDEX('Task Master'!$K$5:$K$804,MATCH(B118,'Task Master'!$A$5:$A$804,0)),""))</x:f>
      </x:c>
      <x:c r="G118" s="190"/>
      <x:c r="H118" s="190"/>
      <x:c r="I118" s="191"/>
      <x:c r="J118" s="190"/>
      <x:c r="K118" s="190"/>
      <x:c r="L118" s="195"/>
      <x:c r="M118" s="190"/>
      <x:c r="N118" s="187"/>
      <x:c r="O118" s="192"/>
      <x:c r="P118" s="192"/>
      <x:c r="Q118" s="170" t="str">
        <x:f>IF(OR(A118="",B118=""),"",IF(A118=LOOKUP(2,1/($B$5:$B$704=B118),$A$5:$A$704),"Yes","No"))</x:f>
      </x:c>
    </x:row>
    <x:row r="119">
      <x:c r="A119" s="193"/>
      <x:c r="B119" s="187"/>
      <x:c r="C119" s="188" t="str">
        <x:f>IF(B119="","",IF(COUNTIF('Raw Decommissioning'!$B$2:$B$1000,B119)&gt;0,"Decommissioning",IF(COUNTIF('Raw Provisioning'!$B$2:$B$1000,B119)&gt;0,"Provisioning","Not in latest raw")))</x:f>
      </x:c>
      <x:c r="D119" s="188" t="str">
        <x:f>IF(B119="","",IFERROR(INDEX('Raw Decommissioning'!$E$2:$E$1000,MATCH(B119,'Raw Decommissioning'!$B$2:$B$1000,0)),IFERROR(INDEX('Raw Provisioning'!$E$2:$E$1000,MATCH(B119,'Raw Provisioning'!$B$2:$B$1000,0)),"Missing from latest raw")))</x:f>
      </x:c>
      <x:c r="E119" s="188" t="str">
        <x:f>IF(B119="","",IF(D119="completed","Completed in CSSP",IF(D119="executing","Active - Executing",IF(D119="processing","Ready to Assign",IF(D119="Missing from latest raw","Check Source","Not Managed - "&amp;D119)))))</x:f>
      </x:c>
      <x:c r="F119" s="189" t="str">
        <x:f>IF(B119="","",IFERROR(INDEX('Task Master'!$K$5:$K$804,MATCH(B119,'Task Master'!$A$5:$A$804,0)),""))</x:f>
      </x:c>
      <x:c r="G119" s="190"/>
      <x:c r="H119" s="190"/>
      <x:c r="I119" s="191"/>
      <x:c r="J119" s="190"/>
      <x:c r="K119" s="190"/>
      <x:c r="L119" s="195"/>
      <x:c r="M119" s="190"/>
      <x:c r="N119" s="187"/>
      <x:c r="O119" s="192"/>
      <x:c r="P119" s="192"/>
      <x:c r="Q119" s="170" t="str">
        <x:f>IF(OR(A119="",B119=""),"",IF(A119=LOOKUP(2,1/($B$5:$B$704=B119),$A$5:$A$704),"Yes","No"))</x:f>
      </x:c>
    </x:row>
    <x:row r="120">
      <x:c r="A120" s="193"/>
      <x:c r="B120" s="187"/>
      <x:c r="C120" s="188" t="str">
        <x:f>IF(B120="","",IF(COUNTIF('Raw Decommissioning'!$B$2:$B$1000,B120)&gt;0,"Decommissioning",IF(COUNTIF('Raw Provisioning'!$B$2:$B$1000,B120)&gt;0,"Provisioning","Not in latest raw")))</x:f>
      </x:c>
      <x:c r="D120" s="188" t="str">
        <x:f>IF(B120="","",IFERROR(INDEX('Raw Decommissioning'!$E$2:$E$1000,MATCH(B120,'Raw Decommissioning'!$B$2:$B$1000,0)),IFERROR(INDEX('Raw Provisioning'!$E$2:$E$1000,MATCH(B120,'Raw Provisioning'!$B$2:$B$1000,0)),"Missing from latest raw")))</x:f>
      </x:c>
      <x:c r="E120" s="188" t="str">
        <x:f>IF(B120="","",IF(D120="completed","Completed in CSSP",IF(D120="executing","Active - Executing",IF(D120="processing","Ready to Assign",IF(D120="Missing from latest raw","Check Source","Not Managed - "&amp;D120)))))</x:f>
      </x:c>
      <x:c r="F120" s="189" t="str">
        <x:f>IF(B120="","",IFERROR(INDEX('Task Master'!$K$5:$K$804,MATCH(B120,'Task Master'!$A$5:$A$804,0)),""))</x:f>
      </x:c>
      <x:c r="G120" s="190"/>
      <x:c r="H120" s="190"/>
      <x:c r="I120" s="191"/>
      <x:c r="J120" s="190"/>
      <x:c r="K120" s="190"/>
      <x:c r="L120" s="195"/>
      <x:c r="M120" s="190"/>
      <x:c r="N120" s="187"/>
      <x:c r="O120" s="192"/>
      <x:c r="P120" s="192"/>
      <x:c r="Q120" s="170" t="str">
        <x:f>IF(OR(A120="",B120=""),"",IF(A120=LOOKUP(2,1/($B$5:$B$704=B120),$A$5:$A$704),"Yes","No"))</x:f>
      </x:c>
    </x:row>
    <x:row r="121">
      <x:c r="A121" s="193"/>
      <x:c r="B121" s="187"/>
      <x:c r="C121" s="188" t="str">
        <x:f>IF(B121="","",IF(COUNTIF('Raw Decommissioning'!$B$2:$B$1000,B121)&gt;0,"Decommissioning",IF(COUNTIF('Raw Provisioning'!$B$2:$B$1000,B121)&gt;0,"Provisioning","Not in latest raw")))</x:f>
      </x:c>
      <x:c r="D121" s="188" t="str">
        <x:f>IF(B121="","",IFERROR(INDEX('Raw Decommissioning'!$E$2:$E$1000,MATCH(B121,'Raw Decommissioning'!$B$2:$B$1000,0)),IFERROR(INDEX('Raw Provisioning'!$E$2:$E$1000,MATCH(B121,'Raw Provisioning'!$B$2:$B$1000,0)),"Missing from latest raw")))</x:f>
      </x:c>
      <x:c r="E121" s="188" t="str">
        <x:f>IF(B121="","",IF(D121="completed","Completed in CSSP",IF(D121="executing","Active - Executing",IF(D121="processing","Ready to Assign",IF(D121="Missing from latest raw","Check Source","Not Managed - "&amp;D121)))))</x:f>
      </x:c>
      <x:c r="F121" s="189" t="str">
        <x:f>IF(B121="","",IFERROR(INDEX('Task Master'!$K$5:$K$804,MATCH(B121,'Task Master'!$A$5:$A$804,0)),""))</x:f>
      </x:c>
      <x:c r="G121" s="190"/>
      <x:c r="H121" s="190"/>
      <x:c r="I121" s="191"/>
      <x:c r="J121" s="190"/>
      <x:c r="K121" s="190"/>
      <x:c r="L121" s="195"/>
      <x:c r="M121" s="190"/>
      <x:c r="N121" s="187"/>
      <x:c r="O121" s="192"/>
      <x:c r="P121" s="192"/>
      <x:c r="Q121" s="170" t="str">
        <x:f>IF(OR(A121="",B121=""),"",IF(A121=LOOKUP(2,1/($B$5:$B$704=B121),$A$5:$A$704),"Yes","No"))</x:f>
      </x:c>
    </x:row>
    <x:row r="122">
      <x:c r="A122" s="193"/>
      <x:c r="B122" s="187"/>
      <x:c r="C122" s="188" t="str">
        <x:f>IF(B122="","",IF(COUNTIF('Raw Decommissioning'!$B$2:$B$1000,B122)&gt;0,"Decommissioning",IF(COUNTIF('Raw Provisioning'!$B$2:$B$1000,B122)&gt;0,"Provisioning","Not in latest raw")))</x:f>
      </x:c>
      <x:c r="D122" s="188" t="str">
        <x:f>IF(B122="","",IFERROR(INDEX('Raw Decommissioning'!$E$2:$E$1000,MATCH(B122,'Raw Decommissioning'!$B$2:$B$1000,0)),IFERROR(INDEX('Raw Provisioning'!$E$2:$E$1000,MATCH(B122,'Raw Provisioning'!$B$2:$B$1000,0)),"Missing from latest raw")))</x:f>
      </x:c>
      <x:c r="E122" s="188" t="str">
        <x:f>IF(B122="","",IF(D122="completed","Completed in CSSP",IF(D122="executing","Active - Executing",IF(D122="processing","Ready to Assign",IF(D122="Missing from latest raw","Check Source","Not Managed - "&amp;D122)))))</x:f>
      </x:c>
      <x:c r="F122" s="189" t="str">
        <x:f>IF(B122="","",IFERROR(INDEX('Task Master'!$K$5:$K$804,MATCH(B122,'Task Master'!$A$5:$A$804,0)),""))</x:f>
      </x:c>
      <x:c r="G122" s="190"/>
      <x:c r="H122" s="190"/>
      <x:c r="I122" s="191"/>
      <x:c r="J122" s="190"/>
      <x:c r="K122" s="190"/>
      <x:c r="L122" s="195"/>
      <x:c r="M122" s="190"/>
      <x:c r="N122" s="187"/>
      <x:c r="O122" s="192"/>
      <x:c r="P122" s="192"/>
      <x:c r="Q122" s="170" t="str">
        <x:f>IF(OR(A122="",B122=""),"",IF(A122=LOOKUP(2,1/($B$5:$B$704=B122),$A$5:$A$704),"Yes","No"))</x:f>
      </x:c>
    </x:row>
    <x:row r="123">
      <x:c r="A123" s="193"/>
      <x:c r="B123" s="187"/>
      <x:c r="C123" s="188" t="str">
        <x:f>IF(B123="","",IF(COUNTIF('Raw Decommissioning'!$B$2:$B$1000,B123)&gt;0,"Decommissioning",IF(COUNTIF('Raw Provisioning'!$B$2:$B$1000,B123)&gt;0,"Provisioning","Not in latest raw")))</x:f>
      </x:c>
      <x:c r="D123" s="188" t="str">
        <x:f>IF(B123="","",IFERROR(INDEX('Raw Decommissioning'!$E$2:$E$1000,MATCH(B123,'Raw Decommissioning'!$B$2:$B$1000,0)),IFERROR(INDEX('Raw Provisioning'!$E$2:$E$1000,MATCH(B123,'Raw Provisioning'!$B$2:$B$1000,0)),"Missing from latest raw")))</x:f>
      </x:c>
      <x:c r="E123" s="188" t="str">
        <x:f>IF(B123="","",IF(D123="completed","Completed in CSSP",IF(D123="executing","Active - Executing",IF(D123="processing","Ready to Assign",IF(D123="Missing from latest raw","Check Source","Not Managed - "&amp;D123)))))</x:f>
      </x:c>
      <x:c r="F123" s="189" t="str">
        <x:f>IF(B123="","",IFERROR(INDEX('Task Master'!$K$5:$K$804,MATCH(B123,'Task Master'!$A$5:$A$804,0)),""))</x:f>
      </x:c>
      <x:c r="G123" s="190"/>
      <x:c r="H123" s="190"/>
      <x:c r="I123" s="191"/>
      <x:c r="J123" s="190"/>
      <x:c r="K123" s="190"/>
      <x:c r="L123" s="195"/>
      <x:c r="M123" s="190"/>
      <x:c r="N123" s="187"/>
      <x:c r="O123" s="192"/>
      <x:c r="P123" s="192"/>
      <x:c r="Q123" s="170" t="str">
        <x:f>IF(OR(A123="",B123=""),"",IF(A123=LOOKUP(2,1/($B$5:$B$704=B123),$A$5:$A$704),"Yes","No"))</x:f>
      </x:c>
    </x:row>
    <x:row r="124">
      <x:c r="A124" s="193"/>
      <x:c r="B124" s="187"/>
      <x:c r="C124" s="188" t="str">
        <x:f>IF(B124="","",IF(COUNTIF('Raw Decommissioning'!$B$2:$B$1000,B124)&gt;0,"Decommissioning",IF(COUNTIF('Raw Provisioning'!$B$2:$B$1000,B124)&gt;0,"Provisioning","Not in latest raw")))</x:f>
      </x:c>
      <x:c r="D124" s="188" t="str">
        <x:f>IF(B124="","",IFERROR(INDEX('Raw Decommissioning'!$E$2:$E$1000,MATCH(B124,'Raw Decommissioning'!$B$2:$B$1000,0)),IFERROR(INDEX('Raw Provisioning'!$E$2:$E$1000,MATCH(B124,'Raw Provisioning'!$B$2:$B$1000,0)),"Missing from latest raw")))</x:f>
      </x:c>
      <x:c r="E124" s="188" t="str">
        <x:f>IF(B124="","",IF(D124="completed","Completed in CSSP",IF(D124="executing","Active - Executing",IF(D124="processing","Ready to Assign",IF(D124="Missing from latest raw","Check Source","Not Managed - "&amp;D124)))))</x:f>
      </x:c>
      <x:c r="F124" s="189" t="str">
        <x:f>IF(B124="","",IFERROR(INDEX('Task Master'!$K$5:$K$804,MATCH(B124,'Task Master'!$A$5:$A$804,0)),""))</x:f>
      </x:c>
      <x:c r="G124" s="190"/>
      <x:c r="H124" s="190"/>
      <x:c r="I124" s="191"/>
      <x:c r="J124" s="190"/>
      <x:c r="K124" s="190"/>
      <x:c r="L124" s="195"/>
      <x:c r="M124" s="190"/>
      <x:c r="N124" s="187"/>
      <x:c r="O124" s="192"/>
      <x:c r="P124" s="192"/>
      <x:c r="Q124" s="170" t="str">
        <x:f>IF(OR(A124="",B124=""),"",IF(A124=LOOKUP(2,1/($B$5:$B$704=B124),$A$5:$A$704),"Yes","No"))</x:f>
      </x:c>
    </x:row>
    <x:row r="125">
      <x:c r="A125" s="193"/>
      <x:c r="B125" s="187"/>
      <x:c r="C125" s="188" t="str">
        <x:f>IF(B125="","",IF(COUNTIF('Raw Decommissioning'!$B$2:$B$1000,B125)&gt;0,"Decommissioning",IF(COUNTIF('Raw Provisioning'!$B$2:$B$1000,B125)&gt;0,"Provisioning","Not in latest raw")))</x:f>
      </x:c>
      <x:c r="D125" s="188" t="str">
        <x:f>IF(B125="","",IFERROR(INDEX('Raw Decommissioning'!$E$2:$E$1000,MATCH(B125,'Raw Decommissioning'!$B$2:$B$1000,0)),IFERROR(INDEX('Raw Provisioning'!$E$2:$E$1000,MATCH(B125,'Raw Provisioning'!$B$2:$B$1000,0)),"Missing from latest raw")))</x:f>
      </x:c>
      <x:c r="E125" s="188" t="str">
        <x:f>IF(B125="","",IF(D125="completed","Completed in CSSP",IF(D125="executing","Active - Executing",IF(D125="processing","Ready to Assign",IF(D125="Missing from latest raw","Check Source","Not Managed - "&amp;D125)))))</x:f>
      </x:c>
      <x:c r="F125" s="189" t="str">
        <x:f>IF(B125="","",IFERROR(INDEX('Task Master'!$K$5:$K$804,MATCH(B125,'Task Master'!$A$5:$A$804,0)),""))</x:f>
      </x:c>
      <x:c r="G125" s="190"/>
      <x:c r="H125" s="190"/>
      <x:c r="I125" s="191"/>
      <x:c r="J125" s="190"/>
      <x:c r="K125" s="190"/>
      <x:c r="L125" s="195"/>
      <x:c r="M125" s="190"/>
      <x:c r="N125" s="187"/>
      <x:c r="O125" s="192"/>
      <x:c r="P125" s="192"/>
      <x:c r="Q125" s="170" t="str">
        <x:f>IF(OR(A125="",B125=""),"",IF(A125=LOOKUP(2,1/($B$5:$B$704=B125),$A$5:$A$704),"Yes","No"))</x:f>
      </x:c>
    </x:row>
    <x:row r="126">
      <x:c r="A126" s="193"/>
      <x:c r="B126" s="187"/>
      <x:c r="C126" s="188" t="str">
        <x:f>IF(B126="","",IF(COUNTIF('Raw Decommissioning'!$B$2:$B$1000,B126)&gt;0,"Decommissioning",IF(COUNTIF('Raw Provisioning'!$B$2:$B$1000,B126)&gt;0,"Provisioning","Not in latest raw")))</x:f>
      </x:c>
      <x:c r="D126" s="188" t="str">
        <x:f>IF(B126="","",IFERROR(INDEX('Raw Decommissioning'!$E$2:$E$1000,MATCH(B126,'Raw Decommissioning'!$B$2:$B$1000,0)),IFERROR(INDEX('Raw Provisioning'!$E$2:$E$1000,MATCH(B126,'Raw Provisioning'!$B$2:$B$1000,0)),"Missing from latest raw")))</x:f>
      </x:c>
      <x:c r="E126" s="188" t="str">
        <x:f>IF(B126="","",IF(D126="completed","Completed in CSSP",IF(D126="executing","Active - Executing",IF(D126="processing","Ready to Assign",IF(D126="Missing from latest raw","Check Source","Not Managed - "&amp;D126)))))</x:f>
      </x:c>
      <x:c r="F126" s="189" t="str">
        <x:f>IF(B126="","",IFERROR(INDEX('Task Master'!$K$5:$K$804,MATCH(B126,'Task Master'!$A$5:$A$804,0)),""))</x:f>
      </x:c>
      <x:c r="G126" s="190"/>
      <x:c r="H126" s="190"/>
      <x:c r="I126" s="191"/>
      <x:c r="J126" s="190"/>
      <x:c r="K126" s="190"/>
      <x:c r="L126" s="195"/>
      <x:c r="M126" s="190"/>
      <x:c r="N126" s="187"/>
      <x:c r="O126" s="192"/>
      <x:c r="P126" s="192"/>
      <x:c r="Q126" s="170" t="str">
        <x:f>IF(OR(A126="",B126=""),"",IF(A126=LOOKUP(2,1/($B$5:$B$704=B126),$A$5:$A$704),"Yes","No"))</x:f>
      </x:c>
    </x:row>
    <x:row r="127">
      <x:c r="A127" s="193"/>
      <x:c r="B127" s="187"/>
      <x:c r="C127" s="188" t="str">
        <x:f>IF(B127="","",IF(COUNTIF('Raw Decommissioning'!$B$2:$B$1000,B127)&gt;0,"Decommissioning",IF(COUNTIF('Raw Provisioning'!$B$2:$B$1000,B127)&gt;0,"Provisioning","Not in latest raw")))</x:f>
      </x:c>
      <x:c r="D127" s="188" t="str">
        <x:f>IF(B127="","",IFERROR(INDEX('Raw Decommissioning'!$E$2:$E$1000,MATCH(B127,'Raw Decommissioning'!$B$2:$B$1000,0)),IFERROR(INDEX('Raw Provisioning'!$E$2:$E$1000,MATCH(B127,'Raw Provisioning'!$B$2:$B$1000,0)),"Missing from latest raw")))</x:f>
      </x:c>
      <x:c r="E127" s="188" t="str">
        <x:f>IF(B127="","",IF(D127="completed","Completed in CSSP",IF(D127="executing","Active - Executing",IF(D127="processing","Ready to Assign",IF(D127="Missing from latest raw","Check Source","Not Managed - "&amp;D127)))))</x:f>
      </x:c>
      <x:c r="F127" s="189" t="str">
        <x:f>IF(B127="","",IFERROR(INDEX('Task Master'!$K$5:$K$804,MATCH(B127,'Task Master'!$A$5:$A$804,0)),""))</x:f>
      </x:c>
      <x:c r="G127" s="190"/>
      <x:c r="H127" s="190"/>
      <x:c r="I127" s="191"/>
      <x:c r="J127" s="190"/>
      <x:c r="K127" s="190"/>
      <x:c r="L127" s="195"/>
      <x:c r="M127" s="190"/>
      <x:c r="N127" s="187"/>
      <x:c r="O127" s="192"/>
      <x:c r="P127" s="192"/>
      <x:c r="Q127" s="170" t="str">
        <x:f>IF(OR(A127="",B127=""),"",IF(A127=LOOKUP(2,1/($B$5:$B$704=B127),$A$5:$A$704),"Yes","No"))</x:f>
      </x:c>
    </x:row>
    <x:row r="128">
      <x:c r="A128" s="193"/>
      <x:c r="B128" s="187"/>
      <x:c r="C128" s="188" t="str">
        <x:f>IF(B128="","",IF(COUNTIF('Raw Decommissioning'!$B$2:$B$1000,B128)&gt;0,"Decommissioning",IF(COUNTIF('Raw Provisioning'!$B$2:$B$1000,B128)&gt;0,"Provisioning","Not in latest raw")))</x:f>
      </x:c>
      <x:c r="D128" s="188" t="str">
        <x:f>IF(B128="","",IFERROR(INDEX('Raw Decommissioning'!$E$2:$E$1000,MATCH(B128,'Raw Decommissioning'!$B$2:$B$1000,0)),IFERROR(INDEX('Raw Provisioning'!$E$2:$E$1000,MATCH(B128,'Raw Provisioning'!$B$2:$B$1000,0)),"Missing from latest raw")))</x:f>
      </x:c>
      <x:c r="E128" s="188" t="str">
        <x:f>IF(B128="","",IF(D128="completed","Completed in CSSP",IF(D128="executing","Active - Executing",IF(D128="processing","Ready to Assign",IF(D128="Missing from latest raw","Check Source","Not Managed - "&amp;D128)))))</x:f>
      </x:c>
      <x:c r="F128" s="189" t="str">
        <x:f>IF(B128="","",IFERROR(INDEX('Task Master'!$K$5:$K$804,MATCH(B128,'Task Master'!$A$5:$A$804,0)),""))</x:f>
      </x:c>
      <x:c r="G128" s="190"/>
      <x:c r="H128" s="190"/>
      <x:c r="I128" s="191"/>
      <x:c r="J128" s="190"/>
      <x:c r="K128" s="190"/>
      <x:c r="L128" s="195"/>
      <x:c r="M128" s="190"/>
      <x:c r="N128" s="187"/>
      <x:c r="O128" s="192"/>
      <x:c r="P128" s="192"/>
      <x:c r="Q128" s="170" t="str">
        <x:f>IF(OR(A128="",B128=""),"",IF(A128=LOOKUP(2,1/($B$5:$B$704=B128),$A$5:$A$704),"Yes","No"))</x:f>
      </x:c>
    </x:row>
    <x:row r="129">
      <x:c r="A129" s="193"/>
      <x:c r="B129" s="187"/>
      <x:c r="C129" s="188" t="str">
        <x:f>IF(B129="","",IF(COUNTIF('Raw Decommissioning'!$B$2:$B$1000,B129)&gt;0,"Decommissioning",IF(COUNTIF('Raw Provisioning'!$B$2:$B$1000,B129)&gt;0,"Provisioning","Not in latest raw")))</x:f>
      </x:c>
      <x:c r="D129" s="188" t="str">
        <x:f>IF(B129="","",IFERROR(INDEX('Raw Decommissioning'!$E$2:$E$1000,MATCH(B129,'Raw Decommissioning'!$B$2:$B$1000,0)),IFERROR(INDEX('Raw Provisioning'!$E$2:$E$1000,MATCH(B129,'Raw Provisioning'!$B$2:$B$1000,0)),"Missing from latest raw")))</x:f>
      </x:c>
      <x:c r="E129" s="188" t="str">
        <x:f>IF(B129="","",IF(D129="completed","Completed in CSSP",IF(D129="executing","Active - Executing",IF(D129="processing","Ready to Assign",IF(D129="Missing from latest raw","Check Source","Not Managed - "&amp;D129)))))</x:f>
      </x:c>
      <x:c r="F129" s="189" t="str">
        <x:f>IF(B129="","",IFERROR(INDEX('Task Master'!$K$5:$K$804,MATCH(B129,'Task Master'!$A$5:$A$804,0)),""))</x:f>
      </x:c>
      <x:c r="G129" s="190"/>
      <x:c r="H129" s="190"/>
      <x:c r="I129" s="191"/>
      <x:c r="J129" s="190"/>
      <x:c r="K129" s="190"/>
      <x:c r="L129" s="195"/>
      <x:c r="M129" s="190"/>
      <x:c r="N129" s="187"/>
      <x:c r="O129" s="192"/>
      <x:c r="P129" s="192"/>
      <x:c r="Q129" s="170" t="str">
        <x:f>IF(OR(A129="",B129=""),"",IF(A129=LOOKUP(2,1/($B$5:$B$704=B129),$A$5:$A$704),"Yes","No"))</x:f>
      </x:c>
    </x:row>
    <x:row r="130">
      <x:c r="A130" s="193"/>
      <x:c r="B130" s="187"/>
      <x:c r="C130" s="188" t="str">
        <x:f>IF(B130="","",IF(COUNTIF('Raw Decommissioning'!$B$2:$B$1000,B130)&gt;0,"Decommissioning",IF(COUNTIF('Raw Provisioning'!$B$2:$B$1000,B130)&gt;0,"Provisioning","Not in latest raw")))</x:f>
      </x:c>
      <x:c r="D130" s="188" t="str">
        <x:f>IF(B130="","",IFERROR(INDEX('Raw Decommissioning'!$E$2:$E$1000,MATCH(B130,'Raw Decommissioning'!$B$2:$B$1000,0)),IFERROR(INDEX('Raw Provisioning'!$E$2:$E$1000,MATCH(B130,'Raw Provisioning'!$B$2:$B$1000,0)),"Missing from latest raw")))</x:f>
      </x:c>
      <x:c r="E130" s="188" t="str">
        <x:f>IF(B130="","",IF(D130="completed","Completed in CSSP",IF(D130="executing","Active - Executing",IF(D130="processing","Ready to Assign",IF(D130="Missing from latest raw","Check Source","Not Managed - "&amp;D130)))))</x:f>
      </x:c>
      <x:c r="F130" s="189" t="str">
        <x:f>IF(B130="","",IFERROR(INDEX('Task Master'!$K$5:$K$804,MATCH(B130,'Task Master'!$A$5:$A$804,0)),""))</x:f>
      </x:c>
      <x:c r="G130" s="190"/>
      <x:c r="H130" s="190"/>
      <x:c r="I130" s="191"/>
      <x:c r="J130" s="190"/>
      <x:c r="K130" s="190"/>
      <x:c r="L130" s="195"/>
      <x:c r="M130" s="190"/>
      <x:c r="N130" s="187"/>
      <x:c r="O130" s="192"/>
      <x:c r="P130" s="192"/>
      <x:c r="Q130" s="170" t="str">
        <x:f>IF(OR(A130="",B130=""),"",IF(A130=LOOKUP(2,1/($B$5:$B$704=B130),$A$5:$A$704),"Yes","No"))</x:f>
      </x:c>
    </x:row>
    <x:row r="131">
      <x:c r="A131" s="193"/>
      <x:c r="B131" s="187"/>
      <x:c r="C131" s="188" t="str">
        <x:f>IF(B131="","",IF(COUNTIF('Raw Decommissioning'!$B$2:$B$1000,B131)&gt;0,"Decommissioning",IF(COUNTIF('Raw Provisioning'!$B$2:$B$1000,B131)&gt;0,"Provisioning","Not in latest raw")))</x:f>
      </x:c>
      <x:c r="D131" s="188" t="str">
        <x:f>IF(B131="","",IFERROR(INDEX('Raw Decommissioning'!$E$2:$E$1000,MATCH(B131,'Raw Decommissioning'!$B$2:$B$1000,0)),IFERROR(INDEX('Raw Provisioning'!$E$2:$E$1000,MATCH(B131,'Raw Provisioning'!$B$2:$B$1000,0)),"Missing from latest raw")))</x:f>
      </x:c>
      <x:c r="E131" s="188" t="str">
        <x:f>IF(B131="","",IF(D131="completed","Completed in CSSP",IF(D131="executing","Active - Executing",IF(D131="processing","Ready to Assign",IF(D131="Missing from latest raw","Check Source","Not Managed - "&amp;D131)))))</x:f>
      </x:c>
      <x:c r="F131" s="189" t="str">
        <x:f>IF(B131="","",IFERROR(INDEX('Task Master'!$K$5:$K$804,MATCH(B131,'Task Master'!$A$5:$A$804,0)),""))</x:f>
      </x:c>
      <x:c r="G131" s="190"/>
      <x:c r="H131" s="190"/>
      <x:c r="I131" s="191"/>
      <x:c r="J131" s="190"/>
      <x:c r="K131" s="190"/>
      <x:c r="L131" s="195"/>
      <x:c r="M131" s="190"/>
      <x:c r="N131" s="187"/>
      <x:c r="O131" s="192"/>
      <x:c r="P131" s="192"/>
      <x:c r="Q131" s="170" t="str">
        <x:f>IF(OR(A131="",B131=""),"",IF(A131=LOOKUP(2,1/($B$5:$B$704=B131),$A$5:$A$704),"Yes","No"))</x:f>
      </x:c>
    </x:row>
    <x:row r="132">
      <x:c r="A132" s="193"/>
      <x:c r="B132" s="187"/>
      <x:c r="C132" s="188" t="str">
        <x:f>IF(B132="","",IF(COUNTIF('Raw Decommissioning'!$B$2:$B$1000,B132)&gt;0,"Decommissioning",IF(COUNTIF('Raw Provisioning'!$B$2:$B$1000,B132)&gt;0,"Provisioning","Not in latest raw")))</x:f>
      </x:c>
      <x:c r="D132" s="188" t="str">
        <x:f>IF(B132="","",IFERROR(INDEX('Raw Decommissioning'!$E$2:$E$1000,MATCH(B132,'Raw Decommissioning'!$B$2:$B$1000,0)),IFERROR(INDEX('Raw Provisioning'!$E$2:$E$1000,MATCH(B132,'Raw Provisioning'!$B$2:$B$1000,0)),"Missing from latest raw")))</x:f>
      </x:c>
      <x:c r="E132" s="188" t="str">
        <x:f>IF(B132="","",IF(D132="completed","Completed in CSSP",IF(D132="executing","Active - Executing",IF(D132="processing","Ready to Assign",IF(D132="Missing from latest raw","Check Source","Not Managed - "&amp;D132)))))</x:f>
      </x:c>
      <x:c r="F132" s="189" t="str">
        <x:f>IF(B132="","",IFERROR(INDEX('Task Master'!$K$5:$K$804,MATCH(B132,'Task Master'!$A$5:$A$804,0)),""))</x:f>
      </x:c>
      <x:c r="G132" s="190"/>
      <x:c r="H132" s="190"/>
      <x:c r="I132" s="191"/>
      <x:c r="J132" s="190"/>
      <x:c r="K132" s="190"/>
      <x:c r="L132" s="195"/>
      <x:c r="M132" s="190"/>
      <x:c r="N132" s="187"/>
      <x:c r="O132" s="192"/>
      <x:c r="P132" s="192"/>
      <x:c r="Q132" s="170" t="str">
        <x:f>IF(OR(A132="",B132=""),"",IF(A132=LOOKUP(2,1/($B$5:$B$704=B132),$A$5:$A$704),"Yes","No"))</x:f>
      </x:c>
    </x:row>
    <x:row r="133">
      <x:c r="A133" s="193"/>
      <x:c r="B133" s="187"/>
      <x:c r="C133" s="188" t="str">
        <x:f>IF(B133="","",IF(COUNTIF('Raw Decommissioning'!$B$2:$B$1000,B133)&gt;0,"Decommissioning",IF(COUNTIF('Raw Provisioning'!$B$2:$B$1000,B133)&gt;0,"Provisioning","Not in latest raw")))</x:f>
      </x:c>
      <x:c r="D133" s="188" t="str">
        <x:f>IF(B133="","",IFERROR(INDEX('Raw Decommissioning'!$E$2:$E$1000,MATCH(B133,'Raw Decommissioning'!$B$2:$B$1000,0)),IFERROR(INDEX('Raw Provisioning'!$E$2:$E$1000,MATCH(B133,'Raw Provisioning'!$B$2:$B$1000,0)),"Missing from latest raw")))</x:f>
      </x:c>
      <x:c r="E133" s="188" t="str">
        <x:f>IF(B133="","",IF(D133="completed","Completed in CSSP",IF(D133="executing","Active - Executing",IF(D133="processing","Ready to Assign",IF(D133="Missing from latest raw","Check Source","Not Managed - "&amp;D133)))))</x:f>
      </x:c>
      <x:c r="F133" s="189" t="str">
        <x:f>IF(B133="","",IFERROR(INDEX('Task Master'!$K$5:$K$804,MATCH(B133,'Task Master'!$A$5:$A$804,0)),""))</x:f>
      </x:c>
      <x:c r="G133" s="190"/>
      <x:c r="H133" s="190"/>
      <x:c r="I133" s="191"/>
      <x:c r="J133" s="190"/>
      <x:c r="K133" s="190"/>
      <x:c r="L133" s="195"/>
      <x:c r="M133" s="190"/>
      <x:c r="N133" s="187"/>
      <x:c r="O133" s="192"/>
      <x:c r="P133" s="192"/>
      <x:c r="Q133" s="170" t="str">
        <x:f>IF(OR(A133="",B133=""),"",IF(A133=LOOKUP(2,1/($B$5:$B$704=B133),$A$5:$A$704),"Yes","No"))</x:f>
      </x:c>
    </x:row>
    <x:row r="134">
      <x:c r="A134" s="193"/>
      <x:c r="B134" s="187"/>
      <x:c r="C134" s="188" t="str">
        <x:f>IF(B134="","",IF(COUNTIF('Raw Decommissioning'!$B$2:$B$1000,B134)&gt;0,"Decommissioning",IF(COUNTIF('Raw Provisioning'!$B$2:$B$1000,B134)&gt;0,"Provisioning","Not in latest raw")))</x:f>
      </x:c>
      <x:c r="D134" s="188" t="str">
        <x:f>IF(B134="","",IFERROR(INDEX('Raw Decommissioning'!$E$2:$E$1000,MATCH(B134,'Raw Decommissioning'!$B$2:$B$1000,0)),IFERROR(INDEX('Raw Provisioning'!$E$2:$E$1000,MATCH(B134,'Raw Provisioning'!$B$2:$B$1000,0)),"Missing from latest raw")))</x:f>
      </x:c>
      <x:c r="E134" s="188" t="str">
        <x:f>IF(B134="","",IF(D134="completed","Completed in CSSP",IF(D134="executing","Active - Executing",IF(D134="processing","Ready to Assign",IF(D134="Missing from latest raw","Check Source","Not Managed - "&amp;D134)))))</x:f>
      </x:c>
      <x:c r="F134" s="189" t="str">
        <x:f>IF(B134="","",IFERROR(INDEX('Task Master'!$K$5:$K$804,MATCH(B134,'Task Master'!$A$5:$A$804,0)),""))</x:f>
      </x:c>
      <x:c r="G134" s="190"/>
      <x:c r="H134" s="190"/>
      <x:c r="I134" s="191"/>
      <x:c r="J134" s="190"/>
      <x:c r="K134" s="190"/>
      <x:c r="L134" s="195"/>
      <x:c r="M134" s="190"/>
      <x:c r="N134" s="187"/>
      <x:c r="O134" s="192"/>
      <x:c r="P134" s="192"/>
      <x:c r="Q134" s="170" t="str">
        <x:f>IF(OR(A134="",B134=""),"",IF(A134=LOOKUP(2,1/($B$5:$B$704=B134),$A$5:$A$704),"Yes","No"))</x:f>
      </x:c>
    </x:row>
    <x:row r="135">
      <x:c r="A135" s="193"/>
      <x:c r="B135" s="187"/>
      <x:c r="C135" s="188" t="str">
        <x:f>IF(B135="","",IF(COUNTIF('Raw Decommissioning'!$B$2:$B$1000,B135)&gt;0,"Decommissioning",IF(COUNTIF('Raw Provisioning'!$B$2:$B$1000,B135)&gt;0,"Provisioning","Not in latest raw")))</x:f>
      </x:c>
      <x:c r="D135" s="188" t="str">
        <x:f>IF(B135="","",IFERROR(INDEX('Raw Decommissioning'!$E$2:$E$1000,MATCH(B135,'Raw Decommissioning'!$B$2:$B$1000,0)),IFERROR(INDEX('Raw Provisioning'!$E$2:$E$1000,MATCH(B135,'Raw Provisioning'!$B$2:$B$1000,0)),"Missing from latest raw")))</x:f>
      </x:c>
      <x:c r="E135" s="188" t="str">
        <x:f>IF(B135="","",IF(D135="completed","Completed in CSSP",IF(D135="executing","Active - Executing",IF(D135="processing","Ready to Assign",IF(D135="Missing from latest raw","Check Source","Not Managed - "&amp;D135)))))</x:f>
      </x:c>
      <x:c r="F135" s="189" t="str">
        <x:f>IF(B135="","",IFERROR(INDEX('Task Master'!$K$5:$K$804,MATCH(B135,'Task Master'!$A$5:$A$804,0)),""))</x:f>
      </x:c>
      <x:c r="G135" s="190"/>
      <x:c r="H135" s="190"/>
      <x:c r="I135" s="191"/>
      <x:c r="J135" s="190"/>
      <x:c r="K135" s="190"/>
      <x:c r="L135" s="195"/>
      <x:c r="M135" s="190"/>
      <x:c r="N135" s="187"/>
      <x:c r="O135" s="192"/>
      <x:c r="P135" s="192"/>
      <x:c r="Q135" s="170" t="str">
        <x:f>IF(OR(A135="",B135=""),"",IF(A135=LOOKUP(2,1/($B$5:$B$704=B135),$A$5:$A$704),"Yes","No"))</x:f>
      </x:c>
    </x:row>
    <x:row r="136">
      <x:c r="A136" s="193"/>
      <x:c r="B136" s="187"/>
      <x:c r="C136" s="188" t="str">
        <x:f>IF(B136="","",IF(COUNTIF('Raw Decommissioning'!$B$2:$B$1000,B136)&gt;0,"Decommissioning",IF(COUNTIF('Raw Provisioning'!$B$2:$B$1000,B136)&gt;0,"Provisioning","Not in latest raw")))</x:f>
      </x:c>
      <x:c r="D136" s="188" t="str">
        <x:f>IF(B136="","",IFERROR(INDEX('Raw Decommissioning'!$E$2:$E$1000,MATCH(B136,'Raw Decommissioning'!$B$2:$B$1000,0)),IFERROR(INDEX('Raw Provisioning'!$E$2:$E$1000,MATCH(B136,'Raw Provisioning'!$B$2:$B$1000,0)),"Missing from latest raw")))</x:f>
      </x:c>
      <x:c r="E136" s="188" t="str">
        <x:f>IF(B136="","",IF(D136="completed","Completed in CSSP",IF(D136="executing","Active - Executing",IF(D136="processing","Ready to Assign",IF(D136="Missing from latest raw","Check Source","Not Managed - "&amp;D136)))))</x:f>
      </x:c>
      <x:c r="F136" s="189" t="str">
        <x:f>IF(B136="","",IFERROR(INDEX('Task Master'!$K$5:$K$804,MATCH(B136,'Task Master'!$A$5:$A$804,0)),""))</x:f>
      </x:c>
      <x:c r="G136" s="190"/>
      <x:c r="H136" s="190"/>
      <x:c r="I136" s="191"/>
      <x:c r="J136" s="190"/>
      <x:c r="K136" s="190"/>
      <x:c r="L136" s="195"/>
      <x:c r="M136" s="190"/>
      <x:c r="N136" s="187"/>
      <x:c r="O136" s="192"/>
      <x:c r="P136" s="192"/>
      <x:c r="Q136" s="170" t="str">
        <x:f>IF(OR(A136="",B136=""),"",IF(A136=LOOKUP(2,1/($B$5:$B$704=B136),$A$5:$A$704),"Yes","No"))</x:f>
      </x:c>
    </x:row>
    <x:row r="137">
      <x:c r="A137" s="193"/>
      <x:c r="B137" s="187"/>
      <x:c r="C137" s="188" t="str">
        <x:f>IF(B137="","",IF(COUNTIF('Raw Decommissioning'!$B$2:$B$1000,B137)&gt;0,"Decommissioning",IF(COUNTIF('Raw Provisioning'!$B$2:$B$1000,B137)&gt;0,"Provisioning","Not in latest raw")))</x:f>
      </x:c>
      <x:c r="D137" s="188" t="str">
        <x:f>IF(B137="","",IFERROR(INDEX('Raw Decommissioning'!$E$2:$E$1000,MATCH(B137,'Raw Decommissioning'!$B$2:$B$1000,0)),IFERROR(INDEX('Raw Provisioning'!$E$2:$E$1000,MATCH(B137,'Raw Provisioning'!$B$2:$B$1000,0)),"Missing from latest raw")))</x:f>
      </x:c>
      <x:c r="E137" s="188" t="str">
        <x:f>IF(B137="","",IF(D137="completed","Completed in CSSP",IF(D137="executing","Active - Executing",IF(D137="processing","Ready to Assign",IF(D137="Missing from latest raw","Check Source","Not Managed - "&amp;D137)))))</x:f>
      </x:c>
      <x:c r="F137" s="189" t="str">
        <x:f>IF(B137="","",IFERROR(INDEX('Task Master'!$K$5:$K$804,MATCH(B137,'Task Master'!$A$5:$A$804,0)),""))</x:f>
      </x:c>
      <x:c r="G137" s="190"/>
      <x:c r="H137" s="190"/>
      <x:c r="I137" s="191"/>
      <x:c r="J137" s="190"/>
      <x:c r="K137" s="190"/>
      <x:c r="L137" s="195"/>
      <x:c r="M137" s="190"/>
      <x:c r="N137" s="187"/>
      <x:c r="O137" s="192"/>
      <x:c r="P137" s="192"/>
      <x:c r="Q137" s="170" t="str">
        <x:f>IF(OR(A137="",B137=""),"",IF(A137=LOOKUP(2,1/($B$5:$B$704=B137),$A$5:$A$704),"Yes","No"))</x:f>
      </x:c>
    </x:row>
    <x:row r="138">
      <x:c r="A138" s="193"/>
      <x:c r="B138" s="187"/>
      <x:c r="C138" s="188" t="str">
        <x:f>IF(B138="","",IF(COUNTIF('Raw Decommissioning'!$B$2:$B$1000,B138)&gt;0,"Decommissioning",IF(COUNTIF('Raw Provisioning'!$B$2:$B$1000,B138)&gt;0,"Provisioning","Not in latest raw")))</x:f>
      </x:c>
      <x:c r="D138" s="188" t="str">
        <x:f>IF(B138="","",IFERROR(INDEX('Raw Decommissioning'!$E$2:$E$1000,MATCH(B138,'Raw Decommissioning'!$B$2:$B$1000,0)),IFERROR(INDEX('Raw Provisioning'!$E$2:$E$1000,MATCH(B138,'Raw Provisioning'!$B$2:$B$1000,0)),"Missing from latest raw")))</x:f>
      </x:c>
      <x:c r="E138" s="188" t="str">
        <x:f>IF(B138="","",IF(D138="completed","Completed in CSSP",IF(D138="executing","Active - Executing",IF(D138="processing","Ready to Assign",IF(D138="Missing from latest raw","Check Source","Not Managed - "&amp;D138)))))</x:f>
      </x:c>
      <x:c r="F138" s="189" t="str">
        <x:f>IF(B138="","",IFERROR(INDEX('Task Master'!$K$5:$K$804,MATCH(B138,'Task Master'!$A$5:$A$804,0)),""))</x:f>
      </x:c>
      <x:c r="G138" s="190"/>
      <x:c r="H138" s="190"/>
      <x:c r="I138" s="191"/>
      <x:c r="J138" s="190"/>
      <x:c r="K138" s="190"/>
      <x:c r="L138" s="195"/>
      <x:c r="M138" s="190"/>
      <x:c r="N138" s="187"/>
      <x:c r="O138" s="192"/>
      <x:c r="P138" s="192"/>
      <x:c r="Q138" s="170" t="str">
        <x:f>IF(OR(A138="",B138=""),"",IF(A138=LOOKUP(2,1/($B$5:$B$704=B138),$A$5:$A$704),"Yes","No"))</x:f>
      </x:c>
    </x:row>
    <x:row r="139">
      <x:c r="A139" s="193"/>
      <x:c r="B139" s="187"/>
      <x:c r="C139" s="188" t="str">
        <x:f>IF(B139="","",IF(COUNTIF('Raw Decommissioning'!$B$2:$B$1000,B139)&gt;0,"Decommissioning",IF(COUNTIF('Raw Provisioning'!$B$2:$B$1000,B139)&gt;0,"Provisioning","Not in latest raw")))</x:f>
      </x:c>
      <x:c r="D139" s="188" t="str">
        <x:f>IF(B139="","",IFERROR(INDEX('Raw Decommissioning'!$E$2:$E$1000,MATCH(B139,'Raw Decommissioning'!$B$2:$B$1000,0)),IFERROR(INDEX('Raw Provisioning'!$E$2:$E$1000,MATCH(B139,'Raw Provisioning'!$B$2:$B$1000,0)),"Missing from latest raw")))</x:f>
      </x:c>
      <x:c r="E139" s="188" t="str">
        <x:f>IF(B139="","",IF(D139="completed","Completed in CSSP",IF(D139="executing","Active - Executing",IF(D139="processing","Ready to Assign",IF(D139="Missing from latest raw","Check Source","Not Managed - "&amp;D139)))))</x:f>
      </x:c>
      <x:c r="F139" s="189" t="str">
        <x:f>IF(B139="","",IFERROR(INDEX('Task Master'!$K$5:$K$804,MATCH(B139,'Task Master'!$A$5:$A$804,0)),""))</x:f>
      </x:c>
      <x:c r="G139" s="190"/>
      <x:c r="H139" s="190"/>
      <x:c r="I139" s="191"/>
      <x:c r="J139" s="190"/>
      <x:c r="K139" s="190"/>
      <x:c r="L139" s="195"/>
      <x:c r="M139" s="190"/>
      <x:c r="N139" s="187"/>
      <x:c r="O139" s="192"/>
      <x:c r="P139" s="192"/>
      <x:c r="Q139" s="170" t="str">
        <x:f>IF(OR(A139="",B139=""),"",IF(A139=LOOKUP(2,1/($B$5:$B$704=B139),$A$5:$A$704),"Yes","No"))</x:f>
      </x:c>
    </x:row>
    <x:row r="140">
      <x:c r="A140" s="193"/>
      <x:c r="B140" s="187"/>
      <x:c r="C140" s="188" t="str">
        <x:f>IF(B140="","",IF(COUNTIF('Raw Decommissioning'!$B$2:$B$1000,B140)&gt;0,"Decommissioning",IF(COUNTIF('Raw Provisioning'!$B$2:$B$1000,B140)&gt;0,"Provisioning","Not in latest raw")))</x:f>
      </x:c>
      <x:c r="D140" s="188" t="str">
        <x:f>IF(B140="","",IFERROR(INDEX('Raw Decommissioning'!$E$2:$E$1000,MATCH(B140,'Raw Decommissioning'!$B$2:$B$1000,0)),IFERROR(INDEX('Raw Provisioning'!$E$2:$E$1000,MATCH(B140,'Raw Provisioning'!$B$2:$B$1000,0)),"Missing from latest raw")))</x:f>
      </x:c>
      <x:c r="E140" s="188" t="str">
        <x:f>IF(B140="","",IF(D140="completed","Completed in CSSP",IF(D140="executing","Active - Executing",IF(D140="processing","Ready to Assign",IF(D140="Missing from latest raw","Check Source","Not Managed - "&amp;D140)))))</x:f>
      </x:c>
      <x:c r="F140" s="189" t="str">
        <x:f>IF(B140="","",IFERROR(INDEX('Task Master'!$K$5:$K$804,MATCH(B140,'Task Master'!$A$5:$A$804,0)),""))</x:f>
      </x:c>
      <x:c r="G140" s="190"/>
      <x:c r="H140" s="190"/>
      <x:c r="I140" s="191"/>
      <x:c r="J140" s="190"/>
      <x:c r="K140" s="190"/>
      <x:c r="L140" s="195"/>
      <x:c r="M140" s="190"/>
      <x:c r="N140" s="187"/>
      <x:c r="O140" s="192"/>
      <x:c r="P140" s="192"/>
      <x:c r="Q140" s="170" t="str">
        <x:f>IF(OR(A140="",B140=""),"",IF(A140=LOOKUP(2,1/($B$5:$B$704=B140),$A$5:$A$704),"Yes","No"))</x:f>
      </x:c>
    </x:row>
    <x:row r="141">
      <x:c r="A141" s="193"/>
      <x:c r="B141" s="187"/>
      <x:c r="C141" s="188" t="str">
        <x:f>IF(B141="","",IF(COUNTIF('Raw Decommissioning'!$B$2:$B$1000,B141)&gt;0,"Decommissioning",IF(COUNTIF('Raw Provisioning'!$B$2:$B$1000,B141)&gt;0,"Provisioning","Not in latest raw")))</x:f>
      </x:c>
      <x:c r="D141" s="188" t="str">
        <x:f>IF(B141="","",IFERROR(INDEX('Raw Decommissioning'!$E$2:$E$1000,MATCH(B141,'Raw Decommissioning'!$B$2:$B$1000,0)),IFERROR(INDEX('Raw Provisioning'!$E$2:$E$1000,MATCH(B141,'Raw Provisioning'!$B$2:$B$1000,0)),"Missing from latest raw")))</x:f>
      </x:c>
      <x:c r="E141" s="188" t="str">
        <x:f>IF(B141="","",IF(D141="completed","Completed in CSSP",IF(D141="executing","Active - Executing",IF(D141="processing","Ready to Assign",IF(D141="Missing from latest raw","Check Source","Not Managed - "&amp;D141)))))</x:f>
      </x:c>
      <x:c r="F141" s="189" t="str">
        <x:f>IF(B141="","",IFERROR(INDEX('Task Master'!$K$5:$K$804,MATCH(B141,'Task Master'!$A$5:$A$804,0)),""))</x:f>
      </x:c>
      <x:c r="G141" s="190"/>
      <x:c r="H141" s="190"/>
      <x:c r="I141" s="191"/>
      <x:c r="J141" s="190"/>
      <x:c r="K141" s="190"/>
      <x:c r="L141" s="195"/>
      <x:c r="M141" s="190"/>
      <x:c r="N141" s="187"/>
      <x:c r="O141" s="192"/>
      <x:c r="P141" s="192"/>
      <x:c r="Q141" s="170" t="str">
        <x:f>IF(OR(A141="",B141=""),"",IF(A141=LOOKUP(2,1/($B$5:$B$704=B141),$A$5:$A$704),"Yes","No"))</x:f>
      </x:c>
    </x:row>
    <x:row r="142">
      <x:c r="A142" s="193"/>
      <x:c r="B142" s="187"/>
      <x:c r="C142" s="188" t="str">
        <x:f>IF(B142="","",IF(COUNTIF('Raw Decommissioning'!$B$2:$B$1000,B142)&gt;0,"Decommissioning",IF(COUNTIF('Raw Provisioning'!$B$2:$B$1000,B142)&gt;0,"Provisioning","Not in latest raw")))</x:f>
      </x:c>
      <x:c r="D142" s="188" t="str">
        <x:f>IF(B142="","",IFERROR(INDEX('Raw Decommissioning'!$E$2:$E$1000,MATCH(B142,'Raw Decommissioning'!$B$2:$B$1000,0)),IFERROR(INDEX('Raw Provisioning'!$E$2:$E$1000,MATCH(B142,'Raw Provisioning'!$B$2:$B$1000,0)),"Missing from latest raw")))</x:f>
      </x:c>
      <x:c r="E142" s="188" t="str">
        <x:f>IF(B142="","",IF(D142="completed","Completed in CSSP",IF(D142="executing","Active - Executing",IF(D142="processing","Ready to Assign",IF(D142="Missing from latest raw","Check Source","Not Managed - "&amp;D142)))))</x:f>
      </x:c>
      <x:c r="F142" s="189" t="str">
        <x:f>IF(B142="","",IFERROR(INDEX('Task Master'!$K$5:$K$804,MATCH(B142,'Task Master'!$A$5:$A$804,0)),""))</x:f>
      </x:c>
      <x:c r="G142" s="190"/>
      <x:c r="H142" s="190"/>
      <x:c r="I142" s="191"/>
      <x:c r="J142" s="190"/>
      <x:c r="K142" s="190"/>
      <x:c r="L142" s="195"/>
      <x:c r="M142" s="190"/>
      <x:c r="N142" s="187"/>
      <x:c r="O142" s="192"/>
      <x:c r="P142" s="192"/>
      <x:c r="Q142" s="170" t="str">
        <x:f>IF(OR(A142="",B142=""),"",IF(A142=LOOKUP(2,1/($B$5:$B$704=B142),$A$5:$A$704),"Yes","No"))</x:f>
      </x:c>
    </x:row>
    <x:row r="143">
      <x:c r="A143" s="193"/>
      <x:c r="B143" s="187"/>
      <x:c r="C143" s="188" t="str">
        <x:f>IF(B143="","",IF(COUNTIF('Raw Decommissioning'!$B$2:$B$1000,B143)&gt;0,"Decommissioning",IF(COUNTIF('Raw Provisioning'!$B$2:$B$1000,B143)&gt;0,"Provisioning","Not in latest raw")))</x:f>
      </x:c>
      <x:c r="D143" s="188" t="str">
        <x:f>IF(B143="","",IFERROR(INDEX('Raw Decommissioning'!$E$2:$E$1000,MATCH(B143,'Raw Decommissioning'!$B$2:$B$1000,0)),IFERROR(INDEX('Raw Provisioning'!$E$2:$E$1000,MATCH(B143,'Raw Provisioning'!$B$2:$B$1000,0)),"Missing from latest raw")))</x:f>
      </x:c>
      <x:c r="E143" s="188" t="str">
        <x:f>IF(B143="","",IF(D143="completed","Completed in CSSP",IF(D143="executing","Active - Executing",IF(D143="processing","Ready to Assign",IF(D143="Missing from latest raw","Check Source","Not Managed - "&amp;D143)))))</x:f>
      </x:c>
      <x:c r="F143" s="189" t="str">
        <x:f>IF(B143="","",IFERROR(INDEX('Task Master'!$K$5:$K$804,MATCH(B143,'Task Master'!$A$5:$A$804,0)),""))</x:f>
      </x:c>
      <x:c r="G143" s="190"/>
      <x:c r="H143" s="190"/>
      <x:c r="I143" s="191"/>
      <x:c r="J143" s="190"/>
      <x:c r="K143" s="190"/>
      <x:c r="L143" s="195"/>
      <x:c r="M143" s="190"/>
      <x:c r="N143" s="187"/>
      <x:c r="O143" s="192"/>
      <x:c r="P143" s="192"/>
      <x:c r="Q143" s="170" t="str">
        <x:f>IF(OR(A143="",B143=""),"",IF(A143=LOOKUP(2,1/($B$5:$B$704=B143),$A$5:$A$704),"Yes","No"))</x:f>
      </x:c>
    </x:row>
    <x:row r="144">
      <x:c r="A144" s="193"/>
      <x:c r="B144" s="187"/>
      <x:c r="C144" s="188" t="str">
        <x:f>IF(B144="","",IF(COUNTIF('Raw Decommissioning'!$B$2:$B$1000,B144)&gt;0,"Decommissioning",IF(COUNTIF('Raw Provisioning'!$B$2:$B$1000,B144)&gt;0,"Provisioning","Not in latest raw")))</x:f>
      </x:c>
      <x:c r="D144" s="188" t="str">
        <x:f>IF(B144="","",IFERROR(INDEX('Raw Decommissioning'!$E$2:$E$1000,MATCH(B144,'Raw Decommissioning'!$B$2:$B$1000,0)),IFERROR(INDEX('Raw Provisioning'!$E$2:$E$1000,MATCH(B144,'Raw Provisioning'!$B$2:$B$1000,0)),"Missing from latest raw")))</x:f>
      </x:c>
      <x:c r="E144" s="188" t="str">
        <x:f>IF(B144="","",IF(D144="completed","Completed in CSSP",IF(D144="executing","Active - Executing",IF(D144="processing","Ready to Assign",IF(D144="Missing from latest raw","Check Source","Not Managed - "&amp;D144)))))</x:f>
      </x:c>
      <x:c r="F144" s="189" t="str">
        <x:f>IF(B144="","",IFERROR(INDEX('Task Master'!$K$5:$K$804,MATCH(B144,'Task Master'!$A$5:$A$804,0)),""))</x:f>
      </x:c>
      <x:c r="G144" s="190"/>
      <x:c r="H144" s="190"/>
      <x:c r="I144" s="191"/>
      <x:c r="J144" s="190"/>
      <x:c r="K144" s="190"/>
      <x:c r="L144" s="195"/>
      <x:c r="M144" s="190"/>
      <x:c r="N144" s="187"/>
      <x:c r="O144" s="192"/>
      <x:c r="P144" s="192"/>
      <x:c r="Q144" s="170" t="str">
        <x:f>IF(OR(A144="",B144=""),"",IF(A144=LOOKUP(2,1/($B$5:$B$704=B144),$A$5:$A$704),"Yes","No"))</x:f>
      </x:c>
    </x:row>
    <x:row r="145">
      <x:c r="A145" s="193"/>
      <x:c r="B145" s="187"/>
      <x:c r="C145" s="188" t="str">
        <x:f>IF(B145="","",IF(COUNTIF('Raw Decommissioning'!$B$2:$B$1000,B145)&gt;0,"Decommissioning",IF(COUNTIF('Raw Provisioning'!$B$2:$B$1000,B145)&gt;0,"Provisioning","Not in latest raw")))</x:f>
      </x:c>
      <x:c r="D145" s="188" t="str">
        <x:f>IF(B145="","",IFERROR(INDEX('Raw Decommissioning'!$E$2:$E$1000,MATCH(B145,'Raw Decommissioning'!$B$2:$B$1000,0)),IFERROR(INDEX('Raw Provisioning'!$E$2:$E$1000,MATCH(B145,'Raw Provisioning'!$B$2:$B$1000,0)),"Missing from latest raw")))</x:f>
      </x:c>
      <x:c r="E145" s="188" t="str">
        <x:f>IF(B145="","",IF(D145="completed","Completed in CSSP",IF(D145="executing","Active - Executing",IF(D145="processing","Ready to Assign",IF(D145="Missing from latest raw","Check Source","Not Managed - "&amp;D145)))))</x:f>
      </x:c>
      <x:c r="F145" s="189" t="str">
        <x:f>IF(B145="","",IFERROR(INDEX('Task Master'!$K$5:$K$804,MATCH(B145,'Task Master'!$A$5:$A$804,0)),""))</x:f>
      </x:c>
      <x:c r="G145" s="190"/>
      <x:c r="H145" s="190"/>
      <x:c r="I145" s="191"/>
      <x:c r="J145" s="190"/>
      <x:c r="K145" s="190"/>
      <x:c r="L145" s="195"/>
      <x:c r="M145" s="190"/>
      <x:c r="N145" s="187"/>
      <x:c r="O145" s="192"/>
      <x:c r="P145" s="192"/>
      <x:c r="Q145" s="170" t="str">
        <x:f>IF(OR(A145="",B145=""),"",IF(A145=LOOKUP(2,1/($B$5:$B$704=B145),$A$5:$A$704),"Yes","No"))</x:f>
      </x:c>
    </x:row>
    <x:row r="146">
      <x:c r="A146" s="193"/>
      <x:c r="B146" s="187"/>
      <x:c r="C146" s="188" t="str">
        <x:f>IF(B146="","",IF(COUNTIF('Raw Decommissioning'!$B$2:$B$1000,B146)&gt;0,"Decommissioning",IF(COUNTIF('Raw Provisioning'!$B$2:$B$1000,B146)&gt;0,"Provisioning","Not in latest raw")))</x:f>
      </x:c>
      <x:c r="D146" s="188" t="str">
        <x:f>IF(B146="","",IFERROR(INDEX('Raw Decommissioning'!$E$2:$E$1000,MATCH(B146,'Raw Decommissioning'!$B$2:$B$1000,0)),IFERROR(INDEX('Raw Provisioning'!$E$2:$E$1000,MATCH(B146,'Raw Provisioning'!$B$2:$B$1000,0)),"Missing from latest raw")))</x:f>
      </x:c>
      <x:c r="E146" s="188" t="str">
        <x:f>IF(B146="","",IF(D146="completed","Completed in CSSP",IF(D146="executing","Active - Executing",IF(D146="processing","Ready to Assign",IF(D146="Missing from latest raw","Check Source","Not Managed - "&amp;D146)))))</x:f>
      </x:c>
      <x:c r="F146" s="189" t="str">
        <x:f>IF(B146="","",IFERROR(INDEX('Task Master'!$K$5:$K$804,MATCH(B146,'Task Master'!$A$5:$A$804,0)),""))</x:f>
      </x:c>
      <x:c r="G146" s="190"/>
      <x:c r="H146" s="190"/>
      <x:c r="I146" s="191"/>
      <x:c r="J146" s="190"/>
      <x:c r="K146" s="190"/>
      <x:c r="L146" s="195"/>
      <x:c r="M146" s="190"/>
      <x:c r="N146" s="187"/>
      <x:c r="O146" s="192"/>
      <x:c r="P146" s="192"/>
      <x:c r="Q146" s="170" t="str">
        <x:f>IF(OR(A146="",B146=""),"",IF(A146=LOOKUP(2,1/($B$5:$B$704=B146),$A$5:$A$704),"Yes","No"))</x:f>
      </x:c>
    </x:row>
    <x:row r="147">
      <x:c r="A147" s="193"/>
      <x:c r="B147" s="187"/>
      <x:c r="C147" s="188" t="str">
        <x:f>IF(B147="","",IF(COUNTIF('Raw Decommissioning'!$B$2:$B$1000,B147)&gt;0,"Decommissioning",IF(COUNTIF('Raw Provisioning'!$B$2:$B$1000,B147)&gt;0,"Provisioning","Not in latest raw")))</x:f>
      </x:c>
      <x:c r="D147" s="188" t="str">
        <x:f>IF(B147="","",IFERROR(INDEX('Raw Decommissioning'!$E$2:$E$1000,MATCH(B147,'Raw Decommissioning'!$B$2:$B$1000,0)),IFERROR(INDEX('Raw Provisioning'!$E$2:$E$1000,MATCH(B147,'Raw Provisioning'!$B$2:$B$1000,0)),"Missing from latest raw")))</x:f>
      </x:c>
      <x:c r="E147" s="188" t="str">
        <x:f>IF(B147="","",IF(D147="completed","Completed in CSSP",IF(D147="executing","Active - Executing",IF(D147="processing","Ready to Assign",IF(D147="Missing from latest raw","Check Source","Not Managed - "&amp;D147)))))</x:f>
      </x:c>
      <x:c r="F147" s="189" t="str">
        <x:f>IF(B147="","",IFERROR(INDEX('Task Master'!$K$5:$K$804,MATCH(B147,'Task Master'!$A$5:$A$804,0)),""))</x:f>
      </x:c>
      <x:c r="G147" s="190"/>
      <x:c r="H147" s="190"/>
      <x:c r="I147" s="191"/>
      <x:c r="J147" s="190"/>
      <x:c r="K147" s="190"/>
      <x:c r="L147" s="195"/>
      <x:c r="M147" s="190"/>
      <x:c r="N147" s="187"/>
      <x:c r="O147" s="192"/>
      <x:c r="P147" s="192"/>
      <x:c r="Q147" s="170" t="str">
        <x:f>IF(OR(A147="",B147=""),"",IF(A147=LOOKUP(2,1/($B$5:$B$704=B147),$A$5:$A$704),"Yes","No"))</x:f>
      </x:c>
    </x:row>
    <x:row r="148">
      <x:c r="A148" s="193"/>
      <x:c r="B148" s="187"/>
      <x:c r="C148" s="188" t="str">
        <x:f>IF(B148="","",IF(COUNTIF('Raw Decommissioning'!$B$2:$B$1000,B148)&gt;0,"Decommissioning",IF(COUNTIF('Raw Provisioning'!$B$2:$B$1000,B148)&gt;0,"Provisioning","Not in latest raw")))</x:f>
      </x:c>
      <x:c r="D148" s="188" t="str">
        <x:f>IF(B148="","",IFERROR(INDEX('Raw Decommissioning'!$E$2:$E$1000,MATCH(B148,'Raw Decommissioning'!$B$2:$B$1000,0)),IFERROR(INDEX('Raw Provisioning'!$E$2:$E$1000,MATCH(B148,'Raw Provisioning'!$B$2:$B$1000,0)),"Missing from latest raw")))</x:f>
      </x:c>
      <x:c r="E148" s="188" t="str">
        <x:f>IF(B148="","",IF(D148="completed","Completed in CSSP",IF(D148="executing","Active - Executing",IF(D148="processing","Ready to Assign",IF(D148="Missing from latest raw","Check Source","Not Managed - "&amp;D148)))))</x:f>
      </x:c>
      <x:c r="F148" s="189" t="str">
        <x:f>IF(B148="","",IFERROR(INDEX('Task Master'!$K$5:$K$804,MATCH(B148,'Task Master'!$A$5:$A$804,0)),""))</x:f>
      </x:c>
      <x:c r="G148" s="190"/>
      <x:c r="H148" s="190"/>
      <x:c r="I148" s="191"/>
      <x:c r="J148" s="190"/>
      <x:c r="K148" s="190"/>
      <x:c r="L148" s="195"/>
      <x:c r="M148" s="190"/>
      <x:c r="N148" s="187"/>
      <x:c r="O148" s="192"/>
      <x:c r="P148" s="192"/>
      <x:c r="Q148" s="170" t="str">
        <x:f>IF(OR(A148="",B148=""),"",IF(A148=LOOKUP(2,1/($B$5:$B$704=B148),$A$5:$A$704),"Yes","No"))</x:f>
      </x:c>
    </x:row>
    <x:row r="149">
      <x:c r="A149" s="193"/>
      <x:c r="B149" s="187"/>
      <x:c r="C149" s="188" t="str">
        <x:f>IF(B149="","",IF(COUNTIF('Raw Decommissioning'!$B$2:$B$1000,B149)&gt;0,"Decommissioning",IF(COUNTIF('Raw Provisioning'!$B$2:$B$1000,B149)&gt;0,"Provisioning","Not in latest raw")))</x:f>
      </x:c>
      <x:c r="D149" s="188" t="str">
        <x:f>IF(B149="","",IFERROR(INDEX('Raw Decommissioning'!$E$2:$E$1000,MATCH(B149,'Raw Decommissioning'!$B$2:$B$1000,0)),IFERROR(INDEX('Raw Provisioning'!$E$2:$E$1000,MATCH(B149,'Raw Provisioning'!$B$2:$B$1000,0)),"Missing from latest raw")))</x:f>
      </x:c>
      <x:c r="E149" s="188" t="str">
        <x:f>IF(B149="","",IF(D149="completed","Completed in CSSP",IF(D149="executing","Active - Executing",IF(D149="processing","Ready to Assign",IF(D149="Missing from latest raw","Check Source","Not Managed - "&amp;D149)))))</x:f>
      </x:c>
      <x:c r="F149" s="189" t="str">
        <x:f>IF(B149="","",IFERROR(INDEX('Task Master'!$K$5:$K$804,MATCH(B149,'Task Master'!$A$5:$A$804,0)),""))</x:f>
      </x:c>
      <x:c r="G149" s="190"/>
      <x:c r="H149" s="190"/>
      <x:c r="I149" s="191"/>
      <x:c r="J149" s="190"/>
      <x:c r="K149" s="190"/>
      <x:c r="L149" s="195"/>
      <x:c r="M149" s="190"/>
      <x:c r="N149" s="187"/>
      <x:c r="O149" s="192"/>
      <x:c r="P149" s="192"/>
      <x:c r="Q149" s="170" t="str">
        <x:f>IF(OR(A149="",B149=""),"",IF(A149=LOOKUP(2,1/($B$5:$B$704=B149),$A$5:$A$704),"Yes","No"))</x:f>
      </x:c>
    </x:row>
    <x:row r="150">
      <x:c r="A150" s="193"/>
      <x:c r="B150" s="187"/>
      <x:c r="C150" s="188" t="str">
        <x:f>IF(B150="","",IF(COUNTIF('Raw Decommissioning'!$B$2:$B$1000,B150)&gt;0,"Decommissioning",IF(COUNTIF('Raw Provisioning'!$B$2:$B$1000,B150)&gt;0,"Provisioning","Not in latest raw")))</x:f>
      </x:c>
      <x:c r="D150" s="188" t="str">
        <x:f>IF(B150="","",IFERROR(INDEX('Raw Decommissioning'!$E$2:$E$1000,MATCH(B150,'Raw Decommissioning'!$B$2:$B$1000,0)),IFERROR(INDEX('Raw Provisioning'!$E$2:$E$1000,MATCH(B150,'Raw Provisioning'!$B$2:$B$1000,0)),"Missing from latest raw")))</x:f>
      </x:c>
      <x:c r="E150" s="188" t="str">
        <x:f>IF(B150="","",IF(D150="completed","Completed in CSSP",IF(D150="executing","Active - Executing",IF(D150="processing","Ready to Assign",IF(D150="Missing from latest raw","Check Source","Not Managed - "&amp;D150)))))</x:f>
      </x:c>
      <x:c r="F150" s="189" t="str">
        <x:f>IF(B150="","",IFERROR(INDEX('Task Master'!$K$5:$K$804,MATCH(B150,'Task Master'!$A$5:$A$804,0)),""))</x:f>
      </x:c>
      <x:c r="G150" s="190"/>
      <x:c r="H150" s="190"/>
      <x:c r="I150" s="191"/>
      <x:c r="J150" s="190"/>
      <x:c r="K150" s="190"/>
      <x:c r="L150" s="195"/>
      <x:c r="M150" s="190"/>
      <x:c r="N150" s="187"/>
      <x:c r="O150" s="192"/>
      <x:c r="P150" s="192"/>
      <x:c r="Q150" s="170" t="str">
        <x:f>IF(OR(A150="",B150=""),"",IF(A150=LOOKUP(2,1/($B$5:$B$704=B150),$A$5:$A$704),"Yes","No"))</x:f>
      </x:c>
    </x:row>
    <x:row r="151">
      <x:c r="A151" s="193"/>
      <x:c r="B151" s="187"/>
      <x:c r="C151" s="188" t="str">
        <x:f>IF(B151="","",IF(COUNTIF('Raw Decommissioning'!$B$2:$B$1000,B151)&gt;0,"Decommissioning",IF(COUNTIF('Raw Provisioning'!$B$2:$B$1000,B151)&gt;0,"Provisioning","Not in latest raw")))</x:f>
      </x:c>
      <x:c r="D151" s="188" t="str">
        <x:f>IF(B151="","",IFERROR(INDEX('Raw Decommissioning'!$E$2:$E$1000,MATCH(B151,'Raw Decommissioning'!$B$2:$B$1000,0)),IFERROR(INDEX('Raw Provisioning'!$E$2:$E$1000,MATCH(B151,'Raw Provisioning'!$B$2:$B$1000,0)),"Missing from latest raw")))</x:f>
      </x:c>
      <x:c r="E151" s="188" t="str">
        <x:f>IF(B151="","",IF(D151="completed","Completed in CSSP",IF(D151="executing","Active - Executing",IF(D151="processing","Ready to Assign",IF(D151="Missing from latest raw","Check Source","Not Managed - "&amp;D151)))))</x:f>
      </x:c>
      <x:c r="F151" s="189" t="str">
        <x:f>IF(B151="","",IFERROR(INDEX('Task Master'!$K$5:$K$804,MATCH(B151,'Task Master'!$A$5:$A$804,0)),""))</x:f>
      </x:c>
      <x:c r="G151" s="190"/>
      <x:c r="H151" s="190"/>
      <x:c r="I151" s="191"/>
      <x:c r="J151" s="190"/>
      <x:c r="K151" s="190"/>
      <x:c r="L151" s="195"/>
      <x:c r="M151" s="190"/>
      <x:c r="N151" s="187"/>
      <x:c r="O151" s="192"/>
      <x:c r="P151" s="192"/>
      <x:c r="Q151" s="170" t="str">
        <x:f>IF(OR(A151="",B151=""),"",IF(A151=LOOKUP(2,1/($B$5:$B$704=B151),$A$5:$A$704),"Yes","No"))</x:f>
      </x:c>
    </x:row>
    <x:row r="152">
      <x:c r="A152" s="193"/>
      <x:c r="B152" s="187"/>
      <x:c r="C152" s="188" t="str">
        <x:f>IF(B152="","",IF(COUNTIF('Raw Decommissioning'!$B$2:$B$1000,B152)&gt;0,"Decommissioning",IF(COUNTIF('Raw Provisioning'!$B$2:$B$1000,B152)&gt;0,"Provisioning","Not in latest raw")))</x:f>
      </x:c>
      <x:c r="D152" s="188" t="str">
        <x:f>IF(B152="","",IFERROR(INDEX('Raw Decommissioning'!$E$2:$E$1000,MATCH(B152,'Raw Decommissioning'!$B$2:$B$1000,0)),IFERROR(INDEX('Raw Provisioning'!$E$2:$E$1000,MATCH(B152,'Raw Provisioning'!$B$2:$B$1000,0)),"Missing from latest raw")))</x:f>
      </x:c>
      <x:c r="E152" s="188" t="str">
        <x:f>IF(B152="","",IF(D152="completed","Completed in CSSP",IF(D152="executing","Active - Executing",IF(D152="processing","Ready to Assign",IF(D152="Missing from latest raw","Check Source","Not Managed - "&amp;D152)))))</x:f>
      </x:c>
      <x:c r="F152" s="189" t="str">
        <x:f>IF(B152="","",IFERROR(INDEX('Task Master'!$K$5:$K$804,MATCH(B152,'Task Master'!$A$5:$A$804,0)),""))</x:f>
      </x:c>
      <x:c r="G152" s="190"/>
      <x:c r="H152" s="190"/>
      <x:c r="I152" s="191"/>
      <x:c r="J152" s="190"/>
      <x:c r="K152" s="190"/>
      <x:c r="L152" s="195"/>
      <x:c r="M152" s="190"/>
      <x:c r="N152" s="187"/>
      <x:c r="O152" s="192"/>
      <x:c r="P152" s="192"/>
      <x:c r="Q152" s="170" t="str">
        <x:f>IF(OR(A152="",B152=""),"",IF(A152=LOOKUP(2,1/($B$5:$B$704=B152),$A$5:$A$704),"Yes","No"))</x:f>
      </x:c>
    </x:row>
    <x:row r="153">
      <x:c r="A153" s="193"/>
      <x:c r="B153" s="187"/>
      <x:c r="C153" s="188" t="str">
        <x:f>IF(B153="","",IF(COUNTIF('Raw Decommissioning'!$B$2:$B$1000,B153)&gt;0,"Decommissioning",IF(COUNTIF('Raw Provisioning'!$B$2:$B$1000,B153)&gt;0,"Provisioning","Not in latest raw")))</x:f>
      </x:c>
      <x:c r="D153" s="188" t="str">
        <x:f>IF(B153="","",IFERROR(INDEX('Raw Decommissioning'!$E$2:$E$1000,MATCH(B153,'Raw Decommissioning'!$B$2:$B$1000,0)),IFERROR(INDEX('Raw Provisioning'!$E$2:$E$1000,MATCH(B153,'Raw Provisioning'!$B$2:$B$1000,0)),"Missing from latest raw")))</x:f>
      </x:c>
      <x:c r="E153" s="188" t="str">
        <x:f>IF(B153="","",IF(D153="completed","Completed in CSSP",IF(D153="executing","Active - Executing",IF(D153="processing","Ready to Assign",IF(D153="Missing from latest raw","Check Source","Not Managed - "&amp;D153)))))</x:f>
      </x:c>
      <x:c r="F153" s="189" t="str">
        <x:f>IF(B153="","",IFERROR(INDEX('Task Master'!$K$5:$K$804,MATCH(B153,'Task Master'!$A$5:$A$804,0)),""))</x:f>
      </x:c>
      <x:c r="G153" s="190"/>
      <x:c r="H153" s="190"/>
      <x:c r="I153" s="191"/>
      <x:c r="J153" s="190"/>
      <x:c r="K153" s="190"/>
      <x:c r="L153" s="195"/>
      <x:c r="M153" s="190"/>
      <x:c r="N153" s="187"/>
      <x:c r="O153" s="192"/>
      <x:c r="P153" s="192"/>
      <x:c r="Q153" s="170" t="str">
        <x:f>IF(OR(A153="",B153=""),"",IF(A153=LOOKUP(2,1/($B$5:$B$704=B153),$A$5:$A$704),"Yes","No"))</x:f>
      </x:c>
    </x:row>
    <x:row r="154">
      <x:c r="A154" s="193"/>
      <x:c r="B154" s="187"/>
      <x:c r="C154" s="188" t="str">
        <x:f>IF(B154="","",IF(COUNTIF('Raw Decommissioning'!$B$2:$B$1000,B154)&gt;0,"Decommissioning",IF(COUNTIF('Raw Provisioning'!$B$2:$B$1000,B154)&gt;0,"Provisioning","Not in latest raw")))</x:f>
      </x:c>
      <x:c r="D154" s="188" t="str">
        <x:f>IF(B154="","",IFERROR(INDEX('Raw Decommissioning'!$E$2:$E$1000,MATCH(B154,'Raw Decommissioning'!$B$2:$B$1000,0)),IFERROR(INDEX('Raw Provisioning'!$E$2:$E$1000,MATCH(B154,'Raw Provisioning'!$B$2:$B$1000,0)),"Missing from latest raw")))</x:f>
      </x:c>
      <x:c r="E154" s="188" t="str">
        <x:f>IF(B154="","",IF(D154="completed","Completed in CSSP",IF(D154="executing","Active - Executing",IF(D154="processing","Ready to Assign",IF(D154="Missing from latest raw","Check Source","Not Managed - "&amp;D154)))))</x:f>
      </x:c>
      <x:c r="F154" s="189" t="str">
        <x:f>IF(B154="","",IFERROR(INDEX('Task Master'!$K$5:$K$804,MATCH(B154,'Task Master'!$A$5:$A$804,0)),""))</x:f>
      </x:c>
      <x:c r="G154" s="190"/>
      <x:c r="H154" s="190"/>
      <x:c r="I154" s="191"/>
      <x:c r="J154" s="190"/>
      <x:c r="K154" s="190"/>
      <x:c r="L154" s="195"/>
      <x:c r="M154" s="190"/>
      <x:c r="N154" s="187"/>
      <x:c r="O154" s="192"/>
      <x:c r="P154" s="192"/>
      <x:c r="Q154" s="170" t="str">
        <x:f>IF(OR(A154="",B154=""),"",IF(A154=LOOKUP(2,1/($B$5:$B$704=B154),$A$5:$A$704),"Yes","No"))</x:f>
      </x:c>
    </x:row>
    <x:row r="155">
      <x:c r="A155" s="193"/>
      <x:c r="B155" s="187"/>
      <x:c r="C155" s="188" t="str">
        <x:f>IF(B155="","",IF(COUNTIF('Raw Decommissioning'!$B$2:$B$1000,B155)&gt;0,"Decommissioning",IF(COUNTIF('Raw Provisioning'!$B$2:$B$1000,B155)&gt;0,"Provisioning","Not in latest raw")))</x:f>
      </x:c>
      <x:c r="D155" s="188" t="str">
        <x:f>IF(B155="","",IFERROR(INDEX('Raw Decommissioning'!$E$2:$E$1000,MATCH(B155,'Raw Decommissioning'!$B$2:$B$1000,0)),IFERROR(INDEX('Raw Provisioning'!$E$2:$E$1000,MATCH(B155,'Raw Provisioning'!$B$2:$B$1000,0)),"Missing from latest raw")))</x:f>
      </x:c>
      <x:c r="E155" s="188" t="str">
        <x:f>IF(B155="","",IF(D155="completed","Completed in CSSP",IF(D155="executing","Active - Executing",IF(D155="processing","Ready to Assign",IF(D155="Missing from latest raw","Check Source","Not Managed - "&amp;D155)))))</x:f>
      </x:c>
      <x:c r="F155" s="189" t="str">
        <x:f>IF(B155="","",IFERROR(INDEX('Task Master'!$K$5:$K$804,MATCH(B155,'Task Master'!$A$5:$A$804,0)),""))</x:f>
      </x:c>
      <x:c r="G155" s="190"/>
      <x:c r="H155" s="190"/>
      <x:c r="I155" s="191"/>
      <x:c r="J155" s="190"/>
      <x:c r="K155" s="190"/>
      <x:c r="L155" s="195"/>
      <x:c r="M155" s="190"/>
      <x:c r="N155" s="187"/>
      <x:c r="O155" s="192"/>
      <x:c r="P155" s="192"/>
      <x:c r="Q155" s="170" t="str">
        <x:f>IF(OR(A155="",B155=""),"",IF(A155=LOOKUP(2,1/($B$5:$B$704=B155),$A$5:$A$704),"Yes","No"))</x:f>
      </x:c>
    </x:row>
    <x:row r="156">
      <x:c r="A156" s="193"/>
      <x:c r="B156" s="187"/>
      <x:c r="C156" s="188" t="str">
        <x:f>IF(B156="","",IF(COUNTIF('Raw Decommissioning'!$B$2:$B$1000,B156)&gt;0,"Decommissioning",IF(COUNTIF('Raw Provisioning'!$B$2:$B$1000,B156)&gt;0,"Provisioning","Not in latest raw")))</x:f>
      </x:c>
      <x:c r="D156" s="188" t="str">
        <x:f>IF(B156="","",IFERROR(INDEX('Raw Decommissioning'!$E$2:$E$1000,MATCH(B156,'Raw Decommissioning'!$B$2:$B$1000,0)),IFERROR(INDEX('Raw Provisioning'!$E$2:$E$1000,MATCH(B156,'Raw Provisioning'!$B$2:$B$1000,0)),"Missing from latest raw")))</x:f>
      </x:c>
      <x:c r="E156" s="188" t="str">
        <x:f>IF(B156="","",IF(D156="completed","Completed in CSSP",IF(D156="executing","Active - Executing",IF(D156="processing","Ready to Assign",IF(D156="Missing from latest raw","Check Source","Not Managed - "&amp;D156)))))</x:f>
      </x:c>
      <x:c r="F156" s="189" t="str">
        <x:f>IF(B156="","",IFERROR(INDEX('Task Master'!$K$5:$K$804,MATCH(B156,'Task Master'!$A$5:$A$804,0)),""))</x:f>
      </x:c>
      <x:c r="G156" s="190"/>
      <x:c r="H156" s="190"/>
      <x:c r="I156" s="191"/>
      <x:c r="J156" s="190"/>
      <x:c r="K156" s="190"/>
      <x:c r="L156" s="195"/>
      <x:c r="M156" s="190"/>
      <x:c r="N156" s="187"/>
      <x:c r="O156" s="192"/>
      <x:c r="P156" s="192"/>
      <x:c r="Q156" s="170" t="str">
        <x:f>IF(OR(A156="",B156=""),"",IF(A156=LOOKUP(2,1/($B$5:$B$704=B156),$A$5:$A$704),"Yes","No"))</x:f>
      </x:c>
    </x:row>
    <x:row r="157">
      <x:c r="A157" s="193"/>
      <x:c r="B157" s="187"/>
      <x:c r="C157" s="188" t="str">
        <x:f>IF(B157="","",IF(COUNTIF('Raw Decommissioning'!$B$2:$B$1000,B157)&gt;0,"Decommissioning",IF(COUNTIF('Raw Provisioning'!$B$2:$B$1000,B157)&gt;0,"Provisioning","Not in latest raw")))</x:f>
      </x:c>
      <x:c r="D157" s="188" t="str">
        <x:f>IF(B157="","",IFERROR(INDEX('Raw Decommissioning'!$E$2:$E$1000,MATCH(B157,'Raw Decommissioning'!$B$2:$B$1000,0)),IFERROR(INDEX('Raw Provisioning'!$E$2:$E$1000,MATCH(B157,'Raw Provisioning'!$B$2:$B$1000,0)),"Missing from latest raw")))</x:f>
      </x:c>
      <x:c r="E157" s="188" t="str">
        <x:f>IF(B157="","",IF(D157="completed","Completed in CSSP",IF(D157="executing","Active - Executing",IF(D157="processing","Ready to Assign",IF(D157="Missing from latest raw","Check Source","Not Managed - "&amp;D157)))))</x:f>
      </x:c>
      <x:c r="F157" s="189" t="str">
        <x:f>IF(B157="","",IFERROR(INDEX('Task Master'!$K$5:$K$804,MATCH(B157,'Task Master'!$A$5:$A$804,0)),""))</x:f>
      </x:c>
      <x:c r="G157" s="190"/>
      <x:c r="H157" s="190"/>
      <x:c r="I157" s="191"/>
      <x:c r="J157" s="190"/>
      <x:c r="K157" s="190"/>
      <x:c r="L157" s="195"/>
      <x:c r="M157" s="190"/>
      <x:c r="N157" s="187"/>
      <x:c r="O157" s="192"/>
      <x:c r="P157" s="192"/>
      <x:c r="Q157" s="170" t="str">
        <x:f>IF(OR(A157="",B157=""),"",IF(A157=LOOKUP(2,1/($B$5:$B$704=B157),$A$5:$A$704),"Yes","No"))</x:f>
      </x:c>
    </x:row>
    <x:row r="158">
      <x:c r="A158" s="193"/>
      <x:c r="B158" s="187"/>
      <x:c r="C158" s="188" t="str">
        <x:f>IF(B158="","",IF(COUNTIF('Raw Decommissioning'!$B$2:$B$1000,B158)&gt;0,"Decommissioning",IF(COUNTIF('Raw Provisioning'!$B$2:$B$1000,B158)&gt;0,"Provisioning","Not in latest raw")))</x:f>
      </x:c>
      <x:c r="D158" s="188" t="str">
        <x:f>IF(B158="","",IFERROR(INDEX('Raw Decommissioning'!$E$2:$E$1000,MATCH(B158,'Raw Decommissioning'!$B$2:$B$1000,0)),IFERROR(INDEX('Raw Provisioning'!$E$2:$E$1000,MATCH(B158,'Raw Provisioning'!$B$2:$B$1000,0)),"Missing from latest raw")))</x:f>
      </x:c>
      <x:c r="E158" s="188" t="str">
        <x:f>IF(B158="","",IF(D158="completed","Completed in CSSP",IF(D158="executing","Active - Executing",IF(D158="processing","Ready to Assign",IF(D158="Missing from latest raw","Check Source","Not Managed - "&amp;D158)))))</x:f>
      </x:c>
      <x:c r="F158" s="189" t="str">
        <x:f>IF(B158="","",IFERROR(INDEX('Task Master'!$K$5:$K$804,MATCH(B158,'Task Master'!$A$5:$A$804,0)),""))</x:f>
      </x:c>
      <x:c r="G158" s="190"/>
      <x:c r="H158" s="190"/>
      <x:c r="I158" s="191"/>
      <x:c r="J158" s="190"/>
      <x:c r="K158" s="190"/>
      <x:c r="L158" s="195"/>
      <x:c r="M158" s="190"/>
      <x:c r="N158" s="187"/>
      <x:c r="O158" s="192"/>
      <x:c r="P158" s="192"/>
      <x:c r="Q158" s="170" t="str">
        <x:f>IF(OR(A158="",B158=""),"",IF(A158=LOOKUP(2,1/($B$5:$B$704=B158),$A$5:$A$704),"Yes","No"))</x:f>
      </x:c>
    </x:row>
    <x:row r="159">
      <x:c r="A159" s="193"/>
      <x:c r="B159" s="187"/>
      <x:c r="C159" s="188" t="str">
        <x:f>IF(B159="","",IF(COUNTIF('Raw Decommissioning'!$B$2:$B$1000,B159)&gt;0,"Decommissioning",IF(COUNTIF('Raw Provisioning'!$B$2:$B$1000,B159)&gt;0,"Provisioning","Not in latest raw")))</x:f>
      </x:c>
      <x:c r="D159" s="188" t="str">
        <x:f>IF(B159="","",IFERROR(INDEX('Raw Decommissioning'!$E$2:$E$1000,MATCH(B159,'Raw Decommissioning'!$B$2:$B$1000,0)),IFERROR(INDEX('Raw Provisioning'!$E$2:$E$1000,MATCH(B159,'Raw Provisioning'!$B$2:$B$1000,0)),"Missing from latest raw")))</x:f>
      </x:c>
      <x:c r="E159" s="188" t="str">
        <x:f>IF(B159="","",IF(D159="completed","Completed in CSSP",IF(D159="executing","Active - Executing",IF(D159="processing","Ready to Assign",IF(D159="Missing from latest raw","Check Source","Not Managed - "&amp;D159)))))</x:f>
      </x:c>
      <x:c r="F159" s="189" t="str">
        <x:f>IF(B159="","",IFERROR(INDEX('Task Master'!$K$5:$K$804,MATCH(B159,'Task Master'!$A$5:$A$804,0)),""))</x:f>
      </x:c>
      <x:c r="G159" s="190"/>
      <x:c r="H159" s="190"/>
      <x:c r="I159" s="191"/>
      <x:c r="J159" s="190"/>
      <x:c r="K159" s="190"/>
      <x:c r="L159" s="195"/>
      <x:c r="M159" s="190"/>
      <x:c r="N159" s="187"/>
      <x:c r="O159" s="192"/>
      <x:c r="P159" s="192"/>
      <x:c r="Q159" s="170" t="str">
        <x:f>IF(OR(A159="",B159=""),"",IF(A159=LOOKUP(2,1/($B$5:$B$704=B159),$A$5:$A$704),"Yes","No"))</x:f>
      </x:c>
    </x:row>
    <x:row r="160">
      <x:c r="A160" s="193"/>
      <x:c r="B160" s="187"/>
      <x:c r="C160" s="188" t="str">
        <x:f>IF(B160="","",IF(COUNTIF('Raw Decommissioning'!$B$2:$B$1000,B160)&gt;0,"Decommissioning",IF(COUNTIF('Raw Provisioning'!$B$2:$B$1000,B160)&gt;0,"Provisioning","Not in latest raw")))</x:f>
      </x:c>
      <x:c r="D160" s="188" t="str">
        <x:f>IF(B160="","",IFERROR(INDEX('Raw Decommissioning'!$E$2:$E$1000,MATCH(B160,'Raw Decommissioning'!$B$2:$B$1000,0)),IFERROR(INDEX('Raw Provisioning'!$E$2:$E$1000,MATCH(B160,'Raw Provisioning'!$B$2:$B$1000,0)),"Missing from latest raw")))</x:f>
      </x:c>
      <x:c r="E160" s="188" t="str">
        <x:f>IF(B160="","",IF(D160="completed","Completed in CSSP",IF(D160="executing","Active - Executing",IF(D160="processing","Ready to Assign",IF(D160="Missing from latest raw","Check Source","Not Managed - "&amp;D160)))))</x:f>
      </x:c>
      <x:c r="F160" s="189" t="str">
        <x:f>IF(B160="","",IFERROR(INDEX('Task Master'!$K$5:$K$804,MATCH(B160,'Task Master'!$A$5:$A$804,0)),""))</x:f>
      </x:c>
      <x:c r="G160" s="190"/>
      <x:c r="H160" s="190"/>
      <x:c r="I160" s="191"/>
      <x:c r="J160" s="190"/>
      <x:c r="K160" s="190"/>
      <x:c r="L160" s="195"/>
      <x:c r="M160" s="190"/>
      <x:c r="N160" s="187"/>
      <x:c r="O160" s="192"/>
      <x:c r="P160" s="192"/>
      <x:c r="Q160" s="170" t="str">
        <x:f>IF(OR(A160="",B160=""),"",IF(A160=LOOKUP(2,1/($B$5:$B$704=B160),$A$5:$A$704),"Yes","No"))</x:f>
      </x:c>
    </x:row>
    <x:row r="161">
      <x:c r="A161" s="193"/>
      <x:c r="B161" s="187"/>
      <x:c r="C161" s="188" t="str">
        <x:f>IF(B161="","",IF(COUNTIF('Raw Decommissioning'!$B$2:$B$1000,B161)&gt;0,"Decommissioning",IF(COUNTIF('Raw Provisioning'!$B$2:$B$1000,B161)&gt;0,"Provisioning","Not in latest raw")))</x:f>
      </x:c>
      <x:c r="D161" s="188" t="str">
        <x:f>IF(B161="","",IFERROR(INDEX('Raw Decommissioning'!$E$2:$E$1000,MATCH(B161,'Raw Decommissioning'!$B$2:$B$1000,0)),IFERROR(INDEX('Raw Provisioning'!$E$2:$E$1000,MATCH(B161,'Raw Provisioning'!$B$2:$B$1000,0)),"Missing from latest raw")))</x:f>
      </x:c>
      <x:c r="E161" s="188" t="str">
        <x:f>IF(B161="","",IF(D161="completed","Completed in CSSP",IF(D161="executing","Active - Executing",IF(D161="processing","Ready to Assign",IF(D161="Missing from latest raw","Check Source","Not Managed - "&amp;D161)))))</x:f>
      </x:c>
      <x:c r="F161" s="189" t="str">
        <x:f>IF(B161="","",IFERROR(INDEX('Task Master'!$K$5:$K$804,MATCH(B161,'Task Master'!$A$5:$A$804,0)),""))</x:f>
      </x:c>
      <x:c r="G161" s="190"/>
      <x:c r="H161" s="190"/>
      <x:c r="I161" s="191"/>
      <x:c r="J161" s="190"/>
      <x:c r="K161" s="190"/>
      <x:c r="L161" s="195"/>
      <x:c r="M161" s="190"/>
      <x:c r="N161" s="187"/>
      <x:c r="O161" s="192"/>
      <x:c r="P161" s="192"/>
      <x:c r="Q161" s="170" t="str">
        <x:f>IF(OR(A161="",B161=""),"",IF(A161=LOOKUP(2,1/($B$5:$B$704=B161),$A$5:$A$704),"Yes","No"))</x:f>
      </x:c>
    </x:row>
    <x:row r="162">
      <x:c r="A162" s="193"/>
      <x:c r="B162" s="187"/>
      <x:c r="C162" s="188" t="str">
        <x:f>IF(B162="","",IF(COUNTIF('Raw Decommissioning'!$B$2:$B$1000,B162)&gt;0,"Decommissioning",IF(COUNTIF('Raw Provisioning'!$B$2:$B$1000,B162)&gt;0,"Provisioning","Not in latest raw")))</x:f>
      </x:c>
      <x:c r="D162" s="188" t="str">
        <x:f>IF(B162="","",IFERROR(INDEX('Raw Decommissioning'!$E$2:$E$1000,MATCH(B162,'Raw Decommissioning'!$B$2:$B$1000,0)),IFERROR(INDEX('Raw Provisioning'!$E$2:$E$1000,MATCH(B162,'Raw Provisioning'!$B$2:$B$1000,0)),"Missing from latest raw")))</x:f>
      </x:c>
      <x:c r="E162" s="188" t="str">
        <x:f>IF(B162="","",IF(D162="completed","Completed in CSSP",IF(D162="executing","Active - Executing",IF(D162="processing","Ready to Assign",IF(D162="Missing from latest raw","Check Source","Not Managed - "&amp;D162)))))</x:f>
      </x:c>
      <x:c r="F162" s="189" t="str">
        <x:f>IF(B162="","",IFERROR(INDEX('Task Master'!$K$5:$K$804,MATCH(B162,'Task Master'!$A$5:$A$804,0)),""))</x:f>
      </x:c>
      <x:c r="G162" s="190"/>
      <x:c r="H162" s="190"/>
      <x:c r="I162" s="191"/>
      <x:c r="J162" s="190"/>
      <x:c r="K162" s="190"/>
      <x:c r="L162" s="195"/>
      <x:c r="M162" s="190"/>
      <x:c r="N162" s="187"/>
      <x:c r="O162" s="192"/>
      <x:c r="P162" s="192"/>
      <x:c r="Q162" s="170" t="str">
        <x:f>IF(OR(A162="",B162=""),"",IF(A162=LOOKUP(2,1/($B$5:$B$704=B162),$A$5:$A$704),"Yes","No"))</x:f>
      </x:c>
    </x:row>
    <x:row r="163">
      <x:c r="A163" s="193"/>
      <x:c r="B163" s="187"/>
      <x:c r="C163" s="188" t="str">
        <x:f>IF(B163="","",IF(COUNTIF('Raw Decommissioning'!$B$2:$B$1000,B163)&gt;0,"Decommissioning",IF(COUNTIF('Raw Provisioning'!$B$2:$B$1000,B163)&gt;0,"Provisioning","Not in latest raw")))</x:f>
      </x:c>
      <x:c r="D163" s="188" t="str">
        <x:f>IF(B163="","",IFERROR(INDEX('Raw Decommissioning'!$E$2:$E$1000,MATCH(B163,'Raw Decommissioning'!$B$2:$B$1000,0)),IFERROR(INDEX('Raw Provisioning'!$E$2:$E$1000,MATCH(B163,'Raw Provisioning'!$B$2:$B$1000,0)),"Missing from latest raw")))</x:f>
      </x:c>
      <x:c r="E163" s="188" t="str">
        <x:f>IF(B163="","",IF(D163="completed","Completed in CSSP",IF(D163="executing","Active - Executing",IF(D163="processing","Ready to Assign",IF(D163="Missing from latest raw","Check Source","Not Managed - "&amp;D163)))))</x:f>
      </x:c>
      <x:c r="F163" s="189" t="str">
        <x:f>IF(B163="","",IFERROR(INDEX('Task Master'!$K$5:$K$804,MATCH(B163,'Task Master'!$A$5:$A$804,0)),""))</x:f>
      </x:c>
      <x:c r="G163" s="190"/>
      <x:c r="H163" s="190"/>
      <x:c r="I163" s="191"/>
      <x:c r="J163" s="190"/>
      <x:c r="K163" s="190"/>
      <x:c r="L163" s="195"/>
      <x:c r="M163" s="190"/>
      <x:c r="N163" s="187"/>
      <x:c r="O163" s="192"/>
      <x:c r="P163" s="192"/>
      <x:c r="Q163" s="170" t="str">
        <x:f>IF(OR(A163="",B163=""),"",IF(A163=LOOKUP(2,1/($B$5:$B$704=B163),$A$5:$A$704),"Yes","No"))</x:f>
      </x:c>
    </x:row>
    <x:row r="164">
      <x:c r="A164" s="193"/>
      <x:c r="B164" s="187"/>
      <x:c r="C164" s="188" t="str">
        <x:f>IF(B164="","",IF(COUNTIF('Raw Decommissioning'!$B$2:$B$1000,B164)&gt;0,"Decommissioning",IF(COUNTIF('Raw Provisioning'!$B$2:$B$1000,B164)&gt;0,"Provisioning","Not in latest raw")))</x:f>
      </x:c>
      <x:c r="D164" s="188" t="str">
        <x:f>IF(B164="","",IFERROR(INDEX('Raw Decommissioning'!$E$2:$E$1000,MATCH(B164,'Raw Decommissioning'!$B$2:$B$1000,0)),IFERROR(INDEX('Raw Provisioning'!$E$2:$E$1000,MATCH(B164,'Raw Provisioning'!$B$2:$B$1000,0)),"Missing from latest raw")))</x:f>
      </x:c>
      <x:c r="E164" s="188" t="str">
        <x:f>IF(B164="","",IF(D164="completed","Completed in CSSP",IF(D164="executing","Active - Executing",IF(D164="processing","Ready to Assign",IF(D164="Missing from latest raw","Check Source","Not Managed - "&amp;D164)))))</x:f>
      </x:c>
      <x:c r="F164" s="189" t="str">
        <x:f>IF(B164="","",IFERROR(INDEX('Task Master'!$K$5:$K$804,MATCH(B164,'Task Master'!$A$5:$A$804,0)),""))</x:f>
      </x:c>
      <x:c r="G164" s="190"/>
      <x:c r="H164" s="190"/>
      <x:c r="I164" s="191"/>
      <x:c r="J164" s="190"/>
      <x:c r="K164" s="190"/>
      <x:c r="L164" s="195"/>
      <x:c r="M164" s="190"/>
      <x:c r="N164" s="187"/>
      <x:c r="O164" s="192"/>
      <x:c r="P164" s="192"/>
      <x:c r="Q164" s="170" t="str">
        <x:f>IF(OR(A164="",B164=""),"",IF(A164=LOOKUP(2,1/($B$5:$B$704=B164),$A$5:$A$704),"Yes","No"))</x:f>
      </x:c>
    </x:row>
    <x:row r="165">
      <x:c r="A165" s="193"/>
      <x:c r="B165" s="187"/>
      <x:c r="C165" s="188" t="str">
        <x:f>IF(B165="","",IF(COUNTIF('Raw Decommissioning'!$B$2:$B$1000,B165)&gt;0,"Decommissioning",IF(COUNTIF('Raw Provisioning'!$B$2:$B$1000,B165)&gt;0,"Provisioning","Not in latest raw")))</x:f>
      </x:c>
      <x:c r="D165" s="188" t="str">
        <x:f>IF(B165="","",IFERROR(INDEX('Raw Decommissioning'!$E$2:$E$1000,MATCH(B165,'Raw Decommissioning'!$B$2:$B$1000,0)),IFERROR(INDEX('Raw Provisioning'!$E$2:$E$1000,MATCH(B165,'Raw Provisioning'!$B$2:$B$1000,0)),"Missing from latest raw")))</x:f>
      </x:c>
      <x:c r="E165" s="188" t="str">
        <x:f>IF(B165="","",IF(D165="completed","Completed in CSSP",IF(D165="executing","Active - Executing",IF(D165="processing","Ready to Assign",IF(D165="Missing from latest raw","Check Source","Not Managed - "&amp;D165)))))</x:f>
      </x:c>
      <x:c r="F165" s="189" t="str">
        <x:f>IF(B165="","",IFERROR(INDEX('Task Master'!$K$5:$K$804,MATCH(B165,'Task Master'!$A$5:$A$804,0)),""))</x:f>
      </x:c>
      <x:c r="G165" s="190"/>
      <x:c r="H165" s="190"/>
      <x:c r="I165" s="191"/>
      <x:c r="J165" s="190"/>
      <x:c r="K165" s="190"/>
      <x:c r="L165" s="195"/>
      <x:c r="M165" s="190"/>
      <x:c r="N165" s="187"/>
      <x:c r="O165" s="192"/>
      <x:c r="P165" s="192"/>
      <x:c r="Q165" s="170" t="str">
        <x:f>IF(OR(A165="",B165=""),"",IF(A165=LOOKUP(2,1/($B$5:$B$704=B165),$A$5:$A$704),"Yes","No"))</x:f>
      </x:c>
    </x:row>
    <x:row r="166">
      <x:c r="A166" s="193"/>
      <x:c r="B166" s="187"/>
      <x:c r="C166" s="188" t="str">
        <x:f>IF(B166="","",IF(COUNTIF('Raw Decommissioning'!$B$2:$B$1000,B166)&gt;0,"Decommissioning",IF(COUNTIF('Raw Provisioning'!$B$2:$B$1000,B166)&gt;0,"Provisioning","Not in latest raw")))</x:f>
      </x:c>
      <x:c r="D166" s="188" t="str">
        <x:f>IF(B166="","",IFERROR(INDEX('Raw Decommissioning'!$E$2:$E$1000,MATCH(B166,'Raw Decommissioning'!$B$2:$B$1000,0)),IFERROR(INDEX('Raw Provisioning'!$E$2:$E$1000,MATCH(B166,'Raw Provisioning'!$B$2:$B$1000,0)),"Missing from latest raw")))</x:f>
      </x:c>
      <x:c r="E166" s="188" t="str">
        <x:f>IF(B166="","",IF(D166="completed","Completed in CSSP",IF(D166="executing","Active - Executing",IF(D166="processing","Ready to Assign",IF(D166="Missing from latest raw","Check Source","Not Managed - "&amp;D166)))))</x:f>
      </x:c>
      <x:c r="F166" s="189" t="str">
        <x:f>IF(B166="","",IFERROR(INDEX('Task Master'!$K$5:$K$804,MATCH(B166,'Task Master'!$A$5:$A$804,0)),""))</x:f>
      </x:c>
      <x:c r="G166" s="190"/>
      <x:c r="H166" s="190"/>
      <x:c r="I166" s="191"/>
      <x:c r="J166" s="190"/>
      <x:c r="K166" s="190"/>
      <x:c r="L166" s="195"/>
      <x:c r="M166" s="190"/>
      <x:c r="N166" s="187"/>
      <x:c r="O166" s="192"/>
      <x:c r="P166" s="192"/>
      <x:c r="Q166" s="170" t="str">
        <x:f>IF(OR(A166="",B166=""),"",IF(A166=LOOKUP(2,1/($B$5:$B$704=B166),$A$5:$A$704),"Yes","No"))</x:f>
      </x:c>
    </x:row>
    <x:row r="167">
      <x:c r="A167" s="193"/>
      <x:c r="B167" s="187"/>
      <x:c r="C167" s="188" t="str">
        <x:f>IF(B167="","",IF(COUNTIF('Raw Decommissioning'!$B$2:$B$1000,B167)&gt;0,"Decommissioning",IF(COUNTIF('Raw Provisioning'!$B$2:$B$1000,B167)&gt;0,"Provisioning","Not in latest raw")))</x:f>
      </x:c>
      <x:c r="D167" s="188" t="str">
        <x:f>IF(B167="","",IFERROR(INDEX('Raw Decommissioning'!$E$2:$E$1000,MATCH(B167,'Raw Decommissioning'!$B$2:$B$1000,0)),IFERROR(INDEX('Raw Provisioning'!$E$2:$E$1000,MATCH(B167,'Raw Provisioning'!$B$2:$B$1000,0)),"Missing from latest raw")))</x:f>
      </x:c>
      <x:c r="E167" s="188" t="str">
        <x:f>IF(B167="","",IF(D167="completed","Completed in CSSP",IF(D167="executing","Active - Executing",IF(D167="processing","Ready to Assign",IF(D167="Missing from latest raw","Check Source","Not Managed - "&amp;D167)))))</x:f>
      </x:c>
      <x:c r="F167" s="189" t="str">
        <x:f>IF(B167="","",IFERROR(INDEX('Task Master'!$K$5:$K$804,MATCH(B167,'Task Master'!$A$5:$A$804,0)),""))</x:f>
      </x:c>
      <x:c r="G167" s="190"/>
      <x:c r="H167" s="190"/>
      <x:c r="I167" s="191"/>
      <x:c r="J167" s="190"/>
      <x:c r="K167" s="190"/>
      <x:c r="L167" s="195"/>
      <x:c r="M167" s="190"/>
      <x:c r="N167" s="187"/>
      <x:c r="O167" s="192"/>
      <x:c r="P167" s="192"/>
      <x:c r="Q167" s="170" t="str">
        <x:f>IF(OR(A167="",B167=""),"",IF(A167=LOOKUP(2,1/($B$5:$B$704=B167),$A$5:$A$704),"Yes","No"))</x:f>
      </x:c>
    </x:row>
    <x:row r="168">
      <x:c r="A168" s="193"/>
      <x:c r="B168" s="187"/>
      <x:c r="C168" s="188" t="str">
        <x:f>IF(B168="","",IF(COUNTIF('Raw Decommissioning'!$B$2:$B$1000,B168)&gt;0,"Decommissioning",IF(COUNTIF('Raw Provisioning'!$B$2:$B$1000,B168)&gt;0,"Provisioning","Not in latest raw")))</x:f>
      </x:c>
      <x:c r="D168" s="188" t="str">
        <x:f>IF(B168="","",IFERROR(INDEX('Raw Decommissioning'!$E$2:$E$1000,MATCH(B168,'Raw Decommissioning'!$B$2:$B$1000,0)),IFERROR(INDEX('Raw Provisioning'!$E$2:$E$1000,MATCH(B168,'Raw Provisioning'!$B$2:$B$1000,0)),"Missing from latest raw")))</x:f>
      </x:c>
      <x:c r="E168" s="188" t="str">
        <x:f>IF(B168="","",IF(D168="completed","Completed in CSSP",IF(D168="executing","Active - Executing",IF(D168="processing","Ready to Assign",IF(D168="Missing from latest raw","Check Source","Not Managed - "&amp;D168)))))</x:f>
      </x:c>
      <x:c r="F168" s="189" t="str">
        <x:f>IF(B168="","",IFERROR(INDEX('Task Master'!$K$5:$K$804,MATCH(B168,'Task Master'!$A$5:$A$804,0)),""))</x:f>
      </x:c>
      <x:c r="G168" s="190"/>
      <x:c r="H168" s="190"/>
      <x:c r="I168" s="191"/>
      <x:c r="J168" s="190"/>
      <x:c r="K168" s="190"/>
      <x:c r="L168" s="195"/>
      <x:c r="M168" s="190"/>
      <x:c r="N168" s="187"/>
      <x:c r="O168" s="192"/>
      <x:c r="P168" s="192"/>
      <x:c r="Q168" s="170" t="str">
        <x:f>IF(OR(A168="",B168=""),"",IF(A168=LOOKUP(2,1/($B$5:$B$704=B168),$A$5:$A$704),"Yes","No"))</x:f>
      </x:c>
    </x:row>
    <x:row r="169">
      <x:c r="A169" s="193"/>
      <x:c r="B169" s="187"/>
      <x:c r="C169" s="188" t="str">
        <x:f>IF(B169="","",IF(COUNTIF('Raw Decommissioning'!$B$2:$B$1000,B169)&gt;0,"Decommissioning",IF(COUNTIF('Raw Provisioning'!$B$2:$B$1000,B169)&gt;0,"Provisioning","Not in latest raw")))</x:f>
      </x:c>
      <x:c r="D169" s="188" t="str">
        <x:f>IF(B169="","",IFERROR(INDEX('Raw Decommissioning'!$E$2:$E$1000,MATCH(B169,'Raw Decommissioning'!$B$2:$B$1000,0)),IFERROR(INDEX('Raw Provisioning'!$E$2:$E$1000,MATCH(B169,'Raw Provisioning'!$B$2:$B$1000,0)),"Missing from latest raw")))</x:f>
      </x:c>
      <x:c r="E169" s="188" t="str">
        <x:f>IF(B169="","",IF(D169="completed","Completed in CSSP",IF(D169="executing","Active - Executing",IF(D169="processing","Ready to Assign",IF(D169="Missing from latest raw","Check Source","Not Managed - "&amp;D169)))))</x:f>
      </x:c>
      <x:c r="F169" s="189" t="str">
        <x:f>IF(B169="","",IFERROR(INDEX('Task Master'!$K$5:$K$804,MATCH(B169,'Task Master'!$A$5:$A$804,0)),""))</x:f>
      </x:c>
      <x:c r="G169" s="190"/>
      <x:c r="H169" s="190"/>
      <x:c r="I169" s="191"/>
      <x:c r="J169" s="190"/>
      <x:c r="K169" s="190"/>
      <x:c r="L169" s="195"/>
      <x:c r="M169" s="190"/>
      <x:c r="N169" s="187"/>
      <x:c r="O169" s="192"/>
      <x:c r="P169" s="192"/>
      <x:c r="Q169" s="170" t="str">
        <x:f>IF(OR(A169="",B169=""),"",IF(A169=LOOKUP(2,1/($B$5:$B$704=B169),$A$5:$A$704),"Yes","No"))</x:f>
      </x:c>
    </x:row>
    <x:row r="170">
      <x:c r="A170" s="193"/>
      <x:c r="B170" s="187"/>
      <x:c r="C170" s="188" t="str">
        <x:f>IF(B170="","",IF(COUNTIF('Raw Decommissioning'!$B$2:$B$1000,B170)&gt;0,"Decommissioning",IF(COUNTIF('Raw Provisioning'!$B$2:$B$1000,B170)&gt;0,"Provisioning","Not in latest raw")))</x:f>
      </x:c>
      <x:c r="D170" s="188" t="str">
        <x:f>IF(B170="","",IFERROR(INDEX('Raw Decommissioning'!$E$2:$E$1000,MATCH(B170,'Raw Decommissioning'!$B$2:$B$1000,0)),IFERROR(INDEX('Raw Provisioning'!$E$2:$E$1000,MATCH(B170,'Raw Provisioning'!$B$2:$B$1000,0)),"Missing from latest raw")))</x:f>
      </x:c>
      <x:c r="E170" s="188" t="str">
        <x:f>IF(B170="","",IF(D170="completed","Completed in CSSP",IF(D170="executing","Active - Executing",IF(D170="processing","Ready to Assign",IF(D170="Missing from latest raw","Check Source","Not Managed - "&amp;D170)))))</x:f>
      </x:c>
      <x:c r="F170" s="189" t="str">
        <x:f>IF(B170="","",IFERROR(INDEX('Task Master'!$K$5:$K$804,MATCH(B170,'Task Master'!$A$5:$A$804,0)),""))</x:f>
      </x:c>
      <x:c r="G170" s="190"/>
      <x:c r="H170" s="190"/>
      <x:c r="I170" s="191"/>
      <x:c r="J170" s="190"/>
      <x:c r="K170" s="190"/>
      <x:c r="L170" s="195"/>
      <x:c r="M170" s="190"/>
      <x:c r="N170" s="187"/>
      <x:c r="O170" s="192"/>
      <x:c r="P170" s="192"/>
      <x:c r="Q170" s="170" t="str">
        <x:f>IF(OR(A170="",B170=""),"",IF(A170=LOOKUP(2,1/($B$5:$B$704=B170),$A$5:$A$704),"Yes","No"))</x:f>
      </x:c>
    </x:row>
    <x:row r="171">
      <x:c r="A171" s="193"/>
      <x:c r="B171" s="187"/>
      <x:c r="C171" s="188" t="str">
        <x:f>IF(B171="","",IF(COUNTIF('Raw Decommissioning'!$B$2:$B$1000,B171)&gt;0,"Decommissioning",IF(COUNTIF('Raw Provisioning'!$B$2:$B$1000,B171)&gt;0,"Provisioning","Not in latest raw")))</x:f>
      </x:c>
      <x:c r="D171" s="188" t="str">
        <x:f>IF(B171="","",IFERROR(INDEX('Raw Decommissioning'!$E$2:$E$1000,MATCH(B171,'Raw Decommissioning'!$B$2:$B$1000,0)),IFERROR(INDEX('Raw Provisioning'!$E$2:$E$1000,MATCH(B171,'Raw Provisioning'!$B$2:$B$1000,0)),"Missing from latest raw")))</x:f>
      </x:c>
      <x:c r="E171" s="188" t="str">
        <x:f>IF(B171="","",IF(D171="completed","Completed in CSSP",IF(D171="executing","Active - Executing",IF(D171="processing","Ready to Assign",IF(D171="Missing from latest raw","Check Source","Not Managed - "&amp;D171)))))</x:f>
      </x:c>
      <x:c r="F171" s="189" t="str">
        <x:f>IF(B171="","",IFERROR(INDEX('Task Master'!$K$5:$K$804,MATCH(B171,'Task Master'!$A$5:$A$804,0)),""))</x:f>
      </x:c>
      <x:c r="G171" s="190"/>
      <x:c r="H171" s="190"/>
      <x:c r="I171" s="191"/>
      <x:c r="J171" s="190"/>
      <x:c r="K171" s="190"/>
      <x:c r="L171" s="195"/>
      <x:c r="M171" s="190"/>
      <x:c r="N171" s="187"/>
      <x:c r="O171" s="192"/>
      <x:c r="P171" s="192"/>
      <x:c r="Q171" s="170" t="str">
        <x:f>IF(OR(A171="",B171=""),"",IF(A171=LOOKUP(2,1/($B$5:$B$704=B171),$A$5:$A$704),"Yes","No"))</x:f>
      </x:c>
    </x:row>
    <x:row r="172">
      <x:c r="A172" s="193"/>
      <x:c r="B172" s="187"/>
      <x:c r="C172" s="188" t="str">
        <x:f>IF(B172="","",IF(COUNTIF('Raw Decommissioning'!$B$2:$B$1000,B172)&gt;0,"Decommissioning",IF(COUNTIF('Raw Provisioning'!$B$2:$B$1000,B172)&gt;0,"Provisioning","Not in latest raw")))</x:f>
      </x:c>
      <x:c r="D172" s="188" t="str">
        <x:f>IF(B172="","",IFERROR(INDEX('Raw Decommissioning'!$E$2:$E$1000,MATCH(B172,'Raw Decommissioning'!$B$2:$B$1000,0)),IFERROR(INDEX('Raw Provisioning'!$E$2:$E$1000,MATCH(B172,'Raw Provisioning'!$B$2:$B$1000,0)),"Missing from latest raw")))</x:f>
      </x:c>
      <x:c r="E172" s="188" t="str">
        <x:f>IF(B172="","",IF(D172="completed","Completed in CSSP",IF(D172="executing","Active - Executing",IF(D172="processing","Ready to Assign",IF(D172="Missing from latest raw","Check Source","Not Managed - "&amp;D172)))))</x:f>
      </x:c>
      <x:c r="F172" s="189" t="str">
        <x:f>IF(B172="","",IFERROR(INDEX('Task Master'!$K$5:$K$804,MATCH(B172,'Task Master'!$A$5:$A$804,0)),""))</x:f>
      </x:c>
      <x:c r="G172" s="190"/>
      <x:c r="H172" s="190"/>
      <x:c r="I172" s="191"/>
      <x:c r="J172" s="190"/>
      <x:c r="K172" s="190"/>
      <x:c r="L172" s="195"/>
      <x:c r="M172" s="190"/>
      <x:c r="N172" s="187"/>
      <x:c r="O172" s="192"/>
      <x:c r="P172" s="192"/>
      <x:c r="Q172" s="170" t="str">
        <x:f>IF(OR(A172="",B172=""),"",IF(A172=LOOKUP(2,1/($B$5:$B$704=B172),$A$5:$A$704),"Yes","No"))</x:f>
      </x:c>
    </x:row>
    <x:row r="173">
      <x:c r="A173" s="193"/>
      <x:c r="B173" s="187"/>
      <x:c r="C173" s="188" t="str">
        <x:f>IF(B173="","",IF(COUNTIF('Raw Decommissioning'!$B$2:$B$1000,B173)&gt;0,"Decommissioning",IF(COUNTIF('Raw Provisioning'!$B$2:$B$1000,B173)&gt;0,"Provisioning","Not in latest raw")))</x:f>
      </x:c>
      <x:c r="D173" s="188" t="str">
        <x:f>IF(B173="","",IFERROR(INDEX('Raw Decommissioning'!$E$2:$E$1000,MATCH(B173,'Raw Decommissioning'!$B$2:$B$1000,0)),IFERROR(INDEX('Raw Provisioning'!$E$2:$E$1000,MATCH(B173,'Raw Provisioning'!$B$2:$B$1000,0)),"Missing from latest raw")))</x:f>
      </x:c>
      <x:c r="E173" s="188" t="str">
        <x:f>IF(B173="","",IF(D173="completed","Completed in CSSP",IF(D173="executing","Active - Executing",IF(D173="processing","Ready to Assign",IF(D173="Missing from latest raw","Check Source","Not Managed - "&amp;D173)))))</x:f>
      </x:c>
      <x:c r="F173" s="189" t="str">
        <x:f>IF(B173="","",IFERROR(INDEX('Task Master'!$K$5:$K$804,MATCH(B173,'Task Master'!$A$5:$A$804,0)),""))</x:f>
      </x:c>
      <x:c r="G173" s="190"/>
      <x:c r="H173" s="190"/>
      <x:c r="I173" s="191"/>
      <x:c r="J173" s="190"/>
      <x:c r="K173" s="190"/>
      <x:c r="L173" s="195"/>
      <x:c r="M173" s="190"/>
      <x:c r="N173" s="187"/>
      <x:c r="O173" s="192"/>
      <x:c r="P173" s="192"/>
      <x:c r="Q173" s="170" t="str">
        <x:f>IF(OR(A173="",B173=""),"",IF(A173=LOOKUP(2,1/($B$5:$B$704=B173),$A$5:$A$704),"Yes","No"))</x:f>
      </x:c>
    </x:row>
    <x:row r="174">
      <x:c r="A174" s="193"/>
      <x:c r="B174" s="187"/>
      <x:c r="C174" s="188" t="str">
        <x:f>IF(B174="","",IF(COUNTIF('Raw Decommissioning'!$B$2:$B$1000,B174)&gt;0,"Decommissioning",IF(COUNTIF('Raw Provisioning'!$B$2:$B$1000,B174)&gt;0,"Provisioning","Not in latest raw")))</x:f>
      </x:c>
      <x:c r="D174" s="188" t="str">
        <x:f>IF(B174="","",IFERROR(INDEX('Raw Decommissioning'!$E$2:$E$1000,MATCH(B174,'Raw Decommissioning'!$B$2:$B$1000,0)),IFERROR(INDEX('Raw Provisioning'!$E$2:$E$1000,MATCH(B174,'Raw Provisioning'!$B$2:$B$1000,0)),"Missing from latest raw")))</x:f>
      </x:c>
      <x:c r="E174" s="188" t="str">
        <x:f>IF(B174="","",IF(D174="completed","Completed in CSSP",IF(D174="executing","Active - Executing",IF(D174="processing","Ready to Assign",IF(D174="Missing from latest raw","Check Source","Not Managed - "&amp;D174)))))</x:f>
      </x:c>
      <x:c r="F174" s="189" t="str">
        <x:f>IF(B174="","",IFERROR(INDEX('Task Master'!$K$5:$K$804,MATCH(B174,'Task Master'!$A$5:$A$804,0)),""))</x:f>
      </x:c>
      <x:c r="G174" s="190"/>
      <x:c r="H174" s="190"/>
      <x:c r="I174" s="191"/>
      <x:c r="J174" s="190"/>
      <x:c r="K174" s="190"/>
      <x:c r="L174" s="195"/>
      <x:c r="M174" s="190"/>
      <x:c r="N174" s="187"/>
      <x:c r="O174" s="192"/>
      <x:c r="P174" s="192"/>
      <x:c r="Q174" s="170" t="str">
        <x:f>IF(OR(A174="",B174=""),"",IF(A174=LOOKUP(2,1/($B$5:$B$704=B174),$A$5:$A$704),"Yes","No"))</x:f>
      </x:c>
    </x:row>
    <x:row r="175">
      <x:c r="A175" s="193"/>
      <x:c r="B175" s="187"/>
      <x:c r="C175" s="188" t="str">
        <x:f>IF(B175="","",IF(COUNTIF('Raw Decommissioning'!$B$2:$B$1000,B175)&gt;0,"Decommissioning",IF(COUNTIF('Raw Provisioning'!$B$2:$B$1000,B175)&gt;0,"Provisioning","Not in latest raw")))</x:f>
      </x:c>
      <x:c r="D175" s="188" t="str">
        <x:f>IF(B175="","",IFERROR(INDEX('Raw Decommissioning'!$E$2:$E$1000,MATCH(B175,'Raw Decommissioning'!$B$2:$B$1000,0)),IFERROR(INDEX('Raw Provisioning'!$E$2:$E$1000,MATCH(B175,'Raw Provisioning'!$B$2:$B$1000,0)),"Missing from latest raw")))</x:f>
      </x:c>
      <x:c r="E175" s="188" t="str">
        <x:f>IF(B175="","",IF(D175="completed","Completed in CSSP",IF(D175="executing","Active - Executing",IF(D175="processing","Ready to Assign",IF(D175="Missing from latest raw","Check Source","Not Managed - "&amp;D175)))))</x:f>
      </x:c>
      <x:c r="F175" s="189" t="str">
        <x:f>IF(B175="","",IFERROR(INDEX('Task Master'!$K$5:$K$804,MATCH(B175,'Task Master'!$A$5:$A$804,0)),""))</x:f>
      </x:c>
      <x:c r="G175" s="190"/>
      <x:c r="H175" s="190"/>
      <x:c r="I175" s="191"/>
      <x:c r="J175" s="190"/>
      <x:c r="K175" s="190"/>
      <x:c r="L175" s="195"/>
      <x:c r="M175" s="190"/>
      <x:c r="N175" s="187"/>
      <x:c r="O175" s="192"/>
      <x:c r="P175" s="192"/>
      <x:c r="Q175" s="170" t="str">
        <x:f>IF(OR(A175="",B175=""),"",IF(A175=LOOKUP(2,1/($B$5:$B$704=B175),$A$5:$A$704),"Yes","No"))</x:f>
      </x:c>
    </x:row>
    <x:row r="176">
      <x:c r="A176" s="193"/>
      <x:c r="B176" s="187"/>
      <x:c r="C176" s="188" t="str">
        <x:f>IF(B176="","",IF(COUNTIF('Raw Decommissioning'!$B$2:$B$1000,B176)&gt;0,"Decommissioning",IF(COUNTIF('Raw Provisioning'!$B$2:$B$1000,B176)&gt;0,"Provisioning","Not in latest raw")))</x:f>
      </x:c>
      <x:c r="D176" s="188" t="str">
        <x:f>IF(B176="","",IFERROR(INDEX('Raw Decommissioning'!$E$2:$E$1000,MATCH(B176,'Raw Decommissioning'!$B$2:$B$1000,0)),IFERROR(INDEX('Raw Provisioning'!$E$2:$E$1000,MATCH(B176,'Raw Provisioning'!$B$2:$B$1000,0)),"Missing from latest raw")))</x:f>
      </x:c>
      <x:c r="E176" s="188" t="str">
        <x:f>IF(B176="","",IF(D176="completed","Completed in CSSP",IF(D176="executing","Active - Executing",IF(D176="processing","Ready to Assign",IF(D176="Missing from latest raw","Check Source","Not Managed - "&amp;D176)))))</x:f>
      </x:c>
      <x:c r="F176" s="189" t="str">
        <x:f>IF(B176="","",IFERROR(INDEX('Task Master'!$K$5:$K$804,MATCH(B176,'Task Master'!$A$5:$A$804,0)),""))</x:f>
      </x:c>
      <x:c r="G176" s="190"/>
      <x:c r="H176" s="190"/>
      <x:c r="I176" s="191"/>
      <x:c r="J176" s="190"/>
      <x:c r="K176" s="190"/>
      <x:c r="L176" s="195"/>
      <x:c r="M176" s="190"/>
      <x:c r="N176" s="187"/>
      <x:c r="O176" s="192"/>
      <x:c r="P176" s="192"/>
      <x:c r="Q176" s="170" t="str">
        <x:f>IF(OR(A176="",B176=""),"",IF(A176=LOOKUP(2,1/($B$5:$B$704=B176),$A$5:$A$704),"Yes","No"))</x:f>
      </x:c>
    </x:row>
    <x:row r="177">
      <x:c r="A177" s="193"/>
      <x:c r="B177" s="187"/>
      <x:c r="C177" s="188" t="str">
        <x:f>IF(B177="","",IF(COUNTIF('Raw Decommissioning'!$B$2:$B$1000,B177)&gt;0,"Decommissioning",IF(COUNTIF('Raw Provisioning'!$B$2:$B$1000,B177)&gt;0,"Provisioning","Not in latest raw")))</x:f>
      </x:c>
      <x:c r="D177" s="188" t="str">
        <x:f>IF(B177="","",IFERROR(INDEX('Raw Decommissioning'!$E$2:$E$1000,MATCH(B177,'Raw Decommissioning'!$B$2:$B$1000,0)),IFERROR(INDEX('Raw Provisioning'!$E$2:$E$1000,MATCH(B177,'Raw Provisioning'!$B$2:$B$1000,0)),"Missing from latest raw")))</x:f>
      </x:c>
      <x:c r="E177" s="188" t="str">
        <x:f>IF(B177="","",IF(D177="completed","Completed in CSSP",IF(D177="executing","Active - Executing",IF(D177="processing","Ready to Assign",IF(D177="Missing from latest raw","Check Source","Not Managed - "&amp;D177)))))</x:f>
      </x:c>
      <x:c r="F177" s="189" t="str">
        <x:f>IF(B177="","",IFERROR(INDEX('Task Master'!$K$5:$K$804,MATCH(B177,'Task Master'!$A$5:$A$804,0)),""))</x:f>
      </x:c>
      <x:c r="G177" s="190"/>
      <x:c r="H177" s="190"/>
      <x:c r="I177" s="191"/>
      <x:c r="J177" s="190"/>
      <x:c r="K177" s="190"/>
      <x:c r="L177" s="195"/>
      <x:c r="M177" s="190"/>
      <x:c r="N177" s="187"/>
      <x:c r="O177" s="192"/>
      <x:c r="P177" s="192"/>
      <x:c r="Q177" s="170" t="str">
        <x:f>IF(OR(A177="",B177=""),"",IF(A177=LOOKUP(2,1/($B$5:$B$704=B177),$A$5:$A$704),"Yes","No"))</x:f>
      </x:c>
    </x:row>
    <x:row r="178">
      <x:c r="A178" s="193"/>
      <x:c r="B178" s="187"/>
      <x:c r="C178" s="188" t="str">
        <x:f>IF(B178="","",IF(COUNTIF('Raw Decommissioning'!$B$2:$B$1000,B178)&gt;0,"Decommissioning",IF(COUNTIF('Raw Provisioning'!$B$2:$B$1000,B178)&gt;0,"Provisioning","Not in latest raw")))</x:f>
      </x:c>
      <x:c r="D178" s="188" t="str">
        <x:f>IF(B178="","",IFERROR(INDEX('Raw Decommissioning'!$E$2:$E$1000,MATCH(B178,'Raw Decommissioning'!$B$2:$B$1000,0)),IFERROR(INDEX('Raw Provisioning'!$E$2:$E$1000,MATCH(B178,'Raw Provisioning'!$B$2:$B$1000,0)),"Missing from latest raw")))</x:f>
      </x:c>
      <x:c r="E178" s="188" t="str">
        <x:f>IF(B178="","",IF(D178="completed","Completed in CSSP",IF(D178="executing","Active - Executing",IF(D178="processing","Ready to Assign",IF(D178="Missing from latest raw","Check Source","Not Managed - "&amp;D178)))))</x:f>
      </x:c>
      <x:c r="F178" s="189" t="str">
        <x:f>IF(B178="","",IFERROR(INDEX('Task Master'!$K$5:$K$804,MATCH(B178,'Task Master'!$A$5:$A$804,0)),""))</x:f>
      </x:c>
      <x:c r="G178" s="190"/>
      <x:c r="H178" s="190"/>
      <x:c r="I178" s="191"/>
      <x:c r="J178" s="190"/>
      <x:c r="K178" s="190"/>
      <x:c r="L178" s="195"/>
      <x:c r="M178" s="190"/>
      <x:c r="N178" s="187"/>
      <x:c r="O178" s="192"/>
      <x:c r="P178" s="192"/>
      <x:c r="Q178" s="170" t="str">
        <x:f>IF(OR(A178="",B178=""),"",IF(A178=LOOKUP(2,1/($B$5:$B$704=B178),$A$5:$A$704),"Yes","No"))</x:f>
      </x:c>
    </x:row>
    <x:row r="179">
      <x:c r="A179" s="193"/>
      <x:c r="B179" s="187"/>
      <x:c r="C179" s="188" t="str">
        <x:f>IF(B179="","",IF(COUNTIF('Raw Decommissioning'!$B$2:$B$1000,B179)&gt;0,"Decommissioning",IF(COUNTIF('Raw Provisioning'!$B$2:$B$1000,B179)&gt;0,"Provisioning","Not in latest raw")))</x:f>
      </x:c>
      <x:c r="D179" s="188" t="str">
        <x:f>IF(B179="","",IFERROR(INDEX('Raw Decommissioning'!$E$2:$E$1000,MATCH(B179,'Raw Decommissioning'!$B$2:$B$1000,0)),IFERROR(INDEX('Raw Provisioning'!$E$2:$E$1000,MATCH(B179,'Raw Provisioning'!$B$2:$B$1000,0)),"Missing from latest raw")))</x:f>
      </x:c>
      <x:c r="E179" s="188" t="str">
        <x:f>IF(B179="","",IF(D179="completed","Completed in CSSP",IF(D179="executing","Active - Executing",IF(D179="processing","Ready to Assign",IF(D179="Missing from latest raw","Check Source","Not Managed - "&amp;D179)))))</x:f>
      </x:c>
      <x:c r="F179" s="189" t="str">
        <x:f>IF(B179="","",IFERROR(INDEX('Task Master'!$K$5:$K$804,MATCH(B179,'Task Master'!$A$5:$A$804,0)),""))</x:f>
      </x:c>
      <x:c r="G179" s="190"/>
      <x:c r="H179" s="190"/>
      <x:c r="I179" s="191"/>
      <x:c r="J179" s="190"/>
      <x:c r="K179" s="190"/>
      <x:c r="L179" s="195"/>
      <x:c r="M179" s="190"/>
      <x:c r="N179" s="187"/>
      <x:c r="O179" s="192"/>
      <x:c r="P179" s="192"/>
      <x:c r="Q179" s="170" t="str">
        <x:f>IF(OR(A179="",B179=""),"",IF(A179=LOOKUP(2,1/($B$5:$B$704=B179),$A$5:$A$704),"Yes","No"))</x:f>
      </x:c>
    </x:row>
    <x:row r="180">
      <x:c r="A180" s="193"/>
      <x:c r="B180" s="187"/>
      <x:c r="C180" s="188" t="str">
        <x:f>IF(B180="","",IF(COUNTIF('Raw Decommissioning'!$B$2:$B$1000,B180)&gt;0,"Decommissioning",IF(COUNTIF('Raw Provisioning'!$B$2:$B$1000,B180)&gt;0,"Provisioning","Not in latest raw")))</x:f>
      </x:c>
      <x:c r="D180" s="188" t="str">
        <x:f>IF(B180="","",IFERROR(INDEX('Raw Decommissioning'!$E$2:$E$1000,MATCH(B180,'Raw Decommissioning'!$B$2:$B$1000,0)),IFERROR(INDEX('Raw Provisioning'!$E$2:$E$1000,MATCH(B180,'Raw Provisioning'!$B$2:$B$1000,0)),"Missing from latest raw")))</x:f>
      </x:c>
      <x:c r="E180" s="188" t="str">
        <x:f>IF(B180="","",IF(D180="completed","Completed in CSSP",IF(D180="executing","Active - Executing",IF(D180="processing","Ready to Assign",IF(D180="Missing from latest raw","Check Source","Not Managed - "&amp;D180)))))</x:f>
      </x:c>
      <x:c r="F180" s="189" t="str">
        <x:f>IF(B180="","",IFERROR(INDEX('Task Master'!$K$5:$K$804,MATCH(B180,'Task Master'!$A$5:$A$804,0)),""))</x:f>
      </x:c>
      <x:c r="G180" s="190"/>
      <x:c r="H180" s="190"/>
      <x:c r="I180" s="191"/>
      <x:c r="J180" s="190"/>
      <x:c r="K180" s="190"/>
      <x:c r="L180" s="195"/>
      <x:c r="M180" s="190"/>
      <x:c r="N180" s="187"/>
      <x:c r="O180" s="192"/>
      <x:c r="P180" s="192"/>
      <x:c r="Q180" s="170" t="str">
        <x:f>IF(OR(A180="",B180=""),"",IF(A180=LOOKUP(2,1/($B$5:$B$704=B180),$A$5:$A$704),"Yes","No"))</x:f>
      </x:c>
    </x:row>
    <x:row r="181">
      <x:c r="A181" s="193"/>
      <x:c r="B181" s="187"/>
      <x:c r="C181" s="188" t="str">
        <x:f>IF(B181="","",IF(COUNTIF('Raw Decommissioning'!$B$2:$B$1000,B181)&gt;0,"Decommissioning",IF(COUNTIF('Raw Provisioning'!$B$2:$B$1000,B181)&gt;0,"Provisioning","Not in latest raw")))</x:f>
      </x:c>
      <x:c r="D181" s="188" t="str">
        <x:f>IF(B181="","",IFERROR(INDEX('Raw Decommissioning'!$E$2:$E$1000,MATCH(B181,'Raw Decommissioning'!$B$2:$B$1000,0)),IFERROR(INDEX('Raw Provisioning'!$E$2:$E$1000,MATCH(B181,'Raw Provisioning'!$B$2:$B$1000,0)),"Missing from latest raw")))</x:f>
      </x:c>
      <x:c r="E181" s="188" t="str">
        <x:f>IF(B181="","",IF(D181="completed","Completed in CSSP",IF(D181="executing","Active - Executing",IF(D181="processing","Ready to Assign",IF(D181="Missing from latest raw","Check Source","Not Managed - "&amp;D181)))))</x:f>
      </x:c>
      <x:c r="F181" s="189" t="str">
        <x:f>IF(B181="","",IFERROR(INDEX('Task Master'!$K$5:$K$804,MATCH(B181,'Task Master'!$A$5:$A$804,0)),""))</x:f>
      </x:c>
      <x:c r="G181" s="190"/>
      <x:c r="H181" s="190"/>
      <x:c r="I181" s="191"/>
      <x:c r="J181" s="190"/>
      <x:c r="K181" s="190"/>
      <x:c r="L181" s="195"/>
      <x:c r="M181" s="190"/>
      <x:c r="N181" s="187"/>
      <x:c r="O181" s="192"/>
      <x:c r="P181" s="192"/>
      <x:c r="Q181" s="170" t="str">
        <x:f>IF(OR(A181="",B181=""),"",IF(A181=LOOKUP(2,1/($B$5:$B$704=B181),$A$5:$A$704),"Yes","No"))</x:f>
      </x:c>
    </x:row>
    <x:row r="182">
      <x:c r="A182" s="193"/>
      <x:c r="B182" s="187"/>
      <x:c r="C182" s="188" t="str">
        <x:f>IF(B182="","",IF(COUNTIF('Raw Decommissioning'!$B$2:$B$1000,B182)&gt;0,"Decommissioning",IF(COUNTIF('Raw Provisioning'!$B$2:$B$1000,B182)&gt;0,"Provisioning","Not in latest raw")))</x:f>
      </x:c>
      <x:c r="D182" s="188" t="str">
        <x:f>IF(B182="","",IFERROR(INDEX('Raw Decommissioning'!$E$2:$E$1000,MATCH(B182,'Raw Decommissioning'!$B$2:$B$1000,0)),IFERROR(INDEX('Raw Provisioning'!$E$2:$E$1000,MATCH(B182,'Raw Provisioning'!$B$2:$B$1000,0)),"Missing from latest raw")))</x:f>
      </x:c>
      <x:c r="E182" s="188" t="str">
        <x:f>IF(B182="","",IF(D182="completed","Completed in CSSP",IF(D182="executing","Active - Executing",IF(D182="processing","Ready to Assign",IF(D182="Missing from latest raw","Check Source","Not Managed - "&amp;D182)))))</x:f>
      </x:c>
      <x:c r="F182" s="189" t="str">
        <x:f>IF(B182="","",IFERROR(INDEX('Task Master'!$K$5:$K$804,MATCH(B182,'Task Master'!$A$5:$A$804,0)),""))</x:f>
      </x:c>
      <x:c r="G182" s="190"/>
      <x:c r="H182" s="190"/>
      <x:c r="I182" s="191"/>
      <x:c r="J182" s="190"/>
      <x:c r="K182" s="190"/>
      <x:c r="L182" s="195"/>
      <x:c r="M182" s="190"/>
      <x:c r="N182" s="187"/>
      <x:c r="O182" s="192"/>
      <x:c r="P182" s="192"/>
      <x:c r="Q182" s="170" t="str">
        <x:f>IF(OR(A182="",B182=""),"",IF(A182=LOOKUP(2,1/($B$5:$B$704=B182),$A$5:$A$704),"Yes","No"))</x:f>
      </x:c>
    </x:row>
    <x:row r="183">
      <x:c r="A183" s="193"/>
      <x:c r="B183" s="187"/>
      <x:c r="C183" s="188" t="str">
        <x:f>IF(B183="","",IF(COUNTIF('Raw Decommissioning'!$B$2:$B$1000,B183)&gt;0,"Decommissioning",IF(COUNTIF('Raw Provisioning'!$B$2:$B$1000,B183)&gt;0,"Provisioning","Not in latest raw")))</x:f>
      </x:c>
      <x:c r="D183" s="188" t="str">
        <x:f>IF(B183="","",IFERROR(INDEX('Raw Decommissioning'!$E$2:$E$1000,MATCH(B183,'Raw Decommissioning'!$B$2:$B$1000,0)),IFERROR(INDEX('Raw Provisioning'!$E$2:$E$1000,MATCH(B183,'Raw Provisioning'!$B$2:$B$1000,0)),"Missing from latest raw")))</x:f>
      </x:c>
      <x:c r="E183" s="188" t="str">
        <x:f>IF(B183="","",IF(D183="completed","Completed in CSSP",IF(D183="executing","Active - Executing",IF(D183="processing","Ready to Assign",IF(D183="Missing from latest raw","Check Source","Not Managed - "&amp;D183)))))</x:f>
      </x:c>
      <x:c r="F183" s="189" t="str">
        <x:f>IF(B183="","",IFERROR(INDEX('Task Master'!$K$5:$K$804,MATCH(B183,'Task Master'!$A$5:$A$804,0)),""))</x:f>
      </x:c>
      <x:c r="G183" s="190"/>
      <x:c r="H183" s="190"/>
      <x:c r="I183" s="191"/>
      <x:c r="J183" s="190"/>
      <x:c r="K183" s="190"/>
      <x:c r="L183" s="195"/>
      <x:c r="M183" s="190"/>
      <x:c r="N183" s="187"/>
      <x:c r="O183" s="192"/>
      <x:c r="P183" s="192"/>
      <x:c r="Q183" s="170" t="str">
        <x:f>IF(OR(A183="",B183=""),"",IF(A183=LOOKUP(2,1/($B$5:$B$704=B183),$A$5:$A$704),"Yes","No"))</x:f>
      </x:c>
    </x:row>
    <x:row r="184">
      <x:c r="A184" s="193"/>
      <x:c r="B184" s="187"/>
      <x:c r="C184" s="188" t="str">
        <x:f>IF(B184="","",IF(COUNTIF('Raw Decommissioning'!$B$2:$B$1000,B184)&gt;0,"Decommissioning",IF(COUNTIF('Raw Provisioning'!$B$2:$B$1000,B184)&gt;0,"Provisioning","Not in latest raw")))</x:f>
      </x:c>
      <x:c r="D184" s="188" t="str">
        <x:f>IF(B184="","",IFERROR(INDEX('Raw Decommissioning'!$E$2:$E$1000,MATCH(B184,'Raw Decommissioning'!$B$2:$B$1000,0)),IFERROR(INDEX('Raw Provisioning'!$E$2:$E$1000,MATCH(B184,'Raw Provisioning'!$B$2:$B$1000,0)),"Missing from latest raw")))</x:f>
      </x:c>
      <x:c r="E184" s="188" t="str">
        <x:f>IF(B184="","",IF(D184="completed","Completed in CSSP",IF(D184="executing","Active - Executing",IF(D184="processing","Ready to Assign",IF(D184="Missing from latest raw","Check Source","Not Managed - "&amp;D184)))))</x:f>
      </x:c>
      <x:c r="F184" s="189" t="str">
        <x:f>IF(B184="","",IFERROR(INDEX('Task Master'!$K$5:$K$804,MATCH(B184,'Task Master'!$A$5:$A$804,0)),""))</x:f>
      </x:c>
      <x:c r="G184" s="190"/>
      <x:c r="H184" s="190"/>
      <x:c r="I184" s="191"/>
      <x:c r="J184" s="190"/>
      <x:c r="K184" s="190"/>
      <x:c r="L184" s="195"/>
      <x:c r="M184" s="190"/>
      <x:c r="N184" s="187"/>
      <x:c r="O184" s="192"/>
      <x:c r="P184" s="192"/>
      <x:c r="Q184" s="170" t="str">
        <x:f>IF(OR(A184="",B184=""),"",IF(A184=LOOKUP(2,1/($B$5:$B$704=B184),$A$5:$A$704),"Yes","No"))</x:f>
      </x:c>
    </x:row>
    <x:row r="185">
      <x:c r="A185" s="193"/>
      <x:c r="B185" s="187"/>
      <x:c r="C185" s="188" t="str">
        <x:f>IF(B185="","",IF(COUNTIF('Raw Decommissioning'!$B$2:$B$1000,B185)&gt;0,"Decommissioning",IF(COUNTIF('Raw Provisioning'!$B$2:$B$1000,B185)&gt;0,"Provisioning","Not in latest raw")))</x:f>
      </x:c>
      <x:c r="D185" s="188" t="str">
        <x:f>IF(B185="","",IFERROR(INDEX('Raw Decommissioning'!$E$2:$E$1000,MATCH(B185,'Raw Decommissioning'!$B$2:$B$1000,0)),IFERROR(INDEX('Raw Provisioning'!$E$2:$E$1000,MATCH(B185,'Raw Provisioning'!$B$2:$B$1000,0)),"Missing from latest raw")))</x:f>
      </x:c>
      <x:c r="E185" s="188" t="str">
        <x:f>IF(B185="","",IF(D185="completed","Completed in CSSP",IF(D185="executing","Active - Executing",IF(D185="processing","Ready to Assign",IF(D185="Missing from latest raw","Check Source","Not Managed - "&amp;D185)))))</x:f>
      </x:c>
      <x:c r="F185" s="189" t="str">
        <x:f>IF(B185="","",IFERROR(INDEX('Task Master'!$K$5:$K$804,MATCH(B185,'Task Master'!$A$5:$A$804,0)),""))</x:f>
      </x:c>
      <x:c r="G185" s="190"/>
      <x:c r="H185" s="190"/>
      <x:c r="I185" s="191"/>
      <x:c r="J185" s="190"/>
      <x:c r="K185" s="190"/>
      <x:c r="L185" s="195"/>
      <x:c r="M185" s="190"/>
      <x:c r="N185" s="187"/>
      <x:c r="O185" s="192"/>
      <x:c r="P185" s="192"/>
      <x:c r="Q185" s="170" t="str">
        <x:f>IF(OR(A185="",B185=""),"",IF(A185=LOOKUP(2,1/($B$5:$B$704=B185),$A$5:$A$704),"Yes","No"))</x:f>
      </x:c>
    </x:row>
    <x:row r="186">
      <x:c r="A186" s="193"/>
      <x:c r="B186" s="187"/>
      <x:c r="C186" s="188" t="str">
        <x:f>IF(B186="","",IF(COUNTIF('Raw Decommissioning'!$B$2:$B$1000,B186)&gt;0,"Decommissioning",IF(COUNTIF('Raw Provisioning'!$B$2:$B$1000,B186)&gt;0,"Provisioning","Not in latest raw")))</x:f>
      </x:c>
      <x:c r="D186" s="188" t="str">
        <x:f>IF(B186="","",IFERROR(INDEX('Raw Decommissioning'!$E$2:$E$1000,MATCH(B186,'Raw Decommissioning'!$B$2:$B$1000,0)),IFERROR(INDEX('Raw Provisioning'!$E$2:$E$1000,MATCH(B186,'Raw Provisioning'!$B$2:$B$1000,0)),"Missing from latest raw")))</x:f>
      </x:c>
      <x:c r="E186" s="188" t="str">
        <x:f>IF(B186="","",IF(D186="completed","Completed in CSSP",IF(D186="executing","Active - Executing",IF(D186="processing","Ready to Assign",IF(D186="Missing from latest raw","Check Source","Not Managed - "&amp;D186)))))</x:f>
      </x:c>
      <x:c r="F186" s="189" t="str">
        <x:f>IF(B186="","",IFERROR(INDEX('Task Master'!$K$5:$K$804,MATCH(B186,'Task Master'!$A$5:$A$804,0)),""))</x:f>
      </x:c>
      <x:c r="G186" s="190"/>
      <x:c r="H186" s="190"/>
      <x:c r="I186" s="191"/>
      <x:c r="J186" s="190"/>
      <x:c r="K186" s="190"/>
      <x:c r="L186" s="195"/>
      <x:c r="M186" s="190"/>
      <x:c r="N186" s="187"/>
      <x:c r="O186" s="192"/>
      <x:c r="P186" s="192"/>
      <x:c r="Q186" s="170" t="str">
        <x:f>IF(OR(A186="",B186=""),"",IF(A186=LOOKUP(2,1/($B$5:$B$704=B186),$A$5:$A$704),"Yes","No"))</x:f>
      </x:c>
    </x:row>
    <x:row r="187">
      <x:c r="A187" s="193"/>
      <x:c r="B187" s="187"/>
      <x:c r="C187" s="188" t="str">
        <x:f>IF(B187="","",IF(COUNTIF('Raw Decommissioning'!$B$2:$B$1000,B187)&gt;0,"Decommissioning",IF(COUNTIF('Raw Provisioning'!$B$2:$B$1000,B187)&gt;0,"Provisioning","Not in latest raw")))</x:f>
      </x:c>
      <x:c r="D187" s="188" t="str">
        <x:f>IF(B187="","",IFERROR(INDEX('Raw Decommissioning'!$E$2:$E$1000,MATCH(B187,'Raw Decommissioning'!$B$2:$B$1000,0)),IFERROR(INDEX('Raw Provisioning'!$E$2:$E$1000,MATCH(B187,'Raw Provisioning'!$B$2:$B$1000,0)),"Missing from latest raw")))</x:f>
      </x:c>
      <x:c r="E187" s="188" t="str">
        <x:f>IF(B187="","",IF(D187="completed","Completed in CSSP",IF(D187="executing","Active - Executing",IF(D187="processing","Ready to Assign",IF(D187="Missing from latest raw","Check Source","Not Managed - "&amp;D187)))))</x:f>
      </x:c>
      <x:c r="F187" s="189" t="str">
        <x:f>IF(B187="","",IFERROR(INDEX('Task Master'!$K$5:$K$804,MATCH(B187,'Task Master'!$A$5:$A$804,0)),""))</x:f>
      </x:c>
      <x:c r="G187" s="190"/>
      <x:c r="H187" s="190"/>
      <x:c r="I187" s="191"/>
      <x:c r="J187" s="190"/>
      <x:c r="K187" s="190"/>
      <x:c r="L187" s="195"/>
      <x:c r="M187" s="190"/>
      <x:c r="N187" s="187"/>
      <x:c r="O187" s="192"/>
      <x:c r="P187" s="192"/>
      <x:c r="Q187" s="170" t="str">
        <x:f>IF(OR(A187="",B187=""),"",IF(A187=LOOKUP(2,1/($B$5:$B$704=B187),$A$5:$A$704),"Yes","No"))</x:f>
      </x:c>
    </x:row>
    <x:row r="188">
      <x:c r="A188" s="193"/>
      <x:c r="B188" s="187"/>
      <x:c r="C188" s="188" t="str">
        <x:f>IF(B188="","",IF(COUNTIF('Raw Decommissioning'!$B$2:$B$1000,B188)&gt;0,"Decommissioning",IF(COUNTIF('Raw Provisioning'!$B$2:$B$1000,B188)&gt;0,"Provisioning","Not in latest raw")))</x:f>
      </x:c>
      <x:c r="D188" s="188" t="str">
        <x:f>IF(B188="","",IFERROR(INDEX('Raw Decommissioning'!$E$2:$E$1000,MATCH(B188,'Raw Decommissioning'!$B$2:$B$1000,0)),IFERROR(INDEX('Raw Provisioning'!$E$2:$E$1000,MATCH(B188,'Raw Provisioning'!$B$2:$B$1000,0)),"Missing from latest raw")))</x:f>
      </x:c>
      <x:c r="E188" s="188" t="str">
        <x:f>IF(B188="","",IF(D188="completed","Completed in CSSP",IF(D188="executing","Active - Executing",IF(D188="processing","Ready to Assign",IF(D188="Missing from latest raw","Check Source","Not Managed - "&amp;D188)))))</x:f>
      </x:c>
      <x:c r="F188" s="189" t="str">
        <x:f>IF(B188="","",IFERROR(INDEX('Task Master'!$K$5:$K$804,MATCH(B188,'Task Master'!$A$5:$A$804,0)),""))</x:f>
      </x:c>
      <x:c r="G188" s="190"/>
      <x:c r="H188" s="190"/>
      <x:c r="I188" s="191"/>
      <x:c r="J188" s="190"/>
      <x:c r="K188" s="190"/>
      <x:c r="L188" s="195"/>
      <x:c r="M188" s="190"/>
      <x:c r="N188" s="187"/>
      <x:c r="O188" s="192"/>
      <x:c r="P188" s="192"/>
      <x:c r="Q188" s="170" t="str">
        <x:f>IF(OR(A188="",B188=""),"",IF(A188=LOOKUP(2,1/($B$5:$B$704=B188),$A$5:$A$704),"Yes","No"))</x:f>
      </x:c>
    </x:row>
    <x:row r="189">
      <x:c r="A189" s="193"/>
      <x:c r="B189" s="187"/>
      <x:c r="C189" s="188" t="str">
        <x:f>IF(B189="","",IF(COUNTIF('Raw Decommissioning'!$B$2:$B$1000,B189)&gt;0,"Decommissioning",IF(COUNTIF('Raw Provisioning'!$B$2:$B$1000,B189)&gt;0,"Provisioning","Not in latest raw")))</x:f>
      </x:c>
      <x:c r="D189" s="188" t="str">
        <x:f>IF(B189="","",IFERROR(INDEX('Raw Decommissioning'!$E$2:$E$1000,MATCH(B189,'Raw Decommissioning'!$B$2:$B$1000,0)),IFERROR(INDEX('Raw Provisioning'!$E$2:$E$1000,MATCH(B189,'Raw Provisioning'!$B$2:$B$1000,0)),"Missing from latest raw")))</x:f>
      </x:c>
      <x:c r="E189" s="188" t="str">
        <x:f>IF(B189="","",IF(D189="completed","Completed in CSSP",IF(D189="executing","Active - Executing",IF(D189="processing","Ready to Assign",IF(D189="Missing from latest raw","Check Source","Not Managed - "&amp;D189)))))</x:f>
      </x:c>
      <x:c r="F189" s="189" t="str">
        <x:f>IF(B189="","",IFERROR(INDEX('Task Master'!$K$5:$K$804,MATCH(B189,'Task Master'!$A$5:$A$804,0)),""))</x:f>
      </x:c>
      <x:c r="G189" s="190"/>
      <x:c r="H189" s="190"/>
      <x:c r="I189" s="191"/>
      <x:c r="J189" s="190"/>
      <x:c r="K189" s="190"/>
      <x:c r="L189" s="195"/>
      <x:c r="M189" s="190"/>
      <x:c r="N189" s="187"/>
      <x:c r="O189" s="192"/>
      <x:c r="P189" s="192"/>
      <x:c r="Q189" s="170" t="str">
        <x:f>IF(OR(A189="",B189=""),"",IF(A189=LOOKUP(2,1/($B$5:$B$704=B189),$A$5:$A$704),"Yes","No"))</x:f>
      </x:c>
    </x:row>
    <x:row r="190">
      <x:c r="A190" s="193"/>
      <x:c r="B190" s="187"/>
      <x:c r="C190" s="188" t="str">
        <x:f>IF(B190="","",IF(COUNTIF('Raw Decommissioning'!$B$2:$B$1000,B190)&gt;0,"Decommissioning",IF(COUNTIF('Raw Provisioning'!$B$2:$B$1000,B190)&gt;0,"Provisioning","Not in latest raw")))</x:f>
      </x:c>
      <x:c r="D190" s="188" t="str">
        <x:f>IF(B190="","",IFERROR(INDEX('Raw Decommissioning'!$E$2:$E$1000,MATCH(B190,'Raw Decommissioning'!$B$2:$B$1000,0)),IFERROR(INDEX('Raw Provisioning'!$E$2:$E$1000,MATCH(B190,'Raw Provisioning'!$B$2:$B$1000,0)),"Missing from latest raw")))</x:f>
      </x:c>
      <x:c r="E190" s="188" t="str">
        <x:f>IF(B190="","",IF(D190="completed","Completed in CSSP",IF(D190="executing","Active - Executing",IF(D190="processing","Ready to Assign",IF(D190="Missing from latest raw","Check Source","Not Managed - "&amp;D190)))))</x:f>
      </x:c>
      <x:c r="F190" s="189" t="str">
        <x:f>IF(B190="","",IFERROR(INDEX('Task Master'!$K$5:$K$804,MATCH(B190,'Task Master'!$A$5:$A$804,0)),""))</x:f>
      </x:c>
      <x:c r="G190" s="190"/>
      <x:c r="H190" s="190"/>
      <x:c r="I190" s="191"/>
      <x:c r="J190" s="190"/>
      <x:c r="K190" s="190"/>
      <x:c r="L190" s="195"/>
      <x:c r="M190" s="190"/>
      <x:c r="N190" s="187"/>
      <x:c r="O190" s="192"/>
      <x:c r="P190" s="192"/>
      <x:c r="Q190" s="170" t="str">
        <x:f>IF(OR(A190="",B190=""),"",IF(A190=LOOKUP(2,1/($B$5:$B$704=B190),$A$5:$A$704),"Yes","No"))</x:f>
      </x:c>
    </x:row>
    <x:row r="191">
      <x:c r="A191" s="193"/>
      <x:c r="B191" s="187"/>
      <x:c r="C191" s="188" t="str">
        <x:f>IF(B191="","",IF(COUNTIF('Raw Decommissioning'!$B$2:$B$1000,B191)&gt;0,"Decommissioning",IF(COUNTIF('Raw Provisioning'!$B$2:$B$1000,B191)&gt;0,"Provisioning","Not in latest raw")))</x:f>
      </x:c>
      <x:c r="D191" s="188" t="str">
        <x:f>IF(B191="","",IFERROR(INDEX('Raw Decommissioning'!$E$2:$E$1000,MATCH(B191,'Raw Decommissioning'!$B$2:$B$1000,0)),IFERROR(INDEX('Raw Provisioning'!$E$2:$E$1000,MATCH(B191,'Raw Provisioning'!$B$2:$B$1000,0)),"Missing from latest raw")))</x:f>
      </x:c>
      <x:c r="E191" s="188" t="str">
        <x:f>IF(B191="","",IF(D191="completed","Completed in CSSP",IF(D191="executing","Active - Executing",IF(D191="processing","Ready to Assign",IF(D191="Missing from latest raw","Check Source","Not Managed - "&amp;D191)))))</x:f>
      </x:c>
      <x:c r="F191" s="189" t="str">
        <x:f>IF(B191="","",IFERROR(INDEX('Task Master'!$K$5:$K$804,MATCH(B191,'Task Master'!$A$5:$A$804,0)),""))</x:f>
      </x:c>
      <x:c r="G191" s="190"/>
      <x:c r="H191" s="190"/>
      <x:c r="I191" s="191"/>
      <x:c r="J191" s="190"/>
      <x:c r="K191" s="190"/>
      <x:c r="L191" s="195"/>
      <x:c r="M191" s="190"/>
      <x:c r="N191" s="187"/>
      <x:c r="O191" s="192"/>
      <x:c r="P191" s="192"/>
      <x:c r="Q191" s="170" t="str">
        <x:f>IF(OR(A191="",B191=""),"",IF(A191=LOOKUP(2,1/($B$5:$B$704=B191),$A$5:$A$704),"Yes","No"))</x:f>
      </x:c>
    </x:row>
    <x:row r="192">
      <x:c r="A192" s="193"/>
      <x:c r="B192" s="187"/>
      <x:c r="C192" s="188" t="str">
        <x:f>IF(B192="","",IF(COUNTIF('Raw Decommissioning'!$B$2:$B$1000,B192)&gt;0,"Decommissioning",IF(COUNTIF('Raw Provisioning'!$B$2:$B$1000,B192)&gt;0,"Provisioning","Not in latest raw")))</x:f>
      </x:c>
      <x:c r="D192" s="188" t="str">
        <x:f>IF(B192="","",IFERROR(INDEX('Raw Decommissioning'!$E$2:$E$1000,MATCH(B192,'Raw Decommissioning'!$B$2:$B$1000,0)),IFERROR(INDEX('Raw Provisioning'!$E$2:$E$1000,MATCH(B192,'Raw Provisioning'!$B$2:$B$1000,0)),"Missing from latest raw")))</x:f>
      </x:c>
      <x:c r="E192" s="188" t="str">
        <x:f>IF(B192="","",IF(D192="completed","Completed in CSSP",IF(D192="executing","Active - Executing",IF(D192="processing","Ready to Assign",IF(D192="Missing from latest raw","Check Source","Not Managed - "&amp;D192)))))</x:f>
      </x:c>
      <x:c r="F192" s="189" t="str">
        <x:f>IF(B192="","",IFERROR(INDEX('Task Master'!$K$5:$K$804,MATCH(B192,'Task Master'!$A$5:$A$804,0)),""))</x:f>
      </x:c>
      <x:c r="G192" s="190"/>
      <x:c r="H192" s="190"/>
      <x:c r="I192" s="191"/>
      <x:c r="J192" s="190"/>
      <x:c r="K192" s="190"/>
      <x:c r="L192" s="195"/>
      <x:c r="M192" s="190"/>
      <x:c r="N192" s="187"/>
      <x:c r="O192" s="192"/>
      <x:c r="P192" s="192"/>
      <x:c r="Q192" s="170" t="str">
        <x:f>IF(OR(A192="",B192=""),"",IF(A192=LOOKUP(2,1/($B$5:$B$704=B192),$A$5:$A$704),"Yes","No"))</x:f>
      </x:c>
    </x:row>
    <x:row r="193">
      <x:c r="A193" s="193"/>
      <x:c r="B193" s="187"/>
      <x:c r="C193" s="188" t="str">
        <x:f>IF(B193="","",IF(COUNTIF('Raw Decommissioning'!$B$2:$B$1000,B193)&gt;0,"Decommissioning",IF(COUNTIF('Raw Provisioning'!$B$2:$B$1000,B193)&gt;0,"Provisioning","Not in latest raw")))</x:f>
      </x:c>
      <x:c r="D193" s="188" t="str">
        <x:f>IF(B193="","",IFERROR(INDEX('Raw Decommissioning'!$E$2:$E$1000,MATCH(B193,'Raw Decommissioning'!$B$2:$B$1000,0)),IFERROR(INDEX('Raw Provisioning'!$E$2:$E$1000,MATCH(B193,'Raw Provisioning'!$B$2:$B$1000,0)),"Missing from latest raw")))</x:f>
      </x:c>
      <x:c r="E193" s="188" t="str">
        <x:f>IF(B193="","",IF(D193="completed","Completed in CSSP",IF(D193="executing","Active - Executing",IF(D193="processing","Ready to Assign",IF(D193="Missing from latest raw","Check Source","Not Managed - "&amp;D193)))))</x:f>
      </x:c>
      <x:c r="F193" s="189" t="str">
        <x:f>IF(B193="","",IFERROR(INDEX('Task Master'!$K$5:$K$804,MATCH(B193,'Task Master'!$A$5:$A$804,0)),""))</x:f>
      </x:c>
      <x:c r="G193" s="190"/>
      <x:c r="H193" s="190"/>
      <x:c r="I193" s="191"/>
      <x:c r="J193" s="190"/>
      <x:c r="K193" s="190"/>
      <x:c r="L193" s="195"/>
      <x:c r="M193" s="190"/>
      <x:c r="N193" s="187"/>
      <x:c r="O193" s="192"/>
      <x:c r="P193" s="192"/>
      <x:c r="Q193" s="170" t="str">
        <x:f>IF(OR(A193="",B193=""),"",IF(A193=LOOKUP(2,1/($B$5:$B$704=B193),$A$5:$A$704),"Yes","No"))</x:f>
      </x:c>
    </x:row>
    <x:row r="194">
      <x:c r="A194" s="193"/>
      <x:c r="B194" s="187"/>
      <x:c r="C194" s="188" t="str">
        <x:f>IF(B194="","",IF(COUNTIF('Raw Decommissioning'!$B$2:$B$1000,B194)&gt;0,"Decommissioning",IF(COUNTIF('Raw Provisioning'!$B$2:$B$1000,B194)&gt;0,"Provisioning","Not in latest raw")))</x:f>
      </x:c>
      <x:c r="D194" s="188" t="str">
        <x:f>IF(B194="","",IFERROR(INDEX('Raw Decommissioning'!$E$2:$E$1000,MATCH(B194,'Raw Decommissioning'!$B$2:$B$1000,0)),IFERROR(INDEX('Raw Provisioning'!$E$2:$E$1000,MATCH(B194,'Raw Provisioning'!$B$2:$B$1000,0)),"Missing from latest raw")))</x:f>
      </x:c>
      <x:c r="E194" s="188" t="str">
        <x:f>IF(B194="","",IF(D194="completed","Completed in CSSP",IF(D194="executing","Active - Executing",IF(D194="processing","Ready to Assign",IF(D194="Missing from latest raw","Check Source","Not Managed - "&amp;D194)))))</x:f>
      </x:c>
      <x:c r="F194" s="189" t="str">
        <x:f>IF(B194="","",IFERROR(INDEX('Task Master'!$K$5:$K$804,MATCH(B194,'Task Master'!$A$5:$A$804,0)),""))</x:f>
      </x:c>
      <x:c r="G194" s="190"/>
      <x:c r="H194" s="190"/>
      <x:c r="I194" s="191"/>
      <x:c r="J194" s="190"/>
      <x:c r="K194" s="190"/>
      <x:c r="L194" s="195"/>
      <x:c r="M194" s="190"/>
      <x:c r="N194" s="187"/>
      <x:c r="O194" s="192"/>
      <x:c r="P194" s="192"/>
      <x:c r="Q194" s="170" t="str">
        <x:f>IF(OR(A194="",B194=""),"",IF(A194=LOOKUP(2,1/($B$5:$B$704=B194),$A$5:$A$704),"Yes","No"))</x:f>
      </x:c>
    </x:row>
    <x:row r="195">
      <x:c r="A195" s="193"/>
      <x:c r="B195" s="187"/>
      <x:c r="C195" s="188" t="str">
        <x:f>IF(B195="","",IF(COUNTIF('Raw Decommissioning'!$B$2:$B$1000,B195)&gt;0,"Decommissioning",IF(COUNTIF('Raw Provisioning'!$B$2:$B$1000,B195)&gt;0,"Provisioning","Not in latest raw")))</x:f>
      </x:c>
      <x:c r="D195" s="188" t="str">
        <x:f>IF(B195="","",IFERROR(INDEX('Raw Decommissioning'!$E$2:$E$1000,MATCH(B195,'Raw Decommissioning'!$B$2:$B$1000,0)),IFERROR(INDEX('Raw Provisioning'!$E$2:$E$1000,MATCH(B195,'Raw Provisioning'!$B$2:$B$1000,0)),"Missing from latest raw")))</x:f>
      </x:c>
      <x:c r="E195" s="188" t="str">
        <x:f>IF(B195="","",IF(D195="completed","Completed in CSSP",IF(D195="executing","Active - Executing",IF(D195="processing","Ready to Assign",IF(D195="Missing from latest raw","Check Source","Not Managed - "&amp;D195)))))</x:f>
      </x:c>
      <x:c r="F195" s="189" t="str">
        <x:f>IF(B195="","",IFERROR(INDEX('Task Master'!$K$5:$K$804,MATCH(B195,'Task Master'!$A$5:$A$804,0)),""))</x:f>
      </x:c>
      <x:c r="G195" s="190"/>
      <x:c r="H195" s="190"/>
      <x:c r="I195" s="191"/>
      <x:c r="J195" s="190"/>
      <x:c r="K195" s="190"/>
      <x:c r="L195" s="195"/>
      <x:c r="M195" s="190"/>
      <x:c r="N195" s="187"/>
      <x:c r="O195" s="192"/>
      <x:c r="P195" s="192"/>
      <x:c r="Q195" s="170" t="str">
        <x:f>IF(OR(A195="",B195=""),"",IF(A195=LOOKUP(2,1/($B$5:$B$704=B195),$A$5:$A$704),"Yes","No"))</x:f>
      </x:c>
    </x:row>
    <x:row r="196">
      <x:c r="A196" s="193"/>
      <x:c r="B196" s="187"/>
      <x:c r="C196" s="188" t="str">
        <x:f>IF(B196="","",IF(COUNTIF('Raw Decommissioning'!$B$2:$B$1000,B196)&gt;0,"Decommissioning",IF(COUNTIF('Raw Provisioning'!$B$2:$B$1000,B196)&gt;0,"Provisioning","Not in latest raw")))</x:f>
      </x:c>
      <x:c r="D196" s="188" t="str">
        <x:f>IF(B196="","",IFERROR(INDEX('Raw Decommissioning'!$E$2:$E$1000,MATCH(B196,'Raw Decommissioning'!$B$2:$B$1000,0)),IFERROR(INDEX('Raw Provisioning'!$E$2:$E$1000,MATCH(B196,'Raw Provisioning'!$B$2:$B$1000,0)),"Missing from latest raw")))</x:f>
      </x:c>
      <x:c r="E196" s="188" t="str">
        <x:f>IF(B196="","",IF(D196="completed","Completed in CSSP",IF(D196="executing","Active - Executing",IF(D196="processing","Ready to Assign",IF(D196="Missing from latest raw","Check Source","Not Managed - "&amp;D196)))))</x:f>
      </x:c>
      <x:c r="F196" s="189" t="str">
        <x:f>IF(B196="","",IFERROR(INDEX('Task Master'!$K$5:$K$804,MATCH(B196,'Task Master'!$A$5:$A$804,0)),""))</x:f>
      </x:c>
      <x:c r="G196" s="190"/>
      <x:c r="H196" s="190"/>
      <x:c r="I196" s="191"/>
      <x:c r="J196" s="190"/>
      <x:c r="K196" s="190"/>
      <x:c r="L196" s="195"/>
      <x:c r="M196" s="190"/>
      <x:c r="N196" s="187"/>
      <x:c r="O196" s="192"/>
      <x:c r="P196" s="192"/>
      <x:c r="Q196" s="170" t="str">
        <x:f>IF(OR(A196="",B196=""),"",IF(A196=LOOKUP(2,1/($B$5:$B$704=B196),$A$5:$A$704),"Yes","No"))</x:f>
      </x:c>
    </x:row>
    <x:row r="197">
      <x:c r="A197" s="193"/>
      <x:c r="B197" s="187"/>
      <x:c r="C197" s="188" t="str">
        <x:f>IF(B197="","",IF(COUNTIF('Raw Decommissioning'!$B$2:$B$1000,B197)&gt;0,"Decommissioning",IF(COUNTIF('Raw Provisioning'!$B$2:$B$1000,B197)&gt;0,"Provisioning","Not in latest raw")))</x:f>
      </x:c>
      <x:c r="D197" s="188" t="str">
        <x:f>IF(B197="","",IFERROR(INDEX('Raw Decommissioning'!$E$2:$E$1000,MATCH(B197,'Raw Decommissioning'!$B$2:$B$1000,0)),IFERROR(INDEX('Raw Provisioning'!$E$2:$E$1000,MATCH(B197,'Raw Provisioning'!$B$2:$B$1000,0)),"Missing from latest raw")))</x:f>
      </x:c>
      <x:c r="E197" s="188" t="str">
        <x:f>IF(B197="","",IF(D197="completed","Completed in CSSP",IF(D197="executing","Active - Executing",IF(D197="processing","Ready to Assign",IF(D197="Missing from latest raw","Check Source","Not Managed - "&amp;D197)))))</x:f>
      </x:c>
      <x:c r="F197" s="189" t="str">
        <x:f>IF(B197="","",IFERROR(INDEX('Task Master'!$K$5:$K$804,MATCH(B197,'Task Master'!$A$5:$A$804,0)),""))</x:f>
      </x:c>
      <x:c r="G197" s="190"/>
      <x:c r="H197" s="190"/>
      <x:c r="I197" s="191"/>
      <x:c r="J197" s="190"/>
      <x:c r="K197" s="190"/>
      <x:c r="L197" s="195"/>
      <x:c r="M197" s="190"/>
      <x:c r="N197" s="187"/>
      <x:c r="O197" s="192"/>
      <x:c r="P197" s="192"/>
      <x:c r="Q197" s="170" t="str">
        <x:f>IF(OR(A197="",B197=""),"",IF(A197=LOOKUP(2,1/($B$5:$B$704=B197),$A$5:$A$704),"Yes","No"))</x:f>
      </x:c>
    </x:row>
    <x:row r="198">
      <x:c r="A198" s="193"/>
      <x:c r="B198" s="187"/>
      <x:c r="C198" s="188" t="str">
        <x:f>IF(B198="","",IF(COUNTIF('Raw Decommissioning'!$B$2:$B$1000,B198)&gt;0,"Decommissioning",IF(COUNTIF('Raw Provisioning'!$B$2:$B$1000,B198)&gt;0,"Provisioning","Not in latest raw")))</x:f>
      </x:c>
      <x:c r="D198" s="188" t="str">
        <x:f>IF(B198="","",IFERROR(INDEX('Raw Decommissioning'!$E$2:$E$1000,MATCH(B198,'Raw Decommissioning'!$B$2:$B$1000,0)),IFERROR(INDEX('Raw Provisioning'!$E$2:$E$1000,MATCH(B198,'Raw Provisioning'!$B$2:$B$1000,0)),"Missing from latest raw")))</x:f>
      </x:c>
      <x:c r="E198" s="188" t="str">
        <x:f>IF(B198="","",IF(D198="completed","Completed in CSSP",IF(D198="executing","Active - Executing",IF(D198="processing","Ready to Assign",IF(D198="Missing from latest raw","Check Source","Not Managed - "&amp;D198)))))</x:f>
      </x:c>
      <x:c r="F198" s="189" t="str">
        <x:f>IF(B198="","",IFERROR(INDEX('Task Master'!$K$5:$K$804,MATCH(B198,'Task Master'!$A$5:$A$804,0)),""))</x:f>
      </x:c>
      <x:c r="G198" s="190"/>
      <x:c r="H198" s="190"/>
      <x:c r="I198" s="191"/>
      <x:c r="J198" s="190"/>
      <x:c r="K198" s="190"/>
      <x:c r="L198" s="195"/>
      <x:c r="M198" s="190"/>
      <x:c r="N198" s="187"/>
      <x:c r="O198" s="192"/>
      <x:c r="P198" s="192"/>
      <x:c r="Q198" s="170" t="str">
        <x:f>IF(OR(A198="",B198=""),"",IF(A198=LOOKUP(2,1/($B$5:$B$704=B198),$A$5:$A$704),"Yes","No"))</x:f>
      </x:c>
    </x:row>
    <x:row r="199">
      <x:c r="A199" s="193"/>
      <x:c r="B199" s="187"/>
      <x:c r="C199" s="188" t="str">
        <x:f>IF(B199="","",IF(COUNTIF('Raw Decommissioning'!$B$2:$B$1000,B199)&gt;0,"Decommissioning",IF(COUNTIF('Raw Provisioning'!$B$2:$B$1000,B199)&gt;0,"Provisioning","Not in latest raw")))</x:f>
      </x:c>
      <x:c r="D199" s="188" t="str">
        <x:f>IF(B199="","",IFERROR(INDEX('Raw Decommissioning'!$E$2:$E$1000,MATCH(B199,'Raw Decommissioning'!$B$2:$B$1000,0)),IFERROR(INDEX('Raw Provisioning'!$E$2:$E$1000,MATCH(B199,'Raw Provisioning'!$B$2:$B$1000,0)),"Missing from latest raw")))</x:f>
      </x:c>
      <x:c r="E199" s="188" t="str">
        <x:f>IF(B199="","",IF(D199="completed","Completed in CSSP",IF(D199="executing","Active - Executing",IF(D199="processing","Ready to Assign",IF(D199="Missing from latest raw","Check Source","Not Managed - "&amp;D199)))))</x:f>
      </x:c>
      <x:c r="F199" s="189" t="str">
        <x:f>IF(B199="","",IFERROR(INDEX('Task Master'!$K$5:$K$804,MATCH(B199,'Task Master'!$A$5:$A$804,0)),""))</x:f>
      </x:c>
      <x:c r="G199" s="190"/>
      <x:c r="H199" s="190"/>
      <x:c r="I199" s="191"/>
      <x:c r="J199" s="190"/>
      <x:c r="K199" s="190"/>
      <x:c r="L199" s="195"/>
      <x:c r="M199" s="190"/>
      <x:c r="N199" s="187"/>
      <x:c r="O199" s="192"/>
      <x:c r="P199" s="192"/>
      <x:c r="Q199" s="170" t="str">
        <x:f>IF(OR(A199="",B199=""),"",IF(A199=LOOKUP(2,1/($B$5:$B$704=B199),$A$5:$A$704),"Yes","No"))</x:f>
      </x:c>
    </x:row>
    <x:row r="200">
      <x:c r="A200" s="193"/>
      <x:c r="B200" s="187"/>
      <x:c r="C200" s="188" t="str">
        <x:f>IF(B200="","",IF(COUNTIF('Raw Decommissioning'!$B$2:$B$1000,B200)&gt;0,"Decommissioning",IF(COUNTIF('Raw Provisioning'!$B$2:$B$1000,B200)&gt;0,"Provisioning","Not in latest raw")))</x:f>
      </x:c>
      <x:c r="D200" s="188" t="str">
        <x:f>IF(B200="","",IFERROR(INDEX('Raw Decommissioning'!$E$2:$E$1000,MATCH(B200,'Raw Decommissioning'!$B$2:$B$1000,0)),IFERROR(INDEX('Raw Provisioning'!$E$2:$E$1000,MATCH(B200,'Raw Provisioning'!$B$2:$B$1000,0)),"Missing from latest raw")))</x:f>
      </x:c>
      <x:c r="E200" s="188" t="str">
        <x:f>IF(B200="","",IF(D200="completed","Completed in CSSP",IF(D200="executing","Active - Executing",IF(D200="processing","Ready to Assign",IF(D200="Missing from latest raw","Check Source","Not Managed - "&amp;D200)))))</x:f>
      </x:c>
      <x:c r="F200" s="189" t="str">
        <x:f>IF(B200="","",IFERROR(INDEX('Task Master'!$K$5:$K$804,MATCH(B200,'Task Master'!$A$5:$A$804,0)),""))</x:f>
      </x:c>
      <x:c r="G200" s="190"/>
      <x:c r="H200" s="190"/>
      <x:c r="I200" s="191"/>
      <x:c r="J200" s="190"/>
      <x:c r="K200" s="190"/>
      <x:c r="L200" s="195"/>
      <x:c r="M200" s="190"/>
      <x:c r="N200" s="187"/>
      <x:c r="O200" s="192"/>
      <x:c r="P200" s="192"/>
      <x:c r="Q200" s="170" t="str">
        <x:f>IF(OR(A200="",B200=""),"",IF(A200=LOOKUP(2,1/($B$5:$B$704=B200),$A$5:$A$704),"Yes","No"))</x:f>
      </x:c>
    </x:row>
    <x:row r="201">
      <x:c r="A201" s="193"/>
      <x:c r="B201" s="187"/>
      <x:c r="C201" s="188" t="str">
        <x:f>IF(B201="","",IF(COUNTIF('Raw Decommissioning'!$B$2:$B$1000,B201)&gt;0,"Decommissioning",IF(COUNTIF('Raw Provisioning'!$B$2:$B$1000,B201)&gt;0,"Provisioning","Not in latest raw")))</x:f>
      </x:c>
      <x:c r="D201" s="188" t="str">
        <x:f>IF(B201="","",IFERROR(INDEX('Raw Decommissioning'!$E$2:$E$1000,MATCH(B201,'Raw Decommissioning'!$B$2:$B$1000,0)),IFERROR(INDEX('Raw Provisioning'!$E$2:$E$1000,MATCH(B201,'Raw Provisioning'!$B$2:$B$1000,0)),"Missing from latest raw")))</x:f>
      </x:c>
      <x:c r="E201" s="188" t="str">
        <x:f>IF(B201="","",IF(D201="completed","Completed in CSSP",IF(D201="executing","Active - Executing",IF(D201="processing","Ready to Assign",IF(D201="Missing from latest raw","Check Source","Not Managed - "&amp;D201)))))</x:f>
      </x:c>
      <x:c r="F201" s="189" t="str">
        <x:f>IF(B201="","",IFERROR(INDEX('Task Master'!$K$5:$K$804,MATCH(B201,'Task Master'!$A$5:$A$804,0)),""))</x:f>
      </x:c>
      <x:c r="G201" s="190"/>
      <x:c r="H201" s="190"/>
      <x:c r="I201" s="191"/>
      <x:c r="J201" s="190"/>
      <x:c r="K201" s="190"/>
      <x:c r="L201" s="195"/>
      <x:c r="M201" s="190"/>
      <x:c r="N201" s="187"/>
      <x:c r="O201" s="192"/>
      <x:c r="P201" s="192"/>
      <x:c r="Q201" s="170" t="str">
        <x:f>IF(OR(A201="",B201=""),"",IF(A201=LOOKUP(2,1/($B$5:$B$704=B201),$A$5:$A$704),"Yes","No"))</x:f>
      </x:c>
    </x:row>
    <x:row r="202">
      <x:c r="A202" s="193"/>
      <x:c r="B202" s="187"/>
      <x:c r="C202" s="188" t="str">
        <x:f>IF(B202="","",IF(COUNTIF('Raw Decommissioning'!$B$2:$B$1000,B202)&gt;0,"Decommissioning",IF(COUNTIF('Raw Provisioning'!$B$2:$B$1000,B202)&gt;0,"Provisioning","Not in latest raw")))</x:f>
      </x:c>
      <x:c r="D202" s="188" t="str">
        <x:f>IF(B202="","",IFERROR(INDEX('Raw Decommissioning'!$E$2:$E$1000,MATCH(B202,'Raw Decommissioning'!$B$2:$B$1000,0)),IFERROR(INDEX('Raw Provisioning'!$E$2:$E$1000,MATCH(B202,'Raw Provisioning'!$B$2:$B$1000,0)),"Missing from latest raw")))</x:f>
      </x:c>
      <x:c r="E202" s="188" t="str">
        <x:f>IF(B202="","",IF(D202="completed","Completed in CSSP",IF(D202="executing","Active - Executing",IF(D202="processing","Ready to Assign",IF(D202="Missing from latest raw","Check Source","Not Managed - "&amp;D202)))))</x:f>
      </x:c>
      <x:c r="F202" s="189" t="str">
        <x:f>IF(B202="","",IFERROR(INDEX('Task Master'!$K$5:$K$804,MATCH(B202,'Task Master'!$A$5:$A$804,0)),""))</x:f>
      </x:c>
      <x:c r="G202" s="190"/>
      <x:c r="H202" s="190"/>
      <x:c r="I202" s="191"/>
      <x:c r="J202" s="190"/>
      <x:c r="K202" s="190"/>
      <x:c r="L202" s="195"/>
      <x:c r="M202" s="190"/>
      <x:c r="N202" s="187"/>
      <x:c r="O202" s="192"/>
      <x:c r="P202" s="192"/>
      <x:c r="Q202" s="170" t="str">
        <x:f>IF(OR(A202="",B202=""),"",IF(A202=LOOKUP(2,1/($B$5:$B$704=B202),$A$5:$A$704),"Yes","No"))</x:f>
      </x:c>
    </x:row>
    <x:row r="203">
      <x:c r="A203" s="193"/>
      <x:c r="B203" s="187"/>
      <x:c r="C203" s="188" t="str">
        <x:f>IF(B203="","",IF(COUNTIF('Raw Decommissioning'!$B$2:$B$1000,B203)&gt;0,"Decommissioning",IF(COUNTIF('Raw Provisioning'!$B$2:$B$1000,B203)&gt;0,"Provisioning","Not in latest raw")))</x:f>
      </x:c>
      <x:c r="D203" s="188" t="str">
        <x:f>IF(B203="","",IFERROR(INDEX('Raw Decommissioning'!$E$2:$E$1000,MATCH(B203,'Raw Decommissioning'!$B$2:$B$1000,0)),IFERROR(INDEX('Raw Provisioning'!$E$2:$E$1000,MATCH(B203,'Raw Provisioning'!$B$2:$B$1000,0)),"Missing from latest raw")))</x:f>
      </x:c>
      <x:c r="E203" s="188" t="str">
        <x:f>IF(B203="","",IF(D203="completed","Completed in CSSP",IF(D203="executing","Active - Executing",IF(D203="processing","Ready to Assign",IF(D203="Missing from latest raw","Check Source","Not Managed - "&amp;D203)))))</x:f>
      </x:c>
      <x:c r="F203" s="189" t="str">
        <x:f>IF(B203="","",IFERROR(INDEX('Task Master'!$K$5:$K$804,MATCH(B203,'Task Master'!$A$5:$A$804,0)),""))</x:f>
      </x:c>
      <x:c r="G203" s="190"/>
      <x:c r="H203" s="190"/>
      <x:c r="I203" s="191"/>
      <x:c r="J203" s="190"/>
      <x:c r="K203" s="190"/>
      <x:c r="L203" s="195"/>
      <x:c r="M203" s="190"/>
      <x:c r="N203" s="187"/>
      <x:c r="O203" s="192"/>
      <x:c r="P203" s="192"/>
      <x:c r="Q203" s="170" t="str">
        <x:f>IF(OR(A203="",B203=""),"",IF(A203=LOOKUP(2,1/($B$5:$B$704=B203),$A$5:$A$704),"Yes","No"))</x:f>
      </x:c>
    </x:row>
    <x:row r="204">
      <x:c r="A204" s="193"/>
      <x:c r="B204" s="187"/>
      <x:c r="C204" s="188" t="str">
        <x:f>IF(B204="","",IF(COUNTIF('Raw Decommissioning'!$B$2:$B$1000,B204)&gt;0,"Decommissioning",IF(COUNTIF('Raw Provisioning'!$B$2:$B$1000,B204)&gt;0,"Provisioning","Not in latest raw")))</x:f>
      </x:c>
      <x:c r="D204" s="188" t="str">
        <x:f>IF(B204="","",IFERROR(INDEX('Raw Decommissioning'!$E$2:$E$1000,MATCH(B204,'Raw Decommissioning'!$B$2:$B$1000,0)),IFERROR(INDEX('Raw Provisioning'!$E$2:$E$1000,MATCH(B204,'Raw Provisioning'!$B$2:$B$1000,0)),"Missing from latest raw")))</x:f>
      </x:c>
      <x:c r="E204" s="188" t="str">
        <x:f>IF(B204="","",IF(D204="completed","Completed in CSSP",IF(D204="executing","Active - Executing",IF(D204="processing","Ready to Assign",IF(D204="Missing from latest raw","Check Source","Not Managed - "&amp;D204)))))</x:f>
      </x:c>
      <x:c r="F204" s="189" t="str">
        <x:f>IF(B204="","",IFERROR(INDEX('Task Master'!$K$5:$K$804,MATCH(B204,'Task Master'!$A$5:$A$804,0)),""))</x:f>
      </x:c>
      <x:c r="G204" s="190"/>
      <x:c r="H204" s="190"/>
      <x:c r="I204" s="191"/>
      <x:c r="J204" s="190"/>
      <x:c r="K204" s="190"/>
      <x:c r="L204" s="195"/>
      <x:c r="M204" s="190"/>
      <x:c r="N204" s="187"/>
      <x:c r="O204" s="192"/>
      <x:c r="P204" s="192"/>
      <x:c r="Q204" s="170" t="str">
        <x:f>IF(OR(A204="",B204=""),"",IF(A204=LOOKUP(2,1/($B$5:$B$704=B204),$A$5:$A$704),"Yes","No"))</x:f>
      </x:c>
    </x:row>
    <x:row r="205">
      <x:c r="A205" s="193"/>
      <x:c r="B205" s="187"/>
      <x:c r="C205" s="188" t="str">
        <x:f>IF(B205="","",IF(COUNTIF('Raw Decommissioning'!$B$2:$B$1000,B205)&gt;0,"Decommissioning",IF(COUNTIF('Raw Provisioning'!$B$2:$B$1000,B205)&gt;0,"Provisioning","Not in latest raw")))</x:f>
      </x:c>
      <x:c r="D205" s="188" t="str">
        <x:f>IF(B205="","",IFERROR(INDEX('Raw Decommissioning'!$E$2:$E$1000,MATCH(B205,'Raw Decommissioning'!$B$2:$B$1000,0)),IFERROR(INDEX('Raw Provisioning'!$E$2:$E$1000,MATCH(B205,'Raw Provisioning'!$B$2:$B$1000,0)),"Missing from latest raw")))</x:f>
      </x:c>
      <x:c r="E205" s="188" t="str">
        <x:f>IF(B205="","",IF(D205="completed","Completed in CSSP",IF(D205="executing","Active - Executing",IF(D205="processing","Ready to Assign",IF(D205="Missing from latest raw","Check Source","Not Managed - "&amp;D205)))))</x:f>
      </x:c>
      <x:c r="F205" s="189" t="str">
        <x:f>IF(B205="","",IFERROR(INDEX('Task Master'!$K$5:$K$804,MATCH(B205,'Task Master'!$A$5:$A$804,0)),""))</x:f>
      </x:c>
      <x:c r="G205" s="190"/>
      <x:c r="H205" s="190"/>
      <x:c r="I205" s="191"/>
      <x:c r="J205" s="190"/>
      <x:c r="K205" s="190"/>
      <x:c r="L205" s="195"/>
      <x:c r="M205" s="190"/>
      <x:c r="N205" s="187"/>
      <x:c r="O205" s="192"/>
      <x:c r="P205" s="192"/>
      <x:c r="Q205" s="170" t="str">
        <x:f>IF(OR(A205="",B205=""),"",IF(A205=LOOKUP(2,1/($B$5:$B$704=B205),$A$5:$A$704),"Yes","No"))</x:f>
      </x:c>
    </x:row>
    <x:row r="206">
      <x:c r="A206" s="193"/>
      <x:c r="B206" s="187"/>
      <x:c r="C206" s="188" t="str">
        <x:f>IF(B206="","",IF(COUNTIF('Raw Decommissioning'!$B$2:$B$1000,B206)&gt;0,"Decommissioning",IF(COUNTIF('Raw Provisioning'!$B$2:$B$1000,B206)&gt;0,"Provisioning","Not in latest raw")))</x:f>
      </x:c>
      <x:c r="D206" s="188" t="str">
        <x:f>IF(B206="","",IFERROR(INDEX('Raw Decommissioning'!$E$2:$E$1000,MATCH(B206,'Raw Decommissioning'!$B$2:$B$1000,0)),IFERROR(INDEX('Raw Provisioning'!$E$2:$E$1000,MATCH(B206,'Raw Provisioning'!$B$2:$B$1000,0)),"Missing from latest raw")))</x:f>
      </x:c>
      <x:c r="E206" s="188" t="str">
        <x:f>IF(B206="","",IF(D206="completed","Completed in CSSP",IF(D206="executing","Active - Executing",IF(D206="processing","Ready to Assign",IF(D206="Missing from latest raw","Check Source","Not Managed - "&amp;D206)))))</x:f>
      </x:c>
      <x:c r="F206" s="189" t="str">
        <x:f>IF(B206="","",IFERROR(INDEX('Task Master'!$K$5:$K$804,MATCH(B206,'Task Master'!$A$5:$A$804,0)),""))</x:f>
      </x:c>
      <x:c r="G206" s="190"/>
      <x:c r="H206" s="190"/>
      <x:c r="I206" s="191"/>
      <x:c r="J206" s="190"/>
      <x:c r="K206" s="190"/>
      <x:c r="L206" s="195"/>
      <x:c r="M206" s="190"/>
      <x:c r="N206" s="187"/>
      <x:c r="O206" s="192"/>
      <x:c r="P206" s="192"/>
      <x:c r="Q206" s="170" t="str">
        <x:f>IF(OR(A206="",B206=""),"",IF(A206=LOOKUP(2,1/($B$5:$B$704=B206),$A$5:$A$704),"Yes","No"))</x:f>
      </x:c>
    </x:row>
    <x:row r="207">
      <x:c r="A207" s="193"/>
      <x:c r="B207" s="187"/>
      <x:c r="C207" s="188" t="str">
        <x:f>IF(B207="","",IF(COUNTIF('Raw Decommissioning'!$B$2:$B$1000,B207)&gt;0,"Decommissioning",IF(COUNTIF('Raw Provisioning'!$B$2:$B$1000,B207)&gt;0,"Provisioning","Not in latest raw")))</x:f>
      </x:c>
      <x:c r="D207" s="188" t="str">
        <x:f>IF(B207="","",IFERROR(INDEX('Raw Decommissioning'!$E$2:$E$1000,MATCH(B207,'Raw Decommissioning'!$B$2:$B$1000,0)),IFERROR(INDEX('Raw Provisioning'!$E$2:$E$1000,MATCH(B207,'Raw Provisioning'!$B$2:$B$1000,0)),"Missing from latest raw")))</x:f>
      </x:c>
      <x:c r="E207" s="188" t="str">
        <x:f>IF(B207="","",IF(D207="completed","Completed in CSSP",IF(D207="executing","Active - Executing",IF(D207="processing","Ready to Assign",IF(D207="Missing from latest raw","Check Source","Not Managed - "&amp;D207)))))</x:f>
      </x:c>
      <x:c r="F207" s="189" t="str">
        <x:f>IF(B207="","",IFERROR(INDEX('Task Master'!$K$5:$K$804,MATCH(B207,'Task Master'!$A$5:$A$804,0)),""))</x:f>
      </x:c>
      <x:c r="G207" s="190"/>
      <x:c r="H207" s="190"/>
      <x:c r="I207" s="191"/>
      <x:c r="J207" s="190"/>
      <x:c r="K207" s="190"/>
      <x:c r="L207" s="195"/>
      <x:c r="M207" s="190"/>
      <x:c r="N207" s="187"/>
      <x:c r="O207" s="192"/>
      <x:c r="P207" s="192"/>
      <x:c r="Q207" s="170" t="str">
        <x:f>IF(OR(A207="",B207=""),"",IF(A207=LOOKUP(2,1/($B$5:$B$704=B207),$A$5:$A$704),"Yes","No"))</x:f>
      </x:c>
    </x:row>
    <x:row r="208">
      <x:c r="A208" s="193"/>
      <x:c r="B208" s="187"/>
      <x:c r="C208" s="188" t="str">
        <x:f>IF(B208="","",IF(COUNTIF('Raw Decommissioning'!$B$2:$B$1000,B208)&gt;0,"Decommissioning",IF(COUNTIF('Raw Provisioning'!$B$2:$B$1000,B208)&gt;0,"Provisioning","Not in latest raw")))</x:f>
      </x:c>
      <x:c r="D208" s="188" t="str">
        <x:f>IF(B208="","",IFERROR(INDEX('Raw Decommissioning'!$E$2:$E$1000,MATCH(B208,'Raw Decommissioning'!$B$2:$B$1000,0)),IFERROR(INDEX('Raw Provisioning'!$E$2:$E$1000,MATCH(B208,'Raw Provisioning'!$B$2:$B$1000,0)),"Missing from latest raw")))</x:f>
      </x:c>
      <x:c r="E208" s="188" t="str">
        <x:f>IF(B208="","",IF(D208="completed","Completed in CSSP",IF(D208="executing","Active - Executing",IF(D208="processing","Ready to Assign",IF(D208="Missing from latest raw","Check Source","Not Managed - "&amp;D208)))))</x:f>
      </x:c>
      <x:c r="F208" s="189" t="str">
        <x:f>IF(B208="","",IFERROR(INDEX('Task Master'!$K$5:$K$804,MATCH(B208,'Task Master'!$A$5:$A$804,0)),""))</x:f>
      </x:c>
      <x:c r="G208" s="190"/>
      <x:c r="H208" s="190"/>
      <x:c r="I208" s="191"/>
      <x:c r="J208" s="190"/>
      <x:c r="K208" s="190"/>
      <x:c r="L208" s="195"/>
      <x:c r="M208" s="190"/>
      <x:c r="N208" s="187"/>
      <x:c r="O208" s="192"/>
      <x:c r="P208" s="192"/>
      <x:c r="Q208" s="170" t="str">
        <x:f>IF(OR(A208="",B208=""),"",IF(A208=LOOKUP(2,1/($B$5:$B$704=B208),$A$5:$A$704),"Yes","No"))</x:f>
      </x:c>
    </x:row>
    <x:row r="209">
      <x:c r="A209" s="193"/>
      <x:c r="B209" s="187"/>
      <x:c r="C209" s="188" t="str">
        <x:f>IF(B209="","",IF(COUNTIF('Raw Decommissioning'!$B$2:$B$1000,B209)&gt;0,"Decommissioning",IF(COUNTIF('Raw Provisioning'!$B$2:$B$1000,B209)&gt;0,"Provisioning","Not in latest raw")))</x:f>
      </x:c>
      <x:c r="D209" s="188" t="str">
        <x:f>IF(B209="","",IFERROR(INDEX('Raw Decommissioning'!$E$2:$E$1000,MATCH(B209,'Raw Decommissioning'!$B$2:$B$1000,0)),IFERROR(INDEX('Raw Provisioning'!$E$2:$E$1000,MATCH(B209,'Raw Provisioning'!$B$2:$B$1000,0)),"Missing from latest raw")))</x:f>
      </x:c>
      <x:c r="E209" s="188" t="str">
        <x:f>IF(B209="","",IF(D209="completed","Completed in CSSP",IF(D209="executing","Active - Executing",IF(D209="processing","Ready to Assign",IF(D209="Missing from latest raw","Check Source","Not Managed - "&amp;D209)))))</x:f>
      </x:c>
      <x:c r="F209" s="189" t="str">
        <x:f>IF(B209="","",IFERROR(INDEX('Task Master'!$K$5:$K$804,MATCH(B209,'Task Master'!$A$5:$A$804,0)),""))</x:f>
      </x:c>
      <x:c r="G209" s="190"/>
      <x:c r="H209" s="190"/>
      <x:c r="I209" s="191"/>
      <x:c r="J209" s="190"/>
      <x:c r="K209" s="190"/>
      <x:c r="L209" s="195"/>
      <x:c r="M209" s="190"/>
      <x:c r="N209" s="187"/>
      <x:c r="O209" s="192"/>
      <x:c r="P209" s="192"/>
      <x:c r="Q209" s="170" t="str">
        <x:f>IF(OR(A209="",B209=""),"",IF(A209=LOOKUP(2,1/($B$5:$B$704=B209),$A$5:$A$704),"Yes","No"))</x:f>
      </x:c>
    </x:row>
    <x:row r="210">
      <x:c r="A210" s="193"/>
      <x:c r="B210" s="187"/>
      <x:c r="C210" s="188" t="str">
        <x:f>IF(B210="","",IF(COUNTIF('Raw Decommissioning'!$B$2:$B$1000,B210)&gt;0,"Decommissioning",IF(COUNTIF('Raw Provisioning'!$B$2:$B$1000,B210)&gt;0,"Provisioning","Not in latest raw")))</x:f>
      </x:c>
      <x:c r="D210" s="188" t="str">
        <x:f>IF(B210="","",IFERROR(INDEX('Raw Decommissioning'!$E$2:$E$1000,MATCH(B210,'Raw Decommissioning'!$B$2:$B$1000,0)),IFERROR(INDEX('Raw Provisioning'!$E$2:$E$1000,MATCH(B210,'Raw Provisioning'!$B$2:$B$1000,0)),"Missing from latest raw")))</x:f>
      </x:c>
      <x:c r="E210" s="188" t="str">
        <x:f>IF(B210="","",IF(D210="completed","Completed in CSSP",IF(D210="executing","Active - Executing",IF(D210="processing","Ready to Assign",IF(D210="Missing from latest raw","Check Source","Not Managed - "&amp;D210)))))</x:f>
      </x:c>
      <x:c r="F210" s="189" t="str">
        <x:f>IF(B210="","",IFERROR(INDEX('Task Master'!$K$5:$K$804,MATCH(B210,'Task Master'!$A$5:$A$804,0)),""))</x:f>
      </x:c>
      <x:c r="G210" s="190"/>
      <x:c r="H210" s="190"/>
      <x:c r="I210" s="191"/>
      <x:c r="J210" s="190"/>
      <x:c r="K210" s="190"/>
      <x:c r="L210" s="195"/>
      <x:c r="M210" s="190"/>
      <x:c r="N210" s="187"/>
      <x:c r="O210" s="192"/>
      <x:c r="P210" s="192"/>
      <x:c r="Q210" s="170" t="str">
        <x:f>IF(OR(A210="",B210=""),"",IF(A210=LOOKUP(2,1/($B$5:$B$704=B210),$A$5:$A$704),"Yes","No"))</x:f>
      </x:c>
    </x:row>
    <x:row r="211">
      <x:c r="A211" s="193"/>
      <x:c r="B211" s="187"/>
      <x:c r="C211" s="188" t="str">
        <x:f>IF(B211="","",IF(COUNTIF('Raw Decommissioning'!$B$2:$B$1000,B211)&gt;0,"Decommissioning",IF(COUNTIF('Raw Provisioning'!$B$2:$B$1000,B211)&gt;0,"Provisioning","Not in latest raw")))</x:f>
      </x:c>
      <x:c r="D211" s="188" t="str">
        <x:f>IF(B211="","",IFERROR(INDEX('Raw Decommissioning'!$E$2:$E$1000,MATCH(B211,'Raw Decommissioning'!$B$2:$B$1000,0)),IFERROR(INDEX('Raw Provisioning'!$E$2:$E$1000,MATCH(B211,'Raw Provisioning'!$B$2:$B$1000,0)),"Missing from latest raw")))</x:f>
      </x:c>
      <x:c r="E211" s="188" t="str">
        <x:f>IF(B211="","",IF(D211="completed","Completed in CSSP",IF(D211="executing","Active - Executing",IF(D211="processing","Ready to Assign",IF(D211="Missing from latest raw","Check Source","Not Managed - "&amp;D211)))))</x:f>
      </x:c>
      <x:c r="F211" s="189" t="str">
        <x:f>IF(B211="","",IFERROR(INDEX('Task Master'!$K$5:$K$804,MATCH(B211,'Task Master'!$A$5:$A$804,0)),""))</x:f>
      </x:c>
      <x:c r="G211" s="190"/>
      <x:c r="H211" s="190"/>
      <x:c r="I211" s="191"/>
      <x:c r="J211" s="190"/>
      <x:c r="K211" s="190"/>
      <x:c r="L211" s="195"/>
      <x:c r="M211" s="190"/>
      <x:c r="N211" s="187"/>
      <x:c r="O211" s="192"/>
      <x:c r="P211" s="192"/>
      <x:c r="Q211" s="170" t="str">
        <x:f>IF(OR(A211="",B211=""),"",IF(A211=LOOKUP(2,1/($B$5:$B$704=B211),$A$5:$A$704),"Yes","No"))</x:f>
      </x:c>
    </x:row>
    <x:row r="212">
      <x:c r="A212" s="193"/>
      <x:c r="B212" s="187"/>
      <x:c r="C212" s="188" t="str">
        <x:f>IF(B212="","",IF(COUNTIF('Raw Decommissioning'!$B$2:$B$1000,B212)&gt;0,"Decommissioning",IF(COUNTIF('Raw Provisioning'!$B$2:$B$1000,B212)&gt;0,"Provisioning","Not in latest raw")))</x:f>
      </x:c>
      <x:c r="D212" s="188" t="str">
        <x:f>IF(B212="","",IFERROR(INDEX('Raw Decommissioning'!$E$2:$E$1000,MATCH(B212,'Raw Decommissioning'!$B$2:$B$1000,0)),IFERROR(INDEX('Raw Provisioning'!$E$2:$E$1000,MATCH(B212,'Raw Provisioning'!$B$2:$B$1000,0)),"Missing from latest raw")))</x:f>
      </x:c>
      <x:c r="E212" s="188" t="str">
        <x:f>IF(B212="","",IF(D212="completed","Completed in CSSP",IF(D212="executing","Active - Executing",IF(D212="processing","Ready to Assign",IF(D212="Missing from latest raw","Check Source","Not Managed - "&amp;D212)))))</x:f>
      </x:c>
      <x:c r="F212" s="189" t="str">
        <x:f>IF(B212="","",IFERROR(INDEX('Task Master'!$K$5:$K$804,MATCH(B212,'Task Master'!$A$5:$A$804,0)),""))</x:f>
      </x:c>
      <x:c r="G212" s="190"/>
      <x:c r="H212" s="190"/>
      <x:c r="I212" s="191"/>
      <x:c r="J212" s="190"/>
      <x:c r="K212" s="190"/>
      <x:c r="L212" s="195"/>
      <x:c r="M212" s="190"/>
      <x:c r="N212" s="187"/>
      <x:c r="O212" s="192"/>
      <x:c r="P212" s="192"/>
      <x:c r="Q212" s="170" t="str">
        <x:f>IF(OR(A212="",B212=""),"",IF(A212=LOOKUP(2,1/($B$5:$B$704=B212),$A$5:$A$704),"Yes","No"))</x:f>
      </x:c>
    </x:row>
    <x:row r="213">
      <x:c r="A213" s="193"/>
      <x:c r="B213" s="187"/>
      <x:c r="C213" s="188" t="str">
        <x:f>IF(B213="","",IF(COUNTIF('Raw Decommissioning'!$B$2:$B$1000,B213)&gt;0,"Decommissioning",IF(COUNTIF('Raw Provisioning'!$B$2:$B$1000,B213)&gt;0,"Provisioning","Not in latest raw")))</x:f>
      </x:c>
      <x:c r="D213" s="188" t="str">
        <x:f>IF(B213="","",IFERROR(INDEX('Raw Decommissioning'!$E$2:$E$1000,MATCH(B213,'Raw Decommissioning'!$B$2:$B$1000,0)),IFERROR(INDEX('Raw Provisioning'!$E$2:$E$1000,MATCH(B213,'Raw Provisioning'!$B$2:$B$1000,0)),"Missing from latest raw")))</x:f>
      </x:c>
      <x:c r="E213" s="188" t="str">
        <x:f>IF(B213="","",IF(D213="completed","Completed in CSSP",IF(D213="executing","Active - Executing",IF(D213="processing","Ready to Assign",IF(D213="Missing from latest raw","Check Source","Not Managed - "&amp;D213)))))</x:f>
      </x:c>
      <x:c r="F213" s="189" t="str">
        <x:f>IF(B213="","",IFERROR(INDEX('Task Master'!$K$5:$K$804,MATCH(B213,'Task Master'!$A$5:$A$804,0)),""))</x:f>
      </x:c>
      <x:c r="G213" s="190"/>
      <x:c r="H213" s="190"/>
      <x:c r="I213" s="191"/>
      <x:c r="J213" s="190"/>
      <x:c r="K213" s="190"/>
      <x:c r="L213" s="195"/>
      <x:c r="M213" s="190"/>
      <x:c r="N213" s="187"/>
      <x:c r="O213" s="192"/>
      <x:c r="P213" s="192"/>
      <x:c r="Q213" s="170" t="str">
        <x:f>IF(OR(A213="",B213=""),"",IF(A213=LOOKUP(2,1/($B$5:$B$704=B213),$A$5:$A$704),"Yes","No"))</x:f>
      </x:c>
    </x:row>
    <x:row r="214">
      <x:c r="A214" s="193"/>
      <x:c r="B214" s="187"/>
      <x:c r="C214" s="188" t="str">
        <x:f>IF(B214="","",IF(COUNTIF('Raw Decommissioning'!$B$2:$B$1000,B214)&gt;0,"Decommissioning",IF(COUNTIF('Raw Provisioning'!$B$2:$B$1000,B214)&gt;0,"Provisioning","Not in latest raw")))</x:f>
      </x:c>
      <x:c r="D214" s="188" t="str">
        <x:f>IF(B214="","",IFERROR(INDEX('Raw Decommissioning'!$E$2:$E$1000,MATCH(B214,'Raw Decommissioning'!$B$2:$B$1000,0)),IFERROR(INDEX('Raw Provisioning'!$E$2:$E$1000,MATCH(B214,'Raw Provisioning'!$B$2:$B$1000,0)),"Missing from latest raw")))</x:f>
      </x:c>
      <x:c r="E214" s="188" t="str">
        <x:f>IF(B214="","",IF(D214="completed","Completed in CSSP",IF(D214="executing","Active - Executing",IF(D214="processing","Ready to Assign",IF(D214="Missing from latest raw","Check Source","Not Managed - "&amp;D214)))))</x:f>
      </x:c>
      <x:c r="F214" s="189" t="str">
        <x:f>IF(B214="","",IFERROR(INDEX('Task Master'!$K$5:$K$804,MATCH(B214,'Task Master'!$A$5:$A$804,0)),""))</x:f>
      </x:c>
      <x:c r="G214" s="190"/>
      <x:c r="H214" s="190"/>
      <x:c r="I214" s="191"/>
      <x:c r="J214" s="190"/>
      <x:c r="K214" s="190"/>
      <x:c r="L214" s="195"/>
      <x:c r="M214" s="190"/>
      <x:c r="N214" s="187"/>
      <x:c r="O214" s="192"/>
      <x:c r="P214" s="192"/>
      <x:c r="Q214" s="170" t="str">
        <x:f>IF(OR(A214="",B214=""),"",IF(A214=LOOKUP(2,1/($B$5:$B$704=B214),$A$5:$A$704),"Yes","No"))</x:f>
      </x:c>
    </x:row>
    <x:row r="215">
      <x:c r="A215" s="193"/>
      <x:c r="B215" s="187"/>
      <x:c r="C215" s="188" t="str">
        <x:f>IF(B215="","",IF(COUNTIF('Raw Decommissioning'!$B$2:$B$1000,B215)&gt;0,"Decommissioning",IF(COUNTIF('Raw Provisioning'!$B$2:$B$1000,B215)&gt;0,"Provisioning","Not in latest raw")))</x:f>
      </x:c>
      <x:c r="D215" s="188" t="str">
        <x:f>IF(B215="","",IFERROR(INDEX('Raw Decommissioning'!$E$2:$E$1000,MATCH(B215,'Raw Decommissioning'!$B$2:$B$1000,0)),IFERROR(INDEX('Raw Provisioning'!$E$2:$E$1000,MATCH(B215,'Raw Provisioning'!$B$2:$B$1000,0)),"Missing from latest raw")))</x:f>
      </x:c>
      <x:c r="E215" s="188" t="str">
        <x:f>IF(B215="","",IF(D215="completed","Completed in CSSP",IF(D215="executing","Active - Executing",IF(D215="processing","Ready to Assign",IF(D215="Missing from latest raw","Check Source","Not Managed - "&amp;D215)))))</x:f>
      </x:c>
      <x:c r="F215" s="189" t="str">
        <x:f>IF(B215="","",IFERROR(INDEX('Task Master'!$K$5:$K$804,MATCH(B215,'Task Master'!$A$5:$A$804,0)),""))</x:f>
      </x:c>
      <x:c r="G215" s="190"/>
      <x:c r="H215" s="190"/>
      <x:c r="I215" s="191"/>
      <x:c r="J215" s="190"/>
      <x:c r="K215" s="190"/>
      <x:c r="L215" s="195"/>
      <x:c r="M215" s="190"/>
      <x:c r="N215" s="187"/>
      <x:c r="O215" s="192"/>
      <x:c r="P215" s="192"/>
      <x:c r="Q215" s="170" t="str">
        <x:f>IF(OR(A215="",B215=""),"",IF(A215=LOOKUP(2,1/($B$5:$B$704=B215),$A$5:$A$704),"Yes","No"))</x:f>
      </x:c>
    </x:row>
    <x:row r="216">
      <x:c r="A216" s="193"/>
      <x:c r="B216" s="187"/>
      <x:c r="C216" s="188" t="str">
        <x:f>IF(B216="","",IF(COUNTIF('Raw Decommissioning'!$B$2:$B$1000,B216)&gt;0,"Decommissioning",IF(COUNTIF('Raw Provisioning'!$B$2:$B$1000,B216)&gt;0,"Provisioning","Not in latest raw")))</x:f>
      </x:c>
      <x:c r="D216" s="188" t="str">
        <x:f>IF(B216="","",IFERROR(INDEX('Raw Decommissioning'!$E$2:$E$1000,MATCH(B216,'Raw Decommissioning'!$B$2:$B$1000,0)),IFERROR(INDEX('Raw Provisioning'!$E$2:$E$1000,MATCH(B216,'Raw Provisioning'!$B$2:$B$1000,0)),"Missing from latest raw")))</x:f>
      </x:c>
      <x:c r="E216" s="188" t="str">
        <x:f>IF(B216="","",IF(D216="completed","Completed in CSSP",IF(D216="executing","Active - Executing",IF(D216="processing","Ready to Assign",IF(D216="Missing from latest raw","Check Source","Not Managed - "&amp;D216)))))</x:f>
      </x:c>
      <x:c r="F216" s="189" t="str">
        <x:f>IF(B216="","",IFERROR(INDEX('Task Master'!$K$5:$K$804,MATCH(B216,'Task Master'!$A$5:$A$804,0)),""))</x:f>
      </x:c>
      <x:c r="G216" s="190"/>
      <x:c r="H216" s="190"/>
      <x:c r="I216" s="191"/>
      <x:c r="J216" s="190"/>
      <x:c r="K216" s="190"/>
      <x:c r="L216" s="195"/>
      <x:c r="M216" s="190"/>
      <x:c r="N216" s="187"/>
      <x:c r="O216" s="192"/>
      <x:c r="P216" s="192"/>
      <x:c r="Q216" s="170" t="str">
        <x:f>IF(OR(A216="",B216=""),"",IF(A216=LOOKUP(2,1/($B$5:$B$704=B216),$A$5:$A$704),"Yes","No"))</x:f>
      </x:c>
    </x:row>
    <x:row r="217">
      <x:c r="A217" s="193"/>
      <x:c r="B217" s="187"/>
      <x:c r="C217" s="188" t="str">
        <x:f>IF(B217="","",IF(COUNTIF('Raw Decommissioning'!$B$2:$B$1000,B217)&gt;0,"Decommissioning",IF(COUNTIF('Raw Provisioning'!$B$2:$B$1000,B217)&gt;0,"Provisioning","Not in latest raw")))</x:f>
      </x:c>
      <x:c r="D217" s="188" t="str">
        <x:f>IF(B217="","",IFERROR(INDEX('Raw Decommissioning'!$E$2:$E$1000,MATCH(B217,'Raw Decommissioning'!$B$2:$B$1000,0)),IFERROR(INDEX('Raw Provisioning'!$E$2:$E$1000,MATCH(B217,'Raw Provisioning'!$B$2:$B$1000,0)),"Missing from latest raw")))</x:f>
      </x:c>
      <x:c r="E217" s="188" t="str">
        <x:f>IF(B217="","",IF(D217="completed","Completed in CSSP",IF(D217="executing","Active - Executing",IF(D217="processing","Ready to Assign",IF(D217="Missing from latest raw","Check Source","Not Managed - "&amp;D217)))))</x:f>
      </x:c>
      <x:c r="F217" s="189" t="str">
        <x:f>IF(B217="","",IFERROR(INDEX('Task Master'!$K$5:$K$804,MATCH(B217,'Task Master'!$A$5:$A$804,0)),""))</x:f>
      </x:c>
      <x:c r="G217" s="190"/>
      <x:c r="H217" s="190"/>
      <x:c r="I217" s="191"/>
      <x:c r="J217" s="190"/>
      <x:c r="K217" s="190"/>
      <x:c r="L217" s="195"/>
      <x:c r="M217" s="190"/>
      <x:c r="N217" s="187"/>
      <x:c r="O217" s="192"/>
      <x:c r="P217" s="192"/>
      <x:c r="Q217" s="170" t="str">
        <x:f>IF(OR(A217="",B217=""),"",IF(A217=LOOKUP(2,1/($B$5:$B$704=B217),$A$5:$A$704),"Yes","No"))</x:f>
      </x:c>
    </x:row>
    <x:row r="218">
      <x:c r="A218" s="193"/>
      <x:c r="B218" s="187"/>
      <x:c r="C218" s="188" t="str">
        <x:f>IF(B218="","",IF(COUNTIF('Raw Decommissioning'!$B$2:$B$1000,B218)&gt;0,"Decommissioning",IF(COUNTIF('Raw Provisioning'!$B$2:$B$1000,B218)&gt;0,"Provisioning","Not in latest raw")))</x:f>
      </x:c>
      <x:c r="D218" s="188" t="str">
        <x:f>IF(B218="","",IFERROR(INDEX('Raw Decommissioning'!$E$2:$E$1000,MATCH(B218,'Raw Decommissioning'!$B$2:$B$1000,0)),IFERROR(INDEX('Raw Provisioning'!$E$2:$E$1000,MATCH(B218,'Raw Provisioning'!$B$2:$B$1000,0)),"Missing from latest raw")))</x:f>
      </x:c>
      <x:c r="E218" s="188" t="str">
        <x:f>IF(B218="","",IF(D218="completed","Completed in CSSP",IF(D218="executing","Active - Executing",IF(D218="processing","Ready to Assign",IF(D218="Missing from latest raw","Check Source","Not Managed - "&amp;D218)))))</x:f>
      </x:c>
      <x:c r="F218" s="189" t="str">
        <x:f>IF(B218="","",IFERROR(INDEX('Task Master'!$K$5:$K$804,MATCH(B218,'Task Master'!$A$5:$A$804,0)),""))</x:f>
      </x:c>
      <x:c r="G218" s="190"/>
      <x:c r="H218" s="190"/>
      <x:c r="I218" s="191"/>
      <x:c r="J218" s="190"/>
      <x:c r="K218" s="190"/>
      <x:c r="L218" s="195"/>
      <x:c r="M218" s="190"/>
      <x:c r="N218" s="187"/>
      <x:c r="O218" s="192"/>
      <x:c r="P218" s="192"/>
      <x:c r="Q218" s="170" t="str">
        <x:f>IF(OR(A218="",B218=""),"",IF(A218=LOOKUP(2,1/($B$5:$B$704=B218),$A$5:$A$704),"Yes","No"))</x:f>
      </x:c>
    </x:row>
    <x:row r="219">
      <x:c r="A219" s="193"/>
      <x:c r="B219" s="187"/>
      <x:c r="C219" s="188" t="str">
        <x:f>IF(B219="","",IF(COUNTIF('Raw Decommissioning'!$B$2:$B$1000,B219)&gt;0,"Decommissioning",IF(COUNTIF('Raw Provisioning'!$B$2:$B$1000,B219)&gt;0,"Provisioning","Not in latest raw")))</x:f>
      </x:c>
      <x:c r="D219" s="188" t="str">
        <x:f>IF(B219="","",IFERROR(INDEX('Raw Decommissioning'!$E$2:$E$1000,MATCH(B219,'Raw Decommissioning'!$B$2:$B$1000,0)),IFERROR(INDEX('Raw Provisioning'!$E$2:$E$1000,MATCH(B219,'Raw Provisioning'!$B$2:$B$1000,0)),"Missing from latest raw")))</x:f>
      </x:c>
      <x:c r="E219" s="188" t="str">
        <x:f>IF(B219="","",IF(D219="completed","Completed in CSSP",IF(D219="executing","Active - Executing",IF(D219="processing","Ready to Assign",IF(D219="Missing from latest raw","Check Source","Not Managed - "&amp;D219)))))</x:f>
      </x:c>
      <x:c r="F219" s="189" t="str">
        <x:f>IF(B219="","",IFERROR(INDEX('Task Master'!$K$5:$K$804,MATCH(B219,'Task Master'!$A$5:$A$804,0)),""))</x:f>
      </x:c>
      <x:c r="G219" s="190"/>
      <x:c r="H219" s="190"/>
      <x:c r="I219" s="191"/>
      <x:c r="J219" s="190"/>
      <x:c r="K219" s="190"/>
      <x:c r="L219" s="195"/>
      <x:c r="M219" s="190"/>
      <x:c r="N219" s="187"/>
      <x:c r="O219" s="192"/>
      <x:c r="P219" s="192"/>
      <x:c r="Q219" s="170" t="str">
        <x:f>IF(OR(A219="",B219=""),"",IF(A219=LOOKUP(2,1/($B$5:$B$704=B219),$A$5:$A$704),"Yes","No"))</x:f>
      </x:c>
    </x:row>
    <x:row r="220">
      <x:c r="A220" s="193"/>
      <x:c r="B220" s="187"/>
      <x:c r="C220" s="188" t="str">
        <x:f>IF(B220="","",IF(COUNTIF('Raw Decommissioning'!$B$2:$B$1000,B220)&gt;0,"Decommissioning",IF(COUNTIF('Raw Provisioning'!$B$2:$B$1000,B220)&gt;0,"Provisioning","Not in latest raw")))</x:f>
      </x:c>
      <x:c r="D220" s="188" t="str">
        <x:f>IF(B220="","",IFERROR(INDEX('Raw Decommissioning'!$E$2:$E$1000,MATCH(B220,'Raw Decommissioning'!$B$2:$B$1000,0)),IFERROR(INDEX('Raw Provisioning'!$E$2:$E$1000,MATCH(B220,'Raw Provisioning'!$B$2:$B$1000,0)),"Missing from latest raw")))</x:f>
      </x:c>
      <x:c r="E220" s="188" t="str">
        <x:f>IF(B220="","",IF(D220="completed","Completed in CSSP",IF(D220="executing","Active - Executing",IF(D220="processing","Ready to Assign",IF(D220="Missing from latest raw","Check Source","Not Managed - "&amp;D220)))))</x:f>
      </x:c>
      <x:c r="F220" s="189" t="str">
        <x:f>IF(B220="","",IFERROR(INDEX('Task Master'!$K$5:$K$804,MATCH(B220,'Task Master'!$A$5:$A$804,0)),""))</x:f>
      </x:c>
      <x:c r="G220" s="190"/>
      <x:c r="H220" s="190"/>
      <x:c r="I220" s="191"/>
      <x:c r="J220" s="190"/>
      <x:c r="K220" s="190"/>
      <x:c r="L220" s="195"/>
      <x:c r="M220" s="190"/>
      <x:c r="N220" s="187"/>
      <x:c r="O220" s="192"/>
      <x:c r="P220" s="192"/>
      <x:c r="Q220" s="170" t="str">
        <x:f>IF(OR(A220="",B220=""),"",IF(A220=LOOKUP(2,1/($B$5:$B$704=B220),$A$5:$A$704),"Yes","No"))</x:f>
      </x:c>
    </x:row>
    <x:row r="221">
      <x:c r="A221" s="193"/>
      <x:c r="B221" s="187"/>
      <x:c r="C221" s="188" t="str">
        <x:f>IF(B221="","",IF(COUNTIF('Raw Decommissioning'!$B$2:$B$1000,B221)&gt;0,"Decommissioning",IF(COUNTIF('Raw Provisioning'!$B$2:$B$1000,B221)&gt;0,"Provisioning","Not in latest raw")))</x:f>
      </x:c>
      <x:c r="D221" s="188" t="str">
        <x:f>IF(B221="","",IFERROR(INDEX('Raw Decommissioning'!$E$2:$E$1000,MATCH(B221,'Raw Decommissioning'!$B$2:$B$1000,0)),IFERROR(INDEX('Raw Provisioning'!$E$2:$E$1000,MATCH(B221,'Raw Provisioning'!$B$2:$B$1000,0)),"Missing from latest raw")))</x:f>
      </x:c>
      <x:c r="E221" s="188" t="str">
        <x:f>IF(B221="","",IF(D221="completed","Completed in CSSP",IF(D221="executing","Active - Executing",IF(D221="processing","Ready to Assign",IF(D221="Missing from latest raw","Check Source","Not Managed - "&amp;D221)))))</x:f>
      </x:c>
      <x:c r="F221" s="189" t="str">
        <x:f>IF(B221="","",IFERROR(INDEX('Task Master'!$K$5:$K$804,MATCH(B221,'Task Master'!$A$5:$A$804,0)),""))</x:f>
      </x:c>
      <x:c r="G221" s="190"/>
      <x:c r="H221" s="190"/>
      <x:c r="I221" s="191"/>
      <x:c r="J221" s="190"/>
      <x:c r="K221" s="190"/>
      <x:c r="L221" s="195"/>
      <x:c r="M221" s="190"/>
      <x:c r="N221" s="187"/>
      <x:c r="O221" s="192"/>
      <x:c r="P221" s="192"/>
      <x:c r="Q221" s="170" t="str">
        <x:f>IF(OR(A221="",B221=""),"",IF(A221=LOOKUP(2,1/($B$5:$B$704=B221),$A$5:$A$704),"Yes","No"))</x:f>
      </x:c>
    </x:row>
    <x:row r="222">
      <x:c r="A222" s="193"/>
      <x:c r="B222" s="187"/>
      <x:c r="C222" s="188" t="str">
        <x:f>IF(B222="","",IF(COUNTIF('Raw Decommissioning'!$B$2:$B$1000,B222)&gt;0,"Decommissioning",IF(COUNTIF('Raw Provisioning'!$B$2:$B$1000,B222)&gt;0,"Provisioning","Not in latest raw")))</x:f>
      </x:c>
      <x:c r="D222" s="188" t="str">
        <x:f>IF(B222="","",IFERROR(INDEX('Raw Decommissioning'!$E$2:$E$1000,MATCH(B222,'Raw Decommissioning'!$B$2:$B$1000,0)),IFERROR(INDEX('Raw Provisioning'!$E$2:$E$1000,MATCH(B222,'Raw Provisioning'!$B$2:$B$1000,0)),"Missing from latest raw")))</x:f>
      </x:c>
      <x:c r="E222" s="188" t="str">
        <x:f>IF(B222="","",IF(D222="completed","Completed in CSSP",IF(D222="executing","Active - Executing",IF(D222="processing","Ready to Assign",IF(D222="Missing from latest raw","Check Source","Not Managed - "&amp;D222)))))</x:f>
      </x:c>
      <x:c r="F222" s="189" t="str">
        <x:f>IF(B222="","",IFERROR(INDEX('Task Master'!$K$5:$K$804,MATCH(B222,'Task Master'!$A$5:$A$804,0)),""))</x:f>
      </x:c>
      <x:c r="G222" s="190"/>
      <x:c r="H222" s="190"/>
      <x:c r="I222" s="191"/>
      <x:c r="J222" s="190"/>
      <x:c r="K222" s="190"/>
      <x:c r="L222" s="195"/>
      <x:c r="M222" s="190"/>
      <x:c r="N222" s="187"/>
      <x:c r="O222" s="192"/>
      <x:c r="P222" s="192"/>
      <x:c r="Q222" s="170" t="str">
        <x:f>IF(OR(A222="",B222=""),"",IF(A222=LOOKUP(2,1/($B$5:$B$704=B222),$A$5:$A$704),"Yes","No"))</x:f>
      </x:c>
    </x:row>
    <x:row r="223">
      <x:c r="A223" s="193"/>
      <x:c r="B223" s="187"/>
      <x:c r="C223" s="188" t="str">
        <x:f>IF(B223="","",IF(COUNTIF('Raw Decommissioning'!$B$2:$B$1000,B223)&gt;0,"Decommissioning",IF(COUNTIF('Raw Provisioning'!$B$2:$B$1000,B223)&gt;0,"Provisioning","Not in latest raw")))</x:f>
      </x:c>
      <x:c r="D223" s="188" t="str">
        <x:f>IF(B223="","",IFERROR(INDEX('Raw Decommissioning'!$E$2:$E$1000,MATCH(B223,'Raw Decommissioning'!$B$2:$B$1000,0)),IFERROR(INDEX('Raw Provisioning'!$E$2:$E$1000,MATCH(B223,'Raw Provisioning'!$B$2:$B$1000,0)),"Missing from latest raw")))</x:f>
      </x:c>
      <x:c r="E223" s="188" t="str">
        <x:f>IF(B223="","",IF(D223="completed","Completed in CSSP",IF(D223="executing","Active - Executing",IF(D223="processing","Ready to Assign",IF(D223="Missing from latest raw","Check Source","Not Managed - "&amp;D223)))))</x:f>
      </x:c>
      <x:c r="F223" s="189" t="str">
        <x:f>IF(B223="","",IFERROR(INDEX('Task Master'!$K$5:$K$804,MATCH(B223,'Task Master'!$A$5:$A$804,0)),""))</x:f>
      </x:c>
      <x:c r="G223" s="190"/>
      <x:c r="H223" s="190"/>
      <x:c r="I223" s="191"/>
      <x:c r="J223" s="190"/>
      <x:c r="K223" s="190"/>
      <x:c r="L223" s="195"/>
      <x:c r="M223" s="190"/>
      <x:c r="N223" s="187"/>
      <x:c r="O223" s="192"/>
      <x:c r="P223" s="192"/>
      <x:c r="Q223" s="170" t="str">
        <x:f>IF(OR(A223="",B223=""),"",IF(A223=LOOKUP(2,1/($B$5:$B$704=B223),$A$5:$A$704),"Yes","No"))</x:f>
      </x:c>
    </x:row>
    <x:row r="224">
      <x:c r="A224" s="193"/>
      <x:c r="B224" s="187"/>
      <x:c r="C224" s="188" t="str">
        <x:f>IF(B224="","",IF(COUNTIF('Raw Decommissioning'!$B$2:$B$1000,B224)&gt;0,"Decommissioning",IF(COUNTIF('Raw Provisioning'!$B$2:$B$1000,B224)&gt;0,"Provisioning","Not in latest raw")))</x:f>
      </x:c>
      <x:c r="D224" s="188" t="str">
        <x:f>IF(B224="","",IFERROR(INDEX('Raw Decommissioning'!$E$2:$E$1000,MATCH(B224,'Raw Decommissioning'!$B$2:$B$1000,0)),IFERROR(INDEX('Raw Provisioning'!$E$2:$E$1000,MATCH(B224,'Raw Provisioning'!$B$2:$B$1000,0)),"Missing from latest raw")))</x:f>
      </x:c>
      <x:c r="E224" s="188" t="str">
        <x:f>IF(B224="","",IF(D224="completed","Completed in CSSP",IF(D224="executing","Active - Executing",IF(D224="processing","Ready to Assign",IF(D224="Missing from latest raw","Check Source","Not Managed - "&amp;D224)))))</x:f>
      </x:c>
      <x:c r="F224" s="189" t="str">
        <x:f>IF(B224="","",IFERROR(INDEX('Task Master'!$K$5:$K$804,MATCH(B224,'Task Master'!$A$5:$A$804,0)),""))</x:f>
      </x:c>
      <x:c r="G224" s="190"/>
      <x:c r="H224" s="190"/>
      <x:c r="I224" s="191"/>
      <x:c r="J224" s="190"/>
      <x:c r="K224" s="190"/>
      <x:c r="L224" s="195"/>
      <x:c r="M224" s="190"/>
      <x:c r="N224" s="187"/>
      <x:c r="O224" s="192"/>
      <x:c r="P224" s="192"/>
      <x:c r="Q224" s="170" t="str">
        <x:f>IF(OR(A224="",B224=""),"",IF(A224=LOOKUP(2,1/($B$5:$B$704=B224),$A$5:$A$704),"Yes","No"))</x:f>
      </x:c>
    </x:row>
    <x:row r="225">
      <x:c r="A225" s="193"/>
      <x:c r="B225" s="187"/>
      <x:c r="C225" s="188" t="str">
        <x:f>IF(B225="","",IF(COUNTIF('Raw Decommissioning'!$B$2:$B$1000,B225)&gt;0,"Decommissioning",IF(COUNTIF('Raw Provisioning'!$B$2:$B$1000,B225)&gt;0,"Provisioning","Not in latest raw")))</x:f>
      </x:c>
      <x:c r="D225" s="188" t="str">
        <x:f>IF(B225="","",IFERROR(INDEX('Raw Decommissioning'!$E$2:$E$1000,MATCH(B225,'Raw Decommissioning'!$B$2:$B$1000,0)),IFERROR(INDEX('Raw Provisioning'!$E$2:$E$1000,MATCH(B225,'Raw Provisioning'!$B$2:$B$1000,0)),"Missing from latest raw")))</x:f>
      </x:c>
      <x:c r="E225" s="188" t="str">
        <x:f>IF(B225="","",IF(D225="completed","Completed in CSSP",IF(D225="executing","Active - Executing",IF(D225="processing","Ready to Assign",IF(D225="Missing from latest raw","Check Source","Not Managed - "&amp;D225)))))</x:f>
      </x:c>
      <x:c r="F225" s="189" t="str">
        <x:f>IF(B225="","",IFERROR(INDEX('Task Master'!$K$5:$K$804,MATCH(B225,'Task Master'!$A$5:$A$804,0)),""))</x:f>
      </x:c>
      <x:c r="G225" s="190"/>
      <x:c r="H225" s="190"/>
      <x:c r="I225" s="191"/>
      <x:c r="J225" s="190"/>
      <x:c r="K225" s="190"/>
      <x:c r="L225" s="195"/>
      <x:c r="M225" s="190"/>
      <x:c r="N225" s="187"/>
      <x:c r="O225" s="192"/>
      <x:c r="P225" s="192"/>
      <x:c r="Q225" s="170" t="str">
        <x:f>IF(OR(A225="",B225=""),"",IF(A225=LOOKUP(2,1/($B$5:$B$704=B225),$A$5:$A$704),"Yes","No"))</x:f>
      </x:c>
    </x:row>
    <x:row r="226">
      <x:c r="A226" s="193"/>
      <x:c r="B226" s="187"/>
      <x:c r="C226" s="188" t="str">
        <x:f>IF(B226="","",IF(COUNTIF('Raw Decommissioning'!$B$2:$B$1000,B226)&gt;0,"Decommissioning",IF(COUNTIF('Raw Provisioning'!$B$2:$B$1000,B226)&gt;0,"Provisioning","Not in latest raw")))</x:f>
      </x:c>
      <x:c r="D226" s="188" t="str">
        <x:f>IF(B226="","",IFERROR(INDEX('Raw Decommissioning'!$E$2:$E$1000,MATCH(B226,'Raw Decommissioning'!$B$2:$B$1000,0)),IFERROR(INDEX('Raw Provisioning'!$E$2:$E$1000,MATCH(B226,'Raw Provisioning'!$B$2:$B$1000,0)),"Missing from latest raw")))</x:f>
      </x:c>
      <x:c r="E226" s="188" t="str">
        <x:f>IF(B226="","",IF(D226="completed","Completed in CSSP",IF(D226="executing","Active - Executing",IF(D226="processing","Ready to Assign",IF(D226="Missing from latest raw","Check Source","Not Managed - "&amp;D226)))))</x:f>
      </x:c>
      <x:c r="F226" s="189" t="str">
        <x:f>IF(B226="","",IFERROR(INDEX('Task Master'!$K$5:$K$804,MATCH(B226,'Task Master'!$A$5:$A$804,0)),""))</x:f>
      </x:c>
      <x:c r="G226" s="190"/>
      <x:c r="H226" s="190"/>
      <x:c r="I226" s="191"/>
      <x:c r="J226" s="190"/>
      <x:c r="K226" s="190"/>
      <x:c r="L226" s="195"/>
      <x:c r="M226" s="190"/>
      <x:c r="N226" s="187"/>
      <x:c r="O226" s="192"/>
      <x:c r="P226" s="192"/>
      <x:c r="Q226" s="170" t="str">
        <x:f>IF(OR(A226="",B226=""),"",IF(A226=LOOKUP(2,1/($B$5:$B$704=B226),$A$5:$A$704),"Yes","No"))</x:f>
      </x:c>
    </x:row>
    <x:row r="227">
      <x:c r="A227" s="193"/>
      <x:c r="B227" s="187"/>
      <x:c r="C227" s="188" t="str">
        <x:f>IF(B227="","",IF(COUNTIF('Raw Decommissioning'!$B$2:$B$1000,B227)&gt;0,"Decommissioning",IF(COUNTIF('Raw Provisioning'!$B$2:$B$1000,B227)&gt;0,"Provisioning","Not in latest raw")))</x:f>
      </x:c>
      <x:c r="D227" s="188" t="str">
        <x:f>IF(B227="","",IFERROR(INDEX('Raw Decommissioning'!$E$2:$E$1000,MATCH(B227,'Raw Decommissioning'!$B$2:$B$1000,0)),IFERROR(INDEX('Raw Provisioning'!$E$2:$E$1000,MATCH(B227,'Raw Provisioning'!$B$2:$B$1000,0)),"Missing from latest raw")))</x:f>
      </x:c>
      <x:c r="E227" s="188" t="str">
        <x:f>IF(B227="","",IF(D227="completed","Completed in CSSP",IF(D227="executing","Active - Executing",IF(D227="processing","Ready to Assign",IF(D227="Missing from latest raw","Check Source","Not Managed - "&amp;D227)))))</x:f>
      </x:c>
      <x:c r="F227" s="189" t="str">
        <x:f>IF(B227="","",IFERROR(INDEX('Task Master'!$K$5:$K$804,MATCH(B227,'Task Master'!$A$5:$A$804,0)),""))</x:f>
      </x:c>
      <x:c r="G227" s="190"/>
      <x:c r="H227" s="190"/>
      <x:c r="I227" s="191"/>
      <x:c r="J227" s="190"/>
      <x:c r="K227" s="190"/>
      <x:c r="L227" s="195"/>
      <x:c r="M227" s="190"/>
      <x:c r="N227" s="187"/>
      <x:c r="O227" s="192"/>
      <x:c r="P227" s="192"/>
      <x:c r="Q227" s="170" t="str">
        <x:f>IF(OR(A227="",B227=""),"",IF(A227=LOOKUP(2,1/($B$5:$B$704=B227),$A$5:$A$704),"Yes","No"))</x:f>
      </x:c>
    </x:row>
    <x:row r="228">
      <x:c r="A228" s="193"/>
      <x:c r="B228" s="187"/>
      <x:c r="C228" s="188" t="str">
        <x:f>IF(B228="","",IF(COUNTIF('Raw Decommissioning'!$B$2:$B$1000,B228)&gt;0,"Decommissioning",IF(COUNTIF('Raw Provisioning'!$B$2:$B$1000,B228)&gt;0,"Provisioning","Not in latest raw")))</x:f>
      </x:c>
      <x:c r="D228" s="188" t="str">
        <x:f>IF(B228="","",IFERROR(INDEX('Raw Decommissioning'!$E$2:$E$1000,MATCH(B228,'Raw Decommissioning'!$B$2:$B$1000,0)),IFERROR(INDEX('Raw Provisioning'!$E$2:$E$1000,MATCH(B228,'Raw Provisioning'!$B$2:$B$1000,0)),"Missing from latest raw")))</x:f>
      </x:c>
      <x:c r="E228" s="188" t="str">
        <x:f>IF(B228="","",IF(D228="completed","Completed in CSSP",IF(D228="executing","Active - Executing",IF(D228="processing","Ready to Assign",IF(D228="Missing from latest raw","Check Source","Not Managed - "&amp;D228)))))</x:f>
      </x:c>
      <x:c r="F228" s="189" t="str">
        <x:f>IF(B228="","",IFERROR(INDEX('Task Master'!$K$5:$K$804,MATCH(B228,'Task Master'!$A$5:$A$804,0)),""))</x:f>
      </x:c>
      <x:c r="G228" s="190"/>
      <x:c r="H228" s="190"/>
      <x:c r="I228" s="191"/>
      <x:c r="J228" s="190"/>
      <x:c r="K228" s="190"/>
      <x:c r="L228" s="195"/>
      <x:c r="M228" s="190"/>
      <x:c r="N228" s="187"/>
      <x:c r="O228" s="192"/>
      <x:c r="P228" s="192"/>
      <x:c r="Q228" s="170" t="str">
        <x:f>IF(OR(A228="",B228=""),"",IF(A228=LOOKUP(2,1/($B$5:$B$704=B228),$A$5:$A$704),"Yes","No"))</x:f>
      </x:c>
    </x:row>
    <x:row r="229">
      <x:c r="A229" s="193"/>
      <x:c r="B229" s="187"/>
      <x:c r="C229" s="188" t="str">
        <x:f>IF(B229="","",IF(COUNTIF('Raw Decommissioning'!$B$2:$B$1000,B229)&gt;0,"Decommissioning",IF(COUNTIF('Raw Provisioning'!$B$2:$B$1000,B229)&gt;0,"Provisioning","Not in latest raw")))</x:f>
      </x:c>
      <x:c r="D229" s="188" t="str">
        <x:f>IF(B229="","",IFERROR(INDEX('Raw Decommissioning'!$E$2:$E$1000,MATCH(B229,'Raw Decommissioning'!$B$2:$B$1000,0)),IFERROR(INDEX('Raw Provisioning'!$E$2:$E$1000,MATCH(B229,'Raw Provisioning'!$B$2:$B$1000,0)),"Missing from latest raw")))</x:f>
      </x:c>
      <x:c r="E229" s="188" t="str">
        <x:f>IF(B229="","",IF(D229="completed","Completed in CSSP",IF(D229="executing","Active - Executing",IF(D229="processing","Ready to Assign",IF(D229="Missing from latest raw","Check Source","Not Managed - "&amp;D229)))))</x:f>
      </x:c>
      <x:c r="F229" s="189" t="str">
        <x:f>IF(B229="","",IFERROR(INDEX('Task Master'!$K$5:$K$804,MATCH(B229,'Task Master'!$A$5:$A$804,0)),""))</x:f>
      </x:c>
      <x:c r="G229" s="190"/>
      <x:c r="H229" s="190"/>
      <x:c r="I229" s="191"/>
      <x:c r="J229" s="190"/>
      <x:c r="K229" s="190"/>
      <x:c r="L229" s="195"/>
      <x:c r="M229" s="190"/>
      <x:c r="N229" s="187"/>
      <x:c r="O229" s="192"/>
      <x:c r="P229" s="192"/>
      <x:c r="Q229" s="170" t="str">
        <x:f>IF(OR(A229="",B229=""),"",IF(A229=LOOKUP(2,1/($B$5:$B$704=B229),$A$5:$A$704),"Yes","No"))</x:f>
      </x:c>
    </x:row>
    <x:row r="230">
      <x:c r="A230" s="193"/>
      <x:c r="B230" s="187"/>
      <x:c r="C230" s="188" t="str">
        <x:f>IF(B230="","",IF(COUNTIF('Raw Decommissioning'!$B$2:$B$1000,B230)&gt;0,"Decommissioning",IF(COUNTIF('Raw Provisioning'!$B$2:$B$1000,B230)&gt;0,"Provisioning","Not in latest raw")))</x:f>
      </x:c>
      <x:c r="D230" s="188" t="str">
        <x:f>IF(B230="","",IFERROR(INDEX('Raw Decommissioning'!$E$2:$E$1000,MATCH(B230,'Raw Decommissioning'!$B$2:$B$1000,0)),IFERROR(INDEX('Raw Provisioning'!$E$2:$E$1000,MATCH(B230,'Raw Provisioning'!$B$2:$B$1000,0)),"Missing from latest raw")))</x:f>
      </x:c>
      <x:c r="E230" s="188" t="str">
        <x:f>IF(B230="","",IF(D230="completed","Completed in CSSP",IF(D230="executing","Active - Executing",IF(D230="processing","Ready to Assign",IF(D230="Missing from latest raw","Check Source","Not Managed - "&amp;D230)))))</x:f>
      </x:c>
      <x:c r="F230" s="189" t="str">
        <x:f>IF(B230="","",IFERROR(INDEX('Task Master'!$K$5:$K$804,MATCH(B230,'Task Master'!$A$5:$A$804,0)),""))</x:f>
      </x:c>
      <x:c r="G230" s="190"/>
      <x:c r="H230" s="190"/>
      <x:c r="I230" s="191"/>
      <x:c r="J230" s="190"/>
      <x:c r="K230" s="190"/>
      <x:c r="L230" s="195"/>
      <x:c r="M230" s="190"/>
      <x:c r="N230" s="187"/>
      <x:c r="O230" s="192"/>
      <x:c r="P230" s="192"/>
      <x:c r="Q230" s="170" t="str">
        <x:f>IF(OR(A230="",B230=""),"",IF(A230=LOOKUP(2,1/($B$5:$B$704=B230),$A$5:$A$704),"Yes","No"))</x:f>
      </x:c>
    </x:row>
    <x:row r="231">
      <x:c r="A231" s="193"/>
      <x:c r="B231" s="187"/>
      <x:c r="C231" s="188" t="str">
        <x:f>IF(B231="","",IF(COUNTIF('Raw Decommissioning'!$B$2:$B$1000,B231)&gt;0,"Decommissioning",IF(COUNTIF('Raw Provisioning'!$B$2:$B$1000,B231)&gt;0,"Provisioning","Not in latest raw")))</x:f>
      </x:c>
      <x:c r="D231" s="188" t="str">
        <x:f>IF(B231="","",IFERROR(INDEX('Raw Decommissioning'!$E$2:$E$1000,MATCH(B231,'Raw Decommissioning'!$B$2:$B$1000,0)),IFERROR(INDEX('Raw Provisioning'!$E$2:$E$1000,MATCH(B231,'Raw Provisioning'!$B$2:$B$1000,0)),"Missing from latest raw")))</x:f>
      </x:c>
      <x:c r="E231" s="188" t="str">
        <x:f>IF(B231="","",IF(D231="completed","Completed in CSSP",IF(D231="executing","Active - Executing",IF(D231="processing","Ready to Assign",IF(D231="Missing from latest raw","Check Source","Not Managed - "&amp;D231)))))</x:f>
      </x:c>
      <x:c r="F231" s="189" t="str">
        <x:f>IF(B231="","",IFERROR(INDEX('Task Master'!$K$5:$K$804,MATCH(B231,'Task Master'!$A$5:$A$804,0)),""))</x:f>
      </x:c>
      <x:c r="G231" s="190"/>
      <x:c r="H231" s="190"/>
      <x:c r="I231" s="191"/>
      <x:c r="J231" s="190"/>
      <x:c r="K231" s="190"/>
      <x:c r="L231" s="195"/>
      <x:c r="M231" s="190"/>
      <x:c r="N231" s="187"/>
      <x:c r="O231" s="192"/>
      <x:c r="P231" s="192"/>
      <x:c r="Q231" s="170" t="str">
        <x:f>IF(OR(A231="",B231=""),"",IF(A231=LOOKUP(2,1/($B$5:$B$704=B231),$A$5:$A$704),"Yes","No"))</x:f>
      </x:c>
    </x:row>
    <x:row r="232">
      <x:c r="A232" s="193"/>
      <x:c r="B232" s="187"/>
      <x:c r="C232" s="188" t="str">
        <x:f>IF(B232="","",IF(COUNTIF('Raw Decommissioning'!$B$2:$B$1000,B232)&gt;0,"Decommissioning",IF(COUNTIF('Raw Provisioning'!$B$2:$B$1000,B232)&gt;0,"Provisioning","Not in latest raw")))</x:f>
      </x:c>
      <x:c r="D232" s="188" t="str">
        <x:f>IF(B232="","",IFERROR(INDEX('Raw Decommissioning'!$E$2:$E$1000,MATCH(B232,'Raw Decommissioning'!$B$2:$B$1000,0)),IFERROR(INDEX('Raw Provisioning'!$E$2:$E$1000,MATCH(B232,'Raw Provisioning'!$B$2:$B$1000,0)),"Missing from latest raw")))</x:f>
      </x:c>
      <x:c r="E232" s="188" t="str">
        <x:f>IF(B232="","",IF(D232="completed","Completed in CSSP",IF(D232="executing","Active - Executing",IF(D232="processing","Ready to Assign",IF(D232="Missing from latest raw","Check Source","Not Managed - "&amp;D232)))))</x:f>
      </x:c>
      <x:c r="F232" s="189" t="str">
        <x:f>IF(B232="","",IFERROR(INDEX('Task Master'!$K$5:$K$804,MATCH(B232,'Task Master'!$A$5:$A$804,0)),""))</x:f>
      </x:c>
      <x:c r="G232" s="190"/>
      <x:c r="H232" s="190"/>
      <x:c r="I232" s="191"/>
      <x:c r="J232" s="190"/>
      <x:c r="K232" s="190"/>
      <x:c r="L232" s="195"/>
      <x:c r="M232" s="190"/>
      <x:c r="N232" s="187"/>
      <x:c r="O232" s="192"/>
      <x:c r="P232" s="192"/>
      <x:c r="Q232" s="170" t="str">
        <x:f>IF(OR(A232="",B232=""),"",IF(A232=LOOKUP(2,1/($B$5:$B$704=B232),$A$5:$A$704),"Yes","No"))</x:f>
      </x:c>
    </x:row>
    <x:row r="233">
      <x:c r="A233" s="193"/>
      <x:c r="B233" s="187"/>
      <x:c r="C233" s="188" t="str">
        <x:f>IF(B233="","",IF(COUNTIF('Raw Decommissioning'!$B$2:$B$1000,B233)&gt;0,"Decommissioning",IF(COUNTIF('Raw Provisioning'!$B$2:$B$1000,B233)&gt;0,"Provisioning","Not in latest raw")))</x:f>
      </x:c>
      <x:c r="D233" s="188" t="str">
        <x:f>IF(B233="","",IFERROR(INDEX('Raw Decommissioning'!$E$2:$E$1000,MATCH(B233,'Raw Decommissioning'!$B$2:$B$1000,0)),IFERROR(INDEX('Raw Provisioning'!$E$2:$E$1000,MATCH(B233,'Raw Provisioning'!$B$2:$B$1000,0)),"Missing from latest raw")))</x:f>
      </x:c>
      <x:c r="E233" s="188" t="str">
        <x:f>IF(B233="","",IF(D233="completed","Completed in CSSP",IF(D233="executing","Active - Executing",IF(D233="processing","Ready to Assign",IF(D233="Missing from latest raw","Check Source","Not Managed - "&amp;D233)))))</x:f>
      </x:c>
      <x:c r="F233" s="189" t="str">
        <x:f>IF(B233="","",IFERROR(INDEX('Task Master'!$K$5:$K$804,MATCH(B233,'Task Master'!$A$5:$A$804,0)),""))</x:f>
      </x:c>
      <x:c r="G233" s="190"/>
      <x:c r="H233" s="190"/>
      <x:c r="I233" s="191"/>
      <x:c r="J233" s="190"/>
      <x:c r="K233" s="190"/>
      <x:c r="L233" s="195"/>
      <x:c r="M233" s="190"/>
      <x:c r="N233" s="187"/>
      <x:c r="O233" s="192"/>
      <x:c r="P233" s="192"/>
      <x:c r="Q233" s="170" t="str">
        <x:f>IF(OR(A233="",B233=""),"",IF(A233=LOOKUP(2,1/($B$5:$B$704=B233),$A$5:$A$704),"Yes","No"))</x:f>
      </x:c>
    </x:row>
    <x:row r="234">
      <x:c r="A234" s="193"/>
      <x:c r="B234" s="187"/>
      <x:c r="C234" s="188" t="str">
        <x:f>IF(B234="","",IF(COUNTIF('Raw Decommissioning'!$B$2:$B$1000,B234)&gt;0,"Decommissioning",IF(COUNTIF('Raw Provisioning'!$B$2:$B$1000,B234)&gt;0,"Provisioning","Not in latest raw")))</x:f>
      </x:c>
      <x:c r="D234" s="188" t="str">
        <x:f>IF(B234="","",IFERROR(INDEX('Raw Decommissioning'!$E$2:$E$1000,MATCH(B234,'Raw Decommissioning'!$B$2:$B$1000,0)),IFERROR(INDEX('Raw Provisioning'!$E$2:$E$1000,MATCH(B234,'Raw Provisioning'!$B$2:$B$1000,0)),"Missing from latest raw")))</x:f>
      </x:c>
      <x:c r="E234" s="188" t="str">
        <x:f>IF(B234="","",IF(D234="completed","Completed in CSSP",IF(D234="executing","Active - Executing",IF(D234="processing","Ready to Assign",IF(D234="Missing from latest raw","Check Source","Not Managed - "&amp;D234)))))</x:f>
      </x:c>
      <x:c r="F234" s="189" t="str">
        <x:f>IF(B234="","",IFERROR(INDEX('Task Master'!$K$5:$K$804,MATCH(B234,'Task Master'!$A$5:$A$804,0)),""))</x:f>
      </x:c>
      <x:c r="G234" s="190"/>
      <x:c r="H234" s="190"/>
      <x:c r="I234" s="191"/>
      <x:c r="J234" s="190"/>
      <x:c r="K234" s="190"/>
      <x:c r="L234" s="195"/>
      <x:c r="M234" s="190"/>
      <x:c r="N234" s="187"/>
      <x:c r="O234" s="192"/>
      <x:c r="P234" s="192"/>
      <x:c r="Q234" s="170" t="str">
        <x:f>IF(OR(A234="",B234=""),"",IF(A234=LOOKUP(2,1/($B$5:$B$704=B234),$A$5:$A$704),"Yes","No"))</x:f>
      </x:c>
    </x:row>
    <x:row r="235">
      <x:c r="A235" s="193"/>
      <x:c r="B235" s="187"/>
      <x:c r="C235" s="188" t="str">
        <x:f>IF(B235="","",IF(COUNTIF('Raw Decommissioning'!$B$2:$B$1000,B235)&gt;0,"Decommissioning",IF(COUNTIF('Raw Provisioning'!$B$2:$B$1000,B235)&gt;0,"Provisioning","Not in latest raw")))</x:f>
      </x:c>
      <x:c r="D235" s="188" t="str">
        <x:f>IF(B235="","",IFERROR(INDEX('Raw Decommissioning'!$E$2:$E$1000,MATCH(B235,'Raw Decommissioning'!$B$2:$B$1000,0)),IFERROR(INDEX('Raw Provisioning'!$E$2:$E$1000,MATCH(B235,'Raw Provisioning'!$B$2:$B$1000,0)),"Missing from latest raw")))</x:f>
      </x:c>
      <x:c r="E235" s="188" t="str">
        <x:f>IF(B235="","",IF(D235="completed","Completed in CSSP",IF(D235="executing","Active - Executing",IF(D235="processing","Ready to Assign",IF(D235="Missing from latest raw","Check Source","Not Managed - "&amp;D235)))))</x:f>
      </x:c>
      <x:c r="F235" s="189" t="str">
        <x:f>IF(B235="","",IFERROR(INDEX('Task Master'!$K$5:$K$804,MATCH(B235,'Task Master'!$A$5:$A$804,0)),""))</x:f>
      </x:c>
      <x:c r="G235" s="190"/>
      <x:c r="H235" s="190"/>
      <x:c r="I235" s="191"/>
      <x:c r="J235" s="190"/>
      <x:c r="K235" s="190"/>
      <x:c r="L235" s="195"/>
      <x:c r="M235" s="190"/>
      <x:c r="N235" s="187"/>
      <x:c r="O235" s="192"/>
      <x:c r="P235" s="192"/>
      <x:c r="Q235" s="170" t="str">
        <x:f>IF(OR(A235="",B235=""),"",IF(A235=LOOKUP(2,1/($B$5:$B$704=B235),$A$5:$A$704),"Yes","No"))</x:f>
      </x:c>
    </x:row>
    <x:row r="236">
      <x:c r="A236" s="193"/>
      <x:c r="B236" s="187"/>
      <x:c r="C236" s="188" t="str">
        <x:f>IF(B236="","",IF(COUNTIF('Raw Decommissioning'!$B$2:$B$1000,B236)&gt;0,"Decommissioning",IF(COUNTIF('Raw Provisioning'!$B$2:$B$1000,B236)&gt;0,"Provisioning","Not in latest raw")))</x:f>
      </x:c>
      <x:c r="D236" s="188" t="str">
        <x:f>IF(B236="","",IFERROR(INDEX('Raw Decommissioning'!$E$2:$E$1000,MATCH(B236,'Raw Decommissioning'!$B$2:$B$1000,0)),IFERROR(INDEX('Raw Provisioning'!$E$2:$E$1000,MATCH(B236,'Raw Provisioning'!$B$2:$B$1000,0)),"Missing from latest raw")))</x:f>
      </x:c>
      <x:c r="E236" s="188" t="str">
        <x:f>IF(B236="","",IF(D236="completed","Completed in CSSP",IF(D236="executing","Active - Executing",IF(D236="processing","Ready to Assign",IF(D236="Missing from latest raw","Check Source","Not Managed - "&amp;D236)))))</x:f>
      </x:c>
      <x:c r="F236" s="189" t="str">
        <x:f>IF(B236="","",IFERROR(INDEX('Task Master'!$K$5:$K$804,MATCH(B236,'Task Master'!$A$5:$A$804,0)),""))</x:f>
      </x:c>
      <x:c r="G236" s="190"/>
      <x:c r="H236" s="190"/>
      <x:c r="I236" s="191"/>
      <x:c r="J236" s="190"/>
      <x:c r="K236" s="190"/>
      <x:c r="L236" s="195"/>
      <x:c r="M236" s="190"/>
      <x:c r="N236" s="187"/>
      <x:c r="O236" s="192"/>
      <x:c r="P236" s="192"/>
      <x:c r="Q236" s="170" t="str">
        <x:f>IF(OR(A236="",B236=""),"",IF(A236=LOOKUP(2,1/($B$5:$B$704=B236),$A$5:$A$704),"Yes","No"))</x:f>
      </x:c>
    </x:row>
    <x:row r="237">
      <x:c r="A237" s="193"/>
      <x:c r="B237" s="187"/>
      <x:c r="C237" s="188" t="str">
        <x:f>IF(B237="","",IF(COUNTIF('Raw Decommissioning'!$B$2:$B$1000,B237)&gt;0,"Decommissioning",IF(COUNTIF('Raw Provisioning'!$B$2:$B$1000,B237)&gt;0,"Provisioning","Not in latest raw")))</x:f>
      </x:c>
      <x:c r="D237" s="188" t="str">
        <x:f>IF(B237="","",IFERROR(INDEX('Raw Decommissioning'!$E$2:$E$1000,MATCH(B237,'Raw Decommissioning'!$B$2:$B$1000,0)),IFERROR(INDEX('Raw Provisioning'!$E$2:$E$1000,MATCH(B237,'Raw Provisioning'!$B$2:$B$1000,0)),"Missing from latest raw")))</x:f>
      </x:c>
      <x:c r="E237" s="188" t="str">
        <x:f>IF(B237="","",IF(D237="completed","Completed in CSSP",IF(D237="executing","Active - Executing",IF(D237="processing","Ready to Assign",IF(D237="Missing from latest raw","Check Source","Not Managed - "&amp;D237)))))</x:f>
      </x:c>
      <x:c r="F237" s="189" t="str">
        <x:f>IF(B237="","",IFERROR(INDEX('Task Master'!$K$5:$K$804,MATCH(B237,'Task Master'!$A$5:$A$804,0)),""))</x:f>
      </x:c>
      <x:c r="G237" s="190"/>
      <x:c r="H237" s="190"/>
      <x:c r="I237" s="191"/>
      <x:c r="J237" s="190"/>
      <x:c r="K237" s="190"/>
      <x:c r="L237" s="195"/>
      <x:c r="M237" s="190"/>
      <x:c r="N237" s="187"/>
      <x:c r="O237" s="192"/>
      <x:c r="P237" s="192"/>
      <x:c r="Q237" s="170" t="str">
        <x:f>IF(OR(A237="",B237=""),"",IF(A237=LOOKUP(2,1/($B$5:$B$704=B237),$A$5:$A$704),"Yes","No"))</x:f>
      </x:c>
    </x:row>
    <x:row r="238">
      <x:c r="A238" s="193"/>
      <x:c r="B238" s="187"/>
      <x:c r="C238" s="188" t="str">
        <x:f>IF(B238="","",IF(COUNTIF('Raw Decommissioning'!$B$2:$B$1000,B238)&gt;0,"Decommissioning",IF(COUNTIF('Raw Provisioning'!$B$2:$B$1000,B238)&gt;0,"Provisioning","Not in latest raw")))</x:f>
      </x:c>
      <x:c r="D238" s="188" t="str">
        <x:f>IF(B238="","",IFERROR(INDEX('Raw Decommissioning'!$E$2:$E$1000,MATCH(B238,'Raw Decommissioning'!$B$2:$B$1000,0)),IFERROR(INDEX('Raw Provisioning'!$E$2:$E$1000,MATCH(B238,'Raw Provisioning'!$B$2:$B$1000,0)),"Missing from latest raw")))</x:f>
      </x:c>
      <x:c r="E238" s="188" t="str">
        <x:f>IF(B238="","",IF(D238="completed","Completed in CSSP",IF(D238="executing","Active - Executing",IF(D238="processing","Ready to Assign",IF(D238="Missing from latest raw","Check Source","Not Managed - "&amp;D238)))))</x:f>
      </x:c>
      <x:c r="F238" s="189" t="str">
        <x:f>IF(B238="","",IFERROR(INDEX('Task Master'!$K$5:$K$804,MATCH(B238,'Task Master'!$A$5:$A$804,0)),""))</x:f>
      </x:c>
      <x:c r="G238" s="190"/>
      <x:c r="H238" s="190"/>
      <x:c r="I238" s="191"/>
      <x:c r="J238" s="190"/>
      <x:c r="K238" s="190"/>
      <x:c r="L238" s="195"/>
      <x:c r="M238" s="190"/>
      <x:c r="N238" s="187"/>
      <x:c r="O238" s="192"/>
      <x:c r="P238" s="192"/>
      <x:c r="Q238" s="170" t="str">
        <x:f>IF(OR(A238="",B238=""),"",IF(A238=LOOKUP(2,1/($B$5:$B$704=B238),$A$5:$A$704),"Yes","No"))</x:f>
      </x:c>
    </x:row>
    <x:row r="239">
      <x:c r="A239" s="193"/>
      <x:c r="B239" s="187"/>
      <x:c r="C239" s="188" t="str">
        <x:f>IF(B239="","",IF(COUNTIF('Raw Decommissioning'!$B$2:$B$1000,B239)&gt;0,"Decommissioning",IF(COUNTIF('Raw Provisioning'!$B$2:$B$1000,B239)&gt;0,"Provisioning","Not in latest raw")))</x:f>
      </x:c>
      <x:c r="D239" s="188" t="str">
        <x:f>IF(B239="","",IFERROR(INDEX('Raw Decommissioning'!$E$2:$E$1000,MATCH(B239,'Raw Decommissioning'!$B$2:$B$1000,0)),IFERROR(INDEX('Raw Provisioning'!$E$2:$E$1000,MATCH(B239,'Raw Provisioning'!$B$2:$B$1000,0)),"Missing from latest raw")))</x:f>
      </x:c>
      <x:c r="E239" s="188" t="str">
        <x:f>IF(B239="","",IF(D239="completed","Completed in CSSP",IF(D239="executing","Active - Executing",IF(D239="processing","Ready to Assign",IF(D239="Missing from latest raw","Check Source","Not Managed - "&amp;D239)))))</x:f>
      </x:c>
      <x:c r="F239" s="189" t="str">
        <x:f>IF(B239="","",IFERROR(INDEX('Task Master'!$K$5:$K$804,MATCH(B239,'Task Master'!$A$5:$A$804,0)),""))</x:f>
      </x:c>
      <x:c r="G239" s="190"/>
      <x:c r="H239" s="190"/>
      <x:c r="I239" s="191"/>
      <x:c r="J239" s="190"/>
      <x:c r="K239" s="190"/>
      <x:c r="L239" s="195"/>
      <x:c r="M239" s="190"/>
      <x:c r="N239" s="187"/>
      <x:c r="O239" s="192"/>
      <x:c r="P239" s="192"/>
      <x:c r="Q239" s="170" t="str">
        <x:f>IF(OR(A239="",B239=""),"",IF(A239=LOOKUP(2,1/($B$5:$B$704=B239),$A$5:$A$704),"Yes","No"))</x:f>
      </x:c>
    </x:row>
    <x:row r="240">
      <x:c r="A240" s="193"/>
      <x:c r="B240" s="187"/>
      <x:c r="C240" s="188" t="str">
        <x:f>IF(B240="","",IF(COUNTIF('Raw Decommissioning'!$B$2:$B$1000,B240)&gt;0,"Decommissioning",IF(COUNTIF('Raw Provisioning'!$B$2:$B$1000,B240)&gt;0,"Provisioning","Not in latest raw")))</x:f>
      </x:c>
      <x:c r="D240" s="188" t="str">
        <x:f>IF(B240="","",IFERROR(INDEX('Raw Decommissioning'!$E$2:$E$1000,MATCH(B240,'Raw Decommissioning'!$B$2:$B$1000,0)),IFERROR(INDEX('Raw Provisioning'!$E$2:$E$1000,MATCH(B240,'Raw Provisioning'!$B$2:$B$1000,0)),"Missing from latest raw")))</x:f>
      </x:c>
      <x:c r="E240" s="188" t="str">
        <x:f>IF(B240="","",IF(D240="completed","Completed in CSSP",IF(D240="executing","Active - Executing",IF(D240="processing","Ready to Assign",IF(D240="Missing from latest raw","Check Source","Not Managed - "&amp;D240)))))</x:f>
      </x:c>
      <x:c r="F240" s="189" t="str">
        <x:f>IF(B240="","",IFERROR(INDEX('Task Master'!$K$5:$K$804,MATCH(B240,'Task Master'!$A$5:$A$804,0)),""))</x:f>
      </x:c>
      <x:c r="G240" s="190"/>
      <x:c r="H240" s="190"/>
      <x:c r="I240" s="191"/>
      <x:c r="J240" s="190"/>
      <x:c r="K240" s="190"/>
      <x:c r="L240" s="195"/>
      <x:c r="M240" s="190"/>
      <x:c r="N240" s="187"/>
      <x:c r="O240" s="192"/>
      <x:c r="P240" s="192"/>
      <x:c r="Q240" s="170" t="str">
        <x:f>IF(OR(A240="",B240=""),"",IF(A240=LOOKUP(2,1/($B$5:$B$704=B240),$A$5:$A$704),"Yes","No"))</x:f>
      </x:c>
    </x:row>
    <x:row r="241">
      <x:c r="A241" s="193"/>
      <x:c r="B241" s="187"/>
      <x:c r="C241" s="188" t="str">
        <x:f>IF(B241="","",IF(COUNTIF('Raw Decommissioning'!$B$2:$B$1000,B241)&gt;0,"Decommissioning",IF(COUNTIF('Raw Provisioning'!$B$2:$B$1000,B241)&gt;0,"Provisioning","Not in latest raw")))</x:f>
      </x:c>
      <x:c r="D241" s="188" t="str">
        <x:f>IF(B241="","",IFERROR(INDEX('Raw Decommissioning'!$E$2:$E$1000,MATCH(B241,'Raw Decommissioning'!$B$2:$B$1000,0)),IFERROR(INDEX('Raw Provisioning'!$E$2:$E$1000,MATCH(B241,'Raw Provisioning'!$B$2:$B$1000,0)),"Missing from latest raw")))</x:f>
      </x:c>
      <x:c r="E241" s="188" t="str">
        <x:f>IF(B241="","",IF(D241="completed","Completed in CSSP",IF(D241="executing","Active - Executing",IF(D241="processing","Ready to Assign",IF(D241="Missing from latest raw","Check Source","Not Managed - "&amp;D241)))))</x:f>
      </x:c>
      <x:c r="F241" s="189" t="str">
        <x:f>IF(B241="","",IFERROR(INDEX('Task Master'!$K$5:$K$804,MATCH(B241,'Task Master'!$A$5:$A$804,0)),""))</x:f>
      </x:c>
      <x:c r="G241" s="190"/>
      <x:c r="H241" s="190"/>
      <x:c r="I241" s="191"/>
      <x:c r="J241" s="190"/>
      <x:c r="K241" s="190"/>
      <x:c r="L241" s="195"/>
      <x:c r="M241" s="190"/>
      <x:c r="N241" s="187"/>
      <x:c r="O241" s="192"/>
      <x:c r="P241" s="192"/>
      <x:c r="Q241" s="170" t="str">
        <x:f>IF(OR(A241="",B241=""),"",IF(A241=LOOKUP(2,1/($B$5:$B$704=B241),$A$5:$A$704),"Yes","No"))</x:f>
      </x:c>
    </x:row>
    <x:row r="242">
      <x:c r="A242" s="193"/>
      <x:c r="B242" s="187"/>
      <x:c r="C242" s="188" t="str">
        <x:f>IF(B242="","",IF(COUNTIF('Raw Decommissioning'!$B$2:$B$1000,B242)&gt;0,"Decommissioning",IF(COUNTIF('Raw Provisioning'!$B$2:$B$1000,B242)&gt;0,"Provisioning","Not in latest raw")))</x:f>
      </x:c>
      <x:c r="D242" s="188" t="str">
        <x:f>IF(B242="","",IFERROR(INDEX('Raw Decommissioning'!$E$2:$E$1000,MATCH(B242,'Raw Decommissioning'!$B$2:$B$1000,0)),IFERROR(INDEX('Raw Provisioning'!$E$2:$E$1000,MATCH(B242,'Raw Provisioning'!$B$2:$B$1000,0)),"Missing from latest raw")))</x:f>
      </x:c>
      <x:c r="E242" s="188" t="str">
        <x:f>IF(B242="","",IF(D242="completed","Completed in CSSP",IF(D242="executing","Active - Executing",IF(D242="processing","Ready to Assign",IF(D242="Missing from latest raw","Check Source","Not Managed - "&amp;D242)))))</x:f>
      </x:c>
      <x:c r="F242" s="189" t="str">
        <x:f>IF(B242="","",IFERROR(INDEX('Task Master'!$K$5:$K$804,MATCH(B242,'Task Master'!$A$5:$A$804,0)),""))</x:f>
      </x:c>
      <x:c r="G242" s="190"/>
      <x:c r="H242" s="190"/>
      <x:c r="I242" s="191"/>
      <x:c r="J242" s="190"/>
      <x:c r="K242" s="190"/>
      <x:c r="L242" s="195"/>
      <x:c r="M242" s="190"/>
      <x:c r="N242" s="187"/>
      <x:c r="O242" s="192"/>
      <x:c r="P242" s="192"/>
      <x:c r="Q242" s="170" t="str">
        <x:f>IF(OR(A242="",B242=""),"",IF(A242=LOOKUP(2,1/($B$5:$B$704=B242),$A$5:$A$704),"Yes","No"))</x:f>
      </x:c>
    </x:row>
    <x:row r="243">
      <x:c r="A243" s="193"/>
      <x:c r="B243" s="187"/>
      <x:c r="C243" s="188" t="str">
        <x:f>IF(B243="","",IF(COUNTIF('Raw Decommissioning'!$B$2:$B$1000,B243)&gt;0,"Decommissioning",IF(COUNTIF('Raw Provisioning'!$B$2:$B$1000,B243)&gt;0,"Provisioning","Not in latest raw")))</x:f>
      </x:c>
      <x:c r="D243" s="188" t="str">
        <x:f>IF(B243="","",IFERROR(INDEX('Raw Decommissioning'!$E$2:$E$1000,MATCH(B243,'Raw Decommissioning'!$B$2:$B$1000,0)),IFERROR(INDEX('Raw Provisioning'!$E$2:$E$1000,MATCH(B243,'Raw Provisioning'!$B$2:$B$1000,0)),"Missing from latest raw")))</x:f>
      </x:c>
      <x:c r="E243" s="188" t="str">
        <x:f>IF(B243="","",IF(D243="completed","Completed in CSSP",IF(D243="executing","Active - Executing",IF(D243="processing","Ready to Assign",IF(D243="Missing from latest raw","Check Source","Not Managed - "&amp;D243)))))</x:f>
      </x:c>
      <x:c r="F243" s="189" t="str">
        <x:f>IF(B243="","",IFERROR(INDEX('Task Master'!$K$5:$K$804,MATCH(B243,'Task Master'!$A$5:$A$804,0)),""))</x:f>
      </x:c>
      <x:c r="G243" s="190"/>
      <x:c r="H243" s="190"/>
      <x:c r="I243" s="191"/>
      <x:c r="J243" s="190"/>
      <x:c r="K243" s="190"/>
      <x:c r="L243" s="195"/>
      <x:c r="M243" s="190"/>
      <x:c r="N243" s="187"/>
      <x:c r="O243" s="192"/>
      <x:c r="P243" s="192"/>
      <x:c r="Q243" s="170" t="str">
        <x:f>IF(OR(A243="",B243=""),"",IF(A243=LOOKUP(2,1/($B$5:$B$704=B243),$A$5:$A$704),"Yes","No"))</x:f>
      </x:c>
    </x:row>
    <x:row r="244">
      <x:c r="A244" s="193"/>
      <x:c r="B244" s="187"/>
      <x:c r="C244" s="188" t="str">
        <x:f>IF(B244="","",IF(COUNTIF('Raw Decommissioning'!$B$2:$B$1000,B244)&gt;0,"Decommissioning",IF(COUNTIF('Raw Provisioning'!$B$2:$B$1000,B244)&gt;0,"Provisioning","Not in latest raw")))</x:f>
      </x:c>
      <x:c r="D244" s="188" t="str">
        <x:f>IF(B244="","",IFERROR(INDEX('Raw Decommissioning'!$E$2:$E$1000,MATCH(B244,'Raw Decommissioning'!$B$2:$B$1000,0)),IFERROR(INDEX('Raw Provisioning'!$E$2:$E$1000,MATCH(B244,'Raw Provisioning'!$B$2:$B$1000,0)),"Missing from latest raw")))</x:f>
      </x:c>
      <x:c r="E244" s="188" t="str">
        <x:f>IF(B244="","",IF(D244="completed","Completed in CSSP",IF(D244="executing","Active - Executing",IF(D244="processing","Ready to Assign",IF(D244="Missing from latest raw","Check Source","Not Managed - "&amp;D244)))))</x:f>
      </x:c>
      <x:c r="F244" s="189" t="str">
        <x:f>IF(B244="","",IFERROR(INDEX('Task Master'!$K$5:$K$804,MATCH(B244,'Task Master'!$A$5:$A$804,0)),""))</x:f>
      </x:c>
      <x:c r="G244" s="190"/>
      <x:c r="H244" s="190"/>
      <x:c r="I244" s="191"/>
      <x:c r="J244" s="190"/>
      <x:c r="K244" s="190"/>
      <x:c r="L244" s="195"/>
      <x:c r="M244" s="190"/>
      <x:c r="N244" s="187"/>
      <x:c r="O244" s="192"/>
      <x:c r="P244" s="192"/>
      <x:c r="Q244" s="170" t="str">
        <x:f>IF(OR(A244="",B244=""),"",IF(A244=LOOKUP(2,1/($B$5:$B$704=B244),$A$5:$A$704),"Yes","No"))</x:f>
      </x:c>
    </x:row>
    <x:row r="245">
      <x:c r="A245" s="193"/>
      <x:c r="B245" s="187"/>
      <x:c r="C245" s="188" t="str">
        <x:f>IF(B245="","",IF(COUNTIF('Raw Decommissioning'!$B$2:$B$1000,B245)&gt;0,"Decommissioning",IF(COUNTIF('Raw Provisioning'!$B$2:$B$1000,B245)&gt;0,"Provisioning","Not in latest raw")))</x:f>
      </x:c>
      <x:c r="D245" s="188" t="str">
        <x:f>IF(B245="","",IFERROR(INDEX('Raw Decommissioning'!$E$2:$E$1000,MATCH(B245,'Raw Decommissioning'!$B$2:$B$1000,0)),IFERROR(INDEX('Raw Provisioning'!$E$2:$E$1000,MATCH(B245,'Raw Provisioning'!$B$2:$B$1000,0)),"Missing from latest raw")))</x:f>
      </x:c>
      <x:c r="E245" s="188" t="str">
        <x:f>IF(B245="","",IF(D245="completed","Completed in CSSP",IF(D245="executing","Active - Executing",IF(D245="processing","Ready to Assign",IF(D245="Missing from latest raw","Check Source","Not Managed - "&amp;D245)))))</x:f>
      </x:c>
      <x:c r="F245" s="189" t="str">
        <x:f>IF(B245="","",IFERROR(INDEX('Task Master'!$K$5:$K$804,MATCH(B245,'Task Master'!$A$5:$A$804,0)),""))</x:f>
      </x:c>
      <x:c r="G245" s="190"/>
      <x:c r="H245" s="190"/>
      <x:c r="I245" s="191"/>
      <x:c r="J245" s="190"/>
      <x:c r="K245" s="190"/>
      <x:c r="L245" s="195"/>
      <x:c r="M245" s="190"/>
      <x:c r="N245" s="187"/>
      <x:c r="O245" s="192"/>
      <x:c r="P245" s="192"/>
      <x:c r="Q245" s="170" t="str">
        <x:f>IF(OR(A245="",B245=""),"",IF(A245=LOOKUP(2,1/($B$5:$B$704=B245),$A$5:$A$704),"Yes","No"))</x:f>
      </x:c>
    </x:row>
    <x:row r="246">
      <x:c r="A246" s="193"/>
      <x:c r="B246" s="187"/>
      <x:c r="C246" s="188" t="str">
        <x:f>IF(B246="","",IF(COUNTIF('Raw Decommissioning'!$B$2:$B$1000,B246)&gt;0,"Decommissioning",IF(COUNTIF('Raw Provisioning'!$B$2:$B$1000,B246)&gt;0,"Provisioning","Not in latest raw")))</x:f>
      </x:c>
      <x:c r="D246" s="188" t="str">
        <x:f>IF(B246="","",IFERROR(INDEX('Raw Decommissioning'!$E$2:$E$1000,MATCH(B246,'Raw Decommissioning'!$B$2:$B$1000,0)),IFERROR(INDEX('Raw Provisioning'!$E$2:$E$1000,MATCH(B246,'Raw Provisioning'!$B$2:$B$1000,0)),"Missing from latest raw")))</x:f>
      </x:c>
      <x:c r="E246" s="188" t="str">
        <x:f>IF(B246="","",IF(D246="completed","Completed in CSSP",IF(D246="executing","Active - Executing",IF(D246="processing","Ready to Assign",IF(D246="Missing from latest raw","Check Source","Not Managed - "&amp;D246)))))</x:f>
      </x:c>
      <x:c r="F246" s="189" t="str">
        <x:f>IF(B246="","",IFERROR(INDEX('Task Master'!$K$5:$K$804,MATCH(B246,'Task Master'!$A$5:$A$804,0)),""))</x:f>
      </x:c>
      <x:c r="G246" s="190"/>
      <x:c r="H246" s="190"/>
      <x:c r="I246" s="191"/>
      <x:c r="J246" s="190"/>
      <x:c r="K246" s="190"/>
      <x:c r="L246" s="195"/>
      <x:c r="M246" s="190"/>
      <x:c r="N246" s="187"/>
      <x:c r="O246" s="192"/>
      <x:c r="P246" s="192"/>
      <x:c r="Q246" s="170" t="str">
        <x:f>IF(OR(A246="",B246=""),"",IF(A246=LOOKUP(2,1/($B$5:$B$704=B246),$A$5:$A$704),"Yes","No"))</x:f>
      </x:c>
    </x:row>
    <x:row r="247">
      <x:c r="A247" s="193"/>
      <x:c r="B247" s="187"/>
      <x:c r="C247" s="188" t="str">
        <x:f>IF(B247="","",IF(COUNTIF('Raw Decommissioning'!$B$2:$B$1000,B247)&gt;0,"Decommissioning",IF(COUNTIF('Raw Provisioning'!$B$2:$B$1000,B247)&gt;0,"Provisioning","Not in latest raw")))</x:f>
      </x:c>
      <x:c r="D247" s="188" t="str">
        <x:f>IF(B247="","",IFERROR(INDEX('Raw Decommissioning'!$E$2:$E$1000,MATCH(B247,'Raw Decommissioning'!$B$2:$B$1000,0)),IFERROR(INDEX('Raw Provisioning'!$E$2:$E$1000,MATCH(B247,'Raw Provisioning'!$B$2:$B$1000,0)),"Missing from latest raw")))</x:f>
      </x:c>
      <x:c r="E247" s="188" t="str">
        <x:f>IF(B247="","",IF(D247="completed","Completed in CSSP",IF(D247="executing","Active - Executing",IF(D247="processing","Ready to Assign",IF(D247="Missing from latest raw","Check Source","Not Managed - "&amp;D247)))))</x:f>
      </x:c>
      <x:c r="F247" s="189" t="str">
        <x:f>IF(B247="","",IFERROR(INDEX('Task Master'!$K$5:$K$804,MATCH(B247,'Task Master'!$A$5:$A$804,0)),""))</x:f>
      </x:c>
      <x:c r="G247" s="190"/>
      <x:c r="H247" s="190"/>
      <x:c r="I247" s="191"/>
      <x:c r="J247" s="190"/>
      <x:c r="K247" s="190"/>
      <x:c r="L247" s="195"/>
      <x:c r="M247" s="190"/>
      <x:c r="N247" s="187"/>
      <x:c r="O247" s="192"/>
      <x:c r="P247" s="192"/>
      <x:c r="Q247" s="170" t="str">
        <x:f>IF(OR(A247="",B247=""),"",IF(A247=LOOKUP(2,1/($B$5:$B$704=B247),$A$5:$A$704),"Yes","No"))</x:f>
      </x:c>
    </x:row>
    <x:row r="248">
      <x:c r="A248" s="193"/>
      <x:c r="B248" s="187"/>
      <x:c r="C248" s="188" t="str">
        <x:f>IF(B248="","",IF(COUNTIF('Raw Decommissioning'!$B$2:$B$1000,B248)&gt;0,"Decommissioning",IF(COUNTIF('Raw Provisioning'!$B$2:$B$1000,B248)&gt;0,"Provisioning","Not in latest raw")))</x:f>
      </x:c>
      <x:c r="D248" s="188" t="str">
        <x:f>IF(B248="","",IFERROR(INDEX('Raw Decommissioning'!$E$2:$E$1000,MATCH(B248,'Raw Decommissioning'!$B$2:$B$1000,0)),IFERROR(INDEX('Raw Provisioning'!$E$2:$E$1000,MATCH(B248,'Raw Provisioning'!$B$2:$B$1000,0)),"Missing from latest raw")))</x:f>
      </x:c>
      <x:c r="E248" s="188" t="str">
        <x:f>IF(B248="","",IF(D248="completed","Completed in CSSP",IF(D248="executing","Active - Executing",IF(D248="processing","Ready to Assign",IF(D248="Missing from latest raw","Check Source","Not Managed - "&amp;D248)))))</x:f>
      </x:c>
      <x:c r="F248" s="189" t="str">
        <x:f>IF(B248="","",IFERROR(INDEX('Task Master'!$K$5:$K$804,MATCH(B248,'Task Master'!$A$5:$A$804,0)),""))</x:f>
      </x:c>
      <x:c r="G248" s="190"/>
      <x:c r="H248" s="190"/>
      <x:c r="I248" s="191"/>
      <x:c r="J248" s="190"/>
      <x:c r="K248" s="190"/>
      <x:c r="L248" s="195"/>
      <x:c r="M248" s="190"/>
      <x:c r="N248" s="187"/>
      <x:c r="O248" s="192"/>
      <x:c r="P248" s="192"/>
      <x:c r="Q248" s="170" t="str">
        <x:f>IF(OR(A248="",B248=""),"",IF(A248=LOOKUP(2,1/($B$5:$B$704=B248),$A$5:$A$704),"Yes","No"))</x:f>
      </x:c>
    </x:row>
    <x:row r="249">
      <x:c r="A249" s="193"/>
      <x:c r="B249" s="187"/>
      <x:c r="C249" s="188" t="str">
        <x:f>IF(B249="","",IF(COUNTIF('Raw Decommissioning'!$B$2:$B$1000,B249)&gt;0,"Decommissioning",IF(COUNTIF('Raw Provisioning'!$B$2:$B$1000,B249)&gt;0,"Provisioning","Not in latest raw")))</x:f>
      </x:c>
      <x:c r="D249" s="188" t="str">
        <x:f>IF(B249="","",IFERROR(INDEX('Raw Decommissioning'!$E$2:$E$1000,MATCH(B249,'Raw Decommissioning'!$B$2:$B$1000,0)),IFERROR(INDEX('Raw Provisioning'!$E$2:$E$1000,MATCH(B249,'Raw Provisioning'!$B$2:$B$1000,0)),"Missing from latest raw")))</x:f>
      </x:c>
      <x:c r="E249" s="188" t="str">
        <x:f>IF(B249="","",IF(D249="completed","Completed in CSSP",IF(D249="executing","Active - Executing",IF(D249="processing","Ready to Assign",IF(D249="Missing from latest raw","Check Source","Not Managed - "&amp;D249)))))</x:f>
      </x:c>
      <x:c r="F249" s="189" t="str">
        <x:f>IF(B249="","",IFERROR(INDEX('Task Master'!$K$5:$K$804,MATCH(B249,'Task Master'!$A$5:$A$804,0)),""))</x:f>
      </x:c>
      <x:c r="G249" s="190"/>
      <x:c r="H249" s="190"/>
      <x:c r="I249" s="191"/>
      <x:c r="J249" s="190"/>
      <x:c r="K249" s="190"/>
      <x:c r="L249" s="195"/>
      <x:c r="M249" s="190"/>
      <x:c r="N249" s="187"/>
      <x:c r="O249" s="192"/>
      <x:c r="P249" s="192"/>
      <x:c r="Q249" s="170" t="str">
        <x:f>IF(OR(A249="",B249=""),"",IF(A249=LOOKUP(2,1/($B$5:$B$704=B249),$A$5:$A$704),"Yes","No"))</x:f>
      </x:c>
    </x:row>
    <x:row r="250">
      <x:c r="A250" s="193"/>
      <x:c r="B250" s="187"/>
      <x:c r="C250" s="188" t="str">
        <x:f>IF(B250="","",IF(COUNTIF('Raw Decommissioning'!$B$2:$B$1000,B250)&gt;0,"Decommissioning",IF(COUNTIF('Raw Provisioning'!$B$2:$B$1000,B250)&gt;0,"Provisioning","Not in latest raw")))</x:f>
      </x:c>
      <x:c r="D250" s="188" t="str">
        <x:f>IF(B250="","",IFERROR(INDEX('Raw Decommissioning'!$E$2:$E$1000,MATCH(B250,'Raw Decommissioning'!$B$2:$B$1000,0)),IFERROR(INDEX('Raw Provisioning'!$E$2:$E$1000,MATCH(B250,'Raw Provisioning'!$B$2:$B$1000,0)),"Missing from latest raw")))</x:f>
      </x:c>
      <x:c r="E250" s="188" t="str">
        <x:f>IF(B250="","",IF(D250="completed","Completed in CSSP",IF(D250="executing","Active - Executing",IF(D250="processing","Ready to Assign",IF(D250="Missing from latest raw","Check Source","Not Managed - "&amp;D250)))))</x:f>
      </x:c>
      <x:c r="F250" s="189" t="str">
        <x:f>IF(B250="","",IFERROR(INDEX('Task Master'!$K$5:$K$804,MATCH(B250,'Task Master'!$A$5:$A$804,0)),""))</x:f>
      </x:c>
      <x:c r="G250" s="190"/>
      <x:c r="H250" s="190"/>
      <x:c r="I250" s="191"/>
      <x:c r="J250" s="190"/>
      <x:c r="K250" s="190"/>
      <x:c r="L250" s="195"/>
      <x:c r="M250" s="190"/>
      <x:c r="N250" s="187"/>
      <x:c r="O250" s="192"/>
      <x:c r="P250" s="192"/>
      <x:c r="Q250" s="170" t="str">
        <x:f>IF(OR(A250="",B250=""),"",IF(A250=LOOKUP(2,1/($B$5:$B$704=B250),$A$5:$A$704),"Yes","No"))</x:f>
      </x:c>
    </x:row>
    <x:row r="251">
      <x:c r="A251" s="193"/>
      <x:c r="B251" s="187"/>
      <x:c r="C251" s="188" t="str">
        <x:f>IF(B251="","",IF(COUNTIF('Raw Decommissioning'!$B$2:$B$1000,B251)&gt;0,"Decommissioning",IF(COUNTIF('Raw Provisioning'!$B$2:$B$1000,B251)&gt;0,"Provisioning","Not in latest raw")))</x:f>
      </x:c>
      <x:c r="D251" s="188" t="str">
        <x:f>IF(B251="","",IFERROR(INDEX('Raw Decommissioning'!$E$2:$E$1000,MATCH(B251,'Raw Decommissioning'!$B$2:$B$1000,0)),IFERROR(INDEX('Raw Provisioning'!$E$2:$E$1000,MATCH(B251,'Raw Provisioning'!$B$2:$B$1000,0)),"Missing from latest raw")))</x:f>
      </x:c>
      <x:c r="E251" s="188" t="str">
        <x:f>IF(B251="","",IF(D251="completed","Completed in CSSP",IF(D251="executing","Active - Executing",IF(D251="processing","Ready to Assign",IF(D251="Missing from latest raw","Check Source","Not Managed - "&amp;D251)))))</x:f>
      </x:c>
      <x:c r="F251" s="189" t="str">
        <x:f>IF(B251="","",IFERROR(INDEX('Task Master'!$K$5:$K$804,MATCH(B251,'Task Master'!$A$5:$A$804,0)),""))</x:f>
      </x:c>
      <x:c r="G251" s="190"/>
      <x:c r="H251" s="190"/>
      <x:c r="I251" s="191"/>
      <x:c r="J251" s="190"/>
      <x:c r="K251" s="190"/>
      <x:c r="L251" s="195"/>
      <x:c r="M251" s="190"/>
      <x:c r="N251" s="187"/>
      <x:c r="O251" s="192"/>
      <x:c r="P251" s="192"/>
      <x:c r="Q251" s="170" t="str">
        <x:f>IF(OR(A251="",B251=""),"",IF(A251=LOOKUP(2,1/($B$5:$B$704=B251),$A$5:$A$704),"Yes","No"))</x:f>
      </x:c>
    </x:row>
    <x:row r="252">
      <x:c r="A252" s="193"/>
      <x:c r="B252" s="187"/>
      <x:c r="C252" s="188" t="str">
        <x:f>IF(B252="","",IF(COUNTIF('Raw Decommissioning'!$B$2:$B$1000,B252)&gt;0,"Decommissioning",IF(COUNTIF('Raw Provisioning'!$B$2:$B$1000,B252)&gt;0,"Provisioning","Not in latest raw")))</x:f>
      </x:c>
      <x:c r="D252" s="188" t="str">
        <x:f>IF(B252="","",IFERROR(INDEX('Raw Decommissioning'!$E$2:$E$1000,MATCH(B252,'Raw Decommissioning'!$B$2:$B$1000,0)),IFERROR(INDEX('Raw Provisioning'!$E$2:$E$1000,MATCH(B252,'Raw Provisioning'!$B$2:$B$1000,0)),"Missing from latest raw")))</x:f>
      </x:c>
      <x:c r="E252" s="188" t="str">
        <x:f>IF(B252="","",IF(D252="completed","Completed in CSSP",IF(D252="executing","Active - Executing",IF(D252="processing","Ready to Assign",IF(D252="Missing from latest raw","Check Source","Not Managed - "&amp;D252)))))</x:f>
      </x:c>
      <x:c r="F252" s="189" t="str">
        <x:f>IF(B252="","",IFERROR(INDEX('Task Master'!$K$5:$K$804,MATCH(B252,'Task Master'!$A$5:$A$804,0)),""))</x:f>
      </x:c>
      <x:c r="G252" s="190"/>
      <x:c r="H252" s="190"/>
      <x:c r="I252" s="191"/>
      <x:c r="J252" s="190"/>
      <x:c r="K252" s="190"/>
      <x:c r="L252" s="195"/>
      <x:c r="M252" s="190"/>
      <x:c r="N252" s="187"/>
      <x:c r="O252" s="192"/>
      <x:c r="P252" s="192"/>
      <x:c r="Q252" s="170" t="str">
        <x:f>IF(OR(A252="",B252=""),"",IF(A252=LOOKUP(2,1/($B$5:$B$704=B252),$A$5:$A$704),"Yes","No"))</x:f>
      </x:c>
    </x:row>
    <x:row r="253">
      <x:c r="A253" s="193"/>
      <x:c r="B253" s="187"/>
      <x:c r="C253" s="188" t="str">
        <x:f>IF(B253="","",IF(COUNTIF('Raw Decommissioning'!$B$2:$B$1000,B253)&gt;0,"Decommissioning",IF(COUNTIF('Raw Provisioning'!$B$2:$B$1000,B253)&gt;0,"Provisioning","Not in latest raw")))</x:f>
      </x:c>
      <x:c r="D253" s="188" t="str">
        <x:f>IF(B253="","",IFERROR(INDEX('Raw Decommissioning'!$E$2:$E$1000,MATCH(B253,'Raw Decommissioning'!$B$2:$B$1000,0)),IFERROR(INDEX('Raw Provisioning'!$E$2:$E$1000,MATCH(B253,'Raw Provisioning'!$B$2:$B$1000,0)),"Missing from latest raw")))</x:f>
      </x:c>
      <x:c r="E253" s="188" t="str">
        <x:f>IF(B253="","",IF(D253="completed","Completed in CSSP",IF(D253="executing","Active - Executing",IF(D253="processing","Ready to Assign",IF(D253="Missing from latest raw","Check Source","Not Managed - "&amp;D253)))))</x:f>
      </x:c>
      <x:c r="F253" s="189" t="str">
        <x:f>IF(B253="","",IFERROR(INDEX('Task Master'!$K$5:$K$804,MATCH(B253,'Task Master'!$A$5:$A$804,0)),""))</x:f>
      </x:c>
      <x:c r="G253" s="190"/>
      <x:c r="H253" s="190"/>
      <x:c r="I253" s="191"/>
      <x:c r="J253" s="190"/>
      <x:c r="K253" s="190"/>
      <x:c r="L253" s="195"/>
      <x:c r="M253" s="190"/>
      <x:c r="N253" s="187"/>
      <x:c r="O253" s="192"/>
      <x:c r="P253" s="192"/>
      <x:c r="Q253" s="170" t="str">
        <x:f>IF(OR(A253="",B253=""),"",IF(A253=LOOKUP(2,1/($B$5:$B$704=B253),$A$5:$A$704),"Yes","No"))</x:f>
      </x:c>
    </x:row>
    <x:row r="254">
      <x:c r="A254" s="193"/>
      <x:c r="B254" s="187"/>
      <x:c r="C254" s="188" t="str">
        <x:f>IF(B254="","",IF(COUNTIF('Raw Decommissioning'!$B$2:$B$1000,B254)&gt;0,"Decommissioning",IF(COUNTIF('Raw Provisioning'!$B$2:$B$1000,B254)&gt;0,"Provisioning","Not in latest raw")))</x:f>
      </x:c>
      <x:c r="D254" s="188" t="str">
        <x:f>IF(B254="","",IFERROR(INDEX('Raw Decommissioning'!$E$2:$E$1000,MATCH(B254,'Raw Decommissioning'!$B$2:$B$1000,0)),IFERROR(INDEX('Raw Provisioning'!$E$2:$E$1000,MATCH(B254,'Raw Provisioning'!$B$2:$B$1000,0)),"Missing from latest raw")))</x:f>
      </x:c>
      <x:c r="E254" s="188" t="str">
        <x:f>IF(B254="","",IF(D254="completed","Completed in CSSP",IF(D254="executing","Active - Executing",IF(D254="processing","Ready to Assign",IF(D254="Missing from latest raw","Check Source","Not Managed - "&amp;D254)))))</x:f>
      </x:c>
      <x:c r="F254" s="189" t="str">
        <x:f>IF(B254="","",IFERROR(INDEX('Task Master'!$K$5:$K$804,MATCH(B254,'Task Master'!$A$5:$A$804,0)),""))</x:f>
      </x:c>
      <x:c r="G254" s="190"/>
      <x:c r="H254" s="190"/>
      <x:c r="I254" s="191"/>
      <x:c r="J254" s="190"/>
      <x:c r="K254" s="190"/>
      <x:c r="L254" s="195"/>
      <x:c r="M254" s="190"/>
      <x:c r="N254" s="187"/>
      <x:c r="O254" s="192"/>
      <x:c r="P254" s="192"/>
      <x:c r="Q254" s="170" t="str">
        <x:f>IF(OR(A254="",B254=""),"",IF(A254=LOOKUP(2,1/($B$5:$B$704=B254),$A$5:$A$704),"Yes","No"))</x:f>
      </x:c>
    </x:row>
    <x:row r="255">
      <x:c r="A255" s="193"/>
      <x:c r="B255" s="187"/>
      <x:c r="C255" s="188" t="str">
        <x:f>IF(B255="","",IF(COUNTIF('Raw Decommissioning'!$B$2:$B$1000,B255)&gt;0,"Decommissioning",IF(COUNTIF('Raw Provisioning'!$B$2:$B$1000,B255)&gt;0,"Provisioning","Not in latest raw")))</x:f>
      </x:c>
      <x:c r="D255" s="188" t="str">
        <x:f>IF(B255="","",IFERROR(INDEX('Raw Decommissioning'!$E$2:$E$1000,MATCH(B255,'Raw Decommissioning'!$B$2:$B$1000,0)),IFERROR(INDEX('Raw Provisioning'!$E$2:$E$1000,MATCH(B255,'Raw Provisioning'!$B$2:$B$1000,0)),"Missing from latest raw")))</x:f>
      </x:c>
      <x:c r="E255" s="188" t="str">
        <x:f>IF(B255="","",IF(D255="completed","Completed in CSSP",IF(D255="executing","Active - Executing",IF(D255="processing","Ready to Assign",IF(D255="Missing from latest raw","Check Source","Not Managed - "&amp;D255)))))</x:f>
      </x:c>
      <x:c r="F255" s="189" t="str">
        <x:f>IF(B255="","",IFERROR(INDEX('Task Master'!$K$5:$K$804,MATCH(B255,'Task Master'!$A$5:$A$804,0)),""))</x:f>
      </x:c>
      <x:c r="G255" s="190"/>
      <x:c r="H255" s="190"/>
      <x:c r="I255" s="191"/>
      <x:c r="J255" s="190"/>
      <x:c r="K255" s="190"/>
      <x:c r="L255" s="195"/>
      <x:c r="M255" s="190"/>
      <x:c r="N255" s="187"/>
      <x:c r="O255" s="192"/>
      <x:c r="P255" s="192"/>
      <x:c r="Q255" s="170" t="str">
        <x:f>IF(OR(A255="",B255=""),"",IF(A255=LOOKUP(2,1/($B$5:$B$704=B255),$A$5:$A$704),"Yes","No"))</x:f>
      </x:c>
    </x:row>
    <x:row r="256">
      <x:c r="A256" s="193"/>
      <x:c r="B256" s="187"/>
      <x:c r="C256" s="188" t="str">
        <x:f>IF(B256="","",IF(COUNTIF('Raw Decommissioning'!$B$2:$B$1000,B256)&gt;0,"Decommissioning",IF(COUNTIF('Raw Provisioning'!$B$2:$B$1000,B256)&gt;0,"Provisioning","Not in latest raw")))</x:f>
      </x:c>
      <x:c r="D256" s="188" t="str">
        <x:f>IF(B256="","",IFERROR(INDEX('Raw Decommissioning'!$E$2:$E$1000,MATCH(B256,'Raw Decommissioning'!$B$2:$B$1000,0)),IFERROR(INDEX('Raw Provisioning'!$E$2:$E$1000,MATCH(B256,'Raw Provisioning'!$B$2:$B$1000,0)),"Missing from latest raw")))</x:f>
      </x:c>
      <x:c r="E256" s="188" t="str">
        <x:f>IF(B256="","",IF(D256="completed","Completed in CSSP",IF(D256="executing","Active - Executing",IF(D256="processing","Ready to Assign",IF(D256="Missing from latest raw","Check Source","Not Managed - "&amp;D256)))))</x:f>
      </x:c>
      <x:c r="F256" s="189" t="str">
        <x:f>IF(B256="","",IFERROR(INDEX('Task Master'!$K$5:$K$804,MATCH(B256,'Task Master'!$A$5:$A$804,0)),""))</x:f>
      </x:c>
      <x:c r="G256" s="190"/>
      <x:c r="H256" s="190"/>
      <x:c r="I256" s="191"/>
      <x:c r="J256" s="190"/>
      <x:c r="K256" s="190"/>
      <x:c r="L256" s="195"/>
      <x:c r="M256" s="190"/>
      <x:c r="N256" s="187"/>
      <x:c r="O256" s="192"/>
      <x:c r="P256" s="192"/>
      <x:c r="Q256" s="170" t="str">
        <x:f>IF(OR(A256="",B256=""),"",IF(A256=LOOKUP(2,1/($B$5:$B$704=B256),$A$5:$A$704),"Yes","No"))</x:f>
      </x:c>
    </x:row>
    <x:row r="257">
      <x:c r="A257" s="193"/>
      <x:c r="B257" s="187"/>
      <x:c r="C257" s="188" t="str">
        <x:f>IF(B257="","",IF(COUNTIF('Raw Decommissioning'!$B$2:$B$1000,B257)&gt;0,"Decommissioning",IF(COUNTIF('Raw Provisioning'!$B$2:$B$1000,B257)&gt;0,"Provisioning","Not in latest raw")))</x:f>
      </x:c>
      <x:c r="D257" s="188" t="str">
        <x:f>IF(B257="","",IFERROR(INDEX('Raw Decommissioning'!$E$2:$E$1000,MATCH(B257,'Raw Decommissioning'!$B$2:$B$1000,0)),IFERROR(INDEX('Raw Provisioning'!$E$2:$E$1000,MATCH(B257,'Raw Provisioning'!$B$2:$B$1000,0)),"Missing from latest raw")))</x:f>
      </x:c>
      <x:c r="E257" s="188" t="str">
        <x:f>IF(B257="","",IF(D257="completed","Completed in CSSP",IF(D257="executing","Active - Executing",IF(D257="processing","Ready to Assign",IF(D257="Missing from latest raw","Check Source","Not Managed - "&amp;D257)))))</x:f>
      </x:c>
      <x:c r="F257" s="189" t="str">
        <x:f>IF(B257="","",IFERROR(INDEX('Task Master'!$K$5:$K$804,MATCH(B257,'Task Master'!$A$5:$A$804,0)),""))</x:f>
      </x:c>
      <x:c r="G257" s="190"/>
      <x:c r="H257" s="190"/>
      <x:c r="I257" s="191"/>
      <x:c r="J257" s="190"/>
      <x:c r="K257" s="190"/>
      <x:c r="L257" s="195"/>
      <x:c r="M257" s="190"/>
      <x:c r="N257" s="187"/>
      <x:c r="O257" s="192"/>
      <x:c r="P257" s="192"/>
      <x:c r="Q257" s="170" t="str">
        <x:f>IF(OR(A257="",B257=""),"",IF(A257=LOOKUP(2,1/($B$5:$B$704=B257),$A$5:$A$704),"Yes","No"))</x:f>
      </x:c>
    </x:row>
    <x:row r="258">
      <x:c r="A258" s="193"/>
      <x:c r="B258" s="187"/>
      <x:c r="C258" s="188" t="str">
        <x:f>IF(B258="","",IF(COUNTIF('Raw Decommissioning'!$B$2:$B$1000,B258)&gt;0,"Decommissioning",IF(COUNTIF('Raw Provisioning'!$B$2:$B$1000,B258)&gt;0,"Provisioning","Not in latest raw")))</x:f>
      </x:c>
      <x:c r="D258" s="188" t="str">
        <x:f>IF(B258="","",IFERROR(INDEX('Raw Decommissioning'!$E$2:$E$1000,MATCH(B258,'Raw Decommissioning'!$B$2:$B$1000,0)),IFERROR(INDEX('Raw Provisioning'!$E$2:$E$1000,MATCH(B258,'Raw Provisioning'!$B$2:$B$1000,0)),"Missing from latest raw")))</x:f>
      </x:c>
      <x:c r="E258" s="188" t="str">
        <x:f>IF(B258="","",IF(D258="completed","Completed in CSSP",IF(D258="executing","Active - Executing",IF(D258="processing","Ready to Assign",IF(D258="Missing from latest raw","Check Source","Not Managed - "&amp;D258)))))</x:f>
      </x:c>
      <x:c r="F258" s="189" t="str">
        <x:f>IF(B258="","",IFERROR(INDEX('Task Master'!$K$5:$K$804,MATCH(B258,'Task Master'!$A$5:$A$804,0)),""))</x:f>
      </x:c>
      <x:c r="G258" s="190"/>
      <x:c r="H258" s="190"/>
      <x:c r="I258" s="191"/>
      <x:c r="J258" s="190"/>
      <x:c r="K258" s="190"/>
      <x:c r="L258" s="195"/>
      <x:c r="M258" s="190"/>
      <x:c r="N258" s="187"/>
      <x:c r="O258" s="192"/>
      <x:c r="P258" s="192"/>
      <x:c r="Q258" s="170" t="str">
        <x:f>IF(OR(A258="",B258=""),"",IF(A258=LOOKUP(2,1/($B$5:$B$704=B258),$A$5:$A$704),"Yes","No"))</x:f>
      </x:c>
    </x:row>
    <x:row r="259">
      <x:c r="A259" s="193"/>
      <x:c r="B259" s="187"/>
      <x:c r="C259" s="188" t="str">
        <x:f>IF(B259="","",IF(COUNTIF('Raw Decommissioning'!$B$2:$B$1000,B259)&gt;0,"Decommissioning",IF(COUNTIF('Raw Provisioning'!$B$2:$B$1000,B259)&gt;0,"Provisioning","Not in latest raw")))</x:f>
      </x:c>
      <x:c r="D259" s="188" t="str">
        <x:f>IF(B259="","",IFERROR(INDEX('Raw Decommissioning'!$E$2:$E$1000,MATCH(B259,'Raw Decommissioning'!$B$2:$B$1000,0)),IFERROR(INDEX('Raw Provisioning'!$E$2:$E$1000,MATCH(B259,'Raw Provisioning'!$B$2:$B$1000,0)),"Missing from latest raw")))</x:f>
      </x:c>
      <x:c r="E259" s="188" t="str">
        <x:f>IF(B259="","",IF(D259="completed","Completed in CSSP",IF(D259="executing","Active - Executing",IF(D259="processing","Ready to Assign",IF(D259="Missing from latest raw","Check Source","Not Managed - "&amp;D259)))))</x:f>
      </x:c>
      <x:c r="F259" s="189" t="str">
        <x:f>IF(B259="","",IFERROR(INDEX('Task Master'!$K$5:$K$804,MATCH(B259,'Task Master'!$A$5:$A$804,0)),""))</x:f>
      </x:c>
      <x:c r="G259" s="190"/>
      <x:c r="H259" s="190"/>
      <x:c r="I259" s="191"/>
      <x:c r="J259" s="190"/>
      <x:c r="K259" s="190"/>
      <x:c r="L259" s="195"/>
      <x:c r="M259" s="190"/>
      <x:c r="N259" s="187"/>
      <x:c r="O259" s="192"/>
      <x:c r="P259" s="192"/>
      <x:c r="Q259" s="170" t="str">
        <x:f>IF(OR(A259="",B259=""),"",IF(A259=LOOKUP(2,1/($B$5:$B$704=B259),$A$5:$A$704),"Yes","No"))</x:f>
      </x:c>
    </x:row>
    <x:row r="260">
      <x:c r="A260" s="193"/>
      <x:c r="B260" s="187"/>
      <x:c r="C260" s="188" t="str">
        <x:f>IF(B260="","",IF(COUNTIF('Raw Decommissioning'!$B$2:$B$1000,B260)&gt;0,"Decommissioning",IF(COUNTIF('Raw Provisioning'!$B$2:$B$1000,B260)&gt;0,"Provisioning","Not in latest raw")))</x:f>
      </x:c>
      <x:c r="D260" s="188" t="str">
        <x:f>IF(B260="","",IFERROR(INDEX('Raw Decommissioning'!$E$2:$E$1000,MATCH(B260,'Raw Decommissioning'!$B$2:$B$1000,0)),IFERROR(INDEX('Raw Provisioning'!$E$2:$E$1000,MATCH(B260,'Raw Provisioning'!$B$2:$B$1000,0)),"Missing from latest raw")))</x:f>
      </x:c>
      <x:c r="E260" s="188" t="str">
        <x:f>IF(B260="","",IF(D260="completed","Completed in CSSP",IF(D260="executing","Active - Executing",IF(D260="processing","Ready to Assign",IF(D260="Missing from latest raw","Check Source","Not Managed - "&amp;D260)))))</x:f>
      </x:c>
      <x:c r="F260" s="189" t="str">
        <x:f>IF(B260="","",IFERROR(INDEX('Task Master'!$K$5:$K$804,MATCH(B260,'Task Master'!$A$5:$A$804,0)),""))</x:f>
      </x:c>
      <x:c r="G260" s="190"/>
      <x:c r="H260" s="190"/>
      <x:c r="I260" s="191"/>
      <x:c r="J260" s="190"/>
      <x:c r="K260" s="190"/>
      <x:c r="L260" s="195"/>
      <x:c r="M260" s="190"/>
      <x:c r="N260" s="187"/>
      <x:c r="O260" s="192"/>
      <x:c r="P260" s="192"/>
      <x:c r="Q260" s="170" t="str">
        <x:f>IF(OR(A260="",B260=""),"",IF(A260=LOOKUP(2,1/($B$5:$B$704=B260),$A$5:$A$704),"Yes","No"))</x:f>
      </x:c>
    </x:row>
    <x:row r="261">
      <x:c r="A261" s="193"/>
      <x:c r="B261" s="187"/>
      <x:c r="C261" s="188" t="str">
        <x:f>IF(B261="","",IF(COUNTIF('Raw Decommissioning'!$B$2:$B$1000,B261)&gt;0,"Decommissioning",IF(COUNTIF('Raw Provisioning'!$B$2:$B$1000,B261)&gt;0,"Provisioning","Not in latest raw")))</x:f>
      </x:c>
      <x:c r="D261" s="188" t="str">
        <x:f>IF(B261="","",IFERROR(INDEX('Raw Decommissioning'!$E$2:$E$1000,MATCH(B261,'Raw Decommissioning'!$B$2:$B$1000,0)),IFERROR(INDEX('Raw Provisioning'!$E$2:$E$1000,MATCH(B261,'Raw Provisioning'!$B$2:$B$1000,0)),"Missing from latest raw")))</x:f>
      </x:c>
      <x:c r="E261" s="188" t="str">
        <x:f>IF(B261="","",IF(D261="completed","Completed in CSSP",IF(D261="executing","Active - Executing",IF(D261="processing","Ready to Assign",IF(D261="Missing from latest raw","Check Source","Not Managed - "&amp;D261)))))</x:f>
      </x:c>
      <x:c r="F261" s="189" t="str">
        <x:f>IF(B261="","",IFERROR(INDEX('Task Master'!$K$5:$K$804,MATCH(B261,'Task Master'!$A$5:$A$804,0)),""))</x:f>
      </x:c>
      <x:c r="G261" s="190"/>
      <x:c r="H261" s="190"/>
      <x:c r="I261" s="191"/>
      <x:c r="J261" s="190"/>
      <x:c r="K261" s="190"/>
      <x:c r="L261" s="195"/>
      <x:c r="M261" s="190"/>
      <x:c r="N261" s="187"/>
      <x:c r="O261" s="192"/>
      <x:c r="P261" s="192"/>
      <x:c r="Q261" s="170" t="str">
        <x:f>IF(OR(A261="",B261=""),"",IF(A261=LOOKUP(2,1/($B$5:$B$704=B261),$A$5:$A$704),"Yes","No"))</x:f>
      </x:c>
    </x:row>
    <x:row r="262">
      <x:c r="A262" s="193"/>
      <x:c r="B262" s="187"/>
      <x:c r="C262" s="188" t="str">
        <x:f>IF(B262="","",IF(COUNTIF('Raw Decommissioning'!$B$2:$B$1000,B262)&gt;0,"Decommissioning",IF(COUNTIF('Raw Provisioning'!$B$2:$B$1000,B262)&gt;0,"Provisioning","Not in latest raw")))</x:f>
      </x:c>
      <x:c r="D262" s="188" t="str">
        <x:f>IF(B262="","",IFERROR(INDEX('Raw Decommissioning'!$E$2:$E$1000,MATCH(B262,'Raw Decommissioning'!$B$2:$B$1000,0)),IFERROR(INDEX('Raw Provisioning'!$E$2:$E$1000,MATCH(B262,'Raw Provisioning'!$B$2:$B$1000,0)),"Missing from latest raw")))</x:f>
      </x:c>
      <x:c r="E262" s="188" t="str">
        <x:f>IF(B262="","",IF(D262="completed","Completed in CSSP",IF(D262="executing","Active - Executing",IF(D262="processing","Ready to Assign",IF(D262="Missing from latest raw","Check Source","Not Managed - "&amp;D262)))))</x:f>
      </x:c>
      <x:c r="F262" s="189" t="str">
        <x:f>IF(B262="","",IFERROR(INDEX('Task Master'!$K$5:$K$804,MATCH(B262,'Task Master'!$A$5:$A$804,0)),""))</x:f>
      </x:c>
      <x:c r="G262" s="190"/>
      <x:c r="H262" s="190"/>
      <x:c r="I262" s="191"/>
      <x:c r="J262" s="190"/>
      <x:c r="K262" s="190"/>
      <x:c r="L262" s="195"/>
      <x:c r="M262" s="190"/>
      <x:c r="N262" s="187"/>
      <x:c r="O262" s="192"/>
      <x:c r="P262" s="192"/>
      <x:c r="Q262" s="170" t="str">
        <x:f>IF(OR(A262="",B262=""),"",IF(A262=LOOKUP(2,1/($B$5:$B$704=B262),$A$5:$A$704),"Yes","No"))</x:f>
      </x:c>
    </x:row>
    <x:row r="263">
      <x:c r="A263" s="193"/>
      <x:c r="B263" s="187"/>
      <x:c r="C263" s="188" t="str">
        <x:f>IF(B263="","",IF(COUNTIF('Raw Decommissioning'!$B$2:$B$1000,B263)&gt;0,"Decommissioning",IF(COUNTIF('Raw Provisioning'!$B$2:$B$1000,B263)&gt;0,"Provisioning","Not in latest raw")))</x:f>
      </x:c>
      <x:c r="D263" s="188" t="str">
        <x:f>IF(B263="","",IFERROR(INDEX('Raw Decommissioning'!$E$2:$E$1000,MATCH(B263,'Raw Decommissioning'!$B$2:$B$1000,0)),IFERROR(INDEX('Raw Provisioning'!$E$2:$E$1000,MATCH(B263,'Raw Provisioning'!$B$2:$B$1000,0)),"Missing from latest raw")))</x:f>
      </x:c>
      <x:c r="E263" s="188" t="str">
        <x:f>IF(B263="","",IF(D263="completed","Completed in CSSP",IF(D263="executing","Active - Executing",IF(D263="processing","Ready to Assign",IF(D263="Missing from latest raw","Check Source","Not Managed - "&amp;D263)))))</x:f>
      </x:c>
      <x:c r="F263" s="189" t="str">
        <x:f>IF(B263="","",IFERROR(INDEX('Task Master'!$K$5:$K$804,MATCH(B263,'Task Master'!$A$5:$A$804,0)),""))</x:f>
      </x:c>
      <x:c r="G263" s="190"/>
      <x:c r="H263" s="190"/>
      <x:c r="I263" s="191"/>
      <x:c r="J263" s="190"/>
      <x:c r="K263" s="190"/>
      <x:c r="L263" s="195"/>
      <x:c r="M263" s="190"/>
      <x:c r="N263" s="187"/>
      <x:c r="O263" s="192"/>
      <x:c r="P263" s="192"/>
      <x:c r="Q263" s="170" t="str">
        <x:f>IF(OR(A263="",B263=""),"",IF(A263=LOOKUP(2,1/($B$5:$B$704=B263),$A$5:$A$704),"Yes","No"))</x:f>
      </x:c>
    </x:row>
    <x:row r="264">
      <x:c r="A264" s="193"/>
      <x:c r="B264" s="187"/>
      <x:c r="C264" s="188" t="str">
        <x:f>IF(B264="","",IF(COUNTIF('Raw Decommissioning'!$B$2:$B$1000,B264)&gt;0,"Decommissioning",IF(COUNTIF('Raw Provisioning'!$B$2:$B$1000,B264)&gt;0,"Provisioning","Not in latest raw")))</x:f>
      </x:c>
      <x:c r="D264" s="188" t="str">
        <x:f>IF(B264="","",IFERROR(INDEX('Raw Decommissioning'!$E$2:$E$1000,MATCH(B264,'Raw Decommissioning'!$B$2:$B$1000,0)),IFERROR(INDEX('Raw Provisioning'!$E$2:$E$1000,MATCH(B264,'Raw Provisioning'!$B$2:$B$1000,0)),"Missing from latest raw")))</x:f>
      </x:c>
      <x:c r="E264" s="188" t="str">
        <x:f>IF(B264="","",IF(D264="completed","Completed in CSSP",IF(D264="executing","Active - Executing",IF(D264="processing","Ready to Assign",IF(D264="Missing from latest raw","Check Source","Not Managed - "&amp;D264)))))</x:f>
      </x:c>
      <x:c r="F264" s="189" t="str">
        <x:f>IF(B264="","",IFERROR(INDEX('Task Master'!$K$5:$K$804,MATCH(B264,'Task Master'!$A$5:$A$804,0)),""))</x:f>
      </x:c>
      <x:c r="G264" s="190"/>
      <x:c r="H264" s="190"/>
      <x:c r="I264" s="191"/>
      <x:c r="J264" s="190"/>
      <x:c r="K264" s="190"/>
      <x:c r="L264" s="195"/>
      <x:c r="M264" s="190"/>
      <x:c r="N264" s="187"/>
      <x:c r="O264" s="192"/>
      <x:c r="P264" s="192"/>
      <x:c r="Q264" s="170" t="str">
        <x:f>IF(OR(A264="",B264=""),"",IF(A264=LOOKUP(2,1/($B$5:$B$704=B264),$A$5:$A$704),"Yes","No"))</x:f>
      </x:c>
    </x:row>
    <x:row r="265">
      <x:c r="A265" s="193"/>
      <x:c r="B265" s="187"/>
      <x:c r="C265" s="188" t="str">
        <x:f>IF(B265="","",IF(COUNTIF('Raw Decommissioning'!$B$2:$B$1000,B265)&gt;0,"Decommissioning",IF(COUNTIF('Raw Provisioning'!$B$2:$B$1000,B265)&gt;0,"Provisioning","Not in latest raw")))</x:f>
      </x:c>
      <x:c r="D265" s="188" t="str">
        <x:f>IF(B265="","",IFERROR(INDEX('Raw Decommissioning'!$E$2:$E$1000,MATCH(B265,'Raw Decommissioning'!$B$2:$B$1000,0)),IFERROR(INDEX('Raw Provisioning'!$E$2:$E$1000,MATCH(B265,'Raw Provisioning'!$B$2:$B$1000,0)),"Missing from latest raw")))</x:f>
      </x:c>
      <x:c r="E265" s="188" t="str">
        <x:f>IF(B265="","",IF(D265="completed","Completed in CSSP",IF(D265="executing","Active - Executing",IF(D265="processing","Ready to Assign",IF(D265="Missing from latest raw","Check Source","Not Managed - "&amp;D265)))))</x:f>
      </x:c>
      <x:c r="F265" s="189" t="str">
        <x:f>IF(B265="","",IFERROR(INDEX('Task Master'!$K$5:$K$804,MATCH(B265,'Task Master'!$A$5:$A$804,0)),""))</x:f>
      </x:c>
      <x:c r="G265" s="190"/>
      <x:c r="H265" s="190"/>
      <x:c r="I265" s="191"/>
      <x:c r="J265" s="190"/>
      <x:c r="K265" s="190"/>
      <x:c r="L265" s="195"/>
      <x:c r="M265" s="190"/>
      <x:c r="N265" s="187"/>
      <x:c r="O265" s="192"/>
      <x:c r="P265" s="192"/>
      <x:c r="Q265" s="170" t="str">
        <x:f>IF(OR(A265="",B265=""),"",IF(A265=LOOKUP(2,1/($B$5:$B$704=B265),$A$5:$A$704),"Yes","No"))</x:f>
      </x:c>
    </x:row>
    <x:row r="266">
      <x:c r="A266" s="193"/>
      <x:c r="B266" s="187"/>
      <x:c r="C266" s="188" t="str">
        <x:f>IF(B266="","",IF(COUNTIF('Raw Decommissioning'!$B$2:$B$1000,B266)&gt;0,"Decommissioning",IF(COUNTIF('Raw Provisioning'!$B$2:$B$1000,B266)&gt;0,"Provisioning","Not in latest raw")))</x:f>
      </x:c>
      <x:c r="D266" s="188" t="str">
        <x:f>IF(B266="","",IFERROR(INDEX('Raw Decommissioning'!$E$2:$E$1000,MATCH(B266,'Raw Decommissioning'!$B$2:$B$1000,0)),IFERROR(INDEX('Raw Provisioning'!$E$2:$E$1000,MATCH(B266,'Raw Provisioning'!$B$2:$B$1000,0)),"Missing from latest raw")))</x:f>
      </x:c>
      <x:c r="E266" s="188" t="str">
        <x:f>IF(B266="","",IF(D266="completed","Completed in CSSP",IF(D266="executing","Active - Executing",IF(D266="processing","Ready to Assign",IF(D266="Missing from latest raw","Check Source","Not Managed - "&amp;D266)))))</x:f>
      </x:c>
      <x:c r="F266" s="189" t="str">
        <x:f>IF(B266="","",IFERROR(INDEX('Task Master'!$K$5:$K$804,MATCH(B266,'Task Master'!$A$5:$A$804,0)),""))</x:f>
      </x:c>
      <x:c r="G266" s="190"/>
      <x:c r="H266" s="190"/>
      <x:c r="I266" s="191"/>
      <x:c r="J266" s="190"/>
      <x:c r="K266" s="190"/>
      <x:c r="L266" s="195"/>
      <x:c r="M266" s="190"/>
      <x:c r="N266" s="187"/>
      <x:c r="O266" s="192"/>
      <x:c r="P266" s="192"/>
      <x:c r="Q266" s="170" t="str">
        <x:f>IF(OR(A266="",B266=""),"",IF(A266=LOOKUP(2,1/($B$5:$B$704=B266),$A$5:$A$704),"Yes","No"))</x:f>
      </x:c>
    </x:row>
    <x:row r="267">
      <x:c r="A267" s="193"/>
      <x:c r="B267" s="187"/>
      <x:c r="C267" s="188" t="str">
        <x:f>IF(B267="","",IF(COUNTIF('Raw Decommissioning'!$B$2:$B$1000,B267)&gt;0,"Decommissioning",IF(COUNTIF('Raw Provisioning'!$B$2:$B$1000,B267)&gt;0,"Provisioning","Not in latest raw")))</x:f>
      </x:c>
      <x:c r="D267" s="188" t="str">
        <x:f>IF(B267="","",IFERROR(INDEX('Raw Decommissioning'!$E$2:$E$1000,MATCH(B267,'Raw Decommissioning'!$B$2:$B$1000,0)),IFERROR(INDEX('Raw Provisioning'!$E$2:$E$1000,MATCH(B267,'Raw Provisioning'!$B$2:$B$1000,0)),"Missing from latest raw")))</x:f>
      </x:c>
      <x:c r="E267" s="188" t="str">
        <x:f>IF(B267="","",IF(D267="completed","Completed in CSSP",IF(D267="executing","Active - Executing",IF(D267="processing","Ready to Assign",IF(D267="Missing from latest raw","Check Source","Not Managed - "&amp;D267)))))</x:f>
      </x:c>
      <x:c r="F267" s="189" t="str">
        <x:f>IF(B267="","",IFERROR(INDEX('Task Master'!$K$5:$K$804,MATCH(B267,'Task Master'!$A$5:$A$804,0)),""))</x:f>
      </x:c>
      <x:c r="G267" s="190"/>
      <x:c r="H267" s="190"/>
      <x:c r="I267" s="191"/>
      <x:c r="J267" s="190"/>
      <x:c r="K267" s="190"/>
      <x:c r="L267" s="195"/>
      <x:c r="M267" s="190"/>
      <x:c r="N267" s="187"/>
      <x:c r="O267" s="192"/>
      <x:c r="P267" s="192"/>
      <x:c r="Q267" s="170" t="str">
        <x:f>IF(OR(A267="",B267=""),"",IF(A267=LOOKUP(2,1/($B$5:$B$704=B267),$A$5:$A$704),"Yes","No"))</x:f>
      </x:c>
    </x:row>
    <x:row r="268">
      <x:c r="A268" s="193"/>
      <x:c r="B268" s="187"/>
      <x:c r="C268" s="188" t="str">
        <x:f>IF(B268="","",IF(COUNTIF('Raw Decommissioning'!$B$2:$B$1000,B268)&gt;0,"Decommissioning",IF(COUNTIF('Raw Provisioning'!$B$2:$B$1000,B268)&gt;0,"Provisioning","Not in latest raw")))</x:f>
      </x:c>
      <x:c r="D268" s="188" t="str">
        <x:f>IF(B268="","",IFERROR(INDEX('Raw Decommissioning'!$E$2:$E$1000,MATCH(B268,'Raw Decommissioning'!$B$2:$B$1000,0)),IFERROR(INDEX('Raw Provisioning'!$E$2:$E$1000,MATCH(B268,'Raw Provisioning'!$B$2:$B$1000,0)),"Missing from latest raw")))</x:f>
      </x:c>
      <x:c r="E268" s="188" t="str">
        <x:f>IF(B268="","",IF(D268="completed","Completed in CSSP",IF(D268="executing","Active - Executing",IF(D268="processing","Ready to Assign",IF(D268="Missing from latest raw","Check Source","Not Managed - "&amp;D268)))))</x:f>
      </x:c>
      <x:c r="F268" s="189" t="str">
        <x:f>IF(B268="","",IFERROR(INDEX('Task Master'!$K$5:$K$804,MATCH(B268,'Task Master'!$A$5:$A$804,0)),""))</x:f>
      </x:c>
      <x:c r="G268" s="190"/>
      <x:c r="H268" s="190"/>
      <x:c r="I268" s="191"/>
      <x:c r="J268" s="190"/>
      <x:c r="K268" s="190"/>
      <x:c r="L268" s="195"/>
      <x:c r="M268" s="190"/>
      <x:c r="N268" s="187"/>
      <x:c r="O268" s="192"/>
      <x:c r="P268" s="192"/>
      <x:c r="Q268" s="170" t="str">
        <x:f>IF(OR(A268="",B268=""),"",IF(A268=LOOKUP(2,1/($B$5:$B$704=B268),$A$5:$A$704),"Yes","No"))</x:f>
      </x:c>
    </x:row>
    <x:row r="269">
      <x:c r="A269" s="193"/>
      <x:c r="B269" s="187"/>
      <x:c r="C269" s="188" t="str">
        <x:f>IF(B269="","",IF(COUNTIF('Raw Decommissioning'!$B$2:$B$1000,B269)&gt;0,"Decommissioning",IF(COUNTIF('Raw Provisioning'!$B$2:$B$1000,B269)&gt;0,"Provisioning","Not in latest raw")))</x:f>
      </x:c>
      <x:c r="D269" s="188" t="str">
        <x:f>IF(B269="","",IFERROR(INDEX('Raw Decommissioning'!$E$2:$E$1000,MATCH(B269,'Raw Decommissioning'!$B$2:$B$1000,0)),IFERROR(INDEX('Raw Provisioning'!$E$2:$E$1000,MATCH(B269,'Raw Provisioning'!$B$2:$B$1000,0)),"Missing from latest raw")))</x:f>
      </x:c>
      <x:c r="E269" s="188" t="str">
        <x:f>IF(B269="","",IF(D269="completed","Completed in CSSP",IF(D269="executing","Active - Executing",IF(D269="processing","Ready to Assign",IF(D269="Missing from latest raw","Check Source","Not Managed - "&amp;D269)))))</x:f>
      </x:c>
      <x:c r="F269" s="189" t="str">
        <x:f>IF(B269="","",IFERROR(INDEX('Task Master'!$K$5:$K$804,MATCH(B269,'Task Master'!$A$5:$A$804,0)),""))</x:f>
      </x:c>
      <x:c r="G269" s="190"/>
      <x:c r="H269" s="190"/>
      <x:c r="I269" s="191"/>
      <x:c r="J269" s="190"/>
      <x:c r="K269" s="190"/>
      <x:c r="L269" s="195"/>
      <x:c r="M269" s="190"/>
      <x:c r="N269" s="187"/>
      <x:c r="O269" s="192"/>
      <x:c r="P269" s="192"/>
      <x:c r="Q269" s="170" t="str">
        <x:f>IF(OR(A269="",B269=""),"",IF(A269=LOOKUP(2,1/($B$5:$B$704=B269),$A$5:$A$704),"Yes","No"))</x:f>
      </x:c>
    </x:row>
    <x:row r="270">
      <x:c r="A270" s="193"/>
      <x:c r="B270" s="187"/>
      <x:c r="C270" s="188" t="str">
        <x:f>IF(B270="","",IF(COUNTIF('Raw Decommissioning'!$B$2:$B$1000,B270)&gt;0,"Decommissioning",IF(COUNTIF('Raw Provisioning'!$B$2:$B$1000,B270)&gt;0,"Provisioning","Not in latest raw")))</x:f>
      </x:c>
      <x:c r="D270" s="188" t="str">
        <x:f>IF(B270="","",IFERROR(INDEX('Raw Decommissioning'!$E$2:$E$1000,MATCH(B270,'Raw Decommissioning'!$B$2:$B$1000,0)),IFERROR(INDEX('Raw Provisioning'!$E$2:$E$1000,MATCH(B270,'Raw Provisioning'!$B$2:$B$1000,0)),"Missing from latest raw")))</x:f>
      </x:c>
      <x:c r="E270" s="188" t="str">
        <x:f>IF(B270="","",IF(D270="completed","Completed in CSSP",IF(D270="executing","Active - Executing",IF(D270="processing","Ready to Assign",IF(D270="Missing from latest raw","Check Source","Not Managed - "&amp;D270)))))</x:f>
      </x:c>
      <x:c r="F270" s="189" t="str">
        <x:f>IF(B270="","",IFERROR(INDEX('Task Master'!$K$5:$K$804,MATCH(B270,'Task Master'!$A$5:$A$804,0)),""))</x:f>
      </x:c>
      <x:c r="G270" s="190"/>
      <x:c r="H270" s="190"/>
      <x:c r="I270" s="191"/>
      <x:c r="J270" s="190"/>
      <x:c r="K270" s="190"/>
      <x:c r="L270" s="195"/>
      <x:c r="M270" s="190"/>
      <x:c r="N270" s="187"/>
      <x:c r="O270" s="192"/>
      <x:c r="P270" s="192"/>
      <x:c r="Q270" s="170" t="str">
        <x:f>IF(OR(A270="",B270=""),"",IF(A270=LOOKUP(2,1/($B$5:$B$704=B270),$A$5:$A$704),"Yes","No"))</x:f>
      </x:c>
    </x:row>
    <x:row r="271">
      <x:c r="A271" s="193"/>
      <x:c r="B271" s="187"/>
      <x:c r="C271" s="188" t="str">
        <x:f>IF(B271="","",IF(COUNTIF('Raw Decommissioning'!$B$2:$B$1000,B271)&gt;0,"Decommissioning",IF(COUNTIF('Raw Provisioning'!$B$2:$B$1000,B271)&gt;0,"Provisioning","Not in latest raw")))</x:f>
      </x:c>
      <x:c r="D271" s="188" t="str">
        <x:f>IF(B271="","",IFERROR(INDEX('Raw Decommissioning'!$E$2:$E$1000,MATCH(B271,'Raw Decommissioning'!$B$2:$B$1000,0)),IFERROR(INDEX('Raw Provisioning'!$E$2:$E$1000,MATCH(B271,'Raw Provisioning'!$B$2:$B$1000,0)),"Missing from latest raw")))</x:f>
      </x:c>
      <x:c r="E271" s="188" t="str">
        <x:f>IF(B271="","",IF(D271="completed","Completed in CSSP",IF(D271="executing","Active - Executing",IF(D271="processing","Ready to Assign",IF(D271="Missing from latest raw","Check Source","Not Managed - "&amp;D271)))))</x:f>
      </x:c>
      <x:c r="F271" s="189" t="str">
        <x:f>IF(B271="","",IFERROR(INDEX('Task Master'!$K$5:$K$804,MATCH(B271,'Task Master'!$A$5:$A$804,0)),""))</x:f>
      </x:c>
      <x:c r="G271" s="190"/>
      <x:c r="H271" s="190"/>
      <x:c r="I271" s="191"/>
      <x:c r="J271" s="190"/>
      <x:c r="K271" s="190"/>
      <x:c r="L271" s="195"/>
      <x:c r="M271" s="190"/>
      <x:c r="N271" s="187"/>
      <x:c r="O271" s="192"/>
      <x:c r="P271" s="192"/>
      <x:c r="Q271" s="170" t="str">
        <x:f>IF(OR(A271="",B271=""),"",IF(A271=LOOKUP(2,1/($B$5:$B$704=B271),$A$5:$A$704),"Yes","No"))</x:f>
      </x:c>
    </x:row>
    <x:row r="272">
      <x:c r="A272" s="193"/>
      <x:c r="B272" s="187"/>
      <x:c r="C272" s="188" t="str">
        <x:f>IF(B272="","",IF(COUNTIF('Raw Decommissioning'!$B$2:$B$1000,B272)&gt;0,"Decommissioning",IF(COUNTIF('Raw Provisioning'!$B$2:$B$1000,B272)&gt;0,"Provisioning","Not in latest raw")))</x:f>
      </x:c>
      <x:c r="D272" s="188" t="str">
        <x:f>IF(B272="","",IFERROR(INDEX('Raw Decommissioning'!$E$2:$E$1000,MATCH(B272,'Raw Decommissioning'!$B$2:$B$1000,0)),IFERROR(INDEX('Raw Provisioning'!$E$2:$E$1000,MATCH(B272,'Raw Provisioning'!$B$2:$B$1000,0)),"Missing from latest raw")))</x:f>
      </x:c>
      <x:c r="E272" s="188" t="str">
        <x:f>IF(B272="","",IF(D272="completed","Completed in CSSP",IF(D272="executing","Active - Executing",IF(D272="processing","Ready to Assign",IF(D272="Missing from latest raw","Check Source","Not Managed - "&amp;D272)))))</x:f>
      </x:c>
      <x:c r="F272" s="189" t="str">
        <x:f>IF(B272="","",IFERROR(INDEX('Task Master'!$K$5:$K$804,MATCH(B272,'Task Master'!$A$5:$A$804,0)),""))</x:f>
      </x:c>
      <x:c r="G272" s="190"/>
      <x:c r="H272" s="190"/>
      <x:c r="I272" s="191"/>
      <x:c r="J272" s="190"/>
      <x:c r="K272" s="190"/>
      <x:c r="L272" s="195"/>
      <x:c r="M272" s="190"/>
      <x:c r="N272" s="187"/>
      <x:c r="O272" s="192"/>
      <x:c r="P272" s="192"/>
      <x:c r="Q272" s="170" t="str">
        <x:f>IF(OR(A272="",B272=""),"",IF(A272=LOOKUP(2,1/($B$5:$B$704=B272),$A$5:$A$704),"Yes","No"))</x:f>
      </x:c>
    </x:row>
    <x:row r="273">
      <x:c r="A273" s="193"/>
      <x:c r="B273" s="187"/>
      <x:c r="C273" s="188" t="str">
        <x:f>IF(B273="","",IF(COUNTIF('Raw Decommissioning'!$B$2:$B$1000,B273)&gt;0,"Decommissioning",IF(COUNTIF('Raw Provisioning'!$B$2:$B$1000,B273)&gt;0,"Provisioning","Not in latest raw")))</x:f>
      </x:c>
      <x:c r="D273" s="188" t="str">
        <x:f>IF(B273="","",IFERROR(INDEX('Raw Decommissioning'!$E$2:$E$1000,MATCH(B273,'Raw Decommissioning'!$B$2:$B$1000,0)),IFERROR(INDEX('Raw Provisioning'!$E$2:$E$1000,MATCH(B273,'Raw Provisioning'!$B$2:$B$1000,0)),"Missing from latest raw")))</x:f>
      </x:c>
      <x:c r="E273" s="188" t="str">
        <x:f>IF(B273="","",IF(D273="completed","Completed in CSSP",IF(D273="executing","Active - Executing",IF(D273="processing","Ready to Assign",IF(D273="Missing from latest raw","Check Source","Not Managed - "&amp;D273)))))</x:f>
      </x:c>
      <x:c r="F273" s="189" t="str">
        <x:f>IF(B273="","",IFERROR(INDEX('Task Master'!$K$5:$K$804,MATCH(B273,'Task Master'!$A$5:$A$804,0)),""))</x:f>
      </x:c>
      <x:c r="G273" s="190"/>
      <x:c r="H273" s="190"/>
      <x:c r="I273" s="191"/>
      <x:c r="J273" s="190"/>
      <x:c r="K273" s="190"/>
      <x:c r="L273" s="195"/>
      <x:c r="M273" s="190"/>
      <x:c r="N273" s="187"/>
      <x:c r="O273" s="192"/>
      <x:c r="P273" s="192"/>
      <x:c r="Q273" s="170" t="str">
        <x:f>IF(OR(A273="",B273=""),"",IF(A273=LOOKUP(2,1/($B$5:$B$704=B273),$A$5:$A$704),"Yes","No"))</x:f>
      </x:c>
    </x:row>
    <x:row r="274">
      <x:c r="A274" s="193"/>
      <x:c r="B274" s="187"/>
      <x:c r="C274" s="188" t="str">
        <x:f>IF(B274="","",IF(COUNTIF('Raw Decommissioning'!$B$2:$B$1000,B274)&gt;0,"Decommissioning",IF(COUNTIF('Raw Provisioning'!$B$2:$B$1000,B274)&gt;0,"Provisioning","Not in latest raw")))</x:f>
      </x:c>
      <x:c r="D274" s="188" t="str">
        <x:f>IF(B274="","",IFERROR(INDEX('Raw Decommissioning'!$E$2:$E$1000,MATCH(B274,'Raw Decommissioning'!$B$2:$B$1000,0)),IFERROR(INDEX('Raw Provisioning'!$E$2:$E$1000,MATCH(B274,'Raw Provisioning'!$B$2:$B$1000,0)),"Missing from latest raw")))</x:f>
      </x:c>
      <x:c r="E274" s="188" t="str">
        <x:f>IF(B274="","",IF(D274="completed","Completed in CSSP",IF(D274="executing","Active - Executing",IF(D274="processing","Ready to Assign",IF(D274="Missing from latest raw","Check Source","Not Managed - "&amp;D274)))))</x:f>
      </x:c>
      <x:c r="F274" s="189" t="str">
        <x:f>IF(B274="","",IFERROR(INDEX('Task Master'!$K$5:$K$804,MATCH(B274,'Task Master'!$A$5:$A$804,0)),""))</x:f>
      </x:c>
      <x:c r="G274" s="190"/>
      <x:c r="H274" s="190"/>
      <x:c r="I274" s="191"/>
      <x:c r="J274" s="190"/>
      <x:c r="K274" s="190"/>
      <x:c r="L274" s="195"/>
      <x:c r="M274" s="190"/>
      <x:c r="N274" s="187"/>
      <x:c r="O274" s="192"/>
      <x:c r="P274" s="192"/>
      <x:c r="Q274" s="170" t="str">
        <x:f>IF(OR(A274="",B274=""),"",IF(A274=LOOKUP(2,1/($B$5:$B$704=B274),$A$5:$A$704),"Yes","No"))</x:f>
      </x:c>
    </x:row>
    <x:row r="275">
      <x:c r="A275" s="193"/>
      <x:c r="B275" s="187"/>
      <x:c r="C275" s="188" t="str">
        <x:f>IF(B275="","",IF(COUNTIF('Raw Decommissioning'!$B$2:$B$1000,B275)&gt;0,"Decommissioning",IF(COUNTIF('Raw Provisioning'!$B$2:$B$1000,B275)&gt;0,"Provisioning","Not in latest raw")))</x:f>
      </x:c>
      <x:c r="D275" s="188" t="str">
        <x:f>IF(B275="","",IFERROR(INDEX('Raw Decommissioning'!$E$2:$E$1000,MATCH(B275,'Raw Decommissioning'!$B$2:$B$1000,0)),IFERROR(INDEX('Raw Provisioning'!$E$2:$E$1000,MATCH(B275,'Raw Provisioning'!$B$2:$B$1000,0)),"Missing from latest raw")))</x:f>
      </x:c>
      <x:c r="E275" s="188" t="str">
        <x:f>IF(B275="","",IF(D275="completed","Completed in CSSP",IF(D275="executing","Active - Executing",IF(D275="processing","Ready to Assign",IF(D275="Missing from latest raw","Check Source","Not Managed - "&amp;D275)))))</x:f>
      </x:c>
      <x:c r="F275" s="189" t="str">
        <x:f>IF(B275="","",IFERROR(INDEX('Task Master'!$K$5:$K$804,MATCH(B275,'Task Master'!$A$5:$A$804,0)),""))</x:f>
      </x:c>
      <x:c r="G275" s="190"/>
      <x:c r="H275" s="190"/>
      <x:c r="I275" s="191"/>
      <x:c r="J275" s="190"/>
      <x:c r="K275" s="190"/>
      <x:c r="L275" s="195"/>
      <x:c r="M275" s="190"/>
      <x:c r="N275" s="187"/>
      <x:c r="O275" s="192"/>
      <x:c r="P275" s="192"/>
      <x:c r="Q275" s="170" t="str">
        <x:f>IF(OR(A275="",B275=""),"",IF(A275=LOOKUP(2,1/($B$5:$B$704=B275),$A$5:$A$704),"Yes","No"))</x:f>
      </x:c>
    </x:row>
    <x:row r="276">
      <x:c r="A276" s="193"/>
      <x:c r="B276" s="187"/>
      <x:c r="C276" s="188" t="str">
        <x:f>IF(B276="","",IF(COUNTIF('Raw Decommissioning'!$B$2:$B$1000,B276)&gt;0,"Decommissioning",IF(COUNTIF('Raw Provisioning'!$B$2:$B$1000,B276)&gt;0,"Provisioning","Not in latest raw")))</x:f>
      </x:c>
      <x:c r="D276" s="188" t="str">
        <x:f>IF(B276="","",IFERROR(INDEX('Raw Decommissioning'!$E$2:$E$1000,MATCH(B276,'Raw Decommissioning'!$B$2:$B$1000,0)),IFERROR(INDEX('Raw Provisioning'!$E$2:$E$1000,MATCH(B276,'Raw Provisioning'!$B$2:$B$1000,0)),"Missing from latest raw")))</x:f>
      </x:c>
      <x:c r="E276" s="188" t="str">
        <x:f>IF(B276="","",IF(D276="completed","Completed in CSSP",IF(D276="executing","Active - Executing",IF(D276="processing","Ready to Assign",IF(D276="Missing from latest raw","Check Source","Not Managed - "&amp;D276)))))</x:f>
      </x:c>
      <x:c r="F276" s="189" t="str">
        <x:f>IF(B276="","",IFERROR(INDEX('Task Master'!$K$5:$K$804,MATCH(B276,'Task Master'!$A$5:$A$804,0)),""))</x:f>
      </x:c>
      <x:c r="G276" s="190"/>
      <x:c r="H276" s="190"/>
      <x:c r="I276" s="191"/>
      <x:c r="J276" s="190"/>
      <x:c r="K276" s="190"/>
      <x:c r="L276" s="195"/>
      <x:c r="M276" s="190"/>
      <x:c r="N276" s="187"/>
      <x:c r="O276" s="192"/>
      <x:c r="P276" s="192"/>
      <x:c r="Q276" s="170" t="str">
        <x:f>IF(OR(A276="",B276=""),"",IF(A276=LOOKUP(2,1/($B$5:$B$704=B276),$A$5:$A$704),"Yes","No"))</x:f>
      </x:c>
    </x:row>
    <x:row r="277">
      <x:c r="A277" s="193"/>
      <x:c r="B277" s="187"/>
      <x:c r="C277" s="188" t="str">
        <x:f>IF(B277="","",IF(COUNTIF('Raw Decommissioning'!$B$2:$B$1000,B277)&gt;0,"Decommissioning",IF(COUNTIF('Raw Provisioning'!$B$2:$B$1000,B277)&gt;0,"Provisioning","Not in latest raw")))</x:f>
      </x:c>
      <x:c r="D277" s="188" t="str">
        <x:f>IF(B277="","",IFERROR(INDEX('Raw Decommissioning'!$E$2:$E$1000,MATCH(B277,'Raw Decommissioning'!$B$2:$B$1000,0)),IFERROR(INDEX('Raw Provisioning'!$E$2:$E$1000,MATCH(B277,'Raw Provisioning'!$B$2:$B$1000,0)),"Missing from latest raw")))</x:f>
      </x:c>
      <x:c r="E277" s="188" t="str">
        <x:f>IF(B277="","",IF(D277="completed","Completed in CSSP",IF(D277="executing","Active - Executing",IF(D277="processing","Ready to Assign",IF(D277="Missing from latest raw","Check Source","Not Managed - "&amp;D277)))))</x:f>
      </x:c>
      <x:c r="F277" s="189" t="str">
        <x:f>IF(B277="","",IFERROR(INDEX('Task Master'!$K$5:$K$804,MATCH(B277,'Task Master'!$A$5:$A$804,0)),""))</x:f>
      </x:c>
      <x:c r="G277" s="190"/>
      <x:c r="H277" s="190"/>
      <x:c r="I277" s="191"/>
      <x:c r="J277" s="190"/>
      <x:c r="K277" s="190"/>
      <x:c r="L277" s="195"/>
      <x:c r="M277" s="190"/>
      <x:c r="N277" s="187"/>
      <x:c r="O277" s="192"/>
      <x:c r="P277" s="192"/>
      <x:c r="Q277" s="170" t="str">
        <x:f>IF(OR(A277="",B277=""),"",IF(A277=LOOKUP(2,1/($B$5:$B$704=B277),$A$5:$A$704),"Yes","No"))</x:f>
      </x:c>
    </x:row>
    <x:row r="278">
      <x:c r="A278" s="193"/>
      <x:c r="B278" s="187"/>
      <x:c r="C278" s="188" t="str">
        <x:f>IF(B278="","",IF(COUNTIF('Raw Decommissioning'!$B$2:$B$1000,B278)&gt;0,"Decommissioning",IF(COUNTIF('Raw Provisioning'!$B$2:$B$1000,B278)&gt;0,"Provisioning","Not in latest raw")))</x:f>
      </x:c>
      <x:c r="D278" s="188" t="str">
        <x:f>IF(B278="","",IFERROR(INDEX('Raw Decommissioning'!$E$2:$E$1000,MATCH(B278,'Raw Decommissioning'!$B$2:$B$1000,0)),IFERROR(INDEX('Raw Provisioning'!$E$2:$E$1000,MATCH(B278,'Raw Provisioning'!$B$2:$B$1000,0)),"Missing from latest raw")))</x:f>
      </x:c>
      <x:c r="E278" s="188" t="str">
        <x:f>IF(B278="","",IF(D278="completed","Completed in CSSP",IF(D278="executing","Active - Executing",IF(D278="processing","Ready to Assign",IF(D278="Missing from latest raw","Check Source","Not Managed - "&amp;D278)))))</x:f>
      </x:c>
      <x:c r="F278" s="189" t="str">
        <x:f>IF(B278="","",IFERROR(INDEX('Task Master'!$K$5:$K$804,MATCH(B278,'Task Master'!$A$5:$A$804,0)),""))</x:f>
      </x:c>
      <x:c r="G278" s="190"/>
      <x:c r="H278" s="190"/>
      <x:c r="I278" s="191"/>
      <x:c r="J278" s="190"/>
      <x:c r="K278" s="190"/>
      <x:c r="L278" s="195"/>
      <x:c r="M278" s="190"/>
      <x:c r="N278" s="187"/>
      <x:c r="O278" s="192"/>
      <x:c r="P278" s="192"/>
      <x:c r="Q278" s="170" t="str">
        <x:f>IF(OR(A278="",B278=""),"",IF(A278=LOOKUP(2,1/($B$5:$B$704=B278),$A$5:$A$704),"Yes","No"))</x:f>
      </x:c>
    </x:row>
    <x:row r="279">
      <x:c r="A279" s="193"/>
      <x:c r="B279" s="187"/>
      <x:c r="C279" s="188" t="str">
        <x:f>IF(B279="","",IF(COUNTIF('Raw Decommissioning'!$B$2:$B$1000,B279)&gt;0,"Decommissioning",IF(COUNTIF('Raw Provisioning'!$B$2:$B$1000,B279)&gt;0,"Provisioning","Not in latest raw")))</x:f>
      </x:c>
      <x:c r="D279" s="188" t="str">
        <x:f>IF(B279="","",IFERROR(INDEX('Raw Decommissioning'!$E$2:$E$1000,MATCH(B279,'Raw Decommissioning'!$B$2:$B$1000,0)),IFERROR(INDEX('Raw Provisioning'!$E$2:$E$1000,MATCH(B279,'Raw Provisioning'!$B$2:$B$1000,0)),"Missing from latest raw")))</x:f>
      </x:c>
      <x:c r="E279" s="188" t="str">
        <x:f>IF(B279="","",IF(D279="completed","Completed in CSSP",IF(D279="executing","Active - Executing",IF(D279="processing","Ready to Assign",IF(D279="Missing from latest raw","Check Source","Not Managed - "&amp;D279)))))</x:f>
      </x:c>
      <x:c r="F279" s="189" t="str">
        <x:f>IF(B279="","",IFERROR(INDEX('Task Master'!$K$5:$K$804,MATCH(B279,'Task Master'!$A$5:$A$804,0)),""))</x:f>
      </x:c>
      <x:c r="G279" s="190"/>
      <x:c r="H279" s="190"/>
      <x:c r="I279" s="191"/>
      <x:c r="J279" s="190"/>
      <x:c r="K279" s="190"/>
      <x:c r="L279" s="195"/>
      <x:c r="M279" s="190"/>
      <x:c r="N279" s="187"/>
      <x:c r="O279" s="192"/>
      <x:c r="P279" s="192"/>
      <x:c r="Q279" s="170" t="str">
        <x:f>IF(OR(A279="",B279=""),"",IF(A279=LOOKUP(2,1/($B$5:$B$704=B279),$A$5:$A$704),"Yes","No"))</x:f>
      </x:c>
    </x:row>
    <x:row r="280">
      <x:c r="A280" s="193"/>
      <x:c r="B280" s="187"/>
      <x:c r="C280" s="188" t="str">
        <x:f>IF(B280="","",IF(COUNTIF('Raw Decommissioning'!$B$2:$B$1000,B280)&gt;0,"Decommissioning",IF(COUNTIF('Raw Provisioning'!$B$2:$B$1000,B280)&gt;0,"Provisioning","Not in latest raw")))</x:f>
      </x:c>
      <x:c r="D280" s="188" t="str">
        <x:f>IF(B280="","",IFERROR(INDEX('Raw Decommissioning'!$E$2:$E$1000,MATCH(B280,'Raw Decommissioning'!$B$2:$B$1000,0)),IFERROR(INDEX('Raw Provisioning'!$E$2:$E$1000,MATCH(B280,'Raw Provisioning'!$B$2:$B$1000,0)),"Missing from latest raw")))</x:f>
      </x:c>
      <x:c r="E280" s="188" t="str">
        <x:f>IF(B280="","",IF(D280="completed","Completed in CSSP",IF(D280="executing","Active - Executing",IF(D280="processing","Ready to Assign",IF(D280="Missing from latest raw","Check Source","Not Managed - "&amp;D280)))))</x:f>
      </x:c>
      <x:c r="F280" s="189" t="str">
        <x:f>IF(B280="","",IFERROR(INDEX('Task Master'!$K$5:$K$804,MATCH(B280,'Task Master'!$A$5:$A$804,0)),""))</x:f>
      </x:c>
      <x:c r="G280" s="190"/>
      <x:c r="H280" s="190"/>
      <x:c r="I280" s="191"/>
      <x:c r="J280" s="190"/>
      <x:c r="K280" s="190"/>
      <x:c r="L280" s="195"/>
      <x:c r="M280" s="190"/>
      <x:c r="N280" s="187"/>
      <x:c r="O280" s="192"/>
      <x:c r="P280" s="192"/>
      <x:c r="Q280" s="170" t="str">
        <x:f>IF(OR(A280="",B280=""),"",IF(A280=LOOKUP(2,1/($B$5:$B$704=B280),$A$5:$A$704),"Yes","No"))</x:f>
      </x:c>
    </x:row>
    <x:row r="281">
      <x:c r="A281" s="193"/>
      <x:c r="B281" s="187"/>
      <x:c r="C281" s="188" t="str">
        <x:f>IF(B281="","",IF(COUNTIF('Raw Decommissioning'!$B$2:$B$1000,B281)&gt;0,"Decommissioning",IF(COUNTIF('Raw Provisioning'!$B$2:$B$1000,B281)&gt;0,"Provisioning","Not in latest raw")))</x:f>
      </x:c>
      <x:c r="D281" s="188" t="str">
        <x:f>IF(B281="","",IFERROR(INDEX('Raw Decommissioning'!$E$2:$E$1000,MATCH(B281,'Raw Decommissioning'!$B$2:$B$1000,0)),IFERROR(INDEX('Raw Provisioning'!$E$2:$E$1000,MATCH(B281,'Raw Provisioning'!$B$2:$B$1000,0)),"Missing from latest raw")))</x:f>
      </x:c>
      <x:c r="E281" s="188" t="str">
        <x:f>IF(B281="","",IF(D281="completed","Completed in CSSP",IF(D281="executing","Active - Executing",IF(D281="processing","Ready to Assign",IF(D281="Missing from latest raw","Check Source","Not Managed - "&amp;D281)))))</x:f>
      </x:c>
      <x:c r="F281" s="189" t="str">
        <x:f>IF(B281="","",IFERROR(INDEX('Task Master'!$K$5:$K$804,MATCH(B281,'Task Master'!$A$5:$A$804,0)),""))</x:f>
      </x:c>
      <x:c r="G281" s="190"/>
      <x:c r="H281" s="190"/>
      <x:c r="I281" s="191"/>
      <x:c r="J281" s="190"/>
      <x:c r="K281" s="190"/>
      <x:c r="L281" s="195"/>
      <x:c r="M281" s="190"/>
      <x:c r="N281" s="187"/>
      <x:c r="O281" s="192"/>
      <x:c r="P281" s="192"/>
      <x:c r="Q281" s="170" t="str">
        <x:f>IF(OR(A281="",B281=""),"",IF(A281=LOOKUP(2,1/($B$5:$B$704=B281),$A$5:$A$704),"Yes","No"))</x:f>
      </x:c>
    </x:row>
    <x:row r="282">
      <x:c r="A282" s="193"/>
      <x:c r="B282" s="187"/>
      <x:c r="C282" s="188" t="str">
        <x:f>IF(B282="","",IF(COUNTIF('Raw Decommissioning'!$B$2:$B$1000,B282)&gt;0,"Decommissioning",IF(COUNTIF('Raw Provisioning'!$B$2:$B$1000,B282)&gt;0,"Provisioning","Not in latest raw")))</x:f>
      </x:c>
      <x:c r="D282" s="188" t="str">
        <x:f>IF(B282="","",IFERROR(INDEX('Raw Decommissioning'!$E$2:$E$1000,MATCH(B282,'Raw Decommissioning'!$B$2:$B$1000,0)),IFERROR(INDEX('Raw Provisioning'!$E$2:$E$1000,MATCH(B282,'Raw Provisioning'!$B$2:$B$1000,0)),"Missing from latest raw")))</x:f>
      </x:c>
      <x:c r="E282" s="188" t="str">
        <x:f>IF(B282="","",IF(D282="completed","Completed in CSSP",IF(D282="executing","Active - Executing",IF(D282="processing","Ready to Assign",IF(D282="Missing from latest raw","Check Source","Not Managed - "&amp;D282)))))</x:f>
      </x:c>
      <x:c r="F282" s="189" t="str">
        <x:f>IF(B282="","",IFERROR(INDEX('Task Master'!$K$5:$K$804,MATCH(B282,'Task Master'!$A$5:$A$804,0)),""))</x:f>
      </x:c>
      <x:c r="G282" s="190"/>
      <x:c r="H282" s="190"/>
      <x:c r="I282" s="191"/>
      <x:c r="J282" s="190"/>
      <x:c r="K282" s="190"/>
      <x:c r="L282" s="195"/>
      <x:c r="M282" s="190"/>
      <x:c r="N282" s="187"/>
      <x:c r="O282" s="192"/>
      <x:c r="P282" s="192"/>
      <x:c r="Q282" s="170" t="str">
        <x:f>IF(OR(A282="",B282=""),"",IF(A282=LOOKUP(2,1/($B$5:$B$704=B282),$A$5:$A$704),"Yes","No"))</x:f>
      </x:c>
    </x:row>
    <x:row r="283">
      <x:c r="A283" s="193"/>
      <x:c r="B283" s="187"/>
      <x:c r="C283" s="188" t="str">
        <x:f>IF(B283="","",IF(COUNTIF('Raw Decommissioning'!$B$2:$B$1000,B283)&gt;0,"Decommissioning",IF(COUNTIF('Raw Provisioning'!$B$2:$B$1000,B283)&gt;0,"Provisioning","Not in latest raw")))</x:f>
      </x:c>
      <x:c r="D283" s="188" t="str">
        <x:f>IF(B283="","",IFERROR(INDEX('Raw Decommissioning'!$E$2:$E$1000,MATCH(B283,'Raw Decommissioning'!$B$2:$B$1000,0)),IFERROR(INDEX('Raw Provisioning'!$E$2:$E$1000,MATCH(B283,'Raw Provisioning'!$B$2:$B$1000,0)),"Missing from latest raw")))</x:f>
      </x:c>
      <x:c r="E283" s="188" t="str">
        <x:f>IF(B283="","",IF(D283="completed","Completed in CSSP",IF(D283="executing","Active - Executing",IF(D283="processing","Ready to Assign",IF(D283="Missing from latest raw","Check Source","Not Managed - "&amp;D283)))))</x:f>
      </x:c>
      <x:c r="F283" s="189" t="str">
        <x:f>IF(B283="","",IFERROR(INDEX('Task Master'!$K$5:$K$804,MATCH(B283,'Task Master'!$A$5:$A$804,0)),""))</x:f>
      </x:c>
      <x:c r="G283" s="190"/>
      <x:c r="H283" s="190"/>
      <x:c r="I283" s="191"/>
      <x:c r="J283" s="190"/>
      <x:c r="K283" s="190"/>
      <x:c r="L283" s="195"/>
      <x:c r="M283" s="190"/>
      <x:c r="N283" s="187"/>
      <x:c r="O283" s="192"/>
      <x:c r="P283" s="192"/>
      <x:c r="Q283" s="170" t="str">
        <x:f>IF(OR(A283="",B283=""),"",IF(A283=LOOKUP(2,1/($B$5:$B$704=B283),$A$5:$A$704),"Yes","No"))</x:f>
      </x:c>
    </x:row>
    <x:row r="284">
      <x:c r="A284" s="193"/>
      <x:c r="B284" s="187"/>
      <x:c r="C284" s="188" t="str">
        <x:f>IF(B284="","",IF(COUNTIF('Raw Decommissioning'!$B$2:$B$1000,B284)&gt;0,"Decommissioning",IF(COUNTIF('Raw Provisioning'!$B$2:$B$1000,B284)&gt;0,"Provisioning","Not in latest raw")))</x:f>
      </x:c>
      <x:c r="D284" s="188" t="str">
        <x:f>IF(B284="","",IFERROR(INDEX('Raw Decommissioning'!$E$2:$E$1000,MATCH(B284,'Raw Decommissioning'!$B$2:$B$1000,0)),IFERROR(INDEX('Raw Provisioning'!$E$2:$E$1000,MATCH(B284,'Raw Provisioning'!$B$2:$B$1000,0)),"Missing from latest raw")))</x:f>
      </x:c>
      <x:c r="E284" s="188" t="str">
        <x:f>IF(B284="","",IF(D284="completed","Completed in CSSP",IF(D284="executing","Active - Executing",IF(D284="processing","Ready to Assign",IF(D284="Missing from latest raw","Check Source","Not Managed - "&amp;D284)))))</x:f>
      </x:c>
      <x:c r="F284" s="189" t="str">
        <x:f>IF(B284="","",IFERROR(INDEX('Task Master'!$K$5:$K$804,MATCH(B284,'Task Master'!$A$5:$A$804,0)),""))</x:f>
      </x:c>
      <x:c r="G284" s="190"/>
      <x:c r="H284" s="190"/>
      <x:c r="I284" s="191"/>
      <x:c r="J284" s="190"/>
      <x:c r="K284" s="190"/>
      <x:c r="L284" s="195"/>
      <x:c r="M284" s="190"/>
      <x:c r="N284" s="187"/>
      <x:c r="O284" s="192"/>
      <x:c r="P284" s="192"/>
      <x:c r="Q284" s="170" t="str">
        <x:f>IF(OR(A284="",B284=""),"",IF(A284=LOOKUP(2,1/($B$5:$B$704=B284),$A$5:$A$704),"Yes","No"))</x:f>
      </x:c>
    </x:row>
    <x:row r="285">
      <x:c r="A285" s="193"/>
      <x:c r="B285" s="187"/>
      <x:c r="C285" s="188" t="str">
        <x:f>IF(B285="","",IF(COUNTIF('Raw Decommissioning'!$B$2:$B$1000,B285)&gt;0,"Decommissioning",IF(COUNTIF('Raw Provisioning'!$B$2:$B$1000,B285)&gt;0,"Provisioning","Not in latest raw")))</x:f>
      </x:c>
      <x:c r="D285" s="188" t="str">
        <x:f>IF(B285="","",IFERROR(INDEX('Raw Decommissioning'!$E$2:$E$1000,MATCH(B285,'Raw Decommissioning'!$B$2:$B$1000,0)),IFERROR(INDEX('Raw Provisioning'!$E$2:$E$1000,MATCH(B285,'Raw Provisioning'!$B$2:$B$1000,0)),"Missing from latest raw")))</x:f>
      </x:c>
      <x:c r="E285" s="188" t="str">
        <x:f>IF(B285="","",IF(D285="completed","Completed in CSSP",IF(D285="executing","Active - Executing",IF(D285="processing","Ready to Assign",IF(D285="Missing from latest raw","Check Source","Not Managed - "&amp;D285)))))</x:f>
      </x:c>
      <x:c r="F285" s="189" t="str">
        <x:f>IF(B285="","",IFERROR(INDEX('Task Master'!$K$5:$K$804,MATCH(B285,'Task Master'!$A$5:$A$804,0)),""))</x:f>
      </x:c>
      <x:c r="G285" s="190"/>
      <x:c r="H285" s="190"/>
      <x:c r="I285" s="191"/>
      <x:c r="J285" s="190"/>
      <x:c r="K285" s="190"/>
      <x:c r="L285" s="195"/>
      <x:c r="M285" s="190"/>
      <x:c r="N285" s="187"/>
      <x:c r="O285" s="192"/>
      <x:c r="P285" s="192"/>
      <x:c r="Q285" s="170" t="str">
        <x:f>IF(OR(A285="",B285=""),"",IF(A285=LOOKUP(2,1/($B$5:$B$704=B285),$A$5:$A$704),"Yes","No"))</x:f>
      </x:c>
    </x:row>
    <x:row r="286">
      <x:c r="A286" s="193"/>
      <x:c r="B286" s="187"/>
      <x:c r="C286" s="188" t="str">
        <x:f>IF(B286="","",IF(COUNTIF('Raw Decommissioning'!$B$2:$B$1000,B286)&gt;0,"Decommissioning",IF(COUNTIF('Raw Provisioning'!$B$2:$B$1000,B286)&gt;0,"Provisioning","Not in latest raw")))</x:f>
      </x:c>
      <x:c r="D286" s="188" t="str">
        <x:f>IF(B286="","",IFERROR(INDEX('Raw Decommissioning'!$E$2:$E$1000,MATCH(B286,'Raw Decommissioning'!$B$2:$B$1000,0)),IFERROR(INDEX('Raw Provisioning'!$E$2:$E$1000,MATCH(B286,'Raw Provisioning'!$B$2:$B$1000,0)),"Missing from latest raw")))</x:f>
      </x:c>
      <x:c r="E286" s="188" t="str">
        <x:f>IF(B286="","",IF(D286="completed","Completed in CSSP",IF(D286="executing","Active - Executing",IF(D286="processing","Ready to Assign",IF(D286="Missing from latest raw","Check Source","Not Managed - "&amp;D286)))))</x:f>
      </x:c>
      <x:c r="F286" s="189" t="str">
        <x:f>IF(B286="","",IFERROR(INDEX('Task Master'!$K$5:$K$804,MATCH(B286,'Task Master'!$A$5:$A$804,0)),""))</x:f>
      </x:c>
      <x:c r="G286" s="190"/>
      <x:c r="H286" s="190"/>
      <x:c r="I286" s="191"/>
      <x:c r="J286" s="190"/>
      <x:c r="K286" s="190"/>
      <x:c r="L286" s="195"/>
      <x:c r="M286" s="190"/>
      <x:c r="N286" s="187"/>
      <x:c r="O286" s="192"/>
      <x:c r="P286" s="192"/>
      <x:c r="Q286" s="170" t="str">
        <x:f>IF(OR(A286="",B286=""),"",IF(A286=LOOKUP(2,1/($B$5:$B$704=B286),$A$5:$A$704),"Yes","No"))</x:f>
      </x:c>
    </x:row>
    <x:row r="287">
      <x:c r="A287" s="193"/>
      <x:c r="B287" s="187"/>
      <x:c r="C287" s="188" t="str">
        <x:f>IF(B287="","",IF(COUNTIF('Raw Decommissioning'!$B$2:$B$1000,B287)&gt;0,"Decommissioning",IF(COUNTIF('Raw Provisioning'!$B$2:$B$1000,B287)&gt;0,"Provisioning","Not in latest raw")))</x:f>
      </x:c>
      <x:c r="D287" s="188" t="str">
        <x:f>IF(B287="","",IFERROR(INDEX('Raw Decommissioning'!$E$2:$E$1000,MATCH(B287,'Raw Decommissioning'!$B$2:$B$1000,0)),IFERROR(INDEX('Raw Provisioning'!$E$2:$E$1000,MATCH(B287,'Raw Provisioning'!$B$2:$B$1000,0)),"Missing from latest raw")))</x:f>
      </x:c>
      <x:c r="E287" s="188" t="str">
        <x:f>IF(B287="","",IF(D287="completed","Completed in CSSP",IF(D287="executing","Active - Executing",IF(D287="processing","Ready to Assign",IF(D287="Missing from latest raw","Check Source","Not Managed - "&amp;D287)))))</x:f>
      </x:c>
      <x:c r="F287" s="189" t="str">
        <x:f>IF(B287="","",IFERROR(INDEX('Task Master'!$K$5:$K$804,MATCH(B287,'Task Master'!$A$5:$A$804,0)),""))</x:f>
      </x:c>
      <x:c r="G287" s="190"/>
      <x:c r="H287" s="190"/>
      <x:c r="I287" s="191"/>
      <x:c r="J287" s="190"/>
      <x:c r="K287" s="190"/>
      <x:c r="L287" s="195"/>
      <x:c r="M287" s="190"/>
      <x:c r="N287" s="187"/>
      <x:c r="O287" s="192"/>
      <x:c r="P287" s="192"/>
      <x:c r="Q287" s="170" t="str">
        <x:f>IF(OR(A287="",B287=""),"",IF(A287=LOOKUP(2,1/($B$5:$B$704=B287),$A$5:$A$704),"Yes","No"))</x:f>
      </x:c>
    </x:row>
    <x:row r="288">
      <x:c r="A288" s="193"/>
      <x:c r="B288" s="187"/>
      <x:c r="C288" s="188" t="str">
        <x:f>IF(B288="","",IF(COUNTIF('Raw Decommissioning'!$B$2:$B$1000,B288)&gt;0,"Decommissioning",IF(COUNTIF('Raw Provisioning'!$B$2:$B$1000,B288)&gt;0,"Provisioning","Not in latest raw")))</x:f>
      </x:c>
      <x:c r="D288" s="188" t="str">
        <x:f>IF(B288="","",IFERROR(INDEX('Raw Decommissioning'!$E$2:$E$1000,MATCH(B288,'Raw Decommissioning'!$B$2:$B$1000,0)),IFERROR(INDEX('Raw Provisioning'!$E$2:$E$1000,MATCH(B288,'Raw Provisioning'!$B$2:$B$1000,0)),"Missing from latest raw")))</x:f>
      </x:c>
      <x:c r="E288" s="188" t="str">
        <x:f>IF(B288="","",IF(D288="completed","Completed in CSSP",IF(D288="executing","Active - Executing",IF(D288="processing","Ready to Assign",IF(D288="Missing from latest raw","Check Source","Not Managed - "&amp;D288)))))</x:f>
      </x:c>
      <x:c r="F288" s="189" t="str">
        <x:f>IF(B288="","",IFERROR(INDEX('Task Master'!$K$5:$K$804,MATCH(B288,'Task Master'!$A$5:$A$804,0)),""))</x:f>
      </x:c>
      <x:c r="G288" s="190"/>
      <x:c r="H288" s="190"/>
      <x:c r="I288" s="191"/>
      <x:c r="J288" s="190"/>
      <x:c r="K288" s="190"/>
      <x:c r="L288" s="195"/>
      <x:c r="M288" s="190"/>
      <x:c r="N288" s="187"/>
      <x:c r="O288" s="192"/>
      <x:c r="P288" s="192"/>
      <x:c r="Q288" s="170" t="str">
        <x:f>IF(OR(A288="",B288=""),"",IF(A288=LOOKUP(2,1/($B$5:$B$704=B288),$A$5:$A$704),"Yes","No"))</x:f>
      </x:c>
    </x:row>
    <x:row r="289">
      <x:c r="A289" s="193"/>
      <x:c r="B289" s="187"/>
      <x:c r="C289" s="188" t="str">
        <x:f>IF(B289="","",IF(COUNTIF('Raw Decommissioning'!$B$2:$B$1000,B289)&gt;0,"Decommissioning",IF(COUNTIF('Raw Provisioning'!$B$2:$B$1000,B289)&gt;0,"Provisioning","Not in latest raw")))</x:f>
      </x:c>
      <x:c r="D289" s="188" t="str">
        <x:f>IF(B289="","",IFERROR(INDEX('Raw Decommissioning'!$E$2:$E$1000,MATCH(B289,'Raw Decommissioning'!$B$2:$B$1000,0)),IFERROR(INDEX('Raw Provisioning'!$E$2:$E$1000,MATCH(B289,'Raw Provisioning'!$B$2:$B$1000,0)),"Missing from latest raw")))</x:f>
      </x:c>
      <x:c r="E289" s="188" t="str">
        <x:f>IF(B289="","",IF(D289="completed","Completed in CSSP",IF(D289="executing","Active - Executing",IF(D289="processing","Ready to Assign",IF(D289="Missing from latest raw","Check Source","Not Managed - "&amp;D289)))))</x:f>
      </x:c>
      <x:c r="F289" s="189" t="str">
        <x:f>IF(B289="","",IFERROR(INDEX('Task Master'!$K$5:$K$804,MATCH(B289,'Task Master'!$A$5:$A$804,0)),""))</x:f>
      </x:c>
      <x:c r="G289" s="190"/>
      <x:c r="H289" s="190"/>
      <x:c r="I289" s="191"/>
      <x:c r="J289" s="190"/>
      <x:c r="K289" s="190"/>
      <x:c r="L289" s="195"/>
      <x:c r="M289" s="190"/>
      <x:c r="N289" s="187"/>
      <x:c r="O289" s="192"/>
      <x:c r="P289" s="192"/>
      <x:c r="Q289" s="170" t="str">
        <x:f>IF(OR(A289="",B289=""),"",IF(A289=LOOKUP(2,1/($B$5:$B$704=B289),$A$5:$A$704),"Yes","No"))</x:f>
      </x:c>
    </x:row>
    <x:row r="290">
      <x:c r="A290" s="193"/>
      <x:c r="B290" s="187"/>
      <x:c r="C290" s="188" t="str">
        <x:f>IF(B290="","",IF(COUNTIF('Raw Decommissioning'!$B$2:$B$1000,B290)&gt;0,"Decommissioning",IF(COUNTIF('Raw Provisioning'!$B$2:$B$1000,B290)&gt;0,"Provisioning","Not in latest raw")))</x:f>
      </x:c>
      <x:c r="D290" s="188" t="str">
        <x:f>IF(B290="","",IFERROR(INDEX('Raw Decommissioning'!$E$2:$E$1000,MATCH(B290,'Raw Decommissioning'!$B$2:$B$1000,0)),IFERROR(INDEX('Raw Provisioning'!$E$2:$E$1000,MATCH(B290,'Raw Provisioning'!$B$2:$B$1000,0)),"Missing from latest raw")))</x:f>
      </x:c>
      <x:c r="E290" s="188" t="str">
        <x:f>IF(B290="","",IF(D290="completed","Completed in CSSP",IF(D290="executing","Active - Executing",IF(D290="processing","Ready to Assign",IF(D290="Missing from latest raw","Check Source","Not Managed - "&amp;D290)))))</x:f>
      </x:c>
      <x:c r="F290" s="189" t="str">
        <x:f>IF(B290="","",IFERROR(INDEX('Task Master'!$K$5:$K$804,MATCH(B290,'Task Master'!$A$5:$A$804,0)),""))</x:f>
      </x:c>
      <x:c r="G290" s="190"/>
      <x:c r="H290" s="190"/>
      <x:c r="I290" s="191"/>
      <x:c r="J290" s="190"/>
      <x:c r="K290" s="190"/>
      <x:c r="L290" s="195"/>
      <x:c r="M290" s="190"/>
      <x:c r="N290" s="187"/>
      <x:c r="O290" s="192"/>
      <x:c r="P290" s="192"/>
      <x:c r="Q290" s="170" t="str">
        <x:f>IF(OR(A290="",B290=""),"",IF(A290=LOOKUP(2,1/($B$5:$B$704=B290),$A$5:$A$704),"Yes","No"))</x:f>
      </x:c>
    </x:row>
    <x:row r="291">
      <x:c r="A291" s="193"/>
      <x:c r="B291" s="187"/>
      <x:c r="C291" s="188" t="str">
        <x:f>IF(B291="","",IF(COUNTIF('Raw Decommissioning'!$B$2:$B$1000,B291)&gt;0,"Decommissioning",IF(COUNTIF('Raw Provisioning'!$B$2:$B$1000,B291)&gt;0,"Provisioning","Not in latest raw")))</x:f>
      </x:c>
      <x:c r="D291" s="188" t="str">
        <x:f>IF(B291="","",IFERROR(INDEX('Raw Decommissioning'!$E$2:$E$1000,MATCH(B291,'Raw Decommissioning'!$B$2:$B$1000,0)),IFERROR(INDEX('Raw Provisioning'!$E$2:$E$1000,MATCH(B291,'Raw Provisioning'!$B$2:$B$1000,0)),"Missing from latest raw")))</x:f>
      </x:c>
      <x:c r="E291" s="188" t="str">
        <x:f>IF(B291="","",IF(D291="completed","Completed in CSSP",IF(D291="executing","Active - Executing",IF(D291="processing","Ready to Assign",IF(D291="Missing from latest raw","Check Source","Not Managed - "&amp;D291)))))</x:f>
      </x:c>
      <x:c r="F291" s="189" t="str">
        <x:f>IF(B291="","",IFERROR(INDEX('Task Master'!$K$5:$K$804,MATCH(B291,'Task Master'!$A$5:$A$804,0)),""))</x:f>
      </x:c>
      <x:c r="G291" s="190"/>
      <x:c r="H291" s="190"/>
      <x:c r="I291" s="191"/>
      <x:c r="J291" s="190"/>
      <x:c r="K291" s="190"/>
      <x:c r="L291" s="195"/>
      <x:c r="M291" s="190"/>
      <x:c r="N291" s="187"/>
      <x:c r="O291" s="192"/>
      <x:c r="P291" s="192"/>
      <x:c r="Q291" s="170" t="str">
        <x:f>IF(OR(A291="",B291=""),"",IF(A291=LOOKUP(2,1/($B$5:$B$704=B291),$A$5:$A$704),"Yes","No"))</x:f>
      </x:c>
    </x:row>
    <x:row r="292">
      <x:c r="A292" s="193"/>
      <x:c r="B292" s="187"/>
      <x:c r="C292" s="188" t="str">
        <x:f>IF(B292="","",IF(COUNTIF('Raw Decommissioning'!$B$2:$B$1000,B292)&gt;0,"Decommissioning",IF(COUNTIF('Raw Provisioning'!$B$2:$B$1000,B292)&gt;0,"Provisioning","Not in latest raw")))</x:f>
      </x:c>
      <x:c r="D292" s="188" t="str">
        <x:f>IF(B292="","",IFERROR(INDEX('Raw Decommissioning'!$E$2:$E$1000,MATCH(B292,'Raw Decommissioning'!$B$2:$B$1000,0)),IFERROR(INDEX('Raw Provisioning'!$E$2:$E$1000,MATCH(B292,'Raw Provisioning'!$B$2:$B$1000,0)),"Missing from latest raw")))</x:f>
      </x:c>
      <x:c r="E292" s="188" t="str">
        <x:f>IF(B292="","",IF(D292="completed","Completed in CSSP",IF(D292="executing","Active - Executing",IF(D292="processing","Ready to Assign",IF(D292="Missing from latest raw","Check Source","Not Managed - "&amp;D292)))))</x:f>
      </x:c>
      <x:c r="F292" s="189" t="str">
        <x:f>IF(B292="","",IFERROR(INDEX('Task Master'!$K$5:$K$804,MATCH(B292,'Task Master'!$A$5:$A$804,0)),""))</x:f>
      </x:c>
      <x:c r="G292" s="190"/>
      <x:c r="H292" s="190"/>
      <x:c r="I292" s="191"/>
      <x:c r="J292" s="190"/>
      <x:c r="K292" s="190"/>
      <x:c r="L292" s="195"/>
      <x:c r="M292" s="190"/>
      <x:c r="N292" s="187"/>
      <x:c r="O292" s="192"/>
      <x:c r="P292" s="192"/>
      <x:c r="Q292" s="170" t="str">
        <x:f>IF(OR(A292="",B292=""),"",IF(A292=LOOKUP(2,1/($B$5:$B$704=B292),$A$5:$A$704),"Yes","No"))</x:f>
      </x:c>
    </x:row>
    <x:row r="293">
      <x:c r="A293" s="193"/>
      <x:c r="B293" s="187"/>
      <x:c r="C293" s="188" t="str">
        <x:f>IF(B293="","",IF(COUNTIF('Raw Decommissioning'!$B$2:$B$1000,B293)&gt;0,"Decommissioning",IF(COUNTIF('Raw Provisioning'!$B$2:$B$1000,B293)&gt;0,"Provisioning","Not in latest raw")))</x:f>
      </x:c>
      <x:c r="D293" s="188" t="str">
        <x:f>IF(B293="","",IFERROR(INDEX('Raw Decommissioning'!$E$2:$E$1000,MATCH(B293,'Raw Decommissioning'!$B$2:$B$1000,0)),IFERROR(INDEX('Raw Provisioning'!$E$2:$E$1000,MATCH(B293,'Raw Provisioning'!$B$2:$B$1000,0)),"Missing from latest raw")))</x:f>
      </x:c>
      <x:c r="E293" s="188" t="str">
        <x:f>IF(B293="","",IF(D293="completed","Completed in CSSP",IF(D293="executing","Active - Executing",IF(D293="processing","Ready to Assign",IF(D293="Missing from latest raw","Check Source","Not Managed - "&amp;D293)))))</x:f>
      </x:c>
      <x:c r="F293" s="189" t="str">
        <x:f>IF(B293="","",IFERROR(INDEX('Task Master'!$K$5:$K$804,MATCH(B293,'Task Master'!$A$5:$A$804,0)),""))</x:f>
      </x:c>
      <x:c r="G293" s="190"/>
      <x:c r="H293" s="190"/>
      <x:c r="I293" s="191"/>
      <x:c r="J293" s="190"/>
      <x:c r="K293" s="190"/>
      <x:c r="L293" s="195"/>
      <x:c r="M293" s="190"/>
      <x:c r="N293" s="187"/>
      <x:c r="O293" s="192"/>
      <x:c r="P293" s="192"/>
      <x:c r="Q293" s="170" t="str">
        <x:f>IF(OR(A293="",B293=""),"",IF(A293=LOOKUP(2,1/($B$5:$B$704=B293),$A$5:$A$704),"Yes","No"))</x:f>
      </x:c>
    </x:row>
    <x:row r="294">
      <x:c r="A294" s="193"/>
      <x:c r="B294" s="187"/>
      <x:c r="C294" s="188" t="str">
        <x:f>IF(B294="","",IF(COUNTIF('Raw Decommissioning'!$B$2:$B$1000,B294)&gt;0,"Decommissioning",IF(COUNTIF('Raw Provisioning'!$B$2:$B$1000,B294)&gt;0,"Provisioning","Not in latest raw")))</x:f>
      </x:c>
      <x:c r="D294" s="188" t="str">
        <x:f>IF(B294="","",IFERROR(INDEX('Raw Decommissioning'!$E$2:$E$1000,MATCH(B294,'Raw Decommissioning'!$B$2:$B$1000,0)),IFERROR(INDEX('Raw Provisioning'!$E$2:$E$1000,MATCH(B294,'Raw Provisioning'!$B$2:$B$1000,0)),"Missing from latest raw")))</x:f>
      </x:c>
      <x:c r="E294" s="188" t="str">
        <x:f>IF(B294="","",IF(D294="completed","Completed in CSSP",IF(D294="executing","Active - Executing",IF(D294="processing","Ready to Assign",IF(D294="Missing from latest raw","Check Source","Not Managed - "&amp;D294)))))</x:f>
      </x:c>
      <x:c r="F294" s="189" t="str">
        <x:f>IF(B294="","",IFERROR(INDEX('Task Master'!$K$5:$K$804,MATCH(B294,'Task Master'!$A$5:$A$804,0)),""))</x:f>
      </x:c>
      <x:c r="G294" s="190"/>
      <x:c r="H294" s="190"/>
      <x:c r="I294" s="191"/>
      <x:c r="J294" s="190"/>
      <x:c r="K294" s="190"/>
      <x:c r="L294" s="195"/>
      <x:c r="M294" s="190"/>
      <x:c r="N294" s="187"/>
      <x:c r="O294" s="192"/>
      <x:c r="P294" s="192"/>
      <x:c r="Q294" s="170" t="str">
        <x:f>IF(OR(A294="",B294=""),"",IF(A294=LOOKUP(2,1/($B$5:$B$704=B294),$A$5:$A$704),"Yes","No"))</x:f>
      </x:c>
    </x:row>
    <x:row r="295">
      <x:c r="A295" s="193"/>
      <x:c r="B295" s="187"/>
      <x:c r="C295" s="188" t="str">
        <x:f>IF(B295="","",IF(COUNTIF('Raw Decommissioning'!$B$2:$B$1000,B295)&gt;0,"Decommissioning",IF(COUNTIF('Raw Provisioning'!$B$2:$B$1000,B295)&gt;0,"Provisioning","Not in latest raw")))</x:f>
      </x:c>
      <x:c r="D295" s="188" t="str">
        <x:f>IF(B295="","",IFERROR(INDEX('Raw Decommissioning'!$E$2:$E$1000,MATCH(B295,'Raw Decommissioning'!$B$2:$B$1000,0)),IFERROR(INDEX('Raw Provisioning'!$E$2:$E$1000,MATCH(B295,'Raw Provisioning'!$B$2:$B$1000,0)),"Missing from latest raw")))</x:f>
      </x:c>
      <x:c r="E295" s="188" t="str">
        <x:f>IF(B295="","",IF(D295="completed","Completed in CSSP",IF(D295="executing","Active - Executing",IF(D295="processing","Ready to Assign",IF(D295="Missing from latest raw","Check Source","Not Managed - "&amp;D295)))))</x:f>
      </x:c>
      <x:c r="F295" s="189" t="str">
        <x:f>IF(B295="","",IFERROR(INDEX('Task Master'!$K$5:$K$804,MATCH(B295,'Task Master'!$A$5:$A$804,0)),""))</x:f>
      </x:c>
      <x:c r="G295" s="190"/>
      <x:c r="H295" s="190"/>
      <x:c r="I295" s="191"/>
      <x:c r="J295" s="190"/>
      <x:c r="K295" s="190"/>
      <x:c r="L295" s="195"/>
      <x:c r="M295" s="190"/>
      <x:c r="N295" s="187"/>
      <x:c r="O295" s="192"/>
      <x:c r="P295" s="192"/>
      <x:c r="Q295" s="170" t="str">
        <x:f>IF(OR(A295="",B295=""),"",IF(A295=LOOKUP(2,1/($B$5:$B$704=B295),$A$5:$A$704),"Yes","No"))</x:f>
      </x:c>
    </x:row>
    <x:row r="296">
      <x:c r="A296" s="193"/>
      <x:c r="B296" s="187"/>
      <x:c r="C296" s="188" t="str">
        <x:f>IF(B296="","",IF(COUNTIF('Raw Decommissioning'!$B$2:$B$1000,B296)&gt;0,"Decommissioning",IF(COUNTIF('Raw Provisioning'!$B$2:$B$1000,B296)&gt;0,"Provisioning","Not in latest raw")))</x:f>
      </x:c>
      <x:c r="D296" s="188" t="str">
        <x:f>IF(B296="","",IFERROR(INDEX('Raw Decommissioning'!$E$2:$E$1000,MATCH(B296,'Raw Decommissioning'!$B$2:$B$1000,0)),IFERROR(INDEX('Raw Provisioning'!$E$2:$E$1000,MATCH(B296,'Raw Provisioning'!$B$2:$B$1000,0)),"Missing from latest raw")))</x:f>
      </x:c>
      <x:c r="E296" s="188" t="str">
        <x:f>IF(B296="","",IF(D296="completed","Completed in CSSP",IF(D296="executing","Active - Executing",IF(D296="processing","Ready to Assign",IF(D296="Missing from latest raw","Check Source","Not Managed - "&amp;D296)))))</x:f>
      </x:c>
      <x:c r="F296" s="189" t="str">
        <x:f>IF(B296="","",IFERROR(INDEX('Task Master'!$K$5:$K$804,MATCH(B296,'Task Master'!$A$5:$A$804,0)),""))</x:f>
      </x:c>
      <x:c r="G296" s="190"/>
      <x:c r="H296" s="190"/>
      <x:c r="I296" s="191"/>
      <x:c r="J296" s="190"/>
      <x:c r="K296" s="190"/>
      <x:c r="L296" s="195"/>
      <x:c r="M296" s="190"/>
      <x:c r="N296" s="187"/>
      <x:c r="O296" s="192"/>
      <x:c r="P296" s="192"/>
      <x:c r="Q296" s="170" t="str">
        <x:f>IF(OR(A296="",B296=""),"",IF(A296=LOOKUP(2,1/($B$5:$B$704=B296),$A$5:$A$704),"Yes","No"))</x:f>
      </x:c>
    </x:row>
    <x:row r="297">
      <x:c r="A297" s="193"/>
      <x:c r="B297" s="187"/>
      <x:c r="C297" s="188" t="str">
        <x:f>IF(B297="","",IF(COUNTIF('Raw Decommissioning'!$B$2:$B$1000,B297)&gt;0,"Decommissioning",IF(COUNTIF('Raw Provisioning'!$B$2:$B$1000,B297)&gt;0,"Provisioning","Not in latest raw")))</x:f>
      </x:c>
      <x:c r="D297" s="188" t="str">
        <x:f>IF(B297="","",IFERROR(INDEX('Raw Decommissioning'!$E$2:$E$1000,MATCH(B297,'Raw Decommissioning'!$B$2:$B$1000,0)),IFERROR(INDEX('Raw Provisioning'!$E$2:$E$1000,MATCH(B297,'Raw Provisioning'!$B$2:$B$1000,0)),"Missing from latest raw")))</x:f>
      </x:c>
      <x:c r="E297" s="188" t="str">
        <x:f>IF(B297="","",IF(D297="completed","Completed in CSSP",IF(D297="executing","Active - Executing",IF(D297="processing","Ready to Assign",IF(D297="Missing from latest raw","Check Source","Not Managed - "&amp;D297)))))</x:f>
      </x:c>
      <x:c r="F297" s="189" t="str">
        <x:f>IF(B297="","",IFERROR(INDEX('Task Master'!$K$5:$K$804,MATCH(B297,'Task Master'!$A$5:$A$804,0)),""))</x:f>
      </x:c>
      <x:c r="G297" s="190"/>
      <x:c r="H297" s="190"/>
      <x:c r="I297" s="191"/>
      <x:c r="J297" s="190"/>
      <x:c r="K297" s="190"/>
      <x:c r="L297" s="195"/>
      <x:c r="M297" s="190"/>
      <x:c r="N297" s="187"/>
      <x:c r="O297" s="192"/>
      <x:c r="P297" s="192"/>
      <x:c r="Q297" s="170" t="str">
        <x:f>IF(OR(A297="",B297=""),"",IF(A297=LOOKUP(2,1/($B$5:$B$704=B297),$A$5:$A$704),"Yes","No"))</x:f>
      </x:c>
    </x:row>
    <x:row r="298">
      <x:c r="A298" s="193"/>
      <x:c r="B298" s="187"/>
      <x:c r="C298" s="188" t="str">
        <x:f>IF(B298="","",IF(COUNTIF('Raw Decommissioning'!$B$2:$B$1000,B298)&gt;0,"Decommissioning",IF(COUNTIF('Raw Provisioning'!$B$2:$B$1000,B298)&gt;0,"Provisioning","Not in latest raw")))</x:f>
      </x:c>
      <x:c r="D298" s="188" t="str">
        <x:f>IF(B298="","",IFERROR(INDEX('Raw Decommissioning'!$E$2:$E$1000,MATCH(B298,'Raw Decommissioning'!$B$2:$B$1000,0)),IFERROR(INDEX('Raw Provisioning'!$E$2:$E$1000,MATCH(B298,'Raw Provisioning'!$B$2:$B$1000,0)),"Missing from latest raw")))</x:f>
      </x:c>
      <x:c r="E298" s="188" t="str">
        <x:f>IF(B298="","",IF(D298="completed","Completed in CSSP",IF(D298="executing","Active - Executing",IF(D298="processing","Ready to Assign",IF(D298="Missing from latest raw","Check Source","Not Managed - "&amp;D298)))))</x:f>
      </x:c>
      <x:c r="F298" s="189" t="str">
        <x:f>IF(B298="","",IFERROR(INDEX('Task Master'!$K$5:$K$804,MATCH(B298,'Task Master'!$A$5:$A$804,0)),""))</x:f>
      </x:c>
      <x:c r="G298" s="190"/>
      <x:c r="H298" s="190"/>
      <x:c r="I298" s="191"/>
      <x:c r="J298" s="190"/>
      <x:c r="K298" s="190"/>
      <x:c r="L298" s="195"/>
      <x:c r="M298" s="190"/>
      <x:c r="N298" s="187"/>
      <x:c r="O298" s="192"/>
      <x:c r="P298" s="192"/>
      <x:c r="Q298" s="170" t="str">
        <x:f>IF(OR(A298="",B298=""),"",IF(A298=LOOKUP(2,1/($B$5:$B$704=B298),$A$5:$A$704),"Yes","No"))</x:f>
      </x:c>
    </x:row>
    <x:row r="299">
      <x:c r="A299" s="193"/>
      <x:c r="B299" s="187"/>
      <x:c r="C299" s="188" t="str">
        <x:f>IF(B299="","",IF(COUNTIF('Raw Decommissioning'!$B$2:$B$1000,B299)&gt;0,"Decommissioning",IF(COUNTIF('Raw Provisioning'!$B$2:$B$1000,B299)&gt;0,"Provisioning","Not in latest raw")))</x:f>
      </x:c>
      <x:c r="D299" s="188" t="str">
        <x:f>IF(B299="","",IFERROR(INDEX('Raw Decommissioning'!$E$2:$E$1000,MATCH(B299,'Raw Decommissioning'!$B$2:$B$1000,0)),IFERROR(INDEX('Raw Provisioning'!$E$2:$E$1000,MATCH(B299,'Raw Provisioning'!$B$2:$B$1000,0)),"Missing from latest raw")))</x:f>
      </x:c>
      <x:c r="E299" s="188" t="str">
        <x:f>IF(B299="","",IF(D299="completed","Completed in CSSP",IF(D299="executing","Active - Executing",IF(D299="processing","Ready to Assign",IF(D299="Missing from latest raw","Check Source","Not Managed - "&amp;D299)))))</x:f>
      </x:c>
      <x:c r="F299" s="189" t="str">
        <x:f>IF(B299="","",IFERROR(INDEX('Task Master'!$K$5:$K$804,MATCH(B299,'Task Master'!$A$5:$A$804,0)),""))</x:f>
      </x:c>
      <x:c r="G299" s="190"/>
      <x:c r="H299" s="190"/>
      <x:c r="I299" s="191"/>
      <x:c r="J299" s="190"/>
      <x:c r="K299" s="190"/>
      <x:c r="L299" s="195"/>
      <x:c r="M299" s="190"/>
      <x:c r="N299" s="187"/>
      <x:c r="O299" s="192"/>
      <x:c r="P299" s="192"/>
      <x:c r="Q299" s="170" t="str">
        <x:f>IF(OR(A299="",B299=""),"",IF(A299=LOOKUP(2,1/($B$5:$B$704=B299),$A$5:$A$704),"Yes","No"))</x:f>
      </x:c>
    </x:row>
    <x:row r="300">
      <x:c r="A300" s="193"/>
      <x:c r="B300" s="187"/>
      <x:c r="C300" s="188" t="str">
        <x:f>IF(B300="","",IF(COUNTIF('Raw Decommissioning'!$B$2:$B$1000,B300)&gt;0,"Decommissioning",IF(COUNTIF('Raw Provisioning'!$B$2:$B$1000,B300)&gt;0,"Provisioning","Not in latest raw")))</x:f>
      </x:c>
      <x:c r="D300" s="188" t="str">
        <x:f>IF(B300="","",IFERROR(INDEX('Raw Decommissioning'!$E$2:$E$1000,MATCH(B300,'Raw Decommissioning'!$B$2:$B$1000,0)),IFERROR(INDEX('Raw Provisioning'!$E$2:$E$1000,MATCH(B300,'Raw Provisioning'!$B$2:$B$1000,0)),"Missing from latest raw")))</x:f>
      </x:c>
      <x:c r="E300" s="188" t="str">
        <x:f>IF(B300="","",IF(D300="completed","Completed in CSSP",IF(D300="executing","Active - Executing",IF(D300="processing","Ready to Assign",IF(D300="Missing from latest raw","Check Source","Not Managed - "&amp;D300)))))</x:f>
      </x:c>
      <x:c r="F300" s="189" t="str">
        <x:f>IF(B300="","",IFERROR(INDEX('Task Master'!$K$5:$K$804,MATCH(B300,'Task Master'!$A$5:$A$804,0)),""))</x:f>
      </x:c>
      <x:c r="G300" s="190"/>
      <x:c r="H300" s="190"/>
      <x:c r="I300" s="191"/>
      <x:c r="J300" s="190"/>
      <x:c r="K300" s="190"/>
      <x:c r="L300" s="195"/>
      <x:c r="M300" s="190"/>
      <x:c r="N300" s="187"/>
      <x:c r="O300" s="192"/>
      <x:c r="P300" s="192"/>
      <x:c r="Q300" s="170" t="str">
        <x:f>IF(OR(A300="",B300=""),"",IF(A300=LOOKUP(2,1/($B$5:$B$704=B300),$A$5:$A$704),"Yes","No"))</x:f>
      </x:c>
    </x:row>
    <x:row r="301">
      <x:c r="A301" s="193"/>
      <x:c r="B301" s="187"/>
      <x:c r="C301" s="188" t="str">
        <x:f>IF(B301="","",IF(COUNTIF('Raw Decommissioning'!$B$2:$B$1000,B301)&gt;0,"Decommissioning",IF(COUNTIF('Raw Provisioning'!$B$2:$B$1000,B301)&gt;0,"Provisioning","Not in latest raw")))</x:f>
      </x:c>
      <x:c r="D301" s="188" t="str">
        <x:f>IF(B301="","",IFERROR(INDEX('Raw Decommissioning'!$E$2:$E$1000,MATCH(B301,'Raw Decommissioning'!$B$2:$B$1000,0)),IFERROR(INDEX('Raw Provisioning'!$E$2:$E$1000,MATCH(B301,'Raw Provisioning'!$B$2:$B$1000,0)),"Missing from latest raw")))</x:f>
      </x:c>
      <x:c r="E301" s="188" t="str">
        <x:f>IF(B301="","",IF(D301="completed","Completed in CSSP",IF(D301="executing","Active - Executing",IF(D301="processing","Ready to Assign",IF(D301="Missing from latest raw","Check Source","Not Managed - "&amp;D301)))))</x:f>
      </x:c>
      <x:c r="F301" s="189" t="str">
        <x:f>IF(B301="","",IFERROR(INDEX('Task Master'!$K$5:$K$804,MATCH(B301,'Task Master'!$A$5:$A$804,0)),""))</x:f>
      </x:c>
      <x:c r="G301" s="190"/>
      <x:c r="H301" s="190"/>
      <x:c r="I301" s="191"/>
      <x:c r="J301" s="190"/>
      <x:c r="K301" s="190"/>
      <x:c r="L301" s="195"/>
      <x:c r="M301" s="190"/>
      <x:c r="N301" s="187"/>
      <x:c r="O301" s="192"/>
      <x:c r="P301" s="192"/>
      <x:c r="Q301" s="170" t="str">
        <x:f>IF(OR(A301="",B301=""),"",IF(A301=LOOKUP(2,1/($B$5:$B$704=B301),$A$5:$A$704),"Yes","No"))</x:f>
      </x:c>
    </x:row>
    <x:row r="302">
      <x:c r="A302" s="193"/>
      <x:c r="B302" s="187"/>
      <x:c r="C302" s="188" t="str">
        <x:f>IF(B302="","",IF(COUNTIF('Raw Decommissioning'!$B$2:$B$1000,B302)&gt;0,"Decommissioning",IF(COUNTIF('Raw Provisioning'!$B$2:$B$1000,B302)&gt;0,"Provisioning","Not in latest raw")))</x:f>
      </x:c>
      <x:c r="D302" s="188" t="str">
        <x:f>IF(B302="","",IFERROR(INDEX('Raw Decommissioning'!$E$2:$E$1000,MATCH(B302,'Raw Decommissioning'!$B$2:$B$1000,0)),IFERROR(INDEX('Raw Provisioning'!$E$2:$E$1000,MATCH(B302,'Raw Provisioning'!$B$2:$B$1000,0)),"Missing from latest raw")))</x:f>
      </x:c>
      <x:c r="E302" s="188" t="str">
        <x:f>IF(B302="","",IF(D302="completed","Completed in CSSP",IF(D302="executing","Active - Executing",IF(D302="processing","Ready to Assign",IF(D302="Missing from latest raw","Check Source","Not Managed - "&amp;D302)))))</x:f>
      </x:c>
      <x:c r="F302" s="189" t="str">
        <x:f>IF(B302="","",IFERROR(INDEX('Task Master'!$K$5:$K$804,MATCH(B302,'Task Master'!$A$5:$A$804,0)),""))</x:f>
      </x:c>
      <x:c r="G302" s="190"/>
      <x:c r="H302" s="190"/>
      <x:c r="I302" s="191"/>
      <x:c r="J302" s="190"/>
      <x:c r="K302" s="190"/>
      <x:c r="L302" s="195"/>
      <x:c r="M302" s="190"/>
      <x:c r="N302" s="187"/>
      <x:c r="O302" s="192"/>
      <x:c r="P302" s="192"/>
      <x:c r="Q302" s="170" t="str">
        <x:f>IF(OR(A302="",B302=""),"",IF(A302=LOOKUP(2,1/($B$5:$B$704=B302),$A$5:$A$704),"Yes","No"))</x:f>
      </x:c>
    </x:row>
    <x:row r="303">
      <x:c r="A303" s="193"/>
      <x:c r="B303" s="187"/>
      <x:c r="C303" s="188" t="str">
        <x:f>IF(B303="","",IF(COUNTIF('Raw Decommissioning'!$B$2:$B$1000,B303)&gt;0,"Decommissioning",IF(COUNTIF('Raw Provisioning'!$B$2:$B$1000,B303)&gt;0,"Provisioning","Not in latest raw")))</x:f>
      </x:c>
      <x:c r="D303" s="188" t="str">
        <x:f>IF(B303="","",IFERROR(INDEX('Raw Decommissioning'!$E$2:$E$1000,MATCH(B303,'Raw Decommissioning'!$B$2:$B$1000,0)),IFERROR(INDEX('Raw Provisioning'!$E$2:$E$1000,MATCH(B303,'Raw Provisioning'!$B$2:$B$1000,0)),"Missing from latest raw")))</x:f>
      </x:c>
      <x:c r="E303" s="188" t="str">
        <x:f>IF(B303="","",IF(D303="completed","Completed in CSSP",IF(D303="executing","Active - Executing",IF(D303="processing","Ready to Assign",IF(D303="Missing from latest raw","Check Source","Not Managed - "&amp;D303)))))</x:f>
      </x:c>
      <x:c r="F303" s="189" t="str">
        <x:f>IF(B303="","",IFERROR(INDEX('Task Master'!$K$5:$K$804,MATCH(B303,'Task Master'!$A$5:$A$804,0)),""))</x:f>
      </x:c>
      <x:c r="G303" s="190"/>
      <x:c r="H303" s="190"/>
      <x:c r="I303" s="191"/>
      <x:c r="J303" s="190"/>
      <x:c r="K303" s="190"/>
      <x:c r="L303" s="195"/>
      <x:c r="M303" s="190"/>
      <x:c r="N303" s="187"/>
      <x:c r="O303" s="192"/>
      <x:c r="P303" s="192"/>
      <x:c r="Q303" s="170" t="str">
        <x:f>IF(OR(A303="",B303=""),"",IF(A303=LOOKUP(2,1/($B$5:$B$704=B303),$A$5:$A$704),"Yes","No"))</x:f>
      </x:c>
    </x:row>
    <x:row r="304">
      <x:c r="A304" s="193"/>
      <x:c r="B304" s="187"/>
      <x:c r="C304" s="188" t="str">
        <x:f>IF(B304="","",IF(COUNTIF('Raw Decommissioning'!$B$2:$B$1000,B304)&gt;0,"Decommissioning",IF(COUNTIF('Raw Provisioning'!$B$2:$B$1000,B304)&gt;0,"Provisioning","Not in latest raw")))</x:f>
      </x:c>
      <x:c r="D304" s="188" t="str">
        <x:f>IF(B304="","",IFERROR(INDEX('Raw Decommissioning'!$E$2:$E$1000,MATCH(B304,'Raw Decommissioning'!$B$2:$B$1000,0)),IFERROR(INDEX('Raw Provisioning'!$E$2:$E$1000,MATCH(B304,'Raw Provisioning'!$B$2:$B$1000,0)),"Missing from latest raw")))</x:f>
      </x:c>
      <x:c r="E304" s="188" t="str">
        <x:f>IF(B304="","",IF(D304="completed","Completed in CSSP",IF(D304="executing","Active - Executing",IF(D304="processing","Ready to Assign",IF(D304="Missing from latest raw","Check Source","Not Managed - "&amp;D304)))))</x:f>
      </x:c>
      <x:c r="F304" s="189" t="str">
        <x:f>IF(B304="","",IFERROR(INDEX('Task Master'!$K$5:$K$804,MATCH(B304,'Task Master'!$A$5:$A$804,0)),""))</x:f>
      </x:c>
      <x:c r="G304" s="190"/>
      <x:c r="H304" s="190"/>
      <x:c r="I304" s="191"/>
      <x:c r="J304" s="190"/>
      <x:c r="K304" s="190"/>
      <x:c r="L304" s="195"/>
      <x:c r="M304" s="190"/>
      <x:c r="N304" s="187"/>
      <x:c r="O304" s="192"/>
      <x:c r="P304" s="192"/>
      <x:c r="Q304" s="170" t="str">
        <x:f>IF(OR(A304="",B304=""),"",IF(A304=LOOKUP(2,1/($B$5:$B$704=B304),$A$5:$A$704),"Yes","No"))</x:f>
      </x:c>
    </x:row>
    <x:row r="305">
      <x:c r="A305" s="194"/>
      <x:c r="B305" s="192"/>
      <x:c r="C305" s="170" t="str">
        <x:f>IF(B305="","",IF(COUNTIF('Raw Decommissioning'!$B$2:$B$1000,B305)&gt;0,"Decommissioning",IF(COUNTIF('Raw Provisioning'!$B$2:$B$1000,B305)&gt;0,"Provisioning","Not in latest raw")))</x:f>
      </x:c>
      <x:c r="D305" s="170" t="str">
        <x:f>IF(B305="","",IFERROR(INDEX('Raw Decommissioning'!$E$2:$E$1000,MATCH(B305,'Raw Decommissioning'!$B$2:$B$1000,0)),IFERROR(INDEX('Raw Provisioning'!$E$2:$E$1000,MATCH(B305,'Raw Provisioning'!$B$2:$B$1000,0)),"Missing from latest raw")))</x:f>
      </x:c>
      <x:c r="E305" s="170" t="str">
        <x:f>IF(B305="","",IF(D305="completed","Completed in CSSP",IF(D305="executing","Active - Executing",IF(D305="processing","Ready to Assign",IF(D305="Missing from latest raw","Check Source","Not Managed - "&amp;D305)))))</x:f>
      </x:c>
      <x:c r="F305" s="170" t="str">
        <x:f>IF(B305="","",IFERROR(INDEX('Task Master'!$K$5:$K$804,MATCH(B305,'Task Master'!$A$5:$A$804,0)),""))</x:f>
      </x:c>
      <x:c r="G305" s="192"/>
      <x:c r="H305" s="192"/>
      <x:c r="I305" s="192"/>
      <x:c r="J305" s="192"/>
      <x:c r="K305" s="192"/>
      <x:c r="L305" s="196"/>
      <x:c r="M305" s="192"/>
      <x:c r="N305" s="192"/>
      <x:c r="O305" s="192"/>
      <x:c r="P305" s="192"/>
      <x:c r="Q305" s="170" t="str">
        <x:f>IF(OR(A305="",B305=""),"",IF(A305=LOOKUP(2,1/($B$5:$B$704=B305),$A$5:$A$704),"Yes","No"))</x:f>
      </x:c>
    </x:row>
    <x:row r="306">
      <x:c r="A306" s="194"/>
      <x:c r="B306" s="192"/>
      <x:c r="C306" s="170" t="str">
        <x:f>IF(B306="","",IF(COUNTIF('Raw Decommissioning'!$B$2:$B$1000,B306)&gt;0,"Decommissioning",IF(COUNTIF('Raw Provisioning'!$B$2:$B$1000,B306)&gt;0,"Provisioning","Not in latest raw")))</x:f>
      </x:c>
      <x:c r="D306" s="170" t="str">
        <x:f>IF(B306="","",IFERROR(INDEX('Raw Decommissioning'!$E$2:$E$1000,MATCH(B306,'Raw Decommissioning'!$B$2:$B$1000,0)),IFERROR(INDEX('Raw Provisioning'!$E$2:$E$1000,MATCH(B306,'Raw Provisioning'!$B$2:$B$1000,0)),"Missing from latest raw")))</x:f>
      </x:c>
      <x:c r="E306" s="170" t="str">
        <x:f>IF(B306="","",IF(D306="completed","Completed in CSSP",IF(D306="executing","Active - Executing",IF(D306="processing","Ready to Assign",IF(D306="Missing from latest raw","Check Source","Not Managed - "&amp;D306)))))</x:f>
      </x:c>
      <x:c r="F306" s="170" t="str">
        <x:f>IF(B306="","",IFERROR(INDEX('Task Master'!$K$5:$K$804,MATCH(B306,'Task Master'!$A$5:$A$804,0)),""))</x:f>
      </x:c>
      <x:c r="G306" s="192"/>
      <x:c r="H306" s="192"/>
      <x:c r="I306" s="192"/>
      <x:c r="J306" s="192"/>
      <x:c r="K306" s="192"/>
      <x:c r="L306" s="196"/>
      <x:c r="M306" s="192"/>
      <x:c r="N306" s="192"/>
      <x:c r="O306" s="192"/>
      <x:c r="P306" s="192"/>
      <x:c r="Q306" s="170" t="str">
        <x:f>IF(OR(A306="",B306=""),"",IF(A306=LOOKUP(2,1/($B$5:$B$704=B306),$A$5:$A$704),"Yes","No"))</x:f>
      </x:c>
    </x:row>
    <x:row r="307">
      <x:c r="A307" s="194"/>
      <x:c r="B307" s="192"/>
      <x:c r="C307" s="170" t="str">
        <x:f>IF(B307="","",IF(COUNTIF('Raw Decommissioning'!$B$2:$B$1000,B307)&gt;0,"Decommissioning",IF(COUNTIF('Raw Provisioning'!$B$2:$B$1000,B307)&gt;0,"Provisioning","Not in latest raw")))</x:f>
      </x:c>
      <x:c r="D307" s="170" t="str">
        <x:f>IF(B307="","",IFERROR(INDEX('Raw Decommissioning'!$E$2:$E$1000,MATCH(B307,'Raw Decommissioning'!$B$2:$B$1000,0)),IFERROR(INDEX('Raw Provisioning'!$E$2:$E$1000,MATCH(B307,'Raw Provisioning'!$B$2:$B$1000,0)),"Missing from latest raw")))</x:f>
      </x:c>
      <x:c r="E307" s="170" t="str">
        <x:f>IF(B307="","",IF(D307="completed","Completed in CSSP",IF(D307="executing","Active - Executing",IF(D307="processing","Ready to Assign",IF(D307="Missing from latest raw","Check Source","Not Managed - "&amp;D307)))))</x:f>
      </x:c>
      <x:c r="F307" s="170" t="str">
        <x:f>IF(B307="","",IFERROR(INDEX('Task Master'!$K$5:$K$804,MATCH(B307,'Task Master'!$A$5:$A$804,0)),""))</x:f>
      </x:c>
      <x:c r="G307" s="192"/>
      <x:c r="H307" s="192"/>
      <x:c r="I307" s="192"/>
      <x:c r="J307" s="192"/>
      <x:c r="K307" s="192"/>
      <x:c r="L307" s="196"/>
      <x:c r="M307" s="192"/>
      <x:c r="N307" s="192"/>
      <x:c r="O307" s="192"/>
      <x:c r="P307" s="192"/>
      <x:c r="Q307" s="170" t="str">
        <x:f>IF(OR(A307="",B307=""),"",IF(A307=LOOKUP(2,1/($B$5:$B$704=B307),$A$5:$A$704),"Yes","No"))</x:f>
      </x:c>
    </x:row>
    <x:row r="308">
      <x:c r="A308" s="194"/>
      <x:c r="B308" s="192"/>
      <x:c r="C308" s="170" t="str">
        <x:f>IF(B308="","",IF(COUNTIF('Raw Decommissioning'!$B$2:$B$1000,B308)&gt;0,"Decommissioning",IF(COUNTIF('Raw Provisioning'!$B$2:$B$1000,B308)&gt;0,"Provisioning","Not in latest raw")))</x:f>
      </x:c>
      <x:c r="D308" s="170" t="str">
        <x:f>IF(B308="","",IFERROR(INDEX('Raw Decommissioning'!$E$2:$E$1000,MATCH(B308,'Raw Decommissioning'!$B$2:$B$1000,0)),IFERROR(INDEX('Raw Provisioning'!$E$2:$E$1000,MATCH(B308,'Raw Provisioning'!$B$2:$B$1000,0)),"Missing from latest raw")))</x:f>
      </x:c>
      <x:c r="E308" s="170" t="str">
        <x:f>IF(B308="","",IF(D308="completed","Completed in CSSP",IF(D308="executing","Active - Executing",IF(D308="processing","Ready to Assign",IF(D308="Missing from latest raw","Check Source","Not Managed - "&amp;D308)))))</x:f>
      </x:c>
      <x:c r="F308" s="170" t="str">
        <x:f>IF(B308="","",IFERROR(INDEX('Task Master'!$K$5:$K$804,MATCH(B308,'Task Master'!$A$5:$A$804,0)),""))</x:f>
      </x:c>
      <x:c r="G308" s="192"/>
      <x:c r="H308" s="192"/>
      <x:c r="I308" s="192"/>
      <x:c r="J308" s="192"/>
      <x:c r="K308" s="192"/>
      <x:c r="L308" s="196"/>
      <x:c r="M308" s="192"/>
      <x:c r="N308" s="192"/>
      <x:c r="O308" s="192"/>
      <x:c r="P308" s="192"/>
      <x:c r="Q308" s="170" t="str">
        <x:f>IF(OR(A308="",B308=""),"",IF(A308=LOOKUP(2,1/($B$5:$B$704=B308),$A$5:$A$704),"Yes","No"))</x:f>
      </x:c>
    </x:row>
    <x:row r="309">
      <x:c r="A309" s="194"/>
      <x:c r="B309" s="192"/>
      <x:c r="C309" s="170" t="str">
        <x:f>IF(B309="","",IF(COUNTIF('Raw Decommissioning'!$B$2:$B$1000,B309)&gt;0,"Decommissioning",IF(COUNTIF('Raw Provisioning'!$B$2:$B$1000,B309)&gt;0,"Provisioning","Not in latest raw")))</x:f>
      </x:c>
      <x:c r="D309" s="170" t="str">
        <x:f>IF(B309="","",IFERROR(INDEX('Raw Decommissioning'!$E$2:$E$1000,MATCH(B309,'Raw Decommissioning'!$B$2:$B$1000,0)),IFERROR(INDEX('Raw Provisioning'!$E$2:$E$1000,MATCH(B309,'Raw Provisioning'!$B$2:$B$1000,0)),"Missing from latest raw")))</x:f>
      </x:c>
      <x:c r="E309" s="170" t="str">
        <x:f>IF(B309="","",IF(D309="completed","Completed in CSSP",IF(D309="executing","Active - Executing",IF(D309="processing","Ready to Assign",IF(D309="Missing from latest raw","Check Source","Not Managed - "&amp;D309)))))</x:f>
      </x:c>
      <x:c r="F309" s="170" t="str">
        <x:f>IF(B309="","",IFERROR(INDEX('Task Master'!$K$5:$K$804,MATCH(B309,'Task Master'!$A$5:$A$804,0)),""))</x:f>
      </x:c>
      <x:c r="G309" s="192"/>
      <x:c r="H309" s="192"/>
      <x:c r="I309" s="192"/>
      <x:c r="J309" s="192"/>
      <x:c r="K309" s="192"/>
      <x:c r="L309" s="196"/>
      <x:c r="M309" s="192"/>
      <x:c r="N309" s="192"/>
      <x:c r="O309" s="192"/>
      <x:c r="P309" s="192"/>
      <x:c r="Q309" s="170" t="str">
        <x:f>IF(OR(A309="",B309=""),"",IF(A309=LOOKUP(2,1/($B$5:$B$704=B309),$A$5:$A$704),"Yes","No"))</x:f>
      </x:c>
    </x:row>
    <x:row r="310">
      <x:c r="A310" s="194"/>
      <x:c r="B310" s="192"/>
      <x:c r="C310" s="170" t="str">
        <x:f>IF(B310="","",IF(COUNTIF('Raw Decommissioning'!$B$2:$B$1000,B310)&gt;0,"Decommissioning",IF(COUNTIF('Raw Provisioning'!$B$2:$B$1000,B310)&gt;0,"Provisioning","Not in latest raw")))</x:f>
      </x:c>
      <x:c r="D310" s="170" t="str">
        <x:f>IF(B310="","",IFERROR(INDEX('Raw Decommissioning'!$E$2:$E$1000,MATCH(B310,'Raw Decommissioning'!$B$2:$B$1000,0)),IFERROR(INDEX('Raw Provisioning'!$E$2:$E$1000,MATCH(B310,'Raw Provisioning'!$B$2:$B$1000,0)),"Missing from latest raw")))</x:f>
      </x:c>
      <x:c r="E310" s="170" t="str">
        <x:f>IF(B310="","",IF(D310="completed","Completed in CSSP",IF(D310="executing","Active - Executing",IF(D310="processing","Ready to Assign",IF(D310="Missing from latest raw","Check Source","Not Managed - "&amp;D310)))))</x:f>
      </x:c>
      <x:c r="F310" s="170" t="str">
        <x:f>IF(B310="","",IFERROR(INDEX('Task Master'!$K$5:$K$804,MATCH(B310,'Task Master'!$A$5:$A$804,0)),""))</x:f>
      </x:c>
      <x:c r="G310" s="192"/>
      <x:c r="H310" s="192"/>
      <x:c r="I310" s="192"/>
      <x:c r="J310" s="192"/>
      <x:c r="K310" s="192"/>
      <x:c r="L310" s="196"/>
      <x:c r="M310" s="192"/>
      <x:c r="N310" s="192"/>
      <x:c r="O310" s="192"/>
      <x:c r="P310" s="192"/>
      <x:c r="Q310" s="170" t="str">
        <x:f>IF(OR(A310="",B310=""),"",IF(A310=LOOKUP(2,1/($B$5:$B$704=B310),$A$5:$A$704),"Yes","No"))</x:f>
      </x:c>
    </x:row>
    <x:row r="311">
      <x:c r="A311" s="194"/>
      <x:c r="B311" s="192"/>
      <x:c r="C311" s="170" t="str">
        <x:f>IF(B311="","",IF(COUNTIF('Raw Decommissioning'!$B$2:$B$1000,B311)&gt;0,"Decommissioning",IF(COUNTIF('Raw Provisioning'!$B$2:$B$1000,B311)&gt;0,"Provisioning","Not in latest raw")))</x:f>
      </x:c>
      <x:c r="D311" s="170" t="str">
        <x:f>IF(B311="","",IFERROR(INDEX('Raw Decommissioning'!$E$2:$E$1000,MATCH(B311,'Raw Decommissioning'!$B$2:$B$1000,0)),IFERROR(INDEX('Raw Provisioning'!$E$2:$E$1000,MATCH(B311,'Raw Provisioning'!$B$2:$B$1000,0)),"Missing from latest raw")))</x:f>
      </x:c>
      <x:c r="E311" s="170" t="str">
        <x:f>IF(B311="","",IF(D311="completed","Completed in CSSP",IF(D311="executing","Active - Executing",IF(D311="processing","Ready to Assign",IF(D311="Missing from latest raw","Check Source","Not Managed - "&amp;D311)))))</x:f>
      </x:c>
      <x:c r="F311" s="170" t="str">
        <x:f>IF(B311="","",IFERROR(INDEX('Task Master'!$K$5:$K$804,MATCH(B311,'Task Master'!$A$5:$A$804,0)),""))</x:f>
      </x:c>
      <x:c r="G311" s="192"/>
      <x:c r="H311" s="192"/>
      <x:c r="I311" s="192"/>
      <x:c r="J311" s="192"/>
      <x:c r="K311" s="192"/>
      <x:c r="L311" s="196"/>
      <x:c r="M311" s="192"/>
      <x:c r="N311" s="192"/>
      <x:c r="O311" s="192"/>
      <x:c r="P311" s="192"/>
      <x:c r="Q311" s="170" t="str">
        <x:f>IF(OR(A311="",B311=""),"",IF(A311=LOOKUP(2,1/($B$5:$B$704=B311),$A$5:$A$704),"Yes","No"))</x:f>
      </x:c>
    </x:row>
    <x:row r="312">
      <x:c r="A312" s="194"/>
      <x:c r="B312" s="192"/>
      <x:c r="C312" s="170" t="str">
        <x:f>IF(B312="","",IF(COUNTIF('Raw Decommissioning'!$B$2:$B$1000,B312)&gt;0,"Decommissioning",IF(COUNTIF('Raw Provisioning'!$B$2:$B$1000,B312)&gt;0,"Provisioning","Not in latest raw")))</x:f>
      </x:c>
      <x:c r="D312" s="170" t="str">
        <x:f>IF(B312="","",IFERROR(INDEX('Raw Decommissioning'!$E$2:$E$1000,MATCH(B312,'Raw Decommissioning'!$B$2:$B$1000,0)),IFERROR(INDEX('Raw Provisioning'!$E$2:$E$1000,MATCH(B312,'Raw Provisioning'!$B$2:$B$1000,0)),"Missing from latest raw")))</x:f>
      </x:c>
      <x:c r="E312" s="170" t="str">
        <x:f>IF(B312="","",IF(D312="completed","Completed in CSSP",IF(D312="executing","Active - Executing",IF(D312="processing","Ready to Assign",IF(D312="Missing from latest raw","Check Source","Not Managed - "&amp;D312)))))</x:f>
      </x:c>
      <x:c r="F312" s="170" t="str">
        <x:f>IF(B312="","",IFERROR(INDEX('Task Master'!$K$5:$K$804,MATCH(B312,'Task Master'!$A$5:$A$804,0)),""))</x:f>
      </x:c>
      <x:c r="G312" s="192"/>
      <x:c r="H312" s="192"/>
      <x:c r="I312" s="192"/>
      <x:c r="J312" s="192"/>
      <x:c r="K312" s="192"/>
      <x:c r="L312" s="196"/>
      <x:c r="M312" s="192"/>
      <x:c r="N312" s="192"/>
      <x:c r="O312" s="192"/>
      <x:c r="P312" s="192"/>
      <x:c r="Q312" s="170" t="str">
        <x:f>IF(OR(A312="",B312=""),"",IF(A312=LOOKUP(2,1/($B$5:$B$704=B312),$A$5:$A$704),"Yes","No"))</x:f>
      </x:c>
    </x:row>
    <x:row r="313">
      <x:c r="A313" s="194"/>
      <x:c r="B313" s="192"/>
      <x:c r="C313" s="170" t="str">
        <x:f>IF(B313="","",IF(COUNTIF('Raw Decommissioning'!$B$2:$B$1000,B313)&gt;0,"Decommissioning",IF(COUNTIF('Raw Provisioning'!$B$2:$B$1000,B313)&gt;0,"Provisioning","Not in latest raw")))</x:f>
      </x:c>
      <x:c r="D313" s="170" t="str">
        <x:f>IF(B313="","",IFERROR(INDEX('Raw Decommissioning'!$E$2:$E$1000,MATCH(B313,'Raw Decommissioning'!$B$2:$B$1000,0)),IFERROR(INDEX('Raw Provisioning'!$E$2:$E$1000,MATCH(B313,'Raw Provisioning'!$B$2:$B$1000,0)),"Missing from latest raw")))</x:f>
      </x:c>
      <x:c r="E313" s="170" t="str">
        <x:f>IF(B313="","",IF(D313="completed","Completed in CSSP",IF(D313="executing","Active - Executing",IF(D313="processing","Ready to Assign",IF(D313="Missing from latest raw","Check Source","Not Managed - "&amp;D313)))))</x:f>
      </x:c>
      <x:c r="F313" s="170" t="str">
        <x:f>IF(B313="","",IFERROR(INDEX('Task Master'!$K$5:$K$804,MATCH(B313,'Task Master'!$A$5:$A$804,0)),""))</x:f>
      </x:c>
      <x:c r="G313" s="192"/>
      <x:c r="H313" s="192"/>
      <x:c r="I313" s="192"/>
      <x:c r="J313" s="192"/>
      <x:c r="K313" s="192"/>
      <x:c r="L313" s="196"/>
      <x:c r="M313" s="192"/>
      <x:c r="N313" s="192"/>
      <x:c r="O313" s="192"/>
      <x:c r="P313" s="192"/>
      <x:c r="Q313" s="170" t="str">
        <x:f>IF(OR(A313="",B313=""),"",IF(A313=LOOKUP(2,1/($B$5:$B$704=B313),$A$5:$A$704),"Yes","No"))</x:f>
      </x:c>
    </x:row>
    <x:row r="314">
      <x:c r="A314" s="194"/>
      <x:c r="B314" s="192"/>
      <x:c r="C314" s="170" t="str">
        <x:f>IF(B314="","",IF(COUNTIF('Raw Decommissioning'!$B$2:$B$1000,B314)&gt;0,"Decommissioning",IF(COUNTIF('Raw Provisioning'!$B$2:$B$1000,B314)&gt;0,"Provisioning","Not in latest raw")))</x:f>
      </x:c>
      <x:c r="D314" s="170" t="str">
        <x:f>IF(B314="","",IFERROR(INDEX('Raw Decommissioning'!$E$2:$E$1000,MATCH(B314,'Raw Decommissioning'!$B$2:$B$1000,0)),IFERROR(INDEX('Raw Provisioning'!$E$2:$E$1000,MATCH(B314,'Raw Provisioning'!$B$2:$B$1000,0)),"Missing from latest raw")))</x:f>
      </x:c>
      <x:c r="E314" s="170" t="str">
        <x:f>IF(B314="","",IF(D314="completed","Completed in CSSP",IF(D314="executing","Active - Executing",IF(D314="processing","Ready to Assign",IF(D314="Missing from latest raw","Check Source","Not Managed - "&amp;D314)))))</x:f>
      </x:c>
      <x:c r="F314" s="170" t="str">
        <x:f>IF(B314="","",IFERROR(INDEX('Task Master'!$K$5:$K$804,MATCH(B314,'Task Master'!$A$5:$A$804,0)),""))</x:f>
      </x:c>
      <x:c r="G314" s="192"/>
      <x:c r="H314" s="192"/>
      <x:c r="I314" s="192"/>
      <x:c r="J314" s="192"/>
      <x:c r="K314" s="192"/>
      <x:c r="L314" s="196"/>
      <x:c r="M314" s="192"/>
      <x:c r="N314" s="192"/>
      <x:c r="O314" s="192"/>
      <x:c r="P314" s="192"/>
      <x:c r="Q314" s="170" t="str">
        <x:f>IF(OR(A314="",B314=""),"",IF(A314=LOOKUP(2,1/($B$5:$B$704=B314),$A$5:$A$704),"Yes","No"))</x:f>
      </x:c>
    </x:row>
    <x:row r="315">
      <x:c r="A315" s="194"/>
      <x:c r="B315" s="192"/>
      <x:c r="C315" s="170" t="str">
        <x:f>IF(B315="","",IF(COUNTIF('Raw Decommissioning'!$B$2:$B$1000,B315)&gt;0,"Decommissioning",IF(COUNTIF('Raw Provisioning'!$B$2:$B$1000,B315)&gt;0,"Provisioning","Not in latest raw")))</x:f>
      </x:c>
      <x:c r="D315" s="170" t="str">
        <x:f>IF(B315="","",IFERROR(INDEX('Raw Decommissioning'!$E$2:$E$1000,MATCH(B315,'Raw Decommissioning'!$B$2:$B$1000,0)),IFERROR(INDEX('Raw Provisioning'!$E$2:$E$1000,MATCH(B315,'Raw Provisioning'!$B$2:$B$1000,0)),"Missing from latest raw")))</x:f>
      </x:c>
      <x:c r="E315" s="170" t="str">
        <x:f>IF(B315="","",IF(D315="completed","Completed in CSSP",IF(D315="executing","Active - Executing",IF(D315="processing","Ready to Assign",IF(D315="Missing from latest raw","Check Source","Not Managed - "&amp;D315)))))</x:f>
      </x:c>
      <x:c r="F315" s="170" t="str">
        <x:f>IF(B315="","",IFERROR(INDEX('Task Master'!$K$5:$K$804,MATCH(B315,'Task Master'!$A$5:$A$804,0)),""))</x:f>
      </x:c>
      <x:c r="G315" s="192"/>
      <x:c r="H315" s="192"/>
      <x:c r="I315" s="192"/>
      <x:c r="J315" s="192"/>
      <x:c r="K315" s="192"/>
      <x:c r="L315" s="196"/>
      <x:c r="M315" s="192"/>
      <x:c r="N315" s="192"/>
      <x:c r="O315" s="192"/>
      <x:c r="P315" s="192"/>
      <x:c r="Q315" s="170" t="str">
        <x:f>IF(OR(A315="",B315=""),"",IF(A315=LOOKUP(2,1/($B$5:$B$704=B315),$A$5:$A$704),"Yes","No"))</x:f>
      </x:c>
    </x:row>
    <x:row r="316">
      <x:c r="A316" s="194"/>
      <x:c r="B316" s="192"/>
      <x:c r="C316" s="170" t="str">
        <x:f>IF(B316="","",IF(COUNTIF('Raw Decommissioning'!$B$2:$B$1000,B316)&gt;0,"Decommissioning",IF(COUNTIF('Raw Provisioning'!$B$2:$B$1000,B316)&gt;0,"Provisioning","Not in latest raw")))</x:f>
      </x:c>
      <x:c r="D316" s="170" t="str">
        <x:f>IF(B316="","",IFERROR(INDEX('Raw Decommissioning'!$E$2:$E$1000,MATCH(B316,'Raw Decommissioning'!$B$2:$B$1000,0)),IFERROR(INDEX('Raw Provisioning'!$E$2:$E$1000,MATCH(B316,'Raw Provisioning'!$B$2:$B$1000,0)),"Missing from latest raw")))</x:f>
      </x:c>
      <x:c r="E316" s="170" t="str">
        <x:f>IF(B316="","",IF(D316="completed","Completed in CSSP",IF(D316="executing","Active - Executing",IF(D316="processing","Ready to Assign",IF(D316="Missing from latest raw","Check Source","Not Managed - "&amp;D316)))))</x:f>
      </x:c>
      <x:c r="F316" s="170" t="str">
        <x:f>IF(B316="","",IFERROR(INDEX('Task Master'!$K$5:$K$804,MATCH(B316,'Task Master'!$A$5:$A$804,0)),""))</x:f>
      </x:c>
      <x:c r="G316" s="192"/>
      <x:c r="H316" s="192"/>
      <x:c r="I316" s="192"/>
      <x:c r="J316" s="192"/>
      <x:c r="K316" s="192"/>
      <x:c r="L316" s="196"/>
      <x:c r="M316" s="192"/>
      <x:c r="N316" s="192"/>
      <x:c r="O316" s="192"/>
      <x:c r="P316" s="192"/>
      <x:c r="Q316" s="170" t="str">
        <x:f>IF(OR(A316="",B316=""),"",IF(A316=LOOKUP(2,1/($B$5:$B$704=B316),$A$5:$A$704),"Yes","No"))</x:f>
      </x:c>
    </x:row>
    <x:row r="317">
      <x:c r="A317" s="194"/>
      <x:c r="B317" s="192"/>
      <x:c r="C317" s="170" t="str">
        <x:f>IF(B317="","",IF(COUNTIF('Raw Decommissioning'!$B$2:$B$1000,B317)&gt;0,"Decommissioning",IF(COUNTIF('Raw Provisioning'!$B$2:$B$1000,B317)&gt;0,"Provisioning","Not in latest raw")))</x:f>
      </x:c>
      <x:c r="D317" s="170" t="str">
        <x:f>IF(B317="","",IFERROR(INDEX('Raw Decommissioning'!$E$2:$E$1000,MATCH(B317,'Raw Decommissioning'!$B$2:$B$1000,0)),IFERROR(INDEX('Raw Provisioning'!$E$2:$E$1000,MATCH(B317,'Raw Provisioning'!$B$2:$B$1000,0)),"Missing from latest raw")))</x:f>
      </x:c>
      <x:c r="E317" s="170" t="str">
        <x:f>IF(B317="","",IF(D317="completed","Completed in CSSP",IF(D317="executing","Active - Executing",IF(D317="processing","Ready to Assign",IF(D317="Missing from latest raw","Check Source","Not Managed - "&amp;D317)))))</x:f>
      </x:c>
      <x:c r="F317" s="170" t="str">
        <x:f>IF(B317="","",IFERROR(INDEX('Task Master'!$K$5:$K$804,MATCH(B317,'Task Master'!$A$5:$A$804,0)),""))</x:f>
      </x:c>
      <x:c r="G317" s="192"/>
      <x:c r="H317" s="192"/>
      <x:c r="I317" s="192"/>
      <x:c r="J317" s="192"/>
      <x:c r="K317" s="192"/>
      <x:c r="L317" s="196"/>
      <x:c r="M317" s="192"/>
      <x:c r="N317" s="192"/>
      <x:c r="O317" s="192"/>
      <x:c r="P317" s="192"/>
      <x:c r="Q317" s="170" t="str">
        <x:f>IF(OR(A317="",B317=""),"",IF(A317=LOOKUP(2,1/($B$5:$B$704=B317),$A$5:$A$704),"Yes","No"))</x:f>
      </x:c>
    </x:row>
    <x:row r="318">
      <x:c r="A318" s="194"/>
      <x:c r="B318" s="192"/>
      <x:c r="C318" s="170" t="str">
        <x:f>IF(B318="","",IF(COUNTIF('Raw Decommissioning'!$B$2:$B$1000,B318)&gt;0,"Decommissioning",IF(COUNTIF('Raw Provisioning'!$B$2:$B$1000,B318)&gt;0,"Provisioning","Not in latest raw")))</x:f>
      </x:c>
      <x:c r="D318" s="170" t="str">
        <x:f>IF(B318="","",IFERROR(INDEX('Raw Decommissioning'!$E$2:$E$1000,MATCH(B318,'Raw Decommissioning'!$B$2:$B$1000,0)),IFERROR(INDEX('Raw Provisioning'!$E$2:$E$1000,MATCH(B318,'Raw Provisioning'!$B$2:$B$1000,0)),"Missing from latest raw")))</x:f>
      </x:c>
      <x:c r="E318" s="170" t="str">
        <x:f>IF(B318="","",IF(D318="completed","Completed in CSSP",IF(D318="executing","Active - Executing",IF(D318="processing","Ready to Assign",IF(D318="Missing from latest raw","Check Source","Not Managed - "&amp;D318)))))</x:f>
      </x:c>
      <x:c r="F318" s="170" t="str">
        <x:f>IF(B318="","",IFERROR(INDEX('Task Master'!$K$5:$K$804,MATCH(B318,'Task Master'!$A$5:$A$804,0)),""))</x:f>
      </x:c>
      <x:c r="G318" s="192"/>
      <x:c r="H318" s="192"/>
      <x:c r="I318" s="192"/>
      <x:c r="J318" s="192"/>
      <x:c r="K318" s="192"/>
      <x:c r="L318" s="196"/>
      <x:c r="M318" s="192"/>
      <x:c r="N318" s="192"/>
      <x:c r="O318" s="192"/>
      <x:c r="P318" s="192"/>
      <x:c r="Q318" s="170" t="str">
        <x:f>IF(OR(A318="",B318=""),"",IF(A318=LOOKUP(2,1/($B$5:$B$704=B318),$A$5:$A$704),"Yes","No"))</x:f>
      </x:c>
    </x:row>
    <x:row r="319">
      <x:c r="A319" s="194"/>
      <x:c r="B319" s="192"/>
      <x:c r="C319" s="170" t="str">
        <x:f>IF(B319="","",IF(COUNTIF('Raw Decommissioning'!$B$2:$B$1000,B319)&gt;0,"Decommissioning",IF(COUNTIF('Raw Provisioning'!$B$2:$B$1000,B319)&gt;0,"Provisioning","Not in latest raw")))</x:f>
      </x:c>
      <x:c r="D319" s="170" t="str">
        <x:f>IF(B319="","",IFERROR(INDEX('Raw Decommissioning'!$E$2:$E$1000,MATCH(B319,'Raw Decommissioning'!$B$2:$B$1000,0)),IFERROR(INDEX('Raw Provisioning'!$E$2:$E$1000,MATCH(B319,'Raw Provisioning'!$B$2:$B$1000,0)),"Missing from latest raw")))</x:f>
      </x:c>
      <x:c r="E319" s="170" t="str">
        <x:f>IF(B319="","",IF(D319="completed","Completed in CSSP",IF(D319="executing","Active - Executing",IF(D319="processing","Ready to Assign",IF(D319="Missing from latest raw","Check Source","Not Managed - "&amp;D319)))))</x:f>
      </x:c>
      <x:c r="F319" s="170" t="str">
        <x:f>IF(B319="","",IFERROR(INDEX('Task Master'!$K$5:$K$804,MATCH(B319,'Task Master'!$A$5:$A$804,0)),""))</x:f>
      </x:c>
      <x:c r="G319" s="192"/>
      <x:c r="H319" s="192"/>
      <x:c r="I319" s="192"/>
      <x:c r="J319" s="192"/>
      <x:c r="K319" s="192"/>
      <x:c r="L319" s="196"/>
      <x:c r="M319" s="192"/>
      <x:c r="N319" s="192"/>
      <x:c r="O319" s="192"/>
      <x:c r="P319" s="192"/>
      <x:c r="Q319" s="170" t="str">
        <x:f>IF(OR(A319="",B319=""),"",IF(A319=LOOKUP(2,1/($B$5:$B$704=B319),$A$5:$A$704),"Yes","No"))</x:f>
      </x:c>
    </x:row>
    <x:row r="320">
      <x:c r="A320" s="194"/>
      <x:c r="B320" s="192"/>
      <x:c r="C320" s="170" t="str">
        <x:f>IF(B320="","",IF(COUNTIF('Raw Decommissioning'!$B$2:$B$1000,B320)&gt;0,"Decommissioning",IF(COUNTIF('Raw Provisioning'!$B$2:$B$1000,B320)&gt;0,"Provisioning","Not in latest raw")))</x:f>
      </x:c>
      <x:c r="D320" s="170" t="str">
        <x:f>IF(B320="","",IFERROR(INDEX('Raw Decommissioning'!$E$2:$E$1000,MATCH(B320,'Raw Decommissioning'!$B$2:$B$1000,0)),IFERROR(INDEX('Raw Provisioning'!$E$2:$E$1000,MATCH(B320,'Raw Provisioning'!$B$2:$B$1000,0)),"Missing from latest raw")))</x:f>
      </x:c>
      <x:c r="E320" s="170" t="str">
        <x:f>IF(B320="","",IF(D320="completed","Completed in CSSP",IF(D320="executing","Active - Executing",IF(D320="processing","Ready to Assign",IF(D320="Missing from latest raw","Check Source","Not Managed - "&amp;D320)))))</x:f>
      </x:c>
      <x:c r="F320" s="170" t="str">
        <x:f>IF(B320="","",IFERROR(INDEX('Task Master'!$K$5:$K$804,MATCH(B320,'Task Master'!$A$5:$A$804,0)),""))</x:f>
      </x:c>
      <x:c r="G320" s="192"/>
      <x:c r="H320" s="192"/>
      <x:c r="I320" s="192"/>
      <x:c r="J320" s="192"/>
      <x:c r="K320" s="192"/>
      <x:c r="L320" s="196"/>
      <x:c r="M320" s="192"/>
      <x:c r="N320" s="192"/>
      <x:c r="O320" s="192"/>
      <x:c r="P320" s="192"/>
      <x:c r="Q320" s="170" t="str">
        <x:f>IF(OR(A320="",B320=""),"",IF(A320=LOOKUP(2,1/($B$5:$B$704=B320),$A$5:$A$704),"Yes","No"))</x:f>
      </x:c>
    </x:row>
    <x:row r="321">
      <x:c r="A321" s="194"/>
      <x:c r="B321" s="192"/>
      <x:c r="C321" s="170" t="str">
        <x:f>IF(B321="","",IF(COUNTIF('Raw Decommissioning'!$B$2:$B$1000,B321)&gt;0,"Decommissioning",IF(COUNTIF('Raw Provisioning'!$B$2:$B$1000,B321)&gt;0,"Provisioning","Not in latest raw")))</x:f>
      </x:c>
      <x:c r="D321" s="170" t="str">
        <x:f>IF(B321="","",IFERROR(INDEX('Raw Decommissioning'!$E$2:$E$1000,MATCH(B321,'Raw Decommissioning'!$B$2:$B$1000,0)),IFERROR(INDEX('Raw Provisioning'!$E$2:$E$1000,MATCH(B321,'Raw Provisioning'!$B$2:$B$1000,0)),"Missing from latest raw")))</x:f>
      </x:c>
      <x:c r="E321" s="170" t="str">
        <x:f>IF(B321="","",IF(D321="completed","Completed in CSSP",IF(D321="executing","Active - Executing",IF(D321="processing","Ready to Assign",IF(D321="Missing from latest raw","Check Source","Not Managed - "&amp;D321)))))</x:f>
      </x:c>
      <x:c r="F321" s="170" t="str">
        <x:f>IF(B321="","",IFERROR(INDEX('Task Master'!$K$5:$K$804,MATCH(B321,'Task Master'!$A$5:$A$804,0)),""))</x:f>
      </x:c>
      <x:c r="G321" s="192"/>
      <x:c r="H321" s="192"/>
      <x:c r="I321" s="192"/>
      <x:c r="J321" s="192"/>
      <x:c r="K321" s="192"/>
      <x:c r="L321" s="196"/>
      <x:c r="M321" s="192"/>
      <x:c r="N321" s="192"/>
      <x:c r="O321" s="192"/>
      <x:c r="P321" s="192"/>
      <x:c r="Q321" s="170" t="str">
        <x:f>IF(OR(A321="",B321=""),"",IF(A321=LOOKUP(2,1/($B$5:$B$704=B321),$A$5:$A$704),"Yes","No"))</x:f>
      </x:c>
    </x:row>
    <x:row r="322">
      <x:c r="A322" s="194"/>
      <x:c r="B322" s="192"/>
      <x:c r="C322" s="170" t="str">
        <x:f>IF(B322="","",IF(COUNTIF('Raw Decommissioning'!$B$2:$B$1000,B322)&gt;0,"Decommissioning",IF(COUNTIF('Raw Provisioning'!$B$2:$B$1000,B322)&gt;0,"Provisioning","Not in latest raw")))</x:f>
      </x:c>
      <x:c r="D322" s="170" t="str">
        <x:f>IF(B322="","",IFERROR(INDEX('Raw Decommissioning'!$E$2:$E$1000,MATCH(B322,'Raw Decommissioning'!$B$2:$B$1000,0)),IFERROR(INDEX('Raw Provisioning'!$E$2:$E$1000,MATCH(B322,'Raw Provisioning'!$B$2:$B$1000,0)),"Missing from latest raw")))</x:f>
      </x:c>
      <x:c r="E322" s="170" t="str">
        <x:f>IF(B322="","",IF(D322="completed","Completed in CSSP",IF(D322="executing","Active - Executing",IF(D322="processing","Ready to Assign",IF(D322="Missing from latest raw","Check Source","Not Managed - "&amp;D322)))))</x:f>
      </x:c>
      <x:c r="F322" s="170" t="str">
        <x:f>IF(B322="","",IFERROR(INDEX('Task Master'!$K$5:$K$804,MATCH(B322,'Task Master'!$A$5:$A$804,0)),""))</x:f>
      </x:c>
      <x:c r="G322" s="192"/>
      <x:c r="H322" s="192"/>
      <x:c r="I322" s="192"/>
      <x:c r="J322" s="192"/>
      <x:c r="K322" s="192"/>
      <x:c r="L322" s="196"/>
      <x:c r="M322" s="192"/>
      <x:c r="N322" s="192"/>
      <x:c r="O322" s="192"/>
      <x:c r="P322" s="192"/>
      <x:c r="Q322" s="170" t="str">
        <x:f>IF(OR(A322="",B322=""),"",IF(A322=LOOKUP(2,1/($B$5:$B$704=B322),$A$5:$A$704),"Yes","No"))</x:f>
      </x:c>
    </x:row>
    <x:row r="323">
      <x:c r="A323" s="194"/>
      <x:c r="B323" s="192"/>
      <x:c r="C323" s="170" t="str">
        <x:f>IF(B323="","",IF(COUNTIF('Raw Decommissioning'!$B$2:$B$1000,B323)&gt;0,"Decommissioning",IF(COUNTIF('Raw Provisioning'!$B$2:$B$1000,B323)&gt;0,"Provisioning","Not in latest raw")))</x:f>
      </x:c>
      <x:c r="D323" s="170" t="str">
        <x:f>IF(B323="","",IFERROR(INDEX('Raw Decommissioning'!$E$2:$E$1000,MATCH(B323,'Raw Decommissioning'!$B$2:$B$1000,0)),IFERROR(INDEX('Raw Provisioning'!$E$2:$E$1000,MATCH(B323,'Raw Provisioning'!$B$2:$B$1000,0)),"Missing from latest raw")))</x:f>
      </x:c>
      <x:c r="E323" s="170" t="str">
        <x:f>IF(B323="","",IF(D323="completed","Completed in CSSP",IF(D323="executing","Active - Executing",IF(D323="processing","Ready to Assign",IF(D323="Missing from latest raw","Check Source","Not Managed - "&amp;D323)))))</x:f>
      </x:c>
      <x:c r="F323" s="170" t="str">
        <x:f>IF(B323="","",IFERROR(INDEX('Task Master'!$K$5:$K$804,MATCH(B323,'Task Master'!$A$5:$A$804,0)),""))</x:f>
      </x:c>
      <x:c r="G323" s="192"/>
      <x:c r="H323" s="192"/>
      <x:c r="I323" s="192"/>
      <x:c r="J323" s="192"/>
      <x:c r="K323" s="192"/>
      <x:c r="L323" s="196"/>
      <x:c r="M323" s="192"/>
      <x:c r="N323" s="192"/>
      <x:c r="O323" s="192"/>
      <x:c r="P323" s="192"/>
      <x:c r="Q323" s="170" t="str">
        <x:f>IF(OR(A323="",B323=""),"",IF(A323=LOOKUP(2,1/($B$5:$B$704=B323),$A$5:$A$704),"Yes","No"))</x:f>
      </x:c>
    </x:row>
    <x:row r="324">
      <x:c r="A324" s="194"/>
      <x:c r="B324" s="192"/>
      <x:c r="C324" s="170" t="str">
        <x:f>IF(B324="","",IF(COUNTIF('Raw Decommissioning'!$B$2:$B$1000,B324)&gt;0,"Decommissioning",IF(COUNTIF('Raw Provisioning'!$B$2:$B$1000,B324)&gt;0,"Provisioning","Not in latest raw")))</x:f>
      </x:c>
      <x:c r="D324" s="170" t="str">
        <x:f>IF(B324="","",IFERROR(INDEX('Raw Decommissioning'!$E$2:$E$1000,MATCH(B324,'Raw Decommissioning'!$B$2:$B$1000,0)),IFERROR(INDEX('Raw Provisioning'!$E$2:$E$1000,MATCH(B324,'Raw Provisioning'!$B$2:$B$1000,0)),"Missing from latest raw")))</x:f>
      </x:c>
      <x:c r="E324" s="170" t="str">
        <x:f>IF(B324="","",IF(D324="completed","Completed in CSSP",IF(D324="executing","Active - Executing",IF(D324="processing","Ready to Assign",IF(D324="Missing from latest raw","Check Source","Not Managed - "&amp;D324)))))</x:f>
      </x:c>
      <x:c r="F324" s="170" t="str">
        <x:f>IF(B324="","",IFERROR(INDEX('Task Master'!$K$5:$K$804,MATCH(B324,'Task Master'!$A$5:$A$804,0)),""))</x:f>
      </x:c>
      <x:c r="G324" s="192"/>
      <x:c r="H324" s="192"/>
      <x:c r="I324" s="192"/>
      <x:c r="J324" s="192"/>
      <x:c r="K324" s="192"/>
      <x:c r="L324" s="196"/>
      <x:c r="M324" s="192"/>
      <x:c r="N324" s="192"/>
      <x:c r="O324" s="192"/>
      <x:c r="P324" s="192"/>
      <x:c r="Q324" s="170" t="str">
        <x:f>IF(OR(A324="",B324=""),"",IF(A324=LOOKUP(2,1/($B$5:$B$704=B324),$A$5:$A$704),"Yes","No"))</x:f>
      </x:c>
    </x:row>
    <x:row r="325">
      <x:c r="A325" s="194"/>
      <x:c r="B325" s="192"/>
      <x:c r="C325" s="170" t="str">
        <x:f>IF(B325="","",IF(COUNTIF('Raw Decommissioning'!$B$2:$B$1000,B325)&gt;0,"Decommissioning",IF(COUNTIF('Raw Provisioning'!$B$2:$B$1000,B325)&gt;0,"Provisioning","Not in latest raw")))</x:f>
      </x:c>
      <x:c r="D325" s="170" t="str">
        <x:f>IF(B325="","",IFERROR(INDEX('Raw Decommissioning'!$E$2:$E$1000,MATCH(B325,'Raw Decommissioning'!$B$2:$B$1000,0)),IFERROR(INDEX('Raw Provisioning'!$E$2:$E$1000,MATCH(B325,'Raw Provisioning'!$B$2:$B$1000,0)),"Missing from latest raw")))</x:f>
      </x:c>
      <x:c r="E325" s="170" t="str">
        <x:f>IF(B325="","",IF(D325="completed","Completed in CSSP",IF(D325="executing","Active - Executing",IF(D325="processing","Ready to Assign",IF(D325="Missing from latest raw","Check Source","Not Managed - "&amp;D325)))))</x:f>
      </x:c>
      <x:c r="F325" s="170" t="str">
        <x:f>IF(B325="","",IFERROR(INDEX('Task Master'!$K$5:$K$804,MATCH(B325,'Task Master'!$A$5:$A$804,0)),""))</x:f>
      </x:c>
      <x:c r="G325" s="192"/>
      <x:c r="H325" s="192"/>
      <x:c r="I325" s="192"/>
      <x:c r="J325" s="192"/>
      <x:c r="K325" s="192"/>
      <x:c r="L325" s="196"/>
      <x:c r="M325" s="192"/>
      <x:c r="N325" s="192"/>
      <x:c r="O325" s="192"/>
      <x:c r="P325" s="192"/>
      <x:c r="Q325" s="170" t="str">
        <x:f>IF(OR(A325="",B325=""),"",IF(A325=LOOKUP(2,1/($B$5:$B$704=B325),$A$5:$A$704),"Yes","No"))</x:f>
      </x:c>
    </x:row>
    <x:row r="326">
      <x:c r="A326" s="194"/>
      <x:c r="B326" s="192"/>
      <x:c r="C326" s="170" t="str">
        <x:f>IF(B326="","",IF(COUNTIF('Raw Decommissioning'!$B$2:$B$1000,B326)&gt;0,"Decommissioning",IF(COUNTIF('Raw Provisioning'!$B$2:$B$1000,B326)&gt;0,"Provisioning","Not in latest raw")))</x:f>
      </x:c>
      <x:c r="D326" s="170" t="str">
        <x:f>IF(B326="","",IFERROR(INDEX('Raw Decommissioning'!$E$2:$E$1000,MATCH(B326,'Raw Decommissioning'!$B$2:$B$1000,0)),IFERROR(INDEX('Raw Provisioning'!$E$2:$E$1000,MATCH(B326,'Raw Provisioning'!$B$2:$B$1000,0)),"Missing from latest raw")))</x:f>
      </x:c>
      <x:c r="E326" s="170" t="str">
        <x:f>IF(B326="","",IF(D326="completed","Completed in CSSP",IF(D326="executing","Active - Executing",IF(D326="processing","Ready to Assign",IF(D326="Missing from latest raw","Check Source","Not Managed - "&amp;D326)))))</x:f>
      </x:c>
      <x:c r="F326" s="170" t="str">
        <x:f>IF(B326="","",IFERROR(INDEX('Task Master'!$K$5:$K$804,MATCH(B326,'Task Master'!$A$5:$A$804,0)),""))</x:f>
      </x:c>
      <x:c r="G326" s="192"/>
      <x:c r="H326" s="192"/>
      <x:c r="I326" s="192"/>
      <x:c r="J326" s="192"/>
      <x:c r="K326" s="192"/>
      <x:c r="L326" s="196"/>
      <x:c r="M326" s="192"/>
      <x:c r="N326" s="192"/>
      <x:c r="O326" s="192"/>
      <x:c r="P326" s="192"/>
      <x:c r="Q326" s="170" t="str">
        <x:f>IF(OR(A326="",B326=""),"",IF(A326=LOOKUP(2,1/($B$5:$B$704=B326),$A$5:$A$704),"Yes","No"))</x:f>
      </x:c>
    </x:row>
    <x:row r="327">
      <x:c r="A327" s="194"/>
      <x:c r="B327" s="192"/>
      <x:c r="C327" s="170" t="str">
        <x:f>IF(B327="","",IF(COUNTIF('Raw Decommissioning'!$B$2:$B$1000,B327)&gt;0,"Decommissioning",IF(COUNTIF('Raw Provisioning'!$B$2:$B$1000,B327)&gt;0,"Provisioning","Not in latest raw")))</x:f>
      </x:c>
      <x:c r="D327" s="170" t="str">
        <x:f>IF(B327="","",IFERROR(INDEX('Raw Decommissioning'!$E$2:$E$1000,MATCH(B327,'Raw Decommissioning'!$B$2:$B$1000,0)),IFERROR(INDEX('Raw Provisioning'!$E$2:$E$1000,MATCH(B327,'Raw Provisioning'!$B$2:$B$1000,0)),"Missing from latest raw")))</x:f>
      </x:c>
      <x:c r="E327" s="170" t="str">
        <x:f>IF(B327="","",IF(D327="completed","Completed in CSSP",IF(D327="executing","Active - Executing",IF(D327="processing","Ready to Assign",IF(D327="Missing from latest raw","Check Source","Not Managed - "&amp;D327)))))</x:f>
      </x:c>
      <x:c r="F327" s="170" t="str">
        <x:f>IF(B327="","",IFERROR(INDEX('Task Master'!$K$5:$K$804,MATCH(B327,'Task Master'!$A$5:$A$804,0)),""))</x:f>
      </x:c>
      <x:c r="G327" s="192"/>
      <x:c r="H327" s="192"/>
      <x:c r="I327" s="192"/>
      <x:c r="J327" s="192"/>
      <x:c r="K327" s="192"/>
      <x:c r="L327" s="196"/>
      <x:c r="M327" s="192"/>
      <x:c r="N327" s="192"/>
      <x:c r="O327" s="192"/>
      <x:c r="P327" s="192"/>
      <x:c r="Q327" s="170" t="str">
        <x:f>IF(OR(A327="",B327=""),"",IF(A327=LOOKUP(2,1/($B$5:$B$704=B327),$A$5:$A$704),"Yes","No"))</x:f>
      </x:c>
    </x:row>
    <x:row r="328">
      <x:c r="A328" s="194"/>
      <x:c r="B328" s="192"/>
      <x:c r="C328" s="170" t="str">
        <x:f>IF(B328="","",IF(COUNTIF('Raw Decommissioning'!$B$2:$B$1000,B328)&gt;0,"Decommissioning",IF(COUNTIF('Raw Provisioning'!$B$2:$B$1000,B328)&gt;0,"Provisioning","Not in latest raw")))</x:f>
      </x:c>
      <x:c r="D328" s="170" t="str">
        <x:f>IF(B328="","",IFERROR(INDEX('Raw Decommissioning'!$E$2:$E$1000,MATCH(B328,'Raw Decommissioning'!$B$2:$B$1000,0)),IFERROR(INDEX('Raw Provisioning'!$E$2:$E$1000,MATCH(B328,'Raw Provisioning'!$B$2:$B$1000,0)),"Missing from latest raw")))</x:f>
      </x:c>
      <x:c r="E328" s="170" t="str">
        <x:f>IF(B328="","",IF(D328="completed","Completed in CSSP",IF(D328="executing","Active - Executing",IF(D328="processing","Ready to Assign",IF(D328="Missing from latest raw","Check Source","Not Managed - "&amp;D328)))))</x:f>
      </x:c>
      <x:c r="F328" s="170" t="str">
        <x:f>IF(B328="","",IFERROR(INDEX('Task Master'!$K$5:$K$804,MATCH(B328,'Task Master'!$A$5:$A$804,0)),""))</x:f>
      </x:c>
      <x:c r="G328" s="192"/>
      <x:c r="H328" s="192"/>
      <x:c r="I328" s="192"/>
      <x:c r="J328" s="192"/>
      <x:c r="K328" s="192"/>
      <x:c r="L328" s="196"/>
      <x:c r="M328" s="192"/>
      <x:c r="N328" s="192"/>
      <x:c r="O328" s="192"/>
      <x:c r="P328" s="192"/>
      <x:c r="Q328" s="170" t="str">
        <x:f>IF(OR(A328="",B328=""),"",IF(A328=LOOKUP(2,1/($B$5:$B$704=B328),$A$5:$A$704),"Yes","No"))</x:f>
      </x:c>
    </x:row>
    <x:row r="329">
      <x:c r="A329" s="194"/>
      <x:c r="B329" s="192"/>
      <x:c r="C329" s="170" t="str">
        <x:f>IF(B329="","",IF(COUNTIF('Raw Decommissioning'!$B$2:$B$1000,B329)&gt;0,"Decommissioning",IF(COUNTIF('Raw Provisioning'!$B$2:$B$1000,B329)&gt;0,"Provisioning","Not in latest raw")))</x:f>
      </x:c>
      <x:c r="D329" s="170" t="str">
        <x:f>IF(B329="","",IFERROR(INDEX('Raw Decommissioning'!$E$2:$E$1000,MATCH(B329,'Raw Decommissioning'!$B$2:$B$1000,0)),IFERROR(INDEX('Raw Provisioning'!$E$2:$E$1000,MATCH(B329,'Raw Provisioning'!$B$2:$B$1000,0)),"Missing from latest raw")))</x:f>
      </x:c>
      <x:c r="E329" s="170" t="str">
        <x:f>IF(B329="","",IF(D329="completed","Completed in CSSP",IF(D329="executing","Active - Executing",IF(D329="processing","Ready to Assign",IF(D329="Missing from latest raw","Check Source","Not Managed - "&amp;D329)))))</x:f>
      </x:c>
      <x:c r="F329" s="170" t="str">
        <x:f>IF(B329="","",IFERROR(INDEX('Task Master'!$K$5:$K$804,MATCH(B329,'Task Master'!$A$5:$A$804,0)),""))</x:f>
      </x:c>
      <x:c r="G329" s="192"/>
      <x:c r="H329" s="192"/>
      <x:c r="I329" s="192"/>
      <x:c r="J329" s="192"/>
      <x:c r="K329" s="192"/>
      <x:c r="L329" s="196"/>
      <x:c r="M329" s="192"/>
      <x:c r="N329" s="192"/>
      <x:c r="O329" s="192"/>
      <x:c r="P329" s="192"/>
      <x:c r="Q329" s="170" t="str">
        <x:f>IF(OR(A329="",B329=""),"",IF(A329=LOOKUP(2,1/($B$5:$B$704=B329),$A$5:$A$704),"Yes","No"))</x:f>
      </x:c>
    </x:row>
    <x:row r="330">
      <x:c r="A330" s="194"/>
      <x:c r="B330" s="192"/>
      <x:c r="C330" s="170" t="str">
        <x:f>IF(B330="","",IF(COUNTIF('Raw Decommissioning'!$B$2:$B$1000,B330)&gt;0,"Decommissioning",IF(COUNTIF('Raw Provisioning'!$B$2:$B$1000,B330)&gt;0,"Provisioning","Not in latest raw")))</x:f>
      </x:c>
      <x:c r="D330" s="170" t="str">
        <x:f>IF(B330="","",IFERROR(INDEX('Raw Decommissioning'!$E$2:$E$1000,MATCH(B330,'Raw Decommissioning'!$B$2:$B$1000,0)),IFERROR(INDEX('Raw Provisioning'!$E$2:$E$1000,MATCH(B330,'Raw Provisioning'!$B$2:$B$1000,0)),"Missing from latest raw")))</x:f>
      </x:c>
      <x:c r="E330" s="170" t="str">
        <x:f>IF(B330="","",IF(D330="completed","Completed in CSSP",IF(D330="executing","Active - Executing",IF(D330="processing","Ready to Assign",IF(D330="Missing from latest raw","Check Source","Not Managed - "&amp;D330)))))</x:f>
      </x:c>
      <x:c r="F330" s="170" t="str">
        <x:f>IF(B330="","",IFERROR(INDEX('Task Master'!$K$5:$K$804,MATCH(B330,'Task Master'!$A$5:$A$804,0)),""))</x:f>
      </x:c>
      <x:c r="G330" s="192"/>
      <x:c r="H330" s="192"/>
      <x:c r="I330" s="192"/>
      <x:c r="J330" s="192"/>
      <x:c r="K330" s="192"/>
      <x:c r="L330" s="196"/>
      <x:c r="M330" s="192"/>
      <x:c r="N330" s="192"/>
      <x:c r="O330" s="192"/>
      <x:c r="P330" s="192"/>
      <x:c r="Q330" s="170" t="str">
        <x:f>IF(OR(A330="",B330=""),"",IF(A330=LOOKUP(2,1/($B$5:$B$704=B330),$A$5:$A$704),"Yes","No"))</x:f>
      </x:c>
    </x:row>
    <x:row r="331">
      <x:c r="A331" s="194"/>
      <x:c r="B331" s="192"/>
      <x:c r="C331" s="170" t="str">
        <x:f>IF(B331="","",IF(COUNTIF('Raw Decommissioning'!$B$2:$B$1000,B331)&gt;0,"Decommissioning",IF(COUNTIF('Raw Provisioning'!$B$2:$B$1000,B331)&gt;0,"Provisioning","Not in latest raw")))</x:f>
      </x:c>
      <x:c r="D331" s="170" t="str">
        <x:f>IF(B331="","",IFERROR(INDEX('Raw Decommissioning'!$E$2:$E$1000,MATCH(B331,'Raw Decommissioning'!$B$2:$B$1000,0)),IFERROR(INDEX('Raw Provisioning'!$E$2:$E$1000,MATCH(B331,'Raw Provisioning'!$B$2:$B$1000,0)),"Missing from latest raw")))</x:f>
      </x:c>
      <x:c r="E331" s="170" t="str">
        <x:f>IF(B331="","",IF(D331="completed","Completed in CSSP",IF(D331="executing","Active - Executing",IF(D331="processing","Ready to Assign",IF(D331="Missing from latest raw","Check Source","Not Managed - "&amp;D331)))))</x:f>
      </x:c>
      <x:c r="F331" s="170" t="str">
        <x:f>IF(B331="","",IFERROR(INDEX('Task Master'!$K$5:$K$804,MATCH(B331,'Task Master'!$A$5:$A$804,0)),""))</x:f>
      </x:c>
      <x:c r="G331" s="192"/>
      <x:c r="H331" s="192"/>
      <x:c r="I331" s="192"/>
      <x:c r="J331" s="192"/>
      <x:c r="K331" s="192"/>
      <x:c r="L331" s="196"/>
      <x:c r="M331" s="192"/>
      <x:c r="N331" s="192"/>
      <x:c r="O331" s="192"/>
      <x:c r="P331" s="192"/>
      <x:c r="Q331" s="170" t="str">
        <x:f>IF(OR(A331="",B331=""),"",IF(A331=LOOKUP(2,1/($B$5:$B$704=B331),$A$5:$A$704),"Yes","No"))</x:f>
      </x:c>
    </x:row>
    <x:row r="332">
      <x:c r="A332" s="194"/>
      <x:c r="B332" s="192"/>
      <x:c r="C332" s="170" t="str">
        <x:f>IF(B332="","",IF(COUNTIF('Raw Decommissioning'!$B$2:$B$1000,B332)&gt;0,"Decommissioning",IF(COUNTIF('Raw Provisioning'!$B$2:$B$1000,B332)&gt;0,"Provisioning","Not in latest raw")))</x:f>
      </x:c>
      <x:c r="D332" s="170" t="str">
        <x:f>IF(B332="","",IFERROR(INDEX('Raw Decommissioning'!$E$2:$E$1000,MATCH(B332,'Raw Decommissioning'!$B$2:$B$1000,0)),IFERROR(INDEX('Raw Provisioning'!$E$2:$E$1000,MATCH(B332,'Raw Provisioning'!$B$2:$B$1000,0)),"Missing from latest raw")))</x:f>
      </x:c>
      <x:c r="E332" s="170" t="str">
        <x:f>IF(B332="","",IF(D332="completed","Completed in CSSP",IF(D332="executing","Active - Executing",IF(D332="processing","Ready to Assign",IF(D332="Missing from latest raw","Check Source","Not Managed - "&amp;D332)))))</x:f>
      </x:c>
      <x:c r="F332" s="170" t="str">
        <x:f>IF(B332="","",IFERROR(INDEX('Task Master'!$K$5:$K$804,MATCH(B332,'Task Master'!$A$5:$A$804,0)),""))</x:f>
      </x:c>
      <x:c r="G332" s="192"/>
      <x:c r="H332" s="192"/>
      <x:c r="I332" s="192"/>
      <x:c r="J332" s="192"/>
      <x:c r="K332" s="192"/>
      <x:c r="L332" s="196"/>
      <x:c r="M332" s="192"/>
      <x:c r="N332" s="192"/>
      <x:c r="O332" s="192"/>
      <x:c r="P332" s="192"/>
      <x:c r="Q332" s="170" t="str">
        <x:f>IF(OR(A332="",B332=""),"",IF(A332=LOOKUP(2,1/($B$5:$B$704=B332),$A$5:$A$704),"Yes","No"))</x:f>
      </x:c>
    </x:row>
    <x:row r="333">
      <x:c r="A333" s="194"/>
      <x:c r="B333" s="192"/>
      <x:c r="C333" s="170" t="str">
        <x:f>IF(B333="","",IF(COUNTIF('Raw Decommissioning'!$B$2:$B$1000,B333)&gt;0,"Decommissioning",IF(COUNTIF('Raw Provisioning'!$B$2:$B$1000,B333)&gt;0,"Provisioning","Not in latest raw")))</x:f>
      </x:c>
      <x:c r="D333" s="170" t="str">
        <x:f>IF(B333="","",IFERROR(INDEX('Raw Decommissioning'!$E$2:$E$1000,MATCH(B333,'Raw Decommissioning'!$B$2:$B$1000,0)),IFERROR(INDEX('Raw Provisioning'!$E$2:$E$1000,MATCH(B333,'Raw Provisioning'!$B$2:$B$1000,0)),"Missing from latest raw")))</x:f>
      </x:c>
      <x:c r="E333" s="170" t="str">
        <x:f>IF(B333="","",IF(D333="completed","Completed in CSSP",IF(D333="executing","Active - Executing",IF(D333="processing","Ready to Assign",IF(D333="Missing from latest raw","Check Source","Not Managed - "&amp;D333)))))</x:f>
      </x:c>
      <x:c r="F333" s="170" t="str">
        <x:f>IF(B333="","",IFERROR(INDEX('Task Master'!$K$5:$K$804,MATCH(B333,'Task Master'!$A$5:$A$804,0)),""))</x:f>
      </x:c>
      <x:c r="G333" s="192"/>
      <x:c r="H333" s="192"/>
      <x:c r="I333" s="192"/>
      <x:c r="J333" s="192"/>
      <x:c r="K333" s="192"/>
      <x:c r="L333" s="196"/>
      <x:c r="M333" s="192"/>
      <x:c r="N333" s="192"/>
      <x:c r="O333" s="192"/>
      <x:c r="P333" s="192"/>
      <x:c r="Q333" s="170" t="str">
        <x:f>IF(OR(A333="",B333=""),"",IF(A333=LOOKUP(2,1/($B$5:$B$704=B333),$A$5:$A$704),"Yes","No"))</x:f>
      </x:c>
    </x:row>
    <x:row r="334">
      <x:c r="A334" s="194"/>
      <x:c r="B334" s="192"/>
      <x:c r="C334" s="170" t="str">
        <x:f>IF(B334="","",IF(COUNTIF('Raw Decommissioning'!$B$2:$B$1000,B334)&gt;0,"Decommissioning",IF(COUNTIF('Raw Provisioning'!$B$2:$B$1000,B334)&gt;0,"Provisioning","Not in latest raw")))</x:f>
      </x:c>
      <x:c r="D334" s="170" t="str">
        <x:f>IF(B334="","",IFERROR(INDEX('Raw Decommissioning'!$E$2:$E$1000,MATCH(B334,'Raw Decommissioning'!$B$2:$B$1000,0)),IFERROR(INDEX('Raw Provisioning'!$E$2:$E$1000,MATCH(B334,'Raw Provisioning'!$B$2:$B$1000,0)),"Missing from latest raw")))</x:f>
      </x:c>
      <x:c r="E334" s="170" t="str">
        <x:f>IF(B334="","",IF(D334="completed","Completed in CSSP",IF(D334="executing","Active - Executing",IF(D334="processing","Ready to Assign",IF(D334="Missing from latest raw","Check Source","Not Managed - "&amp;D334)))))</x:f>
      </x:c>
      <x:c r="F334" s="170" t="str">
        <x:f>IF(B334="","",IFERROR(INDEX('Task Master'!$K$5:$K$804,MATCH(B334,'Task Master'!$A$5:$A$804,0)),""))</x:f>
      </x:c>
      <x:c r="G334" s="192"/>
      <x:c r="H334" s="192"/>
      <x:c r="I334" s="192"/>
      <x:c r="J334" s="192"/>
      <x:c r="K334" s="192"/>
      <x:c r="L334" s="196"/>
      <x:c r="M334" s="192"/>
      <x:c r="N334" s="192"/>
      <x:c r="O334" s="192"/>
      <x:c r="P334" s="192"/>
      <x:c r="Q334" s="170" t="str">
        <x:f>IF(OR(A334="",B334=""),"",IF(A334=LOOKUP(2,1/($B$5:$B$704=B334),$A$5:$A$704),"Yes","No"))</x:f>
      </x:c>
    </x:row>
    <x:row r="335">
      <x:c r="A335" s="194"/>
      <x:c r="B335" s="192"/>
      <x:c r="C335" s="170" t="str">
        <x:f>IF(B335="","",IF(COUNTIF('Raw Decommissioning'!$B$2:$B$1000,B335)&gt;0,"Decommissioning",IF(COUNTIF('Raw Provisioning'!$B$2:$B$1000,B335)&gt;0,"Provisioning","Not in latest raw")))</x:f>
      </x:c>
      <x:c r="D335" s="170" t="str">
        <x:f>IF(B335="","",IFERROR(INDEX('Raw Decommissioning'!$E$2:$E$1000,MATCH(B335,'Raw Decommissioning'!$B$2:$B$1000,0)),IFERROR(INDEX('Raw Provisioning'!$E$2:$E$1000,MATCH(B335,'Raw Provisioning'!$B$2:$B$1000,0)),"Missing from latest raw")))</x:f>
      </x:c>
      <x:c r="E335" s="170" t="str">
        <x:f>IF(B335="","",IF(D335="completed","Completed in CSSP",IF(D335="executing","Active - Executing",IF(D335="processing","Ready to Assign",IF(D335="Missing from latest raw","Check Source","Not Managed - "&amp;D335)))))</x:f>
      </x:c>
      <x:c r="F335" s="170" t="str">
        <x:f>IF(B335="","",IFERROR(INDEX('Task Master'!$K$5:$K$804,MATCH(B335,'Task Master'!$A$5:$A$804,0)),""))</x:f>
      </x:c>
      <x:c r="G335" s="192"/>
      <x:c r="H335" s="192"/>
      <x:c r="I335" s="192"/>
      <x:c r="J335" s="192"/>
      <x:c r="K335" s="192"/>
      <x:c r="L335" s="196"/>
      <x:c r="M335" s="192"/>
      <x:c r="N335" s="192"/>
      <x:c r="O335" s="192"/>
      <x:c r="P335" s="192"/>
      <x:c r="Q335" s="170" t="str">
        <x:f>IF(OR(A335="",B335=""),"",IF(A335=LOOKUP(2,1/($B$5:$B$704=B335),$A$5:$A$704),"Yes","No"))</x:f>
      </x:c>
    </x:row>
    <x:row r="336">
      <x:c r="A336" s="194"/>
      <x:c r="B336" s="192"/>
      <x:c r="C336" s="170" t="str">
        <x:f>IF(B336="","",IF(COUNTIF('Raw Decommissioning'!$B$2:$B$1000,B336)&gt;0,"Decommissioning",IF(COUNTIF('Raw Provisioning'!$B$2:$B$1000,B336)&gt;0,"Provisioning","Not in latest raw")))</x:f>
      </x:c>
      <x:c r="D336" s="170" t="str">
        <x:f>IF(B336="","",IFERROR(INDEX('Raw Decommissioning'!$E$2:$E$1000,MATCH(B336,'Raw Decommissioning'!$B$2:$B$1000,0)),IFERROR(INDEX('Raw Provisioning'!$E$2:$E$1000,MATCH(B336,'Raw Provisioning'!$B$2:$B$1000,0)),"Missing from latest raw")))</x:f>
      </x:c>
      <x:c r="E336" s="170" t="str">
        <x:f>IF(B336="","",IF(D336="completed","Completed in CSSP",IF(D336="executing","Active - Executing",IF(D336="processing","Ready to Assign",IF(D336="Missing from latest raw","Check Source","Not Managed - "&amp;D336)))))</x:f>
      </x:c>
      <x:c r="F336" s="170" t="str">
        <x:f>IF(B336="","",IFERROR(INDEX('Task Master'!$K$5:$K$804,MATCH(B336,'Task Master'!$A$5:$A$804,0)),""))</x:f>
      </x:c>
      <x:c r="G336" s="192"/>
      <x:c r="H336" s="192"/>
      <x:c r="I336" s="192"/>
      <x:c r="J336" s="192"/>
      <x:c r="K336" s="192"/>
      <x:c r="L336" s="196"/>
      <x:c r="M336" s="192"/>
      <x:c r="N336" s="192"/>
      <x:c r="O336" s="192"/>
      <x:c r="P336" s="192"/>
      <x:c r="Q336" s="170" t="str">
        <x:f>IF(OR(A336="",B336=""),"",IF(A336=LOOKUP(2,1/($B$5:$B$704=B336),$A$5:$A$704),"Yes","No"))</x:f>
      </x:c>
    </x:row>
    <x:row r="337">
      <x:c r="A337" s="194"/>
      <x:c r="B337" s="192"/>
      <x:c r="C337" s="170" t="str">
        <x:f>IF(B337="","",IF(COUNTIF('Raw Decommissioning'!$B$2:$B$1000,B337)&gt;0,"Decommissioning",IF(COUNTIF('Raw Provisioning'!$B$2:$B$1000,B337)&gt;0,"Provisioning","Not in latest raw")))</x:f>
      </x:c>
      <x:c r="D337" s="170" t="str">
        <x:f>IF(B337="","",IFERROR(INDEX('Raw Decommissioning'!$E$2:$E$1000,MATCH(B337,'Raw Decommissioning'!$B$2:$B$1000,0)),IFERROR(INDEX('Raw Provisioning'!$E$2:$E$1000,MATCH(B337,'Raw Provisioning'!$B$2:$B$1000,0)),"Missing from latest raw")))</x:f>
      </x:c>
      <x:c r="E337" s="170" t="str">
        <x:f>IF(B337="","",IF(D337="completed","Completed in CSSP",IF(D337="executing","Active - Executing",IF(D337="processing","Ready to Assign",IF(D337="Missing from latest raw","Check Source","Not Managed - "&amp;D337)))))</x:f>
      </x:c>
      <x:c r="F337" s="170" t="str">
        <x:f>IF(B337="","",IFERROR(INDEX('Task Master'!$K$5:$K$804,MATCH(B337,'Task Master'!$A$5:$A$804,0)),""))</x:f>
      </x:c>
      <x:c r="G337" s="192"/>
      <x:c r="H337" s="192"/>
      <x:c r="I337" s="192"/>
      <x:c r="J337" s="192"/>
      <x:c r="K337" s="192"/>
      <x:c r="L337" s="196"/>
      <x:c r="M337" s="192"/>
      <x:c r="N337" s="192"/>
      <x:c r="O337" s="192"/>
      <x:c r="P337" s="192"/>
      <x:c r="Q337" s="170" t="str">
        <x:f>IF(OR(A337="",B337=""),"",IF(A337=LOOKUP(2,1/($B$5:$B$704=B337),$A$5:$A$704),"Yes","No"))</x:f>
      </x:c>
    </x:row>
    <x:row r="338">
      <x:c r="A338" s="194"/>
      <x:c r="B338" s="192"/>
      <x:c r="C338" s="170" t="str">
        <x:f>IF(B338="","",IF(COUNTIF('Raw Decommissioning'!$B$2:$B$1000,B338)&gt;0,"Decommissioning",IF(COUNTIF('Raw Provisioning'!$B$2:$B$1000,B338)&gt;0,"Provisioning","Not in latest raw")))</x:f>
      </x:c>
      <x:c r="D338" s="170" t="str">
        <x:f>IF(B338="","",IFERROR(INDEX('Raw Decommissioning'!$E$2:$E$1000,MATCH(B338,'Raw Decommissioning'!$B$2:$B$1000,0)),IFERROR(INDEX('Raw Provisioning'!$E$2:$E$1000,MATCH(B338,'Raw Provisioning'!$B$2:$B$1000,0)),"Missing from latest raw")))</x:f>
      </x:c>
      <x:c r="E338" s="170" t="str">
        <x:f>IF(B338="","",IF(D338="completed","Completed in CSSP",IF(D338="executing","Active - Executing",IF(D338="processing","Ready to Assign",IF(D338="Missing from latest raw","Check Source","Not Managed - "&amp;D338)))))</x:f>
      </x:c>
      <x:c r="F338" s="170" t="str">
        <x:f>IF(B338="","",IFERROR(INDEX('Task Master'!$K$5:$K$804,MATCH(B338,'Task Master'!$A$5:$A$804,0)),""))</x:f>
      </x:c>
      <x:c r="G338" s="192"/>
      <x:c r="H338" s="192"/>
      <x:c r="I338" s="192"/>
      <x:c r="J338" s="192"/>
      <x:c r="K338" s="192"/>
      <x:c r="L338" s="196"/>
      <x:c r="M338" s="192"/>
      <x:c r="N338" s="192"/>
      <x:c r="O338" s="192"/>
      <x:c r="P338" s="192"/>
      <x:c r="Q338" s="170" t="str">
        <x:f>IF(OR(A338="",B338=""),"",IF(A338=LOOKUP(2,1/($B$5:$B$704=B338),$A$5:$A$704),"Yes","No"))</x:f>
      </x:c>
    </x:row>
    <x:row r="339">
      <x:c r="A339" s="194"/>
      <x:c r="B339" s="192"/>
      <x:c r="C339" s="170" t="str">
        <x:f>IF(B339="","",IF(COUNTIF('Raw Decommissioning'!$B$2:$B$1000,B339)&gt;0,"Decommissioning",IF(COUNTIF('Raw Provisioning'!$B$2:$B$1000,B339)&gt;0,"Provisioning","Not in latest raw")))</x:f>
      </x:c>
      <x:c r="D339" s="170" t="str">
        <x:f>IF(B339="","",IFERROR(INDEX('Raw Decommissioning'!$E$2:$E$1000,MATCH(B339,'Raw Decommissioning'!$B$2:$B$1000,0)),IFERROR(INDEX('Raw Provisioning'!$E$2:$E$1000,MATCH(B339,'Raw Provisioning'!$B$2:$B$1000,0)),"Missing from latest raw")))</x:f>
      </x:c>
      <x:c r="E339" s="170" t="str">
        <x:f>IF(B339="","",IF(D339="completed","Completed in CSSP",IF(D339="executing","Active - Executing",IF(D339="processing","Ready to Assign",IF(D339="Missing from latest raw","Check Source","Not Managed - "&amp;D339)))))</x:f>
      </x:c>
      <x:c r="F339" s="170" t="str">
        <x:f>IF(B339="","",IFERROR(INDEX('Task Master'!$K$5:$K$804,MATCH(B339,'Task Master'!$A$5:$A$804,0)),""))</x:f>
      </x:c>
      <x:c r="G339" s="192"/>
      <x:c r="H339" s="192"/>
      <x:c r="I339" s="192"/>
      <x:c r="J339" s="192"/>
      <x:c r="K339" s="192"/>
      <x:c r="L339" s="196"/>
      <x:c r="M339" s="192"/>
      <x:c r="N339" s="192"/>
      <x:c r="O339" s="192"/>
      <x:c r="P339" s="192"/>
      <x:c r="Q339" s="170" t="str">
        <x:f>IF(OR(A339="",B339=""),"",IF(A339=LOOKUP(2,1/($B$5:$B$704=B339),$A$5:$A$704),"Yes","No"))</x:f>
      </x:c>
    </x:row>
    <x:row r="340">
      <x:c r="A340" s="194"/>
      <x:c r="B340" s="192"/>
      <x:c r="C340" s="170" t="str">
        <x:f>IF(B340="","",IF(COUNTIF('Raw Decommissioning'!$B$2:$B$1000,B340)&gt;0,"Decommissioning",IF(COUNTIF('Raw Provisioning'!$B$2:$B$1000,B340)&gt;0,"Provisioning","Not in latest raw")))</x:f>
      </x:c>
      <x:c r="D340" s="170" t="str">
        <x:f>IF(B340="","",IFERROR(INDEX('Raw Decommissioning'!$E$2:$E$1000,MATCH(B340,'Raw Decommissioning'!$B$2:$B$1000,0)),IFERROR(INDEX('Raw Provisioning'!$E$2:$E$1000,MATCH(B340,'Raw Provisioning'!$B$2:$B$1000,0)),"Missing from latest raw")))</x:f>
      </x:c>
      <x:c r="E340" s="170" t="str">
        <x:f>IF(B340="","",IF(D340="completed","Completed in CSSP",IF(D340="executing","Active - Executing",IF(D340="processing","Ready to Assign",IF(D340="Missing from latest raw","Check Source","Not Managed - "&amp;D340)))))</x:f>
      </x:c>
      <x:c r="F340" s="170" t="str">
        <x:f>IF(B340="","",IFERROR(INDEX('Task Master'!$K$5:$K$804,MATCH(B340,'Task Master'!$A$5:$A$804,0)),""))</x:f>
      </x:c>
      <x:c r="G340" s="192"/>
      <x:c r="H340" s="192"/>
      <x:c r="I340" s="192"/>
      <x:c r="J340" s="192"/>
      <x:c r="K340" s="192"/>
      <x:c r="L340" s="196"/>
      <x:c r="M340" s="192"/>
      <x:c r="N340" s="192"/>
      <x:c r="O340" s="192"/>
      <x:c r="P340" s="192"/>
      <x:c r="Q340" s="170" t="str">
        <x:f>IF(OR(A340="",B340=""),"",IF(A340=LOOKUP(2,1/($B$5:$B$704=B340),$A$5:$A$704),"Yes","No"))</x:f>
      </x:c>
    </x:row>
    <x:row r="341">
      <x:c r="A341" s="194"/>
      <x:c r="B341" s="192"/>
      <x:c r="C341" s="170" t="str">
        <x:f>IF(B341="","",IF(COUNTIF('Raw Decommissioning'!$B$2:$B$1000,B341)&gt;0,"Decommissioning",IF(COUNTIF('Raw Provisioning'!$B$2:$B$1000,B341)&gt;0,"Provisioning","Not in latest raw")))</x:f>
      </x:c>
      <x:c r="D341" s="170" t="str">
        <x:f>IF(B341="","",IFERROR(INDEX('Raw Decommissioning'!$E$2:$E$1000,MATCH(B341,'Raw Decommissioning'!$B$2:$B$1000,0)),IFERROR(INDEX('Raw Provisioning'!$E$2:$E$1000,MATCH(B341,'Raw Provisioning'!$B$2:$B$1000,0)),"Missing from latest raw")))</x:f>
      </x:c>
      <x:c r="E341" s="170" t="str">
        <x:f>IF(B341="","",IF(D341="completed","Completed in CSSP",IF(D341="executing","Active - Executing",IF(D341="processing","Ready to Assign",IF(D341="Missing from latest raw","Check Source","Not Managed - "&amp;D341)))))</x:f>
      </x:c>
      <x:c r="F341" s="170" t="str">
        <x:f>IF(B341="","",IFERROR(INDEX('Task Master'!$K$5:$K$804,MATCH(B341,'Task Master'!$A$5:$A$804,0)),""))</x:f>
      </x:c>
      <x:c r="G341" s="192"/>
      <x:c r="H341" s="192"/>
      <x:c r="I341" s="192"/>
      <x:c r="J341" s="192"/>
      <x:c r="K341" s="192"/>
      <x:c r="L341" s="196"/>
      <x:c r="M341" s="192"/>
      <x:c r="N341" s="192"/>
      <x:c r="O341" s="192"/>
      <x:c r="P341" s="192"/>
      <x:c r="Q341" s="170" t="str">
        <x:f>IF(OR(A341="",B341=""),"",IF(A341=LOOKUP(2,1/($B$5:$B$704=B341),$A$5:$A$704),"Yes","No"))</x:f>
      </x:c>
    </x:row>
    <x:row r="342">
      <x:c r="A342" s="194"/>
      <x:c r="B342" s="192"/>
      <x:c r="C342" s="170" t="str">
        <x:f>IF(B342="","",IF(COUNTIF('Raw Decommissioning'!$B$2:$B$1000,B342)&gt;0,"Decommissioning",IF(COUNTIF('Raw Provisioning'!$B$2:$B$1000,B342)&gt;0,"Provisioning","Not in latest raw")))</x:f>
      </x:c>
      <x:c r="D342" s="170" t="str">
        <x:f>IF(B342="","",IFERROR(INDEX('Raw Decommissioning'!$E$2:$E$1000,MATCH(B342,'Raw Decommissioning'!$B$2:$B$1000,0)),IFERROR(INDEX('Raw Provisioning'!$E$2:$E$1000,MATCH(B342,'Raw Provisioning'!$B$2:$B$1000,0)),"Missing from latest raw")))</x:f>
      </x:c>
      <x:c r="E342" s="170" t="str">
        <x:f>IF(B342="","",IF(D342="completed","Completed in CSSP",IF(D342="executing","Active - Executing",IF(D342="processing","Ready to Assign",IF(D342="Missing from latest raw","Check Source","Not Managed - "&amp;D342)))))</x:f>
      </x:c>
      <x:c r="F342" s="170" t="str">
        <x:f>IF(B342="","",IFERROR(INDEX('Task Master'!$K$5:$K$804,MATCH(B342,'Task Master'!$A$5:$A$804,0)),""))</x:f>
      </x:c>
      <x:c r="G342" s="192"/>
      <x:c r="H342" s="192"/>
      <x:c r="I342" s="192"/>
      <x:c r="J342" s="192"/>
      <x:c r="K342" s="192"/>
      <x:c r="L342" s="196"/>
      <x:c r="M342" s="192"/>
      <x:c r="N342" s="192"/>
      <x:c r="O342" s="192"/>
      <x:c r="P342" s="192"/>
      <x:c r="Q342" s="170" t="str">
        <x:f>IF(OR(A342="",B342=""),"",IF(A342=LOOKUP(2,1/($B$5:$B$704=B342),$A$5:$A$704),"Yes","No"))</x:f>
      </x:c>
    </x:row>
    <x:row r="343">
      <x:c r="A343" s="194"/>
      <x:c r="B343" s="192"/>
      <x:c r="C343" s="170" t="str">
        <x:f>IF(B343="","",IF(COUNTIF('Raw Decommissioning'!$B$2:$B$1000,B343)&gt;0,"Decommissioning",IF(COUNTIF('Raw Provisioning'!$B$2:$B$1000,B343)&gt;0,"Provisioning","Not in latest raw")))</x:f>
      </x:c>
      <x:c r="D343" s="170" t="str">
        <x:f>IF(B343="","",IFERROR(INDEX('Raw Decommissioning'!$E$2:$E$1000,MATCH(B343,'Raw Decommissioning'!$B$2:$B$1000,0)),IFERROR(INDEX('Raw Provisioning'!$E$2:$E$1000,MATCH(B343,'Raw Provisioning'!$B$2:$B$1000,0)),"Missing from latest raw")))</x:f>
      </x:c>
      <x:c r="E343" s="170" t="str">
        <x:f>IF(B343="","",IF(D343="completed","Completed in CSSP",IF(D343="executing","Active - Executing",IF(D343="processing","Ready to Assign",IF(D343="Missing from latest raw","Check Source","Not Managed - "&amp;D343)))))</x:f>
      </x:c>
      <x:c r="F343" s="170" t="str">
        <x:f>IF(B343="","",IFERROR(INDEX('Task Master'!$K$5:$K$804,MATCH(B343,'Task Master'!$A$5:$A$804,0)),""))</x:f>
      </x:c>
      <x:c r="G343" s="192"/>
      <x:c r="H343" s="192"/>
      <x:c r="I343" s="192"/>
      <x:c r="J343" s="192"/>
      <x:c r="K343" s="192"/>
      <x:c r="L343" s="196"/>
      <x:c r="M343" s="192"/>
      <x:c r="N343" s="192"/>
      <x:c r="O343" s="192"/>
      <x:c r="P343" s="192"/>
      <x:c r="Q343" s="170" t="str">
        <x:f>IF(OR(A343="",B343=""),"",IF(A343=LOOKUP(2,1/($B$5:$B$704=B343),$A$5:$A$704),"Yes","No"))</x:f>
      </x:c>
    </x:row>
    <x:row r="344">
      <x:c r="A344" s="194"/>
      <x:c r="B344" s="192"/>
      <x:c r="C344" s="170" t="str">
        <x:f>IF(B344="","",IF(COUNTIF('Raw Decommissioning'!$B$2:$B$1000,B344)&gt;0,"Decommissioning",IF(COUNTIF('Raw Provisioning'!$B$2:$B$1000,B344)&gt;0,"Provisioning","Not in latest raw")))</x:f>
      </x:c>
      <x:c r="D344" s="170" t="str">
        <x:f>IF(B344="","",IFERROR(INDEX('Raw Decommissioning'!$E$2:$E$1000,MATCH(B344,'Raw Decommissioning'!$B$2:$B$1000,0)),IFERROR(INDEX('Raw Provisioning'!$E$2:$E$1000,MATCH(B344,'Raw Provisioning'!$B$2:$B$1000,0)),"Missing from latest raw")))</x:f>
      </x:c>
      <x:c r="E344" s="170" t="str">
        <x:f>IF(B344="","",IF(D344="completed","Completed in CSSP",IF(D344="executing","Active - Executing",IF(D344="processing","Ready to Assign",IF(D344="Missing from latest raw","Check Source","Not Managed - "&amp;D344)))))</x:f>
      </x:c>
      <x:c r="F344" s="170" t="str">
        <x:f>IF(B344="","",IFERROR(INDEX('Task Master'!$K$5:$K$804,MATCH(B344,'Task Master'!$A$5:$A$804,0)),""))</x:f>
      </x:c>
      <x:c r="G344" s="192"/>
      <x:c r="H344" s="192"/>
      <x:c r="I344" s="192"/>
      <x:c r="J344" s="192"/>
      <x:c r="K344" s="192"/>
      <x:c r="L344" s="196"/>
      <x:c r="M344" s="192"/>
      <x:c r="N344" s="192"/>
      <x:c r="O344" s="192"/>
      <x:c r="P344" s="192"/>
      <x:c r="Q344" s="170" t="str">
        <x:f>IF(OR(A344="",B344=""),"",IF(A344=LOOKUP(2,1/($B$5:$B$704=B344),$A$5:$A$704),"Yes","No"))</x:f>
      </x:c>
    </x:row>
    <x:row r="345">
      <x:c r="A345" s="194"/>
      <x:c r="B345" s="192"/>
      <x:c r="C345" s="170" t="str">
        <x:f>IF(B345="","",IF(COUNTIF('Raw Decommissioning'!$B$2:$B$1000,B345)&gt;0,"Decommissioning",IF(COUNTIF('Raw Provisioning'!$B$2:$B$1000,B345)&gt;0,"Provisioning","Not in latest raw")))</x:f>
      </x:c>
      <x:c r="D345" s="170" t="str">
        <x:f>IF(B345="","",IFERROR(INDEX('Raw Decommissioning'!$E$2:$E$1000,MATCH(B345,'Raw Decommissioning'!$B$2:$B$1000,0)),IFERROR(INDEX('Raw Provisioning'!$E$2:$E$1000,MATCH(B345,'Raw Provisioning'!$B$2:$B$1000,0)),"Missing from latest raw")))</x:f>
      </x:c>
      <x:c r="E345" s="170" t="str">
        <x:f>IF(B345="","",IF(D345="completed","Completed in CSSP",IF(D345="executing","Active - Executing",IF(D345="processing","Ready to Assign",IF(D345="Missing from latest raw","Check Source","Not Managed - "&amp;D345)))))</x:f>
      </x:c>
      <x:c r="F345" s="170" t="str">
        <x:f>IF(B345="","",IFERROR(INDEX('Task Master'!$K$5:$K$804,MATCH(B345,'Task Master'!$A$5:$A$804,0)),""))</x:f>
      </x:c>
      <x:c r="G345" s="192"/>
      <x:c r="H345" s="192"/>
      <x:c r="I345" s="192"/>
      <x:c r="J345" s="192"/>
      <x:c r="K345" s="192"/>
      <x:c r="L345" s="196"/>
      <x:c r="M345" s="192"/>
      <x:c r="N345" s="192"/>
      <x:c r="O345" s="192"/>
      <x:c r="P345" s="192"/>
      <x:c r="Q345" s="170" t="str">
        <x:f>IF(OR(A345="",B345=""),"",IF(A345=LOOKUP(2,1/($B$5:$B$704=B345),$A$5:$A$704),"Yes","No"))</x:f>
      </x:c>
    </x:row>
    <x:row r="346">
      <x:c r="A346" s="194"/>
      <x:c r="B346" s="192"/>
      <x:c r="C346" s="170" t="str">
        <x:f>IF(B346="","",IF(COUNTIF('Raw Decommissioning'!$B$2:$B$1000,B346)&gt;0,"Decommissioning",IF(COUNTIF('Raw Provisioning'!$B$2:$B$1000,B346)&gt;0,"Provisioning","Not in latest raw")))</x:f>
      </x:c>
      <x:c r="D346" s="170" t="str">
        <x:f>IF(B346="","",IFERROR(INDEX('Raw Decommissioning'!$E$2:$E$1000,MATCH(B346,'Raw Decommissioning'!$B$2:$B$1000,0)),IFERROR(INDEX('Raw Provisioning'!$E$2:$E$1000,MATCH(B346,'Raw Provisioning'!$B$2:$B$1000,0)),"Missing from latest raw")))</x:f>
      </x:c>
      <x:c r="E346" s="170" t="str">
        <x:f>IF(B346="","",IF(D346="completed","Completed in CSSP",IF(D346="executing","Active - Executing",IF(D346="processing","Ready to Assign",IF(D346="Missing from latest raw","Check Source","Not Managed - "&amp;D346)))))</x:f>
      </x:c>
      <x:c r="F346" s="170" t="str">
        <x:f>IF(B346="","",IFERROR(INDEX('Task Master'!$K$5:$K$804,MATCH(B346,'Task Master'!$A$5:$A$804,0)),""))</x:f>
      </x:c>
      <x:c r="G346" s="192"/>
      <x:c r="H346" s="192"/>
      <x:c r="I346" s="192"/>
      <x:c r="J346" s="192"/>
      <x:c r="K346" s="192"/>
      <x:c r="L346" s="196"/>
      <x:c r="M346" s="192"/>
      <x:c r="N346" s="192"/>
      <x:c r="O346" s="192"/>
      <x:c r="P346" s="192"/>
      <x:c r="Q346" s="170" t="str">
        <x:f>IF(OR(A346="",B346=""),"",IF(A346=LOOKUP(2,1/($B$5:$B$704=B346),$A$5:$A$704),"Yes","No"))</x:f>
      </x:c>
    </x:row>
    <x:row r="347">
      <x:c r="A347" s="194"/>
      <x:c r="B347" s="192"/>
      <x:c r="C347" s="170" t="str">
        <x:f>IF(B347="","",IF(COUNTIF('Raw Decommissioning'!$B$2:$B$1000,B347)&gt;0,"Decommissioning",IF(COUNTIF('Raw Provisioning'!$B$2:$B$1000,B347)&gt;0,"Provisioning","Not in latest raw")))</x:f>
      </x:c>
      <x:c r="D347" s="170" t="str">
        <x:f>IF(B347="","",IFERROR(INDEX('Raw Decommissioning'!$E$2:$E$1000,MATCH(B347,'Raw Decommissioning'!$B$2:$B$1000,0)),IFERROR(INDEX('Raw Provisioning'!$E$2:$E$1000,MATCH(B347,'Raw Provisioning'!$B$2:$B$1000,0)),"Missing from latest raw")))</x:f>
      </x:c>
      <x:c r="E347" s="170" t="str">
        <x:f>IF(B347="","",IF(D347="completed","Completed in CSSP",IF(D347="executing","Active - Executing",IF(D347="processing","Ready to Assign",IF(D347="Missing from latest raw","Check Source","Not Managed - "&amp;D347)))))</x:f>
      </x:c>
      <x:c r="F347" s="170" t="str">
        <x:f>IF(B347="","",IFERROR(INDEX('Task Master'!$K$5:$K$804,MATCH(B347,'Task Master'!$A$5:$A$804,0)),""))</x:f>
      </x:c>
      <x:c r="G347" s="192"/>
      <x:c r="H347" s="192"/>
      <x:c r="I347" s="192"/>
      <x:c r="J347" s="192"/>
      <x:c r="K347" s="192"/>
      <x:c r="L347" s="196"/>
      <x:c r="M347" s="192"/>
      <x:c r="N347" s="192"/>
      <x:c r="O347" s="192"/>
      <x:c r="P347" s="192"/>
      <x:c r="Q347" s="170" t="str">
        <x:f>IF(OR(A347="",B347=""),"",IF(A347=LOOKUP(2,1/($B$5:$B$704=B347),$A$5:$A$704),"Yes","No"))</x:f>
      </x:c>
    </x:row>
    <x:row r="348">
      <x:c r="A348" s="194"/>
      <x:c r="B348" s="192"/>
      <x:c r="C348" s="170" t="str">
        <x:f>IF(B348="","",IF(COUNTIF('Raw Decommissioning'!$B$2:$B$1000,B348)&gt;0,"Decommissioning",IF(COUNTIF('Raw Provisioning'!$B$2:$B$1000,B348)&gt;0,"Provisioning","Not in latest raw")))</x:f>
      </x:c>
      <x:c r="D348" s="170" t="str">
        <x:f>IF(B348="","",IFERROR(INDEX('Raw Decommissioning'!$E$2:$E$1000,MATCH(B348,'Raw Decommissioning'!$B$2:$B$1000,0)),IFERROR(INDEX('Raw Provisioning'!$E$2:$E$1000,MATCH(B348,'Raw Provisioning'!$B$2:$B$1000,0)),"Missing from latest raw")))</x:f>
      </x:c>
      <x:c r="E348" s="170" t="str">
        <x:f>IF(B348="","",IF(D348="completed","Completed in CSSP",IF(D348="executing","Active - Executing",IF(D348="processing","Ready to Assign",IF(D348="Missing from latest raw","Check Source","Not Managed - "&amp;D348)))))</x:f>
      </x:c>
      <x:c r="F348" s="170" t="str">
        <x:f>IF(B348="","",IFERROR(INDEX('Task Master'!$K$5:$K$804,MATCH(B348,'Task Master'!$A$5:$A$804,0)),""))</x:f>
      </x:c>
      <x:c r="G348" s="192"/>
      <x:c r="H348" s="192"/>
      <x:c r="I348" s="192"/>
      <x:c r="J348" s="192"/>
      <x:c r="K348" s="192"/>
      <x:c r="L348" s="196"/>
      <x:c r="M348" s="192"/>
      <x:c r="N348" s="192"/>
      <x:c r="O348" s="192"/>
      <x:c r="P348" s="192"/>
      <x:c r="Q348" s="170" t="str">
        <x:f>IF(OR(A348="",B348=""),"",IF(A348=LOOKUP(2,1/($B$5:$B$704=B348),$A$5:$A$704),"Yes","No"))</x:f>
      </x:c>
    </x:row>
    <x:row r="349">
      <x:c r="A349" s="194"/>
      <x:c r="B349" s="192"/>
      <x:c r="C349" s="170" t="str">
        <x:f>IF(B349="","",IF(COUNTIF('Raw Decommissioning'!$B$2:$B$1000,B349)&gt;0,"Decommissioning",IF(COUNTIF('Raw Provisioning'!$B$2:$B$1000,B349)&gt;0,"Provisioning","Not in latest raw")))</x:f>
      </x:c>
      <x:c r="D349" s="170" t="str">
        <x:f>IF(B349="","",IFERROR(INDEX('Raw Decommissioning'!$E$2:$E$1000,MATCH(B349,'Raw Decommissioning'!$B$2:$B$1000,0)),IFERROR(INDEX('Raw Provisioning'!$E$2:$E$1000,MATCH(B349,'Raw Provisioning'!$B$2:$B$1000,0)),"Missing from latest raw")))</x:f>
      </x:c>
      <x:c r="E349" s="170" t="str">
        <x:f>IF(B349="","",IF(D349="completed","Completed in CSSP",IF(D349="executing","Active - Executing",IF(D349="processing","Ready to Assign",IF(D349="Missing from latest raw","Check Source","Not Managed - "&amp;D349)))))</x:f>
      </x:c>
      <x:c r="F349" s="170" t="str">
        <x:f>IF(B349="","",IFERROR(INDEX('Task Master'!$K$5:$K$804,MATCH(B349,'Task Master'!$A$5:$A$804,0)),""))</x:f>
      </x:c>
      <x:c r="G349" s="192"/>
      <x:c r="H349" s="192"/>
      <x:c r="I349" s="192"/>
      <x:c r="J349" s="192"/>
      <x:c r="K349" s="192"/>
      <x:c r="L349" s="196"/>
      <x:c r="M349" s="192"/>
      <x:c r="N349" s="192"/>
      <x:c r="O349" s="192"/>
      <x:c r="P349" s="192"/>
      <x:c r="Q349" s="170" t="str">
        <x:f>IF(OR(A349="",B349=""),"",IF(A349=LOOKUP(2,1/($B$5:$B$704=B349),$A$5:$A$704),"Yes","No"))</x:f>
      </x:c>
    </x:row>
    <x:row r="350">
      <x:c r="A350" s="194"/>
      <x:c r="B350" s="192"/>
      <x:c r="C350" s="170" t="str">
        <x:f>IF(B350="","",IF(COUNTIF('Raw Decommissioning'!$B$2:$B$1000,B350)&gt;0,"Decommissioning",IF(COUNTIF('Raw Provisioning'!$B$2:$B$1000,B350)&gt;0,"Provisioning","Not in latest raw")))</x:f>
      </x:c>
      <x:c r="D350" s="170" t="str">
        <x:f>IF(B350="","",IFERROR(INDEX('Raw Decommissioning'!$E$2:$E$1000,MATCH(B350,'Raw Decommissioning'!$B$2:$B$1000,0)),IFERROR(INDEX('Raw Provisioning'!$E$2:$E$1000,MATCH(B350,'Raw Provisioning'!$B$2:$B$1000,0)),"Missing from latest raw")))</x:f>
      </x:c>
      <x:c r="E350" s="170" t="str">
        <x:f>IF(B350="","",IF(D350="completed","Completed in CSSP",IF(D350="executing","Active - Executing",IF(D350="processing","Ready to Assign",IF(D350="Missing from latest raw","Check Source","Not Managed - "&amp;D350)))))</x:f>
      </x:c>
      <x:c r="F350" s="170" t="str">
        <x:f>IF(B350="","",IFERROR(INDEX('Task Master'!$K$5:$K$804,MATCH(B350,'Task Master'!$A$5:$A$804,0)),""))</x:f>
      </x:c>
      <x:c r="G350" s="192"/>
      <x:c r="H350" s="192"/>
      <x:c r="I350" s="192"/>
      <x:c r="J350" s="192"/>
      <x:c r="K350" s="192"/>
      <x:c r="L350" s="196"/>
      <x:c r="M350" s="192"/>
      <x:c r="N350" s="192"/>
      <x:c r="O350" s="192"/>
      <x:c r="P350" s="192"/>
      <x:c r="Q350" s="170" t="str">
        <x:f>IF(OR(A350="",B350=""),"",IF(A350=LOOKUP(2,1/($B$5:$B$704=B350),$A$5:$A$704),"Yes","No"))</x:f>
      </x:c>
    </x:row>
    <x:row r="351">
      <x:c r="A351" s="194"/>
      <x:c r="B351" s="192"/>
      <x:c r="C351" s="170" t="str">
        <x:f>IF(B351="","",IF(COUNTIF('Raw Decommissioning'!$B$2:$B$1000,B351)&gt;0,"Decommissioning",IF(COUNTIF('Raw Provisioning'!$B$2:$B$1000,B351)&gt;0,"Provisioning","Not in latest raw")))</x:f>
      </x:c>
      <x:c r="D351" s="170" t="str">
        <x:f>IF(B351="","",IFERROR(INDEX('Raw Decommissioning'!$E$2:$E$1000,MATCH(B351,'Raw Decommissioning'!$B$2:$B$1000,0)),IFERROR(INDEX('Raw Provisioning'!$E$2:$E$1000,MATCH(B351,'Raw Provisioning'!$B$2:$B$1000,0)),"Missing from latest raw")))</x:f>
      </x:c>
      <x:c r="E351" s="170" t="str">
        <x:f>IF(B351="","",IF(D351="completed","Completed in CSSP",IF(D351="executing","Active - Executing",IF(D351="processing","Ready to Assign",IF(D351="Missing from latest raw","Check Source","Not Managed - "&amp;D351)))))</x:f>
      </x:c>
      <x:c r="F351" s="170" t="str">
        <x:f>IF(B351="","",IFERROR(INDEX('Task Master'!$K$5:$K$804,MATCH(B351,'Task Master'!$A$5:$A$804,0)),""))</x:f>
      </x:c>
      <x:c r="G351" s="192"/>
      <x:c r="H351" s="192"/>
      <x:c r="I351" s="192"/>
      <x:c r="J351" s="192"/>
      <x:c r="K351" s="192"/>
      <x:c r="L351" s="196"/>
      <x:c r="M351" s="192"/>
      <x:c r="N351" s="192"/>
      <x:c r="O351" s="192"/>
      <x:c r="P351" s="192"/>
      <x:c r="Q351" s="170" t="str">
        <x:f>IF(OR(A351="",B351=""),"",IF(A351=LOOKUP(2,1/($B$5:$B$704=B351),$A$5:$A$704),"Yes","No"))</x:f>
      </x:c>
    </x:row>
    <x:row r="352">
      <x:c r="A352" s="194"/>
      <x:c r="B352" s="192"/>
      <x:c r="C352" s="170" t="str">
        <x:f>IF(B352="","",IF(COUNTIF('Raw Decommissioning'!$B$2:$B$1000,B352)&gt;0,"Decommissioning",IF(COUNTIF('Raw Provisioning'!$B$2:$B$1000,B352)&gt;0,"Provisioning","Not in latest raw")))</x:f>
      </x:c>
      <x:c r="D352" s="170" t="str">
        <x:f>IF(B352="","",IFERROR(INDEX('Raw Decommissioning'!$E$2:$E$1000,MATCH(B352,'Raw Decommissioning'!$B$2:$B$1000,0)),IFERROR(INDEX('Raw Provisioning'!$E$2:$E$1000,MATCH(B352,'Raw Provisioning'!$B$2:$B$1000,0)),"Missing from latest raw")))</x:f>
      </x:c>
      <x:c r="E352" s="170" t="str">
        <x:f>IF(B352="","",IF(D352="completed","Completed in CSSP",IF(D352="executing","Active - Executing",IF(D352="processing","Ready to Assign",IF(D352="Missing from latest raw","Check Source","Not Managed - "&amp;D352)))))</x:f>
      </x:c>
      <x:c r="F352" s="170" t="str">
        <x:f>IF(B352="","",IFERROR(INDEX('Task Master'!$K$5:$K$804,MATCH(B352,'Task Master'!$A$5:$A$804,0)),""))</x:f>
      </x:c>
      <x:c r="G352" s="192"/>
      <x:c r="H352" s="192"/>
      <x:c r="I352" s="192"/>
      <x:c r="J352" s="192"/>
      <x:c r="K352" s="192"/>
      <x:c r="L352" s="196"/>
      <x:c r="M352" s="192"/>
      <x:c r="N352" s="192"/>
      <x:c r="O352" s="192"/>
      <x:c r="P352" s="192"/>
      <x:c r="Q352" s="170" t="str">
        <x:f>IF(OR(A352="",B352=""),"",IF(A352=LOOKUP(2,1/($B$5:$B$704=B352),$A$5:$A$704),"Yes","No"))</x:f>
      </x:c>
    </x:row>
    <x:row r="353">
      <x:c r="A353" s="194"/>
      <x:c r="B353" s="192"/>
      <x:c r="C353" s="170" t="str">
        <x:f>IF(B353="","",IF(COUNTIF('Raw Decommissioning'!$B$2:$B$1000,B353)&gt;0,"Decommissioning",IF(COUNTIF('Raw Provisioning'!$B$2:$B$1000,B353)&gt;0,"Provisioning","Not in latest raw")))</x:f>
      </x:c>
      <x:c r="D353" s="170" t="str">
        <x:f>IF(B353="","",IFERROR(INDEX('Raw Decommissioning'!$E$2:$E$1000,MATCH(B353,'Raw Decommissioning'!$B$2:$B$1000,0)),IFERROR(INDEX('Raw Provisioning'!$E$2:$E$1000,MATCH(B353,'Raw Provisioning'!$B$2:$B$1000,0)),"Missing from latest raw")))</x:f>
      </x:c>
      <x:c r="E353" s="170" t="str">
        <x:f>IF(B353="","",IF(D353="completed","Completed in CSSP",IF(D353="executing","Active - Executing",IF(D353="processing","Ready to Assign",IF(D353="Missing from latest raw","Check Source","Not Managed - "&amp;D353)))))</x:f>
      </x:c>
      <x:c r="F353" s="170" t="str">
        <x:f>IF(B353="","",IFERROR(INDEX('Task Master'!$K$5:$K$804,MATCH(B353,'Task Master'!$A$5:$A$804,0)),""))</x:f>
      </x:c>
      <x:c r="G353" s="192"/>
      <x:c r="H353" s="192"/>
      <x:c r="I353" s="192"/>
      <x:c r="J353" s="192"/>
      <x:c r="K353" s="192"/>
      <x:c r="L353" s="196"/>
      <x:c r="M353" s="192"/>
      <x:c r="N353" s="192"/>
      <x:c r="O353" s="192"/>
      <x:c r="P353" s="192"/>
      <x:c r="Q353" s="170" t="str">
        <x:f>IF(OR(A353="",B353=""),"",IF(A353=LOOKUP(2,1/($B$5:$B$704=B353),$A$5:$A$704),"Yes","No"))</x:f>
      </x:c>
    </x:row>
    <x:row r="354">
      <x:c r="A354" s="194"/>
      <x:c r="B354" s="192"/>
      <x:c r="C354" s="170" t="str">
        <x:f>IF(B354="","",IF(COUNTIF('Raw Decommissioning'!$B$2:$B$1000,B354)&gt;0,"Decommissioning",IF(COUNTIF('Raw Provisioning'!$B$2:$B$1000,B354)&gt;0,"Provisioning","Not in latest raw")))</x:f>
      </x:c>
      <x:c r="D354" s="170" t="str">
        <x:f>IF(B354="","",IFERROR(INDEX('Raw Decommissioning'!$E$2:$E$1000,MATCH(B354,'Raw Decommissioning'!$B$2:$B$1000,0)),IFERROR(INDEX('Raw Provisioning'!$E$2:$E$1000,MATCH(B354,'Raw Provisioning'!$B$2:$B$1000,0)),"Missing from latest raw")))</x:f>
      </x:c>
      <x:c r="E354" s="170" t="str">
        <x:f>IF(B354="","",IF(D354="completed","Completed in CSSP",IF(D354="executing","Active - Executing",IF(D354="processing","Ready to Assign",IF(D354="Missing from latest raw","Check Source","Not Managed - "&amp;D354)))))</x:f>
      </x:c>
      <x:c r="F354" s="170" t="str">
        <x:f>IF(B354="","",IFERROR(INDEX('Task Master'!$K$5:$K$804,MATCH(B354,'Task Master'!$A$5:$A$804,0)),""))</x:f>
      </x:c>
      <x:c r="G354" s="192"/>
      <x:c r="H354" s="192"/>
      <x:c r="I354" s="192"/>
      <x:c r="J354" s="192"/>
      <x:c r="K354" s="192"/>
      <x:c r="L354" s="196"/>
      <x:c r="M354" s="192"/>
      <x:c r="N354" s="192"/>
      <x:c r="O354" s="192"/>
      <x:c r="P354" s="192"/>
      <x:c r="Q354" s="170" t="str">
        <x:f>IF(OR(A354="",B354=""),"",IF(A354=LOOKUP(2,1/($B$5:$B$704=B354),$A$5:$A$704),"Yes","No"))</x:f>
      </x:c>
    </x:row>
    <x:row r="355">
      <x:c r="A355" s="194"/>
      <x:c r="B355" s="192"/>
      <x:c r="C355" s="170" t="str">
        <x:f>IF(B355="","",IF(COUNTIF('Raw Decommissioning'!$B$2:$B$1000,B355)&gt;0,"Decommissioning",IF(COUNTIF('Raw Provisioning'!$B$2:$B$1000,B355)&gt;0,"Provisioning","Not in latest raw")))</x:f>
      </x:c>
      <x:c r="D355" s="170" t="str">
        <x:f>IF(B355="","",IFERROR(INDEX('Raw Decommissioning'!$E$2:$E$1000,MATCH(B355,'Raw Decommissioning'!$B$2:$B$1000,0)),IFERROR(INDEX('Raw Provisioning'!$E$2:$E$1000,MATCH(B355,'Raw Provisioning'!$B$2:$B$1000,0)),"Missing from latest raw")))</x:f>
      </x:c>
      <x:c r="E355" s="170" t="str">
        <x:f>IF(B355="","",IF(D355="completed","Completed in CSSP",IF(D355="executing","Active - Executing",IF(D355="processing","Ready to Assign",IF(D355="Missing from latest raw","Check Source","Not Managed - "&amp;D355)))))</x:f>
      </x:c>
      <x:c r="F355" s="170" t="str">
        <x:f>IF(B355="","",IFERROR(INDEX('Task Master'!$K$5:$K$804,MATCH(B355,'Task Master'!$A$5:$A$804,0)),""))</x:f>
      </x:c>
      <x:c r="G355" s="192"/>
      <x:c r="H355" s="192"/>
      <x:c r="I355" s="192"/>
      <x:c r="J355" s="192"/>
      <x:c r="K355" s="192"/>
      <x:c r="L355" s="196"/>
      <x:c r="M355" s="192"/>
      <x:c r="N355" s="192"/>
      <x:c r="O355" s="192"/>
      <x:c r="P355" s="192"/>
      <x:c r="Q355" s="170" t="str">
        <x:f>IF(OR(A355="",B355=""),"",IF(A355=LOOKUP(2,1/($B$5:$B$704=B355),$A$5:$A$704),"Yes","No"))</x:f>
      </x:c>
    </x:row>
    <x:row r="356">
      <x:c r="A356" s="194"/>
      <x:c r="B356" s="192"/>
      <x:c r="C356" s="170" t="str">
        <x:f>IF(B356="","",IF(COUNTIF('Raw Decommissioning'!$B$2:$B$1000,B356)&gt;0,"Decommissioning",IF(COUNTIF('Raw Provisioning'!$B$2:$B$1000,B356)&gt;0,"Provisioning","Not in latest raw")))</x:f>
      </x:c>
      <x:c r="D356" s="170" t="str">
        <x:f>IF(B356="","",IFERROR(INDEX('Raw Decommissioning'!$E$2:$E$1000,MATCH(B356,'Raw Decommissioning'!$B$2:$B$1000,0)),IFERROR(INDEX('Raw Provisioning'!$E$2:$E$1000,MATCH(B356,'Raw Provisioning'!$B$2:$B$1000,0)),"Missing from latest raw")))</x:f>
      </x:c>
      <x:c r="E356" s="170" t="str">
        <x:f>IF(B356="","",IF(D356="completed","Completed in CSSP",IF(D356="executing","Active - Executing",IF(D356="processing","Ready to Assign",IF(D356="Missing from latest raw","Check Source","Not Managed - "&amp;D356)))))</x:f>
      </x:c>
      <x:c r="F356" s="170" t="str">
        <x:f>IF(B356="","",IFERROR(INDEX('Task Master'!$K$5:$K$804,MATCH(B356,'Task Master'!$A$5:$A$804,0)),""))</x:f>
      </x:c>
      <x:c r="G356" s="192"/>
      <x:c r="H356" s="192"/>
      <x:c r="I356" s="192"/>
      <x:c r="J356" s="192"/>
      <x:c r="K356" s="192"/>
      <x:c r="L356" s="196"/>
      <x:c r="M356" s="192"/>
      <x:c r="N356" s="192"/>
      <x:c r="O356" s="192"/>
      <x:c r="P356" s="192"/>
      <x:c r="Q356" s="170" t="str">
        <x:f>IF(OR(A356="",B356=""),"",IF(A356=LOOKUP(2,1/($B$5:$B$704=B356),$A$5:$A$704),"Yes","No"))</x:f>
      </x:c>
    </x:row>
    <x:row r="357">
      <x:c r="A357" s="194"/>
      <x:c r="B357" s="192"/>
      <x:c r="C357" s="170" t="str">
        <x:f>IF(B357="","",IF(COUNTIF('Raw Decommissioning'!$B$2:$B$1000,B357)&gt;0,"Decommissioning",IF(COUNTIF('Raw Provisioning'!$B$2:$B$1000,B357)&gt;0,"Provisioning","Not in latest raw")))</x:f>
      </x:c>
      <x:c r="D357" s="170" t="str">
        <x:f>IF(B357="","",IFERROR(INDEX('Raw Decommissioning'!$E$2:$E$1000,MATCH(B357,'Raw Decommissioning'!$B$2:$B$1000,0)),IFERROR(INDEX('Raw Provisioning'!$E$2:$E$1000,MATCH(B357,'Raw Provisioning'!$B$2:$B$1000,0)),"Missing from latest raw")))</x:f>
      </x:c>
      <x:c r="E357" s="170" t="str">
        <x:f>IF(B357="","",IF(D357="completed","Completed in CSSP",IF(D357="executing","Active - Executing",IF(D357="processing","Ready to Assign",IF(D357="Missing from latest raw","Check Source","Not Managed - "&amp;D357)))))</x:f>
      </x:c>
      <x:c r="F357" s="170" t="str">
        <x:f>IF(B357="","",IFERROR(INDEX('Task Master'!$K$5:$K$804,MATCH(B357,'Task Master'!$A$5:$A$804,0)),""))</x:f>
      </x:c>
      <x:c r="G357" s="192"/>
      <x:c r="H357" s="192"/>
      <x:c r="I357" s="192"/>
      <x:c r="J357" s="192"/>
      <x:c r="K357" s="192"/>
      <x:c r="L357" s="196"/>
      <x:c r="M357" s="192"/>
      <x:c r="N357" s="192"/>
      <x:c r="O357" s="192"/>
      <x:c r="P357" s="192"/>
      <x:c r="Q357" s="170" t="str">
        <x:f>IF(OR(A357="",B357=""),"",IF(A357=LOOKUP(2,1/($B$5:$B$704=B357),$A$5:$A$704),"Yes","No"))</x:f>
      </x:c>
    </x:row>
    <x:row r="358">
      <x:c r="A358" s="194"/>
      <x:c r="B358" s="192"/>
      <x:c r="C358" s="170" t="str">
        <x:f>IF(B358="","",IF(COUNTIF('Raw Decommissioning'!$B$2:$B$1000,B358)&gt;0,"Decommissioning",IF(COUNTIF('Raw Provisioning'!$B$2:$B$1000,B358)&gt;0,"Provisioning","Not in latest raw")))</x:f>
      </x:c>
      <x:c r="D358" s="170" t="str">
        <x:f>IF(B358="","",IFERROR(INDEX('Raw Decommissioning'!$E$2:$E$1000,MATCH(B358,'Raw Decommissioning'!$B$2:$B$1000,0)),IFERROR(INDEX('Raw Provisioning'!$E$2:$E$1000,MATCH(B358,'Raw Provisioning'!$B$2:$B$1000,0)),"Missing from latest raw")))</x:f>
      </x:c>
      <x:c r="E358" s="170" t="str">
        <x:f>IF(B358="","",IF(D358="completed","Completed in CSSP",IF(D358="executing","Active - Executing",IF(D358="processing","Ready to Assign",IF(D358="Missing from latest raw","Check Source","Not Managed - "&amp;D358)))))</x:f>
      </x:c>
      <x:c r="F358" s="170" t="str">
        <x:f>IF(B358="","",IFERROR(INDEX('Task Master'!$K$5:$K$804,MATCH(B358,'Task Master'!$A$5:$A$804,0)),""))</x:f>
      </x:c>
      <x:c r="G358" s="192"/>
      <x:c r="H358" s="192"/>
      <x:c r="I358" s="192"/>
      <x:c r="J358" s="192"/>
      <x:c r="K358" s="192"/>
      <x:c r="L358" s="196"/>
      <x:c r="M358" s="192"/>
      <x:c r="N358" s="192"/>
      <x:c r="O358" s="192"/>
      <x:c r="P358" s="192"/>
      <x:c r="Q358" s="170" t="str">
        <x:f>IF(OR(A358="",B358=""),"",IF(A358=LOOKUP(2,1/($B$5:$B$704=B358),$A$5:$A$704),"Yes","No"))</x:f>
      </x:c>
    </x:row>
    <x:row r="359">
      <x:c r="A359" s="194"/>
      <x:c r="B359" s="192"/>
      <x:c r="C359" s="170" t="str">
        <x:f>IF(B359="","",IF(COUNTIF('Raw Decommissioning'!$B$2:$B$1000,B359)&gt;0,"Decommissioning",IF(COUNTIF('Raw Provisioning'!$B$2:$B$1000,B359)&gt;0,"Provisioning","Not in latest raw")))</x:f>
      </x:c>
      <x:c r="D359" s="170" t="str">
        <x:f>IF(B359="","",IFERROR(INDEX('Raw Decommissioning'!$E$2:$E$1000,MATCH(B359,'Raw Decommissioning'!$B$2:$B$1000,0)),IFERROR(INDEX('Raw Provisioning'!$E$2:$E$1000,MATCH(B359,'Raw Provisioning'!$B$2:$B$1000,0)),"Missing from latest raw")))</x:f>
      </x:c>
      <x:c r="E359" s="170" t="str">
        <x:f>IF(B359="","",IF(D359="completed","Completed in CSSP",IF(D359="executing","Active - Executing",IF(D359="processing","Ready to Assign",IF(D359="Missing from latest raw","Check Source","Not Managed - "&amp;D359)))))</x:f>
      </x:c>
      <x:c r="F359" s="170" t="str">
        <x:f>IF(B359="","",IFERROR(INDEX('Task Master'!$K$5:$K$804,MATCH(B359,'Task Master'!$A$5:$A$804,0)),""))</x:f>
      </x:c>
      <x:c r="G359" s="192"/>
      <x:c r="H359" s="192"/>
      <x:c r="I359" s="192"/>
      <x:c r="J359" s="192"/>
      <x:c r="K359" s="192"/>
      <x:c r="L359" s="196"/>
      <x:c r="M359" s="192"/>
      <x:c r="N359" s="192"/>
      <x:c r="O359" s="192"/>
      <x:c r="P359" s="192"/>
      <x:c r="Q359" s="170" t="str">
        <x:f>IF(OR(A359="",B359=""),"",IF(A359=LOOKUP(2,1/($B$5:$B$704=B359),$A$5:$A$704),"Yes","No"))</x:f>
      </x:c>
    </x:row>
    <x:row r="360">
      <x:c r="A360" s="194"/>
      <x:c r="B360" s="192"/>
      <x:c r="C360" s="170" t="str">
        <x:f>IF(B360="","",IF(COUNTIF('Raw Decommissioning'!$B$2:$B$1000,B360)&gt;0,"Decommissioning",IF(COUNTIF('Raw Provisioning'!$B$2:$B$1000,B360)&gt;0,"Provisioning","Not in latest raw")))</x:f>
      </x:c>
      <x:c r="D360" s="170" t="str">
        <x:f>IF(B360="","",IFERROR(INDEX('Raw Decommissioning'!$E$2:$E$1000,MATCH(B360,'Raw Decommissioning'!$B$2:$B$1000,0)),IFERROR(INDEX('Raw Provisioning'!$E$2:$E$1000,MATCH(B360,'Raw Provisioning'!$B$2:$B$1000,0)),"Missing from latest raw")))</x:f>
      </x:c>
      <x:c r="E360" s="170" t="str">
        <x:f>IF(B360="","",IF(D360="completed","Completed in CSSP",IF(D360="executing","Active - Executing",IF(D360="processing","Ready to Assign",IF(D360="Missing from latest raw","Check Source","Not Managed - "&amp;D360)))))</x:f>
      </x:c>
      <x:c r="F360" s="170" t="str">
        <x:f>IF(B360="","",IFERROR(INDEX('Task Master'!$K$5:$K$804,MATCH(B360,'Task Master'!$A$5:$A$804,0)),""))</x:f>
      </x:c>
      <x:c r="G360" s="192"/>
      <x:c r="H360" s="192"/>
      <x:c r="I360" s="192"/>
      <x:c r="J360" s="192"/>
      <x:c r="K360" s="192"/>
      <x:c r="L360" s="196"/>
      <x:c r="M360" s="192"/>
      <x:c r="N360" s="192"/>
      <x:c r="O360" s="192"/>
      <x:c r="P360" s="192"/>
      <x:c r="Q360" s="170" t="str">
        <x:f>IF(OR(A360="",B360=""),"",IF(A360=LOOKUP(2,1/($B$5:$B$704=B360),$A$5:$A$704),"Yes","No"))</x:f>
      </x:c>
    </x:row>
    <x:row r="361">
      <x:c r="A361" s="194"/>
      <x:c r="B361" s="192"/>
      <x:c r="C361" s="170" t="str">
        <x:f>IF(B361="","",IF(COUNTIF('Raw Decommissioning'!$B$2:$B$1000,B361)&gt;0,"Decommissioning",IF(COUNTIF('Raw Provisioning'!$B$2:$B$1000,B361)&gt;0,"Provisioning","Not in latest raw")))</x:f>
      </x:c>
      <x:c r="D361" s="170" t="str">
        <x:f>IF(B361="","",IFERROR(INDEX('Raw Decommissioning'!$E$2:$E$1000,MATCH(B361,'Raw Decommissioning'!$B$2:$B$1000,0)),IFERROR(INDEX('Raw Provisioning'!$E$2:$E$1000,MATCH(B361,'Raw Provisioning'!$B$2:$B$1000,0)),"Missing from latest raw")))</x:f>
      </x:c>
      <x:c r="E361" s="170" t="str">
        <x:f>IF(B361="","",IF(D361="completed","Completed in CSSP",IF(D361="executing","Active - Executing",IF(D361="processing","Ready to Assign",IF(D361="Missing from latest raw","Check Source","Not Managed - "&amp;D361)))))</x:f>
      </x:c>
      <x:c r="F361" s="170" t="str">
        <x:f>IF(B361="","",IFERROR(INDEX('Task Master'!$K$5:$K$804,MATCH(B361,'Task Master'!$A$5:$A$804,0)),""))</x:f>
      </x:c>
      <x:c r="G361" s="192"/>
      <x:c r="H361" s="192"/>
      <x:c r="I361" s="192"/>
      <x:c r="J361" s="192"/>
      <x:c r="K361" s="192"/>
      <x:c r="L361" s="196"/>
      <x:c r="M361" s="192"/>
      <x:c r="N361" s="192"/>
      <x:c r="O361" s="192"/>
      <x:c r="P361" s="192"/>
      <x:c r="Q361" s="170" t="str">
        <x:f>IF(OR(A361="",B361=""),"",IF(A361=LOOKUP(2,1/($B$5:$B$704=B361),$A$5:$A$704),"Yes","No"))</x:f>
      </x:c>
    </x:row>
    <x:row r="362">
      <x:c r="A362" s="194"/>
      <x:c r="B362" s="192"/>
      <x:c r="C362" s="170" t="str">
        <x:f>IF(B362="","",IF(COUNTIF('Raw Decommissioning'!$B$2:$B$1000,B362)&gt;0,"Decommissioning",IF(COUNTIF('Raw Provisioning'!$B$2:$B$1000,B362)&gt;0,"Provisioning","Not in latest raw")))</x:f>
      </x:c>
      <x:c r="D362" s="170" t="str">
        <x:f>IF(B362="","",IFERROR(INDEX('Raw Decommissioning'!$E$2:$E$1000,MATCH(B362,'Raw Decommissioning'!$B$2:$B$1000,0)),IFERROR(INDEX('Raw Provisioning'!$E$2:$E$1000,MATCH(B362,'Raw Provisioning'!$B$2:$B$1000,0)),"Missing from latest raw")))</x:f>
      </x:c>
      <x:c r="E362" s="170" t="str">
        <x:f>IF(B362="","",IF(D362="completed","Completed in CSSP",IF(D362="executing","Active - Executing",IF(D362="processing","Ready to Assign",IF(D362="Missing from latest raw","Check Source","Not Managed - "&amp;D362)))))</x:f>
      </x:c>
      <x:c r="F362" s="170" t="str">
        <x:f>IF(B362="","",IFERROR(INDEX('Task Master'!$K$5:$K$804,MATCH(B362,'Task Master'!$A$5:$A$804,0)),""))</x:f>
      </x:c>
      <x:c r="G362" s="192"/>
      <x:c r="H362" s="192"/>
      <x:c r="I362" s="192"/>
      <x:c r="J362" s="192"/>
      <x:c r="K362" s="192"/>
      <x:c r="L362" s="196"/>
      <x:c r="M362" s="192"/>
      <x:c r="N362" s="192"/>
      <x:c r="O362" s="192"/>
      <x:c r="P362" s="192"/>
      <x:c r="Q362" s="170" t="str">
        <x:f>IF(OR(A362="",B362=""),"",IF(A362=LOOKUP(2,1/($B$5:$B$704=B362),$A$5:$A$704),"Yes","No"))</x:f>
      </x:c>
    </x:row>
    <x:row r="363">
      <x:c r="A363" s="194"/>
      <x:c r="B363" s="192"/>
      <x:c r="C363" s="170" t="str">
        <x:f>IF(B363="","",IF(COUNTIF('Raw Decommissioning'!$B$2:$B$1000,B363)&gt;0,"Decommissioning",IF(COUNTIF('Raw Provisioning'!$B$2:$B$1000,B363)&gt;0,"Provisioning","Not in latest raw")))</x:f>
      </x:c>
      <x:c r="D363" s="170" t="str">
        <x:f>IF(B363="","",IFERROR(INDEX('Raw Decommissioning'!$E$2:$E$1000,MATCH(B363,'Raw Decommissioning'!$B$2:$B$1000,0)),IFERROR(INDEX('Raw Provisioning'!$E$2:$E$1000,MATCH(B363,'Raw Provisioning'!$B$2:$B$1000,0)),"Missing from latest raw")))</x:f>
      </x:c>
      <x:c r="E363" s="170" t="str">
        <x:f>IF(B363="","",IF(D363="completed","Completed in CSSP",IF(D363="executing","Active - Executing",IF(D363="processing","Ready to Assign",IF(D363="Missing from latest raw","Check Source","Not Managed - "&amp;D363)))))</x:f>
      </x:c>
      <x:c r="F363" s="170" t="str">
        <x:f>IF(B363="","",IFERROR(INDEX('Task Master'!$K$5:$K$804,MATCH(B363,'Task Master'!$A$5:$A$804,0)),""))</x:f>
      </x:c>
      <x:c r="G363" s="192"/>
      <x:c r="H363" s="192"/>
      <x:c r="I363" s="192"/>
      <x:c r="J363" s="192"/>
      <x:c r="K363" s="192"/>
      <x:c r="L363" s="196"/>
      <x:c r="M363" s="192"/>
      <x:c r="N363" s="192"/>
      <x:c r="O363" s="192"/>
      <x:c r="P363" s="192"/>
      <x:c r="Q363" s="170" t="str">
        <x:f>IF(OR(A363="",B363=""),"",IF(A363=LOOKUP(2,1/($B$5:$B$704=B363),$A$5:$A$704),"Yes","No"))</x:f>
      </x:c>
    </x:row>
    <x:row r="364">
      <x:c r="A364" s="194"/>
      <x:c r="B364" s="192"/>
      <x:c r="C364" s="170" t="str">
        <x:f>IF(B364="","",IF(COUNTIF('Raw Decommissioning'!$B$2:$B$1000,B364)&gt;0,"Decommissioning",IF(COUNTIF('Raw Provisioning'!$B$2:$B$1000,B364)&gt;0,"Provisioning","Not in latest raw")))</x:f>
      </x:c>
      <x:c r="D364" s="170" t="str">
        <x:f>IF(B364="","",IFERROR(INDEX('Raw Decommissioning'!$E$2:$E$1000,MATCH(B364,'Raw Decommissioning'!$B$2:$B$1000,0)),IFERROR(INDEX('Raw Provisioning'!$E$2:$E$1000,MATCH(B364,'Raw Provisioning'!$B$2:$B$1000,0)),"Missing from latest raw")))</x:f>
      </x:c>
      <x:c r="E364" s="170" t="str">
        <x:f>IF(B364="","",IF(D364="completed","Completed in CSSP",IF(D364="executing","Active - Executing",IF(D364="processing","Ready to Assign",IF(D364="Missing from latest raw","Check Source","Not Managed - "&amp;D364)))))</x:f>
      </x:c>
      <x:c r="F364" s="170" t="str">
        <x:f>IF(B364="","",IFERROR(INDEX('Task Master'!$K$5:$K$804,MATCH(B364,'Task Master'!$A$5:$A$804,0)),""))</x:f>
      </x:c>
      <x:c r="G364" s="192"/>
      <x:c r="H364" s="192"/>
      <x:c r="I364" s="192"/>
      <x:c r="J364" s="192"/>
      <x:c r="K364" s="192"/>
      <x:c r="L364" s="196"/>
      <x:c r="M364" s="192"/>
      <x:c r="N364" s="192"/>
      <x:c r="O364" s="192"/>
      <x:c r="P364" s="192"/>
      <x:c r="Q364" s="170" t="str">
        <x:f>IF(OR(A364="",B364=""),"",IF(A364=LOOKUP(2,1/($B$5:$B$704=B364),$A$5:$A$704),"Yes","No"))</x:f>
      </x:c>
    </x:row>
    <x:row r="365">
      <x:c r="A365" s="194"/>
      <x:c r="B365" s="192"/>
      <x:c r="C365" s="170" t="str">
        <x:f>IF(B365="","",IF(COUNTIF('Raw Decommissioning'!$B$2:$B$1000,B365)&gt;0,"Decommissioning",IF(COUNTIF('Raw Provisioning'!$B$2:$B$1000,B365)&gt;0,"Provisioning","Not in latest raw")))</x:f>
      </x:c>
      <x:c r="D365" s="170" t="str">
        <x:f>IF(B365="","",IFERROR(INDEX('Raw Decommissioning'!$E$2:$E$1000,MATCH(B365,'Raw Decommissioning'!$B$2:$B$1000,0)),IFERROR(INDEX('Raw Provisioning'!$E$2:$E$1000,MATCH(B365,'Raw Provisioning'!$B$2:$B$1000,0)),"Missing from latest raw")))</x:f>
      </x:c>
      <x:c r="E365" s="170" t="str">
        <x:f>IF(B365="","",IF(D365="completed","Completed in CSSP",IF(D365="executing","Active - Executing",IF(D365="processing","Ready to Assign",IF(D365="Missing from latest raw","Check Source","Not Managed - "&amp;D365)))))</x:f>
      </x:c>
      <x:c r="F365" s="170" t="str">
        <x:f>IF(B365="","",IFERROR(INDEX('Task Master'!$K$5:$K$804,MATCH(B365,'Task Master'!$A$5:$A$804,0)),""))</x:f>
      </x:c>
      <x:c r="G365" s="192"/>
      <x:c r="H365" s="192"/>
      <x:c r="I365" s="192"/>
      <x:c r="J365" s="192"/>
      <x:c r="K365" s="192"/>
      <x:c r="L365" s="196"/>
      <x:c r="M365" s="192"/>
      <x:c r="N365" s="192"/>
      <x:c r="O365" s="192"/>
      <x:c r="P365" s="192"/>
      <x:c r="Q365" s="170" t="str">
        <x:f>IF(OR(A365="",B365=""),"",IF(A365=LOOKUP(2,1/($B$5:$B$704=B365),$A$5:$A$704),"Yes","No"))</x:f>
      </x:c>
    </x:row>
    <x:row r="366">
      <x:c r="A366" s="194"/>
      <x:c r="B366" s="192"/>
      <x:c r="C366" s="170" t="str">
        <x:f>IF(B366="","",IF(COUNTIF('Raw Decommissioning'!$B$2:$B$1000,B366)&gt;0,"Decommissioning",IF(COUNTIF('Raw Provisioning'!$B$2:$B$1000,B366)&gt;0,"Provisioning","Not in latest raw")))</x:f>
      </x:c>
      <x:c r="D366" s="170" t="str">
        <x:f>IF(B366="","",IFERROR(INDEX('Raw Decommissioning'!$E$2:$E$1000,MATCH(B366,'Raw Decommissioning'!$B$2:$B$1000,0)),IFERROR(INDEX('Raw Provisioning'!$E$2:$E$1000,MATCH(B366,'Raw Provisioning'!$B$2:$B$1000,0)),"Missing from latest raw")))</x:f>
      </x:c>
      <x:c r="E366" s="170" t="str">
        <x:f>IF(B366="","",IF(D366="completed","Completed in CSSP",IF(D366="executing","Active - Executing",IF(D366="processing","Ready to Assign",IF(D366="Missing from latest raw","Check Source","Not Managed - "&amp;D366)))))</x:f>
      </x:c>
      <x:c r="F366" s="170" t="str">
        <x:f>IF(B366="","",IFERROR(INDEX('Task Master'!$K$5:$K$804,MATCH(B366,'Task Master'!$A$5:$A$804,0)),""))</x:f>
      </x:c>
      <x:c r="G366" s="192"/>
      <x:c r="H366" s="192"/>
      <x:c r="I366" s="192"/>
      <x:c r="J366" s="192"/>
      <x:c r="K366" s="192"/>
      <x:c r="L366" s="196"/>
      <x:c r="M366" s="192"/>
      <x:c r="N366" s="192"/>
      <x:c r="O366" s="192"/>
      <x:c r="P366" s="192"/>
      <x:c r="Q366" s="170" t="str">
        <x:f>IF(OR(A366="",B366=""),"",IF(A366=LOOKUP(2,1/($B$5:$B$704=B366),$A$5:$A$704),"Yes","No"))</x:f>
      </x:c>
    </x:row>
    <x:row r="367">
      <x:c r="A367" s="194"/>
      <x:c r="B367" s="192"/>
      <x:c r="C367" s="170" t="str">
        <x:f>IF(B367="","",IF(COUNTIF('Raw Decommissioning'!$B$2:$B$1000,B367)&gt;0,"Decommissioning",IF(COUNTIF('Raw Provisioning'!$B$2:$B$1000,B367)&gt;0,"Provisioning","Not in latest raw")))</x:f>
      </x:c>
      <x:c r="D367" s="170" t="str">
        <x:f>IF(B367="","",IFERROR(INDEX('Raw Decommissioning'!$E$2:$E$1000,MATCH(B367,'Raw Decommissioning'!$B$2:$B$1000,0)),IFERROR(INDEX('Raw Provisioning'!$E$2:$E$1000,MATCH(B367,'Raw Provisioning'!$B$2:$B$1000,0)),"Missing from latest raw")))</x:f>
      </x:c>
      <x:c r="E367" s="170" t="str">
        <x:f>IF(B367="","",IF(D367="completed","Completed in CSSP",IF(D367="executing","Active - Executing",IF(D367="processing","Ready to Assign",IF(D367="Missing from latest raw","Check Source","Not Managed - "&amp;D367)))))</x:f>
      </x:c>
      <x:c r="F367" s="170" t="str">
        <x:f>IF(B367="","",IFERROR(INDEX('Task Master'!$K$5:$K$804,MATCH(B367,'Task Master'!$A$5:$A$804,0)),""))</x:f>
      </x:c>
      <x:c r="G367" s="192"/>
      <x:c r="H367" s="192"/>
      <x:c r="I367" s="192"/>
      <x:c r="J367" s="192"/>
      <x:c r="K367" s="192"/>
      <x:c r="L367" s="196"/>
      <x:c r="M367" s="192"/>
      <x:c r="N367" s="192"/>
      <x:c r="O367" s="192"/>
      <x:c r="P367" s="192"/>
      <x:c r="Q367" s="170" t="str">
        <x:f>IF(OR(A367="",B367=""),"",IF(A367=LOOKUP(2,1/($B$5:$B$704=B367),$A$5:$A$704),"Yes","No"))</x:f>
      </x:c>
    </x:row>
    <x:row r="368">
      <x:c r="A368" s="194"/>
      <x:c r="B368" s="192"/>
      <x:c r="C368" s="170" t="str">
        <x:f>IF(B368="","",IF(COUNTIF('Raw Decommissioning'!$B$2:$B$1000,B368)&gt;0,"Decommissioning",IF(COUNTIF('Raw Provisioning'!$B$2:$B$1000,B368)&gt;0,"Provisioning","Not in latest raw")))</x:f>
      </x:c>
      <x:c r="D368" s="170" t="str">
        <x:f>IF(B368="","",IFERROR(INDEX('Raw Decommissioning'!$E$2:$E$1000,MATCH(B368,'Raw Decommissioning'!$B$2:$B$1000,0)),IFERROR(INDEX('Raw Provisioning'!$E$2:$E$1000,MATCH(B368,'Raw Provisioning'!$B$2:$B$1000,0)),"Missing from latest raw")))</x:f>
      </x:c>
      <x:c r="E368" s="170" t="str">
        <x:f>IF(B368="","",IF(D368="completed","Completed in CSSP",IF(D368="executing","Active - Executing",IF(D368="processing","Ready to Assign",IF(D368="Missing from latest raw","Check Source","Not Managed - "&amp;D368)))))</x:f>
      </x:c>
      <x:c r="F368" s="170" t="str">
        <x:f>IF(B368="","",IFERROR(INDEX('Task Master'!$K$5:$K$804,MATCH(B368,'Task Master'!$A$5:$A$804,0)),""))</x:f>
      </x:c>
      <x:c r="G368" s="192"/>
      <x:c r="H368" s="192"/>
      <x:c r="I368" s="192"/>
      <x:c r="J368" s="192"/>
      <x:c r="K368" s="192"/>
      <x:c r="L368" s="196"/>
      <x:c r="M368" s="192"/>
      <x:c r="N368" s="192"/>
      <x:c r="O368" s="192"/>
      <x:c r="P368" s="192"/>
      <x:c r="Q368" s="170" t="str">
        <x:f>IF(OR(A368="",B368=""),"",IF(A368=LOOKUP(2,1/($B$5:$B$704=B368),$A$5:$A$704),"Yes","No"))</x:f>
      </x:c>
    </x:row>
    <x:row r="369">
      <x:c r="A369" s="194"/>
      <x:c r="B369" s="192"/>
      <x:c r="C369" s="170" t="str">
        <x:f>IF(B369="","",IF(COUNTIF('Raw Decommissioning'!$B$2:$B$1000,B369)&gt;0,"Decommissioning",IF(COUNTIF('Raw Provisioning'!$B$2:$B$1000,B369)&gt;0,"Provisioning","Not in latest raw")))</x:f>
      </x:c>
      <x:c r="D369" s="170" t="str">
        <x:f>IF(B369="","",IFERROR(INDEX('Raw Decommissioning'!$E$2:$E$1000,MATCH(B369,'Raw Decommissioning'!$B$2:$B$1000,0)),IFERROR(INDEX('Raw Provisioning'!$E$2:$E$1000,MATCH(B369,'Raw Provisioning'!$B$2:$B$1000,0)),"Missing from latest raw")))</x:f>
      </x:c>
      <x:c r="E369" s="170" t="str">
        <x:f>IF(B369="","",IF(D369="completed","Completed in CSSP",IF(D369="executing","Active - Executing",IF(D369="processing","Ready to Assign",IF(D369="Missing from latest raw","Check Source","Not Managed - "&amp;D369)))))</x:f>
      </x:c>
      <x:c r="F369" s="170" t="str">
        <x:f>IF(B369="","",IFERROR(INDEX('Task Master'!$K$5:$K$804,MATCH(B369,'Task Master'!$A$5:$A$804,0)),""))</x:f>
      </x:c>
      <x:c r="G369" s="192"/>
      <x:c r="H369" s="192"/>
      <x:c r="I369" s="192"/>
      <x:c r="J369" s="192"/>
      <x:c r="K369" s="192"/>
      <x:c r="L369" s="196"/>
      <x:c r="M369" s="192"/>
      <x:c r="N369" s="192"/>
      <x:c r="O369" s="192"/>
      <x:c r="P369" s="192"/>
      <x:c r="Q369" s="170" t="str">
        <x:f>IF(OR(A369="",B369=""),"",IF(A369=LOOKUP(2,1/($B$5:$B$704=B369),$A$5:$A$704),"Yes","No"))</x:f>
      </x:c>
    </x:row>
    <x:row r="370">
      <x:c r="A370" s="194"/>
      <x:c r="B370" s="192"/>
      <x:c r="C370" s="170" t="str">
        <x:f>IF(B370="","",IF(COUNTIF('Raw Decommissioning'!$B$2:$B$1000,B370)&gt;0,"Decommissioning",IF(COUNTIF('Raw Provisioning'!$B$2:$B$1000,B370)&gt;0,"Provisioning","Not in latest raw")))</x:f>
      </x:c>
      <x:c r="D370" s="170" t="str">
        <x:f>IF(B370="","",IFERROR(INDEX('Raw Decommissioning'!$E$2:$E$1000,MATCH(B370,'Raw Decommissioning'!$B$2:$B$1000,0)),IFERROR(INDEX('Raw Provisioning'!$E$2:$E$1000,MATCH(B370,'Raw Provisioning'!$B$2:$B$1000,0)),"Missing from latest raw")))</x:f>
      </x:c>
      <x:c r="E370" s="170" t="str">
        <x:f>IF(B370="","",IF(D370="completed","Completed in CSSP",IF(D370="executing","Active - Executing",IF(D370="processing","Ready to Assign",IF(D370="Missing from latest raw","Check Source","Not Managed - "&amp;D370)))))</x:f>
      </x:c>
      <x:c r="F370" s="170" t="str">
        <x:f>IF(B370="","",IFERROR(INDEX('Task Master'!$K$5:$K$804,MATCH(B370,'Task Master'!$A$5:$A$804,0)),""))</x:f>
      </x:c>
      <x:c r="G370" s="192"/>
      <x:c r="H370" s="192"/>
      <x:c r="I370" s="192"/>
      <x:c r="J370" s="192"/>
      <x:c r="K370" s="192"/>
      <x:c r="L370" s="196"/>
      <x:c r="M370" s="192"/>
      <x:c r="N370" s="192"/>
      <x:c r="O370" s="192"/>
      <x:c r="P370" s="192"/>
      <x:c r="Q370" s="170" t="str">
        <x:f>IF(OR(A370="",B370=""),"",IF(A370=LOOKUP(2,1/($B$5:$B$704=B370),$A$5:$A$704),"Yes","No"))</x:f>
      </x:c>
    </x:row>
    <x:row r="371">
      <x:c r="A371" s="194"/>
      <x:c r="B371" s="192"/>
      <x:c r="C371" s="170" t="str">
        <x:f>IF(B371="","",IF(COUNTIF('Raw Decommissioning'!$B$2:$B$1000,B371)&gt;0,"Decommissioning",IF(COUNTIF('Raw Provisioning'!$B$2:$B$1000,B371)&gt;0,"Provisioning","Not in latest raw")))</x:f>
      </x:c>
      <x:c r="D371" s="170" t="str">
        <x:f>IF(B371="","",IFERROR(INDEX('Raw Decommissioning'!$E$2:$E$1000,MATCH(B371,'Raw Decommissioning'!$B$2:$B$1000,0)),IFERROR(INDEX('Raw Provisioning'!$E$2:$E$1000,MATCH(B371,'Raw Provisioning'!$B$2:$B$1000,0)),"Missing from latest raw")))</x:f>
      </x:c>
      <x:c r="E371" s="170" t="str">
        <x:f>IF(B371="","",IF(D371="completed","Completed in CSSP",IF(D371="executing","Active - Executing",IF(D371="processing","Ready to Assign",IF(D371="Missing from latest raw","Check Source","Not Managed - "&amp;D371)))))</x:f>
      </x:c>
      <x:c r="F371" s="170" t="str">
        <x:f>IF(B371="","",IFERROR(INDEX('Task Master'!$K$5:$K$804,MATCH(B371,'Task Master'!$A$5:$A$804,0)),""))</x:f>
      </x:c>
      <x:c r="G371" s="192"/>
      <x:c r="H371" s="192"/>
      <x:c r="I371" s="192"/>
      <x:c r="J371" s="192"/>
      <x:c r="K371" s="192"/>
      <x:c r="L371" s="196"/>
      <x:c r="M371" s="192"/>
      <x:c r="N371" s="192"/>
      <x:c r="O371" s="192"/>
      <x:c r="P371" s="192"/>
      <x:c r="Q371" s="170" t="str">
        <x:f>IF(OR(A371="",B371=""),"",IF(A371=LOOKUP(2,1/($B$5:$B$704=B371),$A$5:$A$704),"Yes","No"))</x:f>
      </x:c>
    </x:row>
    <x:row r="372">
      <x:c r="A372" s="194"/>
      <x:c r="B372" s="192"/>
      <x:c r="C372" s="170" t="str">
        <x:f>IF(B372="","",IF(COUNTIF('Raw Decommissioning'!$B$2:$B$1000,B372)&gt;0,"Decommissioning",IF(COUNTIF('Raw Provisioning'!$B$2:$B$1000,B372)&gt;0,"Provisioning","Not in latest raw")))</x:f>
      </x:c>
      <x:c r="D372" s="170" t="str">
        <x:f>IF(B372="","",IFERROR(INDEX('Raw Decommissioning'!$E$2:$E$1000,MATCH(B372,'Raw Decommissioning'!$B$2:$B$1000,0)),IFERROR(INDEX('Raw Provisioning'!$E$2:$E$1000,MATCH(B372,'Raw Provisioning'!$B$2:$B$1000,0)),"Missing from latest raw")))</x:f>
      </x:c>
      <x:c r="E372" s="170" t="str">
        <x:f>IF(B372="","",IF(D372="completed","Completed in CSSP",IF(D372="executing","Active - Executing",IF(D372="processing","Ready to Assign",IF(D372="Missing from latest raw","Check Source","Not Managed - "&amp;D372)))))</x:f>
      </x:c>
      <x:c r="F372" s="170" t="str">
        <x:f>IF(B372="","",IFERROR(INDEX('Task Master'!$K$5:$K$804,MATCH(B372,'Task Master'!$A$5:$A$804,0)),""))</x:f>
      </x:c>
      <x:c r="G372" s="192"/>
      <x:c r="H372" s="192"/>
      <x:c r="I372" s="192"/>
      <x:c r="J372" s="192"/>
      <x:c r="K372" s="192"/>
      <x:c r="L372" s="196"/>
      <x:c r="M372" s="192"/>
      <x:c r="N372" s="192"/>
      <x:c r="O372" s="192"/>
      <x:c r="P372" s="192"/>
      <x:c r="Q372" s="170" t="str">
        <x:f>IF(OR(A372="",B372=""),"",IF(A372=LOOKUP(2,1/($B$5:$B$704=B372),$A$5:$A$704),"Yes","No"))</x:f>
      </x:c>
    </x:row>
    <x:row r="373">
      <x:c r="A373" s="194"/>
      <x:c r="B373" s="192"/>
      <x:c r="C373" s="170" t="str">
        <x:f>IF(B373="","",IF(COUNTIF('Raw Decommissioning'!$B$2:$B$1000,B373)&gt;0,"Decommissioning",IF(COUNTIF('Raw Provisioning'!$B$2:$B$1000,B373)&gt;0,"Provisioning","Not in latest raw")))</x:f>
      </x:c>
      <x:c r="D373" s="170" t="str">
        <x:f>IF(B373="","",IFERROR(INDEX('Raw Decommissioning'!$E$2:$E$1000,MATCH(B373,'Raw Decommissioning'!$B$2:$B$1000,0)),IFERROR(INDEX('Raw Provisioning'!$E$2:$E$1000,MATCH(B373,'Raw Provisioning'!$B$2:$B$1000,0)),"Missing from latest raw")))</x:f>
      </x:c>
      <x:c r="E373" s="170" t="str">
        <x:f>IF(B373="","",IF(D373="completed","Completed in CSSP",IF(D373="executing","Active - Executing",IF(D373="processing","Ready to Assign",IF(D373="Missing from latest raw","Check Source","Not Managed - "&amp;D373)))))</x:f>
      </x:c>
      <x:c r="F373" s="170" t="str">
        <x:f>IF(B373="","",IFERROR(INDEX('Task Master'!$K$5:$K$804,MATCH(B373,'Task Master'!$A$5:$A$804,0)),""))</x:f>
      </x:c>
      <x:c r="G373" s="192"/>
      <x:c r="H373" s="192"/>
      <x:c r="I373" s="192"/>
      <x:c r="J373" s="192"/>
      <x:c r="K373" s="192"/>
      <x:c r="L373" s="196"/>
      <x:c r="M373" s="192"/>
      <x:c r="N373" s="192"/>
      <x:c r="O373" s="192"/>
      <x:c r="P373" s="192"/>
      <x:c r="Q373" s="170" t="str">
        <x:f>IF(OR(A373="",B373=""),"",IF(A373=LOOKUP(2,1/($B$5:$B$704=B373),$A$5:$A$704),"Yes","No"))</x:f>
      </x:c>
    </x:row>
    <x:row r="374">
      <x:c r="A374" s="194"/>
      <x:c r="B374" s="192"/>
      <x:c r="C374" s="170" t="str">
        <x:f>IF(B374="","",IF(COUNTIF('Raw Decommissioning'!$B$2:$B$1000,B374)&gt;0,"Decommissioning",IF(COUNTIF('Raw Provisioning'!$B$2:$B$1000,B374)&gt;0,"Provisioning","Not in latest raw")))</x:f>
      </x:c>
      <x:c r="D374" s="170" t="str">
        <x:f>IF(B374="","",IFERROR(INDEX('Raw Decommissioning'!$E$2:$E$1000,MATCH(B374,'Raw Decommissioning'!$B$2:$B$1000,0)),IFERROR(INDEX('Raw Provisioning'!$E$2:$E$1000,MATCH(B374,'Raw Provisioning'!$B$2:$B$1000,0)),"Missing from latest raw")))</x:f>
      </x:c>
      <x:c r="E374" s="170" t="str">
        <x:f>IF(B374="","",IF(D374="completed","Completed in CSSP",IF(D374="executing","Active - Executing",IF(D374="processing","Ready to Assign",IF(D374="Missing from latest raw","Check Source","Not Managed - "&amp;D374)))))</x:f>
      </x:c>
      <x:c r="F374" s="170" t="str">
        <x:f>IF(B374="","",IFERROR(INDEX('Task Master'!$K$5:$K$804,MATCH(B374,'Task Master'!$A$5:$A$804,0)),""))</x:f>
      </x:c>
      <x:c r="G374" s="192"/>
      <x:c r="H374" s="192"/>
      <x:c r="I374" s="192"/>
      <x:c r="J374" s="192"/>
      <x:c r="K374" s="192"/>
      <x:c r="L374" s="196"/>
      <x:c r="M374" s="192"/>
      <x:c r="N374" s="192"/>
      <x:c r="O374" s="192"/>
      <x:c r="P374" s="192"/>
      <x:c r="Q374" s="170" t="str">
        <x:f>IF(OR(A374="",B374=""),"",IF(A374=LOOKUP(2,1/($B$5:$B$704=B374),$A$5:$A$704),"Yes","No"))</x:f>
      </x:c>
    </x:row>
    <x:row r="375">
      <x:c r="A375" s="194"/>
      <x:c r="B375" s="192"/>
      <x:c r="C375" s="170" t="str">
        <x:f>IF(B375="","",IF(COUNTIF('Raw Decommissioning'!$B$2:$B$1000,B375)&gt;0,"Decommissioning",IF(COUNTIF('Raw Provisioning'!$B$2:$B$1000,B375)&gt;0,"Provisioning","Not in latest raw")))</x:f>
      </x:c>
      <x:c r="D375" s="170" t="str">
        <x:f>IF(B375="","",IFERROR(INDEX('Raw Decommissioning'!$E$2:$E$1000,MATCH(B375,'Raw Decommissioning'!$B$2:$B$1000,0)),IFERROR(INDEX('Raw Provisioning'!$E$2:$E$1000,MATCH(B375,'Raw Provisioning'!$B$2:$B$1000,0)),"Missing from latest raw")))</x:f>
      </x:c>
      <x:c r="E375" s="170" t="str">
        <x:f>IF(B375="","",IF(D375="completed","Completed in CSSP",IF(D375="executing","Active - Executing",IF(D375="processing","Ready to Assign",IF(D375="Missing from latest raw","Check Source","Not Managed - "&amp;D375)))))</x:f>
      </x:c>
      <x:c r="F375" s="170" t="str">
        <x:f>IF(B375="","",IFERROR(INDEX('Task Master'!$K$5:$K$804,MATCH(B375,'Task Master'!$A$5:$A$804,0)),""))</x:f>
      </x:c>
      <x:c r="G375" s="192"/>
      <x:c r="H375" s="192"/>
      <x:c r="I375" s="192"/>
      <x:c r="J375" s="192"/>
      <x:c r="K375" s="192"/>
      <x:c r="L375" s="196"/>
      <x:c r="M375" s="192"/>
      <x:c r="N375" s="192"/>
      <x:c r="O375" s="192"/>
      <x:c r="P375" s="192"/>
      <x:c r="Q375" s="170" t="str">
        <x:f>IF(OR(A375="",B375=""),"",IF(A375=LOOKUP(2,1/($B$5:$B$704=B375),$A$5:$A$704),"Yes","No"))</x:f>
      </x:c>
    </x:row>
    <x:row r="376">
      <x:c r="A376" s="194"/>
      <x:c r="B376" s="192"/>
      <x:c r="C376" s="170" t="str">
        <x:f>IF(B376="","",IF(COUNTIF('Raw Decommissioning'!$B$2:$B$1000,B376)&gt;0,"Decommissioning",IF(COUNTIF('Raw Provisioning'!$B$2:$B$1000,B376)&gt;0,"Provisioning","Not in latest raw")))</x:f>
      </x:c>
      <x:c r="D376" s="170" t="str">
        <x:f>IF(B376="","",IFERROR(INDEX('Raw Decommissioning'!$E$2:$E$1000,MATCH(B376,'Raw Decommissioning'!$B$2:$B$1000,0)),IFERROR(INDEX('Raw Provisioning'!$E$2:$E$1000,MATCH(B376,'Raw Provisioning'!$B$2:$B$1000,0)),"Missing from latest raw")))</x:f>
      </x:c>
      <x:c r="E376" s="170" t="str">
        <x:f>IF(B376="","",IF(D376="completed","Completed in CSSP",IF(D376="executing","Active - Executing",IF(D376="processing","Ready to Assign",IF(D376="Missing from latest raw","Check Source","Not Managed - "&amp;D376)))))</x:f>
      </x:c>
      <x:c r="F376" s="170" t="str">
        <x:f>IF(B376="","",IFERROR(INDEX('Task Master'!$K$5:$K$804,MATCH(B376,'Task Master'!$A$5:$A$804,0)),""))</x:f>
      </x:c>
      <x:c r="G376" s="192"/>
      <x:c r="H376" s="192"/>
      <x:c r="I376" s="192"/>
      <x:c r="J376" s="192"/>
      <x:c r="K376" s="192"/>
      <x:c r="L376" s="196"/>
      <x:c r="M376" s="192"/>
      <x:c r="N376" s="192"/>
      <x:c r="O376" s="192"/>
      <x:c r="P376" s="192"/>
      <x:c r="Q376" s="170" t="str">
        <x:f>IF(OR(A376="",B376=""),"",IF(A376=LOOKUP(2,1/($B$5:$B$704=B376),$A$5:$A$704),"Yes","No"))</x:f>
      </x:c>
    </x:row>
    <x:row r="377">
      <x:c r="A377" s="194"/>
      <x:c r="B377" s="192"/>
      <x:c r="C377" s="170" t="str">
        <x:f>IF(B377="","",IF(COUNTIF('Raw Decommissioning'!$B$2:$B$1000,B377)&gt;0,"Decommissioning",IF(COUNTIF('Raw Provisioning'!$B$2:$B$1000,B377)&gt;0,"Provisioning","Not in latest raw")))</x:f>
      </x:c>
      <x:c r="D377" s="170" t="str">
        <x:f>IF(B377="","",IFERROR(INDEX('Raw Decommissioning'!$E$2:$E$1000,MATCH(B377,'Raw Decommissioning'!$B$2:$B$1000,0)),IFERROR(INDEX('Raw Provisioning'!$E$2:$E$1000,MATCH(B377,'Raw Provisioning'!$B$2:$B$1000,0)),"Missing from latest raw")))</x:f>
      </x:c>
      <x:c r="E377" s="170" t="str">
        <x:f>IF(B377="","",IF(D377="completed","Completed in CSSP",IF(D377="executing","Active - Executing",IF(D377="processing","Ready to Assign",IF(D377="Missing from latest raw","Check Source","Not Managed - "&amp;D377)))))</x:f>
      </x:c>
      <x:c r="F377" s="170" t="str">
        <x:f>IF(B377="","",IFERROR(INDEX('Task Master'!$K$5:$K$804,MATCH(B377,'Task Master'!$A$5:$A$804,0)),""))</x:f>
      </x:c>
      <x:c r="G377" s="192"/>
      <x:c r="H377" s="192"/>
      <x:c r="I377" s="192"/>
      <x:c r="J377" s="192"/>
      <x:c r="K377" s="192"/>
      <x:c r="L377" s="196"/>
      <x:c r="M377" s="192"/>
      <x:c r="N377" s="192"/>
      <x:c r="O377" s="192"/>
      <x:c r="P377" s="192"/>
      <x:c r="Q377" s="170" t="str">
        <x:f>IF(OR(A377="",B377=""),"",IF(A377=LOOKUP(2,1/($B$5:$B$704=B377),$A$5:$A$704),"Yes","No"))</x:f>
      </x:c>
    </x:row>
    <x:row r="378">
      <x:c r="A378" s="194"/>
      <x:c r="B378" s="192"/>
      <x:c r="C378" s="170" t="str">
        <x:f>IF(B378="","",IF(COUNTIF('Raw Decommissioning'!$B$2:$B$1000,B378)&gt;0,"Decommissioning",IF(COUNTIF('Raw Provisioning'!$B$2:$B$1000,B378)&gt;0,"Provisioning","Not in latest raw")))</x:f>
      </x:c>
      <x:c r="D378" s="170" t="str">
        <x:f>IF(B378="","",IFERROR(INDEX('Raw Decommissioning'!$E$2:$E$1000,MATCH(B378,'Raw Decommissioning'!$B$2:$B$1000,0)),IFERROR(INDEX('Raw Provisioning'!$E$2:$E$1000,MATCH(B378,'Raw Provisioning'!$B$2:$B$1000,0)),"Missing from latest raw")))</x:f>
      </x:c>
      <x:c r="E378" s="170" t="str">
        <x:f>IF(B378="","",IF(D378="completed","Completed in CSSP",IF(D378="executing","Active - Executing",IF(D378="processing","Ready to Assign",IF(D378="Missing from latest raw","Check Source","Not Managed - "&amp;D378)))))</x:f>
      </x:c>
      <x:c r="F378" s="170" t="str">
        <x:f>IF(B378="","",IFERROR(INDEX('Task Master'!$K$5:$K$804,MATCH(B378,'Task Master'!$A$5:$A$804,0)),""))</x:f>
      </x:c>
      <x:c r="G378" s="192"/>
      <x:c r="H378" s="192"/>
      <x:c r="I378" s="192"/>
      <x:c r="J378" s="192"/>
      <x:c r="K378" s="192"/>
      <x:c r="L378" s="196"/>
      <x:c r="M378" s="192"/>
      <x:c r="N378" s="192"/>
      <x:c r="O378" s="192"/>
      <x:c r="P378" s="192"/>
      <x:c r="Q378" s="170" t="str">
        <x:f>IF(OR(A378="",B378=""),"",IF(A378=LOOKUP(2,1/($B$5:$B$704=B378),$A$5:$A$704),"Yes","No"))</x:f>
      </x:c>
    </x:row>
    <x:row r="379">
      <x:c r="A379" s="194"/>
      <x:c r="B379" s="192"/>
      <x:c r="C379" s="170" t="str">
        <x:f>IF(B379="","",IF(COUNTIF('Raw Decommissioning'!$B$2:$B$1000,B379)&gt;0,"Decommissioning",IF(COUNTIF('Raw Provisioning'!$B$2:$B$1000,B379)&gt;0,"Provisioning","Not in latest raw")))</x:f>
      </x:c>
      <x:c r="D379" s="170" t="str">
        <x:f>IF(B379="","",IFERROR(INDEX('Raw Decommissioning'!$E$2:$E$1000,MATCH(B379,'Raw Decommissioning'!$B$2:$B$1000,0)),IFERROR(INDEX('Raw Provisioning'!$E$2:$E$1000,MATCH(B379,'Raw Provisioning'!$B$2:$B$1000,0)),"Missing from latest raw")))</x:f>
      </x:c>
      <x:c r="E379" s="170" t="str">
        <x:f>IF(B379="","",IF(D379="completed","Completed in CSSP",IF(D379="executing","Active - Executing",IF(D379="processing","Ready to Assign",IF(D379="Missing from latest raw","Check Source","Not Managed - "&amp;D379)))))</x:f>
      </x:c>
      <x:c r="F379" s="170" t="str">
        <x:f>IF(B379="","",IFERROR(INDEX('Task Master'!$K$5:$K$804,MATCH(B379,'Task Master'!$A$5:$A$804,0)),""))</x:f>
      </x:c>
      <x:c r="G379" s="192"/>
      <x:c r="H379" s="192"/>
      <x:c r="I379" s="192"/>
      <x:c r="J379" s="192"/>
      <x:c r="K379" s="192"/>
      <x:c r="L379" s="196"/>
      <x:c r="M379" s="192"/>
      <x:c r="N379" s="192"/>
      <x:c r="O379" s="192"/>
      <x:c r="P379" s="192"/>
      <x:c r="Q379" s="170" t="str">
        <x:f>IF(OR(A379="",B379=""),"",IF(A379=LOOKUP(2,1/($B$5:$B$704=B379),$A$5:$A$704),"Yes","No"))</x:f>
      </x:c>
    </x:row>
    <x:row r="380">
      <x:c r="A380" s="194"/>
      <x:c r="B380" s="192"/>
      <x:c r="C380" s="170" t="str">
        <x:f>IF(B380="","",IF(COUNTIF('Raw Decommissioning'!$B$2:$B$1000,B380)&gt;0,"Decommissioning",IF(COUNTIF('Raw Provisioning'!$B$2:$B$1000,B380)&gt;0,"Provisioning","Not in latest raw")))</x:f>
      </x:c>
      <x:c r="D380" s="170" t="str">
        <x:f>IF(B380="","",IFERROR(INDEX('Raw Decommissioning'!$E$2:$E$1000,MATCH(B380,'Raw Decommissioning'!$B$2:$B$1000,0)),IFERROR(INDEX('Raw Provisioning'!$E$2:$E$1000,MATCH(B380,'Raw Provisioning'!$B$2:$B$1000,0)),"Missing from latest raw")))</x:f>
      </x:c>
      <x:c r="E380" s="170" t="str">
        <x:f>IF(B380="","",IF(D380="completed","Completed in CSSP",IF(D380="executing","Active - Executing",IF(D380="processing","Ready to Assign",IF(D380="Missing from latest raw","Check Source","Not Managed - "&amp;D380)))))</x:f>
      </x:c>
      <x:c r="F380" s="170" t="str">
        <x:f>IF(B380="","",IFERROR(INDEX('Task Master'!$K$5:$K$804,MATCH(B380,'Task Master'!$A$5:$A$804,0)),""))</x:f>
      </x:c>
      <x:c r="G380" s="192"/>
      <x:c r="H380" s="192"/>
      <x:c r="I380" s="192"/>
      <x:c r="J380" s="192"/>
      <x:c r="K380" s="192"/>
      <x:c r="L380" s="196"/>
      <x:c r="M380" s="192"/>
      <x:c r="N380" s="192"/>
      <x:c r="O380" s="192"/>
      <x:c r="P380" s="192"/>
      <x:c r="Q380" s="170" t="str">
        <x:f>IF(OR(A380="",B380=""),"",IF(A380=LOOKUP(2,1/($B$5:$B$704=B380),$A$5:$A$704),"Yes","No"))</x:f>
      </x:c>
    </x:row>
    <x:row r="381">
      <x:c r="A381" s="194"/>
      <x:c r="B381" s="192"/>
      <x:c r="C381" s="170" t="str">
        <x:f>IF(B381="","",IF(COUNTIF('Raw Decommissioning'!$B$2:$B$1000,B381)&gt;0,"Decommissioning",IF(COUNTIF('Raw Provisioning'!$B$2:$B$1000,B381)&gt;0,"Provisioning","Not in latest raw")))</x:f>
      </x:c>
      <x:c r="D381" s="170" t="str">
        <x:f>IF(B381="","",IFERROR(INDEX('Raw Decommissioning'!$E$2:$E$1000,MATCH(B381,'Raw Decommissioning'!$B$2:$B$1000,0)),IFERROR(INDEX('Raw Provisioning'!$E$2:$E$1000,MATCH(B381,'Raw Provisioning'!$B$2:$B$1000,0)),"Missing from latest raw")))</x:f>
      </x:c>
      <x:c r="E381" s="170" t="str">
        <x:f>IF(B381="","",IF(D381="completed","Completed in CSSP",IF(D381="executing","Active - Executing",IF(D381="processing","Ready to Assign",IF(D381="Missing from latest raw","Check Source","Not Managed - "&amp;D381)))))</x:f>
      </x:c>
      <x:c r="F381" s="170" t="str">
        <x:f>IF(B381="","",IFERROR(INDEX('Task Master'!$K$5:$K$804,MATCH(B381,'Task Master'!$A$5:$A$804,0)),""))</x:f>
      </x:c>
      <x:c r="G381" s="192"/>
      <x:c r="H381" s="192"/>
      <x:c r="I381" s="192"/>
      <x:c r="J381" s="192"/>
      <x:c r="K381" s="192"/>
      <x:c r="L381" s="196"/>
      <x:c r="M381" s="192"/>
      <x:c r="N381" s="192"/>
      <x:c r="O381" s="192"/>
      <x:c r="P381" s="192"/>
      <x:c r="Q381" s="170" t="str">
        <x:f>IF(OR(A381="",B381=""),"",IF(A381=LOOKUP(2,1/($B$5:$B$704=B381),$A$5:$A$704),"Yes","No"))</x:f>
      </x:c>
    </x:row>
    <x:row r="382">
      <x:c r="A382" s="194"/>
      <x:c r="B382" s="192"/>
      <x:c r="C382" s="170" t="str">
        <x:f>IF(B382="","",IF(COUNTIF('Raw Decommissioning'!$B$2:$B$1000,B382)&gt;0,"Decommissioning",IF(COUNTIF('Raw Provisioning'!$B$2:$B$1000,B382)&gt;0,"Provisioning","Not in latest raw")))</x:f>
      </x:c>
      <x:c r="D382" s="170" t="str">
        <x:f>IF(B382="","",IFERROR(INDEX('Raw Decommissioning'!$E$2:$E$1000,MATCH(B382,'Raw Decommissioning'!$B$2:$B$1000,0)),IFERROR(INDEX('Raw Provisioning'!$E$2:$E$1000,MATCH(B382,'Raw Provisioning'!$B$2:$B$1000,0)),"Missing from latest raw")))</x:f>
      </x:c>
      <x:c r="E382" s="170" t="str">
        <x:f>IF(B382="","",IF(D382="completed","Completed in CSSP",IF(D382="executing","Active - Executing",IF(D382="processing","Ready to Assign",IF(D382="Missing from latest raw","Check Source","Not Managed - "&amp;D382)))))</x:f>
      </x:c>
      <x:c r="F382" s="170" t="str">
        <x:f>IF(B382="","",IFERROR(INDEX('Task Master'!$K$5:$K$804,MATCH(B382,'Task Master'!$A$5:$A$804,0)),""))</x:f>
      </x:c>
      <x:c r="G382" s="192"/>
      <x:c r="H382" s="192"/>
      <x:c r="I382" s="192"/>
      <x:c r="J382" s="192"/>
      <x:c r="K382" s="192"/>
      <x:c r="L382" s="196"/>
      <x:c r="M382" s="192"/>
      <x:c r="N382" s="192"/>
      <x:c r="O382" s="192"/>
      <x:c r="P382" s="192"/>
      <x:c r="Q382" s="170" t="str">
        <x:f>IF(OR(A382="",B382=""),"",IF(A382=LOOKUP(2,1/($B$5:$B$704=B382),$A$5:$A$704),"Yes","No"))</x:f>
      </x:c>
    </x:row>
    <x:row r="383">
      <x:c r="A383" s="194"/>
      <x:c r="B383" s="192"/>
      <x:c r="C383" s="170" t="str">
        <x:f>IF(B383="","",IF(COUNTIF('Raw Decommissioning'!$B$2:$B$1000,B383)&gt;0,"Decommissioning",IF(COUNTIF('Raw Provisioning'!$B$2:$B$1000,B383)&gt;0,"Provisioning","Not in latest raw")))</x:f>
      </x:c>
      <x:c r="D383" s="170" t="str">
        <x:f>IF(B383="","",IFERROR(INDEX('Raw Decommissioning'!$E$2:$E$1000,MATCH(B383,'Raw Decommissioning'!$B$2:$B$1000,0)),IFERROR(INDEX('Raw Provisioning'!$E$2:$E$1000,MATCH(B383,'Raw Provisioning'!$B$2:$B$1000,0)),"Missing from latest raw")))</x:f>
      </x:c>
      <x:c r="E383" s="170" t="str">
        <x:f>IF(B383="","",IF(D383="completed","Completed in CSSP",IF(D383="executing","Active - Executing",IF(D383="processing","Ready to Assign",IF(D383="Missing from latest raw","Check Source","Not Managed - "&amp;D383)))))</x:f>
      </x:c>
      <x:c r="F383" s="170" t="str">
        <x:f>IF(B383="","",IFERROR(INDEX('Task Master'!$K$5:$K$804,MATCH(B383,'Task Master'!$A$5:$A$804,0)),""))</x:f>
      </x:c>
      <x:c r="G383" s="192"/>
      <x:c r="H383" s="192"/>
      <x:c r="I383" s="192"/>
      <x:c r="J383" s="192"/>
      <x:c r="K383" s="192"/>
      <x:c r="L383" s="196"/>
      <x:c r="M383" s="192"/>
      <x:c r="N383" s="192"/>
      <x:c r="O383" s="192"/>
      <x:c r="P383" s="192"/>
      <x:c r="Q383" s="170" t="str">
        <x:f>IF(OR(A383="",B383=""),"",IF(A383=LOOKUP(2,1/($B$5:$B$704=B383),$A$5:$A$704),"Yes","No"))</x:f>
      </x:c>
    </x:row>
    <x:row r="384">
      <x:c r="A384" s="194"/>
      <x:c r="B384" s="192"/>
      <x:c r="C384" s="170" t="str">
        <x:f>IF(B384="","",IF(COUNTIF('Raw Decommissioning'!$B$2:$B$1000,B384)&gt;0,"Decommissioning",IF(COUNTIF('Raw Provisioning'!$B$2:$B$1000,B384)&gt;0,"Provisioning","Not in latest raw")))</x:f>
      </x:c>
      <x:c r="D384" s="170" t="str">
        <x:f>IF(B384="","",IFERROR(INDEX('Raw Decommissioning'!$E$2:$E$1000,MATCH(B384,'Raw Decommissioning'!$B$2:$B$1000,0)),IFERROR(INDEX('Raw Provisioning'!$E$2:$E$1000,MATCH(B384,'Raw Provisioning'!$B$2:$B$1000,0)),"Missing from latest raw")))</x:f>
      </x:c>
      <x:c r="E384" s="170" t="str">
        <x:f>IF(B384="","",IF(D384="completed","Completed in CSSP",IF(D384="executing","Active - Executing",IF(D384="processing","Ready to Assign",IF(D384="Missing from latest raw","Check Source","Not Managed - "&amp;D384)))))</x:f>
      </x:c>
      <x:c r="F384" s="170" t="str">
        <x:f>IF(B384="","",IFERROR(INDEX('Task Master'!$K$5:$K$804,MATCH(B384,'Task Master'!$A$5:$A$804,0)),""))</x:f>
      </x:c>
      <x:c r="G384" s="192"/>
      <x:c r="H384" s="192"/>
      <x:c r="I384" s="192"/>
      <x:c r="J384" s="192"/>
      <x:c r="K384" s="192"/>
      <x:c r="L384" s="196"/>
      <x:c r="M384" s="192"/>
      <x:c r="N384" s="192"/>
      <x:c r="O384" s="192"/>
      <x:c r="P384" s="192"/>
      <x:c r="Q384" s="170" t="str">
        <x:f>IF(OR(A384="",B384=""),"",IF(A384=LOOKUP(2,1/($B$5:$B$704=B384),$A$5:$A$704),"Yes","No"))</x:f>
      </x:c>
    </x:row>
    <x:row r="385">
      <x:c r="A385" s="194"/>
      <x:c r="B385" s="192"/>
      <x:c r="C385" s="170" t="str">
        <x:f>IF(B385="","",IF(COUNTIF('Raw Decommissioning'!$B$2:$B$1000,B385)&gt;0,"Decommissioning",IF(COUNTIF('Raw Provisioning'!$B$2:$B$1000,B385)&gt;0,"Provisioning","Not in latest raw")))</x:f>
      </x:c>
      <x:c r="D385" s="170" t="str">
        <x:f>IF(B385="","",IFERROR(INDEX('Raw Decommissioning'!$E$2:$E$1000,MATCH(B385,'Raw Decommissioning'!$B$2:$B$1000,0)),IFERROR(INDEX('Raw Provisioning'!$E$2:$E$1000,MATCH(B385,'Raw Provisioning'!$B$2:$B$1000,0)),"Missing from latest raw")))</x:f>
      </x:c>
      <x:c r="E385" s="170" t="str">
        <x:f>IF(B385="","",IF(D385="completed","Completed in CSSP",IF(D385="executing","Active - Executing",IF(D385="processing","Ready to Assign",IF(D385="Missing from latest raw","Check Source","Not Managed - "&amp;D385)))))</x:f>
      </x:c>
      <x:c r="F385" s="170" t="str">
        <x:f>IF(B385="","",IFERROR(INDEX('Task Master'!$K$5:$K$804,MATCH(B385,'Task Master'!$A$5:$A$804,0)),""))</x:f>
      </x:c>
      <x:c r="G385" s="192"/>
      <x:c r="H385" s="192"/>
      <x:c r="I385" s="192"/>
      <x:c r="J385" s="192"/>
      <x:c r="K385" s="192"/>
      <x:c r="L385" s="196"/>
      <x:c r="M385" s="192"/>
      <x:c r="N385" s="192"/>
      <x:c r="O385" s="192"/>
      <x:c r="P385" s="192"/>
      <x:c r="Q385" s="170" t="str">
        <x:f>IF(OR(A385="",B385=""),"",IF(A385=LOOKUP(2,1/($B$5:$B$704=B385),$A$5:$A$704),"Yes","No"))</x:f>
      </x:c>
    </x:row>
    <x:row r="386">
      <x:c r="A386" s="194"/>
      <x:c r="B386" s="192"/>
      <x:c r="C386" s="170" t="str">
        <x:f>IF(B386="","",IF(COUNTIF('Raw Decommissioning'!$B$2:$B$1000,B386)&gt;0,"Decommissioning",IF(COUNTIF('Raw Provisioning'!$B$2:$B$1000,B386)&gt;0,"Provisioning","Not in latest raw")))</x:f>
      </x:c>
      <x:c r="D386" s="170" t="str">
        <x:f>IF(B386="","",IFERROR(INDEX('Raw Decommissioning'!$E$2:$E$1000,MATCH(B386,'Raw Decommissioning'!$B$2:$B$1000,0)),IFERROR(INDEX('Raw Provisioning'!$E$2:$E$1000,MATCH(B386,'Raw Provisioning'!$B$2:$B$1000,0)),"Missing from latest raw")))</x:f>
      </x:c>
      <x:c r="E386" s="170" t="str">
        <x:f>IF(B386="","",IF(D386="completed","Completed in CSSP",IF(D386="executing","Active - Executing",IF(D386="processing","Ready to Assign",IF(D386="Missing from latest raw","Check Source","Not Managed - "&amp;D386)))))</x:f>
      </x:c>
      <x:c r="F386" s="170" t="str">
        <x:f>IF(B386="","",IFERROR(INDEX('Task Master'!$K$5:$K$804,MATCH(B386,'Task Master'!$A$5:$A$804,0)),""))</x:f>
      </x:c>
      <x:c r="G386" s="192"/>
      <x:c r="H386" s="192"/>
      <x:c r="I386" s="192"/>
      <x:c r="J386" s="192"/>
      <x:c r="K386" s="192"/>
      <x:c r="L386" s="196"/>
      <x:c r="M386" s="192"/>
      <x:c r="N386" s="192"/>
      <x:c r="O386" s="192"/>
      <x:c r="P386" s="192"/>
      <x:c r="Q386" s="170" t="str">
        <x:f>IF(OR(A386="",B386=""),"",IF(A386=LOOKUP(2,1/($B$5:$B$704=B386),$A$5:$A$704),"Yes","No"))</x:f>
      </x:c>
    </x:row>
    <x:row r="387">
      <x:c r="A387" s="194"/>
      <x:c r="B387" s="192"/>
      <x:c r="C387" s="170" t="str">
        <x:f>IF(B387="","",IF(COUNTIF('Raw Decommissioning'!$B$2:$B$1000,B387)&gt;0,"Decommissioning",IF(COUNTIF('Raw Provisioning'!$B$2:$B$1000,B387)&gt;0,"Provisioning","Not in latest raw")))</x:f>
      </x:c>
      <x:c r="D387" s="170" t="str">
        <x:f>IF(B387="","",IFERROR(INDEX('Raw Decommissioning'!$E$2:$E$1000,MATCH(B387,'Raw Decommissioning'!$B$2:$B$1000,0)),IFERROR(INDEX('Raw Provisioning'!$E$2:$E$1000,MATCH(B387,'Raw Provisioning'!$B$2:$B$1000,0)),"Missing from latest raw")))</x:f>
      </x:c>
      <x:c r="E387" s="170" t="str">
        <x:f>IF(B387="","",IF(D387="completed","Completed in CSSP",IF(D387="executing","Active - Executing",IF(D387="processing","Ready to Assign",IF(D387="Missing from latest raw","Check Source","Not Managed - "&amp;D387)))))</x:f>
      </x:c>
      <x:c r="F387" s="170" t="str">
        <x:f>IF(B387="","",IFERROR(INDEX('Task Master'!$K$5:$K$804,MATCH(B387,'Task Master'!$A$5:$A$804,0)),""))</x:f>
      </x:c>
      <x:c r="G387" s="192"/>
      <x:c r="H387" s="192"/>
      <x:c r="I387" s="192"/>
      <x:c r="J387" s="192"/>
      <x:c r="K387" s="192"/>
      <x:c r="L387" s="196"/>
      <x:c r="M387" s="192"/>
      <x:c r="N387" s="192"/>
      <x:c r="O387" s="192"/>
      <x:c r="P387" s="192"/>
      <x:c r="Q387" s="170" t="str">
        <x:f>IF(OR(A387="",B387=""),"",IF(A387=LOOKUP(2,1/($B$5:$B$704=B387),$A$5:$A$704),"Yes","No"))</x:f>
      </x:c>
    </x:row>
    <x:row r="388">
      <x:c r="A388" s="194"/>
      <x:c r="B388" s="192"/>
      <x:c r="C388" s="170" t="str">
        <x:f>IF(B388="","",IF(COUNTIF('Raw Decommissioning'!$B$2:$B$1000,B388)&gt;0,"Decommissioning",IF(COUNTIF('Raw Provisioning'!$B$2:$B$1000,B388)&gt;0,"Provisioning","Not in latest raw")))</x:f>
      </x:c>
      <x:c r="D388" s="170" t="str">
        <x:f>IF(B388="","",IFERROR(INDEX('Raw Decommissioning'!$E$2:$E$1000,MATCH(B388,'Raw Decommissioning'!$B$2:$B$1000,0)),IFERROR(INDEX('Raw Provisioning'!$E$2:$E$1000,MATCH(B388,'Raw Provisioning'!$B$2:$B$1000,0)),"Missing from latest raw")))</x:f>
      </x:c>
      <x:c r="E388" s="170" t="str">
        <x:f>IF(B388="","",IF(D388="completed","Completed in CSSP",IF(D388="executing","Active - Executing",IF(D388="processing","Ready to Assign",IF(D388="Missing from latest raw","Check Source","Not Managed - "&amp;D388)))))</x:f>
      </x:c>
      <x:c r="F388" s="170" t="str">
        <x:f>IF(B388="","",IFERROR(INDEX('Task Master'!$K$5:$K$804,MATCH(B388,'Task Master'!$A$5:$A$804,0)),""))</x:f>
      </x:c>
      <x:c r="G388" s="192"/>
      <x:c r="H388" s="192"/>
      <x:c r="I388" s="192"/>
      <x:c r="J388" s="192"/>
      <x:c r="K388" s="192"/>
      <x:c r="L388" s="196"/>
      <x:c r="M388" s="192"/>
      <x:c r="N388" s="192"/>
      <x:c r="O388" s="192"/>
      <x:c r="P388" s="192"/>
      <x:c r="Q388" s="170" t="str">
        <x:f>IF(OR(A388="",B388=""),"",IF(A388=LOOKUP(2,1/($B$5:$B$704=B388),$A$5:$A$704),"Yes","No"))</x:f>
      </x:c>
    </x:row>
    <x:row r="389">
      <x:c r="A389" s="194"/>
      <x:c r="B389" s="192"/>
      <x:c r="C389" s="170" t="str">
        <x:f>IF(B389="","",IF(COUNTIF('Raw Decommissioning'!$B$2:$B$1000,B389)&gt;0,"Decommissioning",IF(COUNTIF('Raw Provisioning'!$B$2:$B$1000,B389)&gt;0,"Provisioning","Not in latest raw")))</x:f>
      </x:c>
      <x:c r="D389" s="170" t="str">
        <x:f>IF(B389="","",IFERROR(INDEX('Raw Decommissioning'!$E$2:$E$1000,MATCH(B389,'Raw Decommissioning'!$B$2:$B$1000,0)),IFERROR(INDEX('Raw Provisioning'!$E$2:$E$1000,MATCH(B389,'Raw Provisioning'!$B$2:$B$1000,0)),"Missing from latest raw")))</x:f>
      </x:c>
      <x:c r="E389" s="170" t="str">
        <x:f>IF(B389="","",IF(D389="completed","Completed in CSSP",IF(D389="executing","Active - Executing",IF(D389="processing","Ready to Assign",IF(D389="Missing from latest raw","Check Source","Not Managed - "&amp;D389)))))</x:f>
      </x:c>
      <x:c r="F389" s="170" t="str">
        <x:f>IF(B389="","",IFERROR(INDEX('Task Master'!$K$5:$K$804,MATCH(B389,'Task Master'!$A$5:$A$804,0)),""))</x:f>
      </x:c>
      <x:c r="G389" s="192"/>
      <x:c r="H389" s="192"/>
      <x:c r="I389" s="192"/>
      <x:c r="J389" s="192"/>
      <x:c r="K389" s="192"/>
      <x:c r="L389" s="196"/>
      <x:c r="M389" s="192"/>
      <x:c r="N389" s="192"/>
      <x:c r="O389" s="192"/>
      <x:c r="P389" s="192"/>
      <x:c r="Q389" s="170" t="str">
        <x:f>IF(OR(A389="",B389=""),"",IF(A389=LOOKUP(2,1/($B$5:$B$704=B389),$A$5:$A$704),"Yes","No"))</x:f>
      </x:c>
    </x:row>
    <x:row r="390">
      <x:c r="A390" s="194"/>
      <x:c r="B390" s="192"/>
      <x:c r="C390" s="170" t="str">
        <x:f>IF(B390="","",IF(COUNTIF('Raw Decommissioning'!$B$2:$B$1000,B390)&gt;0,"Decommissioning",IF(COUNTIF('Raw Provisioning'!$B$2:$B$1000,B390)&gt;0,"Provisioning","Not in latest raw")))</x:f>
      </x:c>
      <x:c r="D390" s="170" t="str">
        <x:f>IF(B390="","",IFERROR(INDEX('Raw Decommissioning'!$E$2:$E$1000,MATCH(B390,'Raw Decommissioning'!$B$2:$B$1000,0)),IFERROR(INDEX('Raw Provisioning'!$E$2:$E$1000,MATCH(B390,'Raw Provisioning'!$B$2:$B$1000,0)),"Missing from latest raw")))</x:f>
      </x:c>
      <x:c r="E390" s="170" t="str">
        <x:f>IF(B390="","",IF(D390="completed","Completed in CSSP",IF(D390="executing","Active - Executing",IF(D390="processing","Ready to Assign",IF(D390="Missing from latest raw","Check Source","Not Managed - "&amp;D390)))))</x:f>
      </x:c>
      <x:c r="F390" s="170" t="str">
        <x:f>IF(B390="","",IFERROR(INDEX('Task Master'!$K$5:$K$804,MATCH(B390,'Task Master'!$A$5:$A$804,0)),""))</x:f>
      </x:c>
      <x:c r="G390" s="192"/>
      <x:c r="H390" s="192"/>
      <x:c r="I390" s="192"/>
      <x:c r="J390" s="192"/>
      <x:c r="K390" s="192"/>
      <x:c r="L390" s="196"/>
      <x:c r="M390" s="192"/>
      <x:c r="N390" s="192"/>
      <x:c r="O390" s="192"/>
      <x:c r="P390" s="192"/>
      <x:c r="Q390" s="170" t="str">
        <x:f>IF(OR(A390="",B390=""),"",IF(A390=LOOKUP(2,1/($B$5:$B$704=B390),$A$5:$A$704),"Yes","No"))</x:f>
      </x:c>
    </x:row>
    <x:row r="391">
      <x:c r="A391" s="194"/>
      <x:c r="B391" s="192"/>
      <x:c r="C391" s="170" t="str">
        <x:f>IF(B391="","",IF(COUNTIF('Raw Decommissioning'!$B$2:$B$1000,B391)&gt;0,"Decommissioning",IF(COUNTIF('Raw Provisioning'!$B$2:$B$1000,B391)&gt;0,"Provisioning","Not in latest raw")))</x:f>
      </x:c>
      <x:c r="D391" s="170" t="str">
        <x:f>IF(B391="","",IFERROR(INDEX('Raw Decommissioning'!$E$2:$E$1000,MATCH(B391,'Raw Decommissioning'!$B$2:$B$1000,0)),IFERROR(INDEX('Raw Provisioning'!$E$2:$E$1000,MATCH(B391,'Raw Provisioning'!$B$2:$B$1000,0)),"Missing from latest raw")))</x:f>
      </x:c>
      <x:c r="E391" s="170" t="str">
        <x:f>IF(B391="","",IF(D391="completed","Completed in CSSP",IF(D391="executing","Active - Executing",IF(D391="processing","Ready to Assign",IF(D391="Missing from latest raw","Check Source","Not Managed - "&amp;D391)))))</x:f>
      </x:c>
      <x:c r="F391" s="170" t="str">
        <x:f>IF(B391="","",IFERROR(INDEX('Task Master'!$K$5:$K$804,MATCH(B391,'Task Master'!$A$5:$A$804,0)),""))</x:f>
      </x:c>
      <x:c r="G391" s="192"/>
      <x:c r="H391" s="192"/>
      <x:c r="I391" s="192"/>
      <x:c r="J391" s="192"/>
      <x:c r="K391" s="192"/>
      <x:c r="L391" s="196"/>
      <x:c r="M391" s="192"/>
      <x:c r="N391" s="192"/>
      <x:c r="O391" s="192"/>
      <x:c r="P391" s="192"/>
      <x:c r="Q391" s="170" t="str">
        <x:f>IF(OR(A391="",B391=""),"",IF(A391=LOOKUP(2,1/($B$5:$B$704=B391),$A$5:$A$704),"Yes","No"))</x:f>
      </x:c>
    </x:row>
    <x:row r="392">
      <x:c r="A392" s="194"/>
      <x:c r="B392" s="192"/>
      <x:c r="C392" s="170" t="str">
        <x:f>IF(B392="","",IF(COUNTIF('Raw Decommissioning'!$B$2:$B$1000,B392)&gt;0,"Decommissioning",IF(COUNTIF('Raw Provisioning'!$B$2:$B$1000,B392)&gt;0,"Provisioning","Not in latest raw")))</x:f>
      </x:c>
      <x:c r="D392" s="170" t="str">
        <x:f>IF(B392="","",IFERROR(INDEX('Raw Decommissioning'!$E$2:$E$1000,MATCH(B392,'Raw Decommissioning'!$B$2:$B$1000,0)),IFERROR(INDEX('Raw Provisioning'!$E$2:$E$1000,MATCH(B392,'Raw Provisioning'!$B$2:$B$1000,0)),"Missing from latest raw")))</x:f>
      </x:c>
      <x:c r="E392" s="170" t="str">
        <x:f>IF(B392="","",IF(D392="completed","Completed in CSSP",IF(D392="executing","Active - Executing",IF(D392="processing","Ready to Assign",IF(D392="Missing from latest raw","Check Source","Not Managed - "&amp;D392)))))</x:f>
      </x:c>
      <x:c r="F392" s="170" t="str">
        <x:f>IF(B392="","",IFERROR(INDEX('Task Master'!$K$5:$K$804,MATCH(B392,'Task Master'!$A$5:$A$804,0)),""))</x:f>
      </x:c>
      <x:c r="G392" s="192"/>
      <x:c r="H392" s="192"/>
      <x:c r="I392" s="192"/>
      <x:c r="J392" s="192"/>
      <x:c r="K392" s="192"/>
      <x:c r="L392" s="196"/>
      <x:c r="M392" s="192"/>
      <x:c r="N392" s="192"/>
      <x:c r="O392" s="192"/>
      <x:c r="P392" s="192"/>
      <x:c r="Q392" s="170" t="str">
        <x:f>IF(OR(A392="",B392=""),"",IF(A392=LOOKUP(2,1/($B$5:$B$704=B392),$A$5:$A$704),"Yes","No"))</x:f>
      </x:c>
    </x:row>
    <x:row r="393">
      <x:c r="A393" s="194"/>
      <x:c r="B393" s="192"/>
      <x:c r="C393" s="170" t="str">
        <x:f>IF(B393="","",IF(COUNTIF('Raw Decommissioning'!$B$2:$B$1000,B393)&gt;0,"Decommissioning",IF(COUNTIF('Raw Provisioning'!$B$2:$B$1000,B393)&gt;0,"Provisioning","Not in latest raw")))</x:f>
      </x:c>
      <x:c r="D393" s="170" t="str">
        <x:f>IF(B393="","",IFERROR(INDEX('Raw Decommissioning'!$E$2:$E$1000,MATCH(B393,'Raw Decommissioning'!$B$2:$B$1000,0)),IFERROR(INDEX('Raw Provisioning'!$E$2:$E$1000,MATCH(B393,'Raw Provisioning'!$B$2:$B$1000,0)),"Missing from latest raw")))</x:f>
      </x:c>
      <x:c r="E393" s="170" t="str">
        <x:f>IF(B393="","",IF(D393="completed","Completed in CSSP",IF(D393="executing","Active - Executing",IF(D393="processing","Ready to Assign",IF(D393="Missing from latest raw","Check Source","Not Managed - "&amp;D393)))))</x:f>
      </x:c>
      <x:c r="F393" s="170" t="str">
        <x:f>IF(B393="","",IFERROR(INDEX('Task Master'!$K$5:$K$804,MATCH(B393,'Task Master'!$A$5:$A$804,0)),""))</x:f>
      </x:c>
      <x:c r="G393" s="192"/>
      <x:c r="H393" s="192"/>
      <x:c r="I393" s="192"/>
      <x:c r="J393" s="192"/>
      <x:c r="K393" s="192"/>
      <x:c r="L393" s="196"/>
      <x:c r="M393" s="192"/>
      <x:c r="N393" s="192"/>
      <x:c r="O393" s="192"/>
      <x:c r="P393" s="192"/>
      <x:c r="Q393" s="170" t="str">
        <x:f>IF(OR(A393="",B393=""),"",IF(A393=LOOKUP(2,1/($B$5:$B$704=B393),$A$5:$A$704),"Yes","No"))</x:f>
      </x:c>
    </x:row>
    <x:row r="394">
      <x:c r="A394" s="194"/>
      <x:c r="B394" s="192"/>
      <x:c r="C394" s="170" t="str">
        <x:f>IF(B394="","",IF(COUNTIF('Raw Decommissioning'!$B$2:$B$1000,B394)&gt;0,"Decommissioning",IF(COUNTIF('Raw Provisioning'!$B$2:$B$1000,B394)&gt;0,"Provisioning","Not in latest raw")))</x:f>
      </x:c>
      <x:c r="D394" s="170" t="str">
        <x:f>IF(B394="","",IFERROR(INDEX('Raw Decommissioning'!$E$2:$E$1000,MATCH(B394,'Raw Decommissioning'!$B$2:$B$1000,0)),IFERROR(INDEX('Raw Provisioning'!$E$2:$E$1000,MATCH(B394,'Raw Provisioning'!$B$2:$B$1000,0)),"Missing from latest raw")))</x:f>
      </x:c>
      <x:c r="E394" s="170" t="str">
        <x:f>IF(B394="","",IF(D394="completed","Completed in CSSP",IF(D394="executing","Active - Executing",IF(D394="processing","Ready to Assign",IF(D394="Missing from latest raw","Check Source","Not Managed - "&amp;D394)))))</x:f>
      </x:c>
      <x:c r="F394" s="170" t="str">
        <x:f>IF(B394="","",IFERROR(INDEX('Task Master'!$K$5:$K$804,MATCH(B394,'Task Master'!$A$5:$A$804,0)),""))</x:f>
      </x:c>
      <x:c r="G394" s="192"/>
      <x:c r="H394" s="192"/>
      <x:c r="I394" s="192"/>
      <x:c r="J394" s="192"/>
      <x:c r="K394" s="192"/>
      <x:c r="L394" s="196"/>
      <x:c r="M394" s="192"/>
      <x:c r="N394" s="192"/>
      <x:c r="O394" s="192"/>
      <x:c r="P394" s="192"/>
      <x:c r="Q394" s="170" t="str">
        <x:f>IF(OR(A394="",B394=""),"",IF(A394=LOOKUP(2,1/($B$5:$B$704=B394),$A$5:$A$704),"Yes","No"))</x:f>
      </x:c>
    </x:row>
    <x:row r="395">
      <x:c r="A395" s="194"/>
      <x:c r="B395" s="192"/>
      <x:c r="C395" s="170" t="str">
        <x:f>IF(B395="","",IF(COUNTIF('Raw Decommissioning'!$B$2:$B$1000,B395)&gt;0,"Decommissioning",IF(COUNTIF('Raw Provisioning'!$B$2:$B$1000,B395)&gt;0,"Provisioning","Not in latest raw")))</x:f>
      </x:c>
      <x:c r="D395" s="170" t="str">
        <x:f>IF(B395="","",IFERROR(INDEX('Raw Decommissioning'!$E$2:$E$1000,MATCH(B395,'Raw Decommissioning'!$B$2:$B$1000,0)),IFERROR(INDEX('Raw Provisioning'!$E$2:$E$1000,MATCH(B395,'Raw Provisioning'!$B$2:$B$1000,0)),"Missing from latest raw")))</x:f>
      </x:c>
      <x:c r="E395" s="170" t="str">
        <x:f>IF(B395="","",IF(D395="completed","Completed in CSSP",IF(D395="executing","Active - Executing",IF(D395="processing","Ready to Assign",IF(D395="Missing from latest raw","Check Source","Not Managed - "&amp;D395)))))</x:f>
      </x:c>
      <x:c r="F395" s="170" t="str">
        <x:f>IF(B395="","",IFERROR(INDEX('Task Master'!$K$5:$K$804,MATCH(B395,'Task Master'!$A$5:$A$804,0)),""))</x:f>
      </x:c>
      <x:c r="G395" s="192"/>
      <x:c r="H395" s="192"/>
      <x:c r="I395" s="192"/>
      <x:c r="J395" s="192"/>
      <x:c r="K395" s="192"/>
      <x:c r="L395" s="196"/>
      <x:c r="M395" s="192"/>
      <x:c r="N395" s="192"/>
      <x:c r="O395" s="192"/>
      <x:c r="P395" s="192"/>
      <x:c r="Q395" s="170" t="str">
        <x:f>IF(OR(A395="",B395=""),"",IF(A395=LOOKUP(2,1/($B$5:$B$704=B395),$A$5:$A$704),"Yes","No"))</x:f>
      </x:c>
    </x:row>
    <x:row r="396">
      <x:c r="A396" s="194"/>
      <x:c r="B396" s="192"/>
      <x:c r="C396" s="170" t="str">
        <x:f>IF(B396="","",IF(COUNTIF('Raw Decommissioning'!$B$2:$B$1000,B396)&gt;0,"Decommissioning",IF(COUNTIF('Raw Provisioning'!$B$2:$B$1000,B396)&gt;0,"Provisioning","Not in latest raw")))</x:f>
      </x:c>
      <x:c r="D396" s="170" t="str">
        <x:f>IF(B396="","",IFERROR(INDEX('Raw Decommissioning'!$E$2:$E$1000,MATCH(B396,'Raw Decommissioning'!$B$2:$B$1000,0)),IFERROR(INDEX('Raw Provisioning'!$E$2:$E$1000,MATCH(B396,'Raw Provisioning'!$B$2:$B$1000,0)),"Missing from latest raw")))</x:f>
      </x:c>
      <x:c r="E396" s="170" t="str">
        <x:f>IF(B396="","",IF(D396="completed","Completed in CSSP",IF(D396="executing","Active - Executing",IF(D396="processing","Ready to Assign",IF(D396="Missing from latest raw","Check Source","Not Managed - "&amp;D396)))))</x:f>
      </x:c>
      <x:c r="F396" s="170" t="str">
        <x:f>IF(B396="","",IFERROR(INDEX('Task Master'!$K$5:$K$804,MATCH(B396,'Task Master'!$A$5:$A$804,0)),""))</x:f>
      </x:c>
      <x:c r="G396" s="192"/>
      <x:c r="H396" s="192"/>
      <x:c r="I396" s="192"/>
      <x:c r="J396" s="192"/>
      <x:c r="K396" s="192"/>
      <x:c r="L396" s="196"/>
      <x:c r="M396" s="192"/>
      <x:c r="N396" s="192"/>
      <x:c r="O396" s="192"/>
      <x:c r="P396" s="192"/>
      <x:c r="Q396" s="170" t="str">
        <x:f>IF(OR(A396="",B396=""),"",IF(A396=LOOKUP(2,1/($B$5:$B$704=B396),$A$5:$A$704),"Yes","No"))</x:f>
      </x:c>
    </x:row>
    <x:row r="397">
      <x:c r="A397" s="194"/>
      <x:c r="B397" s="192"/>
      <x:c r="C397" s="170" t="str">
        <x:f>IF(B397="","",IF(COUNTIF('Raw Decommissioning'!$B$2:$B$1000,B397)&gt;0,"Decommissioning",IF(COUNTIF('Raw Provisioning'!$B$2:$B$1000,B397)&gt;0,"Provisioning","Not in latest raw")))</x:f>
      </x:c>
      <x:c r="D397" s="170" t="str">
        <x:f>IF(B397="","",IFERROR(INDEX('Raw Decommissioning'!$E$2:$E$1000,MATCH(B397,'Raw Decommissioning'!$B$2:$B$1000,0)),IFERROR(INDEX('Raw Provisioning'!$E$2:$E$1000,MATCH(B397,'Raw Provisioning'!$B$2:$B$1000,0)),"Missing from latest raw")))</x:f>
      </x:c>
      <x:c r="E397" s="170" t="str">
        <x:f>IF(B397="","",IF(D397="completed","Completed in CSSP",IF(D397="executing","Active - Executing",IF(D397="processing","Ready to Assign",IF(D397="Missing from latest raw","Check Source","Not Managed - "&amp;D397)))))</x:f>
      </x:c>
      <x:c r="F397" s="170" t="str">
        <x:f>IF(B397="","",IFERROR(INDEX('Task Master'!$K$5:$K$804,MATCH(B397,'Task Master'!$A$5:$A$804,0)),""))</x:f>
      </x:c>
      <x:c r="G397" s="192"/>
      <x:c r="H397" s="192"/>
      <x:c r="I397" s="192"/>
      <x:c r="J397" s="192"/>
      <x:c r="K397" s="192"/>
      <x:c r="L397" s="196"/>
      <x:c r="M397" s="192"/>
      <x:c r="N397" s="192"/>
      <x:c r="O397" s="192"/>
      <x:c r="P397" s="192"/>
      <x:c r="Q397" s="170" t="str">
        <x:f>IF(OR(A397="",B397=""),"",IF(A397=LOOKUP(2,1/($B$5:$B$704=B397),$A$5:$A$704),"Yes","No"))</x:f>
      </x:c>
    </x:row>
    <x:row r="398">
      <x:c r="A398" s="194"/>
      <x:c r="B398" s="192"/>
      <x:c r="C398" s="170" t="str">
        <x:f>IF(B398="","",IF(COUNTIF('Raw Decommissioning'!$B$2:$B$1000,B398)&gt;0,"Decommissioning",IF(COUNTIF('Raw Provisioning'!$B$2:$B$1000,B398)&gt;0,"Provisioning","Not in latest raw")))</x:f>
      </x:c>
      <x:c r="D398" s="170" t="str">
        <x:f>IF(B398="","",IFERROR(INDEX('Raw Decommissioning'!$E$2:$E$1000,MATCH(B398,'Raw Decommissioning'!$B$2:$B$1000,0)),IFERROR(INDEX('Raw Provisioning'!$E$2:$E$1000,MATCH(B398,'Raw Provisioning'!$B$2:$B$1000,0)),"Missing from latest raw")))</x:f>
      </x:c>
      <x:c r="E398" s="170" t="str">
        <x:f>IF(B398="","",IF(D398="completed","Completed in CSSP",IF(D398="executing","Active - Executing",IF(D398="processing","Ready to Assign",IF(D398="Missing from latest raw","Check Source","Not Managed - "&amp;D398)))))</x:f>
      </x:c>
      <x:c r="F398" s="170" t="str">
        <x:f>IF(B398="","",IFERROR(INDEX('Task Master'!$K$5:$K$804,MATCH(B398,'Task Master'!$A$5:$A$804,0)),""))</x:f>
      </x:c>
      <x:c r="G398" s="192"/>
      <x:c r="H398" s="192"/>
      <x:c r="I398" s="192"/>
      <x:c r="J398" s="192"/>
      <x:c r="K398" s="192"/>
      <x:c r="L398" s="196"/>
      <x:c r="M398" s="192"/>
      <x:c r="N398" s="192"/>
      <x:c r="O398" s="192"/>
      <x:c r="P398" s="192"/>
      <x:c r="Q398" s="170" t="str">
        <x:f>IF(OR(A398="",B398=""),"",IF(A398=LOOKUP(2,1/($B$5:$B$704=B398),$A$5:$A$704),"Yes","No"))</x:f>
      </x:c>
    </x:row>
    <x:row r="399">
      <x:c r="A399" s="194"/>
      <x:c r="B399" s="192"/>
      <x:c r="C399" s="170" t="str">
        <x:f>IF(B399="","",IF(COUNTIF('Raw Decommissioning'!$B$2:$B$1000,B399)&gt;0,"Decommissioning",IF(COUNTIF('Raw Provisioning'!$B$2:$B$1000,B399)&gt;0,"Provisioning","Not in latest raw")))</x:f>
      </x:c>
      <x:c r="D399" s="170" t="str">
        <x:f>IF(B399="","",IFERROR(INDEX('Raw Decommissioning'!$E$2:$E$1000,MATCH(B399,'Raw Decommissioning'!$B$2:$B$1000,0)),IFERROR(INDEX('Raw Provisioning'!$E$2:$E$1000,MATCH(B399,'Raw Provisioning'!$B$2:$B$1000,0)),"Missing from latest raw")))</x:f>
      </x:c>
      <x:c r="E399" s="170" t="str">
        <x:f>IF(B399="","",IF(D399="completed","Completed in CSSP",IF(D399="executing","Active - Executing",IF(D399="processing","Ready to Assign",IF(D399="Missing from latest raw","Check Source","Not Managed - "&amp;D399)))))</x:f>
      </x:c>
      <x:c r="F399" s="170" t="str">
        <x:f>IF(B399="","",IFERROR(INDEX('Task Master'!$K$5:$K$804,MATCH(B399,'Task Master'!$A$5:$A$804,0)),""))</x:f>
      </x:c>
      <x:c r="G399" s="192"/>
      <x:c r="H399" s="192"/>
      <x:c r="I399" s="192"/>
      <x:c r="J399" s="192"/>
      <x:c r="K399" s="192"/>
      <x:c r="L399" s="196"/>
      <x:c r="M399" s="192"/>
      <x:c r="N399" s="192"/>
      <x:c r="O399" s="192"/>
      <x:c r="P399" s="192"/>
      <x:c r="Q399" s="170" t="str">
        <x:f>IF(OR(A399="",B399=""),"",IF(A399=LOOKUP(2,1/($B$5:$B$704=B399),$A$5:$A$704),"Yes","No"))</x:f>
      </x:c>
    </x:row>
    <x:row r="400">
      <x:c r="A400" s="194"/>
      <x:c r="B400" s="192"/>
      <x:c r="C400" s="170" t="str">
        <x:f>IF(B400="","",IF(COUNTIF('Raw Decommissioning'!$B$2:$B$1000,B400)&gt;0,"Decommissioning",IF(COUNTIF('Raw Provisioning'!$B$2:$B$1000,B400)&gt;0,"Provisioning","Not in latest raw")))</x:f>
      </x:c>
      <x:c r="D400" s="170" t="str">
        <x:f>IF(B400="","",IFERROR(INDEX('Raw Decommissioning'!$E$2:$E$1000,MATCH(B400,'Raw Decommissioning'!$B$2:$B$1000,0)),IFERROR(INDEX('Raw Provisioning'!$E$2:$E$1000,MATCH(B400,'Raw Provisioning'!$B$2:$B$1000,0)),"Missing from latest raw")))</x:f>
      </x:c>
      <x:c r="E400" s="170" t="str">
        <x:f>IF(B400="","",IF(D400="completed","Completed in CSSP",IF(D400="executing","Active - Executing",IF(D400="processing","Ready to Assign",IF(D400="Missing from latest raw","Check Source","Not Managed - "&amp;D400)))))</x:f>
      </x:c>
      <x:c r="F400" s="170" t="str">
        <x:f>IF(B400="","",IFERROR(INDEX('Task Master'!$K$5:$K$804,MATCH(B400,'Task Master'!$A$5:$A$804,0)),""))</x:f>
      </x:c>
      <x:c r="G400" s="192"/>
      <x:c r="H400" s="192"/>
      <x:c r="I400" s="192"/>
      <x:c r="J400" s="192"/>
      <x:c r="K400" s="192"/>
      <x:c r="L400" s="196"/>
      <x:c r="M400" s="192"/>
      <x:c r="N400" s="192"/>
      <x:c r="O400" s="192"/>
      <x:c r="P400" s="192"/>
      <x:c r="Q400" s="170" t="str">
        <x:f>IF(OR(A400="",B400=""),"",IF(A400=LOOKUP(2,1/($B$5:$B$704=B400),$A$5:$A$704),"Yes","No"))</x:f>
      </x:c>
    </x:row>
    <x:row r="401">
      <x:c r="A401" s="194"/>
      <x:c r="B401" s="192"/>
      <x:c r="C401" s="170" t="str">
        <x:f>IF(B401="","",IF(COUNTIF('Raw Decommissioning'!$B$2:$B$1000,B401)&gt;0,"Decommissioning",IF(COUNTIF('Raw Provisioning'!$B$2:$B$1000,B401)&gt;0,"Provisioning","Not in latest raw")))</x:f>
      </x:c>
      <x:c r="D401" s="170" t="str">
        <x:f>IF(B401="","",IFERROR(INDEX('Raw Decommissioning'!$E$2:$E$1000,MATCH(B401,'Raw Decommissioning'!$B$2:$B$1000,0)),IFERROR(INDEX('Raw Provisioning'!$E$2:$E$1000,MATCH(B401,'Raw Provisioning'!$B$2:$B$1000,0)),"Missing from latest raw")))</x:f>
      </x:c>
      <x:c r="E401" s="170" t="str">
        <x:f>IF(B401="","",IF(D401="completed","Completed in CSSP",IF(D401="executing","Active - Executing",IF(D401="processing","Ready to Assign",IF(D401="Missing from latest raw","Check Source","Not Managed - "&amp;D401)))))</x:f>
      </x:c>
      <x:c r="F401" s="170" t="str">
        <x:f>IF(B401="","",IFERROR(INDEX('Task Master'!$K$5:$K$804,MATCH(B401,'Task Master'!$A$5:$A$804,0)),""))</x:f>
      </x:c>
      <x:c r="G401" s="192"/>
      <x:c r="H401" s="192"/>
      <x:c r="I401" s="192"/>
      <x:c r="J401" s="192"/>
      <x:c r="K401" s="192"/>
      <x:c r="L401" s="196"/>
      <x:c r="M401" s="192"/>
      <x:c r="N401" s="192"/>
      <x:c r="O401" s="192"/>
      <x:c r="P401" s="192"/>
      <x:c r="Q401" s="170" t="str">
        <x:f>IF(OR(A401="",B401=""),"",IF(A401=LOOKUP(2,1/($B$5:$B$704=B401),$A$5:$A$704),"Yes","No"))</x:f>
      </x:c>
    </x:row>
    <x:row r="402">
      <x:c r="A402" s="194"/>
      <x:c r="B402" s="192"/>
      <x:c r="C402" s="170" t="str">
        <x:f>IF(B402="","",IF(COUNTIF('Raw Decommissioning'!$B$2:$B$1000,B402)&gt;0,"Decommissioning",IF(COUNTIF('Raw Provisioning'!$B$2:$B$1000,B402)&gt;0,"Provisioning","Not in latest raw")))</x:f>
      </x:c>
      <x:c r="D402" s="170" t="str">
        <x:f>IF(B402="","",IFERROR(INDEX('Raw Decommissioning'!$E$2:$E$1000,MATCH(B402,'Raw Decommissioning'!$B$2:$B$1000,0)),IFERROR(INDEX('Raw Provisioning'!$E$2:$E$1000,MATCH(B402,'Raw Provisioning'!$B$2:$B$1000,0)),"Missing from latest raw")))</x:f>
      </x:c>
      <x:c r="E402" s="170" t="str">
        <x:f>IF(B402="","",IF(D402="completed","Completed in CSSP",IF(D402="executing","Active - Executing",IF(D402="processing","Ready to Assign",IF(D402="Missing from latest raw","Check Source","Not Managed - "&amp;D402)))))</x:f>
      </x:c>
      <x:c r="F402" s="170" t="str">
        <x:f>IF(B402="","",IFERROR(INDEX('Task Master'!$K$5:$K$804,MATCH(B402,'Task Master'!$A$5:$A$804,0)),""))</x:f>
      </x:c>
      <x:c r="G402" s="192"/>
      <x:c r="H402" s="192"/>
      <x:c r="I402" s="192"/>
      <x:c r="J402" s="192"/>
      <x:c r="K402" s="192"/>
      <x:c r="L402" s="196"/>
      <x:c r="M402" s="192"/>
      <x:c r="N402" s="192"/>
      <x:c r="O402" s="192"/>
      <x:c r="P402" s="192"/>
      <x:c r="Q402" s="170" t="str">
        <x:f>IF(OR(A402="",B402=""),"",IF(A402=LOOKUP(2,1/($B$5:$B$704=B402),$A$5:$A$704),"Yes","No"))</x:f>
      </x:c>
    </x:row>
    <x:row r="403">
      <x:c r="A403" s="194"/>
      <x:c r="B403" s="192"/>
      <x:c r="C403" s="170" t="str">
        <x:f>IF(B403="","",IF(COUNTIF('Raw Decommissioning'!$B$2:$B$1000,B403)&gt;0,"Decommissioning",IF(COUNTIF('Raw Provisioning'!$B$2:$B$1000,B403)&gt;0,"Provisioning","Not in latest raw")))</x:f>
      </x:c>
      <x:c r="D403" s="170" t="str">
        <x:f>IF(B403="","",IFERROR(INDEX('Raw Decommissioning'!$E$2:$E$1000,MATCH(B403,'Raw Decommissioning'!$B$2:$B$1000,0)),IFERROR(INDEX('Raw Provisioning'!$E$2:$E$1000,MATCH(B403,'Raw Provisioning'!$B$2:$B$1000,0)),"Missing from latest raw")))</x:f>
      </x:c>
      <x:c r="E403" s="170" t="str">
        <x:f>IF(B403="","",IF(D403="completed","Completed in CSSP",IF(D403="executing","Active - Executing",IF(D403="processing","Ready to Assign",IF(D403="Missing from latest raw","Check Source","Not Managed - "&amp;D403)))))</x:f>
      </x:c>
      <x:c r="F403" s="170" t="str">
        <x:f>IF(B403="","",IFERROR(INDEX('Task Master'!$K$5:$K$804,MATCH(B403,'Task Master'!$A$5:$A$804,0)),""))</x:f>
      </x:c>
      <x:c r="G403" s="192"/>
      <x:c r="H403" s="192"/>
      <x:c r="I403" s="192"/>
      <x:c r="J403" s="192"/>
      <x:c r="K403" s="192"/>
      <x:c r="L403" s="196"/>
      <x:c r="M403" s="192"/>
      <x:c r="N403" s="192"/>
      <x:c r="O403" s="192"/>
      <x:c r="P403" s="192"/>
      <x:c r="Q403" s="170" t="str">
        <x:f>IF(OR(A403="",B403=""),"",IF(A403=LOOKUP(2,1/($B$5:$B$704=B403),$A$5:$A$704),"Yes","No"))</x:f>
      </x:c>
    </x:row>
    <x:row r="404">
      <x:c r="A404" s="194"/>
      <x:c r="B404" s="192"/>
      <x:c r="C404" s="170" t="str">
        <x:f>IF(B404="","",IF(COUNTIF('Raw Decommissioning'!$B$2:$B$1000,B404)&gt;0,"Decommissioning",IF(COUNTIF('Raw Provisioning'!$B$2:$B$1000,B404)&gt;0,"Provisioning","Not in latest raw")))</x:f>
      </x:c>
      <x:c r="D404" s="170" t="str">
        <x:f>IF(B404="","",IFERROR(INDEX('Raw Decommissioning'!$E$2:$E$1000,MATCH(B404,'Raw Decommissioning'!$B$2:$B$1000,0)),IFERROR(INDEX('Raw Provisioning'!$E$2:$E$1000,MATCH(B404,'Raw Provisioning'!$B$2:$B$1000,0)),"Missing from latest raw")))</x:f>
      </x:c>
      <x:c r="E404" s="170" t="str">
        <x:f>IF(B404="","",IF(D404="completed","Completed in CSSP",IF(D404="executing","Active - Executing",IF(D404="processing","Ready to Assign",IF(D404="Missing from latest raw","Check Source","Not Managed - "&amp;D404)))))</x:f>
      </x:c>
      <x:c r="F404" s="170" t="str">
        <x:f>IF(B404="","",IFERROR(INDEX('Task Master'!$K$5:$K$804,MATCH(B404,'Task Master'!$A$5:$A$804,0)),""))</x:f>
      </x:c>
      <x:c r="G404" s="192"/>
      <x:c r="H404" s="192"/>
      <x:c r="I404" s="192"/>
      <x:c r="J404" s="192"/>
      <x:c r="K404" s="192"/>
      <x:c r="L404" s="196"/>
      <x:c r="M404" s="192"/>
      <x:c r="N404" s="192"/>
      <x:c r="O404" s="192"/>
      <x:c r="P404" s="192"/>
      <x:c r="Q404" s="170" t="str">
        <x:f>IF(OR(A404="",B404=""),"",IF(A404=LOOKUP(2,1/($B$5:$B$704=B404),$A$5:$A$704),"Yes","No"))</x:f>
      </x:c>
    </x:row>
    <x:row r="405">
      <x:c r="A405" s="194"/>
      <x:c r="B405" s="192"/>
      <x:c r="C405" s="170" t="str">
        <x:f>IF(B405="","",IF(COUNTIF('Raw Decommissioning'!$B$2:$B$1000,B405)&gt;0,"Decommissioning",IF(COUNTIF('Raw Provisioning'!$B$2:$B$1000,B405)&gt;0,"Provisioning","Not in latest raw")))</x:f>
      </x:c>
      <x:c r="D405" s="170" t="str">
        <x:f>IF(B405="","",IFERROR(INDEX('Raw Decommissioning'!$E$2:$E$1000,MATCH(B405,'Raw Decommissioning'!$B$2:$B$1000,0)),IFERROR(INDEX('Raw Provisioning'!$E$2:$E$1000,MATCH(B405,'Raw Provisioning'!$B$2:$B$1000,0)),"Missing from latest raw")))</x:f>
      </x:c>
      <x:c r="E405" s="170" t="str">
        <x:f>IF(B405="","",IF(D405="completed","Completed in CSSP",IF(D405="executing","Active - Executing",IF(D405="processing","Ready to Assign",IF(D405="Missing from latest raw","Check Source","Not Managed - "&amp;D405)))))</x:f>
      </x:c>
      <x:c r="F405" s="170" t="str">
        <x:f>IF(B405="","",IFERROR(INDEX('Task Master'!$K$5:$K$804,MATCH(B405,'Task Master'!$A$5:$A$804,0)),""))</x:f>
      </x:c>
      <x:c r="G405" s="192"/>
      <x:c r="H405" s="192"/>
      <x:c r="I405" s="192"/>
      <x:c r="J405" s="192"/>
      <x:c r="K405" s="192"/>
      <x:c r="L405" s="196"/>
      <x:c r="M405" s="192"/>
      <x:c r="N405" s="192"/>
      <x:c r="O405" s="192"/>
      <x:c r="P405" s="192"/>
      <x:c r="Q405" s="170" t="str">
        <x:f>IF(OR(A405="",B405=""),"",IF(A405=LOOKUP(2,1/($B$5:$B$704=B405),$A$5:$A$704),"Yes","No"))</x:f>
      </x:c>
    </x:row>
    <x:row r="406">
      <x:c r="A406" s="194"/>
      <x:c r="B406" s="192"/>
      <x:c r="C406" s="170" t="str">
        <x:f>IF(B406="","",IF(COUNTIF('Raw Decommissioning'!$B$2:$B$1000,B406)&gt;0,"Decommissioning",IF(COUNTIF('Raw Provisioning'!$B$2:$B$1000,B406)&gt;0,"Provisioning","Not in latest raw")))</x:f>
      </x:c>
      <x:c r="D406" s="170" t="str">
        <x:f>IF(B406="","",IFERROR(INDEX('Raw Decommissioning'!$E$2:$E$1000,MATCH(B406,'Raw Decommissioning'!$B$2:$B$1000,0)),IFERROR(INDEX('Raw Provisioning'!$E$2:$E$1000,MATCH(B406,'Raw Provisioning'!$B$2:$B$1000,0)),"Missing from latest raw")))</x:f>
      </x:c>
      <x:c r="E406" s="170" t="str">
        <x:f>IF(B406="","",IF(D406="completed","Completed in CSSP",IF(D406="executing","Active - Executing",IF(D406="processing","Ready to Assign",IF(D406="Missing from latest raw","Check Source","Not Managed - "&amp;D406)))))</x:f>
      </x:c>
      <x:c r="F406" s="170" t="str">
        <x:f>IF(B406="","",IFERROR(INDEX('Task Master'!$K$5:$K$804,MATCH(B406,'Task Master'!$A$5:$A$804,0)),""))</x:f>
      </x:c>
      <x:c r="G406" s="192"/>
      <x:c r="H406" s="192"/>
      <x:c r="I406" s="192"/>
      <x:c r="J406" s="192"/>
      <x:c r="K406" s="192"/>
      <x:c r="L406" s="196"/>
      <x:c r="M406" s="192"/>
      <x:c r="N406" s="192"/>
      <x:c r="O406" s="192"/>
      <x:c r="P406" s="192"/>
      <x:c r="Q406" s="170" t="str">
        <x:f>IF(OR(A406="",B406=""),"",IF(A406=LOOKUP(2,1/($B$5:$B$704=B406),$A$5:$A$704),"Yes","No"))</x:f>
      </x:c>
    </x:row>
    <x:row r="407">
      <x:c r="A407" s="194"/>
      <x:c r="B407" s="192"/>
      <x:c r="C407" s="170" t="str">
        <x:f>IF(B407="","",IF(COUNTIF('Raw Decommissioning'!$B$2:$B$1000,B407)&gt;0,"Decommissioning",IF(COUNTIF('Raw Provisioning'!$B$2:$B$1000,B407)&gt;0,"Provisioning","Not in latest raw")))</x:f>
      </x:c>
      <x:c r="D407" s="170" t="str">
        <x:f>IF(B407="","",IFERROR(INDEX('Raw Decommissioning'!$E$2:$E$1000,MATCH(B407,'Raw Decommissioning'!$B$2:$B$1000,0)),IFERROR(INDEX('Raw Provisioning'!$E$2:$E$1000,MATCH(B407,'Raw Provisioning'!$B$2:$B$1000,0)),"Missing from latest raw")))</x:f>
      </x:c>
      <x:c r="E407" s="170" t="str">
        <x:f>IF(B407="","",IF(D407="completed","Completed in CSSP",IF(D407="executing","Active - Executing",IF(D407="processing","Ready to Assign",IF(D407="Missing from latest raw","Check Source","Not Managed - "&amp;D407)))))</x:f>
      </x:c>
      <x:c r="F407" s="170" t="str">
        <x:f>IF(B407="","",IFERROR(INDEX('Task Master'!$K$5:$K$804,MATCH(B407,'Task Master'!$A$5:$A$804,0)),""))</x:f>
      </x:c>
      <x:c r="G407" s="192"/>
      <x:c r="H407" s="192"/>
      <x:c r="I407" s="192"/>
      <x:c r="J407" s="192"/>
      <x:c r="K407" s="192"/>
      <x:c r="L407" s="196"/>
      <x:c r="M407" s="192"/>
      <x:c r="N407" s="192"/>
      <x:c r="O407" s="192"/>
      <x:c r="P407" s="192"/>
      <x:c r="Q407" s="170" t="str">
        <x:f>IF(OR(A407="",B407=""),"",IF(A407=LOOKUP(2,1/($B$5:$B$704=B407),$A$5:$A$704),"Yes","No"))</x:f>
      </x:c>
    </x:row>
    <x:row r="408">
      <x:c r="A408" s="194"/>
      <x:c r="B408" s="192"/>
      <x:c r="C408" s="170" t="str">
        <x:f>IF(B408="","",IF(COUNTIF('Raw Decommissioning'!$B$2:$B$1000,B408)&gt;0,"Decommissioning",IF(COUNTIF('Raw Provisioning'!$B$2:$B$1000,B408)&gt;0,"Provisioning","Not in latest raw")))</x:f>
      </x:c>
      <x:c r="D408" s="170" t="str">
        <x:f>IF(B408="","",IFERROR(INDEX('Raw Decommissioning'!$E$2:$E$1000,MATCH(B408,'Raw Decommissioning'!$B$2:$B$1000,0)),IFERROR(INDEX('Raw Provisioning'!$E$2:$E$1000,MATCH(B408,'Raw Provisioning'!$B$2:$B$1000,0)),"Missing from latest raw")))</x:f>
      </x:c>
      <x:c r="E408" s="170" t="str">
        <x:f>IF(B408="","",IF(D408="completed","Completed in CSSP",IF(D408="executing","Active - Executing",IF(D408="processing","Ready to Assign",IF(D408="Missing from latest raw","Check Source","Not Managed - "&amp;D408)))))</x:f>
      </x:c>
      <x:c r="F408" s="170" t="str">
        <x:f>IF(B408="","",IFERROR(INDEX('Task Master'!$K$5:$K$804,MATCH(B408,'Task Master'!$A$5:$A$804,0)),""))</x:f>
      </x:c>
      <x:c r="G408" s="192"/>
      <x:c r="H408" s="192"/>
      <x:c r="I408" s="192"/>
      <x:c r="J408" s="192"/>
      <x:c r="K408" s="192"/>
      <x:c r="L408" s="196"/>
      <x:c r="M408" s="192"/>
      <x:c r="N408" s="192"/>
      <x:c r="O408" s="192"/>
      <x:c r="P408" s="192"/>
      <x:c r="Q408" s="170" t="str">
        <x:f>IF(OR(A408="",B408=""),"",IF(A408=LOOKUP(2,1/($B$5:$B$704=B408),$A$5:$A$704),"Yes","No"))</x:f>
      </x:c>
    </x:row>
    <x:row r="409">
      <x:c r="A409" s="194"/>
      <x:c r="B409" s="192"/>
      <x:c r="C409" s="170" t="str">
        <x:f>IF(B409="","",IF(COUNTIF('Raw Decommissioning'!$B$2:$B$1000,B409)&gt;0,"Decommissioning",IF(COUNTIF('Raw Provisioning'!$B$2:$B$1000,B409)&gt;0,"Provisioning","Not in latest raw")))</x:f>
      </x:c>
      <x:c r="D409" s="170" t="str">
        <x:f>IF(B409="","",IFERROR(INDEX('Raw Decommissioning'!$E$2:$E$1000,MATCH(B409,'Raw Decommissioning'!$B$2:$B$1000,0)),IFERROR(INDEX('Raw Provisioning'!$E$2:$E$1000,MATCH(B409,'Raw Provisioning'!$B$2:$B$1000,0)),"Missing from latest raw")))</x:f>
      </x:c>
      <x:c r="E409" s="170" t="str">
        <x:f>IF(B409="","",IF(D409="completed","Completed in CSSP",IF(D409="executing","Active - Executing",IF(D409="processing","Ready to Assign",IF(D409="Missing from latest raw","Check Source","Not Managed - "&amp;D409)))))</x:f>
      </x:c>
      <x:c r="F409" s="170" t="str">
        <x:f>IF(B409="","",IFERROR(INDEX('Task Master'!$K$5:$K$804,MATCH(B409,'Task Master'!$A$5:$A$804,0)),""))</x:f>
      </x:c>
      <x:c r="G409" s="192"/>
      <x:c r="H409" s="192"/>
      <x:c r="I409" s="192"/>
      <x:c r="J409" s="192"/>
      <x:c r="K409" s="192"/>
      <x:c r="L409" s="196"/>
      <x:c r="M409" s="192"/>
      <x:c r="N409" s="192"/>
      <x:c r="O409" s="192"/>
      <x:c r="P409" s="192"/>
      <x:c r="Q409" s="170" t="str">
        <x:f>IF(OR(A409="",B409=""),"",IF(A409=LOOKUP(2,1/($B$5:$B$704=B409),$A$5:$A$704),"Yes","No"))</x:f>
      </x:c>
    </x:row>
    <x:row r="410">
      <x:c r="A410" s="194"/>
      <x:c r="B410" s="192"/>
      <x:c r="C410" s="170" t="str">
        <x:f>IF(B410="","",IF(COUNTIF('Raw Decommissioning'!$B$2:$B$1000,B410)&gt;0,"Decommissioning",IF(COUNTIF('Raw Provisioning'!$B$2:$B$1000,B410)&gt;0,"Provisioning","Not in latest raw")))</x:f>
      </x:c>
      <x:c r="D410" s="170" t="str">
        <x:f>IF(B410="","",IFERROR(INDEX('Raw Decommissioning'!$E$2:$E$1000,MATCH(B410,'Raw Decommissioning'!$B$2:$B$1000,0)),IFERROR(INDEX('Raw Provisioning'!$E$2:$E$1000,MATCH(B410,'Raw Provisioning'!$B$2:$B$1000,0)),"Missing from latest raw")))</x:f>
      </x:c>
      <x:c r="E410" s="170" t="str">
        <x:f>IF(B410="","",IF(D410="completed","Completed in CSSP",IF(D410="executing","Active - Executing",IF(D410="processing","Ready to Assign",IF(D410="Missing from latest raw","Check Source","Not Managed - "&amp;D410)))))</x:f>
      </x:c>
      <x:c r="F410" s="170" t="str">
        <x:f>IF(B410="","",IFERROR(INDEX('Task Master'!$K$5:$K$804,MATCH(B410,'Task Master'!$A$5:$A$804,0)),""))</x:f>
      </x:c>
      <x:c r="G410" s="192"/>
      <x:c r="H410" s="192"/>
      <x:c r="I410" s="192"/>
      <x:c r="J410" s="192"/>
      <x:c r="K410" s="192"/>
      <x:c r="L410" s="196"/>
      <x:c r="M410" s="192"/>
      <x:c r="N410" s="192"/>
      <x:c r="O410" s="192"/>
      <x:c r="P410" s="192"/>
      <x:c r="Q410" s="170" t="str">
        <x:f>IF(OR(A410="",B410=""),"",IF(A410=LOOKUP(2,1/($B$5:$B$704=B410),$A$5:$A$704),"Yes","No"))</x:f>
      </x:c>
    </x:row>
    <x:row r="411">
      <x:c r="A411" s="194"/>
      <x:c r="B411" s="192"/>
      <x:c r="C411" s="170" t="str">
        <x:f>IF(B411="","",IF(COUNTIF('Raw Decommissioning'!$B$2:$B$1000,B411)&gt;0,"Decommissioning",IF(COUNTIF('Raw Provisioning'!$B$2:$B$1000,B411)&gt;0,"Provisioning","Not in latest raw")))</x:f>
      </x:c>
      <x:c r="D411" s="170" t="str">
        <x:f>IF(B411="","",IFERROR(INDEX('Raw Decommissioning'!$E$2:$E$1000,MATCH(B411,'Raw Decommissioning'!$B$2:$B$1000,0)),IFERROR(INDEX('Raw Provisioning'!$E$2:$E$1000,MATCH(B411,'Raw Provisioning'!$B$2:$B$1000,0)),"Missing from latest raw")))</x:f>
      </x:c>
      <x:c r="E411" s="170" t="str">
        <x:f>IF(B411="","",IF(D411="completed","Completed in CSSP",IF(D411="executing","Active - Executing",IF(D411="processing","Ready to Assign",IF(D411="Missing from latest raw","Check Source","Not Managed - "&amp;D411)))))</x:f>
      </x:c>
      <x:c r="F411" s="170" t="str">
        <x:f>IF(B411="","",IFERROR(INDEX('Task Master'!$K$5:$K$804,MATCH(B411,'Task Master'!$A$5:$A$804,0)),""))</x:f>
      </x:c>
      <x:c r="G411" s="192"/>
      <x:c r="H411" s="192"/>
      <x:c r="I411" s="192"/>
      <x:c r="J411" s="192"/>
      <x:c r="K411" s="192"/>
      <x:c r="L411" s="196"/>
      <x:c r="M411" s="192"/>
      <x:c r="N411" s="192"/>
      <x:c r="O411" s="192"/>
      <x:c r="P411" s="192"/>
      <x:c r="Q411" s="170" t="str">
        <x:f>IF(OR(A411="",B411=""),"",IF(A411=LOOKUP(2,1/($B$5:$B$704=B411),$A$5:$A$704),"Yes","No"))</x:f>
      </x:c>
    </x:row>
    <x:row r="412">
      <x:c r="A412" s="194"/>
      <x:c r="B412" s="192"/>
      <x:c r="C412" s="170" t="str">
        <x:f>IF(B412="","",IF(COUNTIF('Raw Decommissioning'!$B$2:$B$1000,B412)&gt;0,"Decommissioning",IF(COUNTIF('Raw Provisioning'!$B$2:$B$1000,B412)&gt;0,"Provisioning","Not in latest raw")))</x:f>
      </x:c>
      <x:c r="D412" s="170" t="str">
        <x:f>IF(B412="","",IFERROR(INDEX('Raw Decommissioning'!$E$2:$E$1000,MATCH(B412,'Raw Decommissioning'!$B$2:$B$1000,0)),IFERROR(INDEX('Raw Provisioning'!$E$2:$E$1000,MATCH(B412,'Raw Provisioning'!$B$2:$B$1000,0)),"Missing from latest raw")))</x:f>
      </x:c>
      <x:c r="E412" s="170" t="str">
        <x:f>IF(B412="","",IF(D412="completed","Completed in CSSP",IF(D412="executing","Active - Executing",IF(D412="processing","Ready to Assign",IF(D412="Missing from latest raw","Check Source","Not Managed - "&amp;D412)))))</x:f>
      </x:c>
      <x:c r="F412" s="170" t="str">
        <x:f>IF(B412="","",IFERROR(INDEX('Task Master'!$K$5:$K$804,MATCH(B412,'Task Master'!$A$5:$A$804,0)),""))</x:f>
      </x:c>
      <x:c r="G412" s="192"/>
      <x:c r="H412" s="192"/>
      <x:c r="I412" s="192"/>
      <x:c r="J412" s="192"/>
      <x:c r="K412" s="192"/>
      <x:c r="L412" s="196"/>
      <x:c r="M412" s="192"/>
      <x:c r="N412" s="192"/>
      <x:c r="O412" s="192"/>
      <x:c r="P412" s="192"/>
      <x:c r="Q412" s="170" t="str">
        <x:f>IF(OR(A412="",B412=""),"",IF(A412=LOOKUP(2,1/($B$5:$B$704=B412),$A$5:$A$704),"Yes","No"))</x:f>
      </x:c>
    </x:row>
    <x:row r="413">
      <x:c r="A413" s="194"/>
      <x:c r="B413" s="192"/>
      <x:c r="C413" s="170" t="str">
        <x:f>IF(B413="","",IF(COUNTIF('Raw Decommissioning'!$B$2:$B$1000,B413)&gt;0,"Decommissioning",IF(COUNTIF('Raw Provisioning'!$B$2:$B$1000,B413)&gt;0,"Provisioning","Not in latest raw")))</x:f>
      </x:c>
      <x:c r="D413" s="170" t="str">
        <x:f>IF(B413="","",IFERROR(INDEX('Raw Decommissioning'!$E$2:$E$1000,MATCH(B413,'Raw Decommissioning'!$B$2:$B$1000,0)),IFERROR(INDEX('Raw Provisioning'!$E$2:$E$1000,MATCH(B413,'Raw Provisioning'!$B$2:$B$1000,0)),"Missing from latest raw")))</x:f>
      </x:c>
      <x:c r="E413" s="170" t="str">
        <x:f>IF(B413="","",IF(D413="completed","Completed in CSSP",IF(D413="executing","Active - Executing",IF(D413="processing","Ready to Assign",IF(D413="Missing from latest raw","Check Source","Not Managed - "&amp;D413)))))</x:f>
      </x:c>
      <x:c r="F413" s="170" t="str">
        <x:f>IF(B413="","",IFERROR(INDEX('Task Master'!$K$5:$K$804,MATCH(B413,'Task Master'!$A$5:$A$804,0)),""))</x:f>
      </x:c>
      <x:c r="G413" s="192"/>
      <x:c r="H413" s="192"/>
      <x:c r="I413" s="192"/>
      <x:c r="J413" s="192"/>
      <x:c r="K413" s="192"/>
      <x:c r="L413" s="196"/>
      <x:c r="M413" s="192"/>
      <x:c r="N413" s="192"/>
      <x:c r="O413" s="192"/>
      <x:c r="P413" s="192"/>
      <x:c r="Q413" s="170" t="str">
        <x:f>IF(OR(A413="",B413=""),"",IF(A413=LOOKUP(2,1/($B$5:$B$704=B413),$A$5:$A$704),"Yes","No"))</x:f>
      </x:c>
    </x:row>
    <x:row r="414">
      <x:c r="A414" s="194"/>
      <x:c r="B414" s="192"/>
      <x:c r="C414" s="170" t="str">
        <x:f>IF(B414="","",IF(COUNTIF('Raw Decommissioning'!$B$2:$B$1000,B414)&gt;0,"Decommissioning",IF(COUNTIF('Raw Provisioning'!$B$2:$B$1000,B414)&gt;0,"Provisioning","Not in latest raw")))</x:f>
      </x:c>
      <x:c r="D414" s="170" t="str">
        <x:f>IF(B414="","",IFERROR(INDEX('Raw Decommissioning'!$E$2:$E$1000,MATCH(B414,'Raw Decommissioning'!$B$2:$B$1000,0)),IFERROR(INDEX('Raw Provisioning'!$E$2:$E$1000,MATCH(B414,'Raw Provisioning'!$B$2:$B$1000,0)),"Missing from latest raw")))</x:f>
      </x:c>
      <x:c r="E414" s="170" t="str">
        <x:f>IF(B414="","",IF(D414="completed","Completed in CSSP",IF(D414="executing","Active - Executing",IF(D414="processing","Ready to Assign",IF(D414="Missing from latest raw","Check Source","Not Managed - "&amp;D414)))))</x:f>
      </x:c>
      <x:c r="F414" s="170" t="str">
        <x:f>IF(B414="","",IFERROR(INDEX('Task Master'!$K$5:$K$804,MATCH(B414,'Task Master'!$A$5:$A$804,0)),""))</x:f>
      </x:c>
      <x:c r="G414" s="192"/>
      <x:c r="H414" s="192"/>
      <x:c r="I414" s="192"/>
      <x:c r="J414" s="192"/>
      <x:c r="K414" s="192"/>
      <x:c r="L414" s="196"/>
      <x:c r="M414" s="192"/>
      <x:c r="N414" s="192"/>
      <x:c r="O414" s="192"/>
      <x:c r="P414" s="192"/>
      <x:c r="Q414" s="170" t="str">
        <x:f>IF(OR(A414="",B414=""),"",IF(A414=LOOKUP(2,1/($B$5:$B$704=B414),$A$5:$A$704),"Yes","No"))</x:f>
      </x:c>
    </x:row>
    <x:row r="415">
      <x:c r="A415" s="194"/>
      <x:c r="B415" s="192"/>
      <x:c r="C415" s="170" t="str">
        <x:f>IF(B415="","",IF(COUNTIF('Raw Decommissioning'!$B$2:$B$1000,B415)&gt;0,"Decommissioning",IF(COUNTIF('Raw Provisioning'!$B$2:$B$1000,B415)&gt;0,"Provisioning","Not in latest raw")))</x:f>
      </x:c>
      <x:c r="D415" s="170" t="str">
        <x:f>IF(B415="","",IFERROR(INDEX('Raw Decommissioning'!$E$2:$E$1000,MATCH(B415,'Raw Decommissioning'!$B$2:$B$1000,0)),IFERROR(INDEX('Raw Provisioning'!$E$2:$E$1000,MATCH(B415,'Raw Provisioning'!$B$2:$B$1000,0)),"Missing from latest raw")))</x:f>
      </x:c>
      <x:c r="E415" s="170" t="str">
        <x:f>IF(B415="","",IF(D415="completed","Completed in CSSP",IF(D415="executing","Active - Executing",IF(D415="processing","Ready to Assign",IF(D415="Missing from latest raw","Check Source","Not Managed - "&amp;D415)))))</x:f>
      </x:c>
      <x:c r="F415" s="170" t="str">
        <x:f>IF(B415="","",IFERROR(INDEX('Task Master'!$K$5:$K$804,MATCH(B415,'Task Master'!$A$5:$A$804,0)),""))</x:f>
      </x:c>
      <x:c r="G415" s="192"/>
      <x:c r="H415" s="192"/>
      <x:c r="I415" s="192"/>
      <x:c r="J415" s="192"/>
      <x:c r="K415" s="192"/>
      <x:c r="L415" s="196"/>
      <x:c r="M415" s="192"/>
      <x:c r="N415" s="192"/>
      <x:c r="O415" s="192"/>
      <x:c r="P415" s="192"/>
      <x:c r="Q415" s="170" t="str">
        <x:f>IF(OR(A415="",B415=""),"",IF(A415=LOOKUP(2,1/($B$5:$B$704=B415),$A$5:$A$704),"Yes","No"))</x:f>
      </x:c>
    </x:row>
    <x:row r="416">
      <x:c r="A416" s="194"/>
      <x:c r="B416" s="192"/>
      <x:c r="C416" s="170" t="str">
        <x:f>IF(B416="","",IF(COUNTIF('Raw Decommissioning'!$B$2:$B$1000,B416)&gt;0,"Decommissioning",IF(COUNTIF('Raw Provisioning'!$B$2:$B$1000,B416)&gt;0,"Provisioning","Not in latest raw")))</x:f>
      </x:c>
      <x:c r="D416" s="170" t="str">
        <x:f>IF(B416="","",IFERROR(INDEX('Raw Decommissioning'!$E$2:$E$1000,MATCH(B416,'Raw Decommissioning'!$B$2:$B$1000,0)),IFERROR(INDEX('Raw Provisioning'!$E$2:$E$1000,MATCH(B416,'Raw Provisioning'!$B$2:$B$1000,0)),"Missing from latest raw")))</x:f>
      </x:c>
      <x:c r="E416" s="170" t="str">
        <x:f>IF(B416="","",IF(D416="completed","Completed in CSSP",IF(D416="executing","Active - Executing",IF(D416="processing","Ready to Assign",IF(D416="Missing from latest raw","Check Source","Not Managed - "&amp;D416)))))</x:f>
      </x:c>
      <x:c r="F416" s="170" t="str">
        <x:f>IF(B416="","",IFERROR(INDEX('Task Master'!$K$5:$K$804,MATCH(B416,'Task Master'!$A$5:$A$804,0)),""))</x:f>
      </x:c>
      <x:c r="G416" s="192"/>
      <x:c r="H416" s="192"/>
      <x:c r="I416" s="192"/>
      <x:c r="J416" s="192"/>
      <x:c r="K416" s="192"/>
      <x:c r="L416" s="196"/>
      <x:c r="M416" s="192"/>
      <x:c r="N416" s="192"/>
      <x:c r="O416" s="192"/>
      <x:c r="P416" s="192"/>
      <x:c r="Q416" s="170" t="str">
        <x:f>IF(OR(A416="",B416=""),"",IF(A416=LOOKUP(2,1/($B$5:$B$704=B416),$A$5:$A$704),"Yes","No"))</x:f>
      </x:c>
    </x:row>
    <x:row r="417">
      <x:c r="A417" s="194"/>
      <x:c r="B417" s="192"/>
      <x:c r="C417" s="170" t="str">
        <x:f>IF(B417="","",IF(COUNTIF('Raw Decommissioning'!$B$2:$B$1000,B417)&gt;0,"Decommissioning",IF(COUNTIF('Raw Provisioning'!$B$2:$B$1000,B417)&gt;0,"Provisioning","Not in latest raw")))</x:f>
      </x:c>
      <x:c r="D417" s="170" t="str">
        <x:f>IF(B417="","",IFERROR(INDEX('Raw Decommissioning'!$E$2:$E$1000,MATCH(B417,'Raw Decommissioning'!$B$2:$B$1000,0)),IFERROR(INDEX('Raw Provisioning'!$E$2:$E$1000,MATCH(B417,'Raw Provisioning'!$B$2:$B$1000,0)),"Missing from latest raw")))</x:f>
      </x:c>
      <x:c r="E417" s="170" t="str">
        <x:f>IF(B417="","",IF(D417="completed","Completed in CSSP",IF(D417="executing","Active - Executing",IF(D417="processing","Ready to Assign",IF(D417="Missing from latest raw","Check Source","Not Managed - "&amp;D417)))))</x:f>
      </x:c>
      <x:c r="F417" s="170" t="str">
        <x:f>IF(B417="","",IFERROR(INDEX('Task Master'!$K$5:$K$804,MATCH(B417,'Task Master'!$A$5:$A$804,0)),""))</x:f>
      </x:c>
      <x:c r="G417" s="192"/>
      <x:c r="H417" s="192"/>
      <x:c r="I417" s="192"/>
      <x:c r="J417" s="192"/>
      <x:c r="K417" s="192"/>
      <x:c r="L417" s="196"/>
      <x:c r="M417" s="192"/>
      <x:c r="N417" s="192"/>
      <x:c r="O417" s="192"/>
      <x:c r="P417" s="192"/>
      <x:c r="Q417" s="170" t="str">
        <x:f>IF(OR(A417="",B417=""),"",IF(A417=LOOKUP(2,1/($B$5:$B$704=B417),$A$5:$A$704),"Yes","No"))</x:f>
      </x:c>
    </x:row>
    <x:row r="418">
      <x:c r="A418" s="194"/>
      <x:c r="B418" s="192"/>
      <x:c r="C418" s="170" t="str">
        <x:f>IF(B418="","",IF(COUNTIF('Raw Decommissioning'!$B$2:$B$1000,B418)&gt;0,"Decommissioning",IF(COUNTIF('Raw Provisioning'!$B$2:$B$1000,B418)&gt;0,"Provisioning","Not in latest raw")))</x:f>
      </x:c>
      <x:c r="D418" s="170" t="str">
        <x:f>IF(B418="","",IFERROR(INDEX('Raw Decommissioning'!$E$2:$E$1000,MATCH(B418,'Raw Decommissioning'!$B$2:$B$1000,0)),IFERROR(INDEX('Raw Provisioning'!$E$2:$E$1000,MATCH(B418,'Raw Provisioning'!$B$2:$B$1000,0)),"Missing from latest raw")))</x:f>
      </x:c>
      <x:c r="E418" s="170" t="str">
        <x:f>IF(B418="","",IF(D418="completed","Completed in CSSP",IF(D418="executing","Active - Executing",IF(D418="processing","Ready to Assign",IF(D418="Missing from latest raw","Check Source","Not Managed - "&amp;D418)))))</x:f>
      </x:c>
      <x:c r="F418" s="170" t="str">
        <x:f>IF(B418="","",IFERROR(INDEX('Task Master'!$K$5:$K$804,MATCH(B418,'Task Master'!$A$5:$A$804,0)),""))</x:f>
      </x:c>
      <x:c r="G418" s="192"/>
      <x:c r="H418" s="192"/>
      <x:c r="I418" s="192"/>
      <x:c r="J418" s="192"/>
      <x:c r="K418" s="192"/>
      <x:c r="L418" s="196"/>
      <x:c r="M418" s="192"/>
      <x:c r="N418" s="192"/>
      <x:c r="O418" s="192"/>
      <x:c r="P418" s="192"/>
      <x:c r="Q418" s="170" t="str">
        <x:f>IF(OR(A418="",B418=""),"",IF(A418=LOOKUP(2,1/($B$5:$B$704=B418),$A$5:$A$704),"Yes","No"))</x:f>
      </x:c>
    </x:row>
    <x:row r="419">
      <x:c r="A419" s="194"/>
      <x:c r="B419" s="192"/>
      <x:c r="C419" s="170" t="str">
        <x:f>IF(B419="","",IF(COUNTIF('Raw Decommissioning'!$B$2:$B$1000,B419)&gt;0,"Decommissioning",IF(COUNTIF('Raw Provisioning'!$B$2:$B$1000,B419)&gt;0,"Provisioning","Not in latest raw")))</x:f>
      </x:c>
      <x:c r="D419" s="170" t="str">
        <x:f>IF(B419="","",IFERROR(INDEX('Raw Decommissioning'!$E$2:$E$1000,MATCH(B419,'Raw Decommissioning'!$B$2:$B$1000,0)),IFERROR(INDEX('Raw Provisioning'!$E$2:$E$1000,MATCH(B419,'Raw Provisioning'!$B$2:$B$1000,0)),"Missing from latest raw")))</x:f>
      </x:c>
      <x:c r="E419" s="170" t="str">
        <x:f>IF(B419="","",IF(D419="completed","Completed in CSSP",IF(D419="executing","Active - Executing",IF(D419="processing","Ready to Assign",IF(D419="Missing from latest raw","Check Source","Not Managed - "&amp;D419)))))</x:f>
      </x:c>
      <x:c r="F419" s="170" t="str">
        <x:f>IF(B419="","",IFERROR(INDEX('Task Master'!$K$5:$K$804,MATCH(B419,'Task Master'!$A$5:$A$804,0)),""))</x:f>
      </x:c>
      <x:c r="G419" s="192"/>
      <x:c r="H419" s="192"/>
      <x:c r="I419" s="192"/>
      <x:c r="J419" s="192"/>
      <x:c r="K419" s="192"/>
      <x:c r="L419" s="196"/>
      <x:c r="M419" s="192"/>
      <x:c r="N419" s="192"/>
      <x:c r="O419" s="192"/>
      <x:c r="P419" s="192"/>
      <x:c r="Q419" s="170" t="str">
        <x:f>IF(OR(A419="",B419=""),"",IF(A419=LOOKUP(2,1/($B$5:$B$704=B419),$A$5:$A$704),"Yes","No"))</x:f>
      </x:c>
    </x:row>
    <x:row r="420">
      <x:c r="A420" s="194"/>
      <x:c r="B420" s="192"/>
      <x:c r="C420" s="170" t="str">
        <x:f>IF(B420="","",IF(COUNTIF('Raw Decommissioning'!$B$2:$B$1000,B420)&gt;0,"Decommissioning",IF(COUNTIF('Raw Provisioning'!$B$2:$B$1000,B420)&gt;0,"Provisioning","Not in latest raw")))</x:f>
      </x:c>
      <x:c r="D420" s="170" t="str">
        <x:f>IF(B420="","",IFERROR(INDEX('Raw Decommissioning'!$E$2:$E$1000,MATCH(B420,'Raw Decommissioning'!$B$2:$B$1000,0)),IFERROR(INDEX('Raw Provisioning'!$E$2:$E$1000,MATCH(B420,'Raw Provisioning'!$B$2:$B$1000,0)),"Missing from latest raw")))</x:f>
      </x:c>
      <x:c r="E420" s="170" t="str">
        <x:f>IF(B420="","",IF(D420="completed","Completed in CSSP",IF(D420="executing","Active - Executing",IF(D420="processing","Ready to Assign",IF(D420="Missing from latest raw","Check Source","Not Managed - "&amp;D420)))))</x:f>
      </x:c>
      <x:c r="F420" s="170" t="str">
        <x:f>IF(B420="","",IFERROR(INDEX('Task Master'!$K$5:$K$804,MATCH(B420,'Task Master'!$A$5:$A$804,0)),""))</x:f>
      </x:c>
      <x:c r="G420" s="192"/>
      <x:c r="H420" s="192"/>
      <x:c r="I420" s="192"/>
      <x:c r="J420" s="192"/>
      <x:c r="K420" s="192"/>
      <x:c r="L420" s="196"/>
      <x:c r="M420" s="192"/>
      <x:c r="N420" s="192"/>
      <x:c r="O420" s="192"/>
      <x:c r="P420" s="192"/>
      <x:c r="Q420" s="170" t="str">
        <x:f>IF(OR(A420="",B420=""),"",IF(A420=LOOKUP(2,1/($B$5:$B$704=B420),$A$5:$A$704),"Yes","No"))</x:f>
      </x:c>
    </x:row>
    <x:row r="421">
      <x:c r="A421" s="194"/>
      <x:c r="B421" s="192"/>
      <x:c r="C421" s="170" t="str">
        <x:f>IF(B421="","",IF(COUNTIF('Raw Decommissioning'!$B$2:$B$1000,B421)&gt;0,"Decommissioning",IF(COUNTIF('Raw Provisioning'!$B$2:$B$1000,B421)&gt;0,"Provisioning","Not in latest raw")))</x:f>
      </x:c>
      <x:c r="D421" s="170" t="str">
        <x:f>IF(B421="","",IFERROR(INDEX('Raw Decommissioning'!$E$2:$E$1000,MATCH(B421,'Raw Decommissioning'!$B$2:$B$1000,0)),IFERROR(INDEX('Raw Provisioning'!$E$2:$E$1000,MATCH(B421,'Raw Provisioning'!$B$2:$B$1000,0)),"Missing from latest raw")))</x:f>
      </x:c>
      <x:c r="E421" s="170" t="str">
        <x:f>IF(B421="","",IF(D421="completed","Completed in CSSP",IF(D421="executing","Active - Executing",IF(D421="processing","Ready to Assign",IF(D421="Missing from latest raw","Check Source","Not Managed - "&amp;D421)))))</x:f>
      </x:c>
      <x:c r="F421" s="170" t="str">
        <x:f>IF(B421="","",IFERROR(INDEX('Task Master'!$K$5:$K$804,MATCH(B421,'Task Master'!$A$5:$A$804,0)),""))</x:f>
      </x:c>
      <x:c r="G421" s="192"/>
      <x:c r="H421" s="192"/>
      <x:c r="I421" s="192"/>
      <x:c r="J421" s="192"/>
      <x:c r="K421" s="192"/>
      <x:c r="L421" s="196"/>
      <x:c r="M421" s="192"/>
      <x:c r="N421" s="192"/>
      <x:c r="O421" s="192"/>
      <x:c r="P421" s="192"/>
      <x:c r="Q421" s="170" t="str">
        <x:f>IF(OR(A421="",B421=""),"",IF(A421=LOOKUP(2,1/($B$5:$B$704=B421),$A$5:$A$704),"Yes","No"))</x:f>
      </x:c>
    </x:row>
    <x:row r="422">
      <x:c r="A422" s="194"/>
      <x:c r="B422" s="192"/>
      <x:c r="C422" s="170" t="str">
        <x:f>IF(B422="","",IF(COUNTIF('Raw Decommissioning'!$B$2:$B$1000,B422)&gt;0,"Decommissioning",IF(COUNTIF('Raw Provisioning'!$B$2:$B$1000,B422)&gt;0,"Provisioning","Not in latest raw")))</x:f>
      </x:c>
      <x:c r="D422" s="170" t="str">
        <x:f>IF(B422="","",IFERROR(INDEX('Raw Decommissioning'!$E$2:$E$1000,MATCH(B422,'Raw Decommissioning'!$B$2:$B$1000,0)),IFERROR(INDEX('Raw Provisioning'!$E$2:$E$1000,MATCH(B422,'Raw Provisioning'!$B$2:$B$1000,0)),"Missing from latest raw")))</x:f>
      </x:c>
      <x:c r="E422" s="170" t="str">
        <x:f>IF(B422="","",IF(D422="completed","Completed in CSSP",IF(D422="executing","Active - Executing",IF(D422="processing","Ready to Assign",IF(D422="Missing from latest raw","Check Source","Not Managed - "&amp;D422)))))</x:f>
      </x:c>
      <x:c r="F422" s="170" t="str">
        <x:f>IF(B422="","",IFERROR(INDEX('Task Master'!$K$5:$K$804,MATCH(B422,'Task Master'!$A$5:$A$804,0)),""))</x:f>
      </x:c>
      <x:c r="G422" s="192"/>
      <x:c r="H422" s="192"/>
      <x:c r="I422" s="192"/>
      <x:c r="J422" s="192"/>
      <x:c r="K422" s="192"/>
      <x:c r="L422" s="196"/>
      <x:c r="M422" s="192"/>
      <x:c r="N422" s="192"/>
      <x:c r="O422" s="192"/>
      <x:c r="P422" s="192"/>
      <x:c r="Q422" s="170" t="str">
        <x:f>IF(OR(A422="",B422=""),"",IF(A422=LOOKUP(2,1/($B$5:$B$704=B422),$A$5:$A$704),"Yes","No"))</x:f>
      </x:c>
    </x:row>
    <x:row r="423">
      <x:c r="A423" s="194"/>
      <x:c r="B423" s="192"/>
      <x:c r="C423" s="170" t="str">
        <x:f>IF(B423="","",IF(COUNTIF('Raw Decommissioning'!$B$2:$B$1000,B423)&gt;0,"Decommissioning",IF(COUNTIF('Raw Provisioning'!$B$2:$B$1000,B423)&gt;0,"Provisioning","Not in latest raw")))</x:f>
      </x:c>
      <x:c r="D423" s="170" t="str">
        <x:f>IF(B423="","",IFERROR(INDEX('Raw Decommissioning'!$E$2:$E$1000,MATCH(B423,'Raw Decommissioning'!$B$2:$B$1000,0)),IFERROR(INDEX('Raw Provisioning'!$E$2:$E$1000,MATCH(B423,'Raw Provisioning'!$B$2:$B$1000,0)),"Missing from latest raw")))</x:f>
      </x:c>
      <x:c r="E423" s="170" t="str">
        <x:f>IF(B423="","",IF(D423="completed","Completed in CSSP",IF(D423="executing","Active - Executing",IF(D423="processing","Ready to Assign",IF(D423="Missing from latest raw","Check Source","Not Managed - "&amp;D423)))))</x:f>
      </x:c>
      <x:c r="F423" s="170" t="str">
        <x:f>IF(B423="","",IFERROR(INDEX('Task Master'!$K$5:$K$804,MATCH(B423,'Task Master'!$A$5:$A$804,0)),""))</x:f>
      </x:c>
      <x:c r="G423" s="192"/>
      <x:c r="H423" s="192"/>
      <x:c r="I423" s="192"/>
      <x:c r="J423" s="192"/>
      <x:c r="K423" s="192"/>
      <x:c r="L423" s="196"/>
      <x:c r="M423" s="192"/>
      <x:c r="N423" s="192"/>
      <x:c r="O423" s="192"/>
      <x:c r="P423" s="192"/>
      <x:c r="Q423" s="170" t="str">
        <x:f>IF(OR(A423="",B423=""),"",IF(A423=LOOKUP(2,1/($B$5:$B$704=B423),$A$5:$A$704),"Yes","No"))</x:f>
      </x:c>
    </x:row>
    <x:row r="424">
      <x:c r="A424" s="194"/>
      <x:c r="B424" s="192"/>
      <x:c r="C424" s="170" t="str">
        <x:f>IF(B424="","",IF(COUNTIF('Raw Decommissioning'!$B$2:$B$1000,B424)&gt;0,"Decommissioning",IF(COUNTIF('Raw Provisioning'!$B$2:$B$1000,B424)&gt;0,"Provisioning","Not in latest raw")))</x:f>
      </x:c>
      <x:c r="D424" s="170" t="str">
        <x:f>IF(B424="","",IFERROR(INDEX('Raw Decommissioning'!$E$2:$E$1000,MATCH(B424,'Raw Decommissioning'!$B$2:$B$1000,0)),IFERROR(INDEX('Raw Provisioning'!$E$2:$E$1000,MATCH(B424,'Raw Provisioning'!$B$2:$B$1000,0)),"Missing from latest raw")))</x:f>
      </x:c>
      <x:c r="E424" s="170" t="str">
        <x:f>IF(B424="","",IF(D424="completed","Completed in CSSP",IF(D424="executing","Active - Executing",IF(D424="processing","Ready to Assign",IF(D424="Missing from latest raw","Check Source","Not Managed - "&amp;D424)))))</x:f>
      </x:c>
      <x:c r="F424" s="170" t="str">
        <x:f>IF(B424="","",IFERROR(INDEX('Task Master'!$K$5:$K$804,MATCH(B424,'Task Master'!$A$5:$A$804,0)),""))</x:f>
      </x:c>
      <x:c r="G424" s="192"/>
      <x:c r="H424" s="192"/>
      <x:c r="I424" s="192"/>
      <x:c r="J424" s="192"/>
      <x:c r="K424" s="192"/>
      <x:c r="L424" s="196"/>
      <x:c r="M424" s="192"/>
      <x:c r="N424" s="192"/>
      <x:c r="O424" s="192"/>
      <x:c r="P424" s="192"/>
      <x:c r="Q424" s="170" t="str">
        <x:f>IF(OR(A424="",B424=""),"",IF(A424=LOOKUP(2,1/($B$5:$B$704=B424),$A$5:$A$704),"Yes","No"))</x:f>
      </x:c>
    </x:row>
    <x:row r="425">
      <x:c r="A425" s="194"/>
      <x:c r="B425" s="192"/>
      <x:c r="C425" s="170" t="str">
        <x:f>IF(B425="","",IF(COUNTIF('Raw Decommissioning'!$B$2:$B$1000,B425)&gt;0,"Decommissioning",IF(COUNTIF('Raw Provisioning'!$B$2:$B$1000,B425)&gt;0,"Provisioning","Not in latest raw")))</x:f>
      </x:c>
      <x:c r="D425" s="170" t="str">
        <x:f>IF(B425="","",IFERROR(INDEX('Raw Decommissioning'!$E$2:$E$1000,MATCH(B425,'Raw Decommissioning'!$B$2:$B$1000,0)),IFERROR(INDEX('Raw Provisioning'!$E$2:$E$1000,MATCH(B425,'Raw Provisioning'!$B$2:$B$1000,0)),"Missing from latest raw")))</x:f>
      </x:c>
      <x:c r="E425" s="170" t="str">
        <x:f>IF(B425="","",IF(D425="completed","Completed in CSSP",IF(D425="executing","Active - Executing",IF(D425="processing","Ready to Assign",IF(D425="Missing from latest raw","Check Source","Not Managed - "&amp;D425)))))</x:f>
      </x:c>
      <x:c r="F425" s="170" t="str">
        <x:f>IF(B425="","",IFERROR(INDEX('Task Master'!$K$5:$K$804,MATCH(B425,'Task Master'!$A$5:$A$804,0)),""))</x:f>
      </x:c>
      <x:c r="G425" s="192"/>
      <x:c r="H425" s="192"/>
      <x:c r="I425" s="192"/>
      <x:c r="J425" s="192"/>
      <x:c r="K425" s="192"/>
      <x:c r="L425" s="196"/>
      <x:c r="M425" s="192"/>
      <x:c r="N425" s="192"/>
      <x:c r="O425" s="192"/>
      <x:c r="P425" s="192"/>
      <x:c r="Q425" s="170" t="str">
        <x:f>IF(OR(A425="",B425=""),"",IF(A425=LOOKUP(2,1/($B$5:$B$704=B425),$A$5:$A$704),"Yes","No"))</x:f>
      </x:c>
    </x:row>
    <x:row r="426">
      <x:c r="A426" s="194"/>
      <x:c r="B426" s="192"/>
      <x:c r="C426" s="170" t="str">
        <x:f>IF(B426="","",IF(COUNTIF('Raw Decommissioning'!$B$2:$B$1000,B426)&gt;0,"Decommissioning",IF(COUNTIF('Raw Provisioning'!$B$2:$B$1000,B426)&gt;0,"Provisioning","Not in latest raw")))</x:f>
      </x:c>
      <x:c r="D426" s="170" t="str">
        <x:f>IF(B426="","",IFERROR(INDEX('Raw Decommissioning'!$E$2:$E$1000,MATCH(B426,'Raw Decommissioning'!$B$2:$B$1000,0)),IFERROR(INDEX('Raw Provisioning'!$E$2:$E$1000,MATCH(B426,'Raw Provisioning'!$B$2:$B$1000,0)),"Missing from latest raw")))</x:f>
      </x:c>
      <x:c r="E426" s="170" t="str">
        <x:f>IF(B426="","",IF(D426="completed","Completed in CSSP",IF(D426="executing","Active - Executing",IF(D426="processing","Ready to Assign",IF(D426="Missing from latest raw","Check Source","Not Managed - "&amp;D426)))))</x:f>
      </x:c>
      <x:c r="F426" s="170" t="str">
        <x:f>IF(B426="","",IFERROR(INDEX('Task Master'!$K$5:$K$804,MATCH(B426,'Task Master'!$A$5:$A$804,0)),""))</x:f>
      </x:c>
      <x:c r="G426" s="192"/>
      <x:c r="H426" s="192"/>
      <x:c r="I426" s="192"/>
      <x:c r="J426" s="192"/>
      <x:c r="K426" s="192"/>
      <x:c r="L426" s="196"/>
      <x:c r="M426" s="192"/>
      <x:c r="N426" s="192"/>
      <x:c r="O426" s="192"/>
      <x:c r="P426" s="192"/>
      <x:c r="Q426" s="170" t="str">
        <x:f>IF(OR(A426="",B426=""),"",IF(A426=LOOKUP(2,1/($B$5:$B$704=B426),$A$5:$A$704),"Yes","No"))</x:f>
      </x:c>
    </x:row>
    <x:row r="427">
      <x:c r="A427" s="194"/>
      <x:c r="B427" s="192"/>
      <x:c r="C427" s="170" t="str">
        <x:f>IF(B427="","",IF(COUNTIF('Raw Decommissioning'!$B$2:$B$1000,B427)&gt;0,"Decommissioning",IF(COUNTIF('Raw Provisioning'!$B$2:$B$1000,B427)&gt;0,"Provisioning","Not in latest raw")))</x:f>
      </x:c>
      <x:c r="D427" s="170" t="str">
        <x:f>IF(B427="","",IFERROR(INDEX('Raw Decommissioning'!$E$2:$E$1000,MATCH(B427,'Raw Decommissioning'!$B$2:$B$1000,0)),IFERROR(INDEX('Raw Provisioning'!$E$2:$E$1000,MATCH(B427,'Raw Provisioning'!$B$2:$B$1000,0)),"Missing from latest raw")))</x:f>
      </x:c>
      <x:c r="E427" s="170" t="str">
        <x:f>IF(B427="","",IF(D427="completed","Completed in CSSP",IF(D427="executing","Active - Executing",IF(D427="processing","Ready to Assign",IF(D427="Missing from latest raw","Check Source","Not Managed - "&amp;D427)))))</x:f>
      </x:c>
      <x:c r="F427" s="170" t="str">
        <x:f>IF(B427="","",IFERROR(INDEX('Task Master'!$K$5:$K$804,MATCH(B427,'Task Master'!$A$5:$A$804,0)),""))</x:f>
      </x:c>
      <x:c r="G427" s="192"/>
      <x:c r="H427" s="192"/>
      <x:c r="I427" s="192"/>
      <x:c r="J427" s="192"/>
      <x:c r="K427" s="192"/>
      <x:c r="L427" s="196"/>
      <x:c r="M427" s="192"/>
      <x:c r="N427" s="192"/>
      <x:c r="O427" s="192"/>
      <x:c r="P427" s="192"/>
      <x:c r="Q427" s="170" t="str">
        <x:f>IF(OR(A427="",B427=""),"",IF(A427=LOOKUP(2,1/($B$5:$B$704=B427),$A$5:$A$704),"Yes","No"))</x:f>
      </x:c>
    </x:row>
    <x:row r="428">
      <x:c r="A428" s="194"/>
      <x:c r="B428" s="192"/>
      <x:c r="C428" s="170" t="str">
        <x:f>IF(B428="","",IF(COUNTIF('Raw Decommissioning'!$B$2:$B$1000,B428)&gt;0,"Decommissioning",IF(COUNTIF('Raw Provisioning'!$B$2:$B$1000,B428)&gt;0,"Provisioning","Not in latest raw")))</x:f>
      </x:c>
      <x:c r="D428" s="170" t="str">
        <x:f>IF(B428="","",IFERROR(INDEX('Raw Decommissioning'!$E$2:$E$1000,MATCH(B428,'Raw Decommissioning'!$B$2:$B$1000,0)),IFERROR(INDEX('Raw Provisioning'!$E$2:$E$1000,MATCH(B428,'Raw Provisioning'!$B$2:$B$1000,0)),"Missing from latest raw")))</x:f>
      </x:c>
      <x:c r="E428" s="170" t="str">
        <x:f>IF(B428="","",IF(D428="completed","Completed in CSSP",IF(D428="executing","Active - Executing",IF(D428="processing","Ready to Assign",IF(D428="Missing from latest raw","Check Source","Not Managed - "&amp;D428)))))</x:f>
      </x:c>
      <x:c r="F428" s="170" t="str">
        <x:f>IF(B428="","",IFERROR(INDEX('Task Master'!$K$5:$K$804,MATCH(B428,'Task Master'!$A$5:$A$804,0)),""))</x:f>
      </x:c>
      <x:c r="G428" s="192"/>
      <x:c r="H428" s="192"/>
      <x:c r="I428" s="192"/>
      <x:c r="J428" s="192"/>
      <x:c r="K428" s="192"/>
      <x:c r="L428" s="196"/>
      <x:c r="M428" s="192"/>
      <x:c r="N428" s="192"/>
      <x:c r="O428" s="192"/>
      <x:c r="P428" s="192"/>
      <x:c r="Q428" s="170" t="str">
        <x:f>IF(OR(A428="",B428=""),"",IF(A428=LOOKUP(2,1/($B$5:$B$704=B428),$A$5:$A$704),"Yes","No"))</x:f>
      </x:c>
    </x:row>
    <x:row r="429">
      <x:c r="A429" s="194"/>
      <x:c r="B429" s="192"/>
      <x:c r="C429" s="170" t="str">
        <x:f>IF(B429="","",IF(COUNTIF('Raw Decommissioning'!$B$2:$B$1000,B429)&gt;0,"Decommissioning",IF(COUNTIF('Raw Provisioning'!$B$2:$B$1000,B429)&gt;0,"Provisioning","Not in latest raw")))</x:f>
      </x:c>
      <x:c r="D429" s="170" t="str">
        <x:f>IF(B429="","",IFERROR(INDEX('Raw Decommissioning'!$E$2:$E$1000,MATCH(B429,'Raw Decommissioning'!$B$2:$B$1000,0)),IFERROR(INDEX('Raw Provisioning'!$E$2:$E$1000,MATCH(B429,'Raw Provisioning'!$B$2:$B$1000,0)),"Missing from latest raw")))</x:f>
      </x:c>
      <x:c r="E429" s="170" t="str">
        <x:f>IF(B429="","",IF(D429="completed","Completed in CSSP",IF(D429="executing","Active - Executing",IF(D429="processing","Ready to Assign",IF(D429="Missing from latest raw","Check Source","Not Managed - "&amp;D429)))))</x:f>
      </x:c>
      <x:c r="F429" s="170" t="str">
        <x:f>IF(B429="","",IFERROR(INDEX('Task Master'!$K$5:$K$804,MATCH(B429,'Task Master'!$A$5:$A$804,0)),""))</x:f>
      </x:c>
      <x:c r="G429" s="192"/>
      <x:c r="H429" s="192"/>
      <x:c r="I429" s="192"/>
      <x:c r="J429" s="192"/>
      <x:c r="K429" s="192"/>
      <x:c r="L429" s="196"/>
      <x:c r="M429" s="192"/>
      <x:c r="N429" s="192"/>
      <x:c r="O429" s="192"/>
      <x:c r="P429" s="192"/>
      <x:c r="Q429" s="170" t="str">
        <x:f>IF(OR(A429="",B429=""),"",IF(A429=LOOKUP(2,1/($B$5:$B$704=B429),$A$5:$A$704),"Yes","No"))</x:f>
      </x:c>
    </x:row>
    <x:row r="430">
      <x:c r="A430" s="194"/>
      <x:c r="B430" s="192"/>
      <x:c r="C430" s="170" t="str">
        <x:f>IF(B430="","",IF(COUNTIF('Raw Decommissioning'!$B$2:$B$1000,B430)&gt;0,"Decommissioning",IF(COUNTIF('Raw Provisioning'!$B$2:$B$1000,B430)&gt;0,"Provisioning","Not in latest raw")))</x:f>
      </x:c>
      <x:c r="D430" s="170" t="str">
        <x:f>IF(B430="","",IFERROR(INDEX('Raw Decommissioning'!$E$2:$E$1000,MATCH(B430,'Raw Decommissioning'!$B$2:$B$1000,0)),IFERROR(INDEX('Raw Provisioning'!$E$2:$E$1000,MATCH(B430,'Raw Provisioning'!$B$2:$B$1000,0)),"Missing from latest raw")))</x:f>
      </x:c>
      <x:c r="E430" s="170" t="str">
        <x:f>IF(B430="","",IF(D430="completed","Completed in CSSP",IF(D430="executing","Active - Executing",IF(D430="processing","Ready to Assign",IF(D430="Missing from latest raw","Check Source","Not Managed - "&amp;D430)))))</x:f>
      </x:c>
      <x:c r="F430" s="170" t="str">
        <x:f>IF(B430="","",IFERROR(INDEX('Task Master'!$K$5:$K$804,MATCH(B430,'Task Master'!$A$5:$A$804,0)),""))</x:f>
      </x:c>
      <x:c r="G430" s="192"/>
      <x:c r="H430" s="192"/>
      <x:c r="I430" s="192"/>
      <x:c r="J430" s="192"/>
      <x:c r="K430" s="192"/>
      <x:c r="L430" s="196"/>
      <x:c r="M430" s="192"/>
      <x:c r="N430" s="192"/>
      <x:c r="O430" s="192"/>
      <x:c r="P430" s="192"/>
      <x:c r="Q430" s="170" t="str">
        <x:f>IF(OR(A430="",B430=""),"",IF(A430=LOOKUP(2,1/($B$5:$B$704=B430),$A$5:$A$704),"Yes","No"))</x:f>
      </x:c>
    </x:row>
    <x:row r="431">
      <x:c r="A431" s="194"/>
      <x:c r="B431" s="192"/>
      <x:c r="C431" s="170" t="str">
        <x:f>IF(B431="","",IF(COUNTIF('Raw Decommissioning'!$B$2:$B$1000,B431)&gt;0,"Decommissioning",IF(COUNTIF('Raw Provisioning'!$B$2:$B$1000,B431)&gt;0,"Provisioning","Not in latest raw")))</x:f>
      </x:c>
      <x:c r="D431" s="170" t="str">
        <x:f>IF(B431="","",IFERROR(INDEX('Raw Decommissioning'!$E$2:$E$1000,MATCH(B431,'Raw Decommissioning'!$B$2:$B$1000,0)),IFERROR(INDEX('Raw Provisioning'!$E$2:$E$1000,MATCH(B431,'Raw Provisioning'!$B$2:$B$1000,0)),"Missing from latest raw")))</x:f>
      </x:c>
      <x:c r="E431" s="170" t="str">
        <x:f>IF(B431="","",IF(D431="completed","Completed in CSSP",IF(D431="executing","Active - Executing",IF(D431="processing","Ready to Assign",IF(D431="Missing from latest raw","Check Source","Not Managed - "&amp;D431)))))</x:f>
      </x:c>
      <x:c r="F431" s="170" t="str">
        <x:f>IF(B431="","",IFERROR(INDEX('Task Master'!$K$5:$K$804,MATCH(B431,'Task Master'!$A$5:$A$804,0)),""))</x:f>
      </x:c>
      <x:c r="G431" s="192"/>
      <x:c r="H431" s="192"/>
      <x:c r="I431" s="192"/>
      <x:c r="J431" s="192"/>
      <x:c r="K431" s="192"/>
      <x:c r="L431" s="196"/>
      <x:c r="M431" s="192"/>
      <x:c r="N431" s="192"/>
      <x:c r="O431" s="192"/>
      <x:c r="P431" s="192"/>
      <x:c r="Q431" s="170" t="str">
        <x:f>IF(OR(A431="",B431=""),"",IF(A431=LOOKUP(2,1/($B$5:$B$704=B431),$A$5:$A$704),"Yes","No"))</x:f>
      </x:c>
    </x:row>
    <x:row r="432">
      <x:c r="A432" s="194"/>
      <x:c r="B432" s="192"/>
      <x:c r="C432" s="170" t="str">
        <x:f>IF(B432="","",IF(COUNTIF('Raw Decommissioning'!$B$2:$B$1000,B432)&gt;0,"Decommissioning",IF(COUNTIF('Raw Provisioning'!$B$2:$B$1000,B432)&gt;0,"Provisioning","Not in latest raw")))</x:f>
      </x:c>
      <x:c r="D432" s="170" t="str">
        <x:f>IF(B432="","",IFERROR(INDEX('Raw Decommissioning'!$E$2:$E$1000,MATCH(B432,'Raw Decommissioning'!$B$2:$B$1000,0)),IFERROR(INDEX('Raw Provisioning'!$E$2:$E$1000,MATCH(B432,'Raw Provisioning'!$B$2:$B$1000,0)),"Missing from latest raw")))</x:f>
      </x:c>
      <x:c r="E432" s="170" t="str">
        <x:f>IF(B432="","",IF(D432="completed","Completed in CSSP",IF(D432="executing","Active - Executing",IF(D432="processing","Ready to Assign",IF(D432="Missing from latest raw","Check Source","Not Managed - "&amp;D432)))))</x:f>
      </x:c>
      <x:c r="F432" s="170" t="str">
        <x:f>IF(B432="","",IFERROR(INDEX('Task Master'!$K$5:$K$804,MATCH(B432,'Task Master'!$A$5:$A$804,0)),""))</x:f>
      </x:c>
      <x:c r="G432" s="192"/>
      <x:c r="H432" s="192"/>
      <x:c r="I432" s="192"/>
      <x:c r="J432" s="192"/>
      <x:c r="K432" s="192"/>
      <x:c r="L432" s="196"/>
      <x:c r="M432" s="192"/>
      <x:c r="N432" s="192"/>
      <x:c r="O432" s="192"/>
      <x:c r="P432" s="192"/>
      <x:c r="Q432" s="170" t="str">
        <x:f>IF(OR(A432="",B432=""),"",IF(A432=LOOKUP(2,1/($B$5:$B$704=B432),$A$5:$A$704),"Yes","No"))</x:f>
      </x:c>
    </x:row>
    <x:row r="433">
      <x:c r="A433" s="194"/>
      <x:c r="B433" s="192"/>
      <x:c r="C433" s="170" t="str">
        <x:f>IF(B433="","",IF(COUNTIF('Raw Decommissioning'!$B$2:$B$1000,B433)&gt;0,"Decommissioning",IF(COUNTIF('Raw Provisioning'!$B$2:$B$1000,B433)&gt;0,"Provisioning","Not in latest raw")))</x:f>
      </x:c>
      <x:c r="D433" s="170" t="str">
        <x:f>IF(B433="","",IFERROR(INDEX('Raw Decommissioning'!$E$2:$E$1000,MATCH(B433,'Raw Decommissioning'!$B$2:$B$1000,0)),IFERROR(INDEX('Raw Provisioning'!$E$2:$E$1000,MATCH(B433,'Raw Provisioning'!$B$2:$B$1000,0)),"Missing from latest raw")))</x:f>
      </x:c>
      <x:c r="E433" s="170" t="str">
        <x:f>IF(B433="","",IF(D433="completed","Completed in CSSP",IF(D433="executing","Active - Executing",IF(D433="processing","Ready to Assign",IF(D433="Missing from latest raw","Check Source","Not Managed - "&amp;D433)))))</x:f>
      </x:c>
      <x:c r="F433" s="170" t="str">
        <x:f>IF(B433="","",IFERROR(INDEX('Task Master'!$K$5:$K$804,MATCH(B433,'Task Master'!$A$5:$A$804,0)),""))</x:f>
      </x:c>
      <x:c r="G433" s="192"/>
      <x:c r="H433" s="192"/>
      <x:c r="I433" s="192"/>
      <x:c r="J433" s="192"/>
      <x:c r="K433" s="192"/>
      <x:c r="L433" s="196"/>
      <x:c r="M433" s="192"/>
      <x:c r="N433" s="192"/>
      <x:c r="O433" s="192"/>
      <x:c r="P433" s="192"/>
      <x:c r="Q433" s="170" t="str">
        <x:f>IF(OR(A433="",B433=""),"",IF(A433=LOOKUP(2,1/($B$5:$B$704=B433),$A$5:$A$704),"Yes","No"))</x:f>
      </x:c>
    </x:row>
    <x:row r="434">
      <x:c r="A434" s="194"/>
      <x:c r="B434" s="192"/>
      <x:c r="C434" s="170" t="str">
        <x:f>IF(B434="","",IF(COUNTIF('Raw Decommissioning'!$B$2:$B$1000,B434)&gt;0,"Decommissioning",IF(COUNTIF('Raw Provisioning'!$B$2:$B$1000,B434)&gt;0,"Provisioning","Not in latest raw")))</x:f>
      </x:c>
      <x:c r="D434" s="170" t="str">
        <x:f>IF(B434="","",IFERROR(INDEX('Raw Decommissioning'!$E$2:$E$1000,MATCH(B434,'Raw Decommissioning'!$B$2:$B$1000,0)),IFERROR(INDEX('Raw Provisioning'!$E$2:$E$1000,MATCH(B434,'Raw Provisioning'!$B$2:$B$1000,0)),"Missing from latest raw")))</x:f>
      </x:c>
      <x:c r="E434" s="170" t="str">
        <x:f>IF(B434="","",IF(D434="completed","Completed in CSSP",IF(D434="executing","Active - Executing",IF(D434="processing","Ready to Assign",IF(D434="Missing from latest raw","Check Source","Not Managed - "&amp;D434)))))</x:f>
      </x:c>
      <x:c r="F434" s="170" t="str">
        <x:f>IF(B434="","",IFERROR(INDEX('Task Master'!$K$5:$K$804,MATCH(B434,'Task Master'!$A$5:$A$804,0)),""))</x:f>
      </x:c>
      <x:c r="G434" s="192"/>
      <x:c r="H434" s="192"/>
      <x:c r="I434" s="192"/>
      <x:c r="J434" s="192"/>
      <x:c r="K434" s="192"/>
      <x:c r="L434" s="196"/>
      <x:c r="M434" s="192"/>
      <x:c r="N434" s="192"/>
      <x:c r="O434" s="192"/>
      <x:c r="P434" s="192"/>
      <x:c r="Q434" s="170" t="str">
        <x:f>IF(OR(A434="",B434=""),"",IF(A434=LOOKUP(2,1/($B$5:$B$704=B434),$A$5:$A$704),"Yes","No"))</x:f>
      </x:c>
    </x:row>
    <x:row r="435">
      <x:c r="A435" s="194"/>
      <x:c r="B435" s="192"/>
      <x:c r="C435" s="170" t="str">
        <x:f>IF(B435="","",IF(COUNTIF('Raw Decommissioning'!$B$2:$B$1000,B435)&gt;0,"Decommissioning",IF(COUNTIF('Raw Provisioning'!$B$2:$B$1000,B435)&gt;0,"Provisioning","Not in latest raw")))</x:f>
      </x:c>
      <x:c r="D435" s="170" t="str">
        <x:f>IF(B435="","",IFERROR(INDEX('Raw Decommissioning'!$E$2:$E$1000,MATCH(B435,'Raw Decommissioning'!$B$2:$B$1000,0)),IFERROR(INDEX('Raw Provisioning'!$E$2:$E$1000,MATCH(B435,'Raw Provisioning'!$B$2:$B$1000,0)),"Missing from latest raw")))</x:f>
      </x:c>
      <x:c r="E435" s="170" t="str">
        <x:f>IF(B435="","",IF(D435="completed","Completed in CSSP",IF(D435="executing","Active - Executing",IF(D435="processing","Ready to Assign",IF(D435="Missing from latest raw","Check Source","Not Managed - "&amp;D435)))))</x:f>
      </x:c>
      <x:c r="F435" s="170" t="str">
        <x:f>IF(B435="","",IFERROR(INDEX('Task Master'!$K$5:$K$804,MATCH(B435,'Task Master'!$A$5:$A$804,0)),""))</x:f>
      </x:c>
      <x:c r="G435" s="192"/>
      <x:c r="H435" s="192"/>
      <x:c r="I435" s="192"/>
      <x:c r="J435" s="192"/>
      <x:c r="K435" s="192"/>
      <x:c r="L435" s="196"/>
      <x:c r="M435" s="192"/>
      <x:c r="N435" s="192"/>
      <x:c r="O435" s="192"/>
      <x:c r="P435" s="192"/>
      <x:c r="Q435" s="170" t="str">
        <x:f>IF(OR(A435="",B435=""),"",IF(A435=LOOKUP(2,1/($B$5:$B$704=B435),$A$5:$A$704),"Yes","No"))</x:f>
      </x:c>
    </x:row>
    <x:row r="436">
      <x:c r="A436" s="194"/>
      <x:c r="B436" s="192"/>
      <x:c r="C436" s="170" t="str">
        <x:f>IF(B436="","",IF(COUNTIF('Raw Decommissioning'!$B$2:$B$1000,B436)&gt;0,"Decommissioning",IF(COUNTIF('Raw Provisioning'!$B$2:$B$1000,B436)&gt;0,"Provisioning","Not in latest raw")))</x:f>
      </x:c>
      <x:c r="D436" s="170" t="str">
        <x:f>IF(B436="","",IFERROR(INDEX('Raw Decommissioning'!$E$2:$E$1000,MATCH(B436,'Raw Decommissioning'!$B$2:$B$1000,0)),IFERROR(INDEX('Raw Provisioning'!$E$2:$E$1000,MATCH(B436,'Raw Provisioning'!$B$2:$B$1000,0)),"Missing from latest raw")))</x:f>
      </x:c>
      <x:c r="E436" s="170" t="str">
        <x:f>IF(B436="","",IF(D436="completed","Completed in CSSP",IF(D436="executing","Active - Executing",IF(D436="processing","Ready to Assign",IF(D436="Missing from latest raw","Check Source","Not Managed - "&amp;D436)))))</x:f>
      </x:c>
      <x:c r="F436" s="170" t="str">
        <x:f>IF(B436="","",IFERROR(INDEX('Task Master'!$K$5:$K$804,MATCH(B436,'Task Master'!$A$5:$A$804,0)),""))</x:f>
      </x:c>
      <x:c r="G436" s="192"/>
      <x:c r="H436" s="192"/>
      <x:c r="I436" s="192"/>
      <x:c r="J436" s="192"/>
      <x:c r="K436" s="192"/>
      <x:c r="L436" s="196"/>
      <x:c r="M436" s="192"/>
      <x:c r="N436" s="192"/>
      <x:c r="O436" s="192"/>
      <x:c r="P436" s="192"/>
      <x:c r="Q436" s="170" t="str">
        <x:f>IF(OR(A436="",B436=""),"",IF(A436=LOOKUP(2,1/($B$5:$B$704=B436),$A$5:$A$704),"Yes","No"))</x:f>
      </x:c>
    </x:row>
    <x:row r="437">
      <x:c r="A437" s="194"/>
      <x:c r="B437" s="192"/>
      <x:c r="C437" s="170" t="str">
        <x:f>IF(B437="","",IF(COUNTIF('Raw Decommissioning'!$B$2:$B$1000,B437)&gt;0,"Decommissioning",IF(COUNTIF('Raw Provisioning'!$B$2:$B$1000,B437)&gt;0,"Provisioning","Not in latest raw")))</x:f>
      </x:c>
      <x:c r="D437" s="170" t="str">
        <x:f>IF(B437="","",IFERROR(INDEX('Raw Decommissioning'!$E$2:$E$1000,MATCH(B437,'Raw Decommissioning'!$B$2:$B$1000,0)),IFERROR(INDEX('Raw Provisioning'!$E$2:$E$1000,MATCH(B437,'Raw Provisioning'!$B$2:$B$1000,0)),"Missing from latest raw")))</x:f>
      </x:c>
      <x:c r="E437" s="170" t="str">
        <x:f>IF(B437="","",IF(D437="completed","Completed in CSSP",IF(D437="executing","Active - Executing",IF(D437="processing","Ready to Assign",IF(D437="Missing from latest raw","Check Source","Not Managed - "&amp;D437)))))</x:f>
      </x:c>
      <x:c r="F437" s="170" t="str">
        <x:f>IF(B437="","",IFERROR(INDEX('Task Master'!$K$5:$K$804,MATCH(B437,'Task Master'!$A$5:$A$804,0)),""))</x:f>
      </x:c>
      <x:c r="G437" s="192"/>
      <x:c r="H437" s="192"/>
      <x:c r="I437" s="192"/>
      <x:c r="J437" s="192"/>
      <x:c r="K437" s="192"/>
      <x:c r="L437" s="196"/>
      <x:c r="M437" s="192"/>
      <x:c r="N437" s="192"/>
      <x:c r="O437" s="192"/>
      <x:c r="P437" s="192"/>
      <x:c r="Q437" s="170" t="str">
        <x:f>IF(OR(A437="",B437=""),"",IF(A437=LOOKUP(2,1/($B$5:$B$704=B437),$A$5:$A$704),"Yes","No"))</x:f>
      </x:c>
    </x:row>
    <x:row r="438">
      <x:c r="A438" s="194"/>
      <x:c r="B438" s="192"/>
      <x:c r="C438" s="170" t="str">
        <x:f>IF(B438="","",IF(COUNTIF('Raw Decommissioning'!$B$2:$B$1000,B438)&gt;0,"Decommissioning",IF(COUNTIF('Raw Provisioning'!$B$2:$B$1000,B438)&gt;0,"Provisioning","Not in latest raw")))</x:f>
      </x:c>
      <x:c r="D438" s="170" t="str">
        <x:f>IF(B438="","",IFERROR(INDEX('Raw Decommissioning'!$E$2:$E$1000,MATCH(B438,'Raw Decommissioning'!$B$2:$B$1000,0)),IFERROR(INDEX('Raw Provisioning'!$E$2:$E$1000,MATCH(B438,'Raw Provisioning'!$B$2:$B$1000,0)),"Missing from latest raw")))</x:f>
      </x:c>
      <x:c r="E438" s="170" t="str">
        <x:f>IF(B438="","",IF(D438="completed","Completed in CSSP",IF(D438="executing","Active - Executing",IF(D438="processing","Ready to Assign",IF(D438="Missing from latest raw","Check Source","Not Managed - "&amp;D438)))))</x:f>
      </x:c>
      <x:c r="F438" s="170" t="str">
        <x:f>IF(B438="","",IFERROR(INDEX('Task Master'!$K$5:$K$804,MATCH(B438,'Task Master'!$A$5:$A$804,0)),""))</x:f>
      </x:c>
      <x:c r="G438" s="192"/>
      <x:c r="H438" s="192"/>
      <x:c r="I438" s="192"/>
      <x:c r="J438" s="192"/>
      <x:c r="K438" s="192"/>
      <x:c r="L438" s="196"/>
      <x:c r="M438" s="192"/>
      <x:c r="N438" s="192"/>
      <x:c r="O438" s="192"/>
      <x:c r="P438" s="192"/>
      <x:c r="Q438" s="170" t="str">
        <x:f>IF(OR(A438="",B438=""),"",IF(A438=LOOKUP(2,1/($B$5:$B$704=B438),$A$5:$A$704),"Yes","No"))</x:f>
      </x:c>
    </x:row>
    <x:row r="439">
      <x:c r="A439" s="194"/>
      <x:c r="B439" s="192"/>
      <x:c r="C439" s="170" t="str">
        <x:f>IF(B439="","",IF(COUNTIF('Raw Decommissioning'!$B$2:$B$1000,B439)&gt;0,"Decommissioning",IF(COUNTIF('Raw Provisioning'!$B$2:$B$1000,B439)&gt;0,"Provisioning","Not in latest raw")))</x:f>
      </x:c>
      <x:c r="D439" s="170" t="str">
        <x:f>IF(B439="","",IFERROR(INDEX('Raw Decommissioning'!$E$2:$E$1000,MATCH(B439,'Raw Decommissioning'!$B$2:$B$1000,0)),IFERROR(INDEX('Raw Provisioning'!$E$2:$E$1000,MATCH(B439,'Raw Provisioning'!$B$2:$B$1000,0)),"Missing from latest raw")))</x:f>
      </x:c>
      <x:c r="E439" s="170" t="str">
        <x:f>IF(B439="","",IF(D439="completed","Completed in CSSP",IF(D439="executing","Active - Executing",IF(D439="processing","Ready to Assign",IF(D439="Missing from latest raw","Check Source","Not Managed - "&amp;D439)))))</x:f>
      </x:c>
      <x:c r="F439" s="170" t="str">
        <x:f>IF(B439="","",IFERROR(INDEX('Task Master'!$K$5:$K$804,MATCH(B439,'Task Master'!$A$5:$A$804,0)),""))</x:f>
      </x:c>
      <x:c r="G439" s="192"/>
      <x:c r="H439" s="192"/>
      <x:c r="I439" s="192"/>
      <x:c r="J439" s="192"/>
      <x:c r="K439" s="192"/>
      <x:c r="L439" s="196"/>
      <x:c r="M439" s="192"/>
      <x:c r="N439" s="192"/>
      <x:c r="O439" s="192"/>
      <x:c r="P439" s="192"/>
      <x:c r="Q439" s="170" t="str">
        <x:f>IF(OR(A439="",B439=""),"",IF(A439=LOOKUP(2,1/($B$5:$B$704=B439),$A$5:$A$704),"Yes","No"))</x:f>
      </x:c>
    </x:row>
    <x:row r="440">
      <x:c r="A440" s="194"/>
      <x:c r="B440" s="192"/>
      <x:c r="C440" s="170" t="str">
        <x:f>IF(B440="","",IF(COUNTIF('Raw Decommissioning'!$B$2:$B$1000,B440)&gt;0,"Decommissioning",IF(COUNTIF('Raw Provisioning'!$B$2:$B$1000,B440)&gt;0,"Provisioning","Not in latest raw")))</x:f>
      </x:c>
      <x:c r="D440" s="170" t="str">
        <x:f>IF(B440="","",IFERROR(INDEX('Raw Decommissioning'!$E$2:$E$1000,MATCH(B440,'Raw Decommissioning'!$B$2:$B$1000,0)),IFERROR(INDEX('Raw Provisioning'!$E$2:$E$1000,MATCH(B440,'Raw Provisioning'!$B$2:$B$1000,0)),"Missing from latest raw")))</x:f>
      </x:c>
      <x:c r="E440" s="170" t="str">
        <x:f>IF(B440="","",IF(D440="completed","Completed in CSSP",IF(D440="executing","Active - Executing",IF(D440="processing","Ready to Assign",IF(D440="Missing from latest raw","Check Source","Not Managed - "&amp;D440)))))</x:f>
      </x:c>
      <x:c r="F440" s="170" t="str">
        <x:f>IF(B440="","",IFERROR(INDEX('Task Master'!$K$5:$K$804,MATCH(B440,'Task Master'!$A$5:$A$804,0)),""))</x:f>
      </x:c>
      <x:c r="G440" s="192"/>
      <x:c r="H440" s="192"/>
      <x:c r="I440" s="192"/>
      <x:c r="J440" s="192"/>
      <x:c r="K440" s="192"/>
      <x:c r="L440" s="196"/>
      <x:c r="M440" s="192"/>
      <x:c r="N440" s="192"/>
      <x:c r="O440" s="192"/>
      <x:c r="P440" s="192"/>
      <x:c r="Q440" s="170" t="str">
        <x:f>IF(OR(A440="",B440=""),"",IF(A440=LOOKUP(2,1/($B$5:$B$704=B440),$A$5:$A$704),"Yes","No"))</x:f>
      </x:c>
    </x:row>
    <x:row r="441">
      <x:c r="A441" s="194"/>
      <x:c r="B441" s="192"/>
      <x:c r="C441" s="170" t="str">
        <x:f>IF(B441="","",IF(COUNTIF('Raw Decommissioning'!$B$2:$B$1000,B441)&gt;0,"Decommissioning",IF(COUNTIF('Raw Provisioning'!$B$2:$B$1000,B441)&gt;0,"Provisioning","Not in latest raw")))</x:f>
      </x:c>
      <x:c r="D441" s="170" t="str">
        <x:f>IF(B441="","",IFERROR(INDEX('Raw Decommissioning'!$E$2:$E$1000,MATCH(B441,'Raw Decommissioning'!$B$2:$B$1000,0)),IFERROR(INDEX('Raw Provisioning'!$E$2:$E$1000,MATCH(B441,'Raw Provisioning'!$B$2:$B$1000,0)),"Missing from latest raw")))</x:f>
      </x:c>
      <x:c r="E441" s="170" t="str">
        <x:f>IF(B441="","",IF(D441="completed","Completed in CSSP",IF(D441="executing","Active - Executing",IF(D441="processing","Ready to Assign",IF(D441="Missing from latest raw","Check Source","Not Managed - "&amp;D441)))))</x:f>
      </x:c>
      <x:c r="F441" s="170" t="str">
        <x:f>IF(B441="","",IFERROR(INDEX('Task Master'!$K$5:$K$804,MATCH(B441,'Task Master'!$A$5:$A$804,0)),""))</x:f>
      </x:c>
      <x:c r="G441" s="192"/>
      <x:c r="H441" s="192"/>
      <x:c r="I441" s="192"/>
      <x:c r="J441" s="192"/>
      <x:c r="K441" s="192"/>
      <x:c r="L441" s="196"/>
      <x:c r="M441" s="192"/>
      <x:c r="N441" s="192"/>
      <x:c r="O441" s="192"/>
      <x:c r="P441" s="192"/>
      <x:c r="Q441" s="170" t="str">
        <x:f>IF(OR(A441="",B441=""),"",IF(A441=LOOKUP(2,1/($B$5:$B$704=B441),$A$5:$A$704),"Yes","No"))</x:f>
      </x:c>
    </x:row>
    <x:row r="442">
      <x:c r="A442" s="194"/>
      <x:c r="B442" s="192"/>
      <x:c r="C442" s="170" t="str">
        <x:f>IF(B442="","",IF(COUNTIF('Raw Decommissioning'!$B$2:$B$1000,B442)&gt;0,"Decommissioning",IF(COUNTIF('Raw Provisioning'!$B$2:$B$1000,B442)&gt;0,"Provisioning","Not in latest raw")))</x:f>
      </x:c>
      <x:c r="D442" s="170" t="str">
        <x:f>IF(B442="","",IFERROR(INDEX('Raw Decommissioning'!$E$2:$E$1000,MATCH(B442,'Raw Decommissioning'!$B$2:$B$1000,0)),IFERROR(INDEX('Raw Provisioning'!$E$2:$E$1000,MATCH(B442,'Raw Provisioning'!$B$2:$B$1000,0)),"Missing from latest raw")))</x:f>
      </x:c>
      <x:c r="E442" s="170" t="str">
        <x:f>IF(B442="","",IF(D442="completed","Completed in CSSP",IF(D442="executing","Active - Executing",IF(D442="processing","Ready to Assign",IF(D442="Missing from latest raw","Check Source","Not Managed - "&amp;D442)))))</x:f>
      </x:c>
      <x:c r="F442" s="170" t="str">
        <x:f>IF(B442="","",IFERROR(INDEX('Task Master'!$K$5:$K$804,MATCH(B442,'Task Master'!$A$5:$A$804,0)),""))</x:f>
      </x:c>
      <x:c r="G442" s="192"/>
      <x:c r="H442" s="192"/>
      <x:c r="I442" s="192"/>
      <x:c r="J442" s="192"/>
      <x:c r="K442" s="192"/>
      <x:c r="L442" s="196"/>
      <x:c r="M442" s="192"/>
      <x:c r="N442" s="192"/>
      <x:c r="O442" s="192"/>
      <x:c r="P442" s="192"/>
      <x:c r="Q442" s="170" t="str">
        <x:f>IF(OR(A442="",B442=""),"",IF(A442=LOOKUP(2,1/($B$5:$B$704=B442),$A$5:$A$704),"Yes","No"))</x:f>
      </x:c>
    </x:row>
    <x:row r="443">
      <x:c r="A443" s="194"/>
      <x:c r="B443" s="192"/>
      <x:c r="C443" s="170" t="str">
        <x:f>IF(B443="","",IF(COUNTIF('Raw Decommissioning'!$B$2:$B$1000,B443)&gt;0,"Decommissioning",IF(COUNTIF('Raw Provisioning'!$B$2:$B$1000,B443)&gt;0,"Provisioning","Not in latest raw")))</x:f>
      </x:c>
      <x:c r="D443" s="170" t="str">
        <x:f>IF(B443="","",IFERROR(INDEX('Raw Decommissioning'!$E$2:$E$1000,MATCH(B443,'Raw Decommissioning'!$B$2:$B$1000,0)),IFERROR(INDEX('Raw Provisioning'!$E$2:$E$1000,MATCH(B443,'Raw Provisioning'!$B$2:$B$1000,0)),"Missing from latest raw")))</x:f>
      </x:c>
      <x:c r="E443" s="170" t="str">
        <x:f>IF(B443="","",IF(D443="completed","Completed in CSSP",IF(D443="executing","Active - Executing",IF(D443="processing","Ready to Assign",IF(D443="Missing from latest raw","Check Source","Not Managed - "&amp;D443)))))</x:f>
      </x:c>
      <x:c r="F443" s="170" t="str">
        <x:f>IF(B443="","",IFERROR(INDEX('Task Master'!$K$5:$K$804,MATCH(B443,'Task Master'!$A$5:$A$804,0)),""))</x:f>
      </x:c>
      <x:c r="G443" s="192"/>
      <x:c r="H443" s="192"/>
      <x:c r="I443" s="192"/>
      <x:c r="J443" s="192"/>
      <x:c r="K443" s="192"/>
      <x:c r="L443" s="196"/>
      <x:c r="M443" s="192"/>
      <x:c r="N443" s="192"/>
      <x:c r="O443" s="192"/>
      <x:c r="P443" s="192"/>
      <x:c r="Q443" s="170" t="str">
        <x:f>IF(OR(A443="",B443=""),"",IF(A443=LOOKUP(2,1/($B$5:$B$704=B443),$A$5:$A$704),"Yes","No"))</x:f>
      </x:c>
    </x:row>
    <x:row r="444">
      <x:c r="A444" s="194"/>
      <x:c r="B444" s="192"/>
      <x:c r="C444" s="170" t="str">
        <x:f>IF(B444="","",IF(COUNTIF('Raw Decommissioning'!$B$2:$B$1000,B444)&gt;0,"Decommissioning",IF(COUNTIF('Raw Provisioning'!$B$2:$B$1000,B444)&gt;0,"Provisioning","Not in latest raw")))</x:f>
      </x:c>
      <x:c r="D444" s="170" t="str">
        <x:f>IF(B444="","",IFERROR(INDEX('Raw Decommissioning'!$E$2:$E$1000,MATCH(B444,'Raw Decommissioning'!$B$2:$B$1000,0)),IFERROR(INDEX('Raw Provisioning'!$E$2:$E$1000,MATCH(B444,'Raw Provisioning'!$B$2:$B$1000,0)),"Missing from latest raw")))</x:f>
      </x:c>
      <x:c r="E444" s="170" t="str">
        <x:f>IF(B444="","",IF(D444="completed","Completed in CSSP",IF(D444="executing","Active - Executing",IF(D444="processing","Ready to Assign",IF(D444="Missing from latest raw","Check Source","Not Managed - "&amp;D444)))))</x:f>
      </x:c>
      <x:c r="F444" s="170" t="str">
        <x:f>IF(B444="","",IFERROR(INDEX('Task Master'!$K$5:$K$804,MATCH(B444,'Task Master'!$A$5:$A$804,0)),""))</x:f>
      </x:c>
      <x:c r="G444" s="192"/>
      <x:c r="H444" s="192"/>
      <x:c r="I444" s="192"/>
      <x:c r="J444" s="192"/>
      <x:c r="K444" s="192"/>
      <x:c r="L444" s="196"/>
      <x:c r="M444" s="192"/>
      <x:c r="N444" s="192"/>
      <x:c r="O444" s="192"/>
      <x:c r="P444" s="192"/>
      <x:c r="Q444" s="170" t="str">
        <x:f>IF(OR(A444="",B444=""),"",IF(A444=LOOKUP(2,1/($B$5:$B$704=B444),$A$5:$A$704),"Yes","No"))</x:f>
      </x:c>
    </x:row>
    <x:row r="445">
      <x:c r="A445" s="194"/>
      <x:c r="B445" s="192"/>
      <x:c r="C445" s="170" t="str">
        <x:f>IF(B445="","",IF(COUNTIF('Raw Decommissioning'!$B$2:$B$1000,B445)&gt;0,"Decommissioning",IF(COUNTIF('Raw Provisioning'!$B$2:$B$1000,B445)&gt;0,"Provisioning","Not in latest raw")))</x:f>
      </x:c>
      <x:c r="D445" s="170" t="str">
        <x:f>IF(B445="","",IFERROR(INDEX('Raw Decommissioning'!$E$2:$E$1000,MATCH(B445,'Raw Decommissioning'!$B$2:$B$1000,0)),IFERROR(INDEX('Raw Provisioning'!$E$2:$E$1000,MATCH(B445,'Raw Provisioning'!$B$2:$B$1000,0)),"Missing from latest raw")))</x:f>
      </x:c>
      <x:c r="E445" s="170" t="str">
        <x:f>IF(B445="","",IF(D445="completed","Completed in CSSP",IF(D445="executing","Active - Executing",IF(D445="processing","Ready to Assign",IF(D445="Missing from latest raw","Check Source","Not Managed - "&amp;D445)))))</x:f>
      </x:c>
      <x:c r="F445" s="170" t="str">
        <x:f>IF(B445="","",IFERROR(INDEX('Task Master'!$K$5:$K$804,MATCH(B445,'Task Master'!$A$5:$A$804,0)),""))</x:f>
      </x:c>
      <x:c r="G445" s="192"/>
      <x:c r="H445" s="192"/>
      <x:c r="I445" s="192"/>
      <x:c r="J445" s="192"/>
      <x:c r="K445" s="192"/>
      <x:c r="L445" s="196"/>
      <x:c r="M445" s="192"/>
      <x:c r="N445" s="192"/>
      <x:c r="O445" s="192"/>
      <x:c r="P445" s="192"/>
      <x:c r="Q445" s="170" t="str">
        <x:f>IF(OR(A445="",B445=""),"",IF(A445=LOOKUP(2,1/($B$5:$B$704=B445),$A$5:$A$704),"Yes","No"))</x:f>
      </x:c>
    </x:row>
    <x:row r="446">
      <x:c r="A446" s="194"/>
      <x:c r="B446" s="192"/>
      <x:c r="C446" s="170" t="str">
        <x:f>IF(B446="","",IF(COUNTIF('Raw Decommissioning'!$B$2:$B$1000,B446)&gt;0,"Decommissioning",IF(COUNTIF('Raw Provisioning'!$B$2:$B$1000,B446)&gt;0,"Provisioning","Not in latest raw")))</x:f>
      </x:c>
      <x:c r="D446" s="170" t="str">
        <x:f>IF(B446="","",IFERROR(INDEX('Raw Decommissioning'!$E$2:$E$1000,MATCH(B446,'Raw Decommissioning'!$B$2:$B$1000,0)),IFERROR(INDEX('Raw Provisioning'!$E$2:$E$1000,MATCH(B446,'Raw Provisioning'!$B$2:$B$1000,0)),"Missing from latest raw")))</x:f>
      </x:c>
      <x:c r="E446" s="170" t="str">
        <x:f>IF(B446="","",IF(D446="completed","Completed in CSSP",IF(D446="executing","Active - Executing",IF(D446="processing","Ready to Assign",IF(D446="Missing from latest raw","Check Source","Not Managed - "&amp;D446)))))</x:f>
      </x:c>
      <x:c r="F446" s="170" t="str">
        <x:f>IF(B446="","",IFERROR(INDEX('Task Master'!$K$5:$K$804,MATCH(B446,'Task Master'!$A$5:$A$804,0)),""))</x:f>
      </x:c>
      <x:c r="G446" s="192"/>
      <x:c r="H446" s="192"/>
      <x:c r="I446" s="192"/>
      <x:c r="J446" s="192"/>
      <x:c r="K446" s="192"/>
      <x:c r="L446" s="196"/>
      <x:c r="M446" s="192"/>
      <x:c r="N446" s="192"/>
      <x:c r="O446" s="192"/>
      <x:c r="P446" s="192"/>
      <x:c r="Q446" s="170" t="str">
        <x:f>IF(OR(A446="",B446=""),"",IF(A446=LOOKUP(2,1/($B$5:$B$704=B446),$A$5:$A$704),"Yes","No"))</x:f>
      </x:c>
    </x:row>
    <x:row r="447">
      <x:c r="A447" s="194"/>
      <x:c r="B447" s="192"/>
      <x:c r="C447" s="170" t="str">
        <x:f>IF(B447="","",IF(COUNTIF('Raw Decommissioning'!$B$2:$B$1000,B447)&gt;0,"Decommissioning",IF(COUNTIF('Raw Provisioning'!$B$2:$B$1000,B447)&gt;0,"Provisioning","Not in latest raw")))</x:f>
      </x:c>
      <x:c r="D447" s="170" t="str">
        <x:f>IF(B447="","",IFERROR(INDEX('Raw Decommissioning'!$E$2:$E$1000,MATCH(B447,'Raw Decommissioning'!$B$2:$B$1000,0)),IFERROR(INDEX('Raw Provisioning'!$E$2:$E$1000,MATCH(B447,'Raw Provisioning'!$B$2:$B$1000,0)),"Missing from latest raw")))</x:f>
      </x:c>
      <x:c r="E447" s="170" t="str">
        <x:f>IF(B447="","",IF(D447="completed","Completed in CSSP",IF(D447="executing","Active - Executing",IF(D447="processing","Ready to Assign",IF(D447="Missing from latest raw","Check Source","Not Managed - "&amp;D447)))))</x:f>
      </x:c>
      <x:c r="F447" s="170" t="str">
        <x:f>IF(B447="","",IFERROR(INDEX('Task Master'!$K$5:$K$804,MATCH(B447,'Task Master'!$A$5:$A$804,0)),""))</x:f>
      </x:c>
      <x:c r="G447" s="192"/>
      <x:c r="H447" s="192"/>
      <x:c r="I447" s="192"/>
      <x:c r="J447" s="192"/>
      <x:c r="K447" s="192"/>
      <x:c r="L447" s="196"/>
      <x:c r="M447" s="192"/>
      <x:c r="N447" s="192"/>
      <x:c r="O447" s="192"/>
      <x:c r="P447" s="192"/>
      <x:c r="Q447" s="170" t="str">
        <x:f>IF(OR(A447="",B447=""),"",IF(A447=LOOKUP(2,1/($B$5:$B$704=B447),$A$5:$A$704),"Yes","No"))</x:f>
      </x:c>
    </x:row>
    <x:row r="448">
      <x:c r="A448" s="194"/>
      <x:c r="B448" s="192"/>
      <x:c r="C448" s="170" t="str">
        <x:f>IF(B448="","",IF(COUNTIF('Raw Decommissioning'!$B$2:$B$1000,B448)&gt;0,"Decommissioning",IF(COUNTIF('Raw Provisioning'!$B$2:$B$1000,B448)&gt;0,"Provisioning","Not in latest raw")))</x:f>
      </x:c>
      <x:c r="D448" s="170" t="str">
        <x:f>IF(B448="","",IFERROR(INDEX('Raw Decommissioning'!$E$2:$E$1000,MATCH(B448,'Raw Decommissioning'!$B$2:$B$1000,0)),IFERROR(INDEX('Raw Provisioning'!$E$2:$E$1000,MATCH(B448,'Raw Provisioning'!$B$2:$B$1000,0)),"Missing from latest raw")))</x:f>
      </x:c>
      <x:c r="E448" s="170" t="str">
        <x:f>IF(B448="","",IF(D448="completed","Completed in CSSP",IF(D448="executing","Active - Executing",IF(D448="processing","Ready to Assign",IF(D448="Missing from latest raw","Check Source","Not Managed - "&amp;D448)))))</x:f>
      </x:c>
      <x:c r="F448" s="170" t="str">
        <x:f>IF(B448="","",IFERROR(INDEX('Task Master'!$K$5:$K$804,MATCH(B448,'Task Master'!$A$5:$A$804,0)),""))</x:f>
      </x:c>
      <x:c r="G448" s="192"/>
      <x:c r="H448" s="192"/>
      <x:c r="I448" s="192"/>
      <x:c r="J448" s="192"/>
      <x:c r="K448" s="192"/>
      <x:c r="L448" s="196"/>
      <x:c r="M448" s="192"/>
      <x:c r="N448" s="192"/>
      <x:c r="O448" s="192"/>
      <x:c r="P448" s="192"/>
      <x:c r="Q448" s="170" t="str">
        <x:f>IF(OR(A448="",B448=""),"",IF(A448=LOOKUP(2,1/($B$5:$B$704=B448),$A$5:$A$704),"Yes","No"))</x:f>
      </x:c>
    </x:row>
    <x:row r="449">
      <x:c r="A449" s="194"/>
      <x:c r="B449" s="192"/>
      <x:c r="C449" s="170" t="str">
        <x:f>IF(B449="","",IF(COUNTIF('Raw Decommissioning'!$B$2:$B$1000,B449)&gt;0,"Decommissioning",IF(COUNTIF('Raw Provisioning'!$B$2:$B$1000,B449)&gt;0,"Provisioning","Not in latest raw")))</x:f>
      </x:c>
      <x:c r="D449" s="170" t="str">
        <x:f>IF(B449="","",IFERROR(INDEX('Raw Decommissioning'!$E$2:$E$1000,MATCH(B449,'Raw Decommissioning'!$B$2:$B$1000,0)),IFERROR(INDEX('Raw Provisioning'!$E$2:$E$1000,MATCH(B449,'Raw Provisioning'!$B$2:$B$1000,0)),"Missing from latest raw")))</x:f>
      </x:c>
      <x:c r="E449" s="170" t="str">
        <x:f>IF(B449="","",IF(D449="completed","Completed in CSSP",IF(D449="executing","Active - Executing",IF(D449="processing","Ready to Assign",IF(D449="Missing from latest raw","Check Source","Not Managed - "&amp;D449)))))</x:f>
      </x:c>
      <x:c r="F449" s="170" t="str">
        <x:f>IF(B449="","",IFERROR(INDEX('Task Master'!$K$5:$K$804,MATCH(B449,'Task Master'!$A$5:$A$804,0)),""))</x:f>
      </x:c>
      <x:c r="G449" s="192"/>
      <x:c r="H449" s="192"/>
      <x:c r="I449" s="192"/>
      <x:c r="J449" s="192"/>
      <x:c r="K449" s="192"/>
      <x:c r="L449" s="196"/>
      <x:c r="M449" s="192"/>
      <x:c r="N449" s="192"/>
      <x:c r="O449" s="192"/>
      <x:c r="P449" s="192"/>
      <x:c r="Q449" s="170" t="str">
        <x:f>IF(OR(A449="",B449=""),"",IF(A449=LOOKUP(2,1/($B$5:$B$704=B449),$A$5:$A$704),"Yes","No"))</x:f>
      </x:c>
    </x:row>
    <x:row r="450">
      <x:c r="A450" s="194"/>
      <x:c r="B450" s="192"/>
      <x:c r="C450" s="170" t="str">
        <x:f>IF(B450="","",IF(COUNTIF('Raw Decommissioning'!$B$2:$B$1000,B450)&gt;0,"Decommissioning",IF(COUNTIF('Raw Provisioning'!$B$2:$B$1000,B450)&gt;0,"Provisioning","Not in latest raw")))</x:f>
      </x:c>
      <x:c r="D450" s="170" t="str">
        <x:f>IF(B450="","",IFERROR(INDEX('Raw Decommissioning'!$E$2:$E$1000,MATCH(B450,'Raw Decommissioning'!$B$2:$B$1000,0)),IFERROR(INDEX('Raw Provisioning'!$E$2:$E$1000,MATCH(B450,'Raw Provisioning'!$B$2:$B$1000,0)),"Missing from latest raw")))</x:f>
      </x:c>
      <x:c r="E450" s="170" t="str">
        <x:f>IF(B450="","",IF(D450="completed","Completed in CSSP",IF(D450="executing","Active - Executing",IF(D450="processing","Ready to Assign",IF(D450="Missing from latest raw","Check Source","Not Managed - "&amp;D450)))))</x:f>
      </x:c>
      <x:c r="F450" s="170" t="str">
        <x:f>IF(B450="","",IFERROR(INDEX('Task Master'!$K$5:$K$804,MATCH(B450,'Task Master'!$A$5:$A$804,0)),""))</x:f>
      </x:c>
      <x:c r="G450" s="192"/>
      <x:c r="H450" s="192"/>
      <x:c r="I450" s="192"/>
      <x:c r="J450" s="192"/>
      <x:c r="K450" s="192"/>
      <x:c r="L450" s="196"/>
      <x:c r="M450" s="192"/>
      <x:c r="N450" s="192"/>
      <x:c r="O450" s="192"/>
      <x:c r="P450" s="192"/>
      <x:c r="Q450" s="170" t="str">
        <x:f>IF(OR(A450="",B450=""),"",IF(A450=LOOKUP(2,1/($B$5:$B$704=B450),$A$5:$A$704),"Yes","No"))</x:f>
      </x:c>
    </x:row>
    <x:row r="451">
      <x:c r="A451" s="194"/>
      <x:c r="B451" s="192"/>
      <x:c r="C451" s="170" t="str">
        <x:f>IF(B451="","",IF(COUNTIF('Raw Decommissioning'!$B$2:$B$1000,B451)&gt;0,"Decommissioning",IF(COUNTIF('Raw Provisioning'!$B$2:$B$1000,B451)&gt;0,"Provisioning","Not in latest raw")))</x:f>
      </x:c>
      <x:c r="D451" s="170" t="str">
        <x:f>IF(B451="","",IFERROR(INDEX('Raw Decommissioning'!$E$2:$E$1000,MATCH(B451,'Raw Decommissioning'!$B$2:$B$1000,0)),IFERROR(INDEX('Raw Provisioning'!$E$2:$E$1000,MATCH(B451,'Raw Provisioning'!$B$2:$B$1000,0)),"Missing from latest raw")))</x:f>
      </x:c>
      <x:c r="E451" s="170" t="str">
        <x:f>IF(B451="","",IF(D451="completed","Completed in CSSP",IF(D451="executing","Active - Executing",IF(D451="processing","Ready to Assign",IF(D451="Missing from latest raw","Check Source","Not Managed - "&amp;D451)))))</x:f>
      </x:c>
      <x:c r="F451" s="170" t="str">
        <x:f>IF(B451="","",IFERROR(INDEX('Task Master'!$K$5:$K$804,MATCH(B451,'Task Master'!$A$5:$A$804,0)),""))</x:f>
      </x:c>
      <x:c r="G451" s="192"/>
      <x:c r="H451" s="192"/>
      <x:c r="I451" s="192"/>
      <x:c r="J451" s="192"/>
      <x:c r="K451" s="192"/>
      <x:c r="L451" s="196"/>
      <x:c r="M451" s="192"/>
      <x:c r="N451" s="192"/>
      <x:c r="O451" s="192"/>
      <x:c r="P451" s="192"/>
      <x:c r="Q451" s="170" t="str">
        <x:f>IF(OR(A451="",B451=""),"",IF(A451=LOOKUP(2,1/($B$5:$B$704=B451),$A$5:$A$704),"Yes","No"))</x:f>
      </x:c>
    </x:row>
    <x:row r="452">
      <x:c r="A452" s="194"/>
      <x:c r="B452" s="192"/>
      <x:c r="C452" s="170" t="str">
        <x:f>IF(B452="","",IF(COUNTIF('Raw Decommissioning'!$B$2:$B$1000,B452)&gt;0,"Decommissioning",IF(COUNTIF('Raw Provisioning'!$B$2:$B$1000,B452)&gt;0,"Provisioning","Not in latest raw")))</x:f>
      </x:c>
      <x:c r="D452" s="170" t="str">
        <x:f>IF(B452="","",IFERROR(INDEX('Raw Decommissioning'!$E$2:$E$1000,MATCH(B452,'Raw Decommissioning'!$B$2:$B$1000,0)),IFERROR(INDEX('Raw Provisioning'!$E$2:$E$1000,MATCH(B452,'Raw Provisioning'!$B$2:$B$1000,0)),"Missing from latest raw")))</x:f>
      </x:c>
      <x:c r="E452" s="170" t="str">
        <x:f>IF(B452="","",IF(D452="completed","Completed in CSSP",IF(D452="executing","Active - Executing",IF(D452="processing","Ready to Assign",IF(D452="Missing from latest raw","Check Source","Not Managed - "&amp;D452)))))</x:f>
      </x:c>
      <x:c r="F452" s="170" t="str">
        <x:f>IF(B452="","",IFERROR(INDEX('Task Master'!$K$5:$K$804,MATCH(B452,'Task Master'!$A$5:$A$804,0)),""))</x:f>
      </x:c>
      <x:c r="G452" s="192"/>
      <x:c r="H452" s="192"/>
      <x:c r="I452" s="192"/>
      <x:c r="J452" s="192"/>
      <x:c r="K452" s="192"/>
      <x:c r="L452" s="196"/>
      <x:c r="M452" s="192"/>
      <x:c r="N452" s="192"/>
      <x:c r="O452" s="192"/>
      <x:c r="P452" s="192"/>
      <x:c r="Q452" s="170" t="str">
        <x:f>IF(OR(A452="",B452=""),"",IF(A452=LOOKUP(2,1/($B$5:$B$704=B452),$A$5:$A$704),"Yes","No"))</x:f>
      </x:c>
    </x:row>
    <x:row r="453">
      <x:c r="A453" s="194"/>
      <x:c r="B453" s="192"/>
      <x:c r="C453" s="170" t="str">
        <x:f>IF(B453="","",IF(COUNTIF('Raw Decommissioning'!$B$2:$B$1000,B453)&gt;0,"Decommissioning",IF(COUNTIF('Raw Provisioning'!$B$2:$B$1000,B453)&gt;0,"Provisioning","Not in latest raw")))</x:f>
      </x:c>
      <x:c r="D453" s="170" t="str">
        <x:f>IF(B453="","",IFERROR(INDEX('Raw Decommissioning'!$E$2:$E$1000,MATCH(B453,'Raw Decommissioning'!$B$2:$B$1000,0)),IFERROR(INDEX('Raw Provisioning'!$E$2:$E$1000,MATCH(B453,'Raw Provisioning'!$B$2:$B$1000,0)),"Missing from latest raw")))</x:f>
      </x:c>
      <x:c r="E453" s="170" t="str">
        <x:f>IF(B453="","",IF(D453="completed","Completed in CSSP",IF(D453="executing","Active - Executing",IF(D453="processing","Ready to Assign",IF(D453="Missing from latest raw","Check Source","Not Managed - "&amp;D453)))))</x:f>
      </x:c>
      <x:c r="F453" s="170" t="str">
        <x:f>IF(B453="","",IFERROR(INDEX('Task Master'!$K$5:$K$804,MATCH(B453,'Task Master'!$A$5:$A$804,0)),""))</x:f>
      </x:c>
      <x:c r="G453" s="192"/>
      <x:c r="H453" s="192"/>
      <x:c r="I453" s="192"/>
      <x:c r="J453" s="192"/>
      <x:c r="K453" s="192"/>
      <x:c r="L453" s="196"/>
      <x:c r="M453" s="192"/>
      <x:c r="N453" s="192"/>
      <x:c r="O453" s="192"/>
      <x:c r="P453" s="192"/>
      <x:c r="Q453" s="170" t="str">
        <x:f>IF(OR(A453="",B453=""),"",IF(A453=LOOKUP(2,1/($B$5:$B$704=B453),$A$5:$A$704),"Yes","No"))</x:f>
      </x:c>
    </x:row>
    <x:row r="454">
      <x:c r="A454" s="194"/>
      <x:c r="B454" s="192"/>
      <x:c r="C454" s="170" t="str">
        <x:f>IF(B454="","",IF(COUNTIF('Raw Decommissioning'!$B$2:$B$1000,B454)&gt;0,"Decommissioning",IF(COUNTIF('Raw Provisioning'!$B$2:$B$1000,B454)&gt;0,"Provisioning","Not in latest raw")))</x:f>
      </x:c>
      <x:c r="D454" s="170" t="str">
        <x:f>IF(B454="","",IFERROR(INDEX('Raw Decommissioning'!$E$2:$E$1000,MATCH(B454,'Raw Decommissioning'!$B$2:$B$1000,0)),IFERROR(INDEX('Raw Provisioning'!$E$2:$E$1000,MATCH(B454,'Raw Provisioning'!$B$2:$B$1000,0)),"Missing from latest raw")))</x:f>
      </x:c>
      <x:c r="E454" s="170" t="str">
        <x:f>IF(B454="","",IF(D454="completed","Completed in CSSP",IF(D454="executing","Active - Executing",IF(D454="processing","Ready to Assign",IF(D454="Missing from latest raw","Check Source","Not Managed - "&amp;D454)))))</x:f>
      </x:c>
      <x:c r="F454" s="170" t="str">
        <x:f>IF(B454="","",IFERROR(INDEX('Task Master'!$K$5:$K$804,MATCH(B454,'Task Master'!$A$5:$A$804,0)),""))</x:f>
      </x:c>
      <x:c r="G454" s="192"/>
      <x:c r="H454" s="192"/>
      <x:c r="I454" s="192"/>
      <x:c r="J454" s="192"/>
      <x:c r="K454" s="192"/>
      <x:c r="L454" s="196"/>
      <x:c r="M454" s="192"/>
      <x:c r="N454" s="192"/>
      <x:c r="O454" s="192"/>
      <x:c r="P454" s="192"/>
      <x:c r="Q454" s="170" t="str">
        <x:f>IF(OR(A454="",B454=""),"",IF(A454=LOOKUP(2,1/($B$5:$B$704=B454),$A$5:$A$704),"Yes","No"))</x:f>
      </x:c>
    </x:row>
    <x:row r="455">
      <x:c r="A455" s="194"/>
      <x:c r="B455" s="192"/>
      <x:c r="C455" s="170" t="str">
        <x:f>IF(B455="","",IF(COUNTIF('Raw Decommissioning'!$B$2:$B$1000,B455)&gt;0,"Decommissioning",IF(COUNTIF('Raw Provisioning'!$B$2:$B$1000,B455)&gt;0,"Provisioning","Not in latest raw")))</x:f>
      </x:c>
      <x:c r="D455" s="170" t="str">
        <x:f>IF(B455="","",IFERROR(INDEX('Raw Decommissioning'!$E$2:$E$1000,MATCH(B455,'Raw Decommissioning'!$B$2:$B$1000,0)),IFERROR(INDEX('Raw Provisioning'!$E$2:$E$1000,MATCH(B455,'Raw Provisioning'!$B$2:$B$1000,0)),"Missing from latest raw")))</x:f>
      </x:c>
      <x:c r="E455" s="170" t="str">
        <x:f>IF(B455="","",IF(D455="completed","Completed in CSSP",IF(D455="executing","Active - Executing",IF(D455="processing","Ready to Assign",IF(D455="Missing from latest raw","Check Source","Not Managed - "&amp;D455)))))</x:f>
      </x:c>
      <x:c r="F455" s="170" t="str">
        <x:f>IF(B455="","",IFERROR(INDEX('Task Master'!$K$5:$K$804,MATCH(B455,'Task Master'!$A$5:$A$804,0)),""))</x:f>
      </x:c>
      <x:c r="G455" s="192"/>
      <x:c r="H455" s="192"/>
      <x:c r="I455" s="192"/>
      <x:c r="J455" s="192"/>
      <x:c r="K455" s="192"/>
      <x:c r="L455" s="196"/>
      <x:c r="M455" s="192"/>
      <x:c r="N455" s="192"/>
      <x:c r="O455" s="192"/>
      <x:c r="P455" s="192"/>
      <x:c r="Q455" s="170" t="str">
        <x:f>IF(OR(A455="",B455=""),"",IF(A455=LOOKUP(2,1/($B$5:$B$704=B455),$A$5:$A$704),"Yes","No"))</x:f>
      </x:c>
    </x:row>
    <x:row r="456">
      <x:c r="A456" s="194"/>
      <x:c r="B456" s="192"/>
      <x:c r="C456" s="170" t="str">
        <x:f>IF(B456="","",IF(COUNTIF('Raw Decommissioning'!$B$2:$B$1000,B456)&gt;0,"Decommissioning",IF(COUNTIF('Raw Provisioning'!$B$2:$B$1000,B456)&gt;0,"Provisioning","Not in latest raw")))</x:f>
      </x:c>
      <x:c r="D456" s="170" t="str">
        <x:f>IF(B456="","",IFERROR(INDEX('Raw Decommissioning'!$E$2:$E$1000,MATCH(B456,'Raw Decommissioning'!$B$2:$B$1000,0)),IFERROR(INDEX('Raw Provisioning'!$E$2:$E$1000,MATCH(B456,'Raw Provisioning'!$B$2:$B$1000,0)),"Missing from latest raw")))</x:f>
      </x:c>
      <x:c r="E456" s="170" t="str">
        <x:f>IF(B456="","",IF(D456="completed","Completed in CSSP",IF(D456="executing","Active - Executing",IF(D456="processing","Ready to Assign",IF(D456="Missing from latest raw","Check Source","Not Managed - "&amp;D456)))))</x:f>
      </x:c>
      <x:c r="F456" s="170" t="str">
        <x:f>IF(B456="","",IFERROR(INDEX('Task Master'!$K$5:$K$804,MATCH(B456,'Task Master'!$A$5:$A$804,0)),""))</x:f>
      </x:c>
      <x:c r="G456" s="192"/>
      <x:c r="H456" s="192"/>
      <x:c r="I456" s="192"/>
      <x:c r="J456" s="192"/>
      <x:c r="K456" s="192"/>
      <x:c r="L456" s="196"/>
      <x:c r="M456" s="192"/>
      <x:c r="N456" s="192"/>
      <x:c r="O456" s="192"/>
      <x:c r="P456" s="192"/>
      <x:c r="Q456" s="170" t="str">
        <x:f>IF(OR(A456="",B456=""),"",IF(A456=LOOKUP(2,1/($B$5:$B$704=B456),$A$5:$A$704),"Yes","No"))</x:f>
      </x:c>
    </x:row>
    <x:row r="457">
      <x:c r="A457" s="194"/>
      <x:c r="B457" s="192"/>
      <x:c r="C457" s="170" t="str">
        <x:f>IF(B457="","",IF(COUNTIF('Raw Decommissioning'!$B$2:$B$1000,B457)&gt;0,"Decommissioning",IF(COUNTIF('Raw Provisioning'!$B$2:$B$1000,B457)&gt;0,"Provisioning","Not in latest raw")))</x:f>
      </x:c>
      <x:c r="D457" s="170" t="str">
        <x:f>IF(B457="","",IFERROR(INDEX('Raw Decommissioning'!$E$2:$E$1000,MATCH(B457,'Raw Decommissioning'!$B$2:$B$1000,0)),IFERROR(INDEX('Raw Provisioning'!$E$2:$E$1000,MATCH(B457,'Raw Provisioning'!$B$2:$B$1000,0)),"Missing from latest raw")))</x:f>
      </x:c>
      <x:c r="E457" s="170" t="str">
        <x:f>IF(B457="","",IF(D457="completed","Completed in CSSP",IF(D457="executing","Active - Executing",IF(D457="processing","Ready to Assign",IF(D457="Missing from latest raw","Check Source","Not Managed - "&amp;D457)))))</x:f>
      </x:c>
      <x:c r="F457" s="170" t="str">
        <x:f>IF(B457="","",IFERROR(INDEX('Task Master'!$K$5:$K$804,MATCH(B457,'Task Master'!$A$5:$A$804,0)),""))</x:f>
      </x:c>
      <x:c r="G457" s="192"/>
      <x:c r="H457" s="192"/>
      <x:c r="I457" s="192"/>
      <x:c r="J457" s="192"/>
      <x:c r="K457" s="192"/>
      <x:c r="L457" s="196"/>
      <x:c r="M457" s="192"/>
      <x:c r="N457" s="192"/>
      <x:c r="O457" s="192"/>
      <x:c r="P457" s="192"/>
      <x:c r="Q457" s="170" t="str">
        <x:f>IF(OR(A457="",B457=""),"",IF(A457=LOOKUP(2,1/($B$5:$B$704=B457),$A$5:$A$704),"Yes","No"))</x:f>
      </x:c>
    </x:row>
    <x:row r="458">
      <x:c r="A458" s="194"/>
      <x:c r="B458" s="192"/>
      <x:c r="C458" s="170" t="str">
        <x:f>IF(B458="","",IF(COUNTIF('Raw Decommissioning'!$B$2:$B$1000,B458)&gt;0,"Decommissioning",IF(COUNTIF('Raw Provisioning'!$B$2:$B$1000,B458)&gt;0,"Provisioning","Not in latest raw")))</x:f>
      </x:c>
      <x:c r="D458" s="170" t="str">
        <x:f>IF(B458="","",IFERROR(INDEX('Raw Decommissioning'!$E$2:$E$1000,MATCH(B458,'Raw Decommissioning'!$B$2:$B$1000,0)),IFERROR(INDEX('Raw Provisioning'!$E$2:$E$1000,MATCH(B458,'Raw Provisioning'!$B$2:$B$1000,0)),"Missing from latest raw")))</x:f>
      </x:c>
      <x:c r="E458" s="170" t="str">
        <x:f>IF(B458="","",IF(D458="completed","Completed in CSSP",IF(D458="executing","Active - Executing",IF(D458="processing","Ready to Assign",IF(D458="Missing from latest raw","Check Source","Not Managed - "&amp;D458)))))</x:f>
      </x:c>
      <x:c r="F458" s="170" t="str">
        <x:f>IF(B458="","",IFERROR(INDEX('Task Master'!$K$5:$K$804,MATCH(B458,'Task Master'!$A$5:$A$804,0)),""))</x:f>
      </x:c>
      <x:c r="G458" s="192"/>
      <x:c r="H458" s="192"/>
      <x:c r="I458" s="192"/>
      <x:c r="J458" s="192"/>
      <x:c r="K458" s="192"/>
      <x:c r="L458" s="196"/>
      <x:c r="M458" s="192"/>
      <x:c r="N458" s="192"/>
      <x:c r="O458" s="192"/>
      <x:c r="P458" s="192"/>
      <x:c r="Q458" s="170" t="str">
        <x:f>IF(OR(A458="",B458=""),"",IF(A458=LOOKUP(2,1/($B$5:$B$704=B458),$A$5:$A$704),"Yes","No"))</x:f>
      </x:c>
    </x:row>
    <x:row r="459">
      <x:c r="A459" s="194"/>
      <x:c r="B459" s="192"/>
      <x:c r="C459" s="170" t="str">
        <x:f>IF(B459="","",IF(COUNTIF('Raw Decommissioning'!$B$2:$B$1000,B459)&gt;0,"Decommissioning",IF(COUNTIF('Raw Provisioning'!$B$2:$B$1000,B459)&gt;0,"Provisioning","Not in latest raw")))</x:f>
      </x:c>
      <x:c r="D459" s="170" t="str">
        <x:f>IF(B459="","",IFERROR(INDEX('Raw Decommissioning'!$E$2:$E$1000,MATCH(B459,'Raw Decommissioning'!$B$2:$B$1000,0)),IFERROR(INDEX('Raw Provisioning'!$E$2:$E$1000,MATCH(B459,'Raw Provisioning'!$B$2:$B$1000,0)),"Missing from latest raw")))</x:f>
      </x:c>
      <x:c r="E459" s="170" t="str">
        <x:f>IF(B459="","",IF(D459="completed","Completed in CSSP",IF(D459="executing","Active - Executing",IF(D459="processing","Ready to Assign",IF(D459="Missing from latest raw","Check Source","Not Managed - "&amp;D459)))))</x:f>
      </x:c>
      <x:c r="F459" s="170" t="str">
        <x:f>IF(B459="","",IFERROR(INDEX('Task Master'!$K$5:$K$804,MATCH(B459,'Task Master'!$A$5:$A$804,0)),""))</x:f>
      </x:c>
      <x:c r="G459" s="192"/>
      <x:c r="H459" s="192"/>
      <x:c r="I459" s="192"/>
      <x:c r="J459" s="192"/>
      <x:c r="K459" s="192"/>
      <x:c r="L459" s="196"/>
      <x:c r="M459" s="192"/>
      <x:c r="N459" s="192"/>
      <x:c r="O459" s="192"/>
      <x:c r="P459" s="192"/>
      <x:c r="Q459" s="170" t="str">
        <x:f>IF(OR(A459="",B459=""),"",IF(A459=LOOKUP(2,1/($B$5:$B$704=B459),$A$5:$A$704),"Yes","No"))</x:f>
      </x:c>
    </x:row>
    <x:row r="460">
      <x:c r="A460" s="194"/>
      <x:c r="B460" s="192"/>
      <x:c r="C460" s="170" t="str">
        <x:f>IF(B460="","",IF(COUNTIF('Raw Decommissioning'!$B$2:$B$1000,B460)&gt;0,"Decommissioning",IF(COUNTIF('Raw Provisioning'!$B$2:$B$1000,B460)&gt;0,"Provisioning","Not in latest raw")))</x:f>
      </x:c>
      <x:c r="D460" s="170" t="str">
        <x:f>IF(B460="","",IFERROR(INDEX('Raw Decommissioning'!$E$2:$E$1000,MATCH(B460,'Raw Decommissioning'!$B$2:$B$1000,0)),IFERROR(INDEX('Raw Provisioning'!$E$2:$E$1000,MATCH(B460,'Raw Provisioning'!$B$2:$B$1000,0)),"Missing from latest raw")))</x:f>
      </x:c>
      <x:c r="E460" s="170" t="str">
        <x:f>IF(B460="","",IF(D460="completed","Completed in CSSP",IF(D460="executing","Active - Executing",IF(D460="processing","Ready to Assign",IF(D460="Missing from latest raw","Check Source","Not Managed - "&amp;D460)))))</x:f>
      </x:c>
      <x:c r="F460" s="170" t="str">
        <x:f>IF(B460="","",IFERROR(INDEX('Task Master'!$K$5:$K$804,MATCH(B460,'Task Master'!$A$5:$A$804,0)),""))</x:f>
      </x:c>
      <x:c r="G460" s="192"/>
      <x:c r="H460" s="192"/>
      <x:c r="I460" s="192"/>
      <x:c r="J460" s="192"/>
      <x:c r="K460" s="192"/>
      <x:c r="L460" s="196"/>
      <x:c r="M460" s="192"/>
      <x:c r="N460" s="192"/>
      <x:c r="O460" s="192"/>
      <x:c r="P460" s="192"/>
      <x:c r="Q460" s="170" t="str">
        <x:f>IF(OR(A460="",B460=""),"",IF(A460=LOOKUP(2,1/($B$5:$B$704=B460),$A$5:$A$704),"Yes","No"))</x:f>
      </x:c>
    </x:row>
    <x:row r="461">
      <x:c r="A461" s="194"/>
      <x:c r="B461" s="192"/>
      <x:c r="C461" s="170" t="str">
        <x:f>IF(B461="","",IF(COUNTIF('Raw Decommissioning'!$B$2:$B$1000,B461)&gt;0,"Decommissioning",IF(COUNTIF('Raw Provisioning'!$B$2:$B$1000,B461)&gt;0,"Provisioning","Not in latest raw")))</x:f>
      </x:c>
      <x:c r="D461" s="170" t="str">
        <x:f>IF(B461="","",IFERROR(INDEX('Raw Decommissioning'!$E$2:$E$1000,MATCH(B461,'Raw Decommissioning'!$B$2:$B$1000,0)),IFERROR(INDEX('Raw Provisioning'!$E$2:$E$1000,MATCH(B461,'Raw Provisioning'!$B$2:$B$1000,0)),"Missing from latest raw")))</x:f>
      </x:c>
      <x:c r="E461" s="170" t="str">
        <x:f>IF(B461="","",IF(D461="completed","Completed in CSSP",IF(D461="executing","Active - Executing",IF(D461="processing","Ready to Assign",IF(D461="Missing from latest raw","Check Source","Not Managed - "&amp;D461)))))</x:f>
      </x:c>
      <x:c r="F461" s="170" t="str">
        <x:f>IF(B461="","",IFERROR(INDEX('Task Master'!$K$5:$K$804,MATCH(B461,'Task Master'!$A$5:$A$804,0)),""))</x:f>
      </x:c>
      <x:c r="G461" s="192"/>
      <x:c r="H461" s="192"/>
      <x:c r="I461" s="192"/>
      <x:c r="J461" s="192"/>
      <x:c r="K461" s="192"/>
      <x:c r="L461" s="196"/>
      <x:c r="M461" s="192"/>
      <x:c r="N461" s="192"/>
      <x:c r="O461" s="192"/>
      <x:c r="P461" s="192"/>
      <x:c r="Q461" s="170" t="str">
        <x:f>IF(OR(A461="",B461=""),"",IF(A461=LOOKUP(2,1/($B$5:$B$704=B461),$A$5:$A$704),"Yes","No"))</x:f>
      </x:c>
    </x:row>
    <x:row r="462">
      <x:c r="A462" s="194"/>
      <x:c r="B462" s="192"/>
      <x:c r="C462" s="170" t="str">
        <x:f>IF(B462="","",IF(COUNTIF('Raw Decommissioning'!$B$2:$B$1000,B462)&gt;0,"Decommissioning",IF(COUNTIF('Raw Provisioning'!$B$2:$B$1000,B462)&gt;0,"Provisioning","Not in latest raw")))</x:f>
      </x:c>
      <x:c r="D462" s="170" t="str">
        <x:f>IF(B462="","",IFERROR(INDEX('Raw Decommissioning'!$E$2:$E$1000,MATCH(B462,'Raw Decommissioning'!$B$2:$B$1000,0)),IFERROR(INDEX('Raw Provisioning'!$E$2:$E$1000,MATCH(B462,'Raw Provisioning'!$B$2:$B$1000,0)),"Missing from latest raw")))</x:f>
      </x:c>
      <x:c r="E462" s="170" t="str">
        <x:f>IF(B462="","",IF(D462="completed","Completed in CSSP",IF(D462="executing","Active - Executing",IF(D462="processing","Ready to Assign",IF(D462="Missing from latest raw","Check Source","Not Managed - "&amp;D462)))))</x:f>
      </x:c>
      <x:c r="F462" s="170" t="str">
        <x:f>IF(B462="","",IFERROR(INDEX('Task Master'!$K$5:$K$804,MATCH(B462,'Task Master'!$A$5:$A$804,0)),""))</x:f>
      </x:c>
      <x:c r="G462" s="192"/>
      <x:c r="H462" s="192"/>
      <x:c r="I462" s="192"/>
      <x:c r="J462" s="192"/>
      <x:c r="K462" s="192"/>
      <x:c r="L462" s="196"/>
      <x:c r="M462" s="192"/>
      <x:c r="N462" s="192"/>
      <x:c r="O462" s="192"/>
      <x:c r="P462" s="192"/>
      <x:c r="Q462" s="170" t="str">
        <x:f>IF(OR(A462="",B462=""),"",IF(A462=LOOKUP(2,1/($B$5:$B$704=B462),$A$5:$A$704),"Yes","No"))</x:f>
      </x:c>
    </x:row>
    <x:row r="463">
      <x:c r="A463" s="194"/>
      <x:c r="B463" s="192"/>
      <x:c r="C463" s="170" t="str">
        <x:f>IF(B463="","",IF(COUNTIF('Raw Decommissioning'!$B$2:$B$1000,B463)&gt;0,"Decommissioning",IF(COUNTIF('Raw Provisioning'!$B$2:$B$1000,B463)&gt;0,"Provisioning","Not in latest raw")))</x:f>
      </x:c>
      <x:c r="D463" s="170" t="str">
        <x:f>IF(B463="","",IFERROR(INDEX('Raw Decommissioning'!$E$2:$E$1000,MATCH(B463,'Raw Decommissioning'!$B$2:$B$1000,0)),IFERROR(INDEX('Raw Provisioning'!$E$2:$E$1000,MATCH(B463,'Raw Provisioning'!$B$2:$B$1000,0)),"Missing from latest raw")))</x:f>
      </x:c>
      <x:c r="E463" s="170" t="str">
        <x:f>IF(B463="","",IF(D463="completed","Completed in CSSP",IF(D463="executing","Active - Executing",IF(D463="processing","Ready to Assign",IF(D463="Missing from latest raw","Check Source","Not Managed - "&amp;D463)))))</x:f>
      </x:c>
      <x:c r="F463" s="170" t="str">
        <x:f>IF(B463="","",IFERROR(INDEX('Task Master'!$K$5:$K$804,MATCH(B463,'Task Master'!$A$5:$A$804,0)),""))</x:f>
      </x:c>
      <x:c r="G463" s="192"/>
      <x:c r="H463" s="192"/>
      <x:c r="I463" s="192"/>
      <x:c r="J463" s="192"/>
      <x:c r="K463" s="192"/>
      <x:c r="L463" s="196"/>
      <x:c r="M463" s="192"/>
      <x:c r="N463" s="192"/>
      <x:c r="O463" s="192"/>
      <x:c r="P463" s="192"/>
      <x:c r="Q463" s="170" t="str">
        <x:f>IF(OR(A463="",B463=""),"",IF(A463=LOOKUP(2,1/($B$5:$B$704=B463),$A$5:$A$704),"Yes","No"))</x:f>
      </x:c>
    </x:row>
    <x:row r="464">
      <x:c r="A464" s="194"/>
      <x:c r="B464" s="192"/>
      <x:c r="C464" s="170" t="str">
        <x:f>IF(B464="","",IF(COUNTIF('Raw Decommissioning'!$B$2:$B$1000,B464)&gt;0,"Decommissioning",IF(COUNTIF('Raw Provisioning'!$B$2:$B$1000,B464)&gt;0,"Provisioning","Not in latest raw")))</x:f>
      </x:c>
      <x:c r="D464" s="170" t="str">
        <x:f>IF(B464="","",IFERROR(INDEX('Raw Decommissioning'!$E$2:$E$1000,MATCH(B464,'Raw Decommissioning'!$B$2:$B$1000,0)),IFERROR(INDEX('Raw Provisioning'!$E$2:$E$1000,MATCH(B464,'Raw Provisioning'!$B$2:$B$1000,0)),"Missing from latest raw")))</x:f>
      </x:c>
      <x:c r="E464" s="170" t="str">
        <x:f>IF(B464="","",IF(D464="completed","Completed in CSSP",IF(D464="executing","Active - Executing",IF(D464="processing","Ready to Assign",IF(D464="Missing from latest raw","Check Source","Not Managed - "&amp;D464)))))</x:f>
      </x:c>
      <x:c r="F464" s="170" t="str">
        <x:f>IF(B464="","",IFERROR(INDEX('Task Master'!$K$5:$K$804,MATCH(B464,'Task Master'!$A$5:$A$804,0)),""))</x:f>
      </x:c>
      <x:c r="G464" s="192"/>
      <x:c r="H464" s="192"/>
      <x:c r="I464" s="192"/>
      <x:c r="J464" s="192"/>
      <x:c r="K464" s="192"/>
      <x:c r="L464" s="196"/>
      <x:c r="M464" s="192"/>
      <x:c r="N464" s="192"/>
      <x:c r="O464" s="192"/>
      <x:c r="P464" s="192"/>
      <x:c r="Q464" s="170" t="str">
        <x:f>IF(OR(A464="",B464=""),"",IF(A464=LOOKUP(2,1/($B$5:$B$704=B464),$A$5:$A$704),"Yes","No"))</x:f>
      </x:c>
    </x:row>
    <x:row r="465">
      <x:c r="A465" s="194"/>
      <x:c r="B465" s="192"/>
      <x:c r="C465" s="170" t="str">
        <x:f>IF(B465="","",IF(COUNTIF('Raw Decommissioning'!$B$2:$B$1000,B465)&gt;0,"Decommissioning",IF(COUNTIF('Raw Provisioning'!$B$2:$B$1000,B465)&gt;0,"Provisioning","Not in latest raw")))</x:f>
      </x:c>
      <x:c r="D465" s="170" t="str">
        <x:f>IF(B465="","",IFERROR(INDEX('Raw Decommissioning'!$E$2:$E$1000,MATCH(B465,'Raw Decommissioning'!$B$2:$B$1000,0)),IFERROR(INDEX('Raw Provisioning'!$E$2:$E$1000,MATCH(B465,'Raw Provisioning'!$B$2:$B$1000,0)),"Missing from latest raw")))</x:f>
      </x:c>
      <x:c r="E465" s="170" t="str">
        <x:f>IF(B465="","",IF(D465="completed","Completed in CSSP",IF(D465="executing","Active - Executing",IF(D465="processing","Ready to Assign",IF(D465="Missing from latest raw","Check Source","Not Managed - "&amp;D465)))))</x:f>
      </x:c>
      <x:c r="F465" s="170" t="str">
        <x:f>IF(B465="","",IFERROR(INDEX('Task Master'!$K$5:$K$804,MATCH(B465,'Task Master'!$A$5:$A$804,0)),""))</x:f>
      </x:c>
      <x:c r="G465" s="192"/>
      <x:c r="H465" s="192"/>
      <x:c r="I465" s="192"/>
      <x:c r="J465" s="192"/>
      <x:c r="K465" s="192"/>
      <x:c r="L465" s="196"/>
      <x:c r="M465" s="192"/>
      <x:c r="N465" s="192"/>
      <x:c r="O465" s="192"/>
      <x:c r="P465" s="192"/>
      <x:c r="Q465" s="170" t="str">
        <x:f>IF(OR(A465="",B465=""),"",IF(A465=LOOKUP(2,1/($B$5:$B$704=B465),$A$5:$A$704),"Yes","No"))</x:f>
      </x:c>
    </x:row>
    <x:row r="466">
      <x:c r="A466" s="194"/>
      <x:c r="B466" s="192"/>
      <x:c r="C466" s="170" t="str">
        <x:f>IF(B466="","",IF(COUNTIF('Raw Decommissioning'!$B$2:$B$1000,B466)&gt;0,"Decommissioning",IF(COUNTIF('Raw Provisioning'!$B$2:$B$1000,B466)&gt;0,"Provisioning","Not in latest raw")))</x:f>
      </x:c>
      <x:c r="D466" s="170" t="str">
        <x:f>IF(B466="","",IFERROR(INDEX('Raw Decommissioning'!$E$2:$E$1000,MATCH(B466,'Raw Decommissioning'!$B$2:$B$1000,0)),IFERROR(INDEX('Raw Provisioning'!$E$2:$E$1000,MATCH(B466,'Raw Provisioning'!$B$2:$B$1000,0)),"Missing from latest raw")))</x:f>
      </x:c>
      <x:c r="E466" s="170" t="str">
        <x:f>IF(B466="","",IF(D466="completed","Completed in CSSP",IF(D466="executing","Active - Executing",IF(D466="processing","Ready to Assign",IF(D466="Missing from latest raw","Check Source","Not Managed - "&amp;D466)))))</x:f>
      </x:c>
      <x:c r="F466" s="170" t="str">
        <x:f>IF(B466="","",IFERROR(INDEX('Task Master'!$K$5:$K$804,MATCH(B466,'Task Master'!$A$5:$A$804,0)),""))</x:f>
      </x:c>
      <x:c r="G466" s="192"/>
      <x:c r="H466" s="192"/>
      <x:c r="I466" s="192"/>
      <x:c r="J466" s="192"/>
      <x:c r="K466" s="192"/>
      <x:c r="L466" s="196"/>
      <x:c r="M466" s="192"/>
      <x:c r="N466" s="192"/>
      <x:c r="O466" s="192"/>
      <x:c r="P466" s="192"/>
      <x:c r="Q466" s="170" t="str">
        <x:f>IF(OR(A466="",B466=""),"",IF(A466=LOOKUP(2,1/($B$5:$B$704=B466),$A$5:$A$704),"Yes","No"))</x:f>
      </x:c>
    </x:row>
    <x:row r="467">
      <x:c r="A467" s="194"/>
      <x:c r="B467" s="192"/>
      <x:c r="C467" s="170" t="str">
        <x:f>IF(B467="","",IF(COUNTIF('Raw Decommissioning'!$B$2:$B$1000,B467)&gt;0,"Decommissioning",IF(COUNTIF('Raw Provisioning'!$B$2:$B$1000,B467)&gt;0,"Provisioning","Not in latest raw")))</x:f>
      </x:c>
      <x:c r="D467" s="170" t="str">
        <x:f>IF(B467="","",IFERROR(INDEX('Raw Decommissioning'!$E$2:$E$1000,MATCH(B467,'Raw Decommissioning'!$B$2:$B$1000,0)),IFERROR(INDEX('Raw Provisioning'!$E$2:$E$1000,MATCH(B467,'Raw Provisioning'!$B$2:$B$1000,0)),"Missing from latest raw")))</x:f>
      </x:c>
      <x:c r="E467" s="170" t="str">
        <x:f>IF(B467="","",IF(D467="completed","Completed in CSSP",IF(D467="executing","Active - Executing",IF(D467="processing","Ready to Assign",IF(D467="Missing from latest raw","Check Source","Not Managed - "&amp;D467)))))</x:f>
      </x:c>
      <x:c r="F467" s="170" t="str">
        <x:f>IF(B467="","",IFERROR(INDEX('Task Master'!$K$5:$K$804,MATCH(B467,'Task Master'!$A$5:$A$804,0)),""))</x:f>
      </x:c>
      <x:c r="G467" s="192"/>
      <x:c r="H467" s="192"/>
      <x:c r="I467" s="192"/>
      <x:c r="J467" s="192"/>
      <x:c r="K467" s="192"/>
      <x:c r="L467" s="196"/>
      <x:c r="M467" s="192"/>
      <x:c r="N467" s="192"/>
      <x:c r="O467" s="192"/>
      <x:c r="P467" s="192"/>
      <x:c r="Q467" s="170" t="str">
        <x:f>IF(OR(A467="",B467=""),"",IF(A467=LOOKUP(2,1/($B$5:$B$704=B467),$A$5:$A$704),"Yes","No"))</x:f>
      </x:c>
    </x:row>
    <x:row r="468">
      <x:c r="A468" s="194"/>
      <x:c r="B468" s="192"/>
      <x:c r="C468" s="170" t="str">
        <x:f>IF(B468="","",IF(COUNTIF('Raw Decommissioning'!$B$2:$B$1000,B468)&gt;0,"Decommissioning",IF(COUNTIF('Raw Provisioning'!$B$2:$B$1000,B468)&gt;0,"Provisioning","Not in latest raw")))</x:f>
      </x:c>
      <x:c r="D468" s="170" t="str">
        <x:f>IF(B468="","",IFERROR(INDEX('Raw Decommissioning'!$E$2:$E$1000,MATCH(B468,'Raw Decommissioning'!$B$2:$B$1000,0)),IFERROR(INDEX('Raw Provisioning'!$E$2:$E$1000,MATCH(B468,'Raw Provisioning'!$B$2:$B$1000,0)),"Missing from latest raw")))</x:f>
      </x:c>
      <x:c r="E468" s="170" t="str">
        <x:f>IF(B468="","",IF(D468="completed","Completed in CSSP",IF(D468="executing","Active - Executing",IF(D468="processing","Ready to Assign",IF(D468="Missing from latest raw","Check Source","Not Managed - "&amp;D468)))))</x:f>
      </x:c>
      <x:c r="F468" s="170" t="str">
        <x:f>IF(B468="","",IFERROR(INDEX('Task Master'!$K$5:$K$804,MATCH(B468,'Task Master'!$A$5:$A$804,0)),""))</x:f>
      </x:c>
      <x:c r="G468" s="192"/>
      <x:c r="H468" s="192"/>
      <x:c r="I468" s="192"/>
      <x:c r="J468" s="192"/>
      <x:c r="K468" s="192"/>
      <x:c r="L468" s="196"/>
      <x:c r="M468" s="192"/>
      <x:c r="N468" s="192"/>
      <x:c r="O468" s="192"/>
      <x:c r="P468" s="192"/>
      <x:c r="Q468" s="170" t="str">
        <x:f>IF(OR(A468="",B468=""),"",IF(A468=LOOKUP(2,1/($B$5:$B$704=B468),$A$5:$A$704),"Yes","No"))</x:f>
      </x:c>
    </x:row>
    <x:row r="469">
      <x:c r="A469" s="194"/>
      <x:c r="B469" s="192"/>
      <x:c r="C469" s="170" t="str">
        <x:f>IF(B469="","",IF(COUNTIF('Raw Decommissioning'!$B$2:$B$1000,B469)&gt;0,"Decommissioning",IF(COUNTIF('Raw Provisioning'!$B$2:$B$1000,B469)&gt;0,"Provisioning","Not in latest raw")))</x:f>
      </x:c>
      <x:c r="D469" s="170" t="str">
        <x:f>IF(B469="","",IFERROR(INDEX('Raw Decommissioning'!$E$2:$E$1000,MATCH(B469,'Raw Decommissioning'!$B$2:$B$1000,0)),IFERROR(INDEX('Raw Provisioning'!$E$2:$E$1000,MATCH(B469,'Raw Provisioning'!$B$2:$B$1000,0)),"Missing from latest raw")))</x:f>
      </x:c>
      <x:c r="E469" s="170" t="str">
        <x:f>IF(B469="","",IF(D469="completed","Completed in CSSP",IF(D469="executing","Active - Executing",IF(D469="processing","Ready to Assign",IF(D469="Missing from latest raw","Check Source","Not Managed - "&amp;D469)))))</x:f>
      </x:c>
      <x:c r="F469" s="170" t="str">
        <x:f>IF(B469="","",IFERROR(INDEX('Task Master'!$K$5:$K$804,MATCH(B469,'Task Master'!$A$5:$A$804,0)),""))</x:f>
      </x:c>
      <x:c r="G469" s="192"/>
      <x:c r="H469" s="192"/>
      <x:c r="I469" s="192"/>
      <x:c r="J469" s="192"/>
      <x:c r="K469" s="192"/>
      <x:c r="L469" s="196"/>
      <x:c r="M469" s="192"/>
      <x:c r="N469" s="192"/>
      <x:c r="O469" s="192"/>
      <x:c r="P469" s="192"/>
      <x:c r="Q469" s="170" t="str">
        <x:f>IF(OR(A469="",B469=""),"",IF(A469=LOOKUP(2,1/($B$5:$B$704=B469),$A$5:$A$704),"Yes","No"))</x:f>
      </x:c>
    </x:row>
    <x:row r="470">
      <x:c r="A470" s="194"/>
      <x:c r="B470" s="192"/>
      <x:c r="C470" s="170" t="str">
        <x:f>IF(B470="","",IF(COUNTIF('Raw Decommissioning'!$B$2:$B$1000,B470)&gt;0,"Decommissioning",IF(COUNTIF('Raw Provisioning'!$B$2:$B$1000,B470)&gt;0,"Provisioning","Not in latest raw")))</x:f>
      </x:c>
      <x:c r="D470" s="170" t="str">
        <x:f>IF(B470="","",IFERROR(INDEX('Raw Decommissioning'!$E$2:$E$1000,MATCH(B470,'Raw Decommissioning'!$B$2:$B$1000,0)),IFERROR(INDEX('Raw Provisioning'!$E$2:$E$1000,MATCH(B470,'Raw Provisioning'!$B$2:$B$1000,0)),"Missing from latest raw")))</x:f>
      </x:c>
      <x:c r="E470" s="170" t="str">
        <x:f>IF(B470="","",IF(D470="completed","Completed in CSSP",IF(D470="executing","Active - Executing",IF(D470="processing","Ready to Assign",IF(D470="Missing from latest raw","Check Source","Not Managed - "&amp;D470)))))</x:f>
      </x:c>
      <x:c r="F470" s="170" t="str">
        <x:f>IF(B470="","",IFERROR(INDEX('Task Master'!$K$5:$K$804,MATCH(B470,'Task Master'!$A$5:$A$804,0)),""))</x:f>
      </x:c>
      <x:c r="G470" s="192"/>
      <x:c r="H470" s="192"/>
      <x:c r="I470" s="192"/>
      <x:c r="J470" s="192"/>
      <x:c r="K470" s="192"/>
      <x:c r="L470" s="196"/>
      <x:c r="M470" s="192"/>
      <x:c r="N470" s="192"/>
      <x:c r="O470" s="192"/>
      <x:c r="P470" s="192"/>
      <x:c r="Q470" s="170" t="str">
        <x:f>IF(OR(A470="",B470=""),"",IF(A470=LOOKUP(2,1/($B$5:$B$704=B470),$A$5:$A$704),"Yes","No"))</x:f>
      </x:c>
    </x:row>
    <x:row r="471">
      <x:c r="A471" s="194"/>
      <x:c r="B471" s="192"/>
      <x:c r="C471" s="170" t="str">
        <x:f>IF(B471="","",IF(COUNTIF('Raw Decommissioning'!$B$2:$B$1000,B471)&gt;0,"Decommissioning",IF(COUNTIF('Raw Provisioning'!$B$2:$B$1000,B471)&gt;0,"Provisioning","Not in latest raw")))</x:f>
      </x:c>
      <x:c r="D471" s="170" t="str">
        <x:f>IF(B471="","",IFERROR(INDEX('Raw Decommissioning'!$E$2:$E$1000,MATCH(B471,'Raw Decommissioning'!$B$2:$B$1000,0)),IFERROR(INDEX('Raw Provisioning'!$E$2:$E$1000,MATCH(B471,'Raw Provisioning'!$B$2:$B$1000,0)),"Missing from latest raw")))</x:f>
      </x:c>
      <x:c r="E471" s="170" t="str">
        <x:f>IF(B471="","",IF(D471="completed","Completed in CSSP",IF(D471="executing","Active - Executing",IF(D471="processing","Ready to Assign",IF(D471="Missing from latest raw","Check Source","Not Managed - "&amp;D471)))))</x:f>
      </x:c>
      <x:c r="F471" s="170" t="str">
        <x:f>IF(B471="","",IFERROR(INDEX('Task Master'!$K$5:$K$804,MATCH(B471,'Task Master'!$A$5:$A$804,0)),""))</x:f>
      </x:c>
      <x:c r="G471" s="192"/>
      <x:c r="H471" s="192"/>
      <x:c r="I471" s="192"/>
      <x:c r="J471" s="192"/>
      <x:c r="K471" s="192"/>
      <x:c r="L471" s="196"/>
      <x:c r="M471" s="192"/>
      <x:c r="N471" s="192"/>
      <x:c r="O471" s="192"/>
      <x:c r="P471" s="192"/>
      <x:c r="Q471" s="170" t="str">
        <x:f>IF(OR(A471="",B471=""),"",IF(A471=LOOKUP(2,1/($B$5:$B$704=B471),$A$5:$A$704),"Yes","No"))</x:f>
      </x:c>
    </x:row>
    <x:row r="472">
      <x:c r="A472" s="194"/>
      <x:c r="B472" s="192"/>
      <x:c r="C472" s="170" t="str">
        <x:f>IF(B472="","",IF(COUNTIF('Raw Decommissioning'!$B$2:$B$1000,B472)&gt;0,"Decommissioning",IF(COUNTIF('Raw Provisioning'!$B$2:$B$1000,B472)&gt;0,"Provisioning","Not in latest raw")))</x:f>
      </x:c>
      <x:c r="D472" s="170" t="str">
        <x:f>IF(B472="","",IFERROR(INDEX('Raw Decommissioning'!$E$2:$E$1000,MATCH(B472,'Raw Decommissioning'!$B$2:$B$1000,0)),IFERROR(INDEX('Raw Provisioning'!$E$2:$E$1000,MATCH(B472,'Raw Provisioning'!$B$2:$B$1000,0)),"Missing from latest raw")))</x:f>
      </x:c>
      <x:c r="E472" s="170" t="str">
        <x:f>IF(B472="","",IF(D472="completed","Completed in CSSP",IF(D472="executing","Active - Executing",IF(D472="processing","Ready to Assign",IF(D472="Missing from latest raw","Check Source","Not Managed - "&amp;D472)))))</x:f>
      </x:c>
      <x:c r="F472" s="170" t="str">
        <x:f>IF(B472="","",IFERROR(INDEX('Task Master'!$K$5:$K$804,MATCH(B472,'Task Master'!$A$5:$A$804,0)),""))</x:f>
      </x:c>
      <x:c r="G472" s="192"/>
      <x:c r="H472" s="192"/>
      <x:c r="I472" s="192"/>
      <x:c r="J472" s="192"/>
      <x:c r="K472" s="192"/>
      <x:c r="L472" s="196"/>
      <x:c r="M472" s="192"/>
      <x:c r="N472" s="192"/>
      <x:c r="O472" s="192"/>
      <x:c r="P472" s="192"/>
      <x:c r="Q472" s="170" t="str">
        <x:f>IF(OR(A472="",B472=""),"",IF(A472=LOOKUP(2,1/($B$5:$B$704=B472),$A$5:$A$704),"Yes","No"))</x:f>
      </x:c>
    </x:row>
    <x:row r="473">
      <x:c r="A473" s="194"/>
      <x:c r="B473" s="192"/>
      <x:c r="C473" s="170" t="str">
        <x:f>IF(B473="","",IF(COUNTIF('Raw Decommissioning'!$B$2:$B$1000,B473)&gt;0,"Decommissioning",IF(COUNTIF('Raw Provisioning'!$B$2:$B$1000,B473)&gt;0,"Provisioning","Not in latest raw")))</x:f>
      </x:c>
      <x:c r="D473" s="170" t="str">
        <x:f>IF(B473="","",IFERROR(INDEX('Raw Decommissioning'!$E$2:$E$1000,MATCH(B473,'Raw Decommissioning'!$B$2:$B$1000,0)),IFERROR(INDEX('Raw Provisioning'!$E$2:$E$1000,MATCH(B473,'Raw Provisioning'!$B$2:$B$1000,0)),"Missing from latest raw")))</x:f>
      </x:c>
      <x:c r="E473" s="170" t="str">
        <x:f>IF(B473="","",IF(D473="completed","Completed in CSSP",IF(D473="executing","Active - Executing",IF(D473="processing","Ready to Assign",IF(D473="Missing from latest raw","Check Source","Not Managed - "&amp;D473)))))</x:f>
      </x:c>
      <x:c r="F473" s="170" t="str">
        <x:f>IF(B473="","",IFERROR(INDEX('Task Master'!$K$5:$K$804,MATCH(B473,'Task Master'!$A$5:$A$804,0)),""))</x:f>
      </x:c>
      <x:c r="G473" s="192"/>
      <x:c r="H473" s="192"/>
      <x:c r="I473" s="192"/>
      <x:c r="J473" s="192"/>
      <x:c r="K473" s="192"/>
      <x:c r="L473" s="196"/>
      <x:c r="M473" s="192"/>
      <x:c r="N473" s="192"/>
      <x:c r="O473" s="192"/>
      <x:c r="P473" s="192"/>
      <x:c r="Q473" s="170" t="str">
        <x:f>IF(OR(A473="",B473=""),"",IF(A473=LOOKUP(2,1/($B$5:$B$704=B473),$A$5:$A$704),"Yes","No"))</x:f>
      </x:c>
    </x:row>
    <x:row r="474">
      <x:c r="A474" s="194"/>
      <x:c r="B474" s="192"/>
      <x:c r="C474" s="170" t="str">
        <x:f>IF(B474="","",IF(COUNTIF('Raw Decommissioning'!$B$2:$B$1000,B474)&gt;0,"Decommissioning",IF(COUNTIF('Raw Provisioning'!$B$2:$B$1000,B474)&gt;0,"Provisioning","Not in latest raw")))</x:f>
      </x:c>
      <x:c r="D474" s="170" t="str">
        <x:f>IF(B474="","",IFERROR(INDEX('Raw Decommissioning'!$E$2:$E$1000,MATCH(B474,'Raw Decommissioning'!$B$2:$B$1000,0)),IFERROR(INDEX('Raw Provisioning'!$E$2:$E$1000,MATCH(B474,'Raw Provisioning'!$B$2:$B$1000,0)),"Missing from latest raw")))</x:f>
      </x:c>
      <x:c r="E474" s="170" t="str">
        <x:f>IF(B474="","",IF(D474="completed","Completed in CSSP",IF(D474="executing","Active - Executing",IF(D474="processing","Ready to Assign",IF(D474="Missing from latest raw","Check Source","Not Managed - "&amp;D474)))))</x:f>
      </x:c>
      <x:c r="F474" s="170" t="str">
        <x:f>IF(B474="","",IFERROR(INDEX('Task Master'!$K$5:$K$804,MATCH(B474,'Task Master'!$A$5:$A$804,0)),""))</x:f>
      </x:c>
      <x:c r="G474" s="192"/>
      <x:c r="H474" s="192"/>
      <x:c r="I474" s="192"/>
      <x:c r="J474" s="192"/>
      <x:c r="K474" s="192"/>
      <x:c r="L474" s="196"/>
      <x:c r="M474" s="192"/>
      <x:c r="N474" s="192"/>
      <x:c r="O474" s="192"/>
      <x:c r="P474" s="192"/>
      <x:c r="Q474" s="170" t="str">
        <x:f>IF(OR(A474="",B474=""),"",IF(A474=LOOKUP(2,1/($B$5:$B$704=B474),$A$5:$A$704),"Yes","No"))</x:f>
      </x:c>
    </x:row>
    <x:row r="475">
      <x:c r="A475" s="194"/>
      <x:c r="B475" s="192"/>
      <x:c r="C475" s="170" t="str">
        <x:f>IF(B475="","",IF(COUNTIF('Raw Decommissioning'!$B$2:$B$1000,B475)&gt;0,"Decommissioning",IF(COUNTIF('Raw Provisioning'!$B$2:$B$1000,B475)&gt;0,"Provisioning","Not in latest raw")))</x:f>
      </x:c>
      <x:c r="D475" s="170" t="str">
        <x:f>IF(B475="","",IFERROR(INDEX('Raw Decommissioning'!$E$2:$E$1000,MATCH(B475,'Raw Decommissioning'!$B$2:$B$1000,0)),IFERROR(INDEX('Raw Provisioning'!$E$2:$E$1000,MATCH(B475,'Raw Provisioning'!$B$2:$B$1000,0)),"Missing from latest raw")))</x:f>
      </x:c>
      <x:c r="E475" s="170" t="str">
        <x:f>IF(B475="","",IF(D475="completed","Completed in CSSP",IF(D475="executing","Active - Executing",IF(D475="processing","Ready to Assign",IF(D475="Missing from latest raw","Check Source","Not Managed - "&amp;D475)))))</x:f>
      </x:c>
      <x:c r="F475" s="170" t="str">
        <x:f>IF(B475="","",IFERROR(INDEX('Task Master'!$K$5:$K$804,MATCH(B475,'Task Master'!$A$5:$A$804,0)),""))</x:f>
      </x:c>
      <x:c r="G475" s="192"/>
      <x:c r="H475" s="192"/>
      <x:c r="I475" s="192"/>
      <x:c r="J475" s="192"/>
      <x:c r="K475" s="192"/>
      <x:c r="L475" s="196"/>
      <x:c r="M475" s="192"/>
      <x:c r="N475" s="192"/>
      <x:c r="O475" s="192"/>
      <x:c r="P475" s="192"/>
      <x:c r="Q475" s="170" t="str">
        <x:f>IF(OR(A475="",B475=""),"",IF(A475=LOOKUP(2,1/($B$5:$B$704=B475),$A$5:$A$704),"Yes","No"))</x:f>
      </x:c>
    </x:row>
    <x:row r="476">
      <x:c r="A476" s="194"/>
      <x:c r="B476" s="192"/>
      <x:c r="C476" s="170" t="str">
        <x:f>IF(B476="","",IF(COUNTIF('Raw Decommissioning'!$B$2:$B$1000,B476)&gt;0,"Decommissioning",IF(COUNTIF('Raw Provisioning'!$B$2:$B$1000,B476)&gt;0,"Provisioning","Not in latest raw")))</x:f>
      </x:c>
      <x:c r="D476" s="170" t="str">
        <x:f>IF(B476="","",IFERROR(INDEX('Raw Decommissioning'!$E$2:$E$1000,MATCH(B476,'Raw Decommissioning'!$B$2:$B$1000,0)),IFERROR(INDEX('Raw Provisioning'!$E$2:$E$1000,MATCH(B476,'Raw Provisioning'!$B$2:$B$1000,0)),"Missing from latest raw")))</x:f>
      </x:c>
      <x:c r="E476" s="170" t="str">
        <x:f>IF(B476="","",IF(D476="completed","Completed in CSSP",IF(D476="executing","Active - Executing",IF(D476="processing","Ready to Assign",IF(D476="Missing from latest raw","Check Source","Not Managed - "&amp;D476)))))</x:f>
      </x:c>
      <x:c r="F476" s="170" t="str">
        <x:f>IF(B476="","",IFERROR(INDEX('Task Master'!$K$5:$K$804,MATCH(B476,'Task Master'!$A$5:$A$804,0)),""))</x:f>
      </x:c>
      <x:c r="G476" s="192"/>
      <x:c r="H476" s="192"/>
      <x:c r="I476" s="192"/>
      <x:c r="J476" s="192"/>
      <x:c r="K476" s="192"/>
      <x:c r="L476" s="196"/>
      <x:c r="M476" s="192"/>
      <x:c r="N476" s="192"/>
      <x:c r="O476" s="192"/>
      <x:c r="P476" s="192"/>
      <x:c r="Q476" s="170" t="str">
        <x:f>IF(OR(A476="",B476=""),"",IF(A476=LOOKUP(2,1/($B$5:$B$704=B476),$A$5:$A$704),"Yes","No"))</x:f>
      </x:c>
    </x:row>
    <x:row r="477">
      <x:c r="A477" s="194"/>
      <x:c r="B477" s="192"/>
      <x:c r="C477" s="170" t="str">
        <x:f>IF(B477="","",IF(COUNTIF('Raw Decommissioning'!$B$2:$B$1000,B477)&gt;0,"Decommissioning",IF(COUNTIF('Raw Provisioning'!$B$2:$B$1000,B477)&gt;0,"Provisioning","Not in latest raw")))</x:f>
      </x:c>
      <x:c r="D477" s="170" t="str">
        <x:f>IF(B477="","",IFERROR(INDEX('Raw Decommissioning'!$E$2:$E$1000,MATCH(B477,'Raw Decommissioning'!$B$2:$B$1000,0)),IFERROR(INDEX('Raw Provisioning'!$E$2:$E$1000,MATCH(B477,'Raw Provisioning'!$B$2:$B$1000,0)),"Missing from latest raw")))</x:f>
      </x:c>
      <x:c r="E477" s="170" t="str">
        <x:f>IF(B477="","",IF(D477="completed","Completed in CSSP",IF(D477="executing","Active - Executing",IF(D477="processing","Ready to Assign",IF(D477="Missing from latest raw","Check Source","Not Managed - "&amp;D477)))))</x:f>
      </x:c>
      <x:c r="F477" s="170" t="str">
        <x:f>IF(B477="","",IFERROR(INDEX('Task Master'!$K$5:$K$804,MATCH(B477,'Task Master'!$A$5:$A$804,0)),""))</x:f>
      </x:c>
      <x:c r="G477" s="192"/>
      <x:c r="H477" s="192"/>
      <x:c r="I477" s="192"/>
      <x:c r="J477" s="192"/>
      <x:c r="K477" s="192"/>
      <x:c r="L477" s="196"/>
      <x:c r="M477" s="192"/>
      <x:c r="N477" s="192"/>
      <x:c r="O477" s="192"/>
      <x:c r="P477" s="192"/>
      <x:c r="Q477" s="170" t="str">
        <x:f>IF(OR(A477="",B477=""),"",IF(A477=LOOKUP(2,1/($B$5:$B$704=B477),$A$5:$A$704),"Yes","No"))</x:f>
      </x:c>
    </x:row>
    <x:row r="478">
      <x:c r="A478" s="194"/>
      <x:c r="B478" s="192"/>
      <x:c r="C478" s="170" t="str">
        <x:f>IF(B478="","",IF(COUNTIF('Raw Decommissioning'!$B$2:$B$1000,B478)&gt;0,"Decommissioning",IF(COUNTIF('Raw Provisioning'!$B$2:$B$1000,B478)&gt;0,"Provisioning","Not in latest raw")))</x:f>
      </x:c>
      <x:c r="D478" s="170" t="str">
        <x:f>IF(B478="","",IFERROR(INDEX('Raw Decommissioning'!$E$2:$E$1000,MATCH(B478,'Raw Decommissioning'!$B$2:$B$1000,0)),IFERROR(INDEX('Raw Provisioning'!$E$2:$E$1000,MATCH(B478,'Raw Provisioning'!$B$2:$B$1000,0)),"Missing from latest raw")))</x:f>
      </x:c>
      <x:c r="E478" s="170" t="str">
        <x:f>IF(B478="","",IF(D478="completed","Completed in CSSP",IF(D478="executing","Active - Executing",IF(D478="processing","Ready to Assign",IF(D478="Missing from latest raw","Check Source","Not Managed - "&amp;D478)))))</x:f>
      </x:c>
      <x:c r="F478" s="170" t="str">
        <x:f>IF(B478="","",IFERROR(INDEX('Task Master'!$K$5:$K$804,MATCH(B478,'Task Master'!$A$5:$A$804,0)),""))</x:f>
      </x:c>
      <x:c r="G478" s="192"/>
      <x:c r="H478" s="192"/>
      <x:c r="I478" s="192"/>
      <x:c r="J478" s="192"/>
      <x:c r="K478" s="192"/>
      <x:c r="L478" s="196"/>
      <x:c r="M478" s="192"/>
      <x:c r="N478" s="192"/>
      <x:c r="O478" s="192"/>
      <x:c r="P478" s="192"/>
      <x:c r="Q478" s="170" t="str">
        <x:f>IF(OR(A478="",B478=""),"",IF(A478=LOOKUP(2,1/($B$5:$B$704=B478),$A$5:$A$704),"Yes","No"))</x:f>
      </x:c>
    </x:row>
    <x:row r="479">
      <x:c r="A479" s="194"/>
      <x:c r="B479" s="192"/>
      <x:c r="C479" s="170" t="str">
        <x:f>IF(B479="","",IF(COUNTIF('Raw Decommissioning'!$B$2:$B$1000,B479)&gt;0,"Decommissioning",IF(COUNTIF('Raw Provisioning'!$B$2:$B$1000,B479)&gt;0,"Provisioning","Not in latest raw")))</x:f>
      </x:c>
      <x:c r="D479" s="170" t="str">
        <x:f>IF(B479="","",IFERROR(INDEX('Raw Decommissioning'!$E$2:$E$1000,MATCH(B479,'Raw Decommissioning'!$B$2:$B$1000,0)),IFERROR(INDEX('Raw Provisioning'!$E$2:$E$1000,MATCH(B479,'Raw Provisioning'!$B$2:$B$1000,0)),"Missing from latest raw")))</x:f>
      </x:c>
      <x:c r="E479" s="170" t="str">
        <x:f>IF(B479="","",IF(D479="completed","Completed in CSSP",IF(D479="executing","Active - Executing",IF(D479="processing","Ready to Assign",IF(D479="Missing from latest raw","Check Source","Not Managed - "&amp;D479)))))</x:f>
      </x:c>
      <x:c r="F479" s="170" t="str">
        <x:f>IF(B479="","",IFERROR(INDEX('Task Master'!$K$5:$K$804,MATCH(B479,'Task Master'!$A$5:$A$804,0)),""))</x:f>
      </x:c>
      <x:c r="G479" s="192"/>
      <x:c r="H479" s="192"/>
      <x:c r="I479" s="192"/>
      <x:c r="J479" s="192"/>
      <x:c r="K479" s="192"/>
      <x:c r="L479" s="196"/>
      <x:c r="M479" s="192"/>
      <x:c r="N479" s="192"/>
      <x:c r="O479" s="192"/>
      <x:c r="P479" s="192"/>
      <x:c r="Q479" s="170" t="str">
        <x:f>IF(OR(A479="",B479=""),"",IF(A479=LOOKUP(2,1/($B$5:$B$704=B479),$A$5:$A$704),"Yes","No"))</x:f>
      </x:c>
    </x:row>
    <x:row r="480">
      <x:c r="A480" s="194"/>
      <x:c r="B480" s="192"/>
      <x:c r="C480" s="170" t="str">
        <x:f>IF(B480="","",IF(COUNTIF('Raw Decommissioning'!$B$2:$B$1000,B480)&gt;0,"Decommissioning",IF(COUNTIF('Raw Provisioning'!$B$2:$B$1000,B480)&gt;0,"Provisioning","Not in latest raw")))</x:f>
      </x:c>
      <x:c r="D480" s="170" t="str">
        <x:f>IF(B480="","",IFERROR(INDEX('Raw Decommissioning'!$E$2:$E$1000,MATCH(B480,'Raw Decommissioning'!$B$2:$B$1000,0)),IFERROR(INDEX('Raw Provisioning'!$E$2:$E$1000,MATCH(B480,'Raw Provisioning'!$B$2:$B$1000,0)),"Missing from latest raw")))</x:f>
      </x:c>
      <x:c r="E480" s="170" t="str">
        <x:f>IF(B480="","",IF(D480="completed","Completed in CSSP",IF(D480="executing","Active - Executing",IF(D480="processing","Ready to Assign",IF(D480="Missing from latest raw","Check Source","Not Managed - "&amp;D480)))))</x:f>
      </x:c>
      <x:c r="F480" s="170" t="str">
        <x:f>IF(B480="","",IFERROR(INDEX('Task Master'!$K$5:$K$804,MATCH(B480,'Task Master'!$A$5:$A$804,0)),""))</x:f>
      </x:c>
      <x:c r="G480" s="192"/>
      <x:c r="H480" s="192"/>
      <x:c r="I480" s="192"/>
      <x:c r="J480" s="192"/>
      <x:c r="K480" s="192"/>
      <x:c r="L480" s="196"/>
      <x:c r="M480" s="192"/>
      <x:c r="N480" s="192"/>
      <x:c r="O480" s="192"/>
      <x:c r="P480" s="192"/>
      <x:c r="Q480" s="170" t="str">
        <x:f>IF(OR(A480="",B480=""),"",IF(A480=LOOKUP(2,1/($B$5:$B$704=B480),$A$5:$A$704),"Yes","No"))</x:f>
      </x:c>
    </x:row>
    <x:row r="481">
      <x:c r="A481" s="194"/>
      <x:c r="B481" s="192"/>
      <x:c r="C481" s="170" t="str">
        <x:f>IF(B481="","",IF(COUNTIF('Raw Decommissioning'!$B$2:$B$1000,B481)&gt;0,"Decommissioning",IF(COUNTIF('Raw Provisioning'!$B$2:$B$1000,B481)&gt;0,"Provisioning","Not in latest raw")))</x:f>
      </x:c>
      <x:c r="D481" s="170" t="str">
        <x:f>IF(B481="","",IFERROR(INDEX('Raw Decommissioning'!$E$2:$E$1000,MATCH(B481,'Raw Decommissioning'!$B$2:$B$1000,0)),IFERROR(INDEX('Raw Provisioning'!$E$2:$E$1000,MATCH(B481,'Raw Provisioning'!$B$2:$B$1000,0)),"Missing from latest raw")))</x:f>
      </x:c>
      <x:c r="E481" s="170" t="str">
        <x:f>IF(B481="","",IF(D481="completed","Completed in CSSP",IF(D481="executing","Active - Executing",IF(D481="processing","Ready to Assign",IF(D481="Missing from latest raw","Check Source","Not Managed - "&amp;D481)))))</x:f>
      </x:c>
      <x:c r="F481" s="170" t="str">
        <x:f>IF(B481="","",IFERROR(INDEX('Task Master'!$K$5:$K$804,MATCH(B481,'Task Master'!$A$5:$A$804,0)),""))</x:f>
      </x:c>
      <x:c r="G481" s="192"/>
      <x:c r="H481" s="192"/>
      <x:c r="I481" s="192"/>
      <x:c r="J481" s="192"/>
      <x:c r="K481" s="192"/>
      <x:c r="L481" s="196"/>
      <x:c r="M481" s="192"/>
      <x:c r="N481" s="192"/>
      <x:c r="O481" s="192"/>
      <x:c r="P481" s="192"/>
      <x:c r="Q481" s="170" t="str">
        <x:f>IF(OR(A481="",B481=""),"",IF(A481=LOOKUP(2,1/($B$5:$B$704=B481),$A$5:$A$704),"Yes","No"))</x:f>
      </x:c>
    </x:row>
    <x:row r="482">
      <x:c r="A482" s="194"/>
      <x:c r="B482" s="192"/>
      <x:c r="C482" s="170" t="str">
        <x:f>IF(B482="","",IF(COUNTIF('Raw Decommissioning'!$B$2:$B$1000,B482)&gt;0,"Decommissioning",IF(COUNTIF('Raw Provisioning'!$B$2:$B$1000,B482)&gt;0,"Provisioning","Not in latest raw")))</x:f>
      </x:c>
      <x:c r="D482" s="170" t="str">
        <x:f>IF(B482="","",IFERROR(INDEX('Raw Decommissioning'!$E$2:$E$1000,MATCH(B482,'Raw Decommissioning'!$B$2:$B$1000,0)),IFERROR(INDEX('Raw Provisioning'!$E$2:$E$1000,MATCH(B482,'Raw Provisioning'!$B$2:$B$1000,0)),"Missing from latest raw")))</x:f>
      </x:c>
      <x:c r="E482" s="170" t="str">
        <x:f>IF(B482="","",IF(D482="completed","Completed in CSSP",IF(D482="executing","Active - Executing",IF(D482="processing","Ready to Assign",IF(D482="Missing from latest raw","Check Source","Not Managed - "&amp;D482)))))</x:f>
      </x:c>
      <x:c r="F482" s="170" t="str">
        <x:f>IF(B482="","",IFERROR(INDEX('Task Master'!$K$5:$K$804,MATCH(B482,'Task Master'!$A$5:$A$804,0)),""))</x:f>
      </x:c>
      <x:c r="G482" s="192"/>
      <x:c r="H482" s="192"/>
      <x:c r="I482" s="192"/>
      <x:c r="J482" s="192"/>
      <x:c r="K482" s="192"/>
      <x:c r="L482" s="196"/>
      <x:c r="M482" s="192"/>
      <x:c r="N482" s="192"/>
      <x:c r="O482" s="192"/>
      <x:c r="P482" s="192"/>
      <x:c r="Q482" s="170" t="str">
        <x:f>IF(OR(A482="",B482=""),"",IF(A482=LOOKUP(2,1/($B$5:$B$704=B482),$A$5:$A$704),"Yes","No"))</x:f>
      </x:c>
    </x:row>
    <x:row r="483">
      <x:c r="A483" s="194"/>
      <x:c r="B483" s="192"/>
      <x:c r="C483" s="170" t="str">
        <x:f>IF(B483="","",IF(COUNTIF('Raw Decommissioning'!$B$2:$B$1000,B483)&gt;0,"Decommissioning",IF(COUNTIF('Raw Provisioning'!$B$2:$B$1000,B483)&gt;0,"Provisioning","Not in latest raw")))</x:f>
      </x:c>
      <x:c r="D483" s="170" t="str">
        <x:f>IF(B483="","",IFERROR(INDEX('Raw Decommissioning'!$E$2:$E$1000,MATCH(B483,'Raw Decommissioning'!$B$2:$B$1000,0)),IFERROR(INDEX('Raw Provisioning'!$E$2:$E$1000,MATCH(B483,'Raw Provisioning'!$B$2:$B$1000,0)),"Missing from latest raw")))</x:f>
      </x:c>
      <x:c r="E483" s="170" t="str">
        <x:f>IF(B483="","",IF(D483="completed","Completed in CSSP",IF(D483="executing","Active - Executing",IF(D483="processing","Ready to Assign",IF(D483="Missing from latest raw","Check Source","Not Managed - "&amp;D483)))))</x:f>
      </x:c>
      <x:c r="F483" s="170" t="str">
        <x:f>IF(B483="","",IFERROR(INDEX('Task Master'!$K$5:$K$804,MATCH(B483,'Task Master'!$A$5:$A$804,0)),""))</x:f>
      </x:c>
      <x:c r="G483" s="192"/>
      <x:c r="H483" s="192"/>
      <x:c r="I483" s="192"/>
      <x:c r="J483" s="192"/>
      <x:c r="K483" s="192"/>
      <x:c r="L483" s="196"/>
      <x:c r="M483" s="192"/>
      <x:c r="N483" s="192"/>
      <x:c r="O483" s="192"/>
      <x:c r="P483" s="192"/>
      <x:c r="Q483" s="170" t="str">
        <x:f>IF(OR(A483="",B483=""),"",IF(A483=LOOKUP(2,1/($B$5:$B$704=B483),$A$5:$A$704),"Yes","No"))</x:f>
      </x:c>
    </x:row>
    <x:row r="484">
      <x:c r="A484" s="194"/>
      <x:c r="B484" s="192"/>
      <x:c r="C484" s="170" t="str">
        <x:f>IF(B484="","",IF(COUNTIF('Raw Decommissioning'!$B$2:$B$1000,B484)&gt;0,"Decommissioning",IF(COUNTIF('Raw Provisioning'!$B$2:$B$1000,B484)&gt;0,"Provisioning","Not in latest raw")))</x:f>
      </x:c>
      <x:c r="D484" s="170" t="str">
        <x:f>IF(B484="","",IFERROR(INDEX('Raw Decommissioning'!$E$2:$E$1000,MATCH(B484,'Raw Decommissioning'!$B$2:$B$1000,0)),IFERROR(INDEX('Raw Provisioning'!$E$2:$E$1000,MATCH(B484,'Raw Provisioning'!$B$2:$B$1000,0)),"Missing from latest raw")))</x:f>
      </x:c>
      <x:c r="E484" s="170" t="str">
        <x:f>IF(B484="","",IF(D484="completed","Completed in CSSP",IF(D484="executing","Active - Executing",IF(D484="processing","Ready to Assign",IF(D484="Missing from latest raw","Check Source","Not Managed - "&amp;D484)))))</x:f>
      </x:c>
      <x:c r="F484" s="170" t="str">
        <x:f>IF(B484="","",IFERROR(INDEX('Task Master'!$K$5:$K$804,MATCH(B484,'Task Master'!$A$5:$A$804,0)),""))</x:f>
      </x:c>
      <x:c r="G484" s="192"/>
      <x:c r="H484" s="192"/>
      <x:c r="I484" s="192"/>
      <x:c r="J484" s="192"/>
      <x:c r="K484" s="192"/>
      <x:c r="L484" s="196"/>
      <x:c r="M484" s="192"/>
      <x:c r="N484" s="192"/>
      <x:c r="O484" s="192"/>
      <x:c r="P484" s="192"/>
      <x:c r="Q484" s="170" t="str">
        <x:f>IF(OR(A484="",B484=""),"",IF(A484=LOOKUP(2,1/($B$5:$B$704=B484),$A$5:$A$704),"Yes","No"))</x:f>
      </x:c>
    </x:row>
    <x:row r="485">
      <x:c r="A485" s="194"/>
      <x:c r="B485" s="192"/>
      <x:c r="C485" s="170" t="str">
        <x:f>IF(B485="","",IF(COUNTIF('Raw Decommissioning'!$B$2:$B$1000,B485)&gt;0,"Decommissioning",IF(COUNTIF('Raw Provisioning'!$B$2:$B$1000,B485)&gt;0,"Provisioning","Not in latest raw")))</x:f>
      </x:c>
      <x:c r="D485" s="170" t="str">
        <x:f>IF(B485="","",IFERROR(INDEX('Raw Decommissioning'!$E$2:$E$1000,MATCH(B485,'Raw Decommissioning'!$B$2:$B$1000,0)),IFERROR(INDEX('Raw Provisioning'!$E$2:$E$1000,MATCH(B485,'Raw Provisioning'!$B$2:$B$1000,0)),"Missing from latest raw")))</x:f>
      </x:c>
      <x:c r="E485" s="170" t="str">
        <x:f>IF(B485="","",IF(D485="completed","Completed in CSSP",IF(D485="executing","Active - Executing",IF(D485="processing","Ready to Assign",IF(D485="Missing from latest raw","Check Source","Not Managed - "&amp;D485)))))</x:f>
      </x:c>
      <x:c r="F485" s="170" t="str">
        <x:f>IF(B485="","",IFERROR(INDEX('Task Master'!$K$5:$K$804,MATCH(B485,'Task Master'!$A$5:$A$804,0)),""))</x:f>
      </x:c>
      <x:c r="G485" s="192"/>
      <x:c r="H485" s="192"/>
      <x:c r="I485" s="192"/>
      <x:c r="J485" s="192"/>
      <x:c r="K485" s="192"/>
      <x:c r="L485" s="196"/>
      <x:c r="M485" s="192"/>
      <x:c r="N485" s="192"/>
      <x:c r="O485" s="192"/>
      <x:c r="P485" s="192"/>
      <x:c r="Q485" s="170" t="str">
        <x:f>IF(OR(A485="",B485=""),"",IF(A485=LOOKUP(2,1/($B$5:$B$704=B485),$A$5:$A$704),"Yes","No"))</x:f>
      </x:c>
    </x:row>
    <x:row r="486">
      <x:c r="A486" s="194"/>
      <x:c r="B486" s="192"/>
      <x:c r="C486" s="170" t="str">
        <x:f>IF(B486="","",IF(COUNTIF('Raw Decommissioning'!$B$2:$B$1000,B486)&gt;0,"Decommissioning",IF(COUNTIF('Raw Provisioning'!$B$2:$B$1000,B486)&gt;0,"Provisioning","Not in latest raw")))</x:f>
      </x:c>
      <x:c r="D486" s="170" t="str">
        <x:f>IF(B486="","",IFERROR(INDEX('Raw Decommissioning'!$E$2:$E$1000,MATCH(B486,'Raw Decommissioning'!$B$2:$B$1000,0)),IFERROR(INDEX('Raw Provisioning'!$E$2:$E$1000,MATCH(B486,'Raw Provisioning'!$B$2:$B$1000,0)),"Missing from latest raw")))</x:f>
      </x:c>
      <x:c r="E486" s="170" t="str">
        <x:f>IF(B486="","",IF(D486="completed","Completed in CSSP",IF(D486="executing","Active - Executing",IF(D486="processing","Ready to Assign",IF(D486="Missing from latest raw","Check Source","Not Managed - "&amp;D486)))))</x:f>
      </x:c>
      <x:c r="F486" s="170" t="str">
        <x:f>IF(B486="","",IFERROR(INDEX('Task Master'!$K$5:$K$804,MATCH(B486,'Task Master'!$A$5:$A$804,0)),""))</x:f>
      </x:c>
      <x:c r="G486" s="192"/>
      <x:c r="H486" s="192"/>
      <x:c r="I486" s="192"/>
      <x:c r="J486" s="192"/>
      <x:c r="K486" s="192"/>
      <x:c r="L486" s="196"/>
      <x:c r="M486" s="192"/>
      <x:c r="N486" s="192"/>
      <x:c r="O486" s="192"/>
      <x:c r="P486" s="192"/>
      <x:c r="Q486" s="170" t="str">
        <x:f>IF(OR(A486="",B486=""),"",IF(A486=LOOKUP(2,1/($B$5:$B$704=B486),$A$5:$A$704),"Yes","No"))</x:f>
      </x:c>
    </x:row>
    <x:row r="487">
      <x:c r="A487" s="194"/>
      <x:c r="B487" s="192"/>
      <x:c r="C487" s="170" t="str">
        <x:f>IF(B487="","",IF(COUNTIF('Raw Decommissioning'!$B$2:$B$1000,B487)&gt;0,"Decommissioning",IF(COUNTIF('Raw Provisioning'!$B$2:$B$1000,B487)&gt;0,"Provisioning","Not in latest raw")))</x:f>
      </x:c>
      <x:c r="D487" s="170" t="str">
        <x:f>IF(B487="","",IFERROR(INDEX('Raw Decommissioning'!$E$2:$E$1000,MATCH(B487,'Raw Decommissioning'!$B$2:$B$1000,0)),IFERROR(INDEX('Raw Provisioning'!$E$2:$E$1000,MATCH(B487,'Raw Provisioning'!$B$2:$B$1000,0)),"Missing from latest raw")))</x:f>
      </x:c>
      <x:c r="E487" s="170" t="str">
        <x:f>IF(B487="","",IF(D487="completed","Completed in CSSP",IF(D487="executing","Active - Executing",IF(D487="processing","Ready to Assign",IF(D487="Missing from latest raw","Check Source","Not Managed - "&amp;D487)))))</x:f>
      </x:c>
      <x:c r="F487" s="170" t="str">
        <x:f>IF(B487="","",IFERROR(INDEX('Task Master'!$K$5:$K$804,MATCH(B487,'Task Master'!$A$5:$A$804,0)),""))</x:f>
      </x:c>
      <x:c r="G487" s="192"/>
      <x:c r="H487" s="192"/>
      <x:c r="I487" s="192"/>
      <x:c r="J487" s="192"/>
      <x:c r="K487" s="192"/>
      <x:c r="L487" s="196"/>
      <x:c r="M487" s="192"/>
      <x:c r="N487" s="192"/>
      <x:c r="O487" s="192"/>
      <x:c r="P487" s="192"/>
      <x:c r="Q487" s="170" t="str">
        <x:f>IF(OR(A487="",B487=""),"",IF(A487=LOOKUP(2,1/($B$5:$B$704=B487),$A$5:$A$704),"Yes","No"))</x:f>
      </x:c>
    </x:row>
    <x:row r="488">
      <x:c r="A488" s="194"/>
      <x:c r="B488" s="192"/>
      <x:c r="C488" s="170" t="str">
        <x:f>IF(B488="","",IF(COUNTIF('Raw Decommissioning'!$B$2:$B$1000,B488)&gt;0,"Decommissioning",IF(COUNTIF('Raw Provisioning'!$B$2:$B$1000,B488)&gt;0,"Provisioning","Not in latest raw")))</x:f>
      </x:c>
      <x:c r="D488" s="170" t="str">
        <x:f>IF(B488="","",IFERROR(INDEX('Raw Decommissioning'!$E$2:$E$1000,MATCH(B488,'Raw Decommissioning'!$B$2:$B$1000,0)),IFERROR(INDEX('Raw Provisioning'!$E$2:$E$1000,MATCH(B488,'Raw Provisioning'!$B$2:$B$1000,0)),"Missing from latest raw")))</x:f>
      </x:c>
      <x:c r="E488" s="170" t="str">
        <x:f>IF(B488="","",IF(D488="completed","Completed in CSSP",IF(D488="executing","Active - Executing",IF(D488="processing","Ready to Assign",IF(D488="Missing from latest raw","Check Source","Not Managed - "&amp;D488)))))</x:f>
      </x:c>
      <x:c r="F488" s="170" t="str">
        <x:f>IF(B488="","",IFERROR(INDEX('Task Master'!$K$5:$K$804,MATCH(B488,'Task Master'!$A$5:$A$804,0)),""))</x:f>
      </x:c>
      <x:c r="G488" s="192"/>
      <x:c r="H488" s="192"/>
      <x:c r="I488" s="192"/>
      <x:c r="J488" s="192"/>
      <x:c r="K488" s="192"/>
      <x:c r="L488" s="196"/>
      <x:c r="M488" s="192"/>
      <x:c r="N488" s="192"/>
      <x:c r="O488" s="192"/>
      <x:c r="P488" s="192"/>
      <x:c r="Q488" s="170" t="str">
        <x:f>IF(OR(A488="",B488=""),"",IF(A488=LOOKUP(2,1/($B$5:$B$704=B488),$A$5:$A$704),"Yes","No"))</x:f>
      </x:c>
    </x:row>
    <x:row r="489">
      <x:c r="A489" s="194"/>
      <x:c r="B489" s="192"/>
      <x:c r="C489" s="170" t="str">
        <x:f>IF(B489="","",IF(COUNTIF('Raw Decommissioning'!$B$2:$B$1000,B489)&gt;0,"Decommissioning",IF(COUNTIF('Raw Provisioning'!$B$2:$B$1000,B489)&gt;0,"Provisioning","Not in latest raw")))</x:f>
      </x:c>
      <x:c r="D489" s="170" t="str">
        <x:f>IF(B489="","",IFERROR(INDEX('Raw Decommissioning'!$E$2:$E$1000,MATCH(B489,'Raw Decommissioning'!$B$2:$B$1000,0)),IFERROR(INDEX('Raw Provisioning'!$E$2:$E$1000,MATCH(B489,'Raw Provisioning'!$B$2:$B$1000,0)),"Missing from latest raw")))</x:f>
      </x:c>
      <x:c r="E489" s="170" t="str">
        <x:f>IF(B489="","",IF(D489="completed","Completed in CSSP",IF(D489="executing","Active - Executing",IF(D489="processing","Ready to Assign",IF(D489="Missing from latest raw","Check Source","Not Managed - "&amp;D489)))))</x:f>
      </x:c>
      <x:c r="F489" s="170" t="str">
        <x:f>IF(B489="","",IFERROR(INDEX('Task Master'!$K$5:$K$804,MATCH(B489,'Task Master'!$A$5:$A$804,0)),""))</x:f>
      </x:c>
      <x:c r="G489" s="192"/>
      <x:c r="H489" s="192"/>
      <x:c r="I489" s="192"/>
      <x:c r="J489" s="192"/>
      <x:c r="K489" s="192"/>
      <x:c r="L489" s="196"/>
      <x:c r="M489" s="192"/>
      <x:c r="N489" s="192"/>
      <x:c r="O489" s="192"/>
      <x:c r="P489" s="192"/>
      <x:c r="Q489" s="170" t="str">
        <x:f>IF(OR(A489="",B489=""),"",IF(A489=LOOKUP(2,1/($B$5:$B$704=B489),$A$5:$A$704),"Yes","No"))</x:f>
      </x:c>
    </x:row>
    <x:row r="490">
      <x:c r="A490" s="194"/>
      <x:c r="B490" s="192"/>
      <x:c r="C490" s="170" t="str">
        <x:f>IF(B490="","",IF(COUNTIF('Raw Decommissioning'!$B$2:$B$1000,B490)&gt;0,"Decommissioning",IF(COUNTIF('Raw Provisioning'!$B$2:$B$1000,B490)&gt;0,"Provisioning","Not in latest raw")))</x:f>
      </x:c>
      <x:c r="D490" s="170" t="str">
        <x:f>IF(B490="","",IFERROR(INDEX('Raw Decommissioning'!$E$2:$E$1000,MATCH(B490,'Raw Decommissioning'!$B$2:$B$1000,0)),IFERROR(INDEX('Raw Provisioning'!$E$2:$E$1000,MATCH(B490,'Raw Provisioning'!$B$2:$B$1000,0)),"Missing from latest raw")))</x:f>
      </x:c>
      <x:c r="E490" s="170" t="str">
        <x:f>IF(B490="","",IF(D490="completed","Completed in CSSP",IF(D490="executing","Active - Executing",IF(D490="processing","Ready to Assign",IF(D490="Missing from latest raw","Check Source","Not Managed - "&amp;D490)))))</x:f>
      </x:c>
      <x:c r="F490" s="170" t="str">
        <x:f>IF(B490="","",IFERROR(INDEX('Task Master'!$K$5:$K$804,MATCH(B490,'Task Master'!$A$5:$A$804,0)),""))</x:f>
      </x:c>
      <x:c r="G490" s="192"/>
      <x:c r="H490" s="192"/>
      <x:c r="I490" s="192"/>
      <x:c r="J490" s="192"/>
      <x:c r="K490" s="192"/>
      <x:c r="L490" s="196"/>
      <x:c r="M490" s="192"/>
      <x:c r="N490" s="192"/>
      <x:c r="O490" s="192"/>
      <x:c r="P490" s="192"/>
      <x:c r="Q490" s="170" t="str">
        <x:f>IF(OR(A490="",B490=""),"",IF(A490=LOOKUP(2,1/($B$5:$B$704=B490),$A$5:$A$704),"Yes","No"))</x:f>
      </x:c>
    </x:row>
    <x:row r="491">
      <x:c r="A491" s="194"/>
      <x:c r="B491" s="192"/>
      <x:c r="C491" s="170" t="str">
        <x:f>IF(B491="","",IF(COUNTIF('Raw Decommissioning'!$B$2:$B$1000,B491)&gt;0,"Decommissioning",IF(COUNTIF('Raw Provisioning'!$B$2:$B$1000,B491)&gt;0,"Provisioning","Not in latest raw")))</x:f>
      </x:c>
      <x:c r="D491" s="170" t="str">
        <x:f>IF(B491="","",IFERROR(INDEX('Raw Decommissioning'!$E$2:$E$1000,MATCH(B491,'Raw Decommissioning'!$B$2:$B$1000,0)),IFERROR(INDEX('Raw Provisioning'!$E$2:$E$1000,MATCH(B491,'Raw Provisioning'!$B$2:$B$1000,0)),"Missing from latest raw")))</x:f>
      </x:c>
      <x:c r="E491" s="170" t="str">
        <x:f>IF(B491="","",IF(D491="completed","Completed in CSSP",IF(D491="executing","Active - Executing",IF(D491="processing","Ready to Assign",IF(D491="Missing from latest raw","Check Source","Not Managed - "&amp;D491)))))</x:f>
      </x:c>
      <x:c r="F491" s="170" t="str">
        <x:f>IF(B491="","",IFERROR(INDEX('Task Master'!$K$5:$K$804,MATCH(B491,'Task Master'!$A$5:$A$804,0)),""))</x:f>
      </x:c>
      <x:c r="G491" s="192"/>
      <x:c r="H491" s="192"/>
      <x:c r="I491" s="192"/>
      <x:c r="J491" s="192"/>
      <x:c r="K491" s="192"/>
      <x:c r="L491" s="196"/>
      <x:c r="M491" s="192"/>
      <x:c r="N491" s="192"/>
      <x:c r="O491" s="192"/>
      <x:c r="P491" s="192"/>
      <x:c r="Q491" s="170" t="str">
        <x:f>IF(OR(A491="",B491=""),"",IF(A491=LOOKUP(2,1/($B$5:$B$704=B491),$A$5:$A$704),"Yes","No"))</x:f>
      </x:c>
    </x:row>
    <x:row r="492">
      <x:c r="A492" s="194"/>
      <x:c r="B492" s="192"/>
      <x:c r="C492" s="170" t="str">
        <x:f>IF(B492="","",IF(COUNTIF('Raw Decommissioning'!$B$2:$B$1000,B492)&gt;0,"Decommissioning",IF(COUNTIF('Raw Provisioning'!$B$2:$B$1000,B492)&gt;0,"Provisioning","Not in latest raw")))</x:f>
      </x:c>
      <x:c r="D492" s="170" t="str">
        <x:f>IF(B492="","",IFERROR(INDEX('Raw Decommissioning'!$E$2:$E$1000,MATCH(B492,'Raw Decommissioning'!$B$2:$B$1000,0)),IFERROR(INDEX('Raw Provisioning'!$E$2:$E$1000,MATCH(B492,'Raw Provisioning'!$B$2:$B$1000,0)),"Missing from latest raw")))</x:f>
      </x:c>
      <x:c r="E492" s="170" t="str">
        <x:f>IF(B492="","",IF(D492="completed","Completed in CSSP",IF(D492="executing","Active - Executing",IF(D492="processing","Ready to Assign",IF(D492="Missing from latest raw","Check Source","Not Managed - "&amp;D492)))))</x:f>
      </x:c>
      <x:c r="F492" s="170" t="str">
        <x:f>IF(B492="","",IFERROR(INDEX('Task Master'!$K$5:$K$804,MATCH(B492,'Task Master'!$A$5:$A$804,0)),""))</x:f>
      </x:c>
      <x:c r="G492" s="192"/>
      <x:c r="H492" s="192"/>
      <x:c r="I492" s="192"/>
      <x:c r="J492" s="192"/>
      <x:c r="K492" s="192"/>
      <x:c r="L492" s="196"/>
      <x:c r="M492" s="192"/>
      <x:c r="N492" s="192"/>
      <x:c r="O492" s="192"/>
      <x:c r="P492" s="192"/>
      <x:c r="Q492" s="170" t="str">
        <x:f>IF(OR(A492="",B492=""),"",IF(A492=LOOKUP(2,1/($B$5:$B$704=B492),$A$5:$A$704),"Yes","No"))</x:f>
      </x:c>
    </x:row>
    <x:row r="493">
      <x:c r="A493" s="194"/>
      <x:c r="B493" s="192"/>
      <x:c r="C493" s="170" t="str">
        <x:f>IF(B493="","",IF(COUNTIF('Raw Decommissioning'!$B$2:$B$1000,B493)&gt;0,"Decommissioning",IF(COUNTIF('Raw Provisioning'!$B$2:$B$1000,B493)&gt;0,"Provisioning","Not in latest raw")))</x:f>
      </x:c>
      <x:c r="D493" s="170" t="str">
        <x:f>IF(B493="","",IFERROR(INDEX('Raw Decommissioning'!$E$2:$E$1000,MATCH(B493,'Raw Decommissioning'!$B$2:$B$1000,0)),IFERROR(INDEX('Raw Provisioning'!$E$2:$E$1000,MATCH(B493,'Raw Provisioning'!$B$2:$B$1000,0)),"Missing from latest raw")))</x:f>
      </x:c>
      <x:c r="E493" s="170" t="str">
        <x:f>IF(B493="","",IF(D493="completed","Completed in CSSP",IF(D493="executing","Active - Executing",IF(D493="processing","Ready to Assign",IF(D493="Missing from latest raw","Check Source","Not Managed - "&amp;D493)))))</x:f>
      </x:c>
      <x:c r="F493" s="170" t="str">
        <x:f>IF(B493="","",IFERROR(INDEX('Task Master'!$K$5:$K$804,MATCH(B493,'Task Master'!$A$5:$A$804,0)),""))</x:f>
      </x:c>
      <x:c r="G493" s="192"/>
      <x:c r="H493" s="192"/>
      <x:c r="I493" s="192"/>
      <x:c r="J493" s="192"/>
      <x:c r="K493" s="192"/>
      <x:c r="L493" s="196"/>
      <x:c r="M493" s="192"/>
      <x:c r="N493" s="192"/>
      <x:c r="O493" s="192"/>
      <x:c r="P493" s="192"/>
      <x:c r="Q493" s="170" t="str">
        <x:f>IF(OR(A493="",B493=""),"",IF(A493=LOOKUP(2,1/($B$5:$B$704=B493),$A$5:$A$704),"Yes","No"))</x:f>
      </x:c>
    </x:row>
    <x:row r="494">
      <x:c r="A494" s="194"/>
      <x:c r="B494" s="192"/>
      <x:c r="C494" s="170" t="str">
        <x:f>IF(B494="","",IF(COUNTIF('Raw Decommissioning'!$B$2:$B$1000,B494)&gt;0,"Decommissioning",IF(COUNTIF('Raw Provisioning'!$B$2:$B$1000,B494)&gt;0,"Provisioning","Not in latest raw")))</x:f>
      </x:c>
      <x:c r="D494" s="170" t="str">
        <x:f>IF(B494="","",IFERROR(INDEX('Raw Decommissioning'!$E$2:$E$1000,MATCH(B494,'Raw Decommissioning'!$B$2:$B$1000,0)),IFERROR(INDEX('Raw Provisioning'!$E$2:$E$1000,MATCH(B494,'Raw Provisioning'!$B$2:$B$1000,0)),"Missing from latest raw")))</x:f>
      </x:c>
      <x:c r="E494" s="170" t="str">
        <x:f>IF(B494="","",IF(D494="completed","Completed in CSSP",IF(D494="executing","Active - Executing",IF(D494="processing","Ready to Assign",IF(D494="Missing from latest raw","Check Source","Not Managed - "&amp;D494)))))</x:f>
      </x:c>
      <x:c r="F494" s="170" t="str">
        <x:f>IF(B494="","",IFERROR(INDEX('Task Master'!$K$5:$K$804,MATCH(B494,'Task Master'!$A$5:$A$804,0)),""))</x:f>
      </x:c>
      <x:c r="G494" s="192"/>
      <x:c r="H494" s="192"/>
      <x:c r="I494" s="192"/>
      <x:c r="J494" s="192"/>
      <x:c r="K494" s="192"/>
      <x:c r="L494" s="196"/>
      <x:c r="M494" s="192"/>
      <x:c r="N494" s="192"/>
      <x:c r="O494" s="192"/>
      <x:c r="P494" s="192"/>
      <x:c r="Q494" s="170" t="str">
        <x:f>IF(OR(A494="",B494=""),"",IF(A494=LOOKUP(2,1/($B$5:$B$704=B494),$A$5:$A$704),"Yes","No"))</x:f>
      </x:c>
    </x:row>
    <x:row r="495">
      <x:c r="A495" s="194"/>
      <x:c r="B495" s="192"/>
      <x:c r="C495" s="170" t="str">
        <x:f>IF(B495="","",IF(COUNTIF('Raw Decommissioning'!$B$2:$B$1000,B495)&gt;0,"Decommissioning",IF(COUNTIF('Raw Provisioning'!$B$2:$B$1000,B495)&gt;0,"Provisioning","Not in latest raw")))</x:f>
      </x:c>
      <x:c r="D495" s="170" t="str">
        <x:f>IF(B495="","",IFERROR(INDEX('Raw Decommissioning'!$E$2:$E$1000,MATCH(B495,'Raw Decommissioning'!$B$2:$B$1000,0)),IFERROR(INDEX('Raw Provisioning'!$E$2:$E$1000,MATCH(B495,'Raw Provisioning'!$B$2:$B$1000,0)),"Missing from latest raw")))</x:f>
      </x:c>
      <x:c r="E495" s="170" t="str">
        <x:f>IF(B495="","",IF(D495="completed","Completed in CSSP",IF(D495="executing","Active - Executing",IF(D495="processing","Ready to Assign",IF(D495="Missing from latest raw","Check Source","Not Managed - "&amp;D495)))))</x:f>
      </x:c>
      <x:c r="F495" s="170" t="str">
        <x:f>IF(B495="","",IFERROR(INDEX('Task Master'!$K$5:$K$804,MATCH(B495,'Task Master'!$A$5:$A$804,0)),""))</x:f>
      </x:c>
      <x:c r="G495" s="192"/>
      <x:c r="H495" s="192"/>
      <x:c r="I495" s="192"/>
      <x:c r="J495" s="192"/>
      <x:c r="K495" s="192"/>
      <x:c r="L495" s="196"/>
      <x:c r="M495" s="192"/>
      <x:c r="N495" s="192"/>
      <x:c r="O495" s="192"/>
      <x:c r="P495" s="192"/>
      <x:c r="Q495" s="170" t="str">
        <x:f>IF(OR(A495="",B495=""),"",IF(A495=LOOKUP(2,1/($B$5:$B$704=B495),$A$5:$A$704),"Yes","No"))</x:f>
      </x:c>
    </x:row>
    <x:row r="496">
      <x:c r="A496" s="194"/>
      <x:c r="B496" s="192"/>
      <x:c r="C496" s="170" t="str">
        <x:f>IF(B496="","",IF(COUNTIF('Raw Decommissioning'!$B$2:$B$1000,B496)&gt;0,"Decommissioning",IF(COUNTIF('Raw Provisioning'!$B$2:$B$1000,B496)&gt;0,"Provisioning","Not in latest raw")))</x:f>
      </x:c>
      <x:c r="D496" s="170" t="str">
        <x:f>IF(B496="","",IFERROR(INDEX('Raw Decommissioning'!$E$2:$E$1000,MATCH(B496,'Raw Decommissioning'!$B$2:$B$1000,0)),IFERROR(INDEX('Raw Provisioning'!$E$2:$E$1000,MATCH(B496,'Raw Provisioning'!$B$2:$B$1000,0)),"Missing from latest raw")))</x:f>
      </x:c>
      <x:c r="E496" s="170" t="str">
        <x:f>IF(B496="","",IF(D496="completed","Completed in CSSP",IF(D496="executing","Active - Executing",IF(D496="processing","Ready to Assign",IF(D496="Missing from latest raw","Check Source","Not Managed - "&amp;D496)))))</x:f>
      </x:c>
      <x:c r="F496" s="170" t="str">
        <x:f>IF(B496="","",IFERROR(INDEX('Task Master'!$K$5:$K$804,MATCH(B496,'Task Master'!$A$5:$A$804,0)),""))</x:f>
      </x:c>
      <x:c r="G496" s="192"/>
      <x:c r="H496" s="192"/>
      <x:c r="I496" s="192"/>
      <x:c r="J496" s="192"/>
      <x:c r="K496" s="192"/>
      <x:c r="L496" s="196"/>
      <x:c r="M496" s="192"/>
      <x:c r="N496" s="192"/>
      <x:c r="O496" s="192"/>
      <x:c r="P496" s="192"/>
      <x:c r="Q496" s="170" t="str">
        <x:f>IF(OR(A496="",B496=""),"",IF(A496=LOOKUP(2,1/($B$5:$B$704=B496),$A$5:$A$704),"Yes","No"))</x:f>
      </x:c>
    </x:row>
    <x:row r="497">
      <x:c r="A497" s="194"/>
      <x:c r="B497" s="192"/>
      <x:c r="C497" s="170" t="str">
        <x:f>IF(B497="","",IF(COUNTIF('Raw Decommissioning'!$B$2:$B$1000,B497)&gt;0,"Decommissioning",IF(COUNTIF('Raw Provisioning'!$B$2:$B$1000,B497)&gt;0,"Provisioning","Not in latest raw")))</x:f>
      </x:c>
      <x:c r="D497" s="170" t="str">
        <x:f>IF(B497="","",IFERROR(INDEX('Raw Decommissioning'!$E$2:$E$1000,MATCH(B497,'Raw Decommissioning'!$B$2:$B$1000,0)),IFERROR(INDEX('Raw Provisioning'!$E$2:$E$1000,MATCH(B497,'Raw Provisioning'!$B$2:$B$1000,0)),"Missing from latest raw")))</x:f>
      </x:c>
      <x:c r="E497" s="170" t="str">
        <x:f>IF(B497="","",IF(D497="completed","Completed in CSSP",IF(D497="executing","Active - Executing",IF(D497="processing","Ready to Assign",IF(D497="Missing from latest raw","Check Source","Not Managed - "&amp;D497)))))</x:f>
      </x:c>
      <x:c r="F497" s="170" t="str">
        <x:f>IF(B497="","",IFERROR(INDEX('Task Master'!$K$5:$K$804,MATCH(B497,'Task Master'!$A$5:$A$804,0)),""))</x:f>
      </x:c>
      <x:c r="G497" s="192"/>
      <x:c r="H497" s="192"/>
      <x:c r="I497" s="192"/>
      <x:c r="J497" s="192"/>
      <x:c r="K497" s="192"/>
      <x:c r="L497" s="196"/>
      <x:c r="M497" s="192"/>
      <x:c r="N497" s="192"/>
      <x:c r="O497" s="192"/>
      <x:c r="P497" s="192"/>
      <x:c r="Q497" s="170" t="str">
        <x:f>IF(OR(A497="",B497=""),"",IF(A497=LOOKUP(2,1/($B$5:$B$704=B497),$A$5:$A$704),"Yes","No"))</x:f>
      </x:c>
    </x:row>
    <x:row r="498">
      <x:c r="A498" s="194"/>
      <x:c r="B498" s="192"/>
      <x:c r="C498" s="170" t="str">
        <x:f>IF(B498="","",IF(COUNTIF('Raw Decommissioning'!$B$2:$B$1000,B498)&gt;0,"Decommissioning",IF(COUNTIF('Raw Provisioning'!$B$2:$B$1000,B498)&gt;0,"Provisioning","Not in latest raw")))</x:f>
      </x:c>
      <x:c r="D498" s="170" t="str">
        <x:f>IF(B498="","",IFERROR(INDEX('Raw Decommissioning'!$E$2:$E$1000,MATCH(B498,'Raw Decommissioning'!$B$2:$B$1000,0)),IFERROR(INDEX('Raw Provisioning'!$E$2:$E$1000,MATCH(B498,'Raw Provisioning'!$B$2:$B$1000,0)),"Missing from latest raw")))</x:f>
      </x:c>
      <x:c r="E498" s="170" t="str">
        <x:f>IF(B498="","",IF(D498="completed","Completed in CSSP",IF(D498="executing","Active - Executing",IF(D498="processing","Ready to Assign",IF(D498="Missing from latest raw","Check Source","Not Managed - "&amp;D498)))))</x:f>
      </x:c>
      <x:c r="F498" s="170" t="str">
        <x:f>IF(B498="","",IFERROR(INDEX('Task Master'!$K$5:$K$804,MATCH(B498,'Task Master'!$A$5:$A$804,0)),""))</x:f>
      </x:c>
      <x:c r="G498" s="192"/>
      <x:c r="H498" s="192"/>
      <x:c r="I498" s="192"/>
      <x:c r="J498" s="192"/>
      <x:c r="K498" s="192"/>
      <x:c r="L498" s="196"/>
      <x:c r="M498" s="192"/>
      <x:c r="N498" s="192"/>
      <x:c r="O498" s="192"/>
      <x:c r="P498" s="192"/>
      <x:c r="Q498" s="170" t="str">
        <x:f>IF(OR(A498="",B498=""),"",IF(A498=LOOKUP(2,1/($B$5:$B$704=B498),$A$5:$A$704),"Yes","No"))</x:f>
      </x:c>
    </x:row>
    <x:row r="499">
      <x:c r="A499" s="194"/>
      <x:c r="B499" s="192"/>
      <x:c r="C499" s="170" t="str">
        <x:f>IF(B499="","",IF(COUNTIF('Raw Decommissioning'!$B$2:$B$1000,B499)&gt;0,"Decommissioning",IF(COUNTIF('Raw Provisioning'!$B$2:$B$1000,B499)&gt;0,"Provisioning","Not in latest raw")))</x:f>
      </x:c>
      <x:c r="D499" s="170" t="str">
        <x:f>IF(B499="","",IFERROR(INDEX('Raw Decommissioning'!$E$2:$E$1000,MATCH(B499,'Raw Decommissioning'!$B$2:$B$1000,0)),IFERROR(INDEX('Raw Provisioning'!$E$2:$E$1000,MATCH(B499,'Raw Provisioning'!$B$2:$B$1000,0)),"Missing from latest raw")))</x:f>
      </x:c>
      <x:c r="E499" s="170" t="str">
        <x:f>IF(B499="","",IF(D499="completed","Completed in CSSP",IF(D499="executing","Active - Executing",IF(D499="processing","Ready to Assign",IF(D499="Missing from latest raw","Check Source","Not Managed - "&amp;D499)))))</x:f>
      </x:c>
      <x:c r="F499" s="170" t="str">
        <x:f>IF(B499="","",IFERROR(INDEX('Task Master'!$K$5:$K$804,MATCH(B499,'Task Master'!$A$5:$A$804,0)),""))</x:f>
      </x:c>
      <x:c r="G499" s="192"/>
      <x:c r="H499" s="192"/>
      <x:c r="I499" s="192"/>
      <x:c r="J499" s="192"/>
      <x:c r="K499" s="192"/>
      <x:c r="L499" s="196"/>
      <x:c r="M499" s="192"/>
      <x:c r="N499" s="192"/>
      <x:c r="O499" s="192"/>
      <x:c r="P499" s="192"/>
      <x:c r="Q499" s="170" t="str">
        <x:f>IF(OR(A499="",B499=""),"",IF(A499=LOOKUP(2,1/($B$5:$B$704=B499),$A$5:$A$704),"Yes","No"))</x:f>
      </x:c>
    </x:row>
    <x:row r="500">
      <x:c r="A500" s="194"/>
      <x:c r="B500" s="192"/>
      <x:c r="C500" s="170" t="str">
        <x:f>IF(B500="","",IF(COUNTIF('Raw Decommissioning'!$B$2:$B$1000,B500)&gt;0,"Decommissioning",IF(COUNTIF('Raw Provisioning'!$B$2:$B$1000,B500)&gt;0,"Provisioning","Not in latest raw")))</x:f>
      </x:c>
      <x:c r="D500" s="170" t="str">
        <x:f>IF(B500="","",IFERROR(INDEX('Raw Decommissioning'!$E$2:$E$1000,MATCH(B500,'Raw Decommissioning'!$B$2:$B$1000,0)),IFERROR(INDEX('Raw Provisioning'!$E$2:$E$1000,MATCH(B500,'Raw Provisioning'!$B$2:$B$1000,0)),"Missing from latest raw")))</x:f>
      </x:c>
      <x:c r="E500" s="170" t="str">
        <x:f>IF(B500="","",IF(D500="completed","Completed in CSSP",IF(D500="executing","Active - Executing",IF(D500="processing","Ready to Assign",IF(D500="Missing from latest raw","Check Source","Not Managed - "&amp;D500)))))</x:f>
      </x:c>
      <x:c r="F500" s="170" t="str">
        <x:f>IF(B500="","",IFERROR(INDEX('Task Master'!$K$5:$K$804,MATCH(B500,'Task Master'!$A$5:$A$804,0)),""))</x:f>
      </x:c>
      <x:c r="G500" s="192"/>
      <x:c r="H500" s="192"/>
      <x:c r="I500" s="192"/>
      <x:c r="J500" s="192"/>
      <x:c r="K500" s="192"/>
      <x:c r="L500" s="196"/>
      <x:c r="M500" s="192"/>
      <x:c r="N500" s="192"/>
      <x:c r="O500" s="192"/>
      <x:c r="P500" s="192"/>
      <x:c r="Q500" s="170" t="str">
        <x:f>IF(OR(A500="",B500=""),"",IF(A500=LOOKUP(2,1/($B$5:$B$704=B500),$A$5:$A$704),"Yes","No"))</x:f>
      </x:c>
    </x:row>
    <x:row r="501">
      <x:c r="A501" s="194"/>
      <x:c r="B501" s="192"/>
      <x:c r="C501" s="170" t="str">
        <x:f>IF(B501="","",IF(COUNTIF('Raw Decommissioning'!$B$2:$B$1000,B501)&gt;0,"Decommissioning",IF(COUNTIF('Raw Provisioning'!$B$2:$B$1000,B501)&gt;0,"Provisioning","Not in latest raw")))</x:f>
      </x:c>
      <x:c r="D501" s="170" t="str">
        <x:f>IF(B501="","",IFERROR(INDEX('Raw Decommissioning'!$E$2:$E$1000,MATCH(B501,'Raw Decommissioning'!$B$2:$B$1000,0)),IFERROR(INDEX('Raw Provisioning'!$E$2:$E$1000,MATCH(B501,'Raw Provisioning'!$B$2:$B$1000,0)),"Missing from latest raw")))</x:f>
      </x:c>
      <x:c r="E501" s="170" t="str">
        <x:f>IF(B501="","",IF(D501="completed","Completed in CSSP",IF(D501="executing","Active - Executing",IF(D501="processing","Ready to Assign",IF(D501="Missing from latest raw","Check Source","Not Managed - "&amp;D501)))))</x:f>
      </x:c>
      <x:c r="F501" s="170" t="str">
        <x:f>IF(B501="","",IFERROR(INDEX('Task Master'!$K$5:$K$804,MATCH(B501,'Task Master'!$A$5:$A$804,0)),""))</x:f>
      </x:c>
      <x:c r="G501" s="192"/>
      <x:c r="H501" s="192"/>
      <x:c r="I501" s="192"/>
      <x:c r="J501" s="192"/>
      <x:c r="K501" s="192"/>
      <x:c r="L501" s="196"/>
      <x:c r="M501" s="192"/>
      <x:c r="N501" s="192"/>
      <x:c r="O501" s="192"/>
      <x:c r="P501" s="192"/>
      <x:c r="Q501" s="170" t="str">
        <x:f>IF(OR(A501="",B501=""),"",IF(A501=LOOKUP(2,1/($B$5:$B$704=B501),$A$5:$A$704),"Yes","No"))</x:f>
      </x:c>
    </x:row>
    <x:row r="502">
      <x:c r="A502" s="194"/>
      <x:c r="B502" s="192"/>
      <x:c r="C502" s="170" t="str">
        <x:f>IF(B502="","",IF(COUNTIF('Raw Decommissioning'!$B$2:$B$1000,B502)&gt;0,"Decommissioning",IF(COUNTIF('Raw Provisioning'!$B$2:$B$1000,B502)&gt;0,"Provisioning","Not in latest raw")))</x:f>
      </x:c>
      <x:c r="D502" s="170" t="str">
        <x:f>IF(B502="","",IFERROR(INDEX('Raw Decommissioning'!$E$2:$E$1000,MATCH(B502,'Raw Decommissioning'!$B$2:$B$1000,0)),IFERROR(INDEX('Raw Provisioning'!$E$2:$E$1000,MATCH(B502,'Raw Provisioning'!$B$2:$B$1000,0)),"Missing from latest raw")))</x:f>
      </x:c>
      <x:c r="E502" s="170" t="str">
        <x:f>IF(B502="","",IF(D502="completed","Completed in CSSP",IF(D502="executing","Active - Executing",IF(D502="processing","Ready to Assign",IF(D502="Missing from latest raw","Check Source","Not Managed - "&amp;D502)))))</x:f>
      </x:c>
      <x:c r="F502" s="170" t="str">
        <x:f>IF(B502="","",IFERROR(INDEX('Task Master'!$K$5:$K$804,MATCH(B502,'Task Master'!$A$5:$A$804,0)),""))</x:f>
      </x:c>
      <x:c r="G502" s="192"/>
      <x:c r="H502" s="192"/>
      <x:c r="I502" s="192"/>
      <x:c r="J502" s="192"/>
      <x:c r="K502" s="192"/>
      <x:c r="L502" s="196"/>
      <x:c r="M502" s="192"/>
      <x:c r="N502" s="192"/>
      <x:c r="O502" s="192"/>
      <x:c r="P502" s="192"/>
      <x:c r="Q502" s="170" t="str">
        <x:f>IF(OR(A502="",B502=""),"",IF(A502=LOOKUP(2,1/($B$5:$B$704=B502),$A$5:$A$704),"Yes","No"))</x:f>
      </x:c>
    </x:row>
    <x:row r="503">
      <x:c r="A503" s="194"/>
      <x:c r="B503" s="192"/>
      <x:c r="C503" s="170" t="str">
        <x:f>IF(B503="","",IF(COUNTIF('Raw Decommissioning'!$B$2:$B$1000,B503)&gt;0,"Decommissioning",IF(COUNTIF('Raw Provisioning'!$B$2:$B$1000,B503)&gt;0,"Provisioning","Not in latest raw")))</x:f>
      </x:c>
      <x:c r="D503" s="170" t="str">
        <x:f>IF(B503="","",IFERROR(INDEX('Raw Decommissioning'!$E$2:$E$1000,MATCH(B503,'Raw Decommissioning'!$B$2:$B$1000,0)),IFERROR(INDEX('Raw Provisioning'!$E$2:$E$1000,MATCH(B503,'Raw Provisioning'!$B$2:$B$1000,0)),"Missing from latest raw")))</x:f>
      </x:c>
      <x:c r="E503" s="170" t="str">
        <x:f>IF(B503="","",IF(D503="completed","Completed in CSSP",IF(D503="executing","Active - Executing",IF(D503="processing","Ready to Assign",IF(D503="Missing from latest raw","Check Source","Not Managed - "&amp;D503)))))</x:f>
      </x:c>
      <x:c r="F503" s="170" t="str">
        <x:f>IF(B503="","",IFERROR(INDEX('Task Master'!$K$5:$K$804,MATCH(B503,'Task Master'!$A$5:$A$804,0)),""))</x:f>
      </x:c>
      <x:c r="G503" s="192"/>
      <x:c r="H503" s="192"/>
      <x:c r="I503" s="192"/>
      <x:c r="J503" s="192"/>
      <x:c r="K503" s="192"/>
      <x:c r="L503" s="196"/>
      <x:c r="M503" s="192"/>
      <x:c r="N503" s="192"/>
      <x:c r="O503" s="192"/>
      <x:c r="P503" s="192"/>
      <x:c r="Q503" s="170" t="str">
        <x:f>IF(OR(A503="",B503=""),"",IF(A503=LOOKUP(2,1/($B$5:$B$704=B503),$A$5:$A$704),"Yes","No"))</x:f>
      </x:c>
    </x:row>
    <x:row r="504">
      <x:c r="A504" s="194"/>
      <x:c r="B504" s="192"/>
      <x:c r="C504" s="170" t="str">
        <x:f>IF(B504="","",IF(COUNTIF('Raw Decommissioning'!$B$2:$B$1000,B504)&gt;0,"Decommissioning",IF(COUNTIF('Raw Provisioning'!$B$2:$B$1000,B504)&gt;0,"Provisioning","Not in latest raw")))</x:f>
      </x:c>
      <x:c r="D504" s="170" t="str">
        <x:f>IF(B504="","",IFERROR(INDEX('Raw Decommissioning'!$E$2:$E$1000,MATCH(B504,'Raw Decommissioning'!$B$2:$B$1000,0)),IFERROR(INDEX('Raw Provisioning'!$E$2:$E$1000,MATCH(B504,'Raw Provisioning'!$B$2:$B$1000,0)),"Missing from latest raw")))</x:f>
      </x:c>
      <x:c r="E504" s="170" t="str">
        <x:f>IF(B504="","",IF(D504="completed","Completed in CSSP",IF(D504="executing","Active - Executing",IF(D504="processing","Ready to Assign",IF(D504="Missing from latest raw","Check Source","Not Managed - "&amp;D504)))))</x:f>
      </x:c>
      <x:c r="F504" s="170" t="str">
        <x:f>IF(B504="","",IFERROR(INDEX('Task Master'!$K$5:$K$804,MATCH(B504,'Task Master'!$A$5:$A$804,0)),""))</x:f>
      </x:c>
      <x:c r="G504" s="192"/>
      <x:c r="H504" s="192"/>
      <x:c r="I504" s="192"/>
      <x:c r="J504" s="192"/>
      <x:c r="K504" s="192"/>
      <x:c r="L504" s="196"/>
      <x:c r="M504" s="192"/>
      <x:c r="N504" s="192"/>
      <x:c r="O504" s="192"/>
      <x:c r="P504" s="192"/>
      <x:c r="Q504" s="170" t="str">
        <x:f>IF(OR(A504="",B504=""),"",IF(A504=LOOKUP(2,1/($B$5:$B$704=B504),$A$5:$A$704),"Yes","No"))</x:f>
      </x:c>
    </x:row>
    <x:row r="505">
      <x:c r="A505" s="194"/>
      <x:c r="B505" s="192"/>
      <x:c r="C505" s="170" t="str">
        <x:f>IF(B505="","",IF(COUNTIF('Raw Decommissioning'!$B$2:$B$1000,B505)&gt;0,"Decommissioning",IF(COUNTIF('Raw Provisioning'!$B$2:$B$1000,B505)&gt;0,"Provisioning","Not in latest raw")))</x:f>
      </x:c>
      <x:c r="D505" s="170" t="str">
        <x:f>IF(B505="","",IFERROR(INDEX('Raw Decommissioning'!$E$2:$E$1000,MATCH(B505,'Raw Decommissioning'!$B$2:$B$1000,0)),IFERROR(INDEX('Raw Provisioning'!$E$2:$E$1000,MATCH(B505,'Raw Provisioning'!$B$2:$B$1000,0)),"Missing from latest raw")))</x:f>
      </x:c>
      <x:c r="E505" s="170" t="str">
        <x:f>IF(B505="","",IF(D505="completed","Completed in CSSP",IF(D505="executing","Active - Executing",IF(D505="processing","Ready to Assign",IF(D505="Missing from latest raw","Check Source","Not Managed - "&amp;D505)))))</x:f>
      </x:c>
      <x:c r="F505" s="170" t="str">
        <x:f>IF(B505="","",IFERROR(INDEX('Task Master'!$K$5:$K$804,MATCH(B505,'Task Master'!$A$5:$A$804,0)),""))</x:f>
      </x:c>
      <x:c r="G505" s="192"/>
      <x:c r="H505" s="192"/>
      <x:c r="I505" s="192"/>
      <x:c r="J505" s="192"/>
      <x:c r="K505" s="192"/>
      <x:c r="L505" s="196"/>
      <x:c r="M505" s="192"/>
      <x:c r="N505" s="192"/>
      <x:c r="O505" s="192"/>
      <x:c r="P505" s="192"/>
      <x:c r="Q505" s="170" t="str">
        <x:f>IF(OR(A505="",B505=""),"",IF(A505=LOOKUP(2,1/($B$5:$B$704=B505),$A$5:$A$704),"Yes","No"))</x:f>
      </x:c>
    </x:row>
    <x:row r="506">
      <x:c r="A506" s="194"/>
      <x:c r="B506" s="192"/>
      <x:c r="C506" s="170" t="str">
        <x:f>IF(B506="","",IF(COUNTIF('Raw Decommissioning'!$B$2:$B$1000,B506)&gt;0,"Decommissioning",IF(COUNTIF('Raw Provisioning'!$B$2:$B$1000,B506)&gt;0,"Provisioning","Not in latest raw")))</x:f>
      </x:c>
      <x:c r="D506" s="170" t="str">
        <x:f>IF(B506="","",IFERROR(INDEX('Raw Decommissioning'!$E$2:$E$1000,MATCH(B506,'Raw Decommissioning'!$B$2:$B$1000,0)),IFERROR(INDEX('Raw Provisioning'!$E$2:$E$1000,MATCH(B506,'Raw Provisioning'!$B$2:$B$1000,0)),"Missing from latest raw")))</x:f>
      </x:c>
      <x:c r="E506" s="170" t="str">
        <x:f>IF(B506="","",IF(D506="completed","Completed in CSSP",IF(D506="executing","Active - Executing",IF(D506="processing","Ready to Assign",IF(D506="Missing from latest raw","Check Source","Not Managed - "&amp;D506)))))</x:f>
      </x:c>
      <x:c r="F506" s="170" t="str">
        <x:f>IF(B506="","",IFERROR(INDEX('Task Master'!$K$5:$K$804,MATCH(B506,'Task Master'!$A$5:$A$804,0)),""))</x:f>
      </x:c>
      <x:c r="G506" s="192"/>
      <x:c r="H506" s="192"/>
      <x:c r="I506" s="192"/>
      <x:c r="J506" s="192"/>
      <x:c r="K506" s="192"/>
      <x:c r="L506" s="196"/>
      <x:c r="M506" s="192"/>
      <x:c r="N506" s="192"/>
      <x:c r="O506" s="192"/>
      <x:c r="P506" s="192"/>
      <x:c r="Q506" s="170" t="str">
        <x:f>IF(OR(A506="",B506=""),"",IF(A506=LOOKUP(2,1/($B$5:$B$704=B506),$A$5:$A$704),"Yes","No"))</x:f>
      </x:c>
    </x:row>
    <x:row r="507">
      <x:c r="A507" s="194"/>
      <x:c r="B507" s="192"/>
      <x:c r="C507" s="170" t="str">
        <x:f>IF(B507="","",IF(COUNTIF('Raw Decommissioning'!$B$2:$B$1000,B507)&gt;0,"Decommissioning",IF(COUNTIF('Raw Provisioning'!$B$2:$B$1000,B507)&gt;0,"Provisioning","Not in latest raw")))</x:f>
      </x:c>
      <x:c r="D507" s="170" t="str">
        <x:f>IF(B507="","",IFERROR(INDEX('Raw Decommissioning'!$E$2:$E$1000,MATCH(B507,'Raw Decommissioning'!$B$2:$B$1000,0)),IFERROR(INDEX('Raw Provisioning'!$E$2:$E$1000,MATCH(B507,'Raw Provisioning'!$B$2:$B$1000,0)),"Missing from latest raw")))</x:f>
      </x:c>
      <x:c r="E507" s="170" t="str">
        <x:f>IF(B507="","",IF(D507="completed","Completed in CSSP",IF(D507="executing","Active - Executing",IF(D507="processing","Ready to Assign",IF(D507="Missing from latest raw","Check Source","Not Managed - "&amp;D507)))))</x:f>
      </x:c>
      <x:c r="F507" s="170" t="str">
        <x:f>IF(B507="","",IFERROR(INDEX('Task Master'!$K$5:$K$804,MATCH(B507,'Task Master'!$A$5:$A$804,0)),""))</x:f>
      </x:c>
      <x:c r="G507" s="192"/>
      <x:c r="H507" s="192"/>
      <x:c r="I507" s="192"/>
      <x:c r="J507" s="192"/>
      <x:c r="K507" s="192"/>
      <x:c r="L507" s="196"/>
      <x:c r="M507" s="192"/>
      <x:c r="N507" s="192"/>
      <x:c r="O507" s="192"/>
      <x:c r="P507" s="192"/>
      <x:c r="Q507" s="170" t="str">
        <x:f>IF(OR(A507="",B507=""),"",IF(A507=LOOKUP(2,1/($B$5:$B$704=B507),$A$5:$A$704),"Yes","No"))</x:f>
      </x:c>
    </x:row>
    <x:row r="508">
      <x:c r="A508" s="194"/>
      <x:c r="B508" s="192"/>
      <x:c r="C508" s="170" t="str">
        <x:f>IF(B508="","",IF(COUNTIF('Raw Decommissioning'!$B$2:$B$1000,B508)&gt;0,"Decommissioning",IF(COUNTIF('Raw Provisioning'!$B$2:$B$1000,B508)&gt;0,"Provisioning","Not in latest raw")))</x:f>
      </x:c>
      <x:c r="D508" s="170" t="str">
        <x:f>IF(B508="","",IFERROR(INDEX('Raw Decommissioning'!$E$2:$E$1000,MATCH(B508,'Raw Decommissioning'!$B$2:$B$1000,0)),IFERROR(INDEX('Raw Provisioning'!$E$2:$E$1000,MATCH(B508,'Raw Provisioning'!$B$2:$B$1000,0)),"Missing from latest raw")))</x:f>
      </x:c>
      <x:c r="E508" s="170" t="str">
        <x:f>IF(B508="","",IF(D508="completed","Completed in CSSP",IF(D508="executing","Active - Executing",IF(D508="processing","Ready to Assign",IF(D508="Missing from latest raw","Check Source","Not Managed - "&amp;D508)))))</x:f>
      </x:c>
      <x:c r="F508" s="170" t="str">
        <x:f>IF(B508="","",IFERROR(INDEX('Task Master'!$K$5:$K$804,MATCH(B508,'Task Master'!$A$5:$A$804,0)),""))</x:f>
      </x:c>
      <x:c r="G508" s="192"/>
      <x:c r="H508" s="192"/>
      <x:c r="I508" s="192"/>
      <x:c r="J508" s="192"/>
      <x:c r="K508" s="192"/>
      <x:c r="L508" s="196"/>
      <x:c r="M508" s="192"/>
      <x:c r="N508" s="192"/>
      <x:c r="O508" s="192"/>
      <x:c r="P508" s="192"/>
      <x:c r="Q508" s="170" t="str">
        <x:f>IF(OR(A508="",B508=""),"",IF(A508=LOOKUP(2,1/($B$5:$B$704=B508),$A$5:$A$704),"Yes","No"))</x:f>
      </x:c>
    </x:row>
    <x:row r="509">
      <x:c r="A509" s="194"/>
      <x:c r="B509" s="192"/>
      <x:c r="C509" s="170" t="str">
        <x:f>IF(B509="","",IF(COUNTIF('Raw Decommissioning'!$B$2:$B$1000,B509)&gt;0,"Decommissioning",IF(COUNTIF('Raw Provisioning'!$B$2:$B$1000,B509)&gt;0,"Provisioning","Not in latest raw")))</x:f>
      </x:c>
      <x:c r="D509" s="170" t="str">
        <x:f>IF(B509="","",IFERROR(INDEX('Raw Decommissioning'!$E$2:$E$1000,MATCH(B509,'Raw Decommissioning'!$B$2:$B$1000,0)),IFERROR(INDEX('Raw Provisioning'!$E$2:$E$1000,MATCH(B509,'Raw Provisioning'!$B$2:$B$1000,0)),"Missing from latest raw")))</x:f>
      </x:c>
      <x:c r="E509" s="170" t="str">
        <x:f>IF(B509="","",IF(D509="completed","Completed in CSSP",IF(D509="executing","Active - Executing",IF(D509="processing","Ready to Assign",IF(D509="Missing from latest raw","Check Source","Not Managed - "&amp;D509)))))</x:f>
      </x:c>
      <x:c r="F509" s="170" t="str">
        <x:f>IF(B509="","",IFERROR(INDEX('Task Master'!$K$5:$K$804,MATCH(B509,'Task Master'!$A$5:$A$804,0)),""))</x:f>
      </x:c>
      <x:c r="G509" s="192"/>
      <x:c r="H509" s="192"/>
      <x:c r="I509" s="192"/>
      <x:c r="J509" s="192"/>
      <x:c r="K509" s="192"/>
      <x:c r="L509" s="196"/>
      <x:c r="M509" s="192"/>
      <x:c r="N509" s="192"/>
      <x:c r="O509" s="192"/>
      <x:c r="P509" s="192"/>
      <x:c r="Q509" s="170" t="str">
        <x:f>IF(OR(A509="",B509=""),"",IF(A509=LOOKUP(2,1/($B$5:$B$704=B509),$A$5:$A$704),"Yes","No"))</x:f>
      </x:c>
    </x:row>
    <x:row r="510">
      <x:c r="A510" s="194"/>
      <x:c r="B510" s="192"/>
      <x:c r="C510" s="170" t="str">
        <x:f>IF(B510="","",IF(COUNTIF('Raw Decommissioning'!$B$2:$B$1000,B510)&gt;0,"Decommissioning",IF(COUNTIF('Raw Provisioning'!$B$2:$B$1000,B510)&gt;0,"Provisioning","Not in latest raw")))</x:f>
      </x:c>
      <x:c r="D510" s="170" t="str">
        <x:f>IF(B510="","",IFERROR(INDEX('Raw Decommissioning'!$E$2:$E$1000,MATCH(B510,'Raw Decommissioning'!$B$2:$B$1000,0)),IFERROR(INDEX('Raw Provisioning'!$E$2:$E$1000,MATCH(B510,'Raw Provisioning'!$B$2:$B$1000,0)),"Missing from latest raw")))</x:f>
      </x:c>
      <x:c r="E510" s="170" t="str">
        <x:f>IF(B510="","",IF(D510="completed","Completed in CSSP",IF(D510="executing","Active - Executing",IF(D510="processing","Ready to Assign",IF(D510="Missing from latest raw","Check Source","Not Managed - "&amp;D510)))))</x:f>
      </x:c>
      <x:c r="F510" s="170" t="str">
        <x:f>IF(B510="","",IFERROR(INDEX('Task Master'!$K$5:$K$804,MATCH(B510,'Task Master'!$A$5:$A$804,0)),""))</x:f>
      </x:c>
      <x:c r="G510" s="192"/>
      <x:c r="H510" s="192"/>
      <x:c r="I510" s="192"/>
      <x:c r="J510" s="192"/>
      <x:c r="K510" s="192"/>
      <x:c r="L510" s="196"/>
      <x:c r="M510" s="192"/>
      <x:c r="N510" s="192"/>
      <x:c r="O510" s="192"/>
      <x:c r="P510" s="192"/>
      <x:c r="Q510" s="170" t="str">
        <x:f>IF(OR(A510="",B510=""),"",IF(A510=LOOKUP(2,1/($B$5:$B$704=B510),$A$5:$A$704),"Yes","No"))</x:f>
      </x:c>
    </x:row>
    <x:row r="511">
      <x:c r="A511" s="194"/>
      <x:c r="B511" s="192"/>
      <x:c r="C511" s="170" t="str">
        <x:f>IF(B511="","",IF(COUNTIF('Raw Decommissioning'!$B$2:$B$1000,B511)&gt;0,"Decommissioning",IF(COUNTIF('Raw Provisioning'!$B$2:$B$1000,B511)&gt;0,"Provisioning","Not in latest raw")))</x:f>
      </x:c>
      <x:c r="D511" s="170" t="str">
        <x:f>IF(B511="","",IFERROR(INDEX('Raw Decommissioning'!$E$2:$E$1000,MATCH(B511,'Raw Decommissioning'!$B$2:$B$1000,0)),IFERROR(INDEX('Raw Provisioning'!$E$2:$E$1000,MATCH(B511,'Raw Provisioning'!$B$2:$B$1000,0)),"Missing from latest raw")))</x:f>
      </x:c>
      <x:c r="E511" s="170" t="str">
        <x:f>IF(B511="","",IF(D511="completed","Completed in CSSP",IF(D511="executing","Active - Executing",IF(D511="processing","Ready to Assign",IF(D511="Missing from latest raw","Check Source","Not Managed - "&amp;D511)))))</x:f>
      </x:c>
      <x:c r="F511" s="170" t="str">
        <x:f>IF(B511="","",IFERROR(INDEX('Task Master'!$K$5:$K$804,MATCH(B511,'Task Master'!$A$5:$A$804,0)),""))</x:f>
      </x:c>
      <x:c r="G511" s="192"/>
      <x:c r="H511" s="192"/>
      <x:c r="I511" s="192"/>
      <x:c r="J511" s="192"/>
      <x:c r="K511" s="192"/>
      <x:c r="L511" s="196"/>
      <x:c r="M511" s="192"/>
      <x:c r="N511" s="192"/>
      <x:c r="O511" s="192"/>
      <x:c r="P511" s="192"/>
      <x:c r="Q511" s="170" t="str">
        <x:f>IF(OR(A511="",B511=""),"",IF(A511=LOOKUP(2,1/($B$5:$B$704=B511),$A$5:$A$704),"Yes","No"))</x:f>
      </x:c>
    </x:row>
    <x:row r="512">
      <x:c r="A512" s="194"/>
      <x:c r="B512" s="192"/>
      <x:c r="C512" s="170" t="str">
        <x:f>IF(B512="","",IF(COUNTIF('Raw Decommissioning'!$B$2:$B$1000,B512)&gt;0,"Decommissioning",IF(COUNTIF('Raw Provisioning'!$B$2:$B$1000,B512)&gt;0,"Provisioning","Not in latest raw")))</x:f>
      </x:c>
      <x:c r="D512" s="170" t="str">
        <x:f>IF(B512="","",IFERROR(INDEX('Raw Decommissioning'!$E$2:$E$1000,MATCH(B512,'Raw Decommissioning'!$B$2:$B$1000,0)),IFERROR(INDEX('Raw Provisioning'!$E$2:$E$1000,MATCH(B512,'Raw Provisioning'!$B$2:$B$1000,0)),"Missing from latest raw")))</x:f>
      </x:c>
      <x:c r="E512" s="170" t="str">
        <x:f>IF(B512="","",IF(D512="completed","Completed in CSSP",IF(D512="executing","Active - Executing",IF(D512="processing","Ready to Assign",IF(D512="Missing from latest raw","Check Source","Not Managed - "&amp;D512)))))</x:f>
      </x:c>
      <x:c r="F512" s="170" t="str">
        <x:f>IF(B512="","",IFERROR(INDEX('Task Master'!$K$5:$K$804,MATCH(B512,'Task Master'!$A$5:$A$804,0)),""))</x:f>
      </x:c>
      <x:c r="G512" s="192"/>
      <x:c r="H512" s="192"/>
      <x:c r="I512" s="192"/>
      <x:c r="J512" s="192"/>
      <x:c r="K512" s="192"/>
      <x:c r="L512" s="196"/>
      <x:c r="M512" s="192"/>
      <x:c r="N512" s="192"/>
      <x:c r="O512" s="192"/>
      <x:c r="P512" s="192"/>
      <x:c r="Q512" s="170" t="str">
        <x:f>IF(OR(A512="",B512=""),"",IF(A512=LOOKUP(2,1/($B$5:$B$704=B512),$A$5:$A$704),"Yes","No"))</x:f>
      </x:c>
    </x:row>
    <x:row r="513">
      <x:c r="A513" s="194"/>
      <x:c r="B513" s="192"/>
      <x:c r="C513" s="170" t="str">
        <x:f>IF(B513="","",IF(COUNTIF('Raw Decommissioning'!$B$2:$B$1000,B513)&gt;0,"Decommissioning",IF(COUNTIF('Raw Provisioning'!$B$2:$B$1000,B513)&gt;0,"Provisioning","Not in latest raw")))</x:f>
      </x:c>
      <x:c r="D513" s="170" t="str">
        <x:f>IF(B513="","",IFERROR(INDEX('Raw Decommissioning'!$E$2:$E$1000,MATCH(B513,'Raw Decommissioning'!$B$2:$B$1000,0)),IFERROR(INDEX('Raw Provisioning'!$E$2:$E$1000,MATCH(B513,'Raw Provisioning'!$B$2:$B$1000,0)),"Missing from latest raw")))</x:f>
      </x:c>
      <x:c r="E513" s="170" t="str">
        <x:f>IF(B513="","",IF(D513="completed","Completed in CSSP",IF(D513="executing","Active - Executing",IF(D513="processing","Ready to Assign",IF(D513="Missing from latest raw","Check Source","Not Managed - "&amp;D513)))))</x:f>
      </x:c>
      <x:c r="F513" s="170" t="str">
        <x:f>IF(B513="","",IFERROR(INDEX('Task Master'!$K$5:$K$804,MATCH(B513,'Task Master'!$A$5:$A$804,0)),""))</x:f>
      </x:c>
      <x:c r="G513" s="192"/>
      <x:c r="H513" s="192"/>
      <x:c r="I513" s="192"/>
      <x:c r="J513" s="192"/>
      <x:c r="K513" s="192"/>
      <x:c r="L513" s="196"/>
      <x:c r="M513" s="192"/>
      <x:c r="N513" s="192"/>
      <x:c r="O513" s="192"/>
      <x:c r="P513" s="192"/>
      <x:c r="Q513" s="170" t="str">
        <x:f>IF(OR(A513="",B513=""),"",IF(A513=LOOKUP(2,1/($B$5:$B$704=B513),$A$5:$A$704),"Yes","No"))</x:f>
      </x:c>
    </x:row>
    <x:row r="514">
      <x:c r="A514" s="194"/>
      <x:c r="B514" s="192"/>
      <x:c r="C514" s="170" t="str">
        <x:f>IF(B514="","",IF(COUNTIF('Raw Decommissioning'!$B$2:$B$1000,B514)&gt;0,"Decommissioning",IF(COUNTIF('Raw Provisioning'!$B$2:$B$1000,B514)&gt;0,"Provisioning","Not in latest raw")))</x:f>
      </x:c>
      <x:c r="D514" s="170" t="str">
        <x:f>IF(B514="","",IFERROR(INDEX('Raw Decommissioning'!$E$2:$E$1000,MATCH(B514,'Raw Decommissioning'!$B$2:$B$1000,0)),IFERROR(INDEX('Raw Provisioning'!$E$2:$E$1000,MATCH(B514,'Raw Provisioning'!$B$2:$B$1000,0)),"Missing from latest raw")))</x:f>
      </x:c>
      <x:c r="E514" s="170" t="str">
        <x:f>IF(B514="","",IF(D514="completed","Completed in CSSP",IF(D514="executing","Active - Executing",IF(D514="processing","Ready to Assign",IF(D514="Missing from latest raw","Check Source","Not Managed - "&amp;D514)))))</x:f>
      </x:c>
      <x:c r="F514" s="170" t="str">
        <x:f>IF(B514="","",IFERROR(INDEX('Task Master'!$K$5:$K$804,MATCH(B514,'Task Master'!$A$5:$A$804,0)),""))</x:f>
      </x:c>
      <x:c r="G514" s="192"/>
      <x:c r="H514" s="192"/>
      <x:c r="I514" s="192"/>
      <x:c r="J514" s="192"/>
      <x:c r="K514" s="192"/>
      <x:c r="L514" s="196"/>
      <x:c r="M514" s="192"/>
      <x:c r="N514" s="192"/>
      <x:c r="O514" s="192"/>
      <x:c r="P514" s="192"/>
      <x:c r="Q514" s="170" t="str">
        <x:f>IF(OR(A514="",B514=""),"",IF(A514=LOOKUP(2,1/($B$5:$B$704=B514),$A$5:$A$704),"Yes","No"))</x:f>
      </x:c>
    </x:row>
    <x:row r="515">
      <x:c r="A515" s="194"/>
      <x:c r="B515" s="192"/>
      <x:c r="C515" s="170" t="str">
        <x:f>IF(B515="","",IF(COUNTIF('Raw Decommissioning'!$B$2:$B$1000,B515)&gt;0,"Decommissioning",IF(COUNTIF('Raw Provisioning'!$B$2:$B$1000,B515)&gt;0,"Provisioning","Not in latest raw")))</x:f>
      </x:c>
      <x:c r="D515" s="170" t="str">
        <x:f>IF(B515="","",IFERROR(INDEX('Raw Decommissioning'!$E$2:$E$1000,MATCH(B515,'Raw Decommissioning'!$B$2:$B$1000,0)),IFERROR(INDEX('Raw Provisioning'!$E$2:$E$1000,MATCH(B515,'Raw Provisioning'!$B$2:$B$1000,0)),"Missing from latest raw")))</x:f>
      </x:c>
      <x:c r="E515" s="170" t="str">
        <x:f>IF(B515="","",IF(D515="completed","Completed in CSSP",IF(D515="executing","Active - Executing",IF(D515="processing","Ready to Assign",IF(D515="Missing from latest raw","Check Source","Not Managed - "&amp;D515)))))</x:f>
      </x:c>
      <x:c r="F515" s="170" t="str">
        <x:f>IF(B515="","",IFERROR(INDEX('Task Master'!$K$5:$K$804,MATCH(B515,'Task Master'!$A$5:$A$804,0)),""))</x:f>
      </x:c>
      <x:c r="G515" s="192"/>
      <x:c r="H515" s="192"/>
      <x:c r="I515" s="192"/>
      <x:c r="J515" s="192"/>
      <x:c r="K515" s="192"/>
      <x:c r="L515" s="196"/>
      <x:c r="M515" s="192"/>
      <x:c r="N515" s="192"/>
      <x:c r="O515" s="192"/>
      <x:c r="P515" s="192"/>
      <x:c r="Q515" s="170" t="str">
        <x:f>IF(OR(A515="",B515=""),"",IF(A515=LOOKUP(2,1/($B$5:$B$704=B515),$A$5:$A$704),"Yes","No"))</x:f>
      </x:c>
    </x:row>
    <x:row r="516">
      <x:c r="A516" s="194"/>
      <x:c r="B516" s="192"/>
      <x:c r="C516" s="170" t="str">
        <x:f>IF(B516="","",IF(COUNTIF('Raw Decommissioning'!$B$2:$B$1000,B516)&gt;0,"Decommissioning",IF(COUNTIF('Raw Provisioning'!$B$2:$B$1000,B516)&gt;0,"Provisioning","Not in latest raw")))</x:f>
      </x:c>
      <x:c r="D516" s="170" t="str">
        <x:f>IF(B516="","",IFERROR(INDEX('Raw Decommissioning'!$E$2:$E$1000,MATCH(B516,'Raw Decommissioning'!$B$2:$B$1000,0)),IFERROR(INDEX('Raw Provisioning'!$E$2:$E$1000,MATCH(B516,'Raw Provisioning'!$B$2:$B$1000,0)),"Missing from latest raw")))</x:f>
      </x:c>
      <x:c r="E516" s="170" t="str">
        <x:f>IF(B516="","",IF(D516="completed","Completed in CSSP",IF(D516="executing","Active - Executing",IF(D516="processing","Ready to Assign",IF(D516="Missing from latest raw","Check Source","Not Managed - "&amp;D516)))))</x:f>
      </x:c>
      <x:c r="F516" s="170" t="str">
        <x:f>IF(B516="","",IFERROR(INDEX('Task Master'!$K$5:$K$804,MATCH(B516,'Task Master'!$A$5:$A$804,0)),""))</x:f>
      </x:c>
      <x:c r="G516" s="192"/>
      <x:c r="H516" s="192"/>
      <x:c r="I516" s="192"/>
      <x:c r="J516" s="192"/>
      <x:c r="K516" s="192"/>
      <x:c r="L516" s="196"/>
      <x:c r="M516" s="192"/>
      <x:c r="N516" s="192"/>
      <x:c r="O516" s="192"/>
      <x:c r="P516" s="192"/>
      <x:c r="Q516" s="170" t="str">
        <x:f>IF(OR(A516="",B516=""),"",IF(A516=LOOKUP(2,1/($B$5:$B$704=B516),$A$5:$A$704),"Yes","No"))</x:f>
      </x:c>
    </x:row>
    <x:row r="517">
      <x:c r="A517" s="194"/>
      <x:c r="B517" s="192"/>
      <x:c r="C517" s="170" t="str">
        <x:f>IF(B517="","",IF(COUNTIF('Raw Decommissioning'!$B$2:$B$1000,B517)&gt;0,"Decommissioning",IF(COUNTIF('Raw Provisioning'!$B$2:$B$1000,B517)&gt;0,"Provisioning","Not in latest raw")))</x:f>
      </x:c>
      <x:c r="D517" s="170" t="str">
        <x:f>IF(B517="","",IFERROR(INDEX('Raw Decommissioning'!$E$2:$E$1000,MATCH(B517,'Raw Decommissioning'!$B$2:$B$1000,0)),IFERROR(INDEX('Raw Provisioning'!$E$2:$E$1000,MATCH(B517,'Raw Provisioning'!$B$2:$B$1000,0)),"Missing from latest raw")))</x:f>
      </x:c>
      <x:c r="E517" s="170" t="str">
        <x:f>IF(B517="","",IF(D517="completed","Completed in CSSP",IF(D517="executing","Active - Executing",IF(D517="processing","Ready to Assign",IF(D517="Missing from latest raw","Check Source","Not Managed - "&amp;D517)))))</x:f>
      </x:c>
      <x:c r="F517" s="170" t="str">
        <x:f>IF(B517="","",IFERROR(INDEX('Task Master'!$K$5:$K$804,MATCH(B517,'Task Master'!$A$5:$A$804,0)),""))</x:f>
      </x:c>
      <x:c r="G517" s="192"/>
      <x:c r="H517" s="192"/>
      <x:c r="I517" s="192"/>
      <x:c r="J517" s="192"/>
      <x:c r="K517" s="192"/>
      <x:c r="L517" s="196"/>
      <x:c r="M517" s="192"/>
      <x:c r="N517" s="192"/>
      <x:c r="O517" s="192"/>
      <x:c r="P517" s="192"/>
      <x:c r="Q517" s="170" t="str">
        <x:f>IF(OR(A517="",B517=""),"",IF(A517=LOOKUP(2,1/($B$5:$B$704=B517),$A$5:$A$704),"Yes","No"))</x:f>
      </x:c>
    </x:row>
    <x:row r="518">
      <x:c r="A518" s="194"/>
      <x:c r="B518" s="192"/>
      <x:c r="C518" s="170" t="str">
        <x:f>IF(B518="","",IF(COUNTIF('Raw Decommissioning'!$B$2:$B$1000,B518)&gt;0,"Decommissioning",IF(COUNTIF('Raw Provisioning'!$B$2:$B$1000,B518)&gt;0,"Provisioning","Not in latest raw")))</x:f>
      </x:c>
      <x:c r="D518" s="170" t="str">
        <x:f>IF(B518="","",IFERROR(INDEX('Raw Decommissioning'!$E$2:$E$1000,MATCH(B518,'Raw Decommissioning'!$B$2:$B$1000,0)),IFERROR(INDEX('Raw Provisioning'!$E$2:$E$1000,MATCH(B518,'Raw Provisioning'!$B$2:$B$1000,0)),"Missing from latest raw")))</x:f>
      </x:c>
      <x:c r="E518" s="170" t="str">
        <x:f>IF(B518="","",IF(D518="completed","Completed in CSSP",IF(D518="executing","Active - Executing",IF(D518="processing","Ready to Assign",IF(D518="Missing from latest raw","Check Source","Not Managed - "&amp;D518)))))</x:f>
      </x:c>
      <x:c r="F518" s="170" t="str">
        <x:f>IF(B518="","",IFERROR(INDEX('Task Master'!$K$5:$K$804,MATCH(B518,'Task Master'!$A$5:$A$804,0)),""))</x:f>
      </x:c>
      <x:c r="G518" s="192"/>
      <x:c r="H518" s="192"/>
      <x:c r="I518" s="192"/>
      <x:c r="J518" s="192"/>
      <x:c r="K518" s="192"/>
      <x:c r="L518" s="196"/>
      <x:c r="M518" s="192"/>
      <x:c r="N518" s="192"/>
      <x:c r="O518" s="192"/>
      <x:c r="P518" s="192"/>
      <x:c r="Q518" s="170" t="str">
        <x:f>IF(OR(A518="",B518=""),"",IF(A518=LOOKUP(2,1/($B$5:$B$704=B518),$A$5:$A$704),"Yes","No"))</x:f>
      </x:c>
    </x:row>
    <x:row r="519">
      <x:c r="A519" s="194"/>
      <x:c r="B519" s="192"/>
      <x:c r="C519" s="170" t="str">
        <x:f>IF(B519="","",IF(COUNTIF('Raw Decommissioning'!$B$2:$B$1000,B519)&gt;0,"Decommissioning",IF(COUNTIF('Raw Provisioning'!$B$2:$B$1000,B519)&gt;0,"Provisioning","Not in latest raw")))</x:f>
      </x:c>
      <x:c r="D519" s="170" t="str">
        <x:f>IF(B519="","",IFERROR(INDEX('Raw Decommissioning'!$E$2:$E$1000,MATCH(B519,'Raw Decommissioning'!$B$2:$B$1000,0)),IFERROR(INDEX('Raw Provisioning'!$E$2:$E$1000,MATCH(B519,'Raw Provisioning'!$B$2:$B$1000,0)),"Missing from latest raw")))</x:f>
      </x:c>
      <x:c r="E519" s="170" t="str">
        <x:f>IF(B519="","",IF(D519="completed","Completed in CSSP",IF(D519="executing","Active - Executing",IF(D519="processing","Ready to Assign",IF(D519="Missing from latest raw","Check Source","Not Managed - "&amp;D519)))))</x:f>
      </x:c>
      <x:c r="F519" s="170" t="str">
        <x:f>IF(B519="","",IFERROR(INDEX('Task Master'!$K$5:$K$804,MATCH(B519,'Task Master'!$A$5:$A$804,0)),""))</x:f>
      </x:c>
      <x:c r="G519" s="192"/>
      <x:c r="H519" s="192"/>
      <x:c r="I519" s="192"/>
      <x:c r="J519" s="192"/>
      <x:c r="K519" s="192"/>
      <x:c r="L519" s="196"/>
      <x:c r="M519" s="192"/>
      <x:c r="N519" s="192"/>
      <x:c r="O519" s="192"/>
      <x:c r="P519" s="192"/>
      <x:c r="Q519" s="170" t="str">
        <x:f>IF(OR(A519="",B519=""),"",IF(A519=LOOKUP(2,1/($B$5:$B$704=B519),$A$5:$A$704),"Yes","No"))</x:f>
      </x:c>
    </x:row>
    <x:row r="520">
      <x:c r="A520" s="194"/>
      <x:c r="B520" s="192"/>
      <x:c r="C520" s="170" t="str">
        <x:f>IF(B520="","",IF(COUNTIF('Raw Decommissioning'!$B$2:$B$1000,B520)&gt;0,"Decommissioning",IF(COUNTIF('Raw Provisioning'!$B$2:$B$1000,B520)&gt;0,"Provisioning","Not in latest raw")))</x:f>
      </x:c>
      <x:c r="D520" s="170" t="str">
        <x:f>IF(B520="","",IFERROR(INDEX('Raw Decommissioning'!$E$2:$E$1000,MATCH(B520,'Raw Decommissioning'!$B$2:$B$1000,0)),IFERROR(INDEX('Raw Provisioning'!$E$2:$E$1000,MATCH(B520,'Raw Provisioning'!$B$2:$B$1000,0)),"Missing from latest raw")))</x:f>
      </x:c>
      <x:c r="E520" s="170" t="str">
        <x:f>IF(B520="","",IF(D520="completed","Completed in CSSP",IF(D520="executing","Active - Executing",IF(D520="processing","Ready to Assign",IF(D520="Missing from latest raw","Check Source","Not Managed - "&amp;D520)))))</x:f>
      </x:c>
      <x:c r="F520" s="170" t="str">
        <x:f>IF(B520="","",IFERROR(INDEX('Task Master'!$K$5:$K$804,MATCH(B520,'Task Master'!$A$5:$A$804,0)),""))</x:f>
      </x:c>
      <x:c r="G520" s="192"/>
      <x:c r="H520" s="192"/>
      <x:c r="I520" s="192"/>
      <x:c r="J520" s="192"/>
      <x:c r="K520" s="192"/>
      <x:c r="L520" s="196"/>
      <x:c r="M520" s="192"/>
      <x:c r="N520" s="192"/>
      <x:c r="O520" s="192"/>
      <x:c r="P520" s="192"/>
      <x:c r="Q520" s="170" t="str">
        <x:f>IF(OR(A520="",B520=""),"",IF(A520=LOOKUP(2,1/($B$5:$B$704=B520),$A$5:$A$704),"Yes","No"))</x:f>
      </x:c>
    </x:row>
    <x:row r="521">
      <x:c r="A521" s="194"/>
      <x:c r="B521" s="192"/>
      <x:c r="C521" s="170" t="str">
        <x:f>IF(B521="","",IF(COUNTIF('Raw Decommissioning'!$B$2:$B$1000,B521)&gt;0,"Decommissioning",IF(COUNTIF('Raw Provisioning'!$B$2:$B$1000,B521)&gt;0,"Provisioning","Not in latest raw")))</x:f>
      </x:c>
      <x:c r="D521" s="170" t="str">
        <x:f>IF(B521="","",IFERROR(INDEX('Raw Decommissioning'!$E$2:$E$1000,MATCH(B521,'Raw Decommissioning'!$B$2:$B$1000,0)),IFERROR(INDEX('Raw Provisioning'!$E$2:$E$1000,MATCH(B521,'Raw Provisioning'!$B$2:$B$1000,0)),"Missing from latest raw")))</x:f>
      </x:c>
      <x:c r="E521" s="170" t="str">
        <x:f>IF(B521="","",IF(D521="completed","Completed in CSSP",IF(D521="executing","Active - Executing",IF(D521="processing","Ready to Assign",IF(D521="Missing from latest raw","Check Source","Not Managed - "&amp;D521)))))</x:f>
      </x:c>
      <x:c r="F521" s="170" t="str">
        <x:f>IF(B521="","",IFERROR(INDEX('Task Master'!$K$5:$K$804,MATCH(B521,'Task Master'!$A$5:$A$804,0)),""))</x:f>
      </x:c>
      <x:c r="G521" s="192"/>
      <x:c r="H521" s="192"/>
      <x:c r="I521" s="192"/>
      <x:c r="J521" s="192"/>
      <x:c r="K521" s="192"/>
      <x:c r="L521" s="196"/>
      <x:c r="M521" s="192"/>
      <x:c r="N521" s="192"/>
      <x:c r="O521" s="192"/>
      <x:c r="P521" s="192"/>
      <x:c r="Q521" s="170" t="str">
        <x:f>IF(OR(A521="",B521=""),"",IF(A521=LOOKUP(2,1/($B$5:$B$704=B521),$A$5:$A$704),"Yes","No"))</x:f>
      </x:c>
    </x:row>
    <x:row r="522">
      <x:c r="A522" s="194"/>
      <x:c r="B522" s="192"/>
      <x:c r="C522" s="170" t="str">
        <x:f>IF(B522="","",IF(COUNTIF('Raw Decommissioning'!$B$2:$B$1000,B522)&gt;0,"Decommissioning",IF(COUNTIF('Raw Provisioning'!$B$2:$B$1000,B522)&gt;0,"Provisioning","Not in latest raw")))</x:f>
      </x:c>
      <x:c r="D522" s="170" t="str">
        <x:f>IF(B522="","",IFERROR(INDEX('Raw Decommissioning'!$E$2:$E$1000,MATCH(B522,'Raw Decommissioning'!$B$2:$B$1000,0)),IFERROR(INDEX('Raw Provisioning'!$E$2:$E$1000,MATCH(B522,'Raw Provisioning'!$B$2:$B$1000,0)),"Missing from latest raw")))</x:f>
      </x:c>
      <x:c r="E522" s="170" t="str">
        <x:f>IF(B522="","",IF(D522="completed","Completed in CSSP",IF(D522="executing","Active - Executing",IF(D522="processing","Ready to Assign",IF(D522="Missing from latest raw","Check Source","Not Managed - "&amp;D522)))))</x:f>
      </x:c>
      <x:c r="F522" s="170" t="str">
        <x:f>IF(B522="","",IFERROR(INDEX('Task Master'!$K$5:$K$804,MATCH(B522,'Task Master'!$A$5:$A$804,0)),""))</x:f>
      </x:c>
      <x:c r="G522" s="192"/>
      <x:c r="H522" s="192"/>
      <x:c r="I522" s="192"/>
      <x:c r="J522" s="192"/>
      <x:c r="K522" s="192"/>
      <x:c r="L522" s="196"/>
      <x:c r="M522" s="192"/>
      <x:c r="N522" s="192"/>
      <x:c r="O522" s="192"/>
      <x:c r="P522" s="192"/>
      <x:c r="Q522" s="170" t="str">
        <x:f>IF(OR(A522="",B522=""),"",IF(A522=LOOKUP(2,1/($B$5:$B$704=B522),$A$5:$A$704),"Yes","No"))</x:f>
      </x:c>
    </x:row>
    <x:row r="523">
      <x:c r="A523" s="194"/>
      <x:c r="B523" s="192"/>
      <x:c r="C523" s="170" t="str">
        <x:f>IF(B523="","",IF(COUNTIF('Raw Decommissioning'!$B$2:$B$1000,B523)&gt;0,"Decommissioning",IF(COUNTIF('Raw Provisioning'!$B$2:$B$1000,B523)&gt;0,"Provisioning","Not in latest raw")))</x:f>
      </x:c>
      <x:c r="D523" s="170" t="str">
        <x:f>IF(B523="","",IFERROR(INDEX('Raw Decommissioning'!$E$2:$E$1000,MATCH(B523,'Raw Decommissioning'!$B$2:$B$1000,0)),IFERROR(INDEX('Raw Provisioning'!$E$2:$E$1000,MATCH(B523,'Raw Provisioning'!$B$2:$B$1000,0)),"Missing from latest raw")))</x:f>
      </x:c>
      <x:c r="E523" s="170" t="str">
        <x:f>IF(B523="","",IF(D523="completed","Completed in CSSP",IF(D523="executing","Active - Executing",IF(D523="processing","Ready to Assign",IF(D523="Missing from latest raw","Check Source","Not Managed - "&amp;D523)))))</x:f>
      </x:c>
      <x:c r="F523" s="170" t="str">
        <x:f>IF(B523="","",IFERROR(INDEX('Task Master'!$K$5:$K$804,MATCH(B523,'Task Master'!$A$5:$A$804,0)),""))</x:f>
      </x:c>
      <x:c r="G523" s="192"/>
      <x:c r="H523" s="192"/>
      <x:c r="I523" s="192"/>
      <x:c r="J523" s="192"/>
      <x:c r="K523" s="192"/>
      <x:c r="L523" s="196"/>
      <x:c r="M523" s="192"/>
      <x:c r="N523" s="192"/>
      <x:c r="O523" s="192"/>
      <x:c r="P523" s="192"/>
      <x:c r="Q523" s="170" t="str">
        <x:f>IF(OR(A523="",B523=""),"",IF(A523=LOOKUP(2,1/($B$5:$B$704=B523),$A$5:$A$704),"Yes","No"))</x:f>
      </x:c>
    </x:row>
    <x:row r="524">
      <x:c r="A524" s="194"/>
      <x:c r="B524" s="192"/>
      <x:c r="C524" s="170" t="str">
        <x:f>IF(B524="","",IF(COUNTIF('Raw Decommissioning'!$B$2:$B$1000,B524)&gt;0,"Decommissioning",IF(COUNTIF('Raw Provisioning'!$B$2:$B$1000,B524)&gt;0,"Provisioning","Not in latest raw")))</x:f>
      </x:c>
      <x:c r="D524" s="170" t="str">
        <x:f>IF(B524="","",IFERROR(INDEX('Raw Decommissioning'!$E$2:$E$1000,MATCH(B524,'Raw Decommissioning'!$B$2:$B$1000,0)),IFERROR(INDEX('Raw Provisioning'!$E$2:$E$1000,MATCH(B524,'Raw Provisioning'!$B$2:$B$1000,0)),"Missing from latest raw")))</x:f>
      </x:c>
      <x:c r="E524" s="170" t="str">
        <x:f>IF(B524="","",IF(D524="completed","Completed in CSSP",IF(D524="executing","Active - Executing",IF(D524="processing","Ready to Assign",IF(D524="Missing from latest raw","Check Source","Not Managed - "&amp;D524)))))</x:f>
      </x:c>
      <x:c r="F524" s="170" t="str">
        <x:f>IF(B524="","",IFERROR(INDEX('Task Master'!$K$5:$K$804,MATCH(B524,'Task Master'!$A$5:$A$804,0)),""))</x:f>
      </x:c>
      <x:c r="G524" s="192"/>
      <x:c r="H524" s="192"/>
      <x:c r="I524" s="192"/>
      <x:c r="J524" s="192"/>
      <x:c r="K524" s="192"/>
      <x:c r="L524" s="196"/>
      <x:c r="M524" s="192"/>
      <x:c r="N524" s="192"/>
      <x:c r="O524" s="192"/>
      <x:c r="P524" s="192"/>
      <x:c r="Q524" s="170" t="str">
        <x:f>IF(OR(A524="",B524=""),"",IF(A524=LOOKUP(2,1/($B$5:$B$704=B524),$A$5:$A$704),"Yes","No"))</x:f>
      </x:c>
    </x:row>
    <x:row r="525">
      <x:c r="A525" s="194"/>
      <x:c r="B525" s="192"/>
      <x:c r="C525" s="170" t="str">
        <x:f>IF(B525="","",IF(COUNTIF('Raw Decommissioning'!$B$2:$B$1000,B525)&gt;0,"Decommissioning",IF(COUNTIF('Raw Provisioning'!$B$2:$B$1000,B525)&gt;0,"Provisioning","Not in latest raw")))</x:f>
      </x:c>
      <x:c r="D525" s="170" t="str">
        <x:f>IF(B525="","",IFERROR(INDEX('Raw Decommissioning'!$E$2:$E$1000,MATCH(B525,'Raw Decommissioning'!$B$2:$B$1000,0)),IFERROR(INDEX('Raw Provisioning'!$E$2:$E$1000,MATCH(B525,'Raw Provisioning'!$B$2:$B$1000,0)),"Missing from latest raw")))</x:f>
      </x:c>
      <x:c r="E525" s="170" t="str">
        <x:f>IF(B525="","",IF(D525="completed","Completed in CSSP",IF(D525="executing","Active - Executing",IF(D525="processing","Ready to Assign",IF(D525="Missing from latest raw","Check Source","Not Managed - "&amp;D525)))))</x:f>
      </x:c>
      <x:c r="F525" s="170" t="str">
        <x:f>IF(B525="","",IFERROR(INDEX('Task Master'!$K$5:$K$804,MATCH(B525,'Task Master'!$A$5:$A$804,0)),""))</x:f>
      </x:c>
      <x:c r="G525" s="192"/>
      <x:c r="H525" s="192"/>
      <x:c r="I525" s="192"/>
      <x:c r="J525" s="192"/>
      <x:c r="K525" s="192"/>
      <x:c r="L525" s="196"/>
      <x:c r="M525" s="192"/>
      <x:c r="N525" s="192"/>
      <x:c r="O525" s="192"/>
      <x:c r="P525" s="192"/>
      <x:c r="Q525" s="170" t="str">
        <x:f>IF(OR(A525="",B525=""),"",IF(A525=LOOKUP(2,1/($B$5:$B$704=B525),$A$5:$A$704),"Yes","No"))</x:f>
      </x:c>
    </x:row>
    <x:row r="526">
      <x:c r="A526" s="194"/>
      <x:c r="B526" s="192"/>
      <x:c r="C526" s="170" t="str">
        <x:f>IF(B526="","",IF(COUNTIF('Raw Decommissioning'!$B$2:$B$1000,B526)&gt;0,"Decommissioning",IF(COUNTIF('Raw Provisioning'!$B$2:$B$1000,B526)&gt;0,"Provisioning","Not in latest raw")))</x:f>
      </x:c>
      <x:c r="D526" s="170" t="str">
        <x:f>IF(B526="","",IFERROR(INDEX('Raw Decommissioning'!$E$2:$E$1000,MATCH(B526,'Raw Decommissioning'!$B$2:$B$1000,0)),IFERROR(INDEX('Raw Provisioning'!$E$2:$E$1000,MATCH(B526,'Raw Provisioning'!$B$2:$B$1000,0)),"Missing from latest raw")))</x:f>
      </x:c>
      <x:c r="E526" s="170" t="str">
        <x:f>IF(B526="","",IF(D526="completed","Completed in CSSP",IF(D526="executing","Active - Executing",IF(D526="processing","Ready to Assign",IF(D526="Missing from latest raw","Check Source","Not Managed - "&amp;D526)))))</x:f>
      </x:c>
      <x:c r="F526" s="170" t="str">
        <x:f>IF(B526="","",IFERROR(INDEX('Task Master'!$K$5:$K$804,MATCH(B526,'Task Master'!$A$5:$A$804,0)),""))</x:f>
      </x:c>
      <x:c r="G526" s="192"/>
      <x:c r="H526" s="192"/>
      <x:c r="I526" s="192"/>
      <x:c r="J526" s="192"/>
      <x:c r="K526" s="192"/>
      <x:c r="L526" s="196"/>
      <x:c r="M526" s="192"/>
      <x:c r="N526" s="192"/>
      <x:c r="O526" s="192"/>
      <x:c r="P526" s="192"/>
      <x:c r="Q526" s="170" t="str">
        <x:f>IF(OR(A526="",B526=""),"",IF(A526=LOOKUP(2,1/($B$5:$B$704=B526),$A$5:$A$704),"Yes","No"))</x:f>
      </x:c>
    </x:row>
    <x:row r="527">
      <x:c r="A527" s="194"/>
      <x:c r="B527" s="192"/>
      <x:c r="C527" s="170" t="str">
        <x:f>IF(B527="","",IF(COUNTIF('Raw Decommissioning'!$B$2:$B$1000,B527)&gt;0,"Decommissioning",IF(COUNTIF('Raw Provisioning'!$B$2:$B$1000,B527)&gt;0,"Provisioning","Not in latest raw")))</x:f>
      </x:c>
      <x:c r="D527" s="170" t="str">
        <x:f>IF(B527="","",IFERROR(INDEX('Raw Decommissioning'!$E$2:$E$1000,MATCH(B527,'Raw Decommissioning'!$B$2:$B$1000,0)),IFERROR(INDEX('Raw Provisioning'!$E$2:$E$1000,MATCH(B527,'Raw Provisioning'!$B$2:$B$1000,0)),"Missing from latest raw")))</x:f>
      </x:c>
      <x:c r="E527" s="170" t="str">
        <x:f>IF(B527="","",IF(D527="completed","Completed in CSSP",IF(D527="executing","Active - Executing",IF(D527="processing","Ready to Assign",IF(D527="Missing from latest raw","Check Source","Not Managed - "&amp;D527)))))</x:f>
      </x:c>
      <x:c r="F527" s="170" t="str">
        <x:f>IF(B527="","",IFERROR(INDEX('Task Master'!$K$5:$K$804,MATCH(B527,'Task Master'!$A$5:$A$804,0)),""))</x:f>
      </x:c>
      <x:c r="G527" s="192"/>
      <x:c r="H527" s="192"/>
      <x:c r="I527" s="192"/>
      <x:c r="J527" s="192"/>
      <x:c r="K527" s="192"/>
      <x:c r="L527" s="196"/>
      <x:c r="M527" s="192"/>
      <x:c r="N527" s="192"/>
      <x:c r="O527" s="192"/>
      <x:c r="P527" s="192"/>
      <x:c r="Q527" s="170" t="str">
        <x:f>IF(OR(A527="",B527=""),"",IF(A527=LOOKUP(2,1/($B$5:$B$704=B527),$A$5:$A$704),"Yes","No"))</x:f>
      </x:c>
    </x:row>
    <x:row r="528">
      <x:c r="A528" s="194"/>
      <x:c r="B528" s="192"/>
      <x:c r="C528" s="170" t="str">
        <x:f>IF(B528="","",IF(COUNTIF('Raw Decommissioning'!$B$2:$B$1000,B528)&gt;0,"Decommissioning",IF(COUNTIF('Raw Provisioning'!$B$2:$B$1000,B528)&gt;0,"Provisioning","Not in latest raw")))</x:f>
      </x:c>
      <x:c r="D528" s="170" t="str">
        <x:f>IF(B528="","",IFERROR(INDEX('Raw Decommissioning'!$E$2:$E$1000,MATCH(B528,'Raw Decommissioning'!$B$2:$B$1000,0)),IFERROR(INDEX('Raw Provisioning'!$E$2:$E$1000,MATCH(B528,'Raw Provisioning'!$B$2:$B$1000,0)),"Missing from latest raw")))</x:f>
      </x:c>
      <x:c r="E528" s="170" t="str">
        <x:f>IF(B528="","",IF(D528="completed","Completed in CSSP",IF(D528="executing","Active - Executing",IF(D528="processing","Ready to Assign",IF(D528="Missing from latest raw","Check Source","Not Managed - "&amp;D528)))))</x:f>
      </x:c>
      <x:c r="F528" s="170" t="str">
        <x:f>IF(B528="","",IFERROR(INDEX('Task Master'!$K$5:$K$804,MATCH(B528,'Task Master'!$A$5:$A$804,0)),""))</x:f>
      </x:c>
      <x:c r="G528" s="192"/>
      <x:c r="H528" s="192"/>
      <x:c r="I528" s="192"/>
      <x:c r="J528" s="192"/>
      <x:c r="K528" s="192"/>
      <x:c r="L528" s="196"/>
      <x:c r="M528" s="192"/>
      <x:c r="N528" s="192"/>
      <x:c r="O528" s="192"/>
      <x:c r="P528" s="192"/>
      <x:c r="Q528" s="170" t="str">
        <x:f>IF(OR(A528="",B528=""),"",IF(A528=LOOKUP(2,1/($B$5:$B$704=B528),$A$5:$A$704),"Yes","No"))</x:f>
      </x:c>
    </x:row>
    <x:row r="529">
      <x:c r="A529" s="194"/>
      <x:c r="B529" s="192"/>
      <x:c r="C529" s="170" t="str">
        <x:f>IF(B529="","",IF(COUNTIF('Raw Decommissioning'!$B$2:$B$1000,B529)&gt;0,"Decommissioning",IF(COUNTIF('Raw Provisioning'!$B$2:$B$1000,B529)&gt;0,"Provisioning","Not in latest raw")))</x:f>
      </x:c>
      <x:c r="D529" s="170" t="str">
        <x:f>IF(B529="","",IFERROR(INDEX('Raw Decommissioning'!$E$2:$E$1000,MATCH(B529,'Raw Decommissioning'!$B$2:$B$1000,0)),IFERROR(INDEX('Raw Provisioning'!$E$2:$E$1000,MATCH(B529,'Raw Provisioning'!$B$2:$B$1000,0)),"Missing from latest raw")))</x:f>
      </x:c>
      <x:c r="E529" s="170" t="str">
        <x:f>IF(B529="","",IF(D529="completed","Completed in CSSP",IF(D529="executing","Active - Executing",IF(D529="processing","Ready to Assign",IF(D529="Missing from latest raw","Check Source","Not Managed - "&amp;D529)))))</x:f>
      </x:c>
      <x:c r="F529" s="170" t="str">
        <x:f>IF(B529="","",IFERROR(INDEX('Task Master'!$K$5:$K$804,MATCH(B529,'Task Master'!$A$5:$A$804,0)),""))</x:f>
      </x:c>
      <x:c r="G529" s="192"/>
      <x:c r="H529" s="192"/>
      <x:c r="I529" s="192"/>
      <x:c r="J529" s="192"/>
      <x:c r="K529" s="192"/>
      <x:c r="L529" s="196"/>
      <x:c r="M529" s="192"/>
      <x:c r="N529" s="192"/>
      <x:c r="O529" s="192"/>
      <x:c r="P529" s="192"/>
      <x:c r="Q529" s="170" t="str">
        <x:f>IF(OR(A529="",B529=""),"",IF(A529=LOOKUP(2,1/($B$5:$B$704=B529),$A$5:$A$704),"Yes","No"))</x:f>
      </x:c>
    </x:row>
    <x:row r="530">
      <x:c r="A530" s="194"/>
      <x:c r="B530" s="192"/>
      <x:c r="C530" s="170" t="str">
        <x:f>IF(B530="","",IF(COUNTIF('Raw Decommissioning'!$B$2:$B$1000,B530)&gt;0,"Decommissioning",IF(COUNTIF('Raw Provisioning'!$B$2:$B$1000,B530)&gt;0,"Provisioning","Not in latest raw")))</x:f>
      </x:c>
      <x:c r="D530" s="170" t="str">
        <x:f>IF(B530="","",IFERROR(INDEX('Raw Decommissioning'!$E$2:$E$1000,MATCH(B530,'Raw Decommissioning'!$B$2:$B$1000,0)),IFERROR(INDEX('Raw Provisioning'!$E$2:$E$1000,MATCH(B530,'Raw Provisioning'!$B$2:$B$1000,0)),"Missing from latest raw")))</x:f>
      </x:c>
      <x:c r="E530" s="170" t="str">
        <x:f>IF(B530="","",IF(D530="completed","Completed in CSSP",IF(D530="executing","Active - Executing",IF(D530="processing","Ready to Assign",IF(D530="Missing from latest raw","Check Source","Not Managed - "&amp;D530)))))</x:f>
      </x:c>
      <x:c r="F530" s="170" t="str">
        <x:f>IF(B530="","",IFERROR(INDEX('Task Master'!$K$5:$K$804,MATCH(B530,'Task Master'!$A$5:$A$804,0)),""))</x:f>
      </x:c>
      <x:c r="G530" s="192"/>
      <x:c r="H530" s="192"/>
      <x:c r="I530" s="192"/>
      <x:c r="J530" s="192"/>
      <x:c r="K530" s="192"/>
      <x:c r="L530" s="196"/>
      <x:c r="M530" s="192"/>
      <x:c r="N530" s="192"/>
      <x:c r="O530" s="192"/>
      <x:c r="P530" s="192"/>
      <x:c r="Q530" s="170" t="str">
        <x:f>IF(OR(A530="",B530=""),"",IF(A530=LOOKUP(2,1/($B$5:$B$704=B530),$A$5:$A$704),"Yes","No"))</x:f>
      </x:c>
    </x:row>
    <x:row r="531">
      <x:c r="A531" s="194"/>
      <x:c r="B531" s="192"/>
      <x:c r="C531" s="170" t="str">
        <x:f>IF(B531="","",IF(COUNTIF('Raw Decommissioning'!$B$2:$B$1000,B531)&gt;0,"Decommissioning",IF(COUNTIF('Raw Provisioning'!$B$2:$B$1000,B531)&gt;0,"Provisioning","Not in latest raw")))</x:f>
      </x:c>
      <x:c r="D531" s="170" t="str">
        <x:f>IF(B531="","",IFERROR(INDEX('Raw Decommissioning'!$E$2:$E$1000,MATCH(B531,'Raw Decommissioning'!$B$2:$B$1000,0)),IFERROR(INDEX('Raw Provisioning'!$E$2:$E$1000,MATCH(B531,'Raw Provisioning'!$B$2:$B$1000,0)),"Missing from latest raw")))</x:f>
      </x:c>
      <x:c r="E531" s="170" t="str">
        <x:f>IF(B531="","",IF(D531="completed","Completed in CSSP",IF(D531="executing","Active - Executing",IF(D531="processing","Ready to Assign",IF(D531="Missing from latest raw","Check Source","Not Managed - "&amp;D531)))))</x:f>
      </x:c>
      <x:c r="F531" s="170" t="str">
        <x:f>IF(B531="","",IFERROR(INDEX('Task Master'!$K$5:$K$804,MATCH(B531,'Task Master'!$A$5:$A$804,0)),""))</x:f>
      </x:c>
      <x:c r="G531" s="192"/>
      <x:c r="H531" s="192"/>
      <x:c r="I531" s="192"/>
      <x:c r="J531" s="192"/>
      <x:c r="K531" s="192"/>
      <x:c r="L531" s="196"/>
      <x:c r="M531" s="192"/>
      <x:c r="N531" s="192"/>
      <x:c r="O531" s="192"/>
      <x:c r="P531" s="192"/>
      <x:c r="Q531" s="170" t="str">
        <x:f>IF(OR(A531="",B531=""),"",IF(A531=LOOKUP(2,1/($B$5:$B$704=B531),$A$5:$A$704),"Yes","No"))</x:f>
      </x:c>
    </x:row>
    <x:row r="532">
      <x:c r="A532" s="194"/>
      <x:c r="B532" s="192"/>
      <x:c r="C532" s="170" t="str">
        <x:f>IF(B532="","",IF(COUNTIF('Raw Decommissioning'!$B$2:$B$1000,B532)&gt;0,"Decommissioning",IF(COUNTIF('Raw Provisioning'!$B$2:$B$1000,B532)&gt;0,"Provisioning","Not in latest raw")))</x:f>
      </x:c>
      <x:c r="D532" s="170" t="str">
        <x:f>IF(B532="","",IFERROR(INDEX('Raw Decommissioning'!$E$2:$E$1000,MATCH(B532,'Raw Decommissioning'!$B$2:$B$1000,0)),IFERROR(INDEX('Raw Provisioning'!$E$2:$E$1000,MATCH(B532,'Raw Provisioning'!$B$2:$B$1000,0)),"Missing from latest raw")))</x:f>
      </x:c>
      <x:c r="E532" s="170" t="str">
        <x:f>IF(B532="","",IF(D532="completed","Completed in CSSP",IF(D532="executing","Active - Executing",IF(D532="processing","Ready to Assign",IF(D532="Missing from latest raw","Check Source","Not Managed - "&amp;D532)))))</x:f>
      </x:c>
      <x:c r="F532" s="170" t="str">
        <x:f>IF(B532="","",IFERROR(INDEX('Task Master'!$K$5:$K$804,MATCH(B532,'Task Master'!$A$5:$A$804,0)),""))</x:f>
      </x:c>
      <x:c r="G532" s="192"/>
      <x:c r="H532" s="192"/>
      <x:c r="I532" s="192"/>
      <x:c r="J532" s="192"/>
      <x:c r="K532" s="192"/>
      <x:c r="L532" s="196"/>
      <x:c r="M532" s="192"/>
      <x:c r="N532" s="192"/>
      <x:c r="O532" s="192"/>
      <x:c r="P532" s="192"/>
      <x:c r="Q532" s="170" t="str">
        <x:f>IF(OR(A532="",B532=""),"",IF(A532=LOOKUP(2,1/($B$5:$B$704=B532),$A$5:$A$704),"Yes","No"))</x:f>
      </x:c>
    </x:row>
    <x:row r="533">
      <x:c r="A533" s="194"/>
      <x:c r="B533" s="192"/>
      <x:c r="C533" s="170" t="str">
        <x:f>IF(B533="","",IF(COUNTIF('Raw Decommissioning'!$B$2:$B$1000,B533)&gt;0,"Decommissioning",IF(COUNTIF('Raw Provisioning'!$B$2:$B$1000,B533)&gt;0,"Provisioning","Not in latest raw")))</x:f>
      </x:c>
      <x:c r="D533" s="170" t="str">
        <x:f>IF(B533="","",IFERROR(INDEX('Raw Decommissioning'!$E$2:$E$1000,MATCH(B533,'Raw Decommissioning'!$B$2:$B$1000,0)),IFERROR(INDEX('Raw Provisioning'!$E$2:$E$1000,MATCH(B533,'Raw Provisioning'!$B$2:$B$1000,0)),"Missing from latest raw")))</x:f>
      </x:c>
      <x:c r="E533" s="170" t="str">
        <x:f>IF(B533="","",IF(D533="completed","Completed in CSSP",IF(D533="executing","Active - Executing",IF(D533="processing","Ready to Assign",IF(D533="Missing from latest raw","Check Source","Not Managed - "&amp;D533)))))</x:f>
      </x:c>
      <x:c r="F533" s="170" t="str">
        <x:f>IF(B533="","",IFERROR(INDEX('Task Master'!$K$5:$K$804,MATCH(B533,'Task Master'!$A$5:$A$804,0)),""))</x:f>
      </x:c>
      <x:c r="G533" s="192"/>
      <x:c r="H533" s="192"/>
      <x:c r="I533" s="192"/>
      <x:c r="J533" s="192"/>
      <x:c r="K533" s="192"/>
      <x:c r="L533" s="196"/>
      <x:c r="M533" s="192"/>
      <x:c r="N533" s="192"/>
      <x:c r="O533" s="192"/>
      <x:c r="P533" s="192"/>
      <x:c r="Q533" s="170" t="str">
        <x:f>IF(OR(A533="",B533=""),"",IF(A533=LOOKUP(2,1/($B$5:$B$704=B533),$A$5:$A$704),"Yes","No"))</x:f>
      </x:c>
    </x:row>
    <x:row r="534">
      <x:c r="A534" s="194"/>
      <x:c r="B534" s="192"/>
      <x:c r="C534" s="170" t="str">
        <x:f>IF(B534="","",IF(COUNTIF('Raw Decommissioning'!$B$2:$B$1000,B534)&gt;0,"Decommissioning",IF(COUNTIF('Raw Provisioning'!$B$2:$B$1000,B534)&gt;0,"Provisioning","Not in latest raw")))</x:f>
      </x:c>
      <x:c r="D534" s="170" t="str">
        <x:f>IF(B534="","",IFERROR(INDEX('Raw Decommissioning'!$E$2:$E$1000,MATCH(B534,'Raw Decommissioning'!$B$2:$B$1000,0)),IFERROR(INDEX('Raw Provisioning'!$E$2:$E$1000,MATCH(B534,'Raw Provisioning'!$B$2:$B$1000,0)),"Missing from latest raw")))</x:f>
      </x:c>
      <x:c r="E534" s="170" t="str">
        <x:f>IF(B534="","",IF(D534="completed","Completed in CSSP",IF(D534="executing","Active - Executing",IF(D534="processing","Ready to Assign",IF(D534="Missing from latest raw","Check Source","Not Managed - "&amp;D534)))))</x:f>
      </x:c>
      <x:c r="F534" s="170" t="str">
        <x:f>IF(B534="","",IFERROR(INDEX('Task Master'!$K$5:$K$804,MATCH(B534,'Task Master'!$A$5:$A$804,0)),""))</x:f>
      </x:c>
      <x:c r="G534" s="192"/>
      <x:c r="H534" s="192"/>
      <x:c r="I534" s="192"/>
      <x:c r="J534" s="192"/>
      <x:c r="K534" s="192"/>
      <x:c r="L534" s="196"/>
      <x:c r="M534" s="192"/>
      <x:c r="N534" s="192"/>
      <x:c r="O534" s="192"/>
      <x:c r="P534" s="192"/>
      <x:c r="Q534" s="170" t="str">
        <x:f>IF(OR(A534="",B534=""),"",IF(A534=LOOKUP(2,1/($B$5:$B$704=B534),$A$5:$A$704),"Yes","No"))</x:f>
      </x:c>
    </x:row>
    <x:row r="535">
      <x:c r="A535" s="194"/>
      <x:c r="B535" s="192"/>
      <x:c r="C535" s="170" t="str">
        <x:f>IF(B535="","",IF(COUNTIF('Raw Decommissioning'!$B$2:$B$1000,B535)&gt;0,"Decommissioning",IF(COUNTIF('Raw Provisioning'!$B$2:$B$1000,B535)&gt;0,"Provisioning","Not in latest raw")))</x:f>
      </x:c>
      <x:c r="D535" s="170" t="str">
        <x:f>IF(B535="","",IFERROR(INDEX('Raw Decommissioning'!$E$2:$E$1000,MATCH(B535,'Raw Decommissioning'!$B$2:$B$1000,0)),IFERROR(INDEX('Raw Provisioning'!$E$2:$E$1000,MATCH(B535,'Raw Provisioning'!$B$2:$B$1000,0)),"Missing from latest raw")))</x:f>
      </x:c>
      <x:c r="E535" s="170" t="str">
        <x:f>IF(B535="","",IF(D535="completed","Completed in CSSP",IF(D535="executing","Active - Executing",IF(D535="processing","Ready to Assign",IF(D535="Missing from latest raw","Check Source","Not Managed - "&amp;D535)))))</x:f>
      </x:c>
      <x:c r="F535" s="170" t="str">
        <x:f>IF(B535="","",IFERROR(INDEX('Task Master'!$K$5:$K$804,MATCH(B535,'Task Master'!$A$5:$A$804,0)),""))</x:f>
      </x:c>
      <x:c r="G535" s="192"/>
      <x:c r="H535" s="192"/>
      <x:c r="I535" s="192"/>
      <x:c r="J535" s="192"/>
      <x:c r="K535" s="192"/>
      <x:c r="L535" s="196"/>
      <x:c r="M535" s="192"/>
      <x:c r="N535" s="192"/>
      <x:c r="O535" s="192"/>
      <x:c r="P535" s="192"/>
      <x:c r="Q535" s="170" t="str">
        <x:f>IF(OR(A535="",B535=""),"",IF(A535=LOOKUP(2,1/($B$5:$B$704=B535),$A$5:$A$704),"Yes","No"))</x:f>
      </x:c>
    </x:row>
    <x:row r="536">
      <x:c r="A536" s="194"/>
      <x:c r="B536" s="192"/>
      <x:c r="C536" s="170" t="str">
        <x:f>IF(B536="","",IF(COUNTIF('Raw Decommissioning'!$B$2:$B$1000,B536)&gt;0,"Decommissioning",IF(COUNTIF('Raw Provisioning'!$B$2:$B$1000,B536)&gt;0,"Provisioning","Not in latest raw")))</x:f>
      </x:c>
      <x:c r="D536" s="170" t="str">
        <x:f>IF(B536="","",IFERROR(INDEX('Raw Decommissioning'!$E$2:$E$1000,MATCH(B536,'Raw Decommissioning'!$B$2:$B$1000,0)),IFERROR(INDEX('Raw Provisioning'!$E$2:$E$1000,MATCH(B536,'Raw Provisioning'!$B$2:$B$1000,0)),"Missing from latest raw")))</x:f>
      </x:c>
      <x:c r="E536" s="170" t="str">
        <x:f>IF(B536="","",IF(D536="completed","Completed in CSSP",IF(D536="executing","Active - Executing",IF(D536="processing","Ready to Assign",IF(D536="Missing from latest raw","Check Source","Not Managed - "&amp;D536)))))</x:f>
      </x:c>
      <x:c r="F536" s="170" t="str">
        <x:f>IF(B536="","",IFERROR(INDEX('Task Master'!$K$5:$K$804,MATCH(B536,'Task Master'!$A$5:$A$804,0)),""))</x:f>
      </x:c>
      <x:c r="G536" s="192"/>
      <x:c r="H536" s="192"/>
      <x:c r="I536" s="192"/>
      <x:c r="J536" s="192"/>
      <x:c r="K536" s="192"/>
      <x:c r="L536" s="196"/>
      <x:c r="M536" s="192"/>
      <x:c r="N536" s="192"/>
      <x:c r="O536" s="192"/>
      <x:c r="P536" s="192"/>
      <x:c r="Q536" s="170" t="str">
        <x:f>IF(OR(A536="",B536=""),"",IF(A536=LOOKUP(2,1/($B$5:$B$704=B536),$A$5:$A$704),"Yes","No"))</x:f>
      </x:c>
    </x:row>
    <x:row r="537">
      <x:c r="A537" s="194"/>
      <x:c r="B537" s="192"/>
      <x:c r="C537" s="170" t="str">
        <x:f>IF(B537="","",IF(COUNTIF('Raw Decommissioning'!$B$2:$B$1000,B537)&gt;0,"Decommissioning",IF(COUNTIF('Raw Provisioning'!$B$2:$B$1000,B537)&gt;0,"Provisioning","Not in latest raw")))</x:f>
      </x:c>
      <x:c r="D537" s="170" t="str">
        <x:f>IF(B537="","",IFERROR(INDEX('Raw Decommissioning'!$E$2:$E$1000,MATCH(B537,'Raw Decommissioning'!$B$2:$B$1000,0)),IFERROR(INDEX('Raw Provisioning'!$E$2:$E$1000,MATCH(B537,'Raw Provisioning'!$B$2:$B$1000,0)),"Missing from latest raw")))</x:f>
      </x:c>
      <x:c r="E537" s="170" t="str">
        <x:f>IF(B537="","",IF(D537="completed","Completed in CSSP",IF(D537="executing","Active - Executing",IF(D537="processing","Ready to Assign",IF(D537="Missing from latest raw","Check Source","Not Managed - "&amp;D537)))))</x:f>
      </x:c>
      <x:c r="F537" s="170" t="str">
        <x:f>IF(B537="","",IFERROR(INDEX('Task Master'!$K$5:$K$804,MATCH(B537,'Task Master'!$A$5:$A$804,0)),""))</x:f>
      </x:c>
      <x:c r="G537" s="192"/>
      <x:c r="H537" s="192"/>
      <x:c r="I537" s="192"/>
      <x:c r="J537" s="192"/>
      <x:c r="K537" s="192"/>
      <x:c r="L537" s="196"/>
      <x:c r="M537" s="192"/>
      <x:c r="N537" s="192"/>
      <x:c r="O537" s="192"/>
      <x:c r="P537" s="192"/>
      <x:c r="Q537" s="170" t="str">
        <x:f>IF(OR(A537="",B537=""),"",IF(A537=LOOKUP(2,1/($B$5:$B$704=B537),$A$5:$A$704),"Yes","No"))</x:f>
      </x:c>
    </x:row>
    <x:row r="538">
      <x:c r="A538" s="194"/>
      <x:c r="B538" s="192"/>
      <x:c r="C538" s="170" t="str">
        <x:f>IF(B538="","",IF(COUNTIF('Raw Decommissioning'!$B$2:$B$1000,B538)&gt;0,"Decommissioning",IF(COUNTIF('Raw Provisioning'!$B$2:$B$1000,B538)&gt;0,"Provisioning","Not in latest raw")))</x:f>
      </x:c>
      <x:c r="D538" s="170" t="str">
        <x:f>IF(B538="","",IFERROR(INDEX('Raw Decommissioning'!$E$2:$E$1000,MATCH(B538,'Raw Decommissioning'!$B$2:$B$1000,0)),IFERROR(INDEX('Raw Provisioning'!$E$2:$E$1000,MATCH(B538,'Raw Provisioning'!$B$2:$B$1000,0)),"Missing from latest raw")))</x:f>
      </x:c>
      <x:c r="E538" s="170" t="str">
        <x:f>IF(B538="","",IF(D538="completed","Completed in CSSP",IF(D538="executing","Active - Executing",IF(D538="processing","Ready to Assign",IF(D538="Missing from latest raw","Check Source","Not Managed - "&amp;D538)))))</x:f>
      </x:c>
      <x:c r="F538" s="170" t="str">
        <x:f>IF(B538="","",IFERROR(INDEX('Task Master'!$K$5:$K$804,MATCH(B538,'Task Master'!$A$5:$A$804,0)),""))</x:f>
      </x:c>
      <x:c r="G538" s="192"/>
      <x:c r="H538" s="192"/>
      <x:c r="I538" s="192"/>
      <x:c r="J538" s="192"/>
      <x:c r="K538" s="192"/>
      <x:c r="L538" s="196"/>
      <x:c r="M538" s="192"/>
      <x:c r="N538" s="192"/>
      <x:c r="O538" s="192"/>
      <x:c r="P538" s="192"/>
      <x:c r="Q538" s="170" t="str">
        <x:f>IF(OR(A538="",B538=""),"",IF(A538=LOOKUP(2,1/($B$5:$B$704=B538),$A$5:$A$704),"Yes","No"))</x:f>
      </x:c>
    </x:row>
    <x:row r="539">
      <x:c r="A539" s="194"/>
      <x:c r="B539" s="192"/>
      <x:c r="C539" s="170" t="str">
        <x:f>IF(B539="","",IF(COUNTIF('Raw Decommissioning'!$B$2:$B$1000,B539)&gt;0,"Decommissioning",IF(COUNTIF('Raw Provisioning'!$B$2:$B$1000,B539)&gt;0,"Provisioning","Not in latest raw")))</x:f>
      </x:c>
      <x:c r="D539" s="170" t="str">
        <x:f>IF(B539="","",IFERROR(INDEX('Raw Decommissioning'!$E$2:$E$1000,MATCH(B539,'Raw Decommissioning'!$B$2:$B$1000,0)),IFERROR(INDEX('Raw Provisioning'!$E$2:$E$1000,MATCH(B539,'Raw Provisioning'!$B$2:$B$1000,0)),"Missing from latest raw")))</x:f>
      </x:c>
      <x:c r="E539" s="170" t="str">
        <x:f>IF(B539="","",IF(D539="completed","Completed in CSSP",IF(D539="executing","Active - Executing",IF(D539="processing","Ready to Assign",IF(D539="Missing from latest raw","Check Source","Not Managed - "&amp;D539)))))</x:f>
      </x:c>
      <x:c r="F539" s="170" t="str">
        <x:f>IF(B539="","",IFERROR(INDEX('Task Master'!$K$5:$K$804,MATCH(B539,'Task Master'!$A$5:$A$804,0)),""))</x:f>
      </x:c>
      <x:c r="G539" s="192"/>
      <x:c r="H539" s="192"/>
      <x:c r="I539" s="192"/>
      <x:c r="J539" s="192"/>
      <x:c r="K539" s="192"/>
      <x:c r="L539" s="196"/>
      <x:c r="M539" s="192"/>
      <x:c r="N539" s="192"/>
      <x:c r="O539" s="192"/>
      <x:c r="P539" s="192"/>
      <x:c r="Q539" s="170" t="str">
        <x:f>IF(OR(A539="",B539=""),"",IF(A539=LOOKUP(2,1/($B$5:$B$704=B539),$A$5:$A$704),"Yes","No"))</x:f>
      </x:c>
    </x:row>
    <x:row r="540">
      <x:c r="A540" s="194"/>
      <x:c r="B540" s="192"/>
      <x:c r="C540" s="170" t="str">
        <x:f>IF(B540="","",IF(COUNTIF('Raw Decommissioning'!$B$2:$B$1000,B540)&gt;0,"Decommissioning",IF(COUNTIF('Raw Provisioning'!$B$2:$B$1000,B540)&gt;0,"Provisioning","Not in latest raw")))</x:f>
      </x:c>
      <x:c r="D540" s="170" t="str">
        <x:f>IF(B540="","",IFERROR(INDEX('Raw Decommissioning'!$E$2:$E$1000,MATCH(B540,'Raw Decommissioning'!$B$2:$B$1000,0)),IFERROR(INDEX('Raw Provisioning'!$E$2:$E$1000,MATCH(B540,'Raw Provisioning'!$B$2:$B$1000,0)),"Missing from latest raw")))</x:f>
      </x:c>
      <x:c r="E540" s="170" t="str">
        <x:f>IF(B540="","",IF(D540="completed","Completed in CSSP",IF(D540="executing","Active - Executing",IF(D540="processing","Ready to Assign",IF(D540="Missing from latest raw","Check Source","Not Managed - "&amp;D540)))))</x:f>
      </x:c>
      <x:c r="F540" s="170" t="str">
        <x:f>IF(B540="","",IFERROR(INDEX('Task Master'!$K$5:$K$804,MATCH(B540,'Task Master'!$A$5:$A$804,0)),""))</x:f>
      </x:c>
      <x:c r="G540" s="192"/>
      <x:c r="H540" s="192"/>
      <x:c r="I540" s="192"/>
      <x:c r="J540" s="192"/>
      <x:c r="K540" s="192"/>
      <x:c r="L540" s="196"/>
      <x:c r="M540" s="192"/>
      <x:c r="N540" s="192"/>
      <x:c r="O540" s="192"/>
      <x:c r="P540" s="192"/>
      <x:c r="Q540" s="170" t="str">
        <x:f>IF(OR(A540="",B540=""),"",IF(A540=LOOKUP(2,1/($B$5:$B$704=B540),$A$5:$A$704),"Yes","No"))</x:f>
      </x:c>
    </x:row>
    <x:row r="541">
      <x:c r="A541" s="194"/>
      <x:c r="B541" s="192"/>
      <x:c r="C541" s="170" t="str">
        <x:f>IF(B541="","",IF(COUNTIF('Raw Decommissioning'!$B$2:$B$1000,B541)&gt;0,"Decommissioning",IF(COUNTIF('Raw Provisioning'!$B$2:$B$1000,B541)&gt;0,"Provisioning","Not in latest raw")))</x:f>
      </x:c>
      <x:c r="D541" s="170" t="str">
        <x:f>IF(B541="","",IFERROR(INDEX('Raw Decommissioning'!$E$2:$E$1000,MATCH(B541,'Raw Decommissioning'!$B$2:$B$1000,0)),IFERROR(INDEX('Raw Provisioning'!$E$2:$E$1000,MATCH(B541,'Raw Provisioning'!$B$2:$B$1000,0)),"Missing from latest raw")))</x:f>
      </x:c>
      <x:c r="E541" s="170" t="str">
        <x:f>IF(B541="","",IF(D541="completed","Completed in CSSP",IF(D541="executing","Active - Executing",IF(D541="processing","Ready to Assign",IF(D541="Missing from latest raw","Check Source","Not Managed - "&amp;D541)))))</x:f>
      </x:c>
      <x:c r="F541" s="170" t="str">
        <x:f>IF(B541="","",IFERROR(INDEX('Task Master'!$K$5:$K$804,MATCH(B541,'Task Master'!$A$5:$A$804,0)),""))</x:f>
      </x:c>
      <x:c r="G541" s="192"/>
      <x:c r="H541" s="192"/>
      <x:c r="I541" s="192"/>
      <x:c r="J541" s="192"/>
      <x:c r="K541" s="192"/>
      <x:c r="L541" s="196"/>
      <x:c r="M541" s="192"/>
      <x:c r="N541" s="192"/>
      <x:c r="O541" s="192"/>
      <x:c r="P541" s="192"/>
      <x:c r="Q541" s="170" t="str">
        <x:f>IF(OR(A541="",B541=""),"",IF(A541=LOOKUP(2,1/($B$5:$B$704=B541),$A$5:$A$704),"Yes","No"))</x:f>
      </x:c>
    </x:row>
    <x:row r="542">
      <x:c r="A542" s="194"/>
      <x:c r="B542" s="192"/>
      <x:c r="C542" s="170" t="str">
        <x:f>IF(B542="","",IF(COUNTIF('Raw Decommissioning'!$B$2:$B$1000,B542)&gt;0,"Decommissioning",IF(COUNTIF('Raw Provisioning'!$B$2:$B$1000,B542)&gt;0,"Provisioning","Not in latest raw")))</x:f>
      </x:c>
      <x:c r="D542" s="170" t="str">
        <x:f>IF(B542="","",IFERROR(INDEX('Raw Decommissioning'!$E$2:$E$1000,MATCH(B542,'Raw Decommissioning'!$B$2:$B$1000,0)),IFERROR(INDEX('Raw Provisioning'!$E$2:$E$1000,MATCH(B542,'Raw Provisioning'!$B$2:$B$1000,0)),"Missing from latest raw")))</x:f>
      </x:c>
      <x:c r="E542" s="170" t="str">
        <x:f>IF(B542="","",IF(D542="completed","Completed in CSSP",IF(D542="executing","Active - Executing",IF(D542="processing","Ready to Assign",IF(D542="Missing from latest raw","Check Source","Not Managed - "&amp;D542)))))</x:f>
      </x:c>
      <x:c r="F542" s="170" t="str">
        <x:f>IF(B542="","",IFERROR(INDEX('Task Master'!$K$5:$K$804,MATCH(B542,'Task Master'!$A$5:$A$804,0)),""))</x:f>
      </x:c>
      <x:c r="G542" s="192"/>
      <x:c r="H542" s="192"/>
      <x:c r="I542" s="192"/>
      <x:c r="J542" s="192"/>
      <x:c r="K542" s="192"/>
      <x:c r="L542" s="196"/>
      <x:c r="M542" s="192"/>
      <x:c r="N542" s="192"/>
      <x:c r="O542" s="192"/>
      <x:c r="P542" s="192"/>
      <x:c r="Q542" s="170" t="str">
        <x:f>IF(OR(A542="",B542=""),"",IF(A542=LOOKUP(2,1/($B$5:$B$704=B542),$A$5:$A$704),"Yes","No"))</x:f>
      </x:c>
    </x:row>
    <x:row r="543">
      <x:c r="A543" s="194"/>
      <x:c r="B543" s="192"/>
      <x:c r="C543" s="170" t="str">
        <x:f>IF(B543="","",IF(COUNTIF('Raw Decommissioning'!$B$2:$B$1000,B543)&gt;0,"Decommissioning",IF(COUNTIF('Raw Provisioning'!$B$2:$B$1000,B543)&gt;0,"Provisioning","Not in latest raw")))</x:f>
      </x:c>
      <x:c r="D543" s="170" t="str">
        <x:f>IF(B543="","",IFERROR(INDEX('Raw Decommissioning'!$E$2:$E$1000,MATCH(B543,'Raw Decommissioning'!$B$2:$B$1000,0)),IFERROR(INDEX('Raw Provisioning'!$E$2:$E$1000,MATCH(B543,'Raw Provisioning'!$B$2:$B$1000,0)),"Missing from latest raw")))</x:f>
      </x:c>
      <x:c r="E543" s="170" t="str">
        <x:f>IF(B543="","",IF(D543="completed","Completed in CSSP",IF(D543="executing","Active - Executing",IF(D543="processing","Ready to Assign",IF(D543="Missing from latest raw","Check Source","Not Managed - "&amp;D543)))))</x:f>
      </x:c>
      <x:c r="F543" s="170" t="str">
        <x:f>IF(B543="","",IFERROR(INDEX('Task Master'!$K$5:$K$804,MATCH(B543,'Task Master'!$A$5:$A$804,0)),""))</x:f>
      </x:c>
      <x:c r="G543" s="192"/>
      <x:c r="H543" s="192"/>
      <x:c r="I543" s="192"/>
      <x:c r="J543" s="192"/>
      <x:c r="K543" s="192"/>
      <x:c r="L543" s="196"/>
      <x:c r="M543" s="192"/>
      <x:c r="N543" s="192"/>
      <x:c r="O543" s="192"/>
      <x:c r="P543" s="192"/>
      <x:c r="Q543" s="170" t="str">
        <x:f>IF(OR(A543="",B543=""),"",IF(A543=LOOKUP(2,1/($B$5:$B$704=B543),$A$5:$A$704),"Yes","No"))</x:f>
      </x:c>
    </x:row>
    <x:row r="544">
      <x:c r="A544" s="194"/>
      <x:c r="B544" s="192"/>
      <x:c r="C544" s="170" t="str">
        <x:f>IF(B544="","",IF(COUNTIF('Raw Decommissioning'!$B$2:$B$1000,B544)&gt;0,"Decommissioning",IF(COUNTIF('Raw Provisioning'!$B$2:$B$1000,B544)&gt;0,"Provisioning","Not in latest raw")))</x:f>
      </x:c>
      <x:c r="D544" s="170" t="str">
        <x:f>IF(B544="","",IFERROR(INDEX('Raw Decommissioning'!$E$2:$E$1000,MATCH(B544,'Raw Decommissioning'!$B$2:$B$1000,0)),IFERROR(INDEX('Raw Provisioning'!$E$2:$E$1000,MATCH(B544,'Raw Provisioning'!$B$2:$B$1000,0)),"Missing from latest raw")))</x:f>
      </x:c>
      <x:c r="E544" s="170" t="str">
        <x:f>IF(B544="","",IF(D544="completed","Completed in CSSP",IF(D544="executing","Active - Executing",IF(D544="processing","Ready to Assign",IF(D544="Missing from latest raw","Check Source","Not Managed - "&amp;D544)))))</x:f>
      </x:c>
      <x:c r="F544" s="170" t="str">
        <x:f>IF(B544="","",IFERROR(INDEX('Task Master'!$K$5:$K$804,MATCH(B544,'Task Master'!$A$5:$A$804,0)),""))</x:f>
      </x:c>
      <x:c r="G544" s="192"/>
      <x:c r="H544" s="192"/>
      <x:c r="I544" s="192"/>
      <x:c r="J544" s="192"/>
      <x:c r="K544" s="192"/>
      <x:c r="L544" s="196"/>
      <x:c r="M544" s="192"/>
      <x:c r="N544" s="192"/>
      <x:c r="O544" s="192"/>
      <x:c r="P544" s="192"/>
      <x:c r="Q544" s="170" t="str">
        <x:f>IF(OR(A544="",B544=""),"",IF(A544=LOOKUP(2,1/($B$5:$B$704=B544),$A$5:$A$704),"Yes","No"))</x:f>
      </x:c>
    </x:row>
    <x:row r="545">
      <x:c r="A545" s="194"/>
      <x:c r="B545" s="192"/>
      <x:c r="C545" s="170" t="str">
        <x:f>IF(B545="","",IF(COUNTIF('Raw Decommissioning'!$B$2:$B$1000,B545)&gt;0,"Decommissioning",IF(COUNTIF('Raw Provisioning'!$B$2:$B$1000,B545)&gt;0,"Provisioning","Not in latest raw")))</x:f>
      </x:c>
      <x:c r="D545" s="170" t="str">
        <x:f>IF(B545="","",IFERROR(INDEX('Raw Decommissioning'!$E$2:$E$1000,MATCH(B545,'Raw Decommissioning'!$B$2:$B$1000,0)),IFERROR(INDEX('Raw Provisioning'!$E$2:$E$1000,MATCH(B545,'Raw Provisioning'!$B$2:$B$1000,0)),"Missing from latest raw")))</x:f>
      </x:c>
      <x:c r="E545" s="170" t="str">
        <x:f>IF(B545="","",IF(D545="completed","Completed in CSSP",IF(D545="executing","Active - Executing",IF(D545="processing","Ready to Assign",IF(D545="Missing from latest raw","Check Source","Not Managed - "&amp;D545)))))</x:f>
      </x:c>
      <x:c r="F545" s="170" t="str">
        <x:f>IF(B545="","",IFERROR(INDEX('Task Master'!$K$5:$K$804,MATCH(B545,'Task Master'!$A$5:$A$804,0)),""))</x:f>
      </x:c>
      <x:c r="G545" s="192"/>
      <x:c r="H545" s="192"/>
      <x:c r="I545" s="192"/>
      <x:c r="J545" s="192"/>
      <x:c r="K545" s="192"/>
      <x:c r="L545" s="196"/>
      <x:c r="M545" s="192"/>
      <x:c r="N545" s="192"/>
      <x:c r="O545" s="192"/>
      <x:c r="P545" s="192"/>
      <x:c r="Q545" s="170" t="str">
        <x:f>IF(OR(A545="",B545=""),"",IF(A545=LOOKUP(2,1/($B$5:$B$704=B545),$A$5:$A$704),"Yes","No"))</x:f>
      </x:c>
    </x:row>
    <x:row r="546">
      <x:c r="A546" s="194"/>
      <x:c r="B546" s="192"/>
      <x:c r="C546" s="170" t="str">
        <x:f>IF(B546="","",IF(COUNTIF('Raw Decommissioning'!$B$2:$B$1000,B546)&gt;0,"Decommissioning",IF(COUNTIF('Raw Provisioning'!$B$2:$B$1000,B546)&gt;0,"Provisioning","Not in latest raw")))</x:f>
      </x:c>
      <x:c r="D546" s="170" t="str">
        <x:f>IF(B546="","",IFERROR(INDEX('Raw Decommissioning'!$E$2:$E$1000,MATCH(B546,'Raw Decommissioning'!$B$2:$B$1000,0)),IFERROR(INDEX('Raw Provisioning'!$E$2:$E$1000,MATCH(B546,'Raw Provisioning'!$B$2:$B$1000,0)),"Missing from latest raw")))</x:f>
      </x:c>
      <x:c r="E546" s="170" t="str">
        <x:f>IF(B546="","",IF(D546="completed","Completed in CSSP",IF(D546="executing","Active - Executing",IF(D546="processing","Ready to Assign",IF(D546="Missing from latest raw","Check Source","Not Managed - "&amp;D546)))))</x:f>
      </x:c>
      <x:c r="F546" s="170" t="str">
        <x:f>IF(B546="","",IFERROR(INDEX('Task Master'!$K$5:$K$804,MATCH(B546,'Task Master'!$A$5:$A$804,0)),""))</x:f>
      </x:c>
      <x:c r="G546" s="192"/>
      <x:c r="H546" s="192"/>
      <x:c r="I546" s="192"/>
      <x:c r="J546" s="192"/>
      <x:c r="K546" s="192"/>
      <x:c r="L546" s="196"/>
      <x:c r="M546" s="192"/>
      <x:c r="N546" s="192"/>
      <x:c r="O546" s="192"/>
      <x:c r="P546" s="192"/>
      <x:c r="Q546" s="170" t="str">
        <x:f>IF(OR(A546="",B546=""),"",IF(A546=LOOKUP(2,1/($B$5:$B$704=B546),$A$5:$A$704),"Yes","No"))</x:f>
      </x:c>
    </x:row>
    <x:row r="547">
      <x:c r="A547" s="194"/>
      <x:c r="B547" s="192"/>
      <x:c r="C547" s="170" t="str">
        <x:f>IF(B547="","",IF(COUNTIF('Raw Decommissioning'!$B$2:$B$1000,B547)&gt;0,"Decommissioning",IF(COUNTIF('Raw Provisioning'!$B$2:$B$1000,B547)&gt;0,"Provisioning","Not in latest raw")))</x:f>
      </x:c>
      <x:c r="D547" s="170" t="str">
        <x:f>IF(B547="","",IFERROR(INDEX('Raw Decommissioning'!$E$2:$E$1000,MATCH(B547,'Raw Decommissioning'!$B$2:$B$1000,0)),IFERROR(INDEX('Raw Provisioning'!$E$2:$E$1000,MATCH(B547,'Raw Provisioning'!$B$2:$B$1000,0)),"Missing from latest raw")))</x:f>
      </x:c>
      <x:c r="E547" s="170" t="str">
        <x:f>IF(B547="","",IF(D547="completed","Completed in CSSP",IF(D547="executing","Active - Executing",IF(D547="processing","Ready to Assign",IF(D547="Missing from latest raw","Check Source","Not Managed - "&amp;D547)))))</x:f>
      </x:c>
      <x:c r="F547" s="170" t="str">
        <x:f>IF(B547="","",IFERROR(INDEX('Task Master'!$K$5:$K$804,MATCH(B547,'Task Master'!$A$5:$A$804,0)),""))</x:f>
      </x:c>
      <x:c r="G547" s="192"/>
      <x:c r="H547" s="192"/>
      <x:c r="I547" s="192"/>
      <x:c r="J547" s="192"/>
      <x:c r="K547" s="192"/>
      <x:c r="L547" s="196"/>
      <x:c r="M547" s="192"/>
      <x:c r="N547" s="192"/>
      <x:c r="O547" s="192"/>
      <x:c r="P547" s="192"/>
      <x:c r="Q547" s="170" t="str">
        <x:f>IF(OR(A547="",B547=""),"",IF(A547=LOOKUP(2,1/($B$5:$B$704=B547),$A$5:$A$704),"Yes","No"))</x:f>
      </x:c>
    </x:row>
    <x:row r="548">
      <x:c r="A548" s="194"/>
      <x:c r="B548" s="192"/>
      <x:c r="C548" s="170" t="str">
        <x:f>IF(B548="","",IF(COUNTIF('Raw Decommissioning'!$B$2:$B$1000,B548)&gt;0,"Decommissioning",IF(COUNTIF('Raw Provisioning'!$B$2:$B$1000,B548)&gt;0,"Provisioning","Not in latest raw")))</x:f>
      </x:c>
      <x:c r="D548" s="170" t="str">
        <x:f>IF(B548="","",IFERROR(INDEX('Raw Decommissioning'!$E$2:$E$1000,MATCH(B548,'Raw Decommissioning'!$B$2:$B$1000,0)),IFERROR(INDEX('Raw Provisioning'!$E$2:$E$1000,MATCH(B548,'Raw Provisioning'!$B$2:$B$1000,0)),"Missing from latest raw")))</x:f>
      </x:c>
      <x:c r="E548" s="170" t="str">
        <x:f>IF(B548="","",IF(D548="completed","Completed in CSSP",IF(D548="executing","Active - Executing",IF(D548="processing","Ready to Assign",IF(D548="Missing from latest raw","Check Source","Not Managed - "&amp;D548)))))</x:f>
      </x:c>
      <x:c r="F548" s="170" t="str">
        <x:f>IF(B548="","",IFERROR(INDEX('Task Master'!$K$5:$K$804,MATCH(B548,'Task Master'!$A$5:$A$804,0)),""))</x:f>
      </x:c>
      <x:c r="G548" s="192"/>
      <x:c r="H548" s="192"/>
      <x:c r="I548" s="192"/>
      <x:c r="J548" s="192"/>
      <x:c r="K548" s="192"/>
      <x:c r="L548" s="196"/>
      <x:c r="M548" s="192"/>
      <x:c r="N548" s="192"/>
      <x:c r="O548" s="192"/>
      <x:c r="P548" s="192"/>
      <x:c r="Q548" s="170" t="str">
        <x:f>IF(OR(A548="",B548=""),"",IF(A548=LOOKUP(2,1/($B$5:$B$704=B548),$A$5:$A$704),"Yes","No"))</x:f>
      </x:c>
    </x:row>
    <x:row r="549">
      <x:c r="A549" s="194"/>
      <x:c r="B549" s="192"/>
      <x:c r="C549" s="170" t="str">
        <x:f>IF(B549="","",IF(COUNTIF('Raw Decommissioning'!$B$2:$B$1000,B549)&gt;0,"Decommissioning",IF(COUNTIF('Raw Provisioning'!$B$2:$B$1000,B549)&gt;0,"Provisioning","Not in latest raw")))</x:f>
      </x:c>
      <x:c r="D549" s="170" t="str">
        <x:f>IF(B549="","",IFERROR(INDEX('Raw Decommissioning'!$E$2:$E$1000,MATCH(B549,'Raw Decommissioning'!$B$2:$B$1000,0)),IFERROR(INDEX('Raw Provisioning'!$E$2:$E$1000,MATCH(B549,'Raw Provisioning'!$B$2:$B$1000,0)),"Missing from latest raw")))</x:f>
      </x:c>
      <x:c r="E549" s="170" t="str">
        <x:f>IF(B549="","",IF(D549="completed","Completed in CSSP",IF(D549="executing","Active - Executing",IF(D549="processing","Ready to Assign",IF(D549="Missing from latest raw","Check Source","Not Managed - "&amp;D549)))))</x:f>
      </x:c>
      <x:c r="F549" s="170" t="str">
        <x:f>IF(B549="","",IFERROR(INDEX('Task Master'!$K$5:$K$804,MATCH(B549,'Task Master'!$A$5:$A$804,0)),""))</x:f>
      </x:c>
      <x:c r="G549" s="192"/>
      <x:c r="H549" s="192"/>
      <x:c r="I549" s="192"/>
      <x:c r="J549" s="192"/>
      <x:c r="K549" s="192"/>
      <x:c r="L549" s="196"/>
      <x:c r="M549" s="192"/>
      <x:c r="N549" s="192"/>
      <x:c r="O549" s="192"/>
      <x:c r="P549" s="192"/>
      <x:c r="Q549" s="170" t="str">
        <x:f>IF(OR(A549="",B549=""),"",IF(A549=LOOKUP(2,1/($B$5:$B$704=B549),$A$5:$A$704),"Yes","No"))</x:f>
      </x:c>
    </x:row>
    <x:row r="550">
      <x:c r="A550" s="194"/>
      <x:c r="B550" s="192"/>
      <x:c r="C550" s="170" t="str">
        <x:f>IF(B550="","",IF(COUNTIF('Raw Decommissioning'!$B$2:$B$1000,B550)&gt;0,"Decommissioning",IF(COUNTIF('Raw Provisioning'!$B$2:$B$1000,B550)&gt;0,"Provisioning","Not in latest raw")))</x:f>
      </x:c>
      <x:c r="D550" s="170" t="str">
        <x:f>IF(B550="","",IFERROR(INDEX('Raw Decommissioning'!$E$2:$E$1000,MATCH(B550,'Raw Decommissioning'!$B$2:$B$1000,0)),IFERROR(INDEX('Raw Provisioning'!$E$2:$E$1000,MATCH(B550,'Raw Provisioning'!$B$2:$B$1000,0)),"Missing from latest raw")))</x:f>
      </x:c>
      <x:c r="E550" s="170" t="str">
        <x:f>IF(B550="","",IF(D550="completed","Completed in CSSP",IF(D550="executing","Active - Executing",IF(D550="processing","Ready to Assign",IF(D550="Missing from latest raw","Check Source","Not Managed - "&amp;D550)))))</x:f>
      </x:c>
      <x:c r="F550" s="170" t="str">
        <x:f>IF(B550="","",IFERROR(INDEX('Task Master'!$K$5:$K$804,MATCH(B550,'Task Master'!$A$5:$A$804,0)),""))</x:f>
      </x:c>
      <x:c r="G550" s="192"/>
      <x:c r="H550" s="192"/>
      <x:c r="I550" s="192"/>
      <x:c r="J550" s="192"/>
      <x:c r="K550" s="192"/>
      <x:c r="L550" s="196"/>
      <x:c r="M550" s="192"/>
      <x:c r="N550" s="192"/>
      <x:c r="O550" s="192"/>
      <x:c r="P550" s="192"/>
      <x:c r="Q550" s="170" t="str">
        <x:f>IF(OR(A550="",B550=""),"",IF(A550=LOOKUP(2,1/($B$5:$B$704=B550),$A$5:$A$704),"Yes","No"))</x:f>
      </x:c>
    </x:row>
    <x:row r="551">
      <x:c r="A551" s="194"/>
      <x:c r="B551" s="192"/>
      <x:c r="C551" s="170" t="str">
        <x:f>IF(B551="","",IF(COUNTIF('Raw Decommissioning'!$B$2:$B$1000,B551)&gt;0,"Decommissioning",IF(COUNTIF('Raw Provisioning'!$B$2:$B$1000,B551)&gt;0,"Provisioning","Not in latest raw")))</x:f>
      </x:c>
      <x:c r="D551" s="170" t="str">
        <x:f>IF(B551="","",IFERROR(INDEX('Raw Decommissioning'!$E$2:$E$1000,MATCH(B551,'Raw Decommissioning'!$B$2:$B$1000,0)),IFERROR(INDEX('Raw Provisioning'!$E$2:$E$1000,MATCH(B551,'Raw Provisioning'!$B$2:$B$1000,0)),"Missing from latest raw")))</x:f>
      </x:c>
      <x:c r="E551" s="170" t="str">
        <x:f>IF(B551="","",IF(D551="completed","Completed in CSSP",IF(D551="executing","Active - Executing",IF(D551="processing","Ready to Assign",IF(D551="Missing from latest raw","Check Source","Not Managed - "&amp;D551)))))</x:f>
      </x:c>
      <x:c r="F551" s="170" t="str">
        <x:f>IF(B551="","",IFERROR(INDEX('Task Master'!$K$5:$K$804,MATCH(B551,'Task Master'!$A$5:$A$804,0)),""))</x:f>
      </x:c>
      <x:c r="G551" s="192"/>
      <x:c r="H551" s="192"/>
      <x:c r="I551" s="192"/>
      <x:c r="J551" s="192"/>
      <x:c r="K551" s="192"/>
      <x:c r="L551" s="196"/>
      <x:c r="M551" s="192"/>
      <x:c r="N551" s="192"/>
      <x:c r="O551" s="192"/>
      <x:c r="P551" s="192"/>
      <x:c r="Q551" s="170" t="str">
        <x:f>IF(OR(A551="",B551=""),"",IF(A551=LOOKUP(2,1/($B$5:$B$704=B551),$A$5:$A$704),"Yes","No"))</x:f>
      </x:c>
    </x:row>
    <x:row r="552">
      <x:c r="A552" s="194"/>
      <x:c r="B552" s="192"/>
      <x:c r="C552" s="170" t="str">
        <x:f>IF(B552="","",IF(COUNTIF('Raw Decommissioning'!$B$2:$B$1000,B552)&gt;0,"Decommissioning",IF(COUNTIF('Raw Provisioning'!$B$2:$B$1000,B552)&gt;0,"Provisioning","Not in latest raw")))</x:f>
      </x:c>
      <x:c r="D552" s="170" t="str">
        <x:f>IF(B552="","",IFERROR(INDEX('Raw Decommissioning'!$E$2:$E$1000,MATCH(B552,'Raw Decommissioning'!$B$2:$B$1000,0)),IFERROR(INDEX('Raw Provisioning'!$E$2:$E$1000,MATCH(B552,'Raw Provisioning'!$B$2:$B$1000,0)),"Missing from latest raw")))</x:f>
      </x:c>
      <x:c r="E552" s="170" t="str">
        <x:f>IF(B552="","",IF(D552="completed","Completed in CSSP",IF(D552="executing","Active - Executing",IF(D552="processing","Ready to Assign",IF(D552="Missing from latest raw","Check Source","Not Managed - "&amp;D552)))))</x:f>
      </x:c>
      <x:c r="F552" s="170" t="str">
        <x:f>IF(B552="","",IFERROR(INDEX('Task Master'!$K$5:$K$804,MATCH(B552,'Task Master'!$A$5:$A$804,0)),""))</x:f>
      </x:c>
      <x:c r="G552" s="192"/>
      <x:c r="H552" s="192"/>
      <x:c r="I552" s="192"/>
      <x:c r="J552" s="192"/>
      <x:c r="K552" s="192"/>
      <x:c r="L552" s="196"/>
      <x:c r="M552" s="192"/>
      <x:c r="N552" s="192"/>
      <x:c r="O552" s="192"/>
      <x:c r="P552" s="192"/>
      <x:c r="Q552" s="170" t="str">
        <x:f>IF(OR(A552="",B552=""),"",IF(A552=LOOKUP(2,1/($B$5:$B$704=B552),$A$5:$A$704),"Yes","No"))</x:f>
      </x:c>
    </x:row>
    <x:row r="553">
      <x:c r="A553" s="194"/>
      <x:c r="B553" s="192"/>
      <x:c r="C553" s="170" t="str">
        <x:f>IF(B553="","",IF(COUNTIF('Raw Decommissioning'!$B$2:$B$1000,B553)&gt;0,"Decommissioning",IF(COUNTIF('Raw Provisioning'!$B$2:$B$1000,B553)&gt;0,"Provisioning","Not in latest raw")))</x:f>
      </x:c>
      <x:c r="D553" s="170" t="str">
        <x:f>IF(B553="","",IFERROR(INDEX('Raw Decommissioning'!$E$2:$E$1000,MATCH(B553,'Raw Decommissioning'!$B$2:$B$1000,0)),IFERROR(INDEX('Raw Provisioning'!$E$2:$E$1000,MATCH(B553,'Raw Provisioning'!$B$2:$B$1000,0)),"Missing from latest raw")))</x:f>
      </x:c>
      <x:c r="E553" s="170" t="str">
        <x:f>IF(B553="","",IF(D553="completed","Completed in CSSP",IF(D553="executing","Active - Executing",IF(D553="processing","Ready to Assign",IF(D553="Missing from latest raw","Check Source","Not Managed - "&amp;D553)))))</x:f>
      </x:c>
      <x:c r="F553" s="170" t="str">
        <x:f>IF(B553="","",IFERROR(INDEX('Task Master'!$K$5:$K$804,MATCH(B553,'Task Master'!$A$5:$A$804,0)),""))</x:f>
      </x:c>
      <x:c r="G553" s="192"/>
      <x:c r="H553" s="192"/>
      <x:c r="I553" s="192"/>
      <x:c r="J553" s="192"/>
      <x:c r="K553" s="192"/>
      <x:c r="L553" s="196"/>
      <x:c r="M553" s="192"/>
      <x:c r="N553" s="192"/>
      <x:c r="O553" s="192"/>
      <x:c r="P553" s="192"/>
      <x:c r="Q553" s="170" t="str">
        <x:f>IF(OR(A553="",B553=""),"",IF(A553=LOOKUP(2,1/($B$5:$B$704=B553),$A$5:$A$704),"Yes","No"))</x:f>
      </x:c>
    </x:row>
    <x:row r="554">
      <x:c r="A554" s="194"/>
      <x:c r="B554" s="192"/>
      <x:c r="C554" s="170" t="str">
        <x:f>IF(B554="","",IF(COUNTIF('Raw Decommissioning'!$B$2:$B$1000,B554)&gt;0,"Decommissioning",IF(COUNTIF('Raw Provisioning'!$B$2:$B$1000,B554)&gt;0,"Provisioning","Not in latest raw")))</x:f>
      </x:c>
      <x:c r="D554" s="170" t="str">
        <x:f>IF(B554="","",IFERROR(INDEX('Raw Decommissioning'!$E$2:$E$1000,MATCH(B554,'Raw Decommissioning'!$B$2:$B$1000,0)),IFERROR(INDEX('Raw Provisioning'!$E$2:$E$1000,MATCH(B554,'Raw Provisioning'!$B$2:$B$1000,0)),"Missing from latest raw")))</x:f>
      </x:c>
      <x:c r="E554" s="170" t="str">
        <x:f>IF(B554="","",IF(D554="completed","Completed in CSSP",IF(D554="executing","Active - Executing",IF(D554="processing","Ready to Assign",IF(D554="Missing from latest raw","Check Source","Not Managed - "&amp;D554)))))</x:f>
      </x:c>
      <x:c r="F554" s="170" t="str">
        <x:f>IF(B554="","",IFERROR(INDEX('Task Master'!$K$5:$K$804,MATCH(B554,'Task Master'!$A$5:$A$804,0)),""))</x:f>
      </x:c>
      <x:c r="G554" s="192"/>
      <x:c r="H554" s="192"/>
      <x:c r="I554" s="192"/>
      <x:c r="J554" s="192"/>
      <x:c r="K554" s="192"/>
      <x:c r="L554" s="196"/>
      <x:c r="M554" s="192"/>
      <x:c r="N554" s="192"/>
      <x:c r="O554" s="192"/>
      <x:c r="P554" s="192"/>
      <x:c r="Q554" s="170" t="str">
        <x:f>IF(OR(A554="",B554=""),"",IF(A554=LOOKUP(2,1/($B$5:$B$704=B554),$A$5:$A$704),"Yes","No"))</x:f>
      </x:c>
    </x:row>
    <x:row r="555">
      <x:c r="A555" s="194"/>
      <x:c r="B555" s="192"/>
      <x:c r="C555" s="170" t="str">
        <x:f>IF(B555="","",IF(COUNTIF('Raw Decommissioning'!$B$2:$B$1000,B555)&gt;0,"Decommissioning",IF(COUNTIF('Raw Provisioning'!$B$2:$B$1000,B555)&gt;0,"Provisioning","Not in latest raw")))</x:f>
      </x:c>
      <x:c r="D555" s="170" t="str">
        <x:f>IF(B555="","",IFERROR(INDEX('Raw Decommissioning'!$E$2:$E$1000,MATCH(B555,'Raw Decommissioning'!$B$2:$B$1000,0)),IFERROR(INDEX('Raw Provisioning'!$E$2:$E$1000,MATCH(B555,'Raw Provisioning'!$B$2:$B$1000,0)),"Missing from latest raw")))</x:f>
      </x:c>
      <x:c r="E555" s="170" t="str">
        <x:f>IF(B555="","",IF(D555="completed","Completed in CSSP",IF(D555="executing","Active - Executing",IF(D555="processing","Ready to Assign",IF(D555="Missing from latest raw","Check Source","Not Managed - "&amp;D555)))))</x:f>
      </x:c>
      <x:c r="F555" s="170" t="str">
        <x:f>IF(B555="","",IFERROR(INDEX('Task Master'!$K$5:$K$804,MATCH(B555,'Task Master'!$A$5:$A$804,0)),""))</x:f>
      </x:c>
      <x:c r="G555" s="192"/>
      <x:c r="H555" s="192"/>
      <x:c r="I555" s="192"/>
      <x:c r="J555" s="192"/>
      <x:c r="K555" s="192"/>
      <x:c r="L555" s="196"/>
      <x:c r="M555" s="192"/>
      <x:c r="N555" s="192"/>
      <x:c r="O555" s="192"/>
      <x:c r="P555" s="192"/>
      <x:c r="Q555" s="170" t="str">
        <x:f>IF(OR(A555="",B555=""),"",IF(A555=LOOKUP(2,1/($B$5:$B$704=B555),$A$5:$A$704),"Yes","No"))</x:f>
      </x:c>
    </x:row>
    <x:row r="556">
      <x:c r="A556" s="194"/>
      <x:c r="B556" s="192"/>
      <x:c r="C556" s="170" t="str">
        <x:f>IF(B556="","",IF(COUNTIF('Raw Decommissioning'!$B$2:$B$1000,B556)&gt;0,"Decommissioning",IF(COUNTIF('Raw Provisioning'!$B$2:$B$1000,B556)&gt;0,"Provisioning","Not in latest raw")))</x:f>
      </x:c>
      <x:c r="D556" s="170" t="str">
        <x:f>IF(B556="","",IFERROR(INDEX('Raw Decommissioning'!$E$2:$E$1000,MATCH(B556,'Raw Decommissioning'!$B$2:$B$1000,0)),IFERROR(INDEX('Raw Provisioning'!$E$2:$E$1000,MATCH(B556,'Raw Provisioning'!$B$2:$B$1000,0)),"Missing from latest raw")))</x:f>
      </x:c>
      <x:c r="E556" s="170" t="str">
        <x:f>IF(B556="","",IF(D556="completed","Completed in CSSP",IF(D556="executing","Active - Executing",IF(D556="processing","Ready to Assign",IF(D556="Missing from latest raw","Check Source","Not Managed - "&amp;D556)))))</x:f>
      </x:c>
      <x:c r="F556" s="170" t="str">
        <x:f>IF(B556="","",IFERROR(INDEX('Task Master'!$K$5:$K$804,MATCH(B556,'Task Master'!$A$5:$A$804,0)),""))</x:f>
      </x:c>
      <x:c r="G556" s="192"/>
      <x:c r="H556" s="192"/>
      <x:c r="I556" s="192"/>
      <x:c r="J556" s="192"/>
      <x:c r="K556" s="192"/>
      <x:c r="L556" s="196"/>
      <x:c r="M556" s="192"/>
      <x:c r="N556" s="192"/>
      <x:c r="O556" s="192"/>
      <x:c r="P556" s="192"/>
      <x:c r="Q556" s="170" t="str">
        <x:f>IF(OR(A556="",B556=""),"",IF(A556=LOOKUP(2,1/($B$5:$B$704=B556),$A$5:$A$704),"Yes","No"))</x:f>
      </x:c>
    </x:row>
    <x:row r="557">
      <x:c r="A557" s="194"/>
      <x:c r="B557" s="192"/>
      <x:c r="C557" s="170" t="str">
        <x:f>IF(B557="","",IF(COUNTIF('Raw Decommissioning'!$B$2:$B$1000,B557)&gt;0,"Decommissioning",IF(COUNTIF('Raw Provisioning'!$B$2:$B$1000,B557)&gt;0,"Provisioning","Not in latest raw")))</x:f>
      </x:c>
      <x:c r="D557" s="170" t="str">
        <x:f>IF(B557="","",IFERROR(INDEX('Raw Decommissioning'!$E$2:$E$1000,MATCH(B557,'Raw Decommissioning'!$B$2:$B$1000,0)),IFERROR(INDEX('Raw Provisioning'!$E$2:$E$1000,MATCH(B557,'Raw Provisioning'!$B$2:$B$1000,0)),"Missing from latest raw")))</x:f>
      </x:c>
      <x:c r="E557" s="170" t="str">
        <x:f>IF(B557="","",IF(D557="completed","Completed in CSSP",IF(D557="executing","Active - Executing",IF(D557="processing","Ready to Assign",IF(D557="Missing from latest raw","Check Source","Not Managed - "&amp;D557)))))</x:f>
      </x:c>
      <x:c r="F557" s="170" t="str">
        <x:f>IF(B557="","",IFERROR(INDEX('Task Master'!$K$5:$K$804,MATCH(B557,'Task Master'!$A$5:$A$804,0)),""))</x:f>
      </x:c>
      <x:c r="G557" s="192"/>
      <x:c r="H557" s="192"/>
      <x:c r="I557" s="192"/>
      <x:c r="J557" s="192"/>
      <x:c r="K557" s="192"/>
      <x:c r="L557" s="196"/>
      <x:c r="M557" s="192"/>
      <x:c r="N557" s="192"/>
      <x:c r="O557" s="192"/>
      <x:c r="P557" s="192"/>
      <x:c r="Q557" s="170" t="str">
        <x:f>IF(OR(A557="",B557=""),"",IF(A557=LOOKUP(2,1/($B$5:$B$704=B557),$A$5:$A$704),"Yes","No"))</x:f>
      </x:c>
    </x:row>
    <x:row r="558">
      <x:c r="A558" s="194"/>
      <x:c r="B558" s="192"/>
      <x:c r="C558" s="170" t="str">
        <x:f>IF(B558="","",IF(COUNTIF('Raw Decommissioning'!$B$2:$B$1000,B558)&gt;0,"Decommissioning",IF(COUNTIF('Raw Provisioning'!$B$2:$B$1000,B558)&gt;0,"Provisioning","Not in latest raw")))</x:f>
      </x:c>
      <x:c r="D558" s="170" t="str">
        <x:f>IF(B558="","",IFERROR(INDEX('Raw Decommissioning'!$E$2:$E$1000,MATCH(B558,'Raw Decommissioning'!$B$2:$B$1000,0)),IFERROR(INDEX('Raw Provisioning'!$E$2:$E$1000,MATCH(B558,'Raw Provisioning'!$B$2:$B$1000,0)),"Missing from latest raw")))</x:f>
      </x:c>
      <x:c r="E558" s="170" t="str">
        <x:f>IF(B558="","",IF(D558="completed","Completed in CSSP",IF(D558="executing","Active - Executing",IF(D558="processing","Ready to Assign",IF(D558="Missing from latest raw","Check Source","Not Managed - "&amp;D558)))))</x:f>
      </x:c>
      <x:c r="F558" s="170" t="str">
        <x:f>IF(B558="","",IFERROR(INDEX('Task Master'!$K$5:$K$804,MATCH(B558,'Task Master'!$A$5:$A$804,0)),""))</x:f>
      </x:c>
      <x:c r="G558" s="192"/>
      <x:c r="H558" s="192"/>
      <x:c r="I558" s="192"/>
      <x:c r="J558" s="192"/>
      <x:c r="K558" s="192"/>
      <x:c r="L558" s="196"/>
      <x:c r="M558" s="192"/>
      <x:c r="N558" s="192"/>
      <x:c r="O558" s="192"/>
      <x:c r="P558" s="192"/>
      <x:c r="Q558" s="170" t="str">
        <x:f>IF(OR(A558="",B558=""),"",IF(A558=LOOKUP(2,1/($B$5:$B$704=B558),$A$5:$A$704),"Yes","No"))</x:f>
      </x:c>
    </x:row>
    <x:row r="559">
      <x:c r="A559" s="194"/>
      <x:c r="B559" s="192"/>
      <x:c r="C559" s="170" t="str">
        <x:f>IF(B559="","",IF(COUNTIF('Raw Decommissioning'!$B$2:$B$1000,B559)&gt;0,"Decommissioning",IF(COUNTIF('Raw Provisioning'!$B$2:$B$1000,B559)&gt;0,"Provisioning","Not in latest raw")))</x:f>
      </x:c>
      <x:c r="D559" s="170" t="str">
        <x:f>IF(B559="","",IFERROR(INDEX('Raw Decommissioning'!$E$2:$E$1000,MATCH(B559,'Raw Decommissioning'!$B$2:$B$1000,0)),IFERROR(INDEX('Raw Provisioning'!$E$2:$E$1000,MATCH(B559,'Raw Provisioning'!$B$2:$B$1000,0)),"Missing from latest raw")))</x:f>
      </x:c>
      <x:c r="E559" s="170" t="str">
        <x:f>IF(B559="","",IF(D559="completed","Completed in CSSP",IF(D559="executing","Active - Executing",IF(D559="processing","Ready to Assign",IF(D559="Missing from latest raw","Check Source","Not Managed - "&amp;D559)))))</x:f>
      </x:c>
      <x:c r="F559" s="170" t="str">
        <x:f>IF(B559="","",IFERROR(INDEX('Task Master'!$K$5:$K$804,MATCH(B559,'Task Master'!$A$5:$A$804,0)),""))</x:f>
      </x:c>
      <x:c r="G559" s="192"/>
      <x:c r="H559" s="192"/>
      <x:c r="I559" s="192"/>
      <x:c r="J559" s="192"/>
      <x:c r="K559" s="192"/>
      <x:c r="L559" s="196"/>
      <x:c r="M559" s="192"/>
      <x:c r="N559" s="192"/>
      <x:c r="O559" s="192"/>
      <x:c r="P559" s="192"/>
      <x:c r="Q559" s="170" t="str">
        <x:f>IF(OR(A559="",B559=""),"",IF(A559=LOOKUP(2,1/($B$5:$B$704=B559),$A$5:$A$704),"Yes","No"))</x:f>
      </x:c>
    </x:row>
    <x:row r="560">
      <x:c r="A560" s="194"/>
      <x:c r="B560" s="192"/>
      <x:c r="C560" s="170" t="str">
        <x:f>IF(B560="","",IF(COUNTIF('Raw Decommissioning'!$B$2:$B$1000,B560)&gt;0,"Decommissioning",IF(COUNTIF('Raw Provisioning'!$B$2:$B$1000,B560)&gt;0,"Provisioning","Not in latest raw")))</x:f>
      </x:c>
      <x:c r="D560" s="170" t="str">
        <x:f>IF(B560="","",IFERROR(INDEX('Raw Decommissioning'!$E$2:$E$1000,MATCH(B560,'Raw Decommissioning'!$B$2:$B$1000,0)),IFERROR(INDEX('Raw Provisioning'!$E$2:$E$1000,MATCH(B560,'Raw Provisioning'!$B$2:$B$1000,0)),"Missing from latest raw")))</x:f>
      </x:c>
      <x:c r="E560" s="170" t="str">
        <x:f>IF(B560="","",IF(D560="completed","Completed in CSSP",IF(D560="executing","Active - Executing",IF(D560="processing","Ready to Assign",IF(D560="Missing from latest raw","Check Source","Not Managed - "&amp;D560)))))</x:f>
      </x:c>
      <x:c r="F560" s="170" t="str">
        <x:f>IF(B560="","",IFERROR(INDEX('Task Master'!$K$5:$K$804,MATCH(B560,'Task Master'!$A$5:$A$804,0)),""))</x:f>
      </x:c>
      <x:c r="G560" s="192"/>
      <x:c r="H560" s="192"/>
      <x:c r="I560" s="192"/>
      <x:c r="J560" s="192"/>
      <x:c r="K560" s="192"/>
      <x:c r="L560" s="196"/>
      <x:c r="M560" s="192"/>
      <x:c r="N560" s="192"/>
      <x:c r="O560" s="192"/>
      <x:c r="P560" s="192"/>
      <x:c r="Q560" s="170" t="str">
        <x:f>IF(OR(A560="",B560=""),"",IF(A560=LOOKUP(2,1/($B$5:$B$704=B560),$A$5:$A$704),"Yes","No"))</x:f>
      </x:c>
    </x:row>
    <x:row r="561">
      <x:c r="A561" s="194"/>
      <x:c r="B561" s="192"/>
      <x:c r="C561" s="170" t="str">
        <x:f>IF(B561="","",IF(COUNTIF('Raw Decommissioning'!$B$2:$B$1000,B561)&gt;0,"Decommissioning",IF(COUNTIF('Raw Provisioning'!$B$2:$B$1000,B561)&gt;0,"Provisioning","Not in latest raw")))</x:f>
      </x:c>
      <x:c r="D561" s="170" t="str">
        <x:f>IF(B561="","",IFERROR(INDEX('Raw Decommissioning'!$E$2:$E$1000,MATCH(B561,'Raw Decommissioning'!$B$2:$B$1000,0)),IFERROR(INDEX('Raw Provisioning'!$E$2:$E$1000,MATCH(B561,'Raw Provisioning'!$B$2:$B$1000,0)),"Missing from latest raw")))</x:f>
      </x:c>
      <x:c r="E561" s="170" t="str">
        <x:f>IF(B561="","",IF(D561="completed","Completed in CSSP",IF(D561="executing","Active - Executing",IF(D561="processing","Ready to Assign",IF(D561="Missing from latest raw","Check Source","Not Managed - "&amp;D561)))))</x:f>
      </x:c>
      <x:c r="F561" s="170" t="str">
        <x:f>IF(B561="","",IFERROR(INDEX('Task Master'!$K$5:$K$804,MATCH(B561,'Task Master'!$A$5:$A$804,0)),""))</x:f>
      </x:c>
      <x:c r="G561" s="192"/>
      <x:c r="H561" s="192"/>
      <x:c r="I561" s="192"/>
      <x:c r="J561" s="192"/>
      <x:c r="K561" s="192"/>
      <x:c r="L561" s="196"/>
      <x:c r="M561" s="192"/>
      <x:c r="N561" s="192"/>
      <x:c r="O561" s="192"/>
      <x:c r="P561" s="192"/>
      <x:c r="Q561" s="170" t="str">
        <x:f>IF(OR(A561="",B561=""),"",IF(A561=LOOKUP(2,1/($B$5:$B$704=B561),$A$5:$A$704),"Yes","No"))</x:f>
      </x:c>
    </x:row>
    <x:row r="562">
      <x:c r="A562" s="194"/>
      <x:c r="B562" s="192"/>
      <x:c r="C562" s="170" t="str">
        <x:f>IF(B562="","",IF(COUNTIF('Raw Decommissioning'!$B$2:$B$1000,B562)&gt;0,"Decommissioning",IF(COUNTIF('Raw Provisioning'!$B$2:$B$1000,B562)&gt;0,"Provisioning","Not in latest raw")))</x:f>
      </x:c>
      <x:c r="D562" s="170" t="str">
        <x:f>IF(B562="","",IFERROR(INDEX('Raw Decommissioning'!$E$2:$E$1000,MATCH(B562,'Raw Decommissioning'!$B$2:$B$1000,0)),IFERROR(INDEX('Raw Provisioning'!$E$2:$E$1000,MATCH(B562,'Raw Provisioning'!$B$2:$B$1000,0)),"Missing from latest raw")))</x:f>
      </x:c>
      <x:c r="E562" s="170" t="str">
        <x:f>IF(B562="","",IF(D562="completed","Completed in CSSP",IF(D562="executing","Active - Executing",IF(D562="processing","Ready to Assign",IF(D562="Missing from latest raw","Check Source","Not Managed - "&amp;D562)))))</x:f>
      </x:c>
      <x:c r="F562" s="170" t="str">
        <x:f>IF(B562="","",IFERROR(INDEX('Task Master'!$K$5:$K$804,MATCH(B562,'Task Master'!$A$5:$A$804,0)),""))</x:f>
      </x:c>
      <x:c r="G562" s="192"/>
      <x:c r="H562" s="192"/>
      <x:c r="I562" s="192"/>
      <x:c r="J562" s="192"/>
      <x:c r="K562" s="192"/>
      <x:c r="L562" s="196"/>
      <x:c r="M562" s="192"/>
      <x:c r="N562" s="192"/>
      <x:c r="O562" s="192"/>
      <x:c r="P562" s="192"/>
      <x:c r="Q562" s="170" t="str">
        <x:f>IF(OR(A562="",B562=""),"",IF(A562=LOOKUP(2,1/($B$5:$B$704=B562),$A$5:$A$704),"Yes","No"))</x:f>
      </x:c>
    </x:row>
    <x:row r="563">
      <x:c r="A563" s="194"/>
      <x:c r="B563" s="192"/>
      <x:c r="C563" s="170" t="str">
        <x:f>IF(B563="","",IF(COUNTIF('Raw Decommissioning'!$B$2:$B$1000,B563)&gt;0,"Decommissioning",IF(COUNTIF('Raw Provisioning'!$B$2:$B$1000,B563)&gt;0,"Provisioning","Not in latest raw")))</x:f>
      </x:c>
      <x:c r="D563" s="170" t="str">
        <x:f>IF(B563="","",IFERROR(INDEX('Raw Decommissioning'!$E$2:$E$1000,MATCH(B563,'Raw Decommissioning'!$B$2:$B$1000,0)),IFERROR(INDEX('Raw Provisioning'!$E$2:$E$1000,MATCH(B563,'Raw Provisioning'!$B$2:$B$1000,0)),"Missing from latest raw")))</x:f>
      </x:c>
      <x:c r="E563" s="170" t="str">
        <x:f>IF(B563="","",IF(D563="completed","Completed in CSSP",IF(D563="executing","Active - Executing",IF(D563="processing","Ready to Assign",IF(D563="Missing from latest raw","Check Source","Not Managed - "&amp;D563)))))</x:f>
      </x:c>
      <x:c r="F563" s="170" t="str">
        <x:f>IF(B563="","",IFERROR(INDEX('Task Master'!$K$5:$K$804,MATCH(B563,'Task Master'!$A$5:$A$804,0)),""))</x:f>
      </x:c>
      <x:c r="G563" s="192"/>
      <x:c r="H563" s="192"/>
      <x:c r="I563" s="192"/>
      <x:c r="J563" s="192"/>
      <x:c r="K563" s="192"/>
      <x:c r="L563" s="196"/>
      <x:c r="M563" s="192"/>
      <x:c r="N563" s="192"/>
      <x:c r="O563" s="192"/>
      <x:c r="P563" s="192"/>
      <x:c r="Q563" s="170" t="str">
        <x:f>IF(OR(A563="",B563=""),"",IF(A563=LOOKUP(2,1/($B$5:$B$704=B563),$A$5:$A$704),"Yes","No"))</x:f>
      </x:c>
    </x:row>
    <x:row r="564">
      <x:c r="A564" s="194"/>
      <x:c r="B564" s="192"/>
      <x:c r="C564" s="170" t="str">
        <x:f>IF(B564="","",IF(COUNTIF('Raw Decommissioning'!$B$2:$B$1000,B564)&gt;0,"Decommissioning",IF(COUNTIF('Raw Provisioning'!$B$2:$B$1000,B564)&gt;0,"Provisioning","Not in latest raw")))</x:f>
      </x:c>
      <x:c r="D564" s="170" t="str">
        <x:f>IF(B564="","",IFERROR(INDEX('Raw Decommissioning'!$E$2:$E$1000,MATCH(B564,'Raw Decommissioning'!$B$2:$B$1000,0)),IFERROR(INDEX('Raw Provisioning'!$E$2:$E$1000,MATCH(B564,'Raw Provisioning'!$B$2:$B$1000,0)),"Missing from latest raw")))</x:f>
      </x:c>
      <x:c r="E564" s="170" t="str">
        <x:f>IF(B564="","",IF(D564="completed","Completed in CSSP",IF(D564="executing","Active - Executing",IF(D564="processing","Ready to Assign",IF(D564="Missing from latest raw","Check Source","Not Managed - "&amp;D564)))))</x:f>
      </x:c>
      <x:c r="F564" s="170" t="str">
        <x:f>IF(B564="","",IFERROR(INDEX('Task Master'!$K$5:$K$804,MATCH(B564,'Task Master'!$A$5:$A$804,0)),""))</x:f>
      </x:c>
      <x:c r="G564" s="192"/>
      <x:c r="H564" s="192"/>
      <x:c r="I564" s="192"/>
      <x:c r="J564" s="192"/>
      <x:c r="K564" s="192"/>
      <x:c r="L564" s="196"/>
      <x:c r="M564" s="192"/>
      <x:c r="N564" s="192"/>
      <x:c r="O564" s="192"/>
      <x:c r="P564" s="192"/>
      <x:c r="Q564" s="170" t="str">
        <x:f>IF(OR(A564="",B564=""),"",IF(A564=LOOKUP(2,1/($B$5:$B$704=B564),$A$5:$A$704),"Yes","No"))</x:f>
      </x:c>
    </x:row>
    <x:row r="565">
      <x:c r="A565" s="194"/>
      <x:c r="B565" s="192"/>
      <x:c r="C565" s="170" t="str">
        <x:f>IF(B565="","",IF(COUNTIF('Raw Decommissioning'!$B$2:$B$1000,B565)&gt;0,"Decommissioning",IF(COUNTIF('Raw Provisioning'!$B$2:$B$1000,B565)&gt;0,"Provisioning","Not in latest raw")))</x:f>
      </x:c>
      <x:c r="D565" s="170" t="str">
        <x:f>IF(B565="","",IFERROR(INDEX('Raw Decommissioning'!$E$2:$E$1000,MATCH(B565,'Raw Decommissioning'!$B$2:$B$1000,0)),IFERROR(INDEX('Raw Provisioning'!$E$2:$E$1000,MATCH(B565,'Raw Provisioning'!$B$2:$B$1000,0)),"Missing from latest raw")))</x:f>
      </x:c>
      <x:c r="E565" s="170" t="str">
        <x:f>IF(B565="","",IF(D565="completed","Completed in CSSP",IF(D565="executing","Active - Executing",IF(D565="processing","Ready to Assign",IF(D565="Missing from latest raw","Check Source","Not Managed - "&amp;D565)))))</x:f>
      </x:c>
      <x:c r="F565" s="170" t="str">
        <x:f>IF(B565="","",IFERROR(INDEX('Task Master'!$K$5:$K$804,MATCH(B565,'Task Master'!$A$5:$A$804,0)),""))</x:f>
      </x:c>
      <x:c r="G565" s="192"/>
      <x:c r="H565" s="192"/>
      <x:c r="I565" s="192"/>
      <x:c r="J565" s="192"/>
      <x:c r="K565" s="192"/>
      <x:c r="L565" s="196"/>
      <x:c r="M565" s="192"/>
      <x:c r="N565" s="192"/>
      <x:c r="O565" s="192"/>
      <x:c r="P565" s="192"/>
      <x:c r="Q565" s="170" t="str">
        <x:f>IF(OR(A565="",B565=""),"",IF(A565=LOOKUP(2,1/($B$5:$B$704=B565),$A$5:$A$704),"Yes","No"))</x:f>
      </x:c>
    </x:row>
    <x:row r="566">
      <x:c r="A566" s="194"/>
      <x:c r="B566" s="192"/>
      <x:c r="C566" s="170" t="str">
        <x:f>IF(B566="","",IF(COUNTIF('Raw Decommissioning'!$B$2:$B$1000,B566)&gt;0,"Decommissioning",IF(COUNTIF('Raw Provisioning'!$B$2:$B$1000,B566)&gt;0,"Provisioning","Not in latest raw")))</x:f>
      </x:c>
      <x:c r="D566" s="170" t="str">
        <x:f>IF(B566="","",IFERROR(INDEX('Raw Decommissioning'!$E$2:$E$1000,MATCH(B566,'Raw Decommissioning'!$B$2:$B$1000,0)),IFERROR(INDEX('Raw Provisioning'!$E$2:$E$1000,MATCH(B566,'Raw Provisioning'!$B$2:$B$1000,0)),"Missing from latest raw")))</x:f>
      </x:c>
      <x:c r="E566" s="170" t="str">
        <x:f>IF(B566="","",IF(D566="completed","Completed in CSSP",IF(D566="executing","Active - Executing",IF(D566="processing","Ready to Assign",IF(D566="Missing from latest raw","Check Source","Not Managed - "&amp;D566)))))</x:f>
      </x:c>
      <x:c r="F566" s="170" t="str">
        <x:f>IF(B566="","",IFERROR(INDEX('Task Master'!$K$5:$K$804,MATCH(B566,'Task Master'!$A$5:$A$804,0)),""))</x:f>
      </x:c>
      <x:c r="G566" s="192"/>
      <x:c r="H566" s="192"/>
      <x:c r="I566" s="192"/>
      <x:c r="J566" s="192"/>
      <x:c r="K566" s="192"/>
      <x:c r="L566" s="196"/>
      <x:c r="M566" s="192"/>
      <x:c r="N566" s="192"/>
      <x:c r="O566" s="192"/>
      <x:c r="P566" s="192"/>
      <x:c r="Q566" s="170" t="str">
        <x:f>IF(OR(A566="",B566=""),"",IF(A566=LOOKUP(2,1/($B$5:$B$704=B566),$A$5:$A$704),"Yes","No"))</x:f>
      </x:c>
    </x:row>
    <x:row r="567">
      <x:c r="A567" s="194"/>
      <x:c r="B567" s="192"/>
      <x:c r="C567" s="170" t="str">
        <x:f>IF(B567="","",IF(COUNTIF('Raw Decommissioning'!$B$2:$B$1000,B567)&gt;0,"Decommissioning",IF(COUNTIF('Raw Provisioning'!$B$2:$B$1000,B567)&gt;0,"Provisioning","Not in latest raw")))</x:f>
      </x:c>
      <x:c r="D567" s="170" t="str">
        <x:f>IF(B567="","",IFERROR(INDEX('Raw Decommissioning'!$E$2:$E$1000,MATCH(B567,'Raw Decommissioning'!$B$2:$B$1000,0)),IFERROR(INDEX('Raw Provisioning'!$E$2:$E$1000,MATCH(B567,'Raw Provisioning'!$B$2:$B$1000,0)),"Missing from latest raw")))</x:f>
      </x:c>
      <x:c r="E567" s="170" t="str">
        <x:f>IF(B567="","",IF(D567="completed","Completed in CSSP",IF(D567="executing","Active - Executing",IF(D567="processing","Ready to Assign",IF(D567="Missing from latest raw","Check Source","Not Managed - "&amp;D567)))))</x:f>
      </x:c>
      <x:c r="F567" s="170" t="str">
        <x:f>IF(B567="","",IFERROR(INDEX('Task Master'!$K$5:$K$804,MATCH(B567,'Task Master'!$A$5:$A$804,0)),""))</x:f>
      </x:c>
      <x:c r="G567" s="192"/>
      <x:c r="H567" s="192"/>
      <x:c r="I567" s="192"/>
      <x:c r="J567" s="192"/>
      <x:c r="K567" s="192"/>
      <x:c r="L567" s="196"/>
      <x:c r="M567" s="192"/>
      <x:c r="N567" s="192"/>
      <x:c r="O567" s="192"/>
      <x:c r="P567" s="192"/>
      <x:c r="Q567" s="170" t="str">
        <x:f>IF(OR(A567="",B567=""),"",IF(A567=LOOKUP(2,1/($B$5:$B$704=B567),$A$5:$A$704),"Yes","No"))</x:f>
      </x:c>
    </x:row>
    <x:row r="568">
      <x:c r="A568" s="194"/>
      <x:c r="B568" s="192"/>
      <x:c r="C568" s="170" t="str">
        <x:f>IF(B568="","",IF(COUNTIF('Raw Decommissioning'!$B$2:$B$1000,B568)&gt;0,"Decommissioning",IF(COUNTIF('Raw Provisioning'!$B$2:$B$1000,B568)&gt;0,"Provisioning","Not in latest raw")))</x:f>
      </x:c>
      <x:c r="D568" s="170" t="str">
        <x:f>IF(B568="","",IFERROR(INDEX('Raw Decommissioning'!$E$2:$E$1000,MATCH(B568,'Raw Decommissioning'!$B$2:$B$1000,0)),IFERROR(INDEX('Raw Provisioning'!$E$2:$E$1000,MATCH(B568,'Raw Provisioning'!$B$2:$B$1000,0)),"Missing from latest raw")))</x:f>
      </x:c>
      <x:c r="E568" s="170" t="str">
        <x:f>IF(B568="","",IF(D568="completed","Completed in CSSP",IF(D568="executing","Active - Executing",IF(D568="processing","Ready to Assign",IF(D568="Missing from latest raw","Check Source","Not Managed - "&amp;D568)))))</x:f>
      </x:c>
      <x:c r="F568" s="170" t="str">
        <x:f>IF(B568="","",IFERROR(INDEX('Task Master'!$K$5:$K$804,MATCH(B568,'Task Master'!$A$5:$A$804,0)),""))</x:f>
      </x:c>
      <x:c r="G568" s="192"/>
      <x:c r="H568" s="192"/>
      <x:c r="I568" s="192"/>
      <x:c r="J568" s="192"/>
      <x:c r="K568" s="192"/>
      <x:c r="L568" s="196"/>
      <x:c r="M568" s="192"/>
      <x:c r="N568" s="192"/>
      <x:c r="O568" s="192"/>
      <x:c r="P568" s="192"/>
      <x:c r="Q568" s="170" t="str">
        <x:f>IF(OR(A568="",B568=""),"",IF(A568=LOOKUP(2,1/($B$5:$B$704=B568),$A$5:$A$704),"Yes","No"))</x:f>
      </x:c>
    </x:row>
    <x:row r="569">
      <x:c r="A569" s="194"/>
      <x:c r="B569" s="192"/>
      <x:c r="C569" s="170" t="str">
        <x:f>IF(B569="","",IF(COUNTIF('Raw Decommissioning'!$B$2:$B$1000,B569)&gt;0,"Decommissioning",IF(COUNTIF('Raw Provisioning'!$B$2:$B$1000,B569)&gt;0,"Provisioning","Not in latest raw")))</x:f>
      </x:c>
      <x:c r="D569" s="170" t="str">
        <x:f>IF(B569="","",IFERROR(INDEX('Raw Decommissioning'!$E$2:$E$1000,MATCH(B569,'Raw Decommissioning'!$B$2:$B$1000,0)),IFERROR(INDEX('Raw Provisioning'!$E$2:$E$1000,MATCH(B569,'Raw Provisioning'!$B$2:$B$1000,0)),"Missing from latest raw")))</x:f>
      </x:c>
      <x:c r="E569" s="170" t="str">
        <x:f>IF(B569="","",IF(D569="completed","Completed in CSSP",IF(D569="executing","Active - Executing",IF(D569="processing","Ready to Assign",IF(D569="Missing from latest raw","Check Source","Not Managed - "&amp;D569)))))</x:f>
      </x:c>
      <x:c r="F569" s="170" t="str">
        <x:f>IF(B569="","",IFERROR(INDEX('Task Master'!$K$5:$K$804,MATCH(B569,'Task Master'!$A$5:$A$804,0)),""))</x:f>
      </x:c>
      <x:c r="G569" s="192"/>
      <x:c r="H569" s="192"/>
      <x:c r="I569" s="192"/>
      <x:c r="J569" s="192"/>
      <x:c r="K569" s="192"/>
      <x:c r="L569" s="196"/>
      <x:c r="M569" s="192"/>
      <x:c r="N569" s="192"/>
      <x:c r="O569" s="192"/>
      <x:c r="P569" s="192"/>
      <x:c r="Q569" s="170" t="str">
        <x:f>IF(OR(A569="",B569=""),"",IF(A569=LOOKUP(2,1/($B$5:$B$704=B569),$A$5:$A$704),"Yes","No"))</x:f>
      </x:c>
    </x:row>
    <x:row r="570">
      <x:c r="A570" s="194"/>
      <x:c r="B570" s="192"/>
      <x:c r="C570" s="170" t="str">
        <x:f>IF(B570="","",IF(COUNTIF('Raw Decommissioning'!$B$2:$B$1000,B570)&gt;0,"Decommissioning",IF(COUNTIF('Raw Provisioning'!$B$2:$B$1000,B570)&gt;0,"Provisioning","Not in latest raw")))</x:f>
      </x:c>
      <x:c r="D570" s="170" t="str">
        <x:f>IF(B570="","",IFERROR(INDEX('Raw Decommissioning'!$E$2:$E$1000,MATCH(B570,'Raw Decommissioning'!$B$2:$B$1000,0)),IFERROR(INDEX('Raw Provisioning'!$E$2:$E$1000,MATCH(B570,'Raw Provisioning'!$B$2:$B$1000,0)),"Missing from latest raw")))</x:f>
      </x:c>
      <x:c r="E570" s="170" t="str">
        <x:f>IF(B570="","",IF(D570="completed","Completed in CSSP",IF(D570="executing","Active - Executing",IF(D570="processing","Ready to Assign",IF(D570="Missing from latest raw","Check Source","Not Managed - "&amp;D570)))))</x:f>
      </x:c>
      <x:c r="F570" s="170" t="str">
        <x:f>IF(B570="","",IFERROR(INDEX('Task Master'!$K$5:$K$804,MATCH(B570,'Task Master'!$A$5:$A$804,0)),""))</x:f>
      </x:c>
      <x:c r="G570" s="192"/>
      <x:c r="H570" s="192"/>
      <x:c r="I570" s="192"/>
      <x:c r="J570" s="192"/>
      <x:c r="K570" s="192"/>
      <x:c r="L570" s="196"/>
      <x:c r="M570" s="192"/>
      <x:c r="N570" s="192"/>
      <x:c r="O570" s="192"/>
      <x:c r="P570" s="192"/>
      <x:c r="Q570" s="170" t="str">
        <x:f>IF(OR(A570="",B570=""),"",IF(A570=LOOKUP(2,1/($B$5:$B$704=B570),$A$5:$A$704),"Yes","No"))</x:f>
      </x:c>
    </x:row>
    <x:row r="571">
      <x:c r="A571" s="194"/>
      <x:c r="B571" s="192"/>
      <x:c r="C571" s="170" t="str">
        <x:f>IF(B571="","",IF(COUNTIF('Raw Decommissioning'!$B$2:$B$1000,B571)&gt;0,"Decommissioning",IF(COUNTIF('Raw Provisioning'!$B$2:$B$1000,B571)&gt;0,"Provisioning","Not in latest raw")))</x:f>
      </x:c>
      <x:c r="D571" s="170" t="str">
        <x:f>IF(B571="","",IFERROR(INDEX('Raw Decommissioning'!$E$2:$E$1000,MATCH(B571,'Raw Decommissioning'!$B$2:$B$1000,0)),IFERROR(INDEX('Raw Provisioning'!$E$2:$E$1000,MATCH(B571,'Raw Provisioning'!$B$2:$B$1000,0)),"Missing from latest raw")))</x:f>
      </x:c>
      <x:c r="E571" s="170" t="str">
        <x:f>IF(B571="","",IF(D571="completed","Completed in CSSP",IF(D571="executing","Active - Executing",IF(D571="processing","Ready to Assign",IF(D571="Missing from latest raw","Check Source","Not Managed - "&amp;D571)))))</x:f>
      </x:c>
      <x:c r="F571" s="170" t="str">
        <x:f>IF(B571="","",IFERROR(INDEX('Task Master'!$K$5:$K$804,MATCH(B571,'Task Master'!$A$5:$A$804,0)),""))</x:f>
      </x:c>
      <x:c r="G571" s="192"/>
      <x:c r="H571" s="192"/>
      <x:c r="I571" s="192"/>
      <x:c r="J571" s="192"/>
      <x:c r="K571" s="192"/>
      <x:c r="L571" s="196"/>
      <x:c r="M571" s="192"/>
      <x:c r="N571" s="192"/>
      <x:c r="O571" s="192"/>
      <x:c r="P571" s="192"/>
      <x:c r="Q571" s="170" t="str">
        <x:f>IF(OR(A571="",B571=""),"",IF(A571=LOOKUP(2,1/($B$5:$B$704=B571),$A$5:$A$704),"Yes","No"))</x:f>
      </x:c>
    </x:row>
    <x:row r="572">
      <x:c r="A572" s="194"/>
      <x:c r="B572" s="192"/>
      <x:c r="C572" s="170" t="str">
        <x:f>IF(B572="","",IF(COUNTIF('Raw Decommissioning'!$B$2:$B$1000,B572)&gt;0,"Decommissioning",IF(COUNTIF('Raw Provisioning'!$B$2:$B$1000,B572)&gt;0,"Provisioning","Not in latest raw")))</x:f>
      </x:c>
      <x:c r="D572" s="170" t="str">
        <x:f>IF(B572="","",IFERROR(INDEX('Raw Decommissioning'!$E$2:$E$1000,MATCH(B572,'Raw Decommissioning'!$B$2:$B$1000,0)),IFERROR(INDEX('Raw Provisioning'!$E$2:$E$1000,MATCH(B572,'Raw Provisioning'!$B$2:$B$1000,0)),"Missing from latest raw")))</x:f>
      </x:c>
      <x:c r="E572" s="170" t="str">
        <x:f>IF(B572="","",IF(D572="completed","Completed in CSSP",IF(D572="executing","Active - Executing",IF(D572="processing","Ready to Assign",IF(D572="Missing from latest raw","Check Source","Not Managed - "&amp;D572)))))</x:f>
      </x:c>
      <x:c r="F572" s="170" t="str">
        <x:f>IF(B572="","",IFERROR(INDEX('Task Master'!$K$5:$K$804,MATCH(B572,'Task Master'!$A$5:$A$804,0)),""))</x:f>
      </x:c>
      <x:c r="G572" s="192"/>
      <x:c r="H572" s="192"/>
      <x:c r="I572" s="192"/>
      <x:c r="J572" s="192"/>
      <x:c r="K572" s="192"/>
      <x:c r="L572" s="196"/>
      <x:c r="M572" s="192"/>
      <x:c r="N572" s="192"/>
      <x:c r="O572" s="192"/>
      <x:c r="P572" s="192"/>
      <x:c r="Q572" s="170" t="str">
        <x:f>IF(OR(A572="",B572=""),"",IF(A572=LOOKUP(2,1/($B$5:$B$704=B572),$A$5:$A$704),"Yes","No"))</x:f>
      </x:c>
    </x:row>
    <x:row r="573">
      <x:c r="A573" s="194"/>
      <x:c r="B573" s="192"/>
      <x:c r="C573" s="170" t="str">
        <x:f>IF(B573="","",IF(COUNTIF('Raw Decommissioning'!$B$2:$B$1000,B573)&gt;0,"Decommissioning",IF(COUNTIF('Raw Provisioning'!$B$2:$B$1000,B573)&gt;0,"Provisioning","Not in latest raw")))</x:f>
      </x:c>
      <x:c r="D573" s="170" t="str">
        <x:f>IF(B573="","",IFERROR(INDEX('Raw Decommissioning'!$E$2:$E$1000,MATCH(B573,'Raw Decommissioning'!$B$2:$B$1000,0)),IFERROR(INDEX('Raw Provisioning'!$E$2:$E$1000,MATCH(B573,'Raw Provisioning'!$B$2:$B$1000,0)),"Missing from latest raw")))</x:f>
      </x:c>
      <x:c r="E573" s="170" t="str">
        <x:f>IF(B573="","",IF(D573="completed","Completed in CSSP",IF(D573="executing","Active - Executing",IF(D573="processing","Ready to Assign",IF(D573="Missing from latest raw","Check Source","Not Managed - "&amp;D573)))))</x:f>
      </x:c>
      <x:c r="F573" s="170" t="str">
        <x:f>IF(B573="","",IFERROR(INDEX('Task Master'!$K$5:$K$804,MATCH(B573,'Task Master'!$A$5:$A$804,0)),""))</x:f>
      </x:c>
      <x:c r="G573" s="192"/>
      <x:c r="H573" s="192"/>
      <x:c r="I573" s="192"/>
      <x:c r="J573" s="192"/>
      <x:c r="K573" s="192"/>
      <x:c r="L573" s="196"/>
      <x:c r="M573" s="192"/>
      <x:c r="N573" s="192"/>
      <x:c r="O573" s="192"/>
      <x:c r="P573" s="192"/>
      <x:c r="Q573" s="170" t="str">
        <x:f>IF(OR(A573="",B573=""),"",IF(A573=LOOKUP(2,1/($B$5:$B$704=B573),$A$5:$A$704),"Yes","No"))</x:f>
      </x:c>
    </x:row>
    <x:row r="574">
      <x:c r="A574" s="194"/>
      <x:c r="B574" s="192"/>
      <x:c r="C574" s="170" t="str">
        <x:f>IF(B574="","",IF(COUNTIF('Raw Decommissioning'!$B$2:$B$1000,B574)&gt;0,"Decommissioning",IF(COUNTIF('Raw Provisioning'!$B$2:$B$1000,B574)&gt;0,"Provisioning","Not in latest raw")))</x:f>
      </x:c>
      <x:c r="D574" s="170" t="str">
        <x:f>IF(B574="","",IFERROR(INDEX('Raw Decommissioning'!$E$2:$E$1000,MATCH(B574,'Raw Decommissioning'!$B$2:$B$1000,0)),IFERROR(INDEX('Raw Provisioning'!$E$2:$E$1000,MATCH(B574,'Raw Provisioning'!$B$2:$B$1000,0)),"Missing from latest raw")))</x:f>
      </x:c>
      <x:c r="E574" s="170" t="str">
        <x:f>IF(B574="","",IF(D574="completed","Completed in CSSP",IF(D574="executing","Active - Executing",IF(D574="processing","Ready to Assign",IF(D574="Missing from latest raw","Check Source","Not Managed - "&amp;D574)))))</x:f>
      </x:c>
      <x:c r="F574" s="170" t="str">
        <x:f>IF(B574="","",IFERROR(INDEX('Task Master'!$K$5:$K$804,MATCH(B574,'Task Master'!$A$5:$A$804,0)),""))</x:f>
      </x:c>
      <x:c r="G574" s="192"/>
      <x:c r="H574" s="192"/>
      <x:c r="I574" s="192"/>
      <x:c r="J574" s="192"/>
      <x:c r="K574" s="192"/>
      <x:c r="L574" s="196"/>
      <x:c r="M574" s="192"/>
      <x:c r="N574" s="192"/>
      <x:c r="O574" s="192"/>
      <x:c r="P574" s="192"/>
      <x:c r="Q574" s="170" t="str">
        <x:f>IF(OR(A574="",B574=""),"",IF(A574=LOOKUP(2,1/($B$5:$B$704=B574),$A$5:$A$704),"Yes","No"))</x:f>
      </x:c>
    </x:row>
    <x:row r="575">
      <x:c r="A575" s="194"/>
      <x:c r="B575" s="192"/>
      <x:c r="C575" s="170" t="str">
        <x:f>IF(B575="","",IF(COUNTIF('Raw Decommissioning'!$B$2:$B$1000,B575)&gt;0,"Decommissioning",IF(COUNTIF('Raw Provisioning'!$B$2:$B$1000,B575)&gt;0,"Provisioning","Not in latest raw")))</x:f>
      </x:c>
      <x:c r="D575" s="170" t="str">
        <x:f>IF(B575="","",IFERROR(INDEX('Raw Decommissioning'!$E$2:$E$1000,MATCH(B575,'Raw Decommissioning'!$B$2:$B$1000,0)),IFERROR(INDEX('Raw Provisioning'!$E$2:$E$1000,MATCH(B575,'Raw Provisioning'!$B$2:$B$1000,0)),"Missing from latest raw")))</x:f>
      </x:c>
      <x:c r="E575" s="170" t="str">
        <x:f>IF(B575="","",IF(D575="completed","Completed in CSSP",IF(D575="executing","Active - Executing",IF(D575="processing","Ready to Assign",IF(D575="Missing from latest raw","Check Source","Not Managed - "&amp;D575)))))</x:f>
      </x:c>
      <x:c r="F575" s="170" t="str">
        <x:f>IF(B575="","",IFERROR(INDEX('Task Master'!$K$5:$K$804,MATCH(B575,'Task Master'!$A$5:$A$804,0)),""))</x:f>
      </x:c>
      <x:c r="G575" s="192"/>
      <x:c r="H575" s="192"/>
      <x:c r="I575" s="192"/>
      <x:c r="J575" s="192"/>
      <x:c r="K575" s="192"/>
      <x:c r="L575" s="196"/>
      <x:c r="M575" s="192"/>
      <x:c r="N575" s="192"/>
      <x:c r="O575" s="192"/>
      <x:c r="P575" s="192"/>
      <x:c r="Q575" s="170" t="str">
        <x:f>IF(OR(A575="",B575=""),"",IF(A575=LOOKUP(2,1/($B$5:$B$704=B575),$A$5:$A$704),"Yes","No"))</x:f>
      </x:c>
    </x:row>
    <x:row r="576">
      <x:c r="A576" s="194"/>
      <x:c r="B576" s="192"/>
      <x:c r="C576" s="170" t="str">
        <x:f>IF(B576="","",IF(COUNTIF('Raw Decommissioning'!$B$2:$B$1000,B576)&gt;0,"Decommissioning",IF(COUNTIF('Raw Provisioning'!$B$2:$B$1000,B576)&gt;0,"Provisioning","Not in latest raw")))</x:f>
      </x:c>
      <x:c r="D576" s="170" t="str">
        <x:f>IF(B576="","",IFERROR(INDEX('Raw Decommissioning'!$E$2:$E$1000,MATCH(B576,'Raw Decommissioning'!$B$2:$B$1000,0)),IFERROR(INDEX('Raw Provisioning'!$E$2:$E$1000,MATCH(B576,'Raw Provisioning'!$B$2:$B$1000,0)),"Missing from latest raw")))</x:f>
      </x:c>
      <x:c r="E576" s="170" t="str">
        <x:f>IF(B576="","",IF(D576="completed","Completed in CSSP",IF(D576="executing","Active - Executing",IF(D576="processing","Ready to Assign",IF(D576="Missing from latest raw","Check Source","Not Managed - "&amp;D576)))))</x:f>
      </x:c>
      <x:c r="F576" s="170" t="str">
        <x:f>IF(B576="","",IFERROR(INDEX('Task Master'!$K$5:$K$804,MATCH(B576,'Task Master'!$A$5:$A$804,0)),""))</x:f>
      </x:c>
      <x:c r="G576" s="192"/>
      <x:c r="H576" s="192"/>
      <x:c r="I576" s="192"/>
      <x:c r="J576" s="192"/>
      <x:c r="K576" s="192"/>
      <x:c r="L576" s="196"/>
      <x:c r="M576" s="192"/>
      <x:c r="N576" s="192"/>
      <x:c r="O576" s="192"/>
      <x:c r="P576" s="192"/>
      <x:c r="Q576" s="170" t="str">
        <x:f>IF(OR(A576="",B576=""),"",IF(A576=LOOKUP(2,1/($B$5:$B$704=B576),$A$5:$A$704),"Yes","No"))</x:f>
      </x:c>
    </x:row>
    <x:row r="577">
      <x:c r="A577" s="194"/>
      <x:c r="B577" s="192"/>
      <x:c r="C577" s="170" t="str">
        <x:f>IF(B577="","",IF(COUNTIF('Raw Decommissioning'!$B$2:$B$1000,B577)&gt;0,"Decommissioning",IF(COUNTIF('Raw Provisioning'!$B$2:$B$1000,B577)&gt;0,"Provisioning","Not in latest raw")))</x:f>
      </x:c>
      <x:c r="D577" s="170" t="str">
        <x:f>IF(B577="","",IFERROR(INDEX('Raw Decommissioning'!$E$2:$E$1000,MATCH(B577,'Raw Decommissioning'!$B$2:$B$1000,0)),IFERROR(INDEX('Raw Provisioning'!$E$2:$E$1000,MATCH(B577,'Raw Provisioning'!$B$2:$B$1000,0)),"Missing from latest raw")))</x:f>
      </x:c>
      <x:c r="E577" s="170" t="str">
        <x:f>IF(B577="","",IF(D577="completed","Completed in CSSP",IF(D577="executing","Active - Executing",IF(D577="processing","Ready to Assign",IF(D577="Missing from latest raw","Check Source","Not Managed - "&amp;D577)))))</x:f>
      </x:c>
      <x:c r="F577" s="170" t="str">
        <x:f>IF(B577="","",IFERROR(INDEX('Task Master'!$K$5:$K$804,MATCH(B577,'Task Master'!$A$5:$A$804,0)),""))</x:f>
      </x:c>
      <x:c r="G577" s="192"/>
      <x:c r="H577" s="192"/>
      <x:c r="I577" s="192"/>
      <x:c r="J577" s="192"/>
      <x:c r="K577" s="192"/>
      <x:c r="L577" s="196"/>
      <x:c r="M577" s="192"/>
      <x:c r="N577" s="192"/>
      <x:c r="O577" s="192"/>
      <x:c r="P577" s="192"/>
      <x:c r="Q577" s="170" t="str">
        <x:f>IF(OR(A577="",B577=""),"",IF(A577=LOOKUP(2,1/($B$5:$B$704=B577),$A$5:$A$704),"Yes","No"))</x:f>
      </x:c>
    </x:row>
    <x:row r="578">
      <x:c r="A578" s="194"/>
      <x:c r="B578" s="192"/>
      <x:c r="C578" s="170" t="str">
        <x:f>IF(B578="","",IF(COUNTIF('Raw Decommissioning'!$B$2:$B$1000,B578)&gt;0,"Decommissioning",IF(COUNTIF('Raw Provisioning'!$B$2:$B$1000,B578)&gt;0,"Provisioning","Not in latest raw")))</x:f>
      </x:c>
      <x:c r="D578" s="170" t="str">
        <x:f>IF(B578="","",IFERROR(INDEX('Raw Decommissioning'!$E$2:$E$1000,MATCH(B578,'Raw Decommissioning'!$B$2:$B$1000,0)),IFERROR(INDEX('Raw Provisioning'!$E$2:$E$1000,MATCH(B578,'Raw Provisioning'!$B$2:$B$1000,0)),"Missing from latest raw")))</x:f>
      </x:c>
      <x:c r="E578" s="170" t="str">
        <x:f>IF(B578="","",IF(D578="completed","Completed in CSSP",IF(D578="executing","Active - Executing",IF(D578="processing","Ready to Assign",IF(D578="Missing from latest raw","Check Source","Not Managed - "&amp;D578)))))</x:f>
      </x:c>
      <x:c r="F578" s="170" t="str">
        <x:f>IF(B578="","",IFERROR(INDEX('Task Master'!$K$5:$K$804,MATCH(B578,'Task Master'!$A$5:$A$804,0)),""))</x:f>
      </x:c>
      <x:c r="G578" s="192"/>
      <x:c r="H578" s="192"/>
      <x:c r="I578" s="192"/>
      <x:c r="J578" s="192"/>
      <x:c r="K578" s="192"/>
      <x:c r="L578" s="196"/>
      <x:c r="M578" s="192"/>
      <x:c r="N578" s="192"/>
      <x:c r="O578" s="192"/>
      <x:c r="P578" s="192"/>
      <x:c r="Q578" s="170" t="str">
        <x:f>IF(OR(A578="",B578=""),"",IF(A578=LOOKUP(2,1/($B$5:$B$704=B578),$A$5:$A$704),"Yes","No"))</x:f>
      </x:c>
    </x:row>
    <x:row r="579">
      <x:c r="A579" s="194"/>
      <x:c r="B579" s="192"/>
      <x:c r="C579" s="170" t="str">
        <x:f>IF(B579="","",IF(COUNTIF('Raw Decommissioning'!$B$2:$B$1000,B579)&gt;0,"Decommissioning",IF(COUNTIF('Raw Provisioning'!$B$2:$B$1000,B579)&gt;0,"Provisioning","Not in latest raw")))</x:f>
      </x:c>
      <x:c r="D579" s="170" t="str">
        <x:f>IF(B579="","",IFERROR(INDEX('Raw Decommissioning'!$E$2:$E$1000,MATCH(B579,'Raw Decommissioning'!$B$2:$B$1000,0)),IFERROR(INDEX('Raw Provisioning'!$E$2:$E$1000,MATCH(B579,'Raw Provisioning'!$B$2:$B$1000,0)),"Missing from latest raw")))</x:f>
      </x:c>
      <x:c r="E579" s="170" t="str">
        <x:f>IF(B579="","",IF(D579="completed","Completed in CSSP",IF(D579="executing","Active - Executing",IF(D579="processing","Ready to Assign",IF(D579="Missing from latest raw","Check Source","Not Managed - "&amp;D579)))))</x:f>
      </x:c>
      <x:c r="F579" s="170" t="str">
        <x:f>IF(B579="","",IFERROR(INDEX('Task Master'!$K$5:$K$804,MATCH(B579,'Task Master'!$A$5:$A$804,0)),""))</x:f>
      </x:c>
      <x:c r="G579" s="192"/>
      <x:c r="H579" s="192"/>
      <x:c r="I579" s="192"/>
      <x:c r="J579" s="192"/>
      <x:c r="K579" s="192"/>
      <x:c r="L579" s="196"/>
      <x:c r="M579" s="192"/>
      <x:c r="N579" s="192"/>
      <x:c r="O579" s="192"/>
      <x:c r="P579" s="192"/>
      <x:c r="Q579" s="170" t="str">
        <x:f>IF(OR(A579="",B579=""),"",IF(A579=LOOKUP(2,1/($B$5:$B$704=B579),$A$5:$A$704),"Yes","No"))</x:f>
      </x:c>
    </x:row>
    <x:row r="580">
      <x:c r="A580" s="194"/>
      <x:c r="B580" s="192"/>
      <x:c r="C580" s="170" t="str">
        <x:f>IF(B580="","",IF(COUNTIF('Raw Decommissioning'!$B$2:$B$1000,B580)&gt;0,"Decommissioning",IF(COUNTIF('Raw Provisioning'!$B$2:$B$1000,B580)&gt;0,"Provisioning","Not in latest raw")))</x:f>
      </x:c>
      <x:c r="D580" s="170" t="str">
        <x:f>IF(B580="","",IFERROR(INDEX('Raw Decommissioning'!$E$2:$E$1000,MATCH(B580,'Raw Decommissioning'!$B$2:$B$1000,0)),IFERROR(INDEX('Raw Provisioning'!$E$2:$E$1000,MATCH(B580,'Raw Provisioning'!$B$2:$B$1000,0)),"Missing from latest raw")))</x:f>
      </x:c>
      <x:c r="E580" s="170" t="str">
        <x:f>IF(B580="","",IF(D580="completed","Completed in CSSP",IF(D580="executing","Active - Executing",IF(D580="processing","Ready to Assign",IF(D580="Missing from latest raw","Check Source","Not Managed - "&amp;D580)))))</x:f>
      </x:c>
      <x:c r="F580" s="170" t="str">
        <x:f>IF(B580="","",IFERROR(INDEX('Task Master'!$K$5:$K$804,MATCH(B580,'Task Master'!$A$5:$A$804,0)),""))</x:f>
      </x:c>
      <x:c r="G580" s="192"/>
      <x:c r="H580" s="192"/>
      <x:c r="I580" s="192"/>
      <x:c r="J580" s="192"/>
      <x:c r="K580" s="192"/>
      <x:c r="L580" s="196"/>
      <x:c r="M580" s="192"/>
      <x:c r="N580" s="192"/>
      <x:c r="O580" s="192"/>
      <x:c r="P580" s="192"/>
      <x:c r="Q580" s="170" t="str">
        <x:f>IF(OR(A580="",B580=""),"",IF(A580=LOOKUP(2,1/($B$5:$B$704=B580),$A$5:$A$704),"Yes","No"))</x:f>
      </x:c>
    </x:row>
    <x:row r="581">
      <x:c r="A581" s="194"/>
      <x:c r="B581" s="192"/>
      <x:c r="C581" s="170" t="str">
        <x:f>IF(B581="","",IF(COUNTIF('Raw Decommissioning'!$B$2:$B$1000,B581)&gt;0,"Decommissioning",IF(COUNTIF('Raw Provisioning'!$B$2:$B$1000,B581)&gt;0,"Provisioning","Not in latest raw")))</x:f>
      </x:c>
      <x:c r="D581" s="170" t="str">
        <x:f>IF(B581="","",IFERROR(INDEX('Raw Decommissioning'!$E$2:$E$1000,MATCH(B581,'Raw Decommissioning'!$B$2:$B$1000,0)),IFERROR(INDEX('Raw Provisioning'!$E$2:$E$1000,MATCH(B581,'Raw Provisioning'!$B$2:$B$1000,0)),"Missing from latest raw")))</x:f>
      </x:c>
      <x:c r="E581" s="170" t="str">
        <x:f>IF(B581="","",IF(D581="completed","Completed in CSSP",IF(D581="executing","Active - Executing",IF(D581="processing","Ready to Assign",IF(D581="Missing from latest raw","Check Source","Not Managed - "&amp;D581)))))</x:f>
      </x:c>
      <x:c r="F581" s="170" t="str">
        <x:f>IF(B581="","",IFERROR(INDEX('Task Master'!$K$5:$K$804,MATCH(B581,'Task Master'!$A$5:$A$804,0)),""))</x:f>
      </x:c>
      <x:c r="G581" s="192"/>
      <x:c r="H581" s="192"/>
      <x:c r="I581" s="192"/>
      <x:c r="J581" s="192"/>
      <x:c r="K581" s="192"/>
      <x:c r="L581" s="196"/>
      <x:c r="M581" s="192"/>
      <x:c r="N581" s="192"/>
      <x:c r="O581" s="192"/>
      <x:c r="P581" s="192"/>
      <x:c r="Q581" s="170" t="str">
        <x:f>IF(OR(A581="",B581=""),"",IF(A581=LOOKUP(2,1/($B$5:$B$704=B581),$A$5:$A$704),"Yes","No"))</x:f>
      </x:c>
    </x:row>
    <x:row r="582">
      <x:c r="A582" s="194"/>
      <x:c r="B582" s="192"/>
      <x:c r="C582" s="170" t="str">
        <x:f>IF(B582="","",IF(COUNTIF('Raw Decommissioning'!$B$2:$B$1000,B582)&gt;0,"Decommissioning",IF(COUNTIF('Raw Provisioning'!$B$2:$B$1000,B582)&gt;0,"Provisioning","Not in latest raw")))</x:f>
      </x:c>
      <x:c r="D582" s="170" t="str">
        <x:f>IF(B582="","",IFERROR(INDEX('Raw Decommissioning'!$E$2:$E$1000,MATCH(B582,'Raw Decommissioning'!$B$2:$B$1000,0)),IFERROR(INDEX('Raw Provisioning'!$E$2:$E$1000,MATCH(B582,'Raw Provisioning'!$B$2:$B$1000,0)),"Missing from latest raw")))</x:f>
      </x:c>
      <x:c r="E582" s="170" t="str">
        <x:f>IF(B582="","",IF(D582="completed","Completed in CSSP",IF(D582="executing","Active - Executing",IF(D582="processing","Ready to Assign",IF(D582="Missing from latest raw","Check Source","Not Managed - "&amp;D582)))))</x:f>
      </x:c>
      <x:c r="F582" s="170" t="str">
        <x:f>IF(B582="","",IFERROR(INDEX('Task Master'!$K$5:$K$804,MATCH(B582,'Task Master'!$A$5:$A$804,0)),""))</x:f>
      </x:c>
      <x:c r="G582" s="192"/>
      <x:c r="H582" s="192"/>
      <x:c r="I582" s="192"/>
      <x:c r="J582" s="192"/>
      <x:c r="K582" s="192"/>
      <x:c r="L582" s="196"/>
      <x:c r="M582" s="192"/>
      <x:c r="N582" s="192"/>
      <x:c r="O582" s="192"/>
      <x:c r="P582" s="192"/>
      <x:c r="Q582" s="170" t="str">
        <x:f>IF(OR(A582="",B582=""),"",IF(A582=LOOKUP(2,1/($B$5:$B$704=B582),$A$5:$A$704),"Yes","No"))</x:f>
      </x:c>
    </x:row>
    <x:row r="583">
      <x:c r="A583" s="194"/>
      <x:c r="B583" s="192"/>
      <x:c r="C583" s="170" t="str">
        <x:f>IF(B583="","",IF(COUNTIF('Raw Decommissioning'!$B$2:$B$1000,B583)&gt;0,"Decommissioning",IF(COUNTIF('Raw Provisioning'!$B$2:$B$1000,B583)&gt;0,"Provisioning","Not in latest raw")))</x:f>
      </x:c>
      <x:c r="D583" s="170" t="str">
        <x:f>IF(B583="","",IFERROR(INDEX('Raw Decommissioning'!$E$2:$E$1000,MATCH(B583,'Raw Decommissioning'!$B$2:$B$1000,0)),IFERROR(INDEX('Raw Provisioning'!$E$2:$E$1000,MATCH(B583,'Raw Provisioning'!$B$2:$B$1000,0)),"Missing from latest raw")))</x:f>
      </x:c>
      <x:c r="E583" s="170" t="str">
        <x:f>IF(B583="","",IF(D583="completed","Completed in CSSP",IF(D583="executing","Active - Executing",IF(D583="processing","Ready to Assign",IF(D583="Missing from latest raw","Check Source","Not Managed - "&amp;D583)))))</x:f>
      </x:c>
      <x:c r="F583" s="170" t="str">
        <x:f>IF(B583="","",IFERROR(INDEX('Task Master'!$K$5:$K$804,MATCH(B583,'Task Master'!$A$5:$A$804,0)),""))</x:f>
      </x:c>
      <x:c r="G583" s="192"/>
      <x:c r="H583" s="192"/>
      <x:c r="I583" s="192"/>
      <x:c r="J583" s="192"/>
      <x:c r="K583" s="192"/>
      <x:c r="L583" s="196"/>
      <x:c r="M583" s="192"/>
      <x:c r="N583" s="192"/>
      <x:c r="O583" s="192"/>
      <x:c r="P583" s="192"/>
      <x:c r="Q583" s="170" t="str">
        <x:f>IF(OR(A583="",B583=""),"",IF(A583=LOOKUP(2,1/($B$5:$B$704=B583),$A$5:$A$704),"Yes","No"))</x:f>
      </x:c>
    </x:row>
    <x:row r="584">
      <x:c r="A584" s="194"/>
      <x:c r="B584" s="192"/>
      <x:c r="C584" s="170" t="str">
        <x:f>IF(B584="","",IF(COUNTIF('Raw Decommissioning'!$B$2:$B$1000,B584)&gt;0,"Decommissioning",IF(COUNTIF('Raw Provisioning'!$B$2:$B$1000,B584)&gt;0,"Provisioning","Not in latest raw")))</x:f>
      </x:c>
      <x:c r="D584" s="170" t="str">
        <x:f>IF(B584="","",IFERROR(INDEX('Raw Decommissioning'!$E$2:$E$1000,MATCH(B584,'Raw Decommissioning'!$B$2:$B$1000,0)),IFERROR(INDEX('Raw Provisioning'!$E$2:$E$1000,MATCH(B584,'Raw Provisioning'!$B$2:$B$1000,0)),"Missing from latest raw")))</x:f>
      </x:c>
      <x:c r="E584" s="170" t="str">
        <x:f>IF(B584="","",IF(D584="completed","Completed in CSSP",IF(D584="executing","Active - Executing",IF(D584="processing","Ready to Assign",IF(D584="Missing from latest raw","Check Source","Not Managed - "&amp;D584)))))</x:f>
      </x:c>
      <x:c r="F584" s="170" t="str">
        <x:f>IF(B584="","",IFERROR(INDEX('Task Master'!$K$5:$K$804,MATCH(B584,'Task Master'!$A$5:$A$804,0)),""))</x:f>
      </x:c>
      <x:c r="G584" s="192"/>
      <x:c r="H584" s="192"/>
      <x:c r="I584" s="192"/>
      <x:c r="J584" s="192"/>
      <x:c r="K584" s="192"/>
      <x:c r="L584" s="196"/>
      <x:c r="M584" s="192"/>
      <x:c r="N584" s="192"/>
      <x:c r="O584" s="192"/>
      <x:c r="P584" s="192"/>
      <x:c r="Q584" s="170" t="str">
        <x:f>IF(OR(A584="",B584=""),"",IF(A584=LOOKUP(2,1/($B$5:$B$704=B584),$A$5:$A$704),"Yes","No"))</x:f>
      </x:c>
    </x:row>
    <x:row r="585">
      <x:c r="A585" s="194"/>
      <x:c r="B585" s="192"/>
      <x:c r="C585" s="170" t="str">
        <x:f>IF(B585="","",IF(COUNTIF('Raw Decommissioning'!$B$2:$B$1000,B585)&gt;0,"Decommissioning",IF(COUNTIF('Raw Provisioning'!$B$2:$B$1000,B585)&gt;0,"Provisioning","Not in latest raw")))</x:f>
      </x:c>
      <x:c r="D585" s="170" t="str">
        <x:f>IF(B585="","",IFERROR(INDEX('Raw Decommissioning'!$E$2:$E$1000,MATCH(B585,'Raw Decommissioning'!$B$2:$B$1000,0)),IFERROR(INDEX('Raw Provisioning'!$E$2:$E$1000,MATCH(B585,'Raw Provisioning'!$B$2:$B$1000,0)),"Missing from latest raw")))</x:f>
      </x:c>
      <x:c r="E585" s="170" t="str">
        <x:f>IF(B585="","",IF(D585="completed","Completed in CSSP",IF(D585="executing","Active - Executing",IF(D585="processing","Ready to Assign",IF(D585="Missing from latest raw","Check Source","Not Managed - "&amp;D585)))))</x:f>
      </x:c>
      <x:c r="F585" s="170" t="str">
        <x:f>IF(B585="","",IFERROR(INDEX('Task Master'!$K$5:$K$804,MATCH(B585,'Task Master'!$A$5:$A$804,0)),""))</x:f>
      </x:c>
      <x:c r="G585" s="192"/>
      <x:c r="H585" s="192"/>
      <x:c r="I585" s="192"/>
      <x:c r="J585" s="192"/>
      <x:c r="K585" s="192"/>
      <x:c r="L585" s="196"/>
      <x:c r="M585" s="192"/>
      <x:c r="N585" s="192"/>
      <x:c r="O585" s="192"/>
      <x:c r="P585" s="192"/>
      <x:c r="Q585" s="170" t="str">
        <x:f>IF(OR(A585="",B585=""),"",IF(A585=LOOKUP(2,1/($B$5:$B$704=B585),$A$5:$A$704),"Yes","No"))</x:f>
      </x:c>
    </x:row>
    <x:row r="586">
      <x:c r="A586" s="194"/>
      <x:c r="B586" s="192"/>
      <x:c r="C586" s="170" t="str">
        <x:f>IF(B586="","",IF(COUNTIF('Raw Decommissioning'!$B$2:$B$1000,B586)&gt;0,"Decommissioning",IF(COUNTIF('Raw Provisioning'!$B$2:$B$1000,B586)&gt;0,"Provisioning","Not in latest raw")))</x:f>
      </x:c>
      <x:c r="D586" s="170" t="str">
        <x:f>IF(B586="","",IFERROR(INDEX('Raw Decommissioning'!$E$2:$E$1000,MATCH(B586,'Raw Decommissioning'!$B$2:$B$1000,0)),IFERROR(INDEX('Raw Provisioning'!$E$2:$E$1000,MATCH(B586,'Raw Provisioning'!$B$2:$B$1000,0)),"Missing from latest raw")))</x:f>
      </x:c>
      <x:c r="E586" s="170" t="str">
        <x:f>IF(B586="","",IF(D586="completed","Completed in CSSP",IF(D586="executing","Active - Executing",IF(D586="processing","Ready to Assign",IF(D586="Missing from latest raw","Check Source","Not Managed - "&amp;D586)))))</x:f>
      </x:c>
      <x:c r="F586" s="170" t="str">
        <x:f>IF(B586="","",IFERROR(INDEX('Task Master'!$K$5:$K$804,MATCH(B586,'Task Master'!$A$5:$A$804,0)),""))</x:f>
      </x:c>
      <x:c r="G586" s="192"/>
      <x:c r="H586" s="192"/>
      <x:c r="I586" s="192"/>
      <x:c r="J586" s="192"/>
      <x:c r="K586" s="192"/>
      <x:c r="L586" s="196"/>
      <x:c r="M586" s="192"/>
      <x:c r="N586" s="192"/>
      <x:c r="O586" s="192"/>
      <x:c r="P586" s="192"/>
      <x:c r="Q586" s="170" t="str">
        <x:f>IF(OR(A586="",B586=""),"",IF(A586=LOOKUP(2,1/($B$5:$B$704=B586),$A$5:$A$704),"Yes","No"))</x:f>
      </x:c>
    </x:row>
    <x:row r="587">
      <x:c r="A587" s="194"/>
      <x:c r="B587" s="192"/>
      <x:c r="C587" s="170" t="str">
        <x:f>IF(B587="","",IF(COUNTIF('Raw Decommissioning'!$B$2:$B$1000,B587)&gt;0,"Decommissioning",IF(COUNTIF('Raw Provisioning'!$B$2:$B$1000,B587)&gt;0,"Provisioning","Not in latest raw")))</x:f>
      </x:c>
      <x:c r="D587" s="170" t="str">
        <x:f>IF(B587="","",IFERROR(INDEX('Raw Decommissioning'!$E$2:$E$1000,MATCH(B587,'Raw Decommissioning'!$B$2:$B$1000,0)),IFERROR(INDEX('Raw Provisioning'!$E$2:$E$1000,MATCH(B587,'Raw Provisioning'!$B$2:$B$1000,0)),"Missing from latest raw")))</x:f>
      </x:c>
      <x:c r="E587" s="170" t="str">
        <x:f>IF(B587="","",IF(D587="completed","Completed in CSSP",IF(D587="executing","Active - Executing",IF(D587="processing","Ready to Assign",IF(D587="Missing from latest raw","Check Source","Not Managed - "&amp;D587)))))</x:f>
      </x:c>
      <x:c r="F587" s="170" t="str">
        <x:f>IF(B587="","",IFERROR(INDEX('Task Master'!$K$5:$K$804,MATCH(B587,'Task Master'!$A$5:$A$804,0)),""))</x:f>
      </x:c>
      <x:c r="G587" s="192"/>
      <x:c r="H587" s="192"/>
      <x:c r="I587" s="192"/>
      <x:c r="J587" s="192"/>
      <x:c r="K587" s="192"/>
      <x:c r="L587" s="196"/>
      <x:c r="M587" s="192"/>
      <x:c r="N587" s="192"/>
      <x:c r="O587" s="192"/>
      <x:c r="P587" s="192"/>
      <x:c r="Q587" s="170" t="str">
        <x:f>IF(OR(A587="",B587=""),"",IF(A587=LOOKUP(2,1/($B$5:$B$704=B587),$A$5:$A$704),"Yes","No"))</x:f>
      </x:c>
    </x:row>
    <x:row r="588">
      <x:c r="A588" s="194"/>
      <x:c r="B588" s="192"/>
      <x:c r="C588" s="170" t="str">
        <x:f>IF(B588="","",IF(COUNTIF('Raw Decommissioning'!$B$2:$B$1000,B588)&gt;0,"Decommissioning",IF(COUNTIF('Raw Provisioning'!$B$2:$B$1000,B588)&gt;0,"Provisioning","Not in latest raw")))</x:f>
      </x:c>
      <x:c r="D588" s="170" t="str">
        <x:f>IF(B588="","",IFERROR(INDEX('Raw Decommissioning'!$E$2:$E$1000,MATCH(B588,'Raw Decommissioning'!$B$2:$B$1000,0)),IFERROR(INDEX('Raw Provisioning'!$E$2:$E$1000,MATCH(B588,'Raw Provisioning'!$B$2:$B$1000,0)),"Missing from latest raw")))</x:f>
      </x:c>
      <x:c r="E588" s="170" t="str">
        <x:f>IF(B588="","",IF(D588="completed","Completed in CSSP",IF(D588="executing","Active - Executing",IF(D588="processing","Ready to Assign",IF(D588="Missing from latest raw","Check Source","Not Managed - "&amp;D588)))))</x:f>
      </x:c>
      <x:c r="F588" s="170" t="str">
        <x:f>IF(B588="","",IFERROR(INDEX('Task Master'!$K$5:$K$804,MATCH(B588,'Task Master'!$A$5:$A$804,0)),""))</x:f>
      </x:c>
      <x:c r="G588" s="192"/>
      <x:c r="H588" s="192"/>
      <x:c r="I588" s="192"/>
      <x:c r="J588" s="192"/>
      <x:c r="K588" s="192"/>
      <x:c r="L588" s="196"/>
      <x:c r="M588" s="192"/>
      <x:c r="N588" s="192"/>
      <x:c r="O588" s="192"/>
      <x:c r="P588" s="192"/>
      <x:c r="Q588" s="170" t="str">
        <x:f>IF(OR(A588="",B588=""),"",IF(A588=LOOKUP(2,1/($B$5:$B$704=B588),$A$5:$A$704),"Yes","No"))</x:f>
      </x:c>
    </x:row>
    <x:row r="589">
      <x:c r="A589" s="194"/>
      <x:c r="B589" s="192"/>
      <x:c r="C589" s="170" t="str">
        <x:f>IF(B589="","",IF(COUNTIF('Raw Decommissioning'!$B$2:$B$1000,B589)&gt;0,"Decommissioning",IF(COUNTIF('Raw Provisioning'!$B$2:$B$1000,B589)&gt;0,"Provisioning","Not in latest raw")))</x:f>
      </x:c>
      <x:c r="D589" s="170" t="str">
        <x:f>IF(B589="","",IFERROR(INDEX('Raw Decommissioning'!$E$2:$E$1000,MATCH(B589,'Raw Decommissioning'!$B$2:$B$1000,0)),IFERROR(INDEX('Raw Provisioning'!$E$2:$E$1000,MATCH(B589,'Raw Provisioning'!$B$2:$B$1000,0)),"Missing from latest raw")))</x:f>
      </x:c>
      <x:c r="E589" s="170" t="str">
        <x:f>IF(B589="","",IF(D589="completed","Completed in CSSP",IF(D589="executing","Active - Executing",IF(D589="processing","Ready to Assign",IF(D589="Missing from latest raw","Check Source","Not Managed - "&amp;D589)))))</x:f>
      </x:c>
      <x:c r="F589" s="170" t="str">
        <x:f>IF(B589="","",IFERROR(INDEX('Task Master'!$K$5:$K$804,MATCH(B589,'Task Master'!$A$5:$A$804,0)),""))</x:f>
      </x:c>
      <x:c r="G589" s="192"/>
      <x:c r="H589" s="192"/>
      <x:c r="I589" s="192"/>
      <x:c r="J589" s="192"/>
      <x:c r="K589" s="192"/>
      <x:c r="L589" s="196"/>
      <x:c r="M589" s="192"/>
      <x:c r="N589" s="192"/>
      <x:c r="O589" s="192"/>
      <x:c r="P589" s="192"/>
      <x:c r="Q589" s="170" t="str">
        <x:f>IF(OR(A589="",B589=""),"",IF(A589=LOOKUP(2,1/($B$5:$B$704=B589),$A$5:$A$704),"Yes","No"))</x:f>
      </x:c>
    </x:row>
    <x:row r="590">
      <x:c r="A590" s="194"/>
      <x:c r="B590" s="192"/>
      <x:c r="C590" s="170" t="str">
        <x:f>IF(B590="","",IF(COUNTIF('Raw Decommissioning'!$B$2:$B$1000,B590)&gt;0,"Decommissioning",IF(COUNTIF('Raw Provisioning'!$B$2:$B$1000,B590)&gt;0,"Provisioning","Not in latest raw")))</x:f>
      </x:c>
      <x:c r="D590" s="170" t="str">
        <x:f>IF(B590="","",IFERROR(INDEX('Raw Decommissioning'!$E$2:$E$1000,MATCH(B590,'Raw Decommissioning'!$B$2:$B$1000,0)),IFERROR(INDEX('Raw Provisioning'!$E$2:$E$1000,MATCH(B590,'Raw Provisioning'!$B$2:$B$1000,0)),"Missing from latest raw")))</x:f>
      </x:c>
      <x:c r="E590" s="170" t="str">
        <x:f>IF(B590="","",IF(D590="completed","Completed in CSSP",IF(D590="executing","Active - Executing",IF(D590="processing","Ready to Assign",IF(D590="Missing from latest raw","Check Source","Not Managed - "&amp;D590)))))</x:f>
      </x:c>
      <x:c r="F590" s="170" t="str">
        <x:f>IF(B590="","",IFERROR(INDEX('Task Master'!$K$5:$K$804,MATCH(B590,'Task Master'!$A$5:$A$804,0)),""))</x:f>
      </x:c>
      <x:c r="G590" s="192"/>
      <x:c r="H590" s="192"/>
      <x:c r="I590" s="192"/>
      <x:c r="J590" s="192"/>
      <x:c r="K590" s="192"/>
      <x:c r="L590" s="196"/>
      <x:c r="M590" s="192"/>
      <x:c r="N590" s="192"/>
      <x:c r="O590" s="192"/>
      <x:c r="P590" s="192"/>
      <x:c r="Q590" s="170" t="str">
        <x:f>IF(OR(A590="",B590=""),"",IF(A590=LOOKUP(2,1/($B$5:$B$704=B590),$A$5:$A$704),"Yes","No"))</x:f>
      </x:c>
    </x:row>
    <x:row r="591">
      <x:c r="A591" s="194"/>
      <x:c r="B591" s="192"/>
      <x:c r="C591" s="170" t="str">
        <x:f>IF(B591="","",IF(COUNTIF('Raw Decommissioning'!$B$2:$B$1000,B591)&gt;0,"Decommissioning",IF(COUNTIF('Raw Provisioning'!$B$2:$B$1000,B591)&gt;0,"Provisioning","Not in latest raw")))</x:f>
      </x:c>
      <x:c r="D591" s="170" t="str">
        <x:f>IF(B591="","",IFERROR(INDEX('Raw Decommissioning'!$E$2:$E$1000,MATCH(B591,'Raw Decommissioning'!$B$2:$B$1000,0)),IFERROR(INDEX('Raw Provisioning'!$E$2:$E$1000,MATCH(B591,'Raw Provisioning'!$B$2:$B$1000,0)),"Missing from latest raw")))</x:f>
      </x:c>
      <x:c r="E591" s="170" t="str">
        <x:f>IF(B591="","",IF(D591="completed","Completed in CSSP",IF(D591="executing","Active - Executing",IF(D591="processing","Ready to Assign",IF(D591="Missing from latest raw","Check Source","Not Managed - "&amp;D591)))))</x:f>
      </x:c>
      <x:c r="F591" s="170" t="str">
        <x:f>IF(B591="","",IFERROR(INDEX('Task Master'!$K$5:$K$804,MATCH(B591,'Task Master'!$A$5:$A$804,0)),""))</x:f>
      </x:c>
      <x:c r="G591" s="192"/>
      <x:c r="H591" s="192"/>
      <x:c r="I591" s="192"/>
      <x:c r="J591" s="192"/>
      <x:c r="K591" s="192"/>
      <x:c r="L591" s="196"/>
      <x:c r="M591" s="192"/>
      <x:c r="N591" s="192"/>
      <x:c r="O591" s="192"/>
      <x:c r="P591" s="192"/>
      <x:c r="Q591" s="170" t="str">
        <x:f>IF(OR(A591="",B591=""),"",IF(A591=LOOKUP(2,1/($B$5:$B$704=B591),$A$5:$A$704),"Yes","No"))</x:f>
      </x:c>
    </x:row>
    <x:row r="592">
      <x:c r="A592" s="194"/>
      <x:c r="B592" s="192"/>
      <x:c r="C592" s="170" t="str">
        <x:f>IF(B592="","",IF(COUNTIF('Raw Decommissioning'!$B$2:$B$1000,B592)&gt;0,"Decommissioning",IF(COUNTIF('Raw Provisioning'!$B$2:$B$1000,B592)&gt;0,"Provisioning","Not in latest raw")))</x:f>
      </x:c>
      <x:c r="D592" s="170" t="str">
        <x:f>IF(B592="","",IFERROR(INDEX('Raw Decommissioning'!$E$2:$E$1000,MATCH(B592,'Raw Decommissioning'!$B$2:$B$1000,0)),IFERROR(INDEX('Raw Provisioning'!$E$2:$E$1000,MATCH(B592,'Raw Provisioning'!$B$2:$B$1000,0)),"Missing from latest raw")))</x:f>
      </x:c>
      <x:c r="E592" s="170" t="str">
        <x:f>IF(B592="","",IF(D592="completed","Completed in CSSP",IF(D592="executing","Active - Executing",IF(D592="processing","Ready to Assign",IF(D592="Missing from latest raw","Check Source","Not Managed - "&amp;D592)))))</x:f>
      </x:c>
      <x:c r="F592" s="170" t="str">
        <x:f>IF(B592="","",IFERROR(INDEX('Task Master'!$K$5:$K$804,MATCH(B592,'Task Master'!$A$5:$A$804,0)),""))</x:f>
      </x:c>
      <x:c r="G592" s="192"/>
      <x:c r="H592" s="192"/>
      <x:c r="I592" s="192"/>
      <x:c r="J592" s="192"/>
      <x:c r="K592" s="192"/>
      <x:c r="L592" s="196"/>
      <x:c r="M592" s="192"/>
      <x:c r="N592" s="192"/>
      <x:c r="O592" s="192"/>
      <x:c r="P592" s="192"/>
      <x:c r="Q592" s="170" t="str">
        <x:f>IF(OR(A592="",B592=""),"",IF(A592=LOOKUP(2,1/($B$5:$B$704=B592),$A$5:$A$704),"Yes","No"))</x:f>
      </x:c>
    </x:row>
    <x:row r="593">
      <x:c r="A593" s="194"/>
      <x:c r="B593" s="192"/>
      <x:c r="C593" s="170" t="str">
        <x:f>IF(B593="","",IF(COUNTIF('Raw Decommissioning'!$B$2:$B$1000,B593)&gt;0,"Decommissioning",IF(COUNTIF('Raw Provisioning'!$B$2:$B$1000,B593)&gt;0,"Provisioning","Not in latest raw")))</x:f>
      </x:c>
      <x:c r="D593" s="170" t="str">
        <x:f>IF(B593="","",IFERROR(INDEX('Raw Decommissioning'!$E$2:$E$1000,MATCH(B593,'Raw Decommissioning'!$B$2:$B$1000,0)),IFERROR(INDEX('Raw Provisioning'!$E$2:$E$1000,MATCH(B593,'Raw Provisioning'!$B$2:$B$1000,0)),"Missing from latest raw")))</x:f>
      </x:c>
      <x:c r="E593" s="170" t="str">
        <x:f>IF(B593="","",IF(D593="completed","Completed in CSSP",IF(D593="executing","Active - Executing",IF(D593="processing","Ready to Assign",IF(D593="Missing from latest raw","Check Source","Not Managed - "&amp;D593)))))</x:f>
      </x:c>
      <x:c r="F593" s="170" t="str">
        <x:f>IF(B593="","",IFERROR(INDEX('Task Master'!$K$5:$K$804,MATCH(B593,'Task Master'!$A$5:$A$804,0)),""))</x:f>
      </x:c>
      <x:c r="G593" s="192"/>
      <x:c r="H593" s="192"/>
      <x:c r="I593" s="192"/>
      <x:c r="J593" s="192"/>
      <x:c r="K593" s="192"/>
      <x:c r="L593" s="196"/>
      <x:c r="M593" s="192"/>
      <x:c r="N593" s="192"/>
      <x:c r="O593" s="192"/>
      <x:c r="P593" s="192"/>
      <x:c r="Q593" s="170" t="str">
        <x:f>IF(OR(A593="",B593=""),"",IF(A593=LOOKUP(2,1/($B$5:$B$704=B593),$A$5:$A$704),"Yes","No"))</x:f>
      </x:c>
    </x:row>
    <x:row r="594">
      <x:c r="A594" s="194"/>
      <x:c r="B594" s="192"/>
      <x:c r="C594" s="170" t="str">
        <x:f>IF(B594="","",IF(COUNTIF('Raw Decommissioning'!$B$2:$B$1000,B594)&gt;0,"Decommissioning",IF(COUNTIF('Raw Provisioning'!$B$2:$B$1000,B594)&gt;0,"Provisioning","Not in latest raw")))</x:f>
      </x:c>
      <x:c r="D594" s="170" t="str">
        <x:f>IF(B594="","",IFERROR(INDEX('Raw Decommissioning'!$E$2:$E$1000,MATCH(B594,'Raw Decommissioning'!$B$2:$B$1000,0)),IFERROR(INDEX('Raw Provisioning'!$E$2:$E$1000,MATCH(B594,'Raw Provisioning'!$B$2:$B$1000,0)),"Missing from latest raw")))</x:f>
      </x:c>
      <x:c r="E594" s="170" t="str">
        <x:f>IF(B594="","",IF(D594="completed","Completed in CSSP",IF(D594="executing","Active - Executing",IF(D594="processing","Ready to Assign",IF(D594="Missing from latest raw","Check Source","Not Managed - "&amp;D594)))))</x:f>
      </x:c>
      <x:c r="F594" s="170" t="str">
        <x:f>IF(B594="","",IFERROR(INDEX('Task Master'!$K$5:$K$804,MATCH(B594,'Task Master'!$A$5:$A$804,0)),""))</x:f>
      </x:c>
      <x:c r="G594" s="192"/>
      <x:c r="H594" s="192"/>
      <x:c r="I594" s="192"/>
      <x:c r="J594" s="192"/>
      <x:c r="K594" s="192"/>
      <x:c r="L594" s="196"/>
      <x:c r="M594" s="192"/>
      <x:c r="N594" s="192"/>
      <x:c r="O594" s="192"/>
      <x:c r="P594" s="192"/>
      <x:c r="Q594" s="170" t="str">
        <x:f>IF(OR(A594="",B594=""),"",IF(A594=LOOKUP(2,1/($B$5:$B$704=B594),$A$5:$A$704),"Yes","No"))</x:f>
      </x:c>
    </x:row>
    <x:row r="595">
      <x:c r="A595" s="194"/>
      <x:c r="B595" s="192"/>
      <x:c r="C595" s="170" t="str">
        <x:f>IF(B595="","",IF(COUNTIF('Raw Decommissioning'!$B$2:$B$1000,B595)&gt;0,"Decommissioning",IF(COUNTIF('Raw Provisioning'!$B$2:$B$1000,B595)&gt;0,"Provisioning","Not in latest raw")))</x:f>
      </x:c>
      <x:c r="D595" s="170" t="str">
        <x:f>IF(B595="","",IFERROR(INDEX('Raw Decommissioning'!$E$2:$E$1000,MATCH(B595,'Raw Decommissioning'!$B$2:$B$1000,0)),IFERROR(INDEX('Raw Provisioning'!$E$2:$E$1000,MATCH(B595,'Raw Provisioning'!$B$2:$B$1000,0)),"Missing from latest raw")))</x:f>
      </x:c>
      <x:c r="E595" s="170" t="str">
        <x:f>IF(B595="","",IF(D595="completed","Completed in CSSP",IF(D595="executing","Active - Executing",IF(D595="processing","Ready to Assign",IF(D595="Missing from latest raw","Check Source","Not Managed - "&amp;D595)))))</x:f>
      </x:c>
      <x:c r="F595" s="170" t="str">
        <x:f>IF(B595="","",IFERROR(INDEX('Task Master'!$K$5:$K$804,MATCH(B595,'Task Master'!$A$5:$A$804,0)),""))</x:f>
      </x:c>
      <x:c r="G595" s="192"/>
      <x:c r="H595" s="192"/>
      <x:c r="I595" s="192"/>
      <x:c r="J595" s="192"/>
      <x:c r="K595" s="192"/>
      <x:c r="L595" s="196"/>
      <x:c r="M595" s="192"/>
      <x:c r="N595" s="192"/>
      <x:c r="O595" s="192"/>
      <x:c r="P595" s="192"/>
      <x:c r="Q595" s="170" t="str">
        <x:f>IF(OR(A595="",B595=""),"",IF(A595=LOOKUP(2,1/($B$5:$B$704=B595),$A$5:$A$704),"Yes","No"))</x:f>
      </x:c>
    </x:row>
    <x:row r="596">
      <x:c r="A596" s="194"/>
      <x:c r="B596" s="192"/>
      <x:c r="C596" s="170" t="str">
        <x:f>IF(B596="","",IF(COUNTIF('Raw Decommissioning'!$B$2:$B$1000,B596)&gt;0,"Decommissioning",IF(COUNTIF('Raw Provisioning'!$B$2:$B$1000,B596)&gt;0,"Provisioning","Not in latest raw")))</x:f>
      </x:c>
      <x:c r="D596" s="170" t="str">
        <x:f>IF(B596="","",IFERROR(INDEX('Raw Decommissioning'!$E$2:$E$1000,MATCH(B596,'Raw Decommissioning'!$B$2:$B$1000,0)),IFERROR(INDEX('Raw Provisioning'!$E$2:$E$1000,MATCH(B596,'Raw Provisioning'!$B$2:$B$1000,0)),"Missing from latest raw")))</x:f>
      </x:c>
      <x:c r="E596" s="170" t="str">
        <x:f>IF(B596="","",IF(D596="completed","Completed in CSSP",IF(D596="executing","Active - Executing",IF(D596="processing","Ready to Assign",IF(D596="Missing from latest raw","Check Source","Not Managed - "&amp;D596)))))</x:f>
      </x:c>
      <x:c r="F596" s="170" t="str">
        <x:f>IF(B596="","",IFERROR(INDEX('Task Master'!$K$5:$K$804,MATCH(B596,'Task Master'!$A$5:$A$804,0)),""))</x:f>
      </x:c>
      <x:c r="G596" s="192"/>
      <x:c r="H596" s="192"/>
      <x:c r="I596" s="192"/>
      <x:c r="J596" s="192"/>
      <x:c r="K596" s="192"/>
      <x:c r="L596" s="196"/>
      <x:c r="M596" s="192"/>
      <x:c r="N596" s="192"/>
      <x:c r="O596" s="192"/>
      <x:c r="P596" s="192"/>
      <x:c r="Q596" s="170" t="str">
        <x:f>IF(OR(A596="",B596=""),"",IF(A596=LOOKUP(2,1/($B$5:$B$704=B596),$A$5:$A$704),"Yes","No"))</x:f>
      </x:c>
    </x:row>
    <x:row r="597">
      <x:c r="A597" s="194"/>
      <x:c r="B597" s="192"/>
      <x:c r="C597" s="170" t="str">
        <x:f>IF(B597="","",IF(COUNTIF('Raw Decommissioning'!$B$2:$B$1000,B597)&gt;0,"Decommissioning",IF(COUNTIF('Raw Provisioning'!$B$2:$B$1000,B597)&gt;0,"Provisioning","Not in latest raw")))</x:f>
      </x:c>
      <x:c r="D597" s="170" t="str">
        <x:f>IF(B597="","",IFERROR(INDEX('Raw Decommissioning'!$E$2:$E$1000,MATCH(B597,'Raw Decommissioning'!$B$2:$B$1000,0)),IFERROR(INDEX('Raw Provisioning'!$E$2:$E$1000,MATCH(B597,'Raw Provisioning'!$B$2:$B$1000,0)),"Missing from latest raw")))</x:f>
      </x:c>
      <x:c r="E597" s="170" t="str">
        <x:f>IF(B597="","",IF(D597="completed","Completed in CSSP",IF(D597="executing","Active - Executing",IF(D597="processing","Ready to Assign",IF(D597="Missing from latest raw","Check Source","Not Managed - "&amp;D597)))))</x:f>
      </x:c>
      <x:c r="F597" s="170" t="str">
        <x:f>IF(B597="","",IFERROR(INDEX('Task Master'!$K$5:$K$804,MATCH(B597,'Task Master'!$A$5:$A$804,0)),""))</x:f>
      </x:c>
      <x:c r="G597" s="192"/>
      <x:c r="H597" s="192"/>
      <x:c r="I597" s="192"/>
      <x:c r="J597" s="192"/>
      <x:c r="K597" s="192"/>
      <x:c r="L597" s="196"/>
      <x:c r="M597" s="192"/>
      <x:c r="N597" s="192"/>
      <x:c r="O597" s="192"/>
      <x:c r="P597" s="192"/>
      <x:c r="Q597" s="170" t="str">
        <x:f>IF(OR(A597="",B597=""),"",IF(A597=LOOKUP(2,1/($B$5:$B$704=B597),$A$5:$A$704),"Yes","No"))</x:f>
      </x:c>
    </x:row>
    <x:row r="598">
      <x:c r="A598" s="194"/>
      <x:c r="B598" s="192"/>
      <x:c r="C598" s="170" t="str">
        <x:f>IF(B598="","",IF(COUNTIF('Raw Decommissioning'!$B$2:$B$1000,B598)&gt;0,"Decommissioning",IF(COUNTIF('Raw Provisioning'!$B$2:$B$1000,B598)&gt;0,"Provisioning","Not in latest raw")))</x:f>
      </x:c>
      <x:c r="D598" s="170" t="str">
        <x:f>IF(B598="","",IFERROR(INDEX('Raw Decommissioning'!$E$2:$E$1000,MATCH(B598,'Raw Decommissioning'!$B$2:$B$1000,0)),IFERROR(INDEX('Raw Provisioning'!$E$2:$E$1000,MATCH(B598,'Raw Provisioning'!$B$2:$B$1000,0)),"Missing from latest raw")))</x:f>
      </x:c>
      <x:c r="E598" s="170" t="str">
        <x:f>IF(B598="","",IF(D598="completed","Completed in CSSP",IF(D598="executing","Active - Executing",IF(D598="processing","Ready to Assign",IF(D598="Missing from latest raw","Check Source","Not Managed - "&amp;D598)))))</x:f>
      </x:c>
      <x:c r="F598" s="170" t="str">
        <x:f>IF(B598="","",IFERROR(INDEX('Task Master'!$K$5:$K$804,MATCH(B598,'Task Master'!$A$5:$A$804,0)),""))</x:f>
      </x:c>
      <x:c r="G598" s="192"/>
      <x:c r="H598" s="192"/>
      <x:c r="I598" s="192"/>
      <x:c r="J598" s="192"/>
      <x:c r="K598" s="192"/>
      <x:c r="L598" s="196"/>
      <x:c r="M598" s="192"/>
      <x:c r="N598" s="192"/>
      <x:c r="O598" s="192"/>
      <x:c r="P598" s="192"/>
      <x:c r="Q598" s="170" t="str">
        <x:f>IF(OR(A598="",B598=""),"",IF(A598=LOOKUP(2,1/($B$5:$B$704=B598),$A$5:$A$704),"Yes","No"))</x:f>
      </x:c>
    </x:row>
    <x:row r="599">
      <x:c r="A599" s="194"/>
      <x:c r="B599" s="192"/>
      <x:c r="C599" s="170" t="str">
        <x:f>IF(B599="","",IF(COUNTIF('Raw Decommissioning'!$B$2:$B$1000,B599)&gt;0,"Decommissioning",IF(COUNTIF('Raw Provisioning'!$B$2:$B$1000,B599)&gt;0,"Provisioning","Not in latest raw")))</x:f>
      </x:c>
      <x:c r="D599" s="170" t="str">
        <x:f>IF(B599="","",IFERROR(INDEX('Raw Decommissioning'!$E$2:$E$1000,MATCH(B599,'Raw Decommissioning'!$B$2:$B$1000,0)),IFERROR(INDEX('Raw Provisioning'!$E$2:$E$1000,MATCH(B599,'Raw Provisioning'!$B$2:$B$1000,0)),"Missing from latest raw")))</x:f>
      </x:c>
      <x:c r="E599" s="170" t="str">
        <x:f>IF(B599="","",IF(D599="completed","Completed in CSSP",IF(D599="executing","Active - Executing",IF(D599="processing","Ready to Assign",IF(D599="Missing from latest raw","Check Source","Not Managed - "&amp;D599)))))</x:f>
      </x:c>
      <x:c r="F599" s="170" t="str">
        <x:f>IF(B599="","",IFERROR(INDEX('Task Master'!$K$5:$K$804,MATCH(B599,'Task Master'!$A$5:$A$804,0)),""))</x:f>
      </x:c>
      <x:c r="G599" s="192"/>
      <x:c r="H599" s="192"/>
      <x:c r="I599" s="192"/>
      <x:c r="J599" s="192"/>
      <x:c r="K599" s="192"/>
      <x:c r="L599" s="196"/>
      <x:c r="M599" s="192"/>
      <x:c r="N599" s="192"/>
      <x:c r="O599" s="192"/>
      <x:c r="P599" s="192"/>
      <x:c r="Q599" s="170" t="str">
        <x:f>IF(OR(A599="",B599=""),"",IF(A599=LOOKUP(2,1/($B$5:$B$704=B599),$A$5:$A$704),"Yes","No"))</x:f>
      </x:c>
    </x:row>
    <x:row r="600">
      <x:c r="A600" s="194"/>
      <x:c r="B600" s="192"/>
      <x:c r="C600" s="170" t="str">
        <x:f>IF(B600="","",IF(COUNTIF('Raw Decommissioning'!$B$2:$B$1000,B600)&gt;0,"Decommissioning",IF(COUNTIF('Raw Provisioning'!$B$2:$B$1000,B600)&gt;0,"Provisioning","Not in latest raw")))</x:f>
      </x:c>
      <x:c r="D600" s="170" t="str">
        <x:f>IF(B600="","",IFERROR(INDEX('Raw Decommissioning'!$E$2:$E$1000,MATCH(B600,'Raw Decommissioning'!$B$2:$B$1000,0)),IFERROR(INDEX('Raw Provisioning'!$E$2:$E$1000,MATCH(B600,'Raw Provisioning'!$B$2:$B$1000,0)),"Missing from latest raw")))</x:f>
      </x:c>
      <x:c r="E600" s="170" t="str">
        <x:f>IF(B600="","",IF(D600="completed","Completed in CSSP",IF(D600="executing","Active - Executing",IF(D600="processing","Ready to Assign",IF(D600="Missing from latest raw","Check Source","Not Managed - "&amp;D600)))))</x:f>
      </x:c>
      <x:c r="F600" s="170" t="str">
        <x:f>IF(B600="","",IFERROR(INDEX('Task Master'!$K$5:$K$804,MATCH(B600,'Task Master'!$A$5:$A$804,0)),""))</x:f>
      </x:c>
      <x:c r="G600" s="192"/>
      <x:c r="H600" s="192"/>
      <x:c r="I600" s="192"/>
      <x:c r="J600" s="192"/>
      <x:c r="K600" s="192"/>
      <x:c r="L600" s="196"/>
      <x:c r="M600" s="192"/>
      <x:c r="N600" s="192"/>
      <x:c r="O600" s="192"/>
      <x:c r="P600" s="192"/>
      <x:c r="Q600" s="170" t="str">
        <x:f>IF(OR(A600="",B600=""),"",IF(A600=LOOKUP(2,1/($B$5:$B$704=B600),$A$5:$A$704),"Yes","No"))</x:f>
      </x:c>
    </x:row>
    <x:row r="601">
      <x:c r="A601" s="194"/>
      <x:c r="B601" s="192"/>
      <x:c r="C601" s="170" t="str">
        <x:f>IF(B601="","",IF(COUNTIF('Raw Decommissioning'!$B$2:$B$1000,B601)&gt;0,"Decommissioning",IF(COUNTIF('Raw Provisioning'!$B$2:$B$1000,B601)&gt;0,"Provisioning","Not in latest raw")))</x:f>
      </x:c>
      <x:c r="D601" s="170" t="str">
        <x:f>IF(B601="","",IFERROR(INDEX('Raw Decommissioning'!$E$2:$E$1000,MATCH(B601,'Raw Decommissioning'!$B$2:$B$1000,0)),IFERROR(INDEX('Raw Provisioning'!$E$2:$E$1000,MATCH(B601,'Raw Provisioning'!$B$2:$B$1000,0)),"Missing from latest raw")))</x:f>
      </x:c>
      <x:c r="E601" s="170" t="str">
        <x:f>IF(B601="","",IF(D601="completed","Completed in CSSP",IF(D601="executing","Active - Executing",IF(D601="processing","Ready to Assign",IF(D601="Missing from latest raw","Check Source","Not Managed - "&amp;D601)))))</x:f>
      </x:c>
      <x:c r="F601" s="170" t="str">
        <x:f>IF(B601="","",IFERROR(INDEX('Task Master'!$K$5:$K$804,MATCH(B601,'Task Master'!$A$5:$A$804,0)),""))</x:f>
      </x:c>
      <x:c r="G601" s="192"/>
      <x:c r="H601" s="192"/>
      <x:c r="I601" s="192"/>
      <x:c r="J601" s="192"/>
      <x:c r="K601" s="192"/>
      <x:c r="L601" s="196"/>
      <x:c r="M601" s="192"/>
      <x:c r="N601" s="192"/>
      <x:c r="O601" s="192"/>
      <x:c r="P601" s="192"/>
      <x:c r="Q601" s="170" t="str">
        <x:f>IF(OR(A601="",B601=""),"",IF(A601=LOOKUP(2,1/($B$5:$B$704=B601),$A$5:$A$704),"Yes","No"))</x:f>
      </x:c>
    </x:row>
    <x:row r="602">
      <x:c r="A602" s="194"/>
      <x:c r="B602" s="192"/>
      <x:c r="C602" s="170" t="str">
        <x:f>IF(B602="","",IF(COUNTIF('Raw Decommissioning'!$B$2:$B$1000,B602)&gt;0,"Decommissioning",IF(COUNTIF('Raw Provisioning'!$B$2:$B$1000,B602)&gt;0,"Provisioning","Not in latest raw")))</x:f>
      </x:c>
      <x:c r="D602" s="170" t="str">
        <x:f>IF(B602="","",IFERROR(INDEX('Raw Decommissioning'!$E$2:$E$1000,MATCH(B602,'Raw Decommissioning'!$B$2:$B$1000,0)),IFERROR(INDEX('Raw Provisioning'!$E$2:$E$1000,MATCH(B602,'Raw Provisioning'!$B$2:$B$1000,0)),"Missing from latest raw")))</x:f>
      </x:c>
      <x:c r="E602" s="170" t="str">
        <x:f>IF(B602="","",IF(D602="completed","Completed in CSSP",IF(D602="executing","Active - Executing",IF(D602="processing","Ready to Assign",IF(D602="Missing from latest raw","Check Source","Not Managed - "&amp;D602)))))</x:f>
      </x:c>
      <x:c r="F602" s="170" t="str">
        <x:f>IF(B602="","",IFERROR(INDEX('Task Master'!$K$5:$K$804,MATCH(B602,'Task Master'!$A$5:$A$804,0)),""))</x:f>
      </x:c>
      <x:c r="G602" s="192"/>
      <x:c r="H602" s="192"/>
      <x:c r="I602" s="192"/>
      <x:c r="J602" s="192"/>
      <x:c r="K602" s="192"/>
      <x:c r="L602" s="196"/>
      <x:c r="M602" s="192"/>
      <x:c r="N602" s="192"/>
      <x:c r="O602" s="192"/>
      <x:c r="P602" s="192"/>
      <x:c r="Q602" s="170" t="str">
        <x:f>IF(OR(A602="",B602=""),"",IF(A602=LOOKUP(2,1/($B$5:$B$704=B602),$A$5:$A$704),"Yes","No"))</x:f>
      </x:c>
    </x:row>
    <x:row r="603">
      <x:c r="A603" s="194"/>
      <x:c r="B603" s="192"/>
      <x:c r="C603" s="170" t="str">
        <x:f>IF(B603="","",IF(COUNTIF('Raw Decommissioning'!$B$2:$B$1000,B603)&gt;0,"Decommissioning",IF(COUNTIF('Raw Provisioning'!$B$2:$B$1000,B603)&gt;0,"Provisioning","Not in latest raw")))</x:f>
      </x:c>
      <x:c r="D603" s="170" t="str">
        <x:f>IF(B603="","",IFERROR(INDEX('Raw Decommissioning'!$E$2:$E$1000,MATCH(B603,'Raw Decommissioning'!$B$2:$B$1000,0)),IFERROR(INDEX('Raw Provisioning'!$E$2:$E$1000,MATCH(B603,'Raw Provisioning'!$B$2:$B$1000,0)),"Missing from latest raw")))</x:f>
      </x:c>
      <x:c r="E603" s="170" t="str">
        <x:f>IF(B603="","",IF(D603="completed","Completed in CSSP",IF(D603="executing","Active - Executing",IF(D603="processing","Ready to Assign",IF(D603="Missing from latest raw","Check Source","Not Managed - "&amp;D603)))))</x:f>
      </x:c>
      <x:c r="F603" s="170" t="str">
        <x:f>IF(B603="","",IFERROR(INDEX('Task Master'!$K$5:$K$804,MATCH(B603,'Task Master'!$A$5:$A$804,0)),""))</x:f>
      </x:c>
      <x:c r="G603" s="192"/>
      <x:c r="H603" s="192"/>
      <x:c r="I603" s="192"/>
      <x:c r="J603" s="192"/>
      <x:c r="K603" s="192"/>
      <x:c r="L603" s="196"/>
      <x:c r="M603" s="192"/>
      <x:c r="N603" s="192"/>
      <x:c r="O603" s="192"/>
      <x:c r="P603" s="192"/>
      <x:c r="Q603" s="170" t="str">
        <x:f>IF(OR(A603="",B603=""),"",IF(A603=LOOKUP(2,1/($B$5:$B$704=B603),$A$5:$A$704),"Yes","No"))</x:f>
      </x:c>
    </x:row>
    <x:row r="604">
      <x:c r="A604" s="194"/>
      <x:c r="B604" s="192"/>
      <x:c r="C604" s="170" t="str">
        <x:f>IF(B604="","",IF(COUNTIF('Raw Decommissioning'!$B$2:$B$1000,B604)&gt;0,"Decommissioning",IF(COUNTIF('Raw Provisioning'!$B$2:$B$1000,B604)&gt;0,"Provisioning","Not in latest raw")))</x:f>
      </x:c>
      <x:c r="D604" s="170" t="str">
        <x:f>IF(B604="","",IFERROR(INDEX('Raw Decommissioning'!$E$2:$E$1000,MATCH(B604,'Raw Decommissioning'!$B$2:$B$1000,0)),IFERROR(INDEX('Raw Provisioning'!$E$2:$E$1000,MATCH(B604,'Raw Provisioning'!$B$2:$B$1000,0)),"Missing from latest raw")))</x:f>
      </x:c>
      <x:c r="E604" s="170" t="str">
        <x:f>IF(B604="","",IF(D604="completed","Completed in CSSP",IF(D604="executing","Active - Executing",IF(D604="processing","Ready to Assign",IF(D604="Missing from latest raw","Check Source","Not Managed - "&amp;D604)))))</x:f>
      </x:c>
      <x:c r="F604" s="170" t="str">
        <x:f>IF(B604="","",IFERROR(INDEX('Task Master'!$K$5:$K$804,MATCH(B604,'Task Master'!$A$5:$A$804,0)),""))</x:f>
      </x:c>
      <x:c r="G604" s="192"/>
      <x:c r="H604" s="192"/>
      <x:c r="I604" s="192"/>
      <x:c r="J604" s="192"/>
      <x:c r="K604" s="192"/>
      <x:c r="L604" s="196"/>
      <x:c r="M604" s="192"/>
      <x:c r="N604" s="192"/>
      <x:c r="O604" s="192"/>
      <x:c r="P604" s="192"/>
      <x:c r="Q604" s="170" t="str">
        <x:f>IF(OR(A604="",B604=""),"",IF(A604=LOOKUP(2,1/($B$5:$B$704=B604),$A$5:$A$704),"Yes","No"))</x:f>
      </x:c>
    </x:row>
    <x:row r="605">
      <x:c r="A605" s="194"/>
      <x:c r="B605" s="192"/>
      <x:c r="C605" s="170" t="str">
        <x:f>IF(B605="","",IF(COUNTIF('Raw Decommissioning'!$B$2:$B$1000,B605)&gt;0,"Decommissioning",IF(COUNTIF('Raw Provisioning'!$B$2:$B$1000,B605)&gt;0,"Provisioning","Not in latest raw")))</x:f>
      </x:c>
      <x:c r="D605" s="170" t="str">
        <x:f>IF(B605="","",IFERROR(INDEX('Raw Decommissioning'!$E$2:$E$1000,MATCH(B605,'Raw Decommissioning'!$B$2:$B$1000,0)),IFERROR(INDEX('Raw Provisioning'!$E$2:$E$1000,MATCH(B605,'Raw Provisioning'!$B$2:$B$1000,0)),"Missing from latest raw")))</x:f>
      </x:c>
      <x:c r="E605" s="170" t="str">
        <x:f>IF(B605="","",IF(D605="completed","Completed in CSSP",IF(D605="executing","Active - Executing",IF(D605="processing","Ready to Assign",IF(D605="Missing from latest raw","Check Source","Not Managed - "&amp;D605)))))</x:f>
      </x:c>
      <x:c r="F605" s="170" t="str">
        <x:f>IF(B605="","",IFERROR(INDEX('Task Master'!$K$5:$K$804,MATCH(B605,'Task Master'!$A$5:$A$804,0)),""))</x:f>
      </x:c>
      <x:c r="G605" s="192"/>
      <x:c r="H605" s="192"/>
      <x:c r="I605" s="192"/>
      <x:c r="J605" s="192"/>
      <x:c r="K605" s="192"/>
      <x:c r="L605" s="196"/>
      <x:c r="M605" s="192"/>
      <x:c r="N605" s="192"/>
      <x:c r="O605" s="192"/>
      <x:c r="P605" s="192"/>
      <x:c r="Q605" s="170" t="str">
        <x:f>IF(OR(A605="",B605=""),"",IF(A605=LOOKUP(2,1/($B$5:$B$704=B605),$A$5:$A$704),"Yes","No"))</x:f>
      </x:c>
    </x:row>
    <x:row r="606">
      <x:c r="A606" s="194"/>
      <x:c r="B606" s="192"/>
      <x:c r="C606" s="170" t="str">
        <x:f>IF(B606="","",IF(COUNTIF('Raw Decommissioning'!$B$2:$B$1000,B606)&gt;0,"Decommissioning",IF(COUNTIF('Raw Provisioning'!$B$2:$B$1000,B606)&gt;0,"Provisioning","Not in latest raw")))</x:f>
      </x:c>
      <x:c r="D606" s="170" t="str">
        <x:f>IF(B606="","",IFERROR(INDEX('Raw Decommissioning'!$E$2:$E$1000,MATCH(B606,'Raw Decommissioning'!$B$2:$B$1000,0)),IFERROR(INDEX('Raw Provisioning'!$E$2:$E$1000,MATCH(B606,'Raw Provisioning'!$B$2:$B$1000,0)),"Missing from latest raw")))</x:f>
      </x:c>
      <x:c r="E606" s="170" t="str">
        <x:f>IF(B606="","",IF(D606="completed","Completed in CSSP",IF(D606="executing","Active - Executing",IF(D606="processing","Ready to Assign",IF(D606="Missing from latest raw","Check Source","Not Managed - "&amp;D606)))))</x:f>
      </x:c>
      <x:c r="F606" s="170" t="str">
        <x:f>IF(B606="","",IFERROR(INDEX('Task Master'!$K$5:$K$804,MATCH(B606,'Task Master'!$A$5:$A$804,0)),""))</x:f>
      </x:c>
      <x:c r="G606" s="192"/>
      <x:c r="H606" s="192"/>
      <x:c r="I606" s="192"/>
      <x:c r="J606" s="192"/>
      <x:c r="K606" s="192"/>
      <x:c r="L606" s="196"/>
      <x:c r="M606" s="192"/>
      <x:c r="N606" s="192"/>
      <x:c r="O606" s="192"/>
      <x:c r="P606" s="192"/>
      <x:c r="Q606" s="170" t="str">
        <x:f>IF(OR(A606="",B606=""),"",IF(A606=LOOKUP(2,1/($B$5:$B$704=B606),$A$5:$A$704),"Yes","No"))</x:f>
      </x:c>
    </x:row>
    <x:row r="607">
      <x:c r="A607" s="194"/>
      <x:c r="B607" s="192"/>
      <x:c r="C607" s="170" t="str">
        <x:f>IF(B607="","",IF(COUNTIF('Raw Decommissioning'!$B$2:$B$1000,B607)&gt;0,"Decommissioning",IF(COUNTIF('Raw Provisioning'!$B$2:$B$1000,B607)&gt;0,"Provisioning","Not in latest raw")))</x:f>
      </x:c>
      <x:c r="D607" s="170" t="str">
        <x:f>IF(B607="","",IFERROR(INDEX('Raw Decommissioning'!$E$2:$E$1000,MATCH(B607,'Raw Decommissioning'!$B$2:$B$1000,0)),IFERROR(INDEX('Raw Provisioning'!$E$2:$E$1000,MATCH(B607,'Raw Provisioning'!$B$2:$B$1000,0)),"Missing from latest raw")))</x:f>
      </x:c>
      <x:c r="E607" s="170" t="str">
        <x:f>IF(B607="","",IF(D607="completed","Completed in CSSP",IF(D607="executing","Active - Executing",IF(D607="processing","Ready to Assign",IF(D607="Missing from latest raw","Check Source","Not Managed - "&amp;D607)))))</x:f>
      </x:c>
      <x:c r="F607" s="170" t="str">
        <x:f>IF(B607="","",IFERROR(INDEX('Task Master'!$K$5:$K$804,MATCH(B607,'Task Master'!$A$5:$A$804,0)),""))</x:f>
      </x:c>
      <x:c r="G607" s="192"/>
      <x:c r="H607" s="192"/>
      <x:c r="I607" s="192"/>
      <x:c r="J607" s="192"/>
      <x:c r="K607" s="192"/>
      <x:c r="L607" s="196"/>
      <x:c r="M607" s="192"/>
      <x:c r="N607" s="192"/>
      <x:c r="O607" s="192"/>
      <x:c r="P607" s="192"/>
      <x:c r="Q607" s="170" t="str">
        <x:f>IF(OR(A607="",B607=""),"",IF(A607=LOOKUP(2,1/($B$5:$B$704=B607),$A$5:$A$704),"Yes","No"))</x:f>
      </x:c>
    </x:row>
    <x:row r="608">
      <x:c r="A608" s="194"/>
      <x:c r="B608" s="192"/>
      <x:c r="C608" s="170" t="str">
        <x:f>IF(B608="","",IF(COUNTIF('Raw Decommissioning'!$B$2:$B$1000,B608)&gt;0,"Decommissioning",IF(COUNTIF('Raw Provisioning'!$B$2:$B$1000,B608)&gt;0,"Provisioning","Not in latest raw")))</x:f>
      </x:c>
      <x:c r="D608" s="170" t="str">
        <x:f>IF(B608="","",IFERROR(INDEX('Raw Decommissioning'!$E$2:$E$1000,MATCH(B608,'Raw Decommissioning'!$B$2:$B$1000,0)),IFERROR(INDEX('Raw Provisioning'!$E$2:$E$1000,MATCH(B608,'Raw Provisioning'!$B$2:$B$1000,0)),"Missing from latest raw")))</x:f>
      </x:c>
      <x:c r="E608" s="170" t="str">
        <x:f>IF(B608="","",IF(D608="completed","Completed in CSSP",IF(D608="executing","Active - Executing",IF(D608="processing","Ready to Assign",IF(D608="Missing from latest raw","Check Source","Not Managed - "&amp;D608)))))</x:f>
      </x:c>
      <x:c r="F608" s="170" t="str">
        <x:f>IF(B608="","",IFERROR(INDEX('Task Master'!$K$5:$K$804,MATCH(B608,'Task Master'!$A$5:$A$804,0)),""))</x:f>
      </x:c>
      <x:c r="G608" s="192"/>
      <x:c r="H608" s="192"/>
      <x:c r="I608" s="192"/>
      <x:c r="J608" s="192"/>
      <x:c r="K608" s="192"/>
      <x:c r="L608" s="196"/>
      <x:c r="M608" s="192"/>
      <x:c r="N608" s="192"/>
      <x:c r="O608" s="192"/>
      <x:c r="P608" s="192"/>
      <x:c r="Q608" s="170" t="str">
        <x:f>IF(OR(A608="",B608=""),"",IF(A608=LOOKUP(2,1/($B$5:$B$704=B608),$A$5:$A$704),"Yes","No"))</x:f>
      </x:c>
    </x:row>
    <x:row r="609">
      <x:c r="A609" s="194"/>
      <x:c r="B609" s="192"/>
      <x:c r="C609" s="170" t="str">
        <x:f>IF(B609="","",IF(COUNTIF('Raw Decommissioning'!$B$2:$B$1000,B609)&gt;0,"Decommissioning",IF(COUNTIF('Raw Provisioning'!$B$2:$B$1000,B609)&gt;0,"Provisioning","Not in latest raw")))</x:f>
      </x:c>
      <x:c r="D609" s="170" t="str">
        <x:f>IF(B609="","",IFERROR(INDEX('Raw Decommissioning'!$E$2:$E$1000,MATCH(B609,'Raw Decommissioning'!$B$2:$B$1000,0)),IFERROR(INDEX('Raw Provisioning'!$E$2:$E$1000,MATCH(B609,'Raw Provisioning'!$B$2:$B$1000,0)),"Missing from latest raw")))</x:f>
      </x:c>
      <x:c r="E609" s="170" t="str">
        <x:f>IF(B609="","",IF(D609="completed","Completed in CSSP",IF(D609="executing","Active - Executing",IF(D609="processing","Ready to Assign",IF(D609="Missing from latest raw","Check Source","Not Managed - "&amp;D609)))))</x:f>
      </x:c>
      <x:c r="F609" s="170" t="str">
        <x:f>IF(B609="","",IFERROR(INDEX('Task Master'!$K$5:$K$804,MATCH(B609,'Task Master'!$A$5:$A$804,0)),""))</x:f>
      </x:c>
      <x:c r="G609" s="192"/>
      <x:c r="H609" s="192"/>
      <x:c r="I609" s="192"/>
      <x:c r="J609" s="192"/>
      <x:c r="K609" s="192"/>
      <x:c r="L609" s="196"/>
      <x:c r="M609" s="192"/>
      <x:c r="N609" s="192"/>
      <x:c r="O609" s="192"/>
      <x:c r="P609" s="192"/>
      <x:c r="Q609" s="170" t="str">
        <x:f>IF(OR(A609="",B609=""),"",IF(A609=LOOKUP(2,1/($B$5:$B$704=B609),$A$5:$A$704),"Yes","No"))</x:f>
      </x:c>
    </x:row>
    <x:row r="610">
      <x:c r="A610" s="194"/>
      <x:c r="B610" s="192"/>
      <x:c r="C610" s="170" t="str">
        <x:f>IF(B610="","",IF(COUNTIF('Raw Decommissioning'!$B$2:$B$1000,B610)&gt;0,"Decommissioning",IF(COUNTIF('Raw Provisioning'!$B$2:$B$1000,B610)&gt;0,"Provisioning","Not in latest raw")))</x:f>
      </x:c>
      <x:c r="D610" s="170" t="str">
        <x:f>IF(B610="","",IFERROR(INDEX('Raw Decommissioning'!$E$2:$E$1000,MATCH(B610,'Raw Decommissioning'!$B$2:$B$1000,0)),IFERROR(INDEX('Raw Provisioning'!$E$2:$E$1000,MATCH(B610,'Raw Provisioning'!$B$2:$B$1000,0)),"Missing from latest raw")))</x:f>
      </x:c>
      <x:c r="E610" s="170" t="str">
        <x:f>IF(B610="","",IF(D610="completed","Completed in CSSP",IF(D610="executing","Active - Executing",IF(D610="processing","Ready to Assign",IF(D610="Missing from latest raw","Check Source","Not Managed - "&amp;D610)))))</x:f>
      </x:c>
      <x:c r="F610" s="170" t="str">
        <x:f>IF(B610="","",IFERROR(INDEX('Task Master'!$K$5:$K$804,MATCH(B610,'Task Master'!$A$5:$A$804,0)),""))</x:f>
      </x:c>
      <x:c r="G610" s="192"/>
      <x:c r="H610" s="192"/>
      <x:c r="I610" s="192"/>
      <x:c r="J610" s="192"/>
      <x:c r="K610" s="192"/>
      <x:c r="L610" s="196"/>
      <x:c r="M610" s="192"/>
      <x:c r="N610" s="192"/>
      <x:c r="O610" s="192"/>
      <x:c r="P610" s="192"/>
      <x:c r="Q610" s="170" t="str">
        <x:f>IF(OR(A610="",B610=""),"",IF(A610=LOOKUP(2,1/($B$5:$B$704=B610),$A$5:$A$704),"Yes","No"))</x:f>
      </x:c>
    </x:row>
    <x:row r="611">
      <x:c r="A611" s="194"/>
      <x:c r="B611" s="192"/>
      <x:c r="C611" s="170" t="str">
        <x:f>IF(B611="","",IF(COUNTIF('Raw Decommissioning'!$B$2:$B$1000,B611)&gt;0,"Decommissioning",IF(COUNTIF('Raw Provisioning'!$B$2:$B$1000,B611)&gt;0,"Provisioning","Not in latest raw")))</x:f>
      </x:c>
      <x:c r="D611" s="170" t="str">
        <x:f>IF(B611="","",IFERROR(INDEX('Raw Decommissioning'!$E$2:$E$1000,MATCH(B611,'Raw Decommissioning'!$B$2:$B$1000,0)),IFERROR(INDEX('Raw Provisioning'!$E$2:$E$1000,MATCH(B611,'Raw Provisioning'!$B$2:$B$1000,0)),"Missing from latest raw")))</x:f>
      </x:c>
      <x:c r="E611" s="170" t="str">
        <x:f>IF(B611="","",IF(D611="completed","Completed in CSSP",IF(D611="executing","Active - Executing",IF(D611="processing","Ready to Assign",IF(D611="Missing from latest raw","Check Source","Not Managed - "&amp;D611)))))</x:f>
      </x:c>
      <x:c r="F611" s="170" t="str">
        <x:f>IF(B611="","",IFERROR(INDEX('Task Master'!$K$5:$K$804,MATCH(B611,'Task Master'!$A$5:$A$804,0)),""))</x:f>
      </x:c>
      <x:c r="G611" s="192"/>
      <x:c r="H611" s="192"/>
      <x:c r="I611" s="192"/>
      <x:c r="J611" s="192"/>
      <x:c r="K611" s="192"/>
      <x:c r="L611" s="196"/>
      <x:c r="M611" s="192"/>
      <x:c r="N611" s="192"/>
      <x:c r="O611" s="192"/>
      <x:c r="P611" s="192"/>
      <x:c r="Q611" s="170" t="str">
        <x:f>IF(OR(A611="",B611=""),"",IF(A611=LOOKUP(2,1/($B$5:$B$704=B611),$A$5:$A$704),"Yes","No"))</x:f>
      </x:c>
    </x:row>
    <x:row r="612">
      <x:c r="A612" s="194"/>
      <x:c r="B612" s="192"/>
      <x:c r="C612" s="170" t="str">
        <x:f>IF(B612="","",IF(COUNTIF('Raw Decommissioning'!$B$2:$B$1000,B612)&gt;0,"Decommissioning",IF(COUNTIF('Raw Provisioning'!$B$2:$B$1000,B612)&gt;0,"Provisioning","Not in latest raw")))</x:f>
      </x:c>
      <x:c r="D612" s="170" t="str">
        <x:f>IF(B612="","",IFERROR(INDEX('Raw Decommissioning'!$E$2:$E$1000,MATCH(B612,'Raw Decommissioning'!$B$2:$B$1000,0)),IFERROR(INDEX('Raw Provisioning'!$E$2:$E$1000,MATCH(B612,'Raw Provisioning'!$B$2:$B$1000,0)),"Missing from latest raw")))</x:f>
      </x:c>
      <x:c r="E612" s="170" t="str">
        <x:f>IF(B612="","",IF(D612="completed","Completed in CSSP",IF(D612="executing","Active - Executing",IF(D612="processing","Ready to Assign",IF(D612="Missing from latest raw","Check Source","Not Managed - "&amp;D612)))))</x:f>
      </x:c>
      <x:c r="F612" s="170" t="str">
        <x:f>IF(B612="","",IFERROR(INDEX('Task Master'!$K$5:$K$804,MATCH(B612,'Task Master'!$A$5:$A$804,0)),""))</x:f>
      </x:c>
      <x:c r="G612" s="192"/>
      <x:c r="H612" s="192"/>
      <x:c r="I612" s="192"/>
      <x:c r="J612" s="192"/>
      <x:c r="K612" s="192"/>
      <x:c r="L612" s="196"/>
      <x:c r="M612" s="192"/>
      <x:c r="N612" s="192"/>
      <x:c r="O612" s="192"/>
      <x:c r="P612" s="192"/>
      <x:c r="Q612" s="170" t="str">
        <x:f>IF(OR(A612="",B612=""),"",IF(A612=LOOKUP(2,1/($B$5:$B$704=B612),$A$5:$A$704),"Yes","No"))</x:f>
      </x:c>
    </x:row>
    <x:row r="613">
      <x:c r="A613" s="194"/>
      <x:c r="B613" s="192"/>
      <x:c r="C613" s="170" t="str">
        <x:f>IF(B613="","",IF(COUNTIF('Raw Decommissioning'!$B$2:$B$1000,B613)&gt;0,"Decommissioning",IF(COUNTIF('Raw Provisioning'!$B$2:$B$1000,B613)&gt;0,"Provisioning","Not in latest raw")))</x:f>
      </x:c>
      <x:c r="D613" s="170" t="str">
        <x:f>IF(B613="","",IFERROR(INDEX('Raw Decommissioning'!$E$2:$E$1000,MATCH(B613,'Raw Decommissioning'!$B$2:$B$1000,0)),IFERROR(INDEX('Raw Provisioning'!$E$2:$E$1000,MATCH(B613,'Raw Provisioning'!$B$2:$B$1000,0)),"Missing from latest raw")))</x:f>
      </x:c>
      <x:c r="E613" s="170" t="str">
        <x:f>IF(B613="","",IF(D613="completed","Completed in CSSP",IF(D613="executing","Active - Executing",IF(D613="processing","Ready to Assign",IF(D613="Missing from latest raw","Check Source","Not Managed - "&amp;D613)))))</x:f>
      </x:c>
      <x:c r="F613" s="170" t="str">
        <x:f>IF(B613="","",IFERROR(INDEX('Task Master'!$K$5:$K$804,MATCH(B613,'Task Master'!$A$5:$A$804,0)),""))</x:f>
      </x:c>
      <x:c r="G613" s="192"/>
      <x:c r="H613" s="192"/>
      <x:c r="I613" s="192"/>
      <x:c r="J613" s="192"/>
      <x:c r="K613" s="192"/>
      <x:c r="L613" s="196"/>
      <x:c r="M613" s="192"/>
      <x:c r="N613" s="192"/>
      <x:c r="O613" s="192"/>
      <x:c r="P613" s="192"/>
      <x:c r="Q613" s="170" t="str">
        <x:f>IF(OR(A613="",B613=""),"",IF(A613=LOOKUP(2,1/($B$5:$B$704=B613),$A$5:$A$704),"Yes","No"))</x:f>
      </x:c>
    </x:row>
    <x:row r="614">
      <x:c r="A614" s="194"/>
      <x:c r="B614" s="192"/>
      <x:c r="C614" s="170" t="str">
        <x:f>IF(B614="","",IF(COUNTIF('Raw Decommissioning'!$B$2:$B$1000,B614)&gt;0,"Decommissioning",IF(COUNTIF('Raw Provisioning'!$B$2:$B$1000,B614)&gt;0,"Provisioning","Not in latest raw")))</x:f>
      </x:c>
      <x:c r="D614" s="170" t="str">
        <x:f>IF(B614="","",IFERROR(INDEX('Raw Decommissioning'!$E$2:$E$1000,MATCH(B614,'Raw Decommissioning'!$B$2:$B$1000,0)),IFERROR(INDEX('Raw Provisioning'!$E$2:$E$1000,MATCH(B614,'Raw Provisioning'!$B$2:$B$1000,0)),"Missing from latest raw")))</x:f>
      </x:c>
      <x:c r="E614" s="170" t="str">
        <x:f>IF(B614="","",IF(D614="completed","Completed in CSSP",IF(D614="executing","Active - Executing",IF(D614="processing","Ready to Assign",IF(D614="Missing from latest raw","Check Source","Not Managed - "&amp;D614)))))</x:f>
      </x:c>
      <x:c r="F614" s="170" t="str">
        <x:f>IF(B614="","",IFERROR(INDEX('Task Master'!$K$5:$K$804,MATCH(B614,'Task Master'!$A$5:$A$804,0)),""))</x:f>
      </x:c>
      <x:c r="G614" s="192"/>
      <x:c r="H614" s="192"/>
      <x:c r="I614" s="192"/>
      <x:c r="J614" s="192"/>
      <x:c r="K614" s="192"/>
      <x:c r="L614" s="196"/>
      <x:c r="M614" s="192"/>
      <x:c r="N614" s="192"/>
      <x:c r="O614" s="192"/>
      <x:c r="P614" s="192"/>
      <x:c r="Q614" s="170" t="str">
        <x:f>IF(OR(A614="",B614=""),"",IF(A614=LOOKUP(2,1/($B$5:$B$704=B614),$A$5:$A$704),"Yes","No"))</x:f>
      </x:c>
    </x:row>
    <x:row r="615">
      <x:c r="A615" s="194"/>
      <x:c r="B615" s="192"/>
      <x:c r="C615" s="170" t="str">
        <x:f>IF(B615="","",IF(COUNTIF('Raw Decommissioning'!$B$2:$B$1000,B615)&gt;0,"Decommissioning",IF(COUNTIF('Raw Provisioning'!$B$2:$B$1000,B615)&gt;0,"Provisioning","Not in latest raw")))</x:f>
      </x:c>
      <x:c r="D615" s="170" t="str">
        <x:f>IF(B615="","",IFERROR(INDEX('Raw Decommissioning'!$E$2:$E$1000,MATCH(B615,'Raw Decommissioning'!$B$2:$B$1000,0)),IFERROR(INDEX('Raw Provisioning'!$E$2:$E$1000,MATCH(B615,'Raw Provisioning'!$B$2:$B$1000,0)),"Missing from latest raw")))</x:f>
      </x:c>
      <x:c r="E615" s="170" t="str">
        <x:f>IF(B615="","",IF(D615="completed","Completed in CSSP",IF(D615="executing","Active - Executing",IF(D615="processing","Ready to Assign",IF(D615="Missing from latest raw","Check Source","Not Managed - "&amp;D615)))))</x:f>
      </x:c>
      <x:c r="F615" s="170" t="str">
        <x:f>IF(B615="","",IFERROR(INDEX('Task Master'!$K$5:$K$804,MATCH(B615,'Task Master'!$A$5:$A$804,0)),""))</x:f>
      </x:c>
      <x:c r="G615" s="192"/>
      <x:c r="H615" s="192"/>
      <x:c r="I615" s="192"/>
      <x:c r="J615" s="192"/>
      <x:c r="K615" s="192"/>
      <x:c r="L615" s="196"/>
      <x:c r="M615" s="192"/>
      <x:c r="N615" s="192"/>
      <x:c r="O615" s="192"/>
      <x:c r="P615" s="192"/>
      <x:c r="Q615" s="170" t="str">
        <x:f>IF(OR(A615="",B615=""),"",IF(A615=LOOKUP(2,1/($B$5:$B$704=B615),$A$5:$A$704),"Yes","No"))</x:f>
      </x:c>
    </x:row>
    <x:row r="616">
      <x:c r="A616" s="194"/>
      <x:c r="B616" s="192"/>
      <x:c r="C616" s="170" t="str">
        <x:f>IF(B616="","",IF(COUNTIF('Raw Decommissioning'!$B$2:$B$1000,B616)&gt;0,"Decommissioning",IF(COUNTIF('Raw Provisioning'!$B$2:$B$1000,B616)&gt;0,"Provisioning","Not in latest raw")))</x:f>
      </x:c>
      <x:c r="D616" s="170" t="str">
        <x:f>IF(B616="","",IFERROR(INDEX('Raw Decommissioning'!$E$2:$E$1000,MATCH(B616,'Raw Decommissioning'!$B$2:$B$1000,0)),IFERROR(INDEX('Raw Provisioning'!$E$2:$E$1000,MATCH(B616,'Raw Provisioning'!$B$2:$B$1000,0)),"Missing from latest raw")))</x:f>
      </x:c>
      <x:c r="E616" s="170" t="str">
        <x:f>IF(B616="","",IF(D616="completed","Completed in CSSP",IF(D616="executing","Active - Executing",IF(D616="processing","Ready to Assign",IF(D616="Missing from latest raw","Check Source","Not Managed - "&amp;D616)))))</x:f>
      </x:c>
      <x:c r="F616" s="170" t="str">
        <x:f>IF(B616="","",IFERROR(INDEX('Task Master'!$K$5:$K$804,MATCH(B616,'Task Master'!$A$5:$A$804,0)),""))</x:f>
      </x:c>
      <x:c r="G616" s="192"/>
      <x:c r="H616" s="192"/>
      <x:c r="I616" s="192"/>
      <x:c r="J616" s="192"/>
      <x:c r="K616" s="192"/>
      <x:c r="L616" s="196"/>
      <x:c r="M616" s="192"/>
      <x:c r="N616" s="192"/>
      <x:c r="O616" s="192"/>
      <x:c r="P616" s="192"/>
      <x:c r="Q616" s="170" t="str">
        <x:f>IF(OR(A616="",B616=""),"",IF(A616=LOOKUP(2,1/($B$5:$B$704=B616),$A$5:$A$704),"Yes","No"))</x:f>
      </x:c>
    </x:row>
    <x:row r="617">
      <x:c r="A617" s="194"/>
      <x:c r="B617" s="192"/>
      <x:c r="C617" s="170" t="str">
        <x:f>IF(B617="","",IF(COUNTIF('Raw Decommissioning'!$B$2:$B$1000,B617)&gt;0,"Decommissioning",IF(COUNTIF('Raw Provisioning'!$B$2:$B$1000,B617)&gt;0,"Provisioning","Not in latest raw")))</x:f>
      </x:c>
      <x:c r="D617" s="170" t="str">
        <x:f>IF(B617="","",IFERROR(INDEX('Raw Decommissioning'!$E$2:$E$1000,MATCH(B617,'Raw Decommissioning'!$B$2:$B$1000,0)),IFERROR(INDEX('Raw Provisioning'!$E$2:$E$1000,MATCH(B617,'Raw Provisioning'!$B$2:$B$1000,0)),"Missing from latest raw")))</x:f>
      </x:c>
      <x:c r="E617" s="170" t="str">
        <x:f>IF(B617="","",IF(D617="completed","Completed in CSSP",IF(D617="executing","Active - Executing",IF(D617="processing","Ready to Assign",IF(D617="Missing from latest raw","Check Source","Not Managed - "&amp;D617)))))</x:f>
      </x:c>
      <x:c r="F617" s="170" t="str">
        <x:f>IF(B617="","",IFERROR(INDEX('Task Master'!$K$5:$K$804,MATCH(B617,'Task Master'!$A$5:$A$804,0)),""))</x:f>
      </x:c>
      <x:c r="G617" s="192"/>
      <x:c r="H617" s="192"/>
      <x:c r="I617" s="192"/>
      <x:c r="J617" s="192"/>
      <x:c r="K617" s="192"/>
      <x:c r="L617" s="196"/>
      <x:c r="M617" s="192"/>
      <x:c r="N617" s="192"/>
      <x:c r="O617" s="192"/>
      <x:c r="P617" s="192"/>
      <x:c r="Q617" s="170" t="str">
        <x:f>IF(OR(A617="",B617=""),"",IF(A617=LOOKUP(2,1/($B$5:$B$704=B617),$A$5:$A$704),"Yes","No"))</x:f>
      </x:c>
    </x:row>
    <x:row r="618">
      <x:c r="A618" s="194"/>
      <x:c r="B618" s="192"/>
      <x:c r="C618" s="170" t="str">
        <x:f>IF(B618="","",IF(COUNTIF('Raw Decommissioning'!$B$2:$B$1000,B618)&gt;0,"Decommissioning",IF(COUNTIF('Raw Provisioning'!$B$2:$B$1000,B618)&gt;0,"Provisioning","Not in latest raw")))</x:f>
      </x:c>
      <x:c r="D618" s="170" t="str">
        <x:f>IF(B618="","",IFERROR(INDEX('Raw Decommissioning'!$E$2:$E$1000,MATCH(B618,'Raw Decommissioning'!$B$2:$B$1000,0)),IFERROR(INDEX('Raw Provisioning'!$E$2:$E$1000,MATCH(B618,'Raw Provisioning'!$B$2:$B$1000,0)),"Missing from latest raw")))</x:f>
      </x:c>
      <x:c r="E618" s="170" t="str">
        <x:f>IF(B618="","",IF(D618="completed","Completed in CSSP",IF(D618="executing","Active - Executing",IF(D618="processing","Ready to Assign",IF(D618="Missing from latest raw","Check Source","Not Managed - "&amp;D618)))))</x:f>
      </x:c>
      <x:c r="F618" s="170" t="str">
        <x:f>IF(B618="","",IFERROR(INDEX('Task Master'!$K$5:$K$804,MATCH(B618,'Task Master'!$A$5:$A$804,0)),""))</x:f>
      </x:c>
      <x:c r="G618" s="192"/>
      <x:c r="H618" s="192"/>
      <x:c r="I618" s="192"/>
      <x:c r="J618" s="192"/>
      <x:c r="K618" s="192"/>
      <x:c r="L618" s="196"/>
      <x:c r="M618" s="192"/>
      <x:c r="N618" s="192"/>
      <x:c r="O618" s="192"/>
      <x:c r="P618" s="192"/>
      <x:c r="Q618" s="170" t="str">
        <x:f>IF(OR(A618="",B618=""),"",IF(A618=LOOKUP(2,1/($B$5:$B$704=B618),$A$5:$A$704),"Yes","No"))</x:f>
      </x:c>
    </x:row>
    <x:row r="619">
      <x:c r="A619" s="194"/>
      <x:c r="B619" s="192"/>
      <x:c r="C619" s="170" t="str">
        <x:f>IF(B619="","",IF(COUNTIF('Raw Decommissioning'!$B$2:$B$1000,B619)&gt;0,"Decommissioning",IF(COUNTIF('Raw Provisioning'!$B$2:$B$1000,B619)&gt;0,"Provisioning","Not in latest raw")))</x:f>
      </x:c>
      <x:c r="D619" s="170" t="str">
        <x:f>IF(B619="","",IFERROR(INDEX('Raw Decommissioning'!$E$2:$E$1000,MATCH(B619,'Raw Decommissioning'!$B$2:$B$1000,0)),IFERROR(INDEX('Raw Provisioning'!$E$2:$E$1000,MATCH(B619,'Raw Provisioning'!$B$2:$B$1000,0)),"Missing from latest raw")))</x:f>
      </x:c>
      <x:c r="E619" s="170" t="str">
        <x:f>IF(B619="","",IF(D619="completed","Completed in CSSP",IF(D619="executing","Active - Executing",IF(D619="processing","Ready to Assign",IF(D619="Missing from latest raw","Check Source","Not Managed - "&amp;D619)))))</x:f>
      </x:c>
      <x:c r="F619" s="170" t="str">
        <x:f>IF(B619="","",IFERROR(INDEX('Task Master'!$K$5:$K$804,MATCH(B619,'Task Master'!$A$5:$A$804,0)),""))</x:f>
      </x:c>
      <x:c r="G619" s="192"/>
      <x:c r="H619" s="192"/>
      <x:c r="I619" s="192"/>
      <x:c r="J619" s="192"/>
      <x:c r="K619" s="192"/>
      <x:c r="L619" s="196"/>
      <x:c r="M619" s="192"/>
      <x:c r="N619" s="192"/>
      <x:c r="O619" s="192"/>
      <x:c r="P619" s="192"/>
      <x:c r="Q619" s="170" t="str">
        <x:f>IF(OR(A619="",B619=""),"",IF(A619=LOOKUP(2,1/($B$5:$B$704=B619),$A$5:$A$704),"Yes","No"))</x:f>
      </x:c>
    </x:row>
    <x:row r="620">
      <x:c r="A620" s="194"/>
      <x:c r="B620" s="192"/>
      <x:c r="C620" s="170" t="str">
        <x:f>IF(B620="","",IF(COUNTIF('Raw Decommissioning'!$B$2:$B$1000,B620)&gt;0,"Decommissioning",IF(COUNTIF('Raw Provisioning'!$B$2:$B$1000,B620)&gt;0,"Provisioning","Not in latest raw")))</x:f>
      </x:c>
      <x:c r="D620" s="170" t="str">
        <x:f>IF(B620="","",IFERROR(INDEX('Raw Decommissioning'!$E$2:$E$1000,MATCH(B620,'Raw Decommissioning'!$B$2:$B$1000,0)),IFERROR(INDEX('Raw Provisioning'!$E$2:$E$1000,MATCH(B620,'Raw Provisioning'!$B$2:$B$1000,0)),"Missing from latest raw")))</x:f>
      </x:c>
      <x:c r="E620" s="170" t="str">
        <x:f>IF(B620="","",IF(D620="completed","Completed in CSSP",IF(D620="executing","Active - Executing",IF(D620="processing","Ready to Assign",IF(D620="Missing from latest raw","Check Source","Not Managed - "&amp;D620)))))</x:f>
      </x:c>
      <x:c r="F620" s="170" t="str">
        <x:f>IF(B620="","",IFERROR(INDEX('Task Master'!$K$5:$K$804,MATCH(B620,'Task Master'!$A$5:$A$804,0)),""))</x:f>
      </x:c>
      <x:c r="G620" s="192"/>
      <x:c r="H620" s="192"/>
      <x:c r="I620" s="192"/>
      <x:c r="J620" s="192"/>
      <x:c r="K620" s="192"/>
      <x:c r="L620" s="196"/>
      <x:c r="M620" s="192"/>
      <x:c r="N620" s="192"/>
      <x:c r="O620" s="192"/>
      <x:c r="P620" s="192"/>
      <x:c r="Q620" s="170" t="str">
        <x:f>IF(OR(A620="",B620=""),"",IF(A620=LOOKUP(2,1/($B$5:$B$704=B620),$A$5:$A$704),"Yes","No"))</x:f>
      </x:c>
    </x:row>
    <x:row r="621">
      <x:c r="A621" s="194"/>
      <x:c r="B621" s="192"/>
      <x:c r="C621" s="170" t="str">
        <x:f>IF(B621="","",IF(COUNTIF('Raw Decommissioning'!$B$2:$B$1000,B621)&gt;0,"Decommissioning",IF(COUNTIF('Raw Provisioning'!$B$2:$B$1000,B621)&gt;0,"Provisioning","Not in latest raw")))</x:f>
      </x:c>
      <x:c r="D621" s="170" t="str">
        <x:f>IF(B621="","",IFERROR(INDEX('Raw Decommissioning'!$E$2:$E$1000,MATCH(B621,'Raw Decommissioning'!$B$2:$B$1000,0)),IFERROR(INDEX('Raw Provisioning'!$E$2:$E$1000,MATCH(B621,'Raw Provisioning'!$B$2:$B$1000,0)),"Missing from latest raw")))</x:f>
      </x:c>
      <x:c r="E621" s="170" t="str">
        <x:f>IF(B621="","",IF(D621="completed","Completed in CSSP",IF(D621="executing","Active - Executing",IF(D621="processing","Ready to Assign",IF(D621="Missing from latest raw","Check Source","Not Managed - "&amp;D621)))))</x:f>
      </x:c>
      <x:c r="F621" s="170" t="str">
        <x:f>IF(B621="","",IFERROR(INDEX('Task Master'!$K$5:$K$804,MATCH(B621,'Task Master'!$A$5:$A$804,0)),""))</x:f>
      </x:c>
      <x:c r="G621" s="192"/>
      <x:c r="H621" s="192"/>
      <x:c r="I621" s="192"/>
      <x:c r="J621" s="192"/>
      <x:c r="K621" s="192"/>
      <x:c r="L621" s="196"/>
      <x:c r="M621" s="192"/>
      <x:c r="N621" s="192"/>
      <x:c r="O621" s="192"/>
      <x:c r="P621" s="192"/>
      <x:c r="Q621" s="170" t="str">
        <x:f>IF(OR(A621="",B621=""),"",IF(A621=LOOKUP(2,1/($B$5:$B$704=B621),$A$5:$A$704),"Yes","No"))</x:f>
      </x:c>
    </x:row>
    <x:row r="622">
      <x:c r="A622" s="194"/>
      <x:c r="B622" s="192"/>
      <x:c r="C622" s="170" t="str">
        <x:f>IF(B622="","",IF(COUNTIF('Raw Decommissioning'!$B$2:$B$1000,B622)&gt;0,"Decommissioning",IF(COUNTIF('Raw Provisioning'!$B$2:$B$1000,B622)&gt;0,"Provisioning","Not in latest raw")))</x:f>
      </x:c>
      <x:c r="D622" s="170" t="str">
        <x:f>IF(B622="","",IFERROR(INDEX('Raw Decommissioning'!$E$2:$E$1000,MATCH(B622,'Raw Decommissioning'!$B$2:$B$1000,0)),IFERROR(INDEX('Raw Provisioning'!$E$2:$E$1000,MATCH(B622,'Raw Provisioning'!$B$2:$B$1000,0)),"Missing from latest raw")))</x:f>
      </x:c>
      <x:c r="E622" s="170" t="str">
        <x:f>IF(B622="","",IF(D622="completed","Completed in CSSP",IF(D622="executing","Active - Executing",IF(D622="processing","Ready to Assign",IF(D622="Missing from latest raw","Check Source","Not Managed - "&amp;D622)))))</x:f>
      </x:c>
      <x:c r="F622" s="170" t="str">
        <x:f>IF(B622="","",IFERROR(INDEX('Task Master'!$K$5:$K$804,MATCH(B622,'Task Master'!$A$5:$A$804,0)),""))</x:f>
      </x:c>
      <x:c r="G622" s="192"/>
      <x:c r="H622" s="192"/>
      <x:c r="I622" s="192"/>
      <x:c r="J622" s="192"/>
      <x:c r="K622" s="192"/>
      <x:c r="L622" s="196"/>
      <x:c r="M622" s="192"/>
      <x:c r="N622" s="192"/>
      <x:c r="O622" s="192"/>
      <x:c r="P622" s="192"/>
      <x:c r="Q622" s="170" t="str">
        <x:f>IF(OR(A622="",B622=""),"",IF(A622=LOOKUP(2,1/($B$5:$B$704=B622),$A$5:$A$704),"Yes","No"))</x:f>
      </x:c>
    </x:row>
    <x:row r="623">
      <x:c r="A623" s="194"/>
      <x:c r="B623" s="192"/>
      <x:c r="C623" s="170" t="str">
        <x:f>IF(B623="","",IF(COUNTIF('Raw Decommissioning'!$B$2:$B$1000,B623)&gt;0,"Decommissioning",IF(COUNTIF('Raw Provisioning'!$B$2:$B$1000,B623)&gt;0,"Provisioning","Not in latest raw")))</x:f>
      </x:c>
      <x:c r="D623" s="170" t="str">
        <x:f>IF(B623="","",IFERROR(INDEX('Raw Decommissioning'!$E$2:$E$1000,MATCH(B623,'Raw Decommissioning'!$B$2:$B$1000,0)),IFERROR(INDEX('Raw Provisioning'!$E$2:$E$1000,MATCH(B623,'Raw Provisioning'!$B$2:$B$1000,0)),"Missing from latest raw")))</x:f>
      </x:c>
      <x:c r="E623" s="170" t="str">
        <x:f>IF(B623="","",IF(D623="completed","Completed in CSSP",IF(D623="executing","Active - Executing",IF(D623="processing","Ready to Assign",IF(D623="Missing from latest raw","Check Source","Not Managed - "&amp;D623)))))</x:f>
      </x:c>
      <x:c r="F623" s="170" t="str">
        <x:f>IF(B623="","",IFERROR(INDEX('Task Master'!$K$5:$K$804,MATCH(B623,'Task Master'!$A$5:$A$804,0)),""))</x:f>
      </x:c>
      <x:c r="G623" s="192"/>
      <x:c r="H623" s="192"/>
      <x:c r="I623" s="192"/>
      <x:c r="J623" s="192"/>
      <x:c r="K623" s="192"/>
      <x:c r="L623" s="196"/>
      <x:c r="M623" s="192"/>
      <x:c r="N623" s="192"/>
      <x:c r="O623" s="192"/>
      <x:c r="P623" s="192"/>
      <x:c r="Q623" s="170" t="str">
        <x:f>IF(OR(A623="",B623=""),"",IF(A623=LOOKUP(2,1/($B$5:$B$704=B623),$A$5:$A$704),"Yes","No"))</x:f>
      </x:c>
    </x:row>
    <x:row r="624">
      <x:c r="A624" s="194"/>
      <x:c r="B624" s="192"/>
      <x:c r="C624" s="170" t="str">
        <x:f>IF(B624="","",IF(COUNTIF('Raw Decommissioning'!$B$2:$B$1000,B624)&gt;0,"Decommissioning",IF(COUNTIF('Raw Provisioning'!$B$2:$B$1000,B624)&gt;0,"Provisioning","Not in latest raw")))</x:f>
      </x:c>
      <x:c r="D624" s="170" t="str">
        <x:f>IF(B624="","",IFERROR(INDEX('Raw Decommissioning'!$E$2:$E$1000,MATCH(B624,'Raw Decommissioning'!$B$2:$B$1000,0)),IFERROR(INDEX('Raw Provisioning'!$E$2:$E$1000,MATCH(B624,'Raw Provisioning'!$B$2:$B$1000,0)),"Missing from latest raw")))</x:f>
      </x:c>
      <x:c r="E624" s="170" t="str">
        <x:f>IF(B624="","",IF(D624="completed","Completed in CSSP",IF(D624="executing","Active - Executing",IF(D624="processing","Ready to Assign",IF(D624="Missing from latest raw","Check Source","Not Managed - "&amp;D624)))))</x:f>
      </x:c>
      <x:c r="F624" s="170" t="str">
        <x:f>IF(B624="","",IFERROR(INDEX('Task Master'!$K$5:$K$804,MATCH(B624,'Task Master'!$A$5:$A$804,0)),""))</x:f>
      </x:c>
      <x:c r="G624" s="192"/>
      <x:c r="H624" s="192"/>
      <x:c r="I624" s="192"/>
      <x:c r="J624" s="192"/>
      <x:c r="K624" s="192"/>
      <x:c r="L624" s="196"/>
      <x:c r="M624" s="192"/>
      <x:c r="N624" s="192"/>
      <x:c r="O624" s="192"/>
      <x:c r="P624" s="192"/>
      <x:c r="Q624" s="170" t="str">
        <x:f>IF(OR(A624="",B624=""),"",IF(A624=LOOKUP(2,1/($B$5:$B$704=B624),$A$5:$A$704),"Yes","No"))</x:f>
      </x:c>
    </x:row>
    <x:row r="625">
      <x:c r="A625" s="194"/>
      <x:c r="B625" s="192"/>
      <x:c r="C625" s="170" t="str">
        <x:f>IF(B625="","",IF(COUNTIF('Raw Decommissioning'!$B$2:$B$1000,B625)&gt;0,"Decommissioning",IF(COUNTIF('Raw Provisioning'!$B$2:$B$1000,B625)&gt;0,"Provisioning","Not in latest raw")))</x:f>
      </x:c>
      <x:c r="D625" s="170" t="str">
        <x:f>IF(B625="","",IFERROR(INDEX('Raw Decommissioning'!$E$2:$E$1000,MATCH(B625,'Raw Decommissioning'!$B$2:$B$1000,0)),IFERROR(INDEX('Raw Provisioning'!$E$2:$E$1000,MATCH(B625,'Raw Provisioning'!$B$2:$B$1000,0)),"Missing from latest raw")))</x:f>
      </x:c>
      <x:c r="E625" s="170" t="str">
        <x:f>IF(B625="","",IF(D625="completed","Completed in CSSP",IF(D625="executing","Active - Executing",IF(D625="processing","Ready to Assign",IF(D625="Missing from latest raw","Check Source","Not Managed - "&amp;D625)))))</x:f>
      </x:c>
      <x:c r="F625" s="170" t="str">
        <x:f>IF(B625="","",IFERROR(INDEX('Task Master'!$K$5:$K$804,MATCH(B625,'Task Master'!$A$5:$A$804,0)),""))</x:f>
      </x:c>
      <x:c r="G625" s="192"/>
      <x:c r="H625" s="192"/>
      <x:c r="I625" s="192"/>
      <x:c r="J625" s="192"/>
      <x:c r="K625" s="192"/>
      <x:c r="L625" s="196"/>
      <x:c r="M625" s="192"/>
      <x:c r="N625" s="192"/>
      <x:c r="O625" s="192"/>
      <x:c r="P625" s="192"/>
      <x:c r="Q625" s="170" t="str">
        <x:f>IF(OR(A625="",B625=""),"",IF(A625=LOOKUP(2,1/($B$5:$B$704=B625),$A$5:$A$704),"Yes","No"))</x:f>
      </x:c>
    </x:row>
    <x:row r="626">
      <x:c r="A626" s="194"/>
      <x:c r="B626" s="192"/>
      <x:c r="C626" s="170" t="str">
        <x:f>IF(B626="","",IF(COUNTIF('Raw Decommissioning'!$B$2:$B$1000,B626)&gt;0,"Decommissioning",IF(COUNTIF('Raw Provisioning'!$B$2:$B$1000,B626)&gt;0,"Provisioning","Not in latest raw")))</x:f>
      </x:c>
      <x:c r="D626" s="170" t="str">
        <x:f>IF(B626="","",IFERROR(INDEX('Raw Decommissioning'!$E$2:$E$1000,MATCH(B626,'Raw Decommissioning'!$B$2:$B$1000,0)),IFERROR(INDEX('Raw Provisioning'!$E$2:$E$1000,MATCH(B626,'Raw Provisioning'!$B$2:$B$1000,0)),"Missing from latest raw")))</x:f>
      </x:c>
      <x:c r="E626" s="170" t="str">
        <x:f>IF(B626="","",IF(D626="completed","Completed in CSSP",IF(D626="executing","Active - Executing",IF(D626="processing","Ready to Assign",IF(D626="Missing from latest raw","Check Source","Not Managed - "&amp;D626)))))</x:f>
      </x:c>
      <x:c r="F626" s="170" t="str">
        <x:f>IF(B626="","",IFERROR(INDEX('Task Master'!$K$5:$K$804,MATCH(B626,'Task Master'!$A$5:$A$804,0)),""))</x:f>
      </x:c>
      <x:c r="G626" s="192"/>
      <x:c r="H626" s="192"/>
      <x:c r="I626" s="192"/>
      <x:c r="J626" s="192"/>
      <x:c r="K626" s="192"/>
      <x:c r="L626" s="196"/>
      <x:c r="M626" s="192"/>
      <x:c r="N626" s="192"/>
      <x:c r="O626" s="192"/>
      <x:c r="P626" s="192"/>
      <x:c r="Q626" s="170" t="str">
        <x:f>IF(OR(A626="",B626=""),"",IF(A626=LOOKUP(2,1/($B$5:$B$704=B626),$A$5:$A$704),"Yes","No"))</x:f>
      </x:c>
    </x:row>
    <x:row r="627">
      <x:c r="A627" s="194"/>
      <x:c r="B627" s="192"/>
      <x:c r="C627" s="170" t="str">
        <x:f>IF(B627="","",IF(COUNTIF('Raw Decommissioning'!$B$2:$B$1000,B627)&gt;0,"Decommissioning",IF(COUNTIF('Raw Provisioning'!$B$2:$B$1000,B627)&gt;0,"Provisioning","Not in latest raw")))</x:f>
      </x:c>
      <x:c r="D627" s="170" t="str">
        <x:f>IF(B627="","",IFERROR(INDEX('Raw Decommissioning'!$E$2:$E$1000,MATCH(B627,'Raw Decommissioning'!$B$2:$B$1000,0)),IFERROR(INDEX('Raw Provisioning'!$E$2:$E$1000,MATCH(B627,'Raw Provisioning'!$B$2:$B$1000,0)),"Missing from latest raw")))</x:f>
      </x:c>
      <x:c r="E627" s="170" t="str">
        <x:f>IF(B627="","",IF(D627="completed","Completed in CSSP",IF(D627="executing","Active - Executing",IF(D627="processing","Ready to Assign",IF(D627="Missing from latest raw","Check Source","Not Managed - "&amp;D627)))))</x:f>
      </x:c>
      <x:c r="F627" s="170" t="str">
        <x:f>IF(B627="","",IFERROR(INDEX('Task Master'!$K$5:$K$804,MATCH(B627,'Task Master'!$A$5:$A$804,0)),""))</x:f>
      </x:c>
      <x:c r="G627" s="192"/>
      <x:c r="H627" s="192"/>
      <x:c r="I627" s="192"/>
      <x:c r="J627" s="192"/>
      <x:c r="K627" s="192"/>
      <x:c r="L627" s="196"/>
      <x:c r="M627" s="192"/>
      <x:c r="N627" s="192"/>
      <x:c r="O627" s="192"/>
      <x:c r="P627" s="192"/>
      <x:c r="Q627" s="170" t="str">
        <x:f>IF(OR(A627="",B627=""),"",IF(A627=LOOKUP(2,1/($B$5:$B$704=B627),$A$5:$A$704),"Yes","No"))</x:f>
      </x:c>
    </x:row>
    <x:row r="628">
      <x:c r="A628" s="194"/>
      <x:c r="B628" s="192"/>
      <x:c r="C628" s="170" t="str">
        <x:f>IF(B628="","",IF(COUNTIF('Raw Decommissioning'!$B$2:$B$1000,B628)&gt;0,"Decommissioning",IF(COUNTIF('Raw Provisioning'!$B$2:$B$1000,B628)&gt;0,"Provisioning","Not in latest raw")))</x:f>
      </x:c>
      <x:c r="D628" s="170" t="str">
        <x:f>IF(B628="","",IFERROR(INDEX('Raw Decommissioning'!$E$2:$E$1000,MATCH(B628,'Raw Decommissioning'!$B$2:$B$1000,0)),IFERROR(INDEX('Raw Provisioning'!$E$2:$E$1000,MATCH(B628,'Raw Provisioning'!$B$2:$B$1000,0)),"Missing from latest raw")))</x:f>
      </x:c>
      <x:c r="E628" s="170" t="str">
        <x:f>IF(B628="","",IF(D628="completed","Completed in CSSP",IF(D628="executing","Active - Executing",IF(D628="processing","Ready to Assign",IF(D628="Missing from latest raw","Check Source","Not Managed - "&amp;D628)))))</x:f>
      </x:c>
      <x:c r="F628" s="170" t="str">
        <x:f>IF(B628="","",IFERROR(INDEX('Task Master'!$K$5:$K$804,MATCH(B628,'Task Master'!$A$5:$A$804,0)),""))</x:f>
      </x:c>
      <x:c r="G628" s="192"/>
      <x:c r="H628" s="192"/>
      <x:c r="I628" s="192"/>
      <x:c r="J628" s="192"/>
      <x:c r="K628" s="192"/>
      <x:c r="L628" s="196"/>
      <x:c r="M628" s="192"/>
      <x:c r="N628" s="192"/>
      <x:c r="O628" s="192"/>
      <x:c r="P628" s="192"/>
      <x:c r="Q628" s="170" t="str">
        <x:f>IF(OR(A628="",B628=""),"",IF(A628=LOOKUP(2,1/($B$5:$B$704=B628),$A$5:$A$704),"Yes","No"))</x:f>
      </x:c>
    </x:row>
    <x:row r="629">
      <x:c r="A629" s="194"/>
      <x:c r="B629" s="192"/>
      <x:c r="C629" s="170" t="str">
        <x:f>IF(B629="","",IF(COUNTIF('Raw Decommissioning'!$B$2:$B$1000,B629)&gt;0,"Decommissioning",IF(COUNTIF('Raw Provisioning'!$B$2:$B$1000,B629)&gt;0,"Provisioning","Not in latest raw")))</x:f>
      </x:c>
      <x:c r="D629" s="170" t="str">
        <x:f>IF(B629="","",IFERROR(INDEX('Raw Decommissioning'!$E$2:$E$1000,MATCH(B629,'Raw Decommissioning'!$B$2:$B$1000,0)),IFERROR(INDEX('Raw Provisioning'!$E$2:$E$1000,MATCH(B629,'Raw Provisioning'!$B$2:$B$1000,0)),"Missing from latest raw")))</x:f>
      </x:c>
      <x:c r="E629" s="170" t="str">
        <x:f>IF(B629="","",IF(D629="completed","Completed in CSSP",IF(D629="executing","Active - Executing",IF(D629="processing","Ready to Assign",IF(D629="Missing from latest raw","Check Source","Not Managed - "&amp;D629)))))</x:f>
      </x:c>
      <x:c r="F629" s="170" t="str">
        <x:f>IF(B629="","",IFERROR(INDEX('Task Master'!$K$5:$K$804,MATCH(B629,'Task Master'!$A$5:$A$804,0)),""))</x:f>
      </x:c>
      <x:c r="G629" s="192"/>
      <x:c r="H629" s="192"/>
      <x:c r="I629" s="192"/>
      <x:c r="J629" s="192"/>
      <x:c r="K629" s="192"/>
      <x:c r="L629" s="196"/>
      <x:c r="M629" s="192"/>
      <x:c r="N629" s="192"/>
      <x:c r="O629" s="192"/>
      <x:c r="P629" s="192"/>
      <x:c r="Q629" s="170" t="str">
        <x:f>IF(OR(A629="",B629=""),"",IF(A629=LOOKUP(2,1/($B$5:$B$704=B629),$A$5:$A$704),"Yes","No"))</x:f>
      </x:c>
    </x:row>
    <x:row r="630">
      <x:c r="A630" s="194"/>
      <x:c r="B630" s="192"/>
      <x:c r="C630" s="170" t="str">
        <x:f>IF(B630="","",IF(COUNTIF('Raw Decommissioning'!$B$2:$B$1000,B630)&gt;0,"Decommissioning",IF(COUNTIF('Raw Provisioning'!$B$2:$B$1000,B630)&gt;0,"Provisioning","Not in latest raw")))</x:f>
      </x:c>
      <x:c r="D630" s="170" t="str">
        <x:f>IF(B630="","",IFERROR(INDEX('Raw Decommissioning'!$E$2:$E$1000,MATCH(B630,'Raw Decommissioning'!$B$2:$B$1000,0)),IFERROR(INDEX('Raw Provisioning'!$E$2:$E$1000,MATCH(B630,'Raw Provisioning'!$B$2:$B$1000,0)),"Missing from latest raw")))</x:f>
      </x:c>
      <x:c r="E630" s="170" t="str">
        <x:f>IF(B630="","",IF(D630="completed","Completed in CSSP",IF(D630="executing","Active - Executing",IF(D630="processing","Ready to Assign",IF(D630="Missing from latest raw","Check Source","Not Managed - "&amp;D630)))))</x:f>
      </x:c>
      <x:c r="F630" s="170" t="str">
        <x:f>IF(B630="","",IFERROR(INDEX('Task Master'!$K$5:$K$804,MATCH(B630,'Task Master'!$A$5:$A$804,0)),""))</x:f>
      </x:c>
      <x:c r="G630" s="192"/>
      <x:c r="H630" s="192"/>
      <x:c r="I630" s="192"/>
      <x:c r="J630" s="192"/>
      <x:c r="K630" s="192"/>
      <x:c r="L630" s="196"/>
      <x:c r="M630" s="192"/>
      <x:c r="N630" s="192"/>
      <x:c r="O630" s="192"/>
      <x:c r="P630" s="192"/>
      <x:c r="Q630" s="170" t="str">
        <x:f>IF(OR(A630="",B630=""),"",IF(A630=LOOKUP(2,1/($B$5:$B$704=B630),$A$5:$A$704),"Yes","No"))</x:f>
      </x:c>
    </x:row>
    <x:row r="631">
      <x:c r="A631" s="194"/>
      <x:c r="B631" s="192"/>
      <x:c r="C631" s="170" t="str">
        <x:f>IF(B631="","",IF(COUNTIF('Raw Decommissioning'!$B$2:$B$1000,B631)&gt;0,"Decommissioning",IF(COUNTIF('Raw Provisioning'!$B$2:$B$1000,B631)&gt;0,"Provisioning","Not in latest raw")))</x:f>
      </x:c>
      <x:c r="D631" s="170" t="str">
        <x:f>IF(B631="","",IFERROR(INDEX('Raw Decommissioning'!$E$2:$E$1000,MATCH(B631,'Raw Decommissioning'!$B$2:$B$1000,0)),IFERROR(INDEX('Raw Provisioning'!$E$2:$E$1000,MATCH(B631,'Raw Provisioning'!$B$2:$B$1000,0)),"Missing from latest raw")))</x:f>
      </x:c>
      <x:c r="E631" s="170" t="str">
        <x:f>IF(B631="","",IF(D631="completed","Completed in CSSP",IF(D631="executing","Active - Executing",IF(D631="processing","Ready to Assign",IF(D631="Missing from latest raw","Check Source","Not Managed - "&amp;D631)))))</x:f>
      </x:c>
      <x:c r="F631" s="170" t="str">
        <x:f>IF(B631="","",IFERROR(INDEX('Task Master'!$K$5:$K$804,MATCH(B631,'Task Master'!$A$5:$A$804,0)),""))</x:f>
      </x:c>
      <x:c r="G631" s="192"/>
      <x:c r="H631" s="192"/>
      <x:c r="I631" s="192"/>
      <x:c r="J631" s="192"/>
      <x:c r="K631" s="192"/>
      <x:c r="L631" s="196"/>
      <x:c r="M631" s="192"/>
      <x:c r="N631" s="192"/>
      <x:c r="O631" s="192"/>
      <x:c r="P631" s="192"/>
      <x:c r="Q631" s="170" t="str">
        <x:f>IF(OR(A631="",B631=""),"",IF(A631=LOOKUP(2,1/($B$5:$B$704=B631),$A$5:$A$704),"Yes","No"))</x:f>
      </x:c>
    </x:row>
    <x:row r="632">
      <x:c r="A632" s="194"/>
      <x:c r="B632" s="192"/>
      <x:c r="C632" s="170" t="str">
        <x:f>IF(B632="","",IF(COUNTIF('Raw Decommissioning'!$B$2:$B$1000,B632)&gt;0,"Decommissioning",IF(COUNTIF('Raw Provisioning'!$B$2:$B$1000,B632)&gt;0,"Provisioning","Not in latest raw")))</x:f>
      </x:c>
      <x:c r="D632" s="170" t="str">
        <x:f>IF(B632="","",IFERROR(INDEX('Raw Decommissioning'!$E$2:$E$1000,MATCH(B632,'Raw Decommissioning'!$B$2:$B$1000,0)),IFERROR(INDEX('Raw Provisioning'!$E$2:$E$1000,MATCH(B632,'Raw Provisioning'!$B$2:$B$1000,0)),"Missing from latest raw")))</x:f>
      </x:c>
      <x:c r="E632" s="170" t="str">
        <x:f>IF(B632="","",IF(D632="completed","Completed in CSSP",IF(D632="executing","Active - Executing",IF(D632="processing","Ready to Assign",IF(D632="Missing from latest raw","Check Source","Not Managed - "&amp;D632)))))</x:f>
      </x:c>
      <x:c r="F632" s="170" t="str">
        <x:f>IF(B632="","",IFERROR(INDEX('Task Master'!$K$5:$K$804,MATCH(B632,'Task Master'!$A$5:$A$804,0)),""))</x:f>
      </x:c>
      <x:c r="G632" s="192"/>
      <x:c r="H632" s="192"/>
      <x:c r="I632" s="192"/>
      <x:c r="J632" s="192"/>
      <x:c r="K632" s="192"/>
      <x:c r="L632" s="196"/>
      <x:c r="M632" s="192"/>
      <x:c r="N632" s="192"/>
      <x:c r="O632" s="192"/>
      <x:c r="P632" s="192"/>
      <x:c r="Q632" s="170" t="str">
        <x:f>IF(OR(A632="",B632=""),"",IF(A632=LOOKUP(2,1/($B$5:$B$704=B632),$A$5:$A$704),"Yes","No"))</x:f>
      </x:c>
    </x:row>
    <x:row r="633">
      <x:c r="A633" s="194"/>
      <x:c r="B633" s="192"/>
      <x:c r="C633" s="170" t="str">
        <x:f>IF(B633="","",IF(COUNTIF('Raw Decommissioning'!$B$2:$B$1000,B633)&gt;0,"Decommissioning",IF(COUNTIF('Raw Provisioning'!$B$2:$B$1000,B633)&gt;0,"Provisioning","Not in latest raw")))</x:f>
      </x:c>
      <x:c r="D633" s="170" t="str">
        <x:f>IF(B633="","",IFERROR(INDEX('Raw Decommissioning'!$E$2:$E$1000,MATCH(B633,'Raw Decommissioning'!$B$2:$B$1000,0)),IFERROR(INDEX('Raw Provisioning'!$E$2:$E$1000,MATCH(B633,'Raw Provisioning'!$B$2:$B$1000,0)),"Missing from latest raw")))</x:f>
      </x:c>
      <x:c r="E633" s="170" t="str">
        <x:f>IF(B633="","",IF(D633="completed","Completed in CSSP",IF(D633="executing","Active - Executing",IF(D633="processing","Ready to Assign",IF(D633="Missing from latest raw","Check Source","Not Managed - "&amp;D633)))))</x:f>
      </x:c>
      <x:c r="F633" s="170" t="str">
        <x:f>IF(B633="","",IFERROR(INDEX('Task Master'!$K$5:$K$804,MATCH(B633,'Task Master'!$A$5:$A$804,0)),""))</x:f>
      </x:c>
      <x:c r="G633" s="192"/>
      <x:c r="H633" s="192"/>
      <x:c r="I633" s="192"/>
      <x:c r="J633" s="192"/>
      <x:c r="K633" s="192"/>
      <x:c r="L633" s="196"/>
      <x:c r="M633" s="192"/>
      <x:c r="N633" s="192"/>
      <x:c r="O633" s="192"/>
      <x:c r="P633" s="192"/>
      <x:c r="Q633" s="170" t="str">
        <x:f>IF(OR(A633="",B633=""),"",IF(A633=LOOKUP(2,1/($B$5:$B$704=B633),$A$5:$A$704),"Yes","No"))</x:f>
      </x:c>
    </x:row>
    <x:row r="634">
      <x:c r="A634" s="194"/>
      <x:c r="B634" s="192"/>
      <x:c r="C634" s="170" t="str">
        <x:f>IF(B634="","",IF(COUNTIF('Raw Decommissioning'!$B$2:$B$1000,B634)&gt;0,"Decommissioning",IF(COUNTIF('Raw Provisioning'!$B$2:$B$1000,B634)&gt;0,"Provisioning","Not in latest raw")))</x:f>
      </x:c>
      <x:c r="D634" s="170" t="str">
        <x:f>IF(B634="","",IFERROR(INDEX('Raw Decommissioning'!$E$2:$E$1000,MATCH(B634,'Raw Decommissioning'!$B$2:$B$1000,0)),IFERROR(INDEX('Raw Provisioning'!$E$2:$E$1000,MATCH(B634,'Raw Provisioning'!$B$2:$B$1000,0)),"Missing from latest raw")))</x:f>
      </x:c>
      <x:c r="E634" s="170" t="str">
        <x:f>IF(B634="","",IF(D634="completed","Completed in CSSP",IF(D634="executing","Active - Executing",IF(D634="processing","Ready to Assign",IF(D634="Missing from latest raw","Check Source","Not Managed - "&amp;D634)))))</x:f>
      </x:c>
      <x:c r="F634" s="170" t="str">
        <x:f>IF(B634="","",IFERROR(INDEX('Task Master'!$K$5:$K$804,MATCH(B634,'Task Master'!$A$5:$A$804,0)),""))</x:f>
      </x:c>
      <x:c r="G634" s="192"/>
      <x:c r="H634" s="192"/>
      <x:c r="I634" s="192"/>
      <x:c r="J634" s="192"/>
      <x:c r="K634" s="192"/>
      <x:c r="L634" s="196"/>
      <x:c r="M634" s="192"/>
      <x:c r="N634" s="192"/>
      <x:c r="O634" s="192"/>
      <x:c r="P634" s="192"/>
      <x:c r="Q634" s="170" t="str">
        <x:f>IF(OR(A634="",B634=""),"",IF(A634=LOOKUP(2,1/($B$5:$B$704=B634),$A$5:$A$704),"Yes","No"))</x:f>
      </x:c>
    </x:row>
    <x:row r="635">
      <x:c r="A635" s="194"/>
      <x:c r="B635" s="192"/>
      <x:c r="C635" s="170" t="str">
        <x:f>IF(B635="","",IF(COUNTIF('Raw Decommissioning'!$B$2:$B$1000,B635)&gt;0,"Decommissioning",IF(COUNTIF('Raw Provisioning'!$B$2:$B$1000,B635)&gt;0,"Provisioning","Not in latest raw")))</x:f>
      </x:c>
      <x:c r="D635" s="170" t="str">
        <x:f>IF(B635="","",IFERROR(INDEX('Raw Decommissioning'!$E$2:$E$1000,MATCH(B635,'Raw Decommissioning'!$B$2:$B$1000,0)),IFERROR(INDEX('Raw Provisioning'!$E$2:$E$1000,MATCH(B635,'Raw Provisioning'!$B$2:$B$1000,0)),"Missing from latest raw")))</x:f>
      </x:c>
      <x:c r="E635" s="170" t="str">
        <x:f>IF(B635="","",IF(D635="completed","Completed in CSSP",IF(D635="executing","Active - Executing",IF(D635="processing","Ready to Assign",IF(D635="Missing from latest raw","Check Source","Not Managed - "&amp;D635)))))</x:f>
      </x:c>
      <x:c r="F635" s="170" t="str">
        <x:f>IF(B635="","",IFERROR(INDEX('Task Master'!$K$5:$K$804,MATCH(B635,'Task Master'!$A$5:$A$804,0)),""))</x:f>
      </x:c>
      <x:c r="G635" s="192"/>
      <x:c r="H635" s="192"/>
      <x:c r="I635" s="192"/>
      <x:c r="J635" s="192"/>
      <x:c r="K635" s="192"/>
      <x:c r="L635" s="196"/>
      <x:c r="M635" s="192"/>
      <x:c r="N635" s="192"/>
      <x:c r="O635" s="192"/>
      <x:c r="P635" s="192"/>
      <x:c r="Q635" s="170" t="str">
        <x:f>IF(OR(A635="",B635=""),"",IF(A635=LOOKUP(2,1/($B$5:$B$704=B635),$A$5:$A$704),"Yes","No"))</x:f>
      </x:c>
    </x:row>
    <x:row r="636">
      <x:c r="A636" s="194"/>
      <x:c r="B636" s="192"/>
      <x:c r="C636" s="170" t="str">
        <x:f>IF(B636="","",IF(COUNTIF('Raw Decommissioning'!$B$2:$B$1000,B636)&gt;0,"Decommissioning",IF(COUNTIF('Raw Provisioning'!$B$2:$B$1000,B636)&gt;0,"Provisioning","Not in latest raw")))</x:f>
      </x:c>
      <x:c r="D636" s="170" t="str">
        <x:f>IF(B636="","",IFERROR(INDEX('Raw Decommissioning'!$E$2:$E$1000,MATCH(B636,'Raw Decommissioning'!$B$2:$B$1000,0)),IFERROR(INDEX('Raw Provisioning'!$E$2:$E$1000,MATCH(B636,'Raw Provisioning'!$B$2:$B$1000,0)),"Missing from latest raw")))</x:f>
      </x:c>
      <x:c r="E636" s="170" t="str">
        <x:f>IF(B636="","",IF(D636="completed","Completed in CSSP",IF(D636="executing","Active - Executing",IF(D636="processing","Ready to Assign",IF(D636="Missing from latest raw","Check Source","Not Managed - "&amp;D636)))))</x:f>
      </x:c>
      <x:c r="F636" s="170" t="str">
        <x:f>IF(B636="","",IFERROR(INDEX('Task Master'!$K$5:$K$804,MATCH(B636,'Task Master'!$A$5:$A$804,0)),""))</x:f>
      </x:c>
      <x:c r="G636" s="192"/>
      <x:c r="H636" s="192"/>
      <x:c r="I636" s="192"/>
      <x:c r="J636" s="192"/>
      <x:c r="K636" s="192"/>
      <x:c r="L636" s="196"/>
      <x:c r="M636" s="192"/>
      <x:c r="N636" s="192"/>
      <x:c r="O636" s="192"/>
      <x:c r="P636" s="192"/>
      <x:c r="Q636" s="170" t="str">
        <x:f>IF(OR(A636="",B636=""),"",IF(A636=LOOKUP(2,1/($B$5:$B$704=B636),$A$5:$A$704),"Yes","No"))</x:f>
      </x:c>
    </x:row>
    <x:row r="637">
      <x:c r="A637" s="194"/>
      <x:c r="B637" s="192"/>
      <x:c r="C637" s="170" t="str">
        <x:f>IF(B637="","",IF(COUNTIF('Raw Decommissioning'!$B$2:$B$1000,B637)&gt;0,"Decommissioning",IF(COUNTIF('Raw Provisioning'!$B$2:$B$1000,B637)&gt;0,"Provisioning","Not in latest raw")))</x:f>
      </x:c>
      <x:c r="D637" s="170" t="str">
        <x:f>IF(B637="","",IFERROR(INDEX('Raw Decommissioning'!$E$2:$E$1000,MATCH(B637,'Raw Decommissioning'!$B$2:$B$1000,0)),IFERROR(INDEX('Raw Provisioning'!$E$2:$E$1000,MATCH(B637,'Raw Provisioning'!$B$2:$B$1000,0)),"Missing from latest raw")))</x:f>
      </x:c>
      <x:c r="E637" s="170" t="str">
        <x:f>IF(B637="","",IF(D637="completed","Completed in CSSP",IF(D637="executing","Active - Executing",IF(D637="processing","Ready to Assign",IF(D637="Missing from latest raw","Check Source","Not Managed - "&amp;D637)))))</x:f>
      </x:c>
      <x:c r="F637" s="170" t="str">
        <x:f>IF(B637="","",IFERROR(INDEX('Task Master'!$K$5:$K$804,MATCH(B637,'Task Master'!$A$5:$A$804,0)),""))</x:f>
      </x:c>
      <x:c r="G637" s="192"/>
      <x:c r="H637" s="192"/>
      <x:c r="I637" s="192"/>
      <x:c r="J637" s="192"/>
      <x:c r="K637" s="192"/>
      <x:c r="L637" s="196"/>
      <x:c r="M637" s="192"/>
      <x:c r="N637" s="192"/>
      <x:c r="O637" s="192"/>
      <x:c r="P637" s="192"/>
      <x:c r="Q637" s="170" t="str">
        <x:f>IF(OR(A637="",B637=""),"",IF(A637=LOOKUP(2,1/($B$5:$B$704=B637),$A$5:$A$704),"Yes","No"))</x:f>
      </x:c>
    </x:row>
    <x:row r="638">
      <x:c r="A638" s="194"/>
      <x:c r="B638" s="192"/>
      <x:c r="C638" s="170" t="str">
        <x:f>IF(B638="","",IF(COUNTIF('Raw Decommissioning'!$B$2:$B$1000,B638)&gt;0,"Decommissioning",IF(COUNTIF('Raw Provisioning'!$B$2:$B$1000,B638)&gt;0,"Provisioning","Not in latest raw")))</x:f>
      </x:c>
      <x:c r="D638" s="170" t="str">
        <x:f>IF(B638="","",IFERROR(INDEX('Raw Decommissioning'!$E$2:$E$1000,MATCH(B638,'Raw Decommissioning'!$B$2:$B$1000,0)),IFERROR(INDEX('Raw Provisioning'!$E$2:$E$1000,MATCH(B638,'Raw Provisioning'!$B$2:$B$1000,0)),"Missing from latest raw")))</x:f>
      </x:c>
      <x:c r="E638" s="170" t="str">
        <x:f>IF(B638="","",IF(D638="completed","Completed in CSSP",IF(D638="executing","Active - Executing",IF(D638="processing","Ready to Assign",IF(D638="Missing from latest raw","Check Source","Not Managed - "&amp;D638)))))</x:f>
      </x:c>
      <x:c r="F638" s="170" t="str">
        <x:f>IF(B638="","",IFERROR(INDEX('Task Master'!$K$5:$K$804,MATCH(B638,'Task Master'!$A$5:$A$804,0)),""))</x:f>
      </x:c>
      <x:c r="G638" s="192"/>
      <x:c r="H638" s="192"/>
      <x:c r="I638" s="192"/>
      <x:c r="J638" s="192"/>
      <x:c r="K638" s="192"/>
      <x:c r="L638" s="196"/>
      <x:c r="M638" s="192"/>
      <x:c r="N638" s="192"/>
      <x:c r="O638" s="192"/>
      <x:c r="P638" s="192"/>
      <x:c r="Q638" s="170" t="str">
        <x:f>IF(OR(A638="",B638=""),"",IF(A638=LOOKUP(2,1/($B$5:$B$704=B638),$A$5:$A$704),"Yes","No"))</x:f>
      </x:c>
    </x:row>
    <x:row r="639">
      <x:c r="A639" s="194"/>
      <x:c r="B639" s="192"/>
      <x:c r="C639" s="170" t="str">
        <x:f>IF(B639="","",IF(COUNTIF('Raw Decommissioning'!$B$2:$B$1000,B639)&gt;0,"Decommissioning",IF(COUNTIF('Raw Provisioning'!$B$2:$B$1000,B639)&gt;0,"Provisioning","Not in latest raw")))</x:f>
      </x:c>
      <x:c r="D639" s="170" t="str">
        <x:f>IF(B639="","",IFERROR(INDEX('Raw Decommissioning'!$E$2:$E$1000,MATCH(B639,'Raw Decommissioning'!$B$2:$B$1000,0)),IFERROR(INDEX('Raw Provisioning'!$E$2:$E$1000,MATCH(B639,'Raw Provisioning'!$B$2:$B$1000,0)),"Missing from latest raw")))</x:f>
      </x:c>
      <x:c r="E639" s="170" t="str">
        <x:f>IF(B639="","",IF(D639="completed","Completed in CSSP",IF(D639="executing","Active - Executing",IF(D639="processing","Ready to Assign",IF(D639="Missing from latest raw","Check Source","Not Managed - "&amp;D639)))))</x:f>
      </x:c>
      <x:c r="F639" s="170" t="str">
        <x:f>IF(B639="","",IFERROR(INDEX('Task Master'!$K$5:$K$804,MATCH(B639,'Task Master'!$A$5:$A$804,0)),""))</x:f>
      </x:c>
      <x:c r="G639" s="192"/>
      <x:c r="H639" s="192"/>
      <x:c r="I639" s="192"/>
      <x:c r="J639" s="192"/>
      <x:c r="K639" s="192"/>
      <x:c r="L639" s="196"/>
      <x:c r="M639" s="192"/>
      <x:c r="N639" s="192"/>
      <x:c r="O639" s="192"/>
      <x:c r="P639" s="192"/>
      <x:c r="Q639" s="170" t="str">
        <x:f>IF(OR(A639="",B639=""),"",IF(A639=LOOKUP(2,1/($B$5:$B$704=B639),$A$5:$A$704),"Yes","No"))</x:f>
      </x:c>
    </x:row>
    <x:row r="640">
      <x:c r="A640" s="194"/>
      <x:c r="B640" s="192"/>
      <x:c r="C640" s="170" t="str">
        <x:f>IF(B640="","",IF(COUNTIF('Raw Decommissioning'!$B$2:$B$1000,B640)&gt;0,"Decommissioning",IF(COUNTIF('Raw Provisioning'!$B$2:$B$1000,B640)&gt;0,"Provisioning","Not in latest raw")))</x:f>
      </x:c>
      <x:c r="D640" s="170" t="str">
        <x:f>IF(B640="","",IFERROR(INDEX('Raw Decommissioning'!$E$2:$E$1000,MATCH(B640,'Raw Decommissioning'!$B$2:$B$1000,0)),IFERROR(INDEX('Raw Provisioning'!$E$2:$E$1000,MATCH(B640,'Raw Provisioning'!$B$2:$B$1000,0)),"Missing from latest raw")))</x:f>
      </x:c>
      <x:c r="E640" s="170" t="str">
        <x:f>IF(B640="","",IF(D640="completed","Completed in CSSP",IF(D640="executing","Active - Executing",IF(D640="processing","Ready to Assign",IF(D640="Missing from latest raw","Check Source","Not Managed - "&amp;D640)))))</x:f>
      </x:c>
      <x:c r="F640" s="170" t="str">
        <x:f>IF(B640="","",IFERROR(INDEX('Task Master'!$K$5:$K$804,MATCH(B640,'Task Master'!$A$5:$A$804,0)),""))</x:f>
      </x:c>
      <x:c r="G640" s="192"/>
      <x:c r="H640" s="192"/>
      <x:c r="I640" s="192"/>
      <x:c r="J640" s="192"/>
      <x:c r="K640" s="192"/>
      <x:c r="L640" s="196"/>
      <x:c r="M640" s="192"/>
      <x:c r="N640" s="192"/>
      <x:c r="O640" s="192"/>
      <x:c r="P640" s="192"/>
      <x:c r="Q640" s="170" t="str">
        <x:f>IF(OR(A640="",B640=""),"",IF(A640=LOOKUP(2,1/($B$5:$B$704=B640),$A$5:$A$704),"Yes","No"))</x:f>
      </x:c>
    </x:row>
    <x:row r="641">
      <x:c r="A641" s="194"/>
      <x:c r="B641" s="192"/>
      <x:c r="C641" s="170" t="str">
        <x:f>IF(B641="","",IF(COUNTIF('Raw Decommissioning'!$B$2:$B$1000,B641)&gt;0,"Decommissioning",IF(COUNTIF('Raw Provisioning'!$B$2:$B$1000,B641)&gt;0,"Provisioning","Not in latest raw")))</x:f>
      </x:c>
      <x:c r="D641" s="170" t="str">
        <x:f>IF(B641="","",IFERROR(INDEX('Raw Decommissioning'!$E$2:$E$1000,MATCH(B641,'Raw Decommissioning'!$B$2:$B$1000,0)),IFERROR(INDEX('Raw Provisioning'!$E$2:$E$1000,MATCH(B641,'Raw Provisioning'!$B$2:$B$1000,0)),"Missing from latest raw")))</x:f>
      </x:c>
      <x:c r="E641" s="170" t="str">
        <x:f>IF(B641="","",IF(D641="completed","Completed in CSSP",IF(D641="executing","Active - Executing",IF(D641="processing","Ready to Assign",IF(D641="Missing from latest raw","Check Source","Not Managed - "&amp;D641)))))</x:f>
      </x:c>
      <x:c r="F641" s="170" t="str">
        <x:f>IF(B641="","",IFERROR(INDEX('Task Master'!$K$5:$K$804,MATCH(B641,'Task Master'!$A$5:$A$804,0)),""))</x:f>
      </x:c>
      <x:c r="G641" s="192"/>
      <x:c r="H641" s="192"/>
      <x:c r="I641" s="192"/>
      <x:c r="J641" s="192"/>
      <x:c r="K641" s="192"/>
      <x:c r="L641" s="196"/>
      <x:c r="M641" s="192"/>
      <x:c r="N641" s="192"/>
      <x:c r="O641" s="192"/>
      <x:c r="P641" s="192"/>
      <x:c r="Q641" s="170" t="str">
        <x:f>IF(OR(A641="",B641=""),"",IF(A641=LOOKUP(2,1/($B$5:$B$704=B641),$A$5:$A$704),"Yes","No"))</x:f>
      </x:c>
    </x:row>
    <x:row r="642">
      <x:c r="A642" s="194"/>
      <x:c r="B642" s="192"/>
      <x:c r="C642" s="170" t="str">
        <x:f>IF(B642="","",IF(COUNTIF('Raw Decommissioning'!$B$2:$B$1000,B642)&gt;0,"Decommissioning",IF(COUNTIF('Raw Provisioning'!$B$2:$B$1000,B642)&gt;0,"Provisioning","Not in latest raw")))</x:f>
      </x:c>
      <x:c r="D642" s="170" t="str">
        <x:f>IF(B642="","",IFERROR(INDEX('Raw Decommissioning'!$E$2:$E$1000,MATCH(B642,'Raw Decommissioning'!$B$2:$B$1000,0)),IFERROR(INDEX('Raw Provisioning'!$E$2:$E$1000,MATCH(B642,'Raw Provisioning'!$B$2:$B$1000,0)),"Missing from latest raw")))</x:f>
      </x:c>
      <x:c r="E642" s="170" t="str">
        <x:f>IF(B642="","",IF(D642="completed","Completed in CSSP",IF(D642="executing","Active - Executing",IF(D642="processing","Ready to Assign",IF(D642="Missing from latest raw","Check Source","Not Managed - "&amp;D642)))))</x:f>
      </x:c>
      <x:c r="F642" s="170" t="str">
        <x:f>IF(B642="","",IFERROR(INDEX('Task Master'!$K$5:$K$804,MATCH(B642,'Task Master'!$A$5:$A$804,0)),""))</x:f>
      </x:c>
      <x:c r="G642" s="192"/>
      <x:c r="H642" s="192"/>
      <x:c r="I642" s="192"/>
      <x:c r="J642" s="192"/>
      <x:c r="K642" s="192"/>
      <x:c r="L642" s="196"/>
      <x:c r="M642" s="192"/>
      <x:c r="N642" s="192"/>
      <x:c r="O642" s="192"/>
      <x:c r="P642" s="192"/>
      <x:c r="Q642" s="170" t="str">
        <x:f>IF(OR(A642="",B642=""),"",IF(A642=LOOKUP(2,1/($B$5:$B$704=B642),$A$5:$A$704),"Yes","No"))</x:f>
      </x:c>
    </x:row>
    <x:row r="643">
      <x:c r="A643" s="194"/>
      <x:c r="B643" s="192"/>
      <x:c r="C643" s="170" t="str">
        <x:f>IF(B643="","",IF(COUNTIF('Raw Decommissioning'!$B$2:$B$1000,B643)&gt;0,"Decommissioning",IF(COUNTIF('Raw Provisioning'!$B$2:$B$1000,B643)&gt;0,"Provisioning","Not in latest raw")))</x:f>
      </x:c>
      <x:c r="D643" s="170" t="str">
        <x:f>IF(B643="","",IFERROR(INDEX('Raw Decommissioning'!$E$2:$E$1000,MATCH(B643,'Raw Decommissioning'!$B$2:$B$1000,0)),IFERROR(INDEX('Raw Provisioning'!$E$2:$E$1000,MATCH(B643,'Raw Provisioning'!$B$2:$B$1000,0)),"Missing from latest raw")))</x:f>
      </x:c>
      <x:c r="E643" s="170" t="str">
        <x:f>IF(B643="","",IF(D643="completed","Completed in CSSP",IF(D643="executing","Active - Executing",IF(D643="processing","Ready to Assign",IF(D643="Missing from latest raw","Check Source","Not Managed - "&amp;D643)))))</x:f>
      </x:c>
      <x:c r="F643" s="170" t="str">
        <x:f>IF(B643="","",IFERROR(INDEX('Task Master'!$K$5:$K$804,MATCH(B643,'Task Master'!$A$5:$A$804,0)),""))</x:f>
      </x:c>
      <x:c r="G643" s="192"/>
      <x:c r="H643" s="192"/>
      <x:c r="I643" s="192"/>
      <x:c r="J643" s="192"/>
      <x:c r="K643" s="192"/>
      <x:c r="L643" s="196"/>
      <x:c r="M643" s="192"/>
      <x:c r="N643" s="192"/>
      <x:c r="O643" s="192"/>
      <x:c r="P643" s="192"/>
      <x:c r="Q643" s="170" t="str">
        <x:f>IF(OR(A643="",B643=""),"",IF(A643=LOOKUP(2,1/($B$5:$B$704=B643),$A$5:$A$704),"Yes","No"))</x:f>
      </x:c>
    </x:row>
    <x:row r="644">
      <x:c r="A644" s="194"/>
      <x:c r="B644" s="192"/>
      <x:c r="C644" s="170" t="str">
        <x:f>IF(B644="","",IF(COUNTIF('Raw Decommissioning'!$B$2:$B$1000,B644)&gt;0,"Decommissioning",IF(COUNTIF('Raw Provisioning'!$B$2:$B$1000,B644)&gt;0,"Provisioning","Not in latest raw")))</x:f>
      </x:c>
      <x:c r="D644" s="170" t="str">
        <x:f>IF(B644="","",IFERROR(INDEX('Raw Decommissioning'!$E$2:$E$1000,MATCH(B644,'Raw Decommissioning'!$B$2:$B$1000,0)),IFERROR(INDEX('Raw Provisioning'!$E$2:$E$1000,MATCH(B644,'Raw Provisioning'!$B$2:$B$1000,0)),"Missing from latest raw")))</x:f>
      </x:c>
      <x:c r="E644" s="170" t="str">
        <x:f>IF(B644="","",IF(D644="completed","Completed in CSSP",IF(D644="executing","Active - Executing",IF(D644="processing","Ready to Assign",IF(D644="Missing from latest raw","Check Source","Not Managed - "&amp;D644)))))</x:f>
      </x:c>
      <x:c r="F644" s="170" t="str">
        <x:f>IF(B644="","",IFERROR(INDEX('Task Master'!$K$5:$K$804,MATCH(B644,'Task Master'!$A$5:$A$804,0)),""))</x:f>
      </x:c>
      <x:c r="G644" s="192"/>
      <x:c r="H644" s="192"/>
      <x:c r="I644" s="192"/>
      <x:c r="J644" s="192"/>
      <x:c r="K644" s="192"/>
      <x:c r="L644" s="196"/>
      <x:c r="M644" s="192"/>
      <x:c r="N644" s="192"/>
      <x:c r="O644" s="192"/>
      <x:c r="P644" s="192"/>
      <x:c r="Q644" s="170" t="str">
        <x:f>IF(OR(A644="",B644=""),"",IF(A644=LOOKUP(2,1/($B$5:$B$704=B644),$A$5:$A$704),"Yes","No"))</x:f>
      </x:c>
    </x:row>
    <x:row r="645">
      <x:c r="A645" s="194"/>
      <x:c r="B645" s="192"/>
      <x:c r="C645" s="170" t="str">
        <x:f>IF(B645="","",IF(COUNTIF('Raw Decommissioning'!$B$2:$B$1000,B645)&gt;0,"Decommissioning",IF(COUNTIF('Raw Provisioning'!$B$2:$B$1000,B645)&gt;0,"Provisioning","Not in latest raw")))</x:f>
      </x:c>
      <x:c r="D645" s="170" t="str">
        <x:f>IF(B645="","",IFERROR(INDEX('Raw Decommissioning'!$E$2:$E$1000,MATCH(B645,'Raw Decommissioning'!$B$2:$B$1000,0)),IFERROR(INDEX('Raw Provisioning'!$E$2:$E$1000,MATCH(B645,'Raw Provisioning'!$B$2:$B$1000,0)),"Missing from latest raw")))</x:f>
      </x:c>
      <x:c r="E645" s="170" t="str">
        <x:f>IF(B645="","",IF(D645="completed","Completed in CSSP",IF(D645="executing","Active - Executing",IF(D645="processing","Ready to Assign",IF(D645="Missing from latest raw","Check Source","Not Managed - "&amp;D645)))))</x:f>
      </x:c>
      <x:c r="F645" s="170" t="str">
        <x:f>IF(B645="","",IFERROR(INDEX('Task Master'!$K$5:$K$804,MATCH(B645,'Task Master'!$A$5:$A$804,0)),""))</x:f>
      </x:c>
      <x:c r="G645" s="192"/>
      <x:c r="H645" s="192"/>
      <x:c r="I645" s="192"/>
      <x:c r="J645" s="192"/>
      <x:c r="K645" s="192"/>
      <x:c r="L645" s="196"/>
      <x:c r="M645" s="192"/>
      <x:c r="N645" s="192"/>
      <x:c r="O645" s="192"/>
      <x:c r="P645" s="192"/>
      <x:c r="Q645" s="170" t="str">
        <x:f>IF(OR(A645="",B645=""),"",IF(A645=LOOKUP(2,1/($B$5:$B$704=B645),$A$5:$A$704),"Yes","No"))</x:f>
      </x:c>
    </x:row>
    <x:row r="646">
      <x:c r="A646" s="194"/>
      <x:c r="B646" s="192"/>
      <x:c r="C646" s="170" t="str">
        <x:f>IF(B646="","",IF(COUNTIF('Raw Decommissioning'!$B$2:$B$1000,B646)&gt;0,"Decommissioning",IF(COUNTIF('Raw Provisioning'!$B$2:$B$1000,B646)&gt;0,"Provisioning","Not in latest raw")))</x:f>
      </x:c>
      <x:c r="D646" s="170" t="str">
        <x:f>IF(B646="","",IFERROR(INDEX('Raw Decommissioning'!$E$2:$E$1000,MATCH(B646,'Raw Decommissioning'!$B$2:$B$1000,0)),IFERROR(INDEX('Raw Provisioning'!$E$2:$E$1000,MATCH(B646,'Raw Provisioning'!$B$2:$B$1000,0)),"Missing from latest raw")))</x:f>
      </x:c>
      <x:c r="E646" s="170" t="str">
        <x:f>IF(B646="","",IF(D646="completed","Completed in CSSP",IF(D646="executing","Active - Executing",IF(D646="processing","Ready to Assign",IF(D646="Missing from latest raw","Check Source","Not Managed - "&amp;D646)))))</x:f>
      </x:c>
      <x:c r="F646" s="170" t="str">
        <x:f>IF(B646="","",IFERROR(INDEX('Task Master'!$K$5:$K$804,MATCH(B646,'Task Master'!$A$5:$A$804,0)),""))</x:f>
      </x:c>
      <x:c r="G646" s="192"/>
      <x:c r="H646" s="192"/>
      <x:c r="I646" s="192"/>
      <x:c r="J646" s="192"/>
      <x:c r="K646" s="192"/>
      <x:c r="L646" s="196"/>
      <x:c r="M646" s="192"/>
      <x:c r="N646" s="192"/>
      <x:c r="O646" s="192"/>
      <x:c r="P646" s="192"/>
      <x:c r="Q646" s="170" t="str">
        <x:f>IF(OR(A646="",B646=""),"",IF(A646=LOOKUP(2,1/($B$5:$B$704=B646),$A$5:$A$704),"Yes","No"))</x:f>
      </x:c>
    </x:row>
    <x:row r="647">
      <x:c r="A647" s="194"/>
      <x:c r="B647" s="192"/>
      <x:c r="C647" s="170" t="str">
        <x:f>IF(B647="","",IF(COUNTIF('Raw Decommissioning'!$B$2:$B$1000,B647)&gt;0,"Decommissioning",IF(COUNTIF('Raw Provisioning'!$B$2:$B$1000,B647)&gt;0,"Provisioning","Not in latest raw")))</x:f>
      </x:c>
      <x:c r="D647" s="170" t="str">
        <x:f>IF(B647="","",IFERROR(INDEX('Raw Decommissioning'!$E$2:$E$1000,MATCH(B647,'Raw Decommissioning'!$B$2:$B$1000,0)),IFERROR(INDEX('Raw Provisioning'!$E$2:$E$1000,MATCH(B647,'Raw Provisioning'!$B$2:$B$1000,0)),"Missing from latest raw")))</x:f>
      </x:c>
      <x:c r="E647" s="170" t="str">
        <x:f>IF(B647="","",IF(D647="completed","Completed in CSSP",IF(D647="executing","Active - Executing",IF(D647="processing","Ready to Assign",IF(D647="Missing from latest raw","Check Source","Not Managed - "&amp;D647)))))</x:f>
      </x:c>
      <x:c r="F647" s="170" t="str">
        <x:f>IF(B647="","",IFERROR(INDEX('Task Master'!$K$5:$K$804,MATCH(B647,'Task Master'!$A$5:$A$804,0)),""))</x:f>
      </x:c>
      <x:c r="G647" s="192"/>
      <x:c r="H647" s="192"/>
      <x:c r="I647" s="192"/>
      <x:c r="J647" s="192"/>
      <x:c r="K647" s="192"/>
      <x:c r="L647" s="196"/>
      <x:c r="M647" s="192"/>
      <x:c r="N647" s="192"/>
      <x:c r="O647" s="192"/>
      <x:c r="P647" s="192"/>
      <x:c r="Q647" s="170" t="str">
        <x:f>IF(OR(A647="",B647=""),"",IF(A647=LOOKUP(2,1/($B$5:$B$704=B647),$A$5:$A$704),"Yes","No"))</x:f>
      </x:c>
    </x:row>
    <x:row r="648">
      <x:c r="A648" s="194"/>
      <x:c r="B648" s="192"/>
      <x:c r="C648" s="170" t="str">
        <x:f>IF(B648="","",IF(COUNTIF('Raw Decommissioning'!$B$2:$B$1000,B648)&gt;0,"Decommissioning",IF(COUNTIF('Raw Provisioning'!$B$2:$B$1000,B648)&gt;0,"Provisioning","Not in latest raw")))</x:f>
      </x:c>
      <x:c r="D648" s="170" t="str">
        <x:f>IF(B648="","",IFERROR(INDEX('Raw Decommissioning'!$E$2:$E$1000,MATCH(B648,'Raw Decommissioning'!$B$2:$B$1000,0)),IFERROR(INDEX('Raw Provisioning'!$E$2:$E$1000,MATCH(B648,'Raw Provisioning'!$B$2:$B$1000,0)),"Missing from latest raw")))</x:f>
      </x:c>
      <x:c r="E648" s="170" t="str">
        <x:f>IF(B648="","",IF(D648="completed","Completed in CSSP",IF(D648="executing","Active - Executing",IF(D648="processing","Ready to Assign",IF(D648="Missing from latest raw","Check Source","Not Managed - "&amp;D648)))))</x:f>
      </x:c>
      <x:c r="F648" s="170" t="str">
        <x:f>IF(B648="","",IFERROR(INDEX('Task Master'!$K$5:$K$804,MATCH(B648,'Task Master'!$A$5:$A$804,0)),""))</x:f>
      </x:c>
      <x:c r="G648" s="192"/>
      <x:c r="H648" s="192"/>
      <x:c r="I648" s="192"/>
      <x:c r="J648" s="192"/>
      <x:c r="K648" s="192"/>
      <x:c r="L648" s="196"/>
      <x:c r="M648" s="192"/>
      <x:c r="N648" s="192"/>
      <x:c r="O648" s="192"/>
      <x:c r="P648" s="192"/>
      <x:c r="Q648" s="170" t="str">
        <x:f>IF(OR(A648="",B648=""),"",IF(A648=LOOKUP(2,1/($B$5:$B$704=B648),$A$5:$A$704),"Yes","No"))</x:f>
      </x:c>
    </x:row>
    <x:row r="649">
      <x:c r="A649" s="194"/>
      <x:c r="B649" s="192"/>
      <x:c r="C649" s="170" t="str">
        <x:f>IF(B649="","",IF(COUNTIF('Raw Decommissioning'!$B$2:$B$1000,B649)&gt;0,"Decommissioning",IF(COUNTIF('Raw Provisioning'!$B$2:$B$1000,B649)&gt;0,"Provisioning","Not in latest raw")))</x:f>
      </x:c>
      <x:c r="D649" s="170" t="str">
        <x:f>IF(B649="","",IFERROR(INDEX('Raw Decommissioning'!$E$2:$E$1000,MATCH(B649,'Raw Decommissioning'!$B$2:$B$1000,0)),IFERROR(INDEX('Raw Provisioning'!$E$2:$E$1000,MATCH(B649,'Raw Provisioning'!$B$2:$B$1000,0)),"Missing from latest raw")))</x:f>
      </x:c>
      <x:c r="E649" s="170" t="str">
        <x:f>IF(B649="","",IF(D649="completed","Completed in CSSP",IF(D649="executing","Active - Executing",IF(D649="processing","Ready to Assign",IF(D649="Missing from latest raw","Check Source","Not Managed - "&amp;D649)))))</x:f>
      </x:c>
      <x:c r="F649" s="170" t="str">
        <x:f>IF(B649="","",IFERROR(INDEX('Task Master'!$K$5:$K$804,MATCH(B649,'Task Master'!$A$5:$A$804,0)),""))</x:f>
      </x:c>
      <x:c r="G649" s="192"/>
      <x:c r="H649" s="192"/>
      <x:c r="I649" s="192"/>
      <x:c r="J649" s="192"/>
      <x:c r="K649" s="192"/>
      <x:c r="L649" s="196"/>
      <x:c r="M649" s="192"/>
      <x:c r="N649" s="192"/>
      <x:c r="O649" s="192"/>
      <x:c r="P649" s="192"/>
      <x:c r="Q649" s="170" t="str">
        <x:f>IF(OR(A649="",B649=""),"",IF(A649=LOOKUP(2,1/($B$5:$B$704=B649),$A$5:$A$704),"Yes","No"))</x:f>
      </x:c>
    </x:row>
    <x:row r="650">
      <x:c r="A650" s="194"/>
      <x:c r="B650" s="192"/>
      <x:c r="C650" s="170" t="str">
        <x:f>IF(B650="","",IF(COUNTIF('Raw Decommissioning'!$B$2:$B$1000,B650)&gt;0,"Decommissioning",IF(COUNTIF('Raw Provisioning'!$B$2:$B$1000,B650)&gt;0,"Provisioning","Not in latest raw")))</x:f>
      </x:c>
      <x:c r="D650" s="170" t="str">
        <x:f>IF(B650="","",IFERROR(INDEX('Raw Decommissioning'!$E$2:$E$1000,MATCH(B650,'Raw Decommissioning'!$B$2:$B$1000,0)),IFERROR(INDEX('Raw Provisioning'!$E$2:$E$1000,MATCH(B650,'Raw Provisioning'!$B$2:$B$1000,0)),"Missing from latest raw")))</x:f>
      </x:c>
      <x:c r="E650" s="170" t="str">
        <x:f>IF(B650="","",IF(D650="completed","Completed in CSSP",IF(D650="executing","Active - Executing",IF(D650="processing","Ready to Assign",IF(D650="Missing from latest raw","Check Source","Not Managed - "&amp;D650)))))</x:f>
      </x:c>
      <x:c r="F650" s="170" t="str">
        <x:f>IF(B650="","",IFERROR(INDEX('Task Master'!$K$5:$K$804,MATCH(B650,'Task Master'!$A$5:$A$804,0)),""))</x:f>
      </x:c>
      <x:c r="G650" s="192"/>
      <x:c r="H650" s="192"/>
      <x:c r="I650" s="192"/>
      <x:c r="J650" s="192"/>
      <x:c r="K650" s="192"/>
      <x:c r="L650" s="196"/>
      <x:c r="M650" s="192"/>
      <x:c r="N650" s="192"/>
      <x:c r="O650" s="192"/>
      <x:c r="P650" s="192"/>
      <x:c r="Q650" s="170" t="str">
        <x:f>IF(OR(A650="",B650=""),"",IF(A650=LOOKUP(2,1/($B$5:$B$704=B650),$A$5:$A$704),"Yes","No"))</x:f>
      </x:c>
    </x:row>
    <x:row r="651">
      <x:c r="A651" s="194"/>
      <x:c r="B651" s="192"/>
      <x:c r="C651" s="170" t="str">
        <x:f>IF(B651="","",IF(COUNTIF('Raw Decommissioning'!$B$2:$B$1000,B651)&gt;0,"Decommissioning",IF(COUNTIF('Raw Provisioning'!$B$2:$B$1000,B651)&gt;0,"Provisioning","Not in latest raw")))</x:f>
      </x:c>
      <x:c r="D651" s="170" t="str">
        <x:f>IF(B651="","",IFERROR(INDEX('Raw Decommissioning'!$E$2:$E$1000,MATCH(B651,'Raw Decommissioning'!$B$2:$B$1000,0)),IFERROR(INDEX('Raw Provisioning'!$E$2:$E$1000,MATCH(B651,'Raw Provisioning'!$B$2:$B$1000,0)),"Missing from latest raw")))</x:f>
      </x:c>
      <x:c r="E651" s="170" t="str">
        <x:f>IF(B651="","",IF(D651="completed","Completed in CSSP",IF(D651="executing","Active - Executing",IF(D651="processing","Ready to Assign",IF(D651="Missing from latest raw","Check Source","Not Managed - "&amp;D651)))))</x:f>
      </x:c>
      <x:c r="F651" s="170" t="str">
        <x:f>IF(B651="","",IFERROR(INDEX('Task Master'!$K$5:$K$804,MATCH(B651,'Task Master'!$A$5:$A$804,0)),""))</x:f>
      </x:c>
      <x:c r="G651" s="192"/>
      <x:c r="H651" s="192"/>
      <x:c r="I651" s="192"/>
      <x:c r="J651" s="192"/>
      <x:c r="K651" s="192"/>
      <x:c r="L651" s="196"/>
      <x:c r="M651" s="192"/>
      <x:c r="N651" s="192"/>
      <x:c r="O651" s="192"/>
      <x:c r="P651" s="192"/>
      <x:c r="Q651" s="170" t="str">
        <x:f>IF(OR(A651="",B651=""),"",IF(A651=LOOKUP(2,1/($B$5:$B$704=B651),$A$5:$A$704),"Yes","No"))</x:f>
      </x:c>
    </x:row>
    <x:row r="652">
      <x:c r="A652" s="194"/>
      <x:c r="B652" s="192"/>
      <x:c r="C652" s="170" t="str">
        <x:f>IF(B652="","",IF(COUNTIF('Raw Decommissioning'!$B$2:$B$1000,B652)&gt;0,"Decommissioning",IF(COUNTIF('Raw Provisioning'!$B$2:$B$1000,B652)&gt;0,"Provisioning","Not in latest raw")))</x:f>
      </x:c>
      <x:c r="D652" s="170" t="str">
        <x:f>IF(B652="","",IFERROR(INDEX('Raw Decommissioning'!$E$2:$E$1000,MATCH(B652,'Raw Decommissioning'!$B$2:$B$1000,0)),IFERROR(INDEX('Raw Provisioning'!$E$2:$E$1000,MATCH(B652,'Raw Provisioning'!$B$2:$B$1000,0)),"Missing from latest raw")))</x:f>
      </x:c>
      <x:c r="E652" s="170" t="str">
        <x:f>IF(B652="","",IF(D652="completed","Completed in CSSP",IF(D652="executing","Active - Executing",IF(D652="processing","Ready to Assign",IF(D652="Missing from latest raw","Check Source","Not Managed - "&amp;D652)))))</x:f>
      </x:c>
      <x:c r="F652" s="170" t="str">
        <x:f>IF(B652="","",IFERROR(INDEX('Task Master'!$K$5:$K$804,MATCH(B652,'Task Master'!$A$5:$A$804,0)),""))</x:f>
      </x:c>
      <x:c r="G652" s="192"/>
      <x:c r="H652" s="192"/>
      <x:c r="I652" s="192"/>
      <x:c r="J652" s="192"/>
      <x:c r="K652" s="192"/>
      <x:c r="L652" s="196"/>
      <x:c r="M652" s="192"/>
      <x:c r="N652" s="192"/>
      <x:c r="O652" s="192"/>
      <x:c r="P652" s="192"/>
      <x:c r="Q652" s="170" t="str">
        <x:f>IF(OR(A652="",B652=""),"",IF(A652=LOOKUP(2,1/($B$5:$B$704=B652),$A$5:$A$704),"Yes","No"))</x:f>
      </x:c>
    </x:row>
    <x:row r="653">
      <x:c r="A653" s="194"/>
      <x:c r="B653" s="192"/>
      <x:c r="C653" s="170" t="str">
        <x:f>IF(B653="","",IF(COUNTIF('Raw Decommissioning'!$B$2:$B$1000,B653)&gt;0,"Decommissioning",IF(COUNTIF('Raw Provisioning'!$B$2:$B$1000,B653)&gt;0,"Provisioning","Not in latest raw")))</x:f>
      </x:c>
      <x:c r="D653" s="170" t="str">
        <x:f>IF(B653="","",IFERROR(INDEX('Raw Decommissioning'!$E$2:$E$1000,MATCH(B653,'Raw Decommissioning'!$B$2:$B$1000,0)),IFERROR(INDEX('Raw Provisioning'!$E$2:$E$1000,MATCH(B653,'Raw Provisioning'!$B$2:$B$1000,0)),"Missing from latest raw")))</x:f>
      </x:c>
      <x:c r="E653" s="170" t="str">
        <x:f>IF(B653="","",IF(D653="completed","Completed in CSSP",IF(D653="executing","Active - Executing",IF(D653="processing","Ready to Assign",IF(D653="Missing from latest raw","Check Source","Not Managed - "&amp;D653)))))</x:f>
      </x:c>
      <x:c r="F653" s="170" t="str">
        <x:f>IF(B653="","",IFERROR(INDEX('Task Master'!$K$5:$K$804,MATCH(B653,'Task Master'!$A$5:$A$804,0)),""))</x:f>
      </x:c>
      <x:c r="G653" s="192"/>
      <x:c r="H653" s="192"/>
      <x:c r="I653" s="192"/>
      <x:c r="J653" s="192"/>
      <x:c r="K653" s="192"/>
      <x:c r="L653" s="196"/>
      <x:c r="M653" s="192"/>
      <x:c r="N653" s="192"/>
      <x:c r="O653" s="192"/>
      <x:c r="P653" s="192"/>
      <x:c r="Q653" s="170" t="str">
        <x:f>IF(OR(A653="",B653=""),"",IF(A653=LOOKUP(2,1/($B$5:$B$704=B653),$A$5:$A$704),"Yes","No"))</x:f>
      </x:c>
    </x:row>
    <x:row r="654">
      <x:c r="A654" s="194"/>
      <x:c r="B654" s="192"/>
      <x:c r="C654" s="170" t="str">
        <x:f>IF(B654="","",IF(COUNTIF('Raw Decommissioning'!$B$2:$B$1000,B654)&gt;0,"Decommissioning",IF(COUNTIF('Raw Provisioning'!$B$2:$B$1000,B654)&gt;0,"Provisioning","Not in latest raw")))</x:f>
      </x:c>
      <x:c r="D654" s="170" t="str">
        <x:f>IF(B654="","",IFERROR(INDEX('Raw Decommissioning'!$E$2:$E$1000,MATCH(B654,'Raw Decommissioning'!$B$2:$B$1000,0)),IFERROR(INDEX('Raw Provisioning'!$E$2:$E$1000,MATCH(B654,'Raw Provisioning'!$B$2:$B$1000,0)),"Missing from latest raw")))</x:f>
      </x:c>
      <x:c r="E654" s="170" t="str">
        <x:f>IF(B654="","",IF(D654="completed","Completed in CSSP",IF(D654="executing","Active - Executing",IF(D654="processing","Ready to Assign",IF(D654="Missing from latest raw","Check Source","Not Managed - "&amp;D654)))))</x:f>
      </x:c>
      <x:c r="F654" s="170" t="str">
        <x:f>IF(B654="","",IFERROR(INDEX('Task Master'!$K$5:$K$804,MATCH(B654,'Task Master'!$A$5:$A$804,0)),""))</x:f>
      </x:c>
      <x:c r="G654" s="192"/>
      <x:c r="H654" s="192"/>
      <x:c r="I654" s="192"/>
      <x:c r="J654" s="192"/>
      <x:c r="K654" s="192"/>
      <x:c r="L654" s="196"/>
      <x:c r="M654" s="192"/>
      <x:c r="N654" s="192"/>
      <x:c r="O654" s="192"/>
      <x:c r="P654" s="192"/>
      <x:c r="Q654" s="170" t="str">
        <x:f>IF(OR(A654="",B654=""),"",IF(A654=LOOKUP(2,1/($B$5:$B$704=B654),$A$5:$A$704),"Yes","No"))</x:f>
      </x:c>
    </x:row>
    <x:row r="655">
      <x:c r="A655" s="194"/>
      <x:c r="B655" s="192"/>
      <x:c r="C655" s="170" t="str">
        <x:f>IF(B655="","",IF(COUNTIF('Raw Decommissioning'!$B$2:$B$1000,B655)&gt;0,"Decommissioning",IF(COUNTIF('Raw Provisioning'!$B$2:$B$1000,B655)&gt;0,"Provisioning","Not in latest raw")))</x:f>
      </x:c>
      <x:c r="D655" s="170" t="str">
        <x:f>IF(B655="","",IFERROR(INDEX('Raw Decommissioning'!$E$2:$E$1000,MATCH(B655,'Raw Decommissioning'!$B$2:$B$1000,0)),IFERROR(INDEX('Raw Provisioning'!$E$2:$E$1000,MATCH(B655,'Raw Provisioning'!$B$2:$B$1000,0)),"Missing from latest raw")))</x:f>
      </x:c>
      <x:c r="E655" s="170" t="str">
        <x:f>IF(B655="","",IF(D655="completed","Completed in CSSP",IF(D655="executing","Active - Executing",IF(D655="processing","Ready to Assign",IF(D655="Missing from latest raw","Check Source","Not Managed - "&amp;D655)))))</x:f>
      </x:c>
      <x:c r="F655" s="170" t="str">
        <x:f>IF(B655="","",IFERROR(INDEX('Task Master'!$K$5:$K$804,MATCH(B655,'Task Master'!$A$5:$A$804,0)),""))</x:f>
      </x:c>
      <x:c r="G655" s="192"/>
      <x:c r="H655" s="192"/>
      <x:c r="I655" s="192"/>
      <x:c r="J655" s="192"/>
      <x:c r="K655" s="192"/>
      <x:c r="L655" s="196"/>
      <x:c r="M655" s="192"/>
      <x:c r="N655" s="192"/>
      <x:c r="O655" s="192"/>
      <x:c r="P655" s="192"/>
      <x:c r="Q655" s="170" t="str">
        <x:f>IF(OR(A655="",B655=""),"",IF(A655=LOOKUP(2,1/($B$5:$B$704=B655),$A$5:$A$704),"Yes","No"))</x:f>
      </x:c>
    </x:row>
    <x:row r="656">
      <x:c r="A656" s="194"/>
      <x:c r="B656" s="192"/>
      <x:c r="C656" s="170" t="str">
        <x:f>IF(B656="","",IF(COUNTIF('Raw Decommissioning'!$B$2:$B$1000,B656)&gt;0,"Decommissioning",IF(COUNTIF('Raw Provisioning'!$B$2:$B$1000,B656)&gt;0,"Provisioning","Not in latest raw")))</x:f>
      </x:c>
      <x:c r="D656" s="170" t="str">
        <x:f>IF(B656="","",IFERROR(INDEX('Raw Decommissioning'!$E$2:$E$1000,MATCH(B656,'Raw Decommissioning'!$B$2:$B$1000,0)),IFERROR(INDEX('Raw Provisioning'!$E$2:$E$1000,MATCH(B656,'Raw Provisioning'!$B$2:$B$1000,0)),"Missing from latest raw")))</x:f>
      </x:c>
      <x:c r="E656" s="170" t="str">
        <x:f>IF(B656="","",IF(D656="completed","Completed in CSSP",IF(D656="executing","Active - Executing",IF(D656="processing","Ready to Assign",IF(D656="Missing from latest raw","Check Source","Not Managed - "&amp;D656)))))</x:f>
      </x:c>
      <x:c r="F656" s="170" t="str">
        <x:f>IF(B656="","",IFERROR(INDEX('Task Master'!$K$5:$K$804,MATCH(B656,'Task Master'!$A$5:$A$804,0)),""))</x:f>
      </x:c>
      <x:c r="G656" s="192"/>
      <x:c r="H656" s="192"/>
      <x:c r="I656" s="192"/>
      <x:c r="J656" s="192"/>
      <x:c r="K656" s="192"/>
      <x:c r="L656" s="196"/>
      <x:c r="M656" s="192"/>
      <x:c r="N656" s="192"/>
      <x:c r="O656" s="192"/>
      <x:c r="P656" s="192"/>
      <x:c r="Q656" s="170" t="str">
        <x:f>IF(OR(A656="",B656=""),"",IF(A656=LOOKUP(2,1/($B$5:$B$704=B656),$A$5:$A$704),"Yes","No"))</x:f>
      </x:c>
    </x:row>
    <x:row r="657">
      <x:c r="A657" s="194"/>
      <x:c r="B657" s="192"/>
      <x:c r="C657" s="170" t="str">
        <x:f>IF(B657="","",IF(COUNTIF('Raw Decommissioning'!$B$2:$B$1000,B657)&gt;0,"Decommissioning",IF(COUNTIF('Raw Provisioning'!$B$2:$B$1000,B657)&gt;0,"Provisioning","Not in latest raw")))</x:f>
      </x:c>
      <x:c r="D657" s="170" t="str">
        <x:f>IF(B657="","",IFERROR(INDEX('Raw Decommissioning'!$E$2:$E$1000,MATCH(B657,'Raw Decommissioning'!$B$2:$B$1000,0)),IFERROR(INDEX('Raw Provisioning'!$E$2:$E$1000,MATCH(B657,'Raw Provisioning'!$B$2:$B$1000,0)),"Missing from latest raw")))</x:f>
      </x:c>
      <x:c r="E657" s="170" t="str">
        <x:f>IF(B657="","",IF(D657="completed","Completed in CSSP",IF(D657="executing","Active - Executing",IF(D657="processing","Ready to Assign",IF(D657="Missing from latest raw","Check Source","Not Managed - "&amp;D657)))))</x:f>
      </x:c>
      <x:c r="F657" s="170" t="str">
        <x:f>IF(B657="","",IFERROR(INDEX('Task Master'!$K$5:$K$804,MATCH(B657,'Task Master'!$A$5:$A$804,0)),""))</x:f>
      </x:c>
      <x:c r="G657" s="192"/>
      <x:c r="H657" s="192"/>
      <x:c r="I657" s="192"/>
      <x:c r="J657" s="192"/>
      <x:c r="K657" s="192"/>
      <x:c r="L657" s="196"/>
      <x:c r="M657" s="192"/>
      <x:c r="N657" s="192"/>
      <x:c r="O657" s="192"/>
      <x:c r="P657" s="192"/>
      <x:c r="Q657" s="170" t="str">
        <x:f>IF(OR(A657="",B657=""),"",IF(A657=LOOKUP(2,1/($B$5:$B$704=B657),$A$5:$A$704),"Yes","No"))</x:f>
      </x:c>
    </x:row>
    <x:row r="658">
      <x:c r="A658" s="194"/>
      <x:c r="B658" s="192"/>
      <x:c r="C658" s="170" t="str">
        <x:f>IF(B658="","",IF(COUNTIF('Raw Decommissioning'!$B$2:$B$1000,B658)&gt;0,"Decommissioning",IF(COUNTIF('Raw Provisioning'!$B$2:$B$1000,B658)&gt;0,"Provisioning","Not in latest raw")))</x:f>
      </x:c>
      <x:c r="D658" s="170" t="str">
        <x:f>IF(B658="","",IFERROR(INDEX('Raw Decommissioning'!$E$2:$E$1000,MATCH(B658,'Raw Decommissioning'!$B$2:$B$1000,0)),IFERROR(INDEX('Raw Provisioning'!$E$2:$E$1000,MATCH(B658,'Raw Provisioning'!$B$2:$B$1000,0)),"Missing from latest raw")))</x:f>
      </x:c>
      <x:c r="E658" s="170" t="str">
        <x:f>IF(B658="","",IF(D658="completed","Completed in CSSP",IF(D658="executing","Active - Executing",IF(D658="processing","Ready to Assign",IF(D658="Missing from latest raw","Check Source","Not Managed - "&amp;D658)))))</x:f>
      </x:c>
      <x:c r="F658" s="170" t="str">
        <x:f>IF(B658="","",IFERROR(INDEX('Task Master'!$K$5:$K$804,MATCH(B658,'Task Master'!$A$5:$A$804,0)),""))</x:f>
      </x:c>
      <x:c r="G658" s="192"/>
      <x:c r="H658" s="192"/>
      <x:c r="I658" s="192"/>
      <x:c r="J658" s="192"/>
      <x:c r="K658" s="192"/>
      <x:c r="L658" s="196"/>
      <x:c r="M658" s="192"/>
      <x:c r="N658" s="192"/>
      <x:c r="O658" s="192"/>
      <x:c r="P658" s="192"/>
      <x:c r="Q658" s="170" t="str">
        <x:f>IF(OR(A658="",B658=""),"",IF(A658=LOOKUP(2,1/($B$5:$B$704=B658),$A$5:$A$704),"Yes","No"))</x:f>
      </x:c>
    </x:row>
    <x:row r="659">
      <x:c r="A659" s="194"/>
      <x:c r="B659" s="192"/>
      <x:c r="C659" s="170" t="str">
        <x:f>IF(B659="","",IF(COUNTIF('Raw Decommissioning'!$B$2:$B$1000,B659)&gt;0,"Decommissioning",IF(COUNTIF('Raw Provisioning'!$B$2:$B$1000,B659)&gt;0,"Provisioning","Not in latest raw")))</x:f>
      </x:c>
      <x:c r="D659" s="170" t="str">
        <x:f>IF(B659="","",IFERROR(INDEX('Raw Decommissioning'!$E$2:$E$1000,MATCH(B659,'Raw Decommissioning'!$B$2:$B$1000,0)),IFERROR(INDEX('Raw Provisioning'!$E$2:$E$1000,MATCH(B659,'Raw Provisioning'!$B$2:$B$1000,0)),"Missing from latest raw")))</x:f>
      </x:c>
      <x:c r="E659" s="170" t="str">
        <x:f>IF(B659="","",IF(D659="completed","Completed in CSSP",IF(D659="executing","Active - Executing",IF(D659="processing","Ready to Assign",IF(D659="Missing from latest raw","Check Source","Not Managed - "&amp;D659)))))</x:f>
      </x:c>
      <x:c r="F659" s="170" t="str">
        <x:f>IF(B659="","",IFERROR(INDEX('Task Master'!$K$5:$K$804,MATCH(B659,'Task Master'!$A$5:$A$804,0)),""))</x:f>
      </x:c>
      <x:c r="G659" s="192"/>
      <x:c r="H659" s="192"/>
      <x:c r="I659" s="192"/>
      <x:c r="J659" s="192"/>
      <x:c r="K659" s="192"/>
      <x:c r="L659" s="196"/>
      <x:c r="M659" s="192"/>
      <x:c r="N659" s="192"/>
      <x:c r="O659" s="192"/>
      <x:c r="P659" s="192"/>
      <x:c r="Q659" s="170" t="str">
        <x:f>IF(OR(A659="",B659=""),"",IF(A659=LOOKUP(2,1/($B$5:$B$704=B659),$A$5:$A$704),"Yes","No"))</x:f>
      </x:c>
    </x:row>
    <x:row r="660">
      <x:c r="A660" s="194"/>
      <x:c r="B660" s="192"/>
      <x:c r="C660" s="170" t="str">
        <x:f>IF(B660="","",IF(COUNTIF('Raw Decommissioning'!$B$2:$B$1000,B660)&gt;0,"Decommissioning",IF(COUNTIF('Raw Provisioning'!$B$2:$B$1000,B660)&gt;0,"Provisioning","Not in latest raw")))</x:f>
      </x:c>
      <x:c r="D660" s="170" t="str">
        <x:f>IF(B660="","",IFERROR(INDEX('Raw Decommissioning'!$E$2:$E$1000,MATCH(B660,'Raw Decommissioning'!$B$2:$B$1000,0)),IFERROR(INDEX('Raw Provisioning'!$E$2:$E$1000,MATCH(B660,'Raw Provisioning'!$B$2:$B$1000,0)),"Missing from latest raw")))</x:f>
      </x:c>
      <x:c r="E660" s="170" t="str">
        <x:f>IF(B660="","",IF(D660="completed","Completed in CSSP",IF(D660="executing","Active - Executing",IF(D660="processing","Ready to Assign",IF(D660="Missing from latest raw","Check Source","Not Managed - "&amp;D660)))))</x:f>
      </x:c>
      <x:c r="F660" s="170" t="str">
        <x:f>IF(B660="","",IFERROR(INDEX('Task Master'!$K$5:$K$804,MATCH(B660,'Task Master'!$A$5:$A$804,0)),""))</x:f>
      </x:c>
      <x:c r="G660" s="192"/>
      <x:c r="H660" s="192"/>
      <x:c r="I660" s="192"/>
      <x:c r="J660" s="192"/>
      <x:c r="K660" s="192"/>
      <x:c r="L660" s="196"/>
      <x:c r="M660" s="192"/>
      <x:c r="N660" s="192"/>
      <x:c r="O660" s="192"/>
      <x:c r="P660" s="192"/>
      <x:c r="Q660" s="170" t="str">
        <x:f>IF(OR(A660="",B660=""),"",IF(A660=LOOKUP(2,1/($B$5:$B$704=B660),$A$5:$A$704),"Yes","No"))</x:f>
      </x:c>
    </x:row>
    <x:row r="661">
      <x:c r="A661" s="194"/>
      <x:c r="B661" s="192"/>
      <x:c r="C661" s="170" t="str">
        <x:f>IF(B661="","",IF(COUNTIF('Raw Decommissioning'!$B$2:$B$1000,B661)&gt;0,"Decommissioning",IF(COUNTIF('Raw Provisioning'!$B$2:$B$1000,B661)&gt;0,"Provisioning","Not in latest raw")))</x:f>
      </x:c>
      <x:c r="D661" s="170" t="str">
        <x:f>IF(B661="","",IFERROR(INDEX('Raw Decommissioning'!$E$2:$E$1000,MATCH(B661,'Raw Decommissioning'!$B$2:$B$1000,0)),IFERROR(INDEX('Raw Provisioning'!$E$2:$E$1000,MATCH(B661,'Raw Provisioning'!$B$2:$B$1000,0)),"Missing from latest raw")))</x:f>
      </x:c>
      <x:c r="E661" s="170" t="str">
        <x:f>IF(B661="","",IF(D661="completed","Completed in CSSP",IF(D661="executing","Active - Executing",IF(D661="processing","Ready to Assign",IF(D661="Missing from latest raw","Check Source","Not Managed - "&amp;D661)))))</x:f>
      </x:c>
      <x:c r="F661" s="170" t="str">
        <x:f>IF(B661="","",IFERROR(INDEX('Task Master'!$K$5:$K$804,MATCH(B661,'Task Master'!$A$5:$A$804,0)),""))</x:f>
      </x:c>
      <x:c r="G661" s="192"/>
      <x:c r="H661" s="192"/>
      <x:c r="I661" s="192"/>
      <x:c r="J661" s="192"/>
      <x:c r="K661" s="192"/>
      <x:c r="L661" s="196"/>
      <x:c r="M661" s="192"/>
      <x:c r="N661" s="192"/>
      <x:c r="O661" s="192"/>
      <x:c r="P661" s="192"/>
      <x:c r="Q661" s="170" t="str">
        <x:f>IF(OR(A661="",B661=""),"",IF(A661=LOOKUP(2,1/($B$5:$B$704=B661),$A$5:$A$704),"Yes","No"))</x:f>
      </x:c>
    </x:row>
    <x:row r="662">
      <x:c r="A662" s="194"/>
      <x:c r="B662" s="192"/>
      <x:c r="C662" s="170" t="str">
        <x:f>IF(B662="","",IF(COUNTIF('Raw Decommissioning'!$B$2:$B$1000,B662)&gt;0,"Decommissioning",IF(COUNTIF('Raw Provisioning'!$B$2:$B$1000,B662)&gt;0,"Provisioning","Not in latest raw")))</x:f>
      </x:c>
      <x:c r="D662" s="170" t="str">
        <x:f>IF(B662="","",IFERROR(INDEX('Raw Decommissioning'!$E$2:$E$1000,MATCH(B662,'Raw Decommissioning'!$B$2:$B$1000,0)),IFERROR(INDEX('Raw Provisioning'!$E$2:$E$1000,MATCH(B662,'Raw Provisioning'!$B$2:$B$1000,0)),"Missing from latest raw")))</x:f>
      </x:c>
      <x:c r="E662" s="170" t="str">
        <x:f>IF(B662="","",IF(D662="completed","Completed in CSSP",IF(D662="executing","Active - Executing",IF(D662="processing","Ready to Assign",IF(D662="Missing from latest raw","Check Source","Not Managed - "&amp;D662)))))</x:f>
      </x:c>
      <x:c r="F662" s="170" t="str">
        <x:f>IF(B662="","",IFERROR(INDEX('Task Master'!$K$5:$K$804,MATCH(B662,'Task Master'!$A$5:$A$804,0)),""))</x:f>
      </x:c>
      <x:c r="G662" s="192"/>
      <x:c r="H662" s="192"/>
      <x:c r="I662" s="192"/>
      <x:c r="J662" s="192"/>
      <x:c r="K662" s="192"/>
      <x:c r="L662" s="196"/>
      <x:c r="M662" s="192"/>
      <x:c r="N662" s="192"/>
      <x:c r="O662" s="192"/>
      <x:c r="P662" s="192"/>
      <x:c r="Q662" s="170" t="str">
        <x:f>IF(OR(A662="",B662=""),"",IF(A662=LOOKUP(2,1/($B$5:$B$704=B662),$A$5:$A$704),"Yes","No"))</x:f>
      </x:c>
    </x:row>
    <x:row r="663">
      <x:c r="A663" s="194"/>
      <x:c r="B663" s="192"/>
      <x:c r="C663" s="170" t="str">
        <x:f>IF(B663="","",IF(COUNTIF('Raw Decommissioning'!$B$2:$B$1000,B663)&gt;0,"Decommissioning",IF(COUNTIF('Raw Provisioning'!$B$2:$B$1000,B663)&gt;0,"Provisioning","Not in latest raw")))</x:f>
      </x:c>
      <x:c r="D663" s="170" t="str">
        <x:f>IF(B663="","",IFERROR(INDEX('Raw Decommissioning'!$E$2:$E$1000,MATCH(B663,'Raw Decommissioning'!$B$2:$B$1000,0)),IFERROR(INDEX('Raw Provisioning'!$E$2:$E$1000,MATCH(B663,'Raw Provisioning'!$B$2:$B$1000,0)),"Missing from latest raw")))</x:f>
      </x:c>
      <x:c r="E663" s="170" t="str">
        <x:f>IF(B663="","",IF(D663="completed","Completed in CSSP",IF(D663="executing","Active - Executing",IF(D663="processing","Ready to Assign",IF(D663="Missing from latest raw","Check Source","Not Managed - "&amp;D663)))))</x:f>
      </x:c>
      <x:c r="F663" s="170" t="str">
        <x:f>IF(B663="","",IFERROR(INDEX('Task Master'!$K$5:$K$804,MATCH(B663,'Task Master'!$A$5:$A$804,0)),""))</x:f>
      </x:c>
      <x:c r="G663" s="192"/>
      <x:c r="H663" s="192"/>
      <x:c r="I663" s="192"/>
      <x:c r="J663" s="192"/>
      <x:c r="K663" s="192"/>
      <x:c r="L663" s="196"/>
      <x:c r="M663" s="192"/>
      <x:c r="N663" s="192"/>
      <x:c r="O663" s="192"/>
      <x:c r="P663" s="192"/>
      <x:c r="Q663" s="170" t="str">
        <x:f>IF(OR(A663="",B663=""),"",IF(A663=LOOKUP(2,1/($B$5:$B$704=B663),$A$5:$A$704),"Yes","No"))</x:f>
      </x:c>
    </x:row>
    <x:row r="664">
      <x:c r="A664" s="194"/>
      <x:c r="B664" s="192"/>
      <x:c r="C664" s="170" t="str">
        <x:f>IF(B664="","",IF(COUNTIF('Raw Decommissioning'!$B$2:$B$1000,B664)&gt;0,"Decommissioning",IF(COUNTIF('Raw Provisioning'!$B$2:$B$1000,B664)&gt;0,"Provisioning","Not in latest raw")))</x:f>
      </x:c>
      <x:c r="D664" s="170" t="str">
        <x:f>IF(B664="","",IFERROR(INDEX('Raw Decommissioning'!$E$2:$E$1000,MATCH(B664,'Raw Decommissioning'!$B$2:$B$1000,0)),IFERROR(INDEX('Raw Provisioning'!$E$2:$E$1000,MATCH(B664,'Raw Provisioning'!$B$2:$B$1000,0)),"Missing from latest raw")))</x:f>
      </x:c>
      <x:c r="E664" s="170" t="str">
        <x:f>IF(B664="","",IF(D664="completed","Completed in CSSP",IF(D664="executing","Active - Executing",IF(D664="processing","Ready to Assign",IF(D664="Missing from latest raw","Check Source","Not Managed - "&amp;D664)))))</x:f>
      </x:c>
      <x:c r="F664" s="170" t="str">
        <x:f>IF(B664="","",IFERROR(INDEX('Task Master'!$K$5:$K$804,MATCH(B664,'Task Master'!$A$5:$A$804,0)),""))</x:f>
      </x:c>
      <x:c r="G664" s="192"/>
      <x:c r="H664" s="192"/>
      <x:c r="I664" s="192"/>
      <x:c r="J664" s="192"/>
      <x:c r="K664" s="192"/>
      <x:c r="L664" s="196"/>
      <x:c r="M664" s="192"/>
      <x:c r="N664" s="192"/>
      <x:c r="O664" s="192"/>
      <x:c r="P664" s="192"/>
      <x:c r="Q664" s="170" t="str">
        <x:f>IF(OR(A664="",B664=""),"",IF(A664=LOOKUP(2,1/($B$5:$B$704=B664),$A$5:$A$704),"Yes","No"))</x:f>
      </x:c>
    </x:row>
    <x:row r="665">
      <x:c r="A665" s="194"/>
      <x:c r="B665" s="192"/>
      <x:c r="C665" s="170" t="str">
        <x:f>IF(B665="","",IF(COUNTIF('Raw Decommissioning'!$B$2:$B$1000,B665)&gt;0,"Decommissioning",IF(COUNTIF('Raw Provisioning'!$B$2:$B$1000,B665)&gt;0,"Provisioning","Not in latest raw")))</x:f>
      </x:c>
      <x:c r="D665" s="170" t="str">
        <x:f>IF(B665="","",IFERROR(INDEX('Raw Decommissioning'!$E$2:$E$1000,MATCH(B665,'Raw Decommissioning'!$B$2:$B$1000,0)),IFERROR(INDEX('Raw Provisioning'!$E$2:$E$1000,MATCH(B665,'Raw Provisioning'!$B$2:$B$1000,0)),"Missing from latest raw")))</x:f>
      </x:c>
      <x:c r="E665" s="170" t="str">
        <x:f>IF(B665="","",IF(D665="completed","Completed in CSSP",IF(D665="executing","Active - Executing",IF(D665="processing","Ready to Assign",IF(D665="Missing from latest raw","Check Source","Not Managed - "&amp;D665)))))</x:f>
      </x:c>
      <x:c r="F665" s="170" t="str">
        <x:f>IF(B665="","",IFERROR(INDEX('Task Master'!$K$5:$K$804,MATCH(B665,'Task Master'!$A$5:$A$804,0)),""))</x:f>
      </x:c>
      <x:c r="G665" s="192"/>
      <x:c r="H665" s="192"/>
      <x:c r="I665" s="192"/>
      <x:c r="J665" s="192"/>
      <x:c r="K665" s="192"/>
      <x:c r="L665" s="196"/>
      <x:c r="M665" s="192"/>
      <x:c r="N665" s="192"/>
      <x:c r="O665" s="192"/>
      <x:c r="P665" s="192"/>
      <x:c r="Q665" s="170" t="str">
        <x:f>IF(OR(A665="",B665=""),"",IF(A665=LOOKUP(2,1/($B$5:$B$704=B665),$A$5:$A$704),"Yes","No"))</x:f>
      </x:c>
    </x:row>
    <x:row r="666">
      <x:c r="A666" s="194"/>
      <x:c r="B666" s="192"/>
      <x:c r="C666" s="170" t="str">
        <x:f>IF(B666="","",IF(COUNTIF('Raw Decommissioning'!$B$2:$B$1000,B666)&gt;0,"Decommissioning",IF(COUNTIF('Raw Provisioning'!$B$2:$B$1000,B666)&gt;0,"Provisioning","Not in latest raw")))</x:f>
      </x:c>
      <x:c r="D666" s="170" t="str">
        <x:f>IF(B666="","",IFERROR(INDEX('Raw Decommissioning'!$E$2:$E$1000,MATCH(B666,'Raw Decommissioning'!$B$2:$B$1000,0)),IFERROR(INDEX('Raw Provisioning'!$E$2:$E$1000,MATCH(B666,'Raw Provisioning'!$B$2:$B$1000,0)),"Missing from latest raw")))</x:f>
      </x:c>
      <x:c r="E666" s="170" t="str">
        <x:f>IF(B666="","",IF(D666="completed","Completed in CSSP",IF(D666="executing","Active - Executing",IF(D666="processing","Ready to Assign",IF(D666="Missing from latest raw","Check Source","Not Managed - "&amp;D666)))))</x:f>
      </x:c>
      <x:c r="F666" s="170" t="str">
        <x:f>IF(B666="","",IFERROR(INDEX('Task Master'!$K$5:$K$804,MATCH(B666,'Task Master'!$A$5:$A$804,0)),""))</x:f>
      </x:c>
      <x:c r="G666" s="192"/>
      <x:c r="H666" s="192"/>
      <x:c r="I666" s="192"/>
      <x:c r="J666" s="192"/>
      <x:c r="K666" s="192"/>
      <x:c r="L666" s="196"/>
      <x:c r="M666" s="192"/>
      <x:c r="N666" s="192"/>
      <x:c r="O666" s="192"/>
      <x:c r="P666" s="192"/>
      <x:c r="Q666" s="170" t="str">
        <x:f>IF(OR(A666="",B666=""),"",IF(A666=LOOKUP(2,1/($B$5:$B$704=B666),$A$5:$A$704),"Yes","No"))</x:f>
      </x:c>
    </x:row>
    <x:row r="667">
      <x:c r="A667" s="194"/>
      <x:c r="B667" s="192"/>
      <x:c r="C667" s="170" t="str">
        <x:f>IF(B667="","",IF(COUNTIF('Raw Decommissioning'!$B$2:$B$1000,B667)&gt;0,"Decommissioning",IF(COUNTIF('Raw Provisioning'!$B$2:$B$1000,B667)&gt;0,"Provisioning","Not in latest raw")))</x:f>
      </x:c>
      <x:c r="D667" s="170" t="str">
        <x:f>IF(B667="","",IFERROR(INDEX('Raw Decommissioning'!$E$2:$E$1000,MATCH(B667,'Raw Decommissioning'!$B$2:$B$1000,0)),IFERROR(INDEX('Raw Provisioning'!$E$2:$E$1000,MATCH(B667,'Raw Provisioning'!$B$2:$B$1000,0)),"Missing from latest raw")))</x:f>
      </x:c>
      <x:c r="E667" s="170" t="str">
        <x:f>IF(B667="","",IF(D667="completed","Completed in CSSP",IF(D667="executing","Active - Executing",IF(D667="processing","Ready to Assign",IF(D667="Missing from latest raw","Check Source","Not Managed - "&amp;D667)))))</x:f>
      </x:c>
      <x:c r="F667" s="170" t="str">
        <x:f>IF(B667="","",IFERROR(INDEX('Task Master'!$K$5:$K$804,MATCH(B667,'Task Master'!$A$5:$A$804,0)),""))</x:f>
      </x:c>
      <x:c r="G667" s="192"/>
      <x:c r="H667" s="192"/>
      <x:c r="I667" s="192"/>
      <x:c r="J667" s="192"/>
      <x:c r="K667" s="192"/>
      <x:c r="L667" s="196"/>
      <x:c r="M667" s="192"/>
      <x:c r="N667" s="192"/>
      <x:c r="O667" s="192"/>
      <x:c r="P667" s="192"/>
      <x:c r="Q667" s="170" t="str">
        <x:f>IF(OR(A667="",B667=""),"",IF(A667=LOOKUP(2,1/($B$5:$B$704=B667),$A$5:$A$704),"Yes","No"))</x:f>
      </x:c>
    </x:row>
    <x:row r="668">
      <x:c r="A668" s="194"/>
      <x:c r="B668" s="192"/>
      <x:c r="C668" s="170" t="str">
        <x:f>IF(B668="","",IF(COUNTIF('Raw Decommissioning'!$B$2:$B$1000,B668)&gt;0,"Decommissioning",IF(COUNTIF('Raw Provisioning'!$B$2:$B$1000,B668)&gt;0,"Provisioning","Not in latest raw")))</x:f>
      </x:c>
      <x:c r="D668" s="170" t="str">
        <x:f>IF(B668="","",IFERROR(INDEX('Raw Decommissioning'!$E$2:$E$1000,MATCH(B668,'Raw Decommissioning'!$B$2:$B$1000,0)),IFERROR(INDEX('Raw Provisioning'!$E$2:$E$1000,MATCH(B668,'Raw Provisioning'!$B$2:$B$1000,0)),"Missing from latest raw")))</x:f>
      </x:c>
      <x:c r="E668" s="170" t="str">
        <x:f>IF(B668="","",IF(D668="completed","Completed in CSSP",IF(D668="executing","Active - Executing",IF(D668="processing","Ready to Assign",IF(D668="Missing from latest raw","Check Source","Not Managed - "&amp;D668)))))</x:f>
      </x:c>
      <x:c r="F668" s="170" t="str">
        <x:f>IF(B668="","",IFERROR(INDEX('Task Master'!$K$5:$K$804,MATCH(B668,'Task Master'!$A$5:$A$804,0)),""))</x:f>
      </x:c>
      <x:c r="G668" s="192"/>
      <x:c r="H668" s="192"/>
      <x:c r="I668" s="192"/>
      <x:c r="J668" s="192"/>
      <x:c r="K668" s="192"/>
      <x:c r="L668" s="196"/>
      <x:c r="M668" s="192"/>
      <x:c r="N668" s="192"/>
      <x:c r="O668" s="192"/>
      <x:c r="P668" s="192"/>
      <x:c r="Q668" s="170" t="str">
        <x:f>IF(OR(A668="",B668=""),"",IF(A668=LOOKUP(2,1/($B$5:$B$704=B668),$A$5:$A$704),"Yes","No"))</x:f>
      </x:c>
    </x:row>
    <x:row r="669">
      <x:c r="A669" s="194"/>
      <x:c r="B669" s="192"/>
      <x:c r="C669" s="170" t="str">
        <x:f>IF(B669="","",IF(COUNTIF('Raw Decommissioning'!$B$2:$B$1000,B669)&gt;0,"Decommissioning",IF(COUNTIF('Raw Provisioning'!$B$2:$B$1000,B669)&gt;0,"Provisioning","Not in latest raw")))</x:f>
      </x:c>
      <x:c r="D669" s="170" t="str">
        <x:f>IF(B669="","",IFERROR(INDEX('Raw Decommissioning'!$E$2:$E$1000,MATCH(B669,'Raw Decommissioning'!$B$2:$B$1000,0)),IFERROR(INDEX('Raw Provisioning'!$E$2:$E$1000,MATCH(B669,'Raw Provisioning'!$B$2:$B$1000,0)),"Missing from latest raw")))</x:f>
      </x:c>
      <x:c r="E669" s="170" t="str">
        <x:f>IF(B669="","",IF(D669="completed","Completed in CSSP",IF(D669="executing","Active - Executing",IF(D669="processing","Ready to Assign",IF(D669="Missing from latest raw","Check Source","Not Managed - "&amp;D669)))))</x:f>
      </x:c>
      <x:c r="F669" s="170" t="str">
        <x:f>IF(B669="","",IFERROR(INDEX('Task Master'!$K$5:$K$804,MATCH(B669,'Task Master'!$A$5:$A$804,0)),""))</x:f>
      </x:c>
      <x:c r="G669" s="192"/>
      <x:c r="H669" s="192"/>
      <x:c r="I669" s="192"/>
      <x:c r="J669" s="192"/>
      <x:c r="K669" s="192"/>
      <x:c r="L669" s="196"/>
      <x:c r="M669" s="192"/>
      <x:c r="N669" s="192"/>
      <x:c r="O669" s="192"/>
      <x:c r="P669" s="192"/>
      <x:c r="Q669" s="170" t="str">
        <x:f>IF(OR(A669="",B669=""),"",IF(A669=LOOKUP(2,1/($B$5:$B$704=B669),$A$5:$A$704),"Yes","No"))</x:f>
      </x:c>
    </x:row>
    <x:row r="670">
      <x:c r="A670" s="194"/>
      <x:c r="B670" s="192"/>
      <x:c r="C670" s="170" t="str">
        <x:f>IF(B670="","",IF(COUNTIF('Raw Decommissioning'!$B$2:$B$1000,B670)&gt;0,"Decommissioning",IF(COUNTIF('Raw Provisioning'!$B$2:$B$1000,B670)&gt;0,"Provisioning","Not in latest raw")))</x:f>
      </x:c>
      <x:c r="D670" s="170" t="str">
        <x:f>IF(B670="","",IFERROR(INDEX('Raw Decommissioning'!$E$2:$E$1000,MATCH(B670,'Raw Decommissioning'!$B$2:$B$1000,0)),IFERROR(INDEX('Raw Provisioning'!$E$2:$E$1000,MATCH(B670,'Raw Provisioning'!$B$2:$B$1000,0)),"Missing from latest raw")))</x:f>
      </x:c>
      <x:c r="E670" s="170" t="str">
        <x:f>IF(B670="","",IF(D670="completed","Completed in CSSP",IF(D670="executing","Active - Executing",IF(D670="processing","Ready to Assign",IF(D670="Missing from latest raw","Check Source","Not Managed - "&amp;D670)))))</x:f>
      </x:c>
      <x:c r="F670" s="170" t="str">
        <x:f>IF(B670="","",IFERROR(INDEX('Task Master'!$K$5:$K$804,MATCH(B670,'Task Master'!$A$5:$A$804,0)),""))</x:f>
      </x:c>
      <x:c r="G670" s="192"/>
      <x:c r="H670" s="192"/>
      <x:c r="I670" s="192"/>
      <x:c r="J670" s="192"/>
      <x:c r="K670" s="192"/>
      <x:c r="L670" s="196"/>
      <x:c r="M670" s="192"/>
      <x:c r="N670" s="192"/>
      <x:c r="O670" s="192"/>
      <x:c r="P670" s="192"/>
      <x:c r="Q670" s="170" t="str">
        <x:f>IF(OR(A670="",B670=""),"",IF(A670=LOOKUP(2,1/($B$5:$B$704=B670),$A$5:$A$704),"Yes","No"))</x:f>
      </x:c>
    </x:row>
    <x:row r="671">
      <x:c r="A671" s="194"/>
      <x:c r="B671" s="192"/>
      <x:c r="C671" s="170" t="str">
        <x:f>IF(B671="","",IF(COUNTIF('Raw Decommissioning'!$B$2:$B$1000,B671)&gt;0,"Decommissioning",IF(COUNTIF('Raw Provisioning'!$B$2:$B$1000,B671)&gt;0,"Provisioning","Not in latest raw")))</x:f>
      </x:c>
      <x:c r="D671" s="170" t="str">
        <x:f>IF(B671="","",IFERROR(INDEX('Raw Decommissioning'!$E$2:$E$1000,MATCH(B671,'Raw Decommissioning'!$B$2:$B$1000,0)),IFERROR(INDEX('Raw Provisioning'!$E$2:$E$1000,MATCH(B671,'Raw Provisioning'!$B$2:$B$1000,0)),"Missing from latest raw")))</x:f>
      </x:c>
      <x:c r="E671" s="170" t="str">
        <x:f>IF(B671="","",IF(D671="completed","Completed in CSSP",IF(D671="executing","Active - Executing",IF(D671="processing","Ready to Assign",IF(D671="Missing from latest raw","Check Source","Not Managed - "&amp;D671)))))</x:f>
      </x:c>
      <x:c r="F671" s="170" t="str">
        <x:f>IF(B671="","",IFERROR(INDEX('Task Master'!$K$5:$K$804,MATCH(B671,'Task Master'!$A$5:$A$804,0)),""))</x:f>
      </x:c>
      <x:c r="G671" s="192"/>
      <x:c r="H671" s="192"/>
      <x:c r="I671" s="192"/>
      <x:c r="J671" s="192"/>
      <x:c r="K671" s="192"/>
      <x:c r="L671" s="196"/>
      <x:c r="M671" s="192"/>
      <x:c r="N671" s="192"/>
      <x:c r="O671" s="192"/>
      <x:c r="P671" s="192"/>
      <x:c r="Q671" s="170" t="str">
        <x:f>IF(OR(A671="",B671=""),"",IF(A671=LOOKUP(2,1/($B$5:$B$704=B671),$A$5:$A$704),"Yes","No"))</x:f>
      </x:c>
    </x:row>
    <x:row r="672">
      <x:c r="A672" s="194"/>
      <x:c r="B672" s="192"/>
      <x:c r="C672" s="170" t="str">
        <x:f>IF(B672="","",IF(COUNTIF('Raw Decommissioning'!$B$2:$B$1000,B672)&gt;0,"Decommissioning",IF(COUNTIF('Raw Provisioning'!$B$2:$B$1000,B672)&gt;0,"Provisioning","Not in latest raw")))</x:f>
      </x:c>
      <x:c r="D672" s="170" t="str">
        <x:f>IF(B672="","",IFERROR(INDEX('Raw Decommissioning'!$E$2:$E$1000,MATCH(B672,'Raw Decommissioning'!$B$2:$B$1000,0)),IFERROR(INDEX('Raw Provisioning'!$E$2:$E$1000,MATCH(B672,'Raw Provisioning'!$B$2:$B$1000,0)),"Missing from latest raw")))</x:f>
      </x:c>
      <x:c r="E672" s="170" t="str">
        <x:f>IF(B672="","",IF(D672="completed","Completed in CSSP",IF(D672="executing","Active - Executing",IF(D672="processing","Ready to Assign",IF(D672="Missing from latest raw","Check Source","Not Managed - "&amp;D672)))))</x:f>
      </x:c>
      <x:c r="F672" s="170" t="str">
        <x:f>IF(B672="","",IFERROR(INDEX('Task Master'!$K$5:$K$804,MATCH(B672,'Task Master'!$A$5:$A$804,0)),""))</x:f>
      </x:c>
      <x:c r="G672" s="192"/>
      <x:c r="H672" s="192"/>
      <x:c r="I672" s="192"/>
      <x:c r="J672" s="192"/>
      <x:c r="K672" s="192"/>
      <x:c r="L672" s="196"/>
      <x:c r="M672" s="192"/>
      <x:c r="N672" s="192"/>
      <x:c r="O672" s="192"/>
      <x:c r="P672" s="192"/>
      <x:c r="Q672" s="170" t="str">
        <x:f>IF(OR(A672="",B672=""),"",IF(A672=LOOKUP(2,1/($B$5:$B$704=B672),$A$5:$A$704),"Yes","No"))</x:f>
      </x:c>
    </x:row>
    <x:row r="673">
      <x:c r="A673" s="194"/>
      <x:c r="B673" s="192"/>
      <x:c r="C673" s="170" t="str">
        <x:f>IF(B673="","",IF(COUNTIF('Raw Decommissioning'!$B$2:$B$1000,B673)&gt;0,"Decommissioning",IF(COUNTIF('Raw Provisioning'!$B$2:$B$1000,B673)&gt;0,"Provisioning","Not in latest raw")))</x:f>
      </x:c>
      <x:c r="D673" s="170" t="str">
        <x:f>IF(B673="","",IFERROR(INDEX('Raw Decommissioning'!$E$2:$E$1000,MATCH(B673,'Raw Decommissioning'!$B$2:$B$1000,0)),IFERROR(INDEX('Raw Provisioning'!$E$2:$E$1000,MATCH(B673,'Raw Provisioning'!$B$2:$B$1000,0)),"Missing from latest raw")))</x:f>
      </x:c>
      <x:c r="E673" s="170" t="str">
        <x:f>IF(B673="","",IF(D673="completed","Completed in CSSP",IF(D673="executing","Active - Executing",IF(D673="processing","Ready to Assign",IF(D673="Missing from latest raw","Check Source","Not Managed - "&amp;D673)))))</x:f>
      </x:c>
      <x:c r="F673" s="170" t="str">
        <x:f>IF(B673="","",IFERROR(INDEX('Task Master'!$K$5:$K$804,MATCH(B673,'Task Master'!$A$5:$A$804,0)),""))</x:f>
      </x:c>
      <x:c r="G673" s="192"/>
      <x:c r="H673" s="192"/>
      <x:c r="I673" s="192"/>
      <x:c r="J673" s="192"/>
      <x:c r="K673" s="192"/>
      <x:c r="L673" s="196"/>
      <x:c r="M673" s="192"/>
      <x:c r="N673" s="192"/>
      <x:c r="O673" s="192"/>
      <x:c r="P673" s="192"/>
      <x:c r="Q673" s="170" t="str">
        <x:f>IF(OR(A673="",B673=""),"",IF(A673=LOOKUP(2,1/($B$5:$B$704=B673),$A$5:$A$704),"Yes","No"))</x:f>
      </x:c>
    </x:row>
    <x:row r="674">
      <x:c r="A674" s="194"/>
      <x:c r="B674" s="192"/>
      <x:c r="C674" s="170" t="str">
        <x:f>IF(B674="","",IF(COUNTIF('Raw Decommissioning'!$B$2:$B$1000,B674)&gt;0,"Decommissioning",IF(COUNTIF('Raw Provisioning'!$B$2:$B$1000,B674)&gt;0,"Provisioning","Not in latest raw")))</x:f>
      </x:c>
      <x:c r="D674" s="170" t="str">
        <x:f>IF(B674="","",IFERROR(INDEX('Raw Decommissioning'!$E$2:$E$1000,MATCH(B674,'Raw Decommissioning'!$B$2:$B$1000,0)),IFERROR(INDEX('Raw Provisioning'!$E$2:$E$1000,MATCH(B674,'Raw Provisioning'!$B$2:$B$1000,0)),"Missing from latest raw")))</x:f>
      </x:c>
      <x:c r="E674" s="170" t="str">
        <x:f>IF(B674="","",IF(D674="completed","Completed in CSSP",IF(D674="executing","Active - Executing",IF(D674="processing","Ready to Assign",IF(D674="Missing from latest raw","Check Source","Not Managed - "&amp;D674)))))</x:f>
      </x:c>
      <x:c r="F674" s="170" t="str">
        <x:f>IF(B674="","",IFERROR(INDEX('Task Master'!$K$5:$K$804,MATCH(B674,'Task Master'!$A$5:$A$804,0)),""))</x:f>
      </x:c>
      <x:c r="G674" s="192"/>
      <x:c r="H674" s="192"/>
      <x:c r="I674" s="192"/>
      <x:c r="J674" s="192"/>
      <x:c r="K674" s="192"/>
      <x:c r="L674" s="196"/>
      <x:c r="M674" s="192"/>
      <x:c r="N674" s="192"/>
      <x:c r="O674" s="192"/>
      <x:c r="P674" s="192"/>
      <x:c r="Q674" s="170" t="str">
        <x:f>IF(OR(A674="",B674=""),"",IF(A674=LOOKUP(2,1/($B$5:$B$704=B674),$A$5:$A$704),"Yes","No"))</x:f>
      </x:c>
    </x:row>
    <x:row r="675">
      <x:c r="A675" s="194"/>
      <x:c r="B675" s="192"/>
      <x:c r="C675" s="170" t="str">
        <x:f>IF(B675="","",IF(COUNTIF('Raw Decommissioning'!$B$2:$B$1000,B675)&gt;0,"Decommissioning",IF(COUNTIF('Raw Provisioning'!$B$2:$B$1000,B675)&gt;0,"Provisioning","Not in latest raw")))</x:f>
      </x:c>
      <x:c r="D675" s="170" t="str">
        <x:f>IF(B675="","",IFERROR(INDEX('Raw Decommissioning'!$E$2:$E$1000,MATCH(B675,'Raw Decommissioning'!$B$2:$B$1000,0)),IFERROR(INDEX('Raw Provisioning'!$E$2:$E$1000,MATCH(B675,'Raw Provisioning'!$B$2:$B$1000,0)),"Missing from latest raw")))</x:f>
      </x:c>
      <x:c r="E675" s="170" t="str">
        <x:f>IF(B675="","",IF(D675="completed","Completed in CSSP",IF(D675="executing","Active - Executing",IF(D675="processing","Ready to Assign",IF(D675="Missing from latest raw","Check Source","Not Managed - "&amp;D675)))))</x:f>
      </x:c>
      <x:c r="F675" s="170" t="str">
        <x:f>IF(B675="","",IFERROR(INDEX('Task Master'!$K$5:$K$804,MATCH(B675,'Task Master'!$A$5:$A$804,0)),""))</x:f>
      </x:c>
      <x:c r="G675" s="192"/>
      <x:c r="H675" s="192"/>
      <x:c r="I675" s="192"/>
      <x:c r="J675" s="192"/>
      <x:c r="K675" s="192"/>
      <x:c r="L675" s="196"/>
      <x:c r="M675" s="192"/>
      <x:c r="N675" s="192"/>
      <x:c r="O675" s="192"/>
      <x:c r="P675" s="192"/>
      <x:c r="Q675" s="170" t="str">
        <x:f>IF(OR(A675="",B675=""),"",IF(A675=LOOKUP(2,1/($B$5:$B$704=B675),$A$5:$A$704),"Yes","No"))</x:f>
      </x:c>
    </x:row>
    <x:row r="676">
      <x:c r="A676" s="194"/>
      <x:c r="B676" s="192"/>
      <x:c r="C676" s="170" t="str">
        <x:f>IF(B676="","",IF(COUNTIF('Raw Decommissioning'!$B$2:$B$1000,B676)&gt;0,"Decommissioning",IF(COUNTIF('Raw Provisioning'!$B$2:$B$1000,B676)&gt;0,"Provisioning","Not in latest raw")))</x:f>
      </x:c>
      <x:c r="D676" s="170" t="str">
        <x:f>IF(B676="","",IFERROR(INDEX('Raw Decommissioning'!$E$2:$E$1000,MATCH(B676,'Raw Decommissioning'!$B$2:$B$1000,0)),IFERROR(INDEX('Raw Provisioning'!$E$2:$E$1000,MATCH(B676,'Raw Provisioning'!$B$2:$B$1000,0)),"Missing from latest raw")))</x:f>
      </x:c>
      <x:c r="E676" s="170" t="str">
        <x:f>IF(B676="","",IF(D676="completed","Completed in CSSP",IF(D676="executing","Active - Executing",IF(D676="processing","Ready to Assign",IF(D676="Missing from latest raw","Check Source","Not Managed - "&amp;D676)))))</x:f>
      </x:c>
      <x:c r="F676" s="170" t="str">
        <x:f>IF(B676="","",IFERROR(INDEX('Task Master'!$K$5:$K$804,MATCH(B676,'Task Master'!$A$5:$A$804,0)),""))</x:f>
      </x:c>
      <x:c r="G676" s="192"/>
      <x:c r="H676" s="192"/>
      <x:c r="I676" s="192"/>
      <x:c r="J676" s="192"/>
      <x:c r="K676" s="192"/>
      <x:c r="L676" s="196"/>
      <x:c r="M676" s="192"/>
      <x:c r="N676" s="192"/>
      <x:c r="O676" s="192"/>
      <x:c r="P676" s="192"/>
      <x:c r="Q676" s="170" t="str">
        <x:f>IF(OR(A676="",B676=""),"",IF(A676=LOOKUP(2,1/($B$5:$B$704=B676),$A$5:$A$704),"Yes","No"))</x:f>
      </x:c>
    </x:row>
    <x:row r="677">
      <x:c r="A677" s="194"/>
      <x:c r="B677" s="192"/>
      <x:c r="C677" s="170" t="str">
        <x:f>IF(B677="","",IF(COUNTIF('Raw Decommissioning'!$B$2:$B$1000,B677)&gt;0,"Decommissioning",IF(COUNTIF('Raw Provisioning'!$B$2:$B$1000,B677)&gt;0,"Provisioning","Not in latest raw")))</x:f>
      </x:c>
      <x:c r="D677" s="170" t="str">
        <x:f>IF(B677="","",IFERROR(INDEX('Raw Decommissioning'!$E$2:$E$1000,MATCH(B677,'Raw Decommissioning'!$B$2:$B$1000,0)),IFERROR(INDEX('Raw Provisioning'!$E$2:$E$1000,MATCH(B677,'Raw Provisioning'!$B$2:$B$1000,0)),"Missing from latest raw")))</x:f>
      </x:c>
      <x:c r="E677" s="170" t="str">
        <x:f>IF(B677="","",IF(D677="completed","Completed in CSSP",IF(D677="executing","Active - Executing",IF(D677="processing","Ready to Assign",IF(D677="Missing from latest raw","Check Source","Not Managed - "&amp;D677)))))</x:f>
      </x:c>
      <x:c r="F677" s="170" t="str">
        <x:f>IF(B677="","",IFERROR(INDEX('Task Master'!$K$5:$K$804,MATCH(B677,'Task Master'!$A$5:$A$804,0)),""))</x:f>
      </x:c>
      <x:c r="G677" s="192"/>
      <x:c r="H677" s="192"/>
      <x:c r="I677" s="192"/>
      <x:c r="J677" s="192"/>
      <x:c r="K677" s="192"/>
      <x:c r="L677" s="196"/>
      <x:c r="M677" s="192"/>
      <x:c r="N677" s="192"/>
      <x:c r="O677" s="192"/>
      <x:c r="P677" s="192"/>
      <x:c r="Q677" s="170" t="str">
        <x:f>IF(OR(A677="",B677=""),"",IF(A677=LOOKUP(2,1/($B$5:$B$704=B677),$A$5:$A$704),"Yes","No"))</x:f>
      </x:c>
    </x:row>
    <x:row r="678">
      <x:c r="A678" s="194"/>
      <x:c r="B678" s="192"/>
      <x:c r="C678" s="170" t="str">
        <x:f>IF(B678="","",IF(COUNTIF('Raw Decommissioning'!$B$2:$B$1000,B678)&gt;0,"Decommissioning",IF(COUNTIF('Raw Provisioning'!$B$2:$B$1000,B678)&gt;0,"Provisioning","Not in latest raw")))</x:f>
      </x:c>
      <x:c r="D678" s="170" t="str">
        <x:f>IF(B678="","",IFERROR(INDEX('Raw Decommissioning'!$E$2:$E$1000,MATCH(B678,'Raw Decommissioning'!$B$2:$B$1000,0)),IFERROR(INDEX('Raw Provisioning'!$E$2:$E$1000,MATCH(B678,'Raw Provisioning'!$B$2:$B$1000,0)),"Missing from latest raw")))</x:f>
      </x:c>
      <x:c r="E678" s="170" t="str">
        <x:f>IF(B678="","",IF(D678="completed","Completed in CSSP",IF(D678="executing","Active - Executing",IF(D678="processing","Ready to Assign",IF(D678="Missing from latest raw","Check Source","Not Managed - "&amp;D678)))))</x:f>
      </x:c>
      <x:c r="F678" s="170" t="str">
        <x:f>IF(B678="","",IFERROR(INDEX('Task Master'!$K$5:$K$804,MATCH(B678,'Task Master'!$A$5:$A$804,0)),""))</x:f>
      </x:c>
      <x:c r="G678" s="192"/>
      <x:c r="H678" s="192"/>
      <x:c r="I678" s="192"/>
      <x:c r="J678" s="192"/>
      <x:c r="K678" s="192"/>
      <x:c r="L678" s="196"/>
      <x:c r="M678" s="192"/>
      <x:c r="N678" s="192"/>
      <x:c r="O678" s="192"/>
      <x:c r="P678" s="192"/>
      <x:c r="Q678" s="170" t="str">
        <x:f>IF(OR(A678="",B678=""),"",IF(A678=LOOKUP(2,1/($B$5:$B$704=B678),$A$5:$A$704),"Yes","No"))</x:f>
      </x:c>
    </x:row>
    <x:row r="679">
      <x:c r="A679" s="194"/>
      <x:c r="B679" s="192"/>
      <x:c r="C679" s="170" t="str">
        <x:f>IF(B679="","",IF(COUNTIF('Raw Decommissioning'!$B$2:$B$1000,B679)&gt;0,"Decommissioning",IF(COUNTIF('Raw Provisioning'!$B$2:$B$1000,B679)&gt;0,"Provisioning","Not in latest raw")))</x:f>
      </x:c>
      <x:c r="D679" s="170" t="str">
        <x:f>IF(B679="","",IFERROR(INDEX('Raw Decommissioning'!$E$2:$E$1000,MATCH(B679,'Raw Decommissioning'!$B$2:$B$1000,0)),IFERROR(INDEX('Raw Provisioning'!$E$2:$E$1000,MATCH(B679,'Raw Provisioning'!$B$2:$B$1000,0)),"Missing from latest raw")))</x:f>
      </x:c>
      <x:c r="E679" s="170" t="str">
        <x:f>IF(B679="","",IF(D679="completed","Completed in CSSP",IF(D679="executing","Active - Executing",IF(D679="processing","Ready to Assign",IF(D679="Missing from latest raw","Check Source","Not Managed - "&amp;D679)))))</x:f>
      </x:c>
      <x:c r="F679" s="170" t="str">
        <x:f>IF(B679="","",IFERROR(INDEX('Task Master'!$K$5:$K$804,MATCH(B679,'Task Master'!$A$5:$A$804,0)),""))</x:f>
      </x:c>
      <x:c r="G679" s="192"/>
      <x:c r="H679" s="192"/>
      <x:c r="I679" s="192"/>
      <x:c r="J679" s="192"/>
      <x:c r="K679" s="192"/>
      <x:c r="L679" s="196"/>
      <x:c r="M679" s="192"/>
      <x:c r="N679" s="192"/>
      <x:c r="O679" s="192"/>
      <x:c r="P679" s="192"/>
      <x:c r="Q679" s="170" t="str">
        <x:f>IF(OR(A679="",B679=""),"",IF(A679=LOOKUP(2,1/($B$5:$B$704=B679),$A$5:$A$704),"Yes","No"))</x:f>
      </x:c>
    </x:row>
    <x:row r="680">
      <x:c r="A680" s="194"/>
      <x:c r="B680" s="192"/>
      <x:c r="C680" s="170" t="str">
        <x:f>IF(B680="","",IF(COUNTIF('Raw Decommissioning'!$B$2:$B$1000,B680)&gt;0,"Decommissioning",IF(COUNTIF('Raw Provisioning'!$B$2:$B$1000,B680)&gt;0,"Provisioning","Not in latest raw")))</x:f>
      </x:c>
      <x:c r="D680" s="170" t="str">
        <x:f>IF(B680="","",IFERROR(INDEX('Raw Decommissioning'!$E$2:$E$1000,MATCH(B680,'Raw Decommissioning'!$B$2:$B$1000,0)),IFERROR(INDEX('Raw Provisioning'!$E$2:$E$1000,MATCH(B680,'Raw Provisioning'!$B$2:$B$1000,0)),"Missing from latest raw")))</x:f>
      </x:c>
      <x:c r="E680" s="170" t="str">
        <x:f>IF(B680="","",IF(D680="completed","Completed in CSSP",IF(D680="executing","Active - Executing",IF(D680="processing","Ready to Assign",IF(D680="Missing from latest raw","Check Source","Not Managed - "&amp;D680)))))</x:f>
      </x:c>
      <x:c r="F680" s="170" t="str">
        <x:f>IF(B680="","",IFERROR(INDEX('Task Master'!$K$5:$K$804,MATCH(B680,'Task Master'!$A$5:$A$804,0)),""))</x:f>
      </x:c>
      <x:c r="G680" s="192"/>
      <x:c r="H680" s="192"/>
      <x:c r="I680" s="192"/>
      <x:c r="J680" s="192"/>
      <x:c r="K680" s="192"/>
      <x:c r="L680" s="196"/>
      <x:c r="M680" s="192"/>
      <x:c r="N680" s="192"/>
      <x:c r="O680" s="192"/>
      <x:c r="P680" s="192"/>
      <x:c r="Q680" s="170" t="str">
        <x:f>IF(OR(A680="",B680=""),"",IF(A680=LOOKUP(2,1/($B$5:$B$704=B680),$A$5:$A$704),"Yes","No"))</x:f>
      </x:c>
    </x:row>
    <x:row r="681">
      <x:c r="A681" s="194"/>
      <x:c r="B681" s="192"/>
      <x:c r="C681" s="170" t="str">
        <x:f>IF(B681="","",IF(COUNTIF('Raw Decommissioning'!$B$2:$B$1000,B681)&gt;0,"Decommissioning",IF(COUNTIF('Raw Provisioning'!$B$2:$B$1000,B681)&gt;0,"Provisioning","Not in latest raw")))</x:f>
      </x:c>
      <x:c r="D681" s="170" t="str">
        <x:f>IF(B681="","",IFERROR(INDEX('Raw Decommissioning'!$E$2:$E$1000,MATCH(B681,'Raw Decommissioning'!$B$2:$B$1000,0)),IFERROR(INDEX('Raw Provisioning'!$E$2:$E$1000,MATCH(B681,'Raw Provisioning'!$B$2:$B$1000,0)),"Missing from latest raw")))</x:f>
      </x:c>
      <x:c r="E681" s="170" t="str">
        <x:f>IF(B681="","",IF(D681="completed","Completed in CSSP",IF(D681="executing","Active - Executing",IF(D681="processing","Ready to Assign",IF(D681="Missing from latest raw","Check Source","Not Managed - "&amp;D681)))))</x:f>
      </x:c>
      <x:c r="F681" s="170" t="str">
        <x:f>IF(B681="","",IFERROR(INDEX('Task Master'!$K$5:$K$804,MATCH(B681,'Task Master'!$A$5:$A$804,0)),""))</x:f>
      </x:c>
      <x:c r="G681" s="192"/>
      <x:c r="H681" s="192"/>
      <x:c r="I681" s="192"/>
      <x:c r="J681" s="192"/>
      <x:c r="K681" s="192"/>
      <x:c r="L681" s="196"/>
      <x:c r="M681" s="192"/>
      <x:c r="N681" s="192"/>
      <x:c r="O681" s="192"/>
      <x:c r="P681" s="192"/>
      <x:c r="Q681" s="170" t="str">
        <x:f>IF(OR(A681="",B681=""),"",IF(A681=LOOKUP(2,1/($B$5:$B$704=B681),$A$5:$A$704),"Yes","No"))</x:f>
      </x:c>
    </x:row>
    <x:row r="682">
      <x:c r="A682" s="194"/>
      <x:c r="B682" s="192"/>
      <x:c r="C682" s="170" t="str">
        <x:f>IF(B682="","",IF(COUNTIF('Raw Decommissioning'!$B$2:$B$1000,B682)&gt;0,"Decommissioning",IF(COUNTIF('Raw Provisioning'!$B$2:$B$1000,B682)&gt;0,"Provisioning","Not in latest raw")))</x:f>
      </x:c>
      <x:c r="D682" s="170" t="str">
        <x:f>IF(B682="","",IFERROR(INDEX('Raw Decommissioning'!$E$2:$E$1000,MATCH(B682,'Raw Decommissioning'!$B$2:$B$1000,0)),IFERROR(INDEX('Raw Provisioning'!$E$2:$E$1000,MATCH(B682,'Raw Provisioning'!$B$2:$B$1000,0)),"Missing from latest raw")))</x:f>
      </x:c>
      <x:c r="E682" s="170" t="str">
        <x:f>IF(B682="","",IF(D682="completed","Completed in CSSP",IF(D682="executing","Active - Executing",IF(D682="processing","Ready to Assign",IF(D682="Missing from latest raw","Check Source","Not Managed - "&amp;D682)))))</x:f>
      </x:c>
      <x:c r="F682" s="170" t="str">
        <x:f>IF(B682="","",IFERROR(INDEX('Task Master'!$K$5:$K$804,MATCH(B682,'Task Master'!$A$5:$A$804,0)),""))</x:f>
      </x:c>
      <x:c r="G682" s="192"/>
      <x:c r="H682" s="192"/>
      <x:c r="I682" s="192"/>
      <x:c r="J682" s="192"/>
      <x:c r="K682" s="192"/>
      <x:c r="L682" s="196"/>
      <x:c r="M682" s="192"/>
      <x:c r="N682" s="192"/>
      <x:c r="O682" s="192"/>
      <x:c r="P682" s="192"/>
      <x:c r="Q682" s="170" t="str">
        <x:f>IF(OR(A682="",B682=""),"",IF(A682=LOOKUP(2,1/($B$5:$B$704=B682),$A$5:$A$704),"Yes","No"))</x:f>
      </x:c>
    </x:row>
    <x:row r="683">
      <x:c r="A683" s="194"/>
      <x:c r="B683" s="192"/>
      <x:c r="C683" s="170" t="str">
        <x:f>IF(B683="","",IF(COUNTIF('Raw Decommissioning'!$B$2:$B$1000,B683)&gt;0,"Decommissioning",IF(COUNTIF('Raw Provisioning'!$B$2:$B$1000,B683)&gt;0,"Provisioning","Not in latest raw")))</x:f>
      </x:c>
      <x:c r="D683" s="170" t="str">
        <x:f>IF(B683="","",IFERROR(INDEX('Raw Decommissioning'!$E$2:$E$1000,MATCH(B683,'Raw Decommissioning'!$B$2:$B$1000,0)),IFERROR(INDEX('Raw Provisioning'!$E$2:$E$1000,MATCH(B683,'Raw Provisioning'!$B$2:$B$1000,0)),"Missing from latest raw")))</x:f>
      </x:c>
      <x:c r="E683" s="170" t="str">
        <x:f>IF(B683="","",IF(D683="completed","Completed in CSSP",IF(D683="executing","Active - Executing",IF(D683="processing","Ready to Assign",IF(D683="Missing from latest raw","Check Source","Not Managed - "&amp;D683)))))</x:f>
      </x:c>
      <x:c r="F683" s="170" t="str">
        <x:f>IF(B683="","",IFERROR(INDEX('Task Master'!$K$5:$K$804,MATCH(B683,'Task Master'!$A$5:$A$804,0)),""))</x:f>
      </x:c>
      <x:c r="G683" s="192"/>
      <x:c r="H683" s="192"/>
      <x:c r="I683" s="192"/>
      <x:c r="J683" s="192"/>
      <x:c r="K683" s="192"/>
      <x:c r="L683" s="196"/>
      <x:c r="M683" s="192"/>
      <x:c r="N683" s="192"/>
      <x:c r="O683" s="192"/>
      <x:c r="P683" s="192"/>
      <x:c r="Q683" s="170" t="str">
        <x:f>IF(OR(A683="",B683=""),"",IF(A683=LOOKUP(2,1/($B$5:$B$704=B683),$A$5:$A$704),"Yes","No"))</x:f>
      </x:c>
    </x:row>
    <x:row r="684">
      <x:c r="A684" s="194"/>
      <x:c r="B684" s="192"/>
      <x:c r="C684" s="170" t="str">
        <x:f>IF(B684="","",IF(COUNTIF('Raw Decommissioning'!$B$2:$B$1000,B684)&gt;0,"Decommissioning",IF(COUNTIF('Raw Provisioning'!$B$2:$B$1000,B684)&gt;0,"Provisioning","Not in latest raw")))</x:f>
      </x:c>
      <x:c r="D684" s="170" t="str">
        <x:f>IF(B684="","",IFERROR(INDEX('Raw Decommissioning'!$E$2:$E$1000,MATCH(B684,'Raw Decommissioning'!$B$2:$B$1000,0)),IFERROR(INDEX('Raw Provisioning'!$E$2:$E$1000,MATCH(B684,'Raw Provisioning'!$B$2:$B$1000,0)),"Missing from latest raw")))</x:f>
      </x:c>
      <x:c r="E684" s="170" t="str">
        <x:f>IF(B684="","",IF(D684="completed","Completed in CSSP",IF(D684="executing","Active - Executing",IF(D684="processing","Ready to Assign",IF(D684="Missing from latest raw","Check Source","Not Managed - "&amp;D684)))))</x:f>
      </x:c>
      <x:c r="F684" s="170" t="str">
        <x:f>IF(B684="","",IFERROR(INDEX('Task Master'!$K$5:$K$804,MATCH(B684,'Task Master'!$A$5:$A$804,0)),""))</x:f>
      </x:c>
      <x:c r="G684" s="192"/>
      <x:c r="H684" s="192"/>
      <x:c r="I684" s="192"/>
      <x:c r="J684" s="192"/>
      <x:c r="K684" s="192"/>
      <x:c r="L684" s="196"/>
      <x:c r="M684" s="192"/>
      <x:c r="N684" s="192"/>
      <x:c r="O684" s="192"/>
      <x:c r="P684" s="192"/>
      <x:c r="Q684" s="170" t="str">
        <x:f>IF(OR(A684="",B684=""),"",IF(A684=LOOKUP(2,1/($B$5:$B$704=B684),$A$5:$A$704),"Yes","No"))</x:f>
      </x:c>
    </x:row>
    <x:row r="685">
      <x:c r="A685" s="194"/>
      <x:c r="B685" s="192"/>
      <x:c r="C685" s="170" t="str">
        <x:f>IF(B685="","",IF(COUNTIF('Raw Decommissioning'!$B$2:$B$1000,B685)&gt;0,"Decommissioning",IF(COUNTIF('Raw Provisioning'!$B$2:$B$1000,B685)&gt;0,"Provisioning","Not in latest raw")))</x:f>
      </x:c>
      <x:c r="D685" s="170" t="str">
        <x:f>IF(B685="","",IFERROR(INDEX('Raw Decommissioning'!$E$2:$E$1000,MATCH(B685,'Raw Decommissioning'!$B$2:$B$1000,0)),IFERROR(INDEX('Raw Provisioning'!$E$2:$E$1000,MATCH(B685,'Raw Provisioning'!$B$2:$B$1000,0)),"Missing from latest raw")))</x:f>
      </x:c>
      <x:c r="E685" s="170" t="str">
        <x:f>IF(B685="","",IF(D685="completed","Completed in CSSP",IF(D685="executing","Active - Executing",IF(D685="processing","Ready to Assign",IF(D685="Missing from latest raw","Check Source","Not Managed - "&amp;D685)))))</x:f>
      </x:c>
      <x:c r="F685" s="170" t="str">
        <x:f>IF(B685="","",IFERROR(INDEX('Task Master'!$K$5:$K$804,MATCH(B685,'Task Master'!$A$5:$A$804,0)),""))</x:f>
      </x:c>
      <x:c r="G685" s="192"/>
      <x:c r="H685" s="192"/>
      <x:c r="I685" s="192"/>
      <x:c r="J685" s="192"/>
      <x:c r="K685" s="192"/>
      <x:c r="L685" s="196"/>
      <x:c r="M685" s="192"/>
      <x:c r="N685" s="192"/>
      <x:c r="O685" s="192"/>
      <x:c r="P685" s="192"/>
      <x:c r="Q685" s="170" t="str">
        <x:f>IF(OR(A685="",B685=""),"",IF(A685=LOOKUP(2,1/($B$5:$B$704=B685),$A$5:$A$704),"Yes","No"))</x:f>
      </x:c>
    </x:row>
    <x:row r="686">
      <x:c r="A686" s="194"/>
      <x:c r="B686" s="192"/>
      <x:c r="C686" s="170" t="str">
        <x:f>IF(B686="","",IF(COUNTIF('Raw Decommissioning'!$B$2:$B$1000,B686)&gt;0,"Decommissioning",IF(COUNTIF('Raw Provisioning'!$B$2:$B$1000,B686)&gt;0,"Provisioning","Not in latest raw")))</x:f>
      </x:c>
      <x:c r="D686" s="170" t="str">
        <x:f>IF(B686="","",IFERROR(INDEX('Raw Decommissioning'!$E$2:$E$1000,MATCH(B686,'Raw Decommissioning'!$B$2:$B$1000,0)),IFERROR(INDEX('Raw Provisioning'!$E$2:$E$1000,MATCH(B686,'Raw Provisioning'!$B$2:$B$1000,0)),"Missing from latest raw")))</x:f>
      </x:c>
      <x:c r="E686" s="170" t="str">
        <x:f>IF(B686="","",IF(D686="completed","Completed in CSSP",IF(D686="executing","Active - Executing",IF(D686="processing","Ready to Assign",IF(D686="Missing from latest raw","Check Source","Not Managed - "&amp;D686)))))</x:f>
      </x:c>
      <x:c r="F686" s="170" t="str">
        <x:f>IF(B686="","",IFERROR(INDEX('Task Master'!$K$5:$K$804,MATCH(B686,'Task Master'!$A$5:$A$804,0)),""))</x:f>
      </x:c>
      <x:c r="G686" s="192"/>
      <x:c r="H686" s="192"/>
      <x:c r="I686" s="192"/>
      <x:c r="J686" s="192"/>
      <x:c r="K686" s="192"/>
      <x:c r="L686" s="196"/>
      <x:c r="M686" s="192"/>
      <x:c r="N686" s="192"/>
      <x:c r="O686" s="192"/>
      <x:c r="P686" s="192"/>
      <x:c r="Q686" s="170" t="str">
        <x:f>IF(OR(A686="",B686=""),"",IF(A686=LOOKUP(2,1/($B$5:$B$704=B686),$A$5:$A$704),"Yes","No"))</x:f>
      </x:c>
    </x:row>
    <x:row r="687">
      <x:c r="A687" s="194"/>
      <x:c r="B687" s="192"/>
      <x:c r="C687" s="170" t="str">
        <x:f>IF(B687="","",IF(COUNTIF('Raw Decommissioning'!$B$2:$B$1000,B687)&gt;0,"Decommissioning",IF(COUNTIF('Raw Provisioning'!$B$2:$B$1000,B687)&gt;0,"Provisioning","Not in latest raw")))</x:f>
      </x:c>
      <x:c r="D687" s="170" t="str">
        <x:f>IF(B687="","",IFERROR(INDEX('Raw Decommissioning'!$E$2:$E$1000,MATCH(B687,'Raw Decommissioning'!$B$2:$B$1000,0)),IFERROR(INDEX('Raw Provisioning'!$E$2:$E$1000,MATCH(B687,'Raw Provisioning'!$B$2:$B$1000,0)),"Missing from latest raw")))</x:f>
      </x:c>
      <x:c r="E687" s="170" t="str">
        <x:f>IF(B687="","",IF(D687="completed","Completed in CSSP",IF(D687="executing","Active - Executing",IF(D687="processing","Ready to Assign",IF(D687="Missing from latest raw","Check Source","Not Managed - "&amp;D687)))))</x:f>
      </x:c>
      <x:c r="F687" s="170" t="str">
        <x:f>IF(B687="","",IFERROR(INDEX('Task Master'!$K$5:$K$804,MATCH(B687,'Task Master'!$A$5:$A$804,0)),""))</x:f>
      </x:c>
      <x:c r="G687" s="192"/>
      <x:c r="H687" s="192"/>
      <x:c r="I687" s="192"/>
      <x:c r="J687" s="192"/>
      <x:c r="K687" s="192"/>
      <x:c r="L687" s="196"/>
      <x:c r="M687" s="192"/>
      <x:c r="N687" s="192"/>
      <x:c r="O687" s="192"/>
      <x:c r="P687" s="192"/>
      <x:c r="Q687" s="170" t="str">
        <x:f>IF(OR(A687="",B687=""),"",IF(A687=LOOKUP(2,1/($B$5:$B$704=B687),$A$5:$A$704),"Yes","No"))</x:f>
      </x:c>
    </x:row>
    <x:row r="688">
      <x:c r="A688" s="194"/>
      <x:c r="B688" s="192"/>
      <x:c r="C688" s="170" t="str">
        <x:f>IF(B688="","",IF(COUNTIF('Raw Decommissioning'!$B$2:$B$1000,B688)&gt;0,"Decommissioning",IF(COUNTIF('Raw Provisioning'!$B$2:$B$1000,B688)&gt;0,"Provisioning","Not in latest raw")))</x:f>
      </x:c>
      <x:c r="D688" s="170" t="str">
        <x:f>IF(B688="","",IFERROR(INDEX('Raw Decommissioning'!$E$2:$E$1000,MATCH(B688,'Raw Decommissioning'!$B$2:$B$1000,0)),IFERROR(INDEX('Raw Provisioning'!$E$2:$E$1000,MATCH(B688,'Raw Provisioning'!$B$2:$B$1000,0)),"Missing from latest raw")))</x:f>
      </x:c>
      <x:c r="E688" s="170" t="str">
        <x:f>IF(B688="","",IF(D688="completed","Completed in CSSP",IF(D688="executing","Active - Executing",IF(D688="processing","Ready to Assign",IF(D688="Missing from latest raw","Check Source","Not Managed - "&amp;D688)))))</x:f>
      </x:c>
      <x:c r="F688" s="170" t="str">
        <x:f>IF(B688="","",IFERROR(INDEX('Task Master'!$K$5:$K$804,MATCH(B688,'Task Master'!$A$5:$A$804,0)),""))</x:f>
      </x:c>
      <x:c r="G688" s="192"/>
      <x:c r="H688" s="192"/>
      <x:c r="I688" s="192"/>
      <x:c r="J688" s="192"/>
      <x:c r="K688" s="192"/>
      <x:c r="L688" s="196"/>
      <x:c r="M688" s="192"/>
      <x:c r="N688" s="192"/>
      <x:c r="O688" s="192"/>
      <x:c r="P688" s="192"/>
      <x:c r="Q688" s="170" t="str">
        <x:f>IF(OR(A688="",B688=""),"",IF(A688=LOOKUP(2,1/($B$5:$B$704=B688),$A$5:$A$704),"Yes","No"))</x:f>
      </x:c>
    </x:row>
    <x:row r="689">
      <x:c r="A689" s="194"/>
      <x:c r="B689" s="192"/>
      <x:c r="C689" s="170" t="str">
        <x:f>IF(B689="","",IF(COUNTIF('Raw Decommissioning'!$B$2:$B$1000,B689)&gt;0,"Decommissioning",IF(COUNTIF('Raw Provisioning'!$B$2:$B$1000,B689)&gt;0,"Provisioning","Not in latest raw")))</x:f>
      </x:c>
      <x:c r="D689" s="170" t="str">
        <x:f>IF(B689="","",IFERROR(INDEX('Raw Decommissioning'!$E$2:$E$1000,MATCH(B689,'Raw Decommissioning'!$B$2:$B$1000,0)),IFERROR(INDEX('Raw Provisioning'!$E$2:$E$1000,MATCH(B689,'Raw Provisioning'!$B$2:$B$1000,0)),"Missing from latest raw")))</x:f>
      </x:c>
      <x:c r="E689" s="170" t="str">
        <x:f>IF(B689="","",IF(D689="completed","Completed in CSSP",IF(D689="executing","Active - Executing",IF(D689="processing","Ready to Assign",IF(D689="Missing from latest raw","Check Source","Not Managed - "&amp;D689)))))</x:f>
      </x:c>
      <x:c r="F689" s="170" t="str">
        <x:f>IF(B689="","",IFERROR(INDEX('Task Master'!$K$5:$K$804,MATCH(B689,'Task Master'!$A$5:$A$804,0)),""))</x:f>
      </x:c>
      <x:c r="G689" s="192"/>
      <x:c r="H689" s="192"/>
      <x:c r="I689" s="192"/>
      <x:c r="J689" s="192"/>
      <x:c r="K689" s="192"/>
      <x:c r="L689" s="196"/>
      <x:c r="M689" s="192"/>
      <x:c r="N689" s="192"/>
      <x:c r="O689" s="192"/>
      <x:c r="P689" s="192"/>
      <x:c r="Q689" s="170" t="str">
        <x:f>IF(OR(A689="",B689=""),"",IF(A689=LOOKUP(2,1/($B$5:$B$704=B689),$A$5:$A$704),"Yes","No"))</x:f>
      </x:c>
    </x:row>
    <x:row r="690">
      <x:c r="A690" s="194"/>
      <x:c r="B690" s="192"/>
      <x:c r="C690" s="170" t="str">
        <x:f>IF(B690="","",IF(COUNTIF('Raw Decommissioning'!$B$2:$B$1000,B690)&gt;0,"Decommissioning",IF(COUNTIF('Raw Provisioning'!$B$2:$B$1000,B690)&gt;0,"Provisioning","Not in latest raw")))</x:f>
      </x:c>
      <x:c r="D690" s="170" t="str">
        <x:f>IF(B690="","",IFERROR(INDEX('Raw Decommissioning'!$E$2:$E$1000,MATCH(B690,'Raw Decommissioning'!$B$2:$B$1000,0)),IFERROR(INDEX('Raw Provisioning'!$E$2:$E$1000,MATCH(B690,'Raw Provisioning'!$B$2:$B$1000,0)),"Missing from latest raw")))</x:f>
      </x:c>
      <x:c r="E690" s="170" t="str">
        <x:f>IF(B690="","",IF(D690="completed","Completed in CSSP",IF(D690="executing","Active - Executing",IF(D690="processing","Ready to Assign",IF(D690="Missing from latest raw","Check Source","Not Managed - "&amp;D690)))))</x:f>
      </x:c>
      <x:c r="F690" s="170" t="str">
        <x:f>IF(B690="","",IFERROR(INDEX('Task Master'!$K$5:$K$804,MATCH(B690,'Task Master'!$A$5:$A$804,0)),""))</x:f>
      </x:c>
      <x:c r="G690" s="192"/>
      <x:c r="H690" s="192"/>
      <x:c r="I690" s="192"/>
      <x:c r="J690" s="192"/>
      <x:c r="K690" s="192"/>
      <x:c r="L690" s="196"/>
      <x:c r="M690" s="192"/>
      <x:c r="N690" s="192"/>
      <x:c r="O690" s="192"/>
      <x:c r="P690" s="192"/>
      <x:c r="Q690" s="170" t="str">
        <x:f>IF(OR(A690="",B690=""),"",IF(A690=LOOKUP(2,1/($B$5:$B$704=B690),$A$5:$A$704),"Yes","No"))</x:f>
      </x:c>
    </x:row>
    <x:row r="691">
      <x:c r="A691" s="194"/>
      <x:c r="B691" s="192"/>
      <x:c r="C691" s="170" t="str">
        <x:f>IF(B691="","",IF(COUNTIF('Raw Decommissioning'!$B$2:$B$1000,B691)&gt;0,"Decommissioning",IF(COUNTIF('Raw Provisioning'!$B$2:$B$1000,B691)&gt;0,"Provisioning","Not in latest raw")))</x:f>
      </x:c>
      <x:c r="D691" s="170" t="str">
        <x:f>IF(B691="","",IFERROR(INDEX('Raw Decommissioning'!$E$2:$E$1000,MATCH(B691,'Raw Decommissioning'!$B$2:$B$1000,0)),IFERROR(INDEX('Raw Provisioning'!$E$2:$E$1000,MATCH(B691,'Raw Provisioning'!$B$2:$B$1000,0)),"Missing from latest raw")))</x:f>
      </x:c>
      <x:c r="E691" s="170" t="str">
        <x:f>IF(B691="","",IF(D691="completed","Completed in CSSP",IF(D691="executing","Active - Executing",IF(D691="processing","Ready to Assign",IF(D691="Missing from latest raw","Check Source","Not Managed - "&amp;D691)))))</x:f>
      </x:c>
      <x:c r="F691" s="170" t="str">
        <x:f>IF(B691="","",IFERROR(INDEX('Task Master'!$K$5:$K$804,MATCH(B691,'Task Master'!$A$5:$A$804,0)),""))</x:f>
      </x:c>
      <x:c r="G691" s="192"/>
      <x:c r="H691" s="192"/>
      <x:c r="I691" s="192"/>
      <x:c r="J691" s="192"/>
      <x:c r="K691" s="192"/>
      <x:c r="L691" s="196"/>
      <x:c r="M691" s="192"/>
      <x:c r="N691" s="192"/>
      <x:c r="O691" s="192"/>
      <x:c r="P691" s="192"/>
      <x:c r="Q691" s="170" t="str">
        <x:f>IF(OR(A691="",B691=""),"",IF(A691=LOOKUP(2,1/($B$5:$B$704=B691),$A$5:$A$704),"Yes","No"))</x:f>
      </x:c>
    </x:row>
    <x:row r="692">
      <x:c r="A692" s="194"/>
      <x:c r="B692" s="192"/>
      <x:c r="C692" s="170" t="str">
        <x:f>IF(B692="","",IF(COUNTIF('Raw Decommissioning'!$B$2:$B$1000,B692)&gt;0,"Decommissioning",IF(COUNTIF('Raw Provisioning'!$B$2:$B$1000,B692)&gt;0,"Provisioning","Not in latest raw")))</x:f>
      </x:c>
      <x:c r="D692" s="170" t="str">
        <x:f>IF(B692="","",IFERROR(INDEX('Raw Decommissioning'!$E$2:$E$1000,MATCH(B692,'Raw Decommissioning'!$B$2:$B$1000,0)),IFERROR(INDEX('Raw Provisioning'!$E$2:$E$1000,MATCH(B692,'Raw Provisioning'!$B$2:$B$1000,0)),"Missing from latest raw")))</x:f>
      </x:c>
      <x:c r="E692" s="170" t="str">
        <x:f>IF(B692="","",IF(D692="completed","Completed in CSSP",IF(D692="executing","Active - Executing",IF(D692="processing","Ready to Assign",IF(D692="Missing from latest raw","Check Source","Not Managed - "&amp;D692)))))</x:f>
      </x:c>
      <x:c r="F692" s="170" t="str">
        <x:f>IF(B692="","",IFERROR(INDEX('Task Master'!$K$5:$K$804,MATCH(B692,'Task Master'!$A$5:$A$804,0)),""))</x:f>
      </x:c>
      <x:c r="G692" s="192"/>
      <x:c r="H692" s="192"/>
      <x:c r="I692" s="192"/>
      <x:c r="J692" s="192"/>
      <x:c r="K692" s="192"/>
      <x:c r="L692" s="196"/>
      <x:c r="M692" s="192"/>
      <x:c r="N692" s="192"/>
      <x:c r="O692" s="192"/>
      <x:c r="P692" s="192"/>
      <x:c r="Q692" s="170" t="str">
        <x:f>IF(OR(A692="",B692=""),"",IF(A692=LOOKUP(2,1/($B$5:$B$704=B692),$A$5:$A$704),"Yes","No"))</x:f>
      </x:c>
    </x:row>
    <x:row r="693">
      <x:c r="A693" s="194"/>
      <x:c r="B693" s="192"/>
      <x:c r="C693" s="170" t="str">
        <x:f>IF(B693="","",IF(COUNTIF('Raw Decommissioning'!$B$2:$B$1000,B693)&gt;0,"Decommissioning",IF(COUNTIF('Raw Provisioning'!$B$2:$B$1000,B693)&gt;0,"Provisioning","Not in latest raw")))</x:f>
      </x:c>
      <x:c r="D693" s="170" t="str">
        <x:f>IF(B693="","",IFERROR(INDEX('Raw Decommissioning'!$E$2:$E$1000,MATCH(B693,'Raw Decommissioning'!$B$2:$B$1000,0)),IFERROR(INDEX('Raw Provisioning'!$E$2:$E$1000,MATCH(B693,'Raw Provisioning'!$B$2:$B$1000,0)),"Missing from latest raw")))</x:f>
      </x:c>
      <x:c r="E693" s="170" t="str">
        <x:f>IF(B693="","",IF(D693="completed","Completed in CSSP",IF(D693="executing","Active - Executing",IF(D693="processing","Ready to Assign",IF(D693="Missing from latest raw","Check Source","Not Managed - "&amp;D693)))))</x:f>
      </x:c>
      <x:c r="F693" s="170" t="str">
        <x:f>IF(B693="","",IFERROR(INDEX('Task Master'!$K$5:$K$804,MATCH(B693,'Task Master'!$A$5:$A$804,0)),""))</x:f>
      </x:c>
      <x:c r="G693" s="192"/>
      <x:c r="H693" s="192"/>
      <x:c r="I693" s="192"/>
      <x:c r="J693" s="192"/>
      <x:c r="K693" s="192"/>
      <x:c r="L693" s="196"/>
      <x:c r="M693" s="192"/>
      <x:c r="N693" s="192"/>
      <x:c r="O693" s="192"/>
      <x:c r="P693" s="192"/>
      <x:c r="Q693" s="170" t="str">
        <x:f>IF(OR(A693="",B693=""),"",IF(A693=LOOKUP(2,1/($B$5:$B$704=B693),$A$5:$A$704),"Yes","No"))</x:f>
      </x:c>
    </x:row>
    <x:row r="694">
      <x:c r="A694" s="194"/>
      <x:c r="B694" s="192"/>
      <x:c r="C694" s="170" t="str">
        <x:f>IF(B694="","",IF(COUNTIF('Raw Decommissioning'!$B$2:$B$1000,B694)&gt;0,"Decommissioning",IF(COUNTIF('Raw Provisioning'!$B$2:$B$1000,B694)&gt;0,"Provisioning","Not in latest raw")))</x:f>
      </x:c>
      <x:c r="D694" s="170" t="str">
        <x:f>IF(B694="","",IFERROR(INDEX('Raw Decommissioning'!$E$2:$E$1000,MATCH(B694,'Raw Decommissioning'!$B$2:$B$1000,0)),IFERROR(INDEX('Raw Provisioning'!$E$2:$E$1000,MATCH(B694,'Raw Provisioning'!$B$2:$B$1000,0)),"Missing from latest raw")))</x:f>
      </x:c>
      <x:c r="E694" s="170" t="str">
        <x:f>IF(B694="","",IF(D694="completed","Completed in CSSP",IF(D694="executing","Active - Executing",IF(D694="processing","Ready to Assign",IF(D694="Missing from latest raw","Check Source","Not Managed - "&amp;D694)))))</x:f>
      </x:c>
      <x:c r="F694" s="170" t="str">
        <x:f>IF(B694="","",IFERROR(INDEX('Task Master'!$K$5:$K$804,MATCH(B694,'Task Master'!$A$5:$A$804,0)),""))</x:f>
      </x:c>
      <x:c r="G694" s="192"/>
      <x:c r="H694" s="192"/>
      <x:c r="I694" s="192"/>
      <x:c r="J694" s="192"/>
      <x:c r="K694" s="192"/>
      <x:c r="L694" s="196"/>
      <x:c r="M694" s="192"/>
      <x:c r="N694" s="192"/>
      <x:c r="O694" s="192"/>
      <x:c r="P694" s="192"/>
      <x:c r="Q694" s="170" t="str">
        <x:f>IF(OR(A694="",B694=""),"",IF(A694=LOOKUP(2,1/($B$5:$B$704=B694),$A$5:$A$704),"Yes","No"))</x:f>
      </x:c>
    </x:row>
    <x:row r="695">
      <x:c r="A695" s="194"/>
      <x:c r="B695" s="192"/>
      <x:c r="C695" s="170" t="str">
        <x:f>IF(B695="","",IF(COUNTIF('Raw Decommissioning'!$B$2:$B$1000,B695)&gt;0,"Decommissioning",IF(COUNTIF('Raw Provisioning'!$B$2:$B$1000,B695)&gt;0,"Provisioning","Not in latest raw")))</x:f>
      </x:c>
      <x:c r="D695" s="170" t="str">
        <x:f>IF(B695="","",IFERROR(INDEX('Raw Decommissioning'!$E$2:$E$1000,MATCH(B695,'Raw Decommissioning'!$B$2:$B$1000,0)),IFERROR(INDEX('Raw Provisioning'!$E$2:$E$1000,MATCH(B695,'Raw Provisioning'!$B$2:$B$1000,0)),"Missing from latest raw")))</x:f>
      </x:c>
      <x:c r="E695" s="170" t="str">
        <x:f>IF(B695="","",IF(D695="completed","Completed in CSSP",IF(D695="executing","Active - Executing",IF(D695="processing","Ready to Assign",IF(D695="Missing from latest raw","Check Source","Not Managed - "&amp;D695)))))</x:f>
      </x:c>
      <x:c r="F695" s="170" t="str">
        <x:f>IF(B695="","",IFERROR(INDEX('Task Master'!$K$5:$K$804,MATCH(B695,'Task Master'!$A$5:$A$804,0)),""))</x:f>
      </x:c>
      <x:c r="G695" s="192"/>
      <x:c r="H695" s="192"/>
      <x:c r="I695" s="192"/>
      <x:c r="J695" s="192"/>
      <x:c r="K695" s="192"/>
      <x:c r="L695" s="196"/>
      <x:c r="M695" s="192"/>
      <x:c r="N695" s="192"/>
      <x:c r="O695" s="192"/>
      <x:c r="P695" s="192"/>
      <x:c r="Q695" s="170" t="str">
        <x:f>IF(OR(A695="",B695=""),"",IF(A695=LOOKUP(2,1/($B$5:$B$704=B695),$A$5:$A$704),"Yes","No"))</x:f>
      </x:c>
    </x:row>
    <x:row r="696">
      <x:c r="A696" s="194"/>
      <x:c r="B696" s="192"/>
      <x:c r="C696" s="170" t="str">
        <x:f>IF(B696="","",IF(COUNTIF('Raw Decommissioning'!$B$2:$B$1000,B696)&gt;0,"Decommissioning",IF(COUNTIF('Raw Provisioning'!$B$2:$B$1000,B696)&gt;0,"Provisioning","Not in latest raw")))</x:f>
      </x:c>
      <x:c r="D696" s="170" t="str">
        <x:f>IF(B696="","",IFERROR(INDEX('Raw Decommissioning'!$E$2:$E$1000,MATCH(B696,'Raw Decommissioning'!$B$2:$B$1000,0)),IFERROR(INDEX('Raw Provisioning'!$E$2:$E$1000,MATCH(B696,'Raw Provisioning'!$B$2:$B$1000,0)),"Missing from latest raw")))</x:f>
      </x:c>
      <x:c r="E696" s="170" t="str">
        <x:f>IF(B696="","",IF(D696="completed","Completed in CSSP",IF(D696="executing","Active - Executing",IF(D696="processing","Ready to Assign",IF(D696="Missing from latest raw","Check Source","Not Managed - "&amp;D696)))))</x:f>
      </x:c>
      <x:c r="F696" s="170" t="str">
        <x:f>IF(B696="","",IFERROR(INDEX('Task Master'!$K$5:$K$804,MATCH(B696,'Task Master'!$A$5:$A$804,0)),""))</x:f>
      </x:c>
      <x:c r="G696" s="192"/>
      <x:c r="H696" s="192"/>
      <x:c r="I696" s="192"/>
      <x:c r="J696" s="192"/>
      <x:c r="K696" s="192"/>
      <x:c r="L696" s="196"/>
      <x:c r="M696" s="192"/>
      <x:c r="N696" s="192"/>
      <x:c r="O696" s="192"/>
      <x:c r="P696" s="192"/>
      <x:c r="Q696" s="170" t="str">
        <x:f>IF(OR(A696="",B696=""),"",IF(A696=LOOKUP(2,1/($B$5:$B$704=B696),$A$5:$A$704),"Yes","No"))</x:f>
      </x:c>
    </x:row>
    <x:row r="697">
      <x:c r="A697" s="194"/>
      <x:c r="B697" s="192"/>
      <x:c r="C697" s="170" t="str">
        <x:f>IF(B697="","",IF(COUNTIF('Raw Decommissioning'!$B$2:$B$1000,B697)&gt;0,"Decommissioning",IF(COUNTIF('Raw Provisioning'!$B$2:$B$1000,B697)&gt;0,"Provisioning","Not in latest raw")))</x:f>
      </x:c>
      <x:c r="D697" s="170" t="str">
        <x:f>IF(B697="","",IFERROR(INDEX('Raw Decommissioning'!$E$2:$E$1000,MATCH(B697,'Raw Decommissioning'!$B$2:$B$1000,0)),IFERROR(INDEX('Raw Provisioning'!$E$2:$E$1000,MATCH(B697,'Raw Provisioning'!$B$2:$B$1000,0)),"Missing from latest raw")))</x:f>
      </x:c>
      <x:c r="E697" s="170" t="str">
        <x:f>IF(B697="","",IF(D697="completed","Completed in CSSP",IF(D697="executing","Active - Executing",IF(D697="processing","Ready to Assign",IF(D697="Missing from latest raw","Check Source","Not Managed - "&amp;D697)))))</x:f>
      </x:c>
      <x:c r="F697" s="170" t="str">
        <x:f>IF(B697="","",IFERROR(INDEX('Task Master'!$K$5:$K$804,MATCH(B697,'Task Master'!$A$5:$A$804,0)),""))</x:f>
      </x:c>
      <x:c r="G697" s="192"/>
      <x:c r="H697" s="192"/>
      <x:c r="I697" s="192"/>
      <x:c r="J697" s="192"/>
      <x:c r="K697" s="192"/>
      <x:c r="L697" s="196"/>
      <x:c r="M697" s="192"/>
      <x:c r="N697" s="192"/>
      <x:c r="O697" s="192"/>
      <x:c r="P697" s="192"/>
      <x:c r="Q697" s="170" t="str">
        <x:f>IF(OR(A697="",B697=""),"",IF(A697=LOOKUP(2,1/($B$5:$B$704=B697),$A$5:$A$704),"Yes","No"))</x:f>
      </x:c>
    </x:row>
    <x:row r="698">
      <x:c r="A698" s="194"/>
      <x:c r="B698" s="192"/>
      <x:c r="C698" s="170" t="str">
        <x:f>IF(B698="","",IF(COUNTIF('Raw Decommissioning'!$B$2:$B$1000,B698)&gt;0,"Decommissioning",IF(COUNTIF('Raw Provisioning'!$B$2:$B$1000,B698)&gt;0,"Provisioning","Not in latest raw")))</x:f>
      </x:c>
      <x:c r="D698" s="170" t="str">
        <x:f>IF(B698="","",IFERROR(INDEX('Raw Decommissioning'!$E$2:$E$1000,MATCH(B698,'Raw Decommissioning'!$B$2:$B$1000,0)),IFERROR(INDEX('Raw Provisioning'!$E$2:$E$1000,MATCH(B698,'Raw Provisioning'!$B$2:$B$1000,0)),"Missing from latest raw")))</x:f>
      </x:c>
      <x:c r="E698" s="170" t="str">
        <x:f>IF(B698="","",IF(D698="completed","Completed in CSSP",IF(D698="executing","Active - Executing",IF(D698="processing","Ready to Assign",IF(D698="Missing from latest raw","Check Source","Not Managed - "&amp;D698)))))</x:f>
      </x:c>
      <x:c r="F698" s="170" t="str">
        <x:f>IF(B698="","",IFERROR(INDEX('Task Master'!$K$5:$K$804,MATCH(B698,'Task Master'!$A$5:$A$804,0)),""))</x:f>
      </x:c>
      <x:c r="G698" s="192"/>
      <x:c r="H698" s="192"/>
      <x:c r="I698" s="192"/>
      <x:c r="J698" s="192"/>
      <x:c r="K698" s="192"/>
      <x:c r="L698" s="196"/>
      <x:c r="M698" s="192"/>
      <x:c r="N698" s="192"/>
      <x:c r="O698" s="192"/>
      <x:c r="P698" s="192"/>
      <x:c r="Q698" s="170" t="str">
        <x:f>IF(OR(A698="",B698=""),"",IF(A698=LOOKUP(2,1/($B$5:$B$704=B698),$A$5:$A$704),"Yes","No"))</x:f>
      </x:c>
    </x:row>
    <x:row r="699">
      <x:c r="A699" s="194"/>
      <x:c r="B699" s="192"/>
      <x:c r="C699" s="170" t="str">
        <x:f>IF(B699="","",IF(COUNTIF('Raw Decommissioning'!$B$2:$B$1000,B699)&gt;0,"Decommissioning",IF(COUNTIF('Raw Provisioning'!$B$2:$B$1000,B699)&gt;0,"Provisioning","Not in latest raw")))</x:f>
      </x:c>
      <x:c r="D699" s="170" t="str">
        <x:f>IF(B699="","",IFERROR(INDEX('Raw Decommissioning'!$E$2:$E$1000,MATCH(B699,'Raw Decommissioning'!$B$2:$B$1000,0)),IFERROR(INDEX('Raw Provisioning'!$E$2:$E$1000,MATCH(B699,'Raw Provisioning'!$B$2:$B$1000,0)),"Missing from latest raw")))</x:f>
      </x:c>
      <x:c r="E699" s="170" t="str">
        <x:f>IF(B699="","",IF(D699="completed","Completed in CSSP",IF(D699="executing","Active - Executing",IF(D699="processing","Ready to Assign",IF(D699="Missing from latest raw","Check Source","Not Managed - "&amp;D699)))))</x:f>
      </x:c>
      <x:c r="F699" s="170" t="str">
        <x:f>IF(B699="","",IFERROR(INDEX('Task Master'!$K$5:$K$804,MATCH(B699,'Task Master'!$A$5:$A$804,0)),""))</x:f>
      </x:c>
      <x:c r="G699" s="192"/>
      <x:c r="H699" s="192"/>
      <x:c r="I699" s="192"/>
      <x:c r="J699" s="192"/>
      <x:c r="K699" s="192"/>
      <x:c r="L699" s="196"/>
      <x:c r="M699" s="192"/>
      <x:c r="N699" s="192"/>
      <x:c r="O699" s="192"/>
      <x:c r="P699" s="192"/>
      <x:c r="Q699" s="170" t="str">
        <x:f>IF(OR(A699="",B699=""),"",IF(A699=LOOKUP(2,1/($B$5:$B$704=B699),$A$5:$A$704),"Yes","No"))</x:f>
      </x:c>
    </x:row>
    <x:row r="700">
      <x:c r="A700" s="194"/>
      <x:c r="B700" s="192"/>
      <x:c r="C700" s="170" t="str">
        <x:f>IF(B700="","",IF(COUNTIF('Raw Decommissioning'!$B$2:$B$1000,B700)&gt;0,"Decommissioning",IF(COUNTIF('Raw Provisioning'!$B$2:$B$1000,B700)&gt;0,"Provisioning","Not in latest raw")))</x:f>
      </x:c>
      <x:c r="D700" s="170" t="str">
        <x:f>IF(B700="","",IFERROR(INDEX('Raw Decommissioning'!$E$2:$E$1000,MATCH(B700,'Raw Decommissioning'!$B$2:$B$1000,0)),IFERROR(INDEX('Raw Provisioning'!$E$2:$E$1000,MATCH(B700,'Raw Provisioning'!$B$2:$B$1000,0)),"Missing from latest raw")))</x:f>
      </x:c>
      <x:c r="E700" s="170" t="str">
        <x:f>IF(B700="","",IF(D700="completed","Completed in CSSP",IF(D700="executing","Active - Executing",IF(D700="processing","Ready to Assign",IF(D700="Missing from latest raw","Check Source","Not Managed - "&amp;D700)))))</x:f>
      </x:c>
      <x:c r="F700" s="170" t="str">
        <x:f>IF(B700="","",IFERROR(INDEX('Task Master'!$K$5:$K$804,MATCH(B700,'Task Master'!$A$5:$A$804,0)),""))</x:f>
      </x:c>
      <x:c r="G700" s="192"/>
      <x:c r="H700" s="192"/>
      <x:c r="I700" s="192"/>
      <x:c r="J700" s="192"/>
      <x:c r="K700" s="192"/>
      <x:c r="L700" s="196"/>
      <x:c r="M700" s="192"/>
      <x:c r="N700" s="192"/>
      <x:c r="O700" s="192"/>
      <x:c r="P700" s="192"/>
      <x:c r="Q700" s="170" t="str">
        <x:f>IF(OR(A700="",B700=""),"",IF(A700=LOOKUP(2,1/($B$5:$B$704=B700),$A$5:$A$704),"Yes","No"))</x:f>
      </x:c>
    </x:row>
    <x:row r="701">
      <x:c r="A701" s="194"/>
      <x:c r="B701" s="192"/>
      <x:c r="C701" s="170" t="str">
        <x:f>IF(B701="","",IF(COUNTIF('Raw Decommissioning'!$B$2:$B$1000,B701)&gt;0,"Decommissioning",IF(COUNTIF('Raw Provisioning'!$B$2:$B$1000,B701)&gt;0,"Provisioning","Not in latest raw")))</x:f>
      </x:c>
      <x:c r="D701" s="170" t="str">
        <x:f>IF(B701="","",IFERROR(INDEX('Raw Decommissioning'!$E$2:$E$1000,MATCH(B701,'Raw Decommissioning'!$B$2:$B$1000,0)),IFERROR(INDEX('Raw Provisioning'!$E$2:$E$1000,MATCH(B701,'Raw Provisioning'!$B$2:$B$1000,0)),"Missing from latest raw")))</x:f>
      </x:c>
      <x:c r="E701" s="170" t="str">
        <x:f>IF(B701="","",IF(D701="completed","Completed in CSSP",IF(D701="executing","Active - Executing",IF(D701="processing","Ready to Assign",IF(D701="Missing from latest raw","Check Source","Not Managed - "&amp;D701)))))</x:f>
      </x:c>
      <x:c r="F701" s="170" t="str">
        <x:f>IF(B701="","",IFERROR(INDEX('Task Master'!$K$5:$K$804,MATCH(B701,'Task Master'!$A$5:$A$804,0)),""))</x:f>
      </x:c>
      <x:c r="G701" s="192"/>
      <x:c r="H701" s="192"/>
      <x:c r="I701" s="192"/>
      <x:c r="J701" s="192"/>
      <x:c r="K701" s="192"/>
      <x:c r="L701" s="196"/>
      <x:c r="M701" s="192"/>
      <x:c r="N701" s="192"/>
      <x:c r="O701" s="192"/>
      <x:c r="P701" s="192"/>
      <x:c r="Q701" s="170" t="str">
        <x:f>IF(OR(A701="",B701=""),"",IF(A701=LOOKUP(2,1/($B$5:$B$704=B701),$A$5:$A$704),"Yes","No"))</x:f>
      </x:c>
    </x:row>
    <x:row r="702">
      <x:c r="A702" s="194"/>
      <x:c r="B702" s="192"/>
      <x:c r="C702" s="170" t="str">
        <x:f>IF(B702="","",IF(COUNTIF('Raw Decommissioning'!$B$2:$B$1000,B702)&gt;0,"Decommissioning",IF(COUNTIF('Raw Provisioning'!$B$2:$B$1000,B702)&gt;0,"Provisioning","Not in latest raw")))</x:f>
      </x:c>
      <x:c r="D702" s="170" t="str">
        <x:f>IF(B702="","",IFERROR(INDEX('Raw Decommissioning'!$E$2:$E$1000,MATCH(B702,'Raw Decommissioning'!$B$2:$B$1000,0)),IFERROR(INDEX('Raw Provisioning'!$E$2:$E$1000,MATCH(B702,'Raw Provisioning'!$B$2:$B$1000,0)),"Missing from latest raw")))</x:f>
      </x:c>
      <x:c r="E702" s="170" t="str">
        <x:f>IF(B702="","",IF(D702="completed","Completed in CSSP",IF(D702="executing","Active - Executing",IF(D702="processing","Ready to Assign",IF(D702="Missing from latest raw","Check Source","Not Managed - "&amp;D702)))))</x:f>
      </x:c>
      <x:c r="F702" s="170" t="str">
        <x:f>IF(B702="","",IFERROR(INDEX('Task Master'!$K$5:$K$804,MATCH(B702,'Task Master'!$A$5:$A$804,0)),""))</x:f>
      </x:c>
      <x:c r="G702" s="192"/>
      <x:c r="H702" s="192"/>
      <x:c r="I702" s="192"/>
      <x:c r="J702" s="192"/>
      <x:c r="K702" s="192"/>
      <x:c r="L702" s="196"/>
      <x:c r="M702" s="192"/>
      <x:c r="N702" s="192"/>
      <x:c r="O702" s="192"/>
      <x:c r="P702" s="192"/>
      <x:c r="Q702" s="170" t="str">
        <x:f>IF(OR(A702="",B702=""),"",IF(A702=LOOKUP(2,1/($B$5:$B$704=B702),$A$5:$A$704),"Yes","No"))</x:f>
      </x:c>
    </x:row>
    <x:row r="703">
      <x:c r="A703" s="194"/>
      <x:c r="B703" s="192"/>
      <x:c r="C703" s="170" t="str">
        <x:f>IF(B703="","",IF(COUNTIF('Raw Decommissioning'!$B$2:$B$1000,B703)&gt;0,"Decommissioning",IF(COUNTIF('Raw Provisioning'!$B$2:$B$1000,B703)&gt;0,"Provisioning","Not in latest raw")))</x:f>
      </x:c>
      <x:c r="D703" s="170" t="str">
        <x:f>IF(B703="","",IFERROR(INDEX('Raw Decommissioning'!$E$2:$E$1000,MATCH(B703,'Raw Decommissioning'!$B$2:$B$1000,0)),IFERROR(INDEX('Raw Provisioning'!$E$2:$E$1000,MATCH(B703,'Raw Provisioning'!$B$2:$B$1000,0)),"Missing from latest raw")))</x:f>
      </x:c>
      <x:c r="E703" s="170" t="str">
        <x:f>IF(B703="","",IF(D703="completed","Completed in CSSP",IF(D703="executing","Active - Executing",IF(D703="processing","Ready to Assign",IF(D703="Missing from latest raw","Check Source","Not Managed - "&amp;D703)))))</x:f>
      </x:c>
      <x:c r="F703" s="170" t="str">
        <x:f>IF(B703="","",IFERROR(INDEX('Task Master'!$K$5:$K$804,MATCH(B703,'Task Master'!$A$5:$A$804,0)),""))</x:f>
      </x:c>
      <x:c r="G703" s="192"/>
      <x:c r="H703" s="192"/>
      <x:c r="I703" s="192"/>
      <x:c r="J703" s="192"/>
      <x:c r="K703" s="192"/>
      <x:c r="L703" s="196"/>
      <x:c r="M703" s="192"/>
      <x:c r="N703" s="192"/>
      <x:c r="O703" s="192"/>
      <x:c r="P703" s="192"/>
      <x:c r="Q703" s="170" t="str">
        <x:f>IF(OR(A703="",B703=""),"",IF(A703=LOOKUP(2,1/($B$5:$B$704=B703),$A$5:$A$704),"Yes","No"))</x:f>
      </x:c>
    </x:row>
    <x:row r="704">
      <x:c r="A704" s="194"/>
      <x:c r="B704" s="192"/>
      <x:c r="C704" s="170" t="str">
        <x:f>IF(B704="","",IF(COUNTIF('Raw Decommissioning'!$B$2:$B$1000,B704)&gt;0,"Decommissioning",IF(COUNTIF('Raw Provisioning'!$B$2:$B$1000,B704)&gt;0,"Provisioning","Not in latest raw")))</x:f>
      </x:c>
      <x:c r="D704" s="170" t="str">
        <x:f>IF(B704="","",IFERROR(INDEX('Raw Decommissioning'!$E$2:$E$1000,MATCH(B704,'Raw Decommissioning'!$B$2:$B$1000,0)),IFERROR(INDEX('Raw Provisioning'!$E$2:$E$1000,MATCH(B704,'Raw Provisioning'!$B$2:$B$1000,0)),"Missing from latest raw")))</x:f>
      </x:c>
      <x:c r="E704" s="170" t="str">
        <x:f>IF(B704="","",IF(D704="completed","Completed in CSSP",IF(D704="executing","Active - Executing",IF(D704="processing","Ready to Assign",IF(D704="Missing from latest raw","Check Source","Not Managed - "&amp;D704)))))</x:f>
      </x:c>
      <x:c r="F704" s="170" t="str">
        <x:f>IF(B704="","",IFERROR(INDEX('Task Master'!$K$5:$K$804,MATCH(B704,'Task Master'!$A$5:$A$804,0)),""))</x:f>
      </x:c>
      <x:c r="G704" s="192"/>
      <x:c r="H704" s="192"/>
      <x:c r="I704" s="192"/>
      <x:c r="J704" s="192"/>
      <x:c r="K704" s="192"/>
      <x:c r="L704" s="196"/>
      <x:c r="M704" s="192"/>
      <x:c r="N704" s="192"/>
      <x:c r="O704" s="192"/>
      <x:c r="P704" s="192"/>
      <x:c r="Q704" s="170" t="str">
        <x:f>IF(OR(A704="",B704=""),"",IF(A704=LOOKUP(2,1/($B$5:$B$704=B704),$A$5:$A$704),"Yes","No"))</x:f>
      </x:c>
    </x:row>
  </x:sheetData>
  <x:mergeCells>
    <x:mergeCell ref="A1:Q1"/>
    <x:mergeCell ref="A2:Q2"/>
  </x:mergeCells>
  <x:conditionalFormatting sqref="E5:E304">
    <x:cfRule type="containsText" dxfId="193" priority="1" operator="containsText" text="Waiting/Blocked"/>
    <x:cfRule type="containsText" dxfId="192" priority="2" operator="containsText" text="Completed by Engineer"/>
    <x:cfRule type="containsText" dxfId="191" priority="3" operator="containsText" text="Out-of-Scope Suspected"/>
  </x:conditionalFormatting>
  <x:conditionalFormatting sqref="D5:E704">
    <x:cfRule type="containsText" dxfId="205" priority="4" operator="containsText" text="Completed"/>
    <x:cfRule type="containsText" dxfId="206" priority="5" operator="containsText" text="completed"/>
    <x:cfRule type="containsText" dxfId="207" priority="6" operator="containsText" text="Missing"/>
    <x:cfRule type="containsText" dxfId="208" priority="7" operator="containsText" text="Check Source"/>
  </x:conditionalFormatting>
  <x:dataValidations count="8">
    <x:dataValidation type="list" sqref="E5:E304">
      <x:formula1>"Not Started,In Progress,Waiting/Blocked,Out-of-Scope Suspected,Completed by Engineer,Returned for Clarification"</x:formula1>
    </x:dataValidation>
    <x:dataValidation type="list" sqref="J5:J304">
      <x:formula1>"Not Assessed,In Scope,Suspected Out-of-Scope"</x:formula1>
    </x:dataValidation>
    <x:dataValidation type="list" sqref="K5:K304">
      <x:formula1>"Private Cloud,On-Premises,Other"</x:formula1>
    </x:dataValidation>
    <x:dataValidation type="list" sqref="B5:B704">
      <x:formula1>'Task Master'!$A$5:$A$804</x:formula1>
    </x:dataValidation>
    <x:dataValidation type="list" sqref="G5:G704">
      <x:formula1>"Info &amp; Access Check,Create Vending,Scripting,Green Light Confirmation,Resource Validation,TF Plan / Drift Check,SME Confirmation,Drift Fix / Console Delete,RFC Document,ITSM CR,Getting Approval,Done"</x:formula1>
    </x:dataValidation>
    <x:dataValidation type="list" sqref="H5:H704">
      <x:formula1>"Not Started,In Progress,Waiting / Blocked,Ready for Approval,Done"</x:formula1>
    </x:dataValidation>
    <x:dataValidation type="list" sqref="M5:M704">
      <x:formula1>"Not Assessed,In Scope,Out-of-Scope Suspected"</x:formula1>
    </x:dataValidation>
    <x:dataValidation type="list" sqref="N5:N704">
      <x:formula1>"Private Cloud,On-Premises,Hybrid / Unclear"</x:formula1>
    </x:dataValidation>
  </x:dataValidations>
  <x:pageMargins left="0.7" right="0.7" top="0.75" bottom="0.75" header="0.3" footer="0.3"/>
  <x:drawing xmlns:r="http://schemas.openxmlformats.org/officeDocument/2006/relationships" r:id="R6cf91f9ee7bd43ce"/>
  <x:legacyDrawing xmlns:r="http://schemas.openxmlformats.org/officeDocument/2006/relationships" r:id="R2d4871f9480d4900"/>
  <x:tableParts count="1">
    <x:tablePart xmlns:r="http://schemas.openxmlformats.org/officeDocument/2006/relationships" r:id="R2039a230ee264d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style="2" customWidth="1"/>
    <x:col min="2" max="2" width="18" style="2" customWidth="1"/>
    <x:col min="3" max="4" width="35" style="2" customWidth="1"/>
    <x:col min="5" max="5" width="23" style="2" customWidth="1"/>
    <x:col min="6" max="7" width="30" style="2" customWidth="1"/>
    <x:col min="8" max="8" width="20" style="2" customWidth="1"/>
    <x:col min="9" max="9" width="45" style="2" customWidth="1"/>
    <x:col min="10" max="16384" width="9" style="2" customWidth="0"/>
  </x:cols>
  <x:sheetData>
    <x:row r="1" ht="30" customHeight="1">
      <x:c r="A1" s="1" t="s">
        <x:v>73</x:v>
      </x:c>
      <x:c r="B1" s="1"/>
      <x:c r="C1" s="1"/>
      <x:c r="D1" s="1"/>
      <x:c r="E1" s="1"/>
      <x:c r="F1" s="1"/>
      <x:c r="G1" s="1"/>
      <x:c r="H1" s="1"/>
      <x:c r="I1" s="1"/>
    </x:row>
    <x:row r="2" ht="24" customHeight="1">
      <x:c r="A2" s="3" t="s">
        <x:v>74</x:v>
      </x:c>
      <x:c r="B2" s="3"/>
      <x:c r="C2" s="3"/>
      <x:c r="D2" s="3"/>
      <x:c r="E2" s="3"/>
      <x:c r="F2" s="3"/>
      <x:c r="G2" s="3"/>
      <x:c r="H2" s="3"/>
      <x:c r="I2" s="3"/>
    </x:row>
    <x:row r="4" ht="32.099998474121094" customHeight="1">
      <x:c r="A4" s="4" t="s">
        <x:v>75</x:v>
      </x:c>
      <x:c r="B4" s="5" t="s">
        <x:v>59</x:v>
      </x:c>
      <x:c r="C4" s="5" t="s">
        <x:v>76</x:v>
      </x:c>
      <x:c r="D4" s="5" t="s">
        <x:v>77</x:v>
      </x:c>
      <x:c r="E4" s="5" t="s">
        <x:v>78</x:v>
      </x:c>
      <x:c r="F4" s="5" t="s">
        <x:v>79</x:v>
      </x:c>
      <x:c r="G4" s="5" t="s">
        <x:v>80</x:v>
      </x:c>
      <x:c r="H4" s="5" t="s">
        <x:v>81</x:v>
      </x:c>
      <x:c r="I4" s="6" t="s">
        <x:v>72</x:v>
      </x:c>
    </x:row>
    <x:row r="5">
      <x:c r="A5" s="99"/>
      <x:c r="B5" s="97"/>
      <x:c r="C5" s="97"/>
      <x:c r="D5" s="97"/>
      <x:c r="E5" s="97"/>
      <x:c r="F5" s="97"/>
      <x:c r="G5" s="97"/>
      <x:c r="H5" s="99"/>
      <x:c r="I5" s="100"/>
    </x:row>
    <x:row r="6">
      <x:c r="A6" s="99"/>
      <x:c r="B6" s="97"/>
      <x:c r="C6" s="97"/>
      <x:c r="D6" s="97"/>
      <x:c r="E6" s="97"/>
      <x:c r="F6" s="97"/>
      <x:c r="G6" s="97"/>
      <x:c r="H6" s="99"/>
      <x:c r="I6" s="100"/>
    </x:row>
    <x:row r="7">
      <x:c r="A7" s="99"/>
      <x:c r="B7" s="97"/>
      <x:c r="C7" s="97"/>
      <x:c r="D7" s="97"/>
      <x:c r="E7" s="97"/>
      <x:c r="F7" s="97"/>
      <x:c r="G7" s="97"/>
      <x:c r="H7" s="99"/>
      <x:c r="I7" s="100"/>
    </x:row>
    <x:row r="8">
      <x:c r="A8" s="99"/>
      <x:c r="B8" s="97"/>
      <x:c r="C8" s="97"/>
      <x:c r="D8" s="97"/>
      <x:c r="E8" s="97"/>
      <x:c r="F8" s="97"/>
      <x:c r="G8" s="97"/>
      <x:c r="H8" s="99"/>
      <x:c r="I8" s="100"/>
    </x:row>
    <x:row r="9">
      <x:c r="A9" s="99"/>
      <x:c r="B9" s="97"/>
      <x:c r="C9" s="97"/>
      <x:c r="D9" s="97"/>
      <x:c r="E9" s="97"/>
      <x:c r="F9" s="97"/>
      <x:c r="G9" s="97"/>
      <x:c r="H9" s="99"/>
      <x:c r="I9" s="100"/>
    </x:row>
    <x:row r="10">
      <x:c r="A10" s="99"/>
      <x:c r="B10" s="97"/>
      <x:c r="C10" s="97"/>
      <x:c r="D10" s="97"/>
      <x:c r="E10" s="97"/>
      <x:c r="F10" s="97"/>
      <x:c r="G10" s="97"/>
      <x:c r="H10" s="99"/>
      <x:c r="I10" s="100"/>
    </x:row>
    <x:row r="11">
      <x:c r="A11" s="99"/>
      <x:c r="B11" s="97"/>
      <x:c r="C11" s="97"/>
      <x:c r="D11" s="97"/>
      <x:c r="E11" s="97"/>
      <x:c r="F11" s="97"/>
      <x:c r="G11" s="97"/>
      <x:c r="H11" s="99"/>
      <x:c r="I11" s="100"/>
    </x:row>
    <x:row r="12">
      <x:c r="A12" s="99"/>
      <x:c r="B12" s="97"/>
      <x:c r="C12" s="97"/>
      <x:c r="D12" s="97"/>
      <x:c r="E12" s="97"/>
      <x:c r="F12" s="97"/>
      <x:c r="G12" s="97"/>
      <x:c r="H12" s="99"/>
      <x:c r="I12" s="100"/>
    </x:row>
    <x:row r="13">
      <x:c r="A13" s="99"/>
      <x:c r="B13" s="97"/>
      <x:c r="C13" s="97"/>
      <x:c r="D13" s="97"/>
      <x:c r="E13" s="97"/>
      <x:c r="F13" s="97"/>
      <x:c r="G13" s="97"/>
      <x:c r="H13" s="99"/>
      <x:c r="I13" s="100"/>
    </x:row>
    <x:row r="14">
      <x:c r="A14" s="99"/>
      <x:c r="B14" s="97"/>
      <x:c r="C14" s="97"/>
      <x:c r="D14" s="97"/>
      <x:c r="E14" s="97"/>
      <x:c r="F14" s="97"/>
      <x:c r="G14" s="97"/>
      <x:c r="H14" s="99"/>
      <x:c r="I14" s="100"/>
    </x:row>
    <x:row r="15">
      <x:c r="A15" s="99"/>
      <x:c r="B15" s="97"/>
      <x:c r="C15" s="97"/>
      <x:c r="D15" s="97"/>
      <x:c r="E15" s="97"/>
      <x:c r="F15" s="97"/>
      <x:c r="G15" s="97"/>
      <x:c r="H15" s="99"/>
      <x:c r="I15" s="100"/>
    </x:row>
    <x:row r="16">
      <x:c r="A16" s="99"/>
      <x:c r="B16" s="97"/>
      <x:c r="C16" s="97"/>
      <x:c r="D16" s="97"/>
      <x:c r="E16" s="97"/>
      <x:c r="F16" s="97"/>
      <x:c r="G16" s="97"/>
      <x:c r="H16" s="99"/>
      <x:c r="I16" s="100"/>
    </x:row>
    <x:row r="17">
      <x:c r="A17" s="99"/>
      <x:c r="B17" s="97"/>
      <x:c r="C17" s="97"/>
      <x:c r="D17" s="97"/>
      <x:c r="E17" s="97"/>
      <x:c r="F17" s="97"/>
      <x:c r="G17" s="97"/>
      <x:c r="H17" s="99"/>
      <x:c r="I17" s="100"/>
    </x:row>
    <x:row r="18">
      <x:c r="A18" s="99"/>
      <x:c r="B18" s="97"/>
      <x:c r="C18" s="97"/>
      <x:c r="D18" s="97"/>
      <x:c r="E18" s="97"/>
      <x:c r="F18" s="97"/>
      <x:c r="G18" s="97"/>
      <x:c r="H18" s="99"/>
      <x:c r="I18" s="100"/>
    </x:row>
    <x:row r="19">
      <x:c r="A19" s="99"/>
      <x:c r="B19" s="97"/>
      <x:c r="C19" s="97"/>
      <x:c r="D19" s="97"/>
      <x:c r="E19" s="97"/>
      <x:c r="F19" s="97"/>
      <x:c r="G19" s="97"/>
      <x:c r="H19" s="99"/>
      <x:c r="I19" s="100"/>
    </x:row>
    <x:row r="20">
      <x:c r="A20" s="99"/>
      <x:c r="B20" s="97"/>
      <x:c r="C20" s="97"/>
      <x:c r="D20" s="97"/>
      <x:c r="E20" s="97"/>
      <x:c r="F20" s="97"/>
      <x:c r="G20" s="97"/>
      <x:c r="H20" s="99"/>
      <x:c r="I20" s="100"/>
    </x:row>
    <x:row r="21">
      <x:c r="A21" s="99"/>
      <x:c r="B21" s="97"/>
      <x:c r="C21" s="97"/>
      <x:c r="D21" s="97"/>
      <x:c r="E21" s="97"/>
      <x:c r="F21" s="97"/>
      <x:c r="G21" s="97"/>
      <x:c r="H21" s="99"/>
      <x:c r="I21" s="100"/>
    </x:row>
    <x:row r="22">
      <x:c r="A22" s="99"/>
      <x:c r="B22" s="97"/>
      <x:c r="C22" s="97"/>
      <x:c r="D22" s="97"/>
      <x:c r="E22" s="97"/>
      <x:c r="F22" s="97"/>
      <x:c r="G22" s="97"/>
      <x:c r="H22" s="99"/>
      <x:c r="I22" s="100"/>
    </x:row>
    <x:row r="23">
      <x:c r="A23" s="99"/>
      <x:c r="B23" s="97"/>
      <x:c r="C23" s="97"/>
      <x:c r="D23" s="97"/>
      <x:c r="E23" s="97"/>
      <x:c r="F23" s="97"/>
      <x:c r="G23" s="97"/>
      <x:c r="H23" s="99"/>
      <x:c r="I23" s="100"/>
    </x:row>
    <x:row r="24">
      <x:c r="A24" s="99"/>
      <x:c r="B24" s="97"/>
      <x:c r="C24" s="97"/>
      <x:c r="D24" s="97"/>
      <x:c r="E24" s="97"/>
      <x:c r="F24" s="97"/>
      <x:c r="G24" s="97"/>
      <x:c r="H24" s="99"/>
      <x:c r="I24" s="100"/>
    </x:row>
    <x:row r="25">
      <x:c r="A25" s="99"/>
      <x:c r="B25" s="97"/>
      <x:c r="C25" s="97"/>
      <x:c r="D25" s="97"/>
      <x:c r="E25" s="97"/>
      <x:c r="F25" s="97"/>
      <x:c r="G25" s="97"/>
      <x:c r="H25" s="99"/>
      <x:c r="I25" s="100"/>
    </x:row>
    <x:row r="26">
      <x:c r="A26" s="99"/>
      <x:c r="B26" s="97"/>
      <x:c r="C26" s="97"/>
      <x:c r="D26" s="97"/>
      <x:c r="E26" s="97"/>
      <x:c r="F26" s="97"/>
      <x:c r="G26" s="97"/>
      <x:c r="H26" s="99"/>
      <x:c r="I26" s="100"/>
    </x:row>
    <x:row r="27">
      <x:c r="A27" s="99"/>
      <x:c r="B27" s="97"/>
      <x:c r="C27" s="97"/>
      <x:c r="D27" s="97"/>
      <x:c r="E27" s="97"/>
      <x:c r="F27" s="97"/>
      <x:c r="G27" s="97"/>
      <x:c r="H27" s="99"/>
      <x:c r="I27" s="100"/>
    </x:row>
    <x:row r="28">
      <x:c r="A28" s="99"/>
      <x:c r="B28" s="97"/>
      <x:c r="C28" s="97"/>
      <x:c r="D28" s="97"/>
      <x:c r="E28" s="97"/>
      <x:c r="F28" s="97"/>
      <x:c r="G28" s="97"/>
      <x:c r="H28" s="99"/>
      <x:c r="I28" s="100"/>
    </x:row>
    <x:row r="29">
      <x:c r="A29" s="99"/>
      <x:c r="B29" s="97"/>
      <x:c r="C29" s="97"/>
      <x:c r="D29" s="97"/>
      <x:c r="E29" s="97"/>
      <x:c r="F29" s="97"/>
      <x:c r="G29" s="97"/>
      <x:c r="H29" s="99"/>
      <x:c r="I29" s="100"/>
    </x:row>
    <x:row r="30">
      <x:c r="A30" s="99"/>
      <x:c r="B30" s="97"/>
      <x:c r="C30" s="97"/>
      <x:c r="D30" s="97"/>
      <x:c r="E30" s="97"/>
      <x:c r="F30" s="97"/>
      <x:c r="G30" s="97"/>
      <x:c r="H30" s="99"/>
      <x:c r="I30" s="100"/>
    </x:row>
    <x:row r="31">
      <x:c r="A31" s="99"/>
      <x:c r="B31" s="97"/>
      <x:c r="C31" s="97"/>
      <x:c r="D31" s="97"/>
      <x:c r="E31" s="97"/>
      <x:c r="F31" s="97"/>
      <x:c r="G31" s="97"/>
      <x:c r="H31" s="99"/>
      <x:c r="I31" s="100"/>
    </x:row>
    <x:row r="32">
      <x:c r="A32" s="99"/>
      <x:c r="B32" s="97"/>
      <x:c r="C32" s="97"/>
      <x:c r="D32" s="97"/>
      <x:c r="E32" s="97"/>
      <x:c r="F32" s="97"/>
      <x:c r="G32" s="97"/>
      <x:c r="H32" s="99"/>
      <x:c r="I32" s="100"/>
    </x:row>
    <x:row r="33">
      <x:c r="A33" s="99"/>
      <x:c r="B33" s="97"/>
      <x:c r="C33" s="97"/>
      <x:c r="D33" s="97"/>
      <x:c r="E33" s="97"/>
      <x:c r="F33" s="97"/>
      <x:c r="G33" s="97"/>
      <x:c r="H33" s="99"/>
      <x:c r="I33" s="100"/>
    </x:row>
    <x:row r="34">
      <x:c r="A34" s="99"/>
      <x:c r="B34" s="97"/>
      <x:c r="C34" s="97"/>
      <x:c r="D34" s="97"/>
      <x:c r="E34" s="97"/>
      <x:c r="F34" s="97"/>
      <x:c r="G34" s="97"/>
      <x:c r="H34" s="99"/>
      <x:c r="I34" s="100"/>
    </x:row>
    <x:row r="35">
      <x:c r="A35" s="99"/>
      <x:c r="B35" s="97"/>
      <x:c r="C35" s="97"/>
      <x:c r="D35" s="97"/>
      <x:c r="E35" s="97"/>
      <x:c r="F35" s="97"/>
      <x:c r="G35" s="97"/>
      <x:c r="H35" s="99"/>
      <x:c r="I35" s="100"/>
    </x:row>
    <x:row r="36">
      <x:c r="A36" s="99"/>
      <x:c r="B36" s="97"/>
      <x:c r="C36" s="97"/>
      <x:c r="D36" s="97"/>
      <x:c r="E36" s="97"/>
      <x:c r="F36" s="97"/>
      <x:c r="G36" s="97"/>
      <x:c r="H36" s="99"/>
      <x:c r="I36" s="100"/>
    </x:row>
    <x:row r="37">
      <x:c r="A37" s="99"/>
      <x:c r="B37" s="97"/>
      <x:c r="C37" s="97"/>
      <x:c r="D37" s="97"/>
      <x:c r="E37" s="97"/>
      <x:c r="F37" s="97"/>
      <x:c r="G37" s="97"/>
      <x:c r="H37" s="99"/>
      <x:c r="I37" s="100"/>
    </x:row>
    <x:row r="38">
      <x:c r="A38" s="99"/>
      <x:c r="B38" s="97"/>
      <x:c r="C38" s="97"/>
      <x:c r="D38" s="97"/>
      <x:c r="E38" s="97"/>
      <x:c r="F38" s="97"/>
      <x:c r="G38" s="97"/>
      <x:c r="H38" s="99"/>
      <x:c r="I38" s="100"/>
    </x:row>
    <x:row r="39">
      <x:c r="A39" s="99"/>
      <x:c r="B39" s="97"/>
      <x:c r="C39" s="97"/>
      <x:c r="D39" s="97"/>
      <x:c r="E39" s="97"/>
      <x:c r="F39" s="97"/>
      <x:c r="G39" s="97"/>
      <x:c r="H39" s="99"/>
      <x:c r="I39" s="100"/>
    </x:row>
    <x:row r="40">
      <x:c r="A40" s="99"/>
      <x:c r="B40" s="97"/>
      <x:c r="C40" s="97"/>
      <x:c r="D40" s="97"/>
      <x:c r="E40" s="97"/>
      <x:c r="F40" s="97"/>
      <x:c r="G40" s="97"/>
      <x:c r="H40" s="99"/>
      <x:c r="I40" s="100"/>
    </x:row>
    <x:row r="41">
      <x:c r="A41" s="99"/>
      <x:c r="B41" s="97"/>
      <x:c r="C41" s="97"/>
      <x:c r="D41" s="97"/>
      <x:c r="E41" s="97"/>
      <x:c r="F41" s="97"/>
      <x:c r="G41" s="97"/>
      <x:c r="H41" s="99"/>
      <x:c r="I41" s="100"/>
    </x:row>
    <x:row r="42">
      <x:c r="A42" s="99"/>
      <x:c r="B42" s="97"/>
      <x:c r="C42" s="97"/>
      <x:c r="D42" s="97"/>
      <x:c r="E42" s="97"/>
      <x:c r="F42" s="97"/>
      <x:c r="G42" s="97"/>
      <x:c r="H42" s="99"/>
      <x:c r="I42" s="100"/>
    </x:row>
    <x:row r="43">
      <x:c r="A43" s="99"/>
      <x:c r="B43" s="97"/>
      <x:c r="C43" s="97"/>
      <x:c r="D43" s="97"/>
      <x:c r="E43" s="97"/>
      <x:c r="F43" s="97"/>
      <x:c r="G43" s="97"/>
      <x:c r="H43" s="99"/>
      <x:c r="I43" s="100"/>
    </x:row>
    <x:row r="44">
      <x:c r="A44" s="99"/>
      <x:c r="B44" s="97"/>
      <x:c r="C44" s="97"/>
      <x:c r="D44" s="97"/>
      <x:c r="E44" s="97"/>
      <x:c r="F44" s="97"/>
      <x:c r="G44" s="97"/>
      <x:c r="H44" s="99"/>
      <x:c r="I44" s="100"/>
    </x:row>
    <x:row r="45">
      <x:c r="A45" s="99"/>
      <x:c r="B45" s="97"/>
      <x:c r="C45" s="97"/>
      <x:c r="D45" s="97"/>
      <x:c r="E45" s="97"/>
      <x:c r="F45" s="97"/>
      <x:c r="G45" s="97"/>
      <x:c r="H45" s="99"/>
      <x:c r="I45" s="100"/>
    </x:row>
    <x:row r="46">
      <x:c r="A46" s="99"/>
      <x:c r="B46" s="97"/>
      <x:c r="C46" s="97"/>
      <x:c r="D46" s="97"/>
      <x:c r="E46" s="97"/>
      <x:c r="F46" s="97"/>
      <x:c r="G46" s="97"/>
      <x:c r="H46" s="99"/>
      <x:c r="I46" s="100"/>
    </x:row>
    <x:row r="47">
      <x:c r="A47" s="99"/>
      <x:c r="B47" s="97"/>
      <x:c r="C47" s="97"/>
      <x:c r="D47" s="97"/>
      <x:c r="E47" s="97"/>
      <x:c r="F47" s="97"/>
      <x:c r="G47" s="97"/>
      <x:c r="H47" s="99"/>
      <x:c r="I47" s="100"/>
    </x:row>
    <x:row r="48">
      <x:c r="A48" s="99"/>
      <x:c r="B48" s="97"/>
      <x:c r="C48" s="97"/>
      <x:c r="D48" s="97"/>
      <x:c r="E48" s="97"/>
      <x:c r="F48" s="97"/>
      <x:c r="G48" s="97"/>
      <x:c r="H48" s="99"/>
      <x:c r="I48" s="100"/>
    </x:row>
    <x:row r="49">
      <x:c r="A49" s="99"/>
      <x:c r="B49" s="97"/>
      <x:c r="C49" s="97"/>
      <x:c r="D49" s="97"/>
      <x:c r="E49" s="97"/>
      <x:c r="F49" s="97"/>
      <x:c r="G49" s="97"/>
      <x:c r="H49" s="99"/>
      <x:c r="I49" s="100"/>
    </x:row>
    <x:row r="50">
      <x:c r="A50" s="99"/>
      <x:c r="B50" s="97"/>
      <x:c r="C50" s="97"/>
      <x:c r="D50" s="97"/>
      <x:c r="E50" s="97"/>
      <x:c r="F50" s="97"/>
      <x:c r="G50" s="97"/>
      <x:c r="H50" s="99"/>
      <x:c r="I50" s="100"/>
    </x:row>
    <x:row r="51">
      <x:c r="A51" s="99"/>
      <x:c r="B51" s="97"/>
      <x:c r="C51" s="97"/>
      <x:c r="D51" s="97"/>
      <x:c r="E51" s="97"/>
      <x:c r="F51" s="97"/>
      <x:c r="G51" s="97"/>
      <x:c r="H51" s="99"/>
      <x:c r="I51" s="100"/>
    </x:row>
    <x:row r="52">
      <x:c r="A52" s="99"/>
      <x:c r="B52" s="97"/>
      <x:c r="C52" s="97"/>
      <x:c r="D52" s="97"/>
      <x:c r="E52" s="97"/>
      <x:c r="F52" s="97"/>
      <x:c r="G52" s="97"/>
      <x:c r="H52" s="99"/>
      <x:c r="I52" s="100"/>
    </x:row>
    <x:row r="53">
      <x:c r="A53" s="99"/>
      <x:c r="B53" s="97"/>
      <x:c r="C53" s="97"/>
      <x:c r="D53" s="97"/>
      <x:c r="E53" s="97"/>
      <x:c r="F53" s="97"/>
      <x:c r="G53" s="97"/>
      <x:c r="H53" s="99"/>
      <x:c r="I53" s="100"/>
    </x:row>
    <x:row r="54">
      <x:c r="A54" s="99"/>
      <x:c r="B54" s="97"/>
      <x:c r="C54" s="97"/>
      <x:c r="D54" s="97"/>
      <x:c r="E54" s="97"/>
      <x:c r="F54" s="97"/>
      <x:c r="G54" s="97"/>
      <x:c r="H54" s="99"/>
      <x:c r="I54" s="100"/>
    </x:row>
    <x:row r="55">
      <x:c r="A55" s="99"/>
      <x:c r="B55" s="97"/>
      <x:c r="C55" s="97"/>
      <x:c r="D55" s="97"/>
      <x:c r="E55" s="97"/>
      <x:c r="F55" s="97"/>
      <x:c r="G55" s="97"/>
      <x:c r="H55" s="99"/>
      <x:c r="I55" s="100"/>
    </x:row>
    <x:row r="56">
      <x:c r="A56" s="99"/>
      <x:c r="B56" s="97"/>
      <x:c r="C56" s="97"/>
      <x:c r="D56" s="97"/>
      <x:c r="E56" s="97"/>
      <x:c r="F56" s="97"/>
      <x:c r="G56" s="97"/>
      <x:c r="H56" s="99"/>
      <x:c r="I56" s="100"/>
    </x:row>
    <x:row r="57">
      <x:c r="A57" s="99"/>
      <x:c r="B57" s="97"/>
      <x:c r="C57" s="97"/>
      <x:c r="D57" s="97"/>
      <x:c r="E57" s="97"/>
      <x:c r="F57" s="97"/>
      <x:c r="G57" s="97"/>
      <x:c r="H57" s="99"/>
      <x:c r="I57" s="100"/>
    </x:row>
    <x:row r="58">
      <x:c r="A58" s="99"/>
      <x:c r="B58" s="97"/>
      <x:c r="C58" s="97"/>
      <x:c r="D58" s="97"/>
      <x:c r="E58" s="97"/>
      <x:c r="F58" s="97"/>
      <x:c r="G58" s="97"/>
      <x:c r="H58" s="99"/>
      <x:c r="I58" s="100"/>
    </x:row>
    <x:row r="59">
      <x:c r="A59" s="99"/>
      <x:c r="B59" s="97"/>
      <x:c r="C59" s="97"/>
      <x:c r="D59" s="97"/>
      <x:c r="E59" s="97"/>
      <x:c r="F59" s="97"/>
      <x:c r="G59" s="97"/>
      <x:c r="H59" s="99"/>
      <x:c r="I59" s="100"/>
    </x:row>
    <x:row r="60">
      <x:c r="A60" s="99"/>
      <x:c r="B60" s="97"/>
      <x:c r="C60" s="97"/>
      <x:c r="D60" s="97"/>
      <x:c r="E60" s="97"/>
      <x:c r="F60" s="97"/>
      <x:c r="G60" s="97"/>
      <x:c r="H60" s="99"/>
      <x:c r="I60" s="100"/>
    </x:row>
    <x:row r="61">
      <x:c r="A61" s="99"/>
      <x:c r="B61" s="97"/>
      <x:c r="C61" s="97"/>
      <x:c r="D61" s="97"/>
      <x:c r="E61" s="97"/>
      <x:c r="F61" s="97"/>
      <x:c r="G61" s="97"/>
      <x:c r="H61" s="99"/>
      <x:c r="I61" s="100"/>
    </x:row>
    <x:row r="62">
      <x:c r="A62" s="99"/>
      <x:c r="B62" s="97"/>
      <x:c r="C62" s="97"/>
      <x:c r="D62" s="97"/>
      <x:c r="E62" s="97"/>
      <x:c r="F62" s="97"/>
      <x:c r="G62" s="97"/>
      <x:c r="H62" s="99"/>
      <x:c r="I62" s="100"/>
    </x:row>
    <x:row r="63">
      <x:c r="A63" s="99"/>
      <x:c r="B63" s="97"/>
      <x:c r="C63" s="97"/>
      <x:c r="D63" s="97"/>
      <x:c r="E63" s="97"/>
      <x:c r="F63" s="97"/>
      <x:c r="G63" s="97"/>
      <x:c r="H63" s="99"/>
      <x:c r="I63" s="100"/>
    </x:row>
    <x:row r="64">
      <x:c r="A64" s="99"/>
      <x:c r="B64" s="97"/>
      <x:c r="C64" s="97"/>
      <x:c r="D64" s="97"/>
      <x:c r="E64" s="97"/>
      <x:c r="F64" s="97"/>
      <x:c r="G64" s="97"/>
      <x:c r="H64" s="99"/>
      <x:c r="I64" s="100"/>
    </x:row>
    <x:row r="65">
      <x:c r="A65" s="99"/>
      <x:c r="B65" s="97"/>
      <x:c r="C65" s="97"/>
      <x:c r="D65" s="97"/>
      <x:c r="E65" s="97"/>
      <x:c r="F65" s="97"/>
      <x:c r="G65" s="97"/>
      <x:c r="H65" s="99"/>
      <x:c r="I65" s="100"/>
    </x:row>
    <x:row r="66">
      <x:c r="A66" s="99"/>
      <x:c r="B66" s="97"/>
      <x:c r="C66" s="97"/>
      <x:c r="D66" s="97"/>
      <x:c r="E66" s="97"/>
      <x:c r="F66" s="97"/>
      <x:c r="G66" s="97"/>
      <x:c r="H66" s="99"/>
      <x:c r="I66" s="100"/>
    </x:row>
    <x:row r="67">
      <x:c r="A67" s="99"/>
      <x:c r="B67" s="97"/>
      <x:c r="C67" s="97"/>
      <x:c r="D67" s="97"/>
      <x:c r="E67" s="97"/>
      <x:c r="F67" s="97"/>
      <x:c r="G67" s="97"/>
      <x:c r="H67" s="99"/>
      <x:c r="I67" s="100"/>
    </x:row>
    <x:row r="68">
      <x:c r="A68" s="99"/>
      <x:c r="B68" s="97"/>
      <x:c r="C68" s="97"/>
      <x:c r="D68" s="97"/>
      <x:c r="E68" s="97"/>
      <x:c r="F68" s="97"/>
      <x:c r="G68" s="97"/>
      <x:c r="H68" s="99"/>
      <x:c r="I68" s="100"/>
    </x:row>
    <x:row r="69">
      <x:c r="A69" s="99"/>
      <x:c r="B69" s="97"/>
      <x:c r="C69" s="97"/>
      <x:c r="D69" s="97"/>
      <x:c r="E69" s="97"/>
      <x:c r="F69" s="97"/>
      <x:c r="G69" s="97"/>
      <x:c r="H69" s="99"/>
      <x:c r="I69" s="100"/>
    </x:row>
    <x:row r="70">
      <x:c r="A70" s="99"/>
      <x:c r="B70" s="97"/>
      <x:c r="C70" s="97"/>
      <x:c r="D70" s="97"/>
      <x:c r="E70" s="97"/>
      <x:c r="F70" s="97"/>
      <x:c r="G70" s="97"/>
      <x:c r="H70" s="99"/>
      <x:c r="I70" s="100"/>
    </x:row>
    <x:row r="71">
      <x:c r="A71" s="99"/>
      <x:c r="B71" s="97"/>
      <x:c r="C71" s="97"/>
      <x:c r="D71" s="97"/>
      <x:c r="E71" s="97"/>
      <x:c r="F71" s="97"/>
      <x:c r="G71" s="97"/>
      <x:c r="H71" s="99"/>
      <x:c r="I71" s="100"/>
    </x:row>
    <x:row r="72">
      <x:c r="A72" s="99"/>
      <x:c r="B72" s="97"/>
      <x:c r="C72" s="97"/>
      <x:c r="D72" s="97"/>
      <x:c r="E72" s="97"/>
      <x:c r="F72" s="97"/>
      <x:c r="G72" s="97"/>
      <x:c r="H72" s="99"/>
      <x:c r="I72" s="100"/>
    </x:row>
    <x:row r="73">
      <x:c r="A73" s="99"/>
      <x:c r="B73" s="97"/>
      <x:c r="C73" s="97"/>
      <x:c r="D73" s="97"/>
      <x:c r="E73" s="97"/>
      <x:c r="F73" s="97"/>
      <x:c r="G73" s="97"/>
      <x:c r="H73" s="99"/>
      <x:c r="I73" s="100"/>
    </x:row>
    <x:row r="74">
      <x:c r="A74" s="99"/>
      <x:c r="B74" s="97"/>
      <x:c r="C74" s="97"/>
      <x:c r="D74" s="97"/>
      <x:c r="E74" s="97"/>
      <x:c r="F74" s="97"/>
      <x:c r="G74" s="97"/>
      <x:c r="H74" s="99"/>
      <x:c r="I74" s="100"/>
    </x:row>
    <x:row r="75">
      <x:c r="A75" s="99"/>
      <x:c r="B75" s="97"/>
      <x:c r="C75" s="97"/>
      <x:c r="D75" s="97"/>
      <x:c r="E75" s="97"/>
      <x:c r="F75" s="97"/>
      <x:c r="G75" s="97"/>
      <x:c r="H75" s="99"/>
      <x:c r="I75" s="100"/>
    </x:row>
    <x:row r="76">
      <x:c r="A76" s="99"/>
      <x:c r="B76" s="97"/>
      <x:c r="C76" s="97"/>
      <x:c r="D76" s="97"/>
      <x:c r="E76" s="97"/>
      <x:c r="F76" s="97"/>
      <x:c r="G76" s="97"/>
      <x:c r="H76" s="99"/>
      <x:c r="I76" s="100"/>
    </x:row>
    <x:row r="77">
      <x:c r="A77" s="99"/>
      <x:c r="B77" s="97"/>
      <x:c r="C77" s="97"/>
      <x:c r="D77" s="97"/>
      <x:c r="E77" s="97"/>
      <x:c r="F77" s="97"/>
      <x:c r="G77" s="97"/>
      <x:c r="H77" s="99"/>
      <x:c r="I77" s="100"/>
    </x:row>
    <x:row r="78">
      <x:c r="A78" s="99"/>
      <x:c r="B78" s="97"/>
      <x:c r="C78" s="97"/>
      <x:c r="D78" s="97"/>
      <x:c r="E78" s="97"/>
      <x:c r="F78" s="97"/>
      <x:c r="G78" s="97"/>
      <x:c r="H78" s="99"/>
      <x:c r="I78" s="100"/>
    </x:row>
    <x:row r="79">
      <x:c r="A79" s="99"/>
      <x:c r="B79" s="97"/>
      <x:c r="C79" s="97"/>
      <x:c r="D79" s="97"/>
      <x:c r="E79" s="97"/>
      <x:c r="F79" s="97"/>
      <x:c r="G79" s="97"/>
      <x:c r="H79" s="99"/>
      <x:c r="I79" s="100"/>
    </x:row>
    <x:row r="80">
      <x:c r="A80" s="99"/>
      <x:c r="B80" s="97"/>
      <x:c r="C80" s="97"/>
      <x:c r="D80" s="97"/>
      <x:c r="E80" s="97"/>
      <x:c r="F80" s="97"/>
      <x:c r="G80" s="97"/>
      <x:c r="H80" s="99"/>
      <x:c r="I80" s="100"/>
    </x:row>
    <x:row r="81">
      <x:c r="A81" s="99"/>
      <x:c r="B81" s="97"/>
      <x:c r="C81" s="97"/>
      <x:c r="D81" s="97"/>
      <x:c r="E81" s="97"/>
      <x:c r="F81" s="97"/>
      <x:c r="G81" s="97"/>
      <x:c r="H81" s="99"/>
      <x:c r="I81" s="100"/>
    </x:row>
    <x:row r="82">
      <x:c r="A82" s="99"/>
      <x:c r="B82" s="97"/>
      <x:c r="C82" s="97"/>
      <x:c r="D82" s="97"/>
      <x:c r="E82" s="97"/>
      <x:c r="F82" s="97"/>
      <x:c r="G82" s="97"/>
      <x:c r="H82" s="99"/>
      <x:c r="I82" s="100"/>
    </x:row>
    <x:row r="83">
      <x:c r="A83" s="99"/>
      <x:c r="B83" s="97"/>
      <x:c r="C83" s="97"/>
      <x:c r="D83" s="97"/>
      <x:c r="E83" s="97"/>
      <x:c r="F83" s="97"/>
      <x:c r="G83" s="97"/>
      <x:c r="H83" s="99"/>
      <x:c r="I83" s="100"/>
    </x:row>
    <x:row r="84">
      <x:c r="A84" s="99"/>
      <x:c r="B84" s="97"/>
      <x:c r="C84" s="97"/>
      <x:c r="D84" s="97"/>
      <x:c r="E84" s="97"/>
      <x:c r="F84" s="97"/>
      <x:c r="G84" s="97"/>
      <x:c r="H84" s="99"/>
      <x:c r="I84" s="100"/>
    </x:row>
    <x:row r="85">
      <x:c r="A85" s="99"/>
      <x:c r="B85" s="97"/>
      <x:c r="C85" s="97"/>
      <x:c r="D85" s="97"/>
      <x:c r="E85" s="97"/>
      <x:c r="F85" s="97"/>
      <x:c r="G85" s="97"/>
      <x:c r="H85" s="99"/>
      <x:c r="I85" s="100"/>
    </x:row>
    <x:row r="86">
      <x:c r="A86" s="99"/>
      <x:c r="B86" s="97"/>
      <x:c r="C86" s="97"/>
      <x:c r="D86" s="97"/>
      <x:c r="E86" s="97"/>
      <x:c r="F86" s="97"/>
      <x:c r="G86" s="97"/>
      <x:c r="H86" s="99"/>
      <x:c r="I86" s="100"/>
    </x:row>
    <x:row r="87">
      <x:c r="A87" s="99"/>
      <x:c r="B87" s="97"/>
      <x:c r="C87" s="97"/>
      <x:c r="D87" s="97"/>
      <x:c r="E87" s="97"/>
      <x:c r="F87" s="97"/>
      <x:c r="G87" s="97"/>
      <x:c r="H87" s="99"/>
      <x:c r="I87" s="100"/>
    </x:row>
    <x:row r="88">
      <x:c r="A88" s="99"/>
      <x:c r="B88" s="97"/>
      <x:c r="C88" s="97"/>
      <x:c r="D88" s="97"/>
      <x:c r="E88" s="97"/>
      <x:c r="F88" s="97"/>
      <x:c r="G88" s="97"/>
      <x:c r="H88" s="99"/>
      <x:c r="I88" s="100"/>
    </x:row>
    <x:row r="89">
      <x:c r="A89" s="99"/>
      <x:c r="B89" s="97"/>
      <x:c r="C89" s="97"/>
      <x:c r="D89" s="97"/>
      <x:c r="E89" s="97"/>
      <x:c r="F89" s="97"/>
      <x:c r="G89" s="97"/>
      <x:c r="H89" s="99"/>
      <x:c r="I89" s="100"/>
    </x:row>
    <x:row r="90">
      <x:c r="A90" s="99"/>
      <x:c r="B90" s="97"/>
      <x:c r="C90" s="97"/>
      <x:c r="D90" s="97"/>
      <x:c r="E90" s="97"/>
      <x:c r="F90" s="97"/>
      <x:c r="G90" s="97"/>
      <x:c r="H90" s="99"/>
      <x:c r="I90" s="100"/>
    </x:row>
    <x:row r="91">
      <x:c r="A91" s="99"/>
      <x:c r="B91" s="97"/>
      <x:c r="C91" s="97"/>
      <x:c r="D91" s="97"/>
      <x:c r="E91" s="97"/>
      <x:c r="F91" s="97"/>
      <x:c r="G91" s="97"/>
      <x:c r="H91" s="99"/>
      <x:c r="I91" s="100"/>
    </x:row>
    <x:row r="92">
      <x:c r="A92" s="99"/>
      <x:c r="B92" s="97"/>
      <x:c r="C92" s="97"/>
      <x:c r="D92" s="97"/>
      <x:c r="E92" s="97"/>
      <x:c r="F92" s="97"/>
      <x:c r="G92" s="97"/>
      <x:c r="H92" s="99"/>
      <x:c r="I92" s="100"/>
    </x:row>
    <x:row r="93">
      <x:c r="A93" s="99"/>
      <x:c r="B93" s="97"/>
      <x:c r="C93" s="97"/>
      <x:c r="D93" s="97"/>
      <x:c r="E93" s="97"/>
      <x:c r="F93" s="97"/>
      <x:c r="G93" s="97"/>
      <x:c r="H93" s="99"/>
      <x:c r="I93" s="100"/>
    </x:row>
    <x:row r="94">
      <x:c r="A94" s="99"/>
      <x:c r="B94" s="97"/>
      <x:c r="C94" s="97"/>
      <x:c r="D94" s="97"/>
      <x:c r="E94" s="97"/>
      <x:c r="F94" s="97"/>
      <x:c r="G94" s="97"/>
      <x:c r="H94" s="99"/>
      <x:c r="I94" s="100"/>
    </x:row>
    <x:row r="95">
      <x:c r="A95" s="99"/>
      <x:c r="B95" s="97"/>
      <x:c r="C95" s="97"/>
      <x:c r="D95" s="97"/>
      <x:c r="E95" s="97"/>
      <x:c r="F95" s="97"/>
      <x:c r="G95" s="97"/>
      <x:c r="H95" s="99"/>
      <x:c r="I95" s="100"/>
    </x:row>
    <x:row r="96">
      <x:c r="A96" s="99"/>
      <x:c r="B96" s="97"/>
      <x:c r="C96" s="97"/>
      <x:c r="D96" s="97"/>
      <x:c r="E96" s="97"/>
      <x:c r="F96" s="97"/>
      <x:c r="G96" s="97"/>
      <x:c r="H96" s="99"/>
      <x:c r="I96" s="100"/>
    </x:row>
    <x:row r="97">
      <x:c r="A97" s="99"/>
      <x:c r="B97" s="97"/>
      <x:c r="C97" s="97"/>
      <x:c r="D97" s="97"/>
      <x:c r="E97" s="97"/>
      <x:c r="F97" s="97"/>
      <x:c r="G97" s="97"/>
      <x:c r="H97" s="99"/>
      <x:c r="I97" s="100"/>
    </x:row>
    <x:row r="98">
      <x:c r="A98" s="99"/>
      <x:c r="B98" s="97"/>
      <x:c r="C98" s="97"/>
      <x:c r="D98" s="97"/>
      <x:c r="E98" s="97"/>
      <x:c r="F98" s="97"/>
      <x:c r="G98" s="97"/>
      <x:c r="H98" s="99"/>
      <x:c r="I98" s="100"/>
    </x:row>
    <x:row r="99">
      <x:c r="A99" s="99"/>
      <x:c r="B99" s="97"/>
      <x:c r="C99" s="97"/>
      <x:c r="D99" s="97"/>
      <x:c r="E99" s="97"/>
      <x:c r="F99" s="97"/>
      <x:c r="G99" s="97"/>
      <x:c r="H99" s="99"/>
      <x:c r="I99" s="100"/>
    </x:row>
    <x:row r="100">
      <x:c r="A100" s="99"/>
      <x:c r="B100" s="97"/>
      <x:c r="C100" s="97"/>
      <x:c r="D100" s="97"/>
      <x:c r="E100" s="97"/>
      <x:c r="F100" s="97"/>
      <x:c r="G100" s="97"/>
      <x:c r="H100" s="99"/>
      <x:c r="I100" s="100"/>
    </x:row>
    <x:row r="101">
      <x:c r="A101" s="99"/>
      <x:c r="B101" s="97"/>
      <x:c r="C101" s="97"/>
      <x:c r="D101" s="97"/>
      <x:c r="E101" s="97"/>
      <x:c r="F101" s="97"/>
      <x:c r="G101" s="97"/>
      <x:c r="H101" s="99"/>
      <x:c r="I101" s="100"/>
    </x:row>
    <x:row r="102">
      <x:c r="A102" s="99"/>
      <x:c r="B102" s="97"/>
      <x:c r="C102" s="97"/>
      <x:c r="D102" s="97"/>
      <x:c r="E102" s="97"/>
      <x:c r="F102" s="97"/>
      <x:c r="G102" s="97"/>
      <x:c r="H102" s="99"/>
      <x:c r="I102" s="100"/>
    </x:row>
    <x:row r="103">
      <x:c r="A103" s="99"/>
      <x:c r="B103" s="97"/>
      <x:c r="C103" s="97"/>
      <x:c r="D103" s="97"/>
      <x:c r="E103" s="97"/>
      <x:c r="F103" s="97"/>
      <x:c r="G103" s="97"/>
      <x:c r="H103" s="99"/>
      <x:c r="I103" s="100"/>
    </x:row>
    <x:row r="104">
      <x:c r="A104" s="99"/>
      <x:c r="B104" s="97"/>
      <x:c r="C104" s="97"/>
      <x:c r="D104" s="97"/>
      <x:c r="E104" s="97"/>
      <x:c r="F104" s="97"/>
      <x:c r="G104" s="97"/>
      <x:c r="H104" s="99"/>
      <x:c r="I104" s="100"/>
    </x:row>
    <x:row r="105">
      <x:c r="A105" s="99"/>
      <x:c r="B105" s="97"/>
      <x:c r="C105" s="97"/>
      <x:c r="D105" s="97"/>
      <x:c r="E105" s="97"/>
      <x:c r="F105" s="97"/>
      <x:c r="G105" s="97"/>
      <x:c r="H105" s="99"/>
      <x:c r="I105" s="100"/>
    </x:row>
    <x:row r="106">
      <x:c r="A106" s="99"/>
      <x:c r="B106" s="97"/>
      <x:c r="C106" s="97"/>
      <x:c r="D106" s="97"/>
      <x:c r="E106" s="97"/>
      <x:c r="F106" s="97"/>
      <x:c r="G106" s="97"/>
      <x:c r="H106" s="99"/>
      <x:c r="I106" s="100"/>
    </x:row>
    <x:row r="107">
      <x:c r="A107" s="99"/>
      <x:c r="B107" s="97"/>
      <x:c r="C107" s="97"/>
      <x:c r="D107" s="97"/>
      <x:c r="E107" s="97"/>
      <x:c r="F107" s="97"/>
      <x:c r="G107" s="97"/>
      <x:c r="H107" s="99"/>
      <x:c r="I107" s="100"/>
    </x:row>
    <x:row r="108">
      <x:c r="A108" s="99"/>
      <x:c r="B108" s="97"/>
      <x:c r="C108" s="97"/>
      <x:c r="D108" s="97"/>
      <x:c r="E108" s="97"/>
      <x:c r="F108" s="97"/>
      <x:c r="G108" s="97"/>
      <x:c r="H108" s="99"/>
      <x:c r="I108" s="100"/>
    </x:row>
    <x:row r="109">
      <x:c r="A109" s="99"/>
      <x:c r="B109" s="97"/>
      <x:c r="C109" s="97"/>
      <x:c r="D109" s="97"/>
      <x:c r="E109" s="97"/>
      <x:c r="F109" s="97"/>
      <x:c r="G109" s="97"/>
      <x:c r="H109" s="99"/>
      <x:c r="I109" s="100"/>
    </x:row>
    <x:row r="110">
      <x:c r="A110" s="99"/>
      <x:c r="B110" s="97"/>
      <x:c r="C110" s="97"/>
      <x:c r="D110" s="97"/>
      <x:c r="E110" s="97"/>
      <x:c r="F110" s="97"/>
      <x:c r="G110" s="97"/>
      <x:c r="H110" s="99"/>
      <x:c r="I110" s="100"/>
    </x:row>
    <x:row r="111">
      <x:c r="A111" s="99"/>
      <x:c r="B111" s="97"/>
      <x:c r="C111" s="97"/>
      <x:c r="D111" s="97"/>
      <x:c r="E111" s="97"/>
      <x:c r="F111" s="97"/>
      <x:c r="G111" s="97"/>
      <x:c r="H111" s="99"/>
      <x:c r="I111" s="100"/>
    </x:row>
    <x:row r="112">
      <x:c r="A112" s="99"/>
      <x:c r="B112" s="97"/>
      <x:c r="C112" s="97"/>
      <x:c r="D112" s="97"/>
      <x:c r="E112" s="97"/>
      <x:c r="F112" s="97"/>
      <x:c r="G112" s="97"/>
      <x:c r="H112" s="99"/>
      <x:c r="I112" s="100"/>
    </x:row>
    <x:row r="113">
      <x:c r="A113" s="99"/>
      <x:c r="B113" s="97"/>
      <x:c r="C113" s="97"/>
      <x:c r="D113" s="97"/>
      <x:c r="E113" s="97"/>
      <x:c r="F113" s="97"/>
      <x:c r="G113" s="97"/>
      <x:c r="H113" s="99"/>
      <x:c r="I113" s="100"/>
    </x:row>
    <x:row r="114">
      <x:c r="A114" s="99"/>
      <x:c r="B114" s="97"/>
      <x:c r="C114" s="97"/>
      <x:c r="D114" s="97"/>
      <x:c r="E114" s="97"/>
      <x:c r="F114" s="97"/>
      <x:c r="G114" s="97"/>
      <x:c r="H114" s="99"/>
      <x:c r="I114" s="100"/>
    </x:row>
    <x:row r="115">
      <x:c r="A115" s="99"/>
      <x:c r="B115" s="97"/>
      <x:c r="C115" s="97"/>
      <x:c r="D115" s="97"/>
      <x:c r="E115" s="97"/>
      <x:c r="F115" s="97"/>
      <x:c r="G115" s="97"/>
      <x:c r="H115" s="99"/>
      <x:c r="I115" s="100"/>
    </x:row>
    <x:row r="116">
      <x:c r="A116" s="99"/>
      <x:c r="B116" s="97"/>
      <x:c r="C116" s="97"/>
      <x:c r="D116" s="97"/>
      <x:c r="E116" s="97"/>
      <x:c r="F116" s="97"/>
      <x:c r="G116" s="97"/>
      <x:c r="H116" s="99"/>
      <x:c r="I116" s="100"/>
    </x:row>
    <x:row r="117">
      <x:c r="A117" s="99"/>
      <x:c r="B117" s="97"/>
      <x:c r="C117" s="97"/>
      <x:c r="D117" s="97"/>
      <x:c r="E117" s="97"/>
      <x:c r="F117" s="97"/>
      <x:c r="G117" s="97"/>
      <x:c r="H117" s="99"/>
      <x:c r="I117" s="100"/>
    </x:row>
    <x:row r="118">
      <x:c r="A118" s="99"/>
      <x:c r="B118" s="97"/>
      <x:c r="C118" s="97"/>
      <x:c r="D118" s="97"/>
      <x:c r="E118" s="97"/>
      <x:c r="F118" s="97"/>
      <x:c r="G118" s="97"/>
      <x:c r="H118" s="99"/>
      <x:c r="I118" s="100"/>
    </x:row>
    <x:row r="119">
      <x:c r="A119" s="99"/>
      <x:c r="B119" s="97"/>
      <x:c r="C119" s="97"/>
      <x:c r="D119" s="97"/>
      <x:c r="E119" s="97"/>
      <x:c r="F119" s="97"/>
      <x:c r="G119" s="97"/>
      <x:c r="H119" s="99"/>
      <x:c r="I119" s="100"/>
    </x:row>
    <x:row r="120">
      <x:c r="A120" s="99"/>
      <x:c r="B120" s="97"/>
      <x:c r="C120" s="97"/>
      <x:c r="D120" s="97"/>
      <x:c r="E120" s="97"/>
      <x:c r="F120" s="97"/>
      <x:c r="G120" s="97"/>
      <x:c r="H120" s="99"/>
      <x:c r="I120" s="100"/>
    </x:row>
    <x:row r="121">
      <x:c r="A121" s="99"/>
      <x:c r="B121" s="97"/>
      <x:c r="C121" s="97"/>
      <x:c r="D121" s="97"/>
      <x:c r="E121" s="97"/>
      <x:c r="F121" s="97"/>
      <x:c r="G121" s="97"/>
      <x:c r="H121" s="99"/>
      <x:c r="I121" s="100"/>
    </x:row>
    <x:row r="122">
      <x:c r="A122" s="99"/>
      <x:c r="B122" s="97"/>
      <x:c r="C122" s="97"/>
      <x:c r="D122" s="97"/>
      <x:c r="E122" s="97"/>
      <x:c r="F122" s="97"/>
      <x:c r="G122" s="97"/>
      <x:c r="H122" s="99"/>
      <x:c r="I122" s="100"/>
    </x:row>
    <x:row r="123">
      <x:c r="A123" s="99"/>
      <x:c r="B123" s="97"/>
      <x:c r="C123" s="97"/>
      <x:c r="D123" s="97"/>
      <x:c r="E123" s="97"/>
      <x:c r="F123" s="97"/>
      <x:c r="G123" s="97"/>
      <x:c r="H123" s="99"/>
      <x:c r="I123" s="100"/>
    </x:row>
    <x:row r="124">
      <x:c r="A124" s="99"/>
      <x:c r="B124" s="97"/>
      <x:c r="C124" s="97"/>
      <x:c r="D124" s="97"/>
      <x:c r="E124" s="97"/>
      <x:c r="F124" s="97"/>
      <x:c r="G124" s="97"/>
      <x:c r="H124" s="99"/>
      <x:c r="I124" s="100"/>
    </x:row>
    <x:row r="125">
      <x:c r="A125" s="99"/>
      <x:c r="B125" s="97"/>
      <x:c r="C125" s="97"/>
      <x:c r="D125" s="97"/>
      <x:c r="E125" s="97"/>
      <x:c r="F125" s="97"/>
      <x:c r="G125" s="97"/>
      <x:c r="H125" s="99"/>
      <x:c r="I125" s="100"/>
    </x:row>
    <x:row r="126">
      <x:c r="A126" s="99"/>
      <x:c r="B126" s="97"/>
      <x:c r="C126" s="97"/>
      <x:c r="D126" s="97"/>
      <x:c r="E126" s="97"/>
      <x:c r="F126" s="97"/>
      <x:c r="G126" s="97"/>
      <x:c r="H126" s="99"/>
      <x:c r="I126" s="100"/>
    </x:row>
    <x:row r="127">
      <x:c r="A127" s="99"/>
      <x:c r="B127" s="97"/>
      <x:c r="C127" s="97"/>
      <x:c r="D127" s="97"/>
      <x:c r="E127" s="97"/>
      <x:c r="F127" s="97"/>
      <x:c r="G127" s="97"/>
      <x:c r="H127" s="99"/>
      <x:c r="I127" s="100"/>
    </x:row>
    <x:row r="128">
      <x:c r="A128" s="99"/>
      <x:c r="B128" s="97"/>
      <x:c r="C128" s="97"/>
      <x:c r="D128" s="97"/>
      <x:c r="E128" s="97"/>
      <x:c r="F128" s="97"/>
      <x:c r="G128" s="97"/>
      <x:c r="H128" s="99"/>
      <x:c r="I128" s="100"/>
    </x:row>
    <x:row r="129">
      <x:c r="A129" s="99"/>
      <x:c r="B129" s="97"/>
      <x:c r="C129" s="97"/>
      <x:c r="D129" s="97"/>
      <x:c r="E129" s="97"/>
      <x:c r="F129" s="97"/>
      <x:c r="G129" s="97"/>
      <x:c r="H129" s="99"/>
      <x:c r="I129" s="100"/>
    </x:row>
    <x:row r="130">
      <x:c r="A130" s="99"/>
      <x:c r="B130" s="97"/>
      <x:c r="C130" s="97"/>
      <x:c r="D130" s="97"/>
      <x:c r="E130" s="97"/>
      <x:c r="F130" s="97"/>
      <x:c r="G130" s="97"/>
      <x:c r="H130" s="99"/>
      <x:c r="I130" s="100"/>
    </x:row>
    <x:row r="131">
      <x:c r="A131" s="99"/>
      <x:c r="B131" s="97"/>
      <x:c r="C131" s="97"/>
      <x:c r="D131" s="97"/>
      <x:c r="E131" s="97"/>
      <x:c r="F131" s="97"/>
      <x:c r="G131" s="97"/>
      <x:c r="H131" s="99"/>
      <x:c r="I131" s="100"/>
    </x:row>
    <x:row r="132">
      <x:c r="A132" s="99"/>
      <x:c r="B132" s="97"/>
      <x:c r="C132" s="97"/>
      <x:c r="D132" s="97"/>
      <x:c r="E132" s="97"/>
      <x:c r="F132" s="97"/>
      <x:c r="G132" s="97"/>
      <x:c r="H132" s="99"/>
      <x:c r="I132" s="100"/>
    </x:row>
    <x:row r="133">
      <x:c r="A133" s="99"/>
      <x:c r="B133" s="97"/>
      <x:c r="C133" s="97"/>
      <x:c r="D133" s="97"/>
      <x:c r="E133" s="97"/>
      <x:c r="F133" s="97"/>
      <x:c r="G133" s="97"/>
      <x:c r="H133" s="99"/>
      <x:c r="I133" s="100"/>
    </x:row>
    <x:row r="134">
      <x:c r="A134" s="99"/>
      <x:c r="B134" s="97"/>
      <x:c r="C134" s="97"/>
      <x:c r="D134" s="97"/>
      <x:c r="E134" s="97"/>
      <x:c r="F134" s="97"/>
      <x:c r="G134" s="97"/>
      <x:c r="H134" s="99"/>
      <x:c r="I134" s="100"/>
    </x:row>
    <x:row r="135">
      <x:c r="A135" s="99"/>
      <x:c r="B135" s="97"/>
      <x:c r="C135" s="97"/>
      <x:c r="D135" s="97"/>
      <x:c r="E135" s="97"/>
      <x:c r="F135" s="97"/>
      <x:c r="G135" s="97"/>
      <x:c r="H135" s="99"/>
      <x:c r="I135" s="100"/>
    </x:row>
    <x:row r="136">
      <x:c r="A136" s="99"/>
      <x:c r="B136" s="97"/>
      <x:c r="C136" s="97"/>
      <x:c r="D136" s="97"/>
      <x:c r="E136" s="97"/>
      <x:c r="F136" s="97"/>
      <x:c r="G136" s="97"/>
      <x:c r="H136" s="99"/>
      <x:c r="I136" s="100"/>
    </x:row>
    <x:row r="137">
      <x:c r="A137" s="99"/>
      <x:c r="B137" s="97"/>
      <x:c r="C137" s="97"/>
      <x:c r="D137" s="97"/>
      <x:c r="E137" s="97"/>
      <x:c r="F137" s="97"/>
      <x:c r="G137" s="97"/>
      <x:c r="H137" s="99"/>
      <x:c r="I137" s="100"/>
    </x:row>
    <x:row r="138">
      <x:c r="A138" s="99"/>
      <x:c r="B138" s="97"/>
      <x:c r="C138" s="97"/>
      <x:c r="D138" s="97"/>
      <x:c r="E138" s="97"/>
      <x:c r="F138" s="97"/>
      <x:c r="G138" s="97"/>
      <x:c r="H138" s="99"/>
      <x:c r="I138" s="100"/>
    </x:row>
    <x:row r="139">
      <x:c r="A139" s="99"/>
      <x:c r="B139" s="97"/>
      <x:c r="C139" s="97"/>
      <x:c r="D139" s="97"/>
      <x:c r="E139" s="97"/>
      <x:c r="F139" s="97"/>
      <x:c r="G139" s="97"/>
      <x:c r="H139" s="99"/>
      <x:c r="I139" s="100"/>
    </x:row>
    <x:row r="140">
      <x:c r="A140" s="99"/>
      <x:c r="B140" s="97"/>
      <x:c r="C140" s="97"/>
      <x:c r="D140" s="97"/>
      <x:c r="E140" s="97"/>
      <x:c r="F140" s="97"/>
      <x:c r="G140" s="97"/>
      <x:c r="H140" s="99"/>
      <x:c r="I140" s="100"/>
    </x:row>
    <x:row r="141">
      <x:c r="A141" s="99"/>
      <x:c r="B141" s="97"/>
      <x:c r="C141" s="97"/>
      <x:c r="D141" s="97"/>
      <x:c r="E141" s="97"/>
      <x:c r="F141" s="97"/>
      <x:c r="G141" s="97"/>
      <x:c r="H141" s="99"/>
      <x:c r="I141" s="100"/>
    </x:row>
    <x:row r="142">
      <x:c r="A142" s="99"/>
      <x:c r="B142" s="97"/>
      <x:c r="C142" s="97"/>
      <x:c r="D142" s="97"/>
      <x:c r="E142" s="97"/>
      <x:c r="F142" s="97"/>
      <x:c r="G142" s="97"/>
      <x:c r="H142" s="99"/>
      <x:c r="I142" s="100"/>
    </x:row>
    <x:row r="143">
      <x:c r="A143" s="99"/>
      <x:c r="B143" s="97"/>
      <x:c r="C143" s="97"/>
      <x:c r="D143" s="97"/>
      <x:c r="E143" s="97"/>
      <x:c r="F143" s="97"/>
      <x:c r="G143" s="97"/>
      <x:c r="H143" s="99"/>
      <x:c r="I143" s="100"/>
    </x:row>
    <x:row r="144">
      <x:c r="A144" s="99"/>
      <x:c r="B144" s="97"/>
      <x:c r="C144" s="97"/>
      <x:c r="D144" s="97"/>
      <x:c r="E144" s="97"/>
      <x:c r="F144" s="97"/>
      <x:c r="G144" s="97"/>
      <x:c r="H144" s="99"/>
      <x:c r="I144" s="100"/>
    </x:row>
    <x:row r="145">
      <x:c r="A145" s="99"/>
      <x:c r="B145" s="97"/>
      <x:c r="C145" s="97"/>
      <x:c r="D145" s="97"/>
      <x:c r="E145" s="97"/>
      <x:c r="F145" s="97"/>
      <x:c r="G145" s="97"/>
      <x:c r="H145" s="99"/>
      <x:c r="I145" s="100"/>
    </x:row>
    <x:row r="146">
      <x:c r="A146" s="99"/>
      <x:c r="B146" s="97"/>
      <x:c r="C146" s="97"/>
      <x:c r="D146" s="97"/>
      <x:c r="E146" s="97"/>
      <x:c r="F146" s="97"/>
      <x:c r="G146" s="97"/>
      <x:c r="H146" s="99"/>
      <x:c r="I146" s="100"/>
    </x:row>
    <x:row r="147">
      <x:c r="A147" s="99"/>
      <x:c r="B147" s="97"/>
      <x:c r="C147" s="97"/>
      <x:c r="D147" s="97"/>
      <x:c r="E147" s="97"/>
      <x:c r="F147" s="97"/>
      <x:c r="G147" s="97"/>
      <x:c r="H147" s="99"/>
      <x:c r="I147" s="100"/>
    </x:row>
    <x:row r="148">
      <x:c r="A148" s="99"/>
      <x:c r="B148" s="97"/>
      <x:c r="C148" s="97"/>
      <x:c r="D148" s="97"/>
      <x:c r="E148" s="97"/>
      <x:c r="F148" s="97"/>
      <x:c r="G148" s="97"/>
      <x:c r="H148" s="99"/>
      <x:c r="I148" s="100"/>
    </x:row>
    <x:row r="149">
      <x:c r="A149" s="99"/>
      <x:c r="B149" s="97"/>
      <x:c r="C149" s="97"/>
      <x:c r="D149" s="97"/>
      <x:c r="E149" s="97"/>
      <x:c r="F149" s="97"/>
      <x:c r="G149" s="97"/>
      <x:c r="H149" s="99"/>
      <x:c r="I149" s="100"/>
    </x:row>
    <x:row r="150">
      <x:c r="A150" s="99"/>
      <x:c r="B150" s="97"/>
      <x:c r="C150" s="97"/>
      <x:c r="D150" s="97"/>
      <x:c r="E150" s="97"/>
      <x:c r="F150" s="97"/>
      <x:c r="G150" s="97"/>
      <x:c r="H150" s="99"/>
      <x:c r="I150" s="100"/>
    </x:row>
    <x:row r="151">
      <x:c r="A151" s="99"/>
      <x:c r="B151" s="97"/>
      <x:c r="C151" s="97"/>
      <x:c r="D151" s="97"/>
      <x:c r="E151" s="97"/>
      <x:c r="F151" s="97"/>
      <x:c r="G151" s="97"/>
      <x:c r="H151" s="99"/>
      <x:c r="I151" s="100"/>
    </x:row>
    <x:row r="152">
      <x:c r="A152" s="99"/>
      <x:c r="B152" s="97"/>
      <x:c r="C152" s="97"/>
      <x:c r="D152" s="97"/>
      <x:c r="E152" s="97"/>
      <x:c r="F152" s="97"/>
      <x:c r="G152" s="97"/>
      <x:c r="H152" s="99"/>
      <x:c r="I152" s="100"/>
    </x:row>
    <x:row r="153">
      <x:c r="A153" s="99"/>
      <x:c r="B153" s="97"/>
      <x:c r="C153" s="97"/>
      <x:c r="D153" s="97"/>
      <x:c r="E153" s="97"/>
      <x:c r="F153" s="97"/>
      <x:c r="G153" s="97"/>
      <x:c r="H153" s="99"/>
      <x:c r="I153" s="100"/>
    </x:row>
    <x:row r="154">
      <x:c r="A154" s="99"/>
      <x:c r="B154" s="97"/>
      <x:c r="C154" s="97"/>
      <x:c r="D154" s="97"/>
      <x:c r="E154" s="97"/>
      <x:c r="F154" s="97"/>
      <x:c r="G154" s="97"/>
      <x:c r="H154" s="99"/>
      <x:c r="I154" s="100"/>
    </x:row>
    <x:row r="155">
      <x:c r="A155" s="99"/>
      <x:c r="B155" s="97"/>
      <x:c r="C155" s="97"/>
      <x:c r="D155" s="97"/>
      <x:c r="E155" s="97"/>
      <x:c r="F155" s="97"/>
      <x:c r="G155" s="97"/>
      <x:c r="H155" s="99"/>
      <x:c r="I155" s="100"/>
    </x:row>
    <x:row r="156">
      <x:c r="A156" s="99"/>
      <x:c r="B156" s="97"/>
      <x:c r="C156" s="97"/>
      <x:c r="D156" s="97"/>
      <x:c r="E156" s="97"/>
      <x:c r="F156" s="97"/>
      <x:c r="G156" s="97"/>
      <x:c r="H156" s="99"/>
      <x:c r="I156" s="100"/>
    </x:row>
    <x:row r="157">
      <x:c r="A157" s="99"/>
      <x:c r="B157" s="97"/>
      <x:c r="C157" s="97"/>
      <x:c r="D157" s="97"/>
      <x:c r="E157" s="97"/>
      <x:c r="F157" s="97"/>
      <x:c r="G157" s="97"/>
      <x:c r="H157" s="99"/>
      <x:c r="I157" s="100"/>
    </x:row>
    <x:row r="158">
      <x:c r="A158" s="99"/>
      <x:c r="B158" s="97"/>
      <x:c r="C158" s="97"/>
      <x:c r="D158" s="97"/>
      <x:c r="E158" s="97"/>
      <x:c r="F158" s="97"/>
      <x:c r="G158" s="97"/>
      <x:c r="H158" s="99"/>
      <x:c r="I158" s="100"/>
    </x:row>
    <x:row r="159">
      <x:c r="A159" s="99"/>
      <x:c r="B159" s="97"/>
      <x:c r="C159" s="97"/>
      <x:c r="D159" s="97"/>
      <x:c r="E159" s="97"/>
      <x:c r="F159" s="97"/>
      <x:c r="G159" s="97"/>
      <x:c r="H159" s="99"/>
      <x:c r="I159" s="100"/>
    </x:row>
    <x:row r="160">
      <x:c r="A160" s="99"/>
      <x:c r="B160" s="97"/>
      <x:c r="C160" s="97"/>
      <x:c r="D160" s="97"/>
      <x:c r="E160" s="97"/>
      <x:c r="F160" s="97"/>
      <x:c r="G160" s="97"/>
      <x:c r="H160" s="99"/>
      <x:c r="I160" s="100"/>
    </x:row>
    <x:row r="161">
      <x:c r="A161" s="99"/>
      <x:c r="B161" s="97"/>
      <x:c r="C161" s="97"/>
      <x:c r="D161" s="97"/>
      <x:c r="E161" s="97"/>
      <x:c r="F161" s="97"/>
      <x:c r="G161" s="97"/>
      <x:c r="H161" s="99"/>
      <x:c r="I161" s="100"/>
    </x:row>
    <x:row r="162">
      <x:c r="A162" s="99"/>
      <x:c r="B162" s="97"/>
      <x:c r="C162" s="97"/>
      <x:c r="D162" s="97"/>
      <x:c r="E162" s="97"/>
      <x:c r="F162" s="97"/>
      <x:c r="G162" s="97"/>
      <x:c r="H162" s="99"/>
      <x:c r="I162" s="100"/>
    </x:row>
    <x:row r="163">
      <x:c r="A163" s="99"/>
      <x:c r="B163" s="97"/>
      <x:c r="C163" s="97"/>
      <x:c r="D163" s="97"/>
      <x:c r="E163" s="97"/>
      <x:c r="F163" s="97"/>
      <x:c r="G163" s="97"/>
      <x:c r="H163" s="99"/>
      <x:c r="I163" s="100"/>
    </x:row>
    <x:row r="164">
      <x:c r="A164" s="99"/>
      <x:c r="B164" s="97"/>
      <x:c r="C164" s="97"/>
      <x:c r="D164" s="97"/>
      <x:c r="E164" s="97"/>
      <x:c r="F164" s="97"/>
      <x:c r="G164" s="97"/>
      <x:c r="H164" s="99"/>
      <x:c r="I164" s="100"/>
    </x:row>
    <x:row r="165">
      <x:c r="A165" s="99"/>
      <x:c r="B165" s="97"/>
      <x:c r="C165" s="97"/>
      <x:c r="D165" s="97"/>
      <x:c r="E165" s="97"/>
      <x:c r="F165" s="97"/>
      <x:c r="G165" s="97"/>
      <x:c r="H165" s="99"/>
      <x:c r="I165" s="100"/>
    </x:row>
    <x:row r="166">
      <x:c r="A166" s="99"/>
      <x:c r="B166" s="97"/>
      <x:c r="C166" s="97"/>
      <x:c r="D166" s="97"/>
      <x:c r="E166" s="97"/>
      <x:c r="F166" s="97"/>
      <x:c r="G166" s="97"/>
      <x:c r="H166" s="99"/>
      <x:c r="I166" s="100"/>
    </x:row>
    <x:row r="167">
      <x:c r="A167" s="99"/>
      <x:c r="B167" s="97"/>
      <x:c r="C167" s="97"/>
      <x:c r="D167" s="97"/>
      <x:c r="E167" s="97"/>
      <x:c r="F167" s="97"/>
      <x:c r="G167" s="97"/>
      <x:c r="H167" s="99"/>
      <x:c r="I167" s="100"/>
    </x:row>
    <x:row r="168">
      <x:c r="A168" s="99"/>
      <x:c r="B168" s="97"/>
      <x:c r="C168" s="97"/>
      <x:c r="D168" s="97"/>
      <x:c r="E168" s="97"/>
      <x:c r="F168" s="97"/>
      <x:c r="G168" s="97"/>
      <x:c r="H168" s="99"/>
      <x:c r="I168" s="100"/>
    </x:row>
    <x:row r="169">
      <x:c r="A169" s="99"/>
      <x:c r="B169" s="97"/>
      <x:c r="C169" s="97"/>
      <x:c r="D169" s="97"/>
      <x:c r="E169" s="97"/>
      <x:c r="F169" s="97"/>
      <x:c r="G169" s="97"/>
      <x:c r="H169" s="99"/>
      <x:c r="I169" s="100"/>
    </x:row>
    <x:row r="170">
      <x:c r="A170" s="99"/>
      <x:c r="B170" s="97"/>
      <x:c r="C170" s="97"/>
      <x:c r="D170" s="97"/>
      <x:c r="E170" s="97"/>
      <x:c r="F170" s="97"/>
      <x:c r="G170" s="97"/>
      <x:c r="H170" s="99"/>
      <x:c r="I170" s="100"/>
    </x:row>
    <x:row r="171">
      <x:c r="A171" s="99"/>
      <x:c r="B171" s="97"/>
      <x:c r="C171" s="97"/>
      <x:c r="D171" s="97"/>
      <x:c r="E171" s="97"/>
      <x:c r="F171" s="97"/>
      <x:c r="G171" s="97"/>
      <x:c r="H171" s="99"/>
      <x:c r="I171" s="100"/>
    </x:row>
    <x:row r="172">
      <x:c r="A172" s="99"/>
      <x:c r="B172" s="97"/>
      <x:c r="C172" s="97"/>
      <x:c r="D172" s="97"/>
      <x:c r="E172" s="97"/>
      <x:c r="F172" s="97"/>
      <x:c r="G172" s="97"/>
      <x:c r="H172" s="99"/>
      <x:c r="I172" s="100"/>
    </x:row>
    <x:row r="173">
      <x:c r="A173" s="99"/>
      <x:c r="B173" s="97"/>
      <x:c r="C173" s="97"/>
      <x:c r="D173" s="97"/>
      <x:c r="E173" s="97"/>
      <x:c r="F173" s="97"/>
      <x:c r="G173" s="97"/>
      <x:c r="H173" s="99"/>
      <x:c r="I173" s="100"/>
    </x:row>
    <x:row r="174">
      <x:c r="A174" s="99"/>
      <x:c r="B174" s="97"/>
      <x:c r="C174" s="97"/>
      <x:c r="D174" s="97"/>
      <x:c r="E174" s="97"/>
      <x:c r="F174" s="97"/>
      <x:c r="G174" s="97"/>
      <x:c r="H174" s="99"/>
      <x:c r="I174" s="100"/>
    </x:row>
    <x:row r="175">
      <x:c r="A175" s="99"/>
      <x:c r="B175" s="97"/>
      <x:c r="C175" s="97"/>
      <x:c r="D175" s="97"/>
      <x:c r="E175" s="97"/>
      <x:c r="F175" s="97"/>
      <x:c r="G175" s="97"/>
      <x:c r="H175" s="99"/>
      <x:c r="I175" s="100"/>
    </x:row>
    <x:row r="176">
      <x:c r="A176" s="99"/>
      <x:c r="B176" s="97"/>
      <x:c r="C176" s="97"/>
      <x:c r="D176" s="97"/>
      <x:c r="E176" s="97"/>
      <x:c r="F176" s="97"/>
      <x:c r="G176" s="97"/>
      <x:c r="H176" s="99"/>
      <x:c r="I176" s="100"/>
    </x:row>
    <x:row r="177">
      <x:c r="A177" s="99"/>
      <x:c r="B177" s="97"/>
      <x:c r="C177" s="97"/>
      <x:c r="D177" s="97"/>
      <x:c r="E177" s="97"/>
      <x:c r="F177" s="97"/>
      <x:c r="G177" s="97"/>
      <x:c r="H177" s="99"/>
      <x:c r="I177" s="100"/>
    </x:row>
    <x:row r="178">
      <x:c r="A178" s="99"/>
      <x:c r="B178" s="97"/>
      <x:c r="C178" s="97"/>
      <x:c r="D178" s="97"/>
      <x:c r="E178" s="97"/>
      <x:c r="F178" s="97"/>
      <x:c r="G178" s="97"/>
      <x:c r="H178" s="99"/>
      <x:c r="I178" s="100"/>
    </x:row>
    <x:row r="179">
      <x:c r="A179" s="99"/>
      <x:c r="B179" s="97"/>
      <x:c r="C179" s="97"/>
      <x:c r="D179" s="97"/>
      <x:c r="E179" s="97"/>
      <x:c r="F179" s="97"/>
      <x:c r="G179" s="97"/>
      <x:c r="H179" s="99"/>
      <x:c r="I179" s="100"/>
    </x:row>
    <x:row r="180">
      <x:c r="A180" s="99"/>
      <x:c r="B180" s="97"/>
      <x:c r="C180" s="97"/>
      <x:c r="D180" s="97"/>
      <x:c r="E180" s="97"/>
      <x:c r="F180" s="97"/>
      <x:c r="G180" s="97"/>
      <x:c r="H180" s="99"/>
      <x:c r="I180" s="100"/>
    </x:row>
    <x:row r="181">
      <x:c r="A181" s="99"/>
      <x:c r="B181" s="97"/>
      <x:c r="C181" s="97"/>
      <x:c r="D181" s="97"/>
      <x:c r="E181" s="97"/>
      <x:c r="F181" s="97"/>
      <x:c r="G181" s="97"/>
      <x:c r="H181" s="99"/>
      <x:c r="I181" s="100"/>
    </x:row>
    <x:row r="182">
      <x:c r="A182" s="99"/>
      <x:c r="B182" s="97"/>
      <x:c r="C182" s="97"/>
      <x:c r="D182" s="97"/>
      <x:c r="E182" s="97"/>
      <x:c r="F182" s="97"/>
      <x:c r="G182" s="97"/>
      <x:c r="H182" s="99"/>
      <x:c r="I182" s="100"/>
    </x:row>
    <x:row r="183">
      <x:c r="A183" s="99"/>
      <x:c r="B183" s="97"/>
      <x:c r="C183" s="97"/>
      <x:c r="D183" s="97"/>
      <x:c r="E183" s="97"/>
      <x:c r="F183" s="97"/>
      <x:c r="G183" s="97"/>
      <x:c r="H183" s="99"/>
      <x:c r="I183" s="100"/>
    </x:row>
    <x:row r="184">
      <x:c r="A184" s="99"/>
      <x:c r="B184" s="97"/>
      <x:c r="C184" s="97"/>
      <x:c r="D184" s="97"/>
      <x:c r="E184" s="97"/>
      <x:c r="F184" s="97"/>
      <x:c r="G184" s="97"/>
      <x:c r="H184" s="99"/>
      <x:c r="I184" s="100"/>
    </x:row>
    <x:row r="185">
      <x:c r="A185" s="99"/>
      <x:c r="B185" s="97"/>
      <x:c r="C185" s="97"/>
      <x:c r="D185" s="97"/>
      <x:c r="E185" s="97"/>
      <x:c r="F185" s="97"/>
      <x:c r="G185" s="97"/>
      <x:c r="H185" s="99"/>
      <x:c r="I185" s="100"/>
    </x:row>
    <x:row r="186">
      <x:c r="A186" s="99"/>
      <x:c r="B186" s="97"/>
      <x:c r="C186" s="97"/>
      <x:c r="D186" s="97"/>
      <x:c r="E186" s="97"/>
      <x:c r="F186" s="97"/>
      <x:c r="G186" s="97"/>
      <x:c r="H186" s="99"/>
      <x:c r="I186" s="100"/>
    </x:row>
    <x:row r="187">
      <x:c r="A187" s="99"/>
      <x:c r="B187" s="97"/>
      <x:c r="C187" s="97"/>
      <x:c r="D187" s="97"/>
      <x:c r="E187" s="97"/>
      <x:c r="F187" s="97"/>
      <x:c r="G187" s="97"/>
      <x:c r="H187" s="99"/>
      <x:c r="I187" s="100"/>
    </x:row>
    <x:row r="188">
      <x:c r="A188" s="99"/>
      <x:c r="B188" s="97"/>
      <x:c r="C188" s="97"/>
      <x:c r="D188" s="97"/>
      <x:c r="E188" s="97"/>
      <x:c r="F188" s="97"/>
      <x:c r="G188" s="97"/>
      <x:c r="H188" s="99"/>
      <x:c r="I188" s="100"/>
    </x:row>
    <x:row r="189">
      <x:c r="A189" s="99"/>
      <x:c r="B189" s="97"/>
      <x:c r="C189" s="97"/>
      <x:c r="D189" s="97"/>
      <x:c r="E189" s="97"/>
      <x:c r="F189" s="97"/>
      <x:c r="G189" s="97"/>
      <x:c r="H189" s="99"/>
      <x:c r="I189" s="100"/>
    </x:row>
    <x:row r="190">
      <x:c r="A190" s="99"/>
      <x:c r="B190" s="97"/>
      <x:c r="C190" s="97"/>
      <x:c r="D190" s="97"/>
      <x:c r="E190" s="97"/>
      <x:c r="F190" s="97"/>
      <x:c r="G190" s="97"/>
      <x:c r="H190" s="99"/>
      <x:c r="I190" s="100"/>
    </x:row>
    <x:row r="191">
      <x:c r="A191" s="99"/>
      <x:c r="B191" s="97"/>
      <x:c r="C191" s="97"/>
      <x:c r="D191" s="97"/>
      <x:c r="E191" s="97"/>
      <x:c r="F191" s="97"/>
      <x:c r="G191" s="97"/>
      <x:c r="H191" s="99"/>
      <x:c r="I191" s="100"/>
    </x:row>
    <x:row r="192">
      <x:c r="A192" s="99"/>
      <x:c r="B192" s="97"/>
      <x:c r="C192" s="97"/>
      <x:c r="D192" s="97"/>
      <x:c r="E192" s="97"/>
      <x:c r="F192" s="97"/>
      <x:c r="G192" s="97"/>
      <x:c r="H192" s="99"/>
      <x:c r="I192" s="100"/>
    </x:row>
    <x:row r="193">
      <x:c r="A193" s="99"/>
      <x:c r="B193" s="97"/>
      <x:c r="C193" s="97"/>
      <x:c r="D193" s="97"/>
      <x:c r="E193" s="97"/>
      <x:c r="F193" s="97"/>
      <x:c r="G193" s="97"/>
      <x:c r="H193" s="99"/>
      <x:c r="I193" s="100"/>
    </x:row>
    <x:row r="194">
      <x:c r="A194" s="99"/>
      <x:c r="B194" s="97"/>
      <x:c r="C194" s="97"/>
      <x:c r="D194" s="97"/>
      <x:c r="E194" s="97"/>
      <x:c r="F194" s="97"/>
      <x:c r="G194" s="97"/>
      <x:c r="H194" s="99"/>
      <x:c r="I194" s="100"/>
    </x:row>
    <x:row r="195">
      <x:c r="A195" s="99"/>
      <x:c r="B195" s="97"/>
      <x:c r="C195" s="97"/>
      <x:c r="D195" s="97"/>
      <x:c r="E195" s="97"/>
      <x:c r="F195" s="97"/>
      <x:c r="G195" s="97"/>
      <x:c r="H195" s="99"/>
      <x:c r="I195" s="100"/>
    </x:row>
    <x:row r="196">
      <x:c r="A196" s="99"/>
      <x:c r="B196" s="97"/>
      <x:c r="C196" s="97"/>
      <x:c r="D196" s="97"/>
      <x:c r="E196" s="97"/>
      <x:c r="F196" s="97"/>
      <x:c r="G196" s="97"/>
      <x:c r="H196" s="99"/>
      <x:c r="I196" s="100"/>
    </x:row>
    <x:row r="197">
      <x:c r="A197" s="99"/>
      <x:c r="B197" s="97"/>
      <x:c r="C197" s="97"/>
      <x:c r="D197" s="97"/>
      <x:c r="E197" s="97"/>
      <x:c r="F197" s="97"/>
      <x:c r="G197" s="97"/>
      <x:c r="H197" s="99"/>
      <x:c r="I197" s="100"/>
    </x:row>
    <x:row r="198">
      <x:c r="A198" s="99"/>
      <x:c r="B198" s="97"/>
      <x:c r="C198" s="97"/>
      <x:c r="D198" s="97"/>
      <x:c r="E198" s="97"/>
      <x:c r="F198" s="97"/>
      <x:c r="G198" s="97"/>
      <x:c r="H198" s="99"/>
      <x:c r="I198" s="100"/>
    </x:row>
    <x:row r="199">
      <x:c r="A199" s="99"/>
      <x:c r="B199" s="97"/>
      <x:c r="C199" s="97"/>
      <x:c r="D199" s="97"/>
      <x:c r="E199" s="97"/>
      <x:c r="F199" s="97"/>
      <x:c r="G199" s="97"/>
      <x:c r="H199" s="99"/>
      <x:c r="I199" s="100"/>
    </x:row>
    <x:row r="200">
      <x:c r="A200" s="99"/>
      <x:c r="B200" s="97"/>
      <x:c r="C200" s="97"/>
      <x:c r="D200" s="97"/>
      <x:c r="E200" s="97"/>
      <x:c r="F200" s="97"/>
      <x:c r="G200" s="97"/>
      <x:c r="H200" s="99"/>
      <x:c r="I200" s="100"/>
    </x:row>
    <x:row r="201">
      <x:c r="A201" s="99"/>
      <x:c r="B201" s="97"/>
      <x:c r="C201" s="97"/>
      <x:c r="D201" s="97"/>
      <x:c r="E201" s="97"/>
      <x:c r="F201" s="97"/>
      <x:c r="G201" s="97"/>
      <x:c r="H201" s="99"/>
      <x:c r="I201" s="100"/>
    </x:row>
    <x:row r="202">
      <x:c r="A202" s="99"/>
      <x:c r="B202" s="97"/>
      <x:c r="C202" s="97"/>
      <x:c r="D202" s="97"/>
      <x:c r="E202" s="97"/>
      <x:c r="F202" s="97"/>
      <x:c r="G202" s="97"/>
      <x:c r="H202" s="99"/>
      <x:c r="I202" s="100"/>
    </x:row>
    <x:row r="203">
      <x:c r="A203" s="99"/>
      <x:c r="B203" s="97"/>
      <x:c r="C203" s="97"/>
      <x:c r="D203" s="97"/>
      <x:c r="E203" s="97"/>
      <x:c r="F203" s="97"/>
      <x:c r="G203" s="97"/>
      <x:c r="H203" s="99"/>
      <x:c r="I203" s="100"/>
    </x:row>
    <x:row r="204">
      <x:c r="A204" s="99"/>
      <x:c r="B204" s="97"/>
      <x:c r="C204" s="97"/>
      <x:c r="D204" s="97"/>
      <x:c r="E204" s="97"/>
      <x:c r="F204" s="97"/>
      <x:c r="G204" s="97"/>
      <x:c r="H204" s="99"/>
      <x:c r="I204" s="100"/>
    </x:row>
  </x:sheetData>
  <x:mergeCells>
    <x:mergeCell ref="A1:I1"/>
    <x:mergeCell ref="A2:I2"/>
  </x:mergeCells>
  <x:dataValidations count="2">
    <x:dataValidation type="list" sqref="E5:E204">
      <x:formula1>"Workload Rebalance,Skill Match,Leave / Availability,Handover,Correction,Other"</x:formula1>
    </x:dataValidation>
    <x:dataValidation type="list" sqref="B5:B204">
      <x:formula1>'Task Master'!$A$5:$A$804</x:formula1>
    </x:dataValidation>
  </x:dataValidations>
  <x:pageMargins left="0.7" right="0.7" top="0.75" bottom="0.75" header="0.3" footer="0.3"/>
  <x:tableParts count="1">
    <x:tablePart xmlns:r="http://schemas.openxmlformats.org/officeDocument/2006/relationships" r:id="R58f8913c922143f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style="2" customWidth="1"/>
    <x:col min="2" max="2" width="18" style="2" customWidth="1"/>
    <x:col min="3" max="3" width="30" style="2" customWidth="1"/>
    <x:col min="4" max="4" width="18" style="2" customWidth="1"/>
    <x:col min="5" max="5" width="48" style="2" customWidth="1"/>
    <x:col min="6" max="6" width="42" style="2" customWidth="1"/>
    <x:col min="7" max="7" width="21" style="2" customWidth="1"/>
    <x:col min="8" max="9" width="30" style="2" customWidth="1"/>
    <x:col min="10" max="10" width="20" style="2" customWidth="1"/>
    <x:col min="11" max="11" width="16" style="2" customWidth="1"/>
    <x:col min="12" max="12" width="40" style="2" customWidth="1"/>
    <x:col min="13" max="16384" width="9" style="2" customWidth="0"/>
  </x:cols>
  <x:sheetData>
    <x:row r="1" ht="30" customHeight="1">
      <x:c r="A1" s="1" t="s">
        <x:v>82</x:v>
      </x:c>
      <x:c r="B1" s="1"/>
      <x:c r="C1" s="1"/>
      <x:c r="D1" s="1"/>
      <x:c r="E1" s="1"/>
      <x:c r="F1" s="1"/>
      <x:c r="G1" s="1"/>
      <x:c r="H1" s="1"/>
      <x:c r="I1" s="1"/>
      <x:c r="J1" s="1"/>
      <x:c r="K1" s="1"/>
      <x:c r="L1" s="1"/>
    </x:row>
    <x:row r="2" ht="24" customHeight="1">
      <x:c r="A2" s="3" t="s">
        <x:v>83</x:v>
      </x:c>
      <x:c r="B2" s="3"/>
      <x:c r="C2" s="3"/>
      <x:c r="D2" s="3"/>
      <x:c r="E2" s="3"/>
      <x:c r="F2" s="3"/>
      <x:c r="G2" s="3"/>
      <x:c r="H2" s="3"/>
      <x:c r="I2" s="3"/>
      <x:c r="J2" s="3"/>
      <x:c r="K2" s="3"/>
      <x:c r="L2" s="3"/>
    </x:row>
    <x:row r="4" ht="32.099998474121094" customHeight="1">
      <x:c r="A4" s="4" t="s">
        <x:v>84</x:v>
      </x:c>
      <x:c r="B4" s="5" t="s">
        <x:v>59</x:v>
      </x:c>
      <x:c r="C4" s="5" t="s">
        <x:v>85</x:v>
      </x:c>
      <x:c r="D4" s="5" t="s">
        <x:v>86</x:v>
      </x:c>
      <x:c r="E4" s="5" t="s">
        <x:v>87</x:v>
      </x:c>
      <x:c r="F4" s="5" t="s">
        <x:v>88</x:v>
      </x:c>
      <x:c r="G4" s="5" t="s">
        <x:v>89</x:v>
      </x:c>
      <x:c r="H4" s="5" t="s">
        <x:v>90</x:v>
      </x:c>
      <x:c r="I4" s="5" t="s">
        <x:v>91</x:v>
      </x:c>
      <x:c r="J4" s="5" t="s">
        <x:v>92</x:v>
      </x:c>
      <x:c r="K4" s="5" t="s">
        <x:v>93</x:v>
      </x:c>
      <x:c r="L4" s="6" t="s">
        <x:v>72</x:v>
      </x:c>
    </x:row>
    <x:row r="5">
      <x:c r="A5" s="99"/>
      <x:c r="B5" s="97"/>
      <x:c r="C5" s="97"/>
      <x:c r="D5" s="97"/>
      <x:c r="E5" s="100"/>
      <x:c r="F5" s="100"/>
      <x:c r="G5" s="100"/>
      <x:c r="H5" s="100"/>
      <x:c r="I5" s="100"/>
      <x:c r="J5" s="103"/>
      <x:c r="K5" s="101" t="str">
        <x:f>IF(B5="","",IFERROR(IF(INDEX('Task Master'!$C$5:$C$804,MATCH(B5,'Task Master'!$A$5:$A$804,0))="executing","Open in CSSP",""),"Not in latest raw"))</x:f>
      </x:c>
      <x:c r="L5" s="100"/>
    </x:row>
    <x:row r="6">
      <x:c r="A6" s="99"/>
      <x:c r="B6" s="97"/>
      <x:c r="C6" s="97"/>
      <x:c r="D6" s="97"/>
      <x:c r="E6" s="100"/>
      <x:c r="F6" s="100"/>
      <x:c r="G6" s="100"/>
      <x:c r="H6" s="100"/>
      <x:c r="I6" s="100"/>
      <x:c r="J6" s="103"/>
      <x:c r="K6" s="101" t="str">
        <x:f>IF(B6="","",IFERROR(IF(INDEX('Task Master'!$C$5:$C$804,MATCH(B6,'Task Master'!$A$5:$A$804,0))="executing","Open in CSSP",""),"Not in latest raw"))</x:f>
      </x:c>
      <x:c r="L6" s="100"/>
    </x:row>
    <x:row r="7">
      <x:c r="A7" s="99"/>
      <x:c r="B7" s="97"/>
      <x:c r="C7" s="97"/>
      <x:c r="D7" s="97"/>
      <x:c r="E7" s="100"/>
      <x:c r="F7" s="100"/>
      <x:c r="G7" s="100"/>
      <x:c r="H7" s="100"/>
      <x:c r="I7" s="100"/>
      <x:c r="J7" s="103"/>
      <x:c r="K7" s="101" t="str">
        <x:f>IF(B7="","",IFERROR(IF(INDEX('Task Master'!$C$5:$C$804,MATCH(B7,'Task Master'!$A$5:$A$804,0))="executing","Open in CSSP",""),"Not in latest raw"))</x:f>
      </x:c>
      <x:c r="L7" s="100"/>
    </x:row>
    <x:row r="8">
      <x:c r="A8" s="99"/>
      <x:c r="B8" s="97"/>
      <x:c r="C8" s="97"/>
      <x:c r="D8" s="97"/>
      <x:c r="E8" s="100"/>
      <x:c r="F8" s="100"/>
      <x:c r="G8" s="100"/>
      <x:c r="H8" s="100"/>
      <x:c r="I8" s="100"/>
      <x:c r="J8" s="103"/>
      <x:c r="K8" s="101" t="str">
        <x:f>IF(B8="","",IFERROR(IF(INDEX('Task Master'!$C$5:$C$804,MATCH(B8,'Task Master'!$A$5:$A$804,0))="executing","Open in CSSP",""),"Not in latest raw"))</x:f>
      </x:c>
      <x:c r="L8" s="100"/>
    </x:row>
    <x:row r="9">
      <x:c r="A9" s="99"/>
      <x:c r="B9" s="97"/>
      <x:c r="C9" s="97"/>
      <x:c r="D9" s="97"/>
      <x:c r="E9" s="100"/>
      <x:c r="F9" s="100"/>
      <x:c r="G9" s="100"/>
      <x:c r="H9" s="100"/>
      <x:c r="I9" s="100"/>
      <x:c r="J9" s="103"/>
      <x:c r="K9" s="101" t="str">
        <x:f>IF(B9="","",IFERROR(IF(INDEX('Task Master'!$C$5:$C$804,MATCH(B9,'Task Master'!$A$5:$A$804,0))="executing","Open in CSSP",""),"Not in latest raw"))</x:f>
      </x:c>
      <x:c r="L9" s="100"/>
    </x:row>
    <x:row r="10">
      <x:c r="A10" s="99"/>
      <x:c r="B10" s="97"/>
      <x:c r="C10" s="97"/>
      <x:c r="D10" s="97"/>
      <x:c r="E10" s="100"/>
      <x:c r="F10" s="100"/>
      <x:c r="G10" s="100"/>
      <x:c r="H10" s="100"/>
      <x:c r="I10" s="100"/>
      <x:c r="J10" s="103"/>
      <x:c r="K10" s="101" t="str">
        <x:f>IF(B10="","",IFERROR(IF(INDEX('Task Master'!$C$5:$C$804,MATCH(B10,'Task Master'!$A$5:$A$804,0))="executing","Open in CSSP",""),"Not in latest raw"))</x:f>
      </x:c>
      <x:c r="L10" s="100"/>
    </x:row>
    <x:row r="11">
      <x:c r="A11" s="99"/>
      <x:c r="B11" s="97"/>
      <x:c r="C11" s="97"/>
      <x:c r="D11" s="97"/>
      <x:c r="E11" s="100"/>
      <x:c r="F11" s="100"/>
      <x:c r="G11" s="100"/>
      <x:c r="H11" s="100"/>
      <x:c r="I11" s="100"/>
      <x:c r="J11" s="103"/>
      <x:c r="K11" s="101" t="str">
        <x:f>IF(B11="","",IFERROR(IF(INDEX('Task Master'!$C$5:$C$804,MATCH(B11,'Task Master'!$A$5:$A$804,0))="executing","Open in CSSP",""),"Not in latest raw"))</x:f>
      </x:c>
      <x:c r="L11" s="100"/>
    </x:row>
    <x:row r="12">
      <x:c r="A12" s="99"/>
      <x:c r="B12" s="97"/>
      <x:c r="C12" s="97"/>
      <x:c r="D12" s="97"/>
      <x:c r="E12" s="100"/>
      <x:c r="F12" s="100"/>
      <x:c r="G12" s="100"/>
      <x:c r="H12" s="100"/>
      <x:c r="I12" s="100"/>
      <x:c r="J12" s="103"/>
      <x:c r="K12" s="101" t="str">
        <x:f>IF(B12="","",IFERROR(IF(INDEX('Task Master'!$C$5:$C$804,MATCH(B12,'Task Master'!$A$5:$A$804,0))="executing","Open in CSSP",""),"Not in latest raw"))</x:f>
      </x:c>
      <x:c r="L12" s="100"/>
    </x:row>
    <x:row r="13">
      <x:c r="A13" s="99"/>
      <x:c r="B13" s="97"/>
      <x:c r="C13" s="97"/>
      <x:c r="D13" s="97"/>
      <x:c r="E13" s="100"/>
      <x:c r="F13" s="100"/>
      <x:c r="G13" s="100"/>
      <x:c r="H13" s="100"/>
      <x:c r="I13" s="100"/>
      <x:c r="J13" s="103"/>
      <x:c r="K13" s="101" t="str">
        <x:f>IF(B13="","",IFERROR(IF(INDEX('Task Master'!$C$5:$C$804,MATCH(B13,'Task Master'!$A$5:$A$804,0))="executing","Open in CSSP",""),"Not in latest raw"))</x:f>
      </x:c>
      <x:c r="L13" s="100"/>
    </x:row>
    <x:row r="14">
      <x:c r="A14" s="99"/>
      <x:c r="B14" s="97"/>
      <x:c r="C14" s="97"/>
      <x:c r="D14" s="97"/>
      <x:c r="E14" s="100"/>
      <x:c r="F14" s="100"/>
      <x:c r="G14" s="100"/>
      <x:c r="H14" s="100"/>
      <x:c r="I14" s="100"/>
      <x:c r="J14" s="103"/>
      <x:c r="K14" s="101" t="str">
        <x:f>IF(B14="","",IFERROR(IF(INDEX('Task Master'!$C$5:$C$804,MATCH(B14,'Task Master'!$A$5:$A$804,0))="executing","Open in CSSP",""),"Not in latest raw"))</x:f>
      </x:c>
      <x:c r="L14" s="100"/>
    </x:row>
    <x:row r="15">
      <x:c r="A15" s="99"/>
      <x:c r="B15" s="97"/>
      <x:c r="C15" s="97"/>
      <x:c r="D15" s="97"/>
      <x:c r="E15" s="100"/>
      <x:c r="F15" s="100"/>
      <x:c r="G15" s="100"/>
      <x:c r="H15" s="100"/>
      <x:c r="I15" s="100"/>
      <x:c r="J15" s="103"/>
      <x:c r="K15" s="101" t="str">
        <x:f>IF(B15="","",IFERROR(IF(INDEX('Task Master'!$C$5:$C$804,MATCH(B15,'Task Master'!$A$5:$A$804,0))="executing","Open in CSSP",""),"Not in latest raw"))</x:f>
      </x:c>
      <x:c r="L15" s="100"/>
    </x:row>
    <x:row r="16">
      <x:c r="A16" s="99"/>
      <x:c r="B16" s="97"/>
      <x:c r="C16" s="97"/>
      <x:c r="D16" s="97"/>
      <x:c r="E16" s="100"/>
      <x:c r="F16" s="100"/>
      <x:c r="G16" s="100"/>
      <x:c r="H16" s="100"/>
      <x:c r="I16" s="100"/>
      <x:c r="J16" s="103"/>
      <x:c r="K16" s="101" t="str">
        <x:f>IF(B16="","",IFERROR(IF(INDEX('Task Master'!$C$5:$C$804,MATCH(B16,'Task Master'!$A$5:$A$804,0))="executing","Open in CSSP",""),"Not in latest raw"))</x:f>
      </x:c>
      <x:c r="L16" s="100"/>
    </x:row>
    <x:row r="17">
      <x:c r="A17" s="99"/>
      <x:c r="B17" s="97"/>
      <x:c r="C17" s="97"/>
      <x:c r="D17" s="97"/>
      <x:c r="E17" s="100"/>
      <x:c r="F17" s="100"/>
      <x:c r="G17" s="100"/>
      <x:c r="H17" s="100"/>
      <x:c r="I17" s="100"/>
      <x:c r="J17" s="103"/>
      <x:c r="K17" s="101" t="str">
        <x:f>IF(B17="","",IFERROR(IF(INDEX('Task Master'!$C$5:$C$804,MATCH(B17,'Task Master'!$A$5:$A$804,0))="executing","Open in CSSP",""),"Not in latest raw"))</x:f>
      </x:c>
      <x:c r="L17" s="100"/>
    </x:row>
    <x:row r="18">
      <x:c r="A18" s="99"/>
      <x:c r="B18" s="97"/>
      <x:c r="C18" s="97"/>
      <x:c r="D18" s="97"/>
      <x:c r="E18" s="100"/>
      <x:c r="F18" s="100"/>
      <x:c r="G18" s="100"/>
      <x:c r="H18" s="100"/>
      <x:c r="I18" s="100"/>
      <x:c r="J18" s="103"/>
      <x:c r="K18" s="101" t="str">
        <x:f>IF(B18="","",IFERROR(IF(INDEX('Task Master'!$C$5:$C$804,MATCH(B18,'Task Master'!$A$5:$A$804,0))="executing","Open in CSSP",""),"Not in latest raw"))</x:f>
      </x:c>
      <x:c r="L18" s="100"/>
    </x:row>
    <x:row r="19">
      <x:c r="A19" s="99"/>
      <x:c r="B19" s="97"/>
      <x:c r="C19" s="97"/>
      <x:c r="D19" s="97"/>
      <x:c r="E19" s="100"/>
      <x:c r="F19" s="100"/>
      <x:c r="G19" s="100"/>
      <x:c r="H19" s="100"/>
      <x:c r="I19" s="100"/>
      <x:c r="J19" s="103"/>
      <x:c r="K19" s="101" t="str">
        <x:f>IF(B19="","",IFERROR(IF(INDEX('Task Master'!$C$5:$C$804,MATCH(B19,'Task Master'!$A$5:$A$804,0))="executing","Open in CSSP",""),"Not in latest raw"))</x:f>
      </x:c>
      <x:c r="L19" s="100"/>
    </x:row>
    <x:row r="20">
      <x:c r="A20" s="99"/>
      <x:c r="B20" s="97"/>
      <x:c r="C20" s="97"/>
      <x:c r="D20" s="97"/>
      <x:c r="E20" s="100"/>
      <x:c r="F20" s="100"/>
      <x:c r="G20" s="100"/>
      <x:c r="H20" s="100"/>
      <x:c r="I20" s="100"/>
      <x:c r="J20" s="103"/>
      <x:c r="K20" s="101" t="str">
        <x:f>IF(B20="","",IFERROR(IF(INDEX('Task Master'!$C$5:$C$804,MATCH(B20,'Task Master'!$A$5:$A$804,0))="executing","Open in CSSP",""),"Not in latest raw"))</x:f>
      </x:c>
      <x:c r="L20" s="100"/>
    </x:row>
    <x:row r="21">
      <x:c r="A21" s="99"/>
      <x:c r="B21" s="97"/>
      <x:c r="C21" s="97"/>
      <x:c r="D21" s="97"/>
      <x:c r="E21" s="100"/>
      <x:c r="F21" s="100"/>
      <x:c r="G21" s="100"/>
      <x:c r="H21" s="100"/>
      <x:c r="I21" s="100"/>
      <x:c r="J21" s="103"/>
      <x:c r="K21" s="101" t="str">
        <x:f>IF(B21="","",IFERROR(IF(INDEX('Task Master'!$C$5:$C$804,MATCH(B21,'Task Master'!$A$5:$A$804,0))="executing","Open in CSSP",""),"Not in latest raw"))</x:f>
      </x:c>
      <x:c r="L21" s="100"/>
    </x:row>
    <x:row r="22">
      <x:c r="A22" s="99"/>
      <x:c r="B22" s="97"/>
      <x:c r="C22" s="97"/>
      <x:c r="D22" s="97"/>
      <x:c r="E22" s="100"/>
      <x:c r="F22" s="100"/>
      <x:c r="G22" s="100"/>
      <x:c r="H22" s="100"/>
      <x:c r="I22" s="100"/>
      <x:c r="J22" s="103"/>
      <x:c r="K22" s="101" t="str">
        <x:f>IF(B22="","",IFERROR(IF(INDEX('Task Master'!$C$5:$C$804,MATCH(B22,'Task Master'!$A$5:$A$804,0))="executing","Open in CSSP",""),"Not in latest raw"))</x:f>
      </x:c>
      <x:c r="L22" s="100"/>
    </x:row>
    <x:row r="23">
      <x:c r="A23" s="99"/>
      <x:c r="B23" s="97"/>
      <x:c r="C23" s="97"/>
      <x:c r="D23" s="97"/>
      <x:c r="E23" s="100"/>
      <x:c r="F23" s="100"/>
      <x:c r="G23" s="100"/>
      <x:c r="H23" s="100"/>
      <x:c r="I23" s="100"/>
      <x:c r="J23" s="103"/>
      <x:c r="K23" s="101" t="str">
        <x:f>IF(B23="","",IFERROR(IF(INDEX('Task Master'!$C$5:$C$804,MATCH(B23,'Task Master'!$A$5:$A$804,0))="executing","Open in CSSP",""),"Not in latest raw"))</x:f>
      </x:c>
      <x:c r="L23" s="100"/>
    </x:row>
    <x:row r="24">
      <x:c r="A24" s="99"/>
      <x:c r="B24" s="97"/>
      <x:c r="C24" s="97"/>
      <x:c r="D24" s="97"/>
      <x:c r="E24" s="100"/>
      <x:c r="F24" s="100"/>
      <x:c r="G24" s="100"/>
      <x:c r="H24" s="100"/>
      <x:c r="I24" s="100"/>
      <x:c r="J24" s="103"/>
      <x:c r="K24" s="101" t="str">
        <x:f>IF(B24="","",IFERROR(IF(INDEX('Task Master'!$C$5:$C$804,MATCH(B24,'Task Master'!$A$5:$A$804,0))="executing","Open in CSSP",""),"Not in latest raw"))</x:f>
      </x:c>
      <x:c r="L24" s="100"/>
    </x:row>
    <x:row r="25">
      <x:c r="A25" s="99"/>
      <x:c r="B25" s="97"/>
      <x:c r="C25" s="97"/>
      <x:c r="D25" s="97"/>
      <x:c r="E25" s="100"/>
      <x:c r="F25" s="100"/>
      <x:c r="G25" s="100"/>
      <x:c r="H25" s="100"/>
      <x:c r="I25" s="100"/>
      <x:c r="J25" s="103"/>
      <x:c r="K25" s="101" t="str">
        <x:f>IF(B25="","",IFERROR(IF(INDEX('Task Master'!$C$5:$C$804,MATCH(B25,'Task Master'!$A$5:$A$804,0))="executing","Open in CSSP",""),"Not in latest raw"))</x:f>
      </x:c>
      <x:c r="L25" s="100"/>
    </x:row>
    <x:row r="26">
      <x:c r="A26" s="99"/>
      <x:c r="B26" s="97"/>
      <x:c r="C26" s="97"/>
      <x:c r="D26" s="97"/>
      <x:c r="E26" s="100"/>
      <x:c r="F26" s="100"/>
      <x:c r="G26" s="100"/>
      <x:c r="H26" s="100"/>
      <x:c r="I26" s="100"/>
      <x:c r="J26" s="103"/>
      <x:c r="K26" s="101" t="str">
        <x:f>IF(B26="","",IFERROR(IF(INDEX('Task Master'!$C$5:$C$804,MATCH(B26,'Task Master'!$A$5:$A$804,0))="executing","Open in CSSP",""),"Not in latest raw"))</x:f>
      </x:c>
      <x:c r="L26" s="100"/>
    </x:row>
    <x:row r="27">
      <x:c r="A27" s="99"/>
      <x:c r="B27" s="97"/>
      <x:c r="C27" s="97"/>
      <x:c r="D27" s="97"/>
      <x:c r="E27" s="100"/>
      <x:c r="F27" s="100"/>
      <x:c r="G27" s="100"/>
      <x:c r="H27" s="100"/>
      <x:c r="I27" s="100"/>
      <x:c r="J27" s="103"/>
      <x:c r="K27" s="101" t="str">
        <x:f>IF(B27="","",IFERROR(IF(INDEX('Task Master'!$C$5:$C$804,MATCH(B27,'Task Master'!$A$5:$A$804,0))="executing","Open in CSSP",""),"Not in latest raw"))</x:f>
      </x:c>
      <x:c r="L27" s="100"/>
    </x:row>
    <x:row r="28">
      <x:c r="A28" s="99"/>
      <x:c r="B28" s="97"/>
      <x:c r="C28" s="97"/>
      <x:c r="D28" s="97"/>
      <x:c r="E28" s="100"/>
      <x:c r="F28" s="100"/>
      <x:c r="G28" s="100"/>
      <x:c r="H28" s="100"/>
      <x:c r="I28" s="100"/>
      <x:c r="J28" s="103"/>
      <x:c r="K28" s="101" t="str">
        <x:f>IF(B28="","",IFERROR(IF(INDEX('Task Master'!$C$5:$C$804,MATCH(B28,'Task Master'!$A$5:$A$804,0))="executing","Open in CSSP",""),"Not in latest raw"))</x:f>
      </x:c>
      <x:c r="L28" s="100"/>
    </x:row>
    <x:row r="29">
      <x:c r="A29" s="99"/>
      <x:c r="B29" s="97"/>
      <x:c r="C29" s="97"/>
      <x:c r="D29" s="97"/>
      <x:c r="E29" s="100"/>
      <x:c r="F29" s="100"/>
      <x:c r="G29" s="100"/>
      <x:c r="H29" s="100"/>
      <x:c r="I29" s="100"/>
      <x:c r="J29" s="103"/>
      <x:c r="K29" s="101" t="str">
        <x:f>IF(B29="","",IFERROR(IF(INDEX('Task Master'!$C$5:$C$804,MATCH(B29,'Task Master'!$A$5:$A$804,0))="executing","Open in CSSP",""),"Not in latest raw"))</x:f>
      </x:c>
      <x:c r="L29" s="100"/>
    </x:row>
    <x:row r="30">
      <x:c r="A30" s="99"/>
      <x:c r="B30" s="97"/>
      <x:c r="C30" s="97"/>
      <x:c r="D30" s="97"/>
      <x:c r="E30" s="100"/>
      <x:c r="F30" s="100"/>
      <x:c r="G30" s="100"/>
      <x:c r="H30" s="100"/>
      <x:c r="I30" s="100"/>
      <x:c r="J30" s="103"/>
      <x:c r="K30" s="101" t="str">
        <x:f>IF(B30="","",IFERROR(IF(INDEX('Task Master'!$C$5:$C$804,MATCH(B30,'Task Master'!$A$5:$A$804,0))="executing","Open in CSSP",""),"Not in latest raw"))</x:f>
      </x:c>
      <x:c r="L30" s="100"/>
    </x:row>
    <x:row r="31">
      <x:c r="A31" s="99"/>
      <x:c r="B31" s="97"/>
      <x:c r="C31" s="97"/>
      <x:c r="D31" s="97"/>
      <x:c r="E31" s="100"/>
      <x:c r="F31" s="100"/>
      <x:c r="G31" s="100"/>
      <x:c r="H31" s="100"/>
      <x:c r="I31" s="100"/>
      <x:c r="J31" s="103"/>
      <x:c r="K31" s="101" t="str">
        <x:f>IF(B31="","",IFERROR(IF(INDEX('Task Master'!$C$5:$C$804,MATCH(B31,'Task Master'!$A$5:$A$804,0))="executing","Open in CSSP",""),"Not in latest raw"))</x:f>
      </x:c>
      <x:c r="L31" s="100"/>
    </x:row>
    <x:row r="32">
      <x:c r="A32" s="99"/>
      <x:c r="B32" s="97"/>
      <x:c r="C32" s="97"/>
      <x:c r="D32" s="97"/>
      <x:c r="E32" s="100"/>
      <x:c r="F32" s="100"/>
      <x:c r="G32" s="100"/>
      <x:c r="H32" s="100"/>
      <x:c r="I32" s="100"/>
      <x:c r="J32" s="103"/>
      <x:c r="K32" s="101" t="str">
        <x:f>IF(B32="","",IFERROR(IF(INDEX('Task Master'!$C$5:$C$804,MATCH(B32,'Task Master'!$A$5:$A$804,0))="executing","Open in CSSP",""),"Not in latest raw"))</x:f>
      </x:c>
      <x:c r="L32" s="100"/>
    </x:row>
    <x:row r="33">
      <x:c r="A33" s="99"/>
      <x:c r="B33" s="97"/>
      <x:c r="C33" s="97"/>
      <x:c r="D33" s="97"/>
      <x:c r="E33" s="100"/>
      <x:c r="F33" s="100"/>
      <x:c r="G33" s="100"/>
      <x:c r="H33" s="100"/>
      <x:c r="I33" s="100"/>
      <x:c r="J33" s="103"/>
      <x:c r="K33" s="101" t="str">
        <x:f>IF(B33="","",IFERROR(IF(INDEX('Task Master'!$C$5:$C$804,MATCH(B33,'Task Master'!$A$5:$A$804,0))="executing","Open in CSSP",""),"Not in latest raw"))</x:f>
      </x:c>
      <x:c r="L33" s="100"/>
    </x:row>
    <x:row r="34">
      <x:c r="A34" s="99"/>
      <x:c r="B34" s="97"/>
      <x:c r="C34" s="97"/>
      <x:c r="D34" s="97"/>
      <x:c r="E34" s="100"/>
      <x:c r="F34" s="100"/>
      <x:c r="G34" s="100"/>
      <x:c r="H34" s="100"/>
      <x:c r="I34" s="100"/>
      <x:c r="J34" s="103"/>
      <x:c r="K34" s="101" t="str">
        <x:f>IF(B34="","",IFERROR(IF(INDEX('Task Master'!$C$5:$C$804,MATCH(B34,'Task Master'!$A$5:$A$804,0))="executing","Open in CSSP",""),"Not in latest raw"))</x:f>
      </x:c>
      <x:c r="L34" s="100"/>
    </x:row>
    <x:row r="35">
      <x:c r="A35" s="99"/>
      <x:c r="B35" s="97"/>
      <x:c r="C35" s="97"/>
      <x:c r="D35" s="97"/>
      <x:c r="E35" s="100"/>
      <x:c r="F35" s="100"/>
      <x:c r="G35" s="100"/>
      <x:c r="H35" s="100"/>
      <x:c r="I35" s="100"/>
      <x:c r="J35" s="103"/>
      <x:c r="K35" s="101" t="str">
        <x:f>IF(B35="","",IFERROR(IF(INDEX('Task Master'!$C$5:$C$804,MATCH(B35,'Task Master'!$A$5:$A$804,0))="executing","Open in CSSP",""),"Not in latest raw"))</x:f>
      </x:c>
      <x:c r="L35" s="100"/>
    </x:row>
    <x:row r="36">
      <x:c r="A36" s="99"/>
      <x:c r="B36" s="97"/>
      <x:c r="C36" s="97"/>
      <x:c r="D36" s="97"/>
      <x:c r="E36" s="100"/>
      <x:c r="F36" s="100"/>
      <x:c r="G36" s="100"/>
      <x:c r="H36" s="100"/>
      <x:c r="I36" s="100"/>
      <x:c r="J36" s="103"/>
      <x:c r="K36" s="101" t="str">
        <x:f>IF(B36="","",IFERROR(IF(INDEX('Task Master'!$C$5:$C$804,MATCH(B36,'Task Master'!$A$5:$A$804,0))="executing","Open in CSSP",""),"Not in latest raw"))</x:f>
      </x:c>
      <x:c r="L36" s="100"/>
    </x:row>
    <x:row r="37">
      <x:c r="A37" s="99"/>
      <x:c r="B37" s="97"/>
      <x:c r="C37" s="97"/>
      <x:c r="D37" s="97"/>
      <x:c r="E37" s="100"/>
      <x:c r="F37" s="100"/>
      <x:c r="G37" s="100"/>
      <x:c r="H37" s="100"/>
      <x:c r="I37" s="100"/>
      <x:c r="J37" s="103"/>
      <x:c r="K37" s="101" t="str">
        <x:f>IF(B37="","",IFERROR(IF(INDEX('Task Master'!$C$5:$C$804,MATCH(B37,'Task Master'!$A$5:$A$804,0))="executing","Open in CSSP",""),"Not in latest raw"))</x:f>
      </x:c>
      <x:c r="L37" s="100"/>
    </x:row>
    <x:row r="38">
      <x:c r="A38" s="99"/>
      <x:c r="B38" s="97"/>
      <x:c r="C38" s="97"/>
      <x:c r="D38" s="97"/>
      <x:c r="E38" s="100"/>
      <x:c r="F38" s="100"/>
      <x:c r="G38" s="100"/>
      <x:c r="H38" s="100"/>
      <x:c r="I38" s="100"/>
      <x:c r="J38" s="103"/>
      <x:c r="K38" s="101" t="str">
        <x:f>IF(B38="","",IFERROR(IF(INDEX('Task Master'!$C$5:$C$804,MATCH(B38,'Task Master'!$A$5:$A$804,0))="executing","Open in CSSP",""),"Not in latest raw"))</x:f>
      </x:c>
      <x:c r="L38" s="100"/>
    </x:row>
    <x:row r="39">
      <x:c r="A39" s="99"/>
      <x:c r="B39" s="97"/>
      <x:c r="C39" s="97"/>
      <x:c r="D39" s="97"/>
      <x:c r="E39" s="100"/>
      <x:c r="F39" s="100"/>
      <x:c r="G39" s="100"/>
      <x:c r="H39" s="100"/>
      <x:c r="I39" s="100"/>
      <x:c r="J39" s="103"/>
      <x:c r="K39" s="101" t="str">
        <x:f>IF(B39="","",IFERROR(IF(INDEX('Task Master'!$C$5:$C$804,MATCH(B39,'Task Master'!$A$5:$A$804,0))="executing","Open in CSSP",""),"Not in latest raw"))</x:f>
      </x:c>
      <x:c r="L39" s="100"/>
    </x:row>
    <x:row r="40">
      <x:c r="A40" s="99"/>
      <x:c r="B40" s="97"/>
      <x:c r="C40" s="97"/>
      <x:c r="D40" s="97"/>
      <x:c r="E40" s="100"/>
      <x:c r="F40" s="100"/>
      <x:c r="G40" s="100"/>
      <x:c r="H40" s="100"/>
      <x:c r="I40" s="100"/>
      <x:c r="J40" s="103"/>
      <x:c r="K40" s="101" t="str">
        <x:f>IF(B40="","",IFERROR(IF(INDEX('Task Master'!$C$5:$C$804,MATCH(B40,'Task Master'!$A$5:$A$804,0))="executing","Open in CSSP",""),"Not in latest raw"))</x:f>
      </x:c>
      <x:c r="L40" s="100"/>
    </x:row>
    <x:row r="41">
      <x:c r="A41" s="99"/>
      <x:c r="B41" s="97"/>
      <x:c r="C41" s="97"/>
      <x:c r="D41" s="97"/>
      <x:c r="E41" s="100"/>
      <x:c r="F41" s="100"/>
      <x:c r="G41" s="100"/>
      <x:c r="H41" s="100"/>
      <x:c r="I41" s="100"/>
      <x:c r="J41" s="103"/>
      <x:c r="K41" s="101" t="str">
        <x:f>IF(B41="","",IFERROR(IF(INDEX('Task Master'!$C$5:$C$804,MATCH(B41,'Task Master'!$A$5:$A$804,0))="executing","Open in CSSP",""),"Not in latest raw"))</x:f>
      </x:c>
      <x:c r="L41" s="100"/>
    </x:row>
    <x:row r="42">
      <x:c r="A42" s="99"/>
      <x:c r="B42" s="97"/>
      <x:c r="C42" s="97"/>
      <x:c r="D42" s="97"/>
      <x:c r="E42" s="100"/>
      <x:c r="F42" s="100"/>
      <x:c r="G42" s="100"/>
      <x:c r="H42" s="100"/>
      <x:c r="I42" s="100"/>
      <x:c r="J42" s="103"/>
      <x:c r="K42" s="101" t="str">
        <x:f>IF(B42="","",IFERROR(IF(INDEX('Task Master'!$C$5:$C$804,MATCH(B42,'Task Master'!$A$5:$A$804,0))="executing","Open in CSSP",""),"Not in latest raw"))</x:f>
      </x:c>
      <x:c r="L42" s="100"/>
    </x:row>
    <x:row r="43">
      <x:c r="A43" s="99"/>
      <x:c r="B43" s="97"/>
      <x:c r="C43" s="97"/>
      <x:c r="D43" s="97"/>
      <x:c r="E43" s="100"/>
      <x:c r="F43" s="100"/>
      <x:c r="G43" s="100"/>
      <x:c r="H43" s="100"/>
      <x:c r="I43" s="100"/>
      <x:c r="J43" s="103"/>
      <x:c r="K43" s="101" t="str">
        <x:f>IF(B43="","",IFERROR(IF(INDEX('Task Master'!$C$5:$C$804,MATCH(B43,'Task Master'!$A$5:$A$804,0))="executing","Open in CSSP",""),"Not in latest raw"))</x:f>
      </x:c>
      <x:c r="L43" s="100"/>
    </x:row>
    <x:row r="44">
      <x:c r="A44" s="99"/>
      <x:c r="B44" s="97"/>
      <x:c r="C44" s="97"/>
      <x:c r="D44" s="97"/>
      <x:c r="E44" s="100"/>
      <x:c r="F44" s="100"/>
      <x:c r="G44" s="100"/>
      <x:c r="H44" s="100"/>
      <x:c r="I44" s="100"/>
      <x:c r="J44" s="103"/>
      <x:c r="K44" s="101" t="str">
        <x:f>IF(B44="","",IFERROR(IF(INDEX('Task Master'!$C$5:$C$804,MATCH(B44,'Task Master'!$A$5:$A$804,0))="executing","Open in CSSP",""),"Not in latest raw"))</x:f>
      </x:c>
      <x:c r="L44" s="100"/>
    </x:row>
    <x:row r="45">
      <x:c r="A45" s="99"/>
      <x:c r="B45" s="97"/>
      <x:c r="C45" s="97"/>
      <x:c r="D45" s="97"/>
      <x:c r="E45" s="100"/>
      <x:c r="F45" s="100"/>
      <x:c r="G45" s="100"/>
      <x:c r="H45" s="100"/>
      <x:c r="I45" s="100"/>
      <x:c r="J45" s="103"/>
      <x:c r="K45" s="101" t="str">
        <x:f>IF(B45="","",IFERROR(IF(INDEX('Task Master'!$C$5:$C$804,MATCH(B45,'Task Master'!$A$5:$A$804,0))="executing","Open in CSSP",""),"Not in latest raw"))</x:f>
      </x:c>
      <x:c r="L45" s="100"/>
    </x:row>
    <x:row r="46">
      <x:c r="A46" s="99"/>
      <x:c r="B46" s="97"/>
      <x:c r="C46" s="97"/>
      <x:c r="D46" s="97"/>
      <x:c r="E46" s="100"/>
      <x:c r="F46" s="100"/>
      <x:c r="G46" s="100"/>
      <x:c r="H46" s="100"/>
      <x:c r="I46" s="100"/>
      <x:c r="J46" s="103"/>
      <x:c r="K46" s="101" t="str">
        <x:f>IF(B46="","",IFERROR(IF(INDEX('Task Master'!$C$5:$C$804,MATCH(B46,'Task Master'!$A$5:$A$804,0))="executing","Open in CSSP",""),"Not in latest raw"))</x:f>
      </x:c>
      <x:c r="L46" s="100"/>
    </x:row>
    <x:row r="47">
      <x:c r="A47" s="99"/>
      <x:c r="B47" s="97"/>
      <x:c r="C47" s="97"/>
      <x:c r="D47" s="97"/>
      <x:c r="E47" s="100"/>
      <x:c r="F47" s="100"/>
      <x:c r="G47" s="100"/>
      <x:c r="H47" s="100"/>
      <x:c r="I47" s="100"/>
      <x:c r="J47" s="103"/>
      <x:c r="K47" s="101" t="str">
        <x:f>IF(B47="","",IFERROR(IF(INDEX('Task Master'!$C$5:$C$804,MATCH(B47,'Task Master'!$A$5:$A$804,0))="executing","Open in CSSP",""),"Not in latest raw"))</x:f>
      </x:c>
      <x:c r="L47" s="100"/>
    </x:row>
    <x:row r="48">
      <x:c r="A48" s="99"/>
      <x:c r="B48" s="97"/>
      <x:c r="C48" s="97"/>
      <x:c r="D48" s="97"/>
      <x:c r="E48" s="100"/>
      <x:c r="F48" s="100"/>
      <x:c r="G48" s="100"/>
      <x:c r="H48" s="100"/>
      <x:c r="I48" s="100"/>
      <x:c r="J48" s="103"/>
      <x:c r="K48" s="101" t="str">
        <x:f>IF(B48="","",IFERROR(IF(INDEX('Task Master'!$C$5:$C$804,MATCH(B48,'Task Master'!$A$5:$A$804,0))="executing","Open in CSSP",""),"Not in latest raw"))</x:f>
      </x:c>
      <x:c r="L48" s="100"/>
    </x:row>
    <x:row r="49">
      <x:c r="A49" s="99"/>
      <x:c r="B49" s="97"/>
      <x:c r="C49" s="97"/>
      <x:c r="D49" s="97"/>
      <x:c r="E49" s="100"/>
      <x:c r="F49" s="100"/>
      <x:c r="G49" s="100"/>
      <x:c r="H49" s="100"/>
      <x:c r="I49" s="100"/>
      <x:c r="J49" s="103"/>
      <x:c r="K49" s="101" t="str">
        <x:f>IF(B49="","",IFERROR(IF(INDEX('Task Master'!$C$5:$C$804,MATCH(B49,'Task Master'!$A$5:$A$804,0))="executing","Open in CSSP",""),"Not in latest raw"))</x:f>
      </x:c>
      <x:c r="L49" s="100"/>
    </x:row>
    <x:row r="50">
      <x:c r="A50" s="99"/>
      <x:c r="B50" s="97"/>
      <x:c r="C50" s="97"/>
      <x:c r="D50" s="97"/>
      <x:c r="E50" s="100"/>
      <x:c r="F50" s="100"/>
      <x:c r="G50" s="100"/>
      <x:c r="H50" s="100"/>
      <x:c r="I50" s="100"/>
      <x:c r="J50" s="103"/>
      <x:c r="K50" s="101" t="str">
        <x:f>IF(B50="","",IFERROR(IF(INDEX('Task Master'!$C$5:$C$804,MATCH(B50,'Task Master'!$A$5:$A$804,0))="executing","Open in CSSP",""),"Not in latest raw"))</x:f>
      </x:c>
      <x:c r="L50" s="100"/>
    </x:row>
    <x:row r="51">
      <x:c r="A51" s="99"/>
      <x:c r="B51" s="97"/>
      <x:c r="C51" s="97"/>
      <x:c r="D51" s="97"/>
      <x:c r="E51" s="100"/>
      <x:c r="F51" s="100"/>
      <x:c r="G51" s="100"/>
      <x:c r="H51" s="100"/>
      <x:c r="I51" s="100"/>
      <x:c r="J51" s="103"/>
      <x:c r="K51" s="101" t="str">
        <x:f>IF(B51="","",IFERROR(IF(INDEX('Task Master'!$C$5:$C$804,MATCH(B51,'Task Master'!$A$5:$A$804,0))="executing","Open in CSSP",""),"Not in latest raw"))</x:f>
      </x:c>
      <x:c r="L51" s="100"/>
    </x:row>
    <x:row r="52">
      <x:c r="A52" s="99"/>
      <x:c r="B52" s="97"/>
      <x:c r="C52" s="97"/>
      <x:c r="D52" s="97"/>
      <x:c r="E52" s="100"/>
      <x:c r="F52" s="100"/>
      <x:c r="G52" s="100"/>
      <x:c r="H52" s="100"/>
      <x:c r="I52" s="100"/>
      <x:c r="J52" s="103"/>
      <x:c r="K52" s="101" t="str">
        <x:f>IF(B52="","",IFERROR(IF(INDEX('Task Master'!$C$5:$C$804,MATCH(B52,'Task Master'!$A$5:$A$804,0))="executing","Open in CSSP",""),"Not in latest raw"))</x:f>
      </x:c>
      <x:c r="L52" s="100"/>
    </x:row>
    <x:row r="53">
      <x:c r="A53" s="99"/>
      <x:c r="B53" s="97"/>
      <x:c r="C53" s="97"/>
      <x:c r="D53" s="97"/>
      <x:c r="E53" s="100"/>
      <x:c r="F53" s="100"/>
      <x:c r="G53" s="100"/>
      <x:c r="H53" s="100"/>
      <x:c r="I53" s="100"/>
      <x:c r="J53" s="103"/>
      <x:c r="K53" s="101" t="str">
        <x:f>IF(B53="","",IFERROR(IF(INDEX('Task Master'!$C$5:$C$804,MATCH(B53,'Task Master'!$A$5:$A$804,0))="executing","Open in CSSP",""),"Not in latest raw"))</x:f>
      </x:c>
      <x:c r="L53" s="100"/>
    </x:row>
    <x:row r="54">
      <x:c r="A54" s="99"/>
      <x:c r="B54" s="97"/>
      <x:c r="C54" s="97"/>
      <x:c r="D54" s="97"/>
      <x:c r="E54" s="100"/>
      <x:c r="F54" s="100"/>
      <x:c r="G54" s="100"/>
      <x:c r="H54" s="100"/>
      <x:c r="I54" s="100"/>
      <x:c r="J54" s="103"/>
      <x:c r="K54" s="101" t="str">
        <x:f>IF(B54="","",IFERROR(IF(INDEX('Task Master'!$C$5:$C$804,MATCH(B54,'Task Master'!$A$5:$A$804,0))="executing","Open in CSSP",""),"Not in latest raw"))</x:f>
      </x:c>
      <x:c r="L54" s="100"/>
    </x:row>
    <x:row r="55">
      <x:c r="A55" s="99"/>
      <x:c r="B55" s="97"/>
      <x:c r="C55" s="97"/>
      <x:c r="D55" s="97"/>
      <x:c r="E55" s="100"/>
      <x:c r="F55" s="100"/>
      <x:c r="G55" s="100"/>
      <x:c r="H55" s="100"/>
      <x:c r="I55" s="100"/>
      <x:c r="J55" s="103"/>
      <x:c r="K55" s="101" t="str">
        <x:f>IF(B55="","",IFERROR(IF(INDEX('Task Master'!$C$5:$C$804,MATCH(B55,'Task Master'!$A$5:$A$804,0))="executing","Open in CSSP",""),"Not in latest raw"))</x:f>
      </x:c>
      <x:c r="L55" s="100"/>
    </x:row>
    <x:row r="56">
      <x:c r="A56" s="99"/>
      <x:c r="B56" s="97"/>
      <x:c r="C56" s="97"/>
      <x:c r="D56" s="97"/>
      <x:c r="E56" s="100"/>
      <x:c r="F56" s="100"/>
      <x:c r="G56" s="100"/>
      <x:c r="H56" s="100"/>
      <x:c r="I56" s="100"/>
      <x:c r="J56" s="103"/>
      <x:c r="K56" s="101" t="str">
        <x:f>IF(B56="","",IFERROR(IF(INDEX('Task Master'!$C$5:$C$804,MATCH(B56,'Task Master'!$A$5:$A$804,0))="executing","Open in CSSP",""),"Not in latest raw"))</x:f>
      </x:c>
      <x:c r="L56" s="100"/>
    </x:row>
    <x:row r="57">
      <x:c r="A57" s="99"/>
      <x:c r="B57" s="97"/>
      <x:c r="C57" s="97"/>
      <x:c r="D57" s="97"/>
      <x:c r="E57" s="100"/>
      <x:c r="F57" s="100"/>
      <x:c r="G57" s="100"/>
      <x:c r="H57" s="100"/>
      <x:c r="I57" s="100"/>
      <x:c r="J57" s="103"/>
      <x:c r="K57" s="101" t="str">
        <x:f>IF(B57="","",IFERROR(IF(INDEX('Task Master'!$C$5:$C$804,MATCH(B57,'Task Master'!$A$5:$A$804,0))="executing","Open in CSSP",""),"Not in latest raw"))</x:f>
      </x:c>
      <x:c r="L57" s="100"/>
    </x:row>
    <x:row r="58">
      <x:c r="A58" s="99"/>
      <x:c r="B58" s="97"/>
      <x:c r="C58" s="97"/>
      <x:c r="D58" s="97"/>
      <x:c r="E58" s="100"/>
      <x:c r="F58" s="100"/>
      <x:c r="G58" s="100"/>
      <x:c r="H58" s="100"/>
      <x:c r="I58" s="100"/>
      <x:c r="J58" s="103"/>
      <x:c r="K58" s="101" t="str">
        <x:f>IF(B58="","",IFERROR(IF(INDEX('Task Master'!$C$5:$C$804,MATCH(B58,'Task Master'!$A$5:$A$804,0))="executing","Open in CSSP",""),"Not in latest raw"))</x:f>
      </x:c>
      <x:c r="L58" s="100"/>
    </x:row>
    <x:row r="59">
      <x:c r="A59" s="99"/>
      <x:c r="B59" s="97"/>
      <x:c r="C59" s="97"/>
      <x:c r="D59" s="97"/>
      <x:c r="E59" s="100"/>
      <x:c r="F59" s="100"/>
      <x:c r="G59" s="100"/>
      <x:c r="H59" s="100"/>
      <x:c r="I59" s="100"/>
      <x:c r="J59" s="103"/>
      <x:c r="K59" s="101" t="str">
        <x:f>IF(B59="","",IFERROR(IF(INDEX('Task Master'!$C$5:$C$804,MATCH(B59,'Task Master'!$A$5:$A$804,0))="executing","Open in CSSP",""),"Not in latest raw"))</x:f>
      </x:c>
      <x:c r="L59" s="100"/>
    </x:row>
    <x:row r="60">
      <x:c r="A60" s="99"/>
      <x:c r="B60" s="97"/>
      <x:c r="C60" s="97"/>
      <x:c r="D60" s="97"/>
      <x:c r="E60" s="100"/>
      <x:c r="F60" s="100"/>
      <x:c r="G60" s="100"/>
      <x:c r="H60" s="100"/>
      <x:c r="I60" s="100"/>
      <x:c r="J60" s="103"/>
      <x:c r="K60" s="101" t="str">
        <x:f>IF(B60="","",IFERROR(IF(INDEX('Task Master'!$C$5:$C$804,MATCH(B60,'Task Master'!$A$5:$A$804,0))="executing","Open in CSSP",""),"Not in latest raw"))</x:f>
      </x:c>
      <x:c r="L60" s="100"/>
    </x:row>
    <x:row r="61">
      <x:c r="A61" s="99"/>
      <x:c r="B61" s="97"/>
      <x:c r="C61" s="97"/>
      <x:c r="D61" s="97"/>
      <x:c r="E61" s="100"/>
      <x:c r="F61" s="100"/>
      <x:c r="G61" s="100"/>
      <x:c r="H61" s="100"/>
      <x:c r="I61" s="100"/>
      <x:c r="J61" s="103"/>
      <x:c r="K61" s="101" t="str">
        <x:f>IF(B61="","",IFERROR(IF(INDEX('Task Master'!$C$5:$C$804,MATCH(B61,'Task Master'!$A$5:$A$804,0))="executing","Open in CSSP",""),"Not in latest raw"))</x:f>
      </x:c>
      <x:c r="L61" s="100"/>
    </x:row>
    <x:row r="62">
      <x:c r="A62" s="99"/>
      <x:c r="B62" s="97"/>
      <x:c r="C62" s="97"/>
      <x:c r="D62" s="97"/>
      <x:c r="E62" s="100"/>
      <x:c r="F62" s="100"/>
      <x:c r="G62" s="100"/>
      <x:c r="H62" s="100"/>
      <x:c r="I62" s="100"/>
      <x:c r="J62" s="103"/>
      <x:c r="K62" s="101" t="str">
        <x:f>IF(B62="","",IFERROR(IF(INDEX('Task Master'!$C$5:$C$804,MATCH(B62,'Task Master'!$A$5:$A$804,0))="executing","Open in CSSP",""),"Not in latest raw"))</x:f>
      </x:c>
      <x:c r="L62" s="100"/>
    </x:row>
    <x:row r="63">
      <x:c r="A63" s="99"/>
      <x:c r="B63" s="97"/>
      <x:c r="C63" s="97"/>
      <x:c r="D63" s="97"/>
      <x:c r="E63" s="100"/>
      <x:c r="F63" s="100"/>
      <x:c r="G63" s="100"/>
      <x:c r="H63" s="100"/>
      <x:c r="I63" s="100"/>
      <x:c r="J63" s="103"/>
      <x:c r="K63" s="101" t="str">
        <x:f>IF(B63="","",IFERROR(IF(INDEX('Task Master'!$C$5:$C$804,MATCH(B63,'Task Master'!$A$5:$A$804,0))="executing","Open in CSSP",""),"Not in latest raw"))</x:f>
      </x:c>
      <x:c r="L63" s="100"/>
    </x:row>
    <x:row r="64">
      <x:c r="A64" s="99"/>
      <x:c r="B64" s="97"/>
      <x:c r="C64" s="97"/>
      <x:c r="D64" s="97"/>
      <x:c r="E64" s="100"/>
      <x:c r="F64" s="100"/>
      <x:c r="G64" s="100"/>
      <x:c r="H64" s="100"/>
      <x:c r="I64" s="100"/>
      <x:c r="J64" s="103"/>
      <x:c r="K64" s="101" t="str">
        <x:f>IF(B64="","",IFERROR(IF(INDEX('Task Master'!$C$5:$C$804,MATCH(B64,'Task Master'!$A$5:$A$804,0))="executing","Open in CSSP",""),"Not in latest raw"))</x:f>
      </x:c>
      <x:c r="L64" s="100"/>
    </x:row>
    <x:row r="65">
      <x:c r="A65" s="99"/>
      <x:c r="B65" s="97"/>
      <x:c r="C65" s="97"/>
      <x:c r="D65" s="97"/>
      <x:c r="E65" s="100"/>
      <x:c r="F65" s="100"/>
      <x:c r="G65" s="100"/>
      <x:c r="H65" s="100"/>
      <x:c r="I65" s="100"/>
      <x:c r="J65" s="103"/>
      <x:c r="K65" s="101" t="str">
        <x:f>IF(B65="","",IFERROR(IF(INDEX('Task Master'!$C$5:$C$804,MATCH(B65,'Task Master'!$A$5:$A$804,0))="executing","Open in CSSP",""),"Not in latest raw"))</x:f>
      </x:c>
      <x:c r="L65" s="100"/>
    </x:row>
    <x:row r="66">
      <x:c r="A66" s="99"/>
      <x:c r="B66" s="97"/>
      <x:c r="C66" s="97"/>
      <x:c r="D66" s="97"/>
      <x:c r="E66" s="100"/>
      <x:c r="F66" s="100"/>
      <x:c r="G66" s="100"/>
      <x:c r="H66" s="100"/>
      <x:c r="I66" s="100"/>
      <x:c r="J66" s="103"/>
      <x:c r="K66" s="101" t="str">
        <x:f>IF(B66="","",IFERROR(IF(INDEX('Task Master'!$C$5:$C$804,MATCH(B66,'Task Master'!$A$5:$A$804,0))="executing","Open in CSSP",""),"Not in latest raw"))</x:f>
      </x:c>
      <x:c r="L66" s="100"/>
    </x:row>
    <x:row r="67">
      <x:c r="A67" s="99"/>
      <x:c r="B67" s="97"/>
      <x:c r="C67" s="97"/>
      <x:c r="D67" s="97"/>
      <x:c r="E67" s="100"/>
      <x:c r="F67" s="100"/>
      <x:c r="G67" s="100"/>
      <x:c r="H67" s="100"/>
      <x:c r="I67" s="100"/>
      <x:c r="J67" s="103"/>
      <x:c r="K67" s="101" t="str">
        <x:f>IF(B67="","",IFERROR(IF(INDEX('Task Master'!$C$5:$C$804,MATCH(B67,'Task Master'!$A$5:$A$804,0))="executing","Open in CSSP",""),"Not in latest raw"))</x:f>
      </x:c>
      <x:c r="L67" s="100"/>
    </x:row>
    <x:row r="68">
      <x:c r="A68" s="99"/>
      <x:c r="B68" s="97"/>
      <x:c r="C68" s="97"/>
      <x:c r="D68" s="97"/>
      <x:c r="E68" s="100"/>
      <x:c r="F68" s="100"/>
      <x:c r="G68" s="100"/>
      <x:c r="H68" s="100"/>
      <x:c r="I68" s="100"/>
      <x:c r="J68" s="103"/>
      <x:c r="K68" s="101" t="str">
        <x:f>IF(B68="","",IFERROR(IF(INDEX('Task Master'!$C$5:$C$804,MATCH(B68,'Task Master'!$A$5:$A$804,0))="executing","Open in CSSP",""),"Not in latest raw"))</x:f>
      </x:c>
      <x:c r="L68" s="100"/>
    </x:row>
    <x:row r="69">
      <x:c r="A69" s="99"/>
      <x:c r="B69" s="97"/>
      <x:c r="C69" s="97"/>
      <x:c r="D69" s="97"/>
      <x:c r="E69" s="100"/>
      <x:c r="F69" s="100"/>
      <x:c r="G69" s="100"/>
      <x:c r="H69" s="100"/>
      <x:c r="I69" s="100"/>
      <x:c r="J69" s="103"/>
      <x:c r="K69" s="101" t="str">
        <x:f>IF(B69="","",IFERROR(IF(INDEX('Task Master'!$C$5:$C$804,MATCH(B69,'Task Master'!$A$5:$A$804,0))="executing","Open in CSSP",""),"Not in latest raw"))</x:f>
      </x:c>
      <x:c r="L69" s="100"/>
    </x:row>
    <x:row r="70">
      <x:c r="A70" s="99"/>
      <x:c r="B70" s="97"/>
      <x:c r="C70" s="97"/>
      <x:c r="D70" s="97"/>
      <x:c r="E70" s="100"/>
      <x:c r="F70" s="100"/>
      <x:c r="G70" s="100"/>
      <x:c r="H70" s="100"/>
      <x:c r="I70" s="100"/>
      <x:c r="J70" s="103"/>
      <x:c r="K70" s="101" t="str">
        <x:f>IF(B70="","",IFERROR(IF(INDEX('Task Master'!$C$5:$C$804,MATCH(B70,'Task Master'!$A$5:$A$804,0))="executing","Open in CSSP",""),"Not in latest raw"))</x:f>
      </x:c>
      <x:c r="L70" s="100"/>
    </x:row>
    <x:row r="71">
      <x:c r="A71" s="99"/>
      <x:c r="B71" s="97"/>
      <x:c r="C71" s="97"/>
      <x:c r="D71" s="97"/>
      <x:c r="E71" s="100"/>
      <x:c r="F71" s="100"/>
      <x:c r="G71" s="100"/>
      <x:c r="H71" s="100"/>
      <x:c r="I71" s="100"/>
      <x:c r="J71" s="103"/>
      <x:c r="K71" s="101" t="str">
        <x:f>IF(B71="","",IFERROR(IF(INDEX('Task Master'!$C$5:$C$804,MATCH(B71,'Task Master'!$A$5:$A$804,0))="executing","Open in CSSP",""),"Not in latest raw"))</x:f>
      </x:c>
      <x:c r="L71" s="100"/>
    </x:row>
    <x:row r="72">
      <x:c r="A72" s="99"/>
      <x:c r="B72" s="97"/>
      <x:c r="C72" s="97"/>
      <x:c r="D72" s="97"/>
      <x:c r="E72" s="100"/>
      <x:c r="F72" s="100"/>
      <x:c r="G72" s="100"/>
      <x:c r="H72" s="100"/>
      <x:c r="I72" s="100"/>
      <x:c r="J72" s="103"/>
      <x:c r="K72" s="101" t="str">
        <x:f>IF(B72="","",IFERROR(IF(INDEX('Task Master'!$C$5:$C$804,MATCH(B72,'Task Master'!$A$5:$A$804,0))="executing","Open in CSSP",""),"Not in latest raw"))</x:f>
      </x:c>
      <x:c r="L72" s="100"/>
    </x:row>
    <x:row r="73">
      <x:c r="A73" s="99"/>
      <x:c r="B73" s="97"/>
      <x:c r="C73" s="97"/>
      <x:c r="D73" s="97"/>
      <x:c r="E73" s="100"/>
      <x:c r="F73" s="100"/>
      <x:c r="G73" s="100"/>
      <x:c r="H73" s="100"/>
      <x:c r="I73" s="100"/>
      <x:c r="J73" s="103"/>
      <x:c r="K73" s="101" t="str">
        <x:f>IF(B73="","",IFERROR(IF(INDEX('Task Master'!$C$5:$C$804,MATCH(B73,'Task Master'!$A$5:$A$804,0))="executing","Open in CSSP",""),"Not in latest raw"))</x:f>
      </x:c>
      <x:c r="L73" s="100"/>
    </x:row>
    <x:row r="74">
      <x:c r="A74" s="99"/>
      <x:c r="B74" s="97"/>
      <x:c r="C74" s="97"/>
      <x:c r="D74" s="97"/>
      <x:c r="E74" s="100"/>
      <x:c r="F74" s="100"/>
      <x:c r="G74" s="100"/>
      <x:c r="H74" s="100"/>
      <x:c r="I74" s="100"/>
      <x:c r="J74" s="103"/>
      <x:c r="K74" s="101" t="str">
        <x:f>IF(B74="","",IFERROR(IF(INDEX('Task Master'!$C$5:$C$804,MATCH(B74,'Task Master'!$A$5:$A$804,0))="executing","Open in CSSP",""),"Not in latest raw"))</x:f>
      </x:c>
      <x:c r="L74" s="100"/>
    </x:row>
    <x:row r="75">
      <x:c r="A75" s="99"/>
      <x:c r="B75" s="97"/>
      <x:c r="C75" s="97"/>
      <x:c r="D75" s="97"/>
      <x:c r="E75" s="100"/>
      <x:c r="F75" s="100"/>
      <x:c r="G75" s="100"/>
      <x:c r="H75" s="100"/>
      <x:c r="I75" s="100"/>
      <x:c r="J75" s="103"/>
      <x:c r="K75" s="101" t="str">
        <x:f>IF(B75="","",IFERROR(IF(INDEX('Task Master'!$C$5:$C$804,MATCH(B75,'Task Master'!$A$5:$A$804,0))="executing","Open in CSSP",""),"Not in latest raw"))</x:f>
      </x:c>
      <x:c r="L75" s="100"/>
    </x:row>
    <x:row r="76">
      <x:c r="A76" s="99"/>
      <x:c r="B76" s="97"/>
      <x:c r="C76" s="97"/>
      <x:c r="D76" s="97"/>
      <x:c r="E76" s="100"/>
      <x:c r="F76" s="100"/>
      <x:c r="G76" s="100"/>
      <x:c r="H76" s="100"/>
      <x:c r="I76" s="100"/>
      <x:c r="J76" s="103"/>
      <x:c r="K76" s="101" t="str">
        <x:f>IF(B76="","",IFERROR(IF(INDEX('Task Master'!$C$5:$C$804,MATCH(B76,'Task Master'!$A$5:$A$804,0))="executing","Open in CSSP",""),"Not in latest raw"))</x:f>
      </x:c>
      <x:c r="L76" s="100"/>
    </x:row>
    <x:row r="77">
      <x:c r="A77" s="99"/>
      <x:c r="B77" s="97"/>
      <x:c r="C77" s="97"/>
      <x:c r="D77" s="97"/>
      <x:c r="E77" s="100"/>
      <x:c r="F77" s="100"/>
      <x:c r="G77" s="100"/>
      <x:c r="H77" s="100"/>
      <x:c r="I77" s="100"/>
      <x:c r="J77" s="103"/>
      <x:c r="K77" s="101" t="str">
        <x:f>IF(B77="","",IFERROR(IF(INDEX('Task Master'!$C$5:$C$804,MATCH(B77,'Task Master'!$A$5:$A$804,0))="executing","Open in CSSP",""),"Not in latest raw"))</x:f>
      </x:c>
      <x:c r="L77" s="100"/>
    </x:row>
    <x:row r="78">
      <x:c r="A78" s="99"/>
      <x:c r="B78" s="97"/>
      <x:c r="C78" s="97"/>
      <x:c r="D78" s="97"/>
      <x:c r="E78" s="100"/>
      <x:c r="F78" s="100"/>
      <x:c r="G78" s="100"/>
      <x:c r="H78" s="100"/>
      <x:c r="I78" s="100"/>
      <x:c r="J78" s="103"/>
      <x:c r="K78" s="101" t="str">
        <x:f>IF(B78="","",IFERROR(IF(INDEX('Task Master'!$C$5:$C$804,MATCH(B78,'Task Master'!$A$5:$A$804,0))="executing","Open in CSSP",""),"Not in latest raw"))</x:f>
      </x:c>
      <x:c r="L78" s="100"/>
    </x:row>
    <x:row r="79">
      <x:c r="A79" s="99"/>
      <x:c r="B79" s="97"/>
      <x:c r="C79" s="97"/>
      <x:c r="D79" s="97"/>
      <x:c r="E79" s="100"/>
      <x:c r="F79" s="100"/>
      <x:c r="G79" s="100"/>
      <x:c r="H79" s="100"/>
      <x:c r="I79" s="100"/>
      <x:c r="J79" s="103"/>
      <x:c r="K79" s="101" t="str">
        <x:f>IF(B79="","",IFERROR(IF(INDEX('Task Master'!$C$5:$C$804,MATCH(B79,'Task Master'!$A$5:$A$804,0))="executing","Open in CSSP",""),"Not in latest raw"))</x:f>
      </x:c>
      <x:c r="L79" s="100"/>
    </x:row>
    <x:row r="80">
      <x:c r="A80" s="99"/>
      <x:c r="B80" s="97"/>
      <x:c r="C80" s="97"/>
      <x:c r="D80" s="97"/>
      <x:c r="E80" s="100"/>
      <x:c r="F80" s="100"/>
      <x:c r="G80" s="100"/>
      <x:c r="H80" s="100"/>
      <x:c r="I80" s="100"/>
      <x:c r="J80" s="103"/>
      <x:c r="K80" s="101" t="str">
        <x:f>IF(B80="","",IFERROR(IF(INDEX('Task Master'!$C$5:$C$804,MATCH(B80,'Task Master'!$A$5:$A$804,0))="executing","Open in CSSP",""),"Not in latest raw"))</x:f>
      </x:c>
      <x:c r="L80" s="100"/>
    </x:row>
    <x:row r="81">
      <x:c r="A81" s="99"/>
      <x:c r="B81" s="97"/>
      <x:c r="C81" s="97"/>
      <x:c r="D81" s="97"/>
      <x:c r="E81" s="100"/>
      <x:c r="F81" s="100"/>
      <x:c r="G81" s="100"/>
      <x:c r="H81" s="100"/>
      <x:c r="I81" s="100"/>
      <x:c r="J81" s="103"/>
      <x:c r="K81" s="101" t="str">
        <x:f>IF(B81="","",IFERROR(IF(INDEX('Task Master'!$C$5:$C$804,MATCH(B81,'Task Master'!$A$5:$A$804,0))="executing","Open in CSSP",""),"Not in latest raw"))</x:f>
      </x:c>
      <x:c r="L81" s="100"/>
    </x:row>
    <x:row r="82">
      <x:c r="A82" s="99"/>
      <x:c r="B82" s="97"/>
      <x:c r="C82" s="97"/>
      <x:c r="D82" s="97"/>
      <x:c r="E82" s="100"/>
      <x:c r="F82" s="100"/>
      <x:c r="G82" s="100"/>
      <x:c r="H82" s="100"/>
      <x:c r="I82" s="100"/>
      <x:c r="J82" s="103"/>
      <x:c r="K82" s="101" t="str">
        <x:f>IF(B82="","",IFERROR(IF(INDEX('Task Master'!$C$5:$C$804,MATCH(B82,'Task Master'!$A$5:$A$804,0))="executing","Open in CSSP",""),"Not in latest raw"))</x:f>
      </x:c>
      <x:c r="L82" s="100"/>
    </x:row>
    <x:row r="83">
      <x:c r="A83" s="99"/>
      <x:c r="B83" s="97"/>
      <x:c r="C83" s="97"/>
      <x:c r="D83" s="97"/>
      <x:c r="E83" s="100"/>
      <x:c r="F83" s="100"/>
      <x:c r="G83" s="100"/>
      <x:c r="H83" s="100"/>
      <x:c r="I83" s="100"/>
      <x:c r="J83" s="103"/>
      <x:c r="K83" s="101" t="str">
        <x:f>IF(B83="","",IFERROR(IF(INDEX('Task Master'!$C$5:$C$804,MATCH(B83,'Task Master'!$A$5:$A$804,0))="executing","Open in CSSP",""),"Not in latest raw"))</x:f>
      </x:c>
      <x:c r="L83" s="100"/>
    </x:row>
    <x:row r="84">
      <x:c r="A84" s="99"/>
      <x:c r="B84" s="97"/>
      <x:c r="C84" s="97"/>
      <x:c r="D84" s="97"/>
      <x:c r="E84" s="100"/>
      <x:c r="F84" s="100"/>
      <x:c r="G84" s="100"/>
      <x:c r="H84" s="100"/>
      <x:c r="I84" s="100"/>
      <x:c r="J84" s="103"/>
      <x:c r="K84" s="101" t="str">
        <x:f>IF(B84="","",IFERROR(IF(INDEX('Task Master'!$C$5:$C$804,MATCH(B84,'Task Master'!$A$5:$A$804,0))="executing","Open in CSSP",""),"Not in latest raw"))</x:f>
      </x:c>
      <x:c r="L84" s="100"/>
    </x:row>
    <x:row r="85">
      <x:c r="A85" s="99"/>
      <x:c r="B85" s="97"/>
      <x:c r="C85" s="97"/>
      <x:c r="D85" s="97"/>
      <x:c r="E85" s="100"/>
      <x:c r="F85" s="100"/>
      <x:c r="G85" s="100"/>
      <x:c r="H85" s="100"/>
      <x:c r="I85" s="100"/>
      <x:c r="J85" s="103"/>
      <x:c r="K85" s="101" t="str">
        <x:f>IF(B85="","",IFERROR(IF(INDEX('Task Master'!$C$5:$C$804,MATCH(B85,'Task Master'!$A$5:$A$804,0))="executing","Open in CSSP",""),"Not in latest raw"))</x:f>
      </x:c>
      <x:c r="L85" s="100"/>
    </x:row>
    <x:row r="86">
      <x:c r="A86" s="99"/>
      <x:c r="B86" s="97"/>
      <x:c r="C86" s="97"/>
      <x:c r="D86" s="97"/>
      <x:c r="E86" s="100"/>
      <x:c r="F86" s="100"/>
      <x:c r="G86" s="100"/>
      <x:c r="H86" s="100"/>
      <x:c r="I86" s="100"/>
      <x:c r="J86" s="103"/>
      <x:c r="K86" s="101" t="str">
        <x:f>IF(B86="","",IFERROR(IF(INDEX('Task Master'!$C$5:$C$804,MATCH(B86,'Task Master'!$A$5:$A$804,0))="executing","Open in CSSP",""),"Not in latest raw"))</x:f>
      </x:c>
      <x:c r="L86" s="100"/>
    </x:row>
    <x:row r="87">
      <x:c r="A87" s="99"/>
      <x:c r="B87" s="97"/>
      <x:c r="C87" s="97"/>
      <x:c r="D87" s="97"/>
      <x:c r="E87" s="100"/>
      <x:c r="F87" s="100"/>
      <x:c r="G87" s="100"/>
      <x:c r="H87" s="100"/>
      <x:c r="I87" s="100"/>
      <x:c r="J87" s="103"/>
      <x:c r="K87" s="101" t="str">
        <x:f>IF(B87="","",IFERROR(IF(INDEX('Task Master'!$C$5:$C$804,MATCH(B87,'Task Master'!$A$5:$A$804,0))="executing","Open in CSSP",""),"Not in latest raw"))</x:f>
      </x:c>
      <x:c r="L87" s="100"/>
    </x:row>
    <x:row r="88">
      <x:c r="A88" s="99"/>
      <x:c r="B88" s="97"/>
      <x:c r="C88" s="97"/>
      <x:c r="D88" s="97"/>
      <x:c r="E88" s="100"/>
      <x:c r="F88" s="100"/>
      <x:c r="G88" s="100"/>
      <x:c r="H88" s="100"/>
      <x:c r="I88" s="100"/>
      <x:c r="J88" s="103"/>
      <x:c r="K88" s="101" t="str">
        <x:f>IF(B88="","",IFERROR(IF(INDEX('Task Master'!$C$5:$C$804,MATCH(B88,'Task Master'!$A$5:$A$804,0))="executing","Open in CSSP",""),"Not in latest raw"))</x:f>
      </x:c>
      <x:c r="L88" s="100"/>
    </x:row>
    <x:row r="89">
      <x:c r="A89" s="99"/>
      <x:c r="B89" s="97"/>
      <x:c r="C89" s="97"/>
      <x:c r="D89" s="97"/>
      <x:c r="E89" s="100"/>
      <x:c r="F89" s="100"/>
      <x:c r="G89" s="100"/>
      <x:c r="H89" s="100"/>
      <x:c r="I89" s="100"/>
      <x:c r="J89" s="103"/>
      <x:c r="K89" s="101" t="str">
        <x:f>IF(B89="","",IFERROR(IF(INDEX('Task Master'!$C$5:$C$804,MATCH(B89,'Task Master'!$A$5:$A$804,0))="executing","Open in CSSP",""),"Not in latest raw"))</x:f>
      </x:c>
      <x:c r="L89" s="100"/>
    </x:row>
    <x:row r="90">
      <x:c r="A90" s="99"/>
      <x:c r="B90" s="97"/>
      <x:c r="C90" s="97"/>
      <x:c r="D90" s="97"/>
      <x:c r="E90" s="100"/>
      <x:c r="F90" s="100"/>
      <x:c r="G90" s="100"/>
      <x:c r="H90" s="100"/>
      <x:c r="I90" s="100"/>
      <x:c r="J90" s="103"/>
      <x:c r="K90" s="101" t="str">
        <x:f>IF(B90="","",IFERROR(IF(INDEX('Task Master'!$C$5:$C$804,MATCH(B90,'Task Master'!$A$5:$A$804,0))="executing","Open in CSSP",""),"Not in latest raw"))</x:f>
      </x:c>
      <x:c r="L90" s="100"/>
    </x:row>
    <x:row r="91">
      <x:c r="A91" s="99"/>
      <x:c r="B91" s="97"/>
      <x:c r="C91" s="97"/>
      <x:c r="D91" s="97"/>
      <x:c r="E91" s="100"/>
      <x:c r="F91" s="100"/>
      <x:c r="G91" s="100"/>
      <x:c r="H91" s="100"/>
      <x:c r="I91" s="100"/>
      <x:c r="J91" s="103"/>
      <x:c r="K91" s="101" t="str">
        <x:f>IF(B91="","",IFERROR(IF(INDEX('Task Master'!$C$5:$C$804,MATCH(B91,'Task Master'!$A$5:$A$804,0))="executing","Open in CSSP",""),"Not in latest raw"))</x:f>
      </x:c>
      <x:c r="L91" s="100"/>
    </x:row>
    <x:row r="92">
      <x:c r="A92" s="99"/>
      <x:c r="B92" s="97"/>
      <x:c r="C92" s="97"/>
      <x:c r="D92" s="97"/>
      <x:c r="E92" s="100"/>
      <x:c r="F92" s="100"/>
      <x:c r="G92" s="100"/>
      <x:c r="H92" s="100"/>
      <x:c r="I92" s="100"/>
      <x:c r="J92" s="103"/>
      <x:c r="K92" s="101" t="str">
        <x:f>IF(B92="","",IFERROR(IF(INDEX('Task Master'!$C$5:$C$804,MATCH(B92,'Task Master'!$A$5:$A$804,0))="executing","Open in CSSP",""),"Not in latest raw"))</x:f>
      </x:c>
      <x:c r="L92" s="100"/>
    </x:row>
    <x:row r="93">
      <x:c r="A93" s="99"/>
      <x:c r="B93" s="97"/>
      <x:c r="C93" s="97"/>
      <x:c r="D93" s="97"/>
      <x:c r="E93" s="100"/>
      <x:c r="F93" s="100"/>
      <x:c r="G93" s="100"/>
      <x:c r="H93" s="100"/>
      <x:c r="I93" s="100"/>
      <x:c r="J93" s="103"/>
      <x:c r="K93" s="101" t="str">
        <x:f>IF(B93="","",IFERROR(IF(INDEX('Task Master'!$C$5:$C$804,MATCH(B93,'Task Master'!$A$5:$A$804,0))="executing","Open in CSSP",""),"Not in latest raw"))</x:f>
      </x:c>
      <x:c r="L93" s="100"/>
    </x:row>
    <x:row r="94">
      <x:c r="A94" s="99"/>
      <x:c r="B94" s="97"/>
      <x:c r="C94" s="97"/>
      <x:c r="D94" s="97"/>
      <x:c r="E94" s="100"/>
      <x:c r="F94" s="100"/>
      <x:c r="G94" s="100"/>
      <x:c r="H94" s="100"/>
      <x:c r="I94" s="100"/>
      <x:c r="J94" s="103"/>
      <x:c r="K94" s="101" t="str">
        <x:f>IF(B94="","",IFERROR(IF(INDEX('Task Master'!$C$5:$C$804,MATCH(B94,'Task Master'!$A$5:$A$804,0))="executing","Open in CSSP",""),"Not in latest raw"))</x:f>
      </x:c>
      <x:c r="L94" s="100"/>
    </x:row>
    <x:row r="95">
      <x:c r="A95" s="99"/>
      <x:c r="B95" s="97"/>
      <x:c r="C95" s="97"/>
      <x:c r="D95" s="97"/>
      <x:c r="E95" s="100"/>
      <x:c r="F95" s="100"/>
      <x:c r="G95" s="100"/>
      <x:c r="H95" s="100"/>
      <x:c r="I95" s="100"/>
      <x:c r="J95" s="103"/>
      <x:c r="K95" s="101" t="str">
        <x:f>IF(B95="","",IFERROR(IF(INDEX('Task Master'!$C$5:$C$804,MATCH(B95,'Task Master'!$A$5:$A$804,0))="executing","Open in CSSP",""),"Not in latest raw"))</x:f>
      </x:c>
      <x:c r="L95" s="100"/>
    </x:row>
    <x:row r="96">
      <x:c r="A96" s="99"/>
      <x:c r="B96" s="97"/>
      <x:c r="C96" s="97"/>
      <x:c r="D96" s="97"/>
      <x:c r="E96" s="100"/>
      <x:c r="F96" s="100"/>
      <x:c r="G96" s="100"/>
      <x:c r="H96" s="100"/>
      <x:c r="I96" s="100"/>
      <x:c r="J96" s="103"/>
      <x:c r="K96" s="101" t="str">
        <x:f>IF(B96="","",IFERROR(IF(INDEX('Task Master'!$C$5:$C$804,MATCH(B96,'Task Master'!$A$5:$A$804,0))="executing","Open in CSSP",""),"Not in latest raw"))</x:f>
      </x:c>
      <x:c r="L96" s="100"/>
    </x:row>
    <x:row r="97">
      <x:c r="A97" s="99"/>
      <x:c r="B97" s="97"/>
      <x:c r="C97" s="97"/>
      <x:c r="D97" s="97"/>
      <x:c r="E97" s="100"/>
      <x:c r="F97" s="100"/>
      <x:c r="G97" s="100"/>
      <x:c r="H97" s="100"/>
      <x:c r="I97" s="100"/>
      <x:c r="J97" s="103"/>
      <x:c r="K97" s="101" t="str">
        <x:f>IF(B97="","",IFERROR(IF(INDEX('Task Master'!$C$5:$C$804,MATCH(B97,'Task Master'!$A$5:$A$804,0))="executing","Open in CSSP",""),"Not in latest raw"))</x:f>
      </x:c>
      <x:c r="L97" s="100"/>
    </x:row>
    <x:row r="98">
      <x:c r="A98" s="99"/>
      <x:c r="B98" s="97"/>
      <x:c r="C98" s="97"/>
      <x:c r="D98" s="97"/>
      <x:c r="E98" s="100"/>
      <x:c r="F98" s="100"/>
      <x:c r="G98" s="100"/>
      <x:c r="H98" s="100"/>
      <x:c r="I98" s="100"/>
      <x:c r="J98" s="103"/>
      <x:c r="K98" s="101" t="str">
        <x:f>IF(B98="","",IFERROR(IF(INDEX('Task Master'!$C$5:$C$804,MATCH(B98,'Task Master'!$A$5:$A$804,0))="executing","Open in CSSP",""),"Not in latest raw"))</x:f>
      </x:c>
      <x:c r="L98" s="100"/>
    </x:row>
    <x:row r="99">
      <x:c r="A99" s="99"/>
      <x:c r="B99" s="97"/>
      <x:c r="C99" s="97"/>
      <x:c r="D99" s="97"/>
      <x:c r="E99" s="100"/>
      <x:c r="F99" s="100"/>
      <x:c r="G99" s="100"/>
      <x:c r="H99" s="100"/>
      <x:c r="I99" s="100"/>
      <x:c r="J99" s="103"/>
      <x:c r="K99" s="101" t="str">
        <x:f>IF(B99="","",IFERROR(IF(INDEX('Task Master'!$C$5:$C$804,MATCH(B99,'Task Master'!$A$5:$A$804,0))="executing","Open in CSSP",""),"Not in latest raw"))</x:f>
      </x:c>
      <x:c r="L99" s="100"/>
    </x:row>
    <x:row r="100">
      <x:c r="A100" s="99"/>
      <x:c r="B100" s="97"/>
      <x:c r="C100" s="97"/>
      <x:c r="D100" s="97"/>
      <x:c r="E100" s="100"/>
      <x:c r="F100" s="100"/>
      <x:c r="G100" s="100"/>
      <x:c r="H100" s="100"/>
      <x:c r="I100" s="100"/>
      <x:c r="J100" s="103"/>
      <x:c r="K100" s="101" t="str">
        <x:f>IF(B100="","",IFERROR(IF(INDEX('Task Master'!$C$5:$C$804,MATCH(B100,'Task Master'!$A$5:$A$804,0))="executing","Open in CSSP",""),"Not in latest raw"))</x:f>
      </x:c>
      <x:c r="L100" s="100"/>
    </x:row>
    <x:row r="101">
      <x:c r="A101" s="99"/>
      <x:c r="B101" s="97"/>
      <x:c r="C101" s="97"/>
      <x:c r="D101" s="97"/>
      <x:c r="E101" s="100"/>
      <x:c r="F101" s="100"/>
      <x:c r="G101" s="100"/>
      <x:c r="H101" s="100"/>
      <x:c r="I101" s="100"/>
      <x:c r="J101" s="103"/>
      <x:c r="K101" s="101" t="str">
        <x:f>IF(B101="","",IFERROR(IF(INDEX('Task Master'!$C$5:$C$804,MATCH(B101,'Task Master'!$A$5:$A$804,0))="executing","Open in CSSP",""),"Not in latest raw"))</x:f>
      </x:c>
      <x:c r="L101" s="100"/>
    </x:row>
    <x:row r="102">
      <x:c r="A102" s="99"/>
      <x:c r="B102" s="97"/>
      <x:c r="C102" s="97"/>
      <x:c r="D102" s="97"/>
      <x:c r="E102" s="100"/>
      <x:c r="F102" s="100"/>
      <x:c r="G102" s="100"/>
      <x:c r="H102" s="100"/>
      <x:c r="I102" s="100"/>
      <x:c r="J102" s="103"/>
      <x:c r="K102" s="101" t="str">
        <x:f>IF(B102="","",IFERROR(IF(INDEX('Task Master'!$C$5:$C$804,MATCH(B102,'Task Master'!$A$5:$A$804,0))="executing","Open in CSSP",""),"Not in latest raw"))</x:f>
      </x:c>
      <x:c r="L102" s="100"/>
    </x:row>
    <x:row r="103">
      <x:c r="A103" s="99"/>
      <x:c r="B103" s="97"/>
      <x:c r="C103" s="97"/>
      <x:c r="D103" s="97"/>
      <x:c r="E103" s="100"/>
      <x:c r="F103" s="100"/>
      <x:c r="G103" s="100"/>
      <x:c r="H103" s="100"/>
      <x:c r="I103" s="100"/>
      <x:c r="J103" s="103"/>
      <x:c r="K103" s="101" t="str">
        <x:f>IF(B103="","",IFERROR(IF(INDEX('Task Master'!$C$5:$C$804,MATCH(B103,'Task Master'!$A$5:$A$804,0))="executing","Open in CSSP",""),"Not in latest raw"))</x:f>
      </x:c>
      <x:c r="L103" s="100"/>
    </x:row>
    <x:row r="104">
      <x:c r="A104" s="99"/>
      <x:c r="B104" s="97"/>
      <x:c r="C104" s="97"/>
      <x:c r="D104" s="97"/>
      <x:c r="E104" s="100"/>
      <x:c r="F104" s="100"/>
      <x:c r="G104" s="100"/>
      <x:c r="H104" s="100"/>
      <x:c r="I104" s="100"/>
      <x:c r="J104" s="103"/>
      <x:c r="K104" s="101" t="str">
        <x:f>IF(B104="","",IFERROR(IF(INDEX('Task Master'!$C$5:$C$804,MATCH(B104,'Task Master'!$A$5:$A$804,0))="executing","Open in CSSP",""),"Not in latest raw"))</x:f>
      </x:c>
      <x:c r="L104" s="100"/>
    </x:row>
    <x:row r="105">
      <x:c r="A105" s="99"/>
      <x:c r="B105" s="97"/>
      <x:c r="C105" s="97"/>
      <x:c r="D105" s="97"/>
      <x:c r="E105" s="100"/>
      <x:c r="F105" s="100"/>
      <x:c r="G105" s="100"/>
      <x:c r="H105" s="100"/>
      <x:c r="I105" s="100"/>
      <x:c r="J105" s="103"/>
      <x:c r="K105" s="101" t="str">
        <x:f>IF(B105="","",IFERROR(IF(INDEX('Task Master'!$C$5:$C$804,MATCH(B105,'Task Master'!$A$5:$A$804,0))="executing","Open in CSSP",""),"Not in latest raw"))</x:f>
      </x:c>
      <x:c r="L105" s="100"/>
    </x:row>
    <x:row r="106">
      <x:c r="A106" s="99"/>
      <x:c r="B106" s="97"/>
      <x:c r="C106" s="97"/>
      <x:c r="D106" s="97"/>
      <x:c r="E106" s="100"/>
      <x:c r="F106" s="100"/>
      <x:c r="G106" s="100"/>
      <x:c r="H106" s="100"/>
      <x:c r="I106" s="100"/>
      <x:c r="J106" s="103"/>
      <x:c r="K106" s="101" t="str">
        <x:f>IF(B106="","",IFERROR(IF(INDEX('Task Master'!$C$5:$C$804,MATCH(B106,'Task Master'!$A$5:$A$804,0))="executing","Open in CSSP",""),"Not in latest raw"))</x:f>
      </x:c>
      <x:c r="L106" s="100"/>
    </x:row>
    <x:row r="107">
      <x:c r="A107" s="99"/>
      <x:c r="B107" s="97"/>
      <x:c r="C107" s="97"/>
      <x:c r="D107" s="97"/>
      <x:c r="E107" s="100"/>
      <x:c r="F107" s="100"/>
      <x:c r="G107" s="100"/>
      <x:c r="H107" s="100"/>
      <x:c r="I107" s="100"/>
      <x:c r="J107" s="103"/>
      <x:c r="K107" s="101" t="str">
        <x:f>IF(B107="","",IFERROR(IF(INDEX('Task Master'!$C$5:$C$804,MATCH(B107,'Task Master'!$A$5:$A$804,0))="executing","Open in CSSP",""),"Not in latest raw"))</x:f>
      </x:c>
      <x:c r="L107" s="100"/>
    </x:row>
    <x:row r="108">
      <x:c r="A108" s="99"/>
      <x:c r="B108" s="97"/>
      <x:c r="C108" s="97"/>
      <x:c r="D108" s="97"/>
      <x:c r="E108" s="100"/>
      <x:c r="F108" s="100"/>
      <x:c r="G108" s="100"/>
      <x:c r="H108" s="100"/>
      <x:c r="I108" s="100"/>
      <x:c r="J108" s="103"/>
      <x:c r="K108" s="101" t="str">
        <x:f>IF(B108="","",IFERROR(IF(INDEX('Task Master'!$C$5:$C$804,MATCH(B108,'Task Master'!$A$5:$A$804,0))="executing","Open in CSSP",""),"Not in latest raw"))</x:f>
      </x:c>
      <x:c r="L108" s="100"/>
    </x:row>
    <x:row r="109">
      <x:c r="A109" s="99"/>
      <x:c r="B109" s="97"/>
      <x:c r="C109" s="97"/>
      <x:c r="D109" s="97"/>
      <x:c r="E109" s="100"/>
      <x:c r="F109" s="100"/>
      <x:c r="G109" s="100"/>
      <x:c r="H109" s="100"/>
      <x:c r="I109" s="100"/>
      <x:c r="J109" s="103"/>
      <x:c r="K109" s="101" t="str">
        <x:f>IF(B109="","",IFERROR(IF(INDEX('Task Master'!$C$5:$C$804,MATCH(B109,'Task Master'!$A$5:$A$804,0))="executing","Open in CSSP",""),"Not in latest raw"))</x:f>
      </x:c>
      <x:c r="L109" s="100"/>
    </x:row>
    <x:row r="110">
      <x:c r="A110" s="99"/>
      <x:c r="B110" s="97"/>
      <x:c r="C110" s="97"/>
      <x:c r="D110" s="97"/>
      <x:c r="E110" s="100"/>
      <x:c r="F110" s="100"/>
      <x:c r="G110" s="100"/>
      <x:c r="H110" s="100"/>
      <x:c r="I110" s="100"/>
      <x:c r="J110" s="103"/>
      <x:c r="K110" s="101" t="str">
        <x:f>IF(B110="","",IFERROR(IF(INDEX('Task Master'!$C$5:$C$804,MATCH(B110,'Task Master'!$A$5:$A$804,0))="executing","Open in CSSP",""),"Not in latest raw"))</x:f>
      </x:c>
      <x:c r="L110" s="100"/>
    </x:row>
    <x:row r="111">
      <x:c r="A111" s="99"/>
      <x:c r="B111" s="97"/>
      <x:c r="C111" s="97"/>
      <x:c r="D111" s="97"/>
      <x:c r="E111" s="100"/>
      <x:c r="F111" s="100"/>
      <x:c r="G111" s="100"/>
      <x:c r="H111" s="100"/>
      <x:c r="I111" s="100"/>
      <x:c r="J111" s="103"/>
      <x:c r="K111" s="101" t="str">
        <x:f>IF(B111="","",IFERROR(IF(INDEX('Task Master'!$C$5:$C$804,MATCH(B111,'Task Master'!$A$5:$A$804,0))="executing","Open in CSSP",""),"Not in latest raw"))</x:f>
      </x:c>
      <x:c r="L111" s="100"/>
    </x:row>
    <x:row r="112">
      <x:c r="A112" s="99"/>
      <x:c r="B112" s="97"/>
      <x:c r="C112" s="97"/>
      <x:c r="D112" s="97"/>
      <x:c r="E112" s="100"/>
      <x:c r="F112" s="100"/>
      <x:c r="G112" s="100"/>
      <x:c r="H112" s="100"/>
      <x:c r="I112" s="100"/>
      <x:c r="J112" s="103"/>
      <x:c r="K112" s="101" t="str">
        <x:f>IF(B112="","",IFERROR(IF(INDEX('Task Master'!$C$5:$C$804,MATCH(B112,'Task Master'!$A$5:$A$804,0))="executing","Open in CSSP",""),"Not in latest raw"))</x:f>
      </x:c>
      <x:c r="L112" s="100"/>
    </x:row>
    <x:row r="113">
      <x:c r="A113" s="99"/>
      <x:c r="B113" s="97"/>
      <x:c r="C113" s="97"/>
      <x:c r="D113" s="97"/>
      <x:c r="E113" s="100"/>
      <x:c r="F113" s="100"/>
      <x:c r="G113" s="100"/>
      <x:c r="H113" s="100"/>
      <x:c r="I113" s="100"/>
      <x:c r="J113" s="103"/>
      <x:c r="K113" s="101" t="str">
        <x:f>IF(B113="","",IFERROR(IF(INDEX('Task Master'!$C$5:$C$804,MATCH(B113,'Task Master'!$A$5:$A$804,0))="executing","Open in CSSP",""),"Not in latest raw"))</x:f>
      </x:c>
      <x:c r="L113" s="100"/>
    </x:row>
    <x:row r="114">
      <x:c r="A114" s="99"/>
      <x:c r="B114" s="97"/>
      <x:c r="C114" s="97"/>
      <x:c r="D114" s="97"/>
      <x:c r="E114" s="100"/>
      <x:c r="F114" s="100"/>
      <x:c r="G114" s="100"/>
      <x:c r="H114" s="100"/>
      <x:c r="I114" s="100"/>
      <x:c r="J114" s="103"/>
      <x:c r="K114" s="101" t="str">
        <x:f>IF(B114="","",IFERROR(IF(INDEX('Task Master'!$C$5:$C$804,MATCH(B114,'Task Master'!$A$5:$A$804,0))="executing","Open in CSSP",""),"Not in latest raw"))</x:f>
      </x:c>
      <x:c r="L114" s="100"/>
    </x:row>
    <x:row r="115">
      <x:c r="A115" s="99"/>
      <x:c r="B115" s="97"/>
      <x:c r="C115" s="97"/>
      <x:c r="D115" s="97"/>
      <x:c r="E115" s="100"/>
      <x:c r="F115" s="100"/>
      <x:c r="G115" s="100"/>
      <x:c r="H115" s="100"/>
      <x:c r="I115" s="100"/>
      <x:c r="J115" s="103"/>
      <x:c r="K115" s="101" t="str">
        <x:f>IF(B115="","",IFERROR(IF(INDEX('Task Master'!$C$5:$C$804,MATCH(B115,'Task Master'!$A$5:$A$804,0))="executing","Open in CSSP",""),"Not in latest raw"))</x:f>
      </x:c>
      <x:c r="L115" s="100"/>
    </x:row>
    <x:row r="116">
      <x:c r="A116" s="99"/>
      <x:c r="B116" s="97"/>
      <x:c r="C116" s="97"/>
      <x:c r="D116" s="97"/>
      <x:c r="E116" s="100"/>
      <x:c r="F116" s="100"/>
      <x:c r="G116" s="100"/>
      <x:c r="H116" s="100"/>
      <x:c r="I116" s="100"/>
      <x:c r="J116" s="103"/>
      <x:c r="K116" s="101" t="str">
        <x:f>IF(B116="","",IFERROR(IF(INDEX('Task Master'!$C$5:$C$804,MATCH(B116,'Task Master'!$A$5:$A$804,0))="executing","Open in CSSP",""),"Not in latest raw"))</x:f>
      </x:c>
      <x:c r="L116" s="100"/>
    </x:row>
    <x:row r="117">
      <x:c r="A117" s="99"/>
      <x:c r="B117" s="97"/>
      <x:c r="C117" s="97"/>
      <x:c r="D117" s="97"/>
      <x:c r="E117" s="100"/>
      <x:c r="F117" s="100"/>
      <x:c r="G117" s="100"/>
      <x:c r="H117" s="100"/>
      <x:c r="I117" s="100"/>
      <x:c r="J117" s="103"/>
      <x:c r="K117" s="101" t="str">
        <x:f>IF(B117="","",IFERROR(IF(INDEX('Task Master'!$C$5:$C$804,MATCH(B117,'Task Master'!$A$5:$A$804,0))="executing","Open in CSSP",""),"Not in latest raw"))</x:f>
      </x:c>
      <x:c r="L117" s="100"/>
    </x:row>
    <x:row r="118">
      <x:c r="A118" s="99"/>
      <x:c r="B118" s="97"/>
      <x:c r="C118" s="97"/>
      <x:c r="D118" s="97"/>
      <x:c r="E118" s="100"/>
      <x:c r="F118" s="100"/>
      <x:c r="G118" s="100"/>
      <x:c r="H118" s="100"/>
      <x:c r="I118" s="100"/>
      <x:c r="J118" s="103"/>
      <x:c r="K118" s="101" t="str">
        <x:f>IF(B118="","",IFERROR(IF(INDEX('Task Master'!$C$5:$C$804,MATCH(B118,'Task Master'!$A$5:$A$804,0))="executing","Open in CSSP",""),"Not in latest raw"))</x:f>
      </x:c>
      <x:c r="L118" s="100"/>
    </x:row>
    <x:row r="119">
      <x:c r="A119" s="99"/>
      <x:c r="B119" s="97"/>
      <x:c r="C119" s="97"/>
      <x:c r="D119" s="97"/>
      <x:c r="E119" s="100"/>
      <x:c r="F119" s="100"/>
      <x:c r="G119" s="100"/>
      <x:c r="H119" s="100"/>
      <x:c r="I119" s="100"/>
      <x:c r="J119" s="103"/>
      <x:c r="K119" s="101" t="str">
        <x:f>IF(B119="","",IFERROR(IF(INDEX('Task Master'!$C$5:$C$804,MATCH(B119,'Task Master'!$A$5:$A$804,0))="executing","Open in CSSP",""),"Not in latest raw"))</x:f>
      </x:c>
      <x:c r="L119" s="100"/>
    </x:row>
    <x:row r="120">
      <x:c r="A120" s="99"/>
      <x:c r="B120" s="97"/>
      <x:c r="C120" s="97"/>
      <x:c r="D120" s="97"/>
      <x:c r="E120" s="100"/>
      <x:c r="F120" s="100"/>
      <x:c r="G120" s="100"/>
      <x:c r="H120" s="100"/>
      <x:c r="I120" s="100"/>
      <x:c r="J120" s="103"/>
      <x:c r="K120" s="101" t="str">
        <x:f>IF(B120="","",IFERROR(IF(INDEX('Task Master'!$C$5:$C$804,MATCH(B120,'Task Master'!$A$5:$A$804,0))="executing","Open in CSSP",""),"Not in latest raw"))</x:f>
      </x:c>
      <x:c r="L120" s="100"/>
    </x:row>
    <x:row r="121">
      <x:c r="A121" s="99"/>
      <x:c r="B121" s="97"/>
      <x:c r="C121" s="97"/>
      <x:c r="D121" s="97"/>
      <x:c r="E121" s="100"/>
      <x:c r="F121" s="100"/>
      <x:c r="G121" s="100"/>
      <x:c r="H121" s="100"/>
      <x:c r="I121" s="100"/>
      <x:c r="J121" s="103"/>
      <x:c r="K121" s="101" t="str">
        <x:f>IF(B121="","",IFERROR(IF(INDEX('Task Master'!$C$5:$C$804,MATCH(B121,'Task Master'!$A$5:$A$804,0))="executing","Open in CSSP",""),"Not in latest raw"))</x:f>
      </x:c>
      <x:c r="L121" s="100"/>
    </x:row>
    <x:row r="122">
      <x:c r="A122" s="99"/>
      <x:c r="B122" s="97"/>
      <x:c r="C122" s="97"/>
      <x:c r="D122" s="97"/>
      <x:c r="E122" s="100"/>
      <x:c r="F122" s="100"/>
      <x:c r="G122" s="100"/>
      <x:c r="H122" s="100"/>
      <x:c r="I122" s="100"/>
      <x:c r="J122" s="103"/>
      <x:c r="K122" s="101" t="str">
        <x:f>IF(B122="","",IFERROR(IF(INDEX('Task Master'!$C$5:$C$804,MATCH(B122,'Task Master'!$A$5:$A$804,0))="executing","Open in CSSP",""),"Not in latest raw"))</x:f>
      </x:c>
      <x:c r="L122" s="100"/>
    </x:row>
    <x:row r="123">
      <x:c r="A123" s="99"/>
      <x:c r="B123" s="97"/>
      <x:c r="C123" s="97"/>
      <x:c r="D123" s="97"/>
      <x:c r="E123" s="100"/>
      <x:c r="F123" s="100"/>
      <x:c r="G123" s="100"/>
      <x:c r="H123" s="100"/>
      <x:c r="I123" s="100"/>
      <x:c r="J123" s="103"/>
      <x:c r="K123" s="101" t="str">
        <x:f>IF(B123="","",IFERROR(IF(INDEX('Task Master'!$C$5:$C$804,MATCH(B123,'Task Master'!$A$5:$A$804,0))="executing","Open in CSSP",""),"Not in latest raw"))</x:f>
      </x:c>
      <x:c r="L123" s="100"/>
    </x:row>
    <x:row r="124">
      <x:c r="A124" s="99"/>
      <x:c r="B124" s="97"/>
      <x:c r="C124" s="97"/>
      <x:c r="D124" s="97"/>
      <x:c r="E124" s="100"/>
      <x:c r="F124" s="100"/>
      <x:c r="G124" s="100"/>
      <x:c r="H124" s="100"/>
      <x:c r="I124" s="100"/>
      <x:c r="J124" s="103"/>
      <x:c r="K124" s="101" t="str">
        <x:f>IF(B124="","",IFERROR(IF(INDEX('Task Master'!$C$5:$C$804,MATCH(B124,'Task Master'!$A$5:$A$804,0))="executing","Open in CSSP",""),"Not in latest raw"))</x:f>
      </x:c>
      <x:c r="L124" s="100"/>
    </x:row>
    <x:row r="125">
      <x:c r="A125" s="99"/>
      <x:c r="B125" s="97"/>
      <x:c r="C125" s="97"/>
      <x:c r="D125" s="97"/>
      <x:c r="E125" s="100"/>
      <x:c r="F125" s="100"/>
      <x:c r="G125" s="100"/>
      <x:c r="H125" s="100"/>
      <x:c r="I125" s="100"/>
      <x:c r="J125" s="103"/>
      <x:c r="K125" s="101" t="str">
        <x:f>IF(B125="","",IFERROR(IF(INDEX('Task Master'!$C$5:$C$804,MATCH(B125,'Task Master'!$A$5:$A$804,0))="executing","Open in CSSP",""),"Not in latest raw"))</x:f>
      </x:c>
      <x:c r="L125" s="100"/>
    </x:row>
    <x:row r="126">
      <x:c r="A126" s="99"/>
      <x:c r="B126" s="97"/>
      <x:c r="C126" s="97"/>
      <x:c r="D126" s="97"/>
      <x:c r="E126" s="100"/>
      <x:c r="F126" s="100"/>
      <x:c r="G126" s="100"/>
      <x:c r="H126" s="100"/>
      <x:c r="I126" s="100"/>
      <x:c r="J126" s="103"/>
      <x:c r="K126" s="101" t="str">
        <x:f>IF(B126="","",IFERROR(IF(INDEX('Task Master'!$C$5:$C$804,MATCH(B126,'Task Master'!$A$5:$A$804,0))="executing","Open in CSSP",""),"Not in latest raw"))</x:f>
      </x:c>
      <x:c r="L126" s="100"/>
    </x:row>
    <x:row r="127">
      <x:c r="A127" s="99"/>
      <x:c r="B127" s="97"/>
      <x:c r="C127" s="97"/>
      <x:c r="D127" s="97"/>
      <x:c r="E127" s="100"/>
      <x:c r="F127" s="100"/>
      <x:c r="G127" s="100"/>
      <x:c r="H127" s="100"/>
      <x:c r="I127" s="100"/>
      <x:c r="J127" s="103"/>
      <x:c r="K127" s="101" t="str">
        <x:f>IF(B127="","",IFERROR(IF(INDEX('Task Master'!$C$5:$C$804,MATCH(B127,'Task Master'!$A$5:$A$804,0))="executing","Open in CSSP",""),"Not in latest raw"))</x:f>
      </x:c>
      <x:c r="L127" s="100"/>
    </x:row>
    <x:row r="128">
      <x:c r="A128" s="99"/>
      <x:c r="B128" s="97"/>
      <x:c r="C128" s="97"/>
      <x:c r="D128" s="97"/>
      <x:c r="E128" s="100"/>
      <x:c r="F128" s="100"/>
      <x:c r="G128" s="100"/>
      <x:c r="H128" s="100"/>
      <x:c r="I128" s="100"/>
      <x:c r="J128" s="103"/>
      <x:c r="K128" s="101" t="str">
        <x:f>IF(B128="","",IFERROR(IF(INDEX('Task Master'!$C$5:$C$804,MATCH(B128,'Task Master'!$A$5:$A$804,0))="executing","Open in CSSP",""),"Not in latest raw"))</x:f>
      </x:c>
      <x:c r="L128" s="100"/>
    </x:row>
    <x:row r="129">
      <x:c r="A129" s="99"/>
      <x:c r="B129" s="97"/>
      <x:c r="C129" s="97"/>
      <x:c r="D129" s="97"/>
      <x:c r="E129" s="100"/>
      <x:c r="F129" s="100"/>
      <x:c r="G129" s="100"/>
      <x:c r="H129" s="100"/>
      <x:c r="I129" s="100"/>
      <x:c r="J129" s="103"/>
      <x:c r="K129" s="101" t="str">
        <x:f>IF(B129="","",IFERROR(IF(INDEX('Task Master'!$C$5:$C$804,MATCH(B129,'Task Master'!$A$5:$A$804,0))="executing","Open in CSSP",""),"Not in latest raw"))</x:f>
      </x:c>
      <x:c r="L129" s="100"/>
    </x:row>
    <x:row r="130">
      <x:c r="A130" s="99"/>
      <x:c r="B130" s="97"/>
      <x:c r="C130" s="97"/>
      <x:c r="D130" s="97"/>
      <x:c r="E130" s="100"/>
      <x:c r="F130" s="100"/>
      <x:c r="G130" s="100"/>
      <x:c r="H130" s="100"/>
      <x:c r="I130" s="100"/>
      <x:c r="J130" s="103"/>
      <x:c r="K130" s="101" t="str">
        <x:f>IF(B130="","",IFERROR(IF(INDEX('Task Master'!$C$5:$C$804,MATCH(B130,'Task Master'!$A$5:$A$804,0))="executing","Open in CSSP",""),"Not in latest raw"))</x:f>
      </x:c>
      <x:c r="L130" s="100"/>
    </x:row>
    <x:row r="131">
      <x:c r="A131" s="99"/>
      <x:c r="B131" s="97"/>
      <x:c r="C131" s="97"/>
      <x:c r="D131" s="97"/>
      <x:c r="E131" s="100"/>
      <x:c r="F131" s="100"/>
      <x:c r="G131" s="100"/>
      <x:c r="H131" s="100"/>
      <x:c r="I131" s="100"/>
      <x:c r="J131" s="103"/>
      <x:c r="K131" s="101" t="str">
        <x:f>IF(B131="","",IFERROR(IF(INDEX('Task Master'!$C$5:$C$804,MATCH(B131,'Task Master'!$A$5:$A$804,0))="executing","Open in CSSP",""),"Not in latest raw"))</x:f>
      </x:c>
      <x:c r="L131" s="100"/>
    </x:row>
    <x:row r="132">
      <x:c r="A132" s="99"/>
      <x:c r="B132" s="97"/>
      <x:c r="C132" s="97"/>
      <x:c r="D132" s="97"/>
      <x:c r="E132" s="100"/>
      <x:c r="F132" s="100"/>
      <x:c r="G132" s="100"/>
      <x:c r="H132" s="100"/>
      <x:c r="I132" s="100"/>
      <x:c r="J132" s="103"/>
      <x:c r="K132" s="101" t="str">
        <x:f>IF(B132="","",IFERROR(IF(INDEX('Task Master'!$C$5:$C$804,MATCH(B132,'Task Master'!$A$5:$A$804,0))="executing","Open in CSSP",""),"Not in latest raw"))</x:f>
      </x:c>
      <x:c r="L132" s="100"/>
    </x:row>
    <x:row r="133">
      <x:c r="A133" s="99"/>
      <x:c r="B133" s="97"/>
      <x:c r="C133" s="97"/>
      <x:c r="D133" s="97"/>
      <x:c r="E133" s="100"/>
      <x:c r="F133" s="100"/>
      <x:c r="G133" s="100"/>
      <x:c r="H133" s="100"/>
      <x:c r="I133" s="100"/>
      <x:c r="J133" s="103"/>
      <x:c r="K133" s="101" t="str">
        <x:f>IF(B133="","",IFERROR(IF(INDEX('Task Master'!$C$5:$C$804,MATCH(B133,'Task Master'!$A$5:$A$804,0))="executing","Open in CSSP",""),"Not in latest raw"))</x:f>
      </x:c>
      <x:c r="L133" s="100"/>
    </x:row>
    <x:row r="134">
      <x:c r="A134" s="99"/>
      <x:c r="B134" s="97"/>
      <x:c r="C134" s="97"/>
      <x:c r="D134" s="97"/>
      <x:c r="E134" s="100"/>
      <x:c r="F134" s="100"/>
      <x:c r="G134" s="100"/>
      <x:c r="H134" s="100"/>
      <x:c r="I134" s="100"/>
      <x:c r="J134" s="103"/>
      <x:c r="K134" s="101" t="str">
        <x:f>IF(B134="","",IFERROR(IF(INDEX('Task Master'!$C$5:$C$804,MATCH(B134,'Task Master'!$A$5:$A$804,0))="executing","Open in CSSP",""),"Not in latest raw"))</x:f>
      </x:c>
      <x:c r="L134" s="100"/>
    </x:row>
    <x:row r="135">
      <x:c r="A135" s="99"/>
      <x:c r="B135" s="97"/>
      <x:c r="C135" s="97"/>
      <x:c r="D135" s="97"/>
      <x:c r="E135" s="100"/>
      <x:c r="F135" s="100"/>
      <x:c r="G135" s="100"/>
      <x:c r="H135" s="100"/>
      <x:c r="I135" s="100"/>
      <x:c r="J135" s="103"/>
      <x:c r="K135" s="101" t="str">
        <x:f>IF(B135="","",IFERROR(IF(INDEX('Task Master'!$C$5:$C$804,MATCH(B135,'Task Master'!$A$5:$A$804,0))="executing","Open in CSSP",""),"Not in latest raw"))</x:f>
      </x:c>
      <x:c r="L135" s="100"/>
    </x:row>
    <x:row r="136">
      <x:c r="A136" s="99"/>
      <x:c r="B136" s="97"/>
      <x:c r="C136" s="97"/>
      <x:c r="D136" s="97"/>
      <x:c r="E136" s="100"/>
      <x:c r="F136" s="100"/>
      <x:c r="G136" s="100"/>
      <x:c r="H136" s="100"/>
      <x:c r="I136" s="100"/>
      <x:c r="J136" s="103"/>
      <x:c r="K136" s="101" t="str">
        <x:f>IF(B136="","",IFERROR(IF(INDEX('Task Master'!$C$5:$C$804,MATCH(B136,'Task Master'!$A$5:$A$804,0))="executing","Open in CSSP",""),"Not in latest raw"))</x:f>
      </x:c>
      <x:c r="L136" s="100"/>
    </x:row>
    <x:row r="137">
      <x:c r="A137" s="99"/>
      <x:c r="B137" s="97"/>
      <x:c r="C137" s="97"/>
      <x:c r="D137" s="97"/>
      <x:c r="E137" s="100"/>
      <x:c r="F137" s="100"/>
      <x:c r="G137" s="100"/>
      <x:c r="H137" s="100"/>
      <x:c r="I137" s="100"/>
      <x:c r="J137" s="103"/>
      <x:c r="K137" s="101" t="str">
        <x:f>IF(B137="","",IFERROR(IF(INDEX('Task Master'!$C$5:$C$804,MATCH(B137,'Task Master'!$A$5:$A$804,0))="executing","Open in CSSP",""),"Not in latest raw"))</x:f>
      </x:c>
      <x:c r="L137" s="100"/>
    </x:row>
    <x:row r="138">
      <x:c r="A138" s="99"/>
      <x:c r="B138" s="97"/>
      <x:c r="C138" s="97"/>
      <x:c r="D138" s="97"/>
      <x:c r="E138" s="100"/>
      <x:c r="F138" s="100"/>
      <x:c r="G138" s="100"/>
      <x:c r="H138" s="100"/>
      <x:c r="I138" s="100"/>
      <x:c r="J138" s="103"/>
      <x:c r="K138" s="101" t="str">
        <x:f>IF(B138="","",IFERROR(IF(INDEX('Task Master'!$C$5:$C$804,MATCH(B138,'Task Master'!$A$5:$A$804,0))="executing","Open in CSSP",""),"Not in latest raw"))</x:f>
      </x:c>
      <x:c r="L138" s="100"/>
    </x:row>
    <x:row r="139">
      <x:c r="A139" s="99"/>
      <x:c r="B139" s="97"/>
      <x:c r="C139" s="97"/>
      <x:c r="D139" s="97"/>
      <x:c r="E139" s="100"/>
      <x:c r="F139" s="100"/>
      <x:c r="G139" s="100"/>
      <x:c r="H139" s="100"/>
      <x:c r="I139" s="100"/>
      <x:c r="J139" s="103"/>
      <x:c r="K139" s="101" t="str">
        <x:f>IF(B139="","",IFERROR(IF(INDEX('Task Master'!$C$5:$C$804,MATCH(B139,'Task Master'!$A$5:$A$804,0))="executing","Open in CSSP",""),"Not in latest raw"))</x:f>
      </x:c>
      <x:c r="L139" s="100"/>
    </x:row>
    <x:row r="140">
      <x:c r="A140" s="99"/>
      <x:c r="B140" s="97"/>
      <x:c r="C140" s="97"/>
      <x:c r="D140" s="97"/>
      <x:c r="E140" s="100"/>
      <x:c r="F140" s="100"/>
      <x:c r="G140" s="100"/>
      <x:c r="H140" s="100"/>
      <x:c r="I140" s="100"/>
      <x:c r="J140" s="103"/>
      <x:c r="K140" s="101" t="str">
        <x:f>IF(B140="","",IFERROR(IF(INDEX('Task Master'!$C$5:$C$804,MATCH(B140,'Task Master'!$A$5:$A$804,0))="executing","Open in CSSP",""),"Not in latest raw"))</x:f>
      </x:c>
      <x:c r="L140" s="100"/>
    </x:row>
    <x:row r="141">
      <x:c r="A141" s="99"/>
      <x:c r="B141" s="97"/>
      <x:c r="C141" s="97"/>
      <x:c r="D141" s="97"/>
      <x:c r="E141" s="100"/>
      <x:c r="F141" s="100"/>
      <x:c r="G141" s="100"/>
      <x:c r="H141" s="100"/>
      <x:c r="I141" s="100"/>
      <x:c r="J141" s="103"/>
      <x:c r="K141" s="101" t="str">
        <x:f>IF(B141="","",IFERROR(IF(INDEX('Task Master'!$C$5:$C$804,MATCH(B141,'Task Master'!$A$5:$A$804,0))="executing","Open in CSSP",""),"Not in latest raw"))</x:f>
      </x:c>
      <x:c r="L141" s="100"/>
    </x:row>
    <x:row r="142">
      <x:c r="A142" s="99"/>
      <x:c r="B142" s="97"/>
      <x:c r="C142" s="97"/>
      <x:c r="D142" s="97"/>
      <x:c r="E142" s="100"/>
      <x:c r="F142" s="100"/>
      <x:c r="G142" s="100"/>
      <x:c r="H142" s="100"/>
      <x:c r="I142" s="100"/>
      <x:c r="J142" s="103"/>
      <x:c r="K142" s="101" t="str">
        <x:f>IF(B142="","",IFERROR(IF(INDEX('Task Master'!$C$5:$C$804,MATCH(B142,'Task Master'!$A$5:$A$804,0))="executing","Open in CSSP",""),"Not in latest raw"))</x:f>
      </x:c>
      <x:c r="L142" s="100"/>
    </x:row>
    <x:row r="143">
      <x:c r="A143" s="99"/>
      <x:c r="B143" s="97"/>
      <x:c r="C143" s="97"/>
      <x:c r="D143" s="97"/>
      <x:c r="E143" s="100"/>
      <x:c r="F143" s="100"/>
      <x:c r="G143" s="100"/>
      <x:c r="H143" s="100"/>
      <x:c r="I143" s="100"/>
      <x:c r="J143" s="103"/>
      <x:c r="K143" s="101" t="str">
        <x:f>IF(B143="","",IFERROR(IF(INDEX('Task Master'!$C$5:$C$804,MATCH(B143,'Task Master'!$A$5:$A$804,0))="executing","Open in CSSP",""),"Not in latest raw"))</x:f>
      </x:c>
      <x:c r="L143" s="100"/>
    </x:row>
    <x:row r="144">
      <x:c r="A144" s="99"/>
      <x:c r="B144" s="97"/>
      <x:c r="C144" s="97"/>
      <x:c r="D144" s="97"/>
      <x:c r="E144" s="100"/>
      <x:c r="F144" s="100"/>
      <x:c r="G144" s="100"/>
      <x:c r="H144" s="100"/>
      <x:c r="I144" s="100"/>
      <x:c r="J144" s="103"/>
      <x:c r="K144" s="101" t="str">
        <x:f>IF(B144="","",IFERROR(IF(INDEX('Task Master'!$C$5:$C$804,MATCH(B144,'Task Master'!$A$5:$A$804,0))="executing","Open in CSSP",""),"Not in latest raw"))</x:f>
      </x:c>
      <x:c r="L144" s="100"/>
    </x:row>
    <x:row r="145">
      <x:c r="A145" s="99"/>
      <x:c r="B145" s="97"/>
      <x:c r="C145" s="97"/>
      <x:c r="D145" s="97"/>
      <x:c r="E145" s="100"/>
      <x:c r="F145" s="100"/>
      <x:c r="G145" s="100"/>
      <x:c r="H145" s="100"/>
      <x:c r="I145" s="100"/>
      <x:c r="J145" s="103"/>
      <x:c r="K145" s="101" t="str">
        <x:f>IF(B145="","",IFERROR(IF(INDEX('Task Master'!$C$5:$C$804,MATCH(B145,'Task Master'!$A$5:$A$804,0))="executing","Open in CSSP",""),"Not in latest raw"))</x:f>
      </x:c>
      <x:c r="L145" s="100"/>
    </x:row>
    <x:row r="146">
      <x:c r="A146" s="99"/>
      <x:c r="B146" s="97"/>
      <x:c r="C146" s="97"/>
      <x:c r="D146" s="97"/>
      <x:c r="E146" s="100"/>
      <x:c r="F146" s="100"/>
      <x:c r="G146" s="100"/>
      <x:c r="H146" s="100"/>
      <x:c r="I146" s="100"/>
      <x:c r="J146" s="103"/>
      <x:c r="K146" s="101" t="str">
        <x:f>IF(B146="","",IFERROR(IF(INDEX('Task Master'!$C$5:$C$804,MATCH(B146,'Task Master'!$A$5:$A$804,0))="executing","Open in CSSP",""),"Not in latest raw"))</x:f>
      </x:c>
      <x:c r="L146" s="100"/>
    </x:row>
    <x:row r="147">
      <x:c r="A147" s="99"/>
      <x:c r="B147" s="97"/>
      <x:c r="C147" s="97"/>
      <x:c r="D147" s="97"/>
      <x:c r="E147" s="100"/>
      <x:c r="F147" s="100"/>
      <x:c r="G147" s="100"/>
      <x:c r="H147" s="100"/>
      <x:c r="I147" s="100"/>
      <x:c r="J147" s="103"/>
      <x:c r="K147" s="101" t="str">
        <x:f>IF(B147="","",IFERROR(IF(INDEX('Task Master'!$C$5:$C$804,MATCH(B147,'Task Master'!$A$5:$A$804,0))="executing","Open in CSSP",""),"Not in latest raw"))</x:f>
      </x:c>
      <x:c r="L147" s="100"/>
    </x:row>
    <x:row r="148">
      <x:c r="A148" s="99"/>
      <x:c r="B148" s="97"/>
      <x:c r="C148" s="97"/>
      <x:c r="D148" s="97"/>
      <x:c r="E148" s="100"/>
      <x:c r="F148" s="100"/>
      <x:c r="G148" s="100"/>
      <x:c r="H148" s="100"/>
      <x:c r="I148" s="100"/>
      <x:c r="J148" s="103"/>
      <x:c r="K148" s="101" t="str">
        <x:f>IF(B148="","",IFERROR(IF(INDEX('Task Master'!$C$5:$C$804,MATCH(B148,'Task Master'!$A$5:$A$804,0))="executing","Open in CSSP",""),"Not in latest raw"))</x:f>
      </x:c>
      <x:c r="L148" s="100"/>
    </x:row>
    <x:row r="149">
      <x:c r="A149" s="99"/>
      <x:c r="B149" s="97"/>
      <x:c r="C149" s="97"/>
      <x:c r="D149" s="97"/>
      <x:c r="E149" s="100"/>
      <x:c r="F149" s="100"/>
      <x:c r="G149" s="100"/>
      <x:c r="H149" s="100"/>
      <x:c r="I149" s="100"/>
      <x:c r="J149" s="103"/>
      <x:c r="K149" s="101" t="str">
        <x:f>IF(B149="","",IFERROR(IF(INDEX('Task Master'!$C$5:$C$804,MATCH(B149,'Task Master'!$A$5:$A$804,0))="executing","Open in CSSP",""),"Not in latest raw"))</x:f>
      </x:c>
      <x:c r="L149" s="100"/>
    </x:row>
    <x:row r="150">
      <x:c r="A150" s="99"/>
      <x:c r="B150" s="97"/>
      <x:c r="C150" s="97"/>
      <x:c r="D150" s="97"/>
      <x:c r="E150" s="100"/>
      <x:c r="F150" s="100"/>
      <x:c r="G150" s="100"/>
      <x:c r="H150" s="100"/>
      <x:c r="I150" s="100"/>
      <x:c r="J150" s="103"/>
      <x:c r="K150" s="101" t="str">
        <x:f>IF(B150="","",IFERROR(IF(INDEX('Task Master'!$C$5:$C$804,MATCH(B150,'Task Master'!$A$5:$A$804,0))="executing","Open in CSSP",""),"Not in latest raw"))</x:f>
      </x:c>
      <x:c r="L150" s="100"/>
    </x:row>
    <x:row r="151">
      <x:c r="A151" s="99"/>
      <x:c r="B151" s="97"/>
      <x:c r="C151" s="97"/>
      <x:c r="D151" s="97"/>
      <x:c r="E151" s="100"/>
      <x:c r="F151" s="100"/>
      <x:c r="G151" s="100"/>
      <x:c r="H151" s="100"/>
      <x:c r="I151" s="100"/>
      <x:c r="J151" s="103"/>
      <x:c r="K151" s="101" t="str">
        <x:f>IF(B151="","",IFERROR(IF(INDEX('Task Master'!$C$5:$C$804,MATCH(B151,'Task Master'!$A$5:$A$804,0))="executing","Open in CSSP",""),"Not in latest raw"))</x:f>
      </x:c>
      <x:c r="L151" s="100"/>
    </x:row>
    <x:row r="152">
      <x:c r="A152" s="99"/>
      <x:c r="B152" s="97"/>
      <x:c r="C152" s="97"/>
      <x:c r="D152" s="97"/>
      <x:c r="E152" s="100"/>
      <x:c r="F152" s="100"/>
      <x:c r="G152" s="100"/>
      <x:c r="H152" s="100"/>
      <x:c r="I152" s="100"/>
      <x:c r="J152" s="103"/>
      <x:c r="K152" s="101" t="str">
        <x:f>IF(B152="","",IFERROR(IF(INDEX('Task Master'!$C$5:$C$804,MATCH(B152,'Task Master'!$A$5:$A$804,0))="executing","Open in CSSP",""),"Not in latest raw"))</x:f>
      </x:c>
      <x:c r="L152" s="100"/>
    </x:row>
    <x:row r="153">
      <x:c r="A153" s="99"/>
      <x:c r="B153" s="97"/>
      <x:c r="C153" s="97"/>
      <x:c r="D153" s="97"/>
      <x:c r="E153" s="100"/>
      <x:c r="F153" s="100"/>
      <x:c r="G153" s="100"/>
      <x:c r="H153" s="100"/>
      <x:c r="I153" s="100"/>
      <x:c r="J153" s="103"/>
      <x:c r="K153" s="101" t="str">
        <x:f>IF(B153="","",IFERROR(IF(INDEX('Task Master'!$C$5:$C$804,MATCH(B153,'Task Master'!$A$5:$A$804,0))="executing","Open in CSSP",""),"Not in latest raw"))</x:f>
      </x:c>
      <x:c r="L153" s="100"/>
    </x:row>
    <x:row r="154">
      <x:c r="A154" s="99"/>
      <x:c r="B154" s="97"/>
      <x:c r="C154" s="97"/>
      <x:c r="D154" s="97"/>
      <x:c r="E154" s="100"/>
      <x:c r="F154" s="100"/>
      <x:c r="G154" s="100"/>
      <x:c r="H154" s="100"/>
      <x:c r="I154" s="100"/>
      <x:c r="J154" s="103"/>
      <x:c r="K154" s="101" t="str">
        <x:f>IF(B154="","",IFERROR(IF(INDEX('Task Master'!$C$5:$C$804,MATCH(B154,'Task Master'!$A$5:$A$804,0))="executing","Open in CSSP",""),"Not in latest raw"))</x:f>
      </x:c>
      <x:c r="L154" s="100"/>
    </x:row>
    <x:row r="155">
      <x:c r="A155" s="99"/>
      <x:c r="B155" s="97"/>
      <x:c r="C155" s="97"/>
      <x:c r="D155" s="97"/>
      <x:c r="E155" s="100"/>
      <x:c r="F155" s="100"/>
      <x:c r="G155" s="100"/>
      <x:c r="H155" s="100"/>
      <x:c r="I155" s="100"/>
      <x:c r="J155" s="103"/>
      <x:c r="K155" s="101" t="str">
        <x:f>IF(B155="","",IFERROR(IF(INDEX('Task Master'!$C$5:$C$804,MATCH(B155,'Task Master'!$A$5:$A$804,0))="executing","Open in CSSP",""),"Not in latest raw"))</x:f>
      </x:c>
      <x:c r="L155" s="100"/>
    </x:row>
    <x:row r="156">
      <x:c r="A156" s="99"/>
      <x:c r="B156" s="97"/>
      <x:c r="C156" s="97"/>
      <x:c r="D156" s="97"/>
      <x:c r="E156" s="100"/>
      <x:c r="F156" s="100"/>
      <x:c r="G156" s="100"/>
      <x:c r="H156" s="100"/>
      <x:c r="I156" s="100"/>
      <x:c r="J156" s="103"/>
      <x:c r="K156" s="101" t="str">
        <x:f>IF(B156="","",IFERROR(IF(INDEX('Task Master'!$C$5:$C$804,MATCH(B156,'Task Master'!$A$5:$A$804,0))="executing","Open in CSSP",""),"Not in latest raw"))</x:f>
      </x:c>
      <x:c r="L156" s="100"/>
    </x:row>
    <x:row r="157">
      <x:c r="A157" s="99"/>
      <x:c r="B157" s="97"/>
      <x:c r="C157" s="97"/>
      <x:c r="D157" s="97"/>
      <x:c r="E157" s="100"/>
      <x:c r="F157" s="100"/>
      <x:c r="G157" s="100"/>
      <x:c r="H157" s="100"/>
      <x:c r="I157" s="100"/>
      <x:c r="J157" s="103"/>
      <x:c r="K157" s="101" t="str">
        <x:f>IF(B157="","",IFERROR(IF(INDEX('Task Master'!$C$5:$C$804,MATCH(B157,'Task Master'!$A$5:$A$804,0))="executing","Open in CSSP",""),"Not in latest raw"))</x:f>
      </x:c>
      <x:c r="L157" s="100"/>
    </x:row>
    <x:row r="158">
      <x:c r="A158" s="99"/>
      <x:c r="B158" s="97"/>
      <x:c r="C158" s="97"/>
      <x:c r="D158" s="97"/>
      <x:c r="E158" s="100"/>
      <x:c r="F158" s="100"/>
      <x:c r="G158" s="100"/>
      <x:c r="H158" s="100"/>
      <x:c r="I158" s="100"/>
      <x:c r="J158" s="103"/>
      <x:c r="K158" s="101" t="str">
        <x:f>IF(B158="","",IFERROR(IF(INDEX('Task Master'!$C$5:$C$804,MATCH(B158,'Task Master'!$A$5:$A$804,0))="executing","Open in CSSP",""),"Not in latest raw"))</x:f>
      </x:c>
      <x:c r="L158" s="100"/>
    </x:row>
    <x:row r="159">
      <x:c r="A159" s="99"/>
      <x:c r="B159" s="97"/>
      <x:c r="C159" s="97"/>
      <x:c r="D159" s="97"/>
      <x:c r="E159" s="100"/>
      <x:c r="F159" s="100"/>
      <x:c r="G159" s="100"/>
      <x:c r="H159" s="100"/>
      <x:c r="I159" s="100"/>
      <x:c r="J159" s="103"/>
      <x:c r="K159" s="101" t="str">
        <x:f>IF(B159="","",IFERROR(IF(INDEX('Task Master'!$C$5:$C$804,MATCH(B159,'Task Master'!$A$5:$A$804,0))="executing","Open in CSSP",""),"Not in latest raw"))</x:f>
      </x:c>
      <x:c r="L159" s="100"/>
    </x:row>
    <x:row r="160">
      <x:c r="A160" s="99"/>
      <x:c r="B160" s="97"/>
      <x:c r="C160" s="97"/>
      <x:c r="D160" s="97"/>
      <x:c r="E160" s="100"/>
      <x:c r="F160" s="100"/>
      <x:c r="G160" s="100"/>
      <x:c r="H160" s="100"/>
      <x:c r="I160" s="100"/>
      <x:c r="J160" s="103"/>
      <x:c r="K160" s="101" t="str">
        <x:f>IF(B160="","",IFERROR(IF(INDEX('Task Master'!$C$5:$C$804,MATCH(B160,'Task Master'!$A$5:$A$804,0))="executing","Open in CSSP",""),"Not in latest raw"))</x:f>
      </x:c>
      <x:c r="L160" s="100"/>
    </x:row>
    <x:row r="161">
      <x:c r="A161" s="99"/>
      <x:c r="B161" s="97"/>
      <x:c r="C161" s="97"/>
      <x:c r="D161" s="97"/>
      <x:c r="E161" s="100"/>
      <x:c r="F161" s="100"/>
      <x:c r="G161" s="100"/>
      <x:c r="H161" s="100"/>
      <x:c r="I161" s="100"/>
      <x:c r="J161" s="103"/>
      <x:c r="K161" s="101" t="str">
        <x:f>IF(B161="","",IFERROR(IF(INDEX('Task Master'!$C$5:$C$804,MATCH(B161,'Task Master'!$A$5:$A$804,0))="executing","Open in CSSP",""),"Not in latest raw"))</x:f>
      </x:c>
      <x:c r="L161" s="100"/>
    </x:row>
    <x:row r="162">
      <x:c r="A162" s="99"/>
      <x:c r="B162" s="97"/>
      <x:c r="C162" s="97"/>
      <x:c r="D162" s="97"/>
      <x:c r="E162" s="100"/>
      <x:c r="F162" s="100"/>
      <x:c r="G162" s="100"/>
      <x:c r="H162" s="100"/>
      <x:c r="I162" s="100"/>
      <x:c r="J162" s="103"/>
      <x:c r="K162" s="101" t="str">
        <x:f>IF(B162="","",IFERROR(IF(INDEX('Task Master'!$C$5:$C$804,MATCH(B162,'Task Master'!$A$5:$A$804,0))="executing","Open in CSSP",""),"Not in latest raw"))</x:f>
      </x:c>
      <x:c r="L162" s="100"/>
    </x:row>
    <x:row r="163">
      <x:c r="A163" s="99"/>
      <x:c r="B163" s="97"/>
      <x:c r="C163" s="97"/>
      <x:c r="D163" s="97"/>
      <x:c r="E163" s="100"/>
      <x:c r="F163" s="100"/>
      <x:c r="G163" s="100"/>
      <x:c r="H163" s="100"/>
      <x:c r="I163" s="100"/>
      <x:c r="J163" s="103"/>
      <x:c r="K163" s="101" t="str">
        <x:f>IF(B163="","",IFERROR(IF(INDEX('Task Master'!$C$5:$C$804,MATCH(B163,'Task Master'!$A$5:$A$804,0))="executing","Open in CSSP",""),"Not in latest raw"))</x:f>
      </x:c>
      <x:c r="L163" s="100"/>
    </x:row>
    <x:row r="164">
      <x:c r="A164" s="99"/>
      <x:c r="B164" s="97"/>
      <x:c r="C164" s="97"/>
      <x:c r="D164" s="97"/>
      <x:c r="E164" s="100"/>
      <x:c r="F164" s="100"/>
      <x:c r="G164" s="100"/>
      <x:c r="H164" s="100"/>
      <x:c r="I164" s="100"/>
      <x:c r="J164" s="103"/>
      <x:c r="K164" s="101" t="str">
        <x:f>IF(B164="","",IFERROR(IF(INDEX('Task Master'!$C$5:$C$804,MATCH(B164,'Task Master'!$A$5:$A$804,0))="executing","Open in CSSP",""),"Not in latest raw"))</x:f>
      </x:c>
      <x:c r="L164" s="100"/>
    </x:row>
    <x:row r="165">
      <x:c r="A165" s="99"/>
      <x:c r="B165" s="97"/>
      <x:c r="C165" s="97"/>
      <x:c r="D165" s="97"/>
      <x:c r="E165" s="100"/>
      <x:c r="F165" s="100"/>
      <x:c r="G165" s="100"/>
      <x:c r="H165" s="100"/>
      <x:c r="I165" s="100"/>
      <x:c r="J165" s="103"/>
      <x:c r="K165" s="101" t="str">
        <x:f>IF(B165="","",IFERROR(IF(INDEX('Task Master'!$C$5:$C$804,MATCH(B165,'Task Master'!$A$5:$A$804,0))="executing","Open in CSSP",""),"Not in latest raw"))</x:f>
      </x:c>
      <x:c r="L165" s="100"/>
    </x:row>
    <x:row r="166">
      <x:c r="A166" s="99"/>
      <x:c r="B166" s="97"/>
      <x:c r="C166" s="97"/>
      <x:c r="D166" s="97"/>
      <x:c r="E166" s="100"/>
      <x:c r="F166" s="100"/>
      <x:c r="G166" s="100"/>
      <x:c r="H166" s="100"/>
      <x:c r="I166" s="100"/>
      <x:c r="J166" s="103"/>
      <x:c r="K166" s="101" t="str">
        <x:f>IF(B166="","",IFERROR(IF(INDEX('Task Master'!$C$5:$C$804,MATCH(B166,'Task Master'!$A$5:$A$804,0))="executing","Open in CSSP",""),"Not in latest raw"))</x:f>
      </x:c>
      <x:c r="L166" s="100"/>
    </x:row>
    <x:row r="167">
      <x:c r="A167" s="99"/>
      <x:c r="B167" s="97"/>
      <x:c r="C167" s="97"/>
      <x:c r="D167" s="97"/>
      <x:c r="E167" s="100"/>
      <x:c r="F167" s="100"/>
      <x:c r="G167" s="100"/>
      <x:c r="H167" s="100"/>
      <x:c r="I167" s="100"/>
      <x:c r="J167" s="103"/>
      <x:c r="K167" s="101" t="str">
        <x:f>IF(B167="","",IFERROR(IF(INDEX('Task Master'!$C$5:$C$804,MATCH(B167,'Task Master'!$A$5:$A$804,0))="executing","Open in CSSP",""),"Not in latest raw"))</x:f>
      </x:c>
      <x:c r="L167" s="100"/>
    </x:row>
    <x:row r="168">
      <x:c r="A168" s="99"/>
      <x:c r="B168" s="97"/>
      <x:c r="C168" s="97"/>
      <x:c r="D168" s="97"/>
      <x:c r="E168" s="100"/>
      <x:c r="F168" s="100"/>
      <x:c r="G168" s="100"/>
      <x:c r="H168" s="100"/>
      <x:c r="I168" s="100"/>
      <x:c r="J168" s="103"/>
      <x:c r="K168" s="101" t="str">
        <x:f>IF(B168="","",IFERROR(IF(INDEX('Task Master'!$C$5:$C$804,MATCH(B168,'Task Master'!$A$5:$A$804,0))="executing","Open in CSSP",""),"Not in latest raw"))</x:f>
      </x:c>
      <x:c r="L168" s="100"/>
    </x:row>
    <x:row r="169">
      <x:c r="A169" s="99"/>
      <x:c r="B169" s="97"/>
      <x:c r="C169" s="97"/>
      <x:c r="D169" s="97"/>
      <x:c r="E169" s="100"/>
      <x:c r="F169" s="100"/>
      <x:c r="G169" s="100"/>
      <x:c r="H169" s="100"/>
      <x:c r="I169" s="100"/>
      <x:c r="J169" s="103"/>
      <x:c r="K169" s="101" t="str">
        <x:f>IF(B169="","",IFERROR(IF(INDEX('Task Master'!$C$5:$C$804,MATCH(B169,'Task Master'!$A$5:$A$804,0))="executing","Open in CSSP",""),"Not in latest raw"))</x:f>
      </x:c>
      <x:c r="L169" s="100"/>
    </x:row>
    <x:row r="170">
      <x:c r="A170" s="99"/>
      <x:c r="B170" s="97"/>
      <x:c r="C170" s="97"/>
      <x:c r="D170" s="97"/>
      <x:c r="E170" s="100"/>
      <x:c r="F170" s="100"/>
      <x:c r="G170" s="100"/>
      <x:c r="H170" s="100"/>
      <x:c r="I170" s="100"/>
      <x:c r="J170" s="103"/>
      <x:c r="K170" s="101" t="str">
        <x:f>IF(B170="","",IFERROR(IF(INDEX('Task Master'!$C$5:$C$804,MATCH(B170,'Task Master'!$A$5:$A$804,0))="executing","Open in CSSP",""),"Not in latest raw"))</x:f>
      </x:c>
      <x:c r="L170" s="100"/>
    </x:row>
    <x:row r="171">
      <x:c r="A171" s="99"/>
      <x:c r="B171" s="97"/>
      <x:c r="C171" s="97"/>
      <x:c r="D171" s="97"/>
      <x:c r="E171" s="100"/>
      <x:c r="F171" s="100"/>
      <x:c r="G171" s="100"/>
      <x:c r="H171" s="100"/>
      <x:c r="I171" s="100"/>
      <x:c r="J171" s="103"/>
      <x:c r="K171" s="101" t="str">
        <x:f>IF(B171="","",IFERROR(IF(INDEX('Task Master'!$C$5:$C$804,MATCH(B171,'Task Master'!$A$5:$A$804,0))="executing","Open in CSSP",""),"Not in latest raw"))</x:f>
      </x:c>
      <x:c r="L171" s="100"/>
    </x:row>
    <x:row r="172">
      <x:c r="A172" s="99"/>
      <x:c r="B172" s="97"/>
      <x:c r="C172" s="97"/>
      <x:c r="D172" s="97"/>
      <x:c r="E172" s="100"/>
      <x:c r="F172" s="100"/>
      <x:c r="G172" s="100"/>
      <x:c r="H172" s="100"/>
      <x:c r="I172" s="100"/>
      <x:c r="J172" s="103"/>
      <x:c r="K172" s="101" t="str">
        <x:f>IF(B172="","",IFERROR(IF(INDEX('Task Master'!$C$5:$C$804,MATCH(B172,'Task Master'!$A$5:$A$804,0))="executing","Open in CSSP",""),"Not in latest raw"))</x:f>
      </x:c>
      <x:c r="L172" s="100"/>
    </x:row>
    <x:row r="173">
      <x:c r="A173" s="99"/>
      <x:c r="B173" s="97"/>
      <x:c r="C173" s="97"/>
      <x:c r="D173" s="97"/>
      <x:c r="E173" s="100"/>
      <x:c r="F173" s="100"/>
      <x:c r="G173" s="100"/>
      <x:c r="H173" s="100"/>
      <x:c r="I173" s="100"/>
      <x:c r="J173" s="103"/>
      <x:c r="K173" s="101" t="str">
        <x:f>IF(B173="","",IFERROR(IF(INDEX('Task Master'!$C$5:$C$804,MATCH(B173,'Task Master'!$A$5:$A$804,0))="executing","Open in CSSP",""),"Not in latest raw"))</x:f>
      </x:c>
      <x:c r="L173" s="100"/>
    </x:row>
    <x:row r="174">
      <x:c r="A174" s="99"/>
      <x:c r="B174" s="97"/>
      <x:c r="C174" s="97"/>
      <x:c r="D174" s="97"/>
      <x:c r="E174" s="100"/>
      <x:c r="F174" s="100"/>
      <x:c r="G174" s="100"/>
      <x:c r="H174" s="100"/>
      <x:c r="I174" s="100"/>
      <x:c r="J174" s="103"/>
      <x:c r="K174" s="101" t="str">
        <x:f>IF(B174="","",IFERROR(IF(INDEX('Task Master'!$C$5:$C$804,MATCH(B174,'Task Master'!$A$5:$A$804,0))="executing","Open in CSSP",""),"Not in latest raw"))</x:f>
      </x:c>
      <x:c r="L174" s="100"/>
    </x:row>
    <x:row r="175">
      <x:c r="A175" s="99"/>
      <x:c r="B175" s="97"/>
      <x:c r="C175" s="97"/>
      <x:c r="D175" s="97"/>
      <x:c r="E175" s="100"/>
      <x:c r="F175" s="100"/>
      <x:c r="G175" s="100"/>
      <x:c r="H175" s="100"/>
      <x:c r="I175" s="100"/>
      <x:c r="J175" s="103"/>
      <x:c r="K175" s="101" t="str">
        <x:f>IF(B175="","",IFERROR(IF(INDEX('Task Master'!$C$5:$C$804,MATCH(B175,'Task Master'!$A$5:$A$804,0))="executing","Open in CSSP",""),"Not in latest raw"))</x:f>
      </x:c>
      <x:c r="L175" s="100"/>
    </x:row>
    <x:row r="176">
      <x:c r="A176" s="99"/>
      <x:c r="B176" s="97"/>
      <x:c r="C176" s="97"/>
      <x:c r="D176" s="97"/>
      <x:c r="E176" s="100"/>
      <x:c r="F176" s="100"/>
      <x:c r="G176" s="100"/>
      <x:c r="H176" s="100"/>
      <x:c r="I176" s="100"/>
      <x:c r="J176" s="103"/>
      <x:c r="K176" s="101" t="str">
        <x:f>IF(B176="","",IFERROR(IF(INDEX('Task Master'!$C$5:$C$804,MATCH(B176,'Task Master'!$A$5:$A$804,0))="executing","Open in CSSP",""),"Not in latest raw"))</x:f>
      </x:c>
      <x:c r="L176" s="100"/>
    </x:row>
    <x:row r="177">
      <x:c r="A177" s="99"/>
      <x:c r="B177" s="97"/>
      <x:c r="C177" s="97"/>
      <x:c r="D177" s="97"/>
      <x:c r="E177" s="100"/>
      <x:c r="F177" s="100"/>
      <x:c r="G177" s="100"/>
      <x:c r="H177" s="100"/>
      <x:c r="I177" s="100"/>
      <x:c r="J177" s="103"/>
      <x:c r="K177" s="101" t="str">
        <x:f>IF(B177="","",IFERROR(IF(INDEX('Task Master'!$C$5:$C$804,MATCH(B177,'Task Master'!$A$5:$A$804,0))="executing","Open in CSSP",""),"Not in latest raw"))</x:f>
      </x:c>
      <x:c r="L177" s="100"/>
    </x:row>
    <x:row r="178">
      <x:c r="A178" s="99"/>
      <x:c r="B178" s="97"/>
      <x:c r="C178" s="97"/>
      <x:c r="D178" s="97"/>
      <x:c r="E178" s="100"/>
      <x:c r="F178" s="100"/>
      <x:c r="G178" s="100"/>
      <x:c r="H178" s="100"/>
      <x:c r="I178" s="100"/>
      <x:c r="J178" s="103"/>
      <x:c r="K178" s="101" t="str">
        <x:f>IF(B178="","",IFERROR(IF(INDEX('Task Master'!$C$5:$C$804,MATCH(B178,'Task Master'!$A$5:$A$804,0))="executing","Open in CSSP",""),"Not in latest raw"))</x:f>
      </x:c>
      <x:c r="L178" s="100"/>
    </x:row>
    <x:row r="179">
      <x:c r="A179" s="99"/>
      <x:c r="B179" s="97"/>
      <x:c r="C179" s="97"/>
      <x:c r="D179" s="97"/>
      <x:c r="E179" s="100"/>
      <x:c r="F179" s="100"/>
      <x:c r="G179" s="100"/>
      <x:c r="H179" s="100"/>
      <x:c r="I179" s="100"/>
      <x:c r="J179" s="103"/>
      <x:c r="K179" s="101" t="str">
        <x:f>IF(B179="","",IFERROR(IF(INDEX('Task Master'!$C$5:$C$804,MATCH(B179,'Task Master'!$A$5:$A$804,0))="executing","Open in CSSP",""),"Not in latest raw"))</x:f>
      </x:c>
      <x:c r="L179" s="100"/>
    </x:row>
    <x:row r="180">
      <x:c r="A180" s="99"/>
      <x:c r="B180" s="97"/>
      <x:c r="C180" s="97"/>
      <x:c r="D180" s="97"/>
      <x:c r="E180" s="100"/>
      <x:c r="F180" s="100"/>
      <x:c r="G180" s="100"/>
      <x:c r="H180" s="100"/>
      <x:c r="I180" s="100"/>
      <x:c r="J180" s="103"/>
      <x:c r="K180" s="101" t="str">
        <x:f>IF(B180="","",IFERROR(IF(INDEX('Task Master'!$C$5:$C$804,MATCH(B180,'Task Master'!$A$5:$A$804,0))="executing","Open in CSSP",""),"Not in latest raw"))</x:f>
      </x:c>
      <x:c r="L180" s="100"/>
    </x:row>
    <x:row r="181">
      <x:c r="A181" s="99"/>
      <x:c r="B181" s="97"/>
      <x:c r="C181" s="97"/>
      <x:c r="D181" s="97"/>
      <x:c r="E181" s="100"/>
      <x:c r="F181" s="100"/>
      <x:c r="G181" s="100"/>
      <x:c r="H181" s="100"/>
      <x:c r="I181" s="100"/>
      <x:c r="J181" s="103"/>
      <x:c r="K181" s="101" t="str">
        <x:f>IF(B181="","",IFERROR(IF(INDEX('Task Master'!$C$5:$C$804,MATCH(B181,'Task Master'!$A$5:$A$804,0))="executing","Open in CSSP",""),"Not in latest raw"))</x:f>
      </x:c>
      <x:c r="L181" s="100"/>
    </x:row>
    <x:row r="182">
      <x:c r="A182" s="99"/>
      <x:c r="B182" s="97"/>
      <x:c r="C182" s="97"/>
      <x:c r="D182" s="97"/>
      <x:c r="E182" s="100"/>
      <x:c r="F182" s="100"/>
      <x:c r="G182" s="100"/>
      <x:c r="H182" s="100"/>
      <x:c r="I182" s="100"/>
      <x:c r="J182" s="103"/>
      <x:c r="K182" s="101" t="str">
        <x:f>IF(B182="","",IFERROR(IF(INDEX('Task Master'!$C$5:$C$804,MATCH(B182,'Task Master'!$A$5:$A$804,0))="executing","Open in CSSP",""),"Not in latest raw"))</x:f>
      </x:c>
      <x:c r="L182" s="100"/>
    </x:row>
    <x:row r="183">
      <x:c r="A183" s="99"/>
      <x:c r="B183" s="97"/>
      <x:c r="C183" s="97"/>
      <x:c r="D183" s="97"/>
      <x:c r="E183" s="100"/>
      <x:c r="F183" s="100"/>
      <x:c r="G183" s="100"/>
      <x:c r="H183" s="100"/>
      <x:c r="I183" s="100"/>
      <x:c r="J183" s="103"/>
      <x:c r="K183" s="101" t="str">
        <x:f>IF(B183="","",IFERROR(IF(INDEX('Task Master'!$C$5:$C$804,MATCH(B183,'Task Master'!$A$5:$A$804,0))="executing","Open in CSSP",""),"Not in latest raw"))</x:f>
      </x:c>
      <x:c r="L183" s="100"/>
    </x:row>
    <x:row r="184">
      <x:c r="A184" s="99"/>
      <x:c r="B184" s="97"/>
      <x:c r="C184" s="97"/>
      <x:c r="D184" s="97"/>
      <x:c r="E184" s="100"/>
      <x:c r="F184" s="100"/>
      <x:c r="G184" s="100"/>
      <x:c r="H184" s="100"/>
      <x:c r="I184" s="100"/>
      <x:c r="J184" s="103"/>
      <x:c r="K184" s="101" t="str">
        <x:f>IF(B184="","",IFERROR(IF(INDEX('Task Master'!$C$5:$C$804,MATCH(B184,'Task Master'!$A$5:$A$804,0))="executing","Open in CSSP",""),"Not in latest raw"))</x:f>
      </x:c>
      <x:c r="L184" s="100"/>
    </x:row>
    <x:row r="185">
      <x:c r="A185" s="99"/>
      <x:c r="B185" s="97"/>
      <x:c r="C185" s="97"/>
      <x:c r="D185" s="97"/>
      <x:c r="E185" s="100"/>
      <x:c r="F185" s="100"/>
      <x:c r="G185" s="100"/>
      <x:c r="H185" s="100"/>
      <x:c r="I185" s="100"/>
      <x:c r="J185" s="103"/>
      <x:c r="K185" s="101" t="str">
        <x:f>IF(B185="","",IFERROR(IF(INDEX('Task Master'!$C$5:$C$804,MATCH(B185,'Task Master'!$A$5:$A$804,0))="executing","Open in CSSP",""),"Not in latest raw"))</x:f>
      </x:c>
      <x:c r="L185" s="100"/>
    </x:row>
    <x:row r="186">
      <x:c r="A186" s="99"/>
      <x:c r="B186" s="97"/>
      <x:c r="C186" s="97"/>
      <x:c r="D186" s="97"/>
      <x:c r="E186" s="100"/>
      <x:c r="F186" s="100"/>
      <x:c r="G186" s="100"/>
      <x:c r="H186" s="100"/>
      <x:c r="I186" s="100"/>
      <x:c r="J186" s="103"/>
      <x:c r="K186" s="101" t="str">
        <x:f>IF(B186="","",IFERROR(IF(INDEX('Task Master'!$C$5:$C$804,MATCH(B186,'Task Master'!$A$5:$A$804,0))="executing","Open in CSSP",""),"Not in latest raw"))</x:f>
      </x:c>
      <x:c r="L186" s="100"/>
    </x:row>
    <x:row r="187">
      <x:c r="A187" s="99"/>
      <x:c r="B187" s="97"/>
      <x:c r="C187" s="97"/>
      <x:c r="D187" s="97"/>
      <x:c r="E187" s="100"/>
      <x:c r="F187" s="100"/>
      <x:c r="G187" s="100"/>
      <x:c r="H187" s="100"/>
      <x:c r="I187" s="100"/>
      <x:c r="J187" s="103"/>
      <x:c r="K187" s="101" t="str">
        <x:f>IF(B187="","",IFERROR(IF(INDEX('Task Master'!$C$5:$C$804,MATCH(B187,'Task Master'!$A$5:$A$804,0))="executing","Open in CSSP",""),"Not in latest raw"))</x:f>
      </x:c>
      <x:c r="L187" s="100"/>
    </x:row>
    <x:row r="188">
      <x:c r="A188" s="99"/>
      <x:c r="B188" s="97"/>
      <x:c r="C188" s="97"/>
      <x:c r="D188" s="97"/>
      <x:c r="E188" s="100"/>
      <x:c r="F188" s="100"/>
      <x:c r="G188" s="100"/>
      <x:c r="H188" s="100"/>
      <x:c r="I188" s="100"/>
      <x:c r="J188" s="103"/>
      <x:c r="K188" s="101" t="str">
        <x:f>IF(B188="","",IFERROR(IF(INDEX('Task Master'!$C$5:$C$804,MATCH(B188,'Task Master'!$A$5:$A$804,0))="executing","Open in CSSP",""),"Not in latest raw"))</x:f>
      </x:c>
      <x:c r="L188" s="100"/>
    </x:row>
    <x:row r="189">
      <x:c r="A189" s="99"/>
      <x:c r="B189" s="97"/>
      <x:c r="C189" s="97"/>
      <x:c r="D189" s="97"/>
      <x:c r="E189" s="100"/>
      <x:c r="F189" s="100"/>
      <x:c r="G189" s="100"/>
      <x:c r="H189" s="100"/>
      <x:c r="I189" s="100"/>
      <x:c r="J189" s="103"/>
      <x:c r="K189" s="101" t="str">
        <x:f>IF(B189="","",IFERROR(IF(INDEX('Task Master'!$C$5:$C$804,MATCH(B189,'Task Master'!$A$5:$A$804,0))="executing","Open in CSSP",""),"Not in latest raw"))</x:f>
      </x:c>
      <x:c r="L189" s="100"/>
    </x:row>
    <x:row r="190">
      <x:c r="A190" s="99"/>
      <x:c r="B190" s="97"/>
      <x:c r="C190" s="97"/>
      <x:c r="D190" s="97"/>
      <x:c r="E190" s="100"/>
      <x:c r="F190" s="100"/>
      <x:c r="G190" s="100"/>
      <x:c r="H190" s="100"/>
      <x:c r="I190" s="100"/>
      <x:c r="J190" s="103"/>
      <x:c r="K190" s="101" t="str">
        <x:f>IF(B190="","",IFERROR(IF(INDEX('Task Master'!$C$5:$C$804,MATCH(B190,'Task Master'!$A$5:$A$804,0))="executing","Open in CSSP",""),"Not in latest raw"))</x:f>
      </x:c>
      <x:c r="L190" s="100"/>
    </x:row>
    <x:row r="191">
      <x:c r="A191" s="99"/>
      <x:c r="B191" s="97"/>
      <x:c r="C191" s="97"/>
      <x:c r="D191" s="97"/>
      <x:c r="E191" s="100"/>
      <x:c r="F191" s="100"/>
      <x:c r="G191" s="100"/>
      <x:c r="H191" s="100"/>
      <x:c r="I191" s="100"/>
      <x:c r="J191" s="103"/>
      <x:c r="K191" s="101" t="str">
        <x:f>IF(B191="","",IFERROR(IF(INDEX('Task Master'!$C$5:$C$804,MATCH(B191,'Task Master'!$A$5:$A$804,0))="executing","Open in CSSP",""),"Not in latest raw"))</x:f>
      </x:c>
      <x:c r="L191" s="100"/>
    </x:row>
    <x:row r="192">
      <x:c r="A192" s="99"/>
      <x:c r="B192" s="97"/>
      <x:c r="C192" s="97"/>
      <x:c r="D192" s="97"/>
      <x:c r="E192" s="100"/>
      <x:c r="F192" s="100"/>
      <x:c r="G192" s="100"/>
      <x:c r="H192" s="100"/>
      <x:c r="I192" s="100"/>
      <x:c r="J192" s="103"/>
      <x:c r="K192" s="101" t="str">
        <x:f>IF(B192="","",IFERROR(IF(INDEX('Task Master'!$C$5:$C$804,MATCH(B192,'Task Master'!$A$5:$A$804,0))="executing","Open in CSSP",""),"Not in latest raw"))</x:f>
      </x:c>
      <x:c r="L192" s="100"/>
    </x:row>
    <x:row r="193">
      <x:c r="A193" s="99"/>
      <x:c r="B193" s="97"/>
      <x:c r="C193" s="97"/>
      <x:c r="D193" s="97"/>
      <x:c r="E193" s="100"/>
      <x:c r="F193" s="100"/>
      <x:c r="G193" s="100"/>
      <x:c r="H193" s="100"/>
      <x:c r="I193" s="100"/>
      <x:c r="J193" s="103"/>
      <x:c r="K193" s="101" t="str">
        <x:f>IF(B193="","",IFERROR(IF(INDEX('Task Master'!$C$5:$C$804,MATCH(B193,'Task Master'!$A$5:$A$804,0))="executing","Open in CSSP",""),"Not in latest raw"))</x:f>
      </x:c>
      <x:c r="L193" s="100"/>
    </x:row>
    <x:row r="194">
      <x:c r="A194" s="99"/>
      <x:c r="B194" s="97"/>
      <x:c r="C194" s="97"/>
      <x:c r="D194" s="97"/>
      <x:c r="E194" s="100"/>
      <x:c r="F194" s="100"/>
      <x:c r="G194" s="100"/>
      <x:c r="H194" s="100"/>
      <x:c r="I194" s="100"/>
      <x:c r="J194" s="103"/>
      <x:c r="K194" s="101" t="str">
        <x:f>IF(B194="","",IFERROR(IF(INDEX('Task Master'!$C$5:$C$804,MATCH(B194,'Task Master'!$A$5:$A$804,0))="executing","Open in CSSP",""),"Not in latest raw"))</x:f>
      </x:c>
      <x:c r="L194" s="100"/>
    </x:row>
    <x:row r="195">
      <x:c r="A195" s="99"/>
      <x:c r="B195" s="97"/>
      <x:c r="C195" s="97"/>
      <x:c r="D195" s="97"/>
      <x:c r="E195" s="100"/>
      <x:c r="F195" s="100"/>
      <x:c r="G195" s="100"/>
      <x:c r="H195" s="100"/>
      <x:c r="I195" s="100"/>
      <x:c r="J195" s="103"/>
      <x:c r="K195" s="101" t="str">
        <x:f>IF(B195="","",IFERROR(IF(INDEX('Task Master'!$C$5:$C$804,MATCH(B195,'Task Master'!$A$5:$A$804,0))="executing","Open in CSSP",""),"Not in latest raw"))</x:f>
      </x:c>
      <x:c r="L195" s="100"/>
    </x:row>
    <x:row r="196">
      <x:c r="A196" s="99"/>
      <x:c r="B196" s="97"/>
      <x:c r="C196" s="97"/>
      <x:c r="D196" s="97"/>
      <x:c r="E196" s="100"/>
      <x:c r="F196" s="100"/>
      <x:c r="G196" s="100"/>
      <x:c r="H196" s="100"/>
      <x:c r="I196" s="100"/>
      <x:c r="J196" s="103"/>
      <x:c r="K196" s="101" t="str">
        <x:f>IF(B196="","",IFERROR(IF(INDEX('Task Master'!$C$5:$C$804,MATCH(B196,'Task Master'!$A$5:$A$804,0))="executing","Open in CSSP",""),"Not in latest raw"))</x:f>
      </x:c>
      <x:c r="L196" s="100"/>
    </x:row>
    <x:row r="197">
      <x:c r="A197" s="99"/>
      <x:c r="B197" s="97"/>
      <x:c r="C197" s="97"/>
      <x:c r="D197" s="97"/>
      <x:c r="E197" s="100"/>
      <x:c r="F197" s="100"/>
      <x:c r="G197" s="100"/>
      <x:c r="H197" s="100"/>
      <x:c r="I197" s="100"/>
      <x:c r="J197" s="103"/>
      <x:c r="K197" s="101" t="str">
        <x:f>IF(B197="","",IFERROR(IF(INDEX('Task Master'!$C$5:$C$804,MATCH(B197,'Task Master'!$A$5:$A$804,0))="executing","Open in CSSP",""),"Not in latest raw"))</x:f>
      </x:c>
      <x:c r="L197" s="100"/>
    </x:row>
    <x:row r="198">
      <x:c r="A198" s="99"/>
      <x:c r="B198" s="97"/>
      <x:c r="C198" s="97"/>
      <x:c r="D198" s="97"/>
      <x:c r="E198" s="100"/>
      <x:c r="F198" s="100"/>
      <x:c r="G198" s="100"/>
      <x:c r="H198" s="100"/>
      <x:c r="I198" s="100"/>
      <x:c r="J198" s="103"/>
      <x:c r="K198" s="101" t="str">
        <x:f>IF(B198="","",IFERROR(IF(INDEX('Task Master'!$C$5:$C$804,MATCH(B198,'Task Master'!$A$5:$A$804,0))="executing","Open in CSSP",""),"Not in latest raw"))</x:f>
      </x:c>
      <x:c r="L198" s="100"/>
    </x:row>
    <x:row r="199">
      <x:c r="A199" s="99"/>
      <x:c r="B199" s="97"/>
      <x:c r="C199" s="97"/>
      <x:c r="D199" s="97"/>
      <x:c r="E199" s="100"/>
      <x:c r="F199" s="100"/>
      <x:c r="G199" s="100"/>
      <x:c r="H199" s="100"/>
      <x:c r="I199" s="100"/>
      <x:c r="J199" s="103"/>
      <x:c r="K199" s="101" t="str">
        <x:f>IF(B199="","",IFERROR(IF(INDEX('Task Master'!$C$5:$C$804,MATCH(B199,'Task Master'!$A$5:$A$804,0))="executing","Open in CSSP",""),"Not in latest raw"))</x:f>
      </x:c>
      <x:c r="L199" s="100"/>
    </x:row>
    <x:row r="200">
      <x:c r="A200" s="99"/>
      <x:c r="B200" s="97"/>
      <x:c r="C200" s="97"/>
      <x:c r="D200" s="97"/>
      <x:c r="E200" s="100"/>
      <x:c r="F200" s="100"/>
      <x:c r="G200" s="100"/>
      <x:c r="H200" s="100"/>
      <x:c r="I200" s="100"/>
      <x:c r="J200" s="103"/>
      <x:c r="K200" s="101" t="str">
        <x:f>IF(B200="","",IFERROR(IF(INDEX('Task Master'!$C$5:$C$804,MATCH(B200,'Task Master'!$A$5:$A$804,0))="executing","Open in CSSP",""),"Not in latest raw"))</x:f>
      </x:c>
      <x:c r="L200" s="100"/>
    </x:row>
    <x:row r="201">
      <x:c r="A201" s="99"/>
      <x:c r="B201" s="97"/>
      <x:c r="C201" s="97"/>
      <x:c r="D201" s="97"/>
      <x:c r="E201" s="100"/>
      <x:c r="F201" s="100"/>
      <x:c r="G201" s="100"/>
      <x:c r="H201" s="100"/>
      <x:c r="I201" s="100"/>
      <x:c r="J201" s="103"/>
      <x:c r="K201" s="101" t="str">
        <x:f>IF(B201="","",IFERROR(IF(INDEX('Task Master'!$C$5:$C$804,MATCH(B201,'Task Master'!$A$5:$A$804,0))="executing","Open in CSSP",""),"Not in latest raw"))</x:f>
      </x:c>
      <x:c r="L201" s="100"/>
    </x:row>
    <x:row r="202">
      <x:c r="A202" s="99"/>
      <x:c r="B202" s="97"/>
      <x:c r="C202" s="97"/>
      <x:c r="D202" s="97"/>
      <x:c r="E202" s="100"/>
      <x:c r="F202" s="100"/>
      <x:c r="G202" s="100"/>
      <x:c r="H202" s="100"/>
      <x:c r="I202" s="100"/>
      <x:c r="J202" s="103"/>
      <x:c r="K202" s="101" t="str">
        <x:f>IF(B202="","",IFERROR(IF(INDEX('Task Master'!$C$5:$C$804,MATCH(B202,'Task Master'!$A$5:$A$804,0))="executing","Open in CSSP",""),"Not in latest raw"))</x:f>
      </x:c>
      <x:c r="L202" s="100"/>
    </x:row>
    <x:row r="203">
      <x:c r="A203" s="99"/>
      <x:c r="B203" s="97"/>
      <x:c r="C203" s="97"/>
      <x:c r="D203" s="97"/>
      <x:c r="E203" s="100"/>
      <x:c r="F203" s="100"/>
      <x:c r="G203" s="100"/>
      <x:c r="H203" s="100"/>
      <x:c r="I203" s="100"/>
      <x:c r="J203" s="103"/>
      <x:c r="K203" s="101" t="str">
        <x:f>IF(B203="","",IFERROR(IF(INDEX('Task Master'!$C$5:$C$804,MATCH(B203,'Task Master'!$A$5:$A$804,0))="executing","Open in CSSP",""),"Not in latest raw"))</x:f>
      </x:c>
      <x:c r="L203" s="100"/>
    </x:row>
    <x:row r="204">
      <x:c r="A204" s="99"/>
      <x:c r="B204" s="97"/>
      <x:c r="C204" s="97"/>
      <x:c r="D204" s="97"/>
      <x:c r="E204" s="100"/>
      <x:c r="F204" s="100"/>
      <x:c r="G204" s="100"/>
      <x:c r="H204" s="100"/>
      <x:c r="I204" s="100"/>
      <x:c r="J204" s="103"/>
      <x:c r="K204" s="101" t="str">
        <x:f>IF(B204="","",IFERROR(IF(INDEX('Task Master'!$C$5:$C$804,MATCH(B204,'Task Master'!$A$5:$A$804,0))="executing","Open in CSSP",""),"Not in latest raw"))</x:f>
      </x:c>
      <x:c r="L204" s="100"/>
    </x:row>
  </x:sheetData>
  <x:mergeCells>
    <x:mergeCell ref="A1:L1"/>
    <x:mergeCell ref="A2:L2"/>
  </x:mergeCells>
  <x:conditionalFormatting sqref="G5:G204">
    <x:cfRule type="containsText" dxfId="190" priority="1" operator="containsText" text="Confirmed OOS"/>
  </x:conditionalFormatting>
  <x:conditionalFormatting sqref="K5:K204">
    <x:cfRule type="containsText" dxfId="189" priority="2" operator="containsText" text="Yes"/>
  </x:conditionalFormatting>
  <x:dataValidations count="4">
    <x:dataValidation type="list" sqref="D5:D204">
      <x:formula1>"Private Cloud,On-Premises,Other"</x:formula1>
    </x:dataValidation>
    <x:dataValidation type="list" sqref="G5:G204">
      <x:formula1>"Not Reviewed,Pending Review,Confirmed OOS,Rejected OOS"</x:formula1>
    </x:dataValidation>
    <x:dataValidation type="list" sqref="H5:H204">
      <x:formula1>"Return to Requestor,Route to Private Cloud Team,Route to On-Prem Team,Continue In Scope"</x:formula1>
    </x:dataValidation>
    <x:dataValidation type="list" sqref="B5:B204">
      <x:formula1>'Task Master'!$A$5:$A$804</x:formula1>
    </x:dataValidation>
  </x:dataValidations>
  <x:pageMargins left="0.7" right="0.7" top="0.75" bottom="0.75" header="0.3" footer="0.3"/>
  <x:tableParts count="1">
    <x:tablePart xmlns:r="http://schemas.openxmlformats.org/officeDocument/2006/relationships" r:id="Reeed2cff8aba482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style="2" customWidth="1"/>
    <x:col min="2" max="2" width="24" style="2" customWidth="1"/>
    <x:col min="3" max="3" width="29" style="2" customWidth="1"/>
    <x:col min="4" max="4" width="14" style="2" customWidth="1"/>
    <x:col min="5" max="5" width="20" style="2" customWidth="1"/>
    <x:col min="6" max="6" width="18" style="2" customWidth="1"/>
    <x:col min="7" max="7" width="16" style="2" customWidth="1"/>
    <x:col min="8" max="8" width="22" style="2" customWidth="1"/>
    <x:col min="9" max="9" width="18" style="2" customWidth="1"/>
    <x:col min="10" max="10" width="24" style="2" customWidth="1"/>
    <x:col min="11" max="11" width="17" style="2" customWidth="1"/>
    <x:col min="12" max="12" width="20" style="2" customWidth="1"/>
    <x:col min="13" max="13" width="16" style="2" customWidth="1"/>
    <x:col min="14" max="14" width="17" style="2" customWidth="1"/>
    <x:col min="15" max="15" width="20" style="2" customWidth="1"/>
    <x:col min="16" max="16384" width="9" style="2" customWidth="0"/>
  </x:cols>
  <x:sheetData>
    <x:row r="1" ht="30" customHeight="1">
      <x:c r="A1" s="1" t="s">
        <x:v>94</x:v>
      </x:c>
      <x:c r="B1" s="1"/>
      <x:c r="C1" s="1"/>
      <x:c r="D1" s="1"/>
      <x:c r="E1" s="1"/>
      <x:c r="F1" s="1"/>
      <x:c r="G1" s="1"/>
      <x:c r="H1" s="1"/>
      <x:c r="I1" s="1"/>
      <x:c r="J1" s="1"/>
      <x:c r="K1" s="1"/>
      <x:c r="L1" s="1"/>
      <x:c r="M1" s="1"/>
      <x:c r="N1" s="1"/>
      <x:c r="O1" s="1"/>
    </x:row>
    <x:row r="2" ht="24" customHeight="1">
      <x:c r="A2" s="3" t="s">
        <x:v>95</x:v>
      </x:c>
      <x:c r="B2" s="3"/>
      <x:c r="C2" s="3"/>
      <x:c r="D2" s="3"/>
      <x:c r="E2" s="3"/>
      <x:c r="F2" s="3"/>
      <x:c r="G2" s="3"/>
      <x:c r="H2" s="3"/>
      <x:c r="I2" s="3"/>
      <x:c r="J2" s="3"/>
      <x:c r="K2" s="3"/>
      <x:c r="L2" s="3"/>
      <x:c r="M2" s="3"/>
      <x:c r="N2" s="3"/>
      <x:c r="O2" s="3"/>
    </x:row>
    <x:row r="3">
      <x:c r="A3"/>
      <x:c r="B3"/>
      <x:c r="C3"/>
      <x:c r="D3"/>
      <x:c r="E3"/>
      <x:c r="F3"/>
      <x:c r="G3"/>
      <x:c r="H3"/>
      <x:c r="I3"/>
      <x:c r="J3"/>
      <x:c r="K3"/>
      <x:c r="L3"/>
      <x:c r="M3"/>
      <x:c r="N3"/>
      <x:c r="O3"/>
    </x:row>
    <x:row r="4" ht="32.099998474121094" customHeight="1">
      <x:c r="A4" s="4" t="s">
        <x:v>43</x:v>
      </x:c>
      <x:c r="B4" s="5" t="s">
        <x:v>96</x:v>
      </x:c>
      <x:c r="C4" s="5" t="s">
        <x:v>97</x:v>
      </x:c>
      <x:c r="D4" s="5" t="s">
        <x:v>98</x:v>
      </x:c>
      <x:c r="E4" s="5" t="s">
        <x:v>99</x:v>
      </x:c>
      <x:c r="F4" s="5" t="s">
        <x:v>45</x:v>
      </x:c>
      <x:c r="G4" s="5" t="s">
        <x:v>100</x:v>
      </x:c>
      <x:c r="H4" s="5" t="s">
        <x:v>101</x:v>
      </x:c>
      <x:c r="I4" s="5" t="s">
        <x:v>102</x:v>
      </x:c>
      <x:c r="J4" s="5" t="s">
        <x:v>103</x:v>
      </x:c>
      <x:c r="K4" s="5" t="s">
        <x:v>44</x:v>
      </x:c>
      <x:c r="L4" s="5" t="s">
        <x:v>104</x:v>
      </x:c>
      <x:c r="M4" s="5" t="s">
        <x:v>105</x:v>
      </x:c>
      <x:c r="N4" s="5" t="s">
        <x:v>106</x:v>
      </x:c>
      <x:c r="O4" s="6" t="s">
        <x:v>107</x:v>
      </x:c>
    </x:row>
    <x:row r="5">
      <x:c r="A5" s="2" t="s">
        <x:v>108</x:v>
      </x:c>
      <x:c r="B5" s="2" t="s">
        <x:v>109</x:v>
      </x:c>
      <x:c r="C5" s="97" t="s">
        <x:v>110</x:v>
      </x:c>
      <x:c r="D5" s="104">
        <x:v>1</x:v>
      </x:c>
      <x:c r="E5" s="98" t="n">
        <x:f>Configuration!$S$5</x:f>
        <x:v>12</x:v>
      </x:c>
      <x:c r="F5" s="98" t="n">
        <x:f t="shared" ref="F5:F15" si="0">D5*E5</x:f>
        <x:v>12</x:v>
      </x:c>
      <x:c r="G5" s="98" t="n">
        <x:f>COUNTIFS('Task Master'!$C$5:$C$804,"executing",'Task Master'!$K$5:$K$804,A5,'Task Master'!$N$5:$N$804,"&lt;&gt;Confirmed OOS")</x:f>
        <x:v>7</x:v>
      </x:c>
      <x:c r="H5" s="98" t="n">
        <x:f>SUMIFS('Task Master'!$P$5:$P$804,'Task Master'!$K$5:$K$804,A5)</x:f>
        <x:v>18</x:v>
      </x:c>
      <x:c r="I5" s="105" t="n">
        <x:f t="shared" ref="I5:I15" si="1">IFERROR(H5/F5,0)</x:f>
        <x:v>1.5</x:v>
      </x:c>
      <x:c r="J5" s="98" t="n">
        <x:f>SUMIFS('Task Master'!$M$5:$M$804,'Task Master'!$C$5:$C$804,"processing",'Task Master'!$K$5:$K$804,A5)</x:f>
        <x:v>0</x:v>
      </x:c>
      <x:c r="K5" s="98" t="n">
        <x:f t="shared" ref="K5:K15" si="2">H5+J5</x:f>
        <x:v>18</x:v>
      </x:c>
      <x:c r="L5" s="105" t="n">
        <x:f t="shared" ref="L5:L15" si="3">IFERROR(K5/F5,0)</x:f>
        <x:v>1.5</x:v>
      </x:c>
      <x:c r="M5" s="98" t="n">
        <x:f>COUNTIFS('Daily Targets'!$A$5:$A$204,Dashboard!$B$4,'Daily Targets'!$E$5:$E$204,A5)</x:f>
        <x:v>0</x:v>
      </x:c>
      <x:c r="N5" s="98" t="n">
        <x:f>COUNTIFS('Daily Targets'!$A$5:$A$204,Dashboard!$B$4,'Daily Targets'!$E$5:$E$204,A5,'Daily Targets'!$O$5:$O$204,"Yes")</x:f>
        <x:v>0</x:v>
      </x:c>
      <x:c r="O5" s="98" t="str">
        <x:f t="shared" ref="O5:O15" si="4">IF(L5&gt;1,"OVER CAPACITY",IF(L5&gt;=0.8,"NEAR CAPACITY","AVAILABLE"))</x:f>
        <x:v>OVER CAPACITY</x:v>
      </x:c>
    </x:row>
    <x:row r="6">
      <x:c r="A6" s="2" t="s">
        <x:v>111</x:v>
      </x:c>
      <x:c r="B6" s="2" t="s">
        <x:v>112</x:v>
      </x:c>
      <x:c r="C6" s="97" t="s">
        <x:v>110</x:v>
      </x:c>
      <x:c r="D6" s="104">
        <x:v>1</x:v>
      </x:c>
      <x:c r="E6" s="98" t="n">
        <x:f>Configuration!$S$5</x:f>
        <x:v>12</x:v>
      </x:c>
      <x:c r="F6" s="98">
        <x:f t="shared" si="0"/>
        <x:v>12</x:v>
      </x:c>
      <x:c r="G6" s="98" t="n">
        <x:f>COUNTIFS('Task Master'!$C$5:$C$804,"executing",'Task Master'!$K$5:$K$804,A6,'Task Master'!$N$5:$N$804,"&lt;&gt;Confirmed OOS")</x:f>
        <x:v>5</x:v>
      </x:c>
      <x:c r="H6" s="98" t="n">
        <x:f>SUMIFS('Task Master'!$P$5:$P$804,'Task Master'!$K$5:$K$804,A6)</x:f>
        <x:v>11</x:v>
      </x:c>
      <x:c r="I6" s="105">
        <x:f t="shared" si="1"/>
        <x:v>0.91666666666666663</x:v>
      </x:c>
      <x:c r="J6" s="98" t="n">
        <x:f>SUMIFS('Task Master'!$M$5:$M$804,'Task Master'!$C$5:$C$804,"processing",'Task Master'!$K$5:$K$804,A6)</x:f>
        <x:v>0</x:v>
      </x:c>
      <x:c r="K6" s="98">
        <x:f t="shared" si="2"/>
        <x:v>11</x:v>
      </x:c>
      <x:c r="L6" s="105">
        <x:f t="shared" si="3"/>
        <x:v>0.91666666666666663</x:v>
      </x:c>
      <x:c r="M6" s="98" t="n">
        <x:f>COUNTIFS('Daily Targets'!$A$5:$A$204,Dashboard!$B$4,'Daily Targets'!$E$5:$E$204,A6)</x:f>
        <x:v>0</x:v>
      </x:c>
      <x:c r="N6" s="98" t="n">
        <x:f>COUNTIFS('Daily Targets'!$A$5:$A$204,Dashboard!$B$4,'Daily Targets'!$E$5:$E$204,A6,'Daily Targets'!$O$5:$O$204,"Yes")</x:f>
        <x:v>0</x:v>
      </x:c>
      <x:c r="O6" s="98" t="str">
        <x:f t="shared" si="4"/>
        <x:v>NEAR CAPACITY</x:v>
      </x:c>
    </x:row>
    <x:row r="7">
      <x:c r="A7" s="2" t="s">
        <x:v>113</x:v>
      </x:c>
      <x:c r="B7" s="2" t="s">
        <x:v>114</x:v>
      </x:c>
      <x:c r="C7" s="97" t="s">
        <x:v>110</x:v>
      </x:c>
      <x:c r="D7" s="104">
        <x:v>1</x:v>
      </x:c>
      <x:c r="E7" s="98" t="n">
        <x:f>Configuration!$S$5</x:f>
        <x:v>12</x:v>
      </x:c>
      <x:c r="F7" s="98">
        <x:f t="shared" si="0"/>
        <x:v>12</x:v>
      </x:c>
      <x:c r="G7" s="98" t="n">
        <x:f>COUNTIFS('Task Master'!$C$5:$C$804,"executing",'Task Master'!$K$5:$K$804,A7,'Task Master'!$N$5:$N$804,"&lt;&gt;Confirmed OOS")</x:f>
        <x:v>23</x:v>
      </x:c>
      <x:c r="H7" s="98" t="n">
        <x:f>SUMIFS('Task Master'!$P$5:$P$804,'Task Master'!$K$5:$K$804,A7)</x:f>
        <x:v>42</x:v>
      </x:c>
      <x:c r="I7" s="105">
        <x:f t="shared" si="1"/>
        <x:v>3.5</x:v>
      </x:c>
      <x:c r="J7" s="98" t="n">
        <x:f>SUMIFS('Task Master'!$M$5:$M$804,'Task Master'!$C$5:$C$804,"processing",'Task Master'!$K$5:$K$804,A7)</x:f>
        <x:v>0</x:v>
      </x:c>
      <x:c r="K7" s="98">
        <x:f t="shared" si="2"/>
        <x:v>42</x:v>
      </x:c>
      <x:c r="L7" s="105">
        <x:f t="shared" si="3"/>
        <x:v>3.5</x:v>
      </x:c>
      <x:c r="M7" s="98" t="n">
        <x:f>COUNTIFS('Daily Targets'!$A$5:$A$204,Dashboard!$B$4,'Daily Targets'!$E$5:$E$204,A7)</x:f>
        <x:v>0</x:v>
      </x:c>
      <x:c r="N7" s="98" t="n">
        <x:f>COUNTIFS('Daily Targets'!$A$5:$A$204,Dashboard!$B$4,'Daily Targets'!$E$5:$E$204,A7,'Daily Targets'!$O$5:$O$204,"Yes")</x:f>
        <x:v>0</x:v>
      </x:c>
      <x:c r="O7" s="98" t="str">
        <x:f t="shared" si="4"/>
        <x:v>OVER CAPACITY</x:v>
      </x:c>
    </x:row>
    <x:row r="8">
      <x:c r="A8" s="2" t="s">
        <x:v>115</x:v>
      </x:c>
      <x:c r="B8" s="2" t="s">
        <x:v>116</x:v>
      </x:c>
      <x:c r="C8" s="97" t="s">
        <x:v>117</x:v>
      </x:c>
      <x:c r="D8" s="104">
        <x:v>1</x:v>
      </x:c>
      <x:c r="E8" s="98" t="n">
        <x:f>Configuration!$S$5</x:f>
        <x:v>12</x:v>
      </x:c>
      <x:c r="F8" s="98">
        <x:f t="shared" si="0"/>
        <x:v>12</x:v>
      </x:c>
      <x:c r="G8" s="98" t="n">
        <x:f>COUNTIFS('Task Master'!$C$5:$C$804,"executing",'Task Master'!$K$5:$K$804,A8,'Task Master'!$N$5:$N$804,"&lt;&gt;Confirmed OOS")</x:f>
        <x:v>2</x:v>
      </x:c>
      <x:c r="H8" s="98" t="n">
        <x:f>SUMIFS('Task Master'!$P$5:$P$804,'Task Master'!$K$5:$K$804,A8)</x:f>
        <x:v>3</x:v>
      </x:c>
      <x:c r="I8" s="105">
        <x:f t="shared" si="1"/>
        <x:v>0.25</x:v>
      </x:c>
      <x:c r="J8" s="98" t="n">
        <x:f>SUMIFS('Task Master'!$M$5:$M$804,'Task Master'!$C$5:$C$804,"processing",'Task Master'!$K$5:$K$804,A8)</x:f>
        <x:v>0</x:v>
      </x:c>
      <x:c r="K8" s="98">
        <x:f t="shared" si="2"/>
        <x:v>3</x:v>
      </x:c>
      <x:c r="L8" s="105">
        <x:f t="shared" si="3"/>
        <x:v>0.25</x:v>
      </x:c>
      <x:c r="M8" s="98" t="n">
        <x:f>COUNTIFS('Daily Targets'!$A$5:$A$204,Dashboard!$B$4,'Daily Targets'!$E$5:$E$204,A8)</x:f>
        <x:v>0</x:v>
      </x:c>
      <x:c r="N8" s="98" t="n">
        <x:f>COUNTIFS('Daily Targets'!$A$5:$A$204,Dashboard!$B$4,'Daily Targets'!$E$5:$E$204,A8,'Daily Targets'!$O$5:$O$204,"Yes")</x:f>
        <x:v>0</x:v>
      </x:c>
      <x:c r="O8" s="98" t="str">
        <x:f t="shared" si="4"/>
        <x:v>AVAILABLE</x:v>
      </x:c>
    </x:row>
    <x:row r="9">
      <x:c r="A9" s="2" t="s">
        <x:v>118</x:v>
      </x:c>
      <x:c r="B9" s="2" t="s">
        <x:v>119</x:v>
      </x:c>
      <x:c r="C9" s="97" t="s">
        <x:v>110</x:v>
      </x:c>
      <x:c r="D9" s="104">
        <x:v>1</x:v>
      </x:c>
      <x:c r="E9" s="98" t="n">
        <x:f>Configuration!$S$5</x:f>
        <x:v>12</x:v>
      </x:c>
      <x:c r="F9" s="98">
        <x:f t="shared" si="0"/>
        <x:v>12</x:v>
      </x:c>
      <x:c r="G9" s="98" t="n">
        <x:f>COUNTIFS('Task Master'!$C$5:$C$804,"executing",'Task Master'!$K$5:$K$804,A9,'Task Master'!$N$5:$N$804,"&lt;&gt;Confirmed OOS")</x:f>
        <x:v>6</x:v>
      </x:c>
      <x:c r="H9" s="98" t="n">
        <x:f>SUMIFS('Task Master'!$P$5:$P$804,'Task Master'!$K$5:$K$804,A9)</x:f>
        <x:v>10</x:v>
      </x:c>
      <x:c r="I9" s="105">
        <x:f t="shared" si="1"/>
        <x:v>0.83333333333333337</x:v>
      </x:c>
      <x:c r="J9" s="98" t="n">
        <x:f>SUMIFS('Task Master'!$M$5:$M$804,'Task Master'!$C$5:$C$804,"processing",'Task Master'!$K$5:$K$804,A9)</x:f>
        <x:v>0</x:v>
      </x:c>
      <x:c r="K9" s="98">
        <x:f t="shared" si="2"/>
        <x:v>10</x:v>
      </x:c>
      <x:c r="L9" s="105">
        <x:f t="shared" si="3"/>
        <x:v>0.83333333333333337</x:v>
      </x:c>
      <x:c r="M9" s="98" t="n">
        <x:f>COUNTIFS('Daily Targets'!$A$5:$A$204,Dashboard!$B$4,'Daily Targets'!$E$5:$E$204,A9)</x:f>
        <x:v>0</x:v>
      </x:c>
      <x:c r="N9" s="98" t="n">
        <x:f>COUNTIFS('Daily Targets'!$A$5:$A$204,Dashboard!$B$4,'Daily Targets'!$E$5:$E$204,A9,'Daily Targets'!$O$5:$O$204,"Yes")</x:f>
        <x:v>0</x:v>
      </x:c>
      <x:c r="O9" s="98" t="str">
        <x:f t="shared" si="4"/>
        <x:v>NEAR CAPACITY</x:v>
      </x:c>
    </x:row>
    <x:row r="10">
      <x:c r="A10" s="2" t="s">
        <x:v>120</x:v>
      </x:c>
      <x:c r="B10" s="2" t="s">
        <x:v>121</x:v>
      </x:c>
      <x:c r="C10" s="97" t="s">
        <x:v>110</x:v>
      </x:c>
      <x:c r="D10" s="104">
        <x:v>1</x:v>
      </x:c>
      <x:c r="E10" s="98" t="n">
        <x:f>Configuration!$S$5</x:f>
        <x:v>12</x:v>
      </x:c>
      <x:c r="F10" s="98">
        <x:f t="shared" si="0"/>
        <x:v>12</x:v>
      </x:c>
      <x:c r="G10" s="98" t="n">
        <x:f>COUNTIFS('Task Master'!$C$5:$C$804,"executing",'Task Master'!$K$5:$K$804,A10,'Task Master'!$N$5:$N$804,"&lt;&gt;Confirmed OOS")</x:f>
        <x:v>7</x:v>
      </x:c>
      <x:c r="H10" s="98" t="n">
        <x:f>SUMIFS('Task Master'!$P$5:$P$804,'Task Master'!$K$5:$K$804,A10)</x:f>
        <x:v>15</x:v>
      </x:c>
      <x:c r="I10" s="105">
        <x:f t="shared" si="1"/>
        <x:v>1.25</x:v>
      </x:c>
      <x:c r="J10" s="98" t="n">
        <x:f>SUMIFS('Task Master'!$M$5:$M$804,'Task Master'!$C$5:$C$804,"processing",'Task Master'!$K$5:$K$804,A10)</x:f>
        <x:v>0</x:v>
      </x:c>
      <x:c r="K10" s="98">
        <x:f t="shared" si="2"/>
        <x:v>15</x:v>
      </x:c>
      <x:c r="L10" s="105">
        <x:f t="shared" si="3"/>
        <x:v>1.25</x:v>
      </x:c>
      <x:c r="M10" s="98" t="n">
        <x:f>COUNTIFS('Daily Targets'!$A$5:$A$204,Dashboard!$B$4,'Daily Targets'!$E$5:$E$204,A10)</x:f>
        <x:v>0</x:v>
      </x:c>
      <x:c r="N10" s="98" t="n">
        <x:f>COUNTIFS('Daily Targets'!$A$5:$A$204,Dashboard!$B$4,'Daily Targets'!$E$5:$E$204,A10,'Daily Targets'!$O$5:$O$204,"Yes")</x:f>
        <x:v>0</x:v>
      </x:c>
      <x:c r="O10" s="98" t="str">
        <x:f t="shared" si="4"/>
        <x:v>OVER CAPACITY</x:v>
      </x:c>
    </x:row>
    <x:row r="11">
      <x:c r="A11" s="2" t="s">
        <x:v>122</x:v>
      </x:c>
      <x:c r="B11" s="2" t="s">
        <x:v>123</x:v>
      </x:c>
      <x:c r="C11" s="97" t="s">
        <x:v>124</x:v>
      </x:c>
      <x:c r="D11" s="104">
        <x:v>1</x:v>
      </x:c>
      <x:c r="E11" s="98" t="n">
        <x:f>Configuration!$S$5</x:f>
        <x:v>12</x:v>
      </x:c>
      <x:c r="F11" s="98">
        <x:f t="shared" si="0"/>
        <x:v>12</x:v>
      </x:c>
      <x:c r="G11" s="98" t="n">
        <x:f>COUNTIFS('Task Master'!$C$5:$C$804,"executing",'Task Master'!$K$5:$K$804,A11,'Task Master'!$N$5:$N$804,"&lt;&gt;Confirmed OOS")</x:f>
        <x:v>1</x:v>
      </x:c>
      <x:c r="H11" s="98" t="n">
        <x:f>SUMIFS('Task Master'!$P$5:$P$804,'Task Master'!$K$5:$K$804,A11)</x:f>
        <x:v>2</x:v>
      </x:c>
      <x:c r="I11" s="105">
        <x:f t="shared" si="1"/>
        <x:v>0.16666666666666666</x:v>
      </x:c>
      <x:c r="J11" s="98" t="n">
        <x:f>SUMIFS('Task Master'!$M$5:$M$804,'Task Master'!$C$5:$C$804,"processing",'Task Master'!$K$5:$K$804,A11)</x:f>
        <x:v>0</x:v>
      </x:c>
      <x:c r="K11" s="98">
        <x:f t="shared" si="2"/>
        <x:v>2</x:v>
      </x:c>
      <x:c r="L11" s="105">
        <x:f t="shared" si="3"/>
        <x:v>0.16666666666666666</x:v>
      </x:c>
      <x:c r="M11" s="98" t="n">
        <x:f>COUNTIFS('Daily Targets'!$A$5:$A$204,Dashboard!$B$4,'Daily Targets'!$E$5:$E$204,A11)</x:f>
        <x:v>0</x:v>
      </x:c>
      <x:c r="N11" s="98" t="n">
        <x:f>COUNTIFS('Daily Targets'!$A$5:$A$204,Dashboard!$B$4,'Daily Targets'!$E$5:$E$204,A11,'Daily Targets'!$O$5:$O$204,"Yes")</x:f>
        <x:v>0</x:v>
      </x:c>
      <x:c r="O11" s="98" t="str">
        <x:f t="shared" si="4"/>
        <x:v>AVAILABLE</x:v>
      </x:c>
    </x:row>
    <x:row r="12">
      <x:c r="A12" s="2" t="s">
        <x:v>125</x:v>
      </x:c>
      <x:c r="B12" s="2" t="s">
        <x:v>126</x:v>
      </x:c>
      <x:c r="C12" s="97" t="s">
        <x:v>110</x:v>
      </x:c>
      <x:c r="D12" s="104">
        <x:v>1</x:v>
      </x:c>
      <x:c r="E12" s="98" t="n">
        <x:f>Configuration!$S$5</x:f>
        <x:v>12</x:v>
      </x:c>
      <x:c r="F12" s="98">
        <x:f t="shared" si="0"/>
        <x:v>12</x:v>
      </x:c>
      <x:c r="G12" s="98" t="n">
        <x:f>COUNTIFS('Task Master'!$C$5:$C$804,"executing",'Task Master'!$K$5:$K$804,A12,'Task Master'!$N$5:$N$804,"&lt;&gt;Confirmed OOS")</x:f>
        <x:v>2</x:v>
      </x:c>
      <x:c r="H12" s="98" t="n">
        <x:f>SUMIFS('Task Master'!$P$5:$P$804,'Task Master'!$K$5:$K$804,A12)</x:f>
        <x:v>4</x:v>
      </x:c>
      <x:c r="I12" s="105">
        <x:f t="shared" si="1"/>
        <x:v>0.33333333333333331</x:v>
      </x:c>
      <x:c r="J12" s="98" t="n">
        <x:f>SUMIFS('Task Master'!$M$5:$M$804,'Task Master'!$C$5:$C$804,"processing",'Task Master'!$K$5:$K$804,A12)</x:f>
        <x:v>0</x:v>
      </x:c>
      <x:c r="K12" s="98">
        <x:f t="shared" si="2"/>
        <x:v>4</x:v>
      </x:c>
      <x:c r="L12" s="105">
        <x:f t="shared" si="3"/>
        <x:v>0.33333333333333331</x:v>
      </x:c>
      <x:c r="M12" s="98" t="n">
        <x:f>COUNTIFS('Daily Targets'!$A$5:$A$204,Dashboard!$B$4,'Daily Targets'!$E$5:$E$204,A12)</x:f>
        <x:v>0</x:v>
      </x:c>
      <x:c r="N12" s="98" t="n">
        <x:f>COUNTIFS('Daily Targets'!$A$5:$A$204,Dashboard!$B$4,'Daily Targets'!$E$5:$E$204,A12,'Daily Targets'!$O$5:$O$204,"Yes")</x:f>
        <x:v>0</x:v>
      </x:c>
      <x:c r="O12" s="98" t="str">
        <x:f t="shared" si="4"/>
        <x:v>AVAILABLE</x:v>
      </x:c>
    </x:row>
    <x:row r="13">
      <x:c r="A13" s="2" t="s">
        <x:v>127</x:v>
      </x:c>
      <x:c r="B13" s="2" t="s">
        <x:v>128</x:v>
      </x:c>
      <x:c r="C13" s="97" t="s">
        <x:v>124</x:v>
      </x:c>
      <x:c r="D13" s="104">
        <x:v>1</x:v>
      </x:c>
      <x:c r="E13" s="98" t="n">
        <x:f>Configuration!$S$5</x:f>
        <x:v>12</x:v>
      </x:c>
      <x:c r="F13" s="98">
        <x:f t="shared" si="0"/>
        <x:v>12</x:v>
      </x:c>
      <x:c r="G13" s="98" t="n">
        <x:f>COUNTIFS('Task Master'!$C$5:$C$804,"executing",'Task Master'!$K$5:$K$804,A13,'Task Master'!$N$5:$N$804,"&lt;&gt;Confirmed OOS")</x:f>
        <x:v>1</x:v>
      </x:c>
      <x:c r="H13" s="98" t="n">
        <x:f>SUMIFS('Task Master'!$P$5:$P$804,'Task Master'!$K$5:$K$804,A13)</x:f>
        <x:v>2</x:v>
      </x:c>
      <x:c r="I13" s="105">
        <x:f t="shared" si="1"/>
        <x:v>0.16666666666666666</x:v>
      </x:c>
      <x:c r="J13" s="98" t="n">
        <x:f>SUMIFS('Task Master'!$M$5:$M$804,'Task Master'!$C$5:$C$804,"processing",'Task Master'!$K$5:$K$804,A13)</x:f>
        <x:v>0</x:v>
      </x:c>
      <x:c r="K13" s="98">
        <x:f t="shared" si="2"/>
        <x:v>2</x:v>
      </x:c>
      <x:c r="L13" s="105">
        <x:f t="shared" si="3"/>
        <x:v>0.16666666666666666</x:v>
      </x:c>
      <x:c r="M13" s="98" t="n">
        <x:f>COUNTIFS('Daily Targets'!$A$5:$A$204,Dashboard!$B$4,'Daily Targets'!$E$5:$E$204,A13)</x:f>
        <x:v>0</x:v>
      </x:c>
      <x:c r="N13" s="98" t="n">
        <x:f>COUNTIFS('Daily Targets'!$A$5:$A$204,Dashboard!$B$4,'Daily Targets'!$E$5:$E$204,A13,'Daily Targets'!$O$5:$O$204,"Yes")</x:f>
        <x:v>0</x:v>
      </x:c>
      <x:c r="O13" s="98" t="str">
        <x:f t="shared" si="4"/>
        <x:v>AVAILABLE</x:v>
      </x:c>
    </x:row>
    <x:row r="14">
      <x:c r="A14" s="2" t="s">
        <x:v>129</x:v>
      </x:c>
      <x:c r="B14" s="2" t="s">
        <x:v>130</x:v>
      </x:c>
      <x:c r="C14" s="97" t="s">
        <x:v>124</x:v>
      </x:c>
      <x:c r="D14" s="104">
        <x:v>1</x:v>
      </x:c>
      <x:c r="E14" s="98" t="n">
        <x:f>Configuration!$S$5</x:f>
        <x:v>12</x:v>
      </x:c>
      <x:c r="F14" s="98">
        <x:f t="shared" si="0"/>
        <x:v>12</x:v>
      </x:c>
      <x:c r="G14" s="98" t="n">
        <x:f>COUNTIFS('Task Master'!$C$5:$C$804,"executing",'Task Master'!$K$5:$K$804,A14,'Task Master'!$N$5:$N$804,"&lt;&gt;Confirmed OOS")</x:f>
        <x:v>16</x:v>
      </x:c>
      <x:c r="H14" s="98" t="n">
        <x:f>SUMIFS('Task Master'!$P$5:$P$804,'Task Master'!$K$5:$K$804,A14)</x:f>
        <x:v>37</x:v>
      </x:c>
      <x:c r="I14" s="105">
        <x:f t="shared" si="1"/>
        <x:v>3.0833333333333335</x:v>
      </x:c>
      <x:c r="J14" s="98" t="n">
        <x:f>SUMIFS('Task Master'!$M$5:$M$804,'Task Master'!$C$5:$C$804,"processing",'Task Master'!$K$5:$K$804,A14)</x:f>
        <x:v>0</x:v>
      </x:c>
      <x:c r="K14" s="98">
        <x:f t="shared" si="2"/>
        <x:v>37</x:v>
      </x:c>
      <x:c r="L14" s="105">
        <x:f t="shared" si="3"/>
        <x:v>3.0833333333333335</x:v>
      </x:c>
      <x:c r="M14" s="98" t="n">
        <x:f>COUNTIFS('Daily Targets'!$A$5:$A$204,Dashboard!$B$4,'Daily Targets'!$E$5:$E$204,A14)</x:f>
        <x:v>0</x:v>
      </x:c>
      <x:c r="N14" s="98" t="n">
        <x:f>COUNTIFS('Daily Targets'!$A$5:$A$204,Dashboard!$B$4,'Daily Targets'!$E$5:$E$204,A14,'Daily Targets'!$O$5:$O$204,"Yes")</x:f>
        <x:v>0</x:v>
      </x:c>
      <x:c r="O14" s="98" t="str">
        <x:f t="shared" si="4"/>
        <x:v>OVER CAPACITY</x:v>
      </x:c>
    </x:row>
    <x:row r="15">
      <x:c r="A15" s="2" t="s">
        <x:v>131</x:v>
      </x:c>
      <x:c r="B15" s="2" t="s">
        <x:v>132</x:v>
      </x:c>
      <x:c r="C15" s="97" t="s">
        <x:v>110</x:v>
      </x:c>
      <x:c r="D15" s="104">
        <x:v>1</x:v>
      </x:c>
      <x:c r="E15" s="98" t="n">
        <x:f>Configuration!$S$5</x:f>
        <x:v>12</x:v>
      </x:c>
      <x:c r="F15" s="98">
        <x:f t="shared" si="0"/>
        <x:v>12</x:v>
      </x:c>
      <x:c r="G15" s="98" t="n">
        <x:f>COUNTIFS('Task Master'!$C$5:$C$804,"executing",'Task Master'!$K$5:$K$804,A15,'Task Master'!$N$5:$N$804,"&lt;&gt;Confirmed OOS")</x:f>
        <x:v>9</x:v>
      </x:c>
      <x:c r="H15" s="98" t="n">
        <x:f>SUMIFS('Task Master'!$P$5:$P$804,'Task Master'!$K$5:$K$804,A15)</x:f>
        <x:v>21</x:v>
      </x:c>
      <x:c r="I15" s="105">
        <x:f t="shared" si="1"/>
        <x:v>1.75</x:v>
      </x:c>
      <x:c r="J15" s="98" t="n">
        <x:f>SUMIFS('Task Master'!$M$5:$M$804,'Task Master'!$C$5:$C$804,"processing",'Task Master'!$K$5:$K$804,A15)</x:f>
        <x:v>0</x:v>
      </x:c>
      <x:c r="K15" s="98">
        <x:f t="shared" si="2"/>
        <x:v>21</x:v>
      </x:c>
      <x:c r="L15" s="105">
        <x:f t="shared" si="3"/>
        <x:v>1.75</x:v>
      </x:c>
      <x:c r="M15" s="98" t="n">
        <x:f>COUNTIFS('Daily Targets'!$A$5:$A$204,Dashboard!$B$4,'Daily Targets'!$E$5:$E$204,A15)</x:f>
        <x:v>0</x:v>
      </x:c>
      <x:c r="N15" s="98" t="n">
        <x:f>COUNTIFS('Daily Targets'!$A$5:$A$204,Dashboard!$B$4,'Daily Targets'!$E$5:$E$204,A15,'Daily Targets'!$O$5:$O$204,"Yes")</x:f>
        <x:v>0</x:v>
      </x:c>
      <x:c r="O15" s="98" t="str">
        <x:f t="shared" si="4"/>
        <x:v>OVER CAPACITY</x:v>
      </x:c>
    </x:row>
  </x:sheetData>
  <x:mergeCells>
    <x:mergeCell ref="A1:O1"/>
    <x:mergeCell ref="A2:O2"/>
  </x:mergeCells>
  <x:conditionalFormatting sqref="L5:L15">
    <x:cfRule type="dataBar" priority="1">
      <x:dataBar>
        <x:cfvo type="min"/>
        <x:cfvo type="max"/>
        <x:color rgb="FF00A19B"/>
      </x:dataBar>
    </x:cfRule>
    <x:cfRule type="dataBar" priority="5">
      <x:dataBar>
        <x:cfvo type="min"/>
        <x:cfvo type="max"/>
        <x:color rgb="FF00A19B"/>
      </x:dataBar>
      <x:extLst>
        <x:ext xmlns:x14="http://schemas.microsoft.com/office/spreadsheetml/2009/9/main" uri="{B025F937-C7B1-47D3-B67F-A62EFF666E3E}">
          <x14:id>{6FCED1F8-F5D5-0EC0-78F6-5A8F22B8B4C8}</x14:id>
        </x:ext>
      </x:extLst>
    </x:cfRule>
  </x:conditionalFormatting>
  <x:conditionalFormatting sqref="O5:O15">
    <x:cfRule type="containsText" dxfId="188" priority="2" operator="containsText" text="OVER CAPACITY"/>
    <x:cfRule type="containsText" dxfId="187" priority="3" operator="containsText" text="NEAR CAPACITY"/>
    <x:cfRule type="containsText" dxfId="186" priority="4" operator="containsText" text="AVAILABLE"/>
  </x:conditionalFormatting>
  <x:dataValidations count="1">
    <x:dataValidation type="decimal" sqref="D5:D15">
      <x:formula1>0</x:formula1>
      <x:formula2>1</x:formula2>
    </x:dataValidation>
  </x:dataValidations>
  <x:pageMargins left="0.7" right="0.7" top="0.75" bottom="0.75" header="0.3" footer="0.3"/>
  <x:tableParts count="1">
    <x:tablePart xmlns:r="http://schemas.openxmlformats.org/officeDocument/2006/relationships" r:id="Rcd6344a55aed4499"/>
  </x:tableParts>
  <x:extLst>
    <x:ext xmlns:x14="http://schemas.microsoft.com/office/spreadsheetml/2009/9/main" xmlns:xm="http://schemas.microsoft.com/office/excel/2006/main" uri="{78C0D931-6437-407d-A8EE-F0AAD7539E65}">
      <x14:conditionalFormattings>
        <x14:conditionalFormatting>
          <x14:cfRule type="dataBar" priority="5" id="{6FCED1F8-F5D5-0EC0-78F6-5A8F22B8B4C8}">
            <x14:dataBar>
              <x14:cfvo type="min"/>
              <x14:cfvo type="max"/>
              <x14:fillColor rgb="FF00A19B"/>
              <x14:negativeFillColor auto="1"/>
              <x14:axisColor auto="1"/>
            </x14:dataBar>
          </x14:cfRule>
          <xm:sqref>L5:L15</xm:sqref>
        </x14:conditionalFormatting>
      </x14:conditionalFormattings>
    </x:ext>
  </x:extLst>
</x:worksheet>
</file>

<file path=xl/worksheets/sheet9.xml><?xml version="1.0" encoding="utf-8"?>
<x:worksheet xmlns:x="http://schemas.openxmlformats.org/spreadsheetml/2006/main">
  <x:sheetViews>
    <x:sheetView showGridLines="0" workbookViewId="0"/>
  </x:sheetViews>
  <x:sheetFormatPr defaultRowHeight="15"/>
  <x:cols>
    <x:col min="1" max="1" width="25" style="2" customWidth="1"/>
    <x:col min="2" max="2" width="27" style="2" customWidth="1"/>
    <x:col min="3" max="3" width="31" style="2" customWidth="1"/>
    <x:col min="4" max="4" width="25" style="2" customWidth="1"/>
    <x:col min="5" max="5" width="19" style="2" customWidth="1"/>
    <x:col min="6" max="6" width="20" style="2" customWidth="1"/>
    <x:col min="7" max="7" width="29" style="2" customWidth="1"/>
    <x:col min="8" max="8" width="23" style="2" customWidth="1"/>
    <x:col min="9" max="9" width="27" style="2" customWidth="1"/>
    <x:col min="10" max="10" width="23" style="2" customWidth="1"/>
    <x:col min="11" max="11" width="3" style="2" customWidth="1"/>
    <x:col min="12" max="13" width="36" style="2" customWidth="1"/>
    <x:col min="14" max="14" width="3" style="2" customWidth="1"/>
    <x:col min="15" max="16" width="16" style="2" customWidth="1"/>
    <x:col min="17" max="17" width="3" style="2" customWidth="1"/>
    <x:col min="18" max="18" width="27" style="2" customWidth="1"/>
    <x:col min="19" max="19" width="12" style="2" customWidth="1"/>
    <x:col min="20" max="20" width="3" style="2" customWidth="1"/>
    <x:col min="21" max="21" width="34" style="2" customWidth="1"/>
    <x:col min="22" max="16384" width="9" style="2" customWidth="0"/>
  </x:cols>
  <x:sheetData>
    <x:row r="1" ht="30" customHeight="1">
      <x:c r="A1" s="1" t="s">
        <x:v>133</x:v>
      </x:c>
      <x:c r="B1" s="1"/>
      <x:c r="C1" s="1"/>
      <x:c r="D1" s="1"/>
      <x:c r="E1" s="1"/>
      <x:c r="F1" s="1"/>
      <x:c r="G1" s="1"/>
      <x:c r="H1" s="1"/>
      <x:c r="I1" s="1"/>
      <x:c r="J1" s="1"/>
      <x:c r="K1" s="1"/>
      <x:c r="L1" s="1"/>
      <x:c r="M1" s="1"/>
      <x:c r="N1" s="1"/>
      <x:c r="O1" s="1"/>
      <x:c r="P1" s="1"/>
      <x:c r="Q1" s="1"/>
      <x:c r="R1" s="1"/>
      <x:c r="S1" s="1"/>
      <x:c r="T1" s="1"/>
      <x:c r="U1" s="1"/>
    </x:row>
    <x:row r="2" ht="24" customHeight="1">
      <x:c r="A2" s="3" t="s">
        <x:v>134</x:v>
      </x:c>
      <x:c r="B2" s="3"/>
      <x:c r="C2" s="3"/>
      <x:c r="D2" s="3"/>
      <x:c r="E2" s="3"/>
      <x:c r="F2" s="3"/>
      <x:c r="G2" s="3"/>
      <x:c r="H2" s="3"/>
      <x:c r="I2" s="3"/>
      <x:c r="J2" s="3"/>
      <x:c r="K2" s="3"/>
      <x:c r="L2" s="3"/>
      <x:c r="M2" s="3"/>
      <x:c r="N2" s="3"/>
      <x:c r="O2" s="3"/>
      <x:c r="P2" s="3"/>
      <x:c r="Q2" s="3"/>
      <x:c r="R2" s="3"/>
      <x:c r="S2" s="3"/>
      <x:c r="T2" s="3"/>
      <x:c r="U2" s="3"/>
    </x:row>
    <x:row r="4" ht="32.099998474121094" customHeight="1">
      <x:c r="A4" s="4" t="s">
        <x:v>135</x:v>
      </x:c>
      <x:c r="B4" s="5" t="s">
        <x:v>136</x:v>
      </x:c>
      <x:c r="C4" s="5" t="s">
        <x:v>137</x:v>
      </x:c>
      <x:c r="D4" s="5" t="s">
        <x:v>138</x:v>
      </x:c>
      <x:c r="E4" s="5" t="s">
        <x:v>139</x:v>
      </x:c>
      <x:c r="F4" s="5" t="s">
        <x:v>140</x:v>
      </x:c>
      <x:c r="G4" s="5" t="s">
        <x:v>141</x:v>
      </x:c>
      <x:c r="H4" s="5" t="s">
        <x:v>142</x:v>
      </x:c>
      <x:c r="I4" s="5" t="s">
        <x:v>143</x:v>
      </x:c>
      <x:c r="J4" s="6" t="s">
        <x:v>144</x:v>
      </x:c>
      <x:c r="L4" s="4" t="s">
        <x:v>145</x:v>
      </x:c>
      <x:c r="M4" s="6" t="s">
        <x:v>146</x:v>
      </x:c>
      <x:c r="O4" s="4" t="s">
        <x:v>147</x:v>
      </x:c>
      <x:c r="P4" s="6" t="s">
        <x:v>148</x:v>
      </x:c>
      <x:c r="R4" s="4" t="s">
        <x:v>149</x:v>
      </x:c>
      <x:c r="S4" s="6" t="s">
        <x:v>150</x:v>
      </x:c>
      <x:c r="U4" s="106" t="s">
        <x:v>151</x:v>
      </x:c>
    </x:row>
    <x:row r="5">
      <x:c r="A5" s="7" t="s">
        <x:v>152</x:v>
      </x:c>
      <x:c r="B5" s="7" t="s">
        <x:v>153</x:v>
      </x:c>
      <x:c r="C5" s="7" t="s">
        <x:v>154</x:v>
      </x:c>
      <x:c r="D5" s="7" t="s">
        <x:v>155</x:v>
      </x:c>
      <x:c r="E5" s="7" t="s">
        <x:v>156</x:v>
      </x:c>
      <x:c r="F5" s="7" t="s">
        <x:v>157</x:v>
      </x:c>
      <x:c r="G5" s="7" t="s">
        <x:v>158</x:v>
      </x:c>
      <x:c r="H5" s="7" t="s">
        <x:v>159</x:v>
      </x:c>
      <x:c r="I5" s="7" t="s">
        <x:v>152</x:v>
      </x:c>
      <x:c r="J5" s="7" t="s">
        <x:v>160</x:v>
      </x:c>
      <x:c r="L5" s="2" t="s">
        <x:v>161</x:v>
      </x:c>
      <x:c r="M5" s="2" t="s">
        <x:v>161</x:v>
      </x:c>
      <x:c r="O5" s="2" t="s">
        <x:v>162</x:v>
      </x:c>
      <x:c r="P5" s="2">
        <x:v>1</x:v>
      </x:c>
      <x:c r="R5" s="2" t="s">
        <x:v>163</x:v>
      </x:c>
      <x:c r="S5" s="107">
        <x:v>12</x:v>
      </x:c>
      <x:c r="U5" s="2" t="s">
        <x:v>153</x:v>
      </x:c>
    </x:row>
    <x:row r="6">
      <x:c r="A6" s="7" t="s">
        <x:v>164</x:v>
      </x:c>
      <x:c r="B6" s="7" t="s">
        <x:v>165</x:v>
      </x:c>
      <x:c r="C6" s="7" t="s">
        <x:v>166</x:v>
      </x:c>
      <x:c r="D6" s="7" t="s">
        <x:v>167</x:v>
      </x:c>
      <x:c r="E6" s="7" t="s">
        <x:v>168</x:v>
      </x:c>
      <x:c r="F6" s="7" t="s">
        <x:v>169</x:v>
      </x:c>
      <x:c r="G6" s="7" t="s">
        <x:v>170</x:v>
      </x:c>
      <x:c r="H6" s="7" t="s">
        <x:v>171</x:v>
      </x:c>
      <x:c r="I6" s="7" t="s">
        <x:v>164</x:v>
      </x:c>
      <x:c r="J6" s="7" t="s">
        <x:v>172</x:v>
      </x:c>
      <x:c r="L6" s="2" t="s">
        <x:v>173</x:v>
      </x:c>
      <x:c r="M6" s="2" t="s">
        <x:v>173</x:v>
      </x:c>
      <x:c r="O6" s="2" t="s">
        <x:v>174</x:v>
      </x:c>
      <x:c r="P6" s="2">
        <x:v>1</x:v>
      </x:c>
      <x:c r="R6" s="2" t="s">
        <x:v>175</x:v>
      </x:c>
      <x:c r="S6" s="107">
        <x:v>2</x:v>
      </x:c>
      <x:c r="U6" s="2" t="s">
        <x:v>165</x:v>
      </x:c>
    </x:row>
    <x:row r="7">
      <x:c r="A7" s="7" t="s">
        <x:v>176</x:v>
      </x:c>
      <x:c r="B7" s="7" t="s">
        <x:v>177</x:v>
      </x:c>
      <x:c r="C7" s="7" t="s">
        <x:v>178</x:v>
      </x:c>
      <x:c r="D7" s="7" t="s">
        <x:v>179</x:v>
      </x:c>
      <x:c r="E7" s="7" t="s">
        <x:v>180</x:v>
      </x:c>
      <x:c r="F7" s="7" t="s">
        <x:v>181</x:v>
      </x:c>
      <x:c r="G7" s="7" t="s">
        <x:v>182</x:v>
      </x:c>
      <x:c r="H7" s="7"/>
      <x:c r="I7" s="7" t="s">
        <x:v>48</x:v>
      </x:c>
      <x:c r="J7" s="7" t="s">
        <x:v>183</x:v>
      </x:c>
      <x:c r="L7" s="2" t="s">
        <x:v>184</x:v>
      </x:c>
      <x:c r="M7" s="2" t="s">
        <x:v>118</x:v>
      </x:c>
      <x:c r="O7" s="2" t="s">
        <x:v>185</x:v>
      </x:c>
      <x:c r="P7" s="2">
        <x:v>2</x:v>
      </x:c>
      <x:c r="R7" s="2" t="s">
        <x:v>186</x:v>
      </x:c>
      <x:c r="S7" s="107">
        <x:v>2</x:v>
      </x:c>
      <x:c r="U7" s="2" t="s">
        <x:v>177</x:v>
      </x:c>
    </x:row>
    <x:row r="8">
      <x:c r="A8" s="7" t="s">
        <x:v>187</x:v>
      </x:c>
      <x:c r="B8" s="7" t="s">
        <x:v>188</x:v>
      </x:c>
      <x:c r="C8" s="7" t="s">
        <x:v>189</x:v>
      </x:c>
      <x:c r="D8" s="7"/>
      <x:c r="E8" s="7"/>
      <x:c r="F8" s="7" t="s">
        <x:v>190</x:v>
      </x:c>
      <x:c r="G8" s="7" t="s">
        <x:v>191</x:v>
      </x:c>
      <x:c r="H8" s="7"/>
      <x:c r="I8" s="7" t="s">
        <x:v>50</x:v>
      </x:c>
      <x:c r="J8" s="7" t="s">
        <x:v>192</x:v>
      </x:c>
      <x:c r="L8" s="2" t="s">
        <x:v>108</x:v>
      </x:c>
      <x:c r="M8" s="2" t="s">
        <x:v>108</x:v>
      </x:c>
      <x:c r="O8" s="2" t="s">
        <x:v>193</x:v>
      </x:c>
      <x:c r="P8" s="2">
        <x:v>3</x:v>
      </x:c>
      <x:c r="U8" s="2" t="s">
        <x:v>188</x:v>
      </x:c>
    </x:row>
    <x:row r="9">
      <x:c r="A9" s="7" t="s">
        <x:v>194</x:v>
      </x:c>
      <x:c r="B9" s="7" t="s">
        <x:v>195</x:v>
      </x:c>
      <x:c r="C9" s="7" t="s">
        <x:v>196</x:v>
      </x:c>
      <x:c r="D9" s="7"/>
      <x:c r="E9" s="7"/>
      <x:c r="F9" s="7"/>
      <x:c r="G9" s="7"/>
      <x:c r="H9" s="7"/>
      <x:c r="I9" s="7" t="s">
        <x:v>52</x:v>
      </x:c>
      <x:c r="J9" s="7" t="s">
        <x:v>197</x:v>
      </x:c>
      <x:c r="L9" s="2" t="s">
        <x:v>111</x:v>
      </x:c>
      <x:c r="M9" s="2" t="s">
        <x:v>111</x:v>
      </x:c>
      <x:c r="U9" s="2" t="s">
        <x:v>195</x:v>
      </x:c>
    </x:row>
    <x:row r="10">
      <x:c r="A10" s="7" t="s">
        <x:v>198</x:v>
      </x:c>
      <x:c r="B10" s="7"/>
      <x:c r="C10" s="7" t="s">
        <x:v>199</x:v>
      </x:c>
      <x:c r="D10" s="7"/>
      <x:c r="E10" s="7"/>
      <x:c r="F10" s="7"/>
      <x:c r="G10" s="7"/>
      <x:c r="H10" s="7"/>
      <x:c r="I10" s="7" t="s">
        <x:v>200</x:v>
      </x:c>
      <x:c r="J10" s="7" t="s">
        <x:v>180</x:v>
      </x:c>
      <x:c r="L10" s="2" t="s">
        <x:v>113</x:v>
      </x:c>
      <x:c r="M10" s="2" t="s">
        <x:v>113</x:v>
      </x:c>
      <x:c r="U10" s="2" t="s">
        <x:v>154</x:v>
      </x:c>
    </x:row>
    <x:row r="11">
      <x:c r="A11" s="7"/>
      <x:c r="B11" s="7"/>
      <x:c r="C11" s="7" t="s">
        <x:v>201</x:v>
      </x:c>
      <x:c r="D11" s="7"/>
      <x:c r="E11" s="7"/>
      <x:c r="F11" s="7"/>
      <x:c r="G11" s="7"/>
      <x:c r="H11" s="7"/>
      <x:c r="I11" s="7" t="s">
        <x:v>202</x:v>
      </x:c>
      <x:c r="J11" s="7"/>
      <x:c r="L11" s="2" t="s">
        <x:v>203</x:v>
      </x:c>
      <x:c r="M11" s="2" t="s">
        <x:v>113</x:v>
      </x:c>
      <x:c r="U11" s="2" t="s">
        <x:v>166</x:v>
      </x:c>
    </x:row>
    <x:row r="12">
      <x:c r="A12" s="7"/>
      <x:c r="B12" s="7"/>
      <x:c r="C12" s="7" t="s">
        <x:v>188</x:v>
      </x:c>
      <x:c r="D12" s="7"/>
      <x:c r="E12" s="7"/>
      <x:c r="F12" s="7"/>
      <x:c r="G12" s="7"/>
      <x:c r="H12" s="7"/>
      <x:c r="I12" s="7"/>
      <x:c r="J12" s="7"/>
      <x:c r="L12" s="2" t="s">
        <x:v>115</x:v>
      </x:c>
      <x:c r="M12" s="2" t="s">
        <x:v>115</x:v>
      </x:c>
      <x:c r="U12" s="2" t="s">
        <x:v>178</x:v>
      </x:c>
    </x:row>
    <x:row r="13">
      <x:c r="A13" s="7"/>
      <x:c r="B13" s="7"/>
      <x:c r="C13" s="7" t="s">
        <x:v>195</x:v>
      </x:c>
      <x:c r="D13" s="7"/>
      <x:c r="E13" s="7"/>
      <x:c r="F13" s="7"/>
      <x:c r="G13" s="7"/>
      <x:c r="H13" s="7"/>
      <x:c r="I13" s="7"/>
      <x:c r="J13" s="7"/>
      <x:c r="L13" s="2" t="s">
        <x:v>120</x:v>
      </x:c>
      <x:c r="M13" s="2" t="s">
        <x:v>120</x:v>
      </x:c>
      <x:c r="U13" s="2" t="s">
        <x:v>189</x:v>
      </x:c>
    </x:row>
    <x:row r="14">
      <x:c r="A14" s="7"/>
      <x:c r="B14" s="7"/>
      <x:c r="C14" s="7"/>
      <x:c r="D14" s="7"/>
      <x:c r="E14" s="7"/>
      <x:c r="F14" s="7"/>
      <x:c r="G14" s="7"/>
      <x:c r="H14" s="7"/>
      <x:c r="I14" s="7"/>
      <x:c r="J14" s="7"/>
      <x:c r="L14" s="2" t="s">
        <x:v>122</x:v>
      </x:c>
      <x:c r="M14" s="2" t="s">
        <x:v>122</x:v>
      </x:c>
      <x:c r="U14" s="2" t="s">
        <x:v>196</x:v>
      </x:c>
    </x:row>
    <x:row r="15">
      <x:c r="L15" s="2" t="s">
        <x:v>125</x:v>
      </x:c>
      <x:c r="M15" s="2" t="s">
        <x:v>125</x:v>
      </x:c>
      <x:c r="U15" s="2" t="s">
        <x:v>199</x:v>
      </x:c>
    </x:row>
    <x:row r="16">
      <x:c r="L16" s="2" t="s">
        <x:v>127</x:v>
      </x:c>
      <x:c r="M16" s="2" t="s">
        <x:v>127</x:v>
      </x:c>
      <x:c r="U16" s="2" t="s">
        <x:v>201</x:v>
      </x:c>
    </x:row>
    <x:row r="17">
      <x:c r="L17" s="2" t="s">
        <x:v>129</x:v>
      </x:c>
      <x:c r="M17" s="2" t="s">
        <x:v>129</x:v>
      </x:c>
    </x:row>
    <x:row r="18">
      <x:c r="L18" s="2" t="s">
        <x:v>131</x:v>
      </x:c>
      <x:c r="M18" s="2" t="s">
        <x:v>131</x:v>
      </x:c>
    </x:row>
  </x:sheetData>
  <x:mergeCells>
    <x:mergeCell ref="A1:U1"/>
    <x:mergeCell ref="A2:U2"/>
  </x:mergeCells>
  <x:pageMargins left="0.7" right="0.7" top="0.75" bottom="0.75" header="0.3" footer="0.3"/>
  <x:drawing xmlns:r="http://schemas.openxmlformats.org/officeDocument/2006/relationships" r:id="R4116735438d04d2f"/>
  <x:legacyDrawing xmlns:r="http://schemas.openxmlformats.org/officeDocument/2006/relationships" r:id="R661872ff9f9c4da2"/>
</x:worksheet>
</file>

<file path=xl/worksheets/sheet10.xml><?xml version="1.0" encoding="utf-8"?>
<x:worksheet xmlns:x="http://schemas.openxmlformats.org/spreadsheetml/2006/main">
  <x:sheetViews>
    <x:sheetView showGridLines="0" workbookViewId="0"/>
  </x:sheetViews>
  <x:sheetFormatPr defaultRowHeight="15"/>
  <x:cols>
    <x:col min="1" max="1" width="34" style="2" customWidth="1"/>
    <x:col min="2" max="2" width="17" style="2" customWidth="1"/>
    <x:col min="3" max="3" width="34" style="2" customWidth="1"/>
    <x:col min="4" max="4" width="15" style="2" customWidth="1"/>
    <x:col min="5" max="5" width="17" style="2" customWidth="1"/>
    <x:col min="6" max="8" width="20" style="2" customWidth="1"/>
    <x:col min="9" max="9" width="19" style="2" customWidth="1"/>
    <x:col min="10" max="10" width="40" style="2" customWidth="1"/>
    <x:col min="11" max="11" width="20" style="2" customWidth="1"/>
    <x:col min="12" max="13" width="34" style="2" customWidth="1"/>
    <x:col min="14" max="14" width="14" style="2" customWidth="1"/>
    <x:col min="15" max="15" width="17" style="2" customWidth="1"/>
    <x:col min="16" max="16" width="40" style="2" customWidth="1"/>
    <x:col min="17" max="19" width="13" style="2" customWidth="1"/>
    <x:col min="20" max="20" width="16" style="2" customWidth="1"/>
    <x:col min="21" max="21" width="34" style="2" customWidth="1"/>
    <x:col min="22" max="22" width="20" style="2" customWidth="1"/>
    <x:col min="23" max="23" width="40" style="2" customWidth="1"/>
    <x:col min="24" max="24" width="16" style="2" customWidth="1"/>
    <x:col min="25" max="25" width="34" style="2" customWidth="1"/>
    <x:col min="26" max="26" width="20" style="2" customWidth="1"/>
    <x:col min="27" max="27" width="40" style="2" customWidth="1"/>
    <x:col min="28" max="28" width="16" style="2" customWidth="1"/>
    <x:col min="29" max="29" width="34" style="2" customWidth="1"/>
    <x:col min="30" max="30" width="20" style="2" customWidth="1"/>
    <x:col min="31" max="31" width="40" style="2" customWidth="1"/>
    <x:col min="32" max="32" width="16" style="2" customWidth="1"/>
    <x:col min="33" max="33" width="34" style="2" customWidth="1"/>
    <x:col min="34" max="34" width="20" style="2" customWidth="1"/>
    <x:col min="35" max="35" width="40" style="2" customWidth="1"/>
    <x:col min="36" max="36" width="34" style="2" customWidth="1"/>
    <x:col min="37" max="38" width="15" style="2" customWidth="1"/>
    <x:col min="39" max="39" width="13" style="2" customWidth="1"/>
    <x:col min="40" max="40" width="17" style="2" customWidth="1"/>
    <x:col min="41" max="41" width="26" style="2" customWidth="1"/>
    <x:col min="42" max="16384" width="9" style="2" customWidth="0"/>
  </x:cols>
  <x:sheetData>
    <x:row r="1" ht="32.099998474121094" customHeight="1">
      <x:c r="A1" s="4" t="s">
        <x:v>204</x:v>
      </x:c>
      <x:c r="B1" s="5" t="s">
        <x:v>205</x:v>
      </x:c>
      <x:c r="C1" s="5" t="s">
        <x:v>206</x:v>
      </x:c>
      <x:c r="D1" s="5" t="s">
        <x:v>207</x:v>
      </x:c>
      <x:c r="E1" s="5" t="s">
        <x:v>208</x:v>
      </x:c>
      <x:c r="F1" s="5" t="s">
        <x:v>209</x:v>
      </x:c>
      <x:c r="G1" s="5" t="s">
        <x:v>210</x:v>
      </x:c>
      <x:c r="H1" s="5" t="s">
        <x:v>211</x:v>
      </x:c>
      <x:c r="I1" s="5" t="s">
        <x:v>212</x:v>
      </x:c>
      <x:c r="J1" s="5" t="s">
        <x:v>213</x:v>
      </x:c>
      <x:c r="K1" s="5" t="s">
        <x:v>214</x:v>
      </x:c>
      <x:c r="L1" s="5" t="s">
        <x:v>215</x:v>
      </x:c>
      <x:c r="M1" s="5" t="s">
        <x:v>216</x:v>
      </x:c>
      <x:c r="N1" s="5" t="s">
        <x:v>217</x:v>
      </x:c>
      <x:c r="O1" s="5" t="s">
        <x:v>218</x:v>
      </x:c>
      <x:c r="P1" s="5" t="s">
        <x:v>219</x:v>
      </x:c>
      <x:c r="Q1" s="5" t="s">
        <x:v>220</x:v>
      </x:c>
      <x:c r="R1" s="5" t="s">
        <x:v>221</x:v>
      </x:c>
      <x:c r="S1" s="5" t="s">
        <x:v>222</x:v>
      </x:c>
      <x:c r="T1" s="5" t="s">
        <x:v>223</x:v>
      </x:c>
      <x:c r="U1" s="5" t="s">
        <x:v>224</x:v>
      </x:c>
      <x:c r="V1" s="5" t="s">
        <x:v>225</x:v>
      </x:c>
      <x:c r="W1" s="5" t="s">
        <x:v>226</x:v>
      </x:c>
      <x:c r="X1" s="5" t="s">
        <x:v>227</x:v>
      </x:c>
      <x:c r="Y1" s="5" t="s">
        <x:v>228</x:v>
      </x:c>
      <x:c r="Z1" s="5" t="s">
        <x:v>229</x:v>
      </x:c>
      <x:c r="AA1" s="5" t="s">
        <x:v>230</x:v>
      </x:c>
      <x:c r="AB1" s="5" t="s">
        <x:v>231</x:v>
      </x:c>
      <x:c r="AC1" s="5" t="s">
        <x:v>232</x:v>
      </x:c>
      <x:c r="AD1" s="5" t="s">
        <x:v>233</x:v>
      </x:c>
      <x:c r="AE1" s="5" t="s">
        <x:v>234</x:v>
      </x:c>
      <x:c r="AF1" s="5" t="s">
        <x:v>235</x:v>
      </x:c>
      <x:c r="AG1" s="5" t="s">
        <x:v>236</x:v>
      </x:c>
      <x:c r="AH1" s="5" t="s">
        <x:v>237</x:v>
      </x:c>
      <x:c r="AI1" s="5" t="s">
        <x:v>238</x:v>
      </x:c>
      <x:c r="AJ1" s="5" t="s">
        <x:v>239</x:v>
      </x:c>
      <x:c r="AK1" s="5" t="s">
        <x:v>240</x:v>
      </x:c>
      <x:c r="AL1" s="5" t="s">
        <x:v>241</x:v>
      </x:c>
      <x:c r="AM1" s="5" t="s">
        <x:v>242</x:v>
      </x:c>
      <x:c r="AN1" s="5" t="s">
        <x:v>243</x:v>
      </x:c>
      <x:c r="AO1" s="6" t="s">
        <x:v>244</x:v>
      </x:c>
    </x:row>
    <x:row r="2">
      <x:c r="A2" s="88" t="s">
        <x:v>245</x:v>
      </x:c>
      <x:c r="B2" s="88" t="s">
        <x:v>246</x:v>
      </x:c>
      <x:c r="C2" s="88" t="s">
        <x:v>247</x:v>
      </x:c>
      <x:c r="D2" s="88" t="s">
        <x:v>248</x:v>
      </x:c>
      <x:c r="E2" s="88" t="s">
        <x:v>249</x:v>
      </x:c>
      <x:c r="F2" s="89" t="s">
        <x:v>250</x:v>
      </x:c>
      <x:c r="G2" s="89">
        <x:v>46121.16748142361</x:v>
      </x:c>
      <x:c r="H2" s="89" t="s">
        <x:v>250</x:v>
      </x:c>
      <x:c r="I2" s="88" t="s">
        <x:v>251</x:v>
      </x:c>
      <x:c r="J2" s="88" t="s">
        <x:v>252</x:v>
      </x:c>
      <x:c r="K2" s="88"/>
      <x:c r="L2" s="88"/>
      <x:c r="M2" s="88" t="s">
        <x:v>253</x:v>
      </x:c>
      <x:c r="N2" s="88" t="s">
        <x:v>254</x:v>
      </x:c>
      <x:c r="O2" s="88">
        <x:v>2637</x:v>
      </x:c>
      <x:c r="P2" s="88" t="s">
        <x:v>255</x:v>
      </x:c>
      <x:c r="Q2" s="88" t="s">
        <x:v>256</x:v>
      </x:c>
      <x:c r="R2" s="88" t="s">
        <x:v>257</x:v>
      </x:c>
      <x:c r="S2" s="88" t="s">
        <x:v>258</x:v>
      </x:c>
      <x:c r="T2" s="88" t="s">
        <x:v>259</x:v>
      </x:c>
      <x:c r="U2" s="88" t="s">
        <x:v>247</x:v>
      </x:c>
      <x:c r="V2" s="89" t="s">
        <x:v>250</x:v>
      </x:c>
      <x:c r="W2" s="88"/>
      <x:c r="X2" s="88" t="s">
        <x:v>249</x:v>
      </x:c>
      <x:c r="Y2" s="88" t="s">
        <x:v>260</x:v>
      </x:c>
      <x:c r="Z2" s="89">
        <x:v>46121.167481435186</x:v>
      </x:c>
      <x:c r="AA2" s="88"/>
      <x:c r="AB2" s="88"/>
      <x:c r="AC2" s="88" t="s">
        <x:v>253</x:v>
      </x:c>
      <x:c r="AD2" s="89"/>
      <x:c r="AE2" s="88"/>
      <x:c r="AF2" s="88"/>
      <x:c r="AG2" s="88" t="s">
        <x:v>253</x:v>
      </x:c>
      <x:c r="AH2" s="89"/>
      <x:c r="AI2" s="88"/>
      <x:c r="AJ2" s="88"/>
      <x:c r="AK2" s="88"/>
      <x:c r="AL2" s="88"/>
      <x:c r="AM2" s="88"/>
      <x:c r="AN2" s="88"/>
      <x:c r="AO2" s="88"/>
    </x:row>
    <x:row r="3">
      <x:c r="A3" s="88" t="s">
        <x:v>261</x:v>
      </x:c>
      <x:c r="B3" s="88" t="s">
        <x:v>262</x:v>
      </x:c>
      <x:c r="C3" s="88" t="s">
        <x:v>263</x:v>
      </x:c>
      <x:c r="D3" s="88" t="s">
        <x:v>248</x:v>
      </x:c>
      <x:c r="E3" s="88" t="s">
        <x:v>249</x:v>
      </x:c>
      <x:c r="F3" s="89">
        <x:v>45827.260944212961</x:v>
      </x:c>
      <x:c r="G3" s="89">
        <x:v>46050.08617072917</x:v>
      </x:c>
      <x:c r="H3" s="89">
        <x:v>45827.260944212961</x:v>
      </x:c>
      <x:c r="I3" s="88" t="s">
        <x:v>264</x:v>
      </x:c>
      <x:c r="J3" s="88" t="s">
        <x:v>265</x:v>
      </x:c>
      <x:c r="K3" s="88" t="s">
        <x:v>266</x:v>
      </x:c>
      <x:c r="L3" s="88"/>
      <x:c r="M3" s="88" t="s">
        <x:v>267</x:v>
      </x:c>
      <x:c r="N3" s="88"/>
      <x:c r="O3" s="88"/>
      <x:c r="P3" s="88" t="s">
        <x:v>268</x:v>
      </x:c>
      <x:c r="Q3" s="88" t="s">
        <x:v>269</x:v>
      </x:c>
      <x:c r="R3" s="88" t="s">
        <x:v>257</x:v>
      </x:c>
      <x:c r="S3" s="88"/>
      <x:c r="T3" s="88" t="s">
        <x:v>259</x:v>
      </x:c>
      <x:c r="U3" s="88" t="s">
        <x:v>263</x:v>
      </x:c>
      <x:c r="V3" s="89">
        <x:v>45827.264973449077</x:v>
      </x:c>
      <x:c r="W3" s="88" t="s">
        <x:v>270</x:v>
      </x:c>
      <x:c r="X3" s="88" t="s">
        <x:v>249</x:v>
      </x:c>
      <x:c r="Y3" s="88" t="s">
        <x:v>271</x:v>
      </x:c>
      <x:c r="Z3" s="89">
        <x:v>46050.086170740738</x:v>
      </x:c>
      <x:c r="AA3" s="88" t="s">
        <x:v>272</x:v>
      </x:c>
      <x:c r="AB3" s="88"/>
      <x:c r="AC3" s="88" t="s">
        <x:v>273</x:v>
      </x:c>
      <x:c r="AD3" s="89"/>
      <x:c r="AE3" s="88"/>
      <x:c r="AF3" s="88"/>
      <x:c r="AG3" s="88" t="s">
        <x:v>161</x:v>
      </x:c>
      <x:c r="AH3" s="89"/>
      <x:c r="AI3" s="88"/>
      <x:c r="AJ3" s="88" t="s">
        <x:v>274</x:v>
      </x:c>
      <x:c r="AK3" s="88">
        <x:v>2894</x:v>
      </x:c>
      <x:c r="AL3" s="88"/>
      <x:c r="AM3" s="88"/>
      <x:c r="AN3" s="88"/>
      <x:c r="AO3" s="88"/>
    </x:row>
    <x:row r="4">
      <x:c r="A4" s="88" t="s">
        <x:v>275</x:v>
      </x:c>
      <x:c r="B4" s="88" t="s">
        <x:v>276</x:v>
      </x:c>
      <x:c r="C4" s="88" t="s">
        <x:v>277</x:v>
      </x:c>
      <x:c r="D4" s="88" t="s">
        <x:v>248</x:v>
      </x:c>
      <x:c r="E4" s="88" t="s">
        <x:v>278</x:v>
      </x:c>
      <x:c r="F4" s="89">
        <x:v>45876.221695405089</x:v>
      </x:c>
      <x:c r="G4" s="89">
        <x:v>46050.088248171298</x:v>
      </x:c>
      <x:c r="H4" s="89">
        <x:v>45876.221695405089</x:v>
      </x:c>
      <x:c r="I4" s="88" t="s">
        <x:v>279</x:v>
      </x:c>
      <x:c r="J4" s="88" t="s">
        <x:v>280</x:v>
      </x:c>
      <x:c r="K4" s="88" t="s">
        <x:v>266</x:v>
      </x:c>
      <x:c r="L4" s="88"/>
      <x:c r="M4" s="88" t="s">
        <x:v>281</x:v>
      </x:c>
      <x:c r="N4" s="88"/>
      <x:c r="O4" s="88"/>
      <x:c r="P4" s="88" t="s">
        <x:v>282</x:v>
      </x:c>
      <x:c r="Q4" s="88" t="s">
        <x:v>256</x:v>
      </x:c>
      <x:c r="R4" s="88" t="s">
        <x:v>283</x:v>
      </x:c>
      <x:c r="S4" s="88"/>
      <x:c r="T4" s="88" t="s">
        <x:v>249</x:v>
      </x:c>
      <x:c r="U4" s="88" t="s">
        <x:v>271</x:v>
      </x:c>
      <x:c r="V4" s="89">
        <x:v>46050.088248171298</x:v>
      </x:c>
      <x:c r="W4" s="88"/>
      <x:c r="X4" s="88"/>
      <x:c r="Y4" s="88" t="s">
        <x:v>284</x:v>
      </x:c>
      <x:c r="Z4" s="89"/>
      <x:c r="AA4" s="88"/>
      <x:c r="AB4" s="88"/>
      <x:c r="AC4" s="88" t="s">
        <x:v>273</x:v>
      </x:c>
      <x:c r="AD4" s="89"/>
      <x:c r="AE4" s="88"/>
      <x:c r="AF4" s="88"/>
      <x:c r="AG4" s="88" t="s">
        <x:v>161</x:v>
      </x:c>
      <x:c r="AH4" s="89"/>
      <x:c r="AI4" s="88"/>
      <x:c r="AJ4" s="88" t="s">
        <x:v>285</x:v>
      </x:c>
      <x:c r="AK4" s="88" t="s">
        <x:v>286</x:v>
      </x:c>
      <x:c r="AL4" s="88"/>
      <x:c r="AM4" s="88"/>
      <x:c r="AN4" s="88"/>
      <x:c r="AO4" s="88"/>
    </x:row>
    <x:row r="5">
      <x:c r="A5" s="88" t="s">
        <x:v>287</x:v>
      </x:c>
      <x:c r="B5" s="88" t="s">
        <x:v>288</x:v>
      </x:c>
      <x:c r="C5" s="88" t="s">
        <x:v>289</x:v>
      </x:c>
      <x:c r="D5" s="88" t="s">
        <x:v>248</x:v>
      </x:c>
      <x:c r="E5" s="88" t="s">
        <x:v>249</x:v>
      </x:c>
      <x:c r="F5" s="89">
        <x:v>45881.272974085645</x:v>
      </x:c>
      <x:c r="G5" s="89">
        <x:v>46050.087473784719</x:v>
      </x:c>
      <x:c r="H5" s="89">
        <x:v>45881.284514814812</x:v>
      </x:c>
      <x:c r="I5" s="88" t="s">
        <x:v>290</x:v>
      </x:c>
      <x:c r="J5" s="88" t="s">
        <x:v>291</x:v>
      </x:c>
      <x:c r="K5" s="88" t="s">
        <x:v>266</x:v>
      </x:c>
      <x:c r="L5" s="88"/>
      <x:c r="M5" s="88" t="s">
        <x:v>292</x:v>
      </x:c>
      <x:c r="N5" s="88" t="s">
        <x:v>293</x:v>
      </x:c>
      <x:c r="O5" s="88"/>
      <x:c r="P5" s="88" t="s">
        <x:v>294</x:v>
      </x:c>
      <x:c r="Q5" s="88" t="s">
        <x:v>256</x:v>
      </x:c>
      <x:c r="R5" s="88" t="s">
        <x:v>283</x:v>
      </x:c>
      <x:c r="S5" s="88"/>
      <x:c r="T5" s="88" t="s">
        <x:v>259</x:v>
      </x:c>
      <x:c r="U5" s="88" t="s">
        <x:v>289</x:v>
      </x:c>
      <x:c r="V5" s="89">
        <x:v>45881.286248101853</x:v>
      </x:c>
      <x:c r="W5" s="88" t="s">
        <x:v>295</x:v>
      </x:c>
      <x:c r="X5" s="88" t="s">
        <x:v>249</x:v>
      </x:c>
      <x:c r="Y5" s="88" t="s">
        <x:v>271</x:v>
      </x:c>
      <x:c r="Z5" s="89">
        <x:v>46050.087473796295</x:v>
      </x:c>
      <x:c r="AA5" s="88" t="s">
        <x:v>272</x:v>
      </x:c>
      <x:c r="AB5" s="88"/>
      <x:c r="AC5" s="88" t="s">
        <x:v>273</x:v>
      </x:c>
      <x:c r="AD5" s="89"/>
      <x:c r="AE5" s="88"/>
      <x:c r="AF5" s="88"/>
      <x:c r="AG5" s="88" t="s">
        <x:v>273</x:v>
      </x:c>
      <x:c r="AH5" s="89"/>
      <x:c r="AI5" s="88"/>
      <x:c r="AJ5" s="88" t="s">
        <x:v>296</x:v>
      </x:c>
      <x:c r="AK5" s="88">
        <x:v>3020</x:v>
      </x:c>
      <x:c r="AL5" s="88"/>
      <x:c r="AM5" s="88"/>
      <x:c r="AN5" s="88"/>
      <x:c r="AO5" s="88"/>
    </x:row>
    <x:row r="6">
      <x:c r="A6" s="88" t="s">
        <x:v>297</x:v>
      </x:c>
      <x:c r="B6" s="88" t="s">
        <x:v>298</x:v>
      </x:c>
      <x:c r="C6" s="88" t="s">
        <x:v>299</x:v>
      </x:c>
      <x:c r="D6" s="88" t="s">
        <x:v>248</x:v>
      </x:c>
      <x:c r="E6" s="88" t="s">
        <x:v>249</x:v>
      </x:c>
      <x:c r="F6" s="89">
        <x:v>45918.153243194443</x:v>
      </x:c>
      <x:c r="G6" s="89">
        <x:v>46050.082638449072</x:v>
      </x:c>
      <x:c r="H6" s="89">
        <x:v>45918.153243194443</x:v>
      </x:c>
      <x:c r="I6" s="88" t="s">
        <x:v>300</x:v>
      </x:c>
      <x:c r="J6" s="88" t="s">
        <x:v>301</x:v>
      </x:c>
      <x:c r="K6" s="88" t="s">
        <x:v>266</x:v>
      </x:c>
      <x:c r="L6" s="88"/>
      <x:c r="M6" s="88" t="s">
        <x:v>302</x:v>
      </x:c>
      <x:c r="N6" s="88"/>
      <x:c r="O6" s="88"/>
      <x:c r="P6" s="88" t="s">
        <x:v>303</x:v>
      </x:c>
      <x:c r="Q6" s="88" t="s">
        <x:v>256</x:v>
      </x:c>
      <x:c r="R6" s="88" t="s">
        <x:v>283</x:v>
      </x:c>
      <x:c r="S6" s="88"/>
      <x:c r="T6" s="88" t="s">
        <x:v>259</x:v>
      </x:c>
      <x:c r="U6" s="88" t="s">
        <x:v>299</x:v>
      </x:c>
      <x:c r="V6" s="89">
        <x:v>45918.156149074071</x:v>
      </x:c>
      <x:c r="W6" s="88" t="s">
        <x:v>304</x:v>
      </x:c>
      <x:c r="X6" s="88" t="s">
        <x:v>249</x:v>
      </x:c>
      <x:c r="Y6" s="88" t="s">
        <x:v>271</x:v>
      </x:c>
      <x:c r="Z6" s="89">
        <x:v>46050.082638460648</x:v>
      </x:c>
      <x:c r="AA6" s="88" t="s">
        <x:v>305</x:v>
      </x:c>
      <x:c r="AB6" s="88"/>
      <x:c r="AC6" s="88" t="s">
        <x:v>273</x:v>
      </x:c>
      <x:c r="AD6" s="89"/>
      <x:c r="AE6" s="88"/>
      <x:c r="AF6" s="88"/>
      <x:c r="AG6" s="88" t="s">
        <x:v>161</x:v>
      </x:c>
      <x:c r="AH6" s="89"/>
      <x:c r="AI6" s="88"/>
      <x:c r="AJ6" s="88" t="s">
        <x:v>306</x:v>
      </x:c>
      <x:c r="AK6" s="88">
        <x:v>4129</x:v>
      </x:c>
      <x:c r="AL6" s="88"/>
      <x:c r="AM6" s="88"/>
      <x:c r="AN6" s="88"/>
      <x:c r="AO6" s="88"/>
    </x:row>
    <x:row r="7">
      <x:c r="A7" s="88" t="s">
        <x:v>307</x:v>
      </x:c>
      <x:c r="B7" s="88" t="s">
        <x:v>308</x:v>
      </x:c>
      <x:c r="C7" s="88" t="s">
        <x:v>309</x:v>
      </x:c>
      <x:c r="D7" s="88" t="s">
        <x:v>248</x:v>
      </x:c>
      <x:c r="E7" s="88" t="s">
        <x:v>278</x:v>
      </x:c>
      <x:c r="F7" s="89">
        <x:v>45933.332721932871</x:v>
      </x:c>
      <x:c r="G7" s="89">
        <x:v>46050.079275520831</x:v>
      </x:c>
      <x:c r="H7" s="89">
        <x:v>45933.332721932871</x:v>
      </x:c>
      <x:c r="I7" s="88" t="s">
        <x:v>310</x:v>
      </x:c>
      <x:c r="J7" s="88" t="s">
        <x:v>311</x:v>
      </x:c>
      <x:c r="K7" s="88" t="s">
        <x:v>266</x:v>
      </x:c>
      <x:c r="L7" s="88"/>
      <x:c r="M7" s="88" t="s">
        <x:v>309</x:v>
      </x:c>
      <x:c r="N7" s="88" t="s">
        <x:v>312</x:v>
      </x:c>
      <x:c r="O7" s="88" t="s">
        <x:v>252</x:v>
      </x:c>
      <x:c r="P7" s="88" t="s">
        <x:v>313</x:v>
      </x:c>
      <x:c r="Q7" s="88" t="s">
        <x:v>256</x:v>
      </x:c>
      <x:c r="R7" s="88" t="s">
        <x:v>283</x:v>
      </x:c>
      <x:c r="S7" s="88"/>
      <x:c r="T7" s="88" t="s">
        <x:v>249</x:v>
      </x:c>
      <x:c r="U7" s="88" t="s">
        <x:v>271</x:v>
      </x:c>
      <x:c r="V7" s="89">
        <x:v>46050.079275532407</x:v>
      </x:c>
      <x:c r="W7" s="88" t="s">
        <x:v>314</x:v>
      </x:c>
      <x:c r="X7" s="88"/>
      <x:c r="Y7" s="88" t="s">
        <x:v>309</x:v>
      </x:c>
      <x:c r="Z7" s="89"/>
      <x:c r="AA7" s="88"/>
      <x:c r="AB7" s="88"/>
      <x:c r="AC7" s="88" t="s">
        <x:v>273</x:v>
      </x:c>
      <x:c r="AD7" s="89"/>
      <x:c r="AE7" s="88"/>
      <x:c r="AF7" s="88"/>
      <x:c r="AG7" s="88" t="s">
        <x:v>161</x:v>
      </x:c>
      <x:c r="AH7" s="89"/>
      <x:c r="AI7" s="88"/>
      <x:c r="AJ7" s="88" t="s">
        <x:v>315</x:v>
      </x:c>
      <x:c r="AK7" s="88">
        <x:v>4064</x:v>
      </x:c>
      <x:c r="AL7" s="88"/>
      <x:c r="AM7" s="88"/>
      <x:c r="AN7" s="88"/>
      <x:c r="AO7" s="88"/>
    </x:row>
    <x:row r="8">
      <x:c r="A8" s="88" t="s">
        <x:v>316</x:v>
      </x:c>
      <x:c r="B8" s="88" t="s">
        <x:v>317</x:v>
      </x:c>
      <x:c r="C8" s="88" t="s">
        <x:v>318</x:v>
      </x:c>
      <x:c r="D8" s="88" t="s">
        <x:v>248</x:v>
      </x:c>
      <x:c r="E8" s="88" t="s">
        <x:v>249</x:v>
      </x:c>
      <x:c r="F8" s="89">
        <x:v>45945.38449571759</x:v>
      </x:c>
      <x:c r="G8" s="89">
        <x:v>46139.101671076387</x:v>
      </x:c>
      <x:c r="H8" s="89">
        <x:v>45945.38449571759</x:v>
      </x:c>
      <x:c r="I8" s="88" t="s">
        <x:v>319</x:v>
      </x:c>
      <x:c r="J8" s="88" t="s">
        <x:v>320</x:v>
      </x:c>
      <x:c r="K8" s="88" t="s">
        <x:v>266</x:v>
      </x:c>
      <x:c r="L8" s="88"/>
      <x:c r="M8" s="88" t="s">
        <x:v>321</x:v>
      </x:c>
      <x:c r="N8" s="88"/>
      <x:c r="O8" s="88"/>
      <x:c r="P8" s="88" t="s">
        <x:v>322</x:v>
      </x:c>
      <x:c r="Q8" s="88" t="s">
        <x:v>323</x:v>
      </x:c>
      <x:c r="R8" s="88" t="s">
        <x:v>283</x:v>
      </x:c>
      <x:c r="S8" s="88"/>
      <x:c r="T8" s="88" t="s">
        <x:v>259</x:v>
      </x:c>
      <x:c r="U8" s="88" t="s">
        <x:v>324</x:v>
      </x:c>
      <x:c r="V8" s="89">
        <x:v>46136.178880023152</x:v>
      </x:c>
      <x:c r="W8" s="88" t="s">
        <x:v>259</x:v>
      </x:c>
      <x:c r="X8" s="88" t="s">
        <x:v>259</x:v>
      </x:c>
      <x:c r="Y8" s="88" t="s">
        <x:v>324</x:v>
      </x:c>
      <x:c r="Z8" s="89">
        <x:v>46136.179360925926</x:v>
      </x:c>
      <x:c r="AA8" s="88" t="s">
        <x:v>259</x:v>
      </x:c>
      <x:c r="AB8" s="88" t="s">
        <x:v>249</x:v>
      </x:c>
      <x:c r="AC8" s="88" t="s">
        <x:v>271</x:v>
      </x:c>
      <x:c r="AD8" s="89">
        <x:v>46139.101671087963</x:v>
      </x:c>
      <x:c r="AE8" s="88" t="s">
        <x:v>325</x:v>
      </x:c>
      <x:c r="AF8" s="88"/>
      <x:c r="AG8" s="88" t="s">
        <x:v>161</x:v>
      </x:c>
      <x:c r="AH8" s="89"/>
      <x:c r="AI8" s="88"/>
      <x:c r="AJ8" s="88" t="s">
        <x:v>326</x:v>
      </x:c>
      <x:c r="AK8" s="88">
        <x:v>1221</x:v>
      </x:c>
      <x:c r="AL8" s="88"/>
      <x:c r="AM8" s="88"/>
      <x:c r="AN8" s="88"/>
      <x:c r="AO8" s="88"/>
    </x:row>
    <x:row r="9">
      <x:c r="A9" s="88" t="s">
        <x:v>327</x:v>
      </x:c>
      <x:c r="B9" s="88" t="s">
        <x:v>328</x:v>
      </x:c>
      <x:c r="C9" s="88" t="s">
        <x:v>318</x:v>
      </x:c>
      <x:c r="D9" s="88" t="s">
        <x:v>248</x:v>
      </x:c>
      <x:c r="E9" s="88" t="s">
        <x:v>329</x:v>
      </x:c>
      <x:c r="F9" s="89">
        <x:v>45945.388504953706</x:v>
      </x:c>
      <x:c r="G9" s="89">
        <x:v>46229.694736990743</x:v>
      </x:c>
      <x:c r="H9" s="89">
        <x:v>46217.116284594907</x:v>
      </x:c>
      <x:c r="I9" s="88" t="s">
        <x:v>330</x:v>
      </x:c>
      <x:c r="J9" s="88" t="s">
        <x:v>331</x:v>
      </x:c>
      <x:c r="K9" s="88" t="s">
        <x:v>266</x:v>
      </x:c>
      <x:c r="L9" s="88"/>
      <x:c r="M9" s="88" t="s">
        <x:v>321</x:v>
      </x:c>
      <x:c r="N9" s="88"/>
      <x:c r="O9" s="88"/>
      <x:c r="P9" s="88" t="s">
        <x:v>332</x:v>
      </x:c>
      <x:c r="Q9" s="88" t="s">
        <x:v>323</x:v>
      </x:c>
      <x:c r="R9" s="88" t="s">
        <x:v>283</x:v>
      </x:c>
      <x:c r="S9" s="88"/>
      <x:c r="T9" s="88" t="s">
        <x:v>259</x:v>
      </x:c>
      <x:c r="U9" s="88" t="s">
        <x:v>318</x:v>
      </x:c>
      <x:c r="V9" s="89">
        <x:v>46217.259185925926</x:v>
      </x:c>
      <x:c r="W9" s="88" t="s">
        <x:v>333</x:v>
      </x:c>
      <x:c r="X9" s="88" t="s">
        <x:v>259</x:v>
      </x:c>
      <x:c r="Y9" s="88" t="s">
        <x:v>324</x:v>
      </x:c>
      <x:c r="Z9" s="89">
        <x:v>46220.102257557868</x:v>
      </x:c>
      <x:c r="AA9" s="88" t="s">
        <x:v>334</x:v>
      </x:c>
      <x:c r="AB9" s="88" t="s">
        <x:v>259</x:v>
      </x:c>
      <x:c r="AC9" s="88" t="s">
        <x:v>111</x:v>
      </x:c>
      <x:c r="AD9" s="89">
        <x:v>46229.694737013888</x:v>
      </x:c>
      <x:c r="AE9" s="88" t="s">
        <x:v>335</x:v>
      </x:c>
      <x:c r="AF9" s="88"/>
      <x:c r="AG9" s="88" t="s">
        <x:v>173</x:v>
      </x:c>
      <x:c r="AH9" s="89"/>
      <x:c r="AI9" s="88"/>
      <x:c r="AJ9" s="88" t="s">
        <x:v>336</x:v>
      </x:c>
      <x:c r="AK9" s="88" t="s">
        <x:v>337</x:v>
      </x:c>
      <x:c r="AL9" s="88" t="s">
        <x:v>185</x:v>
      </x:c>
      <x:c r="AM9" s="88" t="s">
        <x:v>338</x:v>
      </x:c>
      <x:c r="AN9" s="88"/>
      <x:c r="AO9" s="88"/>
    </x:row>
    <x:row r="10">
      <x:c r="A10" s="88" t="s">
        <x:v>339</x:v>
      </x:c>
      <x:c r="B10" s="88" t="s">
        <x:v>340</x:v>
      </x:c>
      <x:c r="C10" s="88" t="s">
        <x:v>341</x:v>
      </x:c>
      <x:c r="D10" s="88" t="s">
        <x:v>248</x:v>
      </x:c>
      <x:c r="E10" s="88" t="s">
        <x:v>342</x:v>
      </x:c>
      <x:c r="F10" s="89">
        <x:v>45947.114237604168</x:v>
      </x:c>
      <x:c r="G10" s="89">
        <x:v>46069.334303090276</x:v>
      </x:c>
      <x:c r="H10" s="89">
        <x:v>46059.378132199075</x:v>
      </x:c>
      <x:c r="I10" s="88" t="s">
        <x:v>343</x:v>
      </x:c>
      <x:c r="J10" s="88" t="s">
        <x:v>344</x:v>
      </x:c>
      <x:c r="K10" s="88" t="s">
        <x:v>266</x:v>
      </x:c>
      <x:c r="L10" s="88"/>
      <x:c r="M10" s="88" t="s">
        <x:v>345</x:v>
      </x:c>
      <x:c r="N10" s="88"/>
      <x:c r="O10" s="88"/>
      <x:c r="P10" s="88" t="s">
        <x:v>346</x:v>
      </x:c>
      <x:c r="Q10" s="88" t="s">
        <x:v>347</x:v>
      </x:c>
      <x:c r="R10" s="88" t="s">
        <x:v>348</x:v>
      </x:c>
      <x:c r="S10" s="88"/>
      <x:c r="T10" s="88" t="s">
        <x:v>259</x:v>
      </x:c>
      <x:c r="U10" s="88" t="s">
        <x:v>341</x:v>
      </x:c>
      <x:c r="V10" s="89">
        <x:v>46059.378663715281</x:v>
      </x:c>
      <x:c r="W10" s="88" t="s">
        <x:v>349</x:v>
      </x:c>
      <x:c r="X10" s="88" t="s">
        <x:v>259</x:v>
      </x:c>
      <x:c r="Y10" s="88" t="s">
        <x:v>350</x:v>
      </x:c>
      <x:c r="Z10" s="89">
        <x:v>46059.551196585649</x:v>
      </x:c>
      <x:c r="AA10" s="88" t="s">
        <x:v>351</x:v>
      </x:c>
      <x:c r="AB10" s="88" t="s">
        <x:v>259</x:v>
      </x:c>
      <x:c r="AC10" s="88" t="s">
        <x:v>271</x:v>
      </x:c>
      <x:c r="AD10" s="89">
        <x:v>46064.081498194442</x:v>
      </x:c>
      <x:c r="AE10" s="88" t="s">
        <x:v>352</x:v>
      </x:c>
      <x:c r="AF10" s="88" t="s">
        <x:v>259</x:v>
      </x:c>
      <x:c r="AG10" s="88" t="s">
        <x:v>271</x:v>
      </x:c>
      <x:c r="AH10" s="89">
        <x:v>46069.334303090276</x:v>
      </x:c>
      <x:c r="AI10" s="88" t="s">
        <x:v>353</x:v>
      </x:c>
      <x:c r="AJ10" s="88" t="s">
        <x:v>354</x:v>
      </x:c>
      <x:c r="AK10" s="88">
        <x:v>1938</x:v>
      </x:c>
      <x:c r="AL10" s="88" t="s">
        <x:v>162</x:v>
      </x:c>
      <x:c r="AM10" s="88" t="s">
        <x:v>355</x:v>
      </x:c>
      <x:c r="AN10" s="88"/>
      <x:c r="AO10" s="88"/>
    </x:row>
    <x:row r="11">
      <x:c r="A11" s="88" t="s">
        <x:v>356</x:v>
      </x:c>
      <x:c r="B11" s="88" t="s">
        <x:v>357</x:v>
      </x:c>
      <x:c r="C11" s="88" t="s">
        <x:v>358</x:v>
      </x:c>
      <x:c r="D11" s="88" t="s">
        <x:v>248</x:v>
      </x:c>
      <x:c r="E11" s="88" t="s">
        <x:v>249</x:v>
      </x:c>
      <x:c r="F11" s="89">
        <x:v>45958.015837974533</x:v>
      </x:c>
      <x:c r="G11" s="89">
        <x:v>46050.377831712962</x:v>
      </x:c>
      <x:c r="H11" s="89">
        <x:v>45958.015837974533</x:v>
      </x:c>
      <x:c r="I11" s="88" t="s">
        <x:v>359</x:v>
      </x:c>
      <x:c r="J11" s="88" t="s">
        <x:v>360</x:v>
      </x:c>
      <x:c r="K11" s="88" t="s">
        <x:v>266</x:v>
      </x:c>
      <x:c r="L11" s="88"/>
      <x:c r="M11" s="88" t="s">
        <x:v>361</x:v>
      </x:c>
      <x:c r="N11" s="88"/>
      <x:c r="O11" s="88">
        <x:v>2090</x:v>
      </x:c>
      <x:c r="P11" s="88" t="s">
        <x:v>362</x:v>
      </x:c>
      <x:c r="Q11" s="88" t="s">
        <x:v>323</x:v>
      </x:c>
      <x:c r="R11" s="88" t="s">
        <x:v>363</x:v>
      </x:c>
      <x:c r="S11" s="88"/>
      <x:c r="T11" s="88" t="s">
        <x:v>259</x:v>
      </x:c>
      <x:c r="U11" s="88" t="s">
        <x:v>358</x:v>
      </x:c>
      <x:c r="V11" s="89">
        <x:v>45958.017802152775</x:v>
      </x:c>
      <x:c r="W11" s="88" t="s">
        <x:v>364</x:v>
      </x:c>
      <x:c r="X11" s="88" t="s">
        <x:v>259</x:v>
      </x:c>
      <x:c r="Y11" s="88" t="s">
        <x:v>365</x:v>
      </x:c>
      <x:c r="Z11" s="89">
        <x:v>46050.342239490739</x:v>
      </x:c>
      <x:c r="AA11" s="88" t="s">
        <x:v>366</x:v>
      </x:c>
      <x:c r="AB11" s="88" t="s">
        <x:v>249</x:v>
      </x:c>
      <x:c r="AC11" s="88" t="s">
        <x:v>271</x:v>
      </x:c>
      <x:c r="AD11" s="89">
        <x:v>46050.377831712962</x:v>
      </x:c>
      <x:c r="AE11" s="88" t="s">
        <x:v>367</x:v>
      </x:c>
      <x:c r="AF11" s="88"/>
      <x:c r="AG11" s="88" t="s">
        <x:v>161</x:v>
      </x:c>
      <x:c r="AH11" s="89"/>
      <x:c r="AI11" s="88"/>
      <x:c r="AJ11" s="88" t="s">
        <x:v>368</x:v>
      </x:c>
      <x:c r="AK11" s="88">
        <x:v>2090</x:v>
      </x:c>
      <x:c r="AL11" s="88"/>
      <x:c r="AM11" s="88"/>
      <x:c r="AN11" s="88" t="s">
        <x:v>369</x:v>
      </x:c>
      <x:c r="AO11" s="88">
        <x:v>0</x:v>
      </x:c>
    </x:row>
    <x:row r="12">
      <x:c r="A12" s="88" t="s">
        <x:v>370</x:v>
      </x:c>
      <x:c r="B12" s="88" t="s">
        <x:v>371</x:v>
      </x:c>
      <x:c r="C12" s="88" t="s">
        <x:v>358</x:v>
      </x:c>
      <x:c r="D12" s="88" t="s">
        <x:v>248</x:v>
      </x:c>
      <x:c r="E12" s="88" t="s">
        <x:v>372</x:v>
      </x:c>
      <x:c r="F12" s="89">
        <x:v>45958.019097453704</x:v>
      </x:c>
      <x:c r="G12" s="89">
        <x:v>46050.341665439817</x:v>
      </x:c>
      <x:c r="H12" s="89">
        <x:v>45958.019097453704</x:v>
      </x:c>
      <x:c r="I12" s="88" t="s">
        <x:v>359</x:v>
      </x:c>
      <x:c r="J12" s="88" t="s">
        <x:v>360</x:v>
      </x:c>
      <x:c r="K12" s="88" t="s">
        <x:v>266</x:v>
      </x:c>
      <x:c r="L12" s="88"/>
      <x:c r="M12" s="88" t="s">
        <x:v>361</x:v>
      </x:c>
      <x:c r="N12" s="88"/>
      <x:c r="O12" s="88">
        <x:v>2090</x:v>
      </x:c>
      <x:c r="P12" s="88" t="s">
        <x:v>373</x:v>
      </x:c>
      <x:c r="Q12" s="88" t="s">
        <x:v>323</x:v>
      </x:c>
      <x:c r="R12" s="88" t="s">
        <x:v>363</x:v>
      </x:c>
      <x:c r="S12" s="88"/>
      <x:c r="T12" s="88" t="s">
        <x:v>259</x:v>
      </x:c>
      <x:c r="U12" s="88" t="s">
        <x:v>365</x:v>
      </x:c>
      <x:c r="V12" s="89">
        <x:v>46050.341665451386</x:v>
      </x:c>
      <x:c r="W12" s="88" t="s">
        <x:v>374</x:v>
      </x:c>
      <x:c r="X12" s="88"/>
      <x:c r="Y12" s="88" t="s">
        <x:v>365</x:v>
      </x:c>
      <x:c r="Z12" s="89"/>
      <x:c r="AA12" s="88"/>
      <x:c r="AB12" s="88"/>
      <x:c r="AC12" s="88" t="s">
        <x:v>273</x:v>
      </x:c>
      <x:c r="AD12" s="89"/>
      <x:c r="AE12" s="88"/>
      <x:c r="AF12" s="88"/>
      <x:c r="AG12" s="88" t="s">
        <x:v>161</x:v>
      </x:c>
      <x:c r="AH12" s="89"/>
      <x:c r="AI12" s="88"/>
      <x:c r="AJ12" s="88" t="s">
        <x:v>368</x:v>
      </x:c>
      <x:c r="AK12" s="88">
        <x:v>2090</x:v>
      </x:c>
      <x:c r="AL12" s="88"/>
      <x:c r="AM12" s="88"/>
      <x:c r="AN12" s="88" t="s">
        <x:v>369</x:v>
      </x:c>
      <x:c r="AO12" s="88">
        <x:v>0</x:v>
      </x:c>
    </x:row>
    <x:row r="13">
      <x:c r="A13" s="88" t="s">
        <x:v>375</x:v>
      </x:c>
      <x:c r="B13" s="88" t="s">
        <x:v>376</x:v>
      </x:c>
      <x:c r="C13" s="88" t="s">
        <x:v>377</x:v>
      </x:c>
      <x:c r="D13" s="88" t="s">
        <x:v>248</x:v>
      </x:c>
      <x:c r="E13" s="88" t="s">
        <x:v>342</x:v>
      </x:c>
      <x:c r="F13" s="89">
        <x:v>45981.192138310187</x:v>
      </x:c>
      <x:c r="G13" s="89">
        <x:v>46048.294902384259</x:v>
      </x:c>
      <x:c r="H13" s="89">
        <x:v>45981.192138310187</x:v>
      </x:c>
      <x:c r="I13" s="88" t="s">
        <x:v>378</x:v>
      </x:c>
      <x:c r="J13" s="88" t="s">
        <x:v>379</x:v>
      </x:c>
      <x:c r="K13" s="88" t="s">
        <x:v>380</x:v>
      </x:c>
      <x:c r="L13" s="88" t="s">
        <x:v>252</x:v>
      </x:c>
      <x:c r="M13" s="88" t="s">
        <x:v>381</x:v>
      </x:c>
      <x:c r="N13" s="88"/>
      <x:c r="O13" s="88"/>
      <x:c r="P13" s="88" t="s">
        <x:v>382</x:v>
      </x:c>
      <x:c r="Q13" s="88" t="s">
        <x:v>256</x:v>
      </x:c>
      <x:c r="R13" s="88" t="s">
        <x:v>283</x:v>
      </x:c>
      <x:c r="S13" s="88"/>
      <x:c r="T13" s="88" t="s">
        <x:v>259</x:v>
      </x:c>
      <x:c r="U13" s="88" t="s">
        <x:v>377</x:v>
      </x:c>
      <x:c r="V13" s="89">
        <x:v>45981.192754444448</x:v>
      </x:c>
      <x:c r="W13" s="88" t="s">
        <x:v>383</x:v>
      </x:c>
      <x:c r="X13" s="88" t="s">
        <x:v>259</x:v>
      </x:c>
      <x:c r="Y13" s="88" t="s">
        <x:v>384</x:v>
      </x:c>
      <x:c r="Z13" s="89">
        <x:v>45995.21524046296</x:v>
      </x:c>
      <x:c r="AA13" s="88" t="s">
        <x:v>385</x:v>
      </x:c>
      <x:c r="AB13" s="88" t="s">
        <x:v>259</x:v>
      </x:c>
      <x:c r="AC13" s="88" t="s">
        <x:v>271</x:v>
      </x:c>
      <x:c r="AD13" s="89">
        <x:v>46042.30823962963</x:v>
      </x:c>
      <x:c r="AE13" s="88" t="s">
        <x:v>386</x:v>
      </x:c>
      <x:c r="AF13" s="88" t="s">
        <x:v>259</x:v>
      </x:c>
      <x:c r="AG13" s="88" t="s">
        <x:v>387</x:v>
      </x:c>
      <x:c r="AH13" s="89">
        <x:v>46048.294902395835</x:v>
      </x:c>
      <x:c r="AI13" s="88" t="s">
        <x:v>388</x:v>
      </x:c>
      <x:c r="AJ13" s="88" t="s">
        <x:v>389</x:v>
      </x:c>
      <x:c r="AK13" s="88">
        <x:v>10017</x:v>
      </x:c>
      <x:c r="AL13" s="88" t="s">
        <x:v>185</x:v>
      </x:c>
      <x:c r="AM13" s="88" t="s">
        <x:v>390</x:v>
      </x:c>
      <x:c r="AN13" s="88" t="s">
        <x:v>391</x:v>
      </x:c>
      <x:c r="AO13" s="88">
        <x:v>0</x:v>
      </x:c>
    </x:row>
    <x:row r="14">
      <x:c r="A14" s="88" t="s">
        <x:v>392</x:v>
      </x:c>
      <x:c r="B14" s="88" t="s">
        <x:v>393</x:v>
      </x:c>
      <x:c r="C14" s="88" t="s">
        <x:v>394</x:v>
      </x:c>
      <x:c r="D14" s="88" t="s">
        <x:v>248</x:v>
      </x:c>
      <x:c r="E14" s="88" t="s">
        <x:v>342</x:v>
      </x:c>
      <x:c r="F14" s="89">
        <x:v>45986.376623854165</x:v>
      </x:c>
      <x:c r="G14" s="89">
        <x:v>46136.177765127315</x:v>
      </x:c>
      <x:c r="H14" s="89">
        <x:v>45986.376623854165</x:v>
      </x:c>
      <x:c r="I14" s="88" t="s">
        <x:v>395</x:v>
      </x:c>
      <x:c r="J14" s="88" t="s">
        <x:v>396</x:v>
      </x:c>
      <x:c r="K14" s="88" t="s">
        <x:v>266</x:v>
      </x:c>
      <x:c r="L14" s="88"/>
      <x:c r="M14" s="88" t="s">
        <x:v>324</x:v>
      </x:c>
      <x:c r="N14" s="88"/>
      <x:c r="O14" s="88"/>
      <x:c r="P14" s="88" t="s">
        <x:v>397</x:v>
      </x:c>
      <x:c r="Q14" s="88" t="s">
        <x:v>323</x:v>
      </x:c>
      <x:c r="R14" s="88" t="s">
        <x:v>283</x:v>
      </x:c>
      <x:c r="S14" s="88"/>
      <x:c r="T14" s="88" t="s">
        <x:v>259</x:v>
      </x:c>
      <x:c r="U14" s="88" t="s">
        <x:v>394</x:v>
      </x:c>
      <x:c r="V14" s="89">
        <x:v>45986.377288946758</x:v>
      </x:c>
      <x:c r="W14" s="88" t="s">
        <x:v>398</x:v>
      </x:c>
      <x:c r="X14" s="88" t="s">
        <x:v>259</x:v>
      </x:c>
      <x:c r="Y14" s="88" t="s">
        <x:v>324</x:v>
      </x:c>
      <x:c r="Z14" s="89">
        <x:v>46136.176340891201</x:v>
      </x:c>
      <x:c r="AA14" s="88" t="s">
        <x:v>259</x:v>
      </x:c>
      <x:c r="AB14" s="88" t="s">
        <x:v>259</x:v>
      </x:c>
      <x:c r="AC14" s="88" t="s">
        <x:v>324</x:v>
      </x:c>
      <x:c r="AD14" s="89">
        <x:v>46136.1771902662</x:v>
      </x:c>
      <x:c r="AE14" s="88" t="s">
        <x:v>259</x:v>
      </x:c>
      <x:c r="AF14" s="88" t="s">
        <x:v>259</x:v>
      </x:c>
      <x:c r="AG14" s="88" t="s">
        <x:v>324</x:v>
      </x:c>
      <x:c r="AH14" s="89">
        <x:v>46136.177765138891</x:v>
      </x:c>
      <x:c r="AI14" s="88" t="s">
        <x:v>259</x:v>
      </x:c>
      <x:c r="AJ14" s="88" t="s">
        <x:v>399</x:v>
      </x:c>
      <x:c r="AK14" s="88">
        <x:v>1266</x:v>
      </x:c>
      <x:c r="AL14" s="88" t="s">
        <x:v>185</x:v>
      </x:c>
      <x:c r="AM14" s="88" t="s">
        <x:v>400</x:v>
      </x:c>
      <x:c r="AN14" s="88" t="s">
        <x:v>369</x:v>
      </x:c>
      <x:c r="AO14" s="88">
        <x:v>0</x:v>
      </x:c>
    </x:row>
    <x:row r="15">
      <x:c r="A15" s="88" t="s">
        <x:v>401</x:v>
      </x:c>
      <x:c r="B15" s="88" t="s">
        <x:v>402</x:v>
      </x:c>
      <x:c r="C15" s="88" t="s">
        <x:v>403</x:v>
      </x:c>
      <x:c r="D15" s="88" t="s">
        <x:v>248</x:v>
      </x:c>
      <x:c r="E15" s="88" t="s">
        <x:v>249</x:v>
      </x:c>
      <x:c r="F15" s="89">
        <x:v>45988.318851747688</x:v>
      </x:c>
      <x:c r="G15" s="89">
        <x:v>46047.724322256945</x:v>
      </x:c>
      <x:c r="H15" s="89">
        <x:v>45991.895173310186</x:v>
      </x:c>
      <x:c r="I15" s="88" t="s">
        <x:v>404</x:v>
      </x:c>
      <x:c r="J15" s="88" t="s">
        <x:v>405</x:v>
      </x:c>
      <x:c r="K15" s="88" t="s">
        <x:v>380</x:v>
      </x:c>
      <x:c r="L15" s="88" t="s">
        <x:v>406</x:v>
      </x:c>
      <x:c r="M15" s="88" t="s">
        <x:v>407</x:v>
      </x:c>
      <x:c r="N15" s="88" t="s">
        <x:v>408</x:v>
      </x:c>
      <x:c r="O15" s="88"/>
      <x:c r="P15" s="88" t="s">
        <x:v>409</x:v>
      </x:c>
      <x:c r="Q15" s="88" t="s">
        <x:v>256</x:v>
      </x:c>
      <x:c r="R15" s="88" t="s">
        <x:v>283</x:v>
      </x:c>
      <x:c r="S15" s="88"/>
      <x:c r="T15" s="88" t="s">
        <x:v>259</x:v>
      </x:c>
      <x:c r="U15" s="88" t="s">
        <x:v>403</x:v>
      </x:c>
      <x:c r="V15" s="89">
        <x:v>45991.902633344907</x:v>
      </x:c>
      <x:c r="W15" s="88" t="s">
        <x:v>410</x:v>
      </x:c>
      <x:c r="X15" s="88" t="s">
        <x:v>259</x:v>
      </x:c>
      <x:c r="Y15" s="88" t="s">
        <x:v>407</x:v>
      </x:c>
      <x:c r="Z15" s="89">
        <x:v>46000.286519479167</x:v>
      </x:c>
      <x:c r="AA15" s="88" t="s">
        <x:v>411</x:v>
      </x:c>
      <x:c r="AB15" s="88" t="s">
        <x:v>249</x:v>
      </x:c>
      <x:c r="AC15" s="88" t="s">
        <x:v>271</x:v>
      </x:c>
      <x:c r="AD15" s="89">
        <x:v>46047.724322268521</x:v>
      </x:c>
      <x:c r="AE15" s="88" t="s">
        <x:v>412</x:v>
      </x:c>
      <x:c r="AF15" s="88"/>
      <x:c r="AG15" s="88" t="s">
        <x:v>273</x:v>
      </x:c>
      <x:c r="AH15" s="89"/>
      <x:c r="AI15" s="88"/>
      <x:c r="AJ15" s="88" t="s">
        <x:v>413</x:v>
      </x:c>
      <x:c r="AK15" s="88">
        <x:v>592</x:v>
      </x:c>
      <x:c r="AL15" s="88"/>
      <x:c r="AM15" s="88"/>
      <x:c r="AN15" s="88" t="s">
        <x:v>414</x:v>
      </x:c>
      <x:c r="AO15" s="88">
        <x:v>30</x:v>
      </x:c>
    </x:row>
    <x:row r="16">
      <x:c r="A16" s="88" t="s">
        <x:v>415</x:v>
      </x:c>
      <x:c r="B16" s="88" t="s">
        <x:v>416</x:v>
      </x:c>
      <x:c r="C16" s="88" t="s">
        <x:v>417</x:v>
      </x:c>
      <x:c r="D16" s="88" t="s">
        <x:v>248</x:v>
      </x:c>
      <x:c r="E16" s="88" t="s">
        <x:v>278</x:v>
      </x:c>
      <x:c r="F16" s="89">
        <x:v>45989.44871517361</x:v>
      </x:c>
      <x:c r="G16" s="89">
        <x:v>46050.077927789353</x:v>
      </x:c>
      <x:c r="H16" s="89">
        <x:v>45989.44871517361</x:v>
      </x:c>
      <x:c r="I16" s="88" t="s">
        <x:v>418</x:v>
      </x:c>
      <x:c r="J16" s="88" t="s">
        <x:v>419</x:v>
      </x:c>
      <x:c r="K16" s="88" t="s">
        <x:v>266</x:v>
      </x:c>
      <x:c r="L16" s="88"/>
      <x:c r="M16" s="88" t="s">
        <x:v>420</x:v>
      </x:c>
      <x:c r="N16" s="88"/>
      <x:c r="O16" s="88" t="s">
        <x:v>421</x:v>
      </x:c>
      <x:c r="P16" s="88" t="s">
        <x:v>422</x:v>
      </x:c>
      <x:c r="Q16" s="88" t="s">
        <x:v>256</x:v>
      </x:c>
      <x:c r="R16" s="88" t="s">
        <x:v>283</x:v>
      </x:c>
      <x:c r="S16" s="88"/>
      <x:c r="T16" s="88" t="s">
        <x:v>249</x:v>
      </x:c>
      <x:c r="U16" s="88" t="s">
        <x:v>271</x:v>
      </x:c>
      <x:c r="V16" s="89">
        <x:v>46050.077927800929</x:v>
      </x:c>
      <x:c r="W16" s="88" t="s">
        <x:v>314</x:v>
      </x:c>
      <x:c r="X16" s="88"/>
      <x:c r="Y16" s="88" t="s">
        <x:v>420</x:v>
      </x:c>
      <x:c r="Z16" s="89"/>
      <x:c r="AA16" s="88"/>
      <x:c r="AB16" s="88"/>
      <x:c r="AC16" s="88" t="s">
        <x:v>273</x:v>
      </x:c>
      <x:c r="AD16" s="89"/>
      <x:c r="AE16" s="88"/>
      <x:c r="AF16" s="88"/>
      <x:c r="AG16" s="88" t="s">
        <x:v>161</x:v>
      </x:c>
      <x:c r="AH16" s="89"/>
      <x:c r="AI16" s="88"/>
      <x:c r="AJ16" s="88" t="s">
        <x:v>423</x:v>
      </x:c>
      <x:c r="AK16" s="88" t="s">
        <x:v>424</x:v>
      </x:c>
      <x:c r="AL16" s="88"/>
      <x:c r="AM16" s="88"/>
      <x:c r="AN16" s="88" t="s">
        <x:v>369</x:v>
      </x:c>
      <x:c r="AO16" s="88">
        <x:v>0</x:v>
      </x:c>
    </x:row>
    <x:row r="17">
      <x:c r="A17" s="88" t="s">
        <x:v>425</x:v>
      </x:c>
      <x:c r="B17" s="88" t="s">
        <x:v>426</x:v>
      </x:c>
      <x:c r="C17" s="88" t="s">
        <x:v>403</x:v>
      </x:c>
      <x:c r="D17" s="88" t="s">
        <x:v>248</x:v>
      </x:c>
      <x:c r="E17" s="88" t="s">
        <x:v>249</x:v>
      </x:c>
      <x:c r="F17" s="89">
        <x:v>45991.90715431713</x:v>
      </x:c>
      <x:c r="G17" s="89">
        <x:v>46047.724448692126</x:v>
      </x:c>
      <x:c r="H17" s="89">
        <x:v>45991.90715431713</x:v>
      </x:c>
      <x:c r="I17" s="88" t="s">
        <x:v>427</x:v>
      </x:c>
      <x:c r="J17" s="88" t="s">
        <x:v>428</x:v>
      </x:c>
      <x:c r="K17" s="88" t="s">
        <x:v>266</x:v>
      </x:c>
      <x:c r="L17" s="88"/>
      <x:c r="M17" s="88" t="s">
        <x:v>407</x:v>
      </x:c>
      <x:c r="N17" s="88" t="s">
        <x:v>408</x:v>
      </x:c>
      <x:c r="O17" s="88" t="s">
        <x:v>429</x:v>
      </x:c>
      <x:c r="P17" s="88" t="s">
        <x:v>430</x:v>
      </x:c>
      <x:c r="Q17" s="88" t="s">
        <x:v>323</x:v>
      </x:c>
      <x:c r="R17" s="88" t="s">
        <x:v>283</x:v>
      </x:c>
      <x:c r="S17" s="88"/>
      <x:c r="T17" s="88" t="s">
        <x:v>259</x:v>
      </x:c>
      <x:c r="U17" s="88" t="s">
        <x:v>403</x:v>
      </x:c>
      <x:c r="V17" s="89">
        <x:v>45991.911276307874</x:v>
      </x:c>
      <x:c r="W17" s="88" t="s">
        <x:v>431</x:v>
      </x:c>
      <x:c r="X17" s="88" t="s">
        <x:v>259</x:v>
      </x:c>
      <x:c r="Y17" s="88" t="s">
        <x:v>407</x:v>
      </x:c>
      <x:c r="Z17" s="89">
        <x:v>46000.287257048614</x:v>
      </x:c>
      <x:c r="AA17" s="88" t="s">
        <x:v>432</x:v>
      </x:c>
      <x:c r="AB17" s="88" t="s">
        <x:v>249</x:v>
      </x:c>
      <x:c r="AC17" s="88" t="s">
        <x:v>271</x:v>
      </x:c>
      <x:c r="AD17" s="89">
        <x:v>46047.724448692126</x:v>
      </x:c>
      <x:c r="AE17" s="88" t="s">
        <x:v>412</x:v>
      </x:c>
      <x:c r="AF17" s="88"/>
      <x:c r="AG17" s="88" t="s">
        <x:v>161</x:v>
      </x:c>
      <x:c r="AH17" s="89"/>
      <x:c r="AI17" s="88"/>
      <x:c r="AJ17" s="88" t="s">
        <x:v>433</x:v>
      </x:c>
      <x:c r="AK17" s="88" t="s">
        <x:v>429</x:v>
      </x:c>
      <x:c r="AL17" s="88"/>
      <x:c r="AM17" s="88"/>
      <x:c r="AN17" s="88" t="s">
        <x:v>414</x:v>
      </x:c>
      <x:c r="AO17" s="88">
        <x:v>30</x:v>
      </x:c>
    </x:row>
    <x:row r="18">
      <x:c r="A18" s="88" t="s">
        <x:v>434</x:v>
      </x:c>
      <x:c r="B18" s="88" t="s">
        <x:v>435</x:v>
      </x:c>
      <x:c r="C18" s="88" t="s">
        <x:v>417</x:v>
      </x:c>
      <x:c r="D18" s="88" t="s">
        <x:v>248</x:v>
      </x:c>
      <x:c r="E18" s="88" t="s">
        <x:v>278</x:v>
      </x:c>
      <x:c r="F18" s="89">
        <x:v>45993.124247465275</x:v>
      </x:c>
      <x:c r="G18" s="89">
        <x:v>46050.078206435188</x:v>
      </x:c>
      <x:c r="H18" s="89">
        <x:v>45993.124247465275</x:v>
      </x:c>
      <x:c r="I18" s="88" t="s">
        <x:v>436</x:v>
      </x:c>
      <x:c r="J18" s="88" t="s">
        <x:v>437</x:v>
      </x:c>
      <x:c r="K18" s="88" t="s">
        <x:v>266</x:v>
      </x:c>
      <x:c r="L18" s="88"/>
      <x:c r="M18" s="88" t="s">
        <x:v>420</x:v>
      </x:c>
      <x:c r="N18" s="88"/>
      <x:c r="O18" s="88"/>
      <x:c r="P18" s="88" t="s">
        <x:v>438</x:v>
      </x:c>
      <x:c r="Q18" s="88" t="s">
        <x:v>256</x:v>
      </x:c>
      <x:c r="R18" s="88" t="s">
        <x:v>283</x:v>
      </x:c>
      <x:c r="S18" s="88"/>
      <x:c r="T18" s="88" t="s">
        <x:v>249</x:v>
      </x:c>
      <x:c r="U18" s="88" t="s">
        <x:v>271</x:v>
      </x:c>
      <x:c r="V18" s="89">
        <x:v>46050.078206435188</x:v>
      </x:c>
      <x:c r="W18" s="88" t="s">
        <x:v>314</x:v>
      </x:c>
      <x:c r="X18" s="88"/>
      <x:c r="Y18" s="88" t="s">
        <x:v>420</x:v>
      </x:c>
      <x:c r="Z18" s="89"/>
      <x:c r="AA18" s="88"/>
      <x:c r="AB18" s="88"/>
      <x:c r="AC18" s="88" t="s">
        <x:v>273</x:v>
      </x:c>
      <x:c r="AD18" s="89"/>
      <x:c r="AE18" s="88"/>
      <x:c r="AF18" s="88"/>
      <x:c r="AG18" s="88" t="s">
        <x:v>161</x:v>
      </x:c>
      <x:c r="AH18" s="89"/>
      <x:c r="AI18" s="88"/>
      <x:c r="AJ18" s="88" t="s">
        <x:v>439</x:v>
      </x:c>
      <x:c r="AK18" s="88" t="s">
        <x:v>440</x:v>
      </x:c>
      <x:c r="AL18" s="88"/>
      <x:c r="AM18" s="88"/>
      <x:c r="AN18" s="88" t="s">
        <x:v>369</x:v>
      </x:c>
      <x:c r="AO18" s="88">
        <x:v>0</x:v>
      </x:c>
    </x:row>
    <x:row r="19">
      <x:c r="A19" s="88" t="s">
        <x:v>441</x:v>
      </x:c>
      <x:c r="B19" s="88" t="s">
        <x:v>442</x:v>
      </x:c>
      <x:c r="C19" s="88" t="s">
        <x:v>403</x:v>
      </x:c>
      <x:c r="D19" s="88" t="s">
        <x:v>248</x:v>
      </x:c>
      <x:c r="E19" s="88" t="s">
        <x:v>249</x:v>
      </x:c>
      <x:c r="F19" s="89">
        <x:v>45995.348835358796</x:v>
      </x:c>
      <x:c r="G19" s="89">
        <x:v>46047.723683923614</x:v>
      </x:c>
      <x:c r="H19" s="89">
        <x:v>45995.348835358796</x:v>
      </x:c>
      <x:c r="I19" s="88" t="s">
        <x:v>443</x:v>
      </x:c>
      <x:c r="J19" s="88" t="s">
        <x:v>444</x:v>
      </x:c>
      <x:c r="K19" s="88" t="s">
        <x:v>380</x:v>
      </x:c>
      <x:c r="L19" s="88" t="s">
        <x:v>445</x:v>
      </x:c>
      <x:c r="M19" s="88" t="s">
        <x:v>407</x:v>
      </x:c>
      <x:c r="N19" s="88" t="s">
        <x:v>408</x:v>
      </x:c>
      <x:c r="O19" s="88" t="s">
        <x:v>446</x:v>
      </x:c>
      <x:c r="P19" s="88" t="s">
        <x:v>447</x:v>
      </x:c>
      <x:c r="Q19" s="88" t="s">
        <x:v>256</x:v>
      </x:c>
      <x:c r="R19" s="88" t="s">
        <x:v>283</x:v>
      </x:c>
      <x:c r="S19" s="88"/>
      <x:c r="T19" s="88" t="s">
        <x:v>259</x:v>
      </x:c>
      <x:c r="U19" s="88" t="s">
        <x:v>403</x:v>
      </x:c>
      <x:c r="V19" s="89">
        <x:v>45995.349261412041</x:v>
      </x:c>
      <x:c r="W19" s="88" t="s">
        <x:v>448</x:v>
      </x:c>
      <x:c r="X19" s="88" t="s">
        <x:v>259</x:v>
      </x:c>
      <x:c r="Y19" s="88" t="s">
        <x:v>407</x:v>
      </x:c>
      <x:c r="Z19" s="89">
        <x:v>46000.287770405092</x:v>
      </x:c>
      <x:c r="AA19" s="88" t="s">
        <x:v>449</x:v>
      </x:c>
      <x:c r="AB19" s="88" t="s">
        <x:v>249</x:v>
      </x:c>
      <x:c r="AC19" s="88" t="s">
        <x:v>271</x:v>
      </x:c>
      <x:c r="AD19" s="89">
        <x:v>46047.723683935183</x:v>
      </x:c>
      <x:c r="AE19" s="88" t="s">
        <x:v>412</x:v>
      </x:c>
      <x:c r="AF19" s="88"/>
      <x:c r="AG19" s="88" t="s">
        <x:v>161</x:v>
      </x:c>
      <x:c r="AH19" s="89"/>
      <x:c r="AI19" s="88"/>
      <x:c r="AJ19" s="88" t="s">
        <x:v>450</x:v>
      </x:c>
      <x:c r="AK19" s="88" t="s">
        <x:v>446</x:v>
      </x:c>
      <x:c r="AL19" s="88"/>
      <x:c r="AM19" s="88"/>
      <x:c r="AN19" s="88" t="s">
        <x:v>414</x:v>
      </x:c>
      <x:c r="AO19" s="88">
        <x:v>30</x:v>
      </x:c>
    </x:row>
    <x:row r="20">
      <x:c r="A20" s="88" t="s">
        <x:v>451</x:v>
      </x:c>
      <x:c r="B20" s="88" t="s">
        <x:v>452</x:v>
      </x:c>
      <x:c r="C20" s="88" t="s">
        <x:v>453</x:v>
      </x:c>
      <x:c r="D20" s="88" t="s">
        <x:v>248</x:v>
      </x:c>
      <x:c r="E20" s="88" t="s">
        <x:v>342</x:v>
      </x:c>
      <x:c r="F20" s="89">
        <x:v>46002.121400289354</x:v>
      </x:c>
      <x:c r="G20" s="89">
        <x:v>46037.246828136573</x:v>
      </x:c>
      <x:c r="H20" s="89">
        <x:v>46029.093737361109</x:v>
      </x:c>
      <x:c r="I20" s="88" t="s">
        <x:v>454</x:v>
      </x:c>
      <x:c r="J20" s="88" t="s">
        <x:v>455</x:v>
      </x:c>
      <x:c r="K20" s="88" t="s">
        <x:v>380</x:v>
      </x:c>
      <x:c r="L20" s="88" t="s">
        <x:v>456</x:v>
      </x:c>
      <x:c r="M20" s="88" t="s">
        <x:v>457</x:v>
      </x:c>
      <x:c r="N20" s="88" t="s">
        <x:v>458</x:v>
      </x:c>
      <x:c r="O20" s="88"/>
      <x:c r="P20" s="88" t="s">
        <x:v>459</x:v>
      </x:c>
      <x:c r="Q20" s="88" t="s">
        <x:v>256</x:v>
      </x:c>
      <x:c r="R20" s="88" t="s">
        <x:v>283</x:v>
      </x:c>
      <x:c r="S20" s="88"/>
      <x:c r="T20" s="88" t="s">
        <x:v>259</x:v>
      </x:c>
      <x:c r="U20" s="88" t="s">
        <x:v>453</x:v>
      </x:c>
      <x:c r="V20" s="89">
        <x:v>46029.094456932871</x:v>
      </x:c>
      <x:c r="W20" s="88" t="s">
        <x:v>460</x:v>
      </x:c>
      <x:c r="X20" s="88" t="s">
        <x:v>259</x:v>
      </x:c>
      <x:c r="Y20" s="88" t="s">
        <x:v>457</x:v>
      </x:c>
      <x:c r="Z20" s="89">
        <x:v>46030.138899930556</x:v>
      </x:c>
      <x:c r="AA20" s="88" t="s">
        <x:v>259</x:v>
      </x:c>
      <x:c r="AB20" s="88" t="s">
        <x:v>259</x:v>
      </x:c>
      <x:c r="AC20" s="88" t="s">
        <x:v>271</x:v>
      </x:c>
      <x:c r="AD20" s="89">
        <x:v>46031.305408541666</x:v>
      </x:c>
      <x:c r="AE20" s="88" t="s">
        <x:v>461</x:v>
      </x:c>
      <x:c r="AF20" s="88" t="s">
        <x:v>259</x:v>
      </x:c>
      <x:c r="AG20" s="88" t="s">
        <x:v>271</x:v>
      </x:c>
      <x:c r="AH20" s="89">
        <x:v>46037.246828136573</x:v>
      </x:c>
      <x:c r="AI20" s="88" t="s">
        <x:v>353</x:v>
      </x:c>
      <x:c r="AJ20" s="88" t="s">
        <x:v>462</x:v>
      </x:c>
      <x:c r="AK20" s="88" t="s">
        <x:v>463</x:v>
      </x:c>
      <x:c r="AL20" s="88" t="s">
        <x:v>185</x:v>
      </x:c>
      <x:c r="AM20" s="88" t="s">
        <x:v>464</x:v>
      </x:c>
      <x:c r="AN20" s="88" t="s">
        <x:v>414</x:v>
      </x:c>
      <x:c r="AO20" s="88">
        <x:v>14</x:v>
      </x:c>
    </x:row>
    <x:row r="21">
      <x:c r="A21" s="88" t="s">
        <x:v>465</x:v>
      </x:c>
      <x:c r="B21" s="88" t="s">
        <x:v>466</x:v>
      </x:c>
      <x:c r="C21" s="88" t="s">
        <x:v>467</x:v>
      </x:c>
      <x:c r="D21" s="88" t="s">
        <x:v>248</x:v>
      </x:c>
      <x:c r="E21" s="88" t="s">
        <x:v>342</x:v>
      </x:c>
      <x:c r="F21" s="89">
        <x:v>46010.09860125</x:v>
      </x:c>
      <x:c r="G21" s="89">
        <x:v>46027.370540034724</x:v>
      </x:c>
      <x:c r="H21" s="89">
        <x:v>46010.09860125</x:v>
      </x:c>
      <x:c r="I21" s="88" t="s">
        <x:v>468</x:v>
      </x:c>
      <x:c r="J21" s="88" t="s">
        <x:v>469</x:v>
      </x:c>
      <x:c r="K21" s="88" t="s">
        <x:v>266</x:v>
      </x:c>
      <x:c r="L21" s="88"/>
      <x:c r="M21" s="88" t="s">
        <x:v>470</x:v>
      </x:c>
      <x:c r="N21" s="88" t="s">
        <x:v>471</x:v>
      </x:c>
      <x:c r="O21" s="88">
        <x:v>4594</x:v>
      </x:c>
      <x:c r="P21" s="88" t="s">
        <x:v>472</x:v>
      </x:c>
      <x:c r="Q21" s="88" t="s">
        <x:v>323</x:v>
      </x:c>
      <x:c r="R21" s="88" t="s">
        <x:v>348</x:v>
      </x:c>
      <x:c r="S21" s="88"/>
      <x:c r="T21" s="88" t="s">
        <x:v>259</x:v>
      </x:c>
      <x:c r="U21" s="88" t="s">
        <x:v>467</x:v>
      </x:c>
      <x:c r="V21" s="89">
        <x:v>46010.130798252314</x:v>
      </x:c>
      <x:c r="W21" s="88" t="s">
        <x:v>472</x:v>
      </x:c>
      <x:c r="X21" s="88" t="s">
        <x:v>259</x:v>
      </x:c>
      <x:c r="Y21" s="88" t="s">
        <x:v>473</x:v>
      </x:c>
      <x:c r="Z21" s="89">
        <x:v>46013.41591048611</x:v>
      </x:c>
      <x:c r="AA21" s="88" t="s">
        <x:v>385</x:v>
      </x:c>
      <x:c r="AB21" s="88" t="s">
        <x:v>259</x:v>
      </x:c>
      <x:c r="AC21" s="88" t="s">
        <x:v>271</x:v>
      </x:c>
      <x:c r="AD21" s="89">
        <x:v>46015.124819699071</x:v>
      </x:c>
      <x:c r="AE21" s="88" t="s">
        <x:v>474</x:v>
      </x:c>
      <x:c r="AF21" s="88" t="s">
        <x:v>259</x:v>
      </x:c>
      <x:c r="AG21" s="88" t="s">
        <x:v>387</x:v>
      </x:c>
      <x:c r="AH21" s="89">
        <x:v>46027.370540046293</x:v>
      </x:c>
      <x:c r="AI21" s="88" t="s">
        <x:v>388</x:v>
      </x:c>
      <x:c r="AJ21" s="88" t="s">
        <x:v>475</x:v>
      </x:c>
      <x:c r="AK21" s="88">
        <x:v>584</x:v>
      </x:c>
      <x:c r="AL21" s="88" t="s">
        <x:v>185</x:v>
      </x:c>
      <x:c r="AM21" s="88" t="s">
        <x:v>476</x:v>
      </x:c>
      <x:c r="AN21" s="88" t="s">
        <x:v>369</x:v>
      </x:c>
      <x:c r="AO21" s="88">
        <x:v>0</x:v>
      </x:c>
    </x:row>
    <x:row r="22">
      <x:c r="A22" s="88" t="s">
        <x:v>477</x:v>
      </x:c>
      <x:c r="B22" s="88" t="s">
        <x:v>478</x:v>
      </x:c>
      <x:c r="C22" s="88" t="s">
        <x:v>479</x:v>
      </x:c>
      <x:c r="D22" s="88" t="s">
        <x:v>248</x:v>
      </x:c>
      <x:c r="E22" s="88" t="s">
        <x:v>342</x:v>
      </x:c>
      <x:c r="F22" s="89">
        <x:v>46013.305329826391</x:v>
      </x:c>
      <x:c r="G22" s="89">
        <x:v>46031.086544687503</x:v>
      </x:c>
      <x:c r="H22" s="89">
        <x:v>46013.305329826391</x:v>
      </x:c>
      <x:c r="I22" s="88" t="s">
        <x:v>480</x:v>
      </x:c>
      <x:c r="J22" s="88" t="s">
        <x:v>481</x:v>
      </x:c>
      <x:c r="K22" s="88" t="s">
        <x:v>266</x:v>
      </x:c>
      <x:c r="L22" s="88"/>
      <x:c r="M22" s="88" t="s">
        <x:v>482</x:v>
      </x:c>
      <x:c r="N22" s="88"/>
      <x:c r="O22" s="88"/>
      <x:c r="P22" s="88" t="s">
        <x:v>483</x:v>
      </x:c>
      <x:c r="Q22" s="88" t="s">
        <x:v>256</x:v>
      </x:c>
      <x:c r="R22" s="88" t="s">
        <x:v>363</x:v>
      </x:c>
      <x:c r="S22" s="88"/>
      <x:c r="T22" s="88" t="s">
        <x:v>259</x:v>
      </x:c>
      <x:c r="U22" s="88" t="s">
        <x:v>479</x:v>
      </x:c>
      <x:c r="V22" s="89">
        <x:v>46013.306402581016</x:v>
      </x:c>
      <x:c r="W22" s="88" t="s">
        <x:v>484</x:v>
      </x:c>
      <x:c r="X22" s="88" t="s">
        <x:v>259</x:v>
      </x:c>
      <x:c r="Y22" s="88" t="s">
        <x:v>482</x:v>
      </x:c>
      <x:c r="Z22" s="89">
        <x:v>46027.139406388887</x:v>
      </x:c>
      <x:c r="AA22" s="88" t="s">
        <x:v>485</x:v>
      </x:c>
      <x:c r="AB22" s="88" t="s">
        <x:v>259</x:v>
      </x:c>
      <x:c r="AC22" s="88" t="s">
        <x:v>271</x:v>
      </x:c>
      <x:c r="AD22" s="89">
        <x:v>46028.101410925927</x:v>
      </x:c>
      <x:c r="AE22" s="88" t="s">
        <x:v>486</x:v>
      </x:c>
      <x:c r="AF22" s="88" t="s">
        <x:v>259</x:v>
      </x:c>
      <x:c r="AG22" s="88" t="s">
        <x:v>271</x:v>
      </x:c>
      <x:c r="AH22" s="89">
        <x:v>46031.086544699072</x:v>
      </x:c>
      <x:c r="AI22" s="88" t="s">
        <x:v>353</x:v>
      </x:c>
      <x:c r="AJ22" s="88" t="s">
        <x:v>487</x:v>
      </x:c>
      <x:c r="AK22" s="88" t="s">
        <x:v>488</x:v>
      </x:c>
      <x:c r="AL22" s="88" t="s">
        <x:v>162</x:v>
      </x:c>
      <x:c r="AM22" s="88" t="s">
        <x:v>489</x:v>
      </x:c>
      <x:c r="AN22" s="88" t="s">
        <x:v>369</x:v>
      </x:c>
      <x:c r="AO22" s="88">
        <x:v>0</x:v>
      </x:c>
    </x:row>
    <x:row r="23">
      <x:c r="A23" s="88" t="s">
        <x:v>490</x:v>
      </x:c>
      <x:c r="B23" s="88" t="s">
        <x:v>491</x:v>
      </x:c>
      <x:c r="C23" s="88" t="s">
        <x:v>492</x:v>
      </x:c>
      <x:c r="D23" s="88" t="s">
        <x:v>248</x:v>
      </x:c>
      <x:c r="E23" s="88" t="s">
        <x:v>342</x:v>
      </x:c>
      <x:c r="F23" s="89">
        <x:v>46014.15188853009</x:v>
      </x:c>
      <x:c r="G23" s="89">
        <x:v>46048.322827326389</x:v>
      </x:c>
      <x:c r="H23" s="89">
        <x:v>46014.15188853009</x:v>
      </x:c>
      <x:c r="I23" s="88" t="s">
        <x:v>493</x:v>
      </x:c>
      <x:c r="J23" s="88" t="s">
        <x:v>493</x:v>
      </x:c>
      <x:c r="K23" s="88" t="s">
        <x:v>380</x:v>
      </x:c>
      <x:c r="L23" s="88" t="s">
        <x:v>494</x:v>
      </x:c>
      <x:c r="M23" s="88" t="s">
        <x:v>495</x:v>
      </x:c>
      <x:c r="N23" s="88"/>
      <x:c r="O23" s="88"/>
      <x:c r="P23" s="88" t="s">
        <x:v>496</x:v>
      </x:c>
      <x:c r="Q23" s="88" t="s">
        <x:v>256</x:v>
      </x:c>
      <x:c r="R23" s="88" t="s">
        <x:v>283</x:v>
      </x:c>
      <x:c r="S23" s="88"/>
      <x:c r="T23" s="88" t="s">
        <x:v>259</x:v>
      </x:c>
      <x:c r="U23" s="88" t="s">
        <x:v>492</x:v>
      </x:c>
      <x:c r="V23" s="89">
        <x:v>46014.152945324073</x:v>
      </x:c>
      <x:c r="W23" s="88" t="s">
        <x:v>497</x:v>
      </x:c>
      <x:c r="X23" s="88" t="s">
        <x:v>259</x:v>
      </x:c>
      <x:c r="Y23" s="88" t="s">
        <x:v>495</x:v>
      </x:c>
      <x:c r="Z23" s="89">
        <x:v>46027.267196354165</x:v>
      </x:c>
      <x:c r="AA23" s="88" t="s">
        <x:v>498</x:v>
      </x:c>
      <x:c r="AB23" s="88" t="s">
        <x:v>259</x:v>
      </x:c>
      <x:c r="AC23" s="88" t="s">
        <x:v>271</x:v>
      </x:c>
      <x:c r="AD23" s="89">
        <x:v>46028.104025706016</x:v>
      </x:c>
      <x:c r="AE23" s="88" t="s">
        <x:v>499</x:v>
      </x:c>
      <x:c r="AF23" s="88" t="s">
        <x:v>259</x:v>
      </x:c>
      <x:c r="AG23" s="88" t="s">
        <x:v>500</x:v>
      </x:c>
      <x:c r="AH23" s="89">
        <x:v>46048.322827337965</x:v>
      </x:c>
      <x:c r="AI23" s="88" t="s">
        <x:v>501</x:v>
      </x:c>
      <x:c r="AJ23" s="88" t="s">
        <x:v>502</x:v>
      </x:c>
      <x:c r="AK23" s="88" t="s">
        <x:v>503</x:v>
      </x:c>
      <x:c r="AL23" s="88" t="s">
        <x:v>185</x:v>
      </x:c>
      <x:c r="AM23" s="88" t="s">
        <x:v>504</x:v>
      </x:c>
      <x:c r="AN23" s="88" t="s">
        <x:v>391</x:v>
      </x:c>
      <x:c r="AO23" s="88">
        <x:v>0</x:v>
      </x:c>
    </x:row>
    <x:row r="24">
      <x:c r="A24" s="88" t="s">
        <x:v>505</x:v>
      </x:c>
      <x:c r="B24" s="88" t="s">
        <x:v>506</x:v>
      </x:c>
      <x:c r="C24" s="88" t="s">
        <x:v>507</x:v>
      </x:c>
      <x:c r="D24" s="88" t="s">
        <x:v>248</x:v>
      </x:c>
      <x:c r="E24" s="88" t="s">
        <x:v>342</x:v>
      </x:c>
      <x:c r="F24" s="89">
        <x:v>46014.291653553242</x:v>
      </x:c>
      <x:c r="G24" s="89">
        <x:v>46059.216265300929</x:v>
      </x:c>
      <x:c r="H24" s="89">
        <x:v>46014.291653553242</x:v>
      </x:c>
      <x:c r="I24" s="88" t="s">
        <x:v>508</x:v>
      </x:c>
      <x:c r="J24" s="88" t="s">
        <x:v>509</x:v>
      </x:c>
      <x:c r="K24" s="88" t="s">
        <x:v>380</x:v>
      </x:c>
      <x:c r="L24" s="88" t="s">
        <x:v>510</x:v>
      </x:c>
      <x:c r="M24" s="88" t="s">
        <x:v>511</x:v>
      </x:c>
      <x:c r="N24" s="88"/>
      <x:c r="O24" s="88"/>
      <x:c r="P24" s="88" t="s">
        <x:v>512</x:v>
      </x:c>
      <x:c r="Q24" s="88" t="s">
        <x:v>347</x:v>
      </x:c>
      <x:c r="R24" s="88" t="s">
        <x:v>513</x:v>
      </x:c>
      <x:c r="S24" s="88"/>
      <x:c r="T24" s="88" t="s">
        <x:v>259</x:v>
      </x:c>
      <x:c r="U24" s="88" t="s">
        <x:v>507</x:v>
      </x:c>
      <x:c r="V24" s="89">
        <x:v>46014.295405949073</x:v>
      </x:c>
      <x:c r="W24" s="88" t="s">
        <x:v>514</x:v>
      </x:c>
      <x:c r="X24" s="88" t="s">
        <x:v>259</x:v>
      </x:c>
      <x:c r="Y24" s="88" t="s">
        <x:v>511</x:v>
      </x:c>
      <x:c r="Z24" s="89">
        <x:v>46050.335932002316</x:v>
      </x:c>
      <x:c r="AA24" s="88" t="s">
        <x:v>515</x:v>
      </x:c>
      <x:c r="AB24" s="88" t="s">
        <x:v>259</x:v>
      </x:c>
      <x:c r="AC24" s="88" t="s">
        <x:v>271</x:v>
      </x:c>
      <x:c r="AD24" s="89">
        <x:v>46050.348726562501</x:v>
      </x:c>
      <x:c r="AE24" s="88" t="s">
        <x:v>516</x:v>
      </x:c>
      <x:c r="AF24" s="88" t="s">
        <x:v>259</x:v>
      </x:c>
      <x:c r="AG24" s="88" t="s">
        <x:v>387</x:v>
      </x:c>
      <x:c r="AH24" s="89">
        <x:v>46059.216265312498</x:v>
      </x:c>
      <x:c r="AI24" s="88" t="s">
        <x:v>388</x:v>
      </x:c>
      <x:c r="AJ24" s="88" t="s">
        <x:v>517</x:v>
      </x:c>
      <x:c r="AK24" s="88">
        <x:v>10055</x:v>
      </x:c>
      <x:c r="AL24" s="88" t="s">
        <x:v>185</x:v>
      </x:c>
      <x:c r="AM24" s="88" t="s">
        <x:v>518</x:v>
      </x:c>
      <x:c r="AN24" s="88" t="s">
        <x:v>414</x:v>
      </x:c>
      <x:c r="AO24" s="88"/>
    </x:row>
    <x:row r="25">
      <x:c r="A25" s="88" t="s">
        <x:v>519</x:v>
      </x:c>
      <x:c r="B25" s="88" t="s">
        <x:v>520</x:v>
      </x:c>
      <x:c r="C25" s="88" t="s">
        <x:v>521</x:v>
      </x:c>
      <x:c r="D25" s="88" t="s">
        <x:v>248</x:v>
      </x:c>
      <x:c r="E25" s="88" t="s">
        <x:v>342</x:v>
      </x:c>
      <x:c r="F25" s="89">
        <x:v>46014.320965358798</x:v>
      </x:c>
      <x:c r="G25" s="89">
        <x:v>46083.353320289352</x:v>
      </x:c>
      <x:c r="H25" s="89">
        <x:v>46014.320965358798</x:v>
      </x:c>
      <x:c r="I25" s="88" t="s">
        <x:v>522</x:v>
      </x:c>
      <x:c r="J25" s="88" t="s">
        <x:v>428</x:v>
      </x:c>
      <x:c r="K25" s="88" t="s">
        <x:v>266</x:v>
      </x:c>
      <x:c r="L25" s="88"/>
      <x:c r="M25" s="88" t="s">
        <x:v>523</x:v>
      </x:c>
      <x:c r="N25" s="88"/>
      <x:c r="O25" s="88"/>
      <x:c r="P25" s="88" t="s">
        <x:v>524</x:v>
      </x:c>
      <x:c r="Q25" s="88" t="s">
        <x:v>323</x:v>
      </x:c>
      <x:c r="R25" s="88" t="s">
        <x:v>283</x:v>
      </x:c>
      <x:c r="S25" s="88"/>
      <x:c r="T25" s="88" t="s">
        <x:v>259</x:v>
      </x:c>
      <x:c r="U25" s="88" t="s">
        <x:v>521</x:v>
      </x:c>
      <x:c r="V25" s="89">
        <x:v>46014.328062361114</x:v>
      </x:c>
      <x:c r="W25" s="88" t="s">
        <x:v>525</x:v>
      </x:c>
      <x:c r="X25" s="88" t="s">
        <x:v>259</x:v>
      </x:c>
      <x:c r="Y25" s="88" t="s">
        <x:v>523</x:v>
      </x:c>
      <x:c r="Z25" s="89">
        <x:v>46076.157491550926</x:v>
      </x:c>
      <x:c r="AA25" s="88" t="s">
        <x:v>526</x:v>
      </x:c>
      <x:c r="AB25" s="88" t="s">
        <x:v>259</x:v>
      </x:c>
      <x:c r="AC25" s="88" t="s">
        <x:v>271</x:v>
      </x:c>
      <x:c r="AD25" s="89">
        <x:v>46077.098174583334</x:v>
      </x:c>
      <x:c r="AE25" s="88" t="s">
        <x:v>527</x:v>
      </x:c>
      <x:c r="AF25" s="88" t="s">
        <x:v>259</x:v>
      </x:c>
      <x:c r="AG25" s="88" t="s">
        <x:v>387</x:v>
      </x:c>
      <x:c r="AH25" s="89">
        <x:v>46083.353320300928</x:v>
      </x:c>
      <x:c r="AI25" s="88" t="s">
        <x:v>528</x:v>
      </x:c>
      <x:c r="AJ25" s="88" t="s">
        <x:v>433</x:v>
      </x:c>
      <x:c r="AK25" s="88" t="s">
        <x:v>429</x:v>
      </x:c>
      <x:c r="AL25" s="88" t="s">
        <x:v>185</x:v>
      </x:c>
      <x:c r="AM25" s="88" t="s">
        <x:v>529</x:v>
      </x:c>
      <x:c r="AN25" s="88" t="s">
        <x:v>369</x:v>
      </x:c>
      <x:c r="AO25" s="88">
        <x:v>0</x:v>
      </x:c>
    </x:row>
    <x:row r="26">
      <x:c r="A26" s="88" t="s">
        <x:v>530</x:v>
      </x:c>
      <x:c r="B26" s="88" t="s">
        <x:v>531</x:v>
      </x:c>
      <x:c r="C26" s="88" t="s">
        <x:v>521</x:v>
      </x:c>
      <x:c r="D26" s="88" t="s">
        <x:v>248</x:v>
      </x:c>
      <x:c r="E26" s="88" t="s">
        <x:v>342</x:v>
      </x:c>
      <x:c r="F26" s="89">
        <x:v>46014.330027662036</x:v>
      </x:c>
      <x:c r="G26" s="89">
        <x:v>46084.149601597222</x:v>
      </x:c>
      <x:c r="H26" s="89">
        <x:v>46014.330027662036</x:v>
      </x:c>
      <x:c r="I26" s="88" t="s">
        <x:v>522</x:v>
      </x:c>
      <x:c r="J26" s="88" t="s">
        <x:v>532</x:v>
      </x:c>
      <x:c r="K26" s="88" t="s">
        <x:v>266</x:v>
      </x:c>
      <x:c r="L26" s="88"/>
      <x:c r="M26" s="88" t="s">
        <x:v>523</x:v>
      </x:c>
      <x:c r="N26" s="88"/>
      <x:c r="O26" s="88"/>
      <x:c r="P26" s="88" t="s">
        <x:v>533</x:v>
      </x:c>
      <x:c r="Q26" s="88" t="s">
        <x:v>323</x:v>
      </x:c>
      <x:c r="R26" s="88" t="s">
        <x:v>283</x:v>
      </x:c>
      <x:c r="S26" s="88"/>
      <x:c r="T26" s="88" t="s">
        <x:v>259</x:v>
      </x:c>
      <x:c r="U26" s="88" t="s">
        <x:v>521</x:v>
      </x:c>
      <x:c r="V26" s="89">
        <x:v>46014.330819097224</x:v>
      </x:c>
      <x:c r="W26" s="88" t="s">
        <x:v>533</x:v>
      </x:c>
      <x:c r="X26" s="88" t="s">
        <x:v>259</x:v>
      </x:c>
      <x:c r="Y26" s="88" t="s">
        <x:v>523</x:v>
      </x:c>
      <x:c r="Z26" s="89">
        <x:v>46076.156565451391</x:v>
      </x:c>
      <x:c r="AA26" s="88" t="s">
        <x:v>526</x:v>
      </x:c>
      <x:c r="AB26" s="88" t="s">
        <x:v>259</x:v>
      </x:c>
      <x:c r="AC26" s="88" t="s">
        <x:v>271</x:v>
      </x:c>
      <x:c r="AD26" s="89">
        <x:v>46077.097926712966</x:v>
      </x:c>
      <x:c r="AE26" s="88" t="s">
        <x:v>527</x:v>
      </x:c>
      <x:c r="AF26" s="88" t="s">
        <x:v>259</x:v>
      </x:c>
      <x:c r="AG26" s="88" t="s">
        <x:v>387</x:v>
      </x:c>
      <x:c r="AH26" s="89">
        <x:v>46084.149601597222</x:v>
      </x:c>
      <x:c r="AI26" s="88" t="s">
        <x:v>534</x:v>
      </x:c>
      <x:c r="AJ26" s="88" t="s">
        <x:v>433</x:v>
      </x:c>
      <x:c r="AK26" s="88" t="s">
        <x:v>535</x:v>
      </x:c>
      <x:c r="AL26" s="88" t="s">
        <x:v>185</x:v>
      </x:c>
      <x:c r="AM26" s="88" t="s">
        <x:v>536</x:v>
      </x:c>
      <x:c r="AN26" s="88" t="s">
        <x:v>369</x:v>
      </x:c>
      <x:c r="AO26" s="88">
        <x:v>0</x:v>
      </x:c>
    </x:row>
    <x:row r="27">
      <x:c r="A27" s="88" t="s">
        <x:v>537</x:v>
      </x:c>
      <x:c r="B27" s="88" t="s">
        <x:v>538</x:v>
      </x:c>
      <x:c r="C27" s="88" t="s">
        <x:v>539</x:v>
      </x:c>
      <x:c r="D27" s="88" t="s">
        <x:v>248</x:v>
      </x:c>
      <x:c r="E27" s="88" t="s">
        <x:v>342</x:v>
      </x:c>
      <x:c r="F27" s="89">
        <x:v>46014.361186180555</x:v>
      </x:c>
      <x:c r="G27" s="89">
        <x:v>46028.332864490738</x:v>
      </x:c>
      <x:c r="H27" s="89">
        <x:v>46014.362696840275</x:v>
      </x:c>
      <x:c r="I27" s="88" t="s">
        <x:v>540</x:v>
      </x:c>
      <x:c r="J27" s="88" t="s">
        <x:v>541</x:v>
      </x:c>
      <x:c r="K27" s="88" t="s">
        <x:v>266</x:v>
      </x:c>
      <x:c r="L27" s="88"/>
      <x:c r="M27" s="88" t="s">
        <x:v>542</x:v>
      </x:c>
      <x:c r="N27" s="88" t="s">
        <x:v>543</x:v>
      </x:c>
      <x:c r="O27" s="88"/>
      <x:c r="P27" s="88" t="s">
        <x:v>544</x:v>
      </x:c>
      <x:c r="Q27" s="88" t="s">
        <x:v>347</x:v>
      </x:c>
      <x:c r="R27" s="88" t="s">
        <x:v>283</x:v>
      </x:c>
      <x:c r="S27" s="88"/>
      <x:c r="T27" s="88" t="s">
        <x:v>259</x:v>
      </x:c>
      <x:c r="U27" s="88" t="s">
        <x:v>539</x:v>
      </x:c>
      <x:c r="V27" s="89">
        <x:v>46014.365099571762</x:v>
      </x:c>
      <x:c r="W27" s="88" t="s">
        <x:v>545</x:v>
      </x:c>
      <x:c r="X27" s="88" t="s">
        <x:v>259</x:v>
      </x:c>
      <x:c r="Y27" s="88" t="s">
        <x:v>546</x:v>
      </x:c>
      <x:c r="Z27" s="89">
        <x:v>46027.305764606484</x:v>
      </x:c>
      <x:c r="AA27" s="88" t="s">
        <x:v>547</x:v>
      </x:c>
      <x:c r="AB27" s="88" t="s">
        <x:v>259</x:v>
      </x:c>
      <x:c r="AC27" s="88" t="s">
        <x:v>387</x:v>
      </x:c>
      <x:c r="AD27" s="89">
        <x:v>46027.552840868055</x:v>
      </x:c>
      <x:c r="AE27" s="88" t="s">
        <x:v>548</x:v>
      </x:c>
      <x:c r="AF27" s="88" t="s">
        <x:v>259</x:v>
      </x:c>
      <x:c r="AG27" s="88" t="s">
        <x:v>387</x:v>
      </x:c>
      <x:c r="AH27" s="89">
        <x:v>46028.33286451389</x:v>
      </x:c>
      <x:c r="AI27" s="88" t="s">
        <x:v>388</x:v>
      </x:c>
      <x:c r="AJ27" s="88" t="s">
        <x:v>549</x:v>
      </x:c>
      <x:c r="AK27" s="88" t="s">
        <x:v>550</x:v>
      </x:c>
      <x:c r="AL27" s="88" t="s">
        <x:v>185</x:v>
      </x:c>
      <x:c r="AM27" s="88" t="s">
        <x:v>551</x:v>
      </x:c>
      <x:c r="AN27" s="88" t="s">
        <x:v>369</x:v>
      </x:c>
      <x:c r="AO27" s="88">
        <x:v>0</x:v>
      </x:c>
    </x:row>
    <x:row r="28">
      <x:c r="A28" s="88" t="s">
        <x:v>552</x:v>
      </x:c>
      <x:c r="B28" s="88" t="s">
        <x:v>553</x:v>
      </x:c>
      <x:c r="C28" s="88" t="s">
        <x:v>554</x:v>
      </x:c>
      <x:c r="D28" s="88" t="s">
        <x:v>248</x:v>
      </x:c>
      <x:c r="E28" s="88" t="s">
        <x:v>342</x:v>
      </x:c>
      <x:c r="F28" s="89">
        <x:v>46015.073464675923</x:v>
      </x:c>
      <x:c r="G28" s="89">
        <x:v>46031.086179201389</x:v>
      </x:c>
      <x:c r="H28" s="89">
        <x:v>46015.073464675923</x:v>
      </x:c>
      <x:c r="I28" s="88" t="s">
        <x:v>555</x:v>
      </x:c>
      <x:c r="J28" s="88" t="s">
        <x:v>556</x:v>
      </x:c>
      <x:c r="K28" s="88" t="s">
        <x:v>266</x:v>
      </x:c>
      <x:c r="L28" s="88"/>
      <x:c r="M28" s="88" t="s">
        <x:v>482</x:v>
      </x:c>
      <x:c r="N28" s="88"/>
      <x:c r="O28" s="88"/>
      <x:c r="P28" s="88" t="s">
        <x:v>483</x:v>
      </x:c>
      <x:c r="Q28" s="88" t="s">
        <x:v>256</x:v>
      </x:c>
      <x:c r="R28" s="88" t="s">
        <x:v>363</x:v>
      </x:c>
      <x:c r="S28" s="88"/>
      <x:c r="T28" s="88" t="s">
        <x:v>259</x:v>
      </x:c>
      <x:c r="U28" s="88" t="s">
        <x:v>554</x:v>
      </x:c>
      <x:c r="V28" s="89">
        <x:v>46015.074693750001</x:v>
      </x:c>
      <x:c r="W28" s="88" t="s">
        <x:v>483</x:v>
      </x:c>
      <x:c r="X28" s="88" t="s">
        <x:v>259</x:v>
      </x:c>
      <x:c r="Y28" s="88" t="s">
        <x:v>482</x:v>
      </x:c>
      <x:c r="Z28" s="89">
        <x:v>46027.139220335652</x:v>
      </x:c>
      <x:c r="AA28" s="88" t="s">
        <x:v>485</x:v>
      </x:c>
      <x:c r="AB28" s="88" t="s">
        <x:v>259</x:v>
      </x:c>
      <x:c r="AC28" s="88" t="s">
        <x:v>271</x:v>
      </x:c>
      <x:c r="AD28" s="89">
        <x:v>46028.089728506944</x:v>
      </x:c>
      <x:c r="AE28" s="88" t="s">
        <x:v>557</x:v>
      </x:c>
      <x:c r="AF28" s="88" t="s">
        <x:v>259</x:v>
      </x:c>
      <x:c r="AG28" s="88" t="s">
        <x:v>271</x:v>
      </x:c>
      <x:c r="AH28" s="89">
        <x:v>46031.086179201389</x:v>
      </x:c>
      <x:c r="AI28" s="88" t="s">
        <x:v>353</x:v>
      </x:c>
      <x:c r="AJ28" s="88" t="s">
        <x:v>558</x:v>
      </x:c>
      <x:c r="AK28" s="88">
        <x:v>4631</x:v>
      </x:c>
      <x:c r="AL28" s="88" t="s">
        <x:v>162</x:v>
      </x:c>
      <x:c r="AM28" s="88" t="s">
        <x:v>559</x:v>
      </x:c>
      <x:c r="AN28" s="88" t="s">
        <x:v>369</x:v>
      </x:c>
      <x:c r="AO28" s="88">
        <x:v>0</x:v>
      </x:c>
    </x:row>
    <x:row r="29">
      <x:c r="A29" s="88" t="s">
        <x:v>560</x:v>
      </x:c>
      <x:c r="B29" s="88" t="s">
        <x:v>561</x:v>
      </x:c>
      <x:c r="C29" s="88" t="s">
        <x:v>562</x:v>
      </x:c>
      <x:c r="D29" s="88" t="s">
        <x:v>248</x:v>
      </x:c>
      <x:c r="E29" s="88" t="s">
        <x:v>342</x:v>
      </x:c>
      <x:c r="F29" s="89">
        <x:v>46015.17047128472</x:v>
      </x:c>
      <x:c r="G29" s="89">
        <x:v>46049.135106111113</x:v>
      </x:c>
      <x:c r="H29" s="89">
        <x:v>46015.17047128472</x:v>
      </x:c>
      <x:c r="I29" s="88" t="s">
        <x:v>563</x:v>
      </x:c>
      <x:c r="J29" s="88" t="s">
        <x:v>564</x:v>
      </x:c>
      <x:c r="K29" s="88" t="s">
        <x:v>380</x:v>
      </x:c>
      <x:c r="L29" s="88" t="s">
        <x:v>565</x:v>
      </x:c>
      <x:c r="M29" s="88" t="s">
        <x:v>566</x:v>
      </x:c>
      <x:c r="N29" s="88" t="s">
        <x:v>567</x:v>
      </x:c>
      <x:c r="O29" s="88">
        <x:v>3866</x:v>
      </x:c>
      <x:c r="P29" s="88" t="s">
        <x:v>568</x:v>
      </x:c>
      <x:c r="Q29" s="88" t="s">
        <x:v>269</x:v>
      </x:c>
      <x:c r="R29" s="88" t="s">
        <x:v>283</x:v>
      </x:c>
      <x:c r="S29" s="88"/>
      <x:c r="T29" s="88" t="s">
        <x:v>259</x:v>
      </x:c>
      <x:c r="U29" s="88" t="s">
        <x:v>562</x:v>
      </x:c>
      <x:c r="V29" s="89">
        <x:v>46015.197000347223</x:v>
      </x:c>
      <x:c r="W29" s="88" t="s">
        <x:v>569</x:v>
      </x:c>
      <x:c r="X29" s="88" t="s">
        <x:v>259</x:v>
      </x:c>
      <x:c r="Y29" s="88" t="s">
        <x:v>570</x:v>
      </x:c>
      <x:c r="Z29" s="89">
        <x:v>46017.056192349541</x:v>
      </x:c>
      <x:c r="AA29" s="88" t="s">
        <x:v>571</x:v>
      </x:c>
      <x:c r="AB29" s="88" t="s">
        <x:v>259</x:v>
      </x:c>
      <x:c r="AC29" s="88" t="s">
        <x:v>271</x:v>
      </x:c>
      <x:c r="AD29" s="89">
        <x:v>46028.111101585651</x:v>
      </x:c>
      <x:c r="AE29" s="88" t="s">
        <x:v>572</x:v>
      </x:c>
      <x:c r="AF29" s="88" t="s">
        <x:v>259</x:v>
      </x:c>
      <x:c r="AG29" s="88" t="s">
        <x:v>387</x:v>
      </x:c>
      <x:c r="AH29" s="89">
        <x:v>46049.135106122689</x:v>
      </x:c>
      <x:c r="AI29" s="88" t="s">
        <x:v>388</x:v>
      </x:c>
      <x:c r="AJ29" s="88" t="s">
        <x:v>573</x:v>
      </x:c>
      <x:c r="AK29" s="88">
        <x:v>3866</x:v>
      </x:c>
      <x:c r="AL29" s="88" t="s">
        <x:v>185</x:v>
      </x:c>
      <x:c r="AM29" s="88" t="s">
        <x:v>574</x:v>
      </x:c>
      <x:c r="AN29" s="88" t="s">
        <x:v>414</x:v>
      </x:c>
      <x:c r="AO29" s="88">
        <x:v>1095</x:v>
      </x:c>
    </x:row>
    <x:row r="30">
      <x:c r="A30" s="88" t="s">
        <x:v>575</x:v>
      </x:c>
      <x:c r="B30" s="88" t="s">
        <x:v>576</x:v>
      </x:c>
      <x:c r="C30" s="88" t="s">
        <x:v>577</x:v>
      </x:c>
      <x:c r="D30" s="88" t="s">
        <x:v>248</x:v>
      </x:c>
      <x:c r="E30" s="88" t="s">
        <x:v>342</x:v>
      </x:c>
      <x:c r="F30" s="89">
        <x:v>46020.189509618052</x:v>
      </x:c>
      <x:c r="G30" s="89">
        <x:v>46030.28119804398</x:v>
      </x:c>
      <x:c r="H30" s="89">
        <x:v>46020.189509618052</x:v>
      </x:c>
      <x:c r="I30" s="88" t="s">
        <x:v>578</x:v>
      </x:c>
      <x:c r="J30" s="88" t="s">
        <x:v>579</x:v>
      </x:c>
      <x:c r="K30" s="88" t="s">
        <x:v>266</x:v>
      </x:c>
      <x:c r="L30" s="88"/>
      <x:c r="M30" s="88" t="s">
        <x:v>580</x:v>
      </x:c>
      <x:c r="N30" s="88"/>
      <x:c r="O30" s="88" t="s">
        <x:v>581</x:v>
      </x:c>
      <x:c r="P30" s="88" t="s">
        <x:v>582</x:v>
      </x:c>
      <x:c r="Q30" s="88" t="s">
        <x:v>347</x:v>
      </x:c>
      <x:c r="R30" s="88" t="s">
        <x:v>257</x:v>
      </x:c>
      <x:c r="S30" s="88"/>
      <x:c r="T30" s="88" t="s">
        <x:v>259</x:v>
      </x:c>
      <x:c r="U30" s="88" t="s">
        <x:v>577</x:v>
      </x:c>
      <x:c r="V30" s="89">
        <x:v>46020.193970451386</x:v>
      </x:c>
      <x:c r="W30" s="88" t="s">
        <x:v>583</x:v>
      </x:c>
      <x:c r="X30" s="88" t="s">
        <x:v>259</x:v>
      </x:c>
      <x:c r="Y30" s="88" t="s">
        <x:v>584</x:v>
      </x:c>
      <x:c r="Z30" s="89">
        <x:v>46021.084481458332</x:v>
      </x:c>
      <x:c r="AA30" s="88" t="s">
        <x:v>585</x:v>
      </x:c>
      <x:c r="AB30" s="88" t="s">
        <x:v>259</x:v>
      </x:c>
      <x:c r="AC30" s="88" t="s">
        <x:v>271</x:v>
      </x:c>
      <x:c r="AD30" s="89">
        <x:v>46028.112194490743</x:v>
      </x:c>
      <x:c r="AE30" s="88" t="s">
        <x:v>586</x:v>
      </x:c>
      <x:c r="AF30" s="88" t="s">
        <x:v>259</x:v>
      </x:c>
      <x:c r="AG30" s="88" t="s">
        <x:v>387</x:v>
      </x:c>
      <x:c r="AH30" s="89">
        <x:v>46030.281198055556</x:v>
      </x:c>
      <x:c r="AI30" s="88" t="s">
        <x:v>388</x:v>
      </x:c>
      <x:c r="AJ30" s="88" t="s">
        <x:v>587</x:v>
      </x:c>
      <x:c r="AK30" s="88">
        <x:v>4343</x:v>
      </x:c>
      <x:c r="AL30" s="88" t="s">
        <x:v>185</x:v>
      </x:c>
      <x:c r="AM30" s="88" t="s">
        <x:v>588</x:v>
      </x:c>
      <x:c r="AN30" s="88" t="s">
        <x:v>414</x:v>
      </x:c>
      <x:c r="AO30" s="88">
        <x:v>90</x:v>
      </x:c>
    </x:row>
    <x:row r="31">
      <x:c r="A31" s="88" t="s">
        <x:v>589</x:v>
      </x:c>
      <x:c r="B31" s="88" t="s">
        <x:v>590</x:v>
      </x:c>
      <x:c r="C31" s="88" t="s">
        <x:v>591</x:v>
      </x:c>
      <x:c r="D31" s="88" t="s">
        <x:v>248</x:v>
      </x:c>
      <x:c r="E31" s="88" t="s">
        <x:v>342</x:v>
      </x:c>
      <x:c r="F31" s="89">
        <x:v>46021.158853645837</x:v>
      </x:c>
      <x:c r="G31" s="89">
        <x:v>46035.39747679398</x:v>
      </x:c>
      <x:c r="H31" s="89">
        <x:v>46021.158853645837</x:v>
      </x:c>
      <x:c r="I31" s="88" t="s">
        <x:v>592</x:v>
      </x:c>
      <x:c r="J31" s="88" t="s">
        <x:v>593</x:v>
      </x:c>
      <x:c r="K31" s="88" t="s">
        <x:v>266</x:v>
      </x:c>
      <x:c r="L31" s="88"/>
      <x:c r="M31" s="88" t="s">
        <x:v>594</x:v>
      </x:c>
      <x:c r="N31" s="88"/>
      <x:c r="O31" s="88"/>
      <x:c r="P31" s="88" t="s">
        <x:v>595</x:v>
      </x:c>
      <x:c r="Q31" s="88" t="s">
        <x:v>256</x:v>
      </x:c>
      <x:c r="R31" s="88" t="s">
        <x:v>257</x:v>
      </x:c>
      <x:c r="S31" s="88"/>
      <x:c r="T31" s="88" t="s">
        <x:v>259</x:v>
      </x:c>
      <x:c r="U31" s="88" t="s">
        <x:v>591</x:v>
      </x:c>
      <x:c r="V31" s="89">
        <x:v>46021.302613009262</x:v>
      </x:c>
      <x:c r="W31" s="88" t="s">
        <x:v>596</x:v>
      </x:c>
      <x:c r="X31" s="88" t="s">
        <x:v>259</x:v>
      </x:c>
      <x:c r="Y31" s="88" t="s">
        <x:v>597</x:v>
      </x:c>
      <x:c r="Z31" s="89">
        <x:v>46021.375360428239</x:v>
      </x:c>
      <x:c r="AA31" s="88" t="s">
        <x:v>598</x:v>
      </x:c>
      <x:c r="AB31" s="88" t="s">
        <x:v>259</x:v>
      </x:c>
      <x:c r="AC31" s="88" t="s">
        <x:v>271</x:v>
      </x:c>
      <x:c r="AD31" s="89">
        <x:v>46028.113725752315</x:v>
      </x:c>
      <x:c r="AE31" s="88" t="s">
        <x:v>599</x:v>
      </x:c>
      <x:c r="AF31" s="88" t="s">
        <x:v>259</x:v>
      </x:c>
      <x:c r="AG31" s="88" t="s">
        <x:v>387</x:v>
      </x:c>
      <x:c r="AH31" s="89">
        <x:v>46035.397476805556</x:v>
      </x:c>
      <x:c r="AI31" s="88" t="s">
        <x:v>388</x:v>
      </x:c>
      <x:c r="AJ31" s="88" t="s">
        <x:v>600</x:v>
      </x:c>
      <x:c r="AK31" s="88" t="s">
        <x:v>601</x:v>
      </x:c>
      <x:c r="AL31" s="88" t="s">
        <x:v>193</x:v>
      </x:c>
      <x:c r="AM31" s="88" t="s">
        <x:v>602</x:v>
      </x:c>
      <x:c r="AN31" s="88" t="s">
        <x:v>369</x:v>
      </x:c>
      <x:c r="AO31" s="88">
        <x:v>0</x:v>
      </x:c>
    </x:row>
    <x:row r="32">
      <x:c r="A32" s="88" t="s">
        <x:v>603</x:v>
      </x:c>
      <x:c r="B32" s="88" t="s">
        <x:v>604</x:v>
      </x:c>
      <x:c r="C32" s="88" t="s">
        <x:v>554</x:v>
      </x:c>
      <x:c r="D32" s="88" t="s">
        <x:v>248</x:v>
      </x:c>
      <x:c r="E32" s="88" t="s">
        <x:v>342</x:v>
      </x:c>
      <x:c r="F32" s="89">
        <x:v>46021.251309050924</x:v>
      </x:c>
      <x:c r="G32" s="89">
        <x:v>46031.086075208332</x:v>
      </x:c>
      <x:c r="H32" s="89">
        <x:v>46021.251309050924</x:v>
      </x:c>
      <x:c r="I32" s="88" t="s">
        <x:v>605</x:v>
      </x:c>
      <x:c r="J32" s="88" t="s">
        <x:v>605</x:v>
      </x:c>
      <x:c r="K32" s="88" t="s">
        <x:v>266</x:v>
      </x:c>
      <x:c r="L32" s="88"/>
      <x:c r="M32" s="88" t="s">
        <x:v>482</x:v>
      </x:c>
      <x:c r="N32" s="88"/>
      <x:c r="O32" s="88"/>
      <x:c r="P32" s="88" t="s">
        <x:v>483</x:v>
      </x:c>
      <x:c r="Q32" s="88" t="s">
        <x:v>256</x:v>
      </x:c>
      <x:c r="R32" s="88" t="s">
        <x:v>363</x:v>
      </x:c>
      <x:c r="S32" s="88"/>
      <x:c r="T32" s="88" t="s">
        <x:v>259</x:v>
      </x:c>
      <x:c r="U32" s="88" t="s">
        <x:v>554</x:v>
      </x:c>
      <x:c r="V32" s="89">
        <x:v>46021.252588692128</x:v>
      </x:c>
      <x:c r="W32" s="88" t="s">
        <x:v>606</x:v>
      </x:c>
      <x:c r="X32" s="88" t="s">
        <x:v>259</x:v>
      </x:c>
      <x:c r="Y32" s="88" t="s">
        <x:v>482</x:v>
      </x:c>
      <x:c r="Z32" s="89">
        <x:v>46027.138544502312</x:v>
      </x:c>
      <x:c r="AA32" s="88" t="s">
        <x:v>607</x:v>
      </x:c>
      <x:c r="AB32" s="88" t="s">
        <x:v>259</x:v>
      </x:c>
      <x:c r="AC32" s="88" t="s">
        <x:v>271</x:v>
      </x:c>
      <x:c r="AD32" s="89">
        <x:v>46028.098076956019</x:v>
      </x:c>
      <x:c r="AE32" s="88" t="s">
        <x:v>608</x:v>
      </x:c>
      <x:c r="AF32" s="88" t="s">
        <x:v>259</x:v>
      </x:c>
      <x:c r="AG32" s="88" t="s">
        <x:v>271</x:v>
      </x:c>
      <x:c r="AH32" s="89">
        <x:v>46031.086075208332</x:v>
      </x:c>
      <x:c r="AI32" s="88" t="s">
        <x:v>353</x:v>
      </x:c>
      <x:c r="AJ32" s="88" t="s">
        <x:v>609</x:v>
      </x:c>
      <x:c r="AK32" s="88">
        <x:v>3217</x:v>
      </x:c>
      <x:c r="AL32" s="88" t="s">
        <x:v>162</x:v>
      </x:c>
      <x:c r="AM32" s="88" t="s">
        <x:v>610</x:v>
      </x:c>
      <x:c r="AN32" s="88" t="s">
        <x:v>369</x:v>
      </x:c>
      <x:c r="AO32" s="88">
        <x:v>0</x:v>
      </x:c>
    </x:row>
    <x:row r="33">
      <x:c r="A33" s="88" t="s">
        <x:v>611</x:v>
      </x:c>
      <x:c r="B33" s="88" t="s">
        <x:v>612</x:v>
      </x:c>
      <x:c r="C33" s="88" t="s">
        <x:v>613</x:v>
      </x:c>
      <x:c r="D33" s="88" t="s">
        <x:v>248</x:v>
      </x:c>
      <x:c r="E33" s="88" t="s">
        <x:v>342</x:v>
      </x:c>
      <x:c r="F33" s="89">
        <x:v>46021.345332824072</x:v>
      </x:c>
      <x:c r="G33" s="89">
        <x:v>46048.322670150461</x:v>
      </x:c>
      <x:c r="H33" s="89">
        <x:v>46021.345332824072</x:v>
      </x:c>
      <x:c r="I33" s="88" t="s">
        <x:v>614</x:v>
      </x:c>
      <x:c r="J33" s="88" t="s">
        <x:v>615</x:v>
      </x:c>
      <x:c r="K33" s="88" t="s">
        <x:v>266</x:v>
      </x:c>
      <x:c r="L33" s="88"/>
      <x:c r="M33" s="88" t="s">
        <x:v>616</x:v>
      </x:c>
      <x:c r="N33" s="88" t="s">
        <x:v>617</x:v>
      </x:c>
      <x:c r="O33" s="88"/>
      <x:c r="P33" s="88" t="s">
        <x:v>618</x:v>
      </x:c>
      <x:c r="Q33" s="88" t="s">
        <x:v>347</x:v>
      </x:c>
      <x:c r="R33" s="88" t="s">
        <x:v>283</x:v>
      </x:c>
      <x:c r="S33" s="88"/>
      <x:c r="T33" s="88" t="s">
        <x:v>259</x:v>
      </x:c>
      <x:c r="U33" s="88" t="s">
        <x:v>613</x:v>
      </x:c>
      <x:c r="V33" s="89">
        <x:v>46021.348551944444</x:v>
      </x:c>
      <x:c r="W33" s="88" t="s">
        <x:v>619</x:v>
      </x:c>
      <x:c r="X33" s="88" t="s">
        <x:v>259</x:v>
      </x:c>
      <x:c r="Y33" s="88" t="s">
        <x:v>616</x:v>
      </x:c>
      <x:c r="Z33" s="89">
        <x:v>46021.467836238429</x:v>
      </x:c>
      <x:c r="AA33" s="88" t="s">
        <x:v>620</x:v>
      </x:c>
      <x:c r="AB33" s="88" t="s">
        <x:v>259</x:v>
      </x:c>
      <x:c r="AC33" s="88" t="s">
        <x:v>271</x:v>
      </x:c>
      <x:c r="AD33" s="89">
        <x:v>46028.122279861112</x:v>
      </x:c>
      <x:c r="AE33" s="88" t="s">
        <x:v>621</x:v>
      </x:c>
      <x:c r="AF33" s="88" t="s">
        <x:v>259</x:v>
      </x:c>
      <x:c r="AG33" s="88" t="s">
        <x:v>500</x:v>
      </x:c>
      <x:c r="AH33" s="89">
        <x:v>46048.322670162037</x:v>
      </x:c>
      <x:c r="AI33" s="88" t="s">
        <x:v>501</x:v>
      </x:c>
      <x:c r="AJ33" s="88" t="s">
        <x:v>622</x:v>
      </x:c>
      <x:c r="AK33" s="88">
        <x:v>747</x:v>
      </x:c>
      <x:c r="AL33" s="88" t="s">
        <x:v>185</x:v>
      </x:c>
      <x:c r="AM33" s="88" t="s">
        <x:v>623</x:v>
      </x:c>
      <x:c r="AN33" s="88" t="s">
        <x:v>414</x:v>
      </x:c>
      <x:c r="AO33" s="88">
        <x:v>30</x:v>
      </x:c>
    </x:row>
    <x:row r="34">
      <x:c r="A34" s="88" t="s">
        <x:v>624</x:v>
      </x:c>
      <x:c r="B34" s="88" t="s">
        <x:v>625</x:v>
      </x:c>
      <x:c r="C34" s="88" t="s">
        <x:v>613</x:v>
      </x:c>
      <x:c r="D34" s="88" t="s">
        <x:v>248</x:v>
      </x:c>
      <x:c r="E34" s="88" t="s">
        <x:v>342</x:v>
      </x:c>
      <x:c r="F34" s="89">
        <x:v>46021.354603043983</x:v>
      </x:c>
      <x:c r="G34" s="89">
        <x:v>46031.328138645833</x:v>
      </x:c>
      <x:c r="H34" s="89">
        <x:v>46021.354603043983</x:v>
      </x:c>
      <x:c r="I34" s="88" t="s">
        <x:v>626</x:v>
      </x:c>
      <x:c r="J34" s="88" t="s">
        <x:v>627</x:v>
      </x:c>
      <x:c r="K34" s="88" t="s">
        <x:v>380</x:v>
      </x:c>
      <x:c r="L34" s="88" t="s">
        <x:v>628</x:v>
      </x:c>
      <x:c r="M34" s="88" t="s">
        <x:v>616</x:v>
      </x:c>
      <x:c r="N34" s="88" t="s">
        <x:v>629</x:v>
      </x:c>
      <x:c r="O34" s="88"/>
      <x:c r="P34" s="88" t="s">
        <x:v>630</x:v>
      </x:c>
      <x:c r="Q34" s="88" t="s">
        <x:v>269</x:v>
      </x:c>
      <x:c r="R34" s="88" t="s">
        <x:v>283</x:v>
      </x:c>
      <x:c r="S34" s="88"/>
      <x:c r="T34" s="88" t="s">
        <x:v>259</x:v>
      </x:c>
      <x:c r="U34" s="88" t="s">
        <x:v>613</x:v>
      </x:c>
      <x:c r="V34" s="89">
        <x:v>46021.355464872686</x:v>
      </x:c>
      <x:c r="W34" s="88" t="s">
        <x:v>631</x:v>
      </x:c>
      <x:c r="X34" s="88" t="s">
        <x:v>259</x:v>
      </x:c>
      <x:c r="Y34" s="88" t="s">
        <x:v>616</x:v>
      </x:c>
      <x:c r="Z34" s="89">
        <x:v>46021.467437349536</x:v>
      </x:c>
      <x:c r="AA34" s="88" t="s">
        <x:v>632</x:v>
      </x:c>
      <x:c r="AB34" s="88" t="s">
        <x:v>259</x:v>
      </x:c>
      <x:c r="AC34" s="88" t="s">
        <x:v>271</x:v>
      </x:c>
      <x:c r="AD34" s="89">
        <x:v>46028.116867129633</x:v>
      </x:c>
      <x:c r="AE34" s="88" t="s">
        <x:v>633</x:v>
      </x:c>
      <x:c r="AF34" s="88" t="s">
        <x:v>259</x:v>
      </x:c>
      <x:c r="AG34" s="88" t="s">
        <x:v>271</x:v>
      </x:c>
      <x:c r="AH34" s="89">
        <x:v>46031.328138657409</x:v>
      </x:c>
      <x:c r="AI34" s="88" t="s">
        <x:v>353</x:v>
      </x:c>
      <x:c r="AJ34" s="88" t="s">
        <x:v>634</x:v>
      </x:c>
      <x:c r="AK34" s="88">
        <x:v>3418</x:v>
      </x:c>
      <x:c r="AL34" s="88" t="s">
        <x:v>193</x:v>
      </x:c>
      <x:c r="AM34" s="88" t="s">
        <x:v>635</x:v>
      </x:c>
      <x:c r="AN34" s="88" t="s">
        <x:v>414</x:v>
      </x:c>
      <x:c r="AO34" s="88">
        <x:v>30</x:v>
      </x:c>
    </x:row>
    <x:row r="35">
      <x:c r="A35" s="88" t="s">
        <x:v>636</x:v>
      </x:c>
      <x:c r="B35" s="88" t="s">
        <x:v>637</x:v>
      </x:c>
      <x:c r="C35" s="88" t="s">
        <x:v>247</x:v>
      </x:c>
      <x:c r="D35" s="88" t="s">
        <x:v>248</x:v>
      </x:c>
      <x:c r="E35" s="88" t="s">
        <x:v>342</x:v>
      </x:c>
      <x:c r="F35" s="89">
        <x:v>46027.265545694441</x:v>
      </x:c>
      <x:c r="G35" s="89">
        <x:v>46052.203466469909</x:v>
      </x:c>
      <x:c r="H35" s="89">
        <x:v>46027.268025578705</x:v>
      </x:c>
      <x:c r="I35" s="88" t="s">
        <x:v>638</x:v>
      </x:c>
      <x:c r="J35" s="88" t="s">
        <x:v>639</x:v>
      </x:c>
      <x:c r="K35" s="88" t="s">
        <x:v>380</x:v>
      </x:c>
      <x:c r="L35" s="88" t="s">
        <x:v>640</x:v>
      </x:c>
      <x:c r="M35" s="88" t="s">
        <x:v>641</x:v>
      </x:c>
      <x:c r="N35" s="88" t="s">
        <x:v>642</x:v>
      </x:c>
      <x:c r="O35" s="88"/>
      <x:c r="P35" s="88" t="s">
        <x:v>643</x:v>
      </x:c>
      <x:c r="Q35" s="88" t="s">
        <x:v>256</x:v>
      </x:c>
      <x:c r="R35" s="88" t="s">
        <x:v>283</x:v>
      </x:c>
      <x:c r="S35" s="88"/>
      <x:c r="T35" s="88" t="s">
        <x:v>259</x:v>
      </x:c>
      <x:c r="U35" s="88" t="s">
        <x:v>247</x:v>
      </x:c>
      <x:c r="V35" s="89">
        <x:v>46027.269236250002</x:v>
      </x:c>
      <x:c r="W35" s="88" t="s">
        <x:v>644</x:v>
      </x:c>
      <x:c r="X35" s="88" t="s">
        <x:v>259</x:v>
      </x:c>
      <x:c r="Y35" s="88" t="s">
        <x:v>260</x:v>
      </x:c>
      <x:c r="Z35" s="89">
        <x:v>46051.126878171293</x:v>
      </x:c>
      <x:c r="AA35" s="88" t="s">
        <x:v>645</x:v>
      </x:c>
      <x:c r="AB35" s="88" t="s">
        <x:v>259</x:v>
      </x:c>
      <x:c r="AC35" s="88" t="s">
        <x:v>271</x:v>
      </x:c>
      <x:c r="AD35" s="89">
        <x:v>46051.18944396991</x:v>
      </x:c>
      <x:c r="AE35" s="88" t="s">
        <x:v>646</x:v>
      </x:c>
      <x:c r="AF35" s="88" t="s">
        <x:v>259</x:v>
      </x:c>
      <x:c r="AG35" s="88" t="s">
        <x:v>271</x:v>
      </x:c>
      <x:c r="AH35" s="89">
        <x:v>46052.203466469909</x:v>
      </x:c>
      <x:c r="AI35" s="88" t="s">
        <x:v>353</x:v>
      </x:c>
      <x:c r="AJ35" s="88" t="s">
        <x:v>647</x:v>
      </x:c>
      <x:c r="AK35" s="88">
        <x:v>2637</x:v>
      </x:c>
      <x:c r="AL35" s="88" t="s">
        <x:v>185</x:v>
      </x:c>
      <x:c r="AM35" s="88" t="s">
        <x:v>648</x:v>
      </x:c>
      <x:c r="AN35" s="88" t="s">
        <x:v>369</x:v>
      </x:c>
      <x:c r="AO35" s="88">
        <x:v>0</x:v>
      </x:c>
    </x:row>
    <x:row r="36">
      <x:c r="A36" s="88" t="s">
        <x:v>649</x:v>
      </x:c>
      <x:c r="B36" s="88" t="s">
        <x:v>650</x:v>
      </x:c>
      <x:c r="C36" s="88" t="s">
        <x:v>479</x:v>
      </x:c>
      <x:c r="D36" s="88" t="s">
        <x:v>248</x:v>
      </x:c>
      <x:c r="E36" s="88" t="s">
        <x:v>278</x:v>
      </x:c>
      <x:c r="F36" s="89">
        <x:v>46027.266093877312</x:v>
      </x:c>
      <x:c r="G36" s="89">
        <x:v>46050.094664884258</x:v>
      </x:c>
      <x:c r="H36" s="89">
        <x:v>46027.266093877312</x:v>
      </x:c>
      <x:c r="I36" s="88" t="s">
        <x:v>578</x:v>
      </x:c>
      <x:c r="J36" s="88" t="s">
        <x:v>579</x:v>
      </x:c>
      <x:c r="K36" s="88" t="s">
        <x:v>266</x:v>
      </x:c>
      <x:c r="L36" s="88"/>
      <x:c r="M36" s="88" t="s">
        <x:v>482</x:v>
      </x:c>
      <x:c r="N36" s="88"/>
      <x:c r="O36" s="88"/>
      <x:c r="P36" s="88" t="s">
        <x:v>483</x:v>
      </x:c>
      <x:c r="Q36" s="88" t="s">
        <x:v>256</x:v>
      </x:c>
      <x:c r="R36" s="88" t="s">
        <x:v>363</x:v>
      </x:c>
      <x:c r="S36" s="88"/>
      <x:c r="T36" s="88" t="s">
        <x:v>249</x:v>
      </x:c>
      <x:c r="U36" s="88" t="s">
        <x:v>271</x:v>
      </x:c>
      <x:c r="V36" s="89">
        <x:v>46050.094664895834</x:v>
      </x:c>
      <x:c r="W36" s="88" t="s">
        <x:v>651</x:v>
      </x:c>
      <x:c r="X36" s="88"/>
      <x:c r="Y36" s="88" t="s">
        <x:v>482</x:v>
      </x:c>
      <x:c r="Z36" s="89"/>
      <x:c r="AA36" s="88"/>
      <x:c r="AB36" s="88"/>
      <x:c r="AC36" s="88" t="s">
        <x:v>273</x:v>
      </x:c>
      <x:c r="AD36" s="89"/>
      <x:c r="AE36" s="88"/>
      <x:c r="AF36" s="88"/>
      <x:c r="AG36" s="88" t="s">
        <x:v>161</x:v>
      </x:c>
      <x:c r="AH36" s="89"/>
      <x:c r="AI36" s="88"/>
      <x:c r="AJ36" s="88" t="s">
        <x:v>587</x:v>
      </x:c>
      <x:c r="AK36" s="88">
        <x:v>4343</x:v>
      </x:c>
      <x:c r="AL36" s="88"/>
      <x:c r="AM36" s="88"/>
      <x:c r="AN36" s="88" t="s">
        <x:v>369</x:v>
      </x:c>
      <x:c r="AO36" s="88">
        <x:v>0</x:v>
      </x:c>
    </x:row>
    <x:row r="37">
      <x:c r="A37" s="88" t="s">
        <x:v>652</x:v>
      </x:c>
      <x:c r="B37" s="88" t="s">
        <x:v>653</x:v>
      </x:c>
      <x:c r="C37" s="88" t="s">
        <x:v>554</x:v>
      </x:c>
      <x:c r="D37" s="88" t="s">
        <x:v>248</x:v>
      </x:c>
      <x:c r="E37" s="88" t="s">
        <x:v>278</x:v>
      </x:c>
      <x:c r="F37" s="89">
        <x:v>46027.331557696758</x:v>
      </x:c>
      <x:c r="G37" s="89">
        <x:v>46057.284475682871</x:v>
      </x:c>
      <x:c r="H37" s="89">
        <x:v>46027.331557696758</x:v>
      </x:c>
      <x:c r="I37" s="88" t="s">
        <x:v>654</x:v>
      </x:c>
      <x:c r="J37" s="88" t="s">
        <x:v>655</x:v>
      </x:c>
      <x:c r="K37" s="88" t="s">
        <x:v>380</x:v>
      </x:c>
      <x:c r="L37" s="88" t="s">
        <x:v>252</x:v>
      </x:c>
      <x:c r="M37" s="88" t="s">
        <x:v>656</x:v>
      </x:c>
      <x:c r="N37" s="88"/>
      <x:c r="O37" s="88"/>
      <x:c r="P37" s="88" t="s">
        <x:v>657</x:v>
      </x:c>
      <x:c r="Q37" s="88" t="s">
        <x:v>256</x:v>
      </x:c>
      <x:c r="R37" s="88" t="s">
        <x:v>283</x:v>
      </x:c>
      <x:c r="S37" s="88"/>
      <x:c r="T37" s="88" t="s">
        <x:v>249</x:v>
      </x:c>
      <x:c r="U37" s="88" t="s">
        <x:v>271</x:v>
      </x:c>
      <x:c r="V37" s="89">
        <x:v>46057.284475694447</x:v>
      </x:c>
      <x:c r="W37" s="88" t="s">
        <x:v>658</x:v>
      </x:c>
      <x:c r="X37" s="88"/>
      <x:c r="Y37" s="88" t="s">
        <x:v>656</x:v>
      </x:c>
      <x:c r="Z37" s="89"/>
      <x:c r="AA37" s="88"/>
      <x:c r="AB37" s="88"/>
      <x:c r="AC37" s="88" t="s">
        <x:v>273</x:v>
      </x:c>
      <x:c r="AD37" s="89"/>
      <x:c r="AE37" s="88"/>
      <x:c r="AF37" s="88"/>
      <x:c r="AG37" s="88" t="s">
        <x:v>161</x:v>
      </x:c>
      <x:c r="AH37" s="89"/>
      <x:c r="AI37" s="88"/>
      <x:c r="AJ37" s="88" t="s">
        <x:v>659</x:v>
      </x:c>
      <x:c r="AK37" s="88" t="s">
        <x:v>660</x:v>
      </x:c>
      <x:c r="AL37" s="88"/>
      <x:c r="AM37" s="88"/>
      <x:c r="AN37" s="88" t="s">
        <x:v>369</x:v>
      </x:c>
      <x:c r="AO37" s="88">
        <x:v>0</x:v>
      </x:c>
    </x:row>
    <x:row r="38">
      <x:c r="A38" s="88" t="s">
        <x:v>661</x:v>
      </x:c>
      <x:c r="B38" s="88" t="s">
        <x:v>662</x:v>
      </x:c>
      <x:c r="C38" s="88" t="s">
        <x:v>663</x:v>
      </x:c>
      <x:c r="D38" s="88" t="s">
        <x:v>248</x:v>
      </x:c>
      <x:c r="E38" s="88" t="s">
        <x:v>342</x:v>
      </x:c>
      <x:c r="F38" s="89">
        <x:v>46028.119965798614</x:v>
      </x:c>
      <x:c r="G38" s="89">
        <x:v>46043.164387118057</x:v>
      </x:c>
      <x:c r="H38" s="89">
        <x:v>46028.119965798614</x:v>
      </x:c>
      <x:c r="I38" s="88" t="s">
        <x:v>664</x:v>
      </x:c>
      <x:c r="J38" s="88" t="s">
        <x:v>665</x:v>
      </x:c>
      <x:c r="K38" s="88" t="s">
        <x:v>380</x:v>
      </x:c>
      <x:c r="L38" s="88" t="s">
        <x:v>666</x:v>
      </x:c>
      <x:c r="M38" s="88" t="s">
        <x:v>667</x:v>
      </x:c>
      <x:c r="N38" s="88" t="s">
        <x:v>668</x:v>
      </x:c>
      <x:c r="O38" s="88"/>
      <x:c r="P38" s="88" t="s">
        <x:v>669</x:v>
      </x:c>
      <x:c r="Q38" s="88" t="s">
        <x:v>323</x:v>
      </x:c>
      <x:c r="R38" s="88" t="s">
        <x:v>283</x:v>
      </x:c>
      <x:c r="S38" s="88"/>
      <x:c r="T38" s="88" t="s">
        <x:v>259</x:v>
      </x:c>
      <x:c r="U38" s="88" t="s">
        <x:v>663</x:v>
      </x:c>
      <x:c r="V38" s="89">
        <x:v>46028.121562268519</x:v>
      </x:c>
      <x:c r="W38" s="88" t="s">
        <x:v>670</x:v>
      </x:c>
      <x:c r="X38" s="88" t="s">
        <x:v>259</x:v>
      </x:c>
      <x:c r="Y38" s="88" t="s">
        <x:v>616</x:v>
      </x:c>
      <x:c r="Z38" s="89">
        <x:v>46041.164444571761</x:v>
      </x:c>
      <x:c r="AA38" s="88" t="s">
        <x:v>671</x:v>
      </x:c>
      <x:c r="AB38" s="88" t="s">
        <x:v>259</x:v>
      </x:c>
      <x:c r="AC38" s="88" t="s">
        <x:v>271</x:v>
      </x:c>
      <x:c r="AD38" s="89">
        <x:v>46041.216393078706</x:v>
      </x:c>
      <x:c r="AE38" s="88" t="s">
        <x:v>672</x:v>
      </x:c>
      <x:c r="AF38" s="88" t="s">
        <x:v>259</x:v>
      </x:c>
      <x:c r="AG38" s="88" t="s">
        <x:v>271</x:v>
      </x:c>
      <x:c r="AH38" s="89">
        <x:v>46043.164387118057</x:v>
      </x:c>
      <x:c r="AI38" s="88" t="s">
        <x:v>353</x:v>
      </x:c>
      <x:c r="AJ38" s="88" t="s">
        <x:v>673</x:v>
      </x:c>
      <x:c r="AK38" s="88" t="s">
        <x:v>674</x:v>
      </x:c>
      <x:c r="AL38" s="88" t="s">
        <x:v>185</x:v>
      </x:c>
      <x:c r="AM38" s="88" t="s">
        <x:v>675</x:v>
      </x:c>
      <x:c r="AN38" s="88" t="s">
        <x:v>369</x:v>
      </x:c>
      <x:c r="AO38" s="88">
        <x:v>0</x:v>
      </x:c>
    </x:row>
    <x:row r="39">
      <x:c r="A39" s="88" t="s">
        <x:v>676</x:v>
      </x:c>
      <x:c r="B39" s="88" t="s">
        <x:v>677</x:v>
      </x:c>
      <x:c r="C39" s="88" t="s">
        <x:v>554</x:v>
      </x:c>
      <x:c r="D39" s="88" t="s">
        <x:v>248</x:v>
      </x:c>
      <x:c r="E39" s="88" t="s">
        <x:v>342</x:v>
      </x:c>
      <x:c r="F39" s="89">
        <x:v>46028.120393506942</x:v>
      </x:c>
      <x:c r="G39" s="89">
        <x:v>46043.468110856484</x:v>
      </x:c>
      <x:c r="H39" s="89">
        <x:v>46028.120393506942</x:v>
      </x:c>
      <x:c r="I39" s="88" t="s">
        <x:v>678</x:v>
      </x:c>
      <x:c r="J39" s="88" t="s">
        <x:v>679</x:v>
      </x:c>
      <x:c r="K39" s="88" t="s">
        <x:v>266</x:v>
      </x:c>
      <x:c r="L39" s="88"/>
      <x:c r="M39" s="88" t="s">
        <x:v>482</x:v>
      </x:c>
      <x:c r="N39" s="88"/>
      <x:c r="O39" s="88">
        <x:v>3476</x:v>
      </x:c>
      <x:c r="P39" s="88" t="s">
        <x:v>680</x:v>
      </x:c>
      <x:c r="Q39" s="88" t="s">
        <x:v>256</x:v>
      </x:c>
      <x:c r="R39" s="88" t="s">
        <x:v>363</x:v>
      </x:c>
      <x:c r="S39" s="88"/>
      <x:c r="T39" s="88" t="s">
        <x:v>259</x:v>
      </x:c>
      <x:c r="U39" s="88" t="s">
        <x:v>554</x:v>
      </x:c>
      <x:c r="V39" s="89">
        <x:v>46028.121525046299</x:v>
      </x:c>
      <x:c r="W39" s="88" t="s">
        <x:v>680</x:v>
      </x:c>
      <x:c r="X39" s="88" t="s">
        <x:v>259</x:v>
      </x:c>
      <x:c r="Y39" s="88" t="s">
        <x:v>482</x:v>
      </x:c>
      <x:c r="Z39" s="89">
        <x:v>46042.115280706021</x:v>
      </x:c>
      <x:c r="AA39" s="88" t="s">
        <x:v>680</x:v>
      </x:c>
      <x:c r="AB39" s="88" t="s">
        <x:v>259</x:v>
      </x:c>
      <x:c r="AC39" s="88" t="s">
        <x:v>271</x:v>
      </x:c>
      <x:c r="AD39" s="89">
        <x:v>46042.118401354164</x:v>
      </x:c>
      <x:c r="AE39" s="88" t="s">
        <x:v>681</x:v>
      </x:c>
      <x:c r="AF39" s="88" t="s">
        <x:v>259</x:v>
      </x:c>
      <x:c r="AG39" s="88" t="s">
        <x:v>271</x:v>
      </x:c>
      <x:c r="AH39" s="89">
        <x:v>46043.468110868052</x:v>
      </x:c>
      <x:c r="AI39" s="88" t="s">
        <x:v>353</x:v>
      </x:c>
      <x:c r="AJ39" s="88" t="s">
        <x:v>682</x:v>
      </x:c>
      <x:c r="AK39" s="88">
        <x:v>3476</x:v>
      </x:c>
      <x:c r="AL39" s="88" t="s">
        <x:v>185</x:v>
      </x:c>
      <x:c r="AM39" s="88" t="s">
        <x:v>683</x:v>
      </x:c>
      <x:c r="AN39" s="88" t="s">
        <x:v>369</x:v>
      </x:c>
      <x:c r="AO39" s="88">
        <x:v>0</x:v>
      </x:c>
    </x:row>
    <x:row r="40">
      <x:c r="A40" s="88" t="s">
        <x:v>684</x:v>
      </x:c>
      <x:c r="B40" s="88" t="s">
        <x:v>685</x:v>
      </x:c>
      <x:c r="C40" s="88" t="s">
        <x:v>686</x:v>
      </x:c>
      <x:c r="D40" s="88" t="s">
        <x:v>248</x:v>
      </x:c>
      <x:c r="E40" s="88" t="s">
        <x:v>342</x:v>
      </x:c>
      <x:c r="F40" s="89">
        <x:v>46030.268386388889</x:v>
      </x:c>
      <x:c r="G40" s="89">
        <x:v>46037.12722962963</x:v>
      </x:c>
      <x:c r="H40" s="89">
        <x:v>46030.268386388889</x:v>
      </x:c>
      <x:c r="I40" s="88" t="s">
        <x:v>687</x:v>
      </x:c>
      <x:c r="J40" s="88" t="s">
        <x:v>688</x:v>
      </x:c>
      <x:c r="K40" s="88" t="s">
        <x:v>266</x:v>
      </x:c>
      <x:c r="L40" s="88"/>
      <x:c r="M40" s="88" t="s">
        <x:v>689</x:v>
      </x:c>
      <x:c r="N40" s="88"/>
      <x:c r="O40" s="88"/>
      <x:c r="P40" s="88" t="s">
        <x:v>690</x:v>
      </x:c>
      <x:c r="Q40" s="88" t="s">
        <x:v>256</x:v>
      </x:c>
      <x:c r="R40" s="88" t="s">
        <x:v>513</x:v>
      </x:c>
      <x:c r="S40" s="88"/>
      <x:c r="T40" s="88" t="s">
        <x:v>259</x:v>
      </x:c>
      <x:c r="U40" s="88" t="s">
        <x:v>686</x:v>
      </x:c>
      <x:c r="V40" s="89">
        <x:v>46030.269974699077</x:v>
      </x:c>
      <x:c r="W40" s="88" t="s">
        <x:v>691</x:v>
      </x:c>
      <x:c r="X40" s="88" t="s">
        <x:v>259</x:v>
      </x:c>
      <x:c r="Y40" s="88" t="s">
        <x:v>689</x:v>
      </x:c>
      <x:c r="Z40" s="89">
        <x:v>46031.34340445602</x:v>
      </x:c>
      <x:c r="AA40" s="88" t="s">
        <x:v>692</x:v>
      </x:c>
      <x:c r="AB40" s="88" t="s">
        <x:v>259</x:v>
      </x:c>
      <x:c r="AC40" s="88" t="s">
        <x:v>271</x:v>
      </x:c>
      <x:c r="AD40" s="89">
        <x:v>46036.319666377312</x:v>
      </x:c>
      <x:c r="AE40" s="88" t="s">
        <x:v>693</x:v>
      </x:c>
      <x:c r="AF40" s="88" t="s">
        <x:v>259</x:v>
      </x:c>
      <x:c r="AG40" s="88" t="s">
        <x:v>387</x:v>
      </x:c>
      <x:c r="AH40" s="89">
        <x:v>46037.127229641206</x:v>
      </x:c>
      <x:c r="AI40" s="88" t="s">
        <x:v>388</x:v>
      </x:c>
      <x:c r="AJ40" s="88" t="s">
        <x:v>694</x:v>
      </x:c>
      <x:c r="AK40" s="88">
        <x:v>4758</x:v>
      </x:c>
      <x:c r="AL40" s="88" t="s">
        <x:v>185</x:v>
      </x:c>
      <x:c r="AM40" s="88" t="s">
        <x:v>695</x:v>
      </x:c>
      <x:c r="AN40" s="88" t="s">
        <x:v>414</x:v>
      </x:c>
      <x:c r="AO40" s="88">
        <x:v>7</x:v>
      </x:c>
    </x:row>
    <x:row r="41">
      <x:c r="A41" s="88" t="s">
        <x:v>696</x:v>
      </x:c>
      <x:c r="B41" s="88" t="s">
        <x:v>697</x:v>
      </x:c>
      <x:c r="C41" s="88" t="s">
        <x:v>698</x:v>
      </x:c>
      <x:c r="D41" s="88" t="s">
        <x:v>248</x:v>
      </x:c>
      <x:c r="E41" s="88" t="s">
        <x:v>278</x:v>
      </x:c>
      <x:c r="F41" s="89">
        <x:v>46031.08573958333</x:v>
      </x:c>
      <x:c r="G41" s="89">
        <x:v>46031.086062118055</x:v>
      </x:c>
      <x:c r="H41" s="89">
        <x:v>46031.08573958333</x:v>
      </x:c>
      <x:c r="I41" s="88" t="s">
        <x:v>699</x:v>
      </x:c>
      <x:c r="J41" s="88" t="s">
        <x:v>700</x:v>
      </x:c>
      <x:c r="K41" s="88" t="s">
        <x:v>266</x:v>
      </x:c>
      <x:c r="L41" s="88"/>
      <x:c r="M41" s="88" t="s">
        <x:v>701</x:v>
      </x:c>
      <x:c r="N41" s="88"/>
      <x:c r="O41" s="88"/>
      <x:c r="P41" s="88" t="s">
        <x:v>702</x:v>
      </x:c>
      <x:c r="Q41" s="88" t="s">
        <x:v>256</x:v>
      </x:c>
      <x:c r="R41" s="88" t="s">
        <x:v>283</x:v>
      </x:c>
      <x:c r="S41" s="88"/>
      <x:c r="T41" s="88" t="s">
        <x:v>249</x:v>
      </x:c>
      <x:c r="U41" s="88" t="s">
        <x:v>698</x:v>
      </x:c>
      <x:c r="V41" s="89">
        <x:v>46031.086062129631</x:v>
      </x:c>
      <x:c r="W41" s="88"/>
      <x:c r="X41" s="88"/>
      <x:c r="Y41" s="88" t="s">
        <x:v>703</x:v>
      </x:c>
      <x:c r="Z41" s="89"/>
      <x:c r="AA41" s="88"/>
      <x:c r="AB41" s="88"/>
      <x:c r="AC41" s="88" t="s">
        <x:v>273</x:v>
      </x:c>
      <x:c r="AD41" s="89"/>
      <x:c r="AE41" s="88"/>
      <x:c r="AF41" s="88"/>
      <x:c r="AG41" s="88" t="s">
        <x:v>161</x:v>
      </x:c>
      <x:c r="AH41" s="89"/>
      <x:c r="AI41" s="88"/>
      <x:c r="AJ41" s="88" t="s">
        <x:v>704</x:v>
      </x:c>
      <x:c r="AK41" s="88">
        <x:v>2123</x:v>
      </x:c>
      <x:c r="AL41" s="88"/>
      <x:c r="AM41" s="88"/>
      <x:c r="AN41" s="88" t="s">
        <x:v>369</x:v>
      </x:c>
      <x:c r="AO41" s="88">
        <x:v>0</x:v>
      </x:c>
    </x:row>
    <x:row r="42">
      <x:c r="A42" s="88" t="s">
        <x:v>705</x:v>
      </x:c>
      <x:c r="B42" s="88" t="s">
        <x:v>706</x:v>
      </x:c>
      <x:c r="C42" s="88" t="s">
        <x:v>698</x:v>
      </x:c>
      <x:c r="D42" s="88" t="s">
        <x:v>248</x:v>
      </x:c>
      <x:c r="E42" s="88" t="s">
        <x:v>278</x:v>
      </x:c>
      <x:c r="F42" s="89">
        <x:v>46031.087512071761</x:v>
      </x:c>
      <x:c r="G42" s="89">
        <x:v>46031.087698912037</x:v>
      </x:c>
      <x:c r="H42" s="89">
        <x:v>46031.087512071761</x:v>
      </x:c>
      <x:c r="I42" s="88" t="s">
        <x:v>699</x:v>
      </x:c>
      <x:c r="J42" s="88" t="s">
        <x:v>707</x:v>
      </x:c>
      <x:c r="K42" s="88" t="s">
        <x:v>266</x:v>
      </x:c>
      <x:c r="L42" s="88"/>
      <x:c r="M42" s="88" t="s">
        <x:v>701</x:v>
      </x:c>
      <x:c r="N42" s="88"/>
      <x:c r="O42" s="88"/>
      <x:c r="P42" s="88" t="s">
        <x:v>708</x:v>
      </x:c>
      <x:c r="Q42" s="88" t="s">
        <x:v>256</x:v>
      </x:c>
      <x:c r="R42" s="88" t="s">
        <x:v>283</x:v>
      </x:c>
      <x:c r="S42" s="88"/>
      <x:c r="T42" s="88" t="s">
        <x:v>249</x:v>
      </x:c>
      <x:c r="U42" s="88" t="s">
        <x:v>698</x:v>
      </x:c>
      <x:c r="V42" s="89">
        <x:v>46031.087698912037</x:v>
      </x:c>
      <x:c r="W42" s="88"/>
      <x:c r="X42" s="88"/>
      <x:c r="Y42" s="88" t="s">
        <x:v>703</x:v>
      </x:c>
      <x:c r="Z42" s="89"/>
      <x:c r="AA42" s="88"/>
      <x:c r="AB42" s="88"/>
      <x:c r="AC42" s="88" t="s">
        <x:v>273</x:v>
      </x:c>
      <x:c r="AD42" s="89"/>
      <x:c r="AE42" s="88"/>
      <x:c r="AF42" s="88"/>
      <x:c r="AG42" s="88" t="s">
        <x:v>161</x:v>
      </x:c>
      <x:c r="AH42" s="89"/>
      <x:c r="AI42" s="88"/>
      <x:c r="AJ42" s="88" t="s">
        <x:v>704</x:v>
      </x:c>
      <x:c r="AK42" s="88">
        <x:v>100</x:v>
      </x:c>
      <x:c r="AL42" s="88"/>
      <x:c r="AM42" s="88"/>
      <x:c r="AN42" s="88" t="s">
        <x:v>369</x:v>
      </x:c>
      <x:c r="AO42" s="88">
        <x:v>0</x:v>
      </x:c>
    </x:row>
    <x:row r="43">
      <x:c r="A43" s="88" t="s">
        <x:v>709</x:v>
      </x:c>
      <x:c r="B43" s="88" t="s">
        <x:v>710</x:v>
      </x:c>
      <x:c r="C43" s="88" t="s">
        <x:v>698</x:v>
      </x:c>
      <x:c r="D43" s="88" t="s">
        <x:v>248</x:v>
      </x:c>
      <x:c r="E43" s="88" t="s">
        <x:v>342</x:v>
      </x:c>
      <x:c r="F43" s="89">
        <x:v>46031.088561851851</x:v>
      </x:c>
      <x:c r="G43" s="89">
        <x:v>46038.078386504632</x:v>
      </x:c>
      <x:c r="H43" s="89">
        <x:v>46031.088561851851</x:v>
      </x:c>
      <x:c r="I43" s="88" t="s">
        <x:v>699</x:v>
      </x:c>
      <x:c r="J43" s="88" t="s">
        <x:v>711</x:v>
      </x:c>
      <x:c r="K43" s="88" t="s">
        <x:v>266</x:v>
      </x:c>
      <x:c r="L43" s="88"/>
      <x:c r="M43" s="88" t="s">
        <x:v>701</x:v>
      </x:c>
      <x:c r="N43" s="88"/>
      <x:c r="O43" s="88"/>
      <x:c r="P43" s="88" t="s">
        <x:v>712</x:v>
      </x:c>
      <x:c r="Q43" s="88" t="s">
        <x:v>256</x:v>
      </x:c>
      <x:c r="R43" s="88" t="s">
        <x:v>283</x:v>
      </x:c>
      <x:c r="S43" s="88"/>
      <x:c r="T43" s="88" t="s">
        <x:v>259</x:v>
      </x:c>
      <x:c r="U43" s="88" t="s">
        <x:v>698</x:v>
      </x:c>
      <x:c r="V43" s="89">
        <x:v>46031.095546712961</x:v>
      </x:c>
      <x:c r="W43" s="88" t="s">
        <x:v>713</x:v>
      </x:c>
      <x:c r="X43" s="88" t="s">
        <x:v>259</x:v>
      </x:c>
      <x:c r="Y43" s="88" t="s">
        <x:v>703</x:v>
      </x:c>
      <x:c r="Z43" s="89">
        <x:v>46031.387942881942</x:v>
      </x:c>
      <x:c r="AA43" s="88" t="s">
        <x:v>714</x:v>
      </x:c>
      <x:c r="AB43" s="88" t="s">
        <x:v>259</x:v>
      </x:c>
      <x:c r="AC43" s="88" t="s">
        <x:v>271</x:v>
      </x:c>
      <x:c r="AD43" s="89">
        <x:v>46036.323659814814</x:v>
      </x:c>
      <x:c r="AE43" s="88" t="s">
        <x:v>715</x:v>
      </x:c>
      <x:c r="AF43" s="88" t="s">
        <x:v>259</x:v>
      </x:c>
      <x:c r="AG43" s="88" t="s">
        <x:v>271</x:v>
      </x:c>
      <x:c r="AH43" s="89">
        <x:v>46038.078386516201</x:v>
      </x:c>
      <x:c r="AI43" s="88" t="s">
        <x:v>353</x:v>
      </x:c>
      <x:c r="AJ43" s="88" t="s">
        <x:v>704</x:v>
      </x:c>
      <x:c r="AK43" s="88">
        <x:v>4443</x:v>
      </x:c>
      <x:c r="AL43" s="88" t="s">
        <x:v>185</x:v>
      </x:c>
      <x:c r="AM43" s="88" t="s">
        <x:v>716</x:v>
      </x:c>
      <x:c r="AN43" s="88" t="s">
        <x:v>369</x:v>
      </x:c>
      <x:c r="AO43" s="88">
        <x:v>0</x:v>
      </x:c>
    </x:row>
    <x:row r="44">
      <x:c r="A44" s="88" t="s">
        <x:v>717</x:v>
      </x:c>
      <x:c r="B44" s="88" t="s">
        <x:v>718</x:v>
      </x:c>
      <x:c r="C44" s="88" t="s">
        <x:v>719</x:v>
      </x:c>
      <x:c r="D44" s="88" t="s">
        <x:v>248</x:v>
      </x:c>
      <x:c r="E44" s="88" t="s">
        <x:v>278</x:v>
      </x:c>
      <x:c r="F44" s="89">
        <x:v>46031.138883680556</x:v>
      </x:c>
      <x:c r="G44" s="89">
        <x:v>46031.144636249999</x:v>
      </x:c>
      <x:c r="H44" s="89">
        <x:v>46031.138883680556</x:v>
      </x:c>
      <x:c r="I44" s="88" t="s">
        <x:v>720</x:v>
      </x:c>
      <x:c r="J44" s="88" t="s">
        <x:v>721</x:v>
      </x:c>
      <x:c r="K44" s="88" t="s">
        <x:v>266</x:v>
      </x:c>
      <x:c r="L44" s="88"/>
      <x:c r="M44" s="88" t="s">
        <x:v>722</x:v>
      </x:c>
      <x:c r="N44" s="88"/>
      <x:c r="O44" s="88"/>
      <x:c r="P44" s="88" t="s">
        <x:v>723</x:v>
      </x:c>
      <x:c r="Q44" s="88" t="s">
        <x:v>256</x:v>
      </x:c>
      <x:c r="R44" s="88" t="s">
        <x:v>283</x:v>
      </x:c>
      <x:c r="S44" s="88"/>
      <x:c r="T44" s="88" t="s">
        <x:v>249</x:v>
      </x:c>
      <x:c r="U44" s="88" t="s">
        <x:v>719</x:v>
      </x:c>
      <x:c r="V44" s="89">
        <x:v>46031.144636249999</x:v>
      </x:c>
      <x:c r="W44" s="88"/>
      <x:c r="X44" s="88"/>
      <x:c r="Y44" s="88" t="s">
        <x:v>724</x:v>
      </x:c>
      <x:c r="Z44" s="89"/>
      <x:c r="AA44" s="88"/>
      <x:c r="AB44" s="88"/>
      <x:c r="AC44" s="88" t="s">
        <x:v>273</x:v>
      </x:c>
      <x:c r="AD44" s="89"/>
      <x:c r="AE44" s="88"/>
      <x:c r="AF44" s="88"/>
      <x:c r="AG44" s="88" t="s">
        <x:v>161</x:v>
      </x:c>
      <x:c r="AH44" s="89"/>
      <x:c r="AI44" s="88"/>
      <x:c r="AJ44" s="88" t="s">
        <x:v>725</x:v>
      </x:c>
      <x:c r="AK44" s="88" t="s">
        <x:v>726</x:v>
      </x:c>
      <x:c r="AL44" s="88"/>
      <x:c r="AM44" s="88"/>
      <x:c r="AN44" s="88" t="s">
        <x:v>369</x:v>
      </x:c>
      <x:c r="AO44" s="88">
        <x:v>0</x:v>
      </x:c>
    </x:row>
    <x:row r="45">
      <x:c r="A45" s="88" t="s">
        <x:v>727</x:v>
      </x:c>
      <x:c r="B45" s="88" t="s">
        <x:v>728</x:v>
      </x:c>
      <x:c r="C45" s="88" t="s">
        <x:v>719</x:v>
      </x:c>
      <x:c r="D45" s="88" t="s">
        <x:v>248</x:v>
      </x:c>
      <x:c r="E45" s="88" t="s">
        <x:v>278</x:v>
      </x:c>
      <x:c r="F45" s="89">
        <x:v>46031.157905057873</x:v>
      </x:c>
      <x:c r="G45" s="89">
        <x:v>46031.158710370371</x:v>
      </x:c>
      <x:c r="H45" s="89">
        <x:v>46031.157905057873</x:v>
      </x:c>
      <x:c r="I45" s="88" t="s">
        <x:v>729</x:v>
      </x:c>
      <x:c r="J45" s="88" t="s">
        <x:v>730</x:v>
      </x:c>
      <x:c r="K45" s="88" t="s">
        <x:v>266</x:v>
      </x:c>
      <x:c r="L45" s="88"/>
      <x:c r="M45" s="88" t="s">
        <x:v>722</x:v>
      </x:c>
      <x:c r="N45" s="88"/>
      <x:c r="O45" s="88"/>
      <x:c r="P45" s="88" t="s">
        <x:v>731</x:v>
      </x:c>
      <x:c r="Q45" s="88" t="s">
        <x:v>256</x:v>
      </x:c>
      <x:c r="R45" s="88" t="s">
        <x:v>283</x:v>
      </x:c>
      <x:c r="S45" s="88"/>
      <x:c r="T45" s="88" t="s">
        <x:v>249</x:v>
      </x:c>
      <x:c r="U45" s="88" t="s">
        <x:v>719</x:v>
      </x:c>
      <x:c r="V45" s="89">
        <x:v>46031.158710370371</x:v>
      </x:c>
      <x:c r="W45" s="88"/>
      <x:c r="X45" s="88"/>
      <x:c r="Y45" s="88" t="s">
        <x:v>724</x:v>
      </x:c>
      <x:c r="Z45" s="89"/>
      <x:c r="AA45" s="88"/>
      <x:c r="AB45" s="88"/>
      <x:c r="AC45" s="88" t="s">
        <x:v>273</x:v>
      </x:c>
      <x:c r="AD45" s="89"/>
      <x:c r="AE45" s="88"/>
      <x:c r="AF45" s="88"/>
      <x:c r="AG45" s="88" t="s">
        <x:v>161</x:v>
      </x:c>
      <x:c r="AH45" s="89"/>
      <x:c r="AI45" s="88"/>
      <x:c r="AJ45" s="88" t="s">
        <x:v>732</x:v>
      </x:c>
      <x:c r="AK45" s="88" t="s">
        <x:v>733</x:v>
      </x:c>
      <x:c r="AL45" s="88"/>
      <x:c r="AM45" s="88"/>
      <x:c r="AN45" s="88" t="s">
        <x:v>369</x:v>
      </x:c>
      <x:c r="AO45" s="88">
        <x:v>0</x:v>
      </x:c>
    </x:row>
    <x:row r="46">
      <x:c r="A46" s="88" t="s">
        <x:v>734</x:v>
      </x:c>
      <x:c r="B46" s="88" t="s">
        <x:v>735</x:v>
      </x:c>
      <x:c r="C46" s="88" t="s">
        <x:v>719</x:v>
      </x:c>
      <x:c r="D46" s="88" t="s">
        <x:v>248</x:v>
      </x:c>
      <x:c r="E46" s="88" t="s">
        <x:v>342</x:v>
      </x:c>
      <x:c r="F46" s="89">
        <x:v>46031.173466435182</x:v>
      </x:c>
      <x:c r="G46" s="89">
        <x:v>46041.140168379628</x:v>
      </x:c>
      <x:c r="H46" s="89">
        <x:v>46031.173466435182</x:v>
      </x:c>
      <x:c r="I46" s="88" t="s">
        <x:v>729</x:v>
      </x:c>
      <x:c r="J46" s="88" t="s">
        <x:v>730</x:v>
      </x:c>
      <x:c r="K46" s="88" t="s">
        <x:v>266</x:v>
      </x:c>
      <x:c r="L46" s="88"/>
      <x:c r="M46" s="88" t="s">
        <x:v>722</x:v>
      </x:c>
      <x:c r="N46" s="88"/>
      <x:c r="O46" s="88"/>
      <x:c r="P46" s="88" t="s">
        <x:v>736</x:v>
      </x:c>
      <x:c r="Q46" s="88" t="s">
        <x:v>256</x:v>
      </x:c>
      <x:c r="R46" s="88" t="s">
        <x:v>283</x:v>
      </x:c>
      <x:c r="S46" s="88"/>
      <x:c r="T46" s="88" t="s">
        <x:v>259</x:v>
      </x:c>
      <x:c r="U46" s="88" t="s">
        <x:v>719</x:v>
      </x:c>
      <x:c r="V46" s="89">
        <x:v>46031.175277974537</x:v>
      </x:c>
      <x:c r="W46" s="88" t="s">
        <x:v>737</x:v>
      </x:c>
      <x:c r="X46" s="88" t="s">
        <x:v>259</x:v>
      </x:c>
      <x:c r="Y46" s="88" t="s">
        <x:v>724</x:v>
      </x:c>
      <x:c r="Z46" s="89">
        <x:v>46035.093253946761</x:v>
      </x:c>
      <x:c r="AA46" s="88" t="s">
        <x:v>738</x:v>
      </x:c>
      <x:c r="AB46" s="88" t="s">
        <x:v>259</x:v>
      </x:c>
      <x:c r="AC46" s="88" t="s">
        <x:v>271</x:v>
      </x:c>
      <x:c r="AD46" s="89">
        <x:v>46036.356658738427</x:v>
      </x:c>
      <x:c r="AE46" s="88" t="s">
        <x:v>739</x:v>
      </x:c>
      <x:c r="AF46" s="88" t="s">
        <x:v>259</x:v>
      </x:c>
      <x:c r="AG46" s="88" t="s">
        <x:v>387</x:v>
      </x:c>
      <x:c r="AH46" s="89">
        <x:v>46041.140168391204</x:v>
      </x:c>
      <x:c r="AI46" s="88" t="s">
        <x:v>388</x:v>
      </x:c>
      <x:c r="AJ46" s="88" t="s">
        <x:v>732</x:v>
      </x:c>
      <x:c r="AK46" s="88" t="s">
        <x:v>733</x:v>
      </x:c>
      <x:c r="AL46" s="88" t="s">
        <x:v>185</x:v>
      </x:c>
      <x:c r="AM46" s="88" t="s">
        <x:v>740</x:v>
      </x:c>
      <x:c r="AN46" s="88" t="s">
        <x:v>369</x:v>
      </x:c>
      <x:c r="AO46" s="88">
        <x:v>0</x:v>
      </x:c>
    </x:row>
    <x:row r="47">
      <x:c r="A47" s="88" t="s">
        <x:v>741</x:v>
      </x:c>
      <x:c r="B47" s="88" t="s">
        <x:v>742</x:v>
      </x:c>
      <x:c r="C47" s="88" t="s">
        <x:v>554</x:v>
      </x:c>
      <x:c r="D47" s="88" t="s">
        <x:v>248</x:v>
      </x:c>
      <x:c r="E47" s="88" t="s">
        <x:v>278</x:v>
      </x:c>
      <x:c r="F47" s="89">
        <x:v>46031.299027650464</x:v>
      </x:c>
      <x:c r="G47" s="89">
        <x:v>46051.195190856481</x:v>
      </x:c>
      <x:c r="H47" s="89">
        <x:v>46031.299027650464</x:v>
      </x:c>
      <x:c r="I47" s="88" t="s">
        <x:v>578</x:v>
      </x:c>
      <x:c r="J47" s="88" t="s">
        <x:v>579</x:v>
      </x:c>
      <x:c r="K47" s="88" t="s">
        <x:v>266</x:v>
      </x:c>
      <x:c r="L47" s="88"/>
      <x:c r="M47" s="88" t="s">
        <x:v>482</x:v>
      </x:c>
      <x:c r="N47" s="88"/>
      <x:c r="O47" s="88">
        <x:v>4343</x:v>
      </x:c>
      <x:c r="P47" s="88" t="s">
        <x:v>680</x:v>
      </x:c>
      <x:c r="Q47" s="88" t="s">
        <x:v>256</x:v>
      </x:c>
      <x:c r="R47" s="88" t="s">
        <x:v>363</x:v>
      </x:c>
      <x:c r="S47" s="88"/>
      <x:c r="T47" s="88" t="s">
        <x:v>249</x:v>
      </x:c>
      <x:c r="U47" s="88" t="s">
        <x:v>271</x:v>
      </x:c>
      <x:c r="V47" s="89">
        <x:v>46051.195190856481</x:v>
      </x:c>
      <x:c r="W47" s="88" t="s">
        <x:v>658</x:v>
      </x:c>
      <x:c r="X47" s="88"/>
      <x:c r="Y47" s="88" t="s">
        <x:v>482</x:v>
      </x:c>
      <x:c r="Z47" s="89"/>
      <x:c r="AA47" s="88"/>
      <x:c r="AB47" s="88"/>
      <x:c r="AC47" s="88" t="s">
        <x:v>273</x:v>
      </x:c>
      <x:c r="AD47" s="89"/>
      <x:c r="AE47" s="88"/>
      <x:c r="AF47" s="88"/>
      <x:c r="AG47" s="88" t="s">
        <x:v>161</x:v>
      </x:c>
      <x:c r="AH47" s="89"/>
      <x:c r="AI47" s="88"/>
      <x:c r="AJ47" s="88" t="s">
        <x:v>587</x:v>
      </x:c>
      <x:c r="AK47" s="88">
        <x:v>4343</x:v>
      </x:c>
      <x:c r="AL47" s="88"/>
      <x:c r="AM47" s="88"/>
      <x:c r="AN47" s="88" t="s">
        <x:v>369</x:v>
      </x:c>
      <x:c r="AO47" s="88">
        <x:v>0</x:v>
      </x:c>
    </x:row>
    <x:row r="48">
      <x:c r="A48" s="88" t="s">
        <x:v>743</x:v>
      </x:c>
      <x:c r="B48" s="88" t="s">
        <x:v>744</x:v>
      </x:c>
      <x:c r="C48" s="88" t="s">
        <x:v>554</x:v>
      </x:c>
      <x:c r="D48" s="88" t="s">
        <x:v>248</x:v>
      </x:c>
      <x:c r="E48" s="88" t="s">
        <x:v>278</x:v>
      </x:c>
      <x:c r="F48" s="89">
        <x:v>46031.30166020833</x:v>
      </x:c>
      <x:c r="G48" s="89">
        <x:v>46051.195088819448</x:v>
      </x:c>
      <x:c r="H48" s="89">
        <x:v>46031.30166020833</x:v>
      </x:c>
      <x:c r="I48" s="88" t="s">
        <x:v>578</x:v>
      </x:c>
      <x:c r="J48" s="88" t="s">
        <x:v>579</x:v>
      </x:c>
      <x:c r="K48" s="88" t="s">
        <x:v>266</x:v>
      </x:c>
      <x:c r="L48" s="88"/>
      <x:c r="M48" s="88" t="s">
        <x:v>482</x:v>
      </x:c>
      <x:c r="N48" s="88"/>
      <x:c r="O48" s="88"/>
      <x:c r="P48" s="88" t="s">
        <x:v>680</x:v>
      </x:c>
      <x:c r="Q48" s="88" t="s">
        <x:v>256</x:v>
      </x:c>
      <x:c r="R48" s="88" t="s">
        <x:v>363</x:v>
      </x:c>
      <x:c r="S48" s="88"/>
      <x:c r="T48" s="88" t="s">
        <x:v>249</x:v>
      </x:c>
      <x:c r="U48" s="88" t="s">
        <x:v>271</x:v>
      </x:c>
      <x:c r="V48" s="89">
        <x:v>46051.195088831017</x:v>
      </x:c>
      <x:c r="W48" s="88" t="s">
        <x:v>658</x:v>
      </x:c>
      <x:c r="X48" s="88"/>
      <x:c r="Y48" s="88" t="s">
        <x:v>482</x:v>
      </x:c>
      <x:c r="Z48" s="89"/>
      <x:c r="AA48" s="88"/>
      <x:c r="AB48" s="88"/>
      <x:c r="AC48" s="88" t="s">
        <x:v>273</x:v>
      </x:c>
      <x:c r="AD48" s="89"/>
      <x:c r="AE48" s="88"/>
      <x:c r="AF48" s="88"/>
      <x:c r="AG48" s="88" t="s">
        <x:v>161</x:v>
      </x:c>
      <x:c r="AH48" s="89"/>
      <x:c r="AI48" s="88"/>
      <x:c r="AJ48" s="88" t="s">
        <x:v>587</x:v>
      </x:c>
      <x:c r="AK48" s="88">
        <x:v>4343</x:v>
      </x:c>
      <x:c r="AL48" s="88"/>
      <x:c r="AM48" s="88"/>
      <x:c r="AN48" s="88" t="s">
        <x:v>369</x:v>
      </x:c>
      <x:c r="AO48" s="88">
        <x:v>0</x:v>
      </x:c>
    </x:row>
    <x:row r="49">
      <x:c r="A49" s="88" t="s">
        <x:v>745</x:v>
      </x:c>
      <x:c r="B49" s="88" t="s">
        <x:v>746</x:v>
      </x:c>
      <x:c r="C49" s="88" t="s">
        <x:v>554</x:v>
      </x:c>
      <x:c r="D49" s="88" t="s">
        <x:v>248</x:v>
      </x:c>
      <x:c r="E49" s="88" t="s">
        <x:v>278</x:v>
      </x:c>
      <x:c r="F49" s="89">
        <x:v>46031.303001504632</x:v>
      </x:c>
      <x:c r="G49" s="89">
        <x:v>46051.194988240743</x:v>
      </x:c>
      <x:c r="H49" s="89">
        <x:v>46031.303001504632</x:v>
      </x:c>
      <x:c r="I49" s="88" t="s">
        <x:v>578</x:v>
      </x:c>
      <x:c r="J49" s="88" t="s">
        <x:v>579</x:v>
      </x:c>
      <x:c r="K49" s="88" t="s">
        <x:v>266</x:v>
      </x:c>
      <x:c r="L49" s="88"/>
      <x:c r="M49" s="88" t="s">
        <x:v>482</x:v>
      </x:c>
      <x:c r="N49" s="88"/>
      <x:c r="O49" s="88"/>
      <x:c r="P49" s="88" t="s">
        <x:v>680</x:v>
      </x:c>
      <x:c r="Q49" s="88" t="s">
        <x:v>256</x:v>
      </x:c>
      <x:c r="R49" s="88" t="s">
        <x:v>363</x:v>
      </x:c>
      <x:c r="S49" s="88"/>
      <x:c r="T49" s="88" t="s">
        <x:v>249</x:v>
      </x:c>
      <x:c r="U49" s="88" t="s">
        <x:v>271</x:v>
      </x:c>
      <x:c r="V49" s="89">
        <x:v>46051.194988252311</x:v>
      </x:c>
      <x:c r="W49" s="88" t="s">
        <x:v>658</x:v>
      </x:c>
      <x:c r="X49" s="88"/>
      <x:c r="Y49" s="88" t="s">
        <x:v>482</x:v>
      </x:c>
      <x:c r="Z49" s="89"/>
      <x:c r="AA49" s="88"/>
      <x:c r="AB49" s="88"/>
      <x:c r="AC49" s="88" t="s">
        <x:v>273</x:v>
      </x:c>
      <x:c r="AD49" s="89"/>
      <x:c r="AE49" s="88"/>
      <x:c r="AF49" s="88"/>
      <x:c r="AG49" s="88" t="s">
        <x:v>161</x:v>
      </x:c>
      <x:c r="AH49" s="89"/>
      <x:c r="AI49" s="88"/>
      <x:c r="AJ49" s="88" t="s">
        <x:v>587</x:v>
      </x:c>
      <x:c r="AK49" s="88">
        <x:v>4343</x:v>
      </x:c>
      <x:c r="AL49" s="88"/>
      <x:c r="AM49" s="88"/>
      <x:c r="AN49" s="88" t="s">
        <x:v>369</x:v>
      </x:c>
      <x:c r="AO49" s="88">
        <x:v>0</x:v>
      </x:c>
    </x:row>
    <x:row r="50">
      <x:c r="A50" s="88" t="s">
        <x:v>747</x:v>
      </x:c>
      <x:c r="B50" s="88" t="s">
        <x:v>748</x:v>
      </x:c>
      <x:c r="C50" s="88" t="s">
        <x:v>554</x:v>
      </x:c>
      <x:c r="D50" s="88" t="s">
        <x:v>248</x:v>
      </x:c>
      <x:c r="E50" s="88" t="s">
        <x:v>278</x:v>
      </x:c>
      <x:c r="F50" s="89">
        <x:v>46031.305276770836</x:v>
      </x:c>
      <x:c r="G50" s="89">
        <x:v>46219.259701875002</x:v>
      </x:c>
      <x:c r="H50" s="89">
        <x:v>46031.305276770836</x:v>
      </x:c>
      <x:c r="I50" s="88" t="s">
        <x:v>578</x:v>
      </x:c>
      <x:c r="J50" s="88" t="s">
        <x:v>579</x:v>
      </x:c>
      <x:c r="K50" s="88" t="s">
        <x:v>266</x:v>
      </x:c>
      <x:c r="L50" s="88"/>
      <x:c r="M50" s="88" t="s">
        <x:v>482</x:v>
      </x:c>
      <x:c r="N50" s="88"/>
      <x:c r="O50" s="88"/>
      <x:c r="P50" s="88" t="s">
        <x:v>680</x:v>
      </x:c>
      <x:c r="Q50" s="88" t="s">
        <x:v>256</x:v>
      </x:c>
      <x:c r="R50" s="88" t="s">
        <x:v>363</x:v>
      </x:c>
      <x:c r="S50" s="88"/>
      <x:c r="T50" s="88" t="s">
        <x:v>249</x:v>
      </x:c>
      <x:c r="U50" s="88" t="s">
        <x:v>554</x:v>
      </x:c>
      <x:c r="V50" s="89">
        <x:v>46219.259701875002</x:v>
      </x:c>
      <x:c r="W50" s="88"/>
      <x:c r="X50" s="88"/>
      <x:c r="Y50" s="88" t="s">
        <x:v>482</x:v>
      </x:c>
      <x:c r="Z50" s="89"/>
      <x:c r="AA50" s="88"/>
      <x:c r="AB50" s="88"/>
      <x:c r="AC50" s="88" t="s">
        <x:v>273</x:v>
      </x:c>
      <x:c r="AD50" s="89"/>
      <x:c r="AE50" s="88"/>
      <x:c r="AF50" s="88"/>
      <x:c r="AG50" s="88" t="s">
        <x:v>161</x:v>
      </x:c>
      <x:c r="AH50" s="89"/>
      <x:c r="AI50" s="88"/>
      <x:c r="AJ50" s="88" t="s">
        <x:v>587</x:v>
      </x:c>
      <x:c r="AK50" s="88">
        <x:v>2800</x:v>
      </x:c>
      <x:c r="AL50" s="88"/>
      <x:c r="AM50" s="88"/>
      <x:c r="AN50" s="88" t="s">
        <x:v>369</x:v>
      </x:c>
      <x:c r="AO50" s="88">
        <x:v>0</x:v>
      </x:c>
    </x:row>
    <x:row r="51">
      <x:c r="A51" s="88" t="s">
        <x:v>749</x:v>
      </x:c>
      <x:c r="B51" s="88" t="s">
        <x:v>750</x:v>
      </x:c>
      <x:c r="C51" s="88" t="s">
        <x:v>554</x:v>
      </x:c>
      <x:c r="D51" s="88" t="s">
        <x:v>248</x:v>
      </x:c>
      <x:c r="E51" s="88" t="s">
        <x:v>278</x:v>
      </x:c>
      <x:c r="F51" s="89">
        <x:v>46031.315010509257</x:v>
      </x:c>
      <x:c r="G51" s="89">
        <x:v>46057.28470877315</x:v>
      </x:c>
      <x:c r="H51" s="89">
        <x:v>46031.315010509257</x:v>
      </x:c>
      <x:c r="I51" s="88" t="s">
        <x:v>654</x:v>
      </x:c>
      <x:c r="J51" s="88" t="s">
        <x:v>655</x:v>
      </x:c>
      <x:c r="K51" s="88" t="s">
        <x:v>380</x:v>
      </x:c>
      <x:c r="L51" s="88" t="s">
        <x:v>751</x:v>
      </x:c>
      <x:c r="M51" s="88" t="s">
        <x:v>752</x:v>
      </x:c>
      <x:c r="N51" s="88"/>
      <x:c r="O51" s="88"/>
      <x:c r="P51" s="88" t="s">
        <x:v>753</x:v>
      </x:c>
      <x:c r="Q51" s="88" t="s">
        <x:v>256</x:v>
      </x:c>
      <x:c r="R51" s="88" t="s">
        <x:v>283</x:v>
      </x:c>
      <x:c r="S51" s="88"/>
      <x:c r="T51" s="88" t="s">
        <x:v>249</x:v>
      </x:c>
      <x:c r="U51" s="88" t="s">
        <x:v>271</x:v>
      </x:c>
      <x:c r="V51" s="89">
        <x:v>46057.28470877315</x:v>
      </x:c>
      <x:c r="W51" s="88" t="s">
        <x:v>658</x:v>
      </x:c>
      <x:c r="X51" s="88"/>
      <x:c r="Y51" s="88" t="s">
        <x:v>754</x:v>
      </x:c>
      <x:c r="Z51" s="89"/>
      <x:c r="AA51" s="88"/>
      <x:c r="AB51" s="88"/>
      <x:c r="AC51" s="88" t="s">
        <x:v>273</x:v>
      </x:c>
      <x:c r="AD51" s="89"/>
      <x:c r="AE51" s="88"/>
      <x:c r="AF51" s="88"/>
      <x:c r="AG51" s="88" t="s">
        <x:v>161</x:v>
      </x:c>
      <x:c r="AH51" s="89"/>
      <x:c r="AI51" s="88"/>
      <x:c r="AJ51" s="88" t="s">
        <x:v>659</x:v>
      </x:c>
      <x:c r="AK51" s="88" t="s">
        <x:v>660</x:v>
      </x:c>
      <x:c r="AL51" s="88"/>
      <x:c r="AM51" s="88"/>
      <x:c r="AN51" s="88" t="s">
        <x:v>369</x:v>
      </x:c>
      <x:c r="AO51" s="88">
        <x:v>0</x:v>
      </x:c>
    </x:row>
    <x:row r="52">
      <x:c r="A52" s="88" t="s">
        <x:v>755</x:v>
      </x:c>
      <x:c r="B52" s="88" t="s">
        <x:v>756</x:v>
      </x:c>
      <x:c r="C52" s="88" t="s">
        <x:v>554</x:v>
      </x:c>
      <x:c r="D52" s="88" t="s">
        <x:v>248</x:v>
      </x:c>
      <x:c r="E52" s="88" t="s">
        <x:v>342</x:v>
      </x:c>
      <x:c r="F52" s="89">
        <x:v>46031.315868472222</x:v>
      </x:c>
      <x:c r="G52" s="89">
        <x:v>46041.014904641204</x:v>
      </x:c>
      <x:c r="H52" s="89">
        <x:v>46031.315868472222</x:v>
      </x:c>
      <x:c r="I52" s="88" t="s">
        <x:v>654</x:v>
      </x:c>
      <x:c r="J52" s="88" t="s">
        <x:v>655</x:v>
      </x:c>
      <x:c r="K52" s="88" t="s">
        <x:v>380</x:v>
      </x:c>
      <x:c r="L52" s="88" t="s">
        <x:v>751</x:v>
      </x:c>
      <x:c r="M52" s="88" t="s">
        <x:v>752</x:v>
      </x:c>
      <x:c r="N52" s="88"/>
      <x:c r="O52" s="88"/>
      <x:c r="P52" s="88" t="s">
        <x:v>757</x:v>
      </x:c>
      <x:c r="Q52" s="88" t="s">
        <x:v>256</x:v>
      </x:c>
      <x:c r="R52" s="88" t="s">
        <x:v>283</x:v>
      </x:c>
      <x:c r="S52" s="88"/>
      <x:c r="T52" s="88" t="s">
        <x:v>259</x:v>
      </x:c>
      <x:c r="U52" s="88" t="s">
        <x:v>554</x:v>
      </x:c>
      <x:c r="V52" s="89">
        <x:v>46031.316325219908</x:v>
      </x:c>
      <x:c r="W52" s="88" t="s">
        <x:v>758</x:v>
      </x:c>
      <x:c r="X52" s="88" t="s">
        <x:v>259</x:v>
      </x:c>
      <x:c r="Y52" s="88" t="s">
        <x:v>754</x:v>
      </x:c>
      <x:c r="Z52" s="89">
        <x:v>46031.319047986108</x:v>
      </x:c>
      <x:c r="AA52" s="88" t="s">
        <x:v>759</x:v>
      </x:c>
      <x:c r="AB52" s="88" t="s">
        <x:v>259</x:v>
      </x:c>
      <x:c r="AC52" s="88" t="s">
        <x:v>271</x:v>
      </x:c>
      <x:c r="AD52" s="89">
        <x:v>46036.36346202546</x:v>
      </x:c>
      <x:c r="AE52" s="88" t="s">
        <x:v>760</x:v>
      </x:c>
      <x:c r="AF52" s="88" t="s">
        <x:v>259</x:v>
      </x:c>
      <x:c r="AG52" s="88" t="s">
        <x:v>271</x:v>
      </x:c>
      <x:c r="AH52" s="89">
        <x:v>46041.014904641204</x:v>
      </x:c>
      <x:c r="AI52" s="88" t="s">
        <x:v>353</x:v>
      </x:c>
      <x:c r="AJ52" s="88" t="s">
        <x:v>659</x:v>
      </x:c>
      <x:c r="AK52" s="88" t="s">
        <x:v>660</x:v>
      </x:c>
      <x:c r="AL52" s="88" t="s">
        <x:v>185</x:v>
      </x:c>
      <x:c r="AM52" s="88" t="s">
        <x:v>761</x:v>
      </x:c>
      <x:c r="AN52" s="88" t="s">
        <x:v>391</x:v>
      </x:c>
      <x:c r="AO52" s="88">
        <x:v>0</x:v>
      </x:c>
    </x:row>
    <x:row r="53">
      <x:c r="A53" s="88" t="s">
        <x:v>762</x:v>
      </x:c>
      <x:c r="B53" s="88" t="s">
        <x:v>763</x:v>
      </x:c>
      <x:c r="C53" s="88" t="s">
        <x:v>554</x:v>
      </x:c>
      <x:c r="D53" s="88" t="s">
        <x:v>248</x:v>
      </x:c>
      <x:c r="E53" s="88" t="s">
        <x:v>278</x:v>
      </x:c>
      <x:c r="F53" s="89">
        <x:v>46031.322596863429</x:v>
      </x:c>
      <x:c r="G53" s="89">
        <x:v>46051.194903368058</x:v>
      </x:c>
      <x:c r="H53" s="89">
        <x:v>46031.322596863429</x:v>
      </x:c>
      <x:c r="I53" s="88" t="s">
        <x:v>578</x:v>
      </x:c>
      <x:c r="J53" s="88" t="s">
        <x:v>579</x:v>
      </x:c>
      <x:c r="K53" s="88" t="s">
        <x:v>266</x:v>
      </x:c>
      <x:c r="L53" s="88"/>
      <x:c r="M53" s="88" t="s">
        <x:v>482</x:v>
      </x:c>
      <x:c r="N53" s="88"/>
      <x:c r="O53" s="88"/>
      <x:c r="P53" s="88" t="s">
        <x:v>680</x:v>
      </x:c>
      <x:c r="Q53" s="88" t="s">
        <x:v>256</x:v>
      </x:c>
      <x:c r="R53" s="88" t="s">
        <x:v>363</x:v>
      </x:c>
      <x:c r="S53" s="88"/>
      <x:c r="T53" s="88" t="s">
        <x:v>249</x:v>
      </x:c>
      <x:c r="U53" s="88" t="s">
        <x:v>271</x:v>
      </x:c>
      <x:c r="V53" s="89">
        <x:v>46051.194903368058</x:v>
      </x:c>
      <x:c r="W53" s="88" t="s">
        <x:v>658</x:v>
      </x:c>
      <x:c r="X53" s="88"/>
      <x:c r="Y53" s="88" t="s">
        <x:v>482</x:v>
      </x:c>
      <x:c r="Z53" s="89"/>
      <x:c r="AA53" s="88"/>
      <x:c r="AB53" s="88"/>
      <x:c r="AC53" s="88" t="s">
        <x:v>273</x:v>
      </x:c>
      <x:c r="AD53" s="89"/>
      <x:c r="AE53" s="88"/>
      <x:c r="AF53" s="88"/>
      <x:c r="AG53" s="88" t="s">
        <x:v>161</x:v>
      </x:c>
      <x:c r="AH53" s="89"/>
      <x:c r="AI53" s="88"/>
      <x:c r="AJ53" s="88" t="s">
        <x:v>587</x:v>
      </x:c>
      <x:c r="AK53" s="88">
        <x:v>4343</x:v>
      </x:c>
      <x:c r="AL53" s="88"/>
      <x:c r="AM53" s="88"/>
      <x:c r="AN53" s="88" t="s">
        <x:v>369</x:v>
      </x:c>
      <x:c r="AO53" s="88">
        <x:v>0</x:v>
      </x:c>
    </x:row>
    <x:row r="54">
      <x:c r="A54" s="88" t="s">
        <x:v>764</x:v>
      </x:c>
      <x:c r="B54" s="88" t="s">
        <x:v>765</x:v>
      </x:c>
      <x:c r="C54" s="88" t="s">
        <x:v>554</x:v>
      </x:c>
      <x:c r="D54" s="88" t="s">
        <x:v>248</x:v>
      </x:c>
      <x:c r="E54" s="88" t="s">
        <x:v>278</x:v>
      </x:c>
      <x:c r="F54" s="89">
        <x:v>46031.323940821756</x:v>
      </x:c>
      <x:c r="G54" s="89">
        <x:v>46051.194832118053</x:v>
      </x:c>
      <x:c r="H54" s="89">
        <x:v>46031.323940821756</x:v>
      </x:c>
      <x:c r="I54" s="88" t="s">
        <x:v>578</x:v>
      </x:c>
      <x:c r="J54" s="88" t="s">
        <x:v>579</x:v>
      </x:c>
      <x:c r="K54" s="88" t="s">
        <x:v>266</x:v>
      </x:c>
      <x:c r="L54" s="88"/>
      <x:c r="M54" s="88" t="s">
        <x:v>482</x:v>
      </x:c>
      <x:c r="N54" s="88"/>
      <x:c r="O54" s="88"/>
      <x:c r="P54" s="88" t="s">
        <x:v>680</x:v>
      </x:c>
      <x:c r="Q54" s="88" t="s">
        <x:v>256</x:v>
      </x:c>
      <x:c r="R54" s="88" t="s">
        <x:v>363</x:v>
      </x:c>
      <x:c r="S54" s="88"/>
      <x:c r="T54" s="88" t="s">
        <x:v>249</x:v>
      </x:c>
      <x:c r="U54" s="88" t="s">
        <x:v>271</x:v>
      </x:c>
      <x:c r="V54" s="89">
        <x:v>46051.19483212963</x:v>
      </x:c>
      <x:c r="W54" s="88" t="s">
        <x:v>658</x:v>
      </x:c>
      <x:c r="X54" s="88"/>
      <x:c r="Y54" s="88" t="s">
        <x:v>482</x:v>
      </x:c>
      <x:c r="Z54" s="89"/>
      <x:c r="AA54" s="88"/>
      <x:c r="AB54" s="88"/>
      <x:c r="AC54" s="88" t="s">
        <x:v>273</x:v>
      </x:c>
      <x:c r="AD54" s="89"/>
      <x:c r="AE54" s="88"/>
      <x:c r="AF54" s="88"/>
      <x:c r="AG54" s="88" t="s">
        <x:v>161</x:v>
      </x:c>
      <x:c r="AH54" s="89"/>
      <x:c r="AI54" s="88"/>
      <x:c r="AJ54" s="88" t="s">
        <x:v>587</x:v>
      </x:c>
      <x:c r="AK54" s="88">
        <x:v>4343</x:v>
      </x:c>
      <x:c r="AL54" s="88"/>
      <x:c r="AM54" s="88"/>
      <x:c r="AN54" s="88" t="s">
        <x:v>369</x:v>
      </x:c>
      <x:c r="AO54" s="88">
        <x:v>0</x:v>
      </x:c>
    </x:row>
    <x:row r="55">
      <x:c r="A55" s="88" t="s">
        <x:v>766</x:v>
      </x:c>
      <x:c r="B55" s="88" t="s">
        <x:v>767</x:v>
      </x:c>
      <x:c r="C55" s="88" t="s">
        <x:v>554</x:v>
      </x:c>
      <x:c r="D55" s="88" t="s">
        <x:v>248</x:v>
      </x:c>
      <x:c r="E55" s="88" t="s">
        <x:v>278</x:v>
      </x:c>
      <x:c r="F55" s="89">
        <x:v>46031.32512898148</x:v>
      </x:c>
      <x:c r="G55" s="89">
        <x:v>46219.259471273152</x:v>
      </x:c>
      <x:c r="H55" s="89">
        <x:v>46031.32512898148</x:v>
      </x:c>
      <x:c r="I55" s="88" t="s">
        <x:v>578</x:v>
      </x:c>
      <x:c r="J55" s="88" t="s">
        <x:v>579</x:v>
      </x:c>
      <x:c r="K55" s="88" t="s">
        <x:v>266</x:v>
      </x:c>
      <x:c r="L55" s="88"/>
      <x:c r="M55" s="88" t="s">
        <x:v>482</x:v>
      </x:c>
      <x:c r="N55" s="88"/>
      <x:c r="O55" s="88"/>
      <x:c r="P55" s="88" t="s">
        <x:v>680</x:v>
      </x:c>
      <x:c r="Q55" s="88" t="s">
        <x:v>256</x:v>
      </x:c>
      <x:c r="R55" s="88" t="s">
        <x:v>363</x:v>
      </x:c>
      <x:c r="S55" s="88"/>
      <x:c r="T55" s="88" t="s">
        <x:v>249</x:v>
      </x:c>
      <x:c r="U55" s="88" t="s">
        <x:v>554</x:v>
      </x:c>
      <x:c r="V55" s="89">
        <x:v>46219.259471273152</x:v>
      </x:c>
      <x:c r="W55" s="88"/>
      <x:c r="X55" s="88"/>
      <x:c r="Y55" s="88" t="s">
        <x:v>482</x:v>
      </x:c>
      <x:c r="Z55" s="89"/>
      <x:c r="AA55" s="88"/>
      <x:c r="AB55" s="88"/>
      <x:c r="AC55" s="88" t="s">
        <x:v>273</x:v>
      </x:c>
      <x:c r="AD55" s="89"/>
      <x:c r="AE55" s="88"/>
      <x:c r="AF55" s="88"/>
      <x:c r="AG55" s="88" t="s">
        <x:v>161</x:v>
      </x:c>
      <x:c r="AH55" s="89"/>
      <x:c r="AI55" s="88"/>
      <x:c r="AJ55" s="88" t="s">
        <x:v>587</x:v>
      </x:c>
      <x:c r="AK55" s="88">
        <x:v>2800</x:v>
      </x:c>
      <x:c r="AL55" s="88"/>
      <x:c r="AM55" s="88"/>
      <x:c r="AN55" s="88" t="s">
        <x:v>369</x:v>
      </x:c>
      <x:c r="AO55" s="88">
        <x:v>0</x:v>
      </x:c>
    </x:row>
    <x:row r="56">
      <x:c r="A56" s="88" t="s">
        <x:v>768</x:v>
      </x:c>
      <x:c r="B56" s="88" t="s">
        <x:v>769</x:v>
      </x:c>
      <x:c r="C56" s="88" t="s">
        <x:v>554</x:v>
      </x:c>
      <x:c r="D56" s="88" t="s">
        <x:v>248</x:v>
      </x:c>
      <x:c r="E56" s="88" t="s">
        <x:v>278</x:v>
      </x:c>
      <x:c r="F56" s="89">
        <x:v>46031.325942939817</x:v>
      </x:c>
      <x:c r="G56" s="89">
        <x:v>46051.194747928239</x:v>
      </x:c>
      <x:c r="H56" s="89">
        <x:v>46031.325942939817</x:v>
      </x:c>
      <x:c r="I56" s="88" t="s">
        <x:v>578</x:v>
      </x:c>
      <x:c r="J56" s="88" t="s">
        <x:v>579</x:v>
      </x:c>
      <x:c r="K56" s="88" t="s">
        <x:v>266</x:v>
      </x:c>
      <x:c r="L56" s="88"/>
      <x:c r="M56" s="88" t="s">
        <x:v>482</x:v>
      </x:c>
      <x:c r="N56" s="88"/>
      <x:c r="O56" s="88"/>
      <x:c r="P56" s="88" t="s">
        <x:v>680</x:v>
      </x:c>
      <x:c r="Q56" s="88" t="s">
        <x:v>256</x:v>
      </x:c>
      <x:c r="R56" s="88" t="s">
        <x:v>363</x:v>
      </x:c>
      <x:c r="S56" s="88"/>
      <x:c r="T56" s="88" t="s">
        <x:v>249</x:v>
      </x:c>
      <x:c r="U56" s="88" t="s">
        <x:v>271</x:v>
      </x:c>
      <x:c r="V56" s="89">
        <x:v>46051.194747928239</x:v>
      </x:c>
      <x:c r="W56" s="88" t="s">
        <x:v>658</x:v>
      </x:c>
      <x:c r="X56" s="88"/>
      <x:c r="Y56" s="88" t="s">
        <x:v>482</x:v>
      </x:c>
      <x:c r="Z56" s="89"/>
      <x:c r="AA56" s="88"/>
      <x:c r="AB56" s="88"/>
      <x:c r="AC56" s="88" t="s">
        <x:v>273</x:v>
      </x:c>
      <x:c r="AD56" s="89"/>
      <x:c r="AE56" s="88"/>
      <x:c r="AF56" s="88"/>
      <x:c r="AG56" s="88" t="s">
        <x:v>161</x:v>
      </x:c>
      <x:c r="AH56" s="89"/>
      <x:c r="AI56" s="88"/>
      <x:c r="AJ56" s="88" t="s">
        <x:v>587</x:v>
      </x:c>
      <x:c r="AK56" s="88">
        <x:v>4343</x:v>
      </x:c>
      <x:c r="AL56" s="88"/>
      <x:c r="AM56" s="88"/>
      <x:c r="AN56" s="88" t="s">
        <x:v>369</x:v>
      </x:c>
      <x:c r="AO56" s="88">
        <x:v>0</x:v>
      </x:c>
    </x:row>
    <x:row r="57">
      <x:c r="A57" s="88" t="s">
        <x:v>770</x:v>
      </x:c>
      <x:c r="B57" s="88" t="s">
        <x:v>771</x:v>
      </x:c>
      <x:c r="C57" s="88" t="s">
        <x:v>554</x:v>
      </x:c>
      <x:c r="D57" s="88" t="s">
        <x:v>248</x:v>
      </x:c>
      <x:c r="E57" s="88" t="s">
        <x:v>342</x:v>
      </x:c>
      <x:c r="F57" s="89">
        <x:v>46031.327029548615</x:v>
      </x:c>
      <x:c r="G57" s="89">
        <x:v>46047.731811516205</x:v>
      </x:c>
      <x:c r="H57" s="89">
        <x:v>46031.328305752315</x:v>
      </x:c>
      <x:c r="I57" s="88" t="s">
        <x:v>578</x:v>
      </x:c>
      <x:c r="J57" s="88" t="s">
        <x:v>579</x:v>
      </x:c>
      <x:c r="K57" s="88" t="s">
        <x:v>266</x:v>
      </x:c>
      <x:c r="L57" s="88"/>
      <x:c r="M57" s="88" t="s">
        <x:v>482</x:v>
      </x:c>
      <x:c r="N57" s="88"/>
      <x:c r="O57" s="88"/>
      <x:c r="P57" s="88" t="s">
        <x:v>680</x:v>
      </x:c>
      <x:c r="Q57" s="88" t="s">
        <x:v>256</x:v>
      </x:c>
      <x:c r="R57" s="88" t="s">
        <x:v>363</x:v>
      </x:c>
      <x:c r="S57" s="88"/>
      <x:c r="T57" s="88" t="s">
        <x:v>259</x:v>
      </x:c>
      <x:c r="U57" s="88" t="s">
        <x:v>554</x:v>
      </x:c>
      <x:c r="V57" s="89">
        <x:v>46031.333133796295</x:v>
      </x:c>
      <x:c r="W57" s="88" t="s">
        <x:v>772</x:v>
      </x:c>
      <x:c r="X57" s="88" t="s">
        <x:v>259</x:v>
      </x:c>
      <x:c r="Y57" s="88" t="s">
        <x:v>482</x:v>
      </x:c>
      <x:c r="Z57" s="89">
        <x:v>46042.115009074078</x:v>
      </x:c>
      <x:c r="AA57" s="88" t="s">
        <x:v>680</x:v>
      </x:c>
      <x:c r="AB57" s="88" t="s">
        <x:v>259</x:v>
      </x:c>
      <x:c r="AC57" s="88" t="s">
        <x:v>271</x:v>
      </x:c>
      <x:c r="AD57" s="89">
        <x:v>46042.11935061343</x:v>
      </x:c>
      <x:c r="AE57" s="88" t="s">
        <x:v>773</x:v>
      </x:c>
      <x:c r="AF57" s="88" t="s">
        <x:v>259</x:v>
      </x:c>
      <x:c r="AG57" s="88" t="s">
        <x:v>271</x:v>
      </x:c>
      <x:c r="AH57" s="89">
        <x:v>46047.731811516205</x:v>
      </x:c>
      <x:c r="AI57" s="88" t="s">
        <x:v>353</x:v>
      </x:c>
      <x:c r="AJ57" s="88" t="s">
        <x:v>587</x:v>
      </x:c>
      <x:c r="AK57" s="88">
        <x:v>4343</x:v>
      </x:c>
      <x:c r="AL57" s="88" t="s">
        <x:v>185</x:v>
      </x:c>
      <x:c r="AM57" s="88" t="s">
        <x:v>774</x:v>
      </x:c>
      <x:c r="AN57" s="88" t="s">
        <x:v>369</x:v>
      </x:c>
      <x:c r="AO57" s="88">
        <x:v>0</x:v>
      </x:c>
    </x:row>
    <x:row r="58">
      <x:c r="A58" s="88" t="s">
        <x:v>775</x:v>
      </x:c>
      <x:c r="B58" s="88" t="s">
        <x:v>776</x:v>
      </x:c>
      <x:c r="C58" s="88" t="s">
        <x:v>613</x:v>
      </x:c>
      <x:c r="D58" s="88" t="s">
        <x:v>248</x:v>
      </x:c>
      <x:c r="E58" s="88" t="s">
        <x:v>342</x:v>
      </x:c>
      <x:c r="F58" s="89">
        <x:v>46034.146296643521</x:v>
      </x:c>
      <x:c r="G58" s="89">
        <x:v>46042.076999467594</x:v>
      </x:c>
      <x:c r="H58" s="89">
        <x:v>46034.146296643521</x:v>
      </x:c>
      <x:c r="I58" s="88" t="s">
        <x:v>614</x:v>
      </x:c>
      <x:c r="J58" s="88" t="s">
        <x:v>615</x:v>
      </x:c>
      <x:c r="K58" s="88" t="s">
        <x:v>266</x:v>
      </x:c>
      <x:c r="L58" s="88"/>
      <x:c r="M58" s="88" t="s">
        <x:v>616</x:v>
      </x:c>
      <x:c r="N58" s="88" t="s">
        <x:v>252</x:v>
      </x:c>
      <x:c r="O58" s="88"/>
      <x:c r="P58" s="88" t="s">
        <x:v>777</x:v>
      </x:c>
      <x:c r="Q58" s="88" t="s">
        <x:v>347</x:v>
      </x:c>
      <x:c r="R58" s="88" t="s">
        <x:v>283</x:v>
      </x:c>
      <x:c r="S58" s="88"/>
      <x:c r="T58" s="88" t="s">
        <x:v>259</x:v>
      </x:c>
      <x:c r="U58" s="88" t="s">
        <x:v>613</x:v>
      </x:c>
      <x:c r="V58" s="89">
        <x:v>46034.149857673612</x:v>
      </x:c>
      <x:c r="W58" s="88" t="s">
        <x:v>778</x:v>
      </x:c>
      <x:c r="X58" s="88" t="s">
        <x:v>259</x:v>
      </x:c>
      <x:c r="Y58" s="88" t="s">
        <x:v>616</x:v>
      </x:c>
      <x:c r="Z58" s="89">
        <x:v>46041.164737824074</x:v>
      </x:c>
      <x:c r="AA58" s="88" t="s">
        <x:v>671</x:v>
      </x:c>
      <x:c r="AB58" s="88" t="s">
        <x:v>259</x:v>
      </x:c>
      <x:c r="AC58" s="88" t="s">
        <x:v>271</x:v>
      </x:c>
      <x:c r="AD58" s="89">
        <x:v>46041.213026898149</x:v>
      </x:c>
      <x:c r="AE58" s="88" t="s">
        <x:v>779</x:v>
      </x:c>
      <x:c r="AF58" s="88" t="s">
        <x:v>259</x:v>
      </x:c>
      <x:c r="AG58" s="88" t="s">
        <x:v>387</x:v>
      </x:c>
      <x:c r="AH58" s="89">
        <x:v>46042.07699947917</x:v>
      </x:c>
      <x:c r="AI58" s="88" t="s">
        <x:v>388</x:v>
      </x:c>
      <x:c r="AJ58" s="88" t="s">
        <x:v>622</x:v>
      </x:c>
      <x:c r="AK58" s="88">
        <x:v>747</x:v>
      </x:c>
      <x:c r="AL58" s="88" t="s">
        <x:v>162</x:v>
      </x:c>
      <x:c r="AM58" s="88" t="s">
        <x:v>780</x:v>
      </x:c>
      <x:c r="AN58" s="88" t="s">
        <x:v>391</x:v>
      </x:c>
      <x:c r="AO58" s="88">
        <x:v>0</x:v>
      </x:c>
    </x:row>
    <x:row r="59">
      <x:c r="A59" s="88" t="s">
        <x:v>781</x:v>
      </x:c>
      <x:c r="B59" s="88" t="s">
        <x:v>782</x:v>
      </x:c>
      <x:c r="C59" s="88" t="s">
        <x:v>783</x:v>
      </x:c>
      <x:c r="D59" s="88" t="s">
        <x:v>248</x:v>
      </x:c>
      <x:c r="E59" s="88" t="s">
        <x:v>342</x:v>
      </x:c>
      <x:c r="F59" s="89">
        <x:v>46038.084496481482</x:v>
      </x:c>
      <x:c r="G59" s="89">
        <x:v>46044.291902581019</x:v>
      </x:c>
      <x:c r="H59" s="89">
        <x:v>46038.084496481482</x:v>
      </x:c>
      <x:c r="I59" s="88" t="s">
        <x:v>540</x:v>
      </x:c>
      <x:c r="J59" s="88" t="s">
        <x:v>541</x:v>
      </x:c>
      <x:c r="K59" s="88" t="s">
        <x:v>266</x:v>
      </x:c>
      <x:c r="L59" s="88"/>
      <x:c r="M59" s="88" t="s">
        <x:v>784</x:v>
      </x:c>
      <x:c r="N59" s="88"/>
      <x:c r="O59" s="88"/>
      <x:c r="P59" s="88" t="s">
        <x:v>785</x:v>
      </x:c>
      <x:c r="Q59" s="88" t="s">
        <x:v>347</x:v>
      </x:c>
      <x:c r="R59" s="88" t="s">
        <x:v>283</x:v>
      </x:c>
      <x:c r="S59" s="88"/>
      <x:c r="T59" s="88" t="s">
        <x:v>259</x:v>
      </x:c>
      <x:c r="U59" s="88" t="s">
        <x:v>783</x:v>
      </x:c>
      <x:c r="V59" s="89">
        <x:v>46038.08492267361</x:v>
      </x:c>
      <x:c r="W59" s="88" t="s">
        <x:v>786</x:v>
      </x:c>
      <x:c r="X59" s="88" t="s">
        <x:v>259</x:v>
      </x:c>
      <x:c r="Y59" s="88" t="s">
        <x:v>784</x:v>
      </x:c>
      <x:c r="Z59" s="89">
        <x:v>46041.078358888888</x:v>
      </x:c>
      <x:c r="AA59" s="88" t="s">
        <x:v>787</x:v>
      </x:c>
      <x:c r="AB59" s="88" t="s">
        <x:v>259</x:v>
      </x:c>
      <x:c r="AC59" s="88" t="s">
        <x:v>271</x:v>
      </x:c>
      <x:c r="AD59" s="89">
        <x:v>46041.151765740738</x:v>
      </x:c>
      <x:c r="AE59" s="88" t="s">
        <x:v>788</x:v>
      </x:c>
      <x:c r="AF59" s="88" t="s">
        <x:v>259</x:v>
      </x:c>
      <x:c r="AG59" s="88" t="s">
        <x:v>789</x:v>
      </x:c>
      <x:c r="AH59" s="89">
        <x:v>46044.291902592595</x:v>
      </x:c>
      <x:c r="AI59" s="88" t="s">
        <x:v>790</x:v>
      </x:c>
      <x:c r="AJ59" s="88" t="s">
        <x:v>549</x:v>
      </x:c>
      <x:c r="AK59" s="88" t="s">
        <x:v>550</x:v>
      </x:c>
      <x:c r="AL59" s="88" t="s">
        <x:v>185</x:v>
      </x:c>
      <x:c r="AM59" s="88" t="s">
        <x:v>791</x:v>
      </x:c>
      <x:c r="AN59" s="88" t="s">
        <x:v>414</x:v>
      </x:c>
      <x:c r="AO59" s="88">
        <x:v>30</x:v>
      </x:c>
    </x:row>
    <x:row r="60">
      <x:c r="A60" s="88" t="s">
        <x:v>792</x:v>
      </x:c>
      <x:c r="B60" s="88" t="s">
        <x:v>793</x:v>
      </x:c>
      <x:c r="C60" s="88" t="s">
        <x:v>794</x:v>
      </x:c>
      <x:c r="D60" s="88" t="s">
        <x:v>248</x:v>
      </x:c>
      <x:c r="E60" s="88" t="s">
        <x:v>249</x:v>
      </x:c>
      <x:c r="F60" s="89">
        <x:v>46041.1350996412</x:v>
      </x:c>
      <x:c r="G60" s="89">
        <x:v>46050.382592835645</x:v>
      </x:c>
      <x:c r="H60" s="89">
        <x:v>46041.1350996412</x:v>
      </x:c>
      <x:c r="I60" s="88" t="s">
        <x:v>310</x:v>
      </x:c>
      <x:c r="J60" s="88" t="s">
        <x:v>311</x:v>
      </x:c>
      <x:c r="K60" s="88" t="s">
        <x:v>380</x:v>
      </x:c>
      <x:c r="L60" s="88" t="s">
        <x:v>795</x:v>
      </x:c>
      <x:c r="M60" s="88" t="s">
        <x:v>796</x:v>
      </x:c>
      <x:c r="N60" s="88"/>
      <x:c r="O60" s="88"/>
      <x:c r="P60" s="88" t="s">
        <x:v>797</x:v>
      </x:c>
      <x:c r="Q60" s="88" t="s">
        <x:v>269</x:v>
      </x:c>
      <x:c r="R60" s="88" t="s">
        <x:v>283</x:v>
      </x:c>
      <x:c r="S60" s="88"/>
      <x:c r="T60" s="88" t="s">
        <x:v>259</x:v>
      </x:c>
      <x:c r="U60" s="88" t="s">
        <x:v>794</x:v>
      </x:c>
      <x:c r="V60" s="89">
        <x:v>46043.231563437497</x:v>
      </x:c>
      <x:c r="W60" s="88" t="s">
        <x:v>798</x:v>
      </x:c>
      <x:c r="X60" s="88" t="s">
        <x:v>259</x:v>
      </x:c>
      <x:c r="Y60" s="88" t="s">
        <x:v>799</x:v>
      </x:c>
      <x:c r="Z60" s="89">
        <x:v>46050.31340309028</x:v>
      </x:c>
      <x:c r="AA60" s="88" t="s">
        <x:v>800</x:v>
      </x:c>
      <x:c r="AB60" s="88" t="s">
        <x:v>249</x:v>
      </x:c>
      <x:c r="AC60" s="88" t="s">
        <x:v>271</x:v>
      </x:c>
      <x:c r="AD60" s="89">
        <x:v>46050.382592835645</x:v>
      </x:c>
      <x:c r="AE60" s="88" t="s">
        <x:v>801</x:v>
      </x:c>
      <x:c r="AF60" s="88"/>
      <x:c r="AG60" s="88" t="s">
        <x:v>161</x:v>
      </x:c>
      <x:c r="AH60" s="89"/>
      <x:c r="AI60" s="88"/>
      <x:c r="AJ60" s="88" t="s">
        <x:v>315</x:v>
      </x:c>
      <x:c r="AK60" s="88">
        <x:v>4064</x:v>
      </x:c>
      <x:c r="AL60" s="88"/>
      <x:c r="AM60" s="88"/>
      <x:c r="AN60" s="88" t="s">
        <x:v>414</x:v>
      </x:c>
      <x:c r="AO60" s="88">
        <x:v>365</x:v>
      </x:c>
    </x:row>
    <x:row r="61">
      <x:c r="A61" s="88" t="s">
        <x:v>802</x:v>
      </x:c>
      <x:c r="B61" s="88" t="s">
        <x:v>803</x:v>
      </x:c>
      <x:c r="C61" s="88" t="s">
        <x:v>794</x:v>
      </x:c>
      <x:c r="D61" s="88" t="s">
        <x:v>248</x:v>
      </x:c>
      <x:c r="E61" s="88" t="s">
        <x:v>278</x:v>
      </x:c>
      <x:c r="F61" s="89">
        <x:v>46041.175281111115</x:v>
      </x:c>
      <x:c r="G61" s="89">
        <x:v>46042.253474386576</x:v>
      </x:c>
      <x:c r="H61" s="89">
        <x:v>46041.199167708335</x:v>
      </x:c>
      <x:c r="I61" s="88" t="s">
        <x:v>804</x:v>
      </x:c>
      <x:c r="J61" s="88" t="s">
        <x:v>805</x:v>
      </x:c>
      <x:c r="K61" s="88" t="s">
        <x:v>380</x:v>
      </x:c>
      <x:c r="L61" s="88" t="s">
        <x:v>806</x:v>
      </x:c>
      <x:c r="M61" s="88" t="s">
        <x:v>796</x:v>
      </x:c>
      <x:c r="N61" s="88"/>
      <x:c r="O61" s="88"/>
      <x:c r="P61" s="88" t="s">
        <x:v>797</x:v>
      </x:c>
      <x:c r="Q61" s="88" t="s">
        <x:v>269</x:v>
      </x:c>
      <x:c r="R61" s="88" t="s">
        <x:v>283</x:v>
      </x:c>
      <x:c r="S61" s="88"/>
      <x:c r="T61" s="88" t="s">
        <x:v>249</x:v>
      </x:c>
      <x:c r="U61" s="88" t="s">
        <x:v>794</x:v>
      </x:c>
      <x:c r="V61" s="89">
        <x:v>46042.253474409721</x:v>
      </x:c>
      <x:c r="W61" s="88"/>
      <x:c r="X61" s="88"/>
      <x:c r="Y61" s="88" t="s">
        <x:v>799</x:v>
      </x:c>
      <x:c r="Z61" s="89"/>
      <x:c r="AA61" s="88"/>
      <x:c r="AB61" s="88"/>
      <x:c r="AC61" s="88" t="s">
        <x:v>273</x:v>
      </x:c>
      <x:c r="AD61" s="89"/>
      <x:c r="AE61" s="88"/>
      <x:c r="AF61" s="88"/>
      <x:c r="AG61" s="88" t="s">
        <x:v>273</x:v>
      </x:c>
      <x:c r="AH61" s="89"/>
      <x:c r="AI61" s="88"/>
      <x:c r="AJ61" s="88" t="s">
        <x:v>807</x:v>
      </x:c>
      <x:c r="AK61" s="88">
        <x:v>10071</x:v>
      </x:c>
      <x:c r="AL61" s="88"/>
      <x:c r="AM61" s="88"/>
      <x:c r="AN61" s="88" t="s">
        <x:v>414</x:v>
      </x:c>
      <x:c r="AO61" s="88"/>
    </x:row>
    <x:row r="62">
      <x:c r="A62" s="88" t="s">
        <x:v>808</x:v>
      </x:c>
      <x:c r="B62" s="88" t="s">
        <x:v>809</x:v>
      </x:c>
      <x:c r="C62" s="88" t="s">
        <x:v>613</x:v>
      </x:c>
      <x:c r="D62" s="88" t="s">
        <x:v>248</x:v>
      </x:c>
      <x:c r="E62" s="88" t="s">
        <x:v>278</x:v>
      </x:c>
      <x:c r="F62" s="89">
        <x:v>46041.307378229169</x:v>
      </x:c>
      <x:c r="G62" s="89">
        <x:v>46041.311425300926</x:v>
      </x:c>
      <x:c r="H62" s="89">
        <x:v>46041.307378229169</x:v>
      </x:c>
      <x:c r="I62" s="88" t="s">
        <x:v>614</x:v>
      </x:c>
      <x:c r="J62" s="88" t="s">
        <x:v>615</x:v>
      </x:c>
      <x:c r="K62" s="88" t="s">
        <x:v>266</x:v>
      </x:c>
      <x:c r="L62" s="88"/>
      <x:c r="M62" s="88" t="s">
        <x:v>616</x:v>
      </x:c>
      <x:c r="N62" s="88"/>
      <x:c r="O62" s="88"/>
      <x:c r="P62" s="88" t="s">
        <x:v>810</x:v>
      </x:c>
      <x:c r="Q62" s="88" t="s">
        <x:v>323</x:v>
      </x:c>
      <x:c r="R62" s="88" t="s">
        <x:v>283</x:v>
      </x:c>
      <x:c r="S62" s="88"/>
      <x:c r="T62" s="88" t="s">
        <x:v>249</x:v>
      </x:c>
      <x:c r="U62" s="88" t="s">
        <x:v>613</x:v>
      </x:c>
      <x:c r="V62" s="89">
        <x:v>46041.311425312502</x:v>
      </x:c>
      <x:c r="W62" s="88"/>
      <x:c r="X62" s="88"/>
      <x:c r="Y62" s="88" t="s">
        <x:v>616</x:v>
      </x:c>
      <x:c r="Z62" s="89"/>
      <x:c r="AA62" s="88"/>
      <x:c r="AB62" s="88"/>
      <x:c r="AC62" s="88" t="s">
        <x:v>273</x:v>
      </x:c>
      <x:c r="AD62" s="89"/>
      <x:c r="AE62" s="88"/>
      <x:c r="AF62" s="88"/>
      <x:c r="AG62" s="88" t="s">
        <x:v>161</x:v>
      </x:c>
      <x:c r="AH62" s="89"/>
      <x:c r="AI62" s="88"/>
      <x:c r="AJ62" s="88" t="s">
        <x:v>622</x:v>
      </x:c>
      <x:c r="AK62" s="88">
        <x:v>747</x:v>
      </x:c>
      <x:c r="AL62" s="88"/>
      <x:c r="AM62" s="88"/>
      <x:c r="AN62" s="88" t="s">
        <x:v>414</x:v>
      </x:c>
      <x:c r="AO62" s="88">
        <x:v>14</x:v>
      </x:c>
    </x:row>
    <x:row r="63">
      <x:c r="A63" s="88" t="s">
        <x:v>811</x:v>
      </x:c>
      <x:c r="B63" s="88" t="s">
        <x:v>812</x:v>
      </x:c>
      <x:c r="C63" s="88" t="s">
        <x:v>613</x:v>
      </x:c>
      <x:c r="D63" s="88" t="s">
        <x:v>248</x:v>
      </x:c>
      <x:c r="E63" s="88" t="s">
        <x:v>342</x:v>
      </x:c>
      <x:c r="F63" s="89">
        <x:v>46041.314016759257</x:v>
      </x:c>
      <x:c r="G63" s="89">
        <x:v>46042.156522453704</x:v>
      </x:c>
      <x:c r="H63" s="89">
        <x:v>46041.314016759257</x:v>
      </x:c>
      <x:c r="I63" s="88" t="s">
        <x:v>614</x:v>
      </x:c>
      <x:c r="J63" s="88" t="s">
        <x:v>615</x:v>
      </x:c>
      <x:c r="K63" s="88" t="s">
        <x:v>266</x:v>
      </x:c>
      <x:c r="L63" s="88"/>
      <x:c r="M63" s="88" t="s">
        <x:v>616</x:v>
      </x:c>
      <x:c r="N63" s="88"/>
      <x:c r="O63" s="88"/>
      <x:c r="P63" s="88" t="s">
        <x:v>813</x:v>
      </x:c>
      <x:c r="Q63" s="88" t="s">
        <x:v>323</x:v>
      </x:c>
      <x:c r="R63" s="88" t="s">
        <x:v>283</x:v>
      </x:c>
      <x:c r="S63" s="88"/>
      <x:c r="T63" s="88" t="s">
        <x:v>259</x:v>
      </x:c>
      <x:c r="U63" s="88" t="s">
        <x:v>613</x:v>
      </x:c>
      <x:c r="V63" s="89">
        <x:v>46041.315897222223</x:v>
      </x:c>
      <x:c r="W63" s="88" t="s">
        <x:v>814</x:v>
      </x:c>
      <x:c r="X63" s="88" t="s">
        <x:v>259</x:v>
      </x:c>
      <x:c r="Y63" s="88" t="s">
        <x:v>616</x:v>
      </x:c>
      <x:c r="Z63" s="89">
        <x:v>46041.317312418978</x:v>
      </x:c>
      <x:c r="AA63" s="88" t="s">
        <x:v>815</x:v>
      </x:c>
      <x:c r="AB63" s="88" t="s">
        <x:v>259</x:v>
      </x:c>
      <x:c r="AC63" s="88" t="s">
        <x:v>271</x:v>
      </x:c>
      <x:c r="AD63" s="89">
        <x:v>46042.098213796293</x:v>
      </x:c>
      <x:c r="AE63" s="88" t="s">
        <x:v>816</x:v>
      </x:c>
      <x:c r="AF63" s="88" t="s">
        <x:v>259</x:v>
      </x:c>
      <x:c r="AG63" s="88" t="s">
        <x:v>387</x:v>
      </x:c>
      <x:c r="AH63" s="89">
        <x:v>46042.15652246528</x:v>
      </x:c>
      <x:c r="AI63" s="88" t="s">
        <x:v>388</x:v>
      </x:c>
      <x:c r="AJ63" s="88" t="s">
        <x:v>622</x:v>
      </x:c>
      <x:c r="AK63" s="88">
        <x:v>747</x:v>
      </x:c>
      <x:c r="AL63" s="88" t="s">
        <x:v>162</x:v>
      </x:c>
      <x:c r="AM63" s="88" t="s">
        <x:v>817</x:v>
      </x:c>
      <x:c r="AN63" s="88" t="s">
        <x:v>414</x:v>
      </x:c>
      <x:c r="AO63" s="88">
        <x:v>9</x:v>
      </x:c>
    </x:row>
    <x:row r="64">
      <x:c r="A64" s="88" t="s">
        <x:v>818</x:v>
      </x:c>
      <x:c r="B64" s="88" t="s">
        <x:v>819</x:v>
      </x:c>
      <x:c r="C64" s="88" t="s">
        <x:v>820</x:v>
      </x:c>
      <x:c r="D64" s="88" t="s">
        <x:v>248</x:v>
      </x:c>
      <x:c r="E64" s="88" t="s">
        <x:v>342</x:v>
      </x:c>
      <x:c r="F64" s="89">
        <x:v>46042.354845543981</x:v>
      </x:c>
      <x:c r="G64" s="89">
        <x:v>46049.267289247684</x:v>
      </x:c>
      <x:c r="H64" s="89">
        <x:v>46043.08379355324</x:v>
      </x:c>
      <x:c r="I64" s="88" t="s">
        <x:v>821</x:v>
      </x:c>
      <x:c r="J64" s="88" t="s">
        <x:v>822</x:v>
      </x:c>
      <x:c r="K64" s="88" t="s">
        <x:v>380</x:v>
      </x:c>
      <x:c r="L64" s="88" t="s">
        <x:v>823</x:v>
      </x:c>
      <x:c r="M64" s="88" t="s">
        <x:v>824</x:v>
      </x:c>
      <x:c r="N64" s="88" t="s">
        <x:v>825</x:v>
      </x:c>
      <x:c r="O64" s="88"/>
      <x:c r="P64" s="88" t="s">
        <x:v>826</x:v>
      </x:c>
      <x:c r="Q64" s="88" t="s">
        <x:v>256</x:v>
      </x:c>
      <x:c r="R64" s="88" t="s">
        <x:v>283</x:v>
      </x:c>
      <x:c r="S64" s="88"/>
      <x:c r="T64" s="88" t="s">
        <x:v>259</x:v>
      </x:c>
      <x:c r="U64" s="88" t="s">
        <x:v>820</x:v>
      </x:c>
      <x:c r="V64" s="89">
        <x:v>46043.099988993054</x:v>
      </x:c>
      <x:c r="W64" s="88" t="s">
        <x:v>252</x:v>
      </x:c>
      <x:c r="X64" s="88" t="s">
        <x:v>259</x:v>
      </x:c>
      <x:c r="Y64" s="88" t="s">
        <x:v>827</x:v>
      </x:c>
      <x:c r="Z64" s="89">
        <x:v>46045.100231226854</x:v>
      </x:c>
      <x:c r="AA64" s="88" t="s">
        <x:v>259</x:v>
      </x:c>
      <x:c r="AB64" s="88" t="s">
        <x:v>259</x:v>
      </x:c>
      <x:c r="AC64" s="88" t="s">
        <x:v>271</x:v>
      </x:c>
      <x:c r="AD64" s="89">
        <x:v>46045.306661608796</x:v>
      </x:c>
      <x:c r="AE64" s="88" t="s">
        <x:v>828</x:v>
      </x:c>
      <x:c r="AF64" s="88" t="s">
        <x:v>259</x:v>
      </x:c>
      <x:c r="AG64" s="88" t="s">
        <x:v>271</x:v>
      </x:c>
      <x:c r="AH64" s="89">
        <x:v>46049.26728925926</x:v>
      </x:c>
      <x:c r="AI64" s="88" t="s">
        <x:v>353</x:v>
      </x:c>
      <x:c r="AJ64" s="88" t="s">
        <x:v>829</x:v>
      </x:c>
      <x:c r="AK64" s="88">
        <x:v>3284</x:v>
      </x:c>
      <x:c r="AL64" s="88" t="s">
        <x:v>185</x:v>
      </x:c>
      <x:c r="AM64" s="88" t="s">
        <x:v>830</x:v>
      </x:c>
      <x:c r="AN64" s="88" t="s">
        <x:v>391</x:v>
      </x:c>
      <x:c r="AO64" s="88">
        <x:v>0</x:v>
      </x:c>
    </x:row>
    <x:row r="65">
      <x:c r="A65" s="88" t="s">
        <x:v>831</x:v>
      </x:c>
      <x:c r="B65" s="88" t="s">
        <x:v>832</x:v>
      </x:c>
      <x:c r="C65" s="88" t="s">
        <x:v>794</x:v>
      </x:c>
      <x:c r="D65" s="88" t="s">
        <x:v>248</x:v>
      </x:c>
      <x:c r="E65" s="88" t="s">
        <x:v>342</x:v>
      </x:c>
      <x:c r="F65" s="89">
        <x:v>46042.40565572917</x:v>
      </x:c>
      <x:c r="G65" s="89">
        <x:v>46057.18847627315</x:v>
      </x:c>
      <x:c r="H65" s="89">
        <x:v>46042.40565572917</x:v>
      </x:c>
      <x:c r="I65" s="88" t="s">
        <x:v>804</x:v>
      </x:c>
      <x:c r="J65" s="88" t="s">
        <x:v>805</x:v>
      </x:c>
      <x:c r="K65" s="88" t="s">
        <x:v>380</x:v>
      </x:c>
      <x:c r="L65" s="88" t="s">
        <x:v>806</x:v>
      </x:c>
      <x:c r="M65" s="88" t="s">
        <x:v>796</x:v>
      </x:c>
      <x:c r="N65" s="88"/>
      <x:c r="O65" s="88"/>
      <x:c r="P65" s="88" t="s">
        <x:v>797</x:v>
      </x:c>
      <x:c r="Q65" s="88" t="s">
        <x:v>269</x:v>
      </x:c>
      <x:c r="R65" s="88" t="s">
        <x:v>283</x:v>
      </x:c>
      <x:c r="S65" s="88"/>
      <x:c r="T65" s="88" t="s">
        <x:v>259</x:v>
      </x:c>
      <x:c r="U65" s="88" t="s">
        <x:v>794</x:v>
      </x:c>
      <x:c r="V65" s="89">
        <x:v>46043.218533657404</x:v>
      </x:c>
      <x:c r="W65" s="88" t="s">
        <x:v>833</x:v>
      </x:c>
      <x:c r="X65" s="88" t="s">
        <x:v>259</x:v>
      </x:c>
      <x:c r="Y65" s="88" t="s">
        <x:v>799</x:v>
      </x:c>
      <x:c r="Z65" s="89">
        <x:v>46050.312254525466</x:v>
      </x:c>
      <x:c r="AA65" s="88" t="s">
        <x:v>834</x:v>
      </x:c>
      <x:c r="AB65" s="88" t="s">
        <x:v>259</x:v>
      </x:c>
      <x:c r="AC65" s="88" t="s">
        <x:v>271</x:v>
      </x:c>
      <x:c r="AD65" s="89">
        <x:v>46050.35107866898</x:v>
      </x:c>
      <x:c r="AE65" s="88" t="s">
        <x:v>835</x:v>
      </x:c>
      <x:c r="AF65" s="88" t="s">
        <x:v>259</x:v>
      </x:c>
      <x:c r="AG65" s="88" t="s">
        <x:v>387</x:v>
      </x:c>
      <x:c r="AH65" s="89">
        <x:v>46057.188476284726</x:v>
      </x:c>
      <x:c r="AI65" s="88" t="s">
        <x:v>388</x:v>
      </x:c>
      <x:c r="AJ65" s="88" t="s">
        <x:v>807</x:v>
      </x:c>
      <x:c r="AK65" s="88">
        <x:v>10071</x:v>
      </x:c>
      <x:c r="AL65" s="88" t="s">
        <x:v>185</x:v>
      </x:c>
      <x:c r="AM65" s="88" t="s">
        <x:v>836</x:v>
      </x:c>
      <x:c r="AN65" s="88" t="s">
        <x:v>414</x:v>
      </x:c>
      <x:c r="AO65" s="88">
        <x:v>365</x:v>
      </x:c>
    </x:row>
    <x:row r="66">
      <x:c r="A66" s="88" t="s">
        <x:v>837</x:v>
      </x:c>
      <x:c r="B66" s="88" t="s">
        <x:v>838</x:v>
      </x:c>
      <x:c r="C66" s="88" t="s">
        <x:v>839</x:v>
      </x:c>
      <x:c r="D66" s="88" t="s">
        <x:v>248</x:v>
      </x:c>
      <x:c r="E66" s="88" t="s">
        <x:v>342</x:v>
      </x:c>
      <x:c r="F66" s="89">
        <x:v>46043.153167743054</x:v>
      </x:c>
      <x:c r="G66" s="89">
        <x:v>46045.373861678243</x:v>
      </x:c>
      <x:c r="H66" s="89">
        <x:v>46043.172355509261</x:v>
      </x:c>
      <x:c r="I66" s="88" t="s">
        <x:v>840</x:v>
      </x:c>
      <x:c r="J66" s="88" t="s">
        <x:v>841</x:v>
      </x:c>
      <x:c r="K66" s="88" t="s">
        <x:v>380</x:v>
      </x:c>
      <x:c r="L66" s="88" t="s">
        <x:v>543</x:v>
      </x:c>
      <x:c r="M66" s="88" t="s">
        <x:v>842</x:v>
      </x:c>
      <x:c r="N66" s="88"/>
      <x:c r="O66" s="88"/>
      <x:c r="P66" s="88" t="s">
        <x:v>843</x:v>
      </x:c>
      <x:c r="Q66" s="88" t="s">
        <x:v>256</x:v>
      </x:c>
      <x:c r="R66" s="88" t="s">
        <x:v>257</x:v>
      </x:c>
      <x:c r="S66" s="88"/>
      <x:c r="T66" s="88" t="s">
        <x:v>259</x:v>
      </x:c>
      <x:c r="U66" s="88" t="s">
        <x:v>839</x:v>
      </x:c>
      <x:c r="V66" s="89">
        <x:v>46043.173315011576</x:v>
      </x:c>
      <x:c r="W66" s="88" t="s">
        <x:v>844</x:v>
      </x:c>
      <x:c r="X66" s="88" t="s">
        <x:v>259</x:v>
      </x:c>
      <x:c r="Y66" s="88" t="s">
        <x:v>457</x:v>
      </x:c>
      <x:c r="Z66" s="89">
        <x:v>46044.121236631945</x:v>
      </x:c>
      <x:c r="AA66" s="88" t="s">
        <x:v>259</x:v>
      </x:c>
      <x:c r="AB66" s="88" t="s">
        <x:v>259</x:v>
      </x:c>
      <x:c r="AC66" s="88" t="s">
        <x:v>271</x:v>
      </x:c>
      <x:c r="AD66" s="89">
        <x:v>46044.130217372687</x:v>
      </x:c>
      <x:c r="AE66" s="88" t="s">
        <x:v>845</x:v>
      </x:c>
      <x:c r="AF66" s="88" t="s">
        <x:v>259</x:v>
      </x:c>
      <x:c r="AG66" s="88" t="s">
        <x:v>387</x:v>
      </x:c>
      <x:c r="AH66" s="89">
        <x:v>46045.373861689812</x:v>
      </x:c>
      <x:c r="AI66" s="88" t="s">
        <x:v>388</x:v>
      </x:c>
      <x:c r="AJ66" s="88" t="s">
        <x:v>846</x:v>
      </x:c>
      <x:c r="AK66" s="88" t="s">
        <x:v>847</x:v>
      </x:c>
      <x:c r="AL66" s="88" t="s">
        <x:v>185</x:v>
      </x:c>
      <x:c r="AM66" s="88" t="s">
        <x:v>848</x:v>
      </x:c>
      <x:c r="AN66" s="88" t="s">
        <x:v>369</x:v>
      </x:c>
      <x:c r="AO66" s="88">
        <x:v>0</x:v>
      </x:c>
    </x:row>
    <x:row r="67">
      <x:c r="A67" s="88" t="s">
        <x:v>849</x:v>
      </x:c>
      <x:c r="B67" s="88" t="s">
        <x:v>850</x:v>
      </x:c>
      <x:c r="C67" s="88" t="s">
        <x:v>851</x:v>
      </x:c>
      <x:c r="D67" s="88" t="s">
        <x:v>248</x:v>
      </x:c>
      <x:c r="E67" s="88" t="s">
        <x:v>342</x:v>
      </x:c>
      <x:c r="F67" s="89">
        <x:v>46043.350739409725</x:v>
      </x:c>
      <x:c r="G67" s="89">
        <x:v>46093.292563148148</x:v>
      </x:c>
      <x:c r="H67" s="89">
        <x:v>46058.276120995368</x:v>
      </x:c>
      <x:c r="I67" s="88" t="s">
        <x:v>852</x:v>
      </x:c>
      <x:c r="J67" s="88" t="s">
        <x:v>853</x:v>
      </x:c>
      <x:c r="K67" s="88" t="s">
        <x:v>266</x:v>
      </x:c>
      <x:c r="L67" s="88"/>
      <x:c r="M67" s="88" t="s">
        <x:v>854</x:v>
      </x:c>
      <x:c r="N67" s="88"/>
      <x:c r="O67" s="88"/>
      <x:c r="P67" s="88" t="s">
        <x:v>855</x:v>
      </x:c>
      <x:c r="Q67" s="88" t="s">
        <x:v>256</x:v>
      </x:c>
      <x:c r="R67" s="88" t="s">
        <x:v>257</x:v>
      </x:c>
      <x:c r="S67" s="88"/>
      <x:c r="T67" s="88" t="s">
        <x:v>259</x:v>
      </x:c>
      <x:c r="U67" s="88" t="s">
        <x:v>851</x:v>
      </x:c>
      <x:c r="V67" s="89">
        <x:v>46059.0654168287</x:v>
      </x:c>
      <x:c r="W67" s="88" t="s">
        <x:v>856</x:v>
      </x:c>
      <x:c r="X67" s="88" t="s">
        <x:v>259</x:v>
      </x:c>
      <x:c r="Y67" s="88" t="s">
        <x:v>854</x:v>
      </x:c>
      <x:c r="Z67" s="89">
        <x:v>46092.278981736112</x:v>
      </x:c>
      <x:c r="AA67" s="88" t="s">
        <x:v>857</x:v>
      </x:c>
      <x:c r="AB67" s="88" t="s">
        <x:v>259</x:v>
      </x:c>
      <x:c r="AC67" s="88" t="s">
        <x:v>271</x:v>
      </x:c>
      <x:c r="AD67" s="89">
        <x:v>46092.324756875001</x:v>
      </x:c>
      <x:c r="AE67" s="88" t="s">
        <x:v>858</x:v>
      </x:c>
      <x:c r="AF67" s="88" t="s">
        <x:v>259</x:v>
      </x:c>
      <x:c r="AG67" s="88" t="s">
        <x:v>271</x:v>
      </x:c>
      <x:c r="AH67" s="89">
        <x:v>46093.292563159725</x:v>
      </x:c>
      <x:c r="AI67" s="88" t="s">
        <x:v>353</x:v>
      </x:c>
      <x:c r="AJ67" s="88" t="s">
        <x:v>859</x:v>
      </x:c>
      <x:c r="AK67" s="88" t="s">
        <x:v>860</x:v>
      </x:c>
      <x:c r="AL67" s="88" t="s">
        <x:v>185</x:v>
      </x:c>
      <x:c r="AM67" s="88" t="s">
        <x:v>861</x:v>
      </x:c>
      <x:c r="AN67" s="88" t="s">
        <x:v>391</x:v>
      </x:c>
      <x:c r="AO67" s="88">
        <x:v>0</x:v>
      </x:c>
    </x:row>
    <x:row r="68">
      <x:c r="A68" s="88" t="s">
        <x:v>862</x:v>
      </x:c>
      <x:c r="B68" s="88" t="s">
        <x:v>863</x:v>
      </x:c>
      <x:c r="C68" s="88" t="s">
        <x:v>613</x:v>
      </x:c>
      <x:c r="D68" s="88" t="s">
        <x:v>248</x:v>
      </x:c>
      <x:c r="E68" s="88" t="s">
        <x:v>249</x:v>
      </x:c>
      <x:c r="F68" s="89">
        <x:v>46044.072314652774</x:v>
      </x:c>
      <x:c r="G68" s="89">
        <x:v>46044.301271006945</x:v>
      </x:c>
      <x:c r="H68" s="89">
        <x:v>46044.072314652774</x:v>
      </x:c>
      <x:c r="I68" s="88" t="s">
        <x:v>614</x:v>
      </x:c>
      <x:c r="J68" s="88" t="s">
        <x:v>615</x:v>
      </x:c>
      <x:c r="K68" s="88" t="s">
        <x:v>266</x:v>
      </x:c>
      <x:c r="L68" s="88"/>
      <x:c r="M68" s="88" t="s">
        <x:v>616</x:v>
      </x:c>
      <x:c r="N68" s="88"/>
      <x:c r="O68" s="88"/>
      <x:c r="P68" s="88" t="s">
        <x:v>669</x:v>
      </x:c>
      <x:c r="Q68" s="88" t="s">
        <x:v>323</x:v>
      </x:c>
      <x:c r="R68" s="88" t="s">
        <x:v>283</x:v>
      </x:c>
      <x:c r="S68" s="88"/>
      <x:c r="T68" s="88" t="s">
        <x:v>259</x:v>
      </x:c>
      <x:c r="U68" s="88" t="s">
        <x:v>613</x:v>
      </x:c>
      <x:c r="V68" s="89">
        <x:v>46044.08375150463</x:v>
      </x:c>
      <x:c r="W68" s="88" t="s">
        <x:v>864</x:v>
      </x:c>
      <x:c r="X68" s="88" t="s">
        <x:v>249</x:v>
      </x:c>
      <x:c r="Y68" s="88" t="s">
        <x:v>616</x:v>
      </x:c>
      <x:c r="Z68" s="89">
        <x:v>46044.301271018521</x:v>
      </x:c>
      <x:c r="AA68" s="88"/>
      <x:c r="AB68" s="88"/>
      <x:c r="AC68" s="88" t="s">
        <x:v>273</x:v>
      </x:c>
      <x:c r="AD68" s="89"/>
      <x:c r="AE68" s="88"/>
      <x:c r="AF68" s="88"/>
      <x:c r="AG68" s="88" t="s">
        <x:v>161</x:v>
      </x:c>
      <x:c r="AH68" s="89"/>
      <x:c r="AI68" s="88"/>
      <x:c r="AJ68" s="88" t="s">
        <x:v>622</x:v>
      </x:c>
      <x:c r="AK68" s="88">
        <x:v>747</x:v>
      </x:c>
      <x:c r="AL68" s="88"/>
      <x:c r="AM68" s="88"/>
      <x:c r="AN68" s="88" t="s">
        <x:v>414</x:v>
      </x:c>
      <x:c r="AO68" s="88">
        <x:v>14</x:v>
      </x:c>
    </x:row>
    <x:row r="69">
      <x:c r="A69" s="88" t="s">
        <x:v>865</x:v>
      </x:c>
      <x:c r="B69" s="88" t="s">
        <x:v>866</x:v>
      </x:c>
      <x:c r="C69" s="88" t="s">
        <x:v>867</x:v>
      </x:c>
      <x:c r="D69" s="88" t="s">
        <x:v>248</x:v>
      </x:c>
      <x:c r="E69" s="88" t="s">
        <x:v>342</x:v>
      </x:c>
      <x:c r="F69" s="89">
        <x:v>46045.056981354166</x:v>
      </x:c>
      <x:c r="G69" s="89">
        <x:v>46086.080187222222</x:v>
      </x:c>
      <x:c r="H69" s="89">
        <x:v>46080.099987997688</x:v>
      </x:c>
      <x:c r="I69" s="88" t="s">
        <x:v>868</x:v>
      </x:c>
      <x:c r="J69" s="88" t="s">
        <x:v>869</x:v>
      </x:c>
      <x:c r="K69" s="88" t="s">
        <x:v>380</x:v>
      </x:c>
      <x:c r="L69" s="88" t="s">
        <x:v>543</x:v>
      </x:c>
      <x:c r="M69" s="88" t="s">
        <x:v>842</x:v>
      </x:c>
      <x:c r="N69" s="88" t="s">
        <x:v>543</x:v>
      </x:c>
      <x:c r="O69" s="88"/>
      <x:c r="P69" s="88" t="s">
        <x:v>870</x:v>
      </x:c>
      <x:c r="Q69" s="88" t="s">
        <x:v>256</x:v>
      </x:c>
      <x:c r="R69" s="88" t="s">
        <x:v>283</x:v>
      </x:c>
      <x:c r="S69" s="88"/>
      <x:c r="T69" s="88" t="s">
        <x:v>259</x:v>
      </x:c>
      <x:c r="U69" s="88" t="s">
        <x:v>867</x:v>
      </x:c>
      <x:c r="V69" s="89">
        <x:v>46080.100865763889</x:v>
      </x:c>
      <x:c r="W69" s="88" t="s">
        <x:v>844</x:v>
      </x:c>
      <x:c r="X69" s="88" t="s">
        <x:v>259</x:v>
      </x:c>
      <x:c r="Y69" s="88" t="s">
        <x:v>457</x:v>
      </x:c>
      <x:c r="Z69" s="89">
        <x:v>46080.163344525463</x:v>
      </x:c>
      <x:c r="AA69" s="88" t="s">
        <x:v>259</x:v>
      </x:c>
      <x:c r="AB69" s="88" t="s">
        <x:v>259</x:v>
      </x:c>
      <x:c r="AC69" s="88" t="s">
        <x:v>271</x:v>
      </x:c>
      <x:c r="AD69" s="89">
        <x:v>46083.158775034724</x:v>
      </x:c>
      <x:c r="AE69" s="88" t="s">
        <x:v>871</x:v>
      </x:c>
      <x:c r="AF69" s="88" t="s">
        <x:v>259</x:v>
      </x:c>
      <x:c r="AG69" s="88" t="s">
        <x:v>387</x:v>
      </x:c>
      <x:c r="AH69" s="89">
        <x:v>46086.080187222222</x:v>
      </x:c>
      <x:c r="AI69" s="88" t="s">
        <x:v>388</x:v>
      </x:c>
      <x:c r="AJ69" s="88" t="s">
        <x:v>872</x:v>
      </x:c>
      <x:c r="AK69" s="88" t="s">
        <x:v>873</x:v>
      </x:c>
      <x:c r="AL69" s="88" t="s">
        <x:v>185</x:v>
      </x:c>
      <x:c r="AM69" s="88" t="s">
        <x:v>874</x:v>
      </x:c>
      <x:c r="AN69" s="88" t="s">
        <x:v>369</x:v>
      </x:c>
      <x:c r="AO69" s="88">
        <x:v>0</x:v>
      </x:c>
    </x:row>
    <x:row r="70">
      <x:c r="A70" s="88" t="s">
        <x:v>875</x:v>
      </x:c>
      <x:c r="B70" s="88" t="s">
        <x:v>876</x:v>
      </x:c>
      <x:c r="C70" s="88" t="s">
        <x:v>867</x:v>
      </x:c>
      <x:c r="D70" s="88" t="s">
        <x:v>248</x:v>
      </x:c>
      <x:c r="E70" s="88" t="s">
        <x:v>249</x:v>
      </x:c>
      <x:c r="F70" s="89">
        <x:v>46045.05726483796</x:v>
      </x:c>
      <x:c r="G70" s="89">
        <x:v>46045.079392847219</x:v>
      </x:c>
      <x:c r="H70" s="89">
        <x:v>46045.071248483793</x:v>
      </x:c>
      <x:c r="I70" s="88" t="s">
        <x:v>877</x:v>
      </x:c>
      <x:c r="J70" s="88" t="s">
        <x:v>878</x:v>
      </x:c>
      <x:c r="K70" s="88" t="s">
        <x:v>380</x:v>
      </x:c>
      <x:c r="L70" s="88" t="s">
        <x:v>543</x:v>
      </x:c>
      <x:c r="M70" s="88" t="s">
        <x:v>842</x:v>
      </x:c>
      <x:c r="N70" s="88"/>
      <x:c r="O70" s="88"/>
      <x:c r="P70" s="88" t="s">
        <x:v>879</x:v>
      </x:c>
      <x:c r="Q70" s="88" t="s">
        <x:v>256</x:v>
      </x:c>
      <x:c r="R70" s="88" t="s">
        <x:v>283</x:v>
      </x:c>
      <x:c r="S70" s="88"/>
      <x:c r="T70" s="88" t="s">
        <x:v>249</x:v>
      </x:c>
      <x:c r="U70" s="88" t="s">
        <x:v>867</x:v>
      </x:c>
      <x:c r="V70" s="89">
        <x:v>46045.078574027779</x:v>
      </x:c>
      <x:c r="W70" s="88"/>
      <x:c r="X70" s="88" t="s">
        <x:v>249</x:v>
      </x:c>
      <x:c r="Y70" s="88" t="s">
        <x:v>867</x:v>
      </x:c>
      <x:c r="Z70" s="89">
        <x:v>46045.078817303242</x:v>
      </x:c>
      <x:c r="AA70" s="88"/>
      <x:c r="AB70" s="88" t="s">
        <x:v>249</x:v>
      </x:c>
      <x:c r="AC70" s="88" t="s">
        <x:v>867</x:v>
      </x:c>
      <x:c r="AD70" s="89">
        <x:v>46045.079392858795</x:v>
      </x:c>
      <x:c r="AE70" s="88"/>
      <x:c r="AF70" s="88"/>
      <x:c r="AG70" s="88" t="s">
        <x:v>273</x:v>
      </x:c>
      <x:c r="AH70" s="89"/>
      <x:c r="AI70" s="88"/>
      <x:c r="AJ70" s="88" t="s">
        <x:v>880</x:v>
      </x:c>
      <x:c r="AK70" s="88" t="s">
        <x:v>881</x:v>
      </x:c>
      <x:c r="AL70" s="88"/>
      <x:c r="AM70" s="88"/>
      <x:c r="AN70" s="88" t="s">
        <x:v>369</x:v>
      </x:c>
      <x:c r="AO70" s="88">
        <x:v>0</x:v>
      </x:c>
    </x:row>
    <x:row r="71">
      <x:c r="A71" s="88" t="s">
        <x:v>882</x:v>
      </x:c>
      <x:c r="B71" s="88" t="s">
        <x:v>883</x:v>
      </x:c>
      <x:c r="C71" s="88" t="s">
        <x:v>867</x:v>
      </x:c>
      <x:c r="D71" s="88" t="s">
        <x:v>248</x:v>
      </x:c>
      <x:c r="E71" s="88" t="s">
        <x:v>342</x:v>
      </x:c>
      <x:c r="F71" s="89">
        <x:v>46045.057460775461</x:v>
      </x:c>
      <x:c r="G71" s="89">
        <x:v>46051.161712777779</x:v>
      </x:c>
      <x:c r="H71" s="89">
        <x:v>46045.278958553237</x:v>
      </x:c>
      <x:c r="I71" s="88" t="s">
        <x:v>884</x:v>
      </x:c>
      <x:c r="J71" s="88" t="s">
        <x:v>885</x:v>
      </x:c>
      <x:c r="K71" s="88" t="s">
        <x:v>380</x:v>
      </x:c>
      <x:c r="L71" s="88" t="s">
        <x:v>543</x:v>
      </x:c>
      <x:c r="M71" s="88" t="s">
        <x:v>842</x:v>
      </x:c>
      <x:c r="N71" s="88"/>
      <x:c r="O71" s="88"/>
      <x:c r="P71" s="88" t="s">
        <x:v>886</x:v>
      </x:c>
      <x:c r="Q71" s="88" t="s">
        <x:v>256</x:v>
      </x:c>
      <x:c r="R71" s="88" t="s">
        <x:v>283</x:v>
      </x:c>
      <x:c r="S71" s="88"/>
      <x:c r="T71" s="88" t="s">
        <x:v>259</x:v>
      </x:c>
      <x:c r="U71" s="88" t="s">
        <x:v>867</x:v>
      </x:c>
      <x:c r="V71" s="89">
        <x:v>46045.280631550922</x:v>
      </x:c>
      <x:c r="W71" s="88" t="s">
        <x:v>844</x:v>
      </x:c>
      <x:c r="X71" s="88" t="s">
        <x:v>259</x:v>
      </x:c>
      <x:c r="Y71" s="88" t="s">
        <x:v>457</x:v>
      </x:c>
      <x:c r="Z71" s="89">
        <x:v>46048.260055115737</x:v>
      </x:c>
      <x:c r="AA71" s="88" t="s">
        <x:v>259</x:v>
      </x:c>
      <x:c r="AB71" s="88" t="s">
        <x:v>259</x:v>
      </x:c>
      <x:c r="AC71" s="88" t="s">
        <x:v>271</x:v>
      </x:c>
      <x:c r="AD71" s="89">
        <x:v>46049.122221527781</x:v>
      </x:c>
      <x:c r="AE71" s="88" t="s">
        <x:v>887</x:v>
      </x:c>
      <x:c r="AF71" s="88" t="s">
        <x:v>259</x:v>
      </x:c>
      <x:c r="AG71" s="88" t="s">
        <x:v>271</x:v>
      </x:c>
      <x:c r="AH71" s="89">
        <x:v>46051.161712789355</x:v>
      </x:c>
      <x:c r="AI71" s="88" t="s">
        <x:v>353</x:v>
      </x:c>
      <x:c r="AJ71" s="88" t="s">
        <x:v>888</x:v>
      </x:c>
      <x:c r="AK71" s="88" t="s">
        <x:v>889</x:v>
      </x:c>
      <x:c r="AL71" s="88" t="s">
        <x:v>185</x:v>
      </x:c>
      <x:c r="AM71" s="88" t="s">
        <x:v>890</x:v>
      </x:c>
      <x:c r="AN71" s="88" t="s">
        <x:v>369</x:v>
      </x:c>
      <x:c r="AO71" s="88">
        <x:v>0</x:v>
      </x:c>
    </x:row>
    <x:row r="72">
      <x:c r="A72" s="88" t="s">
        <x:v>891</x:v>
      </x:c>
      <x:c r="B72" s="88" t="s">
        <x:v>892</x:v>
      </x:c>
      <x:c r="C72" s="88" t="s">
        <x:v>867</x:v>
      </x:c>
      <x:c r="D72" s="88" t="s">
        <x:v>248</x:v>
      </x:c>
      <x:c r="E72" s="88" t="s">
        <x:v>342</x:v>
      </x:c>
      <x:c r="F72" s="89">
        <x:v>46045.058469837961</x:v>
      </x:c>
      <x:c r="G72" s="89">
        <x:v>46051.161858113424</x:v>
      </x:c>
      <x:c r="H72" s="89">
        <x:v>46045.278432650462</x:v>
      </x:c>
      <x:c r="I72" s="88" t="s">
        <x:v>893</x:v>
      </x:c>
      <x:c r="J72" s="88" t="s">
        <x:v>894</x:v>
      </x:c>
      <x:c r="K72" s="88" t="s">
        <x:v>380</x:v>
      </x:c>
      <x:c r="L72" s="88" t="s">
        <x:v>543</x:v>
      </x:c>
      <x:c r="M72" s="88" t="s">
        <x:v>842</x:v>
      </x:c>
      <x:c r="N72" s="88"/>
      <x:c r="O72" s="88"/>
      <x:c r="P72" s="88" t="s">
        <x:v>895</x:v>
      </x:c>
      <x:c r="Q72" s="88" t="s">
        <x:v>256</x:v>
      </x:c>
      <x:c r="R72" s="88" t="s">
        <x:v>283</x:v>
      </x:c>
      <x:c r="S72" s="88"/>
      <x:c r="T72" s="88" t="s">
        <x:v>259</x:v>
      </x:c>
      <x:c r="U72" s="88" t="s">
        <x:v>867</x:v>
      </x:c>
      <x:c r="V72" s="89">
        <x:v>46045.280503831018</x:v>
      </x:c>
      <x:c r="W72" s="88" t="s">
        <x:v>844</x:v>
      </x:c>
      <x:c r="X72" s="88" t="s">
        <x:v>259</x:v>
      </x:c>
      <x:c r="Y72" s="88" t="s">
        <x:v>457</x:v>
      </x:c>
      <x:c r="Z72" s="89">
        <x:v>46048.259167002318</x:v>
      </x:c>
      <x:c r="AA72" s="88" t="s">
        <x:v>259</x:v>
      </x:c>
      <x:c r="AB72" s="88" t="s">
        <x:v>259</x:v>
      </x:c>
      <x:c r="AC72" s="88" t="s">
        <x:v>271</x:v>
      </x:c>
      <x:c r="AD72" s="89">
        <x:v>46049.123674027775</x:v>
      </x:c>
      <x:c r="AE72" s="88" t="s">
        <x:v>896</x:v>
      </x:c>
      <x:c r="AF72" s="88" t="s">
        <x:v>259</x:v>
      </x:c>
      <x:c r="AG72" s="88" t="s">
        <x:v>271</x:v>
      </x:c>
      <x:c r="AH72" s="89">
        <x:v>46051.161858125</x:v>
      </x:c>
      <x:c r="AI72" s="88" t="s">
        <x:v>353</x:v>
      </x:c>
      <x:c r="AJ72" s="88" t="s">
        <x:v>897</x:v>
      </x:c>
      <x:c r="AK72" s="88" t="s">
        <x:v>898</x:v>
      </x:c>
      <x:c r="AL72" s="88" t="s">
        <x:v>185</x:v>
      </x:c>
      <x:c r="AM72" s="88" t="s">
        <x:v>899</x:v>
      </x:c>
      <x:c r="AN72" s="88" t="s">
        <x:v>369</x:v>
      </x:c>
      <x:c r="AO72" s="88">
        <x:v>0</x:v>
      </x:c>
    </x:row>
    <x:row r="73">
      <x:c r="A73" s="88" t="s">
        <x:v>900</x:v>
      </x:c>
      <x:c r="B73" s="88" t="s">
        <x:v>901</x:v>
      </x:c>
      <x:c r="C73" s="88" t="s">
        <x:v>867</x:v>
      </x:c>
      <x:c r="D73" s="88" t="s">
        <x:v>248</x:v>
      </x:c>
      <x:c r="E73" s="88" t="s">
        <x:v>342</x:v>
      </x:c>
      <x:c r="F73" s="89">
        <x:v>46045.107575868053</x:v>
      </x:c>
      <x:c r="G73" s="89">
        <x:v>46051.162249548608</x:v>
      </x:c>
      <x:c r="H73" s="89">
        <x:v>46045.277569999998</x:v>
      </x:c>
      <x:c r="I73" s="88" t="s">
        <x:v>877</x:v>
      </x:c>
      <x:c r="J73" s="88" t="s">
        <x:v>878</x:v>
      </x:c>
      <x:c r="K73" s="88" t="s">
        <x:v>380</x:v>
      </x:c>
      <x:c r="L73" s="88" t="s">
        <x:v>543</x:v>
      </x:c>
      <x:c r="M73" s="88" t="s">
        <x:v>842</x:v>
      </x:c>
      <x:c r="N73" s="88"/>
      <x:c r="O73" s="88"/>
      <x:c r="P73" s="88" t="s">
        <x:v>879</x:v>
      </x:c>
      <x:c r="Q73" s="88" t="s">
        <x:v>256</x:v>
      </x:c>
      <x:c r="R73" s="88" t="s">
        <x:v>283</x:v>
      </x:c>
      <x:c r="S73" s="88"/>
      <x:c r="T73" s="88" t="s">
        <x:v>259</x:v>
      </x:c>
      <x:c r="U73" s="88" t="s">
        <x:v>867</x:v>
      </x:c>
      <x:c r="V73" s="89">
        <x:v>46045.280407280094</x:v>
      </x:c>
      <x:c r="W73" s="88" t="s">
        <x:v>844</x:v>
      </x:c>
      <x:c r="X73" s="88" t="s">
        <x:v>259</x:v>
      </x:c>
      <x:c r="Y73" s="88" t="s">
        <x:v>457</x:v>
      </x:c>
      <x:c r="Z73" s="89">
        <x:v>46048.258588703706</x:v>
      </x:c>
      <x:c r="AA73" s="88" t="s">
        <x:v>259</x:v>
      </x:c>
      <x:c r="AB73" s="88" t="s">
        <x:v>259</x:v>
      </x:c>
      <x:c r="AC73" s="88" t="s">
        <x:v>271</x:v>
      </x:c>
      <x:c r="AD73" s="89">
        <x:v>46049.124175185185</x:v>
      </x:c>
      <x:c r="AE73" s="88" t="s">
        <x:v>902</x:v>
      </x:c>
      <x:c r="AF73" s="88" t="s">
        <x:v>259</x:v>
      </x:c>
      <x:c r="AG73" s="88" t="s">
        <x:v>271</x:v>
      </x:c>
      <x:c r="AH73" s="89">
        <x:v>46051.162249548608</x:v>
      </x:c>
      <x:c r="AI73" s="88" t="s">
        <x:v>353</x:v>
      </x:c>
      <x:c r="AJ73" s="88" t="s">
        <x:v>880</x:v>
      </x:c>
      <x:c r="AK73" s="88" t="s">
        <x:v>881</x:v>
      </x:c>
      <x:c r="AL73" s="88" t="s">
        <x:v>185</x:v>
      </x:c>
      <x:c r="AM73" s="88" t="s">
        <x:v>903</x:v>
      </x:c>
      <x:c r="AN73" s="88" t="s">
        <x:v>369</x:v>
      </x:c>
      <x:c r="AO73" s="88">
        <x:v>0</x:v>
      </x:c>
    </x:row>
    <x:row r="74">
      <x:c r="A74" s="88" t="s">
        <x:v>904</x:v>
      </x:c>
      <x:c r="B74" s="88" t="s">
        <x:v>905</x:v>
      </x:c>
      <x:c r="C74" s="88" t="s">
        <x:v>613</x:v>
      </x:c>
      <x:c r="D74" s="88" t="s">
        <x:v>248</x:v>
      </x:c>
      <x:c r="E74" s="88" t="s">
        <x:v>342</x:v>
      </x:c>
      <x:c r="F74" s="89">
        <x:v>46048.090024606485</x:v>
      </x:c>
      <x:c r="G74" s="89">
        <x:v>46052.149452986108</x:v>
      </x:c>
      <x:c r="H74" s="89">
        <x:v>46048.090024606485</x:v>
      </x:c>
      <x:c r="I74" s="88" t="s">
        <x:v>614</x:v>
      </x:c>
      <x:c r="J74" s="88" t="s">
        <x:v>615</x:v>
      </x:c>
      <x:c r="K74" s="88" t="s">
        <x:v>266</x:v>
      </x:c>
      <x:c r="L74" s="88"/>
      <x:c r="M74" s="88" t="s">
        <x:v>616</x:v>
      </x:c>
      <x:c r="N74" s="88" t="s">
        <x:v>252</x:v>
      </x:c>
      <x:c r="O74" s="88" t="s">
        <x:v>252</x:v>
      </x:c>
      <x:c r="P74" s="88" t="s">
        <x:v>906</x:v>
      </x:c>
      <x:c r="Q74" s="88" t="s">
        <x:v>256</x:v>
      </x:c>
      <x:c r="R74" s="88" t="s">
        <x:v>283</x:v>
      </x:c>
      <x:c r="S74" s="88"/>
      <x:c r="T74" s="88" t="s">
        <x:v>259</x:v>
      </x:c>
      <x:c r="U74" s="88" t="s">
        <x:v>613</x:v>
      </x:c>
      <x:c r="V74" s="89">
        <x:v>46048.090865254628</x:v>
      </x:c>
      <x:c r="W74" s="88" t="s">
        <x:v>907</x:v>
      </x:c>
      <x:c r="X74" s="88" t="s">
        <x:v>259</x:v>
      </x:c>
      <x:c r="Y74" s="88" t="s">
        <x:v>616</x:v>
      </x:c>
      <x:c r="Z74" s="89">
        <x:v>46050.263869062503</x:v>
      </x:c>
      <x:c r="AA74" s="88" t="s">
        <x:v>908</x:v>
      </x:c>
      <x:c r="AB74" s="88" t="s">
        <x:v>259</x:v>
      </x:c>
      <x:c r="AC74" s="88" t="s">
        <x:v>271</x:v>
      </x:c>
      <x:c r="AD74" s="89">
        <x:v>46050.280963969904</x:v>
      </x:c>
      <x:c r="AE74" s="88" t="s">
        <x:v>909</x:v>
      </x:c>
      <x:c r="AF74" s="88" t="s">
        <x:v>259</x:v>
      </x:c>
      <x:c r="AG74" s="88" t="s">
        <x:v>500</x:v>
      </x:c>
      <x:c r="AH74" s="89">
        <x:v>46052.149452997684</x:v>
      </x:c>
      <x:c r="AI74" s="88" t="s">
        <x:v>910</x:v>
      </x:c>
      <x:c r="AJ74" s="88" t="s">
        <x:v>622</x:v>
      </x:c>
      <x:c r="AK74" s="88">
        <x:v>747</x:v>
      </x:c>
      <x:c r="AL74" s="88" t="s">
        <x:v>162</x:v>
      </x:c>
      <x:c r="AM74" s="88" t="s">
        <x:v>911</x:v>
      </x:c>
      <x:c r="AN74" s="88" t="s">
        <x:v>414</x:v>
      </x:c>
      <x:c r="AO74" s="88">
        <x:v>14</x:v>
      </x:c>
    </x:row>
    <x:row r="75">
      <x:c r="A75" s="88" t="s">
        <x:v>912</x:v>
      </x:c>
      <x:c r="B75" s="88" t="s">
        <x:v>913</x:v>
      </x:c>
      <x:c r="C75" s="88" t="s">
        <x:v>914</x:v>
      </x:c>
      <x:c r="D75" s="88" t="s">
        <x:v>248</x:v>
      </x:c>
      <x:c r="E75" s="88" t="s">
        <x:v>342</x:v>
      </x:c>
      <x:c r="F75" s="89">
        <x:v>46048.294158622688</x:v>
      </x:c>
      <x:c r="G75" s="89">
        <x:v>46066.293970960651</x:v>
      </x:c>
      <x:c r="H75" s="89">
        <x:v>46048.296167627312</x:v>
      </x:c>
      <x:c r="I75" s="88" t="s">
        <x:v>915</x:v>
      </x:c>
      <x:c r="J75" s="88" t="s">
        <x:v>916</x:v>
      </x:c>
      <x:c r="K75" s="88" t="s">
        <x:v>266</x:v>
      </x:c>
      <x:c r="L75" s="88"/>
      <x:c r="M75" s="88" t="s">
        <x:v>917</x:v>
      </x:c>
      <x:c r="N75" s="88" t="s">
        <x:v>918</x:v>
      </x:c>
      <x:c r="O75" s="88"/>
      <x:c r="P75" s="88" t="s">
        <x:v>919</x:v>
      </x:c>
      <x:c r="Q75" s="88" t="s">
        <x:v>256</x:v>
      </x:c>
      <x:c r="R75" s="88" t="s">
        <x:v>283</x:v>
      </x:c>
      <x:c r="S75" s="88"/>
      <x:c r="T75" s="88" t="s">
        <x:v>259</x:v>
      </x:c>
      <x:c r="U75" s="88" t="s">
        <x:v>914</x:v>
      </x:c>
      <x:c r="V75" s="89">
        <x:v>46048.318922025464</x:v>
      </x:c>
      <x:c r="W75" s="88" t="s">
        <x:v>920</x:v>
      </x:c>
      <x:c r="X75" s="88" t="s">
        <x:v>259</x:v>
      </x:c>
      <x:c r="Y75" s="88" t="s">
        <x:v>917</x:v>
      </x:c>
      <x:c r="Z75" s="89">
        <x:v>46048.352216805557</x:v>
      </x:c>
      <x:c r="AA75" s="88" t="s">
        <x:v>921</x:v>
      </x:c>
      <x:c r="AB75" s="88" t="s">
        <x:v>259</x:v>
      </x:c>
      <x:c r="AC75" s="88" t="s">
        <x:v>271</x:v>
      </x:c>
      <x:c r="AD75" s="89">
        <x:v>46049.120396539351</x:v>
      </x:c>
      <x:c r="AE75" s="88" t="s">
        <x:v>922</x:v>
      </x:c>
      <x:c r="AF75" s="88" t="s">
        <x:v>259</x:v>
      </x:c>
      <x:c r="AG75" s="88" t="s">
        <x:v>387</x:v>
      </x:c>
      <x:c r="AH75" s="89">
        <x:v>46066.29397097222</x:v>
      </x:c>
      <x:c r="AI75" s="88" t="s">
        <x:v>388</x:v>
      </x:c>
      <x:c r="AJ75" s="88" t="s">
        <x:v>923</x:v>
      </x:c>
      <x:c r="AK75" s="88" t="s">
        <x:v>924</x:v>
      </x:c>
      <x:c r="AL75" s="88" t="s">
        <x:v>185</x:v>
      </x:c>
      <x:c r="AM75" s="88" t="s">
        <x:v>925</x:v>
      </x:c>
      <x:c r="AN75" s="88" t="s">
        <x:v>369</x:v>
      </x:c>
      <x:c r="AO75" s="88">
        <x:v>0</x:v>
      </x:c>
    </x:row>
    <x:row r="76">
      <x:c r="A76" s="88" t="s">
        <x:v>926</x:v>
      </x:c>
      <x:c r="B76" s="88" t="s">
        <x:v>927</x:v>
      </x:c>
      <x:c r="C76" s="88" t="s">
        <x:v>914</x:v>
      </x:c>
      <x:c r="D76" s="88" t="s">
        <x:v>248</x:v>
      </x:c>
      <x:c r="E76" s="88" t="s">
        <x:v>342</x:v>
      </x:c>
      <x:c r="F76" s="89">
        <x:v>46048.321216412034</x:v>
      </x:c>
      <x:c r="G76" s="89">
        <x:v>46050.135675370373</x:v>
      </x:c>
      <x:c r="H76" s="89">
        <x:v>46048.321216412034</x:v>
      </x:c>
      <x:c r="I76" s="88" t="s">
        <x:v>928</x:v>
      </x:c>
      <x:c r="J76" s="88" t="s">
        <x:v>929</x:v>
      </x:c>
      <x:c r="K76" s="88" t="s">
        <x:v>266</x:v>
      </x:c>
      <x:c r="L76" s="88"/>
      <x:c r="M76" s="88" t="s">
        <x:v>917</x:v>
      </x:c>
      <x:c r="N76" s="88"/>
      <x:c r="O76" s="88"/>
      <x:c r="P76" s="88" t="s">
        <x:v>930</x:v>
      </x:c>
      <x:c r="Q76" s="88" t="s">
        <x:v>256</x:v>
      </x:c>
      <x:c r="R76" s="88" t="s">
        <x:v>283</x:v>
      </x:c>
      <x:c r="S76" s="88"/>
      <x:c r="T76" s="88" t="s">
        <x:v>259</x:v>
      </x:c>
      <x:c r="U76" s="88" t="s">
        <x:v>914</x:v>
      </x:c>
      <x:c r="V76" s="89">
        <x:v>46048.32158747685</x:v>
      </x:c>
      <x:c r="W76" s="88" t="s">
        <x:v>931</x:v>
      </x:c>
      <x:c r="X76" s="88" t="s">
        <x:v>259</x:v>
      </x:c>
      <x:c r="Y76" s="88" t="s">
        <x:v>917</x:v>
      </x:c>
      <x:c r="Z76" s="89">
        <x:v>46048.346619456017</x:v>
      </x:c>
      <x:c r="AA76" s="88" t="s">
        <x:v>932</x:v>
      </x:c>
      <x:c r="AB76" s="88" t="s">
        <x:v>259</x:v>
      </x:c>
      <x:c r="AC76" s="88" t="s">
        <x:v>271</x:v>
      </x:c>
      <x:c r="AD76" s="89">
        <x:v>46049.120088599535</x:v>
      </x:c>
      <x:c r="AE76" s="88" t="s">
        <x:v>933</x:v>
      </x:c>
      <x:c r="AF76" s="88" t="s">
        <x:v>259</x:v>
      </x:c>
      <x:c r="AG76" s="88" t="s">
        <x:v>387</x:v>
      </x:c>
      <x:c r="AH76" s="89">
        <x:v>46050.135675370373</x:v>
      </x:c>
      <x:c r="AI76" s="88" t="s">
        <x:v>388</x:v>
      </x:c>
      <x:c r="AJ76" s="88" t="s">
        <x:v>934</x:v>
      </x:c>
      <x:c r="AK76" s="88" t="s">
        <x:v>935</x:v>
      </x:c>
      <x:c r="AL76" s="88" t="s">
        <x:v>185</x:v>
      </x:c>
      <x:c r="AM76" s="88" t="s">
        <x:v>936</x:v>
      </x:c>
      <x:c r="AN76" s="88" t="s">
        <x:v>391</x:v>
      </x:c>
      <x:c r="AO76" s="88">
        <x:v>0</x:v>
      </x:c>
    </x:row>
    <x:row r="77">
      <x:c r="A77" s="88" t="s">
        <x:v>937</x:v>
      </x:c>
      <x:c r="B77" s="88" t="s">
        <x:v>938</x:v>
      </x:c>
      <x:c r="C77" s="88" t="s">
        <x:v>939</x:v>
      </x:c>
      <x:c r="D77" s="88" t="s">
        <x:v>248</x:v>
      </x:c>
      <x:c r="E77" s="88" t="s">
        <x:v>342</x:v>
      </x:c>
      <x:c r="F77" s="89">
        <x:v>46048.373163622688</x:v>
      </x:c>
      <x:c r="G77" s="89">
        <x:v>46076.167896134262</x:v>
      </x:c>
      <x:c r="H77" s="89">
        <x:v>46048.37812184028</x:v>
      </x:c>
      <x:c r="I77" s="88" t="s">
        <x:v>940</x:v>
      </x:c>
      <x:c r="J77" s="88" t="s">
        <x:v>941</x:v>
      </x:c>
      <x:c r="K77" s="88" t="s">
        <x:v>266</x:v>
      </x:c>
      <x:c r="L77" s="88"/>
      <x:c r="M77" s="88" t="s">
        <x:v>942</x:v>
      </x:c>
      <x:c r="N77" s="88"/>
      <x:c r="O77" s="88"/>
      <x:c r="P77" s="88" t="s">
        <x:v>943</x:v>
      </x:c>
      <x:c r="Q77" s="88" t="s">
        <x:v>256</x:v>
      </x:c>
      <x:c r="R77" s="88" t="s">
        <x:v>283</x:v>
      </x:c>
      <x:c r="S77" s="88"/>
      <x:c r="T77" s="88" t="s">
        <x:v>259</x:v>
      </x:c>
      <x:c r="U77" s="88" t="s">
        <x:v>939</x:v>
      </x:c>
      <x:c r="V77" s="89">
        <x:v>46048.381695150463</x:v>
      </x:c>
      <x:c r="W77" s="88" t="s">
        <x:v>944</x:v>
      </x:c>
      <x:c r="X77" s="88" t="s">
        <x:v>259</x:v>
      </x:c>
      <x:c r="Y77" s="88" t="s">
        <x:v>945</x:v>
      </x:c>
      <x:c r="Z77" s="89">
        <x:v>46066.184940370367</x:v>
      </x:c>
      <x:c r="AA77" s="88" t="s">
        <x:v>946</x:v>
      </x:c>
      <x:c r="AB77" s="88" t="s">
        <x:v>259</x:v>
      </x:c>
      <x:c r="AC77" s="88" t="s">
        <x:v>271</x:v>
      </x:c>
      <x:c r="AD77" s="89">
        <x:v>46072.292499131945</x:v>
      </x:c>
      <x:c r="AE77" s="88" t="s">
        <x:v>571</x:v>
      </x:c>
      <x:c r="AF77" s="88" t="s">
        <x:v>259</x:v>
      </x:c>
      <x:c r="AG77" s="88" t="s">
        <x:v>387</x:v>
      </x:c>
      <x:c r="AH77" s="89">
        <x:v>46076.167896145831</x:v>
      </x:c>
      <x:c r="AI77" s="88" t="s">
        <x:v>388</x:v>
      </x:c>
      <x:c r="AJ77" s="88" t="s">
        <x:v>947</x:v>
      </x:c>
      <x:c r="AK77" s="88">
        <x:v>1478</x:v>
      </x:c>
      <x:c r="AL77" s="88" t="s">
        <x:v>185</x:v>
      </x:c>
      <x:c r="AM77" s="88" t="s">
        <x:v>948</x:v>
      </x:c>
      <x:c r="AN77" s="88" t="s">
        <x:v>369</x:v>
      </x:c>
      <x:c r="AO77" s="88">
        <x:v>0</x:v>
      </x:c>
    </x:row>
    <x:row r="78">
      <x:c r="A78" s="88" t="s">
        <x:v>949</x:v>
      </x:c>
      <x:c r="B78" s="88" t="s">
        <x:v>950</x:v>
      </x:c>
      <x:c r="C78" s="88" t="s">
        <x:v>951</x:v>
      </x:c>
      <x:c r="D78" s="88" t="s">
        <x:v>248</x:v>
      </x:c>
      <x:c r="E78" s="88" t="s">
        <x:v>342</x:v>
      </x:c>
      <x:c r="F78" s="89">
        <x:v>46049.193185694443</x:v>
      </x:c>
      <x:c r="G78" s="89">
        <x:v>46059.169563275464</x:v>
      </x:c>
      <x:c r="H78" s="89">
        <x:v>46049.193185694443</x:v>
      </x:c>
      <x:c r="I78" s="88" t="s">
        <x:v>952</x:v>
      </x:c>
      <x:c r="J78" s="88" t="s">
        <x:v>953</x:v>
      </x:c>
      <x:c r="K78" s="88" t="s">
        <x:v>954</x:v>
      </x:c>
      <x:c r="L78" s="88"/>
      <x:c r="M78" s="88" t="s">
        <x:v>955</x:v>
      </x:c>
      <x:c r="N78" s="88"/>
      <x:c r="O78" s="88"/>
      <x:c r="P78" s="88" t="s">
        <x:v>956</x:v>
      </x:c>
      <x:c r="Q78" s="88" t="s">
        <x:v>347</x:v>
      </x:c>
      <x:c r="R78" s="88" t="s">
        <x:v>283</x:v>
      </x:c>
      <x:c r="S78" s="88"/>
      <x:c r="T78" s="88" t="s">
        <x:v>259</x:v>
      </x:c>
      <x:c r="U78" s="88" t="s">
        <x:v>951</x:v>
      </x:c>
      <x:c r="V78" s="89">
        <x:v>46050.139356655091</x:v>
      </x:c>
      <x:c r="W78" s="88" t="s">
        <x:v>957</x:v>
      </x:c>
      <x:c r="X78" s="88" t="s">
        <x:v>259</x:v>
      </x:c>
      <x:c r="Y78" s="88" t="s">
        <x:v>955</x:v>
      </x:c>
      <x:c r="Z78" s="89">
        <x:v>46050.279515243055</x:v>
      </x:c>
      <x:c r="AA78" s="88" t="s">
        <x:v>958</x:v>
      </x:c>
      <x:c r="AB78" s="88" t="s">
        <x:v>259</x:v>
      </x:c>
      <x:c r="AC78" s="88" t="s">
        <x:v>271</x:v>
      </x:c>
      <x:c r="AD78" s="89">
        <x:v>46050.282492754632</x:v>
      </x:c>
      <x:c r="AE78" s="88" t="s">
        <x:v>959</x:v>
      </x:c>
      <x:c r="AF78" s="88" t="s">
        <x:v>259</x:v>
      </x:c>
      <x:c r="AG78" s="88" t="s">
        <x:v>387</x:v>
      </x:c>
      <x:c r="AH78" s="89">
        <x:v>46059.169563298608</x:v>
      </x:c>
      <x:c r="AI78" s="88" t="s">
        <x:v>388</x:v>
      </x:c>
      <x:c r="AJ78" s="88" t="s">
        <x:v>960</x:v>
      </x:c>
      <x:c r="AK78" s="88" t="s">
        <x:v>961</x:v>
      </x:c>
      <x:c r="AL78" s="88" t="s">
        <x:v>185</x:v>
      </x:c>
      <x:c r="AM78" s="88" t="s">
        <x:v>962</x:v>
      </x:c>
      <x:c r="AN78" s="88" t="s">
        <x:v>369</x:v>
      </x:c>
      <x:c r="AO78" s="88">
        <x:v>0</x:v>
      </x:c>
    </x:row>
    <x:row r="79">
      <x:c r="A79" s="88" t="s">
        <x:v>963</x:v>
      </x:c>
      <x:c r="B79" s="88" t="s">
        <x:v>964</x:v>
      </x:c>
      <x:c r="C79" s="88" t="s">
        <x:v>965</x:v>
      </x:c>
      <x:c r="D79" s="88" t="s">
        <x:v>248</x:v>
      </x:c>
      <x:c r="E79" s="88" t="s">
        <x:v>342</x:v>
      </x:c>
      <x:c r="F79" s="89">
        <x:v>46049.297464363422</x:v>
      </x:c>
      <x:c r="G79" s="89">
        <x:v>46098.176113993053</x:v>
      </x:c>
      <x:c r="H79" s="89">
        <x:v>46049.297464363422</x:v>
      </x:c>
      <x:c r="I79" s="88" t="s">
        <x:v>966</x:v>
      </x:c>
      <x:c r="J79" s="88" t="s">
        <x:v>967</x:v>
      </x:c>
      <x:c r="K79" s="88" t="s">
        <x:v>380</x:v>
      </x:c>
      <x:c r="L79" s="88" t="s">
        <x:v>408</x:v>
      </x:c>
      <x:c r="M79" s="88" t="s">
        <x:v>968</x:v>
      </x:c>
      <x:c r="N79" s="88"/>
      <x:c r="O79" s="88"/>
      <x:c r="P79" s="88" t="s">
        <x:v>969</x:v>
      </x:c>
      <x:c r="Q79" s="88" t="s">
        <x:v>970</x:v>
      </x:c>
      <x:c r="R79" s="88" t="s">
        <x:v>513</x:v>
      </x:c>
      <x:c r="S79" s="88"/>
      <x:c r="T79" s="88" t="s">
        <x:v>259</x:v>
      </x:c>
      <x:c r="U79" s="88" t="s">
        <x:v>965</x:v>
      </x:c>
      <x:c r="V79" s="89">
        <x:v>46049.298228171298</x:v>
      </x:c>
      <x:c r="W79" s="88" t="s">
        <x:v>971</x:v>
      </x:c>
      <x:c r="X79" s="88" t="s">
        <x:v>259</x:v>
      </x:c>
      <x:c r="Y79" s="88" t="s">
        <x:v>972</x:v>
      </x:c>
      <x:c r="Z79" s="89">
        <x:v>46097.10988611111</x:v>
      </x:c>
      <x:c r="AA79" s="88" t="s">
        <x:v>973</x:v>
      </x:c>
      <x:c r="AB79" s="88" t="s">
        <x:v>259</x:v>
      </x:c>
      <x:c r="AC79" s="88" t="s">
        <x:v>271</x:v>
      </x:c>
      <x:c r="AD79" s="89">
        <x:v>46097.285399988425</x:v>
      </x:c>
      <x:c r="AE79" s="88" t="s">
        <x:v>974</x:v>
      </x:c>
      <x:c r="AF79" s="88" t="s">
        <x:v>259</x:v>
      </x:c>
      <x:c r="AG79" s="88" t="s">
        <x:v>271</x:v>
      </x:c>
      <x:c r="AH79" s="89">
        <x:v>46098.176114004629</x:v>
      </x:c>
      <x:c r="AI79" s="88" t="s">
        <x:v>975</x:v>
      </x:c>
      <x:c r="AJ79" s="88" t="s">
        <x:v>976</x:v>
      </x:c>
      <x:c r="AK79" s="88" t="s">
        <x:v>977</x:v>
      </x:c>
      <x:c r="AL79" s="88" t="s">
        <x:v>162</x:v>
      </x:c>
      <x:c r="AM79" s="88" t="s">
        <x:v>978</x:v>
      </x:c>
      <x:c r="AN79" s="88" t="s">
        <x:v>391</x:v>
      </x:c>
      <x:c r="AO79" s="88">
        <x:v>0</x:v>
      </x:c>
    </x:row>
    <x:row r="80">
      <x:c r="A80" s="88" t="s">
        <x:v>979</x:v>
      </x:c>
      <x:c r="B80" s="88" t="s">
        <x:v>980</x:v>
      </x:c>
      <x:c r="C80" s="88" t="s">
        <x:v>981</x:v>
      </x:c>
      <x:c r="D80" s="88" t="s">
        <x:v>248</x:v>
      </x:c>
      <x:c r="E80" s="88" t="s">
        <x:v>372</x:v>
      </x:c>
      <x:c r="F80" s="89">
        <x:v>46050.013197060187</x:v>
      </x:c>
      <x:c r="G80" s="89">
        <x:v>46050.01579672454</x:v>
      </x:c>
      <x:c r="H80" s="89">
        <x:v>46050.013197060187</x:v>
      </x:c>
      <x:c r="I80" s="88" t="s">
        <x:v>982</x:v>
      </x:c>
      <x:c r="J80" s="88" t="s">
        <x:v>983</x:v>
      </x:c>
      <x:c r="K80" s="88" t="s">
        <x:v>266</x:v>
      </x:c>
      <x:c r="L80" s="88"/>
      <x:c r="M80" s="88" t="s">
        <x:v>984</x:v>
      </x:c>
      <x:c r="N80" s="88"/>
      <x:c r="O80" s="88"/>
      <x:c r="P80" s="88" t="s">
        <x:v>985</x:v>
      </x:c>
      <x:c r="Q80" s="88" t="s">
        <x:v>269</x:v>
      </x:c>
      <x:c r="R80" s="88" t="s">
        <x:v>513</x:v>
      </x:c>
      <x:c r="S80" s="88"/>
      <x:c r="T80" s="88" t="s">
        <x:v>259</x:v>
      </x:c>
      <x:c r="U80" s="88" t="s">
        <x:v>981</x:v>
      </x:c>
      <x:c r="V80" s="89">
        <x:v>46050.015796736108</x:v>
      </x:c>
      <x:c r="W80" s="88" t="s">
        <x:v>986</x:v>
      </x:c>
      <x:c r="X80" s="88"/>
      <x:c r="Y80" s="88" t="s">
        <x:v>984</x:v>
      </x:c>
      <x:c r="Z80" s="89"/>
      <x:c r="AA80" s="88"/>
      <x:c r="AB80" s="88"/>
      <x:c r="AC80" s="88" t="s">
        <x:v>273</x:v>
      </x:c>
      <x:c r="AD80" s="89"/>
      <x:c r="AE80" s="88"/>
      <x:c r="AF80" s="88"/>
      <x:c r="AG80" s="88" t="s">
        <x:v>161</x:v>
      </x:c>
      <x:c r="AH80" s="89"/>
      <x:c r="AI80" s="88"/>
      <x:c r="AJ80" s="88" t="s">
        <x:v>987</x:v>
      </x:c>
      <x:c r="AK80" s="88">
        <x:v>10213</x:v>
      </x:c>
      <x:c r="AL80" s="88"/>
      <x:c r="AM80" s="88"/>
      <x:c r="AN80" s="88" t="s">
        <x:v>414</x:v>
      </x:c>
      <x:c r="AO80" s="88">
        <x:v>30</x:v>
      </x:c>
    </x:row>
    <x:row r="81">
      <x:c r="A81" s="88" t="s">
        <x:v>988</x:v>
      </x:c>
      <x:c r="B81" s="88" t="s">
        <x:v>989</x:v>
      </x:c>
      <x:c r="C81" s="88" t="s">
        <x:v>358</x:v>
      </x:c>
      <x:c r="D81" s="88" t="s">
        <x:v>248</x:v>
      </x:c>
      <x:c r="E81" s="88" t="s">
        <x:v>342</x:v>
      </x:c>
      <x:c r="F81" s="89">
        <x:v>46050.128076469904</x:v>
      </x:c>
      <x:c r="G81" s="89">
        <x:v>46072.825285173611</x:v>
      </x:c>
      <x:c r="H81" s="89">
        <x:v>46051.304994212966</x:v>
      </x:c>
      <x:c r="I81" s="88" t="s">
        <x:v>990</x:v>
      </x:c>
      <x:c r="J81" s="88" t="s">
        <x:v>990</x:v>
      </x:c>
      <x:c r="K81" s="88" t="s">
        <x:v>380</x:v>
      </x:c>
      <x:c r="L81" s="88" t="s">
        <x:v>991</x:v>
      </x:c>
      <x:c r="M81" s="88" t="s">
        <x:v>992</x:v>
      </x:c>
      <x:c r="N81" s="88"/>
      <x:c r="O81" s="88"/>
      <x:c r="P81" s="88" t="s">
        <x:v>993</x:v>
      </x:c>
      <x:c r="Q81" s="88" t="s">
        <x:v>323</x:v>
      </x:c>
      <x:c r="R81" s="88" t="s">
        <x:v>283</x:v>
      </x:c>
      <x:c r="S81" s="88"/>
      <x:c r="T81" s="88" t="s">
        <x:v>259</x:v>
      </x:c>
      <x:c r="U81" s="88" t="s">
        <x:v>358</x:v>
      </x:c>
      <x:c r="V81" s="89">
        <x:v>46051.306624641205</x:v>
      </x:c>
      <x:c r="W81" s="88" t="s">
        <x:v>994</x:v>
      </x:c>
      <x:c r="X81" s="88" t="s">
        <x:v>259</x:v>
      </x:c>
      <x:c r="Y81" s="88" t="s">
        <x:v>995</x:v>
      </x:c>
      <x:c r="Z81" s="89">
        <x:v>46051.312616261574</x:v>
      </x:c>
      <x:c r="AA81" s="88" t="s">
        <x:v>385</x:v>
      </x:c>
      <x:c r="AB81" s="88" t="s">
        <x:v>259</x:v>
      </x:c>
      <x:c r="AC81" s="88" t="s">
        <x:v>271</x:v>
      </x:c>
      <x:c r="AD81" s="89">
        <x:v>46052.034537638887</x:v>
      </x:c>
      <x:c r="AE81" s="88" t="s">
        <x:v>996</x:v>
      </x:c>
      <x:c r="AF81" s="88" t="s">
        <x:v>259</x:v>
      </x:c>
      <x:c r="AG81" s="88" t="s">
        <x:v>271</x:v>
      </x:c>
      <x:c r="AH81" s="89">
        <x:v>46072.825285185187</x:v>
      </x:c>
      <x:c r="AI81" s="88" t="s">
        <x:v>353</x:v>
      </x:c>
      <x:c r="AJ81" s="88" t="s">
        <x:v>997</x:v>
      </x:c>
      <x:c r="AK81" s="88">
        <x:v>3457</x:v>
      </x:c>
      <x:c r="AL81" s="88" t="s">
        <x:v>185</x:v>
      </x:c>
      <x:c r="AM81" s="88" t="s">
        <x:v>998</x:v>
      </x:c>
      <x:c r="AN81" s="88" t="s">
        <x:v>369</x:v>
      </x:c>
      <x:c r="AO81" s="88">
        <x:v>0</x:v>
      </x:c>
    </x:row>
    <x:row r="82">
      <x:c r="A82" s="88" t="s">
        <x:v>999</x:v>
      </x:c>
      <x:c r="B82" s="88" t="s">
        <x:v>1000</x:v>
      </x:c>
      <x:c r="C82" s="88" t="s">
        <x:v>1001</x:v>
      </x:c>
      <x:c r="D82" s="88" t="s">
        <x:v>248</x:v>
      </x:c>
      <x:c r="E82" s="88" t="s">
        <x:v>342</x:v>
      </x:c>
      <x:c r="F82" s="89">
        <x:v>46050.13738940972</x:v>
      </x:c>
      <x:c r="G82" s="89">
        <x:v>46076.306974548614</x:v>
      </x:c>
      <x:c r="H82" s="89">
        <x:v>46050.13738940972</x:v>
      </x:c>
      <x:c r="I82" s="88" t="s">
        <x:v>1002</x:v>
      </x:c>
      <x:c r="J82" s="88" t="s">
        <x:v>1003</x:v>
      </x:c>
      <x:c r="K82" s="88" t="s">
        <x:v>380</x:v>
      </x:c>
      <x:c r="L82" s="88" t="s">
        <x:v>543</x:v>
      </x:c>
      <x:c r="M82" s="88" t="s">
        <x:v>597</x:v>
      </x:c>
      <x:c r="N82" s="88"/>
      <x:c r="O82" s="88"/>
      <x:c r="P82" s="88" t="s">
        <x:v>1004</x:v>
      </x:c>
      <x:c r="Q82" s="88" t="s">
        <x:v>256</x:v>
      </x:c>
      <x:c r="R82" s="88" t="s">
        <x:v>283</x:v>
      </x:c>
      <x:c r="S82" s="88"/>
      <x:c r="T82" s="88" t="s">
        <x:v>259</x:v>
      </x:c>
      <x:c r="U82" s="88" t="s">
        <x:v>1001</x:v>
      </x:c>
      <x:c r="V82" s="89">
        <x:v>46050.147230960647</x:v>
      </x:c>
      <x:c r="W82" s="88" t="s">
        <x:v>1005</x:v>
      </x:c>
      <x:c r="X82" s="88" t="s">
        <x:v>259</x:v>
      </x:c>
      <x:c r="Y82" s="88" t="s">
        <x:v>597</x:v>
      </x:c>
      <x:c r="Z82" s="89">
        <x:v>46057.173802858793</x:v>
      </x:c>
      <x:c r="AA82" s="88" t="s">
        <x:v>1006</x:v>
      </x:c>
      <x:c r="AB82" s="88" t="s">
        <x:v>259</x:v>
      </x:c>
      <x:c r="AC82" s="88" t="s">
        <x:v>271</x:v>
      </x:c>
      <x:c r="AD82" s="89">
        <x:v>46058.091254918982</x:v>
      </x:c>
      <x:c r="AE82" s="88" t="s">
        <x:v>1007</x:v>
      </x:c>
      <x:c r="AF82" s="88" t="s">
        <x:v>259</x:v>
      </x:c>
      <x:c r="AG82" s="88" t="s">
        <x:v>500</x:v>
      </x:c>
      <x:c r="AH82" s="89">
        <x:v>46076.306974548614</x:v>
      </x:c>
      <x:c r="AI82" s="88" t="s">
        <x:v>1007</x:v>
      </x:c>
      <x:c r="AJ82" s="88" t="s">
        <x:v>1008</x:v>
      </x:c>
      <x:c r="AK82" s="88" t="s">
        <x:v>1009</x:v>
      </x:c>
      <x:c r="AL82" s="88" t="s">
        <x:v>185</x:v>
      </x:c>
      <x:c r="AM82" s="88" t="s">
        <x:v>1010</x:v>
      </x:c>
      <x:c r="AN82" s="88" t="s">
        <x:v>391</x:v>
      </x:c>
      <x:c r="AO82" s="88">
        <x:v>0</x:v>
      </x:c>
    </x:row>
    <x:row r="83">
      <x:c r="A83" s="88" t="s">
        <x:v>1011</x:v>
      </x:c>
      <x:c r="B83" s="88" t="s">
        <x:v>1012</x:v>
      </x:c>
      <x:c r="C83" s="88" t="s">
        <x:v>1001</x:v>
      </x:c>
      <x:c r="D83" s="88" t="s">
        <x:v>248</x:v>
      </x:c>
      <x:c r="E83" s="88" t="s">
        <x:v>342</x:v>
      </x:c>
      <x:c r="F83" s="89">
        <x:v>46050.159425289348</x:v>
      </x:c>
      <x:c r="G83" s="89">
        <x:v>46076.297735509259</x:v>
      </x:c>
      <x:c r="H83" s="89">
        <x:v>46050.159425289348</x:v>
      </x:c>
      <x:c r="I83" s="88" t="s">
        <x:v>1013</x:v>
      </x:c>
      <x:c r="J83" s="88" t="s">
        <x:v>1014</x:v>
      </x:c>
      <x:c r="K83" s="88" t="s">
        <x:v>380</x:v>
      </x:c>
      <x:c r="L83" s="88" t="s">
        <x:v>543</x:v>
      </x:c>
      <x:c r="M83" s="88" t="s">
        <x:v>597</x:v>
      </x:c>
      <x:c r="N83" s="88"/>
      <x:c r="O83" s="88"/>
      <x:c r="P83" s="88" t="s">
        <x:v>1005</x:v>
      </x:c>
      <x:c r="Q83" s="88" t="s">
        <x:v>256</x:v>
      </x:c>
      <x:c r="R83" s="88" t="s">
        <x:v>283</x:v>
      </x:c>
      <x:c r="S83" s="88"/>
      <x:c r="T83" s="88" t="s">
        <x:v>259</x:v>
      </x:c>
      <x:c r="U83" s="88" t="s">
        <x:v>1001</x:v>
      </x:c>
      <x:c r="V83" s="89">
        <x:v>46050.165020555556</x:v>
      </x:c>
      <x:c r="W83" s="88" t="s">
        <x:v>1005</x:v>
      </x:c>
      <x:c r="X83" s="88" t="s">
        <x:v>259</x:v>
      </x:c>
      <x:c r="Y83" s="88" t="s">
        <x:v>597</x:v>
      </x:c>
      <x:c r="Z83" s="89">
        <x:v>46057.172987337966</x:v>
      </x:c>
      <x:c r="AA83" s="88" t="s">
        <x:v>1006</x:v>
      </x:c>
      <x:c r="AB83" s="88" t="s">
        <x:v>259</x:v>
      </x:c>
      <x:c r="AC83" s="88" t="s">
        <x:v>271</x:v>
      </x:c>
      <x:c r="AD83" s="89">
        <x:v>46058.083600717589</x:v>
      </x:c>
      <x:c r="AE83" s="88" t="s">
        <x:v>1015</x:v>
      </x:c>
      <x:c r="AF83" s="88" t="s">
        <x:v>259</x:v>
      </x:c>
      <x:c r="AG83" s="88" t="s">
        <x:v>500</x:v>
      </x:c>
      <x:c r="AH83" s="89">
        <x:v>46076.297735520835</x:v>
      </x:c>
      <x:c r="AI83" s="88" t="s">
        <x:v>1016</x:v>
      </x:c>
      <x:c r="AJ83" s="88" t="s">
        <x:v>1017</x:v>
      </x:c>
      <x:c r="AK83" s="88" t="s">
        <x:v>1018</x:v>
      </x:c>
      <x:c r="AL83" s="88" t="s">
        <x:v>185</x:v>
      </x:c>
      <x:c r="AM83" s="88" t="s">
        <x:v>1019</x:v>
      </x:c>
      <x:c r="AN83" s="88" t="s">
        <x:v>391</x:v>
      </x:c>
      <x:c r="AO83" s="88">
        <x:v>0</x:v>
      </x:c>
    </x:row>
    <x:row r="84">
      <x:c r="A84" s="88" t="s">
        <x:v>1020</x:v>
      </x:c>
      <x:c r="B84" s="88" t="s">
        <x:v>1021</x:v>
      </x:c>
      <x:c r="C84" s="88" t="s">
        <x:v>1022</x:v>
      </x:c>
      <x:c r="D84" s="88" t="s">
        <x:v>248</x:v>
      </x:c>
      <x:c r="E84" s="88" t="s">
        <x:v>342</x:v>
      </x:c>
      <x:c r="F84" s="89">
        <x:v>46050.164356331021</x:v>
      </x:c>
      <x:c r="G84" s="89">
        <x:v>46064.167046076385</x:v>
      </x:c>
      <x:c r="H84" s="89">
        <x:v>46050.164356331021</x:v>
      </x:c>
      <x:c r="I84" s="88" t="s">
        <x:v>1023</x:v>
      </x:c>
      <x:c r="J84" s="88" t="s">
        <x:v>1024</x:v>
      </x:c>
      <x:c r="K84" s="88" t="s">
        <x:v>380</x:v>
      </x:c>
      <x:c r="L84" s="88" t="s">
        <x:v>1025</x:v>
      </x:c>
      <x:c r="M84" s="88" t="s">
        <x:v>616</x:v>
      </x:c>
      <x:c r="N84" s="88"/>
      <x:c r="O84" s="88"/>
      <x:c r="P84" s="88" t="s">
        <x:v>1026</x:v>
      </x:c>
      <x:c r="Q84" s="88" t="s">
        <x:v>256</x:v>
      </x:c>
      <x:c r="R84" s="88" t="s">
        <x:v>283</x:v>
      </x:c>
      <x:c r="S84" s="88"/>
      <x:c r="T84" s="88" t="s">
        <x:v>259</x:v>
      </x:c>
      <x:c r="U84" s="88" t="s">
        <x:v>1022</x:v>
      </x:c>
      <x:c r="V84" s="89">
        <x:v>46050.16481652778</x:v>
      </x:c>
      <x:c r="W84" s="88" t="s">
        <x:v>1027</x:v>
      </x:c>
      <x:c r="X84" s="88" t="s">
        <x:v>259</x:v>
      </x:c>
      <x:c r="Y84" s="88" t="s">
        <x:v>616</x:v>
      </x:c>
      <x:c r="Z84" s="89">
        <x:v>46050.266812557871</x:v>
      </x:c>
      <x:c r="AA84" s="88" t="s">
        <x:v>1028</x:v>
      </x:c>
      <x:c r="AB84" s="88" t="s">
        <x:v>259</x:v>
      </x:c>
      <x:c r="AC84" s="88" t="s">
        <x:v>271</x:v>
      </x:c>
      <x:c r="AD84" s="89">
        <x:v>46050.28605560185</x:v>
      </x:c>
      <x:c r="AE84" s="88" t="s">
        <x:v>1029</x:v>
      </x:c>
      <x:c r="AF84" s="88" t="s">
        <x:v>259</x:v>
      </x:c>
      <x:c r="AG84" s="88" t="s">
        <x:v>387</x:v>
      </x:c>
      <x:c r="AH84" s="89">
        <x:v>46064.167046087961</x:v>
      </x:c>
      <x:c r="AI84" s="88" t="s">
        <x:v>388</x:v>
      </x:c>
      <x:c r="AJ84" s="88" t="s">
        <x:v>1030</x:v>
      </x:c>
      <x:c r="AK84" s="88" t="s">
        <x:v>1031</x:v>
      </x:c>
      <x:c r="AL84" s="88" t="s">
        <x:v>193</x:v>
      </x:c>
      <x:c r="AM84" s="88" t="s">
        <x:v>1032</x:v>
      </x:c>
      <x:c r="AN84" s="88" t="s">
        <x:v>369</x:v>
      </x:c>
      <x:c r="AO84" s="88">
        <x:v>0</x:v>
      </x:c>
    </x:row>
    <x:row r="85">
      <x:c r="A85" s="88" t="s">
        <x:v>1033</x:v>
      </x:c>
      <x:c r="B85" s="88" t="s">
        <x:v>1034</x:v>
      </x:c>
      <x:c r="C85" s="88" t="s">
        <x:v>1001</x:v>
      </x:c>
      <x:c r="D85" s="88" t="s">
        <x:v>248</x:v>
      </x:c>
      <x:c r="E85" s="88" t="s">
        <x:v>342</x:v>
      </x:c>
      <x:c r="F85" s="89">
        <x:v>46050.254708935186</x:v>
      </x:c>
      <x:c r="G85" s="89">
        <x:v>46076.326178263887</x:v>
      </x:c>
      <x:c r="H85" s="89">
        <x:v>46050.254708935186</x:v>
      </x:c>
      <x:c r="I85" s="88" t="s">
        <x:v>1035</x:v>
      </x:c>
      <x:c r="J85" s="88" t="s">
        <x:v>1036</x:v>
      </x:c>
      <x:c r="K85" s="88" t="s">
        <x:v>380</x:v>
      </x:c>
      <x:c r="L85" s="88" t="s">
        <x:v>543</x:v>
      </x:c>
      <x:c r="M85" s="88" t="s">
        <x:v>597</x:v>
      </x:c>
      <x:c r="N85" s="88"/>
      <x:c r="O85" s="88"/>
      <x:c r="P85" s="88" t="s">
        <x:v>1005</x:v>
      </x:c>
      <x:c r="Q85" s="88" t="s">
        <x:v>256</x:v>
      </x:c>
      <x:c r="R85" s="88" t="s">
        <x:v>283</x:v>
      </x:c>
      <x:c r="S85" s="88"/>
      <x:c r="T85" s="88" t="s">
        <x:v>259</x:v>
      </x:c>
      <x:c r="U85" s="88" t="s">
        <x:v>1001</x:v>
      </x:c>
      <x:c r="V85" s="89">
        <x:v>46050.326638321756</x:v>
      </x:c>
      <x:c r="W85" s="88" t="s">
        <x:v>1005</x:v>
      </x:c>
      <x:c r="X85" s="88" t="s">
        <x:v>259</x:v>
      </x:c>
      <x:c r="Y85" s="88" t="s">
        <x:v>597</x:v>
      </x:c>
      <x:c r="Z85" s="89">
        <x:v>46057.172239803243</x:v>
      </x:c>
      <x:c r="AA85" s="88" t="s">
        <x:v>1006</x:v>
      </x:c>
      <x:c r="AB85" s="88" t="s">
        <x:v>259</x:v>
      </x:c>
      <x:c r="AC85" s="88" t="s">
        <x:v>271</x:v>
      </x:c>
      <x:c r="AD85" s="89">
        <x:v>46058.116220625001</x:v>
      </x:c>
      <x:c r="AE85" s="88" t="s">
        <x:v>1037</x:v>
      </x:c>
      <x:c r="AF85" s="88" t="s">
        <x:v>259</x:v>
      </x:c>
      <x:c r="AG85" s="88" t="s">
        <x:v>500</x:v>
      </x:c>
      <x:c r="AH85" s="89">
        <x:v>46076.326178298608</x:v>
      </x:c>
      <x:c r="AI85" s="88" t="s">
        <x:v>1037</x:v>
      </x:c>
      <x:c r="AJ85" s="88" t="s">
        <x:v>1038</x:v>
      </x:c>
      <x:c r="AK85" s="88" t="s">
        <x:v>1035</x:v>
      </x:c>
      <x:c r="AL85" s="88" t="s">
        <x:v>185</x:v>
      </x:c>
      <x:c r="AM85" s="88" t="s">
        <x:v>1039</x:v>
      </x:c>
      <x:c r="AN85" s="88" t="s">
        <x:v>391</x:v>
      </x:c>
      <x:c r="AO85" s="88">
        <x:v>0</x:v>
      </x:c>
    </x:row>
    <x:row r="86">
      <x:c r="A86" s="88" t="s">
        <x:v>1040</x:v>
      </x:c>
      <x:c r="B86" s="88" t="s">
        <x:v>1041</x:v>
      </x:c>
      <x:c r="C86" s="88" t="s">
        <x:v>358</x:v>
      </x:c>
      <x:c r="D86" s="88" t="s">
        <x:v>248</x:v>
      </x:c>
      <x:c r="E86" s="88" t="s">
        <x:v>342</x:v>
      </x:c>
      <x:c r="F86" s="89">
        <x:v>46050.273656840276</x:v>
      </x:c>
      <x:c r="G86" s="89">
        <x:v>46052.200923182871</x:v>
      </x:c>
      <x:c r="H86" s="89">
        <x:v>46050.273656840276</x:v>
      </x:c>
      <x:c r="I86" s="88" t="s">
        <x:v>1042</x:v>
      </x:c>
      <x:c r="J86" s="88" t="s">
        <x:v>1043</x:v>
      </x:c>
      <x:c r="K86" s="88" t="s">
        <x:v>266</x:v>
      </x:c>
      <x:c r="L86" s="88"/>
      <x:c r="M86" s="88" t="s">
        <x:v>361</x:v>
      </x:c>
      <x:c r="N86" s="88"/>
      <x:c r="O86" s="88"/>
      <x:c r="P86" s="88" t="s">
        <x:v>1044</x:v>
      </x:c>
      <x:c r="Q86" s="88" t="s">
        <x:v>256</x:v>
      </x:c>
      <x:c r="R86" s="88" t="s">
        <x:v>257</x:v>
      </x:c>
      <x:c r="S86" s="88"/>
      <x:c r="T86" s="88" t="s">
        <x:v>259</x:v>
      </x:c>
      <x:c r="U86" s="88" t="s">
        <x:v>358</x:v>
      </x:c>
      <x:c r="V86" s="89">
        <x:v>46050.274976620371</x:v>
      </x:c>
      <x:c r="W86" s="88" t="s">
        <x:v>1045</x:v>
      </x:c>
      <x:c r="X86" s="88" t="s">
        <x:v>259</x:v>
      </x:c>
      <x:c r="Y86" s="88" t="s">
        <x:v>365</x:v>
      </x:c>
      <x:c r="Z86" s="89">
        <x:v>46050.339986967592</x:v>
      </x:c>
      <x:c r="AA86" s="88" t="s">
        <x:v>1046</x:v>
      </x:c>
      <x:c r="AB86" s="88" t="s">
        <x:v>259</x:v>
      </x:c>
      <x:c r="AC86" s="88" t="s">
        <x:v>271</x:v>
      </x:c>
      <x:c r="AD86" s="89">
        <x:v>46051.186006539348</x:v>
      </x:c>
      <x:c r="AE86" s="88" t="s">
        <x:v>1047</x:v>
      </x:c>
      <x:c r="AF86" s="88" t="s">
        <x:v>259</x:v>
      </x:c>
      <x:c r="AG86" s="88" t="s">
        <x:v>271</x:v>
      </x:c>
      <x:c r="AH86" s="89">
        <x:v>46052.200923194447</x:v>
      </x:c>
      <x:c r="AI86" s="88" t="s">
        <x:v>353</x:v>
      </x:c>
      <x:c r="AJ86" s="88" t="s">
        <x:v>1048</x:v>
      </x:c>
      <x:c r="AK86" s="88">
        <x:v>313</x:v>
      </x:c>
      <x:c r="AL86" s="88" t="s">
        <x:v>185</x:v>
      </x:c>
      <x:c r="AM86" s="88" t="s">
        <x:v>1049</x:v>
      </x:c>
      <x:c r="AN86" s="88" t="s">
        <x:v>391</x:v>
      </x:c>
      <x:c r="AO86" s="88">
        <x:v>0</x:v>
      </x:c>
    </x:row>
    <x:row r="87">
      <x:c r="A87" s="88" t="s">
        <x:v>1050</x:v>
      </x:c>
      <x:c r="B87" s="88" t="s">
        <x:v>1051</x:v>
      </x:c>
      <x:c r="C87" s="88" t="s">
        <x:v>1052</x:v>
      </x:c>
      <x:c r="D87" s="88" t="s">
        <x:v>248</x:v>
      </x:c>
      <x:c r="E87" s="88" t="s">
        <x:v>342</x:v>
      </x:c>
      <x:c r="F87" s="89">
        <x:v>46050.330619236112</x:v>
      </x:c>
      <x:c r="G87" s="89">
        <x:v>46052.156467719906</x:v>
      </x:c>
      <x:c r="H87" s="89">
        <x:v>46050.332872743056</x:v>
      </x:c>
      <x:c r="I87" s="88" t="s">
        <x:v>1053</x:v>
      </x:c>
      <x:c r="J87" s="88" t="s">
        <x:v>1054</x:v>
      </x:c>
      <x:c r="K87" s="88" t="s">
        <x:v>266</x:v>
      </x:c>
      <x:c r="L87" s="88"/>
      <x:c r="M87" s="88" t="s">
        <x:v>1055</x:v>
      </x:c>
      <x:c r="N87" s="88" t="s">
        <x:v>1056</x:v>
      </x:c>
      <x:c r="O87" s="88"/>
      <x:c r="P87" s="88" t="s">
        <x:v>1057</x:v>
      </x:c>
      <x:c r="Q87" s="88" t="s">
        <x:v>256</x:v>
      </x:c>
      <x:c r="R87" s="88" t="s">
        <x:v>283</x:v>
      </x:c>
      <x:c r="S87" s="88"/>
      <x:c r="T87" s="88" t="s">
        <x:v>259</x:v>
      </x:c>
      <x:c r="U87" s="88" t="s">
        <x:v>1052</x:v>
      </x:c>
      <x:c r="V87" s="89">
        <x:v>46050.361568703702</x:v>
      </x:c>
      <x:c r="W87" s="88" t="s">
        <x:v>1058</x:v>
      </x:c>
      <x:c r="X87" s="88" t="s">
        <x:v>259</x:v>
      </x:c>
      <x:c r="Y87" s="88" t="s">
        <x:v>1059</x:v>
      </x:c>
      <x:c r="Z87" s="89">
        <x:v>46051.127006875002</x:v>
      </x:c>
      <x:c r="AA87" s="88" t="s">
        <x:v>1060</x:v>
      </x:c>
      <x:c r="AB87" s="88" t="s">
        <x:v>259</x:v>
      </x:c>
      <x:c r="AC87" s="88" t="s">
        <x:v>271</x:v>
      </x:c>
      <x:c r="AD87" s="89">
        <x:v>46051.163560659719</x:v>
      </x:c>
      <x:c r="AE87" s="88" t="s">
        <x:v>1061</x:v>
      </x:c>
      <x:c r="AF87" s="88" t="s">
        <x:v>259</x:v>
      </x:c>
      <x:c r="AG87" s="88" t="s">
        <x:v>271</x:v>
      </x:c>
      <x:c r="AH87" s="89">
        <x:v>46052.156467719906</x:v>
      </x:c>
      <x:c r="AI87" s="88" t="s">
        <x:v>353</x:v>
      </x:c>
      <x:c r="AJ87" s="88" t="s">
        <x:v>1062</x:v>
      </x:c>
      <x:c r="AK87" s="88" t="s">
        <x:v>1063</x:v>
      </x:c>
      <x:c r="AL87" s="88" t="s">
        <x:v>185</x:v>
      </x:c>
      <x:c r="AM87" s="88" t="s">
        <x:v>1064</x:v>
      </x:c>
      <x:c r="AN87" s="88" t="s">
        <x:v>414</x:v>
      </x:c>
      <x:c r="AO87" s="88"/>
    </x:row>
    <x:row r="88">
      <x:c r="A88" s="88" t="s">
        <x:v>1065</x:v>
      </x:c>
      <x:c r="B88" s="88" t="s">
        <x:v>1066</x:v>
      </x:c>
      <x:c r="C88" s="88" t="s">
        <x:v>1067</x:v>
      </x:c>
      <x:c r="D88" s="88" t="s">
        <x:v>248</x:v>
      </x:c>
      <x:c r="E88" s="88" t="s">
        <x:v>342</x:v>
      </x:c>
      <x:c r="F88" s="89">
        <x:v>46050.367443229166</x:v>
      </x:c>
      <x:c r="G88" s="89">
        <x:v>46058.0780556713</x:v>
      </x:c>
      <x:c r="H88" s="89">
        <x:v>46050.367443229166</x:v>
      </x:c>
      <x:c r="I88" s="88" t="s">
        <x:v>1068</x:v>
      </x:c>
      <x:c r="J88" s="88" t="s">
        <x:v>1069</x:v>
      </x:c>
      <x:c r="K88" s="88" t="s">
        <x:v>954</x:v>
      </x:c>
      <x:c r="L88" s="88"/>
      <x:c r="M88" s="88" t="s">
        <x:v>1070</x:v>
      </x:c>
      <x:c r="N88" s="88"/>
      <x:c r="O88" s="88"/>
      <x:c r="P88" s="88" t="s">
        <x:v>1071</x:v>
      </x:c>
      <x:c r="Q88" s="88" t="s">
        <x:v>323</x:v>
      </x:c>
      <x:c r="R88" s="88" t="s">
        <x:v>348</x:v>
      </x:c>
      <x:c r="S88" s="88"/>
      <x:c r="T88" s="88" t="s">
        <x:v>259</x:v>
      </x:c>
      <x:c r="U88" s="88" t="s">
        <x:v>1067</x:v>
      </x:c>
      <x:c r="V88" s="89">
        <x:v>46050.368045405092</x:v>
      </x:c>
      <x:c r="W88" s="88" t="s">
        <x:v>1072</x:v>
      </x:c>
      <x:c r="X88" s="88" t="s">
        <x:v>259</x:v>
      </x:c>
      <x:c r="Y88" s="88" t="s">
        <x:v>1070</x:v>
      </x:c>
      <x:c r="Z88" s="89">
        <x:v>46050.372398125</x:v>
      </x:c>
      <x:c r="AA88" s="88" t="s">
        <x:v>1073</x:v>
      </x:c>
      <x:c r="AB88" s="88" t="s">
        <x:v>259</x:v>
      </x:c>
      <x:c r="AC88" s="88" t="s">
        <x:v>1074</x:v>
      </x:c>
      <x:c r="AD88" s="89">
        <x:v>46051.199043680557</x:v>
      </x:c>
      <x:c r="AE88" s="88" t="s">
        <x:v>1075</x:v>
      </x:c>
      <x:c r="AF88" s="88" t="s">
        <x:v>259</x:v>
      </x:c>
      <x:c r="AG88" s="88" t="s">
        <x:v>1074</x:v>
      </x:c>
      <x:c r="AH88" s="89">
        <x:v>46058.078055682869</x:v>
      </x:c>
      <x:c r="AI88" s="88" t="s">
        <x:v>1076</x:v>
      </x:c>
      <x:c r="AJ88" s="88" t="s">
        <x:v>1077</x:v>
      </x:c>
      <x:c r="AK88" s="88">
        <x:v>3374</x:v>
      </x:c>
      <x:c r="AL88" s="88" t="s">
        <x:v>162</x:v>
      </x:c>
      <x:c r="AM88" s="88" t="s">
        <x:v>1078</x:v>
      </x:c>
      <x:c r="AN88" s="88" t="s">
        <x:v>369</x:v>
      </x:c>
      <x:c r="AO88" s="88">
        <x:v>0</x:v>
      </x:c>
    </x:row>
    <x:row r="89">
      <x:c r="A89" s="88" t="s">
        <x:v>1079</x:v>
      </x:c>
      <x:c r="B89" s="88" t="s">
        <x:v>1080</x:v>
      </x:c>
      <x:c r="C89" s="88" t="s">
        <x:v>1081</x:v>
      </x:c>
      <x:c r="D89" s="88" t="s">
        <x:v>248</x:v>
      </x:c>
      <x:c r="E89" s="88" t="s">
        <x:v>278</x:v>
      </x:c>
      <x:c r="F89" s="89">
        <x:v>46051.076688877314</x:v>
      </x:c>
      <x:c r="G89" s="89">
        <x:v>46051.077641909724</x:v>
      </x:c>
      <x:c r="H89" s="89">
        <x:v>46051.076688877314</x:v>
      </x:c>
      <x:c r="I89" s="88" t="s">
        <x:v>1082</x:v>
      </x:c>
      <x:c r="J89" s="88" t="s">
        <x:v>1083</x:v>
      </x:c>
      <x:c r="K89" s="88" t="s">
        <x:v>266</x:v>
      </x:c>
      <x:c r="L89" s="88"/>
      <x:c r="M89" s="88" t="s">
        <x:v>1084</x:v>
      </x:c>
      <x:c r="N89" s="88" t="s">
        <x:v>1085</x:v>
      </x:c>
      <x:c r="O89" s="88"/>
      <x:c r="P89" s="88" t="s">
        <x:v>1086</x:v>
      </x:c>
      <x:c r="Q89" s="88" t="s">
        <x:v>970</x:v>
      </x:c>
      <x:c r="R89" s="88" t="s">
        <x:v>1087</x:v>
      </x:c>
      <x:c r="S89" s="88"/>
      <x:c r="T89" s="88" t="s">
        <x:v>249</x:v>
      </x:c>
      <x:c r="U89" s="88" t="s">
        <x:v>1081</x:v>
      </x:c>
      <x:c r="V89" s="89">
        <x:v>46051.0776419213</x:v>
      </x:c>
      <x:c r="W89" s="88"/>
      <x:c r="X89" s="88"/>
      <x:c r="Y89" s="88" t="s">
        <x:v>1084</x:v>
      </x:c>
      <x:c r="Z89" s="89"/>
      <x:c r="AA89" s="88"/>
      <x:c r="AB89" s="88"/>
      <x:c r="AC89" s="88" t="s">
        <x:v>273</x:v>
      </x:c>
      <x:c r="AD89" s="89"/>
      <x:c r="AE89" s="88"/>
      <x:c r="AF89" s="88"/>
      <x:c r="AG89" s="88" t="s">
        <x:v>161</x:v>
      </x:c>
      <x:c r="AH89" s="89"/>
      <x:c r="AI89" s="88"/>
      <x:c r="AJ89" s="88" t="s">
        <x:v>1088</x:v>
      </x:c>
      <x:c r="AK89" s="88">
        <x:v>1726</x:v>
      </x:c>
      <x:c r="AL89" s="88"/>
      <x:c r="AM89" s="88"/>
      <x:c r="AN89" s="88" t="s">
        <x:v>414</x:v>
      </x:c>
      <x:c r="AO89" s="88">
        <x:v>90</x:v>
      </x:c>
    </x:row>
    <x:row r="90">
      <x:c r="A90" s="88" t="s">
        <x:v>1089</x:v>
      </x:c>
      <x:c r="B90" s="88" t="s">
        <x:v>1090</x:v>
      </x:c>
      <x:c r="C90" s="88" t="s">
        <x:v>1081</x:v>
      </x:c>
      <x:c r="D90" s="88" t="s">
        <x:v>248</x:v>
      </x:c>
      <x:c r="E90" s="88" t="s">
        <x:v>342</x:v>
      </x:c>
      <x:c r="F90" s="89">
        <x:v>46051.14567229167</x:v>
      </x:c>
      <x:c r="G90" s="89">
        <x:v>46064.311223715275</x:v>
      </x:c>
      <x:c r="H90" s="89">
        <x:v>46051.14567229167</x:v>
      </x:c>
      <x:c r="I90" s="88" t="s">
        <x:v>1082</x:v>
      </x:c>
      <x:c r="J90" s="88" t="s">
        <x:v>1083</x:v>
      </x:c>
      <x:c r="K90" s="88" t="s">
        <x:v>954</x:v>
      </x:c>
      <x:c r="L90" s="88"/>
      <x:c r="M90" s="88" t="s">
        <x:v>1084</x:v>
      </x:c>
      <x:c r="N90" s="88"/>
      <x:c r="O90" s="88"/>
      <x:c r="P90" s="88" t="s">
        <x:v>1091</x:v>
      </x:c>
      <x:c r="Q90" s="88" t="s">
        <x:v>970</x:v>
      </x:c>
      <x:c r="R90" s="88" t="s">
        <x:v>1087</x:v>
      </x:c>
      <x:c r="S90" s="88"/>
      <x:c r="T90" s="88" t="s">
        <x:v>259</x:v>
      </x:c>
      <x:c r="U90" s="88" t="s">
        <x:v>1081</x:v>
      </x:c>
      <x:c r="V90" s="89">
        <x:v>46051.264994293982</x:v>
      </x:c>
      <x:c r="W90" s="88" t="s">
        <x:v>1091</x:v>
      </x:c>
      <x:c r="X90" s="88" t="s">
        <x:v>259</x:v>
      </x:c>
      <x:c r="Y90" s="88" t="s">
        <x:v>1084</x:v>
      </x:c>
      <x:c r="Z90" s="89">
        <x:v>46057.308362777774</x:v>
      </x:c>
      <x:c r="AA90" s="88" t="s">
        <x:v>1092</x:v>
      </x:c>
      <x:c r="AB90" s="88" t="s">
        <x:v>259</x:v>
      </x:c>
      <x:c r="AC90" s="88" t="s">
        <x:v>1074</x:v>
      </x:c>
      <x:c r="AD90" s="89">
        <x:v>46064.307258622684</x:v>
      </x:c>
      <x:c r="AE90" s="88" t="s">
        <x:v>1093</x:v>
      </x:c>
      <x:c r="AF90" s="88" t="s">
        <x:v>259</x:v>
      </x:c>
      <x:c r="AG90" s="88" t="s">
        <x:v>1074</x:v>
      </x:c>
      <x:c r="AH90" s="89">
        <x:v>46064.311223726851</x:v>
      </x:c>
      <x:c r="AI90" s="88" t="s">
        <x:v>1094</x:v>
      </x:c>
      <x:c r="AJ90" s="88" t="s">
        <x:v>1088</x:v>
      </x:c>
      <x:c r="AK90" s="88">
        <x:v>1726</x:v>
      </x:c>
      <x:c r="AL90" s="88" t="s">
        <x:v>162</x:v>
      </x:c>
      <x:c r="AM90" s="88" t="s">
        <x:v>1095</x:v>
      </x:c>
      <x:c r="AN90" s="88" t="s">
        <x:v>414</x:v>
      </x:c>
      <x:c r="AO90" s="88">
        <x:v>90</x:v>
      </x:c>
    </x:row>
    <x:row r="91">
      <x:c r="A91" s="88" t="s">
        <x:v>1096</x:v>
      </x:c>
      <x:c r="B91" s="88" t="s">
        <x:v>1097</x:v>
      </x:c>
      <x:c r="C91" s="88" t="s">
        <x:v>1098</x:v>
      </x:c>
      <x:c r="D91" s="88" t="s">
        <x:v>248</x:v>
      </x:c>
      <x:c r="E91" s="88" t="s">
        <x:v>342</x:v>
      </x:c>
      <x:c r="F91" s="89">
        <x:v>46051.290883298614</x:v>
      </x:c>
      <x:c r="G91" s="89">
        <x:v>46053.176320694445</x:v>
      </x:c>
      <x:c r="H91" s="89">
        <x:v>46051.290883298614</x:v>
      </x:c>
      <x:c r="I91" s="88" t="s">
        <x:v>1099</x:v>
      </x:c>
      <x:c r="J91" s="88" t="s">
        <x:v>1100</x:v>
      </x:c>
      <x:c r="K91" s="88" t="s">
        <x:v>266</x:v>
      </x:c>
      <x:c r="L91" s="88"/>
      <x:c r="M91" s="88" t="s">
        <x:v>1101</x:v>
      </x:c>
      <x:c r="N91" s="88"/>
      <x:c r="O91" s="88"/>
      <x:c r="P91" s="88" t="s">
        <x:v>1102</x:v>
      </x:c>
      <x:c r="Q91" s="88" t="s">
        <x:v>256</x:v>
      </x:c>
      <x:c r="R91" s="88" t="s">
        <x:v>283</x:v>
      </x:c>
      <x:c r="S91" s="88"/>
      <x:c r="T91" s="88" t="s">
        <x:v>259</x:v>
      </x:c>
      <x:c r="U91" s="88" t="s">
        <x:v>1098</x:v>
      </x:c>
      <x:c r="V91" s="89">
        <x:v>46051.293465983799</x:v>
      </x:c>
      <x:c r="W91" s="88" t="s">
        <x:v>1102</x:v>
      </x:c>
      <x:c r="X91" s="88" t="s">
        <x:v>259</x:v>
      </x:c>
      <x:c r="Y91" s="88" t="s">
        <x:v>1101</x:v>
      </x:c>
      <x:c r="Z91" s="89">
        <x:v>46052.070550081022</x:v>
      </x:c>
      <x:c r="AA91" s="88" t="s">
        <x:v>1103</x:v>
      </x:c>
      <x:c r="AB91" s="88" t="s">
        <x:v>259</x:v>
      </x:c>
      <x:c r="AC91" s="88" t="s">
        <x:v>271</x:v>
      </x:c>
      <x:c r="AD91" s="89">
        <x:v>46052.162587812498</x:v>
      </x:c>
      <x:c r="AE91" s="88" t="s">
        <x:v>586</x:v>
      </x:c>
      <x:c r="AF91" s="88" t="s">
        <x:v>259</x:v>
      </x:c>
      <x:c r="AG91" s="88" t="s">
        <x:v>271</x:v>
      </x:c>
      <x:c r="AH91" s="89">
        <x:v>46053.17632071759</x:v>
      </x:c>
      <x:c r="AI91" s="88" t="s">
        <x:v>353</x:v>
      </x:c>
      <x:c r="AJ91" s="88" t="s">
        <x:v>1104</x:v>
      </x:c>
      <x:c r="AK91" s="88">
        <x:v>1335</x:v>
      </x:c>
      <x:c r="AL91" s="88" t="s">
        <x:v>185</x:v>
      </x:c>
      <x:c r="AM91" s="88" t="s">
        <x:v>1105</x:v>
      </x:c>
      <x:c r="AN91" s="88" t="s">
        <x:v>369</x:v>
      </x:c>
      <x:c r="AO91" s="88">
        <x:v>0</x:v>
      </x:c>
    </x:row>
    <x:row r="92">
      <x:c r="A92" s="88" t="s">
        <x:v>1106</x:v>
      </x:c>
      <x:c r="B92" s="88" t="s">
        <x:v>1107</x:v>
      </x:c>
      <x:c r="C92" s="88" t="s">
        <x:v>1108</x:v>
      </x:c>
      <x:c r="D92" s="88" t="s">
        <x:v>248</x:v>
      </x:c>
      <x:c r="E92" s="88" t="s">
        <x:v>342</x:v>
      </x:c>
      <x:c r="F92" s="89">
        <x:v>46052.069572615743</x:v>
      </x:c>
      <x:c r="G92" s="89">
        <x:v>46058.291024398146</x:v>
      </x:c>
      <x:c r="H92" s="89">
        <x:v>46052.069572615743</x:v>
      </x:c>
      <x:c r="I92" s="88" t="s">
        <x:v>1109</x:v>
      </x:c>
      <x:c r="J92" s="88" t="s">
        <x:v>1110</x:v>
      </x:c>
      <x:c r="K92" s="88" t="s">
        <x:v>266</x:v>
      </x:c>
      <x:c r="L92" s="88"/>
      <x:c r="M92" s="88" t="s">
        <x:v>824</x:v>
      </x:c>
      <x:c r="N92" s="88"/>
      <x:c r="O92" s="88"/>
      <x:c r="P92" s="88" t="s">
        <x:v>669</x:v>
      </x:c>
      <x:c r="Q92" s="88" t="s">
        <x:v>256</x:v>
      </x:c>
      <x:c r="R92" s="88" t="s">
        <x:v>283</x:v>
      </x:c>
      <x:c r="S92" s="88"/>
      <x:c r="T92" s="88" t="s">
        <x:v>259</x:v>
      </x:c>
      <x:c r="U92" s="88" t="s">
        <x:v>1108</x:v>
      </x:c>
      <x:c r="V92" s="89">
        <x:v>46052.076099062499</x:v>
      </x:c>
      <x:c r="W92" s="88" t="s">
        <x:v>1111</x:v>
      </x:c>
      <x:c r="X92" s="88" t="s">
        <x:v>259</x:v>
      </x:c>
      <x:c r="Y92" s="88" t="s">
        <x:v>827</x:v>
      </x:c>
      <x:c r="Z92" s="89">
        <x:v>46052.092986793985</x:v>
      </x:c>
      <x:c r="AA92" s="88" t="s">
        <x:v>1112</x:v>
      </x:c>
      <x:c r="AB92" s="88" t="s">
        <x:v>259</x:v>
      </x:c>
      <x:c r="AC92" s="88" t="s">
        <x:v>271</x:v>
      </x:c>
      <x:c r="AD92" s="89">
        <x:v>46052.209923310184</x:v>
      </x:c>
      <x:c r="AE92" s="88" t="s">
        <x:v>571</x:v>
      </x:c>
      <x:c r="AF92" s="88" t="s">
        <x:v>259</x:v>
      </x:c>
      <x:c r="AG92" s="88" t="s">
        <x:v>387</x:v>
      </x:c>
      <x:c r="AH92" s="89">
        <x:v>46058.291024409722</x:v>
      </x:c>
      <x:c r="AI92" s="88" t="s">
        <x:v>388</x:v>
      </x:c>
      <x:c r="AJ92" s="88" t="s">
        <x:v>1113</x:v>
      </x:c>
      <x:c r="AK92" s="88">
        <x:v>789</x:v>
      </x:c>
      <x:c r="AL92" s="88" t="s">
        <x:v>185</x:v>
      </x:c>
      <x:c r="AM92" s="88" t="s">
        <x:v>1114</x:v>
      </x:c>
      <x:c r="AN92" s="88" t="s">
        <x:v>369</x:v>
      </x:c>
      <x:c r="AO92" s="88">
        <x:v>0</x:v>
      </x:c>
    </x:row>
    <x:row r="93">
      <x:c r="A93" s="88" t="s">
        <x:v>1115</x:v>
      </x:c>
      <x:c r="B93" s="88" t="s">
        <x:v>1116</x:v>
      </x:c>
      <x:c r="C93" s="88" t="s">
        <x:v>1117</x:v>
      </x:c>
      <x:c r="D93" s="88" t="s">
        <x:v>248</x:v>
      </x:c>
      <x:c r="E93" s="88" t="s">
        <x:v>342</x:v>
      </x:c>
      <x:c r="F93" s="89">
        <x:v>46052.599502812503</x:v>
      </x:c>
      <x:c r="G93" s="89">
        <x:v>46066.103197025463</x:v>
      </x:c>
      <x:c r="H93" s="89">
        <x:v>46052.599502812503</x:v>
      </x:c>
      <x:c r="I93" s="88" t="s">
        <x:v>1118</x:v>
      </x:c>
      <x:c r="J93" s="88" t="s">
        <x:v>1119</x:v>
      </x:c>
      <x:c r="K93" s="88" t="s">
        <x:v>266</x:v>
      </x:c>
      <x:c r="L93" s="88"/>
      <x:c r="M93" s="88" t="s">
        <x:v>917</x:v>
      </x:c>
      <x:c r="N93" s="88"/>
      <x:c r="O93" s="88"/>
      <x:c r="P93" s="88" t="s">
        <x:v>1120</x:v>
      </x:c>
      <x:c r="Q93" s="88" t="s">
        <x:v>256</x:v>
      </x:c>
      <x:c r="R93" s="88" t="s">
        <x:v>283</x:v>
      </x:c>
      <x:c r="S93" s="88"/>
      <x:c r="T93" s="88" t="s">
        <x:v>259</x:v>
      </x:c>
      <x:c r="U93" s="88" t="s">
        <x:v>1117</x:v>
      </x:c>
      <x:c r="V93" s="89">
        <x:v>46052.603825150465</x:v>
      </x:c>
      <x:c r="W93" s="88" t="s">
        <x:v>1121</x:v>
      </x:c>
      <x:c r="X93" s="88" t="s">
        <x:v>259</x:v>
      </x:c>
      <x:c r="Y93" s="88" t="s">
        <x:v>917</x:v>
      </x:c>
      <x:c r="Z93" s="89">
        <x:v>46062.119032858798</x:v>
      </x:c>
      <x:c r="AA93" s="88" t="s">
        <x:v>1122</x:v>
      </x:c>
      <x:c r="AB93" s="88" t="s">
        <x:v>259</x:v>
      </x:c>
      <x:c r="AC93" s="88" t="s">
        <x:v>271</x:v>
      </x:c>
      <x:c r="AD93" s="89">
        <x:v>46062.149009849534</x:v>
      </x:c>
      <x:c r="AE93" s="88" t="s">
        <x:v>1123</x:v>
      </x:c>
      <x:c r="AF93" s="88" t="s">
        <x:v>259</x:v>
      </x:c>
      <x:c r="AG93" s="88" t="s">
        <x:v>387</x:v>
      </x:c>
      <x:c r="AH93" s="89">
        <x:v>46066.103197037039</x:v>
      </x:c>
      <x:c r="AI93" s="88" t="s">
        <x:v>388</x:v>
      </x:c>
      <x:c r="AJ93" s="88" t="s">
        <x:v>1124</x:v>
      </x:c>
      <x:c r="AK93" s="88" t="s">
        <x:v>1125</x:v>
      </x:c>
      <x:c r="AL93" s="88" t="s">
        <x:v>185</x:v>
      </x:c>
      <x:c r="AM93" s="88" t="s">
        <x:v>1126</x:v>
      </x:c>
      <x:c r="AN93" s="88" t="s">
        <x:v>369</x:v>
      </x:c>
      <x:c r="AO93" s="88">
        <x:v>0</x:v>
      </x:c>
    </x:row>
    <x:row r="94">
      <x:c r="A94" s="88" t="s">
        <x:v>1127</x:v>
      </x:c>
      <x:c r="B94" s="88" t="s">
        <x:v>1128</x:v>
      </x:c>
      <x:c r="C94" s="88" t="s">
        <x:v>1129</x:v>
      </x:c>
      <x:c r="D94" s="88" t="s">
        <x:v>248</x:v>
      </x:c>
      <x:c r="E94" s="88" t="s">
        <x:v>249</x:v>
      </x:c>
      <x:c r="F94" s="89">
        <x:v>46057.033548634259</x:v>
      </x:c>
      <x:c r="G94" s="89">
        <x:v>46132.354350578702</x:v>
      </x:c>
      <x:c r="H94" s="89">
        <x:v>46057.033548634259</x:v>
      </x:c>
      <x:c r="I94" s="88" t="s">
        <x:v>1130</x:v>
      </x:c>
      <x:c r="J94" s="88" t="s">
        <x:v>1131</x:v>
      </x:c>
      <x:c r="K94" s="88" t="s">
        <x:v>266</x:v>
      </x:c>
      <x:c r="L94" s="88"/>
      <x:c r="M94" s="88" t="s">
        <x:v>827</x:v>
      </x:c>
      <x:c r="N94" s="88"/>
      <x:c r="O94" s="88"/>
      <x:c r="P94" s="88" t="s">
        <x:v>1132</x:v>
      </x:c>
      <x:c r="Q94" s="88" t="s">
        <x:v>269</x:v>
      </x:c>
      <x:c r="R94" s="88" t="s">
        <x:v>283</x:v>
      </x:c>
      <x:c r="S94" s="88"/>
      <x:c r="T94" s="88" t="s">
        <x:v>259</x:v>
      </x:c>
      <x:c r="U94" s="88" t="s">
        <x:v>1129</x:v>
      </x:c>
      <x:c r="V94" s="89">
        <x:v>46057.035322812502</x:v>
      </x:c>
      <x:c r="W94" s="88" t="s">
        <x:v>1133</x:v>
      </x:c>
      <x:c r="X94" s="88" t="s">
        <x:v>259</x:v>
      </x:c>
      <x:c r="Y94" s="88" t="s">
        <x:v>827</x:v>
      </x:c>
      <x:c r="Z94" s="89">
        <x:v>46126.383479571756</x:v>
      </x:c>
      <x:c r="AA94" s="88" t="s">
        <x:v>259</x:v>
      </x:c>
      <x:c r="AB94" s="88" t="s">
        <x:v>249</x:v>
      </x:c>
      <x:c r="AC94" s="88" t="s">
        <x:v>271</x:v>
      </x:c>
      <x:c r="AD94" s="89">
        <x:v>46132.354350578702</x:v>
      </x:c>
      <x:c r="AE94" s="88" t="s">
        <x:v>1134</x:v>
      </x:c>
      <x:c r="AF94" s="88"/>
      <x:c r="AG94" s="88" t="s">
        <x:v>161</x:v>
      </x:c>
      <x:c r="AH94" s="89"/>
      <x:c r="AI94" s="88"/>
      <x:c r="AJ94" s="88" t="s">
        <x:v>1135</x:v>
      </x:c>
      <x:c r="AK94" s="88">
        <x:v>845</x:v>
      </x:c>
      <x:c r="AL94" s="88"/>
      <x:c r="AM94" s="88"/>
      <x:c r="AN94" s="88" t="s">
        <x:v>369</x:v>
      </x:c>
      <x:c r="AO94" s="88">
        <x:v>0</x:v>
      </x:c>
    </x:row>
    <x:row r="95">
      <x:c r="A95" s="88" t="s">
        <x:v>1136</x:v>
      </x:c>
      <x:c r="B95" s="88" t="s">
        <x:v>1137</x:v>
      </x:c>
      <x:c r="C95" s="88" t="s">
        <x:v>1138</x:v>
      </x:c>
      <x:c r="D95" s="88" t="s">
        <x:v>248</x:v>
      </x:c>
      <x:c r="E95" s="88" t="s">
        <x:v>342</x:v>
      </x:c>
      <x:c r="F95" s="89">
        <x:v>46057.043987326389</x:v>
      </x:c>
      <x:c r="G95" s="89">
        <x:v>46078.248382210651</x:v>
      </x:c>
      <x:c r="H95" s="89">
        <x:v>46076.226349803241</x:v>
      </x:c>
      <x:c r="I95" s="88" t="s">
        <x:v>1139</x:v>
      </x:c>
      <x:c r="J95" s="88" t="s">
        <x:v>1140</x:v>
      </x:c>
      <x:c r="K95" s="88" t="s">
        <x:v>380</x:v>
      </x:c>
      <x:c r="L95" s="88" t="s">
        <x:v>1141</x:v>
      </x:c>
      <x:c r="M95" s="88" t="s">
        <x:v>667</x:v>
      </x:c>
      <x:c r="N95" s="88" t="s">
        <x:v>1142</x:v>
      </x:c>
      <x:c r="O95" s="88"/>
      <x:c r="P95" s="88" t="s">
        <x:v>1143</x:v>
      </x:c>
      <x:c r="Q95" s="88" t="s">
        <x:v>323</x:v>
      </x:c>
      <x:c r="R95" s="88" t="s">
        <x:v>348</x:v>
      </x:c>
      <x:c r="S95" s="88"/>
      <x:c r="T95" s="88" t="s">
        <x:v>259</x:v>
      </x:c>
      <x:c r="U95" s="88" t="s">
        <x:v>1138</x:v>
      </x:c>
      <x:c r="V95" s="89">
        <x:v>46076.299706400459</x:v>
      </x:c>
      <x:c r="W95" s="88" t="s">
        <x:v>1143</x:v>
      </x:c>
      <x:c r="X95" s="88" t="s">
        <x:v>259</x:v>
      </x:c>
      <x:c r="Y95" s="88" t="s">
        <x:v>616</x:v>
      </x:c>
      <x:c r="Z95" s="89">
        <x:v>46076.318450057872</x:v>
      </x:c>
      <x:c r="AA95" s="88" t="s">
        <x:v>385</x:v>
      </x:c>
      <x:c r="AB95" s="88" t="s">
        <x:v>259</x:v>
      </x:c>
      <x:c r="AC95" s="88" t="s">
        <x:v>271</x:v>
      </x:c>
      <x:c r="AD95" s="89">
        <x:v>46077.100795150465</x:v>
      </x:c>
      <x:c r="AE95" s="88" t="s">
        <x:v>1144</x:v>
      </x:c>
      <x:c r="AF95" s="88" t="s">
        <x:v>259</x:v>
      </x:c>
      <x:c r="AG95" s="88" t="s">
        <x:v>387</x:v>
      </x:c>
      <x:c r="AH95" s="89">
        <x:v>46078.24838222222</x:v>
      </x:c>
      <x:c r="AI95" s="88" t="s">
        <x:v>388</x:v>
      </x:c>
      <x:c r="AJ95" s="88" t="s">
        <x:v>1145</x:v>
      </x:c>
      <x:c r="AK95" s="88" t="s">
        <x:v>1146</x:v>
      </x:c>
      <x:c r="AL95" s="88" t="s">
        <x:v>185</x:v>
      </x:c>
      <x:c r="AM95" s="88" t="s">
        <x:v>1147</x:v>
      </x:c>
      <x:c r="AN95" s="88" t="s">
        <x:v>369</x:v>
      </x:c>
      <x:c r="AO95" s="88">
        <x:v>0</x:v>
      </x:c>
    </x:row>
    <x:row r="96">
      <x:c r="A96" s="88" t="s">
        <x:v>1148</x:v>
      </x:c>
      <x:c r="B96" s="88" t="s">
        <x:v>1149</x:v>
      </x:c>
      <x:c r="C96" s="88" t="s">
        <x:v>1150</x:v>
      </x:c>
      <x:c r="D96" s="88" t="s">
        <x:v>248</x:v>
      </x:c>
      <x:c r="E96" s="88" t="s">
        <x:v>342</x:v>
      </x:c>
      <x:c r="F96" s="89">
        <x:v>46057.189697164351</x:v>
      </x:c>
      <x:c r="G96" s="89">
        <x:v>46092.400049340278</x:v>
      </x:c>
      <x:c r="H96" s="89">
        <x:v>46057.189697164351</x:v>
      </x:c>
      <x:c r="I96" s="88" t="s">
        <x:v>1151</x:v>
      </x:c>
      <x:c r="J96" s="88" t="s">
        <x:v>1152</x:v>
      </x:c>
      <x:c r="K96" s="88" t="s">
        <x:v>266</x:v>
      </x:c>
      <x:c r="L96" s="88"/>
      <x:c r="M96" s="88" t="s">
        <x:v>594</x:v>
      </x:c>
      <x:c r="N96" s="88" t="s">
        <x:v>1153</x:v>
      </x:c>
      <x:c r="O96" s="88" t="s">
        <x:v>1153</x:v>
      </x:c>
      <x:c r="P96" s="88" t="s">
        <x:v>1154</x:v>
      </x:c>
      <x:c r="Q96" s="88" t="s">
        <x:v>323</x:v>
      </x:c>
      <x:c r="R96" s="88" t="s">
        <x:v>283</x:v>
      </x:c>
      <x:c r="S96" s="88"/>
      <x:c r="T96" s="88" t="s">
        <x:v>259</x:v>
      </x:c>
      <x:c r="U96" s="88" t="s">
        <x:v>1150</x:v>
      </x:c>
      <x:c r="V96" s="89">
        <x:v>46057.19137364583</x:v>
      </x:c>
      <x:c r="W96" s="88" t="s">
        <x:v>1155</x:v>
      </x:c>
      <x:c r="X96" s="88" t="s">
        <x:v>259</x:v>
      </x:c>
      <x:c r="Y96" s="88" t="s">
        <x:v>597</x:v>
      </x:c>
      <x:c r="Z96" s="89">
        <x:v>46078.248162731485</x:v>
      </x:c>
      <x:c r="AA96" s="88" t="s">
        <x:v>1006</x:v>
      </x:c>
      <x:c r="AB96" s="88" t="s">
        <x:v>259</x:v>
      </x:c>
      <x:c r="AC96" s="88" t="s">
        <x:v>271</x:v>
      </x:c>
      <x:c r="AD96" s="89">
        <x:v>46079.045031064816</x:v>
      </x:c>
      <x:c r="AE96" s="88" t="s">
        <x:v>1156</x:v>
      </x:c>
      <x:c r="AF96" s="88" t="s">
        <x:v>259</x:v>
      </x:c>
      <x:c r="AG96" s="88" t="s">
        <x:v>500</x:v>
      </x:c>
      <x:c r="AH96" s="89">
        <x:v>46092.400049351854</x:v>
      </x:c>
      <x:c r="AI96" s="88" t="s">
        <x:v>342</x:v>
      </x:c>
      <x:c r="AJ96" s="88" t="s">
        <x:v>1157</x:v>
      </x:c>
      <x:c r="AK96" s="88" t="s">
        <x:v>1158</x:v>
      </x:c>
      <x:c r="AL96" s="88" t="s">
        <x:v>162</x:v>
      </x:c>
      <x:c r="AM96" s="88" t="s">
        <x:v>1159</x:v>
      </x:c>
      <x:c r="AN96" s="88" t="s">
        <x:v>369</x:v>
      </x:c>
      <x:c r="AO96" s="88">
        <x:v>0</x:v>
      </x:c>
    </x:row>
    <x:row r="97">
      <x:c r="A97" s="88" t="s">
        <x:v>1160</x:v>
      </x:c>
      <x:c r="B97" s="88" t="s">
        <x:v>1161</x:v>
      </x:c>
      <x:c r="C97" s="88" t="s">
        <x:v>554</x:v>
      </x:c>
      <x:c r="D97" s="88" t="s">
        <x:v>248</x:v>
      </x:c>
      <x:c r="E97" s="88" t="s">
        <x:v>342</x:v>
      </x:c>
      <x:c r="F97" s="89">
        <x:v>46057.283939502318</x:v>
      </x:c>
      <x:c r="G97" s="89">
        <x:v>46063.165903090281</x:v>
      </x:c>
      <x:c r="H97" s="89">
        <x:v>46057.283939502318</x:v>
      </x:c>
      <x:c r="I97" s="88" t="s">
        <x:v>1162</x:v>
      </x:c>
      <x:c r="J97" s="88" t="s">
        <x:v>1163</x:v>
      </x:c>
      <x:c r="K97" s="88" t="s">
        <x:v>266</x:v>
      </x:c>
      <x:c r="L97" s="88"/>
      <x:c r="M97" s="88" t="s">
        <x:v>1164</x:v>
      </x:c>
      <x:c r="N97" s="88"/>
      <x:c r="O97" s="88"/>
      <x:c r="P97" s="88" t="s">
        <x:v>680</x:v>
      </x:c>
      <x:c r="Q97" s="88" t="s">
        <x:v>256</x:v>
      </x:c>
      <x:c r="R97" s="88" t="s">
        <x:v>363</x:v>
      </x:c>
      <x:c r="S97" s="88"/>
      <x:c r="T97" s="88" t="s">
        <x:v>259</x:v>
      </x:c>
      <x:c r="U97" s="88" t="s">
        <x:v>554</x:v>
      </x:c>
      <x:c r="V97" s="89">
        <x:v>46057.288906469905</x:v>
      </x:c>
      <x:c r="W97" s="88" t="s">
        <x:v>680</x:v>
      </x:c>
      <x:c r="X97" s="88" t="s">
        <x:v>259</x:v>
      </x:c>
      <x:c r="Y97" s="88" t="s">
        <x:v>482</x:v>
      </x:c>
      <x:c r="Z97" s="89">
        <x:v>46058.073601921293</x:v>
      </x:c>
      <x:c r="AA97" s="88" t="s">
        <x:v>1165</x:v>
      </x:c>
      <x:c r="AB97" s="88" t="s">
        <x:v>259</x:v>
      </x:c>
      <x:c r="AC97" s="88" t="s">
        <x:v>271</x:v>
      </x:c>
      <x:c r="AD97" s="89">
        <x:v>46058.143799606485</x:v>
      </x:c>
      <x:c r="AE97" s="88" t="s">
        <x:v>1166</x:v>
      </x:c>
      <x:c r="AF97" s="88" t="s">
        <x:v>259</x:v>
      </x:c>
      <x:c r="AG97" s="88" t="s">
        <x:v>271</x:v>
      </x:c>
      <x:c r="AH97" s="89">
        <x:v>46063.165903090281</x:v>
      </x:c>
      <x:c r="AI97" s="88" t="s">
        <x:v>353</x:v>
      </x:c>
      <x:c r="AJ97" s="88" t="s">
        <x:v>1167</x:v>
      </x:c>
      <x:c r="AK97" s="88" t="s">
        <x:v>1168</x:v>
      </x:c>
      <x:c r="AL97" s="88" t="s">
        <x:v>185</x:v>
      </x:c>
      <x:c r="AM97" s="88" t="s">
        <x:v>1169</x:v>
      </x:c>
      <x:c r="AN97" s="88" t="s">
        <x:v>391</x:v>
      </x:c>
      <x:c r="AO97" s="88">
        <x:v>0</x:v>
      </x:c>
    </x:row>
    <x:row r="98">
      <x:c r="A98" s="88" t="s">
        <x:v>1170</x:v>
      </x:c>
      <x:c r="B98" s="88" t="s">
        <x:v>1171</x:v>
      </x:c>
      <x:c r="C98" s="88" t="s">
        <x:v>554</x:v>
      </x:c>
      <x:c r="D98" s="88" t="s">
        <x:v>248</x:v>
      </x:c>
      <x:c r="E98" s="88" t="s">
        <x:v>372</x:v>
      </x:c>
      <x:c r="F98" s="89">
        <x:v>46057.289697812499</x:v>
      </x:c>
      <x:c r="G98" s="89">
        <x:v>46219.262821331016</x:v>
      </x:c>
      <x:c r="H98" s="89">
        <x:v>46057.289697812499</x:v>
      </x:c>
      <x:c r="I98" s="88" t="s">
        <x:v>1162</x:v>
      </x:c>
      <x:c r="J98" s="88" t="s">
        <x:v>1172</x:v>
      </x:c>
      <x:c r="K98" s="88" t="s">
        <x:v>266</x:v>
      </x:c>
      <x:c r="L98" s="88"/>
      <x:c r="M98" s="88" t="s">
        <x:v>1164</x:v>
      </x:c>
      <x:c r="N98" s="88"/>
      <x:c r="O98" s="88"/>
      <x:c r="P98" s="88" t="s">
        <x:v>680</x:v>
      </x:c>
      <x:c r="Q98" s="88" t="s">
        <x:v>256</x:v>
      </x:c>
      <x:c r="R98" s="88" t="s">
        <x:v>363</x:v>
      </x:c>
      <x:c r="S98" s="88"/>
      <x:c r="T98" s="88" t="s">
        <x:v>372</x:v>
      </x:c>
      <x:c r="U98" s="88" t="s">
        <x:v>554</x:v>
      </x:c>
      <x:c r="V98" s="89"/>
      <x:c r="W98" s="88"/>
      <x:c r="X98" s="88"/>
      <x:c r="Y98" s="88" t="s">
        <x:v>482</x:v>
      </x:c>
      <x:c r="Z98" s="89"/>
      <x:c r="AA98" s="88"/>
      <x:c r="AB98" s="88"/>
      <x:c r="AC98" s="88" t="s">
        <x:v>273</x:v>
      </x:c>
      <x:c r="AD98" s="89"/>
      <x:c r="AE98" s="88"/>
      <x:c r="AF98" s="88"/>
      <x:c r="AG98" s="88" t="s">
        <x:v>161</x:v>
      </x:c>
      <x:c r="AH98" s="89"/>
      <x:c r="AI98" s="88"/>
      <x:c r="AJ98" s="88" t="s">
        <x:v>1167</x:v>
      </x:c>
      <x:c r="AK98" s="88" t="s">
        <x:v>1173</x:v>
      </x:c>
      <x:c r="AL98" s="88"/>
      <x:c r="AM98" s="88"/>
      <x:c r="AN98" s="88" t="s">
        <x:v>369</x:v>
      </x:c>
      <x:c r="AO98" s="88">
        <x:v>0</x:v>
      </x:c>
    </x:row>
    <x:row r="99">
      <x:c r="A99" s="88" t="s">
        <x:v>1174</x:v>
      </x:c>
      <x:c r="B99" s="88" t="s">
        <x:v>1175</x:v>
      </x:c>
      <x:c r="C99" s="88" t="s">
        <x:v>554</x:v>
      </x:c>
      <x:c r="D99" s="88" t="s">
        <x:v>248</x:v>
      </x:c>
      <x:c r="E99" s="88" t="s">
        <x:v>342</x:v>
      </x:c>
      <x:c r="F99" s="89">
        <x:v>46057.310859571757</x:v>
      </x:c>
      <x:c r="G99" s="89">
        <x:v>46063.10813641204</x:v>
      </x:c>
      <x:c r="H99" s="89">
        <x:v>46057.310859571757</x:v>
      </x:c>
      <x:c r="I99" s="88" t="s">
        <x:v>1176</x:v>
      </x:c>
      <x:c r="J99" s="88" t="s">
        <x:v>1177</x:v>
      </x:c>
      <x:c r="K99" s="88" t="s">
        <x:v>266</x:v>
      </x:c>
      <x:c r="L99" s="88"/>
      <x:c r="M99" s="88" t="s">
        <x:v>1164</x:v>
      </x:c>
      <x:c r="N99" s="88"/>
      <x:c r="O99" s="88"/>
      <x:c r="P99" s="88" t="s">
        <x:v>680</x:v>
      </x:c>
      <x:c r="Q99" s="88" t="s">
        <x:v>256</x:v>
      </x:c>
      <x:c r="R99" s="88" t="s">
        <x:v>363</x:v>
      </x:c>
      <x:c r="S99" s="88"/>
      <x:c r="T99" s="88" t="s">
        <x:v>259</x:v>
      </x:c>
      <x:c r="U99" s="88" t="s">
        <x:v>554</x:v>
      </x:c>
      <x:c r="V99" s="89">
        <x:v>46057.311152905095</x:v>
      </x:c>
      <x:c r="W99" s="88" t="s">
        <x:v>680</x:v>
      </x:c>
      <x:c r="X99" s="88" t="s">
        <x:v>259</x:v>
      </x:c>
      <x:c r="Y99" s="88" t="s">
        <x:v>482</x:v>
      </x:c>
      <x:c r="Z99" s="89">
        <x:v>46057.329781203705</x:v>
      </x:c>
      <x:c r="AA99" s="88" t="s">
        <x:v>1178</x:v>
      </x:c>
      <x:c r="AB99" s="88" t="s">
        <x:v>259</x:v>
      </x:c>
      <x:c r="AC99" s="88" t="s">
        <x:v>271</x:v>
      </x:c>
      <x:c r="AD99" s="89">
        <x:v>46058.111685949072</x:v>
      </x:c>
      <x:c r="AE99" s="88" t="s">
        <x:v>1179</x:v>
      </x:c>
      <x:c r="AF99" s="88" t="s">
        <x:v>259</x:v>
      </x:c>
      <x:c r="AG99" s="88" t="s">
        <x:v>271</x:v>
      </x:c>
      <x:c r="AH99" s="89">
        <x:v>46063.10813641204</x:v>
      </x:c>
      <x:c r="AI99" s="88" t="s">
        <x:v>353</x:v>
      </x:c>
      <x:c r="AJ99" s="88" t="s">
        <x:v>1180</x:v>
      </x:c>
      <x:c r="AK99" s="88">
        <x:v>4341</x:v>
      </x:c>
      <x:c r="AL99" s="88" t="s">
        <x:v>185</x:v>
      </x:c>
      <x:c r="AM99" s="88" t="s">
        <x:v>1181</x:v>
      </x:c>
      <x:c r="AN99" s="88" t="s">
        <x:v>369</x:v>
      </x:c>
      <x:c r="AO99" s="88">
        <x:v>0</x:v>
      </x:c>
    </x:row>
    <x:row r="100">
      <x:c r="A100" s="88" t="s">
        <x:v>1182</x:v>
      </x:c>
      <x:c r="B100" s="88" t="s">
        <x:v>1183</x:v>
      </x:c>
      <x:c r="C100" s="88" t="s">
        <x:v>1184</x:v>
      </x:c>
      <x:c r="D100" s="88" t="s">
        <x:v>248</x:v>
      </x:c>
      <x:c r="E100" s="88" t="s">
        <x:v>249</x:v>
      </x:c>
      <x:c r="F100" s="89">
        <x:v>46058.359692256941</x:v>
      </x:c>
      <x:c r="G100" s="89">
        <x:v>46062.157277662038</x:v>
      </x:c>
      <x:c r="H100" s="89">
        <x:v>46058.359692256941</x:v>
      </x:c>
      <x:c r="I100" s="88" t="s">
        <x:v>1185</x:v>
      </x:c>
      <x:c r="J100" s="88" t="s">
        <x:v>1186</x:v>
      </x:c>
      <x:c r="K100" s="88" t="s">
        <x:v>266</x:v>
      </x:c>
      <x:c r="L100" s="88"/>
      <x:c r="M100" s="88" t="s">
        <x:v>473</x:v>
      </x:c>
      <x:c r="N100" s="88" t="s">
        <x:v>1187</x:v>
      </x:c>
      <x:c r="O100" s="88" t="s">
        <x:v>1188</x:v>
      </x:c>
      <x:c r="P100" s="88" t="s">
        <x:v>1189</x:v>
      </x:c>
      <x:c r="Q100" s="88" t="s">
        <x:v>323</x:v>
      </x:c>
      <x:c r="R100" s="88" t="s">
        <x:v>283</x:v>
      </x:c>
      <x:c r="S100" s="88"/>
      <x:c r="T100" s="88" t="s">
        <x:v>259</x:v>
      </x:c>
      <x:c r="U100" s="88" t="s">
        <x:v>473</x:v>
      </x:c>
      <x:c r="V100" s="89">
        <x:v>46059.303919270831</x:v>
      </x:c>
      <x:c r="W100" s="88" t="s">
        <x:v>1190</x:v>
      </x:c>
      <x:c r="X100" s="88" t="s">
        <x:v>259</x:v>
      </x:c>
      <x:c r="Y100" s="88" t="s">
        <x:v>473</x:v>
      </x:c>
      <x:c r="Z100" s="89">
        <x:v>46059.304245844905</x:v>
      </x:c>
      <x:c r="AA100" s="88" t="s">
        <x:v>385</x:v>
      </x:c>
      <x:c r="AB100" s="88" t="s">
        <x:v>249</x:v>
      </x:c>
      <x:c r="AC100" s="88" t="s">
        <x:v>271</x:v>
      </x:c>
      <x:c r="AD100" s="89">
        <x:v>46062.157277662038</x:v>
      </x:c>
      <x:c r="AE100" s="88" t="s">
        <x:v>1191</x:v>
      </x:c>
      <x:c r="AF100" s="88"/>
      <x:c r="AG100" s="88" t="s">
        <x:v>161</x:v>
      </x:c>
      <x:c r="AH100" s="89"/>
      <x:c r="AI100" s="88"/>
      <x:c r="AJ100" s="88" t="s">
        <x:v>1192</x:v>
      </x:c>
      <x:c r="AK100" s="88" t="s">
        <x:v>1193</x:v>
      </x:c>
      <x:c r="AL100" s="88"/>
      <x:c r="AM100" s="88"/>
      <x:c r="AN100" s="88" t="s">
        <x:v>414</x:v>
      </x:c>
      <x:c r="AO100" s="88">
        <x:v>30</x:v>
      </x:c>
    </x:row>
    <x:row r="101">
      <x:c r="A101" s="88" t="s">
        <x:v>1194</x:v>
      </x:c>
      <x:c r="B101" s="88" t="s">
        <x:v>1195</x:v>
      </x:c>
      <x:c r="C101" s="88" t="s">
        <x:v>1184</x:v>
      </x:c>
      <x:c r="D101" s="88" t="s">
        <x:v>248</x:v>
      </x:c>
      <x:c r="E101" s="88" t="s">
        <x:v>249</x:v>
      </x:c>
      <x:c r="F101" s="89">
        <x:v>46058.368441840277</x:v>
      </x:c>
      <x:c r="G101" s="89">
        <x:v>46062.157018136575</x:v>
      </x:c>
      <x:c r="H101" s="89">
        <x:v>46058.368441840277</x:v>
      </x:c>
      <x:c r="I101" s="88" t="s">
        <x:v>1185</x:v>
      </x:c>
      <x:c r="J101" s="88" t="s">
        <x:v>1186</x:v>
      </x:c>
      <x:c r="K101" s="88" t="s">
        <x:v>266</x:v>
      </x:c>
      <x:c r="L101" s="88"/>
      <x:c r="M101" s="88" t="s">
        <x:v>470</x:v>
      </x:c>
      <x:c r="N101" s="88" t="s">
        <x:v>1187</x:v>
      </x:c>
      <x:c r="O101" s="88" t="s">
        <x:v>1196</x:v>
      </x:c>
      <x:c r="P101" s="88" t="s">
        <x:v>1197</x:v>
      </x:c>
      <x:c r="Q101" s="88" t="s">
        <x:v>323</x:v>
      </x:c>
      <x:c r="R101" s="88" t="s">
        <x:v>283</x:v>
      </x:c>
      <x:c r="S101" s="88"/>
      <x:c r="T101" s="88" t="s">
        <x:v>259</x:v>
      </x:c>
      <x:c r="U101" s="88" t="s">
        <x:v>473</x:v>
      </x:c>
      <x:c r="V101" s="89">
        <x:v>46059.305429490742</x:v>
      </x:c>
      <x:c r="W101" s="88" t="s">
        <x:v>738</x:v>
      </x:c>
      <x:c r="X101" s="88" t="s">
        <x:v>259</x:v>
      </x:c>
      <x:c r="Y101" s="88" t="s">
        <x:v>473</x:v>
      </x:c>
      <x:c r="Z101" s="89">
        <x:v>46059.30565318287</x:v>
      </x:c>
      <x:c r="AA101" s="88" t="s">
        <x:v>385</x:v>
      </x:c>
      <x:c r="AB101" s="88" t="s">
        <x:v>249</x:v>
      </x:c>
      <x:c r="AC101" s="88" t="s">
        <x:v>271</x:v>
      </x:c>
      <x:c r="AD101" s="89">
        <x:v>46062.157018136575</x:v>
      </x:c>
      <x:c r="AE101" s="88" t="s">
        <x:v>1191</x:v>
      </x:c>
      <x:c r="AF101" s="88"/>
      <x:c r="AG101" s="88" t="s">
        <x:v>161</x:v>
      </x:c>
      <x:c r="AH101" s="89"/>
      <x:c r="AI101" s="88"/>
      <x:c r="AJ101" s="88" t="s">
        <x:v>1192</x:v>
      </x:c>
      <x:c r="AK101" s="88" t="s">
        <x:v>1193</x:v>
      </x:c>
      <x:c r="AL101" s="88"/>
      <x:c r="AM101" s="88"/>
      <x:c r="AN101" s="88" t="s">
        <x:v>414</x:v>
      </x:c>
      <x:c r="AO101" s="88">
        <x:v>30</x:v>
      </x:c>
    </x:row>
    <x:row r="102">
      <x:c r="A102" s="88" t="s">
        <x:v>1198</x:v>
      </x:c>
      <x:c r="B102" s="88" t="s">
        <x:v>1199</x:v>
      </x:c>
      <x:c r="C102" s="88" t="s">
        <x:v>1184</x:v>
      </x:c>
      <x:c r="D102" s="88" t="s">
        <x:v>248</x:v>
      </x:c>
      <x:c r="E102" s="88" t="s">
        <x:v>342</x:v>
      </x:c>
      <x:c r="F102" s="89">
        <x:v>46058.375820833331</x:v>
      </x:c>
      <x:c r="G102" s="89">
        <x:v>46065.151175474537</x:v>
      </x:c>
      <x:c r="H102" s="89">
        <x:v>46058.375820833331</x:v>
      </x:c>
      <x:c r="I102" s="88" t="s">
        <x:v>1185</x:v>
      </x:c>
      <x:c r="J102" s="88" t="s">
        <x:v>1200</x:v>
      </x:c>
      <x:c r="K102" s="88" t="s">
        <x:v>266</x:v>
      </x:c>
      <x:c r="L102" s="88"/>
      <x:c r="M102" s="88" t="s">
        <x:v>470</x:v>
      </x:c>
      <x:c r="N102" s="88" t="s">
        <x:v>1187</x:v>
      </x:c>
      <x:c r="O102" s="88" t="s">
        <x:v>1196</x:v>
      </x:c>
      <x:c r="P102" s="88" t="s">
        <x:v>1201</x:v>
      </x:c>
      <x:c r="Q102" s="88" t="s">
        <x:v>323</x:v>
      </x:c>
      <x:c r="R102" s="88" t="s">
        <x:v>283</x:v>
      </x:c>
      <x:c r="S102" s="88"/>
      <x:c r="T102" s="88" t="s">
        <x:v>259</x:v>
      </x:c>
      <x:c r="U102" s="88" t="s">
        <x:v>1184</x:v>
      </x:c>
      <x:c r="V102" s="89">
        <x:v>46058.398157812502</x:v>
      </x:c>
      <x:c r="W102" s="88" t="s">
        <x:v>1202</x:v>
      </x:c>
      <x:c r="X102" s="88" t="s">
        <x:v>259</x:v>
      </x:c>
      <x:c r="Y102" s="88" t="s">
        <x:v>473</x:v>
      </x:c>
      <x:c r="Z102" s="89">
        <x:v>46059.304800868056</x:v>
      </x:c>
      <x:c r="AA102" s="88" t="s">
        <x:v>385</x:v>
      </x:c>
      <x:c r="AB102" s="88" t="s">
        <x:v>259</x:v>
      </x:c>
      <x:c r="AC102" s="88" t="s">
        <x:v>271</x:v>
      </x:c>
      <x:c r="AD102" s="89">
        <x:v>46062.159260335648</x:v>
      </x:c>
      <x:c r="AE102" s="88" t="s">
        <x:v>1203</x:v>
      </x:c>
      <x:c r="AF102" s="88" t="s">
        <x:v>259</x:v>
      </x:c>
      <x:c r="AG102" s="88" t="s">
        <x:v>387</x:v>
      </x:c>
      <x:c r="AH102" s="89">
        <x:v>46065.151175474537</x:v>
      </x:c>
      <x:c r="AI102" s="88" t="s">
        <x:v>388</x:v>
      </x:c>
      <x:c r="AJ102" s="88" t="s">
        <x:v>1192</x:v>
      </x:c>
      <x:c r="AK102" s="88" t="s">
        <x:v>1204</x:v>
      </x:c>
      <x:c r="AL102" s="88" t="s">
        <x:v>185</x:v>
      </x:c>
      <x:c r="AM102" s="88" t="s">
        <x:v>1205</x:v>
      </x:c>
      <x:c r="AN102" s="88" t="s">
        <x:v>414</x:v>
      </x:c>
      <x:c r="AO102" s="88">
        <x:v>30</x:v>
      </x:c>
    </x:row>
    <x:row r="103">
      <x:c r="A103" s="88" t="s">
        <x:v>1206</x:v>
      </x:c>
      <x:c r="B103" s="88" t="s">
        <x:v>1207</x:v>
      </x:c>
      <x:c r="C103" s="88" t="s">
        <x:v>1208</x:v>
      </x:c>
      <x:c r="D103" s="88" t="s">
        <x:v>248</x:v>
      </x:c>
      <x:c r="E103" s="88" t="s">
        <x:v>342</x:v>
      </x:c>
      <x:c r="F103" s="89">
        <x:v>46059.552959525463</x:v>
      </x:c>
      <x:c r="G103" s="89">
        <x:v>46065.131144074076</x:v>
      </x:c>
      <x:c r="H103" s="89">
        <x:v>46059.552959525463</x:v>
      </x:c>
      <x:c r="I103" s="88" t="s">
        <x:v>1209</x:v>
      </x:c>
      <x:c r="J103" s="88" t="s">
        <x:v>1209</x:v>
      </x:c>
      <x:c r="K103" s="88" t="s">
        <x:v>266</x:v>
      </x:c>
      <x:c r="L103" s="88"/>
      <x:c r="M103" s="88" t="s">
        <x:v>1210</x:v>
      </x:c>
      <x:c r="N103" s="88"/>
      <x:c r="O103" s="88"/>
      <x:c r="P103" s="88" t="s">
        <x:v>1211</x:v>
      </x:c>
      <x:c r="Q103" s="88" t="s">
        <x:v>269</x:v>
      </x:c>
      <x:c r="R103" s="88" t="s">
        <x:v>283</x:v>
      </x:c>
      <x:c r="S103" s="88"/>
      <x:c r="T103" s="88" t="s">
        <x:v>259</x:v>
      </x:c>
      <x:c r="U103" s="88" t="s">
        <x:v>1208</x:v>
      </x:c>
      <x:c r="V103" s="89">
        <x:v>46059.555643981483</x:v>
      </x:c>
      <x:c r="W103" s="88" t="s">
        <x:v>1211</x:v>
      </x:c>
      <x:c r="X103" s="88" t="s">
        <x:v>259</x:v>
      </x:c>
      <x:c r="Y103" s="88" t="s">
        <x:v>1210</x:v>
      </x:c>
      <x:c r="Z103" s="89">
        <x:v>46062.326688981484</x:v>
      </x:c>
      <x:c r="AA103" s="88" t="s">
        <x:v>1212</x:v>
      </x:c>
      <x:c r="AB103" s="88" t="s">
        <x:v>259</x:v>
      </x:c>
      <x:c r="AC103" s="88" t="s">
        <x:v>271</x:v>
      </x:c>
      <x:c r="AD103" s="89">
        <x:v>46062.393479641207</x:v>
      </x:c>
      <x:c r="AE103" s="88" t="s">
        <x:v>1213</x:v>
      </x:c>
      <x:c r="AF103" s="88" t="s">
        <x:v>259</x:v>
      </x:c>
      <x:c r="AG103" s="88" t="s">
        <x:v>387</x:v>
      </x:c>
      <x:c r="AH103" s="89">
        <x:v>46065.131144074076</x:v>
      </x:c>
      <x:c r="AI103" s="88" t="s">
        <x:v>388</x:v>
      </x:c>
      <x:c r="AJ103" s="88" t="s">
        <x:v>1214</x:v>
      </x:c>
      <x:c r="AK103" s="88" t="s">
        <x:v>1215</x:v>
      </x:c>
      <x:c r="AL103" s="88" t="s">
        <x:v>193</x:v>
      </x:c>
      <x:c r="AM103" s="88" t="s">
        <x:v>1216</x:v>
      </x:c>
      <x:c r="AN103" s="88" t="s">
        <x:v>391</x:v>
      </x:c>
      <x:c r="AO103" s="88">
        <x:v>0</x:v>
      </x:c>
    </x:row>
    <x:row r="104">
      <x:c r="A104" s="88" t="s">
        <x:v>1217</x:v>
      </x:c>
      <x:c r="B104" s="88" t="s">
        <x:v>1218</x:v>
      </x:c>
      <x:c r="C104" s="88" t="s">
        <x:v>1219</x:v>
      </x:c>
      <x:c r="D104" s="88" t="s">
        <x:v>248</x:v>
      </x:c>
      <x:c r="E104" s="88" t="s">
        <x:v>342</x:v>
      </x:c>
      <x:c r="F104" s="89">
        <x:v>46062.048417939812</x:v>
      </x:c>
      <x:c r="G104" s="89">
        <x:v>46069.360410138892</x:v>
      </x:c>
      <x:c r="H104" s="89">
        <x:v>46062.048417939812</x:v>
      </x:c>
      <x:c r="I104" s="88" t="s">
        <x:v>1220</x:v>
      </x:c>
      <x:c r="J104" s="88" t="s">
        <x:v>1221</x:v>
      </x:c>
      <x:c r="K104" s="88" t="s">
        <x:v>266</x:v>
      </x:c>
      <x:c r="L104" s="88"/>
      <x:c r="M104" s="88" t="s">
        <x:v>482</x:v>
      </x:c>
      <x:c r="N104" s="88"/>
      <x:c r="O104" s="88"/>
      <x:c r="P104" s="88" t="s">
        <x:v>680</x:v>
      </x:c>
      <x:c r="Q104" s="88" t="s">
        <x:v>256</x:v>
      </x:c>
      <x:c r="R104" s="88" t="s">
        <x:v>363</x:v>
      </x:c>
      <x:c r="S104" s="88"/>
      <x:c r="T104" s="88" t="s">
        <x:v>259</x:v>
      </x:c>
      <x:c r="U104" s="88" t="s">
        <x:v>1219</x:v>
      </x:c>
      <x:c r="V104" s="89">
        <x:v>46062.049702615739</x:v>
      </x:c>
      <x:c r="W104" s="88" t="s">
        <x:v>680</x:v>
      </x:c>
      <x:c r="X104" s="88" t="s">
        <x:v>259</x:v>
      </x:c>
      <x:c r="Y104" s="88" t="s">
        <x:v>482</x:v>
      </x:c>
      <x:c r="Z104" s="89">
        <x:v>46064.098356828705</x:v>
      </x:c>
      <x:c r="AA104" s="88" t="s">
        <x:v>1222</x:v>
      </x:c>
      <x:c r="AB104" s="88" t="s">
        <x:v>259</x:v>
      </x:c>
      <x:c r="AC104" s="88" t="s">
        <x:v>271</x:v>
      </x:c>
      <x:c r="AD104" s="89">
        <x:v>46064.146713495371</x:v>
      </x:c>
      <x:c r="AE104" s="88" t="s">
        <x:v>1223</x:v>
      </x:c>
      <x:c r="AF104" s="88" t="s">
        <x:v>259</x:v>
      </x:c>
      <x:c r="AG104" s="88" t="s">
        <x:v>271</x:v>
      </x:c>
      <x:c r="AH104" s="89">
        <x:v>46069.360410150461</x:v>
      </x:c>
      <x:c r="AI104" s="88" t="s">
        <x:v>353</x:v>
      </x:c>
      <x:c r="AJ104" s="88" t="s">
        <x:v>1224</x:v>
      </x:c>
      <x:c r="AK104" s="88" t="s">
        <x:v>1225</x:v>
      </x:c>
      <x:c r="AL104" s="88" t="s">
        <x:v>185</x:v>
      </x:c>
      <x:c r="AM104" s="88" t="s">
        <x:v>1226</x:v>
      </x:c>
      <x:c r="AN104" s="88" t="s">
        <x:v>369</x:v>
      </x:c>
      <x:c r="AO104" s="88">
        <x:v>0</x:v>
      </x:c>
    </x:row>
    <x:row r="105">
      <x:c r="A105" s="88" t="s">
        <x:v>1227</x:v>
      </x:c>
      <x:c r="B105" s="88" t="s">
        <x:v>1228</x:v>
      </x:c>
      <x:c r="C105" s="88" t="s">
        <x:v>1219</x:v>
      </x:c>
      <x:c r="D105" s="88" t="s">
        <x:v>248</x:v>
      </x:c>
      <x:c r="E105" s="88" t="s">
        <x:v>342</x:v>
      </x:c>
      <x:c r="F105" s="89">
        <x:v>46062.086416736114</x:v>
      </x:c>
      <x:c r="G105" s="89">
        <x:v>46069.369103831021</x:v>
      </x:c>
      <x:c r="H105" s="89">
        <x:v>46062.086416736114</x:v>
      </x:c>
      <x:c r="I105" s="88" t="s">
        <x:v>1229</x:v>
      </x:c>
      <x:c r="J105" s="88" t="s">
        <x:v>1230</x:v>
      </x:c>
      <x:c r="K105" s="88" t="s">
        <x:v>266</x:v>
      </x:c>
      <x:c r="L105" s="88"/>
      <x:c r="M105" s="88" t="s">
        <x:v>482</x:v>
      </x:c>
      <x:c r="N105" s="88"/>
      <x:c r="O105" s="88"/>
      <x:c r="P105" s="88" t="s">
        <x:v>680</x:v>
      </x:c>
      <x:c r="Q105" s="88" t="s">
        <x:v>256</x:v>
      </x:c>
      <x:c r="R105" s="88" t="s">
        <x:v>363</x:v>
      </x:c>
      <x:c r="S105" s="88"/>
      <x:c r="T105" s="88" t="s">
        <x:v>259</x:v>
      </x:c>
      <x:c r="U105" s="88" t="s">
        <x:v>1219</x:v>
      </x:c>
      <x:c r="V105" s="89">
        <x:v>46062.086910081016</x:v>
      </x:c>
      <x:c r="W105" s="88" t="s">
        <x:v>680</x:v>
      </x:c>
      <x:c r="X105" s="88" t="s">
        <x:v>259</x:v>
      </x:c>
      <x:c r="Y105" s="88" t="s">
        <x:v>482</x:v>
      </x:c>
      <x:c r="Z105" s="89">
        <x:v>46064.09436747685</x:v>
      </x:c>
      <x:c r="AA105" s="88" t="s">
        <x:v>1231</x:v>
      </x:c>
      <x:c r="AB105" s="88" t="s">
        <x:v>259</x:v>
      </x:c>
      <x:c r="AC105" s="88" t="s">
        <x:v>271</x:v>
      </x:c>
      <x:c r="AD105" s="89">
        <x:v>46064.143558553238</x:v>
      </x:c>
      <x:c r="AE105" s="88" t="s">
        <x:v>1223</x:v>
      </x:c>
      <x:c r="AF105" s="88" t="s">
        <x:v>259</x:v>
      </x:c>
      <x:c r="AG105" s="88" t="s">
        <x:v>271</x:v>
      </x:c>
      <x:c r="AH105" s="89">
        <x:v>46069.369103831021</x:v>
      </x:c>
      <x:c r="AI105" s="88" t="s">
        <x:v>353</x:v>
      </x:c>
      <x:c r="AJ105" s="88" t="s">
        <x:v>1232</x:v>
      </x:c>
      <x:c r="AK105" s="88">
        <x:v>2795</x:v>
      </x:c>
      <x:c r="AL105" s="88" t="s">
        <x:v>185</x:v>
      </x:c>
      <x:c r="AM105" s="88" t="s">
        <x:v>1233</x:v>
      </x:c>
      <x:c r="AN105" s="88" t="s">
        <x:v>369</x:v>
      </x:c>
      <x:c r="AO105" s="88">
        <x:v>0</x:v>
      </x:c>
    </x:row>
    <x:row r="106">
      <x:c r="A106" s="88" t="s">
        <x:v>1234</x:v>
      </x:c>
      <x:c r="B106" s="88" t="s">
        <x:v>1235</x:v>
      </x:c>
      <x:c r="C106" s="88" t="s">
        <x:v>939</x:v>
      </x:c>
      <x:c r="D106" s="88" t="s">
        <x:v>248</x:v>
      </x:c>
      <x:c r="E106" s="88" t="s">
        <x:v>342</x:v>
      </x:c>
      <x:c r="F106" s="89">
        <x:v>46062.414054930552</x:v>
      </x:c>
      <x:c r="G106" s="89">
        <x:v>46076.093769722225</x:v>
      </x:c>
      <x:c r="H106" s="89">
        <x:v>46063.044083541667</x:v>
      </x:c>
      <x:c r="I106" s="88" t="s">
        <x:v>1236</x:v>
      </x:c>
      <x:c r="J106" s="88" t="s">
        <x:v>1237</x:v>
      </x:c>
      <x:c r="K106" s="88" t="s">
        <x:v>266</x:v>
      </x:c>
      <x:c r="L106" s="88"/>
      <x:c r="M106" s="88" t="s">
        <x:v>942</x:v>
      </x:c>
      <x:c r="N106" s="88"/>
      <x:c r="O106" s="88"/>
      <x:c r="P106" s="88" t="s">
        <x:v>1238</x:v>
      </x:c>
      <x:c r="Q106" s="88" t="s">
        <x:v>256</x:v>
      </x:c>
      <x:c r="R106" s="88" t="s">
        <x:v>257</x:v>
      </x:c>
      <x:c r="S106" s="88"/>
      <x:c r="T106" s="88" t="s">
        <x:v>259</x:v>
      </x:c>
      <x:c r="U106" s="88" t="s">
        <x:v>939</x:v>
      </x:c>
      <x:c r="V106" s="89">
        <x:v>46063.046540497686</x:v>
      </x:c>
      <x:c r="W106" s="88" t="s">
        <x:v>1239</x:v>
      </x:c>
      <x:c r="X106" s="88" t="s">
        <x:v>259</x:v>
      </x:c>
      <x:c r="Y106" s="88" t="s">
        <x:v>945</x:v>
      </x:c>
      <x:c r="Z106" s="89">
        <x:v>46066.183479074076</x:v>
      </x:c>
      <x:c r="AA106" s="88" t="s">
        <x:v>946</x:v>
      </x:c>
      <x:c r="AB106" s="88" t="s">
        <x:v>259</x:v>
      </x:c>
      <x:c r="AC106" s="88" t="s">
        <x:v>271</x:v>
      </x:c>
      <x:c r="AD106" s="89">
        <x:v>46072.291197870371</x:v>
      </x:c>
      <x:c r="AE106" s="88" t="s">
        <x:v>1240</x:v>
      </x:c>
      <x:c r="AF106" s="88" t="s">
        <x:v>259</x:v>
      </x:c>
      <x:c r="AG106" s="88" t="s">
        <x:v>387</x:v>
      </x:c>
      <x:c r="AH106" s="89">
        <x:v>46076.093769733794</x:v>
      </x:c>
      <x:c r="AI106" s="88" t="s">
        <x:v>388</x:v>
      </x:c>
      <x:c r="AJ106" s="88" t="s">
        <x:v>1241</x:v>
      </x:c>
      <x:c r="AK106" s="88">
        <x:v>906</x:v>
      </x:c>
      <x:c r="AL106" s="88" t="s">
        <x:v>185</x:v>
      </x:c>
      <x:c r="AM106" s="88" t="s">
        <x:v>1242</x:v>
      </x:c>
      <x:c r="AN106" s="88" t="s">
        <x:v>369</x:v>
      </x:c>
      <x:c r="AO106" s="88">
        <x:v>0</x:v>
      </x:c>
    </x:row>
    <x:row r="107">
      <x:c r="A107" s="88" t="s">
        <x:v>1243</x:v>
      </x:c>
      <x:c r="B107" s="88" t="s">
        <x:v>1244</x:v>
      </x:c>
      <x:c r="C107" s="88" t="s">
        <x:v>939</x:v>
      </x:c>
      <x:c r="D107" s="88" t="s">
        <x:v>248</x:v>
      </x:c>
      <x:c r="E107" s="88" t="s">
        <x:v>342</x:v>
      </x:c>
      <x:c r="F107" s="89">
        <x:v>46063.070962708334</x:v>
      </x:c>
      <x:c r="G107" s="89">
        <x:v>46073.115009131943</x:v>
      </x:c>
      <x:c r="H107" s="89">
        <x:v>46063.070962708334</x:v>
      </x:c>
      <x:c r="I107" s="88" t="s">
        <x:v>940</x:v>
      </x:c>
      <x:c r="J107" s="88" t="s">
        <x:v>941</x:v>
      </x:c>
      <x:c r="K107" s="88" t="s">
        <x:v>266</x:v>
      </x:c>
      <x:c r="L107" s="88"/>
      <x:c r="M107" s="88" t="s">
        <x:v>942</x:v>
      </x:c>
      <x:c r="N107" s="88"/>
      <x:c r="O107" s="88"/>
      <x:c r="P107" s="88" t="s">
        <x:v>1245</x:v>
      </x:c>
      <x:c r="Q107" s="88" t="s">
        <x:v>256</x:v>
      </x:c>
      <x:c r="R107" s="88" t="s">
        <x:v>283</x:v>
      </x:c>
      <x:c r="S107" s="88"/>
      <x:c r="T107" s="88" t="s">
        <x:v>259</x:v>
      </x:c>
      <x:c r="U107" s="88" t="s">
        <x:v>939</x:v>
      </x:c>
      <x:c r="V107" s="89">
        <x:v>46063.075424861112</x:v>
      </x:c>
      <x:c r="W107" s="88" t="s">
        <x:v>1246</x:v>
      </x:c>
      <x:c r="X107" s="88" t="s">
        <x:v>259</x:v>
      </x:c>
      <x:c r="Y107" s="88" t="s">
        <x:v>945</x:v>
      </x:c>
      <x:c r="Z107" s="89">
        <x:v>46066.182658900463</x:v>
      </x:c>
      <x:c r="AA107" s="88" t="s">
        <x:v>946</x:v>
      </x:c>
      <x:c r="AB107" s="88" t="s">
        <x:v>259</x:v>
      </x:c>
      <x:c r="AC107" s="88" t="s">
        <x:v>271</x:v>
      </x:c>
      <x:c r="AD107" s="89">
        <x:v>46072.290084224536</x:v>
      </x:c>
      <x:c r="AE107" s="88" t="s">
        <x:v>571</x:v>
      </x:c>
      <x:c r="AF107" s="88" t="s">
        <x:v>259</x:v>
      </x:c>
      <x:c r="AG107" s="88" t="s">
        <x:v>387</x:v>
      </x:c>
      <x:c r="AH107" s="89">
        <x:v>46073.115009131943</x:v>
      </x:c>
      <x:c r="AI107" s="88" t="s">
        <x:v>1247</x:v>
      </x:c>
      <x:c r="AJ107" s="88" t="s">
        <x:v>947</x:v>
      </x:c>
      <x:c r="AK107" s="88">
        <x:v>1478</x:v>
      </x:c>
      <x:c r="AL107" s="88" t="s">
        <x:v>185</x:v>
      </x:c>
      <x:c r="AM107" s="88" t="s">
        <x:v>1248</x:v>
      </x:c>
      <x:c r="AN107" s="88" t="s">
        <x:v>369</x:v>
      </x:c>
      <x:c r="AO107" s="88">
        <x:v>0</x:v>
      </x:c>
    </x:row>
    <x:row r="108">
      <x:c r="A108" s="88" t="s">
        <x:v>1249</x:v>
      </x:c>
      <x:c r="B108" s="88" t="s">
        <x:v>1250</x:v>
      </x:c>
      <x:c r="C108" s="88" t="s">
        <x:v>1251</x:v>
      </x:c>
      <x:c r="D108" s="88" t="s">
        <x:v>248</x:v>
      </x:c>
      <x:c r="E108" s="88" t="s">
        <x:v>249</x:v>
      </x:c>
      <x:c r="F108" s="89">
        <x:v>46063.121650324072</x:v>
      </x:c>
      <x:c r="G108" s="89">
        <x:v>46063.304053854168</x:v>
      </x:c>
      <x:c r="H108" s="89">
        <x:v>46063.275564837961</x:v>
      </x:c>
      <x:c r="I108" s="88" t="s">
        <x:v>1252</x:v>
      </x:c>
      <x:c r="J108" s="88" t="s">
        <x:v>1253</x:v>
      </x:c>
      <x:c r="K108" s="88" t="s">
        <x:v>380</x:v>
      </x:c>
      <x:c r="L108" s="88" t="s">
        <x:v>1254</x:v>
      </x:c>
      <x:c r="M108" s="88" t="s">
        <x:v>1255</x:v>
      </x:c>
      <x:c r="N108" s="88"/>
      <x:c r="O108" s="88"/>
      <x:c r="P108" s="88" t="s">
        <x:v>1256</x:v>
      </x:c>
      <x:c r="Q108" s="88" t="s">
        <x:v>323</x:v>
      </x:c>
      <x:c r="R108" s="88" t="s">
        <x:v>283</x:v>
      </x:c>
      <x:c r="S108" s="88"/>
      <x:c r="T108" s="88" t="s">
        <x:v>259</x:v>
      </x:c>
      <x:c r="U108" s="88" t="s">
        <x:v>1251</x:v>
      </x:c>
      <x:c r="V108" s="89">
        <x:v>46063.276263101849</x:v>
      </x:c>
      <x:c r="W108" s="88" t="s">
        <x:v>1257</x:v>
      </x:c>
      <x:c r="X108" s="88" t="s">
        <x:v>249</x:v>
      </x:c>
      <x:c r="Y108" s="88" t="s">
        <x:v>271</x:v>
      </x:c>
      <x:c r="Z108" s="89">
        <x:v>46063.304053854168</x:v>
      </x:c>
      <x:c r="AA108" s="88" t="s">
        <x:v>1258</x:v>
      </x:c>
      <x:c r="AB108" s="88"/>
      <x:c r="AC108" s="88" t="s">
        <x:v>273</x:v>
      </x:c>
      <x:c r="AD108" s="89"/>
      <x:c r="AE108" s="88"/>
      <x:c r="AF108" s="88"/>
      <x:c r="AG108" s="88" t="s">
        <x:v>273</x:v>
      </x:c>
      <x:c r="AH108" s="89"/>
      <x:c r="AI108" s="88"/>
      <x:c r="AJ108" s="88" t="s">
        <x:v>1259</x:v>
      </x:c>
      <x:c r="AK108" s="88">
        <x:v>2794</x:v>
      </x:c>
      <x:c r="AL108" s="88"/>
      <x:c r="AM108" s="88"/>
      <x:c r="AN108" s="88" t="s">
        <x:v>369</x:v>
      </x:c>
      <x:c r="AO108" s="88">
        <x:v>0</x:v>
      </x:c>
    </x:row>
    <x:row r="109">
      <x:c r="A109" s="88" t="s">
        <x:v>1260</x:v>
      </x:c>
      <x:c r="B109" s="88" t="s">
        <x:v>1261</x:v>
      </x:c>
      <x:c r="C109" s="88" t="s">
        <x:v>1251</x:v>
      </x:c>
      <x:c r="D109" s="88" t="s">
        <x:v>248</x:v>
      </x:c>
      <x:c r="E109" s="88" t="s">
        <x:v>249</x:v>
      </x:c>
      <x:c r="F109" s="89">
        <x:v>46063.123531990743</x:v>
      </x:c>
      <x:c r="G109" s="89">
        <x:v>46063.303990960645</x:v>
      </x:c>
      <x:c r="H109" s="89">
        <x:v>46063.272615462964</x:v>
      </x:c>
      <x:c r="I109" s="88" t="s">
        <x:v>1252</x:v>
      </x:c>
      <x:c r="J109" s="88" t="s">
        <x:v>1262</x:v>
      </x:c>
      <x:c r="K109" s="88" t="s">
        <x:v>380</x:v>
      </x:c>
      <x:c r="L109" s="88" t="s">
        <x:v>1263</x:v>
      </x:c>
      <x:c r="M109" s="88" t="s">
        <x:v>1255</x:v>
      </x:c>
      <x:c r="N109" s="88"/>
      <x:c r="O109" s="88"/>
      <x:c r="P109" s="88" t="s">
        <x:v>1264</x:v>
      </x:c>
      <x:c r="Q109" s="88" t="s">
        <x:v>323</x:v>
      </x:c>
      <x:c r="R109" s="88" t="s">
        <x:v>283</x:v>
      </x:c>
      <x:c r="S109" s="88"/>
      <x:c r="T109" s="88" t="s">
        <x:v>259</x:v>
      </x:c>
      <x:c r="U109" s="88" t="s">
        <x:v>1251</x:v>
      </x:c>
      <x:c r="V109" s="89">
        <x:v>46063.273312557867</x:v>
      </x:c>
      <x:c r="W109" s="88" t="s">
        <x:v>1257</x:v>
      </x:c>
      <x:c r="X109" s="88" t="s">
        <x:v>249</x:v>
      </x:c>
      <x:c r="Y109" s="88" t="s">
        <x:v>271</x:v>
      </x:c>
      <x:c r="Z109" s="89">
        <x:v>46063.303990983797</x:v>
      </x:c>
      <x:c r="AA109" s="88" t="s">
        <x:v>1265</x:v>
      </x:c>
      <x:c r="AB109" s="88"/>
      <x:c r="AC109" s="88" t="s">
        <x:v>273</x:v>
      </x:c>
      <x:c r="AD109" s="89"/>
      <x:c r="AE109" s="88"/>
      <x:c r="AF109" s="88"/>
      <x:c r="AG109" s="88" t="s">
        <x:v>273</x:v>
      </x:c>
      <x:c r="AH109" s="89"/>
      <x:c r="AI109" s="88"/>
      <x:c r="AJ109" s="88" t="s">
        <x:v>1259</x:v>
      </x:c>
      <x:c r="AK109" s="88">
        <x:v>3057</x:v>
      </x:c>
      <x:c r="AL109" s="88"/>
      <x:c r="AM109" s="88"/>
      <x:c r="AN109" s="88" t="s">
        <x:v>369</x:v>
      </x:c>
      <x:c r="AO109" s="88">
        <x:v>0</x:v>
      </x:c>
    </x:row>
    <x:row r="110">
      <x:c r="A110" s="88" t="s">
        <x:v>1266</x:v>
      </x:c>
      <x:c r="B110" s="88" t="s">
        <x:v>1267</x:v>
      </x:c>
      <x:c r="C110" s="88" t="s">
        <x:v>1268</x:v>
      </x:c>
      <x:c r="D110" s="88" t="s">
        <x:v>248</x:v>
      </x:c>
      <x:c r="E110" s="88" t="s">
        <x:v>342</x:v>
      </x:c>
      <x:c r="F110" s="89">
        <x:v>46063.142538136577</x:v>
      </x:c>
      <x:c r="G110" s="89">
        <x:v>46072.226177557874</x:v>
      </x:c>
      <x:c r="H110" s="89">
        <x:v>46063.142538136577</x:v>
      </x:c>
      <x:c r="I110" s="88" t="s">
        <x:v>1269</x:v>
      </x:c>
      <x:c r="J110" s="88" t="s">
        <x:v>1270</x:v>
      </x:c>
      <x:c r="K110" s="88" t="s">
        <x:v>266</x:v>
      </x:c>
      <x:c r="L110" s="88"/>
      <x:c r="M110" s="88" t="s">
        <x:v>1271</x:v>
      </x:c>
      <x:c r="N110" s="88"/>
      <x:c r="O110" s="88"/>
      <x:c r="P110" s="88" t="s">
        <x:v>1272</x:v>
      </x:c>
      <x:c r="Q110" s="88" t="s">
        <x:v>323</x:v>
      </x:c>
      <x:c r="R110" s="88" t="s">
        <x:v>283</x:v>
      </x:c>
      <x:c r="S110" s="88"/>
      <x:c r="T110" s="88" t="s">
        <x:v>259</x:v>
      </x:c>
      <x:c r="U110" s="88" t="s">
        <x:v>1268</x:v>
      </x:c>
      <x:c r="V110" s="89">
        <x:v>46063.271755960646</x:v>
      </x:c>
      <x:c r="W110" s="88" t="s">
        <x:v>1273</x:v>
      </x:c>
      <x:c r="X110" s="88" t="s">
        <x:v>259</x:v>
      </x:c>
      <x:c r="Y110" s="88" t="s">
        <x:v>1271</x:v>
      </x:c>
      <x:c r="Z110" s="89">
        <x:v>46063.36478408565</x:v>
      </x:c>
      <x:c r="AA110" s="88" t="s">
        <x:v>1274</x:v>
      </x:c>
      <x:c r="AB110" s="88" t="s">
        <x:v>259</x:v>
      </x:c>
      <x:c r="AC110" s="88" t="s">
        <x:v>271</x:v>
      </x:c>
      <x:c r="AD110" s="89">
        <x:v>46064.131288564815</x:v>
      </x:c>
      <x:c r="AE110" s="88" t="s">
        <x:v>1275</x:v>
      </x:c>
      <x:c r="AF110" s="88" t="s">
        <x:v>259</x:v>
      </x:c>
      <x:c r="AG110" s="88" t="s">
        <x:v>387</x:v>
      </x:c>
      <x:c r="AH110" s="89">
        <x:v>46072.226177557874</x:v>
      </x:c>
      <x:c r="AI110" s="88" t="s">
        <x:v>1276</x:v>
      </x:c>
      <x:c r="AJ110" s="88" t="s">
        <x:v>1277</x:v>
      </x:c>
      <x:c r="AK110" s="88" t="s">
        <x:v>1278</x:v>
      </x:c>
      <x:c r="AL110" s="88" t="s">
        <x:v>185</x:v>
      </x:c>
      <x:c r="AM110" s="88" t="s">
        <x:v>1279</x:v>
      </x:c>
      <x:c r="AN110" s="88" t="s">
        <x:v>414</x:v>
      </x:c>
      <x:c r="AO110" s="88">
        <x:v>30</x:v>
      </x:c>
    </x:row>
    <x:row r="111">
      <x:c r="A111" s="88" t="s">
        <x:v>1280</x:v>
      </x:c>
      <x:c r="B111" s="88" t="s">
        <x:v>1281</x:v>
      </x:c>
      <x:c r="C111" s="88" t="s">
        <x:v>1219</x:v>
      </x:c>
      <x:c r="D111" s="88" t="s">
        <x:v>248</x:v>
      </x:c>
      <x:c r="E111" s="88" t="s">
        <x:v>342</x:v>
      </x:c>
      <x:c r="F111" s="89">
        <x:v>46063.143671284721</x:v>
      </x:c>
      <x:c r="G111" s="89">
        <x:v>46069.355135127313</x:v>
      </x:c>
      <x:c r="H111" s="89">
        <x:v>46063.143671284721</x:v>
      </x:c>
      <x:c r="I111" s="88" t="s">
        <x:v>1282</x:v>
      </x:c>
      <x:c r="J111" s="88" t="s">
        <x:v>1282</x:v>
      </x:c>
      <x:c r="K111" s="88" t="s">
        <x:v>266</x:v>
      </x:c>
      <x:c r="L111" s="88"/>
      <x:c r="M111" s="88" t="s">
        <x:v>482</x:v>
      </x:c>
      <x:c r="N111" s="88"/>
      <x:c r="O111" s="88"/>
      <x:c r="P111" s="88" t="s">
        <x:v>680</x:v>
      </x:c>
      <x:c r="Q111" s="88" t="s">
        <x:v>256</x:v>
      </x:c>
      <x:c r="R111" s="88" t="s">
        <x:v>363</x:v>
      </x:c>
      <x:c r="S111" s="88"/>
      <x:c r="T111" s="88" t="s">
        <x:v>259</x:v>
      </x:c>
      <x:c r="U111" s="88" t="s">
        <x:v>1219</x:v>
      </x:c>
      <x:c r="V111" s="89">
        <x:v>46063.144528321762</x:v>
      </x:c>
      <x:c r="W111" s="88" t="s">
        <x:v>1283</x:v>
      </x:c>
      <x:c r="X111" s="88" t="s">
        <x:v>259</x:v>
      </x:c>
      <x:c r="Y111" s="88" t="s">
        <x:v>482</x:v>
      </x:c>
      <x:c r="Z111" s="89">
        <x:v>46064.099356979168</x:v>
      </x:c>
      <x:c r="AA111" s="88" t="s">
        <x:v>1284</x:v>
      </x:c>
      <x:c r="AB111" s="88" t="s">
        <x:v>259</x:v>
      </x:c>
      <x:c r="AC111" s="88" t="s">
        <x:v>271</x:v>
      </x:c>
      <x:c r="AD111" s="89">
        <x:v>46064.138634884257</x:v>
      </x:c>
      <x:c r="AE111" s="88" t="s">
        <x:v>1223</x:v>
      </x:c>
      <x:c r="AF111" s="88" t="s">
        <x:v>259</x:v>
      </x:c>
      <x:c r="AG111" s="88" t="s">
        <x:v>271</x:v>
      </x:c>
      <x:c r="AH111" s="89">
        <x:v>46069.355135138889</x:v>
      </x:c>
      <x:c r="AI111" s="88" t="s">
        <x:v>353</x:v>
      </x:c>
      <x:c r="AJ111" s="88" t="s">
        <x:v>1285</x:v>
      </x:c>
      <x:c r="AK111" s="88">
        <x:v>3215</x:v>
      </x:c>
      <x:c r="AL111" s="88" t="s">
        <x:v>185</x:v>
      </x:c>
      <x:c r="AM111" s="88" t="s">
        <x:v>1286</x:v>
      </x:c>
      <x:c r="AN111" s="88" t="s">
        <x:v>369</x:v>
      </x:c>
      <x:c r="AO111" s="88">
        <x:v>0</x:v>
      </x:c>
    </x:row>
    <x:row r="112">
      <x:c r="A112" s="88" t="s">
        <x:v>1287</x:v>
      </x:c>
      <x:c r="B112" s="88" t="s">
        <x:v>1288</x:v>
      </x:c>
      <x:c r="C112" s="88" t="s">
        <x:v>1268</x:v>
      </x:c>
      <x:c r="D112" s="88" t="s">
        <x:v>248</x:v>
      </x:c>
      <x:c r="E112" s="88" t="s">
        <x:v>342</x:v>
      </x:c>
      <x:c r="F112" s="89">
        <x:v>46063.272692025464</x:v>
      </x:c>
      <x:c r="G112" s="89">
        <x:v>46072.209797569441</x:v>
      </x:c>
      <x:c r="H112" s="89">
        <x:v>46063.272692025464</x:v>
      </x:c>
      <x:c r="I112" s="88" t="s">
        <x:v>1269</x:v>
      </x:c>
      <x:c r="J112" s="88" t="s">
        <x:v>1270</x:v>
      </x:c>
      <x:c r="K112" s="88" t="s">
        <x:v>266</x:v>
      </x:c>
      <x:c r="L112" s="88"/>
      <x:c r="M112" s="88" t="s">
        <x:v>1271</x:v>
      </x:c>
      <x:c r="N112" s="88"/>
      <x:c r="O112" s="88"/>
      <x:c r="P112" s="88" t="s">
        <x:v>1272</x:v>
      </x:c>
      <x:c r="Q112" s="88" t="s">
        <x:v>323</x:v>
      </x:c>
      <x:c r="R112" s="88" t="s">
        <x:v>283</x:v>
      </x:c>
      <x:c r="S112" s="88"/>
      <x:c r="T112" s="88" t="s">
        <x:v>259</x:v>
      </x:c>
      <x:c r="U112" s="88" t="s">
        <x:v>1268</x:v>
      </x:c>
      <x:c r="V112" s="89">
        <x:v>46063.349373530094</x:v>
      </x:c>
      <x:c r="W112" s="88" t="s">
        <x:v>1289</x:v>
      </x:c>
      <x:c r="X112" s="88" t="s">
        <x:v>259</x:v>
      </x:c>
      <x:c r="Y112" s="88" t="s">
        <x:v>1271</x:v>
      </x:c>
      <x:c r="Z112" s="89">
        <x:v>46063.365147222219</x:v>
      </x:c>
      <x:c r="AA112" s="88" t="s">
        <x:v>1274</x:v>
      </x:c>
      <x:c r="AB112" s="88" t="s">
        <x:v>259</x:v>
      </x:c>
      <x:c r="AC112" s="88" t="s">
        <x:v>271</x:v>
      </x:c>
      <x:c r="AD112" s="89">
        <x:v>46064.129991261572</x:v>
      </x:c>
      <x:c r="AE112" s="88" t="s">
        <x:v>1290</x:v>
      </x:c>
      <x:c r="AF112" s="88" t="s">
        <x:v>259</x:v>
      </x:c>
      <x:c r="AG112" s="88" t="s">
        <x:v>387</x:v>
      </x:c>
      <x:c r="AH112" s="89">
        <x:v>46072.209797581017</x:v>
      </x:c>
      <x:c r="AI112" s="88" t="s">
        <x:v>388</x:v>
      </x:c>
      <x:c r="AJ112" s="88" t="s">
        <x:v>1277</x:v>
      </x:c>
      <x:c r="AK112" s="88">
        <x:v>1116</x:v>
      </x:c>
      <x:c r="AL112" s="88" t="s">
        <x:v>185</x:v>
      </x:c>
      <x:c r="AM112" s="88" t="s">
        <x:v>1291</x:v>
      </x:c>
      <x:c r="AN112" s="88" t="s">
        <x:v>414</x:v>
      </x:c>
      <x:c r="AO112" s="88">
        <x:v>30</x:v>
      </x:c>
    </x:row>
    <x:row r="113">
      <x:c r="A113" s="88" t="s">
        <x:v>1292</x:v>
      </x:c>
      <x:c r="B113" s="88" t="s">
        <x:v>1293</x:v>
      </x:c>
      <x:c r="C113" s="88" t="s">
        <x:v>1294</x:v>
      </x:c>
      <x:c r="D113" s="88" t="s">
        <x:v>248</x:v>
      </x:c>
      <x:c r="E113" s="88" t="s">
        <x:v>372</x:v>
      </x:c>
      <x:c r="F113" s="89">
        <x:v>46064.067029918981</x:v>
      </x:c>
      <x:c r="G113" s="89">
        <x:v>46064.108763969911</x:v>
      </x:c>
      <x:c r="H113" s="89">
        <x:v>46064.070066342596</x:v>
      </x:c>
      <x:c r="I113" s="88" t="s">
        <x:v>1295</x:v>
      </x:c>
      <x:c r="J113" s="88" t="s">
        <x:v>1296</x:v>
      </x:c>
      <x:c r="K113" s="88" t="s">
        <x:v>266</x:v>
      </x:c>
      <x:c r="L113" s="88"/>
      <x:c r="M113" s="88" t="s">
        <x:v>1297</x:v>
      </x:c>
      <x:c r="N113" s="88"/>
      <x:c r="O113" s="88"/>
      <x:c r="P113" s="88" t="s">
        <x:v>1298</x:v>
      </x:c>
      <x:c r="Q113" s="88" t="s">
        <x:v>256</x:v>
      </x:c>
      <x:c r="R113" s="88" t="s">
        <x:v>283</x:v>
      </x:c>
      <x:c r="S113" s="88"/>
      <x:c r="T113" s="88" t="s">
        <x:v>259</x:v>
      </x:c>
      <x:c r="U113" s="88" t="s">
        <x:v>1294</x:v>
      </x:c>
      <x:c r="V113" s="89">
        <x:v>46064.10876398148</x:v>
      </x:c>
      <x:c r="W113" s="88" t="s">
        <x:v>1299</x:v>
      </x:c>
      <x:c r="X113" s="88"/>
      <x:c r="Y113" s="88" t="s">
        <x:v>1300</x:v>
      </x:c>
      <x:c r="Z113" s="89"/>
      <x:c r="AA113" s="88"/>
      <x:c r="AB113" s="88"/>
      <x:c r="AC113" s="88" t="s">
        <x:v>273</x:v>
      </x:c>
      <x:c r="AD113" s="89"/>
      <x:c r="AE113" s="88"/>
      <x:c r="AF113" s="88"/>
      <x:c r="AG113" s="88" t="s">
        <x:v>273</x:v>
      </x:c>
      <x:c r="AH113" s="89"/>
      <x:c r="AI113" s="88"/>
      <x:c r="AJ113" s="88" t="s">
        <x:v>1301</x:v>
      </x:c>
      <x:c r="AK113" s="88">
        <x:v>1892</x:v>
      </x:c>
      <x:c r="AL113" s="88"/>
      <x:c r="AM113" s="88"/>
      <x:c r="AN113" s="88" t="s">
        <x:v>414</x:v>
      </x:c>
      <x:c r="AO113" s="88"/>
    </x:row>
    <x:row r="114">
      <x:c r="A114" s="88" t="s">
        <x:v>1302</x:v>
      </x:c>
      <x:c r="B114" s="88" t="s">
        <x:v>1303</x:v>
      </x:c>
      <x:c r="C114" s="88" t="s">
        <x:v>1294</x:v>
      </x:c>
      <x:c r="D114" s="88" t="s">
        <x:v>248</x:v>
      </x:c>
      <x:c r="E114" s="88" t="s">
        <x:v>278</x:v>
      </x:c>
      <x:c r="F114" s="89">
        <x:v>46065.268593993052</x:v>
      </x:c>
      <x:c r="G114" s="89">
        <x:v>46066.162372662038</x:v>
      </x:c>
      <x:c r="H114" s="89">
        <x:v>46065.400124120373</x:v>
      </x:c>
      <x:c r="I114" s="88" t="s">
        <x:v>1295</x:v>
      </x:c>
      <x:c r="J114" s="88" t="s">
        <x:v>1296</x:v>
      </x:c>
      <x:c r="K114" s="88" t="s">
        <x:v>266</x:v>
      </x:c>
      <x:c r="L114" s="88"/>
      <x:c r="M114" s="88" t="s">
        <x:v>1297</x:v>
      </x:c>
      <x:c r="N114" s="88"/>
      <x:c r="O114" s="88"/>
      <x:c r="P114" s="88" t="s">
        <x:v>1304</x:v>
      </x:c>
      <x:c r="Q114" s="88" t="s">
        <x:v>256</x:v>
      </x:c>
      <x:c r="R114" s="88" t="s">
        <x:v>283</x:v>
      </x:c>
      <x:c r="S114" s="88"/>
      <x:c r="T114" s="88" t="s">
        <x:v>249</x:v>
      </x:c>
      <x:c r="U114" s="88" t="s">
        <x:v>1294</x:v>
      </x:c>
      <x:c r="V114" s="89">
        <x:v>46066.162372673614</x:v>
      </x:c>
      <x:c r="W114" s="88"/>
      <x:c r="X114" s="88"/>
      <x:c r="Y114" s="88" t="s">
        <x:v>1300</x:v>
      </x:c>
      <x:c r="Z114" s="89"/>
      <x:c r="AA114" s="88"/>
      <x:c r="AB114" s="88"/>
      <x:c r="AC114" s="88" t="s">
        <x:v>273</x:v>
      </x:c>
      <x:c r="AD114" s="89"/>
      <x:c r="AE114" s="88"/>
      <x:c r="AF114" s="88"/>
      <x:c r="AG114" s="88" t="s">
        <x:v>273</x:v>
      </x:c>
      <x:c r="AH114" s="89"/>
      <x:c r="AI114" s="88"/>
      <x:c r="AJ114" s="88" t="s">
        <x:v>1301</x:v>
      </x:c>
      <x:c r="AK114" s="88">
        <x:v>1892</x:v>
      </x:c>
      <x:c r="AL114" s="88"/>
      <x:c r="AM114" s="88"/>
      <x:c r="AN114" s="88" t="s">
        <x:v>414</x:v>
      </x:c>
      <x:c r="AO114" s="88"/>
    </x:row>
    <x:row r="115">
      <x:c r="A115" s="88" t="s">
        <x:v>1305</x:v>
      </x:c>
      <x:c r="B115" s="88" t="s">
        <x:v>1306</x:v>
      </x:c>
      <x:c r="C115" s="88" t="s">
        <x:v>1307</x:v>
      </x:c>
      <x:c r="D115" s="88" t="s">
        <x:v>248</x:v>
      </x:c>
      <x:c r="E115" s="88" t="s">
        <x:v>278</x:v>
      </x:c>
      <x:c r="F115" s="89">
        <x:v>46065.323012986111</x:v>
      </x:c>
      <x:c r="G115" s="89">
        <x:v>46113.122595324072</x:v>
      </x:c>
      <x:c r="H115" s="89">
        <x:v>46065.323012986111</x:v>
      </x:c>
      <x:c r="I115" s="88" t="s">
        <x:v>1308</x:v>
      </x:c>
      <x:c r="J115" s="88" t="s">
        <x:v>1309</x:v>
      </x:c>
      <x:c r="K115" s="88" t="s">
        <x:v>380</x:v>
      </x:c>
      <x:c r="L115" s="88" t="s">
        <x:v>1310</x:v>
      </x:c>
      <x:c r="M115" s="88" t="s">
        <x:v>1307</x:v>
      </x:c>
      <x:c r="N115" s="88" t="s">
        <x:v>1311</x:v>
      </x:c>
      <x:c r="O115" s="88" t="s">
        <x:v>1312</x:v>
      </x:c>
      <x:c r="P115" s="88" t="s">
        <x:v>1313</x:v>
      </x:c>
      <x:c r="Q115" s="88" t="s">
        <x:v>269</x:v>
      </x:c>
      <x:c r="R115" s="88" t="s">
        <x:v>363</x:v>
      </x:c>
      <x:c r="S115" s="88"/>
      <x:c r="T115" s="88" t="s">
        <x:v>249</x:v>
      </x:c>
      <x:c r="U115" s="88" t="s">
        <x:v>1307</x:v>
      </x:c>
      <x:c r="V115" s="89">
        <x:v>46113.122595335648</x:v>
      </x:c>
      <x:c r="W115" s="88"/>
      <x:c r="X115" s="88"/>
      <x:c r="Y115" s="88" t="s">
        <x:v>1307</x:v>
      </x:c>
      <x:c r="Z115" s="89"/>
      <x:c r="AA115" s="88"/>
      <x:c r="AB115" s="88"/>
      <x:c r="AC115" s="88" t="s">
        <x:v>273</x:v>
      </x:c>
      <x:c r="AD115" s="89"/>
      <x:c r="AE115" s="88"/>
      <x:c r="AF115" s="88"/>
      <x:c r="AG115" s="88" t="s">
        <x:v>161</x:v>
      </x:c>
      <x:c r="AH115" s="89"/>
      <x:c r="AI115" s="88"/>
      <x:c r="AJ115" s="88" t="s">
        <x:v>1314</x:v>
      </x:c>
      <x:c r="AK115" s="88" t="s">
        <x:v>1315</x:v>
      </x:c>
      <x:c r="AL115" s="88"/>
      <x:c r="AM115" s="88"/>
      <x:c r="AN115" s="88" t="s">
        <x:v>414</x:v>
      </x:c>
      <x:c r="AO115" s="88">
        <x:v>4</x:v>
      </x:c>
    </x:row>
    <x:row r="116">
      <x:c r="A116" s="88" t="s">
        <x:v>1316</x:v>
      </x:c>
      <x:c r="B116" s="88" t="s">
        <x:v>1317</x:v>
      </x:c>
      <x:c r="C116" s="88" t="s">
        <x:v>1294</x:v>
      </x:c>
      <x:c r="D116" s="88" t="s">
        <x:v>248</x:v>
      </x:c>
      <x:c r="E116" s="88" t="s">
        <x:v>342</x:v>
      </x:c>
      <x:c r="F116" s="89">
        <x:v>46066.163363321757</x:v>
      </x:c>
      <x:c r="G116" s="89">
        <x:v>46084.32780146991</x:v>
      </x:c>
      <x:c r="H116" s="89">
        <x:v>46072.068206087963</x:v>
      </x:c>
      <x:c r="I116" s="88" t="s">
        <x:v>1295</x:v>
      </x:c>
      <x:c r="J116" s="88" t="s">
        <x:v>1296</x:v>
      </x:c>
      <x:c r="K116" s="88" t="s">
        <x:v>266</x:v>
      </x:c>
      <x:c r="L116" s="88"/>
      <x:c r="M116" s="88" t="s">
        <x:v>1297</x:v>
      </x:c>
      <x:c r="N116" s="88"/>
      <x:c r="O116" s="88"/>
      <x:c r="P116" s="88" t="s">
        <x:v>1304</x:v>
      </x:c>
      <x:c r="Q116" s="88" t="s">
        <x:v>256</x:v>
      </x:c>
      <x:c r="R116" s="88" t="s">
        <x:v>283</x:v>
      </x:c>
      <x:c r="S116" s="88"/>
      <x:c r="T116" s="88" t="s">
        <x:v>259</x:v>
      </x:c>
      <x:c r="U116" s="88" t="s">
        <x:v>1300</x:v>
      </x:c>
      <x:c r="V116" s="89">
        <x:v>46072.068803912036</x:v>
      </x:c>
      <x:c r="W116" s="88" t="s">
        <x:v>1318</x:v>
      </x:c>
      <x:c r="X116" s="88" t="s">
        <x:v>259</x:v>
      </x:c>
      <x:c r="Y116" s="88" t="s">
        <x:v>1300</x:v>
      </x:c>
      <x:c r="Z116" s="89">
        <x:v>46073.340155798614</x:v>
      </x:c>
      <x:c r="AA116" s="88" t="s">
        <x:v>1319</x:v>
      </x:c>
      <x:c r="AB116" s="88" t="s">
        <x:v>259</x:v>
      </x:c>
      <x:c r="AC116" s="88" t="s">
        <x:v>271</x:v>
      </x:c>
      <x:c r="AD116" s="89">
        <x:v>46075.998005312496</x:v>
      </x:c>
      <x:c r="AE116" s="88" t="s">
        <x:v>1320</x:v>
      </x:c>
      <x:c r="AF116" s="88" t="s">
        <x:v>259</x:v>
      </x:c>
      <x:c r="AG116" s="88" t="s">
        <x:v>271</x:v>
      </x:c>
      <x:c r="AH116" s="89">
        <x:v>46084.327801481479</x:v>
      </x:c>
      <x:c r="AI116" s="88" t="s">
        <x:v>353</x:v>
      </x:c>
      <x:c r="AJ116" s="88" t="s">
        <x:v>1301</x:v>
      </x:c>
      <x:c r="AK116" s="88">
        <x:v>1892</x:v>
      </x:c>
      <x:c r="AL116" s="88" t="s">
        <x:v>193</x:v>
      </x:c>
      <x:c r="AM116" s="88" t="s">
        <x:v>1321</x:v>
      </x:c>
      <x:c r="AN116" s="88" t="s">
        <x:v>414</x:v>
      </x:c>
      <x:c r="AO116" s="88"/>
    </x:row>
    <x:row r="117">
      <x:c r="A117" s="88" t="s">
        <x:v>1322</x:v>
      </x:c>
      <x:c r="B117" s="88" t="s">
        <x:v>1323</x:v>
      </x:c>
      <x:c r="C117" s="88" t="s">
        <x:v>309</x:v>
      </x:c>
      <x:c r="D117" s="88" t="s">
        <x:v>248</x:v>
      </x:c>
      <x:c r="E117" s="88" t="s">
        <x:v>342</x:v>
      </x:c>
      <x:c r="F117" s="89">
        <x:v>46072.023874004626</x:v>
      </x:c>
      <x:c r="G117" s="89">
        <x:v>46093.129916724538</x:v>
      </x:c>
      <x:c r="H117" s="89">
        <x:v>46072.023874004626</x:v>
      </x:c>
      <x:c r="I117" s="88" t="s">
        <x:v>1324</x:v>
      </x:c>
      <x:c r="J117" s="88" t="s">
        <x:v>1325</x:v>
      </x:c>
      <x:c r="K117" s="88" t="s">
        <x:v>266</x:v>
      </x:c>
      <x:c r="L117" s="88"/>
      <x:c r="M117" s="88" t="s">
        <x:v>482</x:v>
      </x:c>
      <x:c r="N117" s="88"/>
      <x:c r="O117" s="88"/>
      <x:c r="P117" s="88" t="s">
        <x:v>1326</x:v>
      </x:c>
      <x:c r="Q117" s="88" t="s">
        <x:v>256</x:v>
      </x:c>
      <x:c r="R117" s="88" t="s">
        <x:v>283</x:v>
      </x:c>
      <x:c r="S117" s="88"/>
      <x:c r="T117" s="88" t="s">
        <x:v>259</x:v>
      </x:c>
      <x:c r="U117" s="88" t="s">
        <x:v>309</x:v>
      </x:c>
      <x:c r="V117" s="89">
        <x:v>46072.025722094906</x:v>
      </x:c>
      <x:c r="W117" s="88" t="s">
        <x:v>1327</x:v>
      </x:c>
      <x:c r="X117" s="88" t="s">
        <x:v>259</x:v>
      </x:c>
      <x:c r="Y117" s="88" t="s">
        <x:v>482</x:v>
      </x:c>
      <x:c r="Z117" s="89">
        <x:v>46072.054310254629</x:v>
      </x:c>
      <x:c r="AA117" s="88" t="s">
        <x:v>1328</x:v>
      </x:c>
      <x:c r="AB117" s="88" t="s">
        <x:v>259</x:v>
      </x:c>
      <x:c r="AC117" s="88" t="s">
        <x:v>309</x:v>
      </x:c>
      <x:c r="AD117" s="89">
        <x:v>46072.07371449074</x:v>
      </x:c>
      <x:c r="AE117" s="88" t="s">
        <x:v>1329</x:v>
      </x:c>
      <x:c r="AF117" s="88" t="s">
        <x:v>259</x:v>
      </x:c>
      <x:c r="AG117" s="88" t="s">
        <x:v>309</x:v>
      </x:c>
      <x:c r="AH117" s="89">
        <x:v>46093.129916724538</x:v>
      </x:c>
      <x:c r="AI117" s="88" t="s">
        <x:v>1330</x:v>
      </x:c>
      <x:c r="AJ117" s="88" t="s">
        <x:v>1331</x:v>
      </x:c>
      <x:c r="AK117" s="88">
        <x:v>2315</x:v>
      </x:c>
      <x:c r="AL117" s="88" t="s">
        <x:v>185</x:v>
      </x:c>
      <x:c r="AM117" s="88" t="s">
        <x:v>1332</x:v>
      </x:c>
      <x:c r="AN117" s="88" t="s">
        <x:v>369</x:v>
      </x:c>
      <x:c r="AO117" s="88">
        <x:v>0</x:v>
      </x:c>
    </x:row>
    <x:row r="118">
      <x:c r="A118" s="88" t="s">
        <x:v>1333</x:v>
      </x:c>
      <x:c r="B118" s="88" t="s">
        <x:v>1334</x:v>
      </x:c>
      <x:c r="C118" s="88" t="s">
        <x:v>309</x:v>
      </x:c>
      <x:c r="D118" s="88" t="s">
        <x:v>248</x:v>
      </x:c>
      <x:c r="E118" s="88" t="s">
        <x:v>278</x:v>
      </x:c>
      <x:c r="F118" s="89">
        <x:v>46072.026405868055</x:v>
      </x:c>
      <x:c r="G118" s="89">
        <x:v>46072.027960092593</x:v>
      </x:c>
      <x:c r="H118" s="89">
        <x:v>46072.026405868055</x:v>
      </x:c>
      <x:c r="I118" s="88" t="s">
        <x:v>1335</x:v>
      </x:c>
      <x:c r="J118" s="88" t="s">
        <x:v>1336</x:v>
      </x:c>
      <x:c r="K118" s="88" t="s">
        <x:v>266</x:v>
      </x:c>
      <x:c r="L118" s="88"/>
      <x:c r="M118" s="88" t="s">
        <x:v>482</x:v>
      </x:c>
      <x:c r="N118" s="88"/>
      <x:c r="O118" s="88"/>
      <x:c r="P118" s="88" t="s">
        <x:v>1326</x:v>
      </x:c>
      <x:c r="Q118" s="88" t="s">
        <x:v>256</x:v>
      </x:c>
      <x:c r="R118" s="88" t="s">
        <x:v>283</x:v>
      </x:c>
      <x:c r="S118" s="88"/>
      <x:c r="T118" s="88" t="s">
        <x:v>249</x:v>
      </x:c>
      <x:c r="U118" s="88" t="s">
        <x:v>309</x:v>
      </x:c>
      <x:c r="V118" s="89">
        <x:v>46072.027960104169</x:v>
      </x:c>
      <x:c r="W118" s="88"/>
      <x:c r="X118" s="88"/>
      <x:c r="Y118" s="88" t="s">
        <x:v>482</x:v>
      </x:c>
      <x:c r="Z118" s="89"/>
      <x:c r="AA118" s="88"/>
      <x:c r="AB118" s="88"/>
      <x:c r="AC118" s="88" t="s">
        <x:v>273</x:v>
      </x:c>
      <x:c r="AD118" s="89"/>
      <x:c r="AE118" s="88"/>
      <x:c r="AF118" s="88"/>
      <x:c r="AG118" s="88" t="s">
        <x:v>161</x:v>
      </x:c>
      <x:c r="AH118" s="89"/>
      <x:c r="AI118" s="88"/>
      <x:c r="AJ118" s="88" t="s">
        <x:v>1337</x:v>
      </x:c>
      <x:c r="AK118" s="88" t="s">
        <x:v>1338</x:v>
      </x:c>
      <x:c r="AL118" s="88"/>
      <x:c r="AM118" s="88"/>
      <x:c r="AN118" s="88" t="s">
        <x:v>369</x:v>
      </x:c>
      <x:c r="AO118" s="88">
        <x:v>0</x:v>
      </x:c>
    </x:row>
    <x:row r="119">
      <x:c r="A119" s="88" t="s">
        <x:v>1339</x:v>
      </x:c>
      <x:c r="B119" s="88" t="s">
        <x:v>1340</x:v>
      </x:c>
      <x:c r="C119" s="88" t="s">
        <x:v>1341</x:v>
      </x:c>
      <x:c r="D119" s="88" t="s">
        <x:v>248</x:v>
      </x:c>
      <x:c r="E119" s="88" t="s">
        <x:v>342</x:v>
      </x:c>
      <x:c r="F119" s="89">
        <x:v>46073.333101863427</x:v>
      </x:c>
      <x:c r="G119" s="89">
        <x:v>46090.088643425923</x:v>
      </x:c>
      <x:c r="H119" s="89">
        <x:v>46073.333101863427</x:v>
      </x:c>
      <x:c r="I119" s="88" t="s">
        <x:v>1342</x:v>
      </x:c>
      <x:c r="J119" s="88" t="s">
        <x:v>1343</x:v>
      </x:c>
      <x:c r="K119" s="88" t="s">
        <x:v>266</x:v>
      </x:c>
      <x:c r="L119" s="88"/>
      <x:c r="M119" s="88" t="s">
        <x:v>1344</x:v>
      </x:c>
      <x:c r="N119" s="88"/>
      <x:c r="O119" s="88"/>
      <x:c r="P119" s="88" t="s">
        <x:v>1345</x:v>
      </x:c>
      <x:c r="Q119" s="88" t="s">
        <x:v>269</x:v>
      </x:c>
      <x:c r="R119" s="88" t="s">
        <x:v>283</x:v>
      </x:c>
      <x:c r="S119" s="88"/>
      <x:c r="T119" s="88" t="s">
        <x:v>259</x:v>
      </x:c>
      <x:c r="U119" s="88" t="s">
        <x:v>1341</x:v>
      </x:c>
      <x:c r="V119" s="89">
        <x:v>46073.337573090277</x:v>
      </x:c>
      <x:c r="W119" s="88" t="s">
        <x:v>1346</x:v>
      </x:c>
      <x:c r="X119" s="88" t="s">
        <x:v>259</x:v>
      </x:c>
      <x:c r="Y119" s="88" t="s">
        <x:v>1347</x:v>
      </x:c>
      <x:c r="Z119" s="89">
        <x:v>46085.389639074077</x:v>
      </x:c>
      <x:c r="AA119" s="88" t="s">
        <x:v>571</x:v>
      </x:c>
      <x:c r="AB119" s="88" t="s">
        <x:v>259</x:v>
      </x:c>
      <x:c r="AC119" s="88" t="s">
        <x:v>271</x:v>
      </x:c>
      <x:c r="AD119" s="89">
        <x:v>46085.557812476851</x:v>
      </x:c>
      <x:c r="AE119" s="88" t="s">
        <x:v>1348</x:v>
      </x:c>
      <x:c r="AF119" s="88" t="s">
        <x:v>259</x:v>
      </x:c>
      <x:c r="AG119" s="88" t="s">
        <x:v>387</x:v>
      </x:c>
      <x:c r="AH119" s="89">
        <x:v>46090.088643425923</x:v>
      </x:c>
      <x:c r="AI119" s="88" t="s">
        <x:v>388</x:v>
      </x:c>
      <x:c r="AJ119" s="88" t="s">
        <x:v>1349</x:v>
      </x:c>
      <x:c r="AK119" s="88">
        <x:v>2536</x:v>
      </x:c>
      <x:c r="AL119" s="88" t="s">
        <x:v>185</x:v>
      </x:c>
      <x:c r="AM119" s="88" t="s">
        <x:v>1350</x:v>
      </x:c>
      <x:c r="AN119" s="88" t="s">
        <x:v>414</x:v>
      </x:c>
      <x:c r="AO119" s="88">
        <x:v>-365</x:v>
      </x:c>
    </x:row>
    <x:row r="120">
      <x:c r="A120" s="88" t="s">
        <x:v>1351</x:v>
      </x:c>
      <x:c r="B120" s="88" t="s">
        <x:v>1352</x:v>
      </x:c>
      <x:c r="C120" s="88" t="s">
        <x:v>394</x:v>
      </x:c>
      <x:c r="D120" s="88" t="s">
        <x:v>248</x:v>
      </x:c>
      <x:c r="E120" s="88" t="s">
        <x:v>249</x:v>
      </x:c>
      <x:c r="F120" s="89">
        <x:v>46076.297517453706</x:v>
      </x:c>
      <x:c r="G120" s="89">
        <x:v>46140.133966400463</x:v>
      </x:c>
      <x:c r="H120" s="89">
        <x:v>46076.297517453706</x:v>
      </x:c>
      <x:c r="I120" s="88" t="s">
        <x:v>395</x:v>
      </x:c>
      <x:c r="J120" s="88" t="s">
        <x:v>1353</x:v>
      </x:c>
      <x:c r="K120" s="88" t="s">
        <x:v>266</x:v>
      </x:c>
      <x:c r="L120" s="88"/>
      <x:c r="M120" s="88" t="s">
        <x:v>324</x:v>
      </x:c>
      <x:c r="N120" s="88"/>
      <x:c r="O120" s="88"/>
      <x:c r="P120" s="88" t="s">
        <x:v>1354</x:v>
      </x:c>
      <x:c r="Q120" s="88" t="s">
        <x:v>256</x:v>
      </x:c>
      <x:c r="R120" s="88" t="s">
        <x:v>283</x:v>
      </x:c>
      <x:c r="S120" s="88"/>
      <x:c r="T120" s="88" t="s">
        <x:v>259</x:v>
      </x:c>
      <x:c r="U120" s="88" t="s">
        <x:v>394</x:v>
      </x:c>
      <x:c r="V120" s="89">
        <x:v>46076.299471828701</x:v>
      </x:c>
      <x:c r="W120" s="88" t="s">
        <x:v>1355</x:v>
      </x:c>
      <x:c r="X120" s="88" t="s">
        <x:v>259</x:v>
      </x:c>
      <x:c r="Y120" s="88" t="s">
        <x:v>324</x:v>
      </x:c>
      <x:c r="Z120" s="89">
        <x:v>46136.173802662037</x:v>
      </x:c>
      <x:c r="AA120" s="88" t="s">
        <x:v>259</x:v>
      </x:c>
      <x:c r="AB120" s="88" t="s">
        <x:v>259</x:v>
      </x:c>
      <x:c r="AC120" s="88" t="s">
        <x:v>324</x:v>
      </x:c>
      <x:c r="AD120" s="89">
        <x:v>46136.175208125002</x:v>
      </x:c>
      <x:c r="AE120" s="88" t="s">
        <x:v>259</x:v>
      </x:c>
      <x:c r="AF120" s="88" t="s">
        <x:v>249</x:v>
      </x:c>
      <x:c r="AG120" s="88" t="s">
        <x:v>271</x:v>
      </x:c>
      <x:c r="AH120" s="89">
        <x:v>46140.133966400463</x:v>
      </x:c>
      <x:c r="AI120" s="88" t="s">
        <x:v>1356</x:v>
      </x:c>
      <x:c r="AJ120" s="88" t="s">
        <x:v>399</x:v>
      </x:c>
      <x:c r="AK120" s="88">
        <x:v>3537</x:v>
      </x:c>
      <x:c r="AL120" s="88" t="s">
        <x:v>185</x:v>
      </x:c>
      <x:c r="AM120" s="88" t="s">
        <x:v>1357</x:v>
      </x:c>
      <x:c r="AN120" s="88" t="s">
        <x:v>369</x:v>
      </x:c>
      <x:c r="AO120" s="88">
        <x:v>0</x:v>
      </x:c>
    </x:row>
    <x:row r="121">
      <x:c r="A121" s="88" t="s">
        <x:v>1358</x:v>
      </x:c>
      <x:c r="B121" s="88" t="s">
        <x:v>1359</x:v>
      </x:c>
      <x:c r="C121" s="88" t="s">
        <x:v>554</x:v>
      </x:c>
      <x:c r="D121" s="88" t="s">
        <x:v>248</x:v>
      </x:c>
      <x:c r="E121" s="88" t="s">
        <x:v>342</x:v>
      </x:c>
      <x:c r="F121" s="89">
        <x:v>46077.013224965274</x:v>
      </x:c>
      <x:c r="G121" s="89">
        <x:v>46079.220447951389</x:v>
      </x:c>
      <x:c r="H121" s="89">
        <x:v>46077.013224965274</x:v>
      </x:c>
      <x:c r="I121" s="88" t="s">
        <x:v>1360</x:v>
      </x:c>
      <x:c r="J121" s="88" t="s">
        <x:v>1361</x:v>
      </x:c>
      <x:c r="K121" s="88" t="s">
        <x:v>266</x:v>
      </x:c>
      <x:c r="L121" s="88"/>
      <x:c r="M121" s="88" t="s">
        <x:v>1164</x:v>
      </x:c>
      <x:c r="N121" s="88"/>
      <x:c r="O121" s="88"/>
      <x:c r="P121" s="88" t="s">
        <x:v>680</x:v>
      </x:c>
      <x:c r="Q121" s="88" t="s">
        <x:v>256</x:v>
      </x:c>
      <x:c r="R121" s="88" t="s">
        <x:v>363</x:v>
      </x:c>
      <x:c r="S121" s="88"/>
      <x:c r="T121" s="88" t="s">
        <x:v>259</x:v>
      </x:c>
      <x:c r="U121" s="88" t="s">
        <x:v>554</x:v>
      </x:c>
      <x:c r="V121" s="89">
        <x:v>46077.014587824073</x:v>
      </x:c>
      <x:c r="W121" s="88" t="s">
        <x:v>680</x:v>
      </x:c>
      <x:c r="X121" s="88" t="s">
        <x:v>259</x:v>
      </x:c>
      <x:c r="Y121" s="88" t="s">
        <x:v>482</x:v>
      </x:c>
      <x:c r="Z121" s="89">
        <x:v>46077.045545891204</x:v>
      </x:c>
      <x:c r="AA121" s="88" t="s">
        <x:v>1362</x:v>
      </x:c>
      <x:c r="AB121" s="88" t="s">
        <x:v>259</x:v>
      </x:c>
      <x:c r="AC121" s="88" t="s">
        <x:v>271</x:v>
      </x:c>
      <x:c r="AD121" s="89">
        <x:v>46077.11887648148</x:v>
      </x:c>
      <x:c r="AE121" s="88" t="s">
        <x:v>571</x:v>
      </x:c>
      <x:c r="AF121" s="88" t="s">
        <x:v>259</x:v>
      </x:c>
      <x:c r="AG121" s="88" t="s">
        <x:v>271</x:v>
      </x:c>
      <x:c r="AH121" s="89">
        <x:v>46079.220447962965</x:v>
      </x:c>
      <x:c r="AI121" s="88" t="s">
        <x:v>353</x:v>
      </x:c>
      <x:c r="AJ121" s="88" t="s">
        <x:v>1363</x:v>
      </x:c>
      <x:c r="AK121" s="88" t="s">
        <x:v>1364</x:v>
      </x:c>
      <x:c r="AL121" s="88" t="s">
        <x:v>185</x:v>
      </x:c>
      <x:c r="AM121" s="88" t="s">
        <x:v>1365</x:v>
      </x:c>
      <x:c r="AN121" s="88" t="s">
        <x:v>369</x:v>
      </x:c>
      <x:c r="AO121" s="88">
        <x:v>0</x:v>
      </x:c>
    </x:row>
    <x:row r="122">
      <x:c r="A122" s="88" t="s">
        <x:v>1366</x:v>
      </x:c>
      <x:c r="B122" s="88" t="s">
        <x:v>1367</x:v>
      </x:c>
      <x:c r="C122" s="88" t="s">
        <x:v>554</x:v>
      </x:c>
      <x:c r="D122" s="88" t="s">
        <x:v>248</x:v>
      </x:c>
      <x:c r="E122" s="88" t="s">
        <x:v>342</x:v>
      </x:c>
      <x:c r="F122" s="89">
        <x:v>46077.015399618052</x:v>
      </x:c>
      <x:c r="G122" s="89">
        <x:v>46079.220871481484</x:v>
      </x:c>
      <x:c r="H122" s="89">
        <x:v>46077.015399618052</x:v>
      </x:c>
      <x:c r="I122" s="88" t="s">
        <x:v>1360</x:v>
      </x:c>
      <x:c r="J122" s="88" t="s">
        <x:v>1368</x:v>
      </x:c>
      <x:c r="K122" s="88" t="s">
        <x:v>266</x:v>
      </x:c>
      <x:c r="L122" s="88"/>
      <x:c r="M122" s="88" t="s">
        <x:v>1164</x:v>
      </x:c>
      <x:c r="N122" s="88"/>
      <x:c r="O122" s="88"/>
      <x:c r="P122" s="88" t="s">
        <x:v>680</x:v>
      </x:c>
      <x:c r="Q122" s="88" t="s">
        <x:v>256</x:v>
      </x:c>
      <x:c r="R122" s="88" t="s">
        <x:v>363</x:v>
      </x:c>
      <x:c r="S122" s="88"/>
      <x:c r="T122" s="88" t="s">
        <x:v>259</x:v>
      </x:c>
      <x:c r="U122" s="88" t="s">
        <x:v>554</x:v>
      </x:c>
      <x:c r="V122" s="89">
        <x:v>46077.020187349539</x:v>
      </x:c>
      <x:c r="W122" s="88" t="s">
        <x:v>680</x:v>
      </x:c>
      <x:c r="X122" s="88" t="s">
        <x:v>259</x:v>
      </x:c>
      <x:c r="Y122" s="88" t="s">
        <x:v>482</x:v>
      </x:c>
      <x:c r="Z122" s="89">
        <x:v>46077.046242708333</x:v>
      </x:c>
      <x:c r="AA122" s="88" t="s">
        <x:v>1362</x:v>
      </x:c>
      <x:c r="AB122" s="88" t="s">
        <x:v>259</x:v>
      </x:c>
      <x:c r="AC122" s="88" t="s">
        <x:v>271</x:v>
      </x:c>
      <x:c r="AD122" s="89">
        <x:v>46077.11910866898</x:v>
      </x:c>
      <x:c r="AE122" s="88" t="s">
        <x:v>571</x:v>
      </x:c>
      <x:c r="AF122" s="88" t="s">
        <x:v>259</x:v>
      </x:c>
      <x:c r="AG122" s="88" t="s">
        <x:v>271</x:v>
      </x:c>
      <x:c r="AH122" s="89">
        <x:v>46079.220871481484</x:v>
      </x:c>
      <x:c r="AI122" s="88" t="s">
        <x:v>353</x:v>
      </x:c>
      <x:c r="AJ122" s="88" t="s">
        <x:v>1363</x:v>
      </x:c>
      <x:c r="AK122" s="88" t="s">
        <x:v>1369</x:v>
      </x:c>
      <x:c r="AL122" s="88" t="s">
        <x:v>185</x:v>
      </x:c>
      <x:c r="AM122" s="88" t="s">
        <x:v>1370</x:v>
      </x:c>
      <x:c r="AN122" s="88" t="s">
        <x:v>369</x:v>
      </x:c>
      <x:c r="AO122" s="88">
        <x:v>0</x:v>
      </x:c>
    </x:row>
    <x:row r="123">
      <x:c r="A123" s="88" t="s">
        <x:v>1371</x:v>
      </x:c>
      <x:c r="B123" s="88" t="s">
        <x:v>1372</x:v>
      </x:c>
      <x:c r="C123" s="88" t="s">
        <x:v>554</x:v>
      </x:c>
      <x:c r="D123" s="88" t="s">
        <x:v>248</x:v>
      </x:c>
      <x:c r="E123" s="88" t="s">
        <x:v>342</x:v>
      </x:c>
      <x:c r="F123" s="89">
        <x:v>46077.032693506946</x:v>
      </x:c>
      <x:c r="G123" s="89">
        <x:v>46080.060581261576</x:v>
      </x:c>
      <x:c r="H123" s="89">
        <x:v>46077.032693506946</x:v>
      </x:c>
      <x:c r="I123" s="88" t="s">
        <x:v>1373</x:v>
      </x:c>
      <x:c r="J123" s="88" t="s">
        <x:v>1374</x:v>
      </x:c>
      <x:c r="K123" s="88" t="s">
        <x:v>266</x:v>
      </x:c>
      <x:c r="L123" s="88"/>
      <x:c r="M123" s="88" t="s">
        <x:v>1164</x:v>
      </x:c>
      <x:c r="N123" s="88"/>
      <x:c r="O123" s="88"/>
      <x:c r="P123" s="88" t="s">
        <x:v>680</x:v>
      </x:c>
      <x:c r="Q123" s="88" t="s">
        <x:v>256</x:v>
      </x:c>
      <x:c r="R123" s="88" t="s">
        <x:v>363</x:v>
      </x:c>
      <x:c r="S123" s="88"/>
      <x:c r="T123" s="88" t="s">
        <x:v>259</x:v>
      </x:c>
      <x:c r="U123" s="88" t="s">
        <x:v>554</x:v>
      </x:c>
      <x:c r="V123" s="89">
        <x:v>46077.034350624999</x:v>
      </x:c>
      <x:c r="W123" s="88" t="s">
        <x:v>680</x:v>
      </x:c>
      <x:c r="X123" s="88" t="s">
        <x:v>259</x:v>
      </x:c>
      <x:c r="Y123" s="88" t="s">
        <x:v>482</x:v>
      </x:c>
      <x:c r="Z123" s="89">
        <x:v>46077.048200509256</x:v>
      </x:c>
      <x:c r="AA123" s="88" t="s">
        <x:v>1362</x:v>
      </x:c>
      <x:c r="AB123" s="88" t="s">
        <x:v>259</x:v>
      </x:c>
      <x:c r="AC123" s="88" t="s">
        <x:v>271</x:v>
      </x:c>
      <x:c r="AD123" s="89">
        <x:v>46077.123821944442</x:v>
      </x:c>
      <x:c r="AE123" s="88" t="s">
        <x:v>571</x:v>
      </x:c>
      <x:c r="AF123" s="88" t="s">
        <x:v>259</x:v>
      </x:c>
      <x:c r="AG123" s="88" t="s">
        <x:v>271</x:v>
      </x:c>
      <x:c r="AH123" s="89">
        <x:v>46080.060581273145</x:v>
      </x:c>
      <x:c r="AI123" s="88" t="s">
        <x:v>353</x:v>
      </x:c>
      <x:c r="AJ123" s="88" t="s">
        <x:v>1375</x:v>
      </x:c>
      <x:c r="AK123" s="88" t="s">
        <x:v>1376</x:v>
      </x:c>
      <x:c r="AL123" s="88" t="s">
        <x:v>185</x:v>
      </x:c>
      <x:c r="AM123" s="88" t="s">
        <x:v>1377</x:v>
      </x:c>
      <x:c r="AN123" s="88" t="s">
        <x:v>369</x:v>
      </x:c>
      <x:c r="AO123" s="88">
        <x:v>0</x:v>
      </x:c>
    </x:row>
    <x:row r="124">
      <x:c r="A124" s="88" t="s">
        <x:v>1378</x:v>
      </x:c>
      <x:c r="B124" s="88" t="s">
        <x:v>1379</x:v>
      </x:c>
      <x:c r="C124" s="88" t="s">
        <x:v>554</x:v>
      </x:c>
      <x:c r="D124" s="88" t="s">
        <x:v>248</x:v>
      </x:c>
      <x:c r="E124" s="88" t="s">
        <x:v>342</x:v>
      </x:c>
      <x:c r="F124" s="89">
        <x:v>46077.036555486113</x:v>
      </x:c>
      <x:c r="G124" s="89">
        <x:v>46080.060424687501</x:v>
      </x:c>
      <x:c r="H124" s="89">
        <x:v>46077.036555486113</x:v>
      </x:c>
      <x:c r="I124" s="88" t="s">
        <x:v>1373</x:v>
      </x:c>
      <x:c r="J124" s="88" t="s">
        <x:v>1374</x:v>
      </x:c>
      <x:c r="K124" s="88" t="s">
        <x:v>266</x:v>
      </x:c>
      <x:c r="L124" s="88"/>
      <x:c r="M124" s="88" t="s">
        <x:v>1164</x:v>
      </x:c>
      <x:c r="N124" s="88"/>
      <x:c r="O124" s="88"/>
      <x:c r="P124" s="88" t="s">
        <x:v>680</x:v>
      </x:c>
      <x:c r="Q124" s="88" t="s">
        <x:v>256</x:v>
      </x:c>
      <x:c r="R124" s="88" t="s">
        <x:v>363</x:v>
      </x:c>
      <x:c r="S124" s="88"/>
      <x:c r="T124" s="88" t="s">
        <x:v>259</x:v>
      </x:c>
      <x:c r="U124" s="88" t="s">
        <x:v>554</x:v>
      </x:c>
      <x:c r="V124" s="89">
        <x:v>46077.03686375</x:v>
      </x:c>
      <x:c r="W124" s="88" t="s">
        <x:v>680</x:v>
      </x:c>
      <x:c r="X124" s="88" t="s">
        <x:v>259</x:v>
      </x:c>
      <x:c r="Y124" s="88" t="s">
        <x:v>482</x:v>
      </x:c>
      <x:c r="Z124" s="89">
        <x:v>46077.04647238426</x:v>
      </x:c>
      <x:c r="AA124" s="88" t="s">
        <x:v>1362</x:v>
      </x:c>
      <x:c r="AB124" s="88" t="s">
        <x:v>259</x:v>
      </x:c>
      <x:c r="AC124" s="88" t="s">
        <x:v>271</x:v>
      </x:c>
      <x:c r="AD124" s="89">
        <x:v>46077.123501539354</x:v>
      </x:c>
      <x:c r="AE124" s="88" t="s">
        <x:v>571</x:v>
      </x:c>
      <x:c r="AF124" s="88" t="s">
        <x:v>259</x:v>
      </x:c>
      <x:c r="AG124" s="88" t="s">
        <x:v>271</x:v>
      </x:c>
      <x:c r="AH124" s="89">
        <x:v>46080.060424699077</x:v>
      </x:c>
      <x:c r="AI124" s="88" t="s">
        <x:v>353</x:v>
      </x:c>
      <x:c r="AJ124" s="88" t="s">
        <x:v>1375</x:v>
      </x:c>
      <x:c r="AK124" s="88" t="s">
        <x:v>1380</x:v>
      </x:c>
      <x:c r="AL124" s="88" t="s">
        <x:v>185</x:v>
      </x:c>
      <x:c r="AM124" s="88" t="s">
        <x:v>1381</x:v>
      </x:c>
      <x:c r="AN124" s="88" t="s">
        <x:v>369</x:v>
      </x:c>
      <x:c r="AO124" s="88">
        <x:v>0</x:v>
      </x:c>
    </x:row>
    <x:row r="125">
      <x:c r="A125" s="88" t="s">
        <x:v>1382</x:v>
      </x:c>
      <x:c r="B125" s="88" t="s">
        <x:v>1383</x:v>
      </x:c>
      <x:c r="C125" s="88" t="s">
        <x:v>1384</x:v>
      </x:c>
      <x:c r="D125" s="88" t="s">
        <x:v>248</x:v>
      </x:c>
      <x:c r="E125" s="88" t="s">
        <x:v>342</x:v>
      </x:c>
      <x:c r="F125" s="89">
        <x:v>46077.057102685183</x:v>
      </x:c>
      <x:c r="G125" s="89">
        <x:v>46083.133721203703</x:v>
      </x:c>
      <x:c r="H125" s="89">
        <x:v>46077.057102685183</x:v>
      </x:c>
      <x:c r="I125" s="88" t="s">
        <x:v>1385</x:v>
      </x:c>
      <x:c r="J125" s="88" t="s">
        <x:v>1386</x:v>
      </x:c>
      <x:c r="K125" s="88" t="s">
        <x:v>266</x:v>
      </x:c>
      <x:c r="L125" s="88" t="s">
        <x:v>543</x:v>
      </x:c>
      <x:c r="M125" s="88" t="s">
        <x:v>1164</x:v>
      </x:c>
      <x:c r="N125" s="88"/>
      <x:c r="O125" s="88"/>
      <x:c r="P125" s="88" t="s">
        <x:v>680</x:v>
      </x:c>
      <x:c r="Q125" s="88" t="s">
        <x:v>256</x:v>
      </x:c>
      <x:c r="R125" s="88" t="s">
        <x:v>363</x:v>
      </x:c>
      <x:c r="S125" s="88"/>
      <x:c r="T125" s="88" t="s">
        <x:v>259</x:v>
      </x:c>
      <x:c r="U125" s="88" t="s">
        <x:v>1384</x:v>
      </x:c>
      <x:c r="V125" s="89">
        <x:v>46077.061458379627</x:v>
      </x:c>
      <x:c r="W125" s="88" t="s">
        <x:v>680</x:v>
      </x:c>
      <x:c r="X125" s="88" t="s">
        <x:v>259</x:v>
      </x:c>
      <x:c r="Y125" s="88" t="s">
        <x:v>482</x:v>
      </x:c>
      <x:c r="Z125" s="89">
        <x:v>46077.091268414355</x:v>
      </x:c>
      <x:c r="AA125" s="88" t="s">
        <x:v>1362</x:v>
      </x:c>
      <x:c r="AB125" s="88" t="s">
        <x:v>259</x:v>
      </x:c>
      <x:c r="AC125" s="88" t="s">
        <x:v>271</x:v>
      </x:c>
      <x:c r="AD125" s="89">
        <x:v>46077.133161296297</x:v>
      </x:c>
      <x:c r="AE125" s="88" t="s">
        <x:v>571</x:v>
      </x:c>
      <x:c r="AF125" s="88" t="s">
        <x:v>259</x:v>
      </x:c>
      <x:c r="AG125" s="88" t="s">
        <x:v>271</x:v>
      </x:c>
      <x:c r="AH125" s="89">
        <x:v>46083.133721203703</x:v>
      </x:c>
      <x:c r="AI125" s="88" t="s">
        <x:v>353</x:v>
      </x:c>
      <x:c r="AJ125" s="88" t="s">
        <x:v>1387</x:v>
      </x:c>
      <x:c r="AK125" s="88">
        <x:v>3991</x:v>
      </x:c>
      <x:c r="AL125" s="88" t="s">
        <x:v>185</x:v>
      </x:c>
      <x:c r="AM125" s="88" t="s">
        <x:v>1388</x:v>
      </x:c>
      <x:c r="AN125" s="88" t="s">
        <x:v>369</x:v>
      </x:c>
      <x:c r="AO125" s="88">
        <x:v>0</x:v>
      </x:c>
    </x:row>
    <x:row r="126">
      <x:c r="A126" s="88" t="s">
        <x:v>1389</x:v>
      </x:c>
      <x:c r="B126" s="88" t="s">
        <x:v>1390</x:v>
      </x:c>
      <x:c r="C126" s="88" t="s">
        <x:v>1391</x:v>
      </x:c>
      <x:c r="D126" s="88" t="s">
        <x:v>248</x:v>
      </x:c>
      <x:c r="E126" s="88" t="s">
        <x:v>342</x:v>
      </x:c>
      <x:c r="F126" s="89">
        <x:v>46077.059507280093</x:v>
      </x:c>
      <x:c r="G126" s="89">
        <x:v>46079.135138495367</x:v>
      </x:c>
      <x:c r="H126" s="89">
        <x:v>46077.059507280093</x:v>
      </x:c>
      <x:c r="I126" s="88" t="s">
        <x:v>1392</x:v>
      </x:c>
      <x:c r="J126" s="88" t="s">
        <x:v>1393</x:v>
      </x:c>
      <x:c r="K126" s="88" t="s">
        <x:v>266</x:v>
      </x:c>
      <x:c r="L126" s="88"/>
      <x:c r="M126" s="88" t="s">
        <x:v>482</x:v>
      </x:c>
      <x:c r="N126" s="88"/>
      <x:c r="O126" s="88"/>
      <x:c r="P126" s="88" t="s">
        <x:v>680</x:v>
      </x:c>
      <x:c r="Q126" s="88" t="s">
        <x:v>256</x:v>
      </x:c>
      <x:c r="R126" s="88" t="s">
        <x:v>363</x:v>
      </x:c>
      <x:c r="S126" s="88"/>
      <x:c r="T126" s="88" t="s">
        <x:v>259</x:v>
      </x:c>
      <x:c r="U126" s="88" t="s">
        <x:v>1391</x:v>
      </x:c>
      <x:c r="V126" s="89">
        <x:v>46077.060089699073</x:v>
      </x:c>
      <x:c r="W126" s="88" t="s">
        <x:v>1394</x:v>
      </x:c>
      <x:c r="X126" s="88" t="s">
        <x:v>259</x:v>
      </x:c>
      <x:c r="Y126" s="88" t="s">
        <x:v>482</x:v>
      </x:c>
      <x:c r="Z126" s="89">
        <x:v>46077.090879421296</x:v>
      </x:c>
      <x:c r="AA126" s="88" t="s">
        <x:v>1362</x:v>
      </x:c>
      <x:c r="AB126" s="88" t="s">
        <x:v>259</x:v>
      </x:c>
      <x:c r="AC126" s="88" t="s">
        <x:v>271</x:v>
      </x:c>
      <x:c r="AD126" s="89">
        <x:v>46077.132980486109</x:v>
      </x:c>
      <x:c r="AE126" s="88" t="s">
        <x:v>571</x:v>
      </x:c>
      <x:c r="AF126" s="88" t="s">
        <x:v>259</x:v>
      </x:c>
      <x:c r="AG126" s="88" t="s">
        <x:v>271</x:v>
      </x:c>
      <x:c r="AH126" s="89">
        <x:v>46079.135138495367</x:v>
      </x:c>
      <x:c r="AI126" s="88" t="s">
        <x:v>353</x:v>
      </x:c>
      <x:c r="AJ126" s="88" t="s">
        <x:v>1395</x:v>
      </x:c>
      <x:c r="AK126" s="88" t="s">
        <x:v>1396</x:v>
      </x:c>
      <x:c r="AL126" s="88" t="s">
        <x:v>185</x:v>
      </x:c>
      <x:c r="AM126" s="88" t="s">
        <x:v>1397</x:v>
      </x:c>
      <x:c r="AN126" s="88" t="s">
        <x:v>369</x:v>
      </x:c>
      <x:c r="AO126" s="88">
        <x:v>0</x:v>
      </x:c>
    </x:row>
    <x:row r="127">
      <x:c r="A127" s="88" t="s">
        <x:v>1398</x:v>
      </x:c>
      <x:c r="B127" s="88" t="s">
        <x:v>1399</x:v>
      </x:c>
      <x:c r="C127" s="88" t="s">
        <x:v>591</x:v>
      </x:c>
      <x:c r="D127" s="88" t="s">
        <x:v>248</x:v>
      </x:c>
      <x:c r="E127" s="88" t="s">
        <x:v>342</x:v>
      </x:c>
      <x:c r="F127" s="89">
        <x:v>46078.056057905094</x:v>
      </x:c>
      <x:c r="G127" s="89">
        <x:v>46083.374648634257</x:v>
      </x:c>
      <x:c r="H127" s="89">
        <x:v>46078.056057905094</x:v>
      </x:c>
      <x:c r="I127" s="88" t="s">
        <x:v>592</x:v>
      </x:c>
      <x:c r="J127" s="88" t="s">
        <x:v>593</x:v>
      </x:c>
      <x:c r="K127" s="88" t="s">
        <x:v>266</x:v>
      </x:c>
      <x:c r="L127" s="88"/>
      <x:c r="M127" s="88" t="s">
        <x:v>594</x:v>
      </x:c>
      <x:c r="N127" s="88" t="s">
        <x:v>252</x:v>
      </x:c>
      <x:c r="O127" s="88"/>
      <x:c r="P127" s="88" t="s">
        <x:v>1400</x:v>
      </x:c>
      <x:c r="Q127" s="88" t="s">
        <x:v>256</x:v>
      </x:c>
      <x:c r="R127" s="88" t="s">
        <x:v>363</x:v>
      </x:c>
      <x:c r="S127" s="88"/>
      <x:c r="T127" s="88" t="s">
        <x:v>259</x:v>
      </x:c>
      <x:c r="U127" s="88" t="s">
        <x:v>591</x:v>
      </x:c>
      <x:c r="V127" s="89">
        <x:v>46078.071023668985</x:v>
      </x:c>
      <x:c r="W127" s="88" t="s">
        <x:v>1401</x:v>
      </x:c>
      <x:c r="X127" s="88" t="s">
        <x:v>259</x:v>
      </x:c>
      <x:c r="Y127" s="88" t="s">
        <x:v>597</x:v>
      </x:c>
      <x:c r="Z127" s="89">
        <x:v>46078.249613854168</x:v>
      </x:c>
      <x:c r="AA127" s="88" t="s">
        <x:v>1006</x:v>
      </x:c>
      <x:c r="AB127" s="88" t="s">
        <x:v>259</x:v>
      </x:c>
      <x:c r="AC127" s="88" t="s">
        <x:v>271</x:v>
      </x:c>
      <x:c r="AD127" s="89">
        <x:v>46079.046590729165</x:v>
      </x:c>
      <x:c r="AE127" s="88" t="s">
        <x:v>599</x:v>
      </x:c>
      <x:c r="AF127" s="88" t="s">
        <x:v>259</x:v>
      </x:c>
      <x:c r="AG127" s="88" t="s">
        <x:v>387</x:v>
      </x:c>
      <x:c r="AH127" s="89">
        <x:v>46083.374648634257</x:v>
      </x:c>
      <x:c r="AI127" s="88" t="s">
        <x:v>388</x:v>
      </x:c>
      <x:c r="AJ127" s="88" t="s">
        <x:v>600</x:v>
      </x:c>
      <x:c r="AK127" s="88" t="s">
        <x:v>601</x:v>
      </x:c>
      <x:c r="AL127" s="88" t="s">
        <x:v>193</x:v>
      </x:c>
      <x:c r="AM127" s="88" t="s">
        <x:v>1402</x:v>
      </x:c>
      <x:c r="AN127" s="88" t="s">
        <x:v>414</x:v>
      </x:c>
      <x:c r="AO127" s="88">
        <x:v>14</x:v>
      </x:c>
    </x:row>
    <x:row r="128">
      <x:c r="A128" s="88" t="s">
        <x:v>1403</x:v>
      </x:c>
      <x:c r="B128" s="88" t="s">
        <x:v>1404</x:v>
      </x:c>
      <x:c r="C128" s="88" t="s">
        <x:v>1405</x:v>
      </x:c>
      <x:c r="D128" s="88" t="s">
        <x:v>248</x:v>
      </x:c>
      <x:c r="E128" s="88" t="s">
        <x:v>342</x:v>
      </x:c>
      <x:c r="F128" s="89">
        <x:v>46078.057535624997</x:v>
      </x:c>
      <x:c r="G128" s="89">
        <x:v>46092.399963553238</x:v>
      </x:c>
      <x:c r="H128" s="89">
        <x:v>46078.057535624997</x:v>
      </x:c>
      <x:c r="I128" s="88" t="s">
        <x:v>1406</x:v>
      </x:c>
      <x:c r="J128" s="88" t="s">
        <x:v>1407</x:v>
      </x:c>
      <x:c r="K128" s="88" t="s">
        <x:v>266</x:v>
      </x:c>
      <x:c r="L128" s="88"/>
      <x:c r="M128" s="88" t="s">
        <x:v>1408</x:v>
      </x:c>
      <x:c r="N128" s="88"/>
      <x:c r="O128" s="88"/>
      <x:c r="P128" s="88" t="s">
        <x:v>1409</x:v>
      </x:c>
      <x:c r="Q128" s="88" t="s">
        <x:v>256</x:v>
      </x:c>
      <x:c r="R128" s="88" t="s">
        <x:v>283</x:v>
      </x:c>
      <x:c r="S128" s="88"/>
      <x:c r="T128" s="88" t="s">
        <x:v>259</x:v>
      </x:c>
      <x:c r="U128" s="88" t="s">
        <x:v>1405</x:v>
      </x:c>
      <x:c r="V128" s="89">
        <x:v>46078.058501053238</x:v>
      </x:c>
      <x:c r="W128" s="88" t="s">
        <x:v>1410</x:v>
      </x:c>
      <x:c r="X128" s="88" t="s">
        <x:v>259</x:v>
      </x:c>
      <x:c r="Y128" s="88" t="s">
        <x:v>1411</x:v>
      </x:c>
      <x:c r="Z128" s="89">
        <x:v>46078.136091400462</x:v>
      </x:c>
      <x:c r="AA128" s="88" t="s">
        <x:v>1412</x:v>
      </x:c>
      <x:c r="AB128" s="88" t="s">
        <x:v>259</x:v>
      </x:c>
      <x:c r="AC128" s="88" t="s">
        <x:v>271</x:v>
      </x:c>
      <x:c r="AD128" s="89">
        <x:v>46079.041961041665</x:v>
      </x:c>
      <x:c r="AE128" s="88" t="s">
        <x:v>1413</x:v>
      </x:c>
      <x:c r="AF128" s="88" t="s">
        <x:v>259</x:v>
      </x:c>
      <x:c r="AG128" s="88" t="s">
        <x:v>500</x:v>
      </x:c>
      <x:c r="AH128" s="89">
        <x:v>46092.399963564814</x:v>
      </x:c>
      <x:c r="AI128" s="88" t="s">
        <x:v>342</x:v>
      </x:c>
      <x:c r="AJ128" s="88" t="s">
        <x:v>1414</x:v>
      </x:c>
      <x:c r="AK128" s="88" t="s">
        <x:v>1415</x:v>
      </x:c>
      <x:c r="AL128" s="88" t="s">
        <x:v>162</x:v>
      </x:c>
      <x:c r="AM128" s="88" t="s">
        <x:v>1416</x:v>
      </x:c>
      <x:c r="AN128" s="88" t="s">
        <x:v>369</x:v>
      </x:c>
      <x:c r="AO128" s="88">
        <x:v>0</x:v>
      </x:c>
    </x:row>
    <x:row r="129">
      <x:c r="A129" s="88" t="s">
        <x:v>1417</x:v>
      </x:c>
      <x:c r="B129" s="88" t="s">
        <x:v>1418</x:v>
      </x:c>
      <x:c r="C129" s="88" t="s">
        <x:v>1419</x:v>
      </x:c>
      <x:c r="D129" s="88" t="s">
        <x:v>248</x:v>
      </x:c>
      <x:c r="E129" s="88" t="s">
        <x:v>342</x:v>
      </x:c>
      <x:c r="F129" s="89">
        <x:v>46078.165809270831</x:v>
      </x:c>
      <x:c r="G129" s="89">
        <x:v>46092.400608912038</x:v>
      </x:c>
      <x:c r="H129" s="89">
        <x:v>46078.165809282407</x:v>
      </x:c>
      <x:c r="I129" s="88" t="s">
        <x:v>1420</x:v>
      </x:c>
      <x:c r="J129" s="88" t="s">
        <x:v>1421</x:v>
      </x:c>
      <x:c r="K129" s="88" t="s">
        <x:v>266</x:v>
      </x:c>
      <x:c r="L129" s="88"/>
      <x:c r="M129" s="88" t="s">
        <x:v>594</x:v>
      </x:c>
      <x:c r="N129" s="88"/>
      <x:c r="O129" s="88"/>
      <x:c r="P129" s="88" t="s">
        <x:v>1422</x:v>
      </x:c>
      <x:c r="Q129" s="88" t="s">
        <x:v>256</x:v>
      </x:c>
      <x:c r="R129" s="88" t="s">
        <x:v>283</x:v>
      </x:c>
      <x:c r="S129" s="88"/>
      <x:c r="T129" s="88" t="s">
        <x:v>259</x:v>
      </x:c>
      <x:c r="U129" s="88" t="s">
        <x:v>1419</x:v>
      </x:c>
      <x:c r="V129" s="89">
        <x:v>46078.201655636571</x:v>
      </x:c>
      <x:c r="W129" s="88" t="s">
        <x:v>1423</x:v>
      </x:c>
      <x:c r="X129" s="88" t="s">
        <x:v>259</x:v>
      </x:c>
      <x:c r="Y129" s="88" t="s">
        <x:v>597</x:v>
      </x:c>
      <x:c r="Z129" s="89">
        <x:v>46078.250787650461</x:v>
      </x:c>
      <x:c r="AA129" s="88" t="s">
        <x:v>1006</x:v>
      </x:c>
      <x:c r="AB129" s="88" t="s">
        <x:v>259</x:v>
      </x:c>
      <x:c r="AC129" s="88" t="s">
        <x:v>271</x:v>
      </x:c>
      <x:c r="AD129" s="89">
        <x:v>46079.047367210645</x:v>
      </x:c>
      <x:c r="AE129" s="88" t="s">
        <x:v>599</x:v>
      </x:c>
      <x:c r="AF129" s="88" t="s">
        <x:v>259</x:v>
      </x:c>
      <x:c r="AG129" s="88" t="s">
        <x:v>500</x:v>
      </x:c>
      <x:c r="AH129" s="89">
        <x:v>46092.400608923614</x:v>
      </x:c>
      <x:c r="AI129" s="88" t="s">
        <x:v>1424</x:v>
      </x:c>
      <x:c r="AJ129" s="88" t="s">
        <x:v>1425</x:v>
      </x:c>
      <x:c r="AK129" s="88" t="s">
        <x:v>1426</x:v>
      </x:c>
      <x:c r="AL129" s="88" t="s">
        <x:v>185</x:v>
      </x:c>
      <x:c r="AM129" s="88" t="s">
        <x:v>1427</x:v>
      </x:c>
      <x:c r="AN129" s="88" t="s">
        <x:v>369</x:v>
      </x:c>
      <x:c r="AO129" s="88">
        <x:v>0</x:v>
      </x:c>
    </x:row>
    <x:row r="130">
      <x:c r="A130" s="88" t="s">
        <x:v>1428</x:v>
      </x:c>
      <x:c r="B130" s="88" t="s">
        <x:v>1429</x:v>
      </x:c>
      <x:c r="C130" s="88" t="s">
        <x:v>1430</x:v>
      </x:c>
      <x:c r="D130" s="88" t="s">
        <x:v>248</x:v>
      </x:c>
      <x:c r="E130" s="88" t="s">
        <x:v>342</x:v>
      </x:c>
      <x:c r="F130" s="89">
        <x:v>46079.344740868059</x:v>
      </x:c>
      <x:c r="G130" s="89">
        <x:v>46093.271410127316</x:v>
      </x:c>
      <x:c r="H130" s="89">
        <x:v>46080.088985000002</x:v>
      </x:c>
      <x:c r="I130" s="88" t="s">
        <x:v>1431</x:v>
      </x:c>
      <x:c r="J130" s="88" t="s">
        <x:v>1432</x:v>
      </x:c>
      <x:c r="K130" s="88" t="s">
        <x:v>380</x:v>
      </x:c>
      <x:c r="L130" s="88" t="s">
        <x:v>1433</x:v>
      </x:c>
      <x:c r="M130" s="88" t="s">
        <x:v>1434</x:v>
      </x:c>
      <x:c r="N130" s="88" t="s">
        <x:v>1435</x:v>
      </x:c>
      <x:c r="O130" s="88"/>
      <x:c r="P130" s="88" t="s">
        <x:v>1436</x:v>
      </x:c>
      <x:c r="Q130" s="88" t="s">
        <x:v>256</x:v>
      </x:c>
      <x:c r="R130" s="88" t="s">
        <x:v>283</x:v>
      </x:c>
      <x:c r="S130" s="88"/>
      <x:c r="T130" s="88" t="s">
        <x:v>259</x:v>
      </x:c>
      <x:c r="U130" s="88" t="s">
        <x:v>1430</x:v>
      </x:c>
      <x:c r="V130" s="89">
        <x:v>46080.112799016206</x:v>
      </x:c>
      <x:c r="W130" s="88" t="s">
        <x:v>1437</x:v>
      </x:c>
      <x:c r="X130" s="88" t="s">
        <x:v>259</x:v>
      </x:c>
      <x:c r="Y130" s="88" t="s">
        <x:v>1438</x:v>
      </x:c>
      <x:c r="Z130" s="89">
        <x:v>46084.262055729167</x:v>
      </x:c>
      <x:c r="AA130" s="88" t="s">
        <x:v>1439</x:v>
      </x:c>
      <x:c r="AB130" s="88" t="s">
        <x:v>259</x:v>
      </x:c>
      <x:c r="AC130" s="88" t="s">
        <x:v>271</x:v>
      </x:c>
      <x:c r="AD130" s="89">
        <x:v>46090.003984212963</x:v>
      </x:c>
      <x:c r="AE130" s="88" t="s">
        <x:v>1440</x:v>
      </x:c>
      <x:c r="AF130" s="88" t="s">
        <x:v>259</x:v>
      </x:c>
      <x:c r="AG130" s="88" t="s">
        <x:v>271</x:v>
      </x:c>
      <x:c r="AH130" s="89">
        <x:v>46093.271410138892</x:v>
      </x:c>
      <x:c r="AI130" s="88" t="s">
        <x:v>353</x:v>
      </x:c>
      <x:c r="AJ130" s="88" t="s">
        <x:v>1441</x:v>
      </x:c>
      <x:c r="AK130" s="88" t="s">
        <x:v>1442</x:v>
      </x:c>
      <x:c r="AL130" s="88" t="s">
        <x:v>193</x:v>
      </x:c>
      <x:c r="AM130" s="88" t="s">
        <x:v>1443</x:v>
      </x:c>
      <x:c r="AN130" s="88" t="s">
        <x:v>369</x:v>
      </x:c>
      <x:c r="AO130" s="88">
        <x:v>0</x:v>
      </x:c>
    </x:row>
    <x:row r="131">
      <x:c r="A131" s="88" t="s">
        <x:v>1444</x:v>
      </x:c>
      <x:c r="B131" s="88" t="s">
        <x:v>1445</x:v>
      </x:c>
      <x:c r="C131" s="88" t="s">
        <x:v>1446</x:v>
      </x:c>
      <x:c r="D131" s="88" t="s">
        <x:v>248</x:v>
      </x:c>
      <x:c r="E131" s="88" t="s">
        <x:v>342</x:v>
      </x:c>
      <x:c r="F131" s="89">
        <x:v>46080.173277094909</x:v>
      </x:c>
      <x:c r="G131" s="89">
        <x:v>46092.206417094909</x:v>
      </x:c>
      <x:c r="H131" s="89">
        <x:v>46080.173277094909</x:v>
      </x:c>
      <x:c r="I131" s="88" t="s">
        <x:v>1447</x:v>
      </x:c>
      <x:c r="J131" s="88" t="s">
        <x:v>1448</x:v>
      </x:c>
      <x:c r="K131" s="88" t="s">
        <x:v>266</x:v>
      </x:c>
      <x:c r="L131" s="88"/>
      <x:c r="M131" s="88" t="s">
        <x:v>1449</x:v>
      </x:c>
      <x:c r="N131" s="88"/>
      <x:c r="O131" s="88"/>
      <x:c r="P131" s="88" t="s">
        <x:v>1450</x:v>
      </x:c>
      <x:c r="Q131" s="88" t="s">
        <x:v>256</x:v>
      </x:c>
      <x:c r="R131" s="88" t="s">
        <x:v>257</x:v>
      </x:c>
      <x:c r="S131" s="88"/>
      <x:c r="T131" s="88" t="s">
        <x:v>259</x:v>
      </x:c>
      <x:c r="U131" s="88" t="s">
        <x:v>1446</x:v>
      </x:c>
      <x:c r="V131" s="89">
        <x:v>46080.189027083332</x:v>
      </x:c>
      <x:c r="W131" s="88" t="s">
        <x:v>1451</x:v>
      </x:c>
      <x:c r="X131" s="88" t="s">
        <x:v>259</x:v>
      </x:c>
      <x:c r="Y131" s="88" t="s">
        <x:v>1449</x:v>
      </x:c>
      <x:c r="Z131" s="89">
        <x:v>46080.275519884257</x:v>
      </x:c>
      <x:c r="AA131" s="88" t="s">
        <x:v>259</x:v>
      </x:c>
      <x:c r="AB131" s="88" t="s">
        <x:v>259</x:v>
      </x:c>
      <x:c r="AC131" s="88" t="s">
        <x:v>271</x:v>
      </x:c>
      <x:c r="AD131" s="89">
        <x:v>46083.161482905096</x:v>
      </x:c>
      <x:c r="AE131" s="88" t="s">
        <x:v>1452</x:v>
      </x:c>
      <x:c r="AF131" s="88" t="s">
        <x:v>259</x:v>
      </x:c>
      <x:c r="AG131" s="88" t="s">
        <x:v>271</x:v>
      </x:c>
      <x:c r="AH131" s="89">
        <x:v>46092.206417094909</x:v>
      </x:c>
      <x:c r="AI131" s="88" t="s">
        <x:v>353</x:v>
      </x:c>
      <x:c r="AJ131" s="88" t="s">
        <x:v>1453</x:v>
      </x:c>
      <x:c r="AK131" s="88">
        <x:v>3624</x:v>
      </x:c>
      <x:c r="AL131" s="88" t="s">
        <x:v>185</x:v>
      </x:c>
      <x:c r="AM131" s="88" t="s">
        <x:v>1454</x:v>
      </x:c>
      <x:c r="AN131" s="88" t="s">
        <x:v>369</x:v>
      </x:c>
      <x:c r="AO131" s="88">
        <x:v>0</x:v>
      </x:c>
    </x:row>
    <x:row r="132">
      <x:c r="A132" s="88" t="s">
        <x:v>1455</x:v>
      </x:c>
      <x:c r="B132" s="88" t="s">
        <x:v>1456</x:v>
      </x:c>
      <x:c r="C132" s="88" t="s">
        <x:v>1457</x:v>
      </x:c>
      <x:c r="D132" s="88" t="s">
        <x:v>248</x:v>
      </x:c>
      <x:c r="E132" s="88" t="s">
        <x:v>278</x:v>
      </x:c>
      <x:c r="F132" s="89">
        <x:v>46080.277997650461</x:v>
      </x:c>
      <x:c r="G132" s="89">
        <x:v>46080.281769085646</x:v>
      </x:c>
      <x:c r="H132" s="89">
        <x:v>46080.277997650461</x:v>
      </x:c>
      <x:c r="I132" s="88" t="s">
        <x:v>1252</x:v>
      </x:c>
      <x:c r="J132" s="88" t="s">
        <x:v>1253</x:v>
      </x:c>
      <x:c r="K132" s="88" t="s">
        <x:v>266</x:v>
      </x:c>
      <x:c r="L132" s="88"/>
      <x:c r="M132" s="88" t="s">
        <x:v>1458</x:v>
      </x:c>
      <x:c r="N132" s="88"/>
      <x:c r="O132" s="88"/>
      <x:c r="P132" s="88" t="s">
        <x:v>1459</x:v>
      </x:c>
      <x:c r="Q132" s="88" t="s">
        <x:v>256</x:v>
      </x:c>
      <x:c r="R132" s="88" t="s">
        <x:v>363</x:v>
      </x:c>
      <x:c r="S132" s="88"/>
      <x:c r="T132" s="88" t="s">
        <x:v>249</x:v>
      </x:c>
      <x:c r="U132" s="88" t="s">
        <x:v>1457</x:v>
      </x:c>
      <x:c r="V132" s="89">
        <x:v>46080.281769131943</x:v>
      </x:c>
      <x:c r="W132" s="88"/>
      <x:c r="X132" s="88"/>
      <x:c r="Y132" s="88" t="s">
        <x:v>1458</x:v>
      </x:c>
      <x:c r="Z132" s="89"/>
      <x:c r="AA132" s="88"/>
      <x:c r="AB132" s="88"/>
      <x:c r="AC132" s="88" t="s">
        <x:v>273</x:v>
      </x:c>
      <x:c r="AD132" s="89"/>
      <x:c r="AE132" s="88"/>
      <x:c r="AF132" s="88"/>
      <x:c r="AG132" s="88" t="s">
        <x:v>161</x:v>
      </x:c>
      <x:c r="AH132" s="89"/>
      <x:c r="AI132" s="88"/>
      <x:c r="AJ132" s="88" t="s">
        <x:v>1259</x:v>
      </x:c>
      <x:c r="AK132" s="88">
        <x:v>2794</x:v>
      </x:c>
      <x:c r="AL132" s="88"/>
      <x:c r="AM132" s="88"/>
      <x:c r="AN132" s="88" t="s">
        <x:v>369</x:v>
      </x:c>
      <x:c r="AO132" s="88">
        <x:v>0</x:v>
      </x:c>
    </x:row>
    <x:row r="133">
      <x:c r="A133" s="88" t="s">
        <x:v>1460</x:v>
      </x:c>
      <x:c r="B133" s="88" t="s">
        <x:v>1461</x:v>
      </x:c>
      <x:c r="C133" s="88" t="s">
        <x:v>1457</x:v>
      </x:c>
      <x:c r="D133" s="88" t="s">
        <x:v>248</x:v>
      </x:c>
      <x:c r="E133" s="88" t="s">
        <x:v>372</x:v>
      </x:c>
      <x:c r="F133" s="89">
        <x:v>46080.288057569443</x:v>
      </x:c>
      <x:c r="G133" s="89">
        <x:v>46080.288381967592</x:v>
      </x:c>
      <x:c r="H133" s="89">
        <x:v>46080.288057569443</x:v>
      </x:c>
      <x:c r="I133" s="88" t="s">
        <x:v>1252</x:v>
      </x:c>
      <x:c r="J133" s="88" t="s">
        <x:v>1253</x:v>
      </x:c>
      <x:c r="K133" s="88" t="s">
        <x:v>380</x:v>
      </x:c>
      <x:c r="L133" s="88" t="s">
        <x:v>1462</x:v>
      </x:c>
      <x:c r="M133" s="88" t="s">
        <x:v>1458</x:v>
      </x:c>
      <x:c r="N133" s="88"/>
      <x:c r="O133" s="88"/>
      <x:c r="P133" s="88" t="s">
        <x:v>1459</x:v>
      </x:c>
      <x:c r="Q133" s="88" t="s">
        <x:v>256</x:v>
      </x:c>
      <x:c r="R133" s="88" t="s">
        <x:v>363</x:v>
      </x:c>
      <x:c r="S133" s="88"/>
      <x:c r="T133" s="88" t="s">
        <x:v>259</x:v>
      </x:c>
      <x:c r="U133" s="88" t="s">
        <x:v>1457</x:v>
      </x:c>
      <x:c r="V133" s="89">
        <x:v>46080.288381990744</x:v>
      </x:c>
      <x:c r="W133" s="88" t="s">
        <x:v>1459</x:v>
      </x:c>
      <x:c r="X133" s="88"/>
      <x:c r="Y133" s="88" t="s">
        <x:v>1458</x:v>
      </x:c>
      <x:c r="Z133" s="89"/>
      <x:c r="AA133" s="88"/>
      <x:c r="AB133" s="88"/>
      <x:c r="AC133" s="88" t="s">
        <x:v>273</x:v>
      </x:c>
      <x:c r="AD133" s="89"/>
      <x:c r="AE133" s="88"/>
      <x:c r="AF133" s="88"/>
      <x:c r="AG133" s="88" t="s">
        <x:v>161</x:v>
      </x:c>
      <x:c r="AH133" s="89"/>
      <x:c r="AI133" s="88"/>
      <x:c r="AJ133" s="88" t="s">
        <x:v>1259</x:v>
      </x:c>
      <x:c r="AK133" s="88">
        <x:v>2794</x:v>
      </x:c>
      <x:c r="AL133" s="88"/>
      <x:c r="AM133" s="88"/>
      <x:c r="AN133" s="88" t="s">
        <x:v>369</x:v>
      </x:c>
      <x:c r="AO133" s="88">
        <x:v>0</x:v>
      </x:c>
    </x:row>
    <x:row r="134">
      <x:c r="A134" s="88" t="s">
        <x:v>1463</x:v>
      </x:c>
      <x:c r="B134" s="88" t="s">
        <x:v>1464</x:v>
      </x:c>
      <x:c r="C134" s="88" t="s">
        <x:v>1391</x:v>
      </x:c>
      <x:c r="D134" s="88" t="s">
        <x:v>248</x:v>
      </x:c>
      <x:c r="E134" s="88" t="s">
        <x:v>342</x:v>
      </x:c>
      <x:c r="F134" s="89">
        <x:v>46080.384201620371</x:v>
      </x:c>
      <x:c r="G134" s="89">
        <x:v>46092.08383030093</x:v>
      </x:c>
      <x:c r="H134" s="89">
        <x:v>46080.384201620371</x:v>
      </x:c>
      <x:c r="I134" s="88" t="s">
        <x:v>1465</x:v>
      </x:c>
      <x:c r="J134" s="88" t="s">
        <x:v>1466</x:v>
      </x:c>
      <x:c r="K134" s="88" t="s">
        <x:v>266</x:v>
      </x:c>
      <x:c r="L134" s="88"/>
      <x:c r="M134" s="88" t="s">
        <x:v>482</x:v>
      </x:c>
      <x:c r="N134" s="88"/>
      <x:c r="O134" s="88"/>
      <x:c r="P134" s="88" t="s">
        <x:v>680</x:v>
      </x:c>
      <x:c r="Q134" s="88" t="s">
        <x:v>256</x:v>
      </x:c>
      <x:c r="R134" s="88" t="s">
        <x:v>363</x:v>
      </x:c>
      <x:c r="S134" s="88"/>
      <x:c r="T134" s="88" t="s">
        <x:v>259</x:v>
      </x:c>
      <x:c r="U134" s="88" t="s">
        <x:v>1391</x:v>
      </x:c>
      <x:c r="V134" s="89">
        <x:v>46080.384556412035</x:v>
      </x:c>
      <x:c r="W134" s="88" t="s">
        <x:v>1467</x:v>
      </x:c>
      <x:c r="X134" s="88" t="s">
        <x:v>259</x:v>
      </x:c>
      <x:c r="Y134" s="88" t="s">
        <x:v>482</x:v>
      </x:c>
      <x:c r="Z134" s="89">
        <x:v>46085.048543321762</x:v>
      </x:c>
      <x:c r="AA134" s="88" t="s">
        <x:v>1468</x:v>
      </x:c>
      <x:c r="AB134" s="88" t="s">
        <x:v>259</x:v>
      </x:c>
      <x:c r="AC134" s="88" t="s">
        <x:v>271</x:v>
      </x:c>
      <x:c r="AD134" s="89">
        <x:v>46090.002409409724</x:v>
      </x:c>
      <x:c r="AE134" s="88" t="s">
        <x:v>1469</x:v>
      </x:c>
      <x:c r="AF134" s="88" t="s">
        <x:v>259</x:v>
      </x:c>
      <x:c r="AG134" s="88" t="s">
        <x:v>271</x:v>
      </x:c>
      <x:c r="AH134" s="89">
        <x:v>46092.083830312498</x:v>
      </x:c>
      <x:c r="AI134" s="88" t="s">
        <x:v>353</x:v>
      </x:c>
      <x:c r="AJ134" s="88" t="s">
        <x:v>1470</x:v>
      </x:c>
      <x:c r="AK134" s="88">
        <x:v>2787</x:v>
      </x:c>
      <x:c r="AL134" s="88" t="s">
        <x:v>185</x:v>
      </x:c>
      <x:c r="AM134" s="88" t="s">
        <x:v>1471</x:v>
      </x:c>
      <x:c r="AN134" s="88" t="s">
        <x:v>369</x:v>
      </x:c>
      <x:c r="AO134" s="88">
        <x:v>0</x:v>
      </x:c>
    </x:row>
    <x:row r="135">
      <x:c r="A135" s="88" t="s">
        <x:v>1472</x:v>
      </x:c>
      <x:c r="B135" s="88" t="s">
        <x:v>1473</x:v>
      </x:c>
      <x:c r="C135" s="88" t="s">
        <x:v>1474</x:v>
      </x:c>
      <x:c r="D135" s="88" t="s">
        <x:v>248</x:v>
      </x:c>
      <x:c r="E135" s="88" t="s">
        <x:v>342</x:v>
      </x:c>
      <x:c r="F135" s="89">
        <x:v>46083.075484942128</x:v>
      </x:c>
      <x:c r="G135" s="89">
        <x:v>46093.304483043983</x:v>
      </x:c>
      <x:c r="H135" s="89">
        <x:v>46083.075484942128</x:v>
      </x:c>
      <x:c r="I135" s="88" t="s">
        <x:v>1475</x:v>
      </x:c>
      <x:c r="J135" s="88" t="s">
        <x:v>1476</x:v>
      </x:c>
      <x:c r="K135" s="88" t="s">
        <x:v>266</x:v>
      </x:c>
      <x:c r="L135" s="88"/>
      <x:c r="M135" s="88" t="s">
        <x:v>641</x:v>
      </x:c>
      <x:c r="N135" s="88" t="s">
        <x:v>1477</x:v>
      </x:c>
      <x:c r="O135" s="88">
        <x:v>4640</x:v>
      </x:c>
      <x:c r="P135" s="88" t="s">
        <x:v>1478</x:v>
      </x:c>
      <x:c r="Q135" s="88" t="s">
        <x:v>256</x:v>
      </x:c>
      <x:c r="R135" s="88" t="s">
        <x:v>283</x:v>
      </x:c>
      <x:c r="S135" s="88"/>
      <x:c r="T135" s="88" t="s">
        <x:v>259</x:v>
      </x:c>
      <x:c r="U135" s="88" t="s">
        <x:v>1474</x:v>
      </x:c>
      <x:c r="V135" s="89">
        <x:v>46083.08581783565</x:v>
      </x:c>
      <x:c r="W135" s="88" t="s">
        <x:v>1479</x:v>
      </x:c>
      <x:c r="X135" s="88" t="s">
        <x:v>259</x:v>
      </x:c>
      <x:c r="Y135" s="88" t="s">
        <x:v>260</x:v>
      </x:c>
      <x:c r="Z135" s="89">
        <x:v>46090.342080289352</x:v>
      </x:c>
      <x:c r="AA135" s="88" t="s">
        <x:v>1480</x:v>
      </x:c>
      <x:c r="AB135" s="88" t="s">
        <x:v>259</x:v>
      </x:c>
      <x:c r="AC135" s="88" t="s">
        <x:v>271</x:v>
      </x:c>
      <x:c r="AD135" s="89">
        <x:v>46091.248926099535</x:v>
      </x:c>
      <x:c r="AE135" s="88" t="s">
        <x:v>1481</x:v>
      </x:c>
      <x:c r="AF135" s="88" t="s">
        <x:v>259</x:v>
      </x:c>
      <x:c r="AG135" s="88" t="s">
        <x:v>271</x:v>
      </x:c>
      <x:c r="AH135" s="89">
        <x:v>46093.304483055559</x:v>
      </x:c>
      <x:c r="AI135" s="88" t="s">
        <x:v>353</x:v>
      </x:c>
      <x:c r="AJ135" s="88" t="s">
        <x:v>1482</x:v>
      </x:c>
      <x:c r="AK135" s="88">
        <x:v>4640</x:v>
      </x:c>
      <x:c r="AL135" s="88" t="s">
        <x:v>185</x:v>
      </x:c>
      <x:c r="AM135" s="88" t="s">
        <x:v>1483</x:v>
      </x:c>
      <x:c r="AN135" s="88" t="s">
        <x:v>369</x:v>
      </x:c>
      <x:c r="AO135" s="88">
        <x:v>0</x:v>
      </x:c>
    </x:row>
    <x:row r="136">
      <x:c r="A136" s="88" t="s">
        <x:v>1484</x:v>
      </x:c>
      <x:c r="B136" s="88" t="s">
        <x:v>1485</x:v>
      </x:c>
      <x:c r="C136" s="88" t="s">
        <x:v>1219</x:v>
      </x:c>
      <x:c r="D136" s="88" t="s">
        <x:v>248</x:v>
      </x:c>
      <x:c r="E136" s="88" t="s">
        <x:v>342</x:v>
      </x:c>
      <x:c r="F136" s="89">
        <x:v>46083.302069953701</x:v>
      </x:c>
      <x:c r="G136" s="89">
        <x:v>46092.12302525463</x:v>
      </x:c>
      <x:c r="H136" s="89">
        <x:v>46083.302069953701</x:v>
      </x:c>
      <x:c r="I136" s="88" t="s">
        <x:v>1220</x:v>
      </x:c>
      <x:c r="J136" s="88" t="s">
        <x:v>1221</x:v>
      </x:c>
      <x:c r="K136" s="88" t="s">
        <x:v>266</x:v>
      </x:c>
      <x:c r="L136" s="88"/>
      <x:c r="M136" s="88" t="s">
        <x:v>482</x:v>
      </x:c>
      <x:c r="N136" s="88"/>
      <x:c r="O136" s="88"/>
      <x:c r="P136" s="88" t="s">
        <x:v>680</x:v>
      </x:c>
      <x:c r="Q136" s="88" t="s">
        <x:v>256</x:v>
      </x:c>
      <x:c r="R136" s="88" t="s">
        <x:v>363</x:v>
      </x:c>
      <x:c r="S136" s="88"/>
      <x:c r="T136" s="88" t="s">
        <x:v>259</x:v>
      </x:c>
      <x:c r="U136" s="88" t="s">
        <x:v>1219</x:v>
      </x:c>
      <x:c r="V136" s="89">
        <x:v>46083.303189525461</x:v>
      </x:c>
      <x:c r="W136" s="88" t="s">
        <x:v>680</x:v>
      </x:c>
      <x:c r="X136" s="88" t="s">
        <x:v>259</x:v>
      </x:c>
      <x:c r="Y136" s="88" t="s">
        <x:v>482</x:v>
      </x:c>
      <x:c r="Z136" s="89">
        <x:v>46085.049599444443</x:v>
      </x:c>
      <x:c r="AA136" s="88" t="s">
        <x:v>483</x:v>
      </x:c>
      <x:c r="AB136" s="88" t="s">
        <x:v>259</x:v>
      </x:c>
      <x:c r="AC136" s="88" t="s">
        <x:v>271</x:v>
      </x:c>
      <x:c r="AD136" s="89">
        <x:v>46090.001385416668</x:v>
      </x:c>
      <x:c r="AE136" s="88" t="s">
        <x:v>1469</x:v>
      </x:c>
      <x:c r="AF136" s="88" t="s">
        <x:v>259</x:v>
      </x:c>
      <x:c r="AG136" s="88" t="s">
        <x:v>271</x:v>
      </x:c>
      <x:c r="AH136" s="89">
        <x:v>46092.123025266206</x:v>
      </x:c>
      <x:c r="AI136" s="88" t="s">
        <x:v>353</x:v>
      </x:c>
      <x:c r="AJ136" s="88" t="s">
        <x:v>1224</x:v>
      </x:c>
      <x:c r="AK136" s="88" t="s">
        <x:v>1225</x:v>
      </x:c>
      <x:c r="AL136" s="88" t="s">
        <x:v>185</x:v>
      </x:c>
      <x:c r="AM136" s="88" t="s">
        <x:v>1486</x:v>
      </x:c>
      <x:c r="AN136" s="88" t="s">
        <x:v>369</x:v>
      </x:c>
      <x:c r="AO136" s="88">
        <x:v>0</x:v>
      </x:c>
    </x:row>
    <x:row r="137">
      <x:c r="A137" s="88" t="s">
        <x:v>1487</x:v>
      </x:c>
      <x:c r="B137" s="88" t="s">
        <x:v>1488</x:v>
      </x:c>
      <x:c r="C137" s="88" t="s">
        <x:v>1150</x:v>
      </x:c>
      <x:c r="D137" s="88" t="s">
        <x:v>248</x:v>
      </x:c>
      <x:c r="E137" s="88" t="s">
        <x:v>278</x:v>
      </x:c>
      <x:c r="F137" s="89">
        <x:v>46083.336352800929</x:v>
      </x:c>
      <x:c r="G137" s="89">
        <x:v>46083.336913749998</x:v>
      </x:c>
      <x:c r="H137" s="89">
        <x:v>46083.336352800929</x:v>
      </x:c>
      <x:c r="I137" s="88" t="s">
        <x:v>1489</x:v>
      </x:c>
      <x:c r="J137" s="88" t="s">
        <x:v>1490</x:v>
      </x:c>
      <x:c r="K137" s="88" t="s">
        <x:v>266</x:v>
      </x:c>
      <x:c r="L137" s="88"/>
      <x:c r="M137" s="88" t="s">
        <x:v>594</x:v>
      </x:c>
      <x:c r="N137" s="88"/>
      <x:c r="O137" s="88"/>
      <x:c r="P137" s="88" t="s">
        <x:v>1491</x:v>
      </x:c>
      <x:c r="Q137" s="88" t="s">
        <x:v>347</x:v>
      </x:c>
      <x:c r="R137" s="88" t="s">
        <x:v>363</x:v>
      </x:c>
      <x:c r="S137" s="88"/>
      <x:c r="T137" s="88" t="s">
        <x:v>249</x:v>
      </x:c>
      <x:c r="U137" s="88" t="s">
        <x:v>1150</x:v>
      </x:c>
      <x:c r="V137" s="89">
        <x:v>46083.336913784726</x:v>
      </x:c>
      <x:c r="W137" s="88"/>
      <x:c r="X137" s="88"/>
      <x:c r="Y137" s="88" t="s">
        <x:v>597</x:v>
      </x:c>
      <x:c r="Z137" s="89"/>
      <x:c r="AA137" s="88"/>
      <x:c r="AB137" s="88"/>
      <x:c r="AC137" s="88" t="s">
        <x:v>273</x:v>
      </x:c>
      <x:c r="AD137" s="89"/>
      <x:c r="AE137" s="88"/>
      <x:c r="AF137" s="88"/>
      <x:c r="AG137" s="88" t="s">
        <x:v>161</x:v>
      </x:c>
      <x:c r="AH137" s="89"/>
      <x:c r="AI137" s="88"/>
      <x:c r="AJ137" s="88" t="s">
        <x:v>1492</x:v>
      </x:c>
      <x:c r="AK137" s="88">
        <x:v>1950</x:v>
      </x:c>
      <x:c r="AL137" s="88"/>
      <x:c r="AM137" s="88"/>
      <x:c r="AN137" s="88" t="s">
        <x:v>369</x:v>
      </x:c>
      <x:c r="AO137" s="88">
        <x:v>0</x:v>
      </x:c>
    </x:row>
    <x:row r="138">
      <x:c r="A138" s="88" t="s">
        <x:v>1493</x:v>
      </x:c>
      <x:c r="B138" s="88" t="s">
        <x:v>1494</x:v>
      </x:c>
      <x:c r="C138" s="88" t="s">
        <x:v>1495</x:v>
      </x:c>
      <x:c r="D138" s="88" t="s">
        <x:v>248</x:v>
      </x:c>
      <x:c r="E138" s="88" t="s">
        <x:v>278</x:v>
      </x:c>
      <x:c r="F138" s="89">
        <x:v>46085.005970196762</x:v>
      </x:c>
      <x:c r="G138" s="89">
        <x:v>46085.011772337966</x:v>
      </x:c>
      <x:c r="H138" s="89">
        <x:v>46085.009851585652</x:v>
      </x:c>
      <x:c r="I138" s="88" t="s">
        <x:v>1496</x:v>
      </x:c>
      <x:c r="J138" s="88" t="s">
        <x:v>1497</x:v>
      </x:c>
      <x:c r="K138" s="88" t="s">
        <x:v>266</x:v>
      </x:c>
      <x:c r="L138" s="88"/>
      <x:c r="M138" s="88" t="s">
        <x:v>1449</x:v>
      </x:c>
      <x:c r="N138" s="88"/>
      <x:c r="O138" s="88"/>
      <x:c r="P138" s="88" t="s">
        <x:v>1498</x:v>
      </x:c>
      <x:c r="Q138" s="88" t="s">
        <x:v>256</x:v>
      </x:c>
      <x:c r="R138" s="88" t="s">
        <x:v>283</x:v>
      </x:c>
      <x:c r="S138" s="88"/>
      <x:c r="T138" s="88" t="s">
        <x:v>249</x:v>
      </x:c>
      <x:c r="U138" s="88" t="s">
        <x:v>1495</x:v>
      </x:c>
      <x:c r="V138" s="89">
        <x:v>46085.011772349535</x:v>
      </x:c>
      <x:c r="W138" s="88"/>
      <x:c r="X138" s="88"/>
      <x:c r="Y138" s="88" t="s">
        <x:v>1449</x:v>
      </x:c>
      <x:c r="Z138" s="89"/>
      <x:c r="AA138" s="88"/>
      <x:c r="AB138" s="88"/>
      <x:c r="AC138" s="88" t="s">
        <x:v>273</x:v>
      </x:c>
      <x:c r="AD138" s="89"/>
      <x:c r="AE138" s="88"/>
      <x:c r="AF138" s="88"/>
      <x:c r="AG138" s="88" t="s">
        <x:v>273</x:v>
      </x:c>
      <x:c r="AH138" s="89"/>
      <x:c r="AI138" s="88"/>
      <x:c r="AJ138" s="88" t="s">
        <x:v>1499</x:v>
      </x:c>
      <x:c r="AK138" s="88">
        <x:v>1823</x:v>
      </x:c>
      <x:c r="AL138" s="88"/>
      <x:c r="AM138" s="88"/>
      <x:c r="AN138" s="88" t="s">
        <x:v>369</x:v>
      </x:c>
      <x:c r="AO138" s="88">
        <x:v>0</x:v>
      </x:c>
    </x:row>
    <x:row r="139">
      <x:c r="A139" s="88" t="s">
        <x:v>1500</x:v>
      </x:c>
      <x:c r="B139" s="88" t="s">
        <x:v>1501</x:v>
      </x:c>
      <x:c r="C139" s="88" t="s">
        <x:v>1495</x:v>
      </x:c>
      <x:c r="D139" s="88" t="s">
        <x:v>248</x:v>
      </x:c>
      <x:c r="E139" s="88" t="s">
        <x:v>342</x:v>
      </x:c>
      <x:c r="F139" s="89">
        <x:v>46085.013193460647</x:v>
      </x:c>
      <x:c r="G139" s="89">
        <x:v>46091.068117569448</x:v>
      </x:c>
      <x:c r="H139" s="89">
        <x:v>46085.013193460647</x:v>
      </x:c>
      <x:c r="I139" s="88" t="s">
        <x:v>1502</x:v>
      </x:c>
      <x:c r="J139" s="88" t="s">
        <x:v>1503</x:v>
      </x:c>
      <x:c r="K139" s="88" t="s">
        <x:v>266</x:v>
      </x:c>
      <x:c r="L139" s="88"/>
      <x:c r="M139" s="88" t="s">
        <x:v>1449</x:v>
      </x:c>
      <x:c r="N139" s="88"/>
      <x:c r="O139" s="88"/>
      <x:c r="P139" s="88" t="s">
        <x:v>1498</x:v>
      </x:c>
      <x:c r="Q139" s="88" t="s">
        <x:v>256</x:v>
      </x:c>
      <x:c r="R139" s="88" t="s">
        <x:v>283</x:v>
      </x:c>
      <x:c r="S139" s="88"/>
      <x:c r="T139" s="88" t="s">
        <x:v>259</x:v>
      </x:c>
      <x:c r="U139" s="88" t="s">
        <x:v>1495</x:v>
      </x:c>
      <x:c r="V139" s="89">
        <x:v>46085.020914039349</x:v>
      </x:c>
      <x:c r="W139" s="88" t="s">
        <x:v>1504</x:v>
      </x:c>
      <x:c r="X139" s="88" t="s">
        <x:v>259</x:v>
      </x:c>
      <x:c r="Y139" s="88" t="s">
        <x:v>1449</x:v>
      </x:c>
      <x:c r="Z139" s="89">
        <x:v>46085.290085578701</x:v>
      </x:c>
      <x:c r="AA139" s="88" t="s">
        <x:v>259</x:v>
      </x:c>
      <x:c r="AB139" s="88" t="s">
        <x:v>259</x:v>
      </x:c>
      <x:c r="AC139" s="88" t="s">
        <x:v>271</x:v>
      </x:c>
      <x:c r="AD139" s="89">
        <x:v>46089.998828368058</x:v>
      </x:c>
      <x:c r="AE139" s="88" t="s">
        <x:v>599</x:v>
      </x:c>
      <x:c r="AF139" s="88" t="s">
        <x:v>259</x:v>
      </x:c>
      <x:c r="AG139" s="88" t="s">
        <x:v>387</x:v>
      </x:c>
      <x:c r="AH139" s="89">
        <x:v>46091.068117569448</x:v>
      </x:c>
      <x:c r="AI139" s="88" t="s">
        <x:v>388</x:v>
      </x:c>
      <x:c r="AJ139" s="88" t="s">
        <x:v>1505</x:v>
      </x:c>
      <x:c r="AK139" s="88" t="s">
        <x:v>1506</x:v>
      </x:c>
      <x:c r="AL139" s="88" t="s">
        <x:v>185</x:v>
      </x:c>
      <x:c r="AM139" s="88" t="s">
        <x:v>1507</x:v>
      </x:c>
      <x:c r="AN139" s="88" t="s">
        <x:v>369</x:v>
      </x:c>
      <x:c r="AO139" s="88">
        <x:v>0</x:v>
      </x:c>
    </x:row>
    <x:row r="140">
      <x:c r="A140" s="88" t="s">
        <x:v>1508</x:v>
      </x:c>
      <x:c r="B140" s="88" t="s">
        <x:v>1509</x:v>
      </x:c>
      <x:c r="C140" s="88" t="s">
        <x:v>794</x:v>
      </x:c>
      <x:c r="D140" s="88" t="s">
        <x:v>248</x:v>
      </x:c>
      <x:c r="E140" s="88" t="s">
        <x:v>342</x:v>
      </x:c>
      <x:c r="F140" s="89">
        <x:v>46085.051787384262</x:v>
      </x:c>
      <x:c r="G140" s="89">
        <x:v>46093.328013854167</x:v>
      </x:c>
      <x:c r="H140" s="89">
        <x:v>46085.051787384262</x:v>
      </x:c>
      <x:c r="I140" s="88" t="s">
        <x:v>1308</x:v>
      </x:c>
      <x:c r="J140" s="88" t="s">
        <x:v>1309</x:v>
      </x:c>
      <x:c r="K140" s="88" t="s">
        <x:v>266</x:v>
      </x:c>
      <x:c r="L140" s="88"/>
      <x:c r="M140" s="88" t="s">
        <x:v>796</x:v>
      </x:c>
      <x:c r="N140" s="88"/>
      <x:c r="O140" s="88"/>
      <x:c r="P140" s="88" t="s">
        <x:v>1510</x:v>
      </x:c>
      <x:c r="Q140" s="88" t="s">
        <x:v>269</x:v>
      </x:c>
      <x:c r="R140" s="88" t="s">
        <x:v>283</x:v>
      </x:c>
      <x:c r="S140" s="88"/>
      <x:c r="T140" s="88" t="s">
        <x:v>259</x:v>
      </x:c>
      <x:c r="U140" s="88" t="s">
        <x:v>794</x:v>
      </x:c>
      <x:c r="V140" s="89">
        <x:v>46091.075648437502</x:v>
      </x:c>
      <x:c r="W140" s="88" t="s">
        <x:v>1511</x:v>
      </x:c>
      <x:c r="X140" s="88" t="s">
        <x:v>259</x:v>
      </x:c>
      <x:c r="Y140" s="88" t="s">
        <x:v>799</x:v>
      </x:c>
      <x:c r="Z140" s="89">
        <x:v>46091.243035868058</x:v>
      </x:c>
      <x:c r="AA140" s="88" t="s">
        <x:v>1512</x:v>
      </x:c>
      <x:c r="AB140" s="88" t="s">
        <x:v>259</x:v>
      </x:c>
      <x:c r="AC140" s="88" t="s">
        <x:v>271</x:v>
      </x:c>
      <x:c r="AD140" s="89">
        <x:v>46091.306143888891</x:v>
      </x:c>
      <x:c r="AE140" s="88" t="s">
        <x:v>1203</x:v>
      </x:c>
      <x:c r="AF140" s="88" t="s">
        <x:v>259</x:v>
      </x:c>
      <x:c r="AG140" s="88" t="s">
        <x:v>387</x:v>
      </x:c>
      <x:c r="AH140" s="89">
        <x:v>46093.328013865743</x:v>
      </x:c>
      <x:c r="AI140" s="88" t="s">
        <x:v>388</x:v>
      </x:c>
      <x:c r="AJ140" s="88" t="s">
        <x:v>1314</x:v>
      </x:c>
      <x:c r="AK140" s="88" t="s">
        <x:v>1315</x:v>
      </x:c>
      <x:c r="AL140" s="88" t="s">
        <x:v>185</x:v>
      </x:c>
      <x:c r="AM140" s="88" t="s">
        <x:v>1513</x:v>
      </x:c>
      <x:c r="AN140" s="88" t="s">
        <x:v>414</x:v>
      </x:c>
      <x:c r="AO140" s="88">
        <x:v>365</x:v>
      </x:c>
    </x:row>
    <x:row r="141">
      <x:c r="A141" s="88" t="s">
        <x:v>1514</x:v>
      </x:c>
      <x:c r="B141" s="88" t="s">
        <x:v>1515</x:v>
      </x:c>
      <x:c r="C141" s="88" t="s">
        <x:v>1516</x:v>
      </x:c>
      <x:c r="D141" s="88" t="s">
        <x:v>248</x:v>
      </x:c>
      <x:c r="E141" s="88" t="s">
        <x:v>342</x:v>
      </x:c>
      <x:c r="F141" s="89">
        <x:v>46085.289279826386</x:v>
      </x:c>
      <x:c r="G141" s="89">
        <x:v>46170.053599571758</x:v>
      </x:c>
      <x:c r="H141" s="89">
        <x:v>46086.080942326385</x:v>
      </x:c>
      <x:c r="I141" s="88" t="s">
        <x:v>1517</x:v>
      </x:c>
      <x:c r="J141" s="88" t="s">
        <x:v>1518</x:v>
      </x:c>
      <x:c r="K141" s="88" t="s">
        <x:v>266</x:v>
      </x:c>
      <x:c r="L141" s="88"/>
      <x:c r="M141" s="88" t="s">
        <x:v>824</x:v>
      </x:c>
      <x:c r="N141" s="88" t="s">
        <x:v>1519</x:v>
      </x:c>
      <x:c r="O141" s="88"/>
      <x:c r="P141" s="88" t="s">
        <x:v>1520</x:v>
      </x:c>
      <x:c r="Q141" s="88" t="s">
        <x:v>256</x:v>
      </x:c>
      <x:c r="R141" s="88" t="s">
        <x:v>363</x:v>
      </x:c>
      <x:c r="S141" s="88"/>
      <x:c r="T141" s="88" t="s">
        <x:v>259</x:v>
      </x:c>
      <x:c r="U141" s="88" t="s">
        <x:v>1516</x:v>
      </x:c>
      <x:c r="V141" s="89">
        <x:v>46086.111484398149</x:v>
      </x:c>
      <x:c r="W141" s="88" t="s">
        <x:v>1521</x:v>
      </x:c>
      <x:c r="X141" s="88" t="s">
        <x:v>259</x:v>
      </x:c>
      <x:c r="Y141" s="88" t="s">
        <x:v>827</x:v>
      </x:c>
      <x:c r="Z141" s="89">
        <x:v>46127.087778402776</x:v>
      </x:c>
      <x:c r="AA141" s="88" t="s">
        <x:v>1522</x:v>
      </x:c>
      <x:c r="AB141" s="88" t="s">
        <x:v>259</x:v>
      </x:c>
      <x:c r="AC141" s="88" t="s">
        <x:v>271</x:v>
      </x:c>
      <x:c r="AD141" s="89">
        <x:v>46156.16041300926</x:v>
      </x:c>
      <x:c r="AE141" s="88" t="s">
        <x:v>1523</x:v>
      </x:c>
      <x:c r="AF141" s="88" t="s">
        <x:v>259</x:v>
      </x:c>
      <x:c r="AG141" s="88" t="s">
        <x:v>387</x:v>
      </x:c>
      <x:c r="AH141" s="89">
        <x:v>46170.053599583334</x:v>
      </x:c>
      <x:c r="AI141" s="88" t="s">
        <x:v>1524</x:v>
      </x:c>
      <x:c r="AJ141" s="88" t="s">
        <x:v>1525</x:v>
      </x:c>
      <x:c r="AK141" s="88">
        <x:v>1709</x:v>
      </x:c>
      <x:c r="AL141" s="88" t="s">
        <x:v>185</x:v>
      </x:c>
      <x:c r="AM141" s="88" t="s">
        <x:v>1526</x:v>
      </x:c>
      <x:c r="AN141" s="88" t="s">
        <x:v>391</x:v>
      </x:c>
      <x:c r="AO141" s="88">
        <x:v>0</x:v>
      </x:c>
    </x:row>
    <x:row r="142">
      <x:c r="A142" s="88" t="s">
        <x:v>1527</x:v>
      </x:c>
      <x:c r="B142" s="88" t="s">
        <x:v>1528</x:v>
      </x:c>
      <x:c r="C142" s="88" t="s">
        <x:v>1081</x:v>
      </x:c>
      <x:c r="D142" s="88" t="s">
        <x:v>248</x:v>
      </x:c>
      <x:c r="E142" s="88" t="s">
        <x:v>342</x:v>
      </x:c>
      <x:c r="F142" s="89">
        <x:v>46086.615896180556</x:v>
      </x:c>
      <x:c r="G142" s="89">
        <x:v>46093.16797584491</x:v>
      </x:c>
      <x:c r="H142" s="89">
        <x:v>46086.615896180556</x:v>
      </x:c>
      <x:c r="I142" s="88" t="s">
        <x:v>1082</x:v>
      </x:c>
      <x:c r="J142" s="88" t="s">
        <x:v>1083</x:v>
      </x:c>
      <x:c r="K142" s="88" t="s">
        <x:v>380</x:v>
      </x:c>
      <x:c r="L142" s="88" t="s">
        <x:v>1529</x:v>
      </x:c>
      <x:c r="M142" s="88" t="s">
        <x:v>1084</x:v>
      </x:c>
      <x:c r="N142" s="88" t="s">
        <x:v>1530</x:v>
      </x:c>
      <x:c r="O142" s="88"/>
      <x:c r="P142" s="88" t="s">
        <x:v>1531</x:v>
      </x:c>
      <x:c r="Q142" s="88" t="s">
        <x:v>347</x:v>
      </x:c>
      <x:c r="R142" s="88" t="s">
        <x:v>1087</x:v>
      </x:c>
      <x:c r="S142" s="88"/>
      <x:c r="T142" s="88" t="s">
        <x:v>259</x:v>
      </x:c>
      <x:c r="U142" s="88" t="s">
        <x:v>1081</x:v>
      </x:c>
      <x:c r="V142" s="89">
        <x:v>46086.617367465275</x:v>
      </x:c>
      <x:c r="W142" s="88" t="s">
        <x:v>1532</x:v>
      </x:c>
      <x:c r="X142" s="88" t="s">
        <x:v>259</x:v>
      </x:c>
      <x:c r="Y142" s="88" t="s">
        <x:v>1084</x:v>
      </x:c>
      <x:c r="Z142" s="89">
        <x:v>46090.264049502315</x:v>
      </x:c>
      <x:c r="AA142" s="88" t="s">
        <x:v>1533</x:v>
      </x:c>
      <x:c r="AB142" s="88" t="s">
        <x:v>259</x:v>
      </x:c>
      <x:c r="AC142" s="88" t="s">
        <x:v>271</x:v>
      </x:c>
      <x:c r="AD142" s="89">
        <x:v>46091.248067581022</x:v>
      </x:c>
      <x:c r="AE142" s="88" t="s">
        <x:v>571</x:v>
      </x:c>
      <x:c r="AF142" s="88" t="s">
        <x:v>259</x:v>
      </x:c>
      <x:c r="AG142" s="88" t="s">
        <x:v>387</x:v>
      </x:c>
      <x:c r="AH142" s="89">
        <x:v>46093.167975856479</x:v>
      </x:c>
      <x:c r="AI142" s="88" t="s">
        <x:v>388</x:v>
      </x:c>
      <x:c r="AJ142" s="88" t="s">
        <x:v>1088</x:v>
      </x:c>
      <x:c r="AK142" s="88">
        <x:v>1726</x:v>
      </x:c>
      <x:c r="AL142" s="88" t="s">
        <x:v>193</x:v>
      </x:c>
      <x:c r="AM142" s="88" t="s">
        <x:v>1534</x:v>
      </x:c>
      <x:c r="AN142" s="88" t="s">
        <x:v>414</x:v>
      </x:c>
      <x:c r="AO142" s="88">
        <x:v>90</x:v>
      </x:c>
    </x:row>
    <x:row r="143">
      <x:c r="A143" s="88" t="s">
        <x:v>1535</x:v>
      </x:c>
      <x:c r="B143" s="88" t="s">
        <x:v>1536</x:v>
      </x:c>
      <x:c r="C143" s="88" t="s">
        <x:v>1219</x:v>
      </x:c>
      <x:c r="D143" s="88" t="s">
        <x:v>248</x:v>
      </x:c>
      <x:c r="E143" s="88" t="s">
        <x:v>342</x:v>
      </x:c>
      <x:c r="F143" s="89">
        <x:v>46090.095560092595</x:v>
      </x:c>
      <x:c r="G143" s="89">
        <x:v>46111.290794305554</x:v>
      </x:c>
      <x:c r="H143" s="89">
        <x:v>46090.095560092595</x:v>
      </x:c>
      <x:c r="I143" s="88" t="s">
        <x:v>1537</x:v>
      </x:c>
      <x:c r="J143" s="88" t="s">
        <x:v>1538</x:v>
      </x:c>
      <x:c r="K143" s="88" t="s">
        <x:v>266</x:v>
      </x:c>
      <x:c r="L143" s="88"/>
      <x:c r="M143" s="88" t="s">
        <x:v>482</x:v>
      </x:c>
      <x:c r="N143" s="88"/>
      <x:c r="O143" s="88"/>
      <x:c r="P143" s="88" t="s">
        <x:v>680</x:v>
      </x:c>
      <x:c r="Q143" s="88" t="s">
        <x:v>256</x:v>
      </x:c>
      <x:c r="R143" s="88" t="s">
        <x:v>363</x:v>
      </x:c>
      <x:c r="S143" s="88"/>
      <x:c r="T143" s="88" t="s">
        <x:v>259</x:v>
      </x:c>
      <x:c r="U143" s="88" t="s">
        <x:v>1219</x:v>
      </x:c>
      <x:c r="V143" s="89">
        <x:v>46090.097137164354</x:v>
      </x:c>
      <x:c r="W143" s="88" t="s">
        <x:v>680</x:v>
      </x:c>
      <x:c r="X143" s="88" t="s">
        <x:v>259</x:v>
      </x:c>
      <x:c r="Y143" s="88" t="s">
        <x:v>482</x:v>
      </x:c>
      <x:c r="Z143" s="89">
        <x:v>46099.221968020836</x:v>
      </x:c>
      <x:c r="AA143" s="88" t="s">
        <x:v>680</x:v>
      </x:c>
      <x:c r="AB143" s="88" t="s">
        <x:v>259</x:v>
      </x:c>
      <x:c r="AC143" s="88" t="s">
        <x:v>271</x:v>
      </x:c>
      <x:c r="AD143" s="89">
        <x:v>46107.146959976853</x:v>
      </x:c>
      <x:c r="AE143" s="88" t="s">
        <x:v>1539</x:v>
      </x:c>
      <x:c r="AF143" s="88" t="s">
        <x:v>259</x:v>
      </x:c>
      <x:c r="AG143" s="88" t="s">
        <x:v>271</x:v>
      </x:c>
      <x:c r="AH143" s="89">
        <x:v>46111.29079431713</x:v>
      </x:c>
      <x:c r="AI143" s="88" t="s">
        <x:v>353</x:v>
      </x:c>
      <x:c r="AJ143" s="88" t="s">
        <x:v>1540</x:v>
      </x:c>
      <x:c r="AK143" s="88">
        <x:v>3579</x:v>
      </x:c>
      <x:c r="AL143" s="88" t="s">
        <x:v>185</x:v>
      </x:c>
      <x:c r="AM143" s="88" t="s">
        <x:v>1541</x:v>
      </x:c>
      <x:c r="AN143" s="88" t="s">
        <x:v>369</x:v>
      </x:c>
      <x:c r="AO143" s="88">
        <x:v>0</x:v>
      </x:c>
    </x:row>
    <x:row r="144">
      <x:c r="A144" s="88" t="s">
        <x:v>1542</x:v>
      </x:c>
      <x:c r="B144" s="88" t="s">
        <x:v>1543</x:v>
      </x:c>
      <x:c r="C144" s="88" t="s">
        <x:v>663</x:v>
      </x:c>
      <x:c r="D144" s="88" t="s">
        <x:v>248</x:v>
      </x:c>
      <x:c r="E144" s="88" t="s">
        <x:v>342</x:v>
      </x:c>
      <x:c r="F144" s="89">
        <x:v>46090.312700555558</x:v>
      </x:c>
      <x:c r="G144" s="89">
        <x:v>46094.34097380787</x:v>
      </x:c>
      <x:c r="H144" s="89">
        <x:v>46090.312700555558</x:v>
      </x:c>
      <x:c r="I144" s="88" t="s">
        <x:v>1544</x:v>
      </x:c>
      <x:c r="J144" s="88" t="s">
        <x:v>1545</x:v>
      </x:c>
      <x:c r="K144" s="88" t="s">
        <x:v>380</x:v>
      </x:c>
      <x:c r="L144" s="88" t="s">
        <x:v>1546</x:v>
      </x:c>
      <x:c r="M144" s="88" t="s">
        <x:v>667</x:v>
      </x:c>
      <x:c r="N144" s="88" t="s">
        <x:v>1547</x:v>
      </x:c>
      <x:c r="O144" s="88"/>
      <x:c r="P144" s="88" t="s">
        <x:v>1548</x:v>
      </x:c>
      <x:c r="Q144" s="88" t="s">
        <x:v>323</x:v>
      </x:c>
      <x:c r="R144" s="88" t="s">
        <x:v>283</x:v>
      </x:c>
      <x:c r="S144" s="88"/>
      <x:c r="T144" s="88" t="s">
        <x:v>259</x:v>
      </x:c>
      <x:c r="U144" s="88" t="s">
        <x:v>663</x:v>
      </x:c>
      <x:c r="V144" s="89">
        <x:v>46090.330725439817</x:v>
      </x:c>
      <x:c r="W144" s="88" t="s">
        <x:v>1549</x:v>
      </x:c>
      <x:c r="X144" s="88" t="s">
        <x:v>259</x:v>
      </x:c>
      <x:c r="Y144" s="88" t="s">
        <x:v>616</x:v>
      </x:c>
      <x:c r="Z144" s="89">
        <x:v>46093.05255792824</x:v>
      </x:c>
      <x:c r="AA144" s="88" t="s">
        <x:v>815</x:v>
      </x:c>
      <x:c r="AB144" s="88" t="s">
        <x:v>259</x:v>
      </x:c>
      <x:c r="AC144" s="88" t="s">
        <x:v>271</x:v>
      </x:c>
      <x:c r="AD144" s="89">
        <x:v>46093.288659189813</x:v>
      </x:c>
      <x:c r="AE144" s="88" t="s">
        <x:v>1550</x:v>
      </x:c>
      <x:c r="AF144" s="88" t="s">
        <x:v>259</x:v>
      </x:c>
      <x:c r="AG144" s="88" t="s">
        <x:v>271</x:v>
      </x:c>
      <x:c r="AH144" s="89">
        <x:v>46094.34097380787</x:v>
      </x:c>
      <x:c r="AI144" s="88" t="s">
        <x:v>353</x:v>
      </x:c>
      <x:c r="AJ144" s="88" t="s">
        <x:v>1551</x:v>
      </x:c>
      <x:c r="AK144" s="88" t="s">
        <x:v>1552</x:v>
      </x:c>
      <x:c r="AL144" s="88" t="s">
        <x:v>185</x:v>
      </x:c>
      <x:c r="AM144" s="88" t="s">
        <x:v>1553</x:v>
      </x:c>
      <x:c r="AN144" s="88" t="s">
        <x:v>391</x:v>
      </x:c>
      <x:c r="AO144" s="88">
        <x:v>0</x:v>
      </x:c>
    </x:row>
    <x:row r="145">
      <x:c r="A145" s="88" t="s">
        <x:v>1554</x:v>
      </x:c>
      <x:c r="B145" s="88" t="s">
        <x:v>1555</x:v>
      </x:c>
      <x:c r="C145" s="88" t="s">
        <x:v>1556</x:v>
      </x:c>
      <x:c r="D145" s="88" t="s">
        <x:v>248</x:v>
      </x:c>
      <x:c r="E145" s="88" t="s">
        <x:v>278</x:v>
      </x:c>
      <x:c r="F145" s="89">
        <x:v>46091.413993541668</x:v>
      </x:c>
      <x:c r="G145" s="89">
        <x:v>46091.415581516201</x:v>
      </x:c>
      <x:c r="H145" s="89">
        <x:v>46091.413993541668</x:v>
      </x:c>
      <x:c r="I145" s="88" t="s">
        <x:v>1557</x:v>
      </x:c>
      <x:c r="J145" s="88" t="s">
        <x:v>1558</x:v>
      </x:c>
      <x:c r="K145" s="88" t="s">
        <x:v>266</x:v>
      </x:c>
      <x:c r="L145" s="88"/>
      <x:c r="M145" s="88" t="s">
        <x:v>1559</x:v>
      </x:c>
      <x:c r="N145" s="88" t="s">
        <x:v>1560</x:v>
      </x:c>
      <x:c r="O145" s="88"/>
      <x:c r="P145" s="88" t="s">
        <x:v>1561</x:v>
      </x:c>
      <x:c r="Q145" s="88" t="s">
        <x:v>323</x:v>
      </x:c>
      <x:c r="R145" s="88" t="s">
        <x:v>283</x:v>
      </x:c>
      <x:c r="S145" s="88"/>
      <x:c r="T145" s="88" t="s">
        <x:v>249</x:v>
      </x:c>
      <x:c r="U145" s="88" t="s">
        <x:v>1556</x:v>
      </x:c>
      <x:c r="V145" s="89">
        <x:v>46091.415581527777</x:v>
      </x:c>
      <x:c r="W145" s="88"/>
      <x:c r="X145" s="88"/>
      <x:c r="Y145" s="88" t="s">
        <x:v>1562</x:v>
      </x:c>
      <x:c r="Z145" s="89"/>
      <x:c r="AA145" s="88"/>
      <x:c r="AB145" s="88"/>
      <x:c r="AC145" s="88" t="s">
        <x:v>273</x:v>
      </x:c>
      <x:c r="AD145" s="89"/>
      <x:c r="AE145" s="88"/>
      <x:c r="AF145" s="88"/>
      <x:c r="AG145" s="88" t="s">
        <x:v>161</x:v>
      </x:c>
      <x:c r="AH145" s="89"/>
      <x:c r="AI145" s="88"/>
      <x:c r="AJ145" s="88" t="s">
        <x:v>1563</x:v>
      </x:c>
      <x:c r="AK145" s="88">
        <x:v>2173</x:v>
      </x:c>
      <x:c r="AL145" s="88"/>
      <x:c r="AM145" s="88"/>
      <x:c r="AN145" s="88" t="s">
        <x:v>391</x:v>
      </x:c>
      <x:c r="AO145" s="88">
        <x:v>0</x:v>
      </x:c>
    </x:row>
    <x:row r="146">
      <x:c r="A146" s="88" t="s">
        <x:v>1564</x:v>
      </x:c>
      <x:c r="B146" s="88" t="s">
        <x:v>1565</x:v>
      </x:c>
      <x:c r="C146" s="88" t="s">
        <x:v>1566</x:v>
      </x:c>
      <x:c r="D146" s="88" t="s">
        <x:v>248</x:v>
      </x:c>
      <x:c r="E146" s="88" t="s">
        <x:v>278</x:v>
      </x:c>
      <x:c r="F146" s="89">
        <x:v>46092.341726469909</x:v>
      </x:c>
      <x:c r="G146" s="89">
        <x:v>46092.360499768518</x:v>
      </x:c>
      <x:c r="H146" s="89">
        <x:v>46092.341726481478</x:v>
      </x:c>
      <x:c r="I146" s="88" t="s">
        <x:v>1220</x:v>
      </x:c>
      <x:c r="J146" s="88" t="s">
        <x:v>1221</x:v>
      </x:c>
      <x:c r="K146" s="88" t="s">
        <x:v>266</x:v>
      </x:c>
      <x:c r="L146" s="88"/>
      <x:c r="M146" s="88" t="s">
        <x:v>1567</x:v>
      </x:c>
      <x:c r="N146" s="88" t="s">
        <x:v>1568</x:v>
      </x:c>
      <x:c r="O146" s="88"/>
      <x:c r="P146" s="88" t="s">
        <x:v>1569</x:v>
      </x:c>
      <x:c r="Q146" s="88" t="s">
        <x:v>256</x:v>
      </x:c>
      <x:c r="R146" s="88" t="s">
        <x:v>283</x:v>
      </x:c>
      <x:c r="S146" s="88"/>
      <x:c r="T146" s="88" t="s">
        <x:v>249</x:v>
      </x:c>
      <x:c r="U146" s="88" t="s">
        <x:v>1566</x:v>
      </x:c>
      <x:c r="V146" s="89">
        <x:v>46092.360499768518</x:v>
      </x:c>
      <x:c r="W146" s="88"/>
      <x:c r="X146" s="88"/>
      <x:c r="Y146" s="88" t="s">
        <x:v>1567</x:v>
      </x:c>
      <x:c r="Z146" s="89"/>
      <x:c r="AA146" s="88"/>
      <x:c r="AB146" s="88"/>
      <x:c r="AC146" s="88" t="s">
        <x:v>273</x:v>
      </x:c>
      <x:c r="AD146" s="89"/>
      <x:c r="AE146" s="88"/>
      <x:c r="AF146" s="88"/>
      <x:c r="AG146" s="88" t="s">
        <x:v>161</x:v>
      </x:c>
      <x:c r="AH146" s="89"/>
      <x:c r="AI146" s="88"/>
      <x:c r="AJ146" s="88" t="s">
        <x:v>1224</x:v>
      </x:c>
      <x:c r="AK146" s="88" t="s">
        <x:v>1225</x:v>
      </x:c>
      <x:c r="AL146" s="88"/>
      <x:c r="AM146" s="88"/>
      <x:c r="AN146" s="88" t="s">
        <x:v>369</x:v>
      </x:c>
      <x:c r="AO146" s="88">
        <x:v>0</x:v>
      </x:c>
    </x:row>
    <x:row r="147">
      <x:c r="A147" s="88" t="s">
        <x:v>1570</x:v>
      </x:c>
      <x:c r="B147" s="88" t="s">
        <x:v>1571</x:v>
      </x:c>
      <x:c r="C147" s="88" t="s">
        <x:v>1572</x:v>
      </x:c>
      <x:c r="D147" s="88" t="s">
        <x:v>248</x:v>
      </x:c>
      <x:c r="E147" s="88" t="s">
        <x:v>342</x:v>
      </x:c>
      <x:c r="F147" s="89">
        <x:v>46097.226677152779</x:v>
      </x:c>
      <x:c r="G147" s="89">
        <x:v>46114.378272256945</x:v>
      </x:c>
      <x:c r="H147" s="89">
        <x:v>46099.357365381948</x:v>
      </x:c>
      <x:c r="I147" s="88" t="s">
        <x:v>1573</x:v>
      </x:c>
      <x:c r="J147" s="88" t="s">
        <x:v>1574</x:v>
      </x:c>
      <x:c r="K147" s="88" t="s">
        <x:v>380</x:v>
      </x:c>
      <x:c r="L147" s="88" t="s">
        <x:v>1575</x:v>
      </x:c>
      <x:c r="M147" s="88" t="s">
        <x:v>1576</x:v>
      </x:c>
      <x:c r="N147" s="88" t="s">
        <x:v>1577</x:v>
      </x:c>
      <x:c r="O147" s="88"/>
      <x:c r="P147" s="88" t="s">
        <x:v>1578</x:v>
      </x:c>
      <x:c r="Q147" s="88" t="s">
        <x:v>269</x:v>
      </x:c>
      <x:c r="R147" s="88" t="s">
        <x:v>257</x:v>
      </x:c>
      <x:c r="S147" s="88"/>
      <x:c r="T147" s="88" t="s">
        <x:v>259</x:v>
      </x:c>
      <x:c r="U147" s="88" t="s">
        <x:v>1572</x:v>
      </x:c>
      <x:c r="V147" s="89">
        <x:v>46099.369932048612</x:v>
      </x:c>
      <x:c r="W147" s="88" t="s">
        <x:v>1579</x:v>
      </x:c>
      <x:c r="X147" s="88" t="s">
        <x:v>259</x:v>
      </x:c>
      <x:c r="Y147" s="88" t="s">
        <x:v>1580</x:v>
      </x:c>
      <x:c r="Z147" s="89">
        <x:v>46112.138374166665</x:v>
      </x:c>
      <x:c r="AA147" s="88" t="s">
        <x:v>738</x:v>
      </x:c>
      <x:c r="AB147" s="88" t="s">
        <x:v>259</x:v>
      </x:c>
      <x:c r="AC147" s="88" t="s">
        <x:v>271</x:v>
      </x:c>
      <x:c r="AD147" s="89">
        <x:v>46112.279189189816</x:v>
      </x:c>
      <x:c r="AE147" s="88" t="s">
        <x:v>1581</x:v>
      </x:c>
      <x:c r="AF147" s="88" t="s">
        <x:v>259</x:v>
      </x:c>
      <x:c r="AG147" s="88" t="s">
        <x:v>387</x:v>
      </x:c>
      <x:c r="AH147" s="89">
        <x:v>46114.37827228009</x:v>
      </x:c>
      <x:c r="AI147" s="88" t="s">
        <x:v>388</x:v>
      </x:c>
      <x:c r="AJ147" s="88" t="s">
        <x:v>1582</x:v>
      </x:c>
      <x:c r="AK147" s="88" t="s">
        <x:v>1583</x:v>
      </x:c>
      <x:c r="AL147" s="88" t="s">
        <x:v>185</x:v>
      </x:c>
      <x:c r="AM147" s="88" t="s">
        <x:v>1584</x:v>
      </x:c>
      <x:c r="AN147" s="88" t="s">
        <x:v>414</x:v>
      </x:c>
      <x:c r="AO147" s="88">
        <x:v>365</x:v>
      </x:c>
    </x:row>
    <x:row r="148">
      <x:c r="A148" s="88" t="s">
        <x:v>1585</x:v>
      </x:c>
      <x:c r="B148" s="88" t="s">
        <x:v>1586</x:v>
      </x:c>
      <x:c r="C148" s="88" t="s">
        <x:v>1391</x:v>
      </x:c>
      <x:c r="D148" s="88" t="s">
        <x:v>248</x:v>
      </x:c>
      <x:c r="E148" s="88" t="s">
        <x:v>342</x:v>
      </x:c>
      <x:c r="F148" s="89">
        <x:v>46097.325025868056</x:v>
      </x:c>
      <x:c r="G148" s="89">
        <x:v>46111.132495891201</x:v>
      </x:c>
      <x:c r="H148" s="89">
        <x:v>46097.325025868056</x:v>
      </x:c>
      <x:c r="I148" s="88" t="s">
        <x:v>1587</x:v>
      </x:c>
      <x:c r="J148" s="88" t="s">
        <x:v>1588</x:v>
      </x:c>
      <x:c r="K148" s="88" t="s">
        <x:v>266</x:v>
      </x:c>
      <x:c r="L148" s="88"/>
      <x:c r="M148" s="88" t="s">
        <x:v>482</x:v>
      </x:c>
      <x:c r="N148" s="88"/>
      <x:c r="O148" s="88"/>
      <x:c r="P148" s="88" t="s">
        <x:v>1589</x:v>
      </x:c>
      <x:c r="Q148" s="88" t="s">
        <x:v>256</x:v>
      </x:c>
      <x:c r="R148" s="88" t="s">
        <x:v>363</x:v>
      </x:c>
      <x:c r="S148" s="88"/>
      <x:c r="T148" s="88" t="s">
        <x:v>259</x:v>
      </x:c>
      <x:c r="U148" s="88" t="s">
        <x:v>1391</x:v>
      </x:c>
      <x:c r="V148" s="89">
        <x:v>46097.325545428241</x:v>
      </x:c>
      <x:c r="W148" s="88" t="s">
        <x:v>1590</x:v>
      </x:c>
      <x:c r="X148" s="88" t="s">
        <x:v>259</x:v>
      </x:c>
      <x:c r="Y148" s="88" t="s">
        <x:v>482</x:v>
      </x:c>
      <x:c r="Z148" s="89">
        <x:v>46099.221314722221</x:v>
      </x:c>
      <x:c r="AA148" s="88" t="s">
        <x:v>1589</x:v>
      </x:c>
      <x:c r="AB148" s="88" t="s">
        <x:v>259</x:v>
      </x:c>
      <x:c r="AC148" s="88" t="s">
        <x:v>271</x:v>
      </x:c>
      <x:c r="AD148" s="89">
        <x:v>46107.144217638888</x:v>
      </x:c>
      <x:c r="AE148" s="88" t="s">
        <x:v>1591</x:v>
      </x:c>
      <x:c r="AF148" s="88" t="s">
        <x:v>259</x:v>
      </x:c>
      <x:c r="AG148" s="88" t="s">
        <x:v>271</x:v>
      </x:c>
      <x:c r="AH148" s="89">
        <x:v>46111.132495902777</x:v>
      </x:c>
      <x:c r="AI148" s="88" t="s">
        <x:v>353</x:v>
      </x:c>
      <x:c r="AJ148" s="88" t="s">
        <x:v>1592</x:v>
      </x:c>
      <x:c r="AK148" s="88">
        <x:v>2804</x:v>
      </x:c>
      <x:c r="AL148" s="88" t="s">
        <x:v>162</x:v>
      </x:c>
      <x:c r="AM148" s="88" t="s">
        <x:v>1593</x:v>
      </x:c>
      <x:c r="AN148" s="88" t="s">
        <x:v>369</x:v>
      </x:c>
      <x:c r="AO148" s="88">
        <x:v>0</x:v>
      </x:c>
    </x:row>
    <x:row r="149">
      <x:c r="A149" s="88" t="s">
        <x:v>1594</x:v>
      </x:c>
      <x:c r="B149" s="88" t="s">
        <x:v>1595</x:v>
      </x:c>
      <x:c r="C149" s="88" t="s">
        <x:v>302</x:v>
      </x:c>
      <x:c r="D149" s="88" t="s">
        <x:v>248</x:v>
      </x:c>
      <x:c r="E149" s="88" t="s">
        <x:v>342</x:v>
      </x:c>
      <x:c r="F149" s="89">
        <x:v>46098.104137256945</x:v>
      </x:c>
      <x:c r="G149" s="89">
        <x:v>46136.780996180554</x:v>
      </x:c>
      <x:c r="H149" s="89">
        <x:v>46098.129047870367</x:v>
      </x:c>
      <x:c r="I149" s="88" t="s">
        <x:v>1596</x:v>
      </x:c>
      <x:c r="J149" s="88" t="s">
        <x:v>1597</x:v>
      </x:c>
      <x:c r="K149" s="88" t="s">
        <x:v>380</x:v>
      </x:c>
      <x:c r="L149" s="88" t="s">
        <x:v>1598</x:v>
      </x:c>
      <x:c r="M149" s="88" t="s">
        <x:v>1055</x:v>
      </x:c>
      <x:c r="N149" s="88" t="s">
        <x:v>1599</x:v>
      </x:c>
      <x:c r="O149" s="88"/>
      <x:c r="P149" s="88" t="s">
        <x:v>1600</x:v>
      </x:c>
      <x:c r="Q149" s="88" t="s">
        <x:v>347</x:v>
      </x:c>
      <x:c r="R149" s="88" t="s">
        <x:v>283</x:v>
      </x:c>
      <x:c r="S149" s="88"/>
      <x:c r="T149" s="88" t="s">
        <x:v>259</x:v>
      </x:c>
      <x:c r="U149" s="88" t="s">
        <x:v>302</x:v>
      </x:c>
      <x:c r="V149" s="89">
        <x:v>46098.14605758102</x:v>
      </x:c>
      <x:c r="W149" s="88" t="s">
        <x:v>1601</x:v>
      </x:c>
      <x:c r="X149" s="88" t="s">
        <x:v>259</x:v>
      </x:c>
      <x:c r="Y149" s="88" t="s">
        <x:v>1059</x:v>
      </x:c>
      <x:c r="Z149" s="89">
        <x:v>46114.09911289352</x:v>
      </x:c>
      <x:c r="AA149" s="88" t="s">
        <x:v>1602</x:v>
      </x:c>
      <x:c r="AB149" s="88" t="s">
        <x:v>259</x:v>
      </x:c>
      <x:c r="AC149" s="88" t="s">
        <x:v>271</x:v>
      </x:c>
      <x:c r="AD149" s="89">
        <x:v>46118.084812777779</x:v>
      </x:c>
      <x:c r="AE149" s="88" t="s">
        <x:v>1603</x:v>
      </x:c>
      <x:c r="AF149" s="88" t="s">
        <x:v>259</x:v>
      </x:c>
      <x:c r="AG149" s="88" t="s">
        <x:v>387</x:v>
      </x:c>
      <x:c r="AH149" s="89">
        <x:v>46136.78099619213</x:v>
      </x:c>
      <x:c r="AI149" s="88" t="s">
        <x:v>388</x:v>
      </x:c>
      <x:c r="AJ149" s="88" t="s">
        <x:v>1604</x:v>
      </x:c>
      <x:c r="AK149" s="88" t="s">
        <x:v>1605</x:v>
      </x:c>
      <x:c r="AL149" s="88" t="s">
        <x:v>185</x:v>
      </x:c>
      <x:c r="AM149" s="88" t="s">
        <x:v>1606</x:v>
      </x:c>
      <x:c r="AN149" s="88" t="s">
        <x:v>414</x:v>
      </x:c>
      <x:c r="AO149" s="88"/>
    </x:row>
    <x:row r="150">
      <x:c r="A150" s="88" t="s">
        <x:v>1607</x:v>
      </x:c>
      <x:c r="B150" s="88" t="s">
        <x:v>1608</x:v>
      </x:c>
      <x:c r="C150" s="88" t="s">
        <x:v>1609</x:v>
      </x:c>
      <x:c r="D150" s="88" t="s">
        <x:v>248</x:v>
      </x:c>
      <x:c r="E150" s="88" t="s">
        <x:v>342</x:v>
      </x:c>
      <x:c r="F150" s="89">
        <x:v>46099.327759108797</x:v>
      </x:c>
      <x:c r="G150" s="89">
        <x:v>46108.002864155096</x:v>
      </x:c>
      <x:c r="H150" s="89">
        <x:v>46099.327759108797</x:v>
      </x:c>
      <x:c r="I150" s="88" t="s">
        <x:v>1610</x:v>
      </x:c>
      <x:c r="J150" s="88" t="s">
        <x:v>1611</x:v>
      </x:c>
      <x:c r="K150" s="88" t="s">
        <x:v>266</x:v>
      </x:c>
      <x:c r="L150" s="88"/>
      <x:c r="M150" s="88" t="s">
        <x:v>1612</x:v>
      </x:c>
      <x:c r="N150" s="88"/>
      <x:c r="O150" s="88"/>
      <x:c r="P150" s="88" t="s">
        <x:v>1613</x:v>
      </x:c>
      <x:c r="Q150" s="88" t="s">
        <x:v>970</x:v>
      </x:c>
      <x:c r="R150" s="88" t="s">
        <x:v>257</x:v>
      </x:c>
      <x:c r="S150" s="88"/>
      <x:c r="T150" s="88" t="s">
        <x:v>259</x:v>
      </x:c>
      <x:c r="U150" s="88" t="s">
        <x:v>1609</x:v>
      </x:c>
      <x:c r="V150" s="89">
        <x:v>46099.329696678244</x:v>
      </x:c>
      <x:c r="W150" s="88" t="s">
        <x:v>1614</x:v>
      </x:c>
      <x:c r="X150" s="88" t="s">
        <x:v>259</x:v>
      </x:c>
      <x:c r="Y150" s="88" t="s">
        <x:v>1615</x:v>
      </x:c>
      <x:c r="Z150" s="89">
        <x:v>46099.405028240741</x:v>
      </x:c>
      <x:c r="AA150" s="88" t="s">
        <x:v>1616</x:v>
      </x:c>
      <x:c r="AB150" s="88" t="s">
        <x:v>259</x:v>
      </x:c>
      <x:c r="AC150" s="88" t="s">
        <x:v>271</x:v>
      </x:c>
      <x:c r="AD150" s="89">
        <x:v>46107.141470752314</x:v>
      </x:c>
      <x:c r="AE150" s="88" t="s">
        <x:v>1617</x:v>
      </x:c>
      <x:c r="AF150" s="88" t="s">
        <x:v>259</x:v>
      </x:c>
      <x:c r="AG150" s="88" t="s">
        <x:v>387</x:v>
      </x:c>
      <x:c r="AH150" s="89">
        <x:v>46108.002864166665</x:v>
      </x:c>
      <x:c r="AI150" s="88" t="s">
        <x:v>388</x:v>
      </x:c>
      <x:c r="AJ150" s="88" t="s">
        <x:v>1618</x:v>
      </x:c>
      <x:c r="AK150" s="88" t="s">
        <x:v>1619</x:v>
      </x:c>
      <x:c r="AL150" s="88" t="s">
        <x:v>162</x:v>
      </x:c>
      <x:c r="AM150" s="88" t="s">
        <x:v>1620</x:v>
      </x:c>
      <x:c r="AN150" s="88" t="s">
        <x:v>391</x:v>
      </x:c>
      <x:c r="AO150" s="88">
        <x:v>0</x:v>
      </x:c>
    </x:row>
    <x:row r="151">
      <x:c r="A151" s="88" t="s">
        <x:v>1621</x:v>
      </x:c>
      <x:c r="B151" s="88" t="s">
        <x:v>1622</x:v>
      </x:c>
      <x:c r="C151" s="88" t="s">
        <x:v>1623</x:v>
      </x:c>
      <x:c r="D151" s="88" t="s">
        <x:v>248</x:v>
      </x:c>
      <x:c r="E151" s="88" t="s">
        <x:v>342</x:v>
      </x:c>
      <x:c r="F151" s="89">
        <x:v>46107.057209525461</x:v>
      </x:c>
      <x:c r="G151" s="89">
        <x:v>46112.111678472225</x:v>
      </x:c>
      <x:c r="H151" s="89">
        <x:v>46107.057209525461</x:v>
      </x:c>
      <x:c r="I151" s="88" t="s">
        <x:v>1624</x:v>
      </x:c>
      <x:c r="J151" s="88" t="s">
        <x:v>1625</x:v>
      </x:c>
      <x:c r="K151" s="88" t="s">
        <x:v>266</x:v>
      </x:c>
      <x:c r="L151" s="88"/>
      <x:c r="M151" s="88" t="s">
        <x:v>482</x:v>
      </x:c>
      <x:c r="N151" s="88"/>
      <x:c r="O151" s="88"/>
      <x:c r="P151" s="88" t="s">
        <x:v>680</x:v>
      </x:c>
      <x:c r="Q151" s="88" t="s">
        <x:v>256</x:v>
      </x:c>
      <x:c r="R151" s="88" t="s">
        <x:v>363</x:v>
      </x:c>
      <x:c r="S151" s="88"/>
      <x:c r="T151" s="88" t="s">
        <x:v>259</x:v>
      </x:c>
      <x:c r="U151" s="88" t="s">
        <x:v>1623</x:v>
      </x:c>
      <x:c r="V151" s="89">
        <x:v>46107.05935974537</x:v>
      </x:c>
      <x:c r="W151" s="88" t="s">
        <x:v>1626</x:v>
      </x:c>
      <x:c r="X151" s="88" t="s">
        <x:v>259</x:v>
      </x:c>
      <x:c r="Y151" s="88" t="s">
        <x:v>482</x:v>
      </x:c>
      <x:c r="Z151" s="89">
        <x:v>46111.069004826386</x:v>
      </x:c>
      <x:c r="AA151" s="88" t="s">
        <x:v>680</x:v>
      </x:c>
      <x:c r="AB151" s="88" t="s">
        <x:v>259</x:v>
      </x:c>
      <x:c r="AC151" s="88" t="s">
        <x:v>271</x:v>
      </x:c>
      <x:c r="AD151" s="89">
        <x:v>46111.084743703701</x:v>
      </x:c>
      <x:c r="AE151" s="88" t="s">
        <x:v>1627</x:v>
      </x:c>
      <x:c r="AF151" s="88" t="s">
        <x:v>259</x:v>
      </x:c>
      <x:c r="AG151" s="88" t="s">
        <x:v>271</x:v>
      </x:c>
      <x:c r="AH151" s="89">
        <x:v>46112.111678483794</x:v>
      </x:c>
      <x:c r="AI151" s="88" t="s">
        <x:v>353</x:v>
      </x:c>
      <x:c r="AJ151" s="88" t="s">
        <x:v>1628</x:v>
      </x:c>
      <x:c r="AK151" s="88">
        <x:v>3159</x:v>
      </x:c>
      <x:c r="AL151" s="88" t="s">
        <x:v>185</x:v>
      </x:c>
      <x:c r="AM151" s="88" t="s">
        <x:v>1629</x:v>
      </x:c>
      <x:c r="AN151" s="88" t="s">
        <x:v>369</x:v>
      </x:c>
      <x:c r="AO151" s="88">
        <x:v>0</x:v>
      </x:c>
    </x:row>
    <x:row r="152">
      <x:c r="A152" s="88" t="s">
        <x:v>1630</x:v>
      </x:c>
      <x:c r="B152" s="88" t="s">
        <x:v>1631</x:v>
      </x:c>
      <x:c r="C152" s="88" t="s">
        <x:v>1632</x:v>
      </x:c>
      <x:c r="D152" s="88" t="s">
        <x:v>248</x:v>
      </x:c>
      <x:c r="E152" s="88" t="s">
        <x:v>342</x:v>
      </x:c>
      <x:c r="F152" s="89">
        <x:v>46107.083234606478</x:v>
      </x:c>
      <x:c r="G152" s="89">
        <x:v>46112.345700520833</x:v>
      </x:c>
      <x:c r="H152" s="89">
        <x:v>46107.083234606478</x:v>
      </x:c>
      <x:c r="I152" s="88" t="s">
        <x:v>1633</x:v>
      </x:c>
      <x:c r="J152" s="88" t="s">
        <x:v>1634</x:v>
      </x:c>
      <x:c r="K152" s="88" t="s">
        <x:v>266</x:v>
      </x:c>
      <x:c r="L152" s="88"/>
      <x:c r="M152" s="88" t="s">
        <x:v>1635</x:v>
      </x:c>
      <x:c r="N152" s="88"/>
      <x:c r="O152" s="88"/>
      <x:c r="P152" s="88" t="s">
        <x:v>1636</x:v>
      </x:c>
      <x:c r="Q152" s="88" t="s">
        <x:v>256</x:v>
      </x:c>
      <x:c r="R152" s="88" t="s">
        <x:v>348</x:v>
      </x:c>
      <x:c r="S152" s="88"/>
      <x:c r="T152" s="88" t="s">
        <x:v>259</x:v>
      </x:c>
      <x:c r="U152" s="88" t="s">
        <x:v>1632</x:v>
      </x:c>
      <x:c r="V152" s="89">
        <x:v>46107.092730497687</x:v>
      </x:c>
      <x:c r="W152" s="88" t="s">
        <x:v>1637</x:v>
      </x:c>
      <x:c r="X152" s="88" t="s">
        <x:v>259</x:v>
      </x:c>
      <x:c r="Y152" s="88" t="s">
        <x:v>1638</x:v>
      </x:c>
      <x:c r="Z152" s="89">
        <x:v>46111.319469386573</x:v>
      </x:c>
      <x:c r="AA152" s="88" t="s">
        <x:v>1480</x:v>
      </x:c>
      <x:c r="AB152" s="88" t="s">
        <x:v>259</x:v>
      </x:c>
      <x:c r="AC152" s="88" t="s">
        <x:v>271</x:v>
      </x:c>
      <x:c r="AD152" s="89">
        <x:v>46111.380117581015</x:v>
      </x:c>
      <x:c r="AE152" s="88" t="s">
        <x:v>1639</x:v>
      </x:c>
      <x:c r="AF152" s="88" t="s">
        <x:v>259</x:v>
      </x:c>
      <x:c r="AG152" s="88" t="s">
        <x:v>387</x:v>
      </x:c>
      <x:c r="AH152" s="89">
        <x:v>46112.345700520833</x:v>
      </x:c>
      <x:c r="AI152" s="88" t="s">
        <x:v>388</x:v>
      </x:c>
      <x:c r="AJ152" s="88" t="s">
        <x:v>1640</x:v>
      </x:c>
      <x:c r="AK152" s="88" t="s">
        <x:v>1641</x:v>
      </x:c>
      <x:c r="AL152" s="88" t="s">
        <x:v>185</x:v>
      </x:c>
      <x:c r="AM152" s="88" t="s">
        <x:v>1642</x:v>
      </x:c>
      <x:c r="AN152" s="88" t="s">
        <x:v>369</x:v>
      </x:c>
      <x:c r="AO152" s="88">
        <x:v>0</x:v>
      </x:c>
    </x:row>
    <x:row r="153">
      <x:c r="A153" s="88" t="s">
        <x:v>1643</x:v>
      </x:c>
      <x:c r="B153" s="88" t="s">
        <x:v>1644</x:v>
      </x:c>
      <x:c r="C153" s="88" t="s">
        <x:v>1645</x:v>
      </x:c>
      <x:c r="D153" s="88" t="s">
        <x:v>248</x:v>
      </x:c>
      <x:c r="E153" s="88" t="s">
        <x:v>342</x:v>
      </x:c>
      <x:c r="F153" s="89">
        <x:v>46108.111356226851</x:v>
      </x:c>
      <x:c r="G153" s="89">
        <x:v>46112.090667743054</x:v>
      </x:c>
      <x:c r="H153" s="89">
        <x:v>46108.111356226851</x:v>
      </x:c>
      <x:c r="I153" s="88" t="s">
        <x:v>1646</x:v>
      </x:c>
      <x:c r="J153" s="88" t="s">
        <x:v>1647</x:v>
      </x:c>
      <x:c r="K153" s="88" t="s">
        <x:v>266</x:v>
      </x:c>
      <x:c r="L153" s="88"/>
      <x:c r="M153" s="88" t="s">
        <x:v>1164</x:v>
      </x:c>
      <x:c r="N153" s="88"/>
      <x:c r="O153" s="88"/>
      <x:c r="P153" s="88" t="s">
        <x:v>1648</x:v>
      </x:c>
      <x:c r="Q153" s="88" t="s">
        <x:v>256</x:v>
      </x:c>
      <x:c r="R153" s="88" t="s">
        <x:v>363</x:v>
      </x:c>
      <x:c r="S153" s="88"/>
      <x:c r="T153" s="88" t="s">
        <x:v>259</x:v>
      </x:c>
      <x:c r="U153" s="88" t="s">
        <x:v>1645</x:v>
      </x:c>
      <x:c r="V153" s="89">
        <x:v>46108.11483608796</x:v>
      </x:c>
      <x:c r="W153" s="88" t="s">
        <x:v>1649</x:v>
      </x:c>
      <x:c r="X153" s="88" t="s">
        <x:v>259</x:v>
      </x:c>
      <x:c r="Y153" s="88" t="s">
        <x:v>482</x:v>
      </x:c>
      <x:c r="Z153" s="89">
        <x:v>46111.068725254627</x:v>
      </x:c>
      <x:c r="AA153" s="88" t="s">
        <x:v>1648</x:v>
      </x:c>
      <x:c r="AB153" s="88" t="s">
        <x:v>259</x:v>
      </x:c>
      <x:c r="AC153" s="88" t="s">
        <x:v>271</x:v>
      </x:c>
      <x:c r="AD153" s="89">
        <x:v>46111.08410644676</x:v>
      </x:c>
      <x:c r="AE153" s="88" t="s">
        <x:v>1650</x:v>
      </x:c>
      <x:c r="AF153" s="88" t="s">
        <x:v>259</x:v>
      </x:c>
      <x:c r="AG153" s="88" t="s">
        <x:v>271</x:v>
      </x:c>
      <x:c r="AH153" s="89">
        <x:v>46112.090667743054</x:v>
      </x:c>
      <x:c r="AI153" s="88" t="s">
        <x:v>353</x:v>
      </x:c>
      <x:c r="AJ153" s="88" t="s">
        <x:v>1651</x:v>
      </x:c>
      <x:c r="AK153" s="88">
        <x:v>2983</x:v>
      </x:c>
      <x:c r="AL153" s="88" t="s">
        <x:v>185</x:v>
      </x:c>
      <x:c r="AM153" s="88" t="s">
        <x:v>1652</x:v>
      </x:c>
      <x:c r="AN153" s="88" t="s">
        <x:v>369</x:v>
      </x:c>
      <x:c r="AO153" s="88">
        <x:v>0</x:v>
      </x:c>
    </x:row>
    <x:row r="154">
      <x:c r="A154" s="88" t="s">
        <x:v>1653</x:v>
      </x:c>
      <x:c r="B154" s="88" t="s">
        <x:v>1654</x:v>
      </x:c>
      <x:c r="C154" s="88" t="s">
        <x:v>1556</x:v>
      </x:c>
      <x:c r="D154" s="88" t="s">
        <x:v>248</x:v>
      </x:c>
      <x:c r="E154" s="88" t="s">
        <x:v>278</x:v>
      </x:c>
      <x:c r="F154" s="89">
        <x:v>46108.173405289352</x:v>
      </x:c>
      <x:c r="G154" s="89">
        <x:v>46119.312950254629</x:v>
      </x:c>
      <x:c r="H154" s="89">
        <x:v>46108.173405289352</x:v>
      </x:c>
      <x:c r="I154" s="88" t="s">
        <x:v>1557</x:v>
      </x:c>
      <x:c r="J154" s="88" t="s">
        <x:v>1558</x:v>
      </x:c>
      <x:c r="K154" s="88" t="s">
        <x:v>266</x:v>
      </x:c>
      <x:c r="L154" s="88"/>
      <x:c r="M154" s="88" t="s">
        <x:v>1559</x:v>
      </x:c>
      <x:c r="N154" s="88" t="s">
        <x:v>1560</x:v>
      </x:c>
      <x:c r="O154" s="88"/>
      <x:c r="P154" s="88" t="s">
        <x:v>1655</x:v>
      </x:c>
      <x:c r="Q154" s="88" t="s">
        <x:v>323</x:v>
      </x:c>
      <x:c r="R154" s="88" t="s">
        <x:v>283</x:v>
      </x:c>
      <x:c r="S154" s="88"/>
      <x:c r="T154" s="88" t="s">
        <x:v>249</x:v>
      </x:c>
      <x:c r="U154" s="88" t="s">
        <x:v>1556</x:v>
      </x:c>
      <x:c r="V154" s="89">
        <x:v>46119.312950266205</x:v>
      </x:c>
      <x:c r="W154" s="88"/>
      <x:c r="X154" s="88"/>
      <x:c r="Y154" s="88" t="s">
        <x:v>1562</x:v>
      </x:c>
      <x:c r="Z154" s="89"/>
      <x:c r="AA154" s="88"/>
      <x:c r="AB154" s="88"/>
      <x:c r="AC154" s="88" t="s">
        <x:v>273</x:v>
      </x:c>
      <x:c r="AD154" s="89"/>
      <x:c r="AE154" s="88"/>
      <x:c r="AF154" s="88"/>
      <x:c r="AG154" s="88" t="s">
        <x:v>161</x:v>
      </x:c>
      <x:c r="AH154" s="89"/>
      <x:c r="AI154" s="88"/>
      <x:c r="AJ154" s="88" t="s">
        <x:v>1563</x:v>
      </x:c>
      <x:c r="AK154" s="88">
        <x:v>2173</x:v>
      </x:c>
      <x:c r="AL154" s="88"/>
      <x:c r="AM154" s="88"/>
      <x:c r="AN154" s="88" t="s">
        <x:v>391</x:v>
      </x:c>
      <x:c r="AO154" s="88">
        <x:v>0</x:v>
      </x:c>
    </x:row>
    <x:row r="155">
      <x:c r="A155" s="88" t="s">
        <x:v>1656</x:v>
      </x:c>
      <x:c r="B155" s="88" t="s">
        <x:v>1657</x:v>
      </x:c>
      <x:c r="C155" s="88" t="s">
        <x:v>1658</x:v>
      </x:c>
      <x:c r="D155" s="88" t="s">
        <x:v>248</x:v>
      </x:c>
      <x:c r="E155" s="88" t="s">
        <x:v>342</x:v>
      </x:c>
      <x:c r="F155" s="89">
        <x:v>46112.102003518521</x:v>
      </x:c>
      <x:c r="G155" s="89">
        <x:v>46133.127754108798</x:v>
      </x:c>
      <x:c r="H155" s="89">
        <x:v>46112.115240578707</x:v>
      </x:c>
      <x:c r="I155" s="88" t="s">
        <x:v>1659</x:v>
      </x:c>
      <x:c r="J155" s="88" t="s">
        <x:v>1660</x:v>
      </x:c>
      <x:c r="K155" s="88" t="s">
        <x:v>380</x:v>
      </x:c>
      <x:c r="L155" s="88" t="s">
        <x:v>1661</x:v>
      </x:c>
      <x:c r="M155" s="88" t="s">
        <x:v>1662</x:v>
      </x:c>
      <x:c r="N155" s="88" t="s">
        <x:v>1663</x:v>
      </x:c>
      <x:c r="O155" s="88"/>
      <x:c r="P155" s="88" t="s">
        <x:v>1664</x:v>
      </x:c>
      <x:c r="Q155" s="88" t="s">
        <x:v>323</x:v>
      </x:c>
      <x:c r="R155" s="88" t="s">
        <x:v>283</x:v>
      </x:c>
      <x:c r="S155" s="88"/>
      <x:c r="T155" s="88" t="s">
        <x:v>259</x:v>
      </x:c>
      <x:c r="U155" s="88" t="s">
        <x:v>1658</x:v>
      </x:c>
      <x:c r="V155" s="89">
        <x:v>46112.116337025465</x:v>
      </x:c>
      <x:c r="W155" s="88" t="s">
        <x:v>1665</x:v>
      </x:c>
      <x:c r="X155" s="88" t="s">
        <x:v>259</x:v>
      </x:c>
      <x:c r="Y155" s="88" t="s">
        <x:v>784</x:v>
      </x:c>
      <x:c r="Z155" s="89">
        <x:v>46127.100981076386</x:v>
      </x:c>
      <x:c r="AA155" s="88" t="s">
        <x:v>571</x:v>
      </x:c>
      <x:c r="AB155" s="88" t="s">
        <x:v>259</x:v>
      </x:c>
      <x:c r="AC155" s="88" t="s">
        <x:v>271</x:v>
      </x:c>
      <x:c r="AD155" s="89">
        <x:v>46127.318465069446</x:v>
      </x:c>
      <x:c r="AE155" s="88" t="s">
        <x:v>1666</x:v>
      </x:c>
      <x:c r="AF155" s="88" t="s">
        <x:v>259</x:v>
      </x:c>
      <x:c r="AG155" s="88" t="s">
        <x:v>271</x:v>
      </x:c>
      <x:c r="AH155" s="89">
        <x:v>46133.127754108798</x:v>
      </x:c>
      <x:c r="AI155" s="88" t="s">
        <x:v>353</x:v>
      </x:c>
      <x:c r="AJ155" s="88" t="s">
        <x:v>1667</x:v>
      </x:c>
      <x:c r="AK155" s="88">
        <x:v>3901</x:v>
      </x:c>
      <x:c r="AL155" s="88" t="s">
        <x:v>185</x:v>
      </x:c>
      <x:c r="AM155" s="88" t="s">
        <x:v>1668</x:v>
      </x:c>
      <x:c r="AN155" s="88" t="s">
        <x:v>369</x:v>
      </x:c>
      <x:c r="AO155" s="88">
        <x:v>0</x:v>
      </x:c>
    </x:row>
    <x:row r="156">
      <x:c r="A156" s="88" t="s">
        <x:v>1669</x:v>
      </x:c>
      <x:c r="B156" s="88" t="s">
        <x:v>1670</x:v>
      </x:c>
      <x:c r="C156" s="88" t="s">
        <x:v>1556</x:v>
      </x:c>
      <x:c r="D156" s="88" t="s">
        <x:v>248</x:v>
      </x:c>
      <x:c r="E156" s="88" t="s">
        <x:v>278</x:v>
      </x:c>
      <x:c r="F156" s="89">
        <x:v>46112.404651689816</x:v>
      </x:c>
      <x:c r="G156" s="89">
        <x:v>46119.313247789352</x:v>
      </x:c>
      <x:c r="H156" s="89">
        <x:v>46112.404651689816</x:v>
      </x:c>
      <x:c r="I156" s="88" t="s">
        <x:v>1671</x:v>
      </x:c>
      <x:c r="J156" s="88" t="s">
        <x:v>1672</x:v>
      </x:c>
      <x:c r="K156" s="88" t="s">
        <x:v>266</x:v>
      </x:c>
      <x:c r="L156" s="88"/>
      <x:c r="M156" s="88" t="s">
        <x:v>1559</x:v>
      </x:c>
      <x:c r="N156" s="88" t="s">
        <x:v>1560</x:v>
      </x:c>
      <x:c r="O156" s="88"/>
      <x:c r="P156" s="88" t="s">
        <x:v>1673</x:v>
      </x:c>
      <x:c r="Q156" s="88" t="s">
        <x:v>323</x:v>
      </x:c>
      <x:c r="R156" s="88" t="s">
        <x:v>283</x:v>
      </x:c>
      <x:c r="S156" s="88"/>
      <x:c r="T156" s="88" t="s">
        <x:v>249</x:v>
      </x:c>
      <x:c r="U156" s="88" t="s">
        <x:v>1556</x:v>
      </x:c>
      <x:c r="V156" s="89">
        <x:v>46119.313247800928</x:v>
      </x:c>
      <x:c r="W156" s="88"/>
      <x:c r="X156" s="88"/>
      <x:c r="Y156" s="88" t="s">
        <x:v>1562</x:v>
      </x:c>
      <x:c r="Z156" s="89"/>
      <x:c r="AA156" s="88"/>
      <x:c r="AB156" s="88"/>
      <x:c r="AC156" s="88" t="s">
        <x:v>273</x:v>
      </x:c>
      <x:c r="AD156" s="89"/>
      <x:c r="AE156" s="88"/>
      <x:c r="AF156" s="88"/>
      <x:c r="AG156" s="88" t="s">
        <x:v>161</x:v>
      </x:c>
      <x:c r="AH156" s="89"/>
      <x:c r="AI156" s="88"/>
      <x:c r="AJ156" s="88" t="s">
        <x:v>1674</x:v>
      </x:c>
      <x:c r="AK156" s="88">
        <x:v>4141</x:v>
      </x:c>
      <x:c r="AL156" s="88"/>
      <x:c r="AM156" s="88"/>
      <x:c r="AN156" s="88" t="s">
        <x:v>391</x:v>
      </x:c>
      <x:c r="AO156" s="88">
        <x:v>0</x:v>
      </x:c>
    </x:row>
    <x:row r="157">
      <x:c r="A157" s="88" t="s">
        <x:v>1675</x:v>
      </x:c>
      <x:c r="B157" s="88" t="s">
        <x:v>1676</x:v>
      </x:c>
      <x:c r="C157" s="88" t="s">
        <x:v>1219</x:v>
      </x:c>
      <x:c r="D157" s="88" t="s">
        <x:v>248</x:v>
      </x:c>
      <x:c r="E157" s="88" t="s">
        <x:v>342</x:v>
      </x:c>
      <x:c r="F157" s="89">
        <x:v>46113.119380706019</x:v>
      </x:c>
      <x:c r="G157" s="89">
        <x:v>46125.165586319446</x:v>
      </x:c>
      <x:c r="H157" s="89">
        <x:v>46113.119380706019</x:v>
      </x:c>
      <x:c r="I157" s="88" t="s">
        <x:v>1677</x:v>
      </x:c>
      <x:c r="J157" s="88" t="s">
        <x:v>1678</x:v>
      </x:c>
      <x:c r="K157" s="88" t="s">
        <x:v>266</x:v>
      </x:c>
      <x:c r="L157" s="88"/>
      <x:c r="M157" s="88" t="s">
        <x:v>482</x:v>
      </x:c>
      <x:c r="N157" s="88"/>
      <x:c r="O157" s="88"/>
      <x:c r="P157" s="88" t="s">
        <x:v>1679</x:v>
      </x:c>
      <x:c r="Q157" s="88" t="s">
        <x:v>256</x:v>
      </x:c>
      <x:c r="R157" s="88" t="s">
        <x:v>363</x:v>
      </x:c>
      <x:c r="S157" s="88"/>
      <x:c r="T157" s="88" t="s">
        <x:v>259</x:v>
      </x:c>
      <x:c r="U157" s="88" t="s">
        <x:v>1219</x:v>
      </x:c>
      <x:c r="V157" s="89">
        <x:v>46113.120907835648</x:v>
      </x:c>
      <x:c r="W157" s="88" t="s">
        <x:v>1679</x:v>
      </x:c>
      <x:c r="X157" s="88" t="s">
        <x:v>259</x:v>
      </x:c>
      <x:c r="Y157" s="88" t="s">
        <x:v>482</x:v>
      </x:c>
      <x:c r="Z157" s="89">
        <x:v>46114.163926134257</x:v>
      </x:c>
      <x:c r="AA157" s="88" t="s">
        <x:v>1679</x:v>
      </x:c>
      <x:c r="AB157" s="88" t="s">
        <x:v>259</x:v>
      </x:c>
      <x:c r="AC157" s="88" t="s">
        <x:v>271</x:v>
      </x:c>
      <x:c r="AD157" s="89">
        <x:v>46118.121135381945</x:v>
      </x:c>
      <x:c r="AE157" s="88" t="s">
        <x:v>1680</x:v>
      </x:c>
      <x:c r="AF157" s="88" t="s">
        <x:v>259</x:v>
      </x:c>
      <x:c r="AG157" s="88" t="s">
        <x:v>271</x:v>
      </x:c>
      <x:c r="AH157" s="89">
        <x:v>46125.165586331015</x:v>
      </x:c>
      <x:c r="AI157" s="88" t="s">
        <x:v>353</x:v>
      </x:c>
      <x:c r="AJ157" s="88" t="s">
        <x:v>1681</x:v>
      </x:c>
      <x:c r="AK157" s="88" t="s">
        <x:v>1682</x:v>
      </x:c>
      <x:c r="AL157" s="88" t="s">
        <x:v>185</x:v>
      </x:c>
      <x:c r="AM157" s="88" t="s">
        <x:v>1683</x:v>
      </x:c>
      <x:c r="AN157" s="88" t="s">
        <x:v>369</x:v>
      </x:c>
      <x:c r="AO157" s="88">
        <x:v>0</x:v>
      </x:c>
    </x:row>
    <x:row r="158">
      <x:c r="A158" s="88" t="s">
        <x:v>1684</x:v>
      </x:c>
      <x:c r="B158" s="88" t="s">
        <x:v>1685</x:v>
      </x:c>
      <x:c r="C158" s="88" t="s">
        <x:v>1219</x:v>
      </x:c>
      <x:c r="D158" s="88" t="s">
        <x:v>248</x:v>
      </x:c>
      <x:c r="E158" s="88" t="s">
        <x:v>278</x:v>
      </x:c>
      <x:c r="F158" s="89">
        <x:v>46113.122782395832</x:v>
      </x:c>
      <x:c r="G158" s="89">
        <x:v>46113.122962939815</x:v>
      </x:c>
      <x:c r="H158" s="89">
        <x:v>46113.122782395832</x:v>
      </x:c>
      <x:c r="I158" s="88" t="s">
        <x:v>1677</x:v>
      </x:c>
      <x:c r="J158" s="88" t="s">
        <x:v>1686</x:v>
      </x:c>
      <x:c r="K158" s="88" t="s">
        <x:v>266</x:v>
      </x:c>
      <x:c r="L158" s="88"/>
      <x:c r="M158" s="88" t="s">
        <x:v>482</x:v>
      </x:c>
      <x:c r="N158" s="88"/>
      <x:c r="O158" s="88"/>
      <x:c r="P158" s="88" t="s">
        <x:v>1679</x:v>
      </x:c>
      <x:c r="Q158" s="88" t="s">
        <x:v>256</x:v>
      </x:c>
      <x:c r="R158" s="88" t="s">
        <x:v>363</x:v>
      </x:c>
      <x:c r="S158" s="88"/>
      <x:c r="T158" s="88" t="s">
        <x:v>249</x:v>
      </x:c>
      <x:c r="U158" s="88" t="s">
        <x:v>1219</x:v>
      </x:c>
      <x:c r="V158" s="89">
        <x:v>46113.122962939815</x:v>
      </x:c>
      <x:c r="W158" s="88"/>
      <x:c r="X158" s="88"/>
      <x:c r="Y158" s="88" t="s">
        <x:v>482</x:v>
      </x:c>
      <x:c r="Z158" s="89"/>
      <x:c r="AA158" s="88"/>
      <x:c r="AB158" s="88"/>
      <x:c r="AC158" s="88" t="s">
        <x:v>273</x:v>
      </x:c>
      <x:c r="AD158" s="89"/>
      <x:c r="AE158" s="88"/>
      <x:c r="AF158" s="88"/>
      <x:c r="AG158" s="88" t="s">
        <x:v>161</x:v>
      </x:c>
      <x:c r="AH158" s="89"/>
      <x:c r="AI158" s="88"/>
      <x:c r="AJ158" s="88" t="s">
        <x:v>1681</x:v>
      </x:c>
      <x:c r="AK158" s="88" t="s">
        <x:v>1687</x:v>
      </x:c>
      <x:c r="AL158" s="88"/>
      <x:c r="AM158" s="88"/>
      <x:c r="AN158" s="88" t="s">
        <x:v>369</x:v>
      </x:c>
      <x:c r="AO158" s="88">
        <x:v>0</x:v>
      </x:c>
    </x:row>
    <x:row r="159">
      <x:c r="A159" s="88" t="s">
        <x:v>1688</x:v>
      </x:c>
      <x:c r="B159" s="88" t="s">
        <x:v>1689</x:v>
      </x:c>
      <x:c r="C159" s="88" t="s">
        <x:v>1219</x:v>
      </x:c>
      <x:c r="D159" s="88" t="s">
        <x:v>248</x:v>
      </x:c>
      <x:c r="E159" s="88" t="s">
        <x:v>342</x:v>
      </x:c>
      <x:c r="F159" s="89">
        <x:v>46113.123381747682</x:v>
      </x:c>
      <x:c r="G159" s="89">
        <x:v>46124.459708113427</x:v>
      </x:c>
      <x:c r="H159" s="89">
        <x:v>46113.123381747682</x:v>
      </x:c>
      <x:c r="I159" s="88" t="s">
        <x:v>1677</x:v>
      </x:c>
      <x:c r="J159" s="88" t="s">
        <x:v>1690</x:v>
      </x:c>
      <x:c r="K159" s="88" t="s">
        <x:v>266</x:v>
      </x:c>
      <x:c r="L159" s="88"/>
      <x:c r="M159" s="88" t="s">
        <x:v>482</x:v>
      </x:c>
      <x:c r="N159" s="88"/>
      <x:c r="O159" s="88"/>
      <x:c r="P159" s="88" t="s">
        <x:v>1679</x:v>
      </x:c>
      <x:c r="Q159" s="88" t="s">
        <x:v>256</x:v>
      </x:c>
      <x:c r="R159" s="88" t="s">
        <x:v>363</x:v>
      </x:c>
      <x:c r="S159" s="88"/>
      <x:c r="T159" s="88" t="s">
        <x:v>259</x:v>
      </x:c>
      <x:c r="U159" s="88" t="s">
        <x:v>1219</x:v>
      </x:c>
      <x:c r="V159" s="89">
        <x:v>46113.123660335645</x:v>
      </x:c>
      <x:c r="W159" s="88" t="s">
        <x:v>1679</x:v>
      </x:c>
      <x:c r="X159" s="88" t="s">
        <x:v>259</x:v>
      </x:c>
      <x:c r="Y159" s="88" t="s">
        <x:v>482</x:v>
      </x:c>
      <x:c r="Z159" s="89">
        <x:v>46114.151955300928</x:v>
      </x:c>
      <x:c r="AA159" s="88" t="s">
        <x:v>1679</x:v>
      </x:c>
      <x:c r="AB159" s="88" t="s">
        <x:v>259</x:v>
      </x:c>
      <x:c r="AC159" s="88" t="s">
        <x:v>271</x:v>
      </x:c>
      <x:c r="AD159" s="89">
        <x:v>46118.11829150463</x:v>
      </x:c>
      <x:c r="AE159" s="88" t="s">
        <x:v>1680</x:v>
      </x:c>
      <x:c r="AF159" s="88" t="s">
        <x:v>259</x:v>
      </x:c>
      <x:c r="AG159" s="88" t="s">
        <x:v>271</x:v>
      </x:c>
      <x:c r="AH159" s="89">
        <x:v>46124.459708125003</x:v>
      </x:c>
      <x:c r="AI159" s="88" t="s">
        <x:v>353</x:v>
      </x:c>
      <x:c r="AJ159" s="88" t="s">
        <x:v>1681</x:v>
      </x:c>
      <x:c r="AK159" s="88" t="s">
        <x:v>1682</x:v>
      </x:c>
      <x:c r="AL159" s="88" t="s">
        <x:v>185</x:v>
      </x:c>
      <x:c r="AM159" s="88" t="s">
        <x:v>1691</x:v>
      </x:c>
      <x:c r="AN159" s="88" t="s">
        <x:v>369</x:v>
      </x:c>
      <x:c r="AO159" s="88">
        <x:v>0</x:v>
      </x:c>
    </x:row>
    <x:row r="160">
      <x:c r="A160" s="88" t="s">
        <x:v>1692</x:v>
      </x:c>
      <x:c r="B160" s="88" t="s">
        <x:v>1693</x:v>
      </x:c>
      <x:c r="C160" s="88" t="s">
        <x:v>1219</x:v>
      </x:c>
      <x:c r="D160" s="88" t="s">
        <x:v>248</x:v>
      </x:c>
      <x:c r="E160" s="88" t="s">
        <x:v>342</x:v>
      </x:c>
      <x:c r="F160" s="89">
        <x:v>46113.124856655093</x:v>
      </x:c>
      <x:c r="G160" s="89">
        <x:v>46120.165601273147</x:v>
      </x:c>
      <x:c r="H160" s="89">
        <x:v>46113.124856655093</x:v>
      </x:c>
      <x:c r="I160" s="88" t="s">
        <x:v>1677</x:v>
      </x:c>
      <x:c r="J160" s="88" t="s">
        <x:v>1694</x:v>
      </x:c>
      <x:c r="K160" s="88" t="s">
        <x:v>266</x:v>
      </x:c>
      <x:c r="L160" s="88"/>
      <x:c r="M160" s="88" t="s">
        <x:v>482</x:v>
      </x:c>
      <x:c r="N160" s="88"/>
      <x:c r="O160" s="88"/>
      <x:c r="P160" s="88" t="s">
        <x:v>1679</x:v>
      </x:c>
      <x:c r="Q160" s="88" t="s">
        <x:v>256</x:v>
      </x:c>
      <x:c r="R160" s="88" t="s">
        <x:v>363</x:v>
      </x:c>
      <x:c r="S160" s="88"/>
      <x:c r="T160" s="88" t="s">
        <x:v>259</x:v>
      </x:c>
      <x:c r="U160" s="88" t="s">
        <x:v>1219</x:v>
      </x:c>
      <x:c r="V160" s="89">
        <x:v>46113.125121990743</x:v>
      </x:c>
      <x:c r="W160" s="88" t="s">
        <x:v>1679</x:v>
      </x:c>
      <x:c r="X160" s="88" t="s">
        <x:v>259</x:v>
      </x:c>
      <x:c r="Y160" s="88" t="s">
        <x:v>482</x:v>
      </x:c>
      <x:c r="Z160" s="89">
        <x:v>46114.151542002313</x:v>
      </x:c>
      <x:c r="AA160" s="88" t="s">
        <x:v>1679</x:v>
      </x:c>
      <x:c r="AB160" s="88" t="s">
        <x:v>259</x:v>
      </x:c>
      <x:c r="AC160" s="88" t="s">
        <x:v>271</x:v>
      </x:c>
      <x:c r="AD160" s="89">
        <x:v>46118.114197083334</x:v>
      </x:c>
      <x:c r="AE160" s="88" t="s">
        <x:v>599</x:v>
      </x:c>
      <x:c r="AF160" s="88" t="s">
        <x:v>259</x:v>
      </x:c>
      <x:c r="AG160" s="88" t="s">
        <x:v>271</x:v>
      </x:c>
      <x:c r="AH160" s="89">
        <x:v>46120.165601284723</x:v>
      </x:c>
      <x:c r="AI160" s="88" t="s">
        <x:v>353</x:v>
      </x:c>
      <x:c r="AJ160" s="88" t="s">
        <x:v>1681</x:v>
      </x:c>
      <x:c r="AK160" s="88" t="s">
        <x:v>1695</x:v>
      </x:c>
      <x:c r="AL160" s="88" t="s">
        <x:v>185</x:v>
      </x:c>
      <x:c r="AM160" s="88" t="s">
        <x:v>1696</x:v>
      </x:c>
      <x:c r="AN160" s="88" t="s">
        <x:v>369</x:v>
      </x:c>
      <x:c r="AO160" s="88">
        <x:v>0</x:v>
      </x:c>
    </x:row>
    <x:row r="161">
      <x:c r="A161" s="88" t="s">
        <x:v>1697</x:v>
      </x:c>
      <x:c r="B161" s="88" t="s">
        <x:v>1698</x:v>
      </x:c>
      <x:c r="C161" s="88" t="s">
        <x:v>1645</x:v>
      </x:c>
      <x:c r="D161" s="88" t="s">
        <x:v>248</x:v>
      </x:c>
      <x:c r="E161" s="88" t="s">
        <x:v>342</x:v>
      </x:c>
      <x:c r="F161" s="89">
        <x:v>46113.134379236108</x:v>
      </x:c>
      <x:c r="G161" s="89">
        <x:v>46122.443775729167</x:v>
      </x:c>
      <x:c r="H161" s="89">
        <x:v>46113.134379236108</x:v>
      </x:c>
      <x:c r="I161" s="88" t="s">
        <x:v>1699</x:v>
      </x:c>
      <x:c r="J161" s="88" t="s">
        <x:v>1700</x:v>
      </x:c>
      <x:c r="K161" s="88" t="s">
        <x:v>266</x:v>
      </x:c>
      <x:c r="L161" s="88"/>
      <x:c r="M161" s="88" t="s">
        <x:v>1164</x:v>
      </x:c>
      <x:c r="N161" s="88"/>
      <x:c r="O161" s="88"/>
      <x:c r="P161" s="88" t="s">
        <x:v>1648</x:v>
      </x:c>
      <x:c r="Q161" s="88" t="s">
        <x:v>256</x:v>
      </x:c>
      <x:c r="R161" s="88" t="s">
        <x:v>363</x:v>
      </x:c>
      <x:c r="S161" s="88"/>
      <x:c r="T161" s="88" t="s">
        <x:v>259</x:v>
      </x:c>
      <x:c r="U161" s="88" t="s">
        <x:v>1645</x:v>
      </x:c>
      <x:c r="V161" s="89">
        <x:v>46113.135130821756</x:v>
      </x:c>
      <x:c r="W161" s="88" t="s">
        <x:v>1648</x:v>
      </x:c>
      <x:c r="X161" s="88" t="s">
        <x:v>259</x:v>
      </x:c>
      <x:c r="Y161" s="88" t="s">
        <x:v>482</x:v>
      </x:c>
      <x:c r="Z161" s="89">
        <x:v>46113.142330428243</x:v>
      </x:c>
      <x:c r="AA161" s="88" t="s">
        <x:v>1648</x:v>
      </x:c>
      <x:c r="AB161" s="88" t="s">
        <x:v>259</x:v>
      </x:c>
      <x:c r="AC161" s="88" t="s">
        <x:v>271</x:v>
      </x:c>
      <x:c r="AD161" s="89">
        <x:v>46113.163704351849</x:v>
      </x:c>
      <x:c r="AE161" s="88" t="s">
        <x:v>1701</x:v>
      </x:c>
      <x:c r="AF161" s="88" t="s">
        <x:v>259</x:v>
      </x:c>
      <x:c r="AG161" s="88" t="s">
        <x:v>271</x:v>
      </x:c>
      <x:c r="AH161" s="89">
        <x:v>46122.443775740743</x:v>
      </x:c>
      <x:c r="AI161" s="88" t="s">
        <x:v>353</x:v>
      </x:c>
      <x:c r="AJ161" s="88" t="s">
        <x:v>1702</x:v>
      </x:c>
      <x:c r="AK161" s="88">
        <x:v>4264</x:v>
      </x:c>
      <x:c r="AL161" s="88" t="s">
        <x:v>162</x:v>
      </x:c>
      <x:c r="AM161" s="88" t="s">
        <x:v>1703</x:v>
      </x:c>
      <x:c r="AN161" s="88" t="s">
        <x:v>369</x:v>
      </x:c>
      <x:c r="AO161" s="88">
        <x:v>0</x:v>
      </x:c>
    </x:row>
    <x:row r="162">
      <x:c r="A162" s="88" t="s">
        <x:v>1704</x:v>
      </x:c>
      <x:c r="B162" s="88" t="s">
        <x:v>1705</x:v>
      </x:c>
      <x:c r="C162" s="88" t="s">
        <x:v>1706</x:v>
      </x:c>
      <x:c r="D162" s="88" t="s">
        <x:v>248</x:v>
      </x:c>
      <x:c r="E162" s="88" t="s">
        <x:v>342</x:v>
      </x:c>
      <x:c r="F162" s="89">
        <x:v>46115.308865509258</x:v>
      </x:c>
      <x:c r="G162" s="89">
        <x:v>46125.211723865737</x:v>
      </x:c>
      <x:c r="H162" s="89">
        <x:v>46115.308865509258</x:v>
      </x:c>
      <x:c r="I162" s="88" t="s">
        <x:v>1707</x:v>
      </x:c>
      <x:c r="J162" s="88" t="s">
        <x:v>1708</x:v>
      </x:c>
      <x:c r="K162" s="88" t="s">
        <x:v>380</x:v>
      </x:c>
      <x:c r="L162" s="88" t="s">
        <x:v>1709</x:v>
      </x:c>
      <x:c r="M162" s="88" t="s">
        <x:v>1434</x:v>
      </x:c>
      <x:c r="N162" s="88" t="s">
        <x:v>1710</x:v>
      </x:c>
      <x:c r="O162" s="88"/>
      <x:c r="P162" s="88" t="s">
        <x:v>1711</x:v>
      </x:c>
      <x:c r="Q162" s="88" t="s">
        <x:v>269</x:v>
      </x:c>
      <x:c r="R162" s="88" t="s">
        <x:v>283</x:v>
      </x:c>
      <x:c r="S162" s="88"/>
      <x:c r="T162" s="88" t="s">
        <x:v>259</x:v>
      </x:c>
      <x:c r="U162" s="88" t="s">
        <x:v>1706</x:v>
      </x:c>
      <x:c r="V162" s="89">
        <x:v>46115.309774004629</x:v>
      </x:c>
      <x:c r="W162" s="88" t="s">
        <x:v>1712</x:v>
      </x:c>
      <x:c r="X162" s="88" t="s">
        <x:v>259</x:v>
      </x:c>
      <x:c r="Y162" s="88" t="s">
        <x:v>1438</x:v>
      </x:c>
      <x:c r="Z162" s="89">
        <x:v>46116.486716666666</x:v>
      </x:c>
      <x:c r="AA162" s="88" t="s">
        <x:v>1439</x:v>
      </x:c>
      <x:c r="AB162" s="88" t="s">
        <x:v>259</x:v>
      </x:c>
      <x:c r="AC162" s="88" t="s">
        <x:v>271</x:v>
      </x:c>
      <x:c r="AD162" s="89">
        <x:v>46119.375964884261</x:v>
      </x:c>
      <x:c r="AE162" s="88" t="s">
        <x:v>1713</x:v>
      </x:c>
      <x:c r="AF162" s="88" t="s">
        <x:v>259</x:v>
      </x:c>
      <x:c r="AG162" s="88" t="s">
        <x:v>387</x:v>
      </x:c>
      <x:c r="AH162" s="89">
        <x:v>46125.211723877313</x:v>
      </x:c>
      <x:c r="AI162" s="88" t="s">
        <x:v>388</x:v>
      </x:c>
      <x:c r="AJ162" s="88" t="s">
        <x:v>1714</x:v>
      </x:c>
      <x:c r="AK162" s="88">
        <x:v>10132</x:v>
      </x:c>
      <x:c r="AL162" s="88" t="s">
        <x:v>185</x:v>
      </x:c>
      <x:c r="AM162" s="88" t="s">
        <x:v>1715</x:v>
      </x:c>
      <x:c r="AN162" s="88" t="s">
        <x:v>414</x:v>
      </x:c>
      <x:c r="AO162" s="88">
        <x:v>365</x:v>
      </x:c>
    </x:row>
    <x:row r="163">
      <x:c r="A163" s="88" t="s">
        <x:v>1716</x:v>
      </x:c>
      <x:c r="B163" s="88" t="s">
        <x:v>1717</x:v>
      </x:c>
      <x:c r="C163" s="88" t="s">
        <x:v>1718</x:v>
      </x:c>
      <x:c r="D163" s="88" t="s">
        <x:v>248</x:v>
      </x:c>
      <x:c r="E163" s="88" t="s">
        <x:v>342</x:v>
      </x:c>
      <x:c r="F163" s="89">
        <x:v>46118.047065254628</x:v>
      </x:c>
      <x:c r="G163" s="89">
        <x:v>46122.09333408565</x:v>
      </x:c>
      <x:c r="H163" s="89">
        <x:v>46118.047065254628</x:v>
      </x:c>
      <x:c r="I163" s="88" t="s">
        <x:v>1719</x:v>
      </x:c>
      <x:c r="J163" s="88" t="s">
        <x:v>1720</x:v>
      </x:c>
      <x:c r="K163" s="88" t="s">
        <x:v>380</x:v>
      </x:c>
      <x:c r="L163" s="88" t="s">
        <x:v>498</x:v>
      </x:c>
      <x:c r="M163" s="88" t="s">
        <x:v>1721</x:v>
      </x:c>
      <x:c r="N163" s="88"/>
      <x:c r="O163" s="88"/>
      <x:c r="P163" s="88" t="s">
        <x:v>1722</x:v>
      </x:c>
      <x:c r="Q163" s="88" t="s">
        <x:v>269</x:v>
      </x:c>
      <x:c r="R163" s="88" t="s">
        <x:v>1087</x:v>
      </x:c>
      <x:c r="S163" s="88"/>
      <x:c r="T163" s="88" t="s">
        <x:v>259</x:v>
      </x:c>
      <x:c r="U163" s="88" t="s">
        <x:v>1718</x:v>
      </x:c>
      <x:c r="V163" s="89">
        <x:v>46118.050894907406</x:v>
      </x:c>
      <x:c r="W163" s="88" t="s">
        <x:v>1723</x:v>
      </x:c>
      <x:c r="X163" s="88" t="s">
        <x:v>259</x:v>
      </x:c>
      <x:c r="Y163" s="88" t="s">
        <x:v>1724</x:v>
      </x:c>
      <x:c r="Z163" s="89">
        <x:v>46118.313260659721</x:v>
      </x:c>
      <x:c r="AA163" s="88" t="s">
        <x:v>1725</x:v>
      </x:c>
      <x:c r="AB163" s="88" t="s">
        <x:v>259</x:v>
      </x:c>
      <x:c r="AC163" s="88" t="s">
        <x:v>271</x:v>
      </x:c>
      <x:c r="AD163" s="89">
        <x:v>46119.26788097222</x:v>
      </x:c>
      <x:c r="AE163" s="88" t="s">
        <x:v>1726</x:v>
      </x:c>
      <x:c r="AF163" s="88" t="s">
        <x:v>259</x:v>
      </x:c>
      <x:c r="AG163" s="88" t="s">
        <x:v>387</x:v>
      </x:c>
      <x:c r="AH163" s="89">
        <x:v>46122.093334108795</x:v>
      </x:c>
      <x:c r="AI163" s="88" t="s">
        <x:v>388</x:v>
      </x:c>
      <x:c r="AJ163" s="88" t="s">
        <x:v>1727</x:v>
      </x:c>
      <x:c r="AK163" s="88" t="s">
        <x:v>1728</x:v>
      </x:c>
      <x:c r="AL163" s="88" t="s">
        <x:v>185</x:v>
      </x:c>
      <x:c r="AM163" s="88" t="s">
        <x:v>1729</x:v>
      </x:c>
      <x:c r="AN163" s="88" t="s">
        <x:v>414</x:v>
      </x:c>
      <x:c r="AO163" s="88">
        <x:v>365</x:v>
      </x:c>
    </x:row>
    <x:row r="164">
      <x:c r="A164" s="88" t="s">
        <x:v>1730</x:v>
      </x:c>
      <x:c r="B164" s="88" t="s">
        <x:v>1731</x:v>
      </x:c>
      <x:c r="C164" s="88" t="s">
        <x:v>1219</x:v>
      </x:c>
      <x:c r="D164" s="88" t="s">
        <x:v>248</x:v>
      </x:c>
      <x:c r="E164" s="88" t="s">
        <x:v>278</x:v>
      </x:c>
      <x:c r="F164" s="89">
        <x:v>46118.084872025465</x:v>
      </x:c>
      <x:c r="G164" s="89">
        <x:v>46118.085069606481</x:v>
      </x:c>
      <x:c r="H164" s="89">
        <x:v>46118.084872025465</x:v>
      </x:c>
      <x:c r="I164" s="88" t="s">
        <x:v>1732</x:v>
      </x:c>
      <x:c r="J164" s="88" t="s">
        <x:v>1733</x:v>
      </x:c>
      <x:c r="K164" s="88" t="s">
        <x:v>266</x:v>
      </x:c>
      <x:c r="L164" s="88"/>
      <x:c r="M164" s="88" t="s">
        <x:v>482</x:v>
      </x:c>
      <x:c r="N164" s="88"/>
      <x:c r="O164" s="88"/>
      <x:c r="P164" s="88" t="s">
        <x:v>1648</x:v>
      </x:c>
      <x:c r="Q164" s="88" t="s">
        <x:v>256</x:v>
      </x:c>
      <x:c r="R164" s="88" t="s">
        <x:v>363</x:v>
      </x:c>
      <x:c r="S164" s="88"/>
      <x:c r="T164" s="88" t="s">
        <x:v>249</x:v>
      </x:c>
      <x:c r="U164" s="88" t="s">
        <x:v>1219</x:v>
      </x:c>
      <x:c r="V164" s="89">
        <x:v>46118.085069618057</x:v>
      </x:c>
      <x:c r="W164" s="88"/>
      <x:c r="X164" s="88"/>
      <x:c r="Y164" s="88" t="s">
        <x:v>482</x:v>
      </x:c>
      <x:c r="Z164" s="89"/>
      <x:c r="AA164" s="88"/>
      <x:c r="AB164" s="88"/>
      <x:c r="AC164" s="88" t="s">
        <x:v>273</x:v>
      </x:c>
      <x:c r="AD164" s="89"/>
      <x:c r="AE164" s="88"/>
      <x:c r="AF164" s="88"/>
      <x:c r="AG164" s="88" t="s">
        <x:v>161</x:v>
      </x:c>
      <x:c r="AH164" s="89"/>
      <x:c r="AI164" s="88"/>
      <x:c r="AJ164" s="88" t="s">
        <x:v>1734</x:v>
      </x:c>
      <x:c r="AK164" s="88">
        <x:v>3563</x:v>
      </x:c>
      <x:c r="AL164" s="88"/>
      <x:c r="AM164" s="88"/>
      <x:c r="AN164" s="88" t="s">
        <x:v>369</x:v>
      </x:c>
      <x:c r="AO164" s="88">
        <x:v>0</x:v>
      </x:c>
    </x:row>
    <x:row r="165">
      <x:c r="A165" s="88" t="s">
        <x:v>1735</x:v>
      </x:c>
      <x:c r="B165" s="88" t="s">
        <x:v>1736</x:v>
      </x:c>
      <x:c r="C165" s="88" t="s">
        <x:v>1219</x:v>
      </x:c>
      <x:c r="D165" s="88" t="s">
        <x:v>248</x:v>
      </x:c>
      <x:c r="E165" s="88" t="s">
        <x:v>342</x:v>
      </x:c>
      <x:c r="F165" s="89">
        <x:v>46118.086227812499</x:v>
      </x:c>
      <x:c r="G165" s="89">
        <x:v>46199.315256192131</x:v>
      </x:c>
      <x:c r="H165" s="89">
        <x:v>46118.086227812499</x:v>
      </x:c>
      <x:c r="I165" s="88" t="s">
        <x:v>1732</x:v>
      </x:c>
      <x:c r="J165" s="88" t="s">
        <x:v>1733</x:v>
      </x:c>
      <x:c r="K165" s="88" t="s">
        <x:v>266</x:v>
      </x:c>
      <x:c r="L165" s="88"/>
      <x:c r="M165" s="88" t="s">
        <x:v>482</x:v>
      </x:c>
      <x:c r="N165" s="88"/>
      <x:c r="O165" s="88"/>
      <x:c r="P165" s="88" t="s">
        <x:v>1648</x:v>
      </x:c>
      <x:c r="Q165" s="88" t="s">
        <x:v>256</x:v>
      </x:c>
      <x:c r="R165" s="88" t="s">
        <x:v>363</x:v>
      </x:c>
      <x:c r="S165" s="88"/>
      <x:c r="T165" s="88" t="s">
        <x:v>259</x:v>
      </x:c>
      <x:c r="U165" s="88" t="s">
        <x:v>1219</x:v>
      </x:c>
      <x:c r="V165" s="89">
        <x:v>46118.087092407404</x:v>
      </x:c>
      <x:c r="W165" s="88" t="s">
        <x:v>1648</x:v>
      </x:c>
      <x:c r="X165" s="88" t="s">
        <x:v>259</x:v>
      </x:c>
      <x:c r="Y165" s="88" t="s">
        <x:v>482</x:v>
      </x:c>
      <x:c r="Z165" s="89">
        <x:v>46184.073734166668</x:v>
      </x:c>
      <x:c r="AA165" s="88" t="s">
        <x:v>1648</x:v>
      </x:c>
      <x:c r="AB165" s="88" t="s">
        <x:v>259</x:v>
      </x:c>
      <x:c r="AC165" s="88" t="s">
        <x:v>271</x:v>
      </x:c>
      <x:c r="AD165" s="89">
        <x:v>46184.096266215274</x:v>
      </x:c>
      <x:c r="AE165" s="88" t="s">
        <x:v>1737</x:v>
      </x:c>
      <x:c r="AF165" s="88" t="s">
        <x:v>259</x:v>
      </x:c>
      <x:c r="AG165" s="88" t="s">
        <x:v>271</x:v>
      </x:c>
      <x:c r="AH165" s="89">
        <x:v>46199.315256203707</x:v>
      </x:c>
      <x:c r="AI165" s="88" t="s">
        <x:v>353</x:v>
      </x:c>
      <x:c r="AJ165" s="88" t="s">
        <x:v>1734</x:v>
      </x:c>
      <x:c r="AK165" s="88">
        <x:v>3563</x:v>
      </x:c>
      <x:c r="AL165" s="88" t="s">
        <x:v>185</x:v>
      </x:c>
      <x:c r="AM165" s="88" t="s">
        <x:v>1738</x:v>
      </x:c>
      <x:c r="AN165" s="88" t="s">
        <x:v>369</x:v>
      </x:c>
      <x:c r="AO165" s="88">
        <x:v>0</x:v>
      </x:c>
    </x:row>
    <x:row r="166">
      <x:c r="A166" s="88" t="s">
        <x:v>1739</x:v>
      </x:c>
      <x:c r="B166" s="88" t="s">
        <x:v>1740</x:v>
      </x:c>
      <x:c r="C166" s="88" t="s">
        <x:v>1556</x:v>
      </x:c>
      <x:c r="D166" s="88" t="s">
        <x:v>248</x:v>
      </x:c>
      <x:c r="E166" s="88" t="s">
        <x:v>342</x:v>
      </x:c>
      <x:c r="F166" s="89">
        <x:v>46119.31901806713</x:v>
      </x:c>
      <x:c r="G166" s="89">
        <x:v>46124.433784340275</x:v>
      </x:c>
      <x:c r="H166" s="89">
        <x:v>46119.31901806713</x:v>
      </x:c>
      <x:c r="I166" s="88" t="s">
        <x:v>1557</x:v>
      </x:c>
      <x:c r="J166" s="88" t="s">
        <x:v>1558</x:v>
      </x:c>
      <x:c r="K166" s="88" t="s">
        <x:v>266</x:v>
      </x:c>
      <x:c r="L166" s="88"/>
      <x:c r="M166" s="88" t="s">
        <x:v>1559</x:v>
      </x:c>
      <x:c r="N166" s="88" t="s">
        <x:v>1560</x:v>
      </x:c>
      <x:c r="O166" s="88"/>
      <x:c r="P166" s="88" t="s">
        <x:v>1741</x:v>
      </x:c>
      <x:c r="Q166" s="88" t="s">
        <x:v>256</x:v>
      </x:c>
      <x:c r="R166" s="88" t="s">
        <x:v>1742</x:v>
      </x:c>
      <x:c r="S166" s="88"/>
      <x:c r="T166" s="88" t="s">
        <x:v>259</x:v>
      </x:c>
      <x:c r="U166" s="88" t="s">
        <x:v>1556</x:v>
      </x:c>
      <x:c r="V166" s="89">
        <x:v>46119.31977065972</x:v>
      </x:c>
      <x:c r="W166" s="88" t="s">
        <x:v>1743</x:v>
      </x:c>
      <x:c r="X166" s="88" t="s">
        <x:v>259</x:v>
      </x:c>
      <x:c r="Y166" s="88" t="s">
        <x:v>1562</x:v>
      </x:c>
      <x:c r="Z166" s="89">
        <x:v>46120.269290300923</x:v>
      </x:c>
      <x:c r="AA166" s="88" t="s">
        <x:v>1744</x:v>
      </x:c>
      <x:c r="AB166" s="88" t="s">
        <x:v>259</x:v>
      </x:c>
      <x:c r="AC166" s="88" t="s">
        <x:v>271</x:v>
      </x:c>
      <x:c r="AD166" s="89">
        <x:v>46121.260527094906</x:v>
      </x:c>
      <x:c r="AE166" s="88" t="s">
        <x:v>1745</x:v>
      </x:c>
      <x:c r="AF166" s="88" t="s">
        <x:v>259</x:v>
      </x:c>
      <x:c r="AG166" s="88" t="s">
        <x:v>271</x:v>
      </x:c>
      <x:c r="AH166" s="89">
        <x:v>46124.433784340275</x:v>
      </x:c>
      <x:c r="AI166" s="88" t="s">
        <x:v>353</x:v>
      </x:c>
      <x:c r="AJ166" s="88" t="s">
        <x:v>1563</x:v>
      </x:c>
      <x:c r="AK166" s="88">
        <x:v>2173</x:v>
      </x:c>
      <x:c r="AL166" s="88" t="s">
        <x:v>185</x:v>
      </x:c>
      <x:c r="AM166" s="88" t="s">
        <x:v>1746</x:v>
      </x:c>
      <x:c r="AN166" s="88" t="s">
        <x:v>414</x:v>
      </x:c>
      <x:c r="AO166" s="88">
        <x:v>14</x:v>
      </x:c>
    </x:row>
    <x:row r="167">
      <x:c r="A167" s="88" t="s">
        <x:v>1747</x:v>
      </x:c>
      <x:c r="B167" s="88" t="s">
        <x:v>1748</x:v>
      </x:c>
      <x:c r="C167" s="88" t="s">
        <x:v>1749</x:v>
      </x:c>
      <x:c r="D167" s="88" t="s">
        <x:v>248</x:v>
      </x:c>
      <x:c r="E167" s="88" t="s">
        <x:v>342</x:v>
      </x:c>
      <x:c r="F167" s="89">
        <x:v>46119.36506984954</x:v>
      </x:c>
      <x:c r="G167" s="89">
        <x:v>46134.313210775465</x:v>
      </x:c>
      <x:c r="H167" s="89">
        <x:v>46120.27579190972</x:v>
      </x:c>
      <x:c r="I167" s="88" t="s">
        <x:v>1750</x:v>
      </x:c>
      <x:c r="J167" s="88" t="s">
        <x:v>1751</x:v>
      </x:c>
      <x:c r="K167" s="88" t="s">
        <x:v>380</x:v>
      </x:c>
      <x:c r="L167" s="88" t="s">
        <x:v>1752</x:v>
      </x:c>
      <x:c r="M167" s="88" t="s">
        <x:v>1753</x:v>
      </x:c>
      <x:c r="N167" s="88" t="s">
        <x:v>1754</x:v>
      </x:c>
      <x:c r="O167" s="88"/>
      <x:c r="P167" s="88" t="s">
        <x:v>1755</x:v>
      </x:c>
      <x:c r="Q167" s="88" t="s">
        <x:v>970</x:v>
      </x:c>
      <x:c r="R167" s="88" t="s">
        <x:v>283</x:v>
      </x:c>
      <x:c r="S167" s="88"/>
      <x:c r="T167" s="88" t="s">
        <x:v>259</x:v>
      </x:c>
      <x:c r="U167" s="88" t="s">
        <x:v>1749</x:v>
      </x:c>
      <x:c r="V167" s="89">
        <x:v>46120.35056042824</x:v>
      </x:c>
      <x:c r="W167" s="88" t="s">
        <x:v>1756</x:v>
      </x:c>
      <x:c r="X167" s="88" t="s">
        <x:v>259</x:v>
      </x:c>
      <x:c r="Y167" s="88" t="s">
        <x:v>1753</x:v>
      </x:c>
      <x:c r="Z167" s="89">
        <x:v>46120.375959837962</x:v>
      </x:c>
      <x:c r="AA167" s="88" t="s">
        <x:v>1757</x:v>
      </x:c>
      <x:c r="AB167" s="88" t="s">
        <x:v>259</x:v>
      </x:c>
      <x:c r="AC167" s="88" t="s">
        <x:v>271</x:v>
      </x:c>
      <x:c r="AD167" s="89">
        <x:v>46121.255672893516</x:v>
      </x:c>
      <x:c r="AE167" s="88" t="s">
        <x:v>1758</x:v>
      </x:c>
      <x:c r="AF167" s="88" t="s">
        <x:v>259</x:v>
      </x:c>
      <x:c r="AG167" s="88" t="s">
        <x:v>387</x:v>
      </x:c>
      <x:c r="AH167" s="89">
        <x:v>46134.313210775465</x:v>
      </x:c>
      <x:c r="AI167" s="88" t="s">
        <x:v>388</x:v>
      </x:c>
      <x:c r="AJ167" s="88" t="s">
        <x:v>1759</x:v>
      </x:c>
      <x:c r="AK167" s="88">
        <x:v>3674</x:v>
      </x:c>
      <x:c r="AL167" s="88" t="s">
        <x:v>193</x:v>
      </x:c>
      <x:c r="AM167" s="88" t="s">
        <x:v>1760</x:v>
      </x:c>
      <x:c r="AN167" s="88" t="s">
        <x:v>414</x:v>
      </x:c>
      <x:c r="AO167" s="88">
        <x:v>180</x:v>
      </x:c>
    </x:row>
    <x:row r="168">
      <x:c r="A168" s="88" t="s">
        <x:v>1761</x:v>
      </x:c>
      <x:c r="B168" s="88" t="s">
        <x:v>1762</x:v>
      </x:c>
      <x:c r="C168" s="88" t="s">
        <x:v>1763</x:v>
      </x:c>
      <x:c r="D168" s="88" t="s">
        <x:v>248</x:v>
      </x:c>
      <x:c r="E168" s="88" t="s">
        <x:v>342</x:v>
      </x:c>
      <x:c r="F168" s="89">
        <x:v>46120.124512175928</x:v>
      </x:c>
      <x:c r="G168" s="89">
        <x:v>46121.173892395833</x:v>
      </x:c>
      <x:c r="H168" s="89">
        <x:v>46120.124512175928</x:v>
      </x:c>
      <x:c r="I168" s="88" t="s">
        <x:v>1764</x:v>
      </x:c>
      <x:c r="J168" s="88" t="s">
        <x:v>1765</x:v>
      </x:c>
      <x:c r="K168" s="88" t="s">
        <x:v>266</x:v>
      </x:c>
      <x:c r="L168" s="88"/>
      <x:c r="M168" s="88" t="s">
        <x:v>1766</x:v>
      </x:c>
      <x:c r="N168" s="88"/>
      <x:c r="O168" s="88"/>
      <x:c r="P168" s="88" t="s">
        <x:v>1767</x:v>
      </x:c>
      <x:c r="Q168" s="88" t="s">
        <x:v>256</x:v>
      </x:c>
      <x:c r="R168" s="88" t="s">
        <x:v>283</x:v>
      </x:c>
      <x:c r="S168" s="88"/>
      <x:c r="T168" s="88" t="s">
        <x:v>259</x:v>
      </x:c>
      <x:c r="U168" s="88" t="s">
        <x:v>1763</x:v>
      </x:c>
      <x:c r="V168" s="89">
        <x:v>46120.127304108799</x:v>
      </x:c>
      <x:c r="W168" s="88" t="s">
        <x:v>1768</x:v>
      </x:c>
      <x:c r="X168" s="88" t="s">
        <x:v>259</x:v>
      </x:c>
      <x:c r="Y168" s="88" t="s">
        <x:v>1769</x:v>
      </x:c>
      <x:c r="Z168" s="89">
        <x:v>46120.272493194447</x:v>
      </x:c>
      <x:c r="AA168" s="88" t="s">
        <x:v>1770</x:v>
      </x:c>
      <x:c r="AB168" s="88" t="s">
        <x:v>259</x:v>
      </x:c>
      <x:c r="AC168" s="88" t="s">
        <x:v>271</x:v>
      </x:c>
      <x:c r="AD168" s="89">
        <x:v>46121.077047673614</x:v>
      </x:c>
      <x:c r="AE168" s="88" t="s">
        <x:v>1771</x:v>
      </x:c>
      <x:c r="AF168" s="88" t="s">
        <x:v>259</x:v>
      </x:c>
      <x:c r="AG168" s="88" t="s">
        <x:v>387</x:v>
      </x:c>
      <x:c r="AH168" s="89">
        <x:v>46121.173892407409</x:v>
      </x:c>
      <x:c r="AI168" s="88" t="s">
        <x:v>388</x:v>
      </x:c>
      <x:c r="AJ168" s="88" t="s">
        <x:v>1772</x:v>
      </x:c>
      <x:c r="AK168" s="88">
        <x:v>3746</x:v>
      </x:c>
      <x:c r="AL168" s="88" t="s">
        <x:v>162</x:v>
      </x:c>
      <x:c r="AM168" s="88" t="s">
        <x:v>1773</x:v>
      </x:c>
      <x:c r="AN168" s="88" t="s">
        <x:v>369</x:v>
      </x:c>
      <x:c r="AO168" s="88">
        <x:v>0</x:v>
      </x:c>
    </x:row>
    <x:row r="169">
      <x:c r="A169" s="88" t="s">
        <x:v>1774</x:v>
      </x:c>
      <x:c r="B169" s="88" t="s">
        <x:v>1775</x:v>
      </x:c>
      <x:c r="C169" s="88" t="s">
        <x:v>1776</x:v>
      </x:c>
      <x:c r="D169" s="88" t="s">
        <x:v>248</x:v>
      </x:c>
      <x:c r="E169" s="88" t="s">
        <x:v>342</x:v>
      </x:c>
      <x:c r="F169" s="89">
        <x:v>46122.316942060184</x:v>
      </x:c>
      <x:c r="G169" s="89">
        <x:v>46132.000359710648</x:v>
      </x:c>
      <x:c r="H169" s="89">
        <x:v>46122.316942060184</x:v>
      </x:c>
      <x:c r="I169" s="88" t="s">
        <x:v>1777</x:v>
      </x:c>
      <x:c r="J169" s="88" t="s">
        <x:v>1778</x:v>
      </x:c>
      <x:c r="K169" s="88" t="s">
        <x:v>266</x:v>
      </x:c>
      <x:c r="L169" s="88"/>
      <x:c r="M169" s="88" t="s">
        <x:v>1779</x:v>
      </x:c>
      <x:c r="N169" s="88"/>
      <x:c r="O169" s="88"/>
      <x:c r="P169" s="88" t="s">
        <x:v>1780</x:v>
      </x:c>
      <x:c r="Q169" s="88" t="s">
        <x:v>323</x:v>
      </x:c>
      <x:c r="R169" s="88" t="s">
        <x:v>283</x:v>
      </x:c>
      <x:c r="S169" s="88"/>
      <x:c r="T169" s="88" t="s">
        <x:v>259</x:v>
      </x:c>
      <x:c r="U169" s="88" t="s">
        <x:v>1776</x:v>
      </x:c>
      <x:c r="V169" s="89">
        <x:v>46122.324573148151</x:v>
      </x:c>
      <x:c r="W169" s="88" t="s">
        <x:v>1781</x:v>
      </x:c>
      <x:c r="X169" s="88" t="s">
        <x:v>259</x:v>
      </x:c>
      <x:c r="Y169" s="88" t="s">
        <x:v>1782</x:v>
      </x:c>
      <x:c r="Z169" s="89">
        <x:v>46126.383067187497</x:v>
      </x:c>
      <x:c r="AA169" s="88" t="s">
        <x:v>1783</x:v>
      </x:c>
      <x:c r="AB169" s="88" t="s">
        <x:v>259</x:v>
      </x:c>
      <x:c r="AC169" s="88" t="s">
        <x:v>271</x:v>
      </x:c>
      <x:c r="AD169" s="89">
        <x:v>46127.087880497682</x:v>
      </x:c>
      <x:c r="AE169" s="88" t="s">
        <x:v>1784</x:v>
      </x:c>
      <x:c r="AF169" s="88" t="s">
        <x:v>259</x:v>
      </x:c>
      <x:c r="AG169" s="88" t="s">
        <x:v>271</x:v>
      </x:c>
      <x:c r="AH169" s="89">
        <x:v>46132.000359710648</x:v>
      </x:c>
      <x:c r="AI169" s="88" t="s">
        <x:v>353</x:v>
      </x:c>
      <x:c r="AJ169" s="88" t="s">
        <x:v>1785</x:v>
      </x:c>
      <x:c r="AK169" s="88">
        <x:v>2902</x:v>
      </x:c>
      <x:c r="AL169" s="88" t="s">
        <x:v>162</x:v>
      </x:c>
      <x:c r="AM169" s="88" t="s">
        <x:v>1786</x:v>
      </x:c>
      <x:c r="AN169" s="88" t="s">
        <x:v>414</x:v>
      </x:c>
      <x:c r="AO169" s="88">
        <x:v>14</x:v>
      </x:c>
    </x:row>
    <x:row r="170">
      <x:c r="A170" s="88" t="s">
        <x:v>1787</x:v>
      </x:c>
      <x:c r="B170" s="88" t="s">
        <x:v>1788</x:v>
      </x:c>
      <x:c r="C170" s="88" t="s">
        <x:v>1658</x:v>
      </x:c>
      <x:c r="D170" s="88" t="s">
        <x:v>248</x:v>
      </x:c>
      <x:c r="E170" s="88" t="s">
        <x:v>278</x:v>
      </x:c>
      <x:c r="F170" s="89">
        <x:v>46122.335478611109</x:v>
      </x:c>
      <x:c r="G170" s="89">
        <x:v>46122.339215127315</x:v>
      </x:c>
      <x:c r="H170" s="89">
        <x:v>46122.335478611109</x:v>
      </x:c>
      <x:c r="I170" s="88" t="s">
        <x:v>1269</x:v>
      </x:c>
      <x:c r="J170" s="88" t="s">
        <x:v>1270</x:v>
      </x:c>
      <x:c r="K170" s="88" t="s">
        <x:v>266</x:v>
      </x:c>
      <x:c r="L170" s="88"/>
      <x:c r="M170" s="88" t="s">
        <x:v>1789</x:v>
      </x:c>
      <x:c r="N170" s="88"/>
      <x:c r="O170" s="88"/>
      <x:c r="P170" s="88" t="s">
        <x:v>1790</x:v>
      </x:c>
      <x:c r="Q170" s="88" t="s">
        <x:v>347</x:v>
      </x:c>
      <x:c r="R170" s="88" t="s">
        <x:v>283</x:v>
      </x:c>
      <x:c r="S170" s="88"/>
      <x:c r="T170" s="88" t="s">
        <x:v>249</x:v>
      </x:c>
      <x:c r="U170" s="88" t="s">
        <x:v>1658</x:v>
      </x:c>
      <x:c r="V170" s="89">
        <x:v>46122.339215138891</x:v>
      </x:c>
      <x:c r="W170" s="88"/>
      <x:c r="X170" s="88"/>
      <x:c r="Y170" s="88" t="s">
        <x:v>1789</x:v>
      </x:c>
      <x:c r="Z170" s="89"/>
      <x:c r="AA170" s="88"/>
      <x:c r="AB170" s="88"/>
      <x:c r="AC170" s="88" t="s">
        <x:v>273</x:v>
      </x:c>
      <x:c r="AD170" s="89"/>
      <x:c r="AE170" s="88"/>
      <x:c r="AF170" s="88"/>
      <x:c r="AG170" s="88" t="s">
        <x:v>161</x:v>
      </x:c>
      <x:c r="AH170" s="89"/>
      <x:c r="AI170" s="88"/>
      <x:c r="AJ170" s="88" t="s">
        <x:v>1277</x:v>
      </x:c>
      <x:c r="AK170" s="88">
        <x:v>1116</x:v>
      </x:c>
      <x:c r="AL170" s="88"/>
      <x:c r="AM170" s="88"/>
      <x:c r="AN170" s="88" t="s">
        <x:v>369</x:v>
      </x:c>
      <x:c r="AO170" s="88">
        <x:v>0</x:v>
      </x:c>
    </x:row>
    <x:row r="171">
      <x:c r="A171" s="88" t="s">
        <x:v>1791</x:v>
      </x:c>
      <x:c r="B171" s="88" t="s">
        <x:v>1792</x:v>
      </x:c>
      <x:c r="C171" s="88" t="s">
        <x:v>1658</x:v>
      </x:c>
      <x:c r="D171" s="88" t="s">
        <x:v>248</x:v>
      </x:c>
      <x:c r="E171" s="88" t="s">
        <x:v>342</x:v>
      </x:c>
      <x:c r="F171" s="89">
        <x:v>46125.289070810184</x:v>
      </x:c>
      <x:c r="G171" s="89">
        <x:v>46128.389452986114</x:v>
      </x:c>
      <x:c r="H171" s="89">
        <x:v>46125.289070810184</x:v>
      </x:c>
      <x:c r="I171" s="88" t="s">
        <x:v>1793</x:v>
      </x:c>
      <x:c r="J171" s="88" t="s">
        <x:v>1794</x:v>
      </x:c>
      <x:c r="K171" s="88" t="s">
        <x:v>266</x:v>
      </x:c>
      <x:c r="L171" s="88"/>
      <x:c r="M171" s="88" t="s">
        <x:v>1271</x:v>
      </x:c>
      <x:c r="N171" s="88"/>
      <x:c r="O171" s="88"/>
      <x:c r="P171" s="88" t="s">
        <x:v>1795</x:v>
      </x:c>
      <x:c r="Q171" s="88" t="s">
        <x:v>323</x:v>
      </x:c>
      <x:c r="R171" s="88" t="s">
        <x:v>283</x:v>
      </x:c>
      <x:c r="S171" s="88"/>
      <x:c r="T171" s="88" t="s">
        <x:v>259</x:v>
      </x:c>
      <x:c r="U171" s="88" t="s">
        <x:v>1658</x:v>
      </x:c>
      <x:c r="V171" s="89">
        <x:v>46125.290079270831</x:v>
      </x:c>
      <x:c r="W171" s="88" t="s">
        <x:v>1796</x:v>
      </x:c>
      <x:c r="X171" s="88" t="s">
        <x:v>259</x:v>
      </x:c>
      <x:c r="Y171" s="88" t="s">
        <x:v>1271</x:v>
      </x:c>
      <x:c r="Z171" s="89">
        <x:v>46125.291931828702</x:v>
      </x:c>
      <x:c r="AA171" s="88" t="s">
        <x:v>738</x:v>
      </x:c>
      <x:c r="AB171" s="88" t="s">
        <x:v>259</x:v>
      </x:c>
      <x:c r="AC171" s="88" t="s">
        <x:v>271</x:v>
      </x:c>
      <x:c r="AD171" s="89">
        <x:v>46126.073887638886</x:v>
      </x:c>
      <x:c r="AE171" s="88" t="s">
        <x:v>1797</x:v>
      </x:c>
      <x:c r="AF171" s="88" t="s">
        <x:v>259</x:v>
      </x:c>
      <x:c r="AG171" s="88" t="s">
        <x:v>387</x:v>
      </x:c>
      <x:c r="AH171" s="89">
        <x:v>46128.389452986114</x:v>
      </x:c>
      <x:c r="AI171" s="88" t="s">
        <x:v>388</x:v>
      </x:c>
      <x:c r="AJ171" s="88" t="s">
        <x:v>1798</x:v>
      </x:c>
      <x:c r="AK171" s="88" t="s">
        <x:v>1799</x:v>
      </x:c>
      <x:c r="AL171" s="88" t="s">
        <x:v>162</x:v>
      </x:c>
      <x:c r="AM171" s="88" t="s">
        <x:v>1800</x:v>
      </x:c>
      <x:c r="AN171" s="88" t="s">
        <x:v>369</x:v>
      </x:c>
      <x:c r="AO171" s="88">
        <x:v>0</x:v>
      </x:c>
    </x:row>
    <x:row r="172">
      <x:c r="A172" s="88" t="s">
        <x:v>1801</x:v>
      </x:c>
      <x:c r="B172" s="88" t="s">
        <x:v>1802</x:v>
      </x:c>
      <x:c r="C172" s="88" t="s">
        <x:v>1307</x:v>
      </x:c>
      <x:c r="D172" s="88" t="s">
        <x:v>248</x:v>
      </x:c>
      <x:c r="E172" s="88" t="s">
        <x:v>278</x:v>
      </x:c>
      <x:c r="F172" s="89">
        <x:v>46127.077666331017</x:v>
      </x:c>
      <x:c r="G172" s="89">
        <x:v>46220.056889340274</x:v>
      </x:c>
      <x:c r="H172" s="89">
        <x:v>46127.077666331017</x:v>
      </x:c>
      <x:c r="I172" s="88" t="s">
        <x:v>1803</x:v>
      </x:c>
      <x:c r="J172" s="88" t="s">
        <x:v>1804</x:v>
      </x:c>
      <x:c r="K172" s="88" t="s">
        <x:v>266</x:v>
      </x:c>
      <x:c r="L172" s="88"/>
      <x:c r="M172" s="88" t="s">
        <x:v>1307</x:v>
      </x:c>
      <x:c r="N172" s="88"/>
      <x:c r="O172" s="88"/>
      <x:c r="P172" s="88" t="s">
        <x:v>1491</x:v>
      </x:c>
      <x:c r="Q172" s="88" t="s">
        <x:v>269</x:v>
      </x:c>
      <x:c r="R172" s="88" t="s">
        <x:v>283</x:v>
      </x:c>
      <x:c r="S172" s="88"/>
      <x:c r="T172" s="88" t="s">
        <x:v>249</x:v>
      </x:c>
      <x:c r="U172" s="88" t="s">
        <x:v>1307</x:v>
      </x:c>
      <x:c r="V172" s="89">
        <x:v>46220.05688935185</x:v>
      </x:c>
      <x:c r="W172" s="88"/>
      <x:c r="X172" s="88"/>
      <x:c r="Y172" s="88" t="s">
        <x:v>1307</x:v>
      </x:c>
      <x:c r="Z172" s="89"/>
      <x:c r="AA172" s="88"/>
      <x:c r="AB172" s="88"/>
      <x:c r="AC172" s="88" t="s">
        <x:v>273</x:v>
      </x:c>
      <x:c r="AD172" s="89"/>
      <x:c r="AE172" s="88"/>
      <x:c r="AF172" s="88"/>
      <x:c r="AG172" s="88" t="s">
        <x:v>161</x:v>
      </x:c>
      <x:c r="AH172" s="89"/>
      <x:c r="AI172" s="88"/>
      <x:c r="AJ172" s="88" t="s">
        <x:v>1805</x:v>
      </x:c>
      <x:c r="AK172" s="88" t="s">
        <x:v>1806</x:v>
      </x:c>
      <x:c r="AL172" s="88"/>
      <x:c r="AM172" s="88"/>
      <x:c r="AN172" s="88" t="s">
        <x:v>414</x:v>
      </x:c>
      <x:c r="AO172" s="88">
        <x:v>120</x:v>
      </x:c>
    </x:row>
    <x:row r="173">
      <x:c r="A173" s="88" t="s">
        <x:v>1807</x:v>
      </x:c>
      <x:c r="B173" s="88" t="s">
        <x:v>1808</x:v>
      </x:c>
      <x:c r="C173" s="88" t="s">
        <x:v>794</x:v>
      </x:c>
      <x:c r="D173" s="88" t="s">
        <x:v>248</x:v>
      </x:c>
      <x:c r="E173" s="88" t="s">
        <x:v>372</x:v>
      </x:c>
      <x:c r="F173" s="89">
        <x:v>46129.057794421293</x:v>
      </x:c>
      <x:c r="G173" s="89">
        <x:v>46129.057794421293</x:v>
      </x:c>
      <x:c r="H173" s="89">
        <x:v>46129.057794421293</x:v>
      </x:c>
      <x:c r="I173" s="88" t="s">
        <x:v>1803</x:v>
      </x:c>
      <x:c r="J173" s="88" t="s">
        <x:v>1804</x:v>
      </x:c>
      <x:c r="K173" s="88" t="s">
        <x:v>266</x:v>
      </x:c>
      <x:c r="L173" s="88"/>
      <x:c r="M173" s="88" t="s">
        <x:v>1809</x:v>
      </x:c>
      <x:c r="N173" s="88"/>
      <x:c r="O173" s="88"/>
      <x:c r="P173" s="88" t="s">
        <x:v>1510</x:v>
      </x:c>
      <x:c r="Q173" s="88" t="s">
        <x:v>269</x:v>
      </x:c>
      <x:c r="R173" s="88" t="s">
        <x:v>283</x:v>
      </x:c>
      <x:c r="S173" s="88"/>
      <x:c r="T173" s="88" t="s">
        <x:v>372</x:v>
      </x:c>
      <x:c r="U173" s="88" t="s">
        <x:v>794</x:v>
      </x:c>
      <x:c r="V173" s="89"/>
      <x:c r="W173" s="88"/>
      <x:c r="X173" s="88"/>
      <x:c r="Y173" s="88" t="s">
        <x:v>1810</x:v>
      </x:c>
      <x:c r="Z173" s="89"/>
      <x:c r="AA173" s="88"/>
      <x:c r="AB173" s="88"/>
      <x:c r="AC173" s="88" t="s">
        <x:v>273</x:v>
      </x:c>
      <x:c r="AD173" s="89"/>
      <x:c r="AE173" s="88"/>
      <x:c r="AF173" s="88"/>
      <x:c r="AG173" s="88" t="s">
        <x:v>161</x:v>
      </x:c>
      <x:c r="AH173" s="89"/>
      <x:c r="AI173" s="88"/>
      <x:c r="AJ173" s="88" t="s">
        <x:v>1805</x:v>
      </x:c>
      <x:c r="AK173" s="88" t="s">
        <x:v>1806</x:v>
      </x:c>
      <x:c r="AL173" s="88"/>
      <x:c r="AM173" s="88"/>
      <x:c r="AN173" s="88" t="s">
        <x:v>414</x:v>
      </x:c>
      <x:c r="AO173" s="88">
        <x:v>365</x:v>
      </x:c>
    </x:row>
    <x:row r="174">
      <x:c r="A174" s="88" t="s">
        <x:v>1811</x:v>
      </x:c>
      <x:c r="B174" s="88" t="s">
        <x:v>1812</x:v>
      </x:c>
      <x:c r="C174" s="88" t="s">
        <x:v>1129</x:v>
      </x:c>
      <x:c r="D174" s="88" t="s">
        <x:v>248</x:v>
      </x:c>
      <x:c r="E174" s="88" t="s">
        <x:v>249</x:v>
      </x:c>
      <x:c r="F174" s="89">
        <x:v>46129.061131249997</x:v>
      </x:c>
      <x:c r="G174" s="89">
        <x:v>46140.246479918984</x:v>
      </x:c>
      <x:c r="H174" s="89">
        <x:v>46129.061131249997</x:v>
      </x:c>
      <x:c r="I174" s="88" t="s">
        <x:v>1813</x:v>
      </x:c>
      <x:c r="J174" s="88" t="s">
        <x:v>1814</x:v>
      </x:c>
      <x:c r="K174" s="88" t="s">
        <x:v>380</x:v>
      </x:c>
      <x:c r="L174" s="88" t="s">
        <x:v>1815</x:v>
      </x:c>
      <x:c r="M174" s="88" t="s">
        <x:v>827</x:v>
      </x:c>
      <x:c r="N174" s="88" t="s">
        <x:v>1816</x:v>
      </x:c>
      <x:c r="O174" s="88" t="s">
        <x:v>1817</x:v>
      </x:c>
      <x:c r="P174" s="88" t="s">
        <x:v>1818</x:v>
      </x:c>
      <x:c r="Q174" s="88" t="s">
        <x:v>256</x:v>
      </x:c>
      <x:c r="R174" s="88" t="s">
        <x:v>257</x:v>
      </x:c>
      <x:c r="S174" s="88"/>
      <x:c r="T174" s="88" t="s">
        <x:v>259</x:v>
      </x:c>
      <x:c r="U174" s="88" t="s">
        <x:v>827</x:v>
      </x:c>
      <x:c r="V174" s="89">
        <x:v>46135.963942581016</x:v>
      </x:c>
      <x:c r="W174" s="88" t="s">
        <x:v>1819</x:v>
      </x:c>
      <x:c r="X174" s="88" t="s">
        <x:v>249</x:v>
      </x:c>
      <x:c r="Y174" s="88" t="s">
        <x:v>827</x:v>
      </x:c>
      <x:c r="Z174" s="89">
        <x:v>46140.246479918984</x:v>
      </x:c>
      <x:c r="AA174" s="88" t="s">
        <x:v>1820</x:v>
      </x:c>
      <x:c r="AB174" s="88"/>
      <x:c r="AC174" s="88" t="s">
        <x:v>273</x:v>
      </x:c>
      <x:c r="AD174" s="89"/>
      <x:c r="AE174" s="88"/>
      <x:c r="AF174" s="88"/>
      <x:c r="AG174" s="88" t="s">
        <x:v>161</x:v>
      </x:c>
      <x:c r="AH174" s="89"/>
      <x:c r="AI174" s="88"/>
      <x:c r="AJ174" s="88" t="s">
        <x:v>1821</x:v>
      </x:c>
      <x:c r="AK174" s="88" t="s">
        <x:v>1822</x:v>
      </x:c>
      <x:c r="AL174" s="88"/>
      <x:c r="AM174" s="88"/>
      <x:c r="AN174" s="88" t="s">
        <x:v>414</x:v>
      </x:c>
      <x:c r="AO174" s="88">
        <x:v>90</x:v>
      </x:c>
    </x:row>
    <x:row r="175">
      <x:c r="A175" s="88" t="s">
        <x:v>1823</x:v>
      </x:c>
      <x:c r="B175" s="88" t="s">
        <x:v>1824</x:v>
      </x:c>
      <x:c r="C175" s="88" t="s">
        <x:v>1825</x:v>
      </x:c>
      <x:c r="D175" s="88" t="s">
        <x:v>248</x:v>
      </x:c>
      <x:c r="E175" s="88" t="s">
        <x:v>278</x:v>
      </x:c>
      <x:c r="F175" s="89">
        <x:v>46132.118696817131</x:v>
      </x:c>
      <x:c r="G175" s="89">
        <x:v>46134.340085231481</x:v>
      </x:c>
      <x:c r="H175" s="89">
        <x:v>46134.338344837961</x:v>
      </x:c>
      <x:c r="I175" s="88" t="s">
        <x:v>1826</x:v>
      </x:c>
      <x:c r="J175" s="88" t="s">
        <x:v>1827</x:v>
      </x:c>
      <x:c r="K175" s="88" t="s">
        <x:v>266</x:v>
      </x:c>
      <x:c r="L175" s="88"/>
      <x:c r="M175" s="88" t="s">
        <x:v>1559</x:v>
      </x:c>
      <x:c r="N175" s="88" t="s">
        <x:v>1828</x:v>
      </x:c>
      <x:c r="O175" s="88"/>
      <x:c r="P175" s="88" t="s">
        <x:v>1829</x:v>
      </x:c>
      <x:c r="Q175" s="88" t="s">
        <x:v>256</x:v>
      </x:c>
      <x:c r="R175" s="88" t="s">
        <x:v>283</x:v>
      </x:c>
      <x:c r="S175" s="88"/>
      <x:c r="T175" s="88" t="s">
        <x:v>249</x:v>
      </x:c>
      <x:c r="U175" s="88" t="s">
        <x:v>1825</x:v>
      </x:c>
      <x:c r="V175" s="89">
        <x:v>46134.340085243057</x:v>
      </x:c>
      <x:c r="W175" s="88"/>
      <x:c r="X175" s="88"/>
      <x:c r="Y175" s="88" t="s">
        <x:v>1562</x:v>
      </x:c>
      <x:c r="Z175" s="89"/>
      <x:c r="AA175" s="88"/>
      <x:c r="AB175" s="88"/>
      <x:c r="AC175" s="88" t="s">
        <x:v>273</x:v>
      </x:c>
      <x:c r="AD175" s="89"/>
      <x:c r="AE175" s="88"/>
      <x:c r="AF175" s="88"/>
      <x:c r="AG175" s="88" t="s">
        <x:v>273</x:v>
      </x:c>
      <x:c r="AH175" s="89"/>
      <x:c r="AI175" s="88"/>
      <x:c r="AJ175" s="88" t="s">
        <x:v>1830</x:v>
      </x:c>
      <x:c r="AK175" s="88">
        <x:v>2573</x:v>
      </x:c>
      <x:c r="AL175" s="88"/>
      <x:c r="AM175" s="88"/>
      <x:c r="AN175" s="88" t="s">
        <x:v>369</x:v>
      </x:c>
      <x:c r="AO175" s="88">
        <x:v>0</x:v>
      </x:c>
    </x:row>
    <x:row r="176">
      <x:c r="A176" s="88" t="s">
        <x:v>1831</x:v>
      </x:c>
      <x:c r="B176" s="88" t="s">
        <x:v>1832</x:v>
      </x:c>
      <x:c r="C176" s="88" t="s">
        <x:v>613</x:v>
      </x:c>
      <x:c r="D176" s="88" t="s">
        <x:v>248</x:v>
      </x:c>
      <x:c r="E176" s="88" t="s">
        <x:v>342</x:v>
      </x:c>
      <x:c r="F176" s="89">
        <x:v>46132.139100960645</x:v>
      </x:c>
      <x:c r="G176" s="89">
        <x:v>46136.083598483798</x:v>
      </x:c>
      <x:c r="H176" s="89">
        <x:v>46132.139100960645</x:v>
      </x:c>
      <x:c r="I176" s="88" t="s">
        <x:v>1833</x:v>
      </x:c>
      <x:c r="J176" s="88" t="s">
        <x:v>1834</x:v>
      </x:c>
      <x:c r="K176" s="88" t="s">
        <x:v>380</x:v>
      </x:c>
      <x:c r="L176" s="88" t="s">
        <x:v>1835</x:v>
      </x:c>
      <x:c r="M176" s="88" t="s">
        <x:v>616</x:v>
      </x:c>
      <x:c r="N176" s="88" t="s">
        <x:v>1836</x:v>
      </x:c>
      <x:c r="O176" s="88"/>
      <x:c r="P176" s="88" t="s">
        <x:v>1837</x:v>
      </x:c>
      <x:c r="Q176" s="88" t="s">
        <x:v>347</x:v>
      </x:c>
      <x:c r="R176" s="88" t="s">
        <x:v>283</x:v>
      </x:c>
      <x:c r="S176" s="88"/>
      <x:c r="T176" s="88" t="s">
        <x:v>259</x:v>
      </x:c>
      <x:c r="U176" s="88" t="s">
        <x:v>613</x:v>
      </x:c>
      <x:c r="V176" s="89">
        <x:v>46132.140034502314</x:v>
      </x:c>
      <x:c r="W176" s="88" t="s">
        <x:v>1838</x:v>
      </x:c>
      <x:c r="X176" s="88" t="s">
        <x:v>259</x:v>
      </x:c>
      <x:c r="Y176" s="88" t="s">
        <x:v>616</x:v>
      </x:c>
      <x:c r="Z176" s="89">
        <x:v>46132.147759409723</x:v>
      </x:c>
      <x:c r="AA176" s="88" t="s">
        <x:v>1839</x:v>
      </x:c>
      <x:c r="AB176" s="88" t="s">
        <x:v>259</x:v>
      </x:c>
      <x:c r="AC176" s="88" t="s">
        <x:v>271</x:v>
      </x:c>
      <x:c r="AD176" s="89">
        <x:v>46132.317911608799</x:v>
      </x:c>
      <x:c r="AE176" s="88" t="s">
        <x:v>1840</x:v>
      </x:c>
      <x:c r="AF176" s="88" t="s">
        <x:v>259</x:v>
      </x:c>
      <x:c r="AG176" s="88" t="s">
        <x:v>271</x:v>
      </x:c>
      <x:c r="AH176" s="89">
        <x:v>46136.083598495374</x:v>
      </x:c>
      <x:c r="AI176" s="88" t="s">
        <x:v>353</x:v>
      </x:c>
      <x:c r="AJ176" s="88" t="s">
        <x:v>1841</x:v>
      </x:c>
      <x:c r="AK176" s="88">
        <x:v>3067</x:v>
      </x:c>
      <x:c r="AL176" s="88" t="s">
        <x:v>193</x:v>
      </x:c>
      <x:c r="AM176" s="88" t="s">
        <x:v>1842</x:v>
      </x:c>
      <x:c r="AN176" s="88" t="s">
        <x:v>391</x:v>
      </x:c>
      <x:c r="AO176" s="88">
        <x:v>0</x:v>
      </x:c>
    </x:row>
    <x:row r="177">
      <x:c r="A177" s="88" t="s">
        <x:v>1843</x:v>
      </x:c>
      <x:c r="B177" s="88" t="s">
        <x:v>1844</x:v>
      </x:c>
      <x:c r="C177" s="88" t="s">
        <x:v>1825</x:v>
      </x:c>
      <x:c r="D177" s="88" t="s">
        <x:v>248</x:v>
      </x:c>
      <x:c r="E177" s="88" t="s">
        <x:v>278</x:v>
      </x:c>
      <x:c r="F177" s="89">
        <x:v>46133.103149664355</x:v>
      </x:c>
      <x:c r="G177" s="89">
        <x:v>46133.103778136574</x:v>
      </x:c>
      <x:c r="H177" s="89">
        <x:v>46133.103149664355</x:v>
      </x:c>
      <x:c r="I177" s="88" t="s">
        <x:v>1826</x:v>
      </x:c>
      <x:c r="J177" s="88" t="s">
        <x:v>1827</x:v>
      </x:c>
      <x:c r="K177" s="88" t="s">
        <x:v>266</x:v>
      </x:c>
      <x:c r="L177" s="88"/>
      <x:c r="M177" s="88" t="s">
        <x:v>1562</x:v>
      </x:c>
      <x:c r="N177" s="88"/>
      <x:c r="O177" s="88"/>
      <x:c r="P177" s="88" t="s">
        <x:v>1829</x:v>
      </x:c>
      <x:c r="Q177" s="88" t="s">
        <x:v>256</x:v>
      </x:c>
      <x:c r="R177" s="88" t="s">
        <x:v>283</x:v>
      </x:c>
      <x:c r="S177" s="88"/>
      <x:c r="T177" s="88" t="s">
        <x:v>249</x:v>
      </x:c>
      <x:c r="U177" s="88" t="s">
        <x:v>1825</x:v>
      </x:c>
      <x:c r="V177" s="89">
        <x:v>46133.10377814815</x:v>
      </x:c>
      <x:c r="W177" s="88"/>
      <x:c r="X177" s="88"/>
      <x:c r="Y177" s="88" t="s">
        <x:v>1562</x:v>
      </x:c>
      <x:c r="Z177" s="89"/>
      <x:c r="AA177" s="88"/>
      <x:c r="AB177" s="88"/>
      <x:c r="AC177" s="88" t="s">
        <x:v>273</x:v>
      </x:c>
      <x:c r="AD177" s="89"/>
      <x:c r="AE177" s="88"/>
      <x:c r="AF177" s="88"/>
      <x:c r="AG177" s="88" t="s">
        <x:v>161</x:v>
      </x:c>
      <x:c r="AH177" s="89"/>
      <x:c r="AI177" s="88"/>
      <x:c r="AJ177" s="88" t="s">
        <x:v>1830</x:v>
      </x:c>
      <x:c r="AK177" s="88">
        <x:v>2573</x:v>
      </x:c>
      <x:c r="AL177" s="88"/>
      <x:c r="AM177" s="88"/>
      <x:c r="AN177" s="88" t="s">
        <x:v>369</x:v>
      </x:c>
      <x:c r="AO177" s="88">
        <x:v>0</x:v>
      </x:c>
    </x:row>
    <x:row r="178">
      <x:c r="A178" s="88" t="s">
        <x:v>1845</x:v>
      </x:c>
      <x:c r="B178" s="88" t="s">
        <x:v>1846</x:v>
      </x:c>
      <x:c r="C178" s="88" t="s">
        <x:v>1825</x:v>
      </x:c>
      <x:c r="D178" s="88" t="s">
        <x:v>248</x:v>
      </x:c>
      <x:c r="E178" s="88" t="s">
        <x:v>249</x:v>
      </x:c>
      <x:c r="F178" s="89">
        <x:v>46134.337618252313</x:v>
      </x:c>
      <x:c r="G178" s="89">
        <x:v>46134.363218865743</x:v>
      </x:c>
      <x:c r="H178" s="89">
        <x:v>46134.337618252313</x:v>
      </x:c>
      <x:c r="I178" s="88" t="s">
        <x:v>1826</x:v>
      </x:c>
      <x:c r="J178" s="88" t="s">
        <x:v>1827</x:v>
      </x:c>
      <x:c r="K178" s="88" t="s">
        <x:v>380</x:v>
      </x:c>
      <x:c r="L178" s="88" t="s">
        <x:v>1847</x:v>
      </x:c>
      <x:c r="M178" s="88" t="s">
        <x:v>1559</x:v>
      </x:c>
      <x:c r="N178" s="88"/>
      <x:c r="O178" s="88"/>
      <x:c r="P178" s="88" t="s">
        <x:v>1829</x:v>
      </x:c>
      <x:c r="Q178" s="88" t="s">
        <x:v>256</x:v>
      </x:c>
      <x:c r="R178" s="88" t="s">
        <x:v>283</x:v>
      </x:c>
      <x:c r="S178" s="88"/>
      <x:c r="T178" s="88" t="s">
        <x:v>259</x:v>
      </x:c>
      <x:c r="U178" s="88" t="s">
        <x:v>1825</x:v>
      </x:c>
      <x:c r="V178" s="89">
        <x:v>46134.339617777776</x:v>
      </x:c>
      <x:c r="W178" s="88" t="s">
        <x:v>1848</x:v>
      </x:c>
      <x:c r="X178" s="88" t="s">
        <x:v>249</x:v>
      </x:c>
      <x:c r="Y178" s="88" t="s">
        <x:v>1562</x:v>
      </x:c>
      <x:c r="Z178" s="89">
        <x:v>46134.363218877312</x:v>
      </x:c>
      <x:c r="AA178" s="88" t="s">
        <x:v>1849</x:v>
      </x:c>
      <x:c r="AB178" s="88"/>
      <x:c r="AC178" s="88" t="s">
        <x:v>273</x:v>
      </x:c>
      <x:c r="AD178" s="89"/>
      <x:c r="AE178" s="88"/>
      <x:c r="AF178" s="88"/>
      <x:c r="AG178" s="88" t="s">
        <x:v>161</x:v>
      </x:c>
      <x:c r="AH178" s="89"/>
      <x:c r="AI178" s="88"/>
      <x:c r="AJ178" s="88" t="s">
        <x:v>1830</x:v>
      </x:c>
      <x:c r="AK178" s="88">
        <x:v>2573</x:v>
      </x:c>
      <x:c r="AL178" s="88"/>
      <x:c r="AM178" s="88"/>
      <x:c r="AN178" s="88" t="s">
        <x:v>369</x:v>
      </x:c>
      <x:c r="AO178" s="88">
        <x:v>0</x:v>
      </x:c>
    </x:row>
    <x:row r="179">
      <x:c r="A179" s="88" t="s">
        <x:v>1850</x:v>
      </x:c>
      <x:c r="B179" s="88" t="s">
        <x:v>1851</x:v>
      </x:c>
      <x:c r="C179" s="88" t="s">
        <x:v>1825</x:v>
      </x:c>
      <x:c r="D179" s="88" t="s">
        <x:v>248</x:v>
      </x:c>
      <x:c r="E179" s="88" t="s">
        <x:v>342</x:v>
      </x:c>
      <x:c r="F179" s="89">
        <x:v>46134.373208449077</x:v>
      </x:c>
      <x:c r="G179" s="89">
        <x:v>46139.091910358795</x:v>
      </x:c>
      <x:c r="H179" s="89">
        <x:v>46134.373545150462</x:v>
      </x:c>
      <x:c r="I179" s="88" t="s">
        <x:v>1826</x:v>
      </x:c>
      <x:c r="J179" s="88" t="s">
        <x:v>1827</x:v>
      </x:c>
      <x:c r="K179" s="88" t="s">
        <x:v>266</x:v>
      </x:c>
      <x:c r="L179" s="88"/>
      <x:c r="M179" s="88" t="s">
        <x:v>1559</x:v>
      </x:c>
      <x:c r="N179" s="88"/>
      <x:c r="O179" s="88"/>
      <x:c r="P179" s="88" t="s">
        <x:v>1829</x:v>
      </x:c>
      <x:c r="Q179" s="88" t="s">
        <x:v>323</x:v>
      </x:c>
      <x:c r="R179" s="88" t="s">
        <x:v>283</x:v>
      </x:c>
      <x:c r="S179" s="88"/>
      <x:c r="T179" s="88" t="s">
        <x:v>259</x:v>
      </x:c>
      <x:c r="U179" s="88" t="s">
        <x:v>1825</x:v>
      </x:c>
      <x:c r="V179" s="89">
        <x:v>46134.374415219907</x:v>
      </x:c>
      <x:c r="W179" s="88" t="s">
        <x:v>1852</x:v>
      </x:c>
      <x:c r="X179" s="88" t="s">
        <x:v>259</x:v>
      </x:c>
      <x:c r="Y179" s="88" t="s">
        <x:v>1562</x:v>
      </x:c>
      <x:c r="Z179" s="89">
        <x:v>46135.124159247687</x:v>
      </x:c>
      <x:c r="AA179" s="88" t="s">
        <x:v>1853</x:v>
      </x:c>
      <x:c r="AB179" s="88" t="s">
        <x:v>259</x:v>
      </x:c>
      <x:c r="AC179" s="88" t="s">
        <x:v>271</x:v>
      </x:c>
      <x:c r="AD179" s="89">
        <x:v>46135.146055462959</x:v>
      </x:c>
      <x:c r="AE179" s="88" t="s">
        <x:v>1854</x:v>
      </x:c>
      <x:c r="AF179" s="88" t="s">
        <x:v>259</x:v>
      </x:c>
      <x:c r="AG179" s="88" t="s">
        <x:v>271</x:v>
      </x:c>
      <x:c r="AH179" s="89">
        <x:v>46139.091910370371</x:v>
      </x:c>
      <x:c r="AI179" s="88" t="s">
        <x:v>353</x:v>
      </x:c>
      <x:c r="AJ179" s="88" t="s">
        <x:v>1830</x:v>
      </x:c>
      <x:c r="AK179" s="88">
        <x:v>2573</x:v>
      </x:c>
      <x:c r="AL179" s="88" t="s">
        <x:v>185</x:v>
      </x:c>
      <x:c r="AM179" s="88" t="s">
        <x:v>1855</x:v>
      </x:c>
      <x:c r="AN179" s="88" t="s">
        <x:v>369</x:v>
      </x:c>
      <x:c r="AO179" s="88">
        <x:v>0</x:v>
      </x:c>
    </x:row>
    <x:row r="180">
      <x:c r="A180" s="88" t="s">
        <x:v>1856</x:v>
      </x:c>
      <x:c r="B180" s="88" t="s">
        <x:v>1857</x:v>
      </x:c>
      <x:c r="C180" s="88" t="s">
        <x:v>1449</x:v>
      </x:c>
      <x:c r="D180" s="88" t="s">
        <x:v>248</x:v>
      </x:c>
      <x:c r="E180" s="88" t="s">
        <x:v>342</x:v>
      </x:c>
      <x:c r="F180" s="89">
        <x:v>46134.389299386574</x:v>
      </x:c>
      <x:c r="G180" s="89">
        <x:v>46142.337707395833</x:v>
      </x:c>
      <x:c r="H180" s="89">
        <x:v>46134.389299386574</x:v>
      </x:c>
      <x:c r="I180" s="88" t="s">
        <x:v>1858</x:v>
      </x:c>
      <x:c r="J180" s="88" t="s">
        <x:v>1859</x:v>
      </x:c>
      <x:c r="K180" s="88" t="s">
        <x:v>266</x:v>
      </x:c>
      <x:c r="L180" s="88"/>
      <x:c r="M180" s="88" t="s">
        <x:v>1860</x:v>
      </x:c>
      <x:c r="N180" s="88" t="s">
        <x:v>1861</x:v>
      </x:c>
      <x:c r="O180" s="88"/>
      <x:c r="P180" s="88" t="s">
        <x:v>1862</x:v>
      </x:c>
      <x:c r="Q180" s="88" t="s">
        <x:v>323</x:v>
      </x:c>
      <x:c r="R180" s="88" t="s">
        <x:v>257</x:v>
      </x:c>
      <x:c r="S180" s="88"/>
      <x:c r="T180" s="88" t="s">
        <x:v>259</x:v>
      </x:c>
      <x:c r="U180" s="88" t="s">
        <x:v>1449</x:v>
      </x:c>
      <x:c r="V180" s="89">
        <x:v>46134.389911087965</x:v>
      </x:c>
      <x:c r="W180" s="88" t="s">
        <x:v>1863</x:v>
      </x:c>
      <x:c r="X180" s="88" t="s">
        <x:v>259</x:v>
      </x:c>
      <x:c r="Y180" s="88" t="s">
        <x:v>1864</x:v>
      </x:c>
      <x:c r="Z180" s="89">
        <x:v>46136.377705474537</x:v>
      </x:c>
      <x:c r="AA180" s="88" t="s">
        <x:v>1865</x:v>
      </x:c>
      <x:c r="AB180" s="88" t="s">
        <x:v>259</x:v>
      </x:c>
      <x:c r="AC180" s="88" t="s">
        <x:v>271</x:v>
      </x:c>
      <x:c r="AD180" s="89">
        <x:v>46139.106466747682</x:v>
      </x:c>
      <x:c r="AE180" s="88" t="s">
        <x:v>1866</x:v>
      </x:c>
      <x:c r="AF180" s="88" t="s">
        <x:v>259</x:v>
      </x:c>
      <x:c r="AG180" s="88" t="s">
        <x:v>271</x:v>
      </x:c>
      <x:c r="AH180" s="89">
        <x:v>46142.337707395833</x:v>
      </x:c>
      <x:c r="AI180" s="88" t="s">
        <x:v>353</x:v>
      </x:c>
      <x:c r="AJ180" s="88" t="s">
        <x:v>1867</x:v>
      </x:c>
      <x:c r="AK180" s="88" t="s">
        <x:v>1868</x:v>
      </x:c>
      <x:c r="AL180" s="88" t="s">
        <x:v>162</x:v>
      </x:c>
      <x:c r="AM180" s="88" t="s">
        <x:v>1869</x:v>
      </x:c>
      <x:c r="AN180" s="88" t="s">
        <x:v>369</x:v>
      </x:c>
      <x:c r="AO180" s="88">
        <x:v>0</x:v>
      </x:c>
    </x:row>
    <x:row r="181">
      <x:c r="A181" s="88" t="s">
        <x:v>1870</x:v>
      </x:c>
      <x:c r="B181" s="88" t="s">
        <x:v>1871</x:v>
      </x:c>
      <x:c r="C181" s="88" t="s">
        <x:v>794</x:v>
      </x:c>
      <x:c r="D181" s="88" t="s">
        <x:v>248</x:v>
      </x:c>
      <x:c r="E181" s="88" t="s">
        <x:v>342</x:v>
      </x:c>
      <x:c r="F181" s="89">
        <x:v>46139.220668888891</x:v>
      </x:c>
      <x:c r="G181" s="89">
        <x:v>46148.113203923611</x:v>
      </x:c>
      <x:c r="H181" s="89">
        <x:v>46139.220668888891</x:v>
      </x:c>
      <x:c r="I181" s="88" t="s">
        <x:v>1803</x:v>
      </x:c>
      <x:c r="J181" s="88" t="s">
        <x:v>1804</x:v>
      </x:c>
      <x:c r="K181" s="88" t="s">
        <x:v>266</x:v>
      </x:c>
      <x:c r="L181" s="88"/>
      <x:c r="M181" s="88" t="s">
        <x:v>1809</x:v>
      </x:c>
      <x:c r="N181" s="88"/>
      <x:c r="O181" s="88"/>
      <x:c r="P181" s="88" t="s">
        <x:v>1510</x:v>
      </x:c>
      <x:c r="Q181" s="88" t="s">
        <x:v>269</x:v>
      </x:c>
      <x:c r="R181" s="88" t="s">
        <x:v>283</x:v>
      </x:c>
      <x:c r="S181" s="88"/>
      <x:c r="T181" s="88" t="s">
        <x:v>259</x:v>
      </x:c>
      <x:c r="U181" s="88" t="s">
        <x:v>794</x:v>
      </x:c>
      <x:c r="V181" s="89">
        <x:v>46139.223362291668</x:v>
      </x:c>
      <x:c r="W181" s="88" t="s">
        <x:v>1872</x:v>
      </x:c>
      <x:c r="X181" s="88" t="s">
        <x:v>259</x:v>
      </x:c>
      <x:c r="Y181" s="88" t="s">
        <x:v>1810</x:v>
      </x:c>
      <x:c r="Z181" s="89">
        <x:v>46146.258035208331</x:v>
      </x:c>
      <x:c r="AA181" s="88" t="s">
        <x:v>1480</x:v>
      </x:c>
      <x:c r="AB181" s="88" t="s">
        <x:v>259</x:v>
      </x:c>
      <x:c r="AC181" s="88" t="s">
        <x:v>271</x:v>
      </x:c>
      <x:c r="AD181" s="89">
        <x:v>46147.094662916665</x:v>
      </x:c>
      <x:c r="AE181" s="88" t="s">
        <x:v>1873</x:v>
      </x:c>
      <x:c r="AF181" s="88" t="s">
        <x:v>259</x:v>
      </x:c>
      <x:c r="AG181" s="88" t="s">
        <x:v>271</x:v>
      </x:c>
      <x:c r="AH181" s="89">
        <x:v>46148.113203935187</x:v>
      </x:c>
      <x:c r="AI181" s="88" t="s">
        <x:v>353</x:v>
      </x:c>
      <x:c r="AJ181" s="88" t="s">
        <x:v>1805</x:v>
      </x:c>
      <x:c r="AK181" s="88" t="s">
        <x:v>1806</x:v>
      </x:c>
      <x:c r="AL181" s="88" t="s">
        <x:v>162</x:v>
      </x:c>
      <x:c r="AM181" s="88" t="s">
        <x:v>1874</x:v>
      </x:c>
      <x:c r="AN181" s="88" t="s">
        <x:v>414</x:v>
      </x:c>
      <x:c r="AO181" s="88">
        <x:v>365</x:v>
      </x:c>
    </x:row>
    <x:row r="182">
      <x:c r="A182" s="88" t="s">
        <x:v>1875</x:v>
      </x:c>
      <x:c r="B182" s="88" t="s">
        <x:v>1876</x:v>
      </x:c>
      <x:c r="C182" s="88" t="s">
        <x:v>1877</x:v>
      </x:c>
      <x:c r="D182" s="88" t="s">
        <x:v>248</x:v>
      </x:c>
      <x:c r="E182" s="88" t="s">
        <x:v>278</x:v>
      </x:c>
      <x:c r="F182" s="89">
        <x:v>46139.243122002314</x:v>
      </x:c>
      <x:c r="G182" s="89">
        <x:v>46139.243545949073</x:v>
      </x:c>
      <x:c r="H182" s="89">
        <x:v>46139.243122002314</x:v>
      </x:c>
      <x:c r="I182" s="88" t="s">
        <x:v>1878</x:v>
      </x:c>
      <x:c r="J182" s="88" t="s">
        <x:v>1879</x:v>
      </x:c>
      <x:c r="K182" s="88" t="s">
        <x:v>266</x:v>
      </x:c>
      <x:c r="L182" s="88"/>
      <x:c r="M182" s="88" t="s">
        <x:v>1880</x:v>
      </x:c>
      <x:c r="N182" s="88"/>
      <x:c r="O182" s="88"/>
      <x:c r="P182" s="88" t="s">
        <x:v>1881</x:v>
      </x:c>
      <x:c r="Q182" s="88" t="s">
        <x:v>323</x:v>
      </x:c>
      <x:c r="R182" s="88" t="s">
        <x:v>283</x:v>
      </x:c>
      <x:c r="S182" s="88"/>
      <x:c r="T182" s="88" t="s">
        <x:v>249</x:v>
      </x:c>
      <x:c r="U182" s="88" t="s">
        <x:v>1877</x:v>
      </x:c>
      <x:c r="V182" s="89">
        <x:v>46139.243545960649</x:v>
      </x:c>
      <x:c r="W182" s="88"/>
      <x:c r="X182" s="88"/>
      <x:c r="Y182" s="88" t="s">
        <x:v>1880</x:v>
      </x:c>
      <x:c r="Z182" s="89"/>
      <x:c r="AA182" s="88"/>
      <x:c r="AB182" s="88"/>
      <x:c r="AC182" s="88" t="s">
        <x:v>273</x:v>
      </x:c>
      <x:c r="AD182" s="89"/>
      <x:c r="AE182" s="88"/>
      <x:c r="AF182" s="88"/>
      <x:c r="AG182" s="88" t="s">
        <x:v>161</x:v>
      </x:c>
      <x:c r="AH182" s="89"/>
      <x:c r="AI182" s="88"/>
      <x:c r="AJ182" s="88" t="s">
        <x:v>1882</x:v>
      </x:c>
      <x:c r="AK182" s="88">
        <x:v>3277</x:v>
      </x:c>
      <x:c r="AL182" s="88"/>
      <x:c r="AM182" s="88"/>
      <x:c r="AN182" s="88" t="s">
        <x:v>391</x:v>
      </x:c>
      <x:c r="AO182" s="88">
        <x:v>0</x:v>
      </x:c>
    </x:row>
    <x:row r="183">
      <x:c r="A183" s="88" t="s">
        <x:v>1883</x:v>
      </x:c>
      <x:c r="B183" s="88" t="s">
        <x:v>1884</x:v>
      </x:c>
      <x:c r="C183" s="88" t="s">
        <x:v>1877</x:v>
      </x:c>
      <x:c r="D183" s="88" t="s">
        <x:v>248</x:v>
      </x:c>
      <x:c r="E183" s="88" t="s">
        <x:v>342</x:v>
      </x:c>
      <x:c r="F183" s="89">
        <x:v>46139.248495925924</x:v>
      </x:c>
      <x:c r="G183" s="89">
        <x:v>46142.312653877314</x:v>
      </x:c>
      <x:c r="H183" s="89">
        <x:v>46139.248495925924</x:v>
      </x:c>
      <x:c r="I183" s="88" t="s">
        <x:v>1878</x:v>
      </x:c>
      <x:c r="J183" s="88" t="s">
        <x:v>1879</x:v>
      </x:c>
      <x:c r="K183" s="88" t="s">
        <x:v>266</x:v>
      </x:c>
      <x:c r="L183" s="88"/>
      <x:c r="M183" s="88" t="s">
        <x:v>667</x:v>
      </x:c>
      <x:c r="N183" s="88"/>
      <x:c r="O183" s="88"/>
      <x:c r="P183" s="88" t="s">
        <x:v>1885</x:v>
      </x:c>
      <x:c r="Q183" s="88" t="s">
        <x:v>347</x:v>
      </x:c>
      <x:c r="R183" s="88" t="s">
        <x:v>283</x:v>
      </x:c>
      <x:c r="S183" s="88"/>
      <x:c r="T183" s="88" t="s">
        <x:v>259</x:v>
      </x:c>
      <x:c r="U183" s="88" t="s">
        <x:v>1877</x:v>
      </x:c>
      <x:c r="V183" s="89">
        <x:v>46139.249662766204</x:v>
      </x:c>
      <x:c r="W183" s="88" t="s">
        <x:v>1886</x:v>
      </x:c>
      <x:c r="X183" s="88" t="s">
        <x:v>259</x:v>
      </x:c>
      <x:c r="Y183" s="88" t="s">
        <x:v>616</x:v>
      </x:c>
      <x:c r="Z183" s="89">
        <x:v>46139.302135034719</x:v>
      </x:c>
      <x:c r="AA183" s="88" t="s">
        <x:v>1887</x:v>
      </x:c>
      <x:c r="AB183" s="88" t="s">
        <x:v>259</x:v>
      </x:c>
      <x:c r="AC183" s="88" t="s">
        <x:v>271</x:v>
      </x:c>
      <x:c r="AD183" s="89">
        <x:v>46140.151029131943</x:v>
      </x:c>
      <x:c r="AE183" s="88" t="s">
        <x:v>1888</x:v>
      </x:c>
      <x:c r="AF183" s="88" t="s">
        <x:v>259</x:v>
      </x:c>
      <x:c r="AG183" s="88" t="s">
        <x:v>271</x:v>
      </x:c>
      <x:c r="AH183" s="89">
        <x:v>46142.312653877314</x:v>
      </x:c>
      <x:c r="AI183" s="88" t="s">
        <x:v>353</x:v>
      </x:c>
      <x:c r="AJ183" s="88" t="s">
        <x:v>1882</x:v>
      </x:c>
      <x:c r="AK183" s="88">
        <x:v>3277</x:v>
      </x:c>
      <x:c r="AL183" s="88" t="s">
        <x:v>162</x:v>
      </x:c>
      <x:c r="AM183" s="88" t="s">
        <x:v>1889</x:v>
      </x:c>
      <x:c r="AN183" s="88" t="s">
        <x:v>391</x:v>
      </x:c>
      <x:c r="AO183" s="88">
        <x:v>0</x:v>
      </x:c>
    </x:row>
    <x:row r="184">
      <x:c r="A184" s="88" t="s">
        <x:v>1890</x:v>
      </x:c>
      <x:c r="B184" s="88" t="s">
        <x:v>1891</x:v>
      </x:c>
      <x:c r="C184" s="88" t="s">
        <x:v>1129</x:v>
      </x:c>
      <x:c r="D184" s="88" t="s">
        <x:v>248</x:v>
      </x:c>
      <x:c r="E184" s="88" t="s">
        <x:v>342</x:v>
      </x:c>
      <x:c r="F184" s="89">
        <x:v>46140.059256446759</x:v>
      </x:c>
      <x:c r="G184" s="89">
        <x:v>46142.338742476852</x:v>
      </x:c>
      <x:c r="H184" s="89">
        <x:v>46140.243259513889</x:v>
      </x:c>
      <x:c r="I184" s="88" t="s">
        <x:v>1813</x:v>
      </x:c>
      <x:c r="J184" s="88" t="s">
        <x:v>1814</x:v>
      </x:c>
      <x:c r="K184" s="88" t="s">
        <x:v>380</x:v>
      </x:c>
      <x:c r="L184" s="88" t="s">
        <x:v>1892</x:v>
      </x:c>
      <x:c r="M184" s="88" t="s">
        <x:v>827</x:v>
      </x:c>
      <x:c r="N184" s="88" t="s">
        <x:v>1816</x:v>
      </x:c>
      <x:c r="O184" s="88"/>
      <x:c r="P184" s="88" t="s">
        <x:v>1893</x:v>
      </x:c>
      <x:c r="Q184" s="88" t="s">
        <x:v>256</x:v>
      </x:c>
      <x:c r="R184" s="88" t="s">
        <x:v>257</x:v>
      </x:c>
      <x:c r="S184" s="88"/>
      <x:c r="T184" s="88" t="s">
        <x:v>259</x:v>
      </x:c>
      <x:c r="U184" s="88" t="s">
        <x:v>1129</x:v>
      </x:c>
      <x:c r="V184" s="89">
        <x:v>46140.245177048608</x:v>
      </x:c>
      <x:c r="W184" s="88" t="s">
        <x:v>1894</x:v>
      </x:c>
      <x:c r="X184" s="88" t="s">
        <x:v>259</x:v>
      </x:c>
      <x:c r="Y184" s="88" t="s">
        <x:v>827</x:v>
      </x:c>
      <x:c r="Z184" s="89">
        <x:v>46140.246979432872</x:v>
      </x:c>
      <x:c r="AA184" s="88" t="s">
        <x:v>1895</x:v>
      </x:c>
      <x:c r="AB184" s="88" t="s">
        <x:v>259</x:v>
      </x:c>
      <x:c r="AC184" s="88" t="s">
        <x:v>271</x:v>
      </x:c>
      <x:c r="AD184" s="89">
        <x:v>46140.281014641201</x:v>
      </x:c>
      <x:c r="AE184" s="88" t="s">
        <x:v>1896</x:v>
      </x:c>
      <x:c r="AF184" s="88" t="s">
        <x:v>259</x:v>
      </x:c>
      <x:c r="AG184" s="88" t="s">
        <x:v>271</x:v>
      </x:c>
      <x:c r="AH184" s="89">
        <x:v>46142.338742488428</x:v>
      </x:c>
      <x:c r="AI184" s="88" t="s">
        <x:v>353</x:v>
      </x:c>
      <x:c r="AJ184" s="88" t="s">
        <x:v>1821</x:v>
      </x:c>
      <x:c r="AK184" s="88" t="s">
        <x:v>1822</x:v>
      </x:c>
      <x:c r="AL184" s="88" t="s">
        <x:v>193</x:v>
      </x:c>
      <x:c r="AM184" s="88" t="s">
        <x:v>1897</x:v>
      </x:c>
      <x:c r="AN184" s="88" t="s">
        <x:v>414</x:v>
      </x:c>
      <x:c r="AO184" s="88">
        <x:v>14</x:v>
      </x:c>
    </x:row>
    <x:row r="185">
      <x:c r="A185" s="88" t="s">
        <x:v>1898</x:v>
      </x:c>
      <x:c r="B185" s="88" t="s">
        <x:v>1899</x:v>
      </x:c>
      <x:c r="C185" s="88" t="s">
        <x:v>1219</x:v>
      </x:c>
      <x:c r="D185" s="88" t="s">
        <x:v>248</x:v>
      </x:c>
      <x:c r="E185" s="88" t="s">
        <x:v>342</x:v>
      </x:c>
      <x:c r="F185" s="89">
        <x:v>46140.068297268517</x:v>
      </x:c>
      <x:c r="G185" s="89">
        <x:v>46199.304491365743</x:v>
      </x:c>
      <x:c r="H185" s="89">
        <x:v>46140.068297268517</x:v>
      </x:c>
      <x:c r="I185" s="88" t="s">
        <x:v>1900</x:v>
      </x:c>
      <x:c r="J185" s="88" t="s">
        <x:v>1901</x:v>
      </x:c>
      <x:c r="K185" s="88" t="s">
        <x:v>266</x:v>
      </x:c>
      <x:c r="L185" s="88"/>
      <x:c r="M185" s="88" t="s">
        <x:v>482</x:v>
      </x:c>
      <x:c r="N185" s="88"/>
      <x:c r="O185" s="88"/>
      <x:c r="P185" s="88" t="s">
        <x:v>680</x:v>
      </x:c>
      <x:c r="Q185" s="88" t="s">
        <x:v>256</x:v>
      </x:c>
      <x:c r="R185" s="88" t="s">
        <x:v>363</x:v>
      </x:c>
      <x:c r="S185" s="88"/>
      <x:c r="T185" s="88" t="s">
        <x:v>259</x:v>
      </x:c>
      <x:c r="U185" s="88" t="s">
        <x:v>1219</x:v>
      </x:c>
      <x:c r="V185" s="89">
        <x:v>46140.069104768518</x:v>
      </x:c>
      <x:c r="W185" s="88" t="s">
        <x:v>680</x:v>
      </x:c>
      <x:c r="X185" s="88" t="s">
        <x:v>259</x:v>
      </x:c>
      <x:c r="Y185" s="88" t="s">
        <x:v>482</x:v>
      </x:c>
      <x:c r="Z185" s="89">
        <x:v>46184.072790532409</x:v>
      </x:c>
      <x:c r="AA185" s="88" t="s">
        <x:v>680</x:v>
      </x:c>
      <x:c r="AB185" s="88" t="s">
        <x:v>259</x:v>
      </x:c>
      <x:c r="AC185" s="88" t="s">
        <x:v>271</x:v>
      </x:c>
      <x:c r="AD185" s="89">
        <x:v>46184.105493391202</x:v>
      </x:c>
      <x:c r="AE185" s="88" t="s">
        <x:v>1902</x:v>
      </x:c>
      <x:c r="AF185" s="88" t="s">
        <x:v>259</x:v>
      </x:c>
      <x:c r="AG185" s="88" t="s">
        <x:v>271</x:v>
      </x:c>
      <x:c r="AH185" s="89">
        <x:v>46199.304491377312</x:v>
      </x:c>
      <x:c r="AI185" s="88" t="s">
        <x:v>353</x:v>
      </x:c>
      <x:c r="AJ185" s="88" t="s">
        <x:v>1903</x:v>
      </x:c>
      <x:c r="AK185" s="88" t="s">
        <x:v>1904</x:v>
      </x:c>
      <x:c r="AL185" s="88" t="s">
        <x:v>185</x:v>
      </x:c>
      <x:c r="AM185" s="88" t="s">
        <x:v>1905</x:v>
      </x:c>
      <x:c r="AN185" s="88" t="s">
        <x:v>369</x:v>
      </x:c>
      <x:c r="AO185" s="88">
        <x:v>0</x:v>
      </x:c>
    </x:row>
    <x:row r="186">
      <x:c r="A186" s="88" t="s">
        <x:v>1906</x:v>
      </x:c>
      <x:c r="B186" s="88" t="s">
        <x:v>1907</x:v>
      </x:c>
      <x:c r="C186" s="88" t="s">
        <x:v>1908</x:v>
      </x:c>
      <x:c r="D186" s="88" t="s">
        <x:v>248</x:v>
      </x:c>
      <x:c r="E186" s="88" t="s">
        <x:v>278</x:v>
      </x:c>
      <x:c r="F186" s="89">
        <x:v>46147.27477614583</x:v>
      </x:c>
      <x:c r="G186" s="89">
        <x:v>46147.275956122685</x:v>
      </x:c>
      <x:c r="H186" s="89">
        <x:v>46147.27477614583</x:v>
      </x:c>
      <x:c r="I186" s="88" t="s">
        <x:v>1909</x:v>
      </x:c>
      <x:c r="J186" s="88" t="s">
        <x:v>1910</x:v>
      </x:c>
      <x:c r="K186" s="88" t="s">
        <x:v>266</x:v>
      </x:c>
      <x:c r="L186" s="88"/>
      <x:c r="M186" s="88" t="s">
        <x:v>616</x:v>
      </x:c>
      <x:c r="N186" s="88"/>
      <x:c r="O186" s="88"/>
      <x:c r="P186" s="88" t="s">
        <x:v>1911</x:v>
      </x:c>
      <x:c r="Q186" s="88" t="s">
        <x:v>256</x:v>
      </x:c>
      <x:c r="R186" s="88" t="s">
        <x:v>283</x:v>
      </x:c>
      <x:c r="S186" s="88"/>
      <x:c r="T186" s="88" t="s">
        <x:v>249</x:v>
      </x:c>
      <x:c r="U186" s="88" t="s">
        <x:v>1908</x:v>
      </x:c>
      <x:c r="V186" s="89">
        <x:v>46147.275956134261</x:v>
      </x:c>
      <x:c r="W186" s="88"/>
      <x:c r="X186" s="88"/>
      <x:c r="Y186" s="88" t="s">
        <x:v>616</x:v>
      </x:c>
      <x:c r="Z186" s="89"/>
      <x:c r="AA186" s="88"/>
      <x:c r="AB186" s="88"/>
      <x:c r="AC186" s="88" t="s">
        <x:v>273</x:v>
      </x:c>
      <x:c r="AD186" s="89"/>
      <x:c r="AE186" s="88"/>
      <x:c r="AF186" s="88"/>
      <x:c r="AG186" s="88" t="s">
        <x:v>161</x:v>
      </x:c>
      <x:c r="AH186" s="89"/>
      <x:c r="AI186" s="88"/>
      <x:c r="AJ186" s="88" t="s">
        <x:v>1912</x:v>
      </x:c>
      <x:c r="AK186" s="88">
        <x:v>1443</x:v>
      </x:c>
      <x:c r="AL186" s="88"/>
      <x:c r="AM186" s="88"/>
      <x:c r="AN186" s="88" t="s">
        <x:v>414</x:v>
      </x:c>
      <x:c r="AO186" s="88">
        <x:v>1</x:v>
      </x:c>
    </x:row>
    <x:row r="187">
      <x:c r="A187" s="88" t="s">
        <x:v>1913</x:v>
      </x:c>
      <x:c r="B187" s="88" t="s">
        <x:v>1914</x:v>
      </x:c>
      <x:c r="C187" s="88" t="s">
        <x:v>1908</x:v>
      </x:c>
      <x:c r="D187" s="88" t="s">
        <x:v>248</x:v>
      </x:c>
      <x:c r="E187" s="88" t="s">
        <x:v>278</x:v>
      </x:c>
      <x:c r="F187" s="89">
        <x:v>46147.277523402779</x:v>
      </x:c>
      <x:c r="G187" s="89">
        <x:v>46147.278167777775</x:v>
      </x:c>
      <x:c r="H187" s="89">
        <x:v>46147.277523402779</x:v>
      </x:c>
      <x:c r="I187" s="88" t="s">
        <x:v>1909</x:v>
      </x:c>
      <x:c r="J187" s="88" t="s">
        <x:v>1915</x:v>
      </x:c>
      <x:c r="K187" s="88" t="s">
        <x:v>266</x:v>
      </x:c>
      <x:c r="L187" s="88"/>
      <x:c r="M187" s="88" t="s">
        <x:v>616</x:v>
      </x:c>
      <x:c r="N187" s="88"/>
      <x:c r="O187" s="88"/>
      <x:c r="P187" s="88" t="s">
        <x:v>1916</x:v>
      </x:c>
      <x:c r="Q187" s="88" t="s">
        <x:v>256</x:v>
      </x:c>
      <x:c r="R187" s="88" t="s">
        <x:v>283</x:v>
      </x:c>
      <x:c r="S187" s="88"/>
      <x:c r="T187" s="88" t="s">
        <x:v>249</x:v>
      </x:c>
      <x:c r="U187" s="88" t="s">
        <x:v>1908</x:v>
      </x:c>
      <x:c r="V187" s="89">
        <x:v>46147.278167800927</x:v>
      </x:c>
      <x:c r="W187" s="88"/>
      <x:c r="X187" s="88"/>
      <x:c r="Y187" s="88" t="s">
        <x:v>616</x:v>
      </x:c>
      <x:c r="Z187" s="89"/>
      <x:c r="AA187" s="88"/>
      <x:c r="AB187" s="88"/>
      <x:c r="AC187" s="88" t="s">
        <x:v>273</x:v>
      </x:c>
      <x:c r="AD187" s="89"/>
      <x:c r="AE187" s="88"/>
      <x:c r="AF187" s="88"/>
      <x:c r="AG187" s="88" t="s">
        <x:v>161</x:v>
      </x:c>
      <x:c r="AH187" s="89"/>
      <x:c r="AI187" s="88"/>
      <x:c r="AJ187" s="88" t="s">
        <x:v>1912</x:v>
      </x:c>
      <x:c r="AK187" s="88">
        <x:v>2066</x:v>
      </x:c>
      <x:c r="AL187" s="88"/>
      <x:c r="AM187" s="88"/>
      <x:c r="AN187" s="88" t="s">
        <x:v>414</x:v>
      </x:c>
      <x:c r="AO187" s="88">
        <x:v>1</x:v>
      </x:c>
    </x:row>
    <x:row r="188">
      <x:c r="A188" s="88" t="s">
        <x:v>1917</x:v>
      </x:c>
      <x:c r="B188" s="88" t="s">
        <x:v>1918</x:v>
      </x:c>
      <x:c r="C188" s="88" t="s">
        <x:v>1908</x:v>
      </x:c>
      <x:c r="D188" s="88" t="s">
        <x:v>248</x:v>
      </x:c>
      <x:c r="E188" s="88" t="s">
        <x:v>278</x:v>
      </x:c>
      <x:c r="F188" s="89">
        <x:v>46147.284422523146</x:v>
      </x:c>
      <x:c r="G188" s="89">
        <x:v>46147.28607765046</x:v>
      </x:c>
      <x:c r="H188" s="89">
        <x:v>46147.284422523146</x:v>
      </x:c>
      <x:c r="I188" s="88" t="s">
        <x:v>1909</x:v>
      </x:c>
      <x:c r="J188" s="88" t="s">
        <x:v>1919</x:v>
      </x:c>
      <x:c r="K188" s="88" t="s">
        <x:v>266</x:v>
      </x:c>
      <x:c r="L188" s="88"/>
      <x:c r="M188" s="88" t="s">
        <x:v>616</x:v>
      </x:c>
      <x:c r="N188" s="88"/>
      <x:c r="O188" s="88"/>
      <x:c r="P188" s="88" t="s">
        <x:v>1916</x:v>
      </x:c>
      <x:c r="Q188" s="88" t="s">
        <x:v>256</x:v>
      </x:c>
      <x:c r="R188" s="88" t="s">
        <x:v>283</x:v>
      </x:c>
      <x:c r="S188" s="88"/>
      <x:c r="T188" s="88" t="s">
        <x:v>249</x:v>
      </x:c>
      <x:c r="U188" s="88" t="s">
        <x:v>1908</x:v>
      </x:c>
      <x:c r="V188" s="89">
        <x:v>46147.286077685189</x:v>
      </x:c>
      <x:c r="W188" s="88"/>
      <x:c r="X188" s="88"/>
      <x:c r="Y188" s="88" t="s">
        <x:v>616</x:v>
      </x:c>
      <x:c r="Z188" s="89"/>
      <x:c r="AA188" s="88"/>
      <x:c r="AB188" s="88"/>
      <x:c r="AC188" s="88" t="s">
        <x:v>273</x:v>
      </x:c>
      <x:c r="AD188" s="89"/>
      <x:c r="AE188" s="88"/>
      <x:c r="AF188" s="88"/>
      <x:c r="AG188" s="88" t="s">
        <x:v>161</x:v>
      </x:c>
      <x:c r="AH188" s="89"/>
      <x:c r="AI188" s="88"/>
      <x:c r="AJ188" s="88" t="s">
        <x:v>1912</x:v>
      </x:c>
      <x:c r="AK188" s="88" t="s">
        <x:v>1920</x:v>
      </x:c>
      <x:c r="AL188" s="88"/>
      <x:c r="AM188" s="88"/>
      <x:c r="AN188" s="88" t="s">
        <x:v>414</x:v>
      </x:c>
      <x:c r="AO188" s="88">
        <x:v>1</x:v>
      </x:c>
    </x:row>
    <x:row r="189">
      <x:c r="A189" s="88" t="s">
        <x:v>1921</x:v>
      </x:c>
      <x:c r="B189" s="88" t="s">
        <x:v>1922</x:v>
      </x:c>
      <x:c r="C189" s="88" t="s">
        <x:v>1908</x:v>
      </x:c>
      <x:c r="D189" s="88" t="s">
        <x:v>248</x:v>
      </x:c>
      <x:c r="E189" s="88" t="s">
        <x:v>278</x:v>
      </x:c>
      <x:c r="F189" s="89">
        <x:v>46147.286759363429</x:v>
      </x:c>
      <x:c r="G189" s="89">
        <x:v>46147.28765233796</x:v>
      </x:c>
      <x:c r="H189" s="89">
        <x:v>46147.286759363429</x:v>
      </x:c>
      <x:c r="I189" s="88" t="s">
        <x:v>1909</x:v>
      </x:c>
      <x:c r="J189" s="88" t="s">
        <x:v>1923</x:v>
      </x:c>
      <x:c r="K189" s="88" t="s">
        <x:v>266</x:v>
      </x:c>
      <x:c r="L189" s="88"/>
      <x:c r="M189" s="88" t="s">
        <x:v>616</x:v>
      </x:c>
      <x:c r="N189" s="88"/>
      <x:c r="O189" s="88"/>
      <x:c r="P189" s="88" t="s">
        <x:v>1916</x:v>
      </x:c>
      <x:c r="Q189" s="88" t="s">
        <x:v>256</x:v>
      </x:c>
      <x:c r="R189" s="88" t="s">
        <x:v>283</x:v>
      </x:c>
      <x:c r="S189" s="88"/>
      <x:c r="T189" s="88" t="s">
        <x:v>249</x:v>
      </x:c>
      <x:c r="U189" s="88" t="s">
        <x:v>1908</x:v>
      </x:c>
      <x:c r="V189" s="89">
        <x:v>46147.287652349536</x:v>
      </x:c>
      <x:c r="W189" s="88"/>
      <x:c r="X189" s="88"/>
      <x:c r="Y189" s="88" t="s">
        <x:v>616</x:v>
      </x:c>
      <x:c r="Z189" s="89"/>
      <x:c r="AA189" s="88"/>
      <x:c r="AB189" s="88"/>
      <x:c r="AC189" s="88" t="s">
        <x:v>273</x:v>
      </x:c>
      <x:c r="AD189" s="89"/>
      <x:c r="AE189" s="88"/>
      <x:c r="AF189" s="88"/>
      <x:c r="AG189" s="88" t="s">
        <x:v>161</x:v>
      </x:c>
      <x:c r="AH189" s="89"/>
      <x:c r="AI189" s="88"/>
      <x:c r="AJ189" s="88" t="s">
        <x:v>1912</x:v>
      </x:c>
      <x:c r="AK189" s="88">
        <x:v>3494</x:v>
      </x:c>
      <x:c r="AL189" s="88"/>
      <x:c r="AM189" s="88"/>
      <x:c r="AN189" s="88" t="s">
        <x:v>414</x:v>
      </x:c>
      <x:c r="AO189" s="88">
        <x:v>1</x:v>
      </x:c>
    </x:row>
    <x:row r="190">
      <x:c r="A190" s="88" t="s">
        <x:v>1924</x:v>
      </x:c>
      <x:c r="B190" s="88" t="s">
        <x:v>1925</x:v>
      </x:c>
      <x:c r="C190" s="88" t="s">
        <x:v>1623</x:v>
      </x:c>
      <x:c r="D190" s="88" t="s">
        <x:v>248</x:v>
      </x:c>
      <x:c r="E190" s="88" t="s">
        <x:v>278</x:v>
      </x:c>
      <x:c r="F190" s="89">
        <x:v>46148.097812581022</x:v>
      </x:c>
      <x:c r="G190" s="89">
        <x:v>46148.194012604166</x:v>
      </x:c>
      <x:c r="H190" s="89">
        <x:v>46148.097812581022</x:v>
      </x:c>
      <x:c r="I190" s="88" t="s">
        <x:v>1926</x:v>
      </x:c>
      <x:c r="J190" s="88" t="s">
        <x:v>1927</x:v>
      </x:c>
      <x:c r="K190" s="88" t="s">
        <x:v>266</x:v>
      </x:c>
      <x:c r="L190" s="88"/>
      <x:c r="M190" s="88" t="s">
        <x:v>482</x:v>
      </x:c>
      <x:c r="N190" s="88"/>
      <x:c r="O190" s="88"/>
      <x:c r="P190" s="88" t="s">
        <x:v>680</x:v>
      </x:c>
      <x:c r="Q190" s="88" t="s">
        <x:v>256</x:v>
      </x:c>
      <x:c r="R190" s="88" t="s">
        <x:v>363</x:v>
      </x:c>
      <x:c r="S190" s="88"/>
      <x:c r="T190" s="88" t="s">
        <x:v>249</x:v>
      </x:c>
      <x:c r="U190" s="88" t="s">
        <x:v>1623</x:v>
      </x:c>
      <x:c r="V190" s="89">
        <x:v>46148.194012615742</x:v>
      </x:c>
      <x:c r="W190" s="88"/>
      <x:c r="X190" s="88"/>
      <x:c r="Y190" s="88" t="s">
        <x:v>482</x:v>
      </x:c>
      <x:c r="Z190" s="89"/>
      <x:c r="AA190" s="88"/>
      <x:c r="AB190" s="88"/>
      <x:c r="AC190" s="88" t="s">
        <x:v>273</x:v>
      </x:c>
      <x:c r="AD190" s="89"/>
      <x:c r="AE190" s="88"/>
      <x:c r="AF190" s="88"/>
      <x:c r="AG190" s="88" t="s">
        <x:v>161</x:v>
      </x:c>
      <x:c r="AH190" s="89"/>
      <x:c r="AI190" s="88"/>
      <x:c r="AJ190" s="88" t="s">
        <x:v>1928</x:v>
      </x:c>
      <x:c r="AK190" s="88" t="s">
        <x:v>1929</x:v>
      </x:c>
      <x:c r="AL190" s="88"/>
      <x:c r="AM190" s="88"/>
      <x:c r="AN190" s="88" t="s">
        <x:v>369</x:v>
      </x:c>
      <x:c r="AO190" s="88">
        <x:v>0</x:v>
      </x:c>
    </x:row>
    <x:row r="191">
      <x:c r="A191" s="88" t="s">
        <x:v>1930</x:v>
      </x:c>
      <x:c r="B191" s="88" t="s">
        <x:v>1931</x:v>
      </x:c>
      <x:c r="C191" s="88" t="s">
        <x:v>1932</x:v>
      </x:c>
      <x:c r="D191" s="88" t="s">
        <x:v>248</x:v>
      </x:c>
      <x:c r="E191" s="88" t="s">
        <x:v>342</x:v>
      </x:c>
      <x:c r="F191" s="89">
        <x:v>46148.166256504628</x:v>
      </x:c>
      <x:c r="G191" s="89">
        <x:v>46161.332111631942</x:v>
      </x:c>
      <x:c r="H191" s="89">
        <x:v>46148.166256504628</x:v>
      </x:c>
      <x:c r="I191" s="88" t="s">
        <x:v>1933</x:v>
      </x:c>
      <x:c r="J191" s="88" t="s">
        <x:v>1934</x:v>
      </x:c>
      <x:c r="K191" s="88" t="s">
        <x:v>380</x:v>
      </x:c>
      <x:c r="L191" s="88" t="s">
        <x:v>1935</x:v>
      </x:c>
      <x:c r="M191" s="88" t="s">
        <x:v>1936</x:v>
      </x:c>
      <x:c r="N191" s="88"/>
      <x:c r="O191" s="88"/>
      <x:c r="P191" s="88" t="s">
        <x:v>1937</x:v>
      </x:c>
      <x:c r="Q191" s="88" t="s">
        <x:v>269</x:v>
      </x:c>
      <x:c r="R191" s="88" t="s">
        <x:v>283</x:v>
      </x:c>
      <x:c r="S191" s="88"/>
      <x:c r="T191" s="88" t="s">
        <x:v>259</x:v>
      </x:c>
      <x:c r="U191" s="88" t="s">
        <x:v>1932</x:v>
      </x:c>
      <x:c r="V191" s="89">
        <x:v>46148.240255497687</x:v>
      </x:c>
      <x:c r="W191" s="88" t="s">
        <x:v>1938</x:v>
      </x:c>
      <x:c r="X191" s="88" t="s">
        <x:v>259</x:v>
      </x:c>
      <x:c r="Y191" s="88" t="s">
        <x:v>1939</x:v>
      </x:c>
      <x:c r="Z191" s="89">
        <x:v>46155.335218414351</x:v>
      </x:c>
      <x:c r="AA191" s="88" t="s">
        <x:v>1940</x:v>
      </x:c>
      <x:c r="AB191" s="88" t="s">
        <x:v>259</x:v>
      </x:c>
      <x:c r="AC191" s="88" t="s">
        <x:v>271</x:v>
      </x:c>
      <x:c r="AD191" s="89">
        <x:v>46156.099481180558</x:v>
      </x:c>
      <x:c r="AE191" s="88" t="s">
        <x:v>1941</x:v>
      </x:c>
      <x:c r="AF191" s="88" t="s">
        <x:v>259</x:v>
      </x:c>
      <x:c r="AG191" s="88" t="s">
        <x:v>387</x:v>
      </x:c>
      <x:c r="AH191" s="89">
        <x:v>46161.332111631942</x:v>
      </x:c>
      <x:c r="AI191" s="88" t="s">
        <x:v>388</x:v>
      </x:c>
      <x:c r="AJ191" s="88" t="s">
        <x:v>1942</x:v>
      </x:c>
      <x:c r="AK191" s="88">
        <x:v>3002</x:v>
      </x:c>
      <x:c r="AL191" s="88" t="s">
        <x:v>193</x:v>
      </x:c>
      <x:c r="AM191" s="88" t="s">
        <x:v>1943</x:v>
      </x:c>
      <x:c r="AN191" s="88" t="s">
        <x:v>414</x:v>
      </x:c>
      <x:c r="AO191" s="88">
        <x:v>365</x:v>
      </x:c>
    </x:row>
    <x:row r="192">
      <x:c r="A192" s="88" t="s">
        <x:v>1944</x:v>
      </x:c>
      <x:c r="B192" s="88" t="s">
        <x:v>1945</x:v>
      </x:c>
      <x:c r="C192" s="88" t="s">
        <x:v>1623</x:v>
      </x:c>
      <x:c r="D192" s="88" t="s">
        <x:v>248</x:v>
      </x:c>
      <x:c r="E192" s="88" t="s">
        <x:v>278</x:v>
      </x:c>
      <x:c r="F192" s="89">
        <x:v>46148.195426851853</x:v>
      </x:c>
      <x:c r="G192" s="89">
        <x:v>46156.070046516201</x:v>
      </x:c>
      <x:c r="H192" s="89">
        <x:v>46148.195426851853</x:v>
      </x:c>
      <x:c r="I192" s="88" t="s">
        <x:v>1926</x:v>
      </x:c>
      <x:c r="J192" s="88" t="s">
        <x:v>1946</x:v>
      </x:c>
      <x:c r="K192" s="88" t="s">
        <x:v>266</x:v>
      </x:c>
      <x:c r="L192" s="88"/>
      <x:c r="M192" s="88" t="s">
        <x:v>482</x:v>
      </x:c>
      <x:c r="N192" s="88"/>
      <x:c r="O192" s="88"/>
      <x:c r="P192" s="88" t="s">
        <x:v>680</x:v>
      </x:c>
      <x:c r="Q192" s="88" t="s">
        <x:v>256</x:v>
      </x:c>
      <x:c r="R192" s="88" t="s">
        <x:v>363</x:v>
      </x:c>
      <x:c r="S192" s="88"/>
      <x:c r="T192" s="88" t="s">
        <x:v>249</x:v>
      </x:c>
      <x:c r="U192" s="88" t="s">
        <x:v>1623</x:v>
      </x:c>
      <x:c r="V192" s="89">
        <x:v>46156.070046527777</x:v>
      </x:c>
      <x:c r="W192" s="88"/>
      <x:c r="X192" s="88"/>
      <x:c r="Y192" s="88" t="s">
        <x:v>482</x:v>
      </x:c>
      <x:c r="Z192" s="89"/>
      <x:c r="AA192" s="88"/>
      <x:c r="AB192" s="88"/>
      <x:c r="AC192" s="88" t="s">
        <x:v>273</x:v>
      </x:c>
      <x:c r="AD192" s="89"/>
      <x:c r="AE192" s="88"/>
      <x:c r="AF192" s="88"/>
      <x:c r="AG192" s="88" t="s">
        <x:v>161</x:v>
      </x:c>
      <x:c r="AH192" s="89"/>
      <x:c r="AI192" s="88"/>
      <x:c r="AJ192" s="88" t="s">
        <x:v>1928</x:v>
      </x:c>
      <x:c r="AK192" s="88" t="s">
        <x:v>1947</x:v>
      </x:c>
      <x:c r="AL192" s="88"/>
      <x:c r="AM192" s="88"/>
      <x:c r="AN192" s="88" t="s">
        <x:v>369</x:v>
      </x:c>
      <x:c r="AO192" s="88">
        <x:v>0</x:v>
      </x:c>
    </x:row>
    <x:row r="193">
      <x:c r="A193" s="88" t="s">
        <x:v>1948</x:v>
      </x:c>
      <x:c r="B193" s="88" t="s">
        <x:v>1949</x:v>
      </x:c>
      <x:c r="C193" s="88" t="s">
        <x:v>1219</x:v>
      </x:c>
      <x:c r="D193" s="88" t="s">
        <x:v>248</x:v>
      </x:c>
      <x:c r="E193" s="88" t="s">
        <x:v>329</x:v>
      </x:c>
      <x:c r="F193" s="89">
        <x:v>46154.10718013889</x:v>
      </x:c>
      <x:c r="G193" s="89">
        <x:v>46237.27009903935</x:v>
      </x:c>
      <x:c r="H193" s="89">
        <x:v>46154.10718013889</x:v>
      </x:c>
      <x:c r="I193" s="88" t="s">
        <x:v>1950</x:v>
      </x:c>
      <x:c r="J193" s="88" t="s">
        <x:v>1951</x:v>
      </x:c>
      <x:c r="K193" s="88" t="s">
        <x:v>266</x:v>
      </x:c>
      <x:c r="L193" s="88"/>
      <x:c r="M193" s="88" t="s">
        <x:v>482</x:v>
      </x:c>
      <x:c r="N193" s="88"/>
      <x:c r="O193" s="88"/>
      <x:c r="P193" s="88" t="s">
        <x:v>680</x:v>
      </x:c>
      <x:c r="Q193" s="88" t="s">
        <x:v>256</x:v>
      </x:c>
      <x:c r="R193" s="88" t="s">
        <x:v>363</x:v>
      </x:c>
      <x:c r="S193" s="88"/>
      <x:c r="T193" s="88" t="s">
        <x:v>259</x:v>
      </x:c>
      <x:c r="U193" s="88" t="s">
        <x:v>1219</x:v>
      </x:c>
      <x:c r="V193" s="89">
        <x:v>46154.108389155095</x:v>
      </x:c>
      <x:c r="W193" s="88" t="s">
        <x:v>680</x:v>
      </x:c>
      <x:c r="X193" s="88" t="s">
        <x:v>259</x:v>
      </x:c>
      <x:c r="Y193" s="88" t="s">
        <x:v>482</x:v>
      </x:c>
      <x:c r="Z193" s="89">
        <x:v>46184.073266527776</x:v>
      </x:c>
      <x:c r="AA193" s="88" t="s">
        <x:v>680</x:v>
      </x:c>
      <x:c r="AB193" s="88" t="s">
        <x:v>259</x:v>
      </x:c>
      <x:c r="AC193" s="88" t="s">
        <x:v>111</x:v>
      </x:c>
      <x:c r="AD193" s="89">
        <x:v>46237.270099050926</x:v>
      </x:c>
      <x:c r="AE193" s="88" t="s">
        <x:v>259</x:v>
      </x:c>
      <x:c r="AF193" s="88"/>
      <x:c r="AG193" s="88" t="s">
        <x:v>129</x:v>
      </x:c>
      <x:c r="AH193" s="89"/>
      <x:c r="AI193" s="88"/>
      <x:c r="AJ193" s="88" t="s">
        <x:v>1952</x:v>
      </x:c>
      <x:c r="AK193" s="88" t="s">
        <x:v>1953</x:v>
      </x:c>
      <x:c r="AL193" s="88" t="s">
        <x:v>185</x:v>
      </x:c>
      <x:c r="AM193" s="88" t="s">
        <x:v>1954</x:v>
      </x:c>
      <x:c r="AN193" s="88" t="s">
        <x:v>369</x:v>
      </x:c>
      <x:c r="AO193" s="88">
        <x:v>0</x:v>
      </x:c>
    </x:row>
    <x:row r="194">
      <x:c r="A194" s="88" t="s">
        <x:v>1955</x:v>
      </x:c>
      <x:c r="B194" s="88" t="s">
        <x:v>1956</x:v>
      </x:c>
      <x:c r="C194" s="88" t="s">
        <x:v>1219</x:v>
      </x:c>
      <x:c r="D194" s="88" t="s">
        <x:v>248</x:v>
      </x:c>
      <x:c r="E194" s="88" t="s">
        <x:v>342</x:v>
      </x:c>
      <x:c r="F194" s="89">
        <x:v>46154.130463217596</x:v>
      </x:c>
      <x:c r="G194" s="89">
        <x:v>46209.089264097223</x:v>
      </x:c>
      <x:c r="H194" s="89">
        <x:v>46154.130463217596</x:v>
      </x:c>
      <x:c r="I194" s="88" t="s">
        <x:v>1926</x:v>
      </x:c>
      <x:c r="J194" s="88" t="s">
        <x:v>1927</x:v>
      </x:c>
      <x:c r="K194" s="88" t="s">
        <x:v>266</x:v>
      </x:c>
      <x:c r="L194" s="88"/>
      <x:c r="M194" s="88" t="s">
        <x:v>482</x:v>
      </x:c>
      <x:c r="N194" s="88"/>
      <x:c r="O194" s="88"/>
      <x:c r="P194" s="88" t="s">
        <x:v>680</x:v>
      </x:c>
      <x:c r="Q194" s="88" t="s">
        <x:v>256</x:v>
      </x:c>
      <x:c r="R194" s="88" t="s">
        <x:v>363</x:v>
      </x:c>
      <x:c r="S194" s="88"/>
      <x:c r="T194" s="88" t="s">
        <x:v>259</x:v>
      </x:c>
      <x:c r="U194" s="88" t="s">
        <x:v>1219</x:v>
      </x:c>
      <x:c r="V194" s="89">
        <x:v>46154.130860451391</x:v>
      </x:c>
      <x:c r="W194" s="88" t="s">
        <x:v>680</x:v>
      </x:c>
      <x:c r="X194" s="88" t="s">
        <x:v>259</x:v>
      </x:c>
      <x:c r="Y194" s="88" t="s">
        <x:v>482</x:v>
      </x:c>
      <x:c r="Z194" s="89">
        <x:v>46184.071406724535</x:v>
      </x:c>
      <x:c r="AA194" s="88" t="s">
        <x:v>680</x:v>
      </x:c>
      <x:c r="AB194" s="88" t="s">
        <x:v>259</x:v>
      </x:c>
      <x:c r="AC194" s="88" t="s">
        <x:v>271</x:v>
      </x:c>
      <x:c r="AD194" s="89">
        <x:v>46197.397345185185</x:v>
      </x:c>
      <x:c r="AE194" s="88" t="s">
        <x:v>1957</x:v>
      </x:c>
      <x:c r="AF194" s="88" t="s">
        <x:v>259</x:v>
      </x:c>
      <x:c r="AG194" s="88" t="s">
        <x:v>387</x:v>
      </x:c>
      <x:c r="AH194" s="89">
        <x:v>46209.089264108799</x:v>
      </x:c>
      <x:c r="AI194" s="88" t="s">
        <x:v>388</x:v>
      </x:c>
      <x:c r="AJ194" s="88" t="s">
        <x:v>1928</x:v>
      </x:c>
      <x:c r="AK194" s="88" t="s">
        <x:v>1929</x:v>
      </x:c>
      <x:c r="AL194" s="88" t="s">
        <x:v>185</x:v>
      </x:c>
      <x:c r="AM194" s="88" t="s">
        <x:v>1958</x:v>
      </x:c>
      <x:c r="AN194" s="88" t="s">
        <x:v>369</x:v>
      </x:c>
      <x:c r="AO194" s="88">
        <x:v>0</x:v>
      </x:c>
    </x:row>
    <x:row r="195">
      <x:c r="A195" s="88" t="s">
        <x:v>1959</x:v>
      </x:c>
      <x:c r="B195" s="88" t="s">
        <x:v>1960</x:v>
      </x:c>
      <x:c r="C195" s="88" t="s">
        <x:v>1219</x:v>
      </x:c>
      <x:c r="D195" s="88" t="s">
        <x:v>248</x:v>
      </x:c>
      <x:c r="E195" s="88" t="s">
        <x:v>342</x:v>
      </x:c>
      <x:c r="F195" s="89">
        <x:v>46154.131949490744</x:v>
      </x:c>
      <x:c r="G195" s="89">
        <x:v>46204.355593310182</x:v>
      </x:c>
      <x:c r="H195" s="89">
        <x:v>46154.131949490744</x:v>
      </x:c>
      <x:c r="I195" s="88" t="s">
        <x:v>1926</x:v>
      </x:c>
      <x:c r="J195" s="88" t="s">
        <x:v>1946</x:v>
      </x:c>
      <x:c r="K195" s="88" t="s">
        <x:v>266</x:v>
      </x:c>
      <x:c r="L195" s="88"/>
      <x:c r="M195" s="88" t="s">
        <x:v>482</x:v>
      </x:c>
      <x:c r="N195" s="88"/>
      <x:c r="O195" s="88"/>
      <x:c r="P195" s="88" t="s">
        <x:v>680</x:v>
      </x:c>
      <x:c r="Q195" s="88" t="s">
        <x:v>256</x:v>
      </x:c>
      <x:c r="R195" s="88" t="s">
        <x:v>363</x:v>
      </x:c>
      <x:c r="S195" s="88"/>
      <x:c r="T195" s="88" t="s">
        <x:v>259</x:v>
      </x:c>
      <x:c r="U195" s="88" t="s">
        <x:v>1219</x:v>
      </x:c>
      <x:c r="V195" s="89">
        <x:v>46154.132251898147</x:v>
      </x:c>
      <x:c r="W195" s="88" t="s">
        <x:v>680</x:v>
      </x:c>
      <x:c r="X195" s="88" t="s">
        <x:v>259</x:v>
      </x:c>
      <x:c r="Y195" s="88" t="s">
        <x:v>482</x:v>
      </x:c>
      <x:c r="Z195" s="89">
        <x:v>46184.070646828703</x:v>
      </x:c>
      <x:c r="AA195" s="88" t="s">
        <x:v>680</x:v>
      </x:c>
      <x:c r="AB195" s="88" t="s">
        <x:v>259</x:v>
      </x:c>
      <x:c r="AC195" s="88" t="s">
        <x:v>271</x:v>
      </x:c>
      <x:c r="AD195" s="89">
        <x:v>46197.397987222219</x:v>
      </x:c>
      <x:c r="AE195" s="88" t="s">
        <x:v>1961</x:v>
      </x:c>
      <x:c r="AF195" s="88" t="s">
        <x:v>259</x:v>
      </x:c>
      <x:c r="AG195" s="88" t="s">
        <x:v>387</x:v>
      </x:c>
      <x:c r="AH195" s="89">
        <x:v>46204.355593321758</x:v>
      </x:c>
      <x:c r="AI195" s="88" t="s">
        <x:v>388</x:v>
      </x:c>
      <x:c r="AJ195" s="88" t="s">
        <x:v>1928</x:v>
      </x:c>
      <x:c r="AK195" s="88" t="s">
        <x:v>1947</x:v>
      </x:c>
      <x:c r="AL195" s="88" t="s">
        <x:v>185</x:v>
      </x:c>
      <x:c r="AM195" s="88" t="s">
        <x:v>1962</x:v>
      </x:c>
      <x:c r="AN195" s="88" t="s">
        <x:v>369</x:v>
      </x:c>
      <x:c r="AO195" s="88">
        <x:v>0</x:v>
      </x:c>
    </x:row>
    <x:row r="196">
      <x:c r="A196" s="88" t="s">
        <x:v>1963</x:v>
      </x:c>
      <x:c r="B196" s="88" t="s">
        <x:v>1964</x:v>
      </x:c>
      <x:c r="C196" s="88" t="s">
        <x:v>1219</x:v>
      </x:c>
      <x:c r="D196" s="88" t="s">
        <x:v>248</x:v>
      </x:c>
      <x:c r="E196" s="88" t="s">
        <x:v>342</x:v>
      </x:c>
      <x:c r="F196" s="89">
        <x:v>46154.339134652779</x:v>
      </x:c>
      <x:c r="G196" s="89">
        <x:v>46203.374965370371</x:v>
      </x:c>
      <x:c r="H196" s="89">
        <x:v>46154.339134652779</x:v>
      </x:c>
      <x:c r="I196" s="88" t="s">
        <x:v>1965</x:v>
      </x:c>
      <x:c r="J196" s="88" t="s">
        <x:v>1966</x:v>
      </x:c>
      <x:c r="K196" s="88" t="s">
        <x:v>266</x:v>
      </x:c>
      <x:c r="L196" s="88"/>
      <x:c r="M196" s="88" t="s">
        <x:v>482</x:v>
      </x:c>
      <x:c r="N196" s="88"/>
      <x:c r="O196" s="88"/>
      <x:c r="P196" s="88" t="s">
        <x:v>680</x:v>
      </x:c>
      <x:c r="Q196" s="88" t="s">
        <x:v>256</x:v>
      </x:c>
      <x:c r="R196" s="88" t="s">
        <x:v>363</x:v>
      </x:c>
      <x:c r="S196" s="88"/>
      <x:c r="T196" s="88" t="s">
        <x:v>259</x:v>
      </x:c>
      <x:c r="U196" s="88" t="s">
        <x:v>1219</x:v>
      </x:c>
      <x:c r="V196" s="89">
        <x:v>46154.340297337963</x:v>
      </x:c>
      <x:c r="W196" s="88" t="s">
        <x:v>680</x:v>
      </x:c>
      <x:c r="X196" s="88" t="s">
        <x:v>259</x:v>
      </x:c>
      <x:c r="Y196" s="88" t="s">
        <x:v>482</x:v>
      </x:c>
      <x:c r="Z196" s="89">
        <x:v>46184.069686006944</x:v>
      </x:c>
      <x:c r="AA196" s="88" t="s">
        <x:v>680</x:v>
      </x:c>
      <x:c r="AB196" s="88" t="s">
        <x:v>259</x:v>
      </x:c>
      <x:c r="AC196" s="88" t="s">
        <x:v>271</x:v>
      </x:c>
      <x:c r="AD196" s="89">
        <x:v>46195.069912175924</x:v>
      </x:c>
      <x:c r="AE196" s="88" t="s">
        <x:v>1967</x:v>
      </x:c>
      <x:c r="AF196" s="88" t="s">
        <x:v>259</x:v>
      </x:c>
      <x:c r="AG196" s="88" t="s">
        <x:v>387</x:v>
      </x:c>
      <x:c r="AH196" s="89">
        <x:v>46203.374965381947</x:v>
      </x:c>
      <x:c r="AI196" s="88" t="s">
        <x:v>388</x:v>
      </x:c>
      <x:c r="AJ196" s="88" t="s">
        <x:v>1968</x:v>
      </x:c>
      <x:c r="AK196" s="88" t="s">
        <x:v>1969</x:v>
      </x:c>
      <x:c r="AL196" s="88" t="s">
        <x:v>185</x:v>
      </x:c>
      <x:c r="AM196" s="88" t="s">
        <x:v>1970</x:v>
      </x:c>
      <x:c r="AN196" s="88" t="s">
        <x:v>369</x:v>
      </x:c>
      <x:c r="AO196" s="88">
        <x:v>0</x:v>
      </x:c>
    </x:row>
    <x:row r="197">
      <x:c r="A197" s="88" t="s">
        <x:v>1971</x:v>
      </x:c>
      <x:c r="B197" s="88" t="s">
        <x:v>1972</x:v>
      </x:c>
      <x:c r="C197" s="88" t="s">
        <x:v>1973</x:v>
      </x:c>
      <x:c r="D197" s="88" t="s">
        <x:v>248</x:v>
      </x:c>
      <x:c r="E197" s="88" t="s">
        <x:v>278</x:v>
      </x:c>
      <x:c r="F197" s="89">
        <x:v>46154.37760428241</x:v>
      </x:c>
      <x:c r="G197" s="89">
        <x:v>46154.48169390046</x:v>
      </x:c>
      <x:c r="H197" s="89">
        <x:v>46154.37760428241</x:v>
      </x:c>
      <x:c r="I197" s="88" t="s">
        <x:v>1974</x:v>
      </x:c>
      <x:c r="J197" s="88" t="s">
        <x:v>1975</x:v>
      </x:c>
      <x:c r="K197" s="88" t="s">
        <x:v>266</x:v>
      </x:c>
      <x:c r="L197" s="88"/>
      <x:c r="M197" s="88" t="s">
        <x:v>1976</x:v>
      </x:c>
      <x:c r="N197" s="88"/>
      <x:c r="O197" s="88"/>
      <x:c r="P197" s="88" t="s">
        <x:v>1977</x:v>
      </x:c>
      <x:c r="Q197" s="88" t="s">
        <x:v>323</x:v>
      </x:c>
      <x:c r="R197" s="88" t="s">
        <x:v>283</x:v>
      </x:c>
      <x:c r="S197" s="88"/>
      <x:c r="T197" s="88" t="s">
        <x:v>249</x:v>
      </x:c>
      <x:c r="U197" s="88" t="s">
        <x:v>1973</x:v>
      </x:c>
      <x:c r="V197" s="89">
        <x:v>46154.48169390046</x:v>
      </x:c>
      <x:c r="W197" s="88"/>
      <x:c r="X197" s="88"/>
      <x:c r="Y197" s="88" t="s">
        <x:v>1976</x:v>
      </x:c>
      <x:c r="Z197" s="89"/>
      <x:c r="AA197" s="88"/>
      <x:c r="AB197" s="88"/>
      <x:c r="AC197" s="88" t="s">
        <x:v>273</x:v>
      </x:c>
      <x:c r="AD197" s="89"/>
      <x:c r="AE197" s="88"/>
      <x:c r="AF197" s="88"/>
      <x:c r="AG197" s="88" t="s">
        <x:v>161</x:v>
      </x:c>
      <x:c r="AH197" s="89"/>
      <x:c r="AI197" s="88"/>
      <x:c r="AJ197" s="88" t="s">
        <x:v>1978</x:v>
      </x:c>
      <x:c r="AK197" s="88">
        <x:v>1561</x:v>
      </x:c>
      <x:c r="AL197" s="88"/>
      <x:c r="AM197" s="88"/>
      <x:c r="AN197" s="88" t="s">
        <x:v>369</x:v>
      </x:c>
      <x:c r="AO197" s="88">
        <x:v>0</x:v>
      </x:c>
    </x:row>
    <x:row r="198">
      <x:c r="A198" s="88" t="s">
        <x:v>1979</x:v>
      </x:c>
      <x:c r="B198" s="88" t="s">
        <x:v>1980</x:v>
      </x:c>
      <x:c r="C198" s="88" t="s">
        <x:v>1908</x:v>
      </x:c>
      <x:c r="D198" s="88" t="s">
        <x:v>248</x:v>
      </x:c>
      <x:c r="E198" s="88" t="s">
        <x:v>342</x:v>
      </x:c>
      <x:c r="F198" s="89">
        <x:v>46155.093789155093</x:v>
      </x:c>
      <x:c r="G198" s="89">
        <x:v>46188.341680752317</x:v>
      </x:c>
      <x:c r="H198" s="89">
        <x:v>46155.095763599536</x:v>
      </x:c>
      <x:c r="I198" s="88" t="s">
        <x:v>1909</x:v>
      </x:c>
      <x:c r="J198" s="88" t="s">
        <x:v>1923</x:v>
      </x:c>
      <x:c r="K198" s="88" t="s">
        <x:v>380</x:v>
      </x:c>
      <x:c r="L198" s="88" t="s">
        <x:v>1981</x:v>
      </x:c>
      <x:c r="M198" s="88" t="s">
        <x:v>616</x:v>
      </x:c>
      <x:c r="N198" s="88"/>
      <x:c r="O198" s="88"/>
      <x:c r="P198" s="88" t="s">
        <x:v>1911</x:v>
      </x:c>
      <x:c r="Q198" s="88" t="s">
        <x:v>323</x:v>
      </x:c>
      <x:c r="R198" s="88" t="s">
        <x:v>283</x:v>
      </x:c>
      <x:c r="S198" s="88"/>
      <x:c r="T198" s="88" t="s">
        <x:v>259</x:v>
      </x:c>
      <x:c r="U198" s="88" t="s">
        <x:v>1908</x:v>
      </x:c>
      <x:c r="V198" s="89">
        <x:v>46155.105637627312</x:v>
      </x:c>
      <x:c r="W198" s="88" t="s">
        <x:v>1982</x:v>
      </x:c>
      <x:c r="X198" s="88" t="s">
        <x:v>259</x:v>
      </x:c>
      <x:c r="Y198" s="88" t="s">
        <x:v>616</x:v>
      </x:c>
      <x:c r="Z198" s="89">
        <x:v>46167.397833437499</x:v>
      </x:c>
      <x:c r="AA198" s="88" t="s">
        <x:v>1983</x:v>
      </x:c>
      <x:c r="AB198" s="88" t="s">
        <x:v>259</x:v>
      </x:c>
      <x:c r="AC198" s="88" t="s">
        <x:v>271</x:v>
      </x:c>
      <x:c r="AD198" s="89">
        <x:v>46176.076708518522</x:v>
      </x:c>
      <x:c r="AE198" s="88" t="s">
        <x:v>1984</x:v>
      </x:c>
      <x:c r="AF198" s="88" t="s">
        <x:v>259</x:v>
      </x:c>
      <x:c r="AG198" s="88" t="s">
        <x:v>387</x:v>
      </x:c>
      <x:c r="AH198" s="89">
        <x:v>46188.341680763886</x:v>
      </x:c>
      <x:c r="AI198" s="88" t="s">
        <x:v>388</x:v>
      </x:c>
      <x:c r="AJ198" s="88" t="s">
        <x:v>1912</x:v>
      </x:c>
      <x:c r="AK198" s="88">
        <x:v>3494</x:v>
      </x:c>
      <x:c r="AL198" s="88" t="s">
        <x:v>185</x:v>
      </x:c>
      <x:c r="AM198" s="88" t="s">
        <x:v>1985</x:v>
      </x:c>
      <x:c r="AN198" s="88" t="s">
        <x:v>414</x:v>
      </x:c>
      <x:c r="AO198" s="88"/>
    </x:row>
    <x:row r="199">
      <x:c r="A199" s="88" t="s">
        <x:v>1986</x:v>
      </x:c>
      <x:c r="B199" s="88" t="s">
        <x:v>1987</x:v>
      </x:c>
      <x:c r="C199" s="88" t="s">
        <x:v>1988</x:v>
      </x:c>
      <x:c r="D199" s="88" t="s">
        <x:v>248</x:v>
      </x:c>
      <x:c r="E199" s="88" t="s">
        <x:v>342</x:v>
      </x:c>
      <x:c r="F199" s="89">
        <x:v>46155.140799421293</x:v>
      </x:c>
      <x:c r="G199" s="89">
        <x:v>46184.140501018519</x:v>
      </x:c>
      <x:c r="H199" s="89">
        <x:v>46161.172626192129</x:v>
      </x:c>
      <x:c r="I199" s="88" t="s">
        <x:v>1989</x:v>
      </x:c>
      <x:c r="J199" s="88" t="s">
        <x:v>1990</x:v>
      </x:c>
      <x:c r="K199" s="88" t="s">
        <x:v>380</x:v>
      </x:c>
      <x:c r="L199" s="88" t="s">
        <x:v>1991</x:v>
      </x:c>
      <x:c r="M199" s="88" t="s">
        <x:v>281</x:v>
      </x:c>
      <x:c r="N199" s="88" t="s">
        <x:v>498</x:v>
      </x:c>
      <x:c r="O199" s="88"/>
      <x:c r="P199" s="88" t="s">
        <x:v>1992</x:v>
      </x:c>
      <x:c r="Q199" s="88" t="s">
        <x:v>269</x:v>
      </x:c>
      <x:c r="R199" s="88" t="s">
        <x:v>513</x:v>
      </x:c>
      <x:c r="S199" s="88"/>
      <x:c r="T199" s="88" t="s">
        <x:v>259</x:v>
      </x:c>
      <x:c r="U199" s="88" t="s">
        <x:v>1988</x:v>
      </x:c>
      <x:c r="V199" s="89">
        <x:v>46161.175308784725</x:v>
      </x:c>
      <x:c r="W199" s="88" t="s">
        <x:v>1993</x:v>
      </x:c>
      <x:c r="X199" s="88" t="s">
        <x:v>259</x:v>
      </x:c>
      <x:c r="Y199" s="88" t="s">
        <x:v>284</x:v>
      </x:c>
      <x:c r="Z199" s="89">
        <x:v>46177.260344432871</x:v>
      </x:c>
      <x:c r="AA199" s="88" t="s">
        <x:v>1994</x:v>
      </x:c>
      <x:c r="AB199" s="88" t="s">
        <x:v>259</x:v>
      </x:c>
      <x:c r="AC199" s="88" t="s">
        <x:v>271</x:v>
      </x:c>
      <x:c r="AD199" s="89">
        <x:v>46182.259301041668</x:v>
      </x:c>
      <x:c r="AE199" s="88" t="s">
        <x:v>1995</x:v>
      </x:c>
      <x:c r="AF199" s="88" t="s">
        <x:v>259</x:v>
      </x:c>
      <x:c r="AG199" s="88" t="s">
        <x:v>387</x:v>
      </x:c>
      <x:c r="AH199" s="89">
        <x:v>46184.140501030095</x:v>
      </x:c>
      <x:c r="AI199" s="88" t="s">
        <x:v>1996</x:v>
      </x:c>
      <x:c r="AJ199" s="88" t="s">
        <x:v>1997</x:v>
      </x:c>
      <x:c r="AK199" s="88" t="s">
        <x:v>1998</x:v>
      </x:c>
      <x:c r="AL199" s="88" t="s">
        <x:v>162</x:v>
      </x:c>
      <x:c r="AM199" s="88" t="s">
        <x:v>1999</x:v>
      </x:c>
      <x:c r="AN199" s="88" t="s">
        <x:v>369</x:v>
      </x:c>
      <x:c r="AO199" s="88">
        <x:v>0</x:v>
      </x:c>
    </x:row>
    <x:row r="200">
      <x:c r="A200" s="88" t="s">
        <x:v>2000</x:v>
      </x:c>
      <x:c r="B200" s="88" t="s">
        <x:v>2001</x:v>
      </x:c>
      <x:c r="C200" s="88" t="s">
        <x:v>2002</x:v>
      </x:c>
      <x:c r="D200" s="88" t="s">
        <x:v>248</x:v>
      </x:c>
      <x:c r="E200" s="88" t="s">
        <x:v>278</x:v>
      </x:c>
      <x:c r="F200" s="89">
        <x:v>46155.161485821758</x:v>
      </x:c>
      <x:c r="G200" s="89">
        <x:v>46160.307098541663</x:v>
      </x:c>
      <x:c r="H200" s="89">
        <x:v>46156.048135775462</x:v>
      </x:c>
      <x:c r="I200" s="88" t="s">
        <x:v>2003</x:v>
      </x:c>
      <x:c r="J200" s="88" t="s">
        <x:v>2004</x:v>
      </x:c>
      <x:c r="K200" s="88" t="s">
        <x:v>266</x:v>
      </x:c>
      <x:c r="L200" s="88"/>
      <x:c r="M200" s="88" t="s">
        <x:v>917</x:v>
      </x:c>
      <x:c r="N200" s="88" t="s">
        <x:v>2005</x:v>
      </x:c>
      <x:c r="O200" s="88"/>
      <x:c r="P200" s="88" t="s">
        <x:v>2006</x:v>
      </x:c>
      <x:c r="Q200" s="88" t="s">
        <x:v>256</x:v>
      </x:c>
      <x:c r="R200" s="88" t="s">
        <x:v>283</x:v>
      </x:c>
      <x:c r="S200" s="88"/>
      <x:c r="T200" s="88" t="s">
        <x:v>249</x:v>
      </x:c>
      <x:c r="U200" s="88" t="s">
        <x:v>2002</x:v>
      </x:c>
      <x:c r="V200" s="89">
        <x:v>46160.307098541663</x:v>
      </x:c>
      <x:c r="W200" s="88"/>
      <x:c r="X200" s="88"/>
      <x:c r="Y200" s="88" t="s">
        <x:v>917</x:v>
      </x:c>
      <x:c r="Z200" s="89"/>
      <x:c r="AA200" s="88"/>
      <x:c r="AB200" s="88"/>
      <x:c r="AC200" s="88" t="s">
        <x:v>273</x:v>
      </x:c>
      <x:c r="AD200" s="89"/>
      <x:c r="AE200" s="88"/>
      <x:c r="AF200" s="88"/>
      <x:c r="AG200" s="88" t="s">
        <x:v>273</x:v>
      </x:c>
      <x:c r="AH200" s="89"/>
      <x:c r="AI200" s="88"/>
      <x:c r="AJ200" s="88" t="s">
        <x:v>2007</x:v>
      </x:c>
      <x:c r="AK200" s="88" t="s">
        <x:v>2008</x:v>
      </x:c>
      <x:c r="AL200" s="88"/>
      <x:c r="AM200" s="88"/>
      <x:c r="AN200" s="88" t="s">
        <x:v>391</x:v>
      </x:c>
      <x:c r="AO200" s="88">
        <x:v>0</x:v>
      </x:c>
    </x:row>
    <x:row r="201">
      <x:c r="A201" s="88" t="s">
        <x:v>2009</x:v>
      </x:c>
      <x:c r="B201" s="88" t="s">
        <x:v>2010</x:v>
      </x:c>
      <x:c r="C201" s="88" t="s">
        <x:v>2002</x:v>
      </x:c>
      <x:c r="D201" s="88" t="s">
        <x:v>248</x:v>
      </x:c>
      <x:c r="E201" s="88" t="s">
        <x:v>278</x:v>
      </x:c>
      <x:c r="F201" s="89">
        <x:v>46155.164576284726</x:v>
      </x:c>
      <x:c r="G201" s="89">
        <x:v>46155.16662340278</x:v>
      </x:c>
      <x:c r="H201" s="89">
        <x:v>46155.164576284726</x:v>
      </x:c>
      <x:c r="I201" s="88" t="s">
        <x:v>2003</x:v>
      </x:c>
      <x:c r="J201" s="88" t="s">
        <x:v>2004</x:v>
      </x:c>
      <x:c r="K201" s="88" t="s">
        <x:v>266</x:v>
      </x:c>
      <x:c r="L201" s="88"/>
      <x:c r="M201" s="88" t="s">
        <x:v>917</x:v>
      </x:c>
      <x:c r="N201" s="88" t="s">
        <x:v>2011</x:v>
      </x:c>
      <x:c r="O201" s="88"/>
      <x:c r="P201" s="88" t="s">
        <x:v>2012</x:v>
      </x:c>
      <x:c r="Q201" s="88" t="s">
        <x:v>256</x:v>
      </x:c>
      <x:c r="R201" s="88" t="s">
        <x:v>283</x:v>
      </x:c>
      <x:c r="S201" s="88"/>
      <x:c r="T201" s="88" t="s">
        <x:v>249</x:v>
      </x:c>
      <x:c r="U201" s="88" t="s">
        <x:v>2002</x:v>
      </x:c>
      <x:c r="V201" s="89">
        <x:v>46155.166623414349</x:v>
      </x:c>
      <x:c r="W201" s="88"/>
      <x:c r="X201" s="88"/>
      <x:c r="Y201" s="88" t="s">
        <x:v>917</x:v>
      </x:c>
      <x:c r="Z201" s="89"/>
      <x:c r="AA201" s="88"/>
      <x:c r="AB201" s="88"/>
      <x:c r="AC201" s="88" t="s">
        <x:v>273</x:v>
      </x:c>
      <x:c r="AD201" s="89"/>
      <x:c r="AE201" s="88"/>
      <x:c r="AF201" s="88"/>
      <x:c r="AG201" s="88" t="s">
        <x:v>161</x:v>
      </x:c>
      <x:c r="AH201" s="89"/>
      <x:c r="AI201" s="88"/>
      <x:c r="AJ201" s="88" t="s">
        <x:v>2007</x:v>
      </x:c>
      <x:c r="AK201" s="88" t="s">
        <x:v>2008</x:v>
      </x:c>
      <x:c r="AL201" s="88"/>
      <x:c r="AM201" s="88"/>
      <x:c r="AN201" s="88" t="s">
        <x:v>369</x:v>
      </x:c>
      <x:c r="AO201" s="88">
        <x:v>0</x:v>
      </x:c>
    </x:row>
    <x:row r="202">
      <x:c r="A202" s="88" t="s">
        <x:v>2013</x:v>
      </x:c>
      <x:c r="B202" s="88" t="s">
        <x:v>2014</x:v>
      </x:c>
      <x:c r="C202" s="88" t="s">
        <x:v>2015</x:v>
      </x:c>
      <x:c r="D202" s="88" t="s">
        <x:v>248</x:v>
      </x:c>
      <x:c r="E202" s="88" t="s">
        <x:v>342</x:v>
      </x:c>
      <x:c r="F202" s="89">
        <x:v>46155.328373472221</x:v>
      </x:c>
      <x:c r="G202" s="89">
        <x:v>46163.31495980324</x:v>
      </x:c>
      <x:c r="H202" s="89">
        <x:v>46155.328373472221</x:v>
      </x:c>
      <x:c r="I202" s="88" t="s">
        <x:v>2016</x:v>
      </x:c>
      <x:c r="J202" s="88" t="s">
        <x:v>2017</x:v>
      </x:c>
      <x:c r="K202" s="88" t="s">
        <x:v>380</x:v>
      </x:c>
      <x:c r="L202" s="88" t="s">
        <x:v>2018</x:v>
      </x:c>
      <x:c r="M202" s="88" t="s">
        <x:v>2015</x:v>
      </x:c>
      <x:c r="N202" s="88"/>
      <x:c r="O202" s="88"/>
      <x:c r="P202" s="88" t="s">
        <x:v>2019</x:v>
      </x:c>
      <x:c r="Q202" s="88" t="s">
        <x:v>256</x:v>
      </x:c>
      <x:c r="R202" s="88" t="s">
        <x:v>283</x:v>
      </x:c>
      <x:c r="S202" s="88"/>
      <x:c r="T202" s="88" t="s">
        <x:v>259</x:v>
      </x:c>
      <x:c r="U202" s="88" t="s">
        <x:v>2015</x:v>
      </x:c>
      <x:c r="V202" s="89">
        <x:v>46155.328924756941</x:v>
      </x:c>
      <x:c r="W202" s="88" t="s">
        <x:v>2020</x:v>
      </x:c>
      <x:c r="X202" s="88" t="s">
        <x:v>259</x:v>
      </x:c>
      <x:c r="Y202" s="88" t="s">
        <x:v>2015</x:v>
      </x:c>
      <x:c r="Z202" s="89">
        <x:v>46155.329689548613</x:v>
      </x:c>
      <x:c r="AA202" s="88" t="s">
        <x:v>2021</x:v>
      </x:c>
      <x:c r="AB202" s="88" t="s">
        <x:v>259</x:v>
      </x:c>
      <x:c r="AC202" s="88" t="s">
        <x:v>271</x:v>
      </x:c>
      <x:c r="AD202" s="89">
        <x:v>46160.012859224538</x:v>
      </x:c>
      <x:c r="AE202" s="88" t="s">
        <x:v>2022</x:v>
      </x:c>
      <x:c r="AF202" s="88" t="s">
        <x:v>259</x:v>
      </x:c>
      <x:c r="AG202" s="88" t="s">
        <x:v>271</x:v>
      </x:c>
      <x:c r="AH202" s="89">
        <x:v>46163.31495980324</x:v>
      </x:c>
      <x:c r="AI202" s="88" t="s">
        <x:v>353</x:v>
      </x:c>
      <x:c r="AJ202" s="88" t="s">
        <x:v>2023</x:v>
      </x:c>
      <x:c r="AK202" s="88" t="s">
        <x:v>2024</x:v>
      </x:c>
      <x:c r="AL202" s="88" t="s">
        <x:v>185</x:v>
      </x:c>
      <x:c r="AM202" s="88" t="s">
        <x:v>2025</x:v>
      </x:c>
      <x:c r="AN202" s="88" t="s">
        <x:v>369</x:v>
      </x:c>
      <x:c r="AO202" s="88">
        <x:v>0</x:v>
      </x:c>
    </x:row>
    <x:row r="203">
      <x:c r="A203" s="88" t="s">
        <x:v>2026</x:v>
      </x:c>
      <x:c r="B203" s="88" t="s">
        <x:v>2027</x:v>
      </x:c>
      <x:c r="C203" s="88" t="s">
        <x:v>2028</x:v>
      </x:c>
      <x:c r="D203" s="88" t="s">
        <x:v>248</x:v>
      </x:c>
      <x:c r="E203" s="88" t="s">
        <x:v>342</x:v>
      </x:c>
      <x:c r="F203" s="89">
        <x:v>46155.349497951385</x:v>
      </x:c>
      <x:c r="G203" s="89">
        <x:v>46177.270764884262</x:v>
      </x:c>
      <x:c r="H203" s="89">
        <x:v>46155.349497951385</x:v>
      </x:c>
      <x:c r="I203" s="88" t="s">
        <x:v>915</x:v>
      </x:c>
      <x:c r="J203" s="88" t="s">
        <x:v>2029</x:v>
      </x:c>
      <x:c r="K203" s="88" t="s">
        <x:v>380</x:v>
      </x:c>
      <x:c r="L203" s="88" t="s">
        <x:v>2030</x:v>
      </x:c>
      <x:c r="M203" s="88" t="s">
        <x:v>2031</x:v>
      </x:c>
      <x:c r="N203" s="88"/>
      <x:c r="O203" s="88"/>
      <x:c r="P203" s="88" t="s">
        <x:v>2032</x:v>
      </x:c>
      <x:c r="Q203" s="88" t="s">
        <x:v>323</x:v>
      </x:c>
      <x:c r="R203" s="88" t="s">
        <x:v>363</x:v>
      </x:c>
      <x:c r="S203" s="88"/>
      <x:c r="T203" s="88" t="s">
        <x:v>259</x:v>
      </x:c>
      <x:c r="U203" s="88" t="s">
        <x:v>2028</x:v>
      </x:c>
      <x:c r="V203" s="89">
        <x:v>46155.355213576389</x:v>
      </x:c>
      <x:c r="W203" s="88" t="s">
        <x:v>2032</x:v>
      </x:c>
      <x:c r="X203" s="88" t="s">
        <x:v>259</x:v>
      </x:c>
      <x:c r="Y203" s="88" t="s">
        <x:v>2033</x:v>
      </x:c>
      <x:c r="Z203" s="89">
        <x:v>46156.15846741898</x:v>
      </x:c>
      <x:c r="AA203" s="88" t="s">
        <x:v>2034</x:v>
      </x:c>
      <x:c r="AB203" s="88" t="s">
        <x:v>259</x:v>
      </x:c>
      <x:c r="AC203" s="88" t="s">
        <x:v>271</x:v>
      </x:c>
      <x:c r="AD203" s="89">
        <x:v>46160.054701099536</x:v>
      </x:c>
      <x:c r="AE203" s="88" t="s">
        <x:v>1203</x:v>
      </x:c>
      <x:c r="AF203" s="88" t="s">
        <x:v>259</x:v>
      </x:c>
      <x:c r="AG203" s="88" t="s">
        <x:v>387</x:v>
      </x:c>
      <x:c r="AH203" s="89">
        <x:v>46177.270764907407</x:v>
      </x:c>
      <x:c r="AI203" s="88" t="s">
        <x:v>388</x:v>
      </x:c>
      <x:c r="AJ203" s="88" t="s">
        <x:v>923</x:v>
      </x:c>
      <x:c r="AK203" s="88" t="s">
        <x:v>2035</x:v>
      </x:c>
      <x:c r="AL203" s="88" t="s">
        <x:v>185</x:v>
      </x:c>
      <x:c r="AM203" s="88" t="s">
        <x:v>2036</x:v>
      </x:c>
      <x:c r="AN203" s="88" t="s">
        <x:v>414</x:v>
      </x:c>
      <x:c r="AO203" s="88">
        <x:v>30</x:v>
      </x:c>
    </x:row>
    <x:row r="204">
      <x:c r="A204" s="88" t="s">
        <x:v>2037</x:v>
      </x:c>
      <x:c r="B204" s="88" t="s">
        <x:v>2038</x:v>
      </x:c>
      <x:c r="C204" s="88" t="s">
        <x:v>2028</x:v>
      </x:c>
      <x:c r="D204" s="88" t="s">
        <x:v>248</x:v>
      </x:c>
      <x:c r="E204" s="88" t="s">
        <x:v>342</x:v>
      </x:c>
      <x:c r="F204" s="89">
        <x:v>46155.358326759262</x:v>
      </x:c>
      <x:c r="G204" s="89">
        <x:v>46177.52006091435</x:v>
      </x:c>
      <x:c r="H204" s="89">
        <x:v>46155.358326759262</x:v>
      </x:c>
      <x:c r="I204" s="88" t="s">
        <x:v>2039</x:v>
      </x:c>
      <x:c r="J204" s="88" t="s">
        <x:v>2029</x:v>
      </x:c>
      <x:c r="K204" s="88" t="s">
        <x:v>380</x:v>
      </x:c>
      <x:c r="L204" s="88" t="s">
        <x:v>2040</x:v>
      </x:c>
      <x:c r="M204" s="88" t="s">
        <x:v>2031</x:v>
      </x:c>
      <x:c r="N204" s="88"/>
      <x:c r="O204" s="88"/>
      <x:c r="P204" s="88" t="s">
        <x:v>2032</x:v>
      </x:c>
      <x:c r="Q204" s="88" t="s">
        <x:v>323</x:v>
      </x:c>
      <x:c r="R204" s="88" t="s">
        <x:v>363</x:v>
      </x:c>
      <x:c r="S204" s="88"/>
      <x:c r="T204" s="88" t="s">
        <x:v>259</x:v>
      </x:c>
      <x:c r="U204" s="88" t="s">
        <x:v>2028</x:v>
      </x:c>
      <x:c r="V204" s="89">
        <x:v>46155.358567881944</x:v>
      </x:c>
      <x:c r="W204" s="88" t="s">
        <x:v>2032</x:v>
      </x:c>
      <x:c r="X204" s="88" t="s">
        <x:v>259</x:v>
      </x:c>
      <x:c r="Y204" s="88" t="s">
        <x:v>2033</x:v>
      </x:c>
      <x:c r="Z204" s="89">
        <x:v>46156.159054421296</x:v>
      </x:c>
      <x:c r="AA204" s="88" t="s">
        <x:v>2041</x:v>
      </x:c>
      <x:c r="AB204" s="88" t="s">
        <x:v>259</x:v>
      </x:c>
      <x:c r="AC204" s="88" t="s">
        <x:v>271</x:v>
      </x:c>
      <x:c r="AD204" s="89">
        <x:v>46160.054421574074</x:v>
      </x:c>
      <x:c r="AE204" s="88" t="s">
        <x:v>1203</x:v>
      </x:c>
      <x:c r="AF204" s="88" t="s">
        <x:v>259</x:v>
      </x:c>
      <x:c r="AG204" s="88" t="s">
        <x:v>387</x:v>
      </x:c>
      <x:c r="AH204" s="89">
        <x:v>46177.520060925926</x:v>
      </x:c>
      <x:c r="AI204" s="88" t="s">
        <x:v>388</x:v>
      </x:c>
      <x:c r="AJ204" s="88" t="s">
        <x:v>2042</x:v>
      </x:c>
      <x:c r="AK204" s="88" t="s">
        <x:v>2043</x:v>
      </x:c>
      <x:c r="AL204" s="88" t="s">
        <x:v>185</x:v>
      </x:c>
      <x:c r="AM204" s="88" t="s">
        <x:v>2044</x:v>
      </x:c>
      <x:c r="AN204" s="88" t="s">
        <x:v>414</x:v>
      </x:c>
      <x:c r="AO204" s="88">
        <x:v>30</x:v>
      </x:c>
    </x:row>
    <x:row r="205">
      <x:c r="A205" s="88" t="s">
        <x:v>2045</x:v>
      </x:c>
      <x:c r="B205" s="88" t="s">
        <x:v>2046</x:v>
      </x:c>
      <x:c r="C205" s="88" t="s">
        <x:v>2028</x:v>
      </x:c>
      <x:c r="D205" s="88" t="s">
        <x:v>248</x:v>
      </x:c>
      <x:c r="E205" s="88" t="s">
        <x:v>342</x:v>
      </x:c>
      <x:c r="F205" s="89">
        <x:v>46155.362636759259</x:v>
      </x:c>
      <x:c r="G205" s="89">
        <x:v>46177.272650312501</x:v>
      </x:c>
      <x:c r="H205" s="89">
        <x:v>46155.362636759259</x:v>
      </x:c>
      <x:c r="I205" s="88" t="s">
        <x:v>2047</x:v>
      </x:c>
      <x:c r="J205" s="88" t="s">
        <x:v>2048</x:v>
      </x:c>
      <x:c r="K205" s="88" t="s">
        <x:v>380</x:v>
      </x:c>
      <x:c r="L205" s="88" t="s">
        <x:v>2049</x:v>
      </x:c>
      <x:c r="M205" s="88" t="s">
        <x:v>2031</x:v>
      </x:c>
      <x:c r="N205" s="88"/>
      <x:c r="O205" s="88"/>
      <x:c r="P205" s="88" t="s">
        <x:v>2050</x:v>
      </x:c>
      <x:c r="Q205" s="88" t="s">
        <x:v>256</x:v>
      </x:c>
      <x:c r="R205" s="88" t="s">
        <x:v>363</x:v>
      </x:c>
      <x:c r="S205" s="88"/>
      <x:c r="T205" s="88" t="s">
        <x:v>259</x:v>
      </x:c>
      <x:c r="U205" s="88" t="s">
        <x:v>2028</x:v>
      </x:c>
      <x:c r="V205" s="89">
        <x:v>46155.363068101855</x:v>
      </x:c>
      <x:c r="W205" s="88" t="s">
        <x:v>2051</x:v>
      </x:c>
      <x:c r="X205" s="88" t="s">
        <x:v>259</x:v>
      </x:c>
      <x:c r="Y205" s="88" t="s">
        <x:v>2033</x:v>
      </x:c>
      <x:c r="Z205" s="89">
        <x:v>46156.156686018519</x:v>
      </x:c>
      <x:c r="AA205" s="88" t="s">
        <x:v>2052</x:v>
      </x:c>
      <x:c r="AB205" s="88" t="s">
        <x:v>259</x:v>
      </x:c>
      <x:c r="AC205" s="88" t="s">
        <x:v>271</x:v>
      </x:c>
      <x:c r="AD205" s="89">
        <x:v>46160.025985810185</x:v>
      </x:c>
      <x:c r="AE205" s="88" t="s">
        <x:v>2053</x:v>
      </x:c>
      <x:c r="AF205" s="88" t="s">
        <x:v>259</x:v>
      </x:c>
      <x:c r="AG205" s="88" t="s">
        <x:v>387</x:v>
      </x:c>
      <x:c r="AH205" s="89">
        <x:v>46177.272650324077</x:v>
      </x:c>
      <x:c r="AI205" s="88" t="s">
        <x:v>388</x:v>
      </x:c>
      <x:c r="AJ205" s="88" t="s">
        <x:v>2054</x:v>
      </x:c>
      <x:c r="AK205" s="88" t="s">
        <x:v>2055</x:v>
      </x:c>
      <x:c r="AL205" s="88" t="s">
        <x:v>185</x:v>
      </x:c>
      <x:c r="AM205" s="88" t="s">
        <x:v>2056</x:v>
      </x:c>
      <x:c r="AN205" s="88" t="s">
        <x:v>414</x:v>
      </x:c>
      <x:c r="AO205" s="88">
        <x:v>30</x:v>
      </x:c>
    </x:row>
    <x:row r="206">
      <x:c r="A206" s="88" t="s">
        <x:v>2057</x:v>
      </x:c>
      <x:c r="B206" s="88" t="s">
        <x:v>2058</x:v>
      </x:c>
      <x:c r="C206" s="88" t="s">
        <x:v>403</x:v>
      </x:c>
      <x:c r="D206" s="88" t="s">
        <x:v>248</x:v>
      </x:c>
      <x:c r="E206" s="88" t="s">
        <x:v>342</x:v>
      </x:c>
      <x:c r="F206" s="89">
        <x:v>46156.050457129626</x:v>
      </x:c>
      <x:c r="G206" s="89">
        <x:v>46176.290350081021</x:v>
      </x:c>
      <x:c r="H206" s="89">
        <x:v>46156.050457129626</x:v>
      </x:c>
      <x:c r="I206" s="88" t="s">
        <x:v>2059</x:v>
      </x:c>
      <x:c r="J206" s="88" t="s">
        <x:v>2060</x:v>
      </x:c>
      <x:c r="K206" s="88" t="s">
        <x:v>380</x:v>
      </x:c>
      <x:c r="L206" s="88" t="s">
        <x:v>2061</x:v>
      </x:c>
      <x:c r="M206" s="88" t="s">
        <x:v>407</x:v>
      </x:c>
      <x:c r="N206" s="88"/>
      <x:c r="O206" s="88">
        <x:v>3406</x:v>
      </x:c>
      <x:c r="P206" s="88" t="s">
        <x:v>2062</x:v>
      </x:c>
      <x:c r="Q206" s="88" t="s">
        <x:v>269</x:v>
      </x:c>
      <x:c r="R206" s="88" t="s">
        <x:v>283</x:v>
      </x:c>
      <x:c r="S206" s="88"/>
      <x:c r="T206" s="88" t="s">
        <x:v>259</x:v>
      </x:c>
      <x:c r="U206" s="88" t="s">
        <x:v>403</x:v>
      </x:c>
      <x:c r="V206" s="89">
        <x:v>46156.051912881943</x:v>
      </x:c>
      <x:c r="W206" s="88" t="s">
        <x:v>2063</x:v>
      </x:c>
      <x:c r="X206" s="88" t="s">
        <x:v>259</x:v>
      </x:c>
      <x:c r="Y206" s="88" t="s">
        <x:v>407</x:v>
      </x:c>
      <x:c r="Z206" s="89">
        <x:v>46171.03524203704</x:v>
      </x:c>
      <x:c r="AA206" s="88" t="s">
        <x:v>2064</x:v>
      </x:c>
      <x:c r="AB206" s="88" t="s">
        <x:v>259</x:v>
      </x:c>
      <x:c r="AC206" s="88" t="s">
        <x:v>271</x:v>
      </x:c>
      <x:c r="AD206" s="89">
        <x:v>46176.284796423613</x:v>
      </x:c>
      <x:c r="AE206" s="88" t="s">
        <x:v>2065</x:v>
      </x:c>
      <x:c r="AF206" s="88" t="s">
        <x:v>259</x:v>
      </x:c>
      <x:c r="AG206" s="88" t="s">
        <x:v>387</x:v>
      </x:c>
      <x:c r="AH206" s="89">
        <x:v>46176.29035009259</x:v>
      </x:c>
      <x:c r="AI206" s="88" t="s">
        <x:v>2066</x:v>
      </x:c>
      <x:c r="AJ206" s="88" t="s">
        <x:v>2067</x:v>
      </x:c>
      <x:c r="AK206" s="88">
        <x:v>3406</x:v>
      </x:c>
      <x:c r="AL206" s="88" t="s">
        <x:v>193</x:v>
      </x:c>
      <x:c r="AM206" s="88" t="s">
        <x:v>2068</x:v>
      </x:c>
      <x:c r="AN206" s="88" t="s">
        <x:v>414</x:v>
      </x:c>
      <x:c r="AO206" s="88">
        <x:v>90</x:v>
      </x:c>
    </x:row>
    <x:row r="207">
      <x:c r="A207" s="88" t="s">
        <x:v>2069</x:v>
      </x:c>
      <x:c r="B207" s="88" t="s">
        <x:v>2070</x:v>
      </x:c>
      <x:c r="C207" s="88" t="s">
        <x:v>453</x:v>
      </x:c>
      <x:c r="D207" s="88" t="s">
        <x:v>248</x:v>
      </x:c>
      <x:c r="E207" s="88" t="s">
        <x:v>278</x:v>
      </x:c>
      <x:c r="F207" s="89">
        <x:v>46156.058368958336</x:v>
      </x:c>
      <x:c r="G207" s="89">
        <x:v>46156.065795173614</x:v>
      </x:c>
      <x:c r="H207" s="89">
        <x:v>46156.058368958336</x:v>
      </x:c>
      <x:c r="I207" s="88" t="s">
        <x:v>2071</x:v>
      </x:c>
      <x:c r="J207" s="88" t="s">
        <x:v>2072</x:v>
      </x:c>
      <x:c r="K207" s="88" t="s">
        <x:v>266</x:v>
      </x:c>
      <x:c r="L207" s="88"/>
      <x:c r="M207" s="88" t="s">
        <x:v>457</x:v>
      </x:c>
      <x:c r="N207" s="88" t="s">
        <x:v>2073</x:v>
      </x:c>
      <x:c r="O207" s="88">
        <x:v>1152</x:v>
      </x:c>
      <x:c r="P207" s="88" t="s">
        <x:v>2074</x:v>
      </x:c>
      <x:c r="Q207" s="88" t="s">
        <x:v>256</x:v>
      </x:c>
      <x:c r="R207" s="88" t="s">
        <x:v>283</x:v>
      </x:c>
      <x:c r="S207" s="88"/>
      <x:c r="T207" s="88" t="s">
        <x:v>249</x:v>
      </x:c>
      <x:c r="U207" s="88" t="s">
        <x:v>453</x:v>
      </x:c>
      <x:c r="V207" s="89">
        <x:v>46156.065795185183</x:v>
      </x:c>
      <x:c r="W207" s="88"/>
      <x:c r="X207" s="88"/>
      <x:c r="Y207" s="88" t="s">
        <x:v>457</x:v>
      </x:c>
      <x:c r="Z207" s="89"/>
      <x:c r="AA207" s="88"/>
      <x:c r="AB207" s="88"/>
      <x:c r="AC207" s="88" t="s">
        <x:v>273</x:v>
      </x:c>
      <x:c r="AD207" s="89"/>
      <x:c r="AE207" s="88"/>
      <x:c r="AF207" s="88"/>
      <x:c r="AG207" s="88" t="s">
        <x:v>161</x:v>
      </x:c>
      <x:c r="AH207" s="89"/>
      <x:c r="AI207" s="88"/>
      <x:c r="AJ207" s="88" t="s">
        <x:v>2075</x:v>
      </x:c>
      <x:c r="AK207" s="88">
        <x:v>1152</x:v>
      </x:c>
      <x:c r="AL207" s="88"/>
      <x:c r="AM207" s="88"/>
      <x:c r="AN207" s="88" t="s">
        <x:v>369</x:v>
      </x:c>
      <x:c r="AO207" s="88">
        <x:v>0</x:v>
      </x:c>
    </x:row>
    <x:row r="208">
      <x:c r="A208" s="88" t="s">
        <x:v>2076</x:v>
      </x:c>
      <x:c r="B208" s="88" t="s">
        <x:v>2077</x:v>
      </x:c>
      <x:c r="C208" s="88" t="s">
        <x:v>453</x:v>
      </x:c>
      <x:c r="D208" s="88" t="s">
        <x:v>248</x:v>
      </x:c>
      <x:c r="E208" s="88" t="s">
        <x:v>342</x:v>
      </x:c>
      <x:c r="F208" s="89">
        <x:v>46156.067476736112</x:v>
      </x:c>
      <x:c r="G208" s="89">
        <x:v>46213.002066909721</x:v>
      </x:c>
      <x:c r="H208" s="89">
        <x:v>46156.067476736112</x:v>
      </x:c>
      <x:c r="I208" s="88" t="s">
        <x:v>2071</x:v>
      </x:c>
      <x:c r="J208" s="88" t="s">
        <x:v>2072</x:v>
      </x:c>
      <x:c r="K208" s="88" t="s">
        <x:v>380</x:v>
      </x:c>
      <x:c r="L208" s="88" t="s">
        <x:v>2078</x:v>
      </x:c>
      <x:c r="M208" s="88" t="s">
        <x:v>457</x:v>
      </x:c>
      <x:c r="N208" s="88" t="s">
        <x:v>2073</x:v>
      </x:c>
      <x:c r="O208" s="88">
        <x:v>1152</x:v>
      </x:c>
      <x:c r="P208" s="88" t="s">
        <x:v>2079</x:v>
      </x:c>
      <x:c r="Q208" s="88" t="s">
        <x:v>256</x:v>
      </x:c>
      <x:c r="R208" s="88" t="s">
        <x:v>283</x:v>
      </x:c>
      <x:c r="S208" s="88"/>
      <x:c r="T208" s="88" t="s">
        <x:v>259</x:v>
      </x:c>
      <x:c r="U208" s="88" t="s">
        <x:v>453</x:v>
      </x:c>
      <x:c r="V208" s="89">
        <x:v>46156.080706458335</x:v>
      </x:c>
      <x:c r="W208" s="88" t="s">
        <x:v>2080</x:v>
      </x:c>
      <x:c r="X208" s="88" t="s">
        <x:v>259</x:v>
      </x:c>
      <x:c r="Y208" s="88" t="s">
        <x:v>457</x:v>
      </x:c>
      <x:c r="Z208" s="89">
        <x:v>46195.15977017361</x:v>
      </x:c>
      <x:c r="AA208" s="88" t="s">
        <x:v>1006</x:v>
      </x:c>
      <x:c r="AB208" s="88" t="s">
        <x:v>259</x:v>
      </x:c>
      <x:c r="AC208" s="88" t="s">
        <x:v>113</x:v>
      </x:c>
      <x:c r="AD208" s="89">
        <x:v>46205.162800358798</x:v>
      </x:c>
      <x:c r="AE208" s="88" t="s">
        <x:v>2081</x:v>
      </x:c>
      <x:c r="AF208" s="88" t="s">
        <x:v>259</x:v>
      </x:c>
      <x:c r="AG208" s="88" t="s">
        <x:v>271</x:v>
      </x:c>
      <x:c r="AH208" s="89">
        <x:v>46213.002066909721</x:v>
      </x:c>
      <x:c r="AI208" s="88" t="s">
        <x:v>2082</x:v>
      </x:c>
      <x:c r="AJ208" s="88" t="s">
        <x:v>2075</x:v>
      </x:c>
      <x:c r="AK208" s="88">
        <x:v>1152</x:v>
      </x:c>
      <x:c r="AL208" s="88" t="s">
        <x:v>185</x:v>
      </x:c>
      <x:c r="AM208" s="88" t="s">
        <x:v>2083</x:v>
      </x:c>
      <x:c r="AN208" s="88" t="s">
        <x:v>369</x:v>
      </x:c>
      <x:c r="AO208" s="88">
        <x:v>0</x:v>
      </x:c>
    </x:row>
    <x:row r="209">
      <x:c r="A209" s="88" t="s">
        <x:v>2084</x:v>
      </x:c>
      <x:c r="B209" s="88" t="s">
        <x:v>2085</x:v>
      </x:c>
      <x:c r="C209" s="88" t="s">
        <x:v>1623</x:v>
      </x:c>
      <x:c r="D209" s="88" t="s">
        <x:v>248</x:v>
      </x:c>
      <x:c r="E209" s="88" t="s">
        <x:v>342</x:v>
      </x:c>
      <x:c r="F209" s="89">
        <x:v>46156.071725636575</x:v>
      </x:c>
      <x:c r="G209" s="89">
        <x:v>46209.109681238428</x:v>
      </x:c>
      <x:c r="H209" s="89">
        <x:v>46156.071725636575</x:v>
      </x:c>
      <x:c r="I209" s="88" t="s">
        <x:v>1926</x:v>
      </x:c>
      <x:c r="J209" s="88" t="s">
        <x:v>1946</x:v>
      </x:c>
      <x:c r="K209" s="88" t="s">
        <x:v>266</x:v>
      </x:c>
      <x:c r="L209" s="88"/>
      <x:c r="M209" s="88" t="s">
        <x:v>482</x:v>
      </x:c>
      <x:c r="N209" s="88"/>
      <x:c r="O209" s="88"/>
      <x:c r="P209" s="88" t="s">
        <x:v>680</x:v>
      </x:c>
      <x:c r="Q209" s="88" t="s">
        <x:v>256</x:v>
      </x:c>
      <x:c r="R209" s="88" t="s">
        <x:v>363</x:v>
      </x:c>
      <x:c r="S209" s="88"/>
      <x:c r="T209" s="88" t="s">
        <x:v>259</x:v>
      </x:c>
      <x:c r="U209" s="88" t="s">
        <x:v>1623</x:v>
      </x:c>
      <x:c r="V209" s="89">
        <x:v>46156.072648726855</x:v>
      </x:c>
      <x:c r="W209" s="88" t="s">
        <x:v>680</x:v>
      </x:c>
      <x:c r="X209" s="88" t="s">
        <x:v>259</x:v>
      </x:c>
      <x:c r="Y209" s="88" t="s">
        <x:v>482</x:v>
      </x:c>
      <x:c r="Z209" s="89">
        <x:v>46184.069080775465</x:v>
      </x:c>
      <x:c r="AA209" s="88" t="s">
        <x:v>680</x:v>
      </x:c>
      <x:c r="AB209" s="88" t="s">
        <x:v>259</x:v>
      </x:c>
      <x:c r="AC209" s="88" t="s">
        <x:v>271</x:v>
      </x:c>
      <x:c r="AD209" s="89">
        <x:v>46197.399577268516</x:v>
      </x:c>
      <x:c r="AE209" s="88" t="s">
        <x:v>2086</x:v>
      </x:c>
      <x:c r="AF209" s="88" t="s">
        <x:v>259</x:v>
      </x:c>
      <x:c r="AG209" s="88" t="s">
        <x:v>387</x:v>
      </x:c>
      <x:c r="AH209" s="89">
        <x:v>46209.109681238428</x:v>
      </x:c>
      <x:c r="AI209" s="88" t="s">
        <x:v>388</x:v>
      </x:c>
      <x:c r="AJ209" s="88" t="s">
        <x:v>1928</x:v>
      </x:c>
      <x:c r="AK209" s="88" t="s">
        <x:v>1947</x:v>
      </x:c>
      <x:c r="AL209" s="88" t="s">
        <x:v>185</x:v>
      </x:c>
      <x:c r="AM209" s="88" t="s">
        <x:v>2087</x:v>
      </x:c>
      <x:c r="AN209" s="88" t="s">
        <x:v>369</x:v>
      </x:c>
      <x:c r="AO209" s="88">
        <x:v>0</x:v>
      </x:c>
    </x:row>
    <x:row r="210">
      <x:c r="A210" s="88" t="s">
        <x:v>2088</x:v>
      </x:c>
      <x:c r="B210" s="88" t="s">
        <x:v>2089</x:v>
      </x:c>
      <x:c r="C210" s="88" t="s">
        <x:v>1623</x:v>
      </x:c>
      <x:c r="D210" s="88" t="s">
        <x:v>248</x:v>
      </x:c>
      <x:c r="E210" s="88" t="s">
        <x:v>342</x:v>
      </x:c>
      <x:c r="F210" s="89">
        <x:v>46156.073488020833</x:v>
      </x:c>
      <x:c r="G210" s="89">
        <x:v>46204.296166932872</x:v>
      </x:c>
      <x:c r="H210" s="89">
        <x:v>46156.073488020833</x:v>
      </x:c>
      <x:c r="I210" s="88" t="s">
        <x:v>1926</x:v>
      </x:c>
      <x:c r="J210" s="88" t="s">
        <x:v>1927</x:v>
      </x:c>
      <x:c r="K210" s="88" t="s">
        <x:v>266</x:v>
      </x:c>
      <x:c r="L210" s="88"/>
      <x:c r="M210" s="88" t="s">
        <x:v>482</x:v>
      </x:c>
      <x:c r="N210" s="88"/>
      <x:c r="O210" s="88"/>
      <x:c r="P210" s="88" t="s">
        <x:v>680</x:v>
      </x:c>
      <x:c r="Q210" s="88" t="s">
        <x:v>256</x:v>
      </x:c>
      <x:c r="R210" s="88" t="s">
        <x:v>363</x:v>
      </x:c>
      <x:c r="S210" s="88"/>
      <x:c r="T210" s="88" t="s">
        <x:v>259</x:v>
      </x:c>
      <x:c r="U210" s="88" t="s">
        <x:v>1623</x:v>
      </x:c>
      <x:c r="V210" s="89">
        <x:v>46156.075837395831</x:v>
      </x:c>
      <x:c r="W210" s="88" t="s">
        <x:v>2090</x:v>
      </x:c>
      <x:c r="X210" s="88" t="s">
        <x:v>259</x:v>
      </x:c>
      <x:c r="Y210" s="88" t="s">
        <x:v>482</x:v>
      </x:c>
      <x:c r="Z210" s="89">
        <x:v>46184.068354733798</x:v>
      </x:c>
      <x:c r="AA210" s="88" t="s">
        <x:v>680</x:v>
      </x:c>
      <x:c r="AB210" s="88" t="s">
        <x:v>259</x:v>
      </x:c>
      <x:c r="AC210" s="88" t="s">
        <x:v>271</x:v>
      </x:c>
      <x:c r="AD210" s="89">
        <x:v>46197.399734895836</x:v>
      </x:c>
      <x:c r="AE210" s="88" t="s">
        <x:v>2086</x:v>
      </x:c>
      <x:c r="AF210" s="88" t="s">
        <x:v>259</x:v>
      </x:c>
      <x:c r="AG210" s="88" t="s">
        <x:v>387</x:v>
      </x:c>
      <x:c r="AH210" s="89">
        <x:v>46204.296166944441</x:v>
      </x:c>
      <x:c r="AI210" s="88" t="s">
        <x:v>388</x:v>
      </x:c>
      <x:c r="AJ210" s="88" t="s">
        <x:v>1928</x:v>
      </x:c>
      <x:c r="AK210" s="88" t="s">
        <x:v>1929</x:v>
      </x:c>
      <x:c r="AL210" s="88" t="s">
        <x:v>185</x:v>
      </x:c>
      <x:c r="AM210" s="88" t="s">
        <x:v>2091</x:v>
      </x:c>
      <x:c r="AN210" s="88" t="s">
        <x:v>369</x:v>
      </x:c>
      <x:c r="AO210" s="88">
        <x:v>0</x:v>
      </x:c>
    </x:row>
    <x:row r="211">
      <x:c r="A211" s="88" t="s">
        <x:v>2092</x:v>
      </x:c>
      <x:c r="B211" s="88" t="s">
        <x:v>2093</x:v>
      </x:c>
      <x:c r="C211" s="88" t="s">
        <x:v>453</x:v>
      </x:c>
      <x:c r="D211" s="88" t="s">
        <x:v>248</x:v>
      </x:c>
      <x:c r="E211" s="88" t="s">
        <x:v>342</x:v>
      </x:c>
      <x:c r="F211" s="89">
        <x:v>46156.091822372684</x:v>
      </x:c>
      <x:c r="G211" s="89">
        <x:v>46213.001630983796</x:v>
      </x:c>
      <x:c r="H211" s="89">
        <x:v>46156.091822372684</x:v>
      </x:c>
      <x:c r="I211" s="88" t="s">
        <x:v>2071</x:v>
      </x:c>
      <x:c r="J211" s="88" t="s">
        <x:v>2072</x:v>
      </x:c>
      <x:c r="K211" s="88" t="s">
        <x:v>380</x:v>
      </x:c>
      <x:c r="L211" s="88" t="s">
        <x:v>2078</x:v>
      </x:c>
      <x:c r="M211" s="88" t="s">
        <x:v>457</x:v>
      </x:c>
      <x:c r="N211" s="88" t="s">
        <x:v>2073</x:v>
      </x:c>
      <x:c r="O211" s="88" t="s">
        <x:v>2094</x:v>
      </x:c>
      <x:c r="P211" s="88" t="s">
        <x:v>2095</x:v>
      </x:c>
      <x:c r="Q211" s="88" t="s">
        <x:v>256</x:v>
      </x:c>
      <x:c r="R211" s="88" t="s">
        <x:v>283</x:v>
      </x:c>
      <x:c r="S211" s="88"/>
      <x:c r="T211" s="88" t="s">
        <x:v>259</x:v>
      </x:c>
      <x:c r="U211" s="88" t="s">
        <x:v>453</x:v>
      </x:c>
      <x:c r="V211" s="89">
        <x:v>46188.357732083336</x:v>
      </x:c>
      <x:c r="W211" s="88" t="s">
        <x:v>2095</x:v>
      </x:c>
      <x:c r="X211" s="88" t="s">
        <x:v>259</x:v>
      </x:c>
      <x:c r="Y211" s="88" t="s">
        <x:v>457</x:v>
      </x:c>
      <x:c r="Z211" s="89">
        <x:v>46195.160674606479</x:v>
      </x:c>
      <x:c r="AA211" s="88" t="s">
        <x:v>1006</x:v>
      </x:c>
      <x:c r="AB211" s="88" t="s">
        <x:v>259</x:v>
      </x:c>
      <x:c r="AC211" s="88" t="s">
        <x:v>113</x:v>
      </x:c>
      <x:c r="AD211" s="89">
        <x:v>46205.15854921296</x:v>
      </x:c>
      <x:c r="AE211" s="88" t="s">
        <x:v>2096</x:v>
      </x:c>
      <x:c r="AF211" s="88" t="s">
        <x:v>259</x:v>
      </x:c>
      <x:c r="AG211" s="88" t="s">
        <x:v>271</x:v>
      </x:c>
      <x:c r="AH211" s="89">
        <x:v>46213.001630983796</x:v>
      </x:c>
      <x:c r="AI211" s="88" t="s">
        <x:v>353</x:v>
      </x:c>
      <x:c r="AJ211" s="88" t="s">
        <x:v>2075</x:v>
      </x:c>
      <x:c r="AK211" s="88">
        <x:v>1152</x:v>
      </x:c>
      <x:c r="AL211" s="88" t="s">
        <x:v>185</x:v>
      </x:c>
      <x:c r="AM211" s="88" t="s">
        <x:v>2097</x:v>
      </x:c>
      <x:c r="AN211" s="88" t="s">
        <x:v>369</x:v>
      </x:c>
      <x:c r="AO211" s="88">
        <x:v>0</x:v>
      </x:c>
    </x:row>
    <x:row r="212">
      <x:c r="A212" s="88" t="s">
        <x:v>2098</x:v>
      </x:c>
      <x:c r="B212" s="88" t="s">
        <x:v>2099</x:v>
      </x:c>
      <x:c r="C212" s="88" t="s">
        <x:v>2100</x:v>
      </x:c>
      <x:c r="D212" s="88" t="s">
        <x:v>248</x:v>
      </x:c>
      <x:c r="E212" s="88" t="s">
        <x:v>342</x:v>
      </x:c>
      <x:c r="F212" s="89">
        <x:v>46156.271295011575</x:v>
      </x:c>
      <x:c r="G212" s="89">
        <x:v>46177.25674892361</x:v>
      </x:c>
      <x:c r="H212" s="89">
        <x:v>46161.392085497682</x:v>
      </x:c>
      <x:c r="I212" s="88" t="s">
        <x:v>2101</x:v>
      </x:c>
      <x:c r="J212" s="88" t="s">
        <x:v>2102</x:v>
      </x:c>
      <x:c r="K212" s="88" t="s">
        <x:v>380</x:v>
      </x:c>
      <x:c r="L212" s="88" t="s">
        <x:v>2103</x:v>
      </x:c>
      <x:c r="M212" s="88" t="s">
        <x:v>2104</x:v>
      </x:c>
      <x:c r="N212" s="88"/>
      <x:c r="O212" s="88"/>
      <x:c r="P212" s="88" t="s">
        <x:v>2105</x:v>
      </x:c>
      <x:c r="Q212" s="88" t="s">
        <x:v>256</x:v>
      </x:c>
      <x:c r="R212" s="88" t="s">
        <x:v>283</x:v>
      </x:c>
      <x:c r="S212" s="88"/>
      <x:c r="T212" s="88" t="s">
        <x:v>259</x:v>
      </x:c>
      <x:c r="U212" s="88" t="s">
        <x:v>2100</x:v>
      </x:c>
      <x:c r="V212" s="89">
        <x:v>46164.167837291665</x:v>
      </x:c>
      <x:c r="W212" s="88" t="s">
        <x:v>2106</x:v>
      </x:c>
      <x:c r="X212" s="88" t="s">
        <x:v>259</x:v>
      </x:c>
      <x:c r="Y212" s="88" t="s">
        <x:v>2107</x:v>
      </x:c>
      <x:c r="Z212" s="89">
        <x:v>46164.290543946758</x:v>
      </x:c>
      <x:c r="AA212" s="88" t="s">
        <x:v>2108</x:v>
      </x:c>
      <x:c r="AB212" s="88" t="s">
        <x:v>259</x:v>
      </x:c>
      <x:c r="AC212" s="88" t="s">
        <x:v>271</x:v>
      </x:c>
      <x:c r="AD212" s="89">
        <x:v>46167.071934930558</x:v>
      </x:c>
      <x:c r="AE212" s="88" t="s">
        <x:v>2109</x:v>
      </x:c>
      <x:c r="AF212" s="88" t="s">
        <x:v>259</x:v>
      </x:c>
      <x:c r="AG212" s="88" t="s">
        <x:v>271</x:v>
      </x:c>
      <x:c r="AH212" s="89">
        <x:v>46177.256748935186</x:v>
      </x:c>
      <x:c r="AI212" s="88" t="s">
        <x:v>353</x:v>
      </x:c>
      <x:c r="AJ212" s="88" t="s">
        <x:v>2110</x:v>
      </x:c>
      <x:c r="AK212" s="88">
        <x:v>4555</x:v>
      </x:c>
      <x:c r="AL212" s="88" t="s">
        <x:v>193</x:v>
      </x:c>
      <x:c r="AM212" s="88" t="s">
        <x:v>2111</x:v>
      </x:c>
      <x:c r="AN212" s="88" t="s">
        <x:v>391</x:v>
      </x:c>
      <x:c r="AO212" s="88">
        <x:v>0</x:v>
      </x:c>
    </x:row>
    <x:row r="213">
      <x:c r="A213" s="88" t="s">
        <x:v>2112</x:v>
      </x:c>
      <x:c r="B213" s="88" t="s">
        <x:v>2113</x:v>
      </x:c>
      <x:c r="C213" s="88" t="s">
        <x:v>554</x:v>
      </x:c>
      <x:c r="D213" s="88" t="s">
        <x:v>248</x:v>
      </x:c>
      <x:c r="E213" s="88" t="s">
        <x:v>342</x:v>
      </x:c>
      <x:c r="F213" s="89">
        <x:v>46156.320577141203</x:v>
      </x:c>
      <x:c r="G213" s="89">
        <x:v>46217.297702766205</x:v>
      </x:c>
      <x:c r="H213" s="89">
        <x:v>46156.320577141203</x:v>
      </x:c>
      <x:c r="I213" s="88" t="s">
        <x:v>2114</x:v>
      </x:c>
      <x:c r="J213" s="88" t="s">
        <x:v>2115</x:v>
      </x:c>
      <x:c r="K213" s="88" t="s">
        <x:v>266</x:v>
      </x:c>
      <x:c r="L213" s="88"/>
      <x:c r="M213" s="88" t="s">
        <x:v>482</x:v>
      </x:c>
      <x:c r="N213" s="88"/>
      <x:c r="O213" s="88"/>
      <x:c r="P213" s="88" t="s">
        <x:v>680</x:v>
      </x:c>
      <x:c r="Q213" s="88" t="s">
        <x:v>256</x:v>
      </x:c>
      <x:c r="R213" s="88" t="s">
        <x:v>363</x:v>
      </x:c>
      <x:c r="S213" s="88"/>
      <x:c r="T213" s="88" t="s">
        <x:v>259</x:v>
      </x:c>
      <x:c r="U213" s="88" t="s">
        <x:v>554</x:v>
      </x:c>
      <x:c r="V213" s="89">
        <x:v>46156.321627442128</x:v>
      </x:c>
      <x:c r="W213" s="88" t="s">
        <x:v>680</x:v>
      </x:c>
      <x:c r="X213" s="88" t="s">
        <x:v>259</x:v>
      </x:c>
      <x:c r="Y213" s="88" t="s">
        <x:v>482</x:v>
      </x:c>
      <x:c r="Z213" s="89">
        <x:v>46184.067337372682</x:v>
      </x:c>
      <x:c r="AA213" s="88" t="s">
        <x:v>680</x:v>
      </x:c>
      <x:c r="AB213" s="88" t="s">
        <x:v>259</x:v>
      </x:c>
      <x:c r="AC213" s="88" t="s">
        <x:v>271</x:v>
      </x:c>
      <x:c r="AD213" s="89">
        <x:v>46188.139952430553</x:v>
      </x:c>
      <x:c r="AE213" s="88" t="s">
        <x:v>2116</x:v>
      </x:c>
      <x:c r="AF213" s="88" t="s">
        <x:v>259</x:v>
      </x:c>
      <x:c r="AG213" s="88" t="s">
        <x:v>387</x:v>
      </x:c>
      <x:c r="AH213" s="89">
        <x:v>46217.297702777774</x:v>
      </x:c>
      <x:c r="AI213" s="88" t="s">
        <x:v>388</x:v>
      </x:c>
      <x:c r="AJ213" s="88" t="s">
        <x:v>2117</x:v>
      </x:c>
      <x:c r="AK213" s="88" t="s">
        <x:v>2118</x:v>
      </x:c>
      <x:c r="AL213" s="88" t="s">
        <x:v>185</x:v>
      </x:c>
      <x:c r="AM213" s="88" t="s">
        <x:v>2119</x:v>
      </x:c>
      <x:c r="AN213" s="88" t="s">
        <x:v>391</x:v>
      </x:c>
      <x:c r="AO213" s="88">
        <x:v>0</x:v>
      </x:c>
    </x:row>
    <x:row r="214">
      <x:c r="A214" s="88" t="s">
        <x:v>2120</x:v>
      </x:c>
      <x:c r="B214" s="88" t="s">
        <x:v>2121</x:v>
      </x:c>
      <x:c r="C214" s="88" t="s">
        <x:v>554</x:v>
      </x:c>
      <x:c r="D214" s="88" t="s">
        <x:v>248</x:v>
      </x:c>
      <x:c r="E214" s="88" t="s">
        <x:v>342</x:v>
      </x:c>
      <x:c r="F214" s="89">
        <x:v>46156.322693263886</x:v>
      </x:c>
      <x:c r="G214" s="89">
        <x:v>46198.248001041669</x:v>
      </x:c>
      <x:c r="H214" s="89">
        <x:v>46156.322693263886</x:v>
      </x:c>
      <x:c r="I214" s="88" t="s">
        <x:v>2114</x:v>
      </x:c>
      <x:c r="J214" s="88" t="s">
        <x:v>2122</x:v>
      </x:c>
      <x:c r="K214" s="88" t="s">
        <x:v>266</x:v>
      </x:c>
      <x:c r="L214" s="88"/>
      <x:c r="M214" s="88" t="s">
        <x:v>482</x:v>
      </x:c>
      <x:c r="N214" s="88"/>
      <x:c r="O214" s="88"/>
      <x:c r="P214" s="88" t="s">
        <x:v>680</x:v>
      </x:c>
      <x:c r="Q214" s="88" t="s">
        <x:v>256</x:v>
      </x:c>
      <x:c r="R214" s="88" t="s">
        <x:v>363</x:v>
      </x:c>
      <x:c r="S214" s="88"/>
      <x:c r="T214" s="88" t="s">
        <x:v>259</x:v>
      </x:c>
      <x:c r="U214" s="88" t="s">
        <x:v>554</x:v>
      </x:c>
      <x:c r="V214" s="89">
        <x:v>46156.322948009256</x:v>
      </x:c>
      <x:c r="W214" s="88" t="s">
        <x:v>680</x:v>
      </x:c>
      <x:c r="X214" s="88" t="s">
        <x:v>259</x:v>
      </x:c>
      <x:c r="Y214" s="88" t="s">
        <x:v>482</x:v>
      </x:c>
      <x:c r="Z214" s="89">
        <x:v>46184.066488124998</x:v>
      </x:c>
      <x:c r="AA214" s="88" t="s">
        <x:v>680</x:v>
      </x:c>
      <x:c r="AB214" s="88" t="s">
        <x:v>259</x:v>
      </x:c>
      <x:c r="AC214" s="88" t="s">
        <x:v>271</x:v>
      </x:c>
      <x:c r="AD214" s="89">
        <x:v>46188.139200648147</x:v>
      </x:c>
      <x:c r="AE214" s="88" t="s">
        <x:v>2116</x:v>
      </x:c>
      <x:c r="AF214" s="88" t="s">
        <x:v>259</x:v>
      </x:c>
      <x:c r="AG214" s="88" t="s">
        <x:v>387</x:v>
      </x:c>
      <x:c r="AH214" s="89">
        <x:v>46198.248001053238</x:v>
      </x:c>
      <x:c r="AI214" s="88" t="s">
        <x:v>388</x:v>
      </x:c>
      <x:c r="AJ214" s="88" t="s">
        <x:v>2117</x:v>
      </x:c>
      <x:c r="AK214" s="88" t="s">
        <x:v>2123</x:v>
      </x:c>
      <x:c r="AL214" s="88" t="s">
        <x:v>185</x:v>
      </x:c>
      <x:c r="AM214" s="88" t="s">
        <x:v>2124</x:v>
      </x:c>
      <x:c r="AN214" s="88" t="s">
        <x:v>391</x:v>
      </x:c>
      <x:c r="AO214" s="88">
        <x:v>0</x:v>
      </x:c>
    </x:row>
    <x:row r="215">
      <x:c r="A215" s="88" t="s">
        <x:v>2125</x:v>
      </x:c>
      <x:c r="B215" s="88" t="s">
        <x:v>2126</x:v>
      </x:c>
      <x:c r="C215" s="88" t="s">
        <x:v>2002</x:v>
      </x:c>
      <x:c r="D215" s="88" t="s">
        <x:v>248</x:v>
      </x:c>
      <x:c r="E215" s="88" t="s">
        <x:v>278</x:v>
      </x:c>
      <x:c r="F215" s="89">
        <x:v>46157.024729976853</x:v>
      </x:c>
      <x:c r="G215" s="89">
        <x:v>46160.307742048608</x:v>
      </x:c>
      <x:c r="H215" s="89">
        <x:v>46157.024729976853</x:v>
      </x:c>
      <x:c r="I215" s="88" t="s">
        <x:v>2003</x:v>
      </x:c>
      <x:c r="J215" s="88" t="s">
        <x:v>2127</x:v>
      </x:c>
      <x:c r="K215" s="88" t="s">
        <x:v>266</x:v>
      </x:c>
      <x:c r="L215" s="88"/>
      <x:c r="M215" s="88" t="s">
        <x:v>917</x:v>
      </x:c>
      <x:c r="N215" s="88"/>
      <x:c r="O215" s="88"/>
      <x:c r="P215" s="88" t="s">
        <x:v>2128</x:v>
      </x:c>
      <x:c r="Q215" s="88" t="s">
        <x:v>256</x:v>
      </x:c>
      <x:c r="R215" s="88" t="s">
        <x:v>283</x:v>
      </x:c>
      <x:c r="S215" s="88"/>
      <x:c r="T215" s="88" t="s">
        <x:v>249</x:v>
      </x:c>
      <x:c r="U215" s="88" t="s">
        <x:v>2002</x:v>
      </x:c>
      <x:c r="V215" s="89">
        <x:v>46160.307742048608</x:v>
      </x:c>
      <x:c r="W215" s="88"/>
      <x:c r="X215" s="88"/>
      <x:c r="Y215" s="88" t="s">
        <x:v>917</x:v>
      </x:c>
      <x:c r="Z215" s="89"/>
      <x:c r="AA215" s="88"/>
      <x:c r="AB215" s="88"/>
      <x:c r="AC215" s="88" t="s">
        <x:v>273</x:v>
      </x:c>
      <x:c r="AD215" s="89"/>
      <x:c r="AE215" s="88"/>
      <x:c r="AF215" s="88"/>
      <x:c r="AG215" s="88" t="s">
        <x:v>161</x:v>
      </x:c>
      <x:c r="AH215" s="89"/>
      <x:c r="AI215" s="88"/>
      <x:c r="AJ215" s="88" t="s">
        <x:v>2007</x:v>
      </x:c>
      <x:c r="AK215" s="88" t="s">
        <x:v>2129</x:v>
      </x:c>
      <x:c r="AL215" s="88"/>
      <x:c r="AM215" s="88"/>
      <x:c r="AN215" s="88" t="s">
        <x:v>369</x:v>
      </x:c>
      <x:c r="AO215" s="88">
        <x:v>0</x:v>
      </x:c>
    </x:row>
    <x:row r="216">
      <x:c r="A216" s="88" t="s">
        <x:v>2130</x:v>
      </x:c>
      <x:c r="B216" s="88" t="s">
        <x:v>2131</x:v>
      </x:c>
      <x:c r="C216" s="88" t="s">
        <x:v>1391</x:v>
      </x:c>
      <x:c r="D216" s="88" t="s">
        <x:v>248</x:v>
      </x:c>
      <x:c r="E216" s="88" t="s">
        <x:v>342</x:v>
      </x:c>
      <x:c r="F216" s="89">
        <x:v>46160.102427627317</x:v>
      </x:c>
      <x:c r="G216" s="89">
        <x:v>46197.336169513888</x:v>
      </x:c>
      <x:c r="H216" s="89">
        <x:v>46160.102427627317</x:v>
      </x:c>
      <x:c r="I216" s="88" t="s">
        <x:v>2132</x:v>
      </x:c>
      <x:c r="J216" s="88" t="s">
        <x:v>2133</x:v>
      </x:c>
      <x:c r="K216" s="88" t="s">
        <x:v>266</x:v>
      </x:c>
      <x:c r="L216" s="88"/>
      <x:c r="M216" s="88" t="s">
        <x:v>482</x:v>
      </x:c>
      <x:c r="N216" s="88"/>
      <x:c r="O216" s="88"/>
      <x:c r="P216" s="88" t="s">
        <x:v>1589</x:v>
      </x:c>
      <x:c r="Q216" s="88" t="s">
        <x:v>256</x:v>
      </x:c>
      <x:c r="R216" s="88" t="s">
        <x:v>363</x:v>
      </x:c>
      <x:c r="S216" s="88"/>
      <x:c r="T216" s="88" t="s">
        <x:v>259</x:v>
      </x:c>
      <x:c r="U216" s="88" t="s">
        <x:v>1391</x:v>
      </x:c>
      <x:c r="V216" s="89">
        <x:v>46160.102847407405</x:v>
      </x:c>
      <x:c r="W216" s="88" t="s">
        <x:v>2134</x:v>
      </x:c>
      <x:c r="X216" s="88" t="s">
        <x:v>259</x:v>
      </x:c>
      <x:c r="Y216" s="88" t="s">
        <x:v>482</x:v>
      </x:c>
      <x:c r="Z216" s="89">
        <x:v>46167.346322094905</x:v>
      </x:c>
      <x:c r="AA216" s="88" t="s">
        <x:v>1165</x:v>
      </x:c>
      <x:c r="AB216" s="88" t="s">
        <x:v>259</x:v>
      </x:c>
      <x:c r="AC216" s="88" t="s">
        <x:v>271</x:v>
      </x:c>
      <x:c r="AD216" s="89">
        <x:v>46176.28335730324</x:v>
      </x:c>
      <x:c r="AE216" s="88" t="s">
        <x:v>2135</x:v>
      </x:c>
      <x:c r="AF216" s="88" t="s">
        <x:v>259</x:v>
      </x:c>
      <x:c r="AG216" s="88" t="s">
        <x:v>271</x:v>
      </x:c>
      <x:c r="AH216" s="89">
        <x:v>46197.336169513888</x:v>
      </x:c>
      <x:c r="AI216" s="88" t="s">
        <x:v>353</x:v>
      </x:c>
      <x:c r="AJ216" s="88" t="s">
        <x:v>2136</x:v>
      </x:c>
      <x:c r="AK216" s="88">
        <x:v>2835</x:v>
      </x:c>
      <x:c r="AL216" s="88" t="s">
        <x:v>185</x:v>
      </x:c>
      <x:c r="AM216" s="88" t="s">
        <x:v>2137</x:v>
      </x:c>
      <x:c r="AN216" s="88" t="s">
        <x:v>369</x:v>
      </x:c>
      <x:c r="AO216" s="88">
        <x:v>0</x:v>
      </x:c>
    </x:row>
    <x:row r="217">
      <x:c r="A217" s="88" t="s">
        <x:v>2138</x:v>
      </x:c>
      <x:c r="B217" s="88" t="s">
        <x:v>2139</x:v>
      </x:c>
      <x:c r="C217" s="88" t="s">
        <x:v>2002</x:v>
      </x:c>
      <x:c r="D217" s="88" t="s">
        <x:v>248</x:v>
      </x:c>
      <x:c r="E217" s="88" t="s">
        <x:v>342</x:v>
      </x:c>
      <x:c r="F217" s="89">
        <x:v>46160.117300740741</x:v>
      </x:c>
      <x:c r="G217" s="89">
        <x:v>46164.306223981483</x:v>
      </x:c>
      <x:c r="H217" s="89">
        <x:v>46160.117300740741</x:v>
      </x:c>
      <x:c r="I217" s="88" t="s">
        <x:v>2003</x:v>
      </x:c>
      <x:c r="J217" s="88" t="s">
        <x:v>2127</x:v>
      </x:c>
      <x:c r="K217" s="88" t="s">
        <x:v>266</x:v>
      </x:c>
      <x:c r="L217" s="88"/>
      <x:c r="M217" s="88" t="s">
        <x:v>917</x:v>
      </x:c>
      <x:c r="N217" s="88"/>
      <x:c r="O217" s="88"/>
      <x:c r="P217" s="88" t="s">
        <x:v>2140</x:v>
      </x:c>
      <x:c r="Q217" s="88" t="s">
        <x:v>256</x:v>
      </x:c>
      <x:c r="R217" s="88" t="s">
        <x:v>283</x:v>
      </x:c>
      <x:c r="S217" s="88"/>
      <x:c r="T217" s="88" t="s">
        <x:v>259</x:v>
      </x:c>
      <x:c r="U217" s="88" t="s">
        <x:v>2002</x:v>
      </x:c>
      <x:c r="V217" s="89">
        <x:v>46160.306201099535</x:v>
      </x:c>
      <x:c r="W217" s="88" t="s">
        <x:v>2141</x:v>
      </x:c>
      <x:c r="X217" s="88" t="s">
        <x:v>259</x:v>
      </x:c>
      <x:c r="Y217" s="88" t="s">
        <x:v>917</x:v>
      </x:c>
      <x:c r="Z217" s="89">
        <x:v>46162.404492847221</x:v>
      </x:c>
      <x:c r="AA217" s="88" t="s">
        <x:v>1480</x:v>
      </x:c>
      <x:c r="AB217" s="88" t="s">
        <x:v>259</x:v>
      </x:c>
      <x:c r="AC217" s="88" t="s">
        <x:v>271</x:v>
      </x:c>
      <x:c r="AD217" s="89">
        <x:v>46162.977706956015</x:v>
      </x:c>
      <x:c r="AE217" s="88" t="s">
        <x:v>2142</x:v>
      </x:c>
      <x:c r="AF217" s="88" t="s">
        <x:v>259</x:v>
      </x:c>
      <x:c r="AG217" s="88" t="s">
        <x:v>271</x:v>
      </x:c>
      <x:c r="AH217" s="89">
        <x:v>46164.306223993059</x:v>
      </x:c>
      <x:c r="AI217" s="88" t="s">
        <x:v>353</x:v>
      </x:c>
      <x:c r="AJ217" s="88" t="s">
        <x:v>2007</x:v>
      </x:c>
      <x:c r="AK217" s="88" t="s">
        <x:v>2129</x:v>
      </x:c>
      <x:c r="AL217" s="88" t="s">
        <x:v>162</x:v>
      </x:c>
      <x:c r="AM217" s="88" t="s">
        <x:v>2143</x:v>
      </x:c>
      <x:c r="AN217" s="88" t="s">
        <x:v>369</x:v>
      </x:c>
      <x:c r="AO217" s="88">
        <x:v>0</x:v>
      </x:c>
    </x:row>
    <x:row r="218">
      <x:c r="A218" s="88" t="s">
        <x:v>2144</x:v>
      </x:c>
      <x:c r="B218" s="88" t="s">
        <x:v>2145</x:v>
      </x:c>
      <x:c r="C218" s="88" t="s">
        <x:v>1391</x:v>
      </x:c>
      <x:c r="D218" s="88" t="s">
        <x:v>248</x:v>
      </x:c>
      <x:c r="E218" s="88" t="s">
        <x:v>278</x:v>
      </x:c>
      <x:c r="F218" s="89">
        <x:v>46161.083424490738</x:v>
      </x:c>
      <x:c r="G218" s="89">
        <x:v>46161.083687199076</x:v>
      </x:c>
      <x:c r="H218" s="89">
        <x:v>46161.083424490738</x:v>
      </x:c>
      <x:c r="I218" s="88" t="s">
        <x:v>2146</x:v>
      </x:c>
      <x:c r="J218" s="88" t="s">
        <x:v>1588</x:v>
      </x:c>
      <x:c r="K218" s="88" t="s">
        <x:v>266</x:v>
      </x:c>
      <x:c r="L218" s="88"/>
      <x:c r="M218" s="88" t="s">
        <x:v>482</x:v>
      </x:c>
      <x:c r="N218" s="88"/>
      <x:c r="O218" s="88"/>
      <x:c r="P218" s="88" t="s">
        <x:v>2147</x:v>
      </x:c>
      <x:c r="Q218" s="88" t="s">
        <x:v>256</x:v>
      </x:c>
      <x:c r="R218" s="88" t="s">
        <x:v>363</x:v>
      </x:c>
      <x:c r="S218" s="88"/>
      <x:c r="T218" s="88" t="s">
        <x:v>249</x:v>
      </x:c>
      <x:c r="U218" s="88" t="s">
        <x:v>1391</x:v>
      </x:c>
      <x:c r="V218" s="89">
        <x:v>46161.083687210645</x:v>
      </x:c>
      <x:c r="W218" s="88"/>
      <x:c r="X218" s="88"/>
      <x:c r="Y218" s="88" t="s">
        <x:v>482</x:v>
      </x:c>
      <x:c r="Z218" s="89"/>
      <x:c r="AA218" s="88"/>
      <x:c r="AB218" s="88"/>
      <x:c r="AC218" s="88" t="s">
        <x:v>273</x:v>
      </x:c>
      <x:c r="AD218" s="89"/>
      <x:c r="AE218" s="88"/>
      <x:c r="AF218" s="88"/>
      <x:c r="AG218" s="88" t="s">
        <x:v>161</x:v>
      </x:c>
      <x:c r="AH218" s="89"/>
      <x:c r="AI218" s="88"/>
      <x:c r="AJ218" s="88" t="s">
        <x:v>1592</x:v>
      </x:c>
      <x:c r="AK218" s="88">
        <x:v>2804</x:v>
      </x:c>
      <x:c r="AL218" s="88"/>
      <x:c r="AM218" s="88"/>
      <x:c r="AN218" s="88" t="s">
        <x:v>369</x:v>
      </x:c>
      <x:c r="AO218" s="88">
        <x:v>0</x:v>
      </x:c>
    </x:row>
    <x:row r="219">
      <x:c r="A219" s="88" t="s">
        <x:v>2148</x:v>
      </x:c>
      <x:c r="B219" s="88" t="s">
        <x:v>2149</x:v>
      </x:c>
      <x:c r="C219" s="88" t="s">
        <x:v>1391</x:v>
      </x:c>
      <x:c r="D219" s="88" t="s">
        <x:v>248</x:v>
      </x:c>
      <x:c r="E219" s="88" t="s">
        <x:v>342</x:v>
      </x:c>
      <x:c r="F219" s="89">
        <x:v>46161.085132280095</x:v>
      </x:c>
      <x:c r="G219" s="89">
        <x:v>46197.35044652778</x:v>
      </x:c>
      <x:c r="H219" s="89">
        <x:v>46161.085132280095</x:v>
      </x:c>
      <x:c r="I219" s="88" t="s">
        <x:v>2146</x:v>
      </x:c>
      <x:c r="J219" s="88" t="s">
        <x:v>1588</x:v>
      </x:c>
      <x:c r="K219" s="88" t="s">
        <x:v>266</x:v>
      </x:c>
      <x:c r="L219" s="88"/>
      <x:c r="M219" s="88" t="s">
        <x:v>482</x:v>
      </x:c>
      <x:c r="N219" s="88"/>
      <x:c r="O219" s="88"/>
      <x:c r="P219" s="88" t="s">
        <x:v>2150</x:v>
      </x:c>
      <x:c r="Q219" s="88" t="s">
        <x:v>256</x:v>
      </x:c>
      <x:c r="R219" s="88" t="s">
        <x:v>363</x:v>
      </x:c>
      <x:c r="S219" s="88"/>
      <x:c r="T219" s="88" t="s">
        <x:v>259</x:v>
      </x:c>
      <x:c r="U219" s="88" t="s">
        <x:v>1391</x:v>
      </x:c>
      <x:c r="V219" s="89">
        <x:v>46161.088879178242</x:v>
      </x:c>
      <x:c r="W219" s="88" t="s">
        <x:v>1480</x:v>
      </x:c>
      <x:c r="X219" s="88" t="s">
        <x:v>259</x:v>
      </x:c>
      <x:c r="Y219" s="88" t="s">
        <x:v>482</x:v>
      </x:c>
      <x:c r="Z219" s="89">
        <x:v>46184.065662256944</x:v>
      </x:c>
      <x:c r="AA219" s="88" t="s">
        <x:v>2150</x:v>
      </x:c>
      <x:c r="AB219" s="88" t="s">
        <x:v>259</x:v>
      </x:c>
      <x:c r="AC219" s="88" t="s">
        <x:v>271</x:v>
      </x:c>
      <x:c r="AD219" s="89">
        <x:v>46184.257146574077</x:v>
      </x:c>
      <x:c r="AE219" s="88" t="s">
        <x:v>2151</x:v>
      </x:c>
      <x:c r="AF219" s="88" t="s">
        <x:v>259</x:v>
      </x:c>
      <x:c r="AG219" s="88" t="s">
        <x:v>271</x:v>
      </x:c>
      <x:c r="AH219" s="89">
        <x:v>46197.350446539349</x:v>
      </x:c>
      <x:c r="AI219" s="88" t="s">
        <x:v>353</x:v>
      </x:c>
      <x:c r="AJ219" s="88" t="s">
        <x:v>1592</x:v>
      </x:c>
      <x:c r="AK219" s="88">
        <x:v>2804</x:v>
      </x:c>
      <x:c r="AL219" s="88" t="s">
        <x:v>185</x:v>
      </x:c>
      <x:c r="AM219" s="88" t="s">
        <x:v>2152</x:v>
      </x:c>
      <x:c r="AN219" s="88" t="s">
        <x:v>369</x:v>
      </x:c>
      <x:c r="AO219" s="88">
        <x:v>0</x:v>
      </x:c>
    </x:row>
    <x:row r="220">
      <x:c r="A220" s="88" t="s">
        <x:v>2153</x:v>
      </x:c>
      <x:c r="B220" s="88" t="s">
        <x:v>2154</x:v>
      </x:c>
      <x:c r="C220" s="88" t="s">
        <x:v>2155</x:v>
      </x:c>
      <x:c r="D220" s="88" t="s">
        <x:v>248</x:v>
      </x:c>
      <x:c r="E220" s="88" t="s">
        <x:v>372</x:v>
      </x:c>
      <x:c r="F220" s="89">
        <x:v>46161.118041215275</x:v>
      </x:c>
      <x:c r="G220" s="89">
        <x:v>46161.168227303242</x:v>
      </x:c>
      <x:c r="H220" s="89">
        <x:v>46161.126815983793</x:v>
      </x:c>
      <x:c r="I220" s="88" t="s">
        <x:v>2156</x:v>
      </x:c>
      <x:c r="J220" s="88" t="s">
        <x:v>2157</x:v>
      </x:c>
      <x:c r="K220" s="88" t="s">
        <x:v>380</x:v>
      </x:c>
      <x:c r="L220" s="88" t="s">
        <x:v>2158</x:v>
      </x:c>
      <x:c r="M220" s="88" t="s">
        <x:v>2159</x:v>
      </x:c>
      <x:c r="N220" s="88" t="s">
        <x:v>2160</x:v>
      </x:c>
      <x:c r="O220" s="88"/>
      <x:c r="P220" s="88" t="s">
        <x:v>2161</x:v>
      </x:c>
      <x:c r="Q220" s="88" t="s">
        <x:v>269</x:v>
      </x:c>
      <x:c r="R220" s="88" t="s">
        <x:v>283</x:v>
      </x:c>
      <x:c r="S220" s="88"/>
      <x:c r="T220" s="88" t="s">
        <x:v>259</x:v>
      </x:c>
      <x:c r="U220" s="88" t="s">
        <x:v>2155</x:v>
      </x:c>
      <x:c r="V220" s="89">
        <x:v>46161.168227326387</x:v>
      </x:c>
      <x:c r="W220" s="88" t="s">
        <x:v>2162</x:v>
      </x:c>
      <x:c r="X220" s="88"/>
      <x:c r="Y220" s="88" t="s">
        <x:v>2163</x:v>
      </x:c>
      <x:c r="Z220" s="89"/>
      <x:c r="AA220" s="88"/>
      <x:c r="AB220" s="88"/>
      <x:c r="AC220" s="88" t="s">
        <x:v>273</x:v>
      </x:c>
      <x:c r="AD220" s="89"/>
      <x:c r="AE220" s="88"/>
      <x:c r="AF220" s="88"/>
      <x:c r="AG220" s="88" t="s">
        <x:v>273</x:v>
      </x:c>
      <x:c r="AH220" s="89"/>
      <x:c r="AI220" s="88"/>
      <x:c r="AJ220" s="88" t="s">
        <x:v>2164</x:v>
      </x:c>
      <x:c r="AK220" s="88" t="s">
        <x:v>2165</x:v>
      </x:c>
      <x:c r="AL220" s="88"/>
      <x:c r="AM220" s="88"/>
      <x:c r="AN220" s="88" t="s">
        <x:v>391</x:v>
      </x:c>
      <x:c r="AO220" s="88">
        <x:v>0</x:v>
      </x:c>
    </x:row>
    <x:row r="221">
      <x:c r="A221" s="88" t="s">
        <x:v>2166</x:v>
      </x:c>
      <x:c r="B221" s="88" t="s">
        <x:v>2167</x:v>
      </x:c>
      <x:c r="C221" s="88" t="s">
        <x:v>1825</x:v>
      </x:c>
      <x:c r="D221" s="88" t="s">
        <x:v>248</x:v>
      </x:c>
      <x:c r="E221" s="88" t="s">
        <x:v>372</x:v>
      </x:c>
      <x:c r="F221" s="89">
        <x:v>46161.340001053242</x:v>
      </x:c>
      <x:c r="G221" s="89">
        <x:v>46161.340001053242</x:v>
      </x:c>
      <x:c r="H221" s="89">
        <x:v>46161.340001053242</x:v>
      </x:c>
      <x:c r="I221" s="88" t="s">
        <x:v>1826</x:v>
      </x:c>
      <x:c r="J221" s="88" t="s">
        <x:v>1827</x:v>
      </x:c>
      <x:c r="K221" s="88" t="s">
        <x:v>266</x:v>
      </x:c>
      <x:c r="L221" s="88"/>
      <x:c r="M221" s="88" t="s">
        <x:v>1559</x:v>
      </x:c>
      <x:c r="N221" s="88"/>
      <x:c r="O221" s="88"/>
      <x:c r="P221" s="88" t="s">
        <x:v>1491</x:v>
      </x:c>
      <x:c r="Q221" s="88" t="s">
        <x:v>970</x:v>
      </x:c>
      <x:c r="R221" s="88" t="s">
        <x:v>513</x:v>
      </x:c>
      <x:c r="S221" s="88"/>
      <x:c r="T221" s="88" t="s">
        <x:v>372</x:v>
      </x:c>
      <x:c r="U221" s="88" t="s">
        <x:v>1825</x:v>
      </x:c>
      <x:c r="V221" s="89"/>
      <x:c r="W221" s="88"/>
      <x:c r="X221" s="88"/>
      <x:c r="Y221" s="88" t="s">
        <x:v>1562</x:v>
      </x:c>
      <x:c r="Z221" s="89"/>
      <x:c r="AA221" s="88"/>
      <x:c r="AB221" s="88"/>
      <x:c r="AC221" s="88" t="s">
        <x:v>273</x:v>
      </x:c>
      <x:c r="AD221" s="89"/>
      <x:c r="AE221" s="88"/>
      <x:c r="AF221" s="88"/>
      <x:c r="AG221" s="88" t="s">
        <x:v>161</x:v>
      </x:c>
      <x:c r="AH221" s="89"/>
      <x:c r="AI221" s="88"/>
      <x:c r="AJ221" s="88" t="s">
        <x:v>1830</x:v>
      </x:c>
      <x:c r="AK221" s="88">
        <x:v>2573</x:v>
      </x:c>
      <x:c r="AL221" s="88"/>
      <x:c r="AM221" s="88"/>
      <x:c r="AN221" s="88" t="s">
        <x:v>414</x:v>
      </x:c>
      <x:c r="AO221" s="88">
        <x:v>10</x:v>
      </x:c>
    </x:row>
    <x:row r="222">
      <x:c r="A222" s="88" t="s">
        <x:v>2168</x:v>
      </x:c>
      <x:c r="B222" s="88" t="s">
        <x:v>2169</x:v>
      </x:c>
      <x:c r="C222" s="88" t="s">
        <x:v>1556</x:v>
      </x:c>
      <x:c r="D222" s="88" t="s">
        <x:v>248</x:v>
      </x:c>
      <x:c r="E222" s="88" t="s">
        <x:v>278</x:v>
      </x:c>
      <x:c r="F222" s="89">
        <x:v>46162.090370011574</x:v>
      </x:c>
      <x:c r="G222" s="89">
        <x:v>46162.099393159719</x:v>
      </x:c>
      <x:c r="H222" s="89">
        <x:v>46162.090370011574</x:v>
      </x:c>
      <x:c r="I222" s="88" t="s">
        <x:v>2170</x:v>
      </x:c>
      <x:c r="J222" s="88" t="s">
        <x:v>2171</x:v>
      </x:c>
      <x:c r="K222" s="88" t="s">
        <x:v>266</x:v>
      </x:c>
      <x:c r="L222" s="88"/>
      <x:c r="M222" s="88" t="s">
        <x:v>1556</x:v>
      </x:c>
      <x:c r="N222" s="88"/>
      <x:c r="O222" s="88"/>
      <x:c r="P222" s="88" t="s">
        <x:v>1491</x:v>
      </x:c>
      <x:c r="Q222" s="88" t="s">
        <x:v>256</x:v>
      </x:c>
      <x:c r="R222" s="88" t="s">
        <x:v>283</x:v>
      </x:c>
      <x:c r="S222" s="88"/>
      <x:c r="T222" s="88" t="s">
        <x:v>249</x:v>
      </x:c>
      <x:c r="U222" s="88" t="s">
        <x:v>1556</x:v>
      </x:c>
      <x:c r="V222" s="89">
        <x:v>46162.099393171295</x:v>
      </x:c>
      <x:c r="W222" s="88"/>
      <x:c r="X222" s="88"/>
      <x:c r="Y222" s="88" t="s">
        <x:v>1556</x:v>
      </x:c>
      <x:c r="Z222" s="89"/>
      <x:c r="AA222" s="88"/>
      <x:c r="AB222" s="88"/>
      <x:c r="AC222" s="88" t="s">
        <x:v>273</x:v>
      </x:c>
      <x:c r="AD222" s="89"/>
      <x:c r="AE222" s="88"/>
      <x:c r="AF222" s="88"/>
      <x:c r="AG222" s="88" t="s">
        <x:v>161</x:v>
      </x:c>
      <x:c r="AH222" s="89"/>
      <x:c r="AI222" s="88"/>
      <x:c r="AJ222" s="88" t="s">
        <x:v>2172</x:v>
      </x:c>
      <x:c r="AK222" s="88" t="s">
        <x:v>2173</x:v>
      </x:c>
      <x:c r="AL222" s="88"/>
      <x:c r="AM222" s="88"/>
      <x:c r="AN222" s="88" t="s">
        <x:v>414</x:v>
      </x:c>
      <x:c r="AO222" s="88">
        <x:v>30</x:v>
      </x:c>
    </x:row>
    <x:row r="223">
      <x:c r="A223" s="88" t="s">
        <x:v>2174</x:v>
      </x:c>
      <x:c r="B223" s="88" t="s">
        <x:v>2175</x:v>
      </x:c>
      <x:c r="C223" s="88" t="s">
        <x:v>2002</x:v>
      </x:c>
      <x:c r="D223" s="88" t="s">
        <x:v>248</x:v>
      </x:c>
      <x:c r="E223" s="88" t="s">
        <x:v>278</x:v>
      </x:c>
      <x:c r="F223" s="89">
        <x:v>46162.297458981484</x:v>
      </x:c>
      <x:c r="G223" s="89">
        <x:v>46162.30741765046</x:v>
      </x:c>
      <x:c r="H223" s="89">
        <x:v>46162.297458981484</x:v>
      </x:c>
      <x:c r="I223" s="88" t="s">
        <x:v>2176</x:v>
      </x:c>
      <x:c r="J223" s="88" t="s">
        <x:v>2177</x:v>
      </x:c>
      <x:c r="K223" s="88" t="s">
        <x:v>266</x:v>
      </x:c>
      <x:c r="L223" s="88"/>
      <x:c r="M223" s="88" t="s">
        <x:v>917</x:v>
      </x:c>
      <x:c r="N223" s="88"/>
      <x:c r="O223" s="88"/>
      <x:c r="P223" s="88" t="s">
        <x:v>2178</x:v>
      </x:c>
      <x:c r="Q223" s="88" t="s">
        <x:v>256</x:v>
      </x:c>
      <x:c r="R223" s="88" t="s">
        <x:v>283</x:v>
      </x:c>
      <x:c r="S223" s="88"/>
      <x:c r="T223" s="88" t="s">
        <x:v>249</x:v>
      </x:c>
      <x:c r="U223" s="88" t="s">
        <x:v>2002</x:v>
      </x:c>
      <x:c r="V223" s="89">
        <x:v>46162.307417662036</x:v>
      </x:c>
      <x:c r="W223" s="88"/>
      <x:c r="X223" s="88"/>
      <x:c r="Y223" s="88" t="s">
        <x:v>917</x:v>
      </x:c>
      <x:c r="Z223" s="89"/>
      <x:c r="AA223" s="88"/>
      <x:c r="AB223" s="88"/>
      <x:c r="AC223" s="88" t="s">
        <x:v>273</x:v>
      </x:c>
      <x:c r="AD223" s="89"/>
      <x:c r="AE223" s="88"/>
      <x:c r="AF223" s="88"/>
      <x:c r="AG223" s="88" t="s">
        <x:v>161</x:v>
      </x:c>
      <x:c r="AH223" s="89"/>
      <x:c r="AI223" s="88"/>
      <x:c r="AJ223" s="88" t="s">
        <x:v>2179</x:v>
      </x:c>
      <x:c r="AK223" s="88" t="s">
        <x:v>2180</x:v>
      </x:c>
      <x:c r="AL223" s="88"/>
      <x:c r="AM223" s="88"/>
      <x:c r="AN223" s="88" t="s">
        <x:v>369</x:v>
      </x:c>
      <x:c r="AO223" s="88">
        <x:v>0</x:v>
      </x:c>
    </x:row>
    <x:row r="224">
      <x:c r="A224" s="88" t="s">
        <x:v>2181</x:v>
      </x:c>
      <x:c r="B224" s="88" t="s">
        <x:v>2182</x:v>
      </x:c>
      <x:c r="C224" s="88" t="s">
        <x:v>2002</x:v>
      </x:c>
      <x:c r="D224" s="88" t="s">
        <x:v>248</x:v>
      </x:c>
      <x:c r="E224" s="88" t="s">
        <x:v>249</x:v>
      </x:c>
      <x:c r="F224" s="89">
        <x:v>46162.302630231483</x:v>
      </x:c>
      <x:c r="G224" s="89">
        <x:v>46162.406940138892</x:v>
      </x:c>
      <x:c r="H224" s="89">
        <x:v>46162.302630231483</x:v>
      </x:c>
      <x:c r="I224" s="88" t="s">
        <x:v>2183</x:v>
      </x:c>
      <x:c r="J224" s="88" t="s">
        <x:v>2184</x:v>
      </x:c>
      <x:c r="K224" s="88" t="s">
        <x:v>266</x:v>
      </x:c>
      <x:c r="L224" s="88"/>
      <x:c r="M224" s="88" t="s">
        <x:v>917</x:v>
      </x:c>
      <x:c r="N224" s="88"/>
      <x:c r="O224" s="88"/>
      <x:c r="P224" s="88" t="s">
        <x:v>2178</x:v>
      </x:c>
      <x:c r="Q224" s="88" t="s">
        <x:v>256</x:v>
      </x:c>
      <x:c r="R224" s="88" t="s">
        <x:v>283</x:v>
      </x:c>
      <x:c r="S224" s="88"/>
      <x:c r="T224" s="88" t="s">
        <x:v>259</x:v>
      </x:c>
      <x:c r="U224" s="88" t="s">
        <x:v>2002</x:v>
      </x:c>
      <x:c r="V224" s="89">
        <x:v>46162.303898368053</x:v>
      </x:c>
      <x:c r="W224" s="88" t="s">
        <x:v>2178</x:v>
      </x:c>
      <x:c r="X224" s="88" t="s">
        <x:v>249</x:v>
      </x:c>
      <x:c r="Y224" s="88" t="s">
        <x:v>917</x:v>
      </x:c>
      <x:c r="Z224" s="89">
        <x:v>46162.40694015046</x:v>
      </x:c>
      <x:c r="AA224" s="88"/>
      <x:c r="AB224" s="88"/>
      <x:c r="AC224" s="88" t="s">
        <x:v>273</x:v>
      </x:c>
      <x:c r="AD224" s="89"/>
      <x:c r="AE224" s="88"/>
      <x:c r="AF224" s="88"/>
      <x:c r="AG224" s="88" t="s">
        <x:v>161</x:v>
      </x:c>
      <x:c r="AH224" s="89"/>
      <x:c r="AI224" s="88"/>
      <x:c r="AJ224" s="88" t="s">
        <x:v>2185</x:v>
      </x:c>
      <x:c r="AK224" s="88" t="s">
        <x:v>2186</x:v>
      </x:c>
      <x:c r="AL224" s="88"/>
      <x:c r="AM224" s="88"/>
      <x:c r="AN224" s="88" t="s">
        <x:v>369</x:v>
      </x:c>
      <x:c r="AO224" s="88">
        <x:v>0</x:v>
      </x:c>
    </x:row>
    <x:row r="225">
      <x:c r="A225" s="88" t="s">
        <x:v>2187</x:v>
      </x:c>
      <x:c r="B225" s="88" t="s">
        <x:v>2188</x:v>
      </x:c>
      <x:c r="C225" s="88" t="s">
        <x:v>2002</x:v>
      </x:c>
      <x:c r="D225" s="88" t="s">
        <x:v>248</x:v>
      </x:c>
      <x:c r="E225" s="88" t="s">
        <x:v>342</x:v>
      </x:c>
      <x:c r="F225" s="89">
        <x:v>46162.310851064816</x:v>
      </x:c>
      <x:c r="G225" s="89">
        <x:v>46164.298813321759</x:v>
      </x:c>
      <x:c r="H225" s="89">
        <x:v>46162.310851064816</x:v>
      </x:c>
      <x:c r="I225" s="88" t="s">
        <x:v>2189</x:v>
      </x:c>
      <x:c r="J225" s="88" t="s">
        <x:v>2190</x:v>
      </x:c>
      <x:c r="K225" s="88" t="s">
        <x:v>266</x:v>
      </x:c>
      <x:c r="L225" s="88"/>
      <x:c r="M225" s="88" t="s">
        <x:v>917</x:v>
      </x:c>
      <x:c r="N225" s="88"/>
      <x:c r="O225" s="88"/>
      <x:c r="P225" s="88" t="s">
        <x:v>2191</x:v>
      </x:c>
      <x:c r="Q225" s="88" t="s">
        <x:v>256</x:v>
      </x:c>
      <x:c r="R225" s="88" t="s">
        <x:v>283</x:v>
      </x:c>
      <x:c r="S225" s="88"/>
      <x:c r="T225" s="88" t="s">
        <x:v>259</x:v>
      </x:c>
      <x:c r="U225" s="88" t="s">
        <x:v>2002</x:v>
      </x:c>
      <x:c r="V225" s="89">
        <x:v>46162.323244409723</x:v>
      </x:c>
      <x:c r="W225" s="88" t="s">
        <x:v>2191</x:v>
      </x:c>
      <x:c r="X225" s="88" t="s">
        <x:v>259</x:v>
      </x:c>
      <x:c r="Y225" s="88" t="s">
        <x:v>917</x:v>
      </x:c>
      <x:c r="Z225" s="89">
        <x:v>46162.4003050463</x:v>
      </x:c>
      <x:c r="AA225" s="88" t="s">
        <x:v>1480</x:v>
      </x:c>
      <x:c r="AB225" s="88" t="s">
        <x:v>259</x:v>
      </x:c>
      <x:c r="AC225" s="88" t="s">
        <x:v>271</x:v>
      </x:c>
      <x:c r="AD225" s="89">
        <x:v>46162.980426539354</x:v>
      </x:c>
      <x:c r="AE225" s="88" t="s">
        <x:v>2192</x:v>
      </x:c>
      <x:c r="AF225" s="88" t="s">
        <x:v>259</x:v>
      </x:c>
      <x:c r="AG225" s="88" t="s">
        <x:v>271</x:v>
      </x:c>
      <x:c r="AH225" s="89">
        <x:v>46164.298813321759</x:v>
      </x:c>
      <x:c r="AI225" s="88" t="s">
        <x:v>353</x:v>
      </x:c>
      <x:c r="AJ225" s="88" t="s">
        <x:v>2193</x:v>
      </x:c>
      <x:c r="AK225" s="88" t="s">
        <x:v>2194</x:v>
      </x:c>
      <x:c r="AL225" s="88" t="s">
        <x:v>162</x:v>
      </x:c>
      <x:c r="AM225" s="88" t="s">
        <x:v>2195</x:v>
      </x:c>
      <x:c r="AN225" s="88" t="s">
        <x:v>369</x:v>
      </x:c>
      <x:c r="AO225" s="88">
        <x:v>0</x:v>
      </x:c>
    </x:row>
    <x:row r="226">
      <x:c r="A226" s="88" t="s">
        <x:v>2196</x:v>
      </x:c>
      <x:c r="B226" s="88" t="s">
        <x:v>2197</x:v>
      </x:c>
      <x:c r="C226" s="88" t="s">
        <x:v>2002</x:v>
      </x:c>
      <x:c r="D226" s="88" t="s">
        <x:v>248</x:v>
      </x:c>
      <x:c r="E226" s="88" t="s">
        <x:v>249</x:v>
      </x:c>
      <x:c r="F226" s="89">
        <x:v>46162.316258379629</x:v>
      </x:c>
      <x:c r="G226" s="89">
        <x:v>46162.406107997682</x:v>
      </x:c>
      <x:c r="H226" s="89">
        <x:v>46162.316258379629</x:v>
      </x:c>
      <x:c r="I226" s="88" t="s">
        <x:v>2183</x:v>
      </x:c>
      <x:c r="J226" s="88" t="s">
        <x:v>2184</x:v>
      </x:c>
      <x:c r="K226" s="88" t="s">
        <x:v>266</x:v>
      </x:c>
      <x:c r="L226" s="88"/>
      <x:c r="M226" s="88" t="s">
        <x:v>917</x:v>
      </x:c>
      <x:c r="N226" s="88"/>
      <x:c r="O226" s="88"/>
      <x:c r="P226" s="88" t="s">
        <x:v>2178</x:v>
      </x:c>
      <x:c r="Q226" s="88" t="s">
        <x:v>256</x:v>
      </x:c>
      <x:c r="R226" s="88" t="s">
        <x:v>283</x:v>
      </x:c>
      <x:c r="S226" s="88"/>
      <x:c r="T226" s="88" t="s">
        <x:v>259</x:v>
      </x:c>
      <x:c r="U226" s="88" t="s">
        <x:v>2002</x:v>
      </x:c>
      <x:c r="V226" s="89">
        <x:v>46162.316992893517</x:v>
      </x:c>
      <x:c r="W226" s="88" t="s">
        <x:v>2178</x:v>
      </x:c>
      <x:c r="X226" s="88" t="s">
        <x:v>249</x:v>
      </x:c>
      <x:c r="Y226" s="88" t="s">
        <x:v>917</x:v>
      </x:c>
      <x:c r="Z226" s="89">
        <x:v>46162.406108009258</x:v>
      </x:c>
      <x:c r="AA226" s="88"/>
      <x:c r="AB226" s="88"/>
      <x:c r="AC226" s="88" t="s">
        <x:v>273</x:v>
      </x:c>
      <x:c r="AD226" s="89"/>
      <x:c r="AE226" s="88"/>
      <x:c r="AF226" s="88"/>
      <x:c r="AG226" s="88" t="s">
        <x:v>161</x:v>
      </x:c>
      <x:c r="AH226" s="89"/>
      <x:c r="AI226" s="88"/>
      <x:c r="AJ226" s="88" t="s">
        <x:v>2185</x:v>
      </x:c>
      <x:c r="AK226" s="88" t="s">
        <x:v>2186</x:v>
      </x:c>
      <x:c r="AL226" s="88"/>
      <x:c r="AM226" s="88"/>
      <x:c r="AN226" s="88" t="s">
        <x:v>391</x:v>
      </x:c>
      <x:c r="AO226" s="88">
        <x:v>0</x:v>
      </x:c>
    </x:row>
    <x:row r="227">
      <x:c r="A227" s="88" t="s">
        <x:v>2198</x:v>
      </x:c>
      <x:c r="B227" s="88" t="s">
        <x:v>2199</x:v>
      </x:c>
      <x:c r="C227" s="88" t="s">
        <x:v>2002</x:v>
      </x:c>
      <x:c r="D227" s="88" t="s">
        <x:v>248</x:v>
      </x:c>
      <x:c r="E227" s="88" t="s">
        <x:v>342</x:v>
      </x:c>
      <x:c r="F227" s="89">
        <x:v>46162.318089247688</x:v>
      </x:c>
      <x:c r="G227" s="89">
        <x:v>46164.292889317127</x:v>
      </x:c>
      <x:c r="H227" s="89">
        <x:v>46162.318089247688</x:v>
      </x:c>
      <x:c r="I227" s="88" t="s">
        <x:v>2183</x:v>
      </x:c>
      <x:c r="J227" s="88" t="s">
        <x:v>2184</x:v>
      </x:c>
      <x:c r="K227" s="88" t="s">
        <x:v>266</x:v>
      </x:c>
      <x:c r="L227" s="88"/>
      <x:c r="M227" s="88" t="s">
        <x:v>917</x:v>
      </x:c>
      <x:c r="N227" s="88"/>
      <x:c r="O227" s="88"/>
      <x:c r="P227" s="88" t="s">
        <x:v>2178</x:v>
      </x:c>
      <x:c r="Q227" s="88" t="s">
        <x:v>256</x:v>
      </x:c>
      <x:c r="R227" s="88" t="s">
        <x:v>283</x:v>
      </x:c>
      <x:c r="S227" s="88"/>
      <x:c r="T227" s="88" t="s">
        <x:v>259</x:v>
      </x:c>
      <x:c r="U227" s="88" t="s">
        <x:v>2002</x:v>
      </x:c>
      <x:c r="V227" s="89">
        <x:v>46162.318919444442</x:v>
      </x:c>
      <x:c r="W227" s="88" t="s">
        <x:v>2200</x:v>
      </x:c>
      <x:c r="X227" s="88" t="s">
        <x:v>259</x:v>
      </x:c>
      <x:c r="Y227" s="88" t="s">
        <x:v>917</x:v>
      </x:c>
      <x:c r="Z227" s="89">
        <x:v>46162.405469027777</x:v>
      </x:c>
      <x:c r="AA227" s="88" t="s">
        <x:v>1480</x:v>
      </x:c>
      <x:c r="AB227" s="88" t="s">
        <x:v>259</x:v>
      </x:c>
      <x:c r="AC227" s="88" t="s">
        <x:v>271</x:v>
      </x:c>
      <x:c r="AD227" s="89">
        <x:v>46162.975346712963</x:v>
      </x:c>
      <x:c r="AE227" s="88" t="s">
        <x:v>2201</x:v>
      </x:c>
      <x:c r="AF227" s="88" t="s">
        <x:v>259</x:v>
      </x:c>
      <x:c r="AG227" s="88" t="s">
        <x:v>271</x:v>
      </x:c>
      <x:c r="AH227" s="89">
        <x:v>46164.292889328703</x:v>
      </x:c>
      <x:c r="AI227" s="88" t="s">
        <x:v>353</x:v>
      </x:c>
      <x:c r="AJ227" s="88" t="s">
        <x:v>2185</x:v>
      </x:c>
      <x:c r="AK227" s="88" t="s">
        <x:v>2186</x:v>
      </x:c>
      <x:c r="AL227" s="88" t="s">
        <x:v>162</x:v>
      </x:c>
      <x:c r="AM227" s="88" t="s">
        <x:v>2202</x:v>
      </x:c>
      <x:c r="AN227" s="88" t="s">
        <x:v>369</x:v>
      </x:c>
      <x:c r="AO227" s="88">
        <x:v>0</x:v>
      </x:c>
    </x:row>
    <x:row r="228">
      <x:c r="A228" s="88" t="s">
        <x:v>2203</x:v>
      </x:c>
      <x:c r="B228" s="88" t="s">
        <x:v>2204</x:v>
      </x:c>
      <x:c r="C228" s="88" t="s">
        <x:v>394</x:v>
      </x:c>
      <x:c r="D228" s="88" t="s">
        <x:v>248</x:v>
      </x:c>
      <x:c r="E228" s="88" t="s">
        <x:v>278</x:v>
      </x:c>
      <x:c r="F228" s="89">
        <x:v>46164.153390451385</x:v>
      </x:c>
      <x:c r="G228" s="89">
        <x:v>46164.171510277774</x:v>
      </x:c>
      <x:c r="H228" s="89">
        <x:v>46164.153390451385</x:v>
      </x:c>
      <x:c r="I228" s="88" t="s">
        <x:v>2101</x:v>
      </x:c>
      <x:c r="J228" s="88" t="s">
        <x:v>2102</x:v>
      </x:c>
      <x:c r="K228" s="88" t="s">
        <x:v>380</x:v>
      </x:c>
      <x:c r="L228" s="88" t="s">
        <x:v>2103</x:v>
      </x:c>
      <x:c r="M228" s="88" t="s">
        <x:v>324</x:v>
      </x:c>
      <x:c r="N228" s="88"/>
      <x:c r="O228" s="88"/>
      <x:c r="P228" s="88" t="s">
        <x:v>2205</x:v>
      </x:c>
      <x:c r="Q228" s="88" t="s">
        <x:v>347</x:v>
      </x:c>
      <x:c r="R228" s="88" t="s">
        <x:v>283</x:v>
      </x:c>
      <x:c r="S228" s="88"/>
      <x:c r="T228" s="88" t="s">
        <x:v>249</x:v>
      </x:c>
      <x:c r="U228" s="88" t="s">
        <x:v>394</x:v>
      </x:c>
      <x:c r="V228" s="89">
        <x:v>46164.17151028935</x:v>
      </x:c>
      <x:c r="W228" s="88"/>
      <x:c r="X228" s="88"/>
      <x:c r="Y228" s="88" t="s">
        <x:v>324</x:v>
      </x:c>
      <x:c r="Z228" s="89"/>
      <x:c r="AA228" s="88"/>
      <x:c r="AB228" s="88"/>
      <x:c r="AC228" s="88" t="s">
        <x:v>273</x:v>
      </x:c>
      <x:c r="AD228" s="89"/>
      <x:c r="AE228" s="88"/>
      <x:c r="AF228" s="88"/>
      <x:c r="AG228" s="88" t="s">
        <x:v>161</x:v>
      </x:c>
      <x:c r="AH228" s="89"/>
      <x:c r="AI228" s="88"/>
      <x:c r="AJ228" s="88" t="s">
        <x:v>2110</x:v>
      </x:c>
      <x:c r="AK228" s="88">
        <x:v>4555</x:v>
      </x:c>
      <x:c r="AL228" s="88"/>
      <x:c r="AM228" s="88"/>
      <x:c r="AN228" s="88" t="s">
        <x:v>414</x:v>
      </x:c>
      <x:c r="AO228" s="88">
        <x:v>90</x:v>
      </x:c>
    </x:row>
    <x:row r="229">
      <x:c r="A229" s="88" t="s">
        <x:v>2206</x:v>
      </x:c>
      <x:c r="B229" s="88" t="s">
        <x:v>2207</x:v>
      </x:c>
      <x:c r="C229" s="88" t="s">
        <x:v>2208</x:v>
      </x:c>
      <x:c r="D229" s="88" t="s">
        <x:v>248</x:v>
      </x:c>
      <x:c r="E229" s="88" t="s">
        <x:v>2209</x:v>
      </x:c>
      <x:c r="F229" s="89">
        <x:v>46164.348161793983</x:v>
      </x:c>
      <x:c r="G229" s="89">
        <x:v>46239.266966840281</x:v>
      </x:c>
      <x:c r="H229" s="89">
        <x:v>46181.289080069444</x:v>
      </x:c>
      <x:c r="I229" s="88" t="s">
        <x:v>2156</x:v>
      </x:c>
      <x:c r="J229" s="88" t="s">
        <x:v>2157</x:v>
      </x:c>
      <x:c r="K229" s="88" t="s">
        <x:v>380</x:v>
      </x:c>
      <x:c r="L229" s="88" t="s">
        <x:v>2210</x:v>
      </x:c>
      <x:c r="M229" s="88" t="s">
        <x:v>358</x:v>
      </x:c>
      <x:c r="N229" s="88" t="s">
        <x:v>2211</x:v>
      </x:c>
      <x:c r="O229" s="88"/>
      <x:c r="P229" s="88" t="s">
        <x:v>1911</x:v>
      </x:c>
      <x:c r="Q229" s="88" t="s">
        <x:v>256</x:v>
      </x:c>
      <x:c r="R229" s="88" t="s">
        <x:v>283</x:v>
      </x:c>
      <x:c r="S229" s="88"/>
      <x:c r="T229" s="88" t="s">
        <x:v>259</x:v>
      </x:c>
      <x:c r="U229" s="88" t="s">
        <x:v>2208</x:v>
      </x:c>
      <x:c r="V229" s="89">
        <x:v>46223.169829305552</x:v>
      </x:c>
      <x:c r="W229" s="88" t="s">
        <x:v>2212</x:v>
      </x:c>
      <x:c r="X229" s="88" t="s">
        <x:v>259</x:v>
      </x:c>
      <x:c r="Y229" s="88" t="s">
        <x:v>358</x:v>
      </x:c>
      <x:c r="Z229" s="89">
        <x:v>46239.266966840281</x:v>
      </x:c>
      <x:c r="AA229" s="88" t="s">
        <x:v>2213</x:v>
      </x:c>
      <x:c r="AB229" s="88"/>
      <x:c r="AC229" s="88" t="s">
        <x:v>2214</x:v>
      </x:c>
      <x:c r="AD229" s="89"/>
      <x:c r="AE229" s="88"/>
      <x:c r="AF229" s="88"/>
      <x:c r="AG229" s="88" t="s">
        <x:v>173</x:v>
      </x:c>
      <x:c r="AH229" s="89"/>
      <x:c r="AI229" s="88"/>
      <x:c r="AJ229" s="88" t="s">
        <x:v>2164</x:v>
      </x:c>
      <x:c r="AK229" s="88" t="s">
        <x:v>2165</x:v>
      </x:c>
      <x:c r="AL229" s="88"/>
      <x:c r="AM229" s="88"/>
      <x:c r="AN229" s="88" t="s">
        <x:v>391</x:v>
      </x:c>
      <x:c r="AO229" s="88">
        <x:v>0</x:v>
      </x:c>
    </x:row>
    <x:row r="230">
      <x:c r="A230" s="88" t="s">
        <x:v>2215</x:v>
      </x:c>
      <x:c r="B230" s="88" t="s">
        <x:v>2216</x:v>
      </x:c>
      <x:c r="C230" s="88" t="s">
        <x:v>2217</x:v>
      </x:c>
      <x:c r="D230" s="88" t="s">
        <x:v>248</x:v>
      </x:c>
      <x:c r="E230" s="88" t="s">
        <x:v>2209</x:v>
      </x:c>
      <x:c r="F230" s="89">
        <x:v>46167.032202858798</x:v>
      </x:c>
      <x:c r="G230" s="89">
        <x:v>46210.283727002316</x:v>
      </x:c>
      <x:c r="H230" s="89">
        <x:v>46167.032202870367</x:v>
      </x:c>
      <x:c r="I230" s="88" t="s">
        <x:v>2218</x:v>
      </x:c>
      <x:c r="J230" s="88" t="s">
        <x:v>2219</x:v>
      </x:c>
      <x:c r="K230" s="88" t="s">
        <x:v>266</x:v>
      </x:c>
      <x:c r="L230" s="88"/>
      <x:c r="M230" s="88" t="s">
        <x:v>995</x:v>
      </x:c>
      <x:c r="N230" s="88"/>
      <x:c r="O230" s="88"/>
      <x:c r="P230" s="88" t="s">
        <x:v>2220</x:v>
      </x:c>
      <x:c r="Q230" s="88" t="s">
        <x:v>256</x:v>
      </x:c>
      <x:c r="R230" s="88" t="s">
        <x:v>283</x:v>
      </x:c>
      <x:c r="S230" s="88"/>
      <x:c r="T230" s="88" t="s">
        <x:v>259</x:v>
      </x:c>
      <x:c r="U230" s="88" t="s">
        <x:v>2217</x:v>
      </x:c>
      <x:c r="V230" s="89">
        <x:v>46167.033106226852</x:v>
      </x:c>
      <x:c r="W230" s="88" t="s">
        <x:v>2221</x:v>
      </x:c>
      <x:c r="X230" s="88" t="s">
        <x:v>259</x:v>
      </x:c>
      <x:c r="Y230" s="88" t="s">
        <x:v>995</x:v>
      </x:c>
      <x:c r="Z230" s="89">
        <x:v>46210.186584872688</x:v>
      </x:c>
      <x:c r="AA230" s="88" t="s">
        <x:v>2222</x:v>
      </x:c>
      <x:c r="AB230" s="88"/>
      <x:c r="AC230" s="88" t="s">
        <x:v>2214</x:v>
      </x:c>
      <x:c r="AD230" s="89"/>
      <x:c r="AE230" s="88"/>
      <x:c r="AF230" s="88"/>
      <x:c r="AG230" s="88" t="s">
        <x:v>161</x:v>
      </x:c>
      <x:c r="AH230" s="89"/>
      <x:c r="AI230" s="88"/>
      <x:c r="AJ230" s="88" t="s">
        <x:v>2223</x:v>
      </x:c>
      <x:c r="AK230" s="88">
        <x:v>2532</x:v>
      </x:c>
      <x:c r="AL230" s="88" t="s">
        <x:v>162</x:v>
      </x:c>
      <x:c r="AM230" s="88"/>
      <x:c r="AN230" s="88" t="s">
        <x:v>391</x:v>
      </x:c>
      <x:c r="AO230" s="88">
        <x:v>0</x:v>
      </x:c>
    </x:row>
    <x:row r="231">
      <x:c r="A231" s="88" t="s">
        <x:v>2224</x:v>
      </x:c>
      <x:c r="B231" s="88" t="s">
        <x:v>2225</x:v>
      </x:c>
      <x:c r="C231" s="88" t="s">
        <x:v>2226</x:v>
      </x:c>
      <x:c r="D231" s="88" t="s">
        <x:v>248</x:v>
      </x:c>
      <x:c r="E231" s="88" t="s">
        <x:v>278</x:v>
      </x:c>
      <x:c r="F231" s="89">
        <x:v>46168.152981921296</x:v>
      </x:c>
      <x:c r="G231" s="89">
        <x:v>46168.155093159723</x:v>
      </x:c>
      <x:c r="H231" s="89">
        <x:v>46168.152981921296</x:v>
      </x:c>
      <x:c r="I231" s="88" t="s">
        <x:v>2227</x:v>
      </x:c>
      <x:c r="J231" s="88" t="s">
        <x:v>2228</x:v>
      </x:c>
      <x:c r="K231" s="88" t="s">
        <x:v>266</x:v>
      </x:c>
      <x:c r="L231" s="88"/>
      <x:c r="M231" s="88" t="s">
        <x:v>2226</x:v>
      </x:c>
      <x:c r="N231" s="88"/>
      <x:c r="O231" s="88" t="s">
        <x:v>2229</x:v>
      </x:c>
      <x:c r="P231" s="88" t="s">
        <x:v>2230</x:v>
      </x:c>
      <x:c r="Q231" s="88" t="s">
        <x:v>256</x:v>
      </x:c>
      <x:c r="R231" s="88" t="s">
        <x:v>283</x:v>
      </x:c>
      <x:c r="S231" s="88"/>
      <x:c r="T231" s="88" t="s">
        <x:v>249</x:v>
      </x:c>
      <x:c r="U231" s="88" t="s">
        <x:v>2226</x:v>
      </x:c>
      <x:c r="V231" s="89">
        <x:v>46168.155093159723</x:v>
      </x:c>
      <x:c r="W231" s="88"/>
      <x:c r="X231" s="88"/>
      <x:c r="Y231" s="88" t="s">
        <x:v>2226</x:v>
      </x:c>
      <x:c r="Z231" s="89"/>
      <x:c r="AA231" s="88"/>
      <x:c r="AB231" s="88"/>
      <x:c r="AC231" s="88" t="s">
        <x:v>273</x:v>
      </x:c>
      <x:c r="AD231" s="89"/>
      <x:c r="AE231" s="88"/>
      <x:c r="AF231" s="88"/>
      <x:c r="AG231" s="88" t="s">
        <x:v>161</x:v>
      </x:c>
      <x:c r="AH231" s="89"/>
      <x:c r="AI231" s="88"/>
      <x:c r="AJ231" s="88" t="s">
        <x:v>2231</x:v>
      </x:c>
      <x:c r="AK231" s="88">
        <x:v>1359</x:v>
      </x:c>
      <x:c r="AL231" s="88"/>
      <x:c r="AM231" s="88"/>
      <x:c r="AN231" s="88" t="s">
        <x:v>391</x:v>
      </x:c>
      <x:c r="AO231" s="88">
        <x:v>0</x:v>
      </x:c>
    </x:row>
    <x:row r="232">
      <x:c r="A232" s="88" t="s">
        <x:v>2232</x:v>
      </x:c>
      <x:c r="B232" s="88" t="s">
        <x:v>2233</x:v>
      </x:c>
      <x:c r="C232" s="88" t="s">
        <x:v>1219</x:v>
      </x:c>
      <x:c r="D232" s="88" t="s">
        <x:v>248</x:v>
      </x:c>
      <x:c r="E232" s="88" t="s">
        <x:v>2209</x:v>
      </x:c>
      <x:c r="F232" s="89">
        <x:v>46177.380468495372</x:v>
      </x:c>
      <x:c r="G232" s="89">
        <x:v>46209.306841990743</x:v>
      </x:c>
      <x:c r="H232" s="89">
        <x:v>46177.380468495372</x:v>
      </x:c>
      <x:c r="I232" s="88" t="s">
        <x:v>2234</x:v>
      </x:c>
      <x:c r="J232" s="88" t="s">
        <x:v>2235</x:v>
      </x:c>
      <x:c r="K232" s="88" t="s">
        <x:v>266</x:v>
      </x:c>
      <x:c r="L232" s="88"/>
      <x:c r="M232" s="88" t="s">
        <x:v>482</x:v>
      </x:c>
      <x:c r="N232" s="88"/>
      <x:c r="O232" s="88"/>
      <x:c r="P232" s="88" t="s">
        <x:v>680</x:v>
      </x:c>
      <x:c r="Q232" s="88" t="s">
        <x:v>256</x:v>
      </x:c>
      <x:c r="R232" s="88" t="s">
        <x:v>363</x:v>
      </x:c>
      <x:c r="S232" s="88"/>
      <x:c r="T232" s="88" t="s">
        <x:v>259</x:v>
      </x:c>
      <x:c r="U232" s="88" t="s">
        <x:v>1219</x:v>
      </x:c>
      <x:c r="V232" s="89">
        <x:v>46177.380960300929</x:v>
      </x:c>
      <x:c r="W232" s="88" t="s">
        <x:v>680</x:v>
      </x:c>
      <x:c r="X232" s="88" t="s">
        <x:v>259</x:v>
      </x:c>
      <x:c r="Y232" s="88" t="s">
        <x:v>482</x:v>
      </x:c>
      <x:c r="Z232" s="89">
        <x:v>46184.064344363425</x:v>
      </x:c>
      <x:c r="AA232" s="88" t="s">
        <x:v>680</x:v>
      </x:c>
      <x:c r="AB232" s="88"/>
      <x:c r="AC232" s="88" t="s">
        <x:v>2214</x:v>
      </x:c>
      <x:c r="AD232" s="89"/>
      <x:c r="AE232" s="88"/>
      <x:c r="AF232" s="88"/>
      <x:c r="AG232" s="88" t="s">
        <x:v>161</x:v>
      </x:c>
      <x:c r="AH232" s="89"/>
      <x:c r="AI232" s="88"/>
      <x:c r="AJ232" s="88" t="s">
        <x:v>2236</x:v>
      </x:c>
      <x:c r="AK232" s="88" t="s">
        <x:v>2237</x:v>
      </x:c>
      <x:c r="AL232" s="88" t="s">
        <x:v>185</x:v>
      </x:c>
      <x:c r="AM232" s="88"/>
      <x:c r="AN232" s="88" t="s">
        <x:v>369</x:v>
      </x:c>
      <x:c r="AO232" s="88">
        <x:v>0</x:v>
      </x:c>
    </x:row>
    <x:row r="233">
      <x:c r="A233" s="88" t="s">
        <x:v>2238</x:v>
      </x:c>
      <x:c r="B233" s="88" t="s">
        <x:v>2239</x:v>
      </x:c>
      <x:c r="C233" s="88" t="s">
        <x:v>1556</x:v>
      </x:c>
      <x:c r="D233" s="88" t="s">
        <x:v>248</x:v>
      </x:c>
      <x:c r="E233" s="88" t="s">
        <x:v>372</x:v>
      </x:c>
      <x:c r="F233" s="89">
        <x:v>46178.265447199075</x:v>
      </x:c>
      <x:c r="G233" s="89">
        <x:v>46178.265447199075</x:v>
      </x:c>
      <x:c r="H233" s="89">
        <x:v>46178.265447199075</x:v>
      </x:c>
      <x:c r="I233" s="88" t="s">
        <x:v>2240</x:v>
      </x:c>
      <x:c r="J233" s="88" t="s">
        <x:v>2241</x:v>
      </x:c>
      <x:c r="K233" s="88" t="s">
        <x:v>266</x:v>
      </x:c>
      <x:c r="L233" s="88"/>
      <x:c r="M233" s="88" t="s">
        <x:v>1491</x:v>
      </x:c>
      <x:c r="N233" s="88"/>
      <x:c r="O233" s="88"/>
      <x:c r="P233" s="88" t="s">
        <x:v>1491</x:v>
      </x:c>
      <x:c r="Q233" s="88" t="s">
        <x:v>256</x:v>
      </x:c>
      <x:c r="R233" s="88" t="s">
        <x:v>1087</x:v>
      </x:c>
      <x:c r="S233" s="88"/>
      <x:c r="T233" s="88" t="s">
        <x:v>372</x:v>
      </x:c>
      <x:c r="U233" s="88" t="s">
        <x:v>1556</x:v>
      </x:c>
      <x:c r="V233" s="89"/>
      <x:c r="W233" s="88"/>
      <x:c r="X233" s="88"/>
      <x:c r="Y233" s="88" t="s">
        <x:v>1491</x:v>
      </x:c>
      <x:c r="Z233" s="89"/>
      <x:c r="AA233" s="88"/>
      <x:c r="AB233" s="88"/>
      <x:c r="AC233" s="88" t="s">
        <x:v>273</x:v>
      </x:c>
      <x:c r="AD233" s="89"/>
      <x:c r="AE233" s="88"/>
      <x:c r="AF233" s="88"/>
      <x:c r="AG233" s="88" t="s">
        <x:v>161</x:v>
      </x:c>
      <x:c r="AH233" s="89"/>
      <x:c r="AI233" s="88"/>
      <x:c r="AJ233" s="88" t="s">
        <x:v>2242</x:v>
      </x:c>
      <x:c r="AK233" s="88" t="s">
        <x:v>2243</x:v>
      </x:c>
      <x:c r="AL233" s="88"/>
      <x:c r="AM233" s="88"/>
      <x:c r="AN233" s="88" t="s">
        <x:v>369</x:v>
      </x:c>
      <x:c r="AO233" s="88">
        <x:v>0</x:v>
      </x:c>
    </x:row>
    <x:row r="234">
      <x:c r="A234" s="88" t="s">
        <x:v>2244</x:v>
      </x:c>
      <x:c r="B234" s="88" t="s">
        <x:v>2245</x:v>
      </x:c>
      <x:c r="C234" s="88" t="s">
        <x:v>1623</x:v>
      </x:c>
      <x:c r="D234" s="88" t="s">
        <x:v>248</x:v>
      </x:c>
      <x:c r="E234" s="88" t="s">
        <x:v>342</x:v>
      </x:c>
      <x:c r="F234" s="89">
        <x:v>46181.973542476851</x:v>
      </x:c>
      <x:c r="G234" s="89">
        <x:v>46196.359642268515</x:v>
      </x:c>
      <x:c r="H234" s="89">
        <x:v>46181.973542476851</x:v>
      </x:c>
      <x:c r="I234" s="88" t="s">
        <x:v>2246</x:v>
      </x:c>
      <x:c r="J234" s="88" t="s">
        <x:v>2247</x:v>
      </x:c>
      <x:c r="K234" s="88" t="s">
        <x:v>266</x:v>
      </x:c>
      <x:c r="L234" s="88"/>
      <x:c r="M234" s="88" t="s">
        <x:v>482</x:v>
      </x:c>
      <x:c r="N234" s="88"/>
      <x:c r="O234" s="88"/>
      <x:c r="P234" s="88" t="s">
        <x:v>680</x:v>
      </x:c>
      <x:c r="Q234" s="88" t="s">
        <x:v>256</x:v>
      </x:c>
      <x:c r="R234" s="88" t="s">
        <x:v>363</x:v>
      </x:c>
      <x:c r="S234" s="88"/>
      <x:c r="T234" s="88" t="s">
        <x:v>259</x:v>
      </x:c>
      <x:c r="U234" s="88" t="s">
        <x:v>1623</x:v>
      </x:c>
      <x:c r="V234" s="89">
        <x:v>46181.97554550926</x:v>
      </x:c>
      <x:c r="W234" s="88" t="s">
        <x:v>2248</x:v>
      </x:c>
      <x:c r="X234" s="88" t="s">
        <x:v>259</x:v>
      </x:c>
      <x:c r="Y234" s="88" t="s">
        <x:v>482</x:v>
      </x:c>
      <x:c r="Z234" s="89">
        <x:v>46184.063530150466</x:v>
      </x:c>
      <x:c r="AA234" s="88" t="s">
        <x:v>680</x:v>
      </x:c>
      <x:c r="AB234" s="88" t="s">
        <x:v>259</x:v>
      </x:c>
      <x:c r="AC234" s="88" t="s">
        <x:v>271</x:v>
      </x:c>
      <x:c r="AD234" s="89">
        <x:v>46188.141476006946</x:v>
      </x:c>
      <x:c r="AE234" s="88" t="s">
        <x:v>2249</x:v>
      </x:c>
      <x:c r="AF234" s="88" t="s">
        <x:v>259</x:v>
      </x:c>
      <x:c r="AG234" s="88" t="s">
        <x:v>387</x:v>
      </x:c>
      <x:c r="AH234" s="89">
        <x:v>46196.359642268515</x:v>
      </x:c>
      <x:c r="AI234" s="88" t="s">
        <x:v>388</x:v>
      </x:c>
      <x:c r="AJ234" s="88" t="s">
        <x:v>2250</x:v>
      </x:c>
      <x:c r="AK234" s="88">
        <x:v>4229</x:v>
      </x:c>
      <x:c r="AL234" s="88" t="s">
        <x:v>185</x:v>
      </x:c>
      <x:c r="AM234" s="88" t="s">
        <x:v>2251</x:v>
      </x:c>
      <x:c r="AN234" s="88" t="s">
        <x:v>369</x:v>
      </x:c>
      <x:c r="AO234" s="88">
        <x:v>0</x:v>
      </x:c>
    </x:row>
    <x:row r="235">
      <x:c r="A235" s="88" t="s">
        <x:v>2252</x:v>
      </x:c>
      <x:c r="B235" s="88" t="s">
        <x:v>2253</x:v>
      </x:c>
      <x:c r="C235" s="88" t="s">
        <x:v>2254</x:v>
      </x:c>
      <x:c r="D235" s="88" t="s">
        <x:v>248</x:v>
      </x:c>
      <x:c r="E235" s="88" t="s">
        <x:v>342</x:v>
      </x:c>
      <x:c r="F235" s="89">
        <x:v>46183.289254317133</x:v>
      </x:c>
      <x:c r="G235" s="89">
        <x:v>46195.098200381944</x:v>
      </x:c>
      <x:c r="H235" s="89">
        <x:v>46183.306086805555</x:v>
      </x:c>
      <x:c r="I235" s="88" t="s">
        <x:v>540</x:v>
      </x:c>
      <x:c r="J235" s="88" t="s">
        <x:v>541</x:v>
      </x:c>
      <x:c r="K235" s="88" t="s">
        <x:v>266</x:v>
      </x:c>
      <x:c r="L235" s="88"/>
      <x:c r="M235" s="88" t="s">
        <x:v>546</x:v>
      </x:c>
      <x:c r="N235" s="88"/>
      <x:c r="O235" s="88"/>
      <x:c r="P235" s="88" t="s">
        <x:v>2255</x:v>
      </x:c>
      <x:c r="Q235" s="88" t="s">
        <x:v>347</x:v>
      </x:c>
      <x:c r="R235" s="88" t="s">
        <x:v>283</x:v>
      </x:c>
      <x:c r="S235" s="88"/>
      <x:c r="T235" s="88" t="s">
        <x:v>259</x:v>
      </x:c>
      <x:c r="U235" s="88" t="s">
        <x:v>2254</x:v>
      </x:c>
      <x:c r="V235" s="89">
        <x:v>46183.307676412034</x:v>
      </x:c>
      <x:c r="W235" s="88" t="s">
        <x:v>498</x:v>
      </x:c>
      <x:c r="X235" s="88" t="s">
        <x:v>259</x:v>
      </x:c>
      <x:c r="Y235" s="88" t="s">
        <x:v>546</x:v>
      </x:c>
      <x:c r="Z235" s="89">
        <x:v>46184.149925995371</x:v>
      </x:c>
      <x:c r="AA235" s="88" t="s">
        <x:v>2256</x:v>
      </x:c>
      <x:c r="AB235" s="88" t="s">
        <x:v>259</x:v>
      </x:c>
      <x:c r="AC235" s="88" t="s">
        <x:v>271</x:v>
      </x:c>
      <x:c r="AD235" s="89">
        <x:v>46195.065994201388</x:v>
      </x:c>
      <x:c r="AE235" s="88" t="s">
        <x:v>2257</x:v>
      </x:c>
      <x:c r="AF235" s="88" t="s">
        <x:v>259</x:v>
      </x:c>
      <x:c r="AG235" s="88" t="s">
        <x:v>789</x:v>
      </x:c>
      <x:c r="AH235" s="89">
        <x:v>46195.098200393521</x:v>
      </x:c>
      <x:c r="AI235" s="88" t="s">
        <x:v>353</x:v>
      </x:c>
      <x:c r="AJ235" s="88" t="s">
        <x:v>549</x:v>
      </x:c>
      <x:c r="AK235" s="88" t="s">
        <x:v>550</x:v>
      </x:c>
      <x:c r="AL235" s="88" t="s">
        <x:v>162</x:v>
      </x:c>
      <x:c r="AM235" s="88" t="s">
        <x:v>2258</x:v>
      </x:c>
      <x:c r="AN235" s="88" t="s">
        <x:v>414</x:v>
      </x:c>
      <x:c r="AO235" s="88"/>
    </x:row>
    <x:row r="236">
      <x:c r="A236" s="88" t="s">
        <x:v>2259</x:v>
      </x:c>
      <x:c r="B236" s="88" t="s">
        <x:v>2260</x:v>
      </x:c>
      <x:c r="C236" s="88" t="s">
        <x:v>2261</x:v>
      </x:c>
      <x:c r="D236" s="88" t="s">
        <x:v>248</x:v>
      </x:c>
      <x:c r="E236" s="88" t="s">
        <x:v>278</x:v>
      </x:c>
      <x:c r="F236" s="89">
        <x:v>46185.321660555557</x:v>
      </x:c>
      <x:c r="G236" s="89">
        <x:v>46185.336061354166</x:v>
      </x:c>
      <x:c r="H236" s="89">
        <x:v>46185.329921319448</x:v>
      </x:c>
      <x:c r="I236" s="88" t="s">
        <x:v>2262</x:v>
      </x:c>
      <x:c r="J236" s="88" t="s">
        <x:v>2263</x:v>
      </x:c>
      <x:c r="K236" s="88" t="s">
        <x:v>266</x:v>
      </x:c>
      <x:c r="L236" s="88"/>
      <x:c r="M236" s="88" t="s">
        <x:v>594</x:v>
      </x:c>
      <x:c r="N236" s="88"/>
      <x:c r="O236" s="88"/>
      <x:c r="P236" s="88" t="s">
        <x:v>2264</x:v>
      </x:c>
      <x:c r="Q236" s="88" t="s">
        <x:v>323</x:v>
      </x:c>
      <x:c r="R236" s="88" t="s">
        <x:v>283</x:v>
      </x:c>
      <x:c r="S236" s="88"/>
      <x:c r="T236" s="88" t="s">
        <x:v>249</x:v>
      </x:c>
      <x:c r="U236" s="88" t="s">
        <x:v>2261</x:v>
      </x:c>
      <x:c r="V236" s="89">
        <x:v>46185.336061365742</x:v>
      </x:c>
      <x:c r="W236" s="88"/>
      <x:c r="X236" s="88"/>
      <x:c r="Y236" s="88" t="s">
        <x:v>597</x:v>
      </x:c>
      <x:c r="Z236" s="89"/>
      <x:c r="AA236" s="88"/>
      <x:c r="AB236" s="88"/>
      <x:c r="AC236" s="88" t="s">
        <x:v>273</x:v>
      </x:c>
      <x:c r="AD236" s="89"/>
      <x:c r="AE236" s="88"/>
      <x:c r="AF236" s="88"/>
      <x:c r="AG236" s="88" t="s">
        <x:v>273</x:v>
      </x:c>
      <x:c r="AH236" s="89"/>
      <x:c r="AI236" s="88"/>
      <x:c r="AJ236" s="88" t="s">
        <x:v>2265</x:v>
      </x:c>
      <x:c r="AK236" s="88" t="s">
        <x:v>2266</x:v>
      </x:c>
      <x:c r="AL236" s="88"/>
      <x:c r="AM236" s="88"/>
      <x:c r="AN236" s="88" t="s">
        <x:v>369</x:v>
      </x:c>
      <x:c r="AO236" s="88">
        <x:v>0</x:v>
      </x:c>
    </x:row>
    <x:row r="237">
      <x:c r="A237" s="88" t="s">
        <x:v>2267</x:v>
      </x:c>
      <x:c r="B237" s="88" t="s">
        <x:v>2268</x:v>
      </x:c>
      <x:c r="C237" s="88" t="s">
        <x:v>2261</x:v>
      </x:c>
      <x:c r="D237" s="88" t="s">
        <x:v>248</x:v>
      </x:c>
      <x:c r="E237" s="88" t="s">
        <x:v>342</x:v>
      </x:c>
      <x:c r="F237" s="89">
        <x:v>46185.340565833336</x:v>
      </x:c>
      <x:c r="G237" s="89">
        <x:v>46223.280768946759</x:v>
      </x:c>
      <x:c r="H237" s="89">
        <x:v>46185.340565833336</x:v>
      </x:c>
      <x:c r="I237" s="88" t="s">
        <x:v>2262</x:v>
      </x:c>
      <x:c r="J237" s="88" t="s">
        <x:v>2263</x:v>
      </x:c>
      <x:c r="K237" s="88" t="s">
        <x:v>266</x:v>
      </x:c>
      <x:c r="L237" s="88"/>
      <x:c r="M237" s="88" t="s">
        <x:v>2269</x:v>
      </x:c>
      <x:c r="N237" s="88"/>
      <x:c r="O237" s="88" t="s">
        <x:v>2270</x:v>
      </x:c>
      <x:c r="P237" s="88" t="s">
        <x:v>2271</x:v>
      </x:c>
      <x:c r="Q237" s="88" t="s">
        <x:v>323</x:v>
      </x:c>
      <x:c r="R237" s="88" t="s">
        <x:v>283</x:v>
      </x:c>
      <x:c r="S237" s="88"/>
      <x:c r="T237" s="88" t="s">
        <x:v>259</x:v>
      </x:c>
      <x:c r="U237" s="88" t="s">
        <x:v>2261</x:v>
      </x:c>
      <x:c r="V237" s="89">
        <x:v>46185.353635567131</x:v>
      </x:c>
      <x:c r="W237" s="88" t="s">
        <x:v>2272</x:v>
      </x:c>
      <x:c r="X237" s="88" t="s">
        <x:v>259</x:v>
      </x:c>
      <x:c r="Y237" s="88" t="s">
        <x:v>2273</x:v>
      </x:c>
      <x:c r="Z237" s="89">
        <x:v>46195.205156111107</x:v>
      </x:c>
      <x:c r="AA237" s="88" t="s">
        <x:v>2274</x:v>
      </x:c>
      <x:c r="AB237" s="88" t="s">
        <x:v>259</x:v>
      </x:c>
      <x:c r="AC237" s="88" t="s">
        <x:v>271</x:v>
      </x:c>
      <x:c r="AD237" s="89">
        <x:v>46197.412708333337</x:v>
      </x:c>
      <x:c r="AE237" s="88" t="s">
        <x:v>2275</x:v>
      </x:c>
      <x:c r="AF237" s="88" t="s">
        <x:v>259</x:v>
      </x:c>
      <x:c r="AG237" s="88" t="s">
        <x:v>500</x:v>
      </x:c>
      <x:c r="AH237" s="89">
        <x:v>46223.280768958335</x:v>
      </x:c>
      <x:c r="AI237" s="88" t="s">
        <x:v>2276</x:v>
      </x:c>
      <x:c r="AJ237" s="88" t="s">
        <x:v>2265</x:v>
      </x:c>
      <x:c r="AK237" s="88" t="s">
        <x:v>2266</x:v>
      </x:c>
      <x:c r="AL237" s="88" t="s">
        <x:v>185</x:v>
      </x:c>
      <x:c r="AM237" s="88" t="s">
        <x:v>2277</x:v>
      </x:c>
      <x:c r="AN237" s="88" t="s">
        <x:v>369</x:v>
      </x:c>
      <x:c r="AO237" s="88">
        <x:v>0</x:v>
      </x:c>
    </x:row>
    <x:row r="238">
      <x:c r="A238" s="88" t="s">
        <x:v>2278</x:v>
      </x:c>
      <x:c r="B238" s="88" t="s">
        <x:v>2279</x:v>
      </x:c>
      <x:c r="C238" s="88" t="s">
        <x:v>851</x:v>
      </x:c>
      <x:c r="D238" s="88" t="s">
        <x:v>248</x:v>
      </x:c>
      <x:c r="E238" s="88" t="s">
        <x:v>342</x:v>
      </x:c>
      <x:c r="F238" s="89">
        <x:v>46188.351509988424</x:v>
      </x:c>
      <x:c r="G238" s="89">
        <x:v>46198.145549305555</x:v>
      </x:c>
      <x:c r="H238" s="89">
        <x:v>46188.353479537036</x:v>
      </x:c>
      <x:c r="I238" s="88" t="s">
        <x:v>2280</x:v>
      </x:c>
      <x:c r="J238" s="88" t="s">
        <x:v>2281</x:v>
      </x:c>
      <x:c r="K238" s="88" t="s">
        <x:v>266</x:v>
      </x:c>
      <x:c r="L238" s="88"/>
      <x:c r="M238" s="88" t="s">
        <x:v>995</x:v>
      </x:c>
      <x:c r="N238" s="88"/>
      <x:c r="O238" s="88"/>
      <x:c r="P238" s="88" t="s">
        <x:v>2282</x:v>
      </x:c>
      <x:c r="Q238" s="88" t="s">
        <x:v>347</x:v>
      </x:c>
      <x:c r="R238" s="88" t="s">
        <x:v>283</x:v>
      </x:c>
      <x:c r="S238" s="88"/>
      <x:c r="T238" s="88" t="s">
        <x:v>259</x:v>
      </x:c>
      <x:c r="U238" s="88" t="s">
        <x:v>851</x:v>
      </x:c>
      <x:c r="V238" s="89">
        <x:v>46188.354798206019</x:v>
      </x:c>
      <x:c r="W238" s="88" t="s">
        <x:v>2283</x:v>
      </x:c>
      <x:c r="X238" s="88" t="s">
        <x:v>259</x:v>
      </x:c>
      <x:c r="Y238" s="88" t="s">
        <x:v>995</x:v>
      </x:c>
      <x:c r="Z238" s="89">
        <x:v>46195.337172638887</x:v>
      </x:c>
      <x:c r="AA238" s="88" t="s">
        <x:v>2284</x:v>
      </x:c>
      <x:c r="AB238" s="88" t="s">
        <x:v>259</x:v>
      </x:c>
      <x:c r="AC238" s="88" t="s">
        <x:v>271</x:v>
      </x:c>
      <x:c r="AD238" s="89">
        <x:v>46197.103300648145</x:v>
      </x:c>
      <x:c r="AE238" s="88" t="s">
        <x:v>2285</x:v>
      </x:c>
      <x:c r="AF238" s="88" t="s">
        <x:v>259</x:v>
      </x:c>
      <x:c r="AG238" s="88" t="s">
        <x:v>271</x:v>
      </x:c>
      <x:c r="AH238" s="89">
        <x:v>46198.145549305555</x:v>
      </x:c>
      <x:c r="AI238" s="88" t="s">
        <x:v>353</x:v>
      </x:c>
      <x:c r="AJ238" s="88" t="s">
        <x:v>2286</x:v>
      </x:c>
      <x:c r="AK238" s="88">
        <x:v>514</x:v>
      </x:c>
      <x:c r="AL238" s="88" t="s">
        <x:v>162</x:v>
      </x:c>
      <x:c r="AM238" s="88" t="s">
        <x:v>2287</x:v>
      </x:c>
      <x:c r="AN238" s="88" t="s">
        <x:v>369</x:v>
      </x:c>
      <x:c r="AO238" s="88">
        <x:v>0</x:v>
      </x:c>
    </x:row>
    <x:row r="239">
      <x:c r="A239" s="88" t="s">
        <x:v>2288</x:v>
      </x:c>
      <x:c r="B239" s="88" t="s">
        <x:v>2289</x:v>
      </x:c>
      <x:c r="C239" s="88" t="s">
        <x:v>2290</x:v>
      </x:c>
      <x:c r="D239" s="88" t="s">
        <x:v>248</x:v>
      </x:c>
      <x:c r="E239" s="88" t="s">
        <x:v>342</x:v>
      </x:c>
      <x:c r="F239" s="89">
        <x:v>46188.39988153935</x:v>
      </x:c>
      <x:c r="G239" s="89">
        <x:v>46196.308348796294</x:v>
      </x:c>
      <x:c r="H239" s="89">
        <x:v>46189.060004108796</x:v>
      </x:c>
      <x:c r="I239" s="88" t="s">
        <x:v>1185</x:v>
      </x:c>
      <x:c r="J239" s="88" t="s">
        <x:v>1186</x:v>
      </x:c>
      <x:c r="K239" s="88" t="s">
        <x:v>266</x:v>
      </x:c>
      <x:c r="L239" s="88"/>
      <x:c r="M239" s="88" t="s">
        <x:v>1070</x:v>
      </x:c>
      <x:c r="N239" s="88"/>
      <x:c r="O239" s="88"/>
      <x:c r="P239" s="88" t="s">
        <x:v>2291</x:v>
      </x:c>
      <x:c r="Q239" s="88" t="s">
        <x:v>970</x:v>
      </x:c>
      <x:c r="R239" s="88" t="s">
        <x:v>283</x:v>
      </x:c>
      <x:c r="S239" s="88"/>
      <x:c r="T239" s="88" t="s">
        <x:v>259</x:v>
      </x:c>
      <x:c r="U239" s="88" t="s">
        <x:v>2290</x:v>
      </x:c>
      <x:c r="V239" s="89">
        <x:v>46189.061275219909</x:v>
      </x:c>
      <x:c r="W239" s="88" t="s">
        <x:v>2292</x:v>
      </x:c>
      <x:c r="X239" s="88" t="s">
        <x:v>259</x:v>
      </x:c>
      <x:c r="Y239" s="88" t="s">
        <x:v>1070</x:v>
      </x:c>
      <x:c r="Z239" s="89">
        <x:v>46189.101245231483</x:v>
      </x:c>
      <x:c r="AA239" s="88" t="s">
        <x:v>385</x:v>
      </x:c>
      <x:c r="AB239" s="88" t="s">
        <x:v>259</x:v>
      </x:c>
      <x:c r="AC239" s="88" t="s">
        <x:v>271</x:v>
      </x:c>
      <x:c r="AD239" s="89">
        <x:v>46192.113556898148</x:v>
      </x:c>
      <x:c r="AE239" s="88" t="s">
        <x:v>2293</x:v>
      </x:c>
      <x:c r="AF239" s="88" t="s">
        <x:v>259</x:v>
      </x:c>
      <x:c r="AG239" s="88" t="s">
        <x:v>500</x:v>
      </x:c>
      <x:c r="AH239" s="89">
        <x:v>46196.308348796294</x:v>
      </x:c>
      <x:c r="AI239" s="88" t="s">
        <x:v>2294</x:v>
      </x:c>
      <x:c r="AJ239" s="88" t="s">
        <x:v>1192</x:v>
      </x:c>
      <x:c r="AK239" s="88" t="s">
        <x:v>1193</x:v>
      </x:c>
      <x:c r="AL239" s="88" t="s">
        <x:v>162</x:v>
      </x:c>
      <x:c r="AM239" s="88" t="s">
        <x:v>2295</x:v>
      </x:c>
      <x:c r="AN239" s="88" t="s">
        <x:v>414</x:v>
      </x:c>
      <x:c r="AO239" s="88"/>
    </x:row>
    <x:row r="240">
      <x:c r="A240" s="88" t="s">
        <x:v>2296</x:v>
      </x:c>
      <x:c r="B240" s="88" t="s">
        <x:v>2297</x:v>
      </x:c>
      <x:c r="C240" s="88" t="s">
        <x:v>2028</x:v>
      </x:c>
      <x:c r="D240" s="88" t="s">
        <x:v>248</x:v>
      </x:c>
      <x:c r="E240" s="88" t="s">
        <x:v>278</x:v>
      </x:c>
      <x:c r="F240" s="89">
        <x:v>46189.078725520834</x:v>
      </x:c>
      <x:c r="G240" s="89">
        <x:v>46189.079718009256</x:v>
      </x:c>
      <x:c r="H240" s="89">
        <x:v>46189.078725520834</x:v>
      </x:c>
      <x:c r="I240" s="88" t="s">
        <x:v>2298</x:v>
      </x:c>
      <x:c r="J240" s="88" t="s">
        <x:v>2299</x:v>
      </x:c>
      <x:c r="K240" s="88" t="s">
        <x:v>380</x:v>
      </x:c>
      <x:c r="L240" s="88" t="s">
        <x:v>2300</x:v>
      </x:c>
      <x:c r="M240" s="88" t="s">
        <x:v>2031</x:v>
      </x:c>
      <x:c r="N240" s="88"/>
      <x:c r="O240" s="88"/>
      <x:c r="P240" s="88" t="s">
        <x:v>2301</x:v>
      </x:c>
      <x:c r="Q240" s="88" t="s">
        <x:v>256</x:v>
      </x:c>
      <x:c r="R240" s="88" t="s">
        <x:v>283</x:v>
      </x:c>
      <x:c r="S240" s="88"/>
      <x:c r="T240" s="88" t="s">
        <x:v>249</x:v>
      </x:c>
      <x:c r="U240" s="88" t="s">
        <x:v>2028</x:v>
      </x:c>
      <x:c r="V240" s="89">
        <x:v>46189.079718032408</x:v>
      </x:c>
      <x:c r="W240" s="88"/>
      <x:c r="X240" s="88"/>
      <x:c r="Y240" s="88" t="s">
        <x:v>2033</x:v>
      </x:c>
      <x:c r="Z240" s="89"/>
      <x:c r="AA240" s="88"/>
      <x:c r="AB240" s="88"/>
      <x:c r="AC240" s="88" t="s">
        <x:v>273</x:v>
      </x:c>
      <x:c r="AD240" s="89"/>
      <x:c r="AE240" s="88"/>
      <x:c r="AF240" s="88"/>
      <x:c r="AG240" s="88" t="s">
        <x:v>161</x:v>
      </x:c>
      <x:c r="AH240" s="89"/>
      <x:c r="AI240" s="88"/>
      <x:c r="AJ240" s="88" t="s">
        <x:v>2302</x:v>
      </x:c>
      <x:c r="AK240" s="88" t="s">
        <x:v>2303</x:v>
      </x:c>
      <x:c r="AL240" s="88"/>
      <x:c r="AM240" s="88"/>
      <x:c r="AN240" s="88" t="s">
        <x:v>369</x:v>
      </x:c>
      <x:c r="AO240" s="88">
        <x:v>0</x:v>
      </x:c>
    </x:row>
    <x:row r="241">
      <x:c r="A241" s="88" t="s">
        <x:v>2304</x:v>
      </x:c>
      <x:c r="B241" s="88" t="s">
        <x:v>2305</x:v>
      </x:c>
      <x:c r="C241" s="88" t="s">
        <x:v>2028</x:v>
      </x:c>
      <x:c r="D241" s="88" t="s">
        <x:v>248</x:v>
      </x:c>
      <x:c r="E241" s="88" t="s">
        <x:v>278</x:v>
      </x:c>
      <x:c r="F241" s="89">
        <x:v>46189.100680995369</x:v>
      </x:c>
      <x:c r="G241" s="89">
        <x:v>46210.066586932873</x:v>
      </x:c>
      <x:c r="H241" s="89">
        <x:v>46209.997675335646</x:v>
      </x:c>
      <x:c r="I241" s="88" t="s">
        <x:v>2298</x:v>
      </x:c>
      <x:c r="J241" s="88" t="s">
        <x:v>2306</x:v>
      </x:c>
      <x:c r="K241" s="88" t="s">
        <x:v>380</x:v>
      </x:c>
      <x:c r="L241" s="88" t="s">
        <x:v>2300</x:v>
      </x:c>
      <x:c r="M241" s="88" t="s">
        <x:v>2031</x:v>
      </x:c>
      <x:c r="N241" s="88"/>
      <x:c r="O241" s="88"/>
      <x:c r="P241" s="88" t="s">
        <x:v>2307</x:v>
      </x:c>
      <x:c r="Q241" s="88" t="s">
        <x:v>256</x:v>
      </x:c>
      <x:c r="R241" s="88" t="s">
        <x:v>283</x:v>
      </x:c>
      <x:c r="S241" s="88"/>
      <x:c r="T241" s="88" t="s">
        <x:v>249</x:v>
      </x:c>
      <x:c r="U241" s="88" t="s">
        <x:v>2028</x:v>
      </x:c>
      <x:c r="V241" s="89">
        <x:v>46210.066586990739</x:v>
      </x:c>
      <x:c r="W241" s="88"/>
      <x:c r="X241" s="88"/>
      <x:c r="Y241" s="88" t="s">
        <x:v>2033</x:v>
      </x:c>
      <x:c r="Z241" s="89"/>
      <x:c r="AA241" s="88"/>
      <x:c r="AB241" s="88"/>
      <x:c r="AC241" s="88" t="s">
        <x:v>273</x:v>
      </x:c>
      <x:c r="AD241" s="89"/>
      <x:c r="AE241" s="88"/>
      <x:c r="AF241" s="88"/>
      <x:c r="AG241" s="88" t="s">
        <x:v>273</x:v>
      </x:c>
      <x:c r="AH241" s="89"/>
      <x:c r="AI241" s="88"/>
      <x:c r="AJ241" s="88" t="s">
        <x:v>2302</x:v>
      </x:c>
      <x:c r="AK241" s="88" t="s">
        <x:v>2308</x:v>
      </x:c>
      <x:c r="AL241" s="88"/>
      <x:c r="AM241" s="88"/>
      <x:c r="AN241" s="88" t="s">
        <x:v>369</x:v>
      </x:c>
      <x:c r="AO241" s="88">
        <x:v>0</x:v>
      </x:c>
    </x:row>
    <x:row r="242">
      <x:c r="A242" s="88" t="s">
        <x:v>2309</x:v>
      </x:c>
      <x:c r="B242" s="88" t="s">
        <x:v>2310</x:v>
      </x:c>
      <x:c r="C242" s="88" t="s">
        <x:v>981</x:v>
      </x:c>
      <x:c r="D242" s="88" t="s">
        <x:v>248</x:v>
      </x:c>
      <x:c r="E242" s="88" t="s">
        <x:v>372</x:v>
      </x:c>
      <x:c r="F242" s="89">
        <x:v>46192.090632476851</x:v>
      </x:c>
      <x:c r="G242" s="89">
        <x:v>46192.211940000001</x:v>
      </x:c>
      <x:c r="H242" s="89">
        <x:v>46192.090632476851</x:v>
      </x:c>
      <x:c r="I242" s="88" t="s">
        <x:v>2311</x:v>
      </x:c>
      <x:c r="J242" s="88" t="s">
        <x:v>2312</x:v>
      </x:c>
      <x:c r="K242" s="88" t="s">
        <x:v>266</x:v>
      </x:c>
      <x:c r="L242" s="88"/>
      <x:c r="M242" s="88" t="s">
        <x:v>984</x:v>
      </x:c>
      <x:c r="N242" s="88"/>
      <x:c r="O242" s="88"/>
      <x:c r="P242" s="88" t="s">
        <x:v>2313</x:v>
      </x:c>
      <x:c r="Q242" s="88" t="s">
        <x:v>323</x:v>
      </x:c>
      <x:c r="R242" s="88" t="s">
        <x:v>513</x:v>
      </x:c>
      <x:c r="S242" s="88"/>
      <x:c r="T242" s="88" t="s">
        <x:v>259</x:v>
      </x:c>
      <x:c r="U242" s="88" t="s">
        <x:v>981</x:v>
      </x:c>
      <x:c r="V242" s="89">
        <x:v>46192.211940011577</x:v>
      </x:c>
      <x:c r="W242" s="88" t="s">
        <x:v>2314</x:v>
      </x:c>
      <x:c r="X242" s="88"/>
      <x:c r="Y242" s="88" t="s">
        <x:v>984</x:v>
      </x:c>
      <x:c r="Z242" s="89"/>
      <x:c r="AA242" s="88"/>
      <x:c r="AB242" s="88"/>
      <x:c r="AC242" s="88" t="s">
        <x:v>273</x:v>
      </x:c>
      <x:c r="AD242" s="89"/>
      <x:c r="AE242" s="88"/>
      <x:c r="AF242" s="88"/>
      <x:c r="AG242" s="88" t="s">
        <x:v>161</x:v>
      </x:c>
      <x:c r="AH242" s="89"/>
      <x:c r="AI242" s="88"/>
      <x:c r="AJ242" s="88" t="s">
        <x:v>2315</x:v>
      </x:c>
      <x:c r="AK242" s="88">
        <x:v>2341</x:v>
      </x:c>
      <x:c r="AL242" s="88"/>
      <x:c r="AM242" s="88"/>
      <x:c r="AN242" s="88" t="s">
        <x:v>414</x:v>
      </x:c>
      <x:c r="AO242" s="88">
        <x:v>30</x:v>
      </x:c>
    </x:row>
    <x:row r="243">
      <x:c r="A243" s="88" t="s">
        <x:v>2316</x:v>
      </x:c>
      <x:c r="B243" s="88" t="s">
        <x:v>2317</x:v>
      </x:c>
      <x:c r="C243" s="88" t="s">
        <x:v>1307</x:v>
      </x:c>
      <x:c r="D243" s="88" t="s">
        <x:v>248</x:v>
      </x:c>
      <x:c r="E243" s="88" t="s">
        <x:v>329</x:v>
      </x:c>
      <x:c r="F243" s="89">
        <x:v>46195.027428449073</x:v>
      </x:c>
      <x:c r="G243" s="89">
        <x:v>46224.110601238426</x:v>
      </x:c>
      <x:c r="H243" s="89">
        <x:v>46197.130963518517</x:v>
      </x:c>
      <x:c r="I243" s="88" t="s">
        <x:v>2318</x:v>
      </x:c>
      <x:c r="J243" s="88" t="s">
        <x:v>2319</x:v>
      </x:c>
      <x:c r="K243" s="88" t="s">
        <x:v>380</x:v>
      </x:c>
      <x:c r="L243" s="88" t="s">
        <x:v>2320</x:v>
      </x:c>
      <x:c r="M243" s="88" t="s">
        <x:v>2321</x:v>
      </x:c>
      <x:c r="N243" s="88" t="s">
        <x:v>2322</x:v>
      </x:c>
      <x:c r="O243" s="88"/>
      <x:c r="P243" s="88" t="s">
        <x:v>2323</x:v>
      </x:c>
      <x:c r="Q243" s="88" t="s">
        <x:v>269</x:v>
      </x:c>
      <x:c r="R243" s="88" t="s">
        <x:v>257</x:v>
      </x:c>
      <x:c r="S243" s="88"/>
      <x:c r="T243" s="88" t="s">
        <x:v>259</x:v>
      </x:c>
      <x:c r="U243" s="88" t="s">
        <x:v>1307</x:v>
      </x:c>
      <x:c r="V243" s="89">
        <x:v>46197.131969456015</x:v>
      </x:c>
      <x:c r="W243" s="88" t="s">
        <x:v>2324</x:v>
      </x:c>
      <x:c r="X243" s="88" t="s">
        <x:v>259</x:v>
      </x:c>
      <x:c r="Y243" s="88" t="s">
        <x:v>1567</x:v>
      </x:c>
      <x:c r="Z243" s="89">
        <x:v>46197.325305694445</x:v>
      </x:c>
      <x:c r="AA243" s="88" t="s">
        <x:v>2325</x:v>
      </x:c>
      <x:c r="AB243" s="88" t="s">
        <x:v>259</x:v>
      </x:c>
      <x:c r="AC243" s="88" t="s">
        <x:v>111</x:v>
      </x:c>
      <x:c r="AD243" s="89">
        <x:v>46224.110601250002</x:v>
      </x:c>
      <x:c r="AE243" s="88" t="s">
        <x:v>2326</x:v>
      </x:c>
      <x:c r="AF243" s="88"/>
      <x:c r="AG243" s="88" t="s">
        <x:v>203</x:v>
      </x:c>
      <x:c r="AH243" s="89"/>
      <x:c r="AI243" s="88"/>
      <x:c r="AJ243" s="88" t="s">
        <x:v>2327</x:v>
      </x:c>
      <x:c r="AK243" s="88">
        <x:v>4396</x:v>
      </x:c>
      <x:c r="AL243" s="88" t="s">
        <x:v>185</x:v>
      </x:c>
      <x:c r="AM243" s="88" t="s">
        <x:v>2328</x:v>
      </x:c>
      <x:c r="AN243" s="88" t="s">
        <x:v>414</x:v>
      </x:c>
      <x:c r="AO243" s="88"/>
    </x:row>
    <x:row r="244">
      <x:c r="A244" s="88" t="s">
        <x:v>2329</x:v>
      </x:c>
      <x:c r="B244" s="88" t="s">
        <x:v>2330</x:v>
      </x:c>
      <x:c r="C244" s="88" t="s">
        <x:v>554</x:v>
      </x:c>
      <x:c r="D244" s="88" t="s">
        <x:v>248</x:v>
      </x:c>
      <x:c r="E244" s="88" t="s">
        <x:v>329</x:v>
      </x:c>
      <x:c r="F244" s="89">
        <x:v>46196.084583148149</x:v>
      </x:c>
      <x:c r="G244" s="89">
        <x:v>46251.318264490743</x:v>
      </x:c>
      <x:c r="H244" s="89">
        <x:v>46196.084583148149</x:v>
      </x:c>
      <x:c r="I244" s="88" t="s">
        <x:v>2331</x:v>
      </x:c>
      <x:c r="J244" s="88" t="s">
        <x:v>2332</x:v>
      </x:c>
      <x:c r="K244" s="88" t="s">
        <x:v>266</x:v>
      </x:c>
      <x:c r="L244" s="88"/>
      <x:c r="M244" s="88" t="s">
        <x:v>482</x:v>
      </x:c>
      <x:c r="N244" s="88"/>
      <x:c r="O244" s="88"/>
      <x:c r="P244" s="88" t="s">
        <x:v>680</x:v>
      </x:c>
      <x:c r="Q244" s="88" t="s">
        <x:v>256</x:v>
      </x:c>
      <x:c r="R244" s="88" t="s">
        <x:v>363</x:v>
      </x:c>
      <x:c r="S244" s="88"/>
      <x:c r="T244" s="88" t="s">
        <x:v>259</x:v>
      </x:c>
      <x:c r="U244" s="88" t="s">
        <x:v>554</x:v>
      </x:c>
      <x:c r="V244" s="89">
        <x:v>46196.085247592593</x:v>
      </x:c>
      <x:c r="W244" s="88" t="s">
        <x:v>680</x:v>
      </x:c>
      <x:c r="X244" s="88" t="s">
        <x:v>259</x:v>
      </x:c>
      <x:c r="Y244" s="88" t="s">
        <x:v>482</x:v>
      </x:c>
      <x:c r="Z244" s="89">
        <x:v>46196.111999780092</x:v>
      </x:c>
      <x:c r="AA244" s="88" t="s">
        <x:v>680</x:v>
      </x:c>
      <x:c r="AB244" s="88" t="s">
        <x:v>259</x:v>
      </x:c>
      <x:c r="AC244" s="88" t="s">
        <x:v>111</x:v>
      </x:c>
      <x:c r="AD244" s="89">
        <x:v>46251.318264502312</x:v>
      </x:c>
      <x:c r="AE244" s="88" t="s">
        <x:v>2333</x:v>
      </x:c>
      <x:c r="AF244" s="88"/>
      <x:c r="AG244" s="88" t="s">
        <x:v>125</x:v>
      </x:c>
      <x:c r="AH244" s="89"/>
      <x:c r="AI244" s="88"/>
      <x:c r="AJ244" s="88" t="s">
        <x:v>2334</x:v>
      </x:c>
      <x:c r="AK244" s="88" t="s">
        <x:v>2335</x:v>
      </x:c>
      <x:c r="AL244" s="88" t="s">
        <x:v>185</x:v>
      </x:c>
      <x:c r="AM244" s="88" t="s">
        <x:v>2336</x:v>
      </x:c>
      <x:c r="AN244" s="88" t="s">
        <x:v>369</x:v>
      </x:c>
      <x:c r="AO244" s="88">
        <x:v>0</x:v>
      </x:c>
    </x:row>
    <x:row r="245">
      <x:c r="A245" s="88" t="s">
        <x:v>2337</x:v>
      </x:c>
      <x:c r="B245" s="88" t="s">
        <x:v>2338</x:v>
      </x:c>
      <x:c r="C245" s="88" t="s">
        <x:v>554</x:v>
      </x:c>
      <x:c r="D245" s="88" t="s">
        <x:v>248</x:v>
      </x:c>
      <x:c r="E245" s="88" t="s">
        <x:v>329</x:v>
      </x:c>
      <x:c r="F245" s="89">
        <x:v>46196.086062152775</x:v>
      </x:c>
      <x:c r="G245" s="89">
        <x:v>46251.319507337961</x:v>
      </x:c>
      <x:c r="H245" s="89">
        <x:v>46196.086062152775</x:v>
      </x:c>
      <x:c r="I245" s="88" t="s">
        <x:v>2331</x:v>
      </x:c>
      <x:c r="J245" s="88" t="s">
        <x:v>2332</x:v>
      </x:c>
      <x:c r="K245" s="88" t="s">
        <x:v>266</x:v>
      </x:c>
      <x:c r="L245" s="88"/>
      <x:c r="M245" s="88" t="s">
        <x:v>482</x:v>
      </x:c>
      <x:c r="N245" s="88"/>
      <x:c r="O245" s="88"/>
      <x:c r="P245" s="88" t="s">
        <x:v>680</x:v>
      </x:c>
      <x:c r="Q245" s="88" t="s">
        <x:v>256</x:v>
      </x:c>
      <x:c r="R245" s="88" t="s">
        <x:v>363</x:v>
      </x:c>
      <x:c r="S245" s="88"/>
      <x:c r="T245" s="88" t="s">
        <x:v>259</x:v>
      </x:c>
      <x:c r="U245" s="88" t="s">
        <x:v>554</x:v>
      </x:c>
      <x:c r="V245" s="89">
        <x:v>46196.086793773145</x:v>
      </x:c>
      <x:c r="W245" s="88" t="s">
        <x:v>680</x:v>
      </x:c>
      <x:c r="X245" s="88" t="s">
        <x:v>259</x:v>
      </x:c>
      <x:c r="Y245" s="88" t="s">
        <x:v>482</x:v>
      </x:c>
      <x:c r="Z245" s="89">
        <x:v>46196.111621724536</x:v>
      </x:c>
      <x:c r="AA245" s="88" t="s">
        <x:v>680</x:v>
      </x:c>
      <x:c r="AB245" s="88" t="s">
        <x:v>259</x:v>
      </x:c>
      <x:c r="AC245" s="88" t="s">
        <x:v>111</x:v>
      </x:c>
      <x:c r="AD245" s="89">
        <x:v>46251.319507349537</x:v>
      </x:c>
      <x:c r="AE245" s="88" t="s">
        <x:v>385</x:v>
      </x:c>
      <x:c r="AF245" s="88"/>
      <x:c r="AG245" s="88" t="s">
        <x:v>129</x:v>
      </x:c>
      <x:c r="AH245" s="89"/>
      <x:c r="AI245" s="88"/>
      <x:c r="AJ245" s="88" t="s">
        <x:v>2334</x:v>
      </x:c>
      <x:c r="AK245" s="88" t="s">
        <x:v>2335</x:v>
      </x:c>
      <x:c r="AL245" s="88" t="s">
        <x:v>185</x:v>
      </x:c>
      <x:c r="AM245" s="88" t="s">
        <x:v>2339</x:v>
      </x:c>
      <x:c r="AN245" s="88" t="s">
        <x:v>391</x:v>
      </x:c>
      <x:c r="AO245" s="88">
        <x:v>0</x:v>
      </x:c>
    </x:row>
    <x:row r="246">
      <x:c r="A246" s="88" t="s">
        <x:v>2340</x:v>
      </x:c>
      <x:c r="B246" s="88" t="s">
        <x:v>2341</x:v>
      </x:c>
      <x:c r="C246" s="88" t="s">
        <x:v>554</x:v>
      </x:c>
      <x:c r="D246" s="88" t="s">
        <x:v>248</x:v>
      </x:c>
      <x:c r="E246" s="88" t="s">
        <x:v>2209</x:v>
      </x:c>
      <x:c r="F246" s="89">
        <x:v>46196.120060173613</x:v>
      </x:c>
      <x:c r="G246" s="89">
        <x:v>46209.310879537035</x:v>
      </x:c>
      <x:c r="H246" s="89">
        <x:v>46196.120060173613</x:v>
      </x:c>
      <x:c r="I246" s="88" t="s">
        <x:v>2331</x:v>
      </x:c>
      <x:c r="J246" s="88" t="s">
        <x:v>2342</x:v>
      </x:c>
      <x:c r="K246" s="88" t="s">
        <x:v>266</x:v>
      </x:c>
      <x:c r="L246" s="88"/>
      <x:c r="M246" s="88" t="s">
        <x:v>482</x:v>
      </x:c>
      <x:c r="N246" s="88"/>
      <x:c r="O246" s="88"/>
      <x:c r="P246" s="88" t="s">
        <x:v>680</x:v>
      </x:c>
      <x:c r="Q246" s="88" t="s">
        <x:v>256</x:v>
      </x:c>
      <x:c r="R246" s="88" t="s">
        <x:v>363</x:v>
      </x:c>
      <x:c r="S246" s="88"/>
      <x:c r="T246" s="88" t="s">
        <x:v>259</x:v>
      </x:c>
      <x:c r="U246" s="88" t="s">
        <x:v>554</x:v>
      </x:c>
      <x:c r="V246" s="89">
        <x:v>46196.120227326392</x:v>
      </x:c>
      <x:c r="W246" s="88" t="s">
        <x:v>680</x:v>
      </x:c>
      <x:c r="X246" s="88" t="s">
        <x:v>259</x:v>
      </x:c>
      <x:c r="Y246" s="88" t="s">
        <x:v>482</x:v>
      </x:c>
      <x:c r="Z246" s="89">
        <x:v>46197.331706412035</x:v>
      </x:c>
      <x:c r="AA246" s="88" t="s">
        <x:v>2343</x:v>
      </x:c>
      <x:c r="AB246" s="88"/>
      <x:c r="AC246" s="88" t="s">
        <x:v>2214</x:v>
      </x:c>
      <x:c r="AD246" s="89"/>
      <x:c r="AE246" s="88"/>
      <x:c r="AF246" s="88"/>
      <x:c r="AG246" s="88" t="s">
        <x:v>161</x:v>
      </x:c>
      <x:c r="AH246" s="89"/>
      <x:c r="AI246" s="88"/>
      <x:c r="AJ246" s="88" t="s">
        <x:v>2334</x:v>
      </x:c>
      <x:c r="AK246" s="88" t="s">
        <x:v>2344</x:v>
      </x:c>
      <x:c r="AL246" s="88" t="s">
        <x:v>185</x:v>
      </x:c>
      <x:c r="AM246" s="88"/>
      <x:c r="AN246" s="88" t="s">
        <x:v>369</x:v>
      </x:c>
      <x:c r="AO246" s="88">
        <x:v>0</x:v>
      </x:c>
    </x:row>
    <x:row r="247">
      <x:c r="A247" s="88" t="s">
        <x:v>2345</x:v>
      </x:c>
      <x:c r="B247" s="88" t="s">
        <x:v>2346</x:v>
      </x:c>
      <x:c r="C247" s="88" t="s">
        <x:v>554</x:v>
      </x:c>
      <x:c r="D247" s="88" t="s">
        <x:v>248</x:v>
      </x:c>
      <x:c r="E247" s="88" t="s">
        <x:v>329</x:v>
      </x:c>
      <x:c r="F247" s="89">
        <x:v>46196.123875625002</x:v>
      </x:c>
      <x:c r="G247" s="89">
        <x:v>46251.319821168981</x:v>
      </x:c>
      <x:c r="H247" s="89">
        <x:v>46196.123875625002</x:v>
      </x:c>
      <x:c r="I247" s="88" t="s">
        <x:v>2347</x:v>
      </x:c>
      <x:c r="J247" s="88" t="s">
        <x:v>2348</x:v>
      </x:c>
      <x:c r="K247" s="88" t="s">
        <x:v>266</x:v>
      </x:c>
      <x:c r="L247" s="88"/>
      <x:c r="M247" s="88" t="s">
        <x:v>482</x:v>
      </x:c>
      <x:c r="N247" s="88"/>
      <x:c r="O247" s="88"/>
      <x:c r="P247" s="88" t="s">
        <x:v>680</x:v>
      </x:c>
      <x:c r="Q247" s="88" t="s">
        <x:v>256</x:v>
      </x:c>
      <x:c r="R247" s="88" t="s">
        <x:v>363</x:v>
      </x:c>
      <x:c r="S247" s="88"/>
      <x:c r="T247" s="88" t="s">
        <x:v>259</x:v>
      </x:c>
      <x:c r="U247" s="88" t="s">
        <x:v>554</x:v>
      </x:c>
      <x:c r="V247" s="89">
        <x:v>46196.124117418978</x:v>
      </x:c>
      <x:c r="W247" s="88" t="s">
        <x:v>680</x:v>
      </x:c>
      <x:c r="X247" s="88" t="s">
        <x:v>259</x:v>
      </x:c>
      <x:c r="Y247" s="88" t="s">
        <x:v>482</x:v>
      </x:c>
      <x:c r="Z247" s="89">
        <x:v>46197.331437824076</x:v>
      </x:c>
      <x:c r="AA247" s="88" t="s">
        <x:v>2343</x:v>
      </x:c>
      <x:c r="AB247" s="88" t="s">
        <x:v>259</x:v>
      </x:c>
      <x:c r="AC247" s="88" t="s">
        <x:v>111</x:v>
      </x:c>
      <x:c r="AD247" s="89">
        <x:v>46251.319821180557</x:v>
      </x:c>
      <x:c r="AE247" s="88" t="s">
        <x:v>335</x:v>
      </x:c>
      <x:c r="AF247" s="88"/>
      <x:c r="AG247" s="88" t="s">
        <x:v>108</x:v>
      </x:c>
      <x:c r="AH247" s="89"/>
      <x:c r="AI247" s="88"/>
      <x:c r="AJ247" s="88" t="s">
        <x:v>2349</x:v>
      </x:c>
      <x:c r="AK247" s="88" t="s">
        <x:v>2350</x:v>
      </x:c>
      <x:c r="AL247" s="88" t="s">
        <x:v>185</x:v>
      </x:c>
      <x:c r="AM247" s="88" t="s">
        <x:v>2351</x:v>
      </x:c>
      <x:c r="AN247" s="88" t="s">
        <x:v>369</x:v>
      </x:c>
      <x:c r="AO247" s="88">
        <x:v>0</x:v>
      </x:c>
    </x:row>
    <x:row r="248">
      <x:c r="A248" s="88" t="s">
        <x:v>2352</x:v>
      </x:c>
      <x:c r="B248" s="88" t="s">
        <x:v>2353</x:v>
      </x:c>
      <x:c r="C248" s="88" t="s">
        <x:v>554</x:v>
      </x:c>
      <x:c r="D248" s="88" t="s">
        <x:v>248</x:v>
      </x:c>
      <x:c r="E248" s="88" t="s">
        <x:v>2209</x:v>
      </x:c>
      <x:c r="F248" s="89">
        <x:v>46196.124654421299</x:v>
      </x:c>
      <x:c r="G248" s="89">
        <x:v>46209.311697974539</x:v>
      </x:c>
      <x:c r="H248" s="89">
        <x:v>46196.124654421299</x:v>
      </x:c>
      <x:c r="I248" s="88" t="s">
        <x:v>2347</x:v>
      </x:c>
      <x:c r="J248" s="88" t="s">
        <x:v>2354</x:v>
      </x:c>
      <x:c r="K248" s="88" t="s">
        <x:v>266</x:v>
      </x:c>
      <x:c r="L248" s="88"/>
      <x:c r="M248" s="88" t="s">
        <x:v>482</x:v>
      </x:c>
      <x:c r="N248" s="88"/>
      <x:c r="O248" s="88"/>
      <x:c r="P248" s="88" t="s">
        <x:v>680</x:v>
      </x:c>
      <x:c r="Q248" s="88" t="s">
        <x:v>256</x:v>
      </x:c>
      <x:c r="R248" s="88" t="s">
        <x:v>363</x:v>
      </x:c>
      <x:c r="S248" s="88"/>
      <x:c r="T248" s="88" t="s">
        <x:v>259</x:v>
      </x:c>
      <x:c r="U248" s="88" t="s">
        <x:v>554</x:v>
      </x:c>
      <x:c r="V248" s="89">
        <x:v>46196.124792071758</x:v>
      </x:c>
      <x:c r="W248" s="88" t="s">
        <x:v>680</x:v>
      </x:c>
      <x:c r="X248" s="88" t="s">
        <x:v>259</x:v>
      </x:c>
      <x:c r="Y248" s="88" t="s">
        <x:v>482</x:v>
      </x:c>
      <x:c r="Z248" s="89">
        <x:v>46197.331057060183</x:v>
      </x:c>
      <x:c r="AA248" s="88" t="s">
        <x:v>2343</x:v>
      </x:c>
      <x:c r="AB248" s="88"/>
      <x:c r="AC248" s="88" t="s">
        <x:v>2214</x:v>
      </x:c>
      <x:c r="AD248" s="89"/>
      <x:c r="AE248" s="88"/>
      <x:c r="AF248" s="88"/>
      <x:c r="AG248" s="88" t="s">
        <x:v>161</x:v>
      </x:c>
      <x:c r="AH248" s="89"/>
      <x:c r="AI248" s="88"/>
      <x:c r="AJ248" s="88" t="s">
        <x:v>2349</x:v>
      </x:c>
      <x:c r="AK248" s="88" t="s">
        <x:v>2355</x:v>
      </x:c>
      <x:c r="AL248" s="88" t="s">
        <x:v>185</x:v>
      </x:c>
      <x:c r="AM248" s="88"/>
      <x:c r="AN248" s="88" t="s">
        <x:v>391</x:v>
      </x:c>
      <x:c r="AO248" s="88">
        <x:v>0</x:v>
      </x:c>
    </x:row>
    <x:row r="249">
      <x:c r="A249" s="88" t="s">
        <x:v>2356</x:v>
      </x:c>
      <x:c r="B249" s="88" t="s">
        <x:v>2357</x:v>
      </x:c>
      <x:c r="C249" s="88" t="s">
        <x:v>554</x:v>
      </x:c>
      <x:c r="D249" s="88" t="s">
        <x:v>248</x:v>
      </x:c>
      <x:c r="E249" s="88" t="s">
        <x:v>278</x:v>
      </x:c>
      <x:c r="F249" s="89">
        <x:v>46196.125475011577</x:v>
      </x:c>
      <x:c r="G249" s="89">
        <x:v>46196.125655949072</x:v>
      </x:c>
      <x:c r="H249" s="89">
        <x:v>46196.125475011577</x:v>
      </x:c>
      <x:c r="I249" s="88" t="s">
        <x:v>2347</x:v>
      </x:c>
      <x:c r="J249" s="88" t="s">
        <x:v>2354</x:v>
      </x:c>
      <x:c r="K249" s="88" t="s">
        <x:v>266</x:v>
      </x:c>
      <x:c r="L249" s="88"/>
      <x:c r="M249" s="88" t="s">
        <x:v>482</x:v>
      </x:c>
      <x:c r="N249" s="88"/>
      <x:c r="O249" s="88"/>
      <x:c r="P249" s="88" t="s">
        <x:v>680</x:v>
      </x:c>
      <x:c r="Q249" s="88" t="s">
        <x:v>256</x:v>
      </x:c>
      <x:c r="R249" s="88" t="s">
        <x:v>363</x:v>
      </x:c>
      <x:c r="S249" s="88"/>
      <x:c r="T249" s="88" t="s">
        <x:v>249</x:v>
      </x:c>
      <x:c r="U249" s="88" t="s">
        <x:v>554</x:v>
      </x:c>
      <x:c r="V249" s="89">
        <x:v>46196.125655960648</x:v>
      </x:c>
      <x:c r="W249" s="88"/>
      <x:c r="X249" s="88"/>
      <x:c r="Y249" s="88" t="s">
        <x:v>482</x:v>
      </x:c>
      <x:c r="Z249" s="89"/>
      <x:c r="AA249" s="88"/>
      <x:c r="AB249" s="88"/>
      <x:c r="AC249" s="88" t="s">
        <x:v>273</x:v>
      </x:c>
      <x:c r="AD249" s="89"/>
      <x:c r="AE249" s="88"/>
      <x:c r="AF249" s="88"/>
      <x:c r="AG249" s="88" t="s">
        <x:v>161</x:v>
      </x:c>
      <x:c r="AH249" s="89"/>
      <x:c r="AI249" s="88"/>
      <x:c r="AJ249" s="88" t="s">
        <x:v>2349</x:v>
      </x:c>
      <x:c r="AK249" s="88" t="s">
        <x:v>2355</x:v>
      </x:c>
      <x:c r="AL249" s="88"/>
      <x:c r="AM249" s="88"/>
      <x:c r="AN249" s="88" t="s">
        <x:v>391</x:v>
      </x:c>
      <x:c r="AO249" s="88">
        <x:v>0</x:v>
      </x:c>
    </x:row>
    <x:row r="250">
      <x:c r="A250" s="88" t="s">
        <x:v>2358</x:v>
      </x:c>
      <x:c r="B250" s="88" t="s">
        <x:v>2359</x:v>
      </x:c>
      <x:c r="C250" s="88" t="s">
        <x:v>554</x:v>
      </x:c>
      <x:c r="D250" s="88" t="s">
        <x:v>248</x:v>
      </x:c>
      <x:c r="E250" s="88" t="s">
        <x:v>2209</x:v>
      </x:c>
      <x:c r="F250" s="89">
        <x:v>46196.129831284721</x:v>
      </x:c>
      <x:c r="G250" s="89">
        <x:v>46237.316267048613</x:v>
      </x:c>
      <x:c r="H250" s="89">
        <x:v>46196.129831284721</x:v>
      </x:c>
      <x:c r="I250" s="88" t="s">
        <x:v>2331</x:v>
      </x:c>
      <x:c r="J250" s="88" t="s">
        <x:v>2332</x:v>
      </x:c>
      <x:c r="K250" s="88" t="s">
        <x:v>266</x:v>
      </x:c>
      <x:c r="L250" s="88"/>
      <x:c r="M250" s="88" t="s">
        <x:v>482</x:v>
      </x:c>
      <x:c r="N250" s="88"/>
      <x:c r="O250" s="88"/>
      <x:c r="P250" s="88" t="s">
        <x:v>2360</x:v>
      </x:c>
      <x:c r="Q250" s="88" t="s">
        <x:v>256</x:v>
      </x:c>
      <x:c r="R250" s="88" t="s">
        <x:v>363</x:v>
      </x:c>
      <x:c r="S250" s="88"/>
      <x:c r="T250" s="88" t="s">
        <x:v>259</x:v>
      </x:c>
      <x:c r="U250" s="88" t="s">
        <x:v>554</x:v>
      </x:c>
      <x:c r="V250" s="89">
        <x:v>46196.130953078704</x:v>
      </x:c>
      <x:c r="W250" s="88" t="s">
        <x:v>680</x:v>
      </x:c>
      <x:c r="X250" s="88" t="s">
        <x:v>259</x:v>
      </x:c>
      <x:c r="Y250" s="88" t="s">
        <x:v>482</x:v>
      </x:c>
      <x:c r="Z250" s="89">
        <x:v>46197.330761469908</x:v>
      </x:c>
      <x:c r="AA250" s="88" t="s">
        <x:v>2343</x:v>
      </x:c>
      <x:c r="AB250" s="88"/>
      <x:c r="AC250" s="88" t="s">
        <x:v>2214</x:v>
      </x:c>
      <x:c r="AD250" s="89"/>
      <x:c r="AE250" s="88"/>
      <x:c r="AF250" s="88"/>
      <x:c r="AG250" s="88" t="s">
        <x:v>161</x:v>
      </x:c>
      <x:c r="AH250" s="89"/>
      <x:c r="AI250" s="88"/>
      <x:c r="AJ250" s="88" t="s">
        <x:v>2334</x:v>
      </x:c>
      <x:c r="AK250" s="88" t="s">
        <x:v>2335</x:v>
      </x:c>
      <x:c r="AL250" s="88" t="s">
        <x:v>185</x:v>
      </x:c>
      <x:c r="AM250" s="88"/>
      <x:c r="AN250" s="88" t="s">
        <x:v>369</x:v>
      </x:c>
      <x:c r="AO250" s="88">
        <x:v>0</x:v>
      </x:c>
    </x:row>
    <x:row r="251">
      <x:c r="A251" s="88" t="s">
        <x:v>2361</x:v>
      </x:c>
      <x:c r="B251" s="88" t="s">
        <x:v>2362</x:v>
      </x:c>
      <x:c r="C251" s="88" t="s">
        <x:v>2363</x:v>
      </x:c>
      <x:c r="D251" s="88" t="s">
        <x:v>248</x:v>
      </x:c>
      <x:c r="E251" s="88" t="s">
        <x:v>278</x:v>
      </x:c>
      <x:c r="F251" s="89">
        <x:v>46198.254584317132</x:v>
      </x:c>
      <x:c r="G251" s="89">
        <x:v>46198.254902372682</x:v>
      </x:c>
      <x:c r="H251" s="89">
        <x:v>46198.254584317132</x:v>
      </x:c>
      <x:c r="I251" s="88" t="s">
        <x:v>2364</x:v>
      </x:c>
      <x:c r="J251" s="88" t="s">
        <x:v>2365</x:v>
      </x:c>
      <x:c r="K251" s="88" t="s">
        <x:v>266</x:v>
      </x:c>
      <x:c r="L251" s="88"/>
      <x:c r="M251" s="88" t="s">
        <x:v>2363</x:v>
      </x:c>
      <x:c r="N251" s="88" t="s">
        <x:v>2366</x:v>
      </x:c>
      <x:c r="O251" s="88" t="s">
        <x:v>2367</x:v>
      </x:c>
      <x:c r="P251" s="88" t="s">
        <x:v>2368</x:v>
      </x:c>
      <x:c r="Q251" s="88" t="s">
        <x:v>256</x:v>
      </x:c>
      <x:c r="R251" s="88" t="s">
        <x:v>283</x:v>
      </x:c>
      <x:c r="S251" s="88"/>
      <x:c r="T251" s="88" t="s">
        <x:v>249</x:v>
      </x:c>
      <x:c r="U251" s="88" t="s">
        <x:v>2363</x:v>
      </x:c>
      <x:c r="V251" s="89">
        <x:v>46198.254902384258</x:v>
      </x:c>
      <x:c r="W251" s="88"/>
      <x:c r="X251" s="88"/>
      <x:c r="Y251" s="88" t="s">
        <x:v>2363</x:v>
      </x:c>
      <x:c r="Z251" s="89"/>
      <x:c r="AA251" s="88"/>
      <x:c r="AB251" s="88"/>
      <x:c r="AC251" s="88" t="s">
        <x:v>273</x:v>
      </x:c>
      <x:c r="AD251" s="89"/>
      <x:c r="AE251" s="88"/>
      <x:c r="AF251" s="88"/>
      <x:c r="AG251" s="88" t="s">
        <x:v>161</x:v>
      </x:c>
      <x:c r="AH251" s="89"/>
      <x:c r="AI251" s="88"/>
      <x:c r="AJ251" s="88" t="s">
        <x:v>2369</x:v>
      </x:c>
      <x:c r="AK251" s="88" t="s">
        <x:v>2370</x:v>
      </x:c>
      <x:c r="AL251" s="88"/>
      <x:c r="AM251" s="88"/>
      <x:c r="AN251" s="88" t="s">
        <x:v>414</x:v>
      </x:c>
      <x:c r="AO251" s="88">
        <x:v>0</x:v>
      </x:c>
    </x:row>
    <x:row r="252">
      <x:c r="A252" s="88" t="s">
        <x:v>2371</x:v>
      </x:c>
      <x:c r="B252" s="88" t="s">
        <x:v>2372</x:v>
      </x:c>
      <x:c r="C252" s="88" t="s">
        <x:v>2261</x:v>
      </x:c>
      <x:c r="D252" s="88" t="s">
        <x:v>248</x:v>
      </x:c>
      <x:c r="E252" s="88" t="s">
        <x:v>329</x:v>
      </x:c>
      <x:c r="F252" s="89">
        <x:v>46199.353989178242</x:v>
      </x:c>
      <x:c r="G252" s="89">
        <x:v>46247.11604627315</x:v>
      </x:c>
      <x:c r="H252" s="89">
        <x:v>46199.353989178242</x:v>
      </x:c>
      <x:c r="I252" s="88" t="s">
        <x:v>2262</x:v>
      </x:c>
      <x:c r="J252" s="88" t="s">
        <x:v>2373</x:v>
      </x:c>
      <x:c r="K252" s="88" t="s">
        <x:v>266</x:v>
      </x:c>
      <x:c r="L252" s="88"/>
      <x:c r="M252" s="88" t="s">
        <x:v>2269</x:v>
      </x:c>
      <x:c r="N252" s="88"/>
      <x:c r="O252" s="88" t="s">
        <x:v>2270</x:v>
      </x:c>
      <x:c r="P252" s="88" t="s">
        <x:v>2374</x:v>
      </x:c>
      <x:c r="Q252" s="88" t="s">
        <x:v>323</x:v>
      </x:c>
      <x:c r="R252" s="88" t="s">
        <x:v>283</x:v>
      </x:c>
      <x:c r="S252" s="88"/>
      <x:c r="T252" s="88" t="s">
        <x:v>259</x:v>
      </x:c>
      <x:c r="U252" s="88" t="s">
        <x:v>2261</x:v>
      </x:c>
      <x:c r="V252" s="89">
        <x:v>46199.359077094909</x:v>
      </x:c>
      <x:c r="W252" s="88" t="s">
        <x:v>2375</x:v>
      </x:c>
      <x:c r="X252" s="88" t="s">
        <x:v>259</x:v>
      </x:c>
      <x:c r="Y252" s="88" t="s">
        <x:v>2273</x:v>
      </x:c>
      <x:c r="Z252" s="89">
        <x:v>46204.411775219909</x:v>
      </x:c>
      <x:c r="AA252" s="88" t="s">
        <x:v>2376</x:v>
      </x:c>
      <x:c r="AB252" s="88" t="s">
        <x:v>259</x:v>
      </x:c>
      <x:c r="AC252" s="88" t="s">
        <x:v>111</x:v>
      </x:c>
      <x:c r="AD252" s="89">
        <x:v>46247.116046284726</x:v>
      </x:c>
      <x:c r="AE252" s="88" t="s">
        <x:v>2333</x:v>
      </x:c>
      <x:c r="AF252" s="88"/>
      <x:c r="AG252" s="88" t="s">
        <x:v>113</x:v>
      </x:c>
      <x:c r="AH252" s="89"/>
      <x:c r="AI252" s="88"/>
      <x:c r="AJ252" s="88" t="s">
        <x:v>2265</x:v>
      </x:c>
      <x:c r="AK252" s="88">
        <x:v>1931</x:v>
      </x:c>
      <x:c r="AL252" s="88" t="s">
        <x:v>162</x:v>
      </x:c>
      <x:c r="AM252" s="88" t="s">
        <x:v>2377</x:v>
      </x:c>
      <x:c r="AN252" s="88" t="s">
        <x:v>369</x:v>
      </x:c>
      <x:c r="AO252" s="88">
        <x:v>0</x:v>
      </x:c>
    </x:row>
    <x:row r="253">
      <x:c r="A253" s="88" t="s">
        <x:v>2378</x:v>
      </x:c>
      <x:c r="B253" s="88" t="s">
        <x:v>2379</x:v>
      </x:c>
      <x:c r="C253" s="88" t="s">
        <x:v>2380</x:v>
      </x:c>
      <x:c r="D253" s="88" t="s">
        <x:v>248</x:v>
      </x:c>
      <x:c r="E253" s="88" t="s">
        <x:v>278</x:v>
      </x:c>
      <x:c r="F253" s="89">
        <x:v>46203.389144131943</x:v>
      </x:c>
      <x:c r="G253" s="89">
        <x:v>46203.390771412036</x:v>
      </x:c>
      <x:c r="H253" s="89">
        <x:v>46203.389144131943</x:v>
      </x:c>
      <x:c r="I253" s="88" t="s">
        <x:v>2381</x:v>
      </x:c>
      <x:c r="J253" s="88" t="s">
        <x:v>2381</x:v>
      </x:c>
      <x:c r="K253" s="88" t="s">
        <x:v>266</x:v>
      </x:c>
      <x:c r="L253" s="88"/>
      <x:c r="M253" s="88" t="s">
        <x:v>2382</x:v>
      </x:c>
      <x:c r="N253" s="88"/>
      <x:c r="O253" s="88"/>
      <x:c r="P253" s="88" t="s">
        <x:v>2383</x:v>
      </x:c>
      <x:c r="Q253" s="88" t="s">
        <x:v>323</x:v>
      </x:c>
      <x:c r="R253" s="88" t="s">
        <x:v>283</x:v>
      </x:c>
      <x:c r="S253" s="88"/>
      <x:c r="T253" s="88" t="s">
        <x:v>249</x:v>
      </x:c>
      <x:c r="U253" s="88" t="s">
        <x:v>2380</x:v>
      </x:c>
      <x:c r="V253" s="89">
        <x:v>46203.390771423612</x:v>
      </x:c>
      <x:c r="W253" s="88"/>
      <x:c r="X253" s="88"/>
      <x:c r="Y253" s="88" t="s">
        <x:v>2382</x:v>
      </x:c>
      <x:c r="Z253" s="89"/>
      <x:c r="AA253" s="88"/>
      <x:c r="AB253" s="88"/>
      <x:c r="AC253" s="88" t="s">
        <x:v>273</x:v>
      </x:c>
      <x:c r="AD253" s="89"/>
      <x:c r="AE253" s="88"/>
      <x:c r="AF253" s="88"/>
      <x:c r="AG253" s="88" t="s">
        <x:v>161</x:v>
      </x:c>
      <x:c r="AH253" s="89"/>
      <x:c r="AI253" s="88"/>
      <x:c r="AJ253" s="88" t="s">
        <x:v>2384</x:v>
      </x:c>
      <x:c r="AK253" s="88" t="s">
        <x:v>2385</x:v>
      </x:c>
      <x:c r="AL253" s="88"/>
      <x:c r="AM253" s="88"/>
      <x:c r="AN253" s="88" t="s">
        <x:v>391</x:v>
      </x:c>
      <x:c r="AO253" s="88">
        <x:v>0</x:v>
      </x:c>
    </x:row>
    <x:row r="254">
      <x:c r="A254" s="88" t="s">
        <x:v>2386</x:v>
      </x:c>
      <x:c r="B254" s="88" t="s">
        <x:v>2387</x:v>
      </x:c>
      <x:c r="C254" s="88" t="s">
        <x:v>2380</x:v>
      </x:c>
      <x:c r="D254" s="88" t="s">
        <x:v>248</x:v>
      </x:c>
      <x:c r="E254" s="88" t="s">
        <x:v>329</x:v>
      </x:c>
      <x:c r="F254" s="89">
        <x:v>46203.391762627318</x:v>
      </x:c>
      <x:c r="G254" s="89">
        <x:v>46230.081224374997</x:v>
      </x:c>
      <x:c r="H254" s="89">
        <x:v>46203.391762627318</x:v>
      </x:c>
      <x:c r="I254" s="88" t="s">
        <x:v>2381</x:v>
      </x:c>
      <x:c r="J254" s="88" t="s">
        <x:v>2388</x:v>
      </x:c>
      <x:c r="K254" s="88" t="s">
        <x:v>266</x:v>
      </x:c>
      <x:c r="L254" s="88"/>
      <x:c r="M254" s="88" t="s">
        <x:v>2382</x:v>
      </x:c>
      <x:c r="N254" s="88"/>
      <x:c r="O254" s="88"/>
      <x:c r="P254" s="88" t="s">
        <x:v>669</x:v>
      </x:c>
      <x:c r="Q254" s="88" t="s">
        <x:v>323</x:v>
      </x:c>
      <x:c r="R254" s="88" t="s">
        <x:v>283</x:v>
      </x:c>
      <x:c r="S254" s="88"/>
      <x:c r="T254" s="88" t="s">
        <x:v>259</x:v>
      </x:c>
      <x:c r="U254" s="88" t="s">
        <x:v>2380</x:v>
      </x:c>
      <x:c r="V254" s="89">
        <x:v>46203.39276829861</x:v>
      </x:c>
      <x:c r="W254" s="88" t="s">
        <x:v>2389</x:v>
      </x:c>
      <x:c r="X254" s="88" t="s">
        <x:v>259</x:v>
      </x:c>
      <x:c r="Y254" s="88" t="s">
        <x:v>2382</x:v>
      </x:c>
      <x:c r="Z254" s="89">
        <x:v>46225.077777060185</x:v>
      </x:c>
      <x:c r="AA254" s="88" t="s">
        <x:v>2390</x:v>
      </x:c>
      <x:c r="AB254" s="88" t="s">
        <x:v>259</x:v>
      </x:c>
      <x:c r="AC254" s="88" t="s">
        <x:v>111</x:v>
      </x:c>
      <x:c r="AD254" s="89">
        <x:v>46230.081224386573</x:v>
      </x:c>
      <x:c r="AE254" s="88" t="s">
        <x:v>2333</x:v>
      </x:c>
      <x:c r="AF254" s="88"/>
      <x:c r="AG254" s="88" t="s">
        <x:v>173</x:v>
      </x:c>
      <x:c r="AH254" s="89"/>
      <x:c r="AI254" s="88"/>
      <x:c r="AJ254" s="88" t="s">
        <x:v>2384</x:v>
      </x:c>
      <x:c r="AK254" s="88" t="s">
        <x:v>2391</x:v>
      </x:c>
      <x:c r="AL254" s="88" t="s">
        <x:v>162</x:v>
      </x:c>
      <x:c r="AM254" s="88" t="s">
        <x:v>2392</x:v>
      </x:c>
      <x:c r="AN254" s="88" t="s">
        <x:v>391</x:v>
      </x:c>
      <x:c r="AO254" s="88">
        <x:v>0</x:v>
      </x:c>
    </x:row>
    <x:row r="255">
      <x:c r="A255" s="88" t="s">
        <x:v>2393</x:v>
      </x:c>
      <x:c r="B255" s="88" t="s">
        <x:v>2394</x:v>
      </x:c>
      <x:c r="C255" s="88" t="s">
        <x:v>1384</x:v>
      </x:c>
      <x:c r="D255" s="88" t="s">
        <x:v>248</x:v>
      </x:c>
      <x:c r="E255" s="88" t="s">
        <x:v>278</x:v>
      </x:c>
      <x:c r="F255" s="89">
        <x:v>46204.137329537036</x:v>
      </x:c>
      <x:c r="G255" s="89">
        <x:v>46230.19834771991</x:v>
      </x:c>
      <x:c r="H255" s="89">
        <x:v>46204.137329537036</x:v>
      </x:c>
      <x:c r="I255" s="88" t="s">
        <x:v>1475</x:v>
      </x:c>
      <x:c r="J255" s="88" t="s">
        <x:v>2395</x:v>
      </x:c>
      <x:c r="K255" s="88" t="s">
        <x:v>266</x:v>
      </x:c>
      <x:c r="L255" s="88"/>
      <x:c r="M255" s="88" t="s">
        <x:v>1164</x:v>
      </x:c>
      <x:c r="N255" s="88"/>
      <x:c r="O255" s="88"/>
      <x:c r="P255" s="88" t="s">
        <x:v>2396</x:v>
      </x:c>
      <x:c r="Q255" s="88" t="s">
        <x:v>256</x:v>
      </x:c>
      <x:c r="R255" s="88" t="s">
        <x:v>363</x:v>
      </x:c>
      <x:c r="S255" s="88"/>
      <x:c r="T255" s="88" t="s">
        <x:v>249</x:v>
      </x:c>
      <x:c r="U255" s="88" t="s">
        <x:v>1384</x:v>
      </x:c>
      <x:c r="V255" s="89">
        <x:v>46230.19834771991</x:v>
      </x:c>
      <x:c r="W255" s="88"/>
      <x:c r="X255" s="88"/>
      <x:c r="Y255" s="88" t="s">
        <x:v>482</x:v>
      </x:c>
      <x:c r="Z255" s="89"/>
      <x:c r="AA255" s="88"/>
      <x:c r="AB255" s="88"/>
      <x:c r="AC255" s="88" t="s">
        <x:v>273</x:v>
      </x:c>
      <x:c r="AD255" s="89"/>
      <x:c r="AE255" s="88"/>
      <x:c r="AF255" s="88"/>
      <x:c r="AG255" s="88" t="s">
        <x:v>161</x:v>
      </x:c>
      <x:c r="AH255" s="89"/>
      <x:c r="AI255" s="88"/>
      <x:c r="AJ255" s="88" t="s">
        <x:v>1482</x:v>
      </x:c>
      <x:c r="AK255" s="88">
        <x:v>1247</x:v>
      </x:c>
      <x:c r="AL255" s="88"/>
      <x:c r="AM255" s="88"/>
      <x:c r="AN255" s="88" t="s">
        <x:v>369</x:v>
      </x:c>
      <x:c r="AO255" s="88">
        <x:v>0</x:v>
      </x:c>
    </x:row>
    <x:row r="256">
      <x:c r="A256" s="88" t="s">
        <x:v>2397</x:v>
      </x:c>
      <x:c r="B256" s="88" t="s">
        <x:v>2398</x:v>
      </x:c>
      <x:c r="C256" s="88" t="s">
        <x:v>1384</x:v>
      </x:c>
      <x:c r="D256" s="88" t="s">
        <x:v>248</x:v>
      </x:c>
      <x:c r="E256" s="88" t="s">
        <x:v>278</x:v>
      </x:c>
      <x:c r="F256" s="89">
        <x:v>46204.144087986111</x:v>
      </x:c>
      <x:c r="G256" s="89">
        <x:v>46204.14461372685</x:v>
      </x:c>
      <x:c r="H256" s="89">
        <x:v>46204.144087986111</x:v>
      </x:c>
      <x:c r="I256" s="88" t="s">
        <x:v>1475</x:v>
      </x:c>
      <x:c r="J256" s="88" t="s">
        <x:v>2399</x:v>
      </x:c>
      <x:c r="K256" s="88" t="s">
        <x:v>266</x:v>
      </x:c>
      <x:c r="L256" s="88"/>
      <x:c r="M256" s="88" t="s">
        <x:v>1164</x:v>
      </x:c>
      <x:c r="N256" s="88"/>
      <x:c r="O256" s="88"/>
      <x:c r="P256" s="88" t="s">
        <x:v>2396</x:v>
      </x:c>
      <x:c r="Q256" s="88" t="s">
        <x:v>256</x:v>
      </x:c>
      <x:c r="R256" s="88" t="s">
        <x:v>363</x:v>
      </x:c>
      <x:c r="S256" s="88"/>
      <x:c r="T256" s="88" t="s">
        <x:v>249</x:v>
      </x:c>
      <x:c r="U256" s="88" t="s">
        <x:v>1384</x:v>
      </x:c>
      <x:c r="V256" s="89">
        <x:v>46204.14461372685</x:v>
      </x:c>
      <x:c r="W256" s="88"/>
      <x:c r="X256" s="88"/>
      <x:c r="Y256" s="88" t="s">
        <x:v>482</x:v>
      </x:c>
      <x:c r="Z256" s="89"/>
      <x:c r="AA256" s="88"/>
      <x:c r="AB256" s="88"/>
      <x:c r="AC256" s="88" t="s">
        <x:v>273</x:v>
      </x:c>
      <x:c r="AD256" s="89"/>
      <x:c r="AE256" s="88"/>
      <x:c r="AF256" s="88"/>
      <x:c r="AG256" s="88" t="s">
        <x:v>161</x:v>
      </x:c>
      <x:c r="AH256" s="89"/>
      <x:c r="AI256" s="88"/>
      <x:c r="AJ256" s="88" t="s">
        <x:v>1482</x:v>
      </x:c>
      <x:c r="AK256" s="88">
        <x:v>1818</x:v>
      </x:c>
      <x:c r="AL256" s="88"/>
      <x:c r="AM256" s="88"/>
      <x:c r="AN256" s="88" t="s">
        <x:v>369</x:v>
      </x:c>
      <x:c r="AO256" s="88">
        <x:v>0</x:v>
      </x:c>
    </x:row>
    <x:row r="257">
      <x:c r="A257" s="88" t="s">
        <x:v>2400</x:v>
      </x:c>
      <x:c r="B257" s="88" t="s">
        <x:v>2401</x:v>
      </x:c>
      <x:c r="C257" s="88" t="s">
        <x:v>1384</x:v>
      </x:c>
      <x:c r="D257" s="88" t="s">
        <x:v>248</x:v>
      </x:c>
      <x:c r="E257" s="88" t="s">
        <x:v>249</x:v>
      </x:c>
      <x:c r="F257" s="89">
        <x:v>46204.14566396991</x:v>
      </x:c>
      <x:c r="G257" s="89">
        <x:v>46220.043584884261</x:v>
      </x:c>
      <x:c r="H257" s="89">
        <x:v>46204.14566396991</x:v>
      </x:c>
      <x:c r="I257" s="88" t="s">
        <x:v>1475</x:v>
      </x:c>
      <x:c r="J257" s="88" t="s">
        <x:v>1476</x:v>
      </x:c>
      <x:c r="K257" s="88" t="s">
        <x:v>266</x:v>
      </x:c>
      <x:c r="L257" s="88"/>
      <x:c r="M257" s="88" t="s">
        <x:v>1164</x:v>
      </x:c>
      <x:c r="N257" s="88"/>
      <x:c r="O257" s="88"/>
      <x:c r="P257" s="88" t="s">
        <x:v>2396</x:v>
      </x:c>
      <x:c r="Q257" s="88" t="s">
        <x:v>256</x:v>
      </x:c>
      <x:c r="R257" s="88" t="s">
        <x:v>363</x:v>
      </x:c>
      <x:c r="S257" s="88"/>
      <x:c r="T257" s="88" t="s">
        <x:v>249</x:v>
      </x:c>
      <x:c r="U257" s="88" t="s">
        <x:v>1384</x:v>
      </x:c>
      <x:c r="V257" s="89">
        <x:v>46220.042422222221</x:v>
      </x:c>
      <x:c r="W257" s="88"/>
      <x:c r="X257" s="88" t="s">
        <x:v>249</x:v>
      </x:c>
      <x:c r="Y257" s="88" t="s">
        <x:v>1384</x:v>
      </x:c>
      <x:c r="Z257" s="89">
        <x:v>46220.043584884261</x:v>
      </x:c>
      <x:c r="AA257" s="88"/>
      <x:c r="AB257" s="88"/>
      <x:c r="AC257" s="88" t="s">
        <x:v>273</x:v>
      </x:c>
      <x:c r="AD257" s="89"/>
      <x:c r="AE257" s="88"/>
      <x:c r="AF257" s="88"/>
      <x:c r="AG257" s="88" t="s">
        <x:v>161</x:v>
      </x:c>
      <x:c r="AH257" s="89"/>
      <x:c r="AI257" s="88"/>
      <x:c r="AJ257" s="88" t="s">
        <x:v>1482</x:v>
      </x:c>
      <x:c r="AK257" s="88">
        <x:v>4640</x:v>
      </x:c>
      <x:c r="AL257" s="88"/>
      <x:c r="AM257" s="88"/>
      <x:c r="AN257" s="88" t="s">
        <x:v>369</x:v>
      </x:c>
      <x:c r="AO257" s="88">
        <x:v>0</x:v>
      </x:c>
    </x:row>
    <x:row r="258">
      <x:c r="A258" s="88" t="s">
        <x:v>2402</x:v>
      </x:c>
      <x:c r="B258" s="88" t="s">
        <x:v>2403</x:v>
      </x:c>
      <x:c r="C258" s="88" t="s">
        <x:v>1384</x:v>
      </x:c>
      <x:c r="D258" s="88" t="s">
        <x:v>248</x:v>
      </x:c>
      <x:c r="E258" s="88" t="s">
        <x:v>278</x:v>
      </x:c>
      <x:c r="F258" s="89">
        <x:v>46204.145815405092</x:v>
      </x:c>
      <x:c r="G258" s="89">
        <x:v>46220.042647152775</x:v>
      </x:c>
      <x:c r="H258" s="89">
        <x:v>46204.145815405092</x:v>
      </x:c>
      <x:c r="I258" s="88" t="s">
        <x:v>1475</x:v>
      </x:c>
      <x:c r="J258" s="88" t="s">
        <x:v>2404</x:v>
      </x:c>
      <x:c r="K258" s="88" t="s">
        <x:v>266</x:v>
      </x:c>
      <x:c r="L258" s="88"/>
      <x:c r="M258" s="88" t="s">
        <x:v>1164</x:v>
      </x:c>
      <x:c r="N258" s="88"/>
      <x:c r="O258" s="88"/>
      <x:c r="P258" s="88" t="s">
        <x:v>2396</x:v>
      </x:c>
      <x:c r="Q258" s="88" t="s">
        <x:v>256</x:v>
      </x:c>
      <x:c r="R258" s="88" t="s">
        <x:v>363</x:v>
      </x:c>
      <x:c r="S258" s="88"/>
      <x:c r="T258" s="88" t="s">
        <x:v>249</x:v>
      </x:c>
      <x:c r="U258" s="88" t="s">
        <x:v>1384</x:v>
      </x:c>
      <x:c r="V258" s="89">
        <x:v>46220.042647152775</x:v>
      </x:c>
      <x:c r="W258" s="88"/>
      <x:c r="X258" s="88"/>
      <x:c r="Y258" s="88" t="s">
        <x:v>482</x:v>
      </x:c>
      <x:c r="Z258" s="89"/>
      <x:c r="AA258" s="88"/>
      <x:c r="AB258" s="88"/>
      <x:c r="AC258" s="88" t="s">
        <x:v>273</x:v>
      </x:c>
      <x:c r="AD258" s="89"/>
      <x:c r="AE258" s="88"/>
      <x:c r="AF258" s="88"/>
      <x:c r="AG258" s="88" t="s">
        <x:v>161</x:v>
      </x:c>
      <x:c r="AH258" s="89"/>
      <x:c r="AI258" s="88"/>
      <x:c r="AJ258" s="88" t="s">
        <x:v>1482</x:v>
      </x:c>
      <x:c r="AK258" s="88" t="s">
        <x:v>2405</x:v>
      </x:c>
      <x:c r="AL258" s="88"/>
      <x:c r="AM258" s="88"/>
      <x:c r="AN258" s="88" t="s">
        <x:v>369</x:v>
      </x:c>
      <x:c r="AO258" s="88">
        <x:v>0</x:v>
      </x:c>
    </x:row>
    <x:row r="259">
      <x:c r="A259" s="88" t="s">
        <x:v>2406</x:v>
      </x:c>
      <x:c r="B259" s="88" t="s">
        <x:v>2407</x:v>
      </x:c>
      <x:c r="C259" s="88" t="s">
        <x:v>1384</x:v>
      </x:c>
      <x:c r="D259" s="88" t="s">
        <x:v>248</x:v>
      </x:c>
      <x:c r="E259" s="88" t="s">
        <x:v>249</x:v>
      </x:c>
      <x:c r="F259" s="89">
        <x:v>46204.150373194447</x:v>
      </x:c>
      <x:c r="G259" s="89">
        <x:v>46220.045118888891</x:v>
      </x:c>
      <x:c r="H259" s="89">
        <x:v>46204.150373194447</x:v>
      </x:c>
      <x:c r="I259" s="88" t="s">
        <x:v>1475</x:v>
      </x:c>
      <x:c r="J259" s="88" t="s">
        <x:v>1476</x:v>
      </x:c>
      <x:c r="K259" s="88" t="s">
        <x:v>266</x:v>
      </x:c>
      <x:c r="L259" s="88"/>
      <x:c r="M259" s="88" t="s">
        <x:v>1164</x:v>
      </x:c>
      <x:c r="N259" s="88"/>
      <x:c r="O259" s="88"/>
      <x:c r="P259" s="88" t="s">
        <x:v>2396</x:v>
      </x:c>
      <x:c r="Q259" s="88" t="s">
        <x:v>256</x:v>
      </x:c>
      <x:c r="R259" s="88" t="s">
        <x:v>363</x:v>
      </x:c>
      <x:c r="S259" s="88"/>
      <x:c r="T259" s="88" t="s">
        <x:v>249</x:v>
      </x:c>
      <x:c r="U259" s="88" t="s">
        <x:v>1384</x:v>
      </x:c>
      <x:c r="V259" s="89">
        <x:v>46220.043997465276</x:v>
      </x:c>
      <x:c r="W259" s="88"/>
      <x:c r="X259" s="88" t="s">
        <x:v>249</x:v>
      </x:c>
      <x:c r="Y259" s="88" t="s">
        <x:v>1384</x:v>
      </x:c>
      <x:c r="Z259" s="89">
        <x:v>46220.044332893522</x:v>
      </x:c>
      <x:c r="AA259" s="88"/>
      <x:c r="AB259" s="88" t="s">
        <x:v>249</x:v>
      </x:c>
      <x:c r="AC259" s="88" t="s">
        <x:v>1384</x:v>
      </x:c>
      <x:c r="AD259" s="89">
        <x:v>46220.044739467594</x:v>
      </x:c>
      <x:c r="AE259" s="88"/>
      <x:c r="AF259" s="88" t="s">
        <x:v>249</x:v>
      </x:c>
      <x:c r="AG259" s="88" t="s">
        <x:v>1384</x:v>
      </x:c>
      <x:c r="AH259" s="89">
        <x:v>46220.04511890046</x:v>
      </x:c>
      <x:c r="AI259" s="88"/>
      <x:c r="AJ259" s="88" t="s">
        <x:v>1482</x:v>
      </x:c>
      <x:c r="AK259" s="88">
        <x:v>4640</x:v>
      </x:c>
      <x:c r="AL259" s="88"/>
      <x:c r="AM259" s="88"/>
      <x:c r="AN259" s="88" t="s">
        <x:v>369</x:v>
      </x:c>
      <x:c r="AO259" s="88">
        <x:v>0</x:v>
      </x:c>
    </x:row>
    <x:row r="260">
      <x:c r="A260" s="88" t="s">
        <x:v>2408</x:v>
      </x:c>
      <x:c r="B260" s="88" t="s">
        <x:v>2409</x:v>
      </x:c>
      <x:c r="C260" s="88" t="s">
        <x:v>1384</x:v>
      </x:c>
      <x:c r="D260" s="88" t="s">
        <x:v>248</x:v>
      </x:c>
      <x:c r="E260" s="88" t="s">
        <x:v>249</x:v>
      </x:c>
      <x:c r="F260" s="89">
        <x:v>46204.150386990739</x:v>
      </x:c>
      <x:c r="G260" s="89">
        <x:v>46220.043340960648</x:v>
      </x:c>
      <x:c r="H260" s="89">
        <x:v>46204.150386990739</x:v>
      </x:c>
      <x:c r="I260" s="88" t="s">
        <x:v>1475</x:v>
      </x:c>
      <x:c r="J260" s="88" t="s">
        <x:v>2404</x:v>
      </x:c>
      <x:c r="K260" s="88" t="s">
        <x:v>266</x:v>
      </x:c>
      <x:c r="L260" s="88"/>
      <x:c r="M260" s="88" t="s">
        <x:v>1164</x:v>
      </x:c>
      <x:c r="N260" s="88"/>
      <x:c r="O260" s="88"/>
      <x:c r="P260" s="88" t="s">
        <x:v>2396</x:v>
      </x:c>
      <x:c r="Q260" s="88" t="s">
        <x:v>256</x:v>
      </x:c>
      <x:c r="R260" s="88" t="s">
        <x:v>363</x:v>
      </x:c>
      <x:c r="S260" s="88"/>
      <x:c r="T260" s="88" t="s">
        <x:v>249</x:v>
      </x:c>
      <x:c r="U260" s="88" t="s">
        <x:v>1384</x:v>
      </x:c>
      <x:c r="V260" s="89">
        <x:v>46220.042039837965</x:v>
      </x:c>
      <x:c r="W260" s="88"/>
      <x:c r="X260" s="88" t="s">
        <x:v>249</x:v>
      </x:c>
      <x:c r="Y260" s="88" t="s">
        <x:v>1384</x:v>
      </x:c>
      <x:c r="Z260" s="89">
        <x:v>46220.043340960648</x:v>
      </x:c>
      <x:c r="AA260" s="88"/>
      <x:c r="AB260" s="88"/>
      <x:c r="AC260" s="88" t="s">
        <x:v>273</x:v>
      </x:c>
      <x:c r="AD260" s="89"/>
      <x:c r="AE260" s="88"/>
      <x:c r="AF260" s="88"/>
      <x:c r="AG260" s="88" t="s">
        <x:v>161</x:v>
      </x:c>
      <x:c r="AH260" s="89"/>
      <x:c r="AI260" s="88"/>
      <x:c r="AJ260" s="88" t="s">
        <x:v>1482</x:v>
      </x:c>
      <x:c r="AK260" s="88" t="s">
        <x:v>2405</x:v>
      </x:c>
      <x:c r="AL260" s="88"/>
      <x:c r="AM260" s="88"/>
      <x:c r="AN260" s="88" t="s">
        <x:v>369</x:v>
      </x:c>
      <x:c r="AO260" s="88">
        <x:v>0</x:v>
      </x:c>
    </x:row>
    <x:row r="261">
      <x:c r="A261" s="88" t="s">
        <x:v>2410</x:v>
      </x:c>
      <x:c r="B261" s="88" t="s">
        <x:v>2411</x:v>
      </x:c>
      <x:c r="C261" s="88" t="s">
        <x:v>1384</x:v>
      </x:c>
      <x:c r="D261" s="88" t="s">
        <x:v>248</x:v>
      </x:c>
      <x:c r="E261" s="88" t="s">
        <x:v>329</x:v>
      </x:c>
      <x:c r="F261" s="89">
        <x:v>46204.162730694443</x:v>
      </x:c>
      <x:c r="G261" s="89">
        <x:v>46222.871260231484</x:v>
      </x:c>
      <x:c r="H261" s="89">
        <x:v>46204.162730694443</x:v>
      </x:c>
      <x:c r="I261" s="88" t="s">
        <x:v>1475</x:v>
      </x:c>
      <x:c r="J261" s="88" t="s">
        <x:v>2404</x:v>
      </x:c>
      <x:c r="K261" s="88" t="s">
        <x:v>266</x:v>
      </x:c>
      <x:c r="L261" s="88"/>
      <x:c r="M261" s="88" t="s">
        <x:v>1164</x:v>
      </x:c>
      <x:c r="N261" s="88"/>
      <x:c r="O261" s="88"/>
      <x:c r="P261" s="88" t="s">
        <x:v>2396</x:v>
      </x:c>
      <x:c r="Q261" s="88" t="s">
        <x:v>256</x:v>
      </x:c>
      <x:c r="R261" s="88" t="s">
        <x:v>363</x:v>
      </x:c>
      <x:c r="S261" s="88"/>
      <x:c r="T261" s="88" t="s">
        <x:v>259</x:v>
      </x:c>
      <x:c r="U261" s="88" t="s">
        <x:v>1384</x:v>
      </x:c>
      <x:c r="V261" s="89">
        <x:v>46204.164540254627</x:v>
      </x:c>
      <x:c r="W261" s="88" t="s">
        <x:v>2396</x:v>
      </x:c>
      <x:c r="X261" s="88" t="s">
        <x:v>259</x:v>
      </x:c>
      <x:c r="Y261" s="88" t="s">
        <x:v>482</x:v>
      </x:c>
      <x:c r="Z261" s="89">
        <x:v>46204.183806006942</x:v>
      </x:c>
      <x:c r="AA261" s="88" t="s">
        <x:v>2396</x:v>
      </x:c>
      <x:c r="AB261" s="88" t="s">
        <x:v>259</x:v>
      </x:c>
      <x:c r="AC261" s="88" t="s">
        <x:v>111</x:v>
      </x:c>
      <x:c r="AD261" s="89">
        <x:v>46222.871260254629</x:v>
      </x:c>
      <x:c r="AE261" s="88" t="s">
        <x:v>2333</x:v>
      </x:c>
      <x:c r="AF261" s="88"/>
      <x:c r="AG261" s="88" t="s">
        <x:v>129</x:v>
      </x:c>
      <x:c r="AH261" s="89"/>
      <x:c r="AI261" s="88"/>
      <x:c r="AJ261" s="88" t="s">
        <x:v>1482</x:v>
      </x:c>
      <x:c r="AK261" s="88" t="s">
        <x:v>2405</x:v>
      </x:c>
      <x:c r="AL261" s="88" t="s">
        <x:v>193</x:v>
      </x:c>
      <x:c r="AM261" s="88" t="s">
        <x:v>2412</x:v>
      </x:c>
      <x:c r="AN261" s="88" t="s">
        <x:v>369</x:v>
      </x:c>
      <x:c r="AO261" s="88">
        <x:v>0</x:v>
      </x:c>
    </x:row>
    <x:row r="262">
      <x:c r="A262" s="88" t="s">
        <x:v>2413</x:v>
      </x:c>
      <x:c r="B262" s="88" t="s">
        <x:v>2414</x:v>
      </x:c>
      <x:c r="C262" s="88" t="s">
        <x:v>1384</x:v>
      </x:c>
      <x:c r="D262" s="88" t="s">
        <x:v>248</x:v>
      </x:c>
      <x:c r="E262" s="88" t="s">
        <x:v>342</x:v>
      </x:c>
      <x:c r="F262" s="89">
        <x:v>46204.170526307869</x:v>
      </x:c>
      <x:c r="G262" s="89">
        <x:v>46232.179431574077</x:v>
      </x:c>
      <x:c r="H262" s="89">
        <x:v>46204.170526307869</x:v>
      </x:c>
      <x:c r="I262" s="88" t="s">
        <x:v>2415</x:v>
      </x:c>
      <x:c r="J262" s="88" t="s">
        <x:v>2416</x:v>
      </x:c>
      <x:c r="K262" s="88" t="s">
        <x:v>266</x:v>
      </x:c>
      <x:c r="L262" s="88"/>
      <x:c r="M262" s="88" t="s">
        <x:v>1164</x:v>
      </x:c>
      <x:c r="N262" s="88"/>
      <x:c r="O262" s="88"/>
      <x:c r="P262" s="88" t="s">
        <x:v>2417</x:v>
      </x:c>
      <x:c r="Q262" s="88" t="s">
        <x:v>256</x:v>
      </x:c>
      <x:c r="R262" s="88" t="s">
        <x:v>363</x:v>
      </x:c>
      <x:c r="S262" s="88"/>
      <x:c r="T262" s="88" t="s">
        <x:v>259</x:v>
      </x:c>
      <x:c r="U262" s="88" t="s">
        <x:v>1384</x:v>
      </x:c>
      <x:c r="V262" s="89">
        <x:v>46204.170728773148</x:v>
      </x:c>
      <x:c r="W262" s="88" t="s">
        <x:v>2417</x:v>
      </x:c>
      <x:c r="X262" s="88" t="s">
        <x:v>259</x:v>
      </x:c>
      <x:c r="Y262" s="88" t="s">
        <x:v>482</x:v>
      </x:c>
      <x:c r="Z262" s="89">
        <x:v>46204.184088576389</x:v>
      </x:c>
      <x:c r="AA262" s="88" t="s">
        <x:v>2417</x:v>
      </x:c>
      <x:c r="AB262" s="88" t="s">
        <x:v>259</x:v>
      </x:c>
      <x:c r="AC262" s="88" t="s">
        <x:v>111</x:v>
      </x:c>
      <x:c r="AD262" s="89">
        <x:v>46220.25117841435</x:v>
      </x:c>
      <x:c r="AE262" s="88" t="s">
        <x:v>2418</x:v>
      </x:c>
      <x:c r="AF262" s="88" t="s">
        <x:v>259</x:v>
      </x:c>
      <x:c r="AG262" s="88" t="s">
        <x:v>129</x:v>
      </x:c>
      <x:c r="AH262" s="89">
        <x:v>46232.179431574077</x:v>
      </x:c>
      <x:c r="AI262" s="88" t="s">
        <x:v>2419</x:v>
      </x:c>
      <x:c r="AJ262" s="88" t="s">
        <x:v>2420</x:v>
      </x:c>
      <x:c r="AK262" s="88" t="s">
        <x:v>2421</x:v>
      </x:c>
      <x:c r="AL262" s="88" t="s">
        <x:v>185</x:v>
      </x:c>
      <x:c r="AM262" s="88" t="s">
        <x:v>2422</x:v>
      </x:c>
      <x:c r="AN262" s="88" t="s">
        <x:v>369</x:v>
      </x:c>
      <x:c r="AO262" s="88">
        <x:v>0</x:v>
      </x:c>
    </x:row>
    <x:row r="263">
      <x:c r="A263" s="88" t="s">
        <x:v>2423</x:v>
      </x:c>
      <x:c r="B263" s="88" t="s">
        <x:v>2424</x:v>
      </x:c>
      <x:c r="C263" s="88" t="s">
        <x:v>1384</x:v>
      </x:c>
      <x:c r="D263" s="88" t="s">
        <x:v>248</x:v>
      </x:c>
      <x:c r="E263" s="88" t="s">
        <x:v>329</x:v>
      </x:c>
      <x:c r="F263" s="89">
        <x:v>46204.171763726852</x:v>
      </x:c>
      <x:c r="G263" s="89">
        <x:v>46231.203152268521</x:v>
      </x:c>
      <x:c r="H263" s="89">
        <x:v>46204.171763726852</x:v>
      </x:c>
      <x:c r="I263" s="88" t="s">
        <x:v>2415</x:v>
      </x:c>
      <x:c r="J263" s="88" t="s">
        <x:v>2425</x:v>
      </x:c>
      <x:c r="K263" s="88" t="s">
        <x:v>266</x:v>
      </x:c>
      <x:c r="L263" s="88"/>
      <x:c r="M263" s="88" t="s">
        <x:v>1164</x:v>
      </x:c>
      <x:c r="N263" s="88"/>
      <x:c r="O263" s="88"/>
      <x:c r="P263" s="88" t="s">
        <x:v>2417</x:v>
      </x:c>
      <x:c r="Q263" s="88" t="s">
        <x:v>256</x:v>
      </x:c>
      <x:c r="R263" s="88" t="s">
        <x:v>363</x:v>
      </x:c>
      <x:c r="S263" s="88"/>
      <x:c r="T263" s="88" t="s">
        <x:v>259</x:v>
      </x:c>
      <x:c r="U263" s="88" t="s">
        <x:v>1384</x:v>
      </x:c>
      <x:c r="V263" s="89">
        <x:v>46204.172948645835</x:v>
      </x:c>
      <x:c r="W263" s="88" t="s">
        <x:v>2417</x:v>
      </x:c>
      <x:c r="X263" s="88" t="s">
        <x:v>259</x:v>
      </x:c>
      <x:c r="Y263" s="88" t="s">
        <x:v>482</x:v>
      </x:c>
      <x:c r="Z263" s="89">
        <x:v>46204.183410138889</x:v>
      </x:c>
      <x:c r="AA263" s="88" t="s">
        <x:v>2417</x:v>
      </x:c>
      <x:c r="AB263" s="88" t="s">
        <x:v>259</x:v>
      </x:c>
      <x:c r="AC263" s="88" t="s">
        <x:v>111</x:v>
      </x:c>
      <x:c r="AD263" s="89">
        <x:v>46231.203152268521</x:v>
      </x:c>
      <x:c r="AE263" s="88" t="s">
        <x:v>2333</x:v>
      </x:c>
      <x:c r="AF263" s="88"/>
      <x:c r="AG263" s="88" t="s">
        <x:v>131</x:v>
      </x:c>
      <x:c r="AH263" s="89"/>
      <x:c r="AI263" s="88"/>
      <x:c r="AJ263" s="88" t="s">
        <x:v>2420</x:v>
      </x:c>
      <x:c r="AK263" s="88" t="s">
        <x:v>2426</x:v>
      </x:c>
      <x:c r="AL263" s="88" t="s">
        <x:v>193</x:v>
      </x:c>
      <x:c r="AM263" s="88" t="s">
        <x:v>2427</x:v>
      </x:c>
      <x:c r="AN263" s="88" t="s">
        <x:v>369</x:v>
      </x:c>
      <x:c r="AO263" s="88">
        <x:v>0</x:v>
      </x:c>
    </x:row>
    <x:row r="264">
      <x:c r="A264" s="88" t="s">
        <x:v>2428</x:v>
      </x:c>
      <x:c r="B264" s="88" t="s">
        <x:v>2429</x:v>
      </x:c>
      <x:c r="C264" s="88" t="s">
        <x:v>1384</x:v>
      </x:c>
      <x:c r="D264" s="88" t="s">
        <x:v>248</x:v>
      </x:c>
      <x:c r="E264" s="88" t="s">
        <x:v>329</x:v>
      </x:c>
      <x:c r="F264" s="89">
        <x:v>46204.173632141203</x:v>
      </x:c>
      <x:c r="G264" s="89">
        <x:v>46239.623320162034</x:v>
      </x:c>
      <x:c r="H264" s="89">
        <x:v>46204.173632141203</x:v>
      </x:c>
      <x:c r="I264" s="88" t="s">
        <x:v>2415</x:v>
      </x:c>
      <x:c r="J264" s="88" t="s">
        <x:v>2430</x:v>
      </x:c>
      <x:c r="K264" s="88" t="s">
        <x:v>266</x:v>
      </x:c>
      <x:c r="L264" s="88"/>
      <x:c r="M264" s="88" t="s">
        <x:v>1164</x:v>
      </x:c>
      <x:c r="N264" s="88"/>
      <x:c r="O264" s="88"/>
      <x:c r="P264" s="88" t="s">
        <x:v>2417</x:v>
      </x:c>
      <x:c r="Q264" s="88" t="s">
        <x:v>256</x:v>
      </x:c>
      <x:c r="R264" s="88" t="s">
        <x:v>363</x:v>
      </x:c>
      <x:c r="S264" s="88"/>
      <x:c r="T264" s="88" t="s">
        <x:v>259</x:v>
      </x:c>
      <x:c r="U264" s="88" t="s">
        <x:v>1384</x:v>
      </x:c>
      <x:c r="V264" s="89">
        <x:v>46204.174811805555</x:v>
      </x:c>
      <x:c r="W264" s="88" t="s">
        <x:v>2417</x:v>
      </x:c>
      <x:c r="X264" s="88" t="s">
        <x:v>259</x:v>
      </x:c>
      <x:c r="Y264" s="88" t="s">
        <x:v>482</x:v>
      </x:c>
      <x:c r="Z264" s="89">
        <x:v>46204.182987881948</x:v>
      </x:c>
      <x:c r="AA264" s="88" t="s">
        <x:v>2417</x:v>
      </x:c>
      <x:c r="AB264" s="88" t="s">
        <x:v>259</x:v>
      </x:c>
      <x:c r="AC264" s="88" t="s">
        <x:v>111</x:v>
      </x:c>
      <x:c r="AD264" s="89">
        <x:v>46239.623320162034</x:v>
      </x:c>
      <x:c r="AE264" s="88" t="s">
        <x:v>259</x:v>
      </x:c>
      <x:c r="AF264" s="88"/>
      <x:c r="AG264" s="88" t="s">
        <x:v>129</x:v>
      </x:c>
      <x:c r="AH264" s="89"/>
      <x:c r="AI264" s="88"/>
      <x:c r="AJ264" s="88" t="s">
        <x:v>2420</x:v>
      </x:c>
      <x:c r="AK264" s="88" t="s">
        <x:v>2426</x:v>
      </x:c>
      <x:c r="AL264" s="88" t="s">
        <x:v>185</x:v>
      </x:c>
      <x:c r="AM264" s="88" t="s">
        <x:v>2431</x:v>
      </x:c>
      <x:c r="AN264" s="88" t="s">
        <x:v>369</x:v>
      </x:c>
      <x:c r="AO264" s="88">
        <x:v>0</x:v>
      </x:c>
    </x:row>
    <x:row r="265">
      <x:c r="A265" s="88" t="s">
        <x:v>2432</x:v>
      </x:c>
      <x:c r="B265" s="88" t="s">
        <x:v>2433</x:v>
      </x:c>
      <x:c r="C265" s="88" t="s">
        <x:v>1384</x:v>
      </x:c>
      <x:c r="D265" s="88" t="s">
        <x:v>248</x:v>
      </x:c>
      <x:c r="E265" s="88" t="s">
        <x:v>342</x:v>
      </x:c>
      <x:c r="F265" s="89">
        <x:v>46204.176712986111</x:v>
      </x:c>
      <x:c r="G265" s="89">
        <x:v>46232.179792662035</x:v>
      </x:c>
      <x:c r="H265" s="89">
        <x:v>46204.176712986111</x:v>
      </x:c>
      <x:c r="I265" s="88" t="s">
        <x:v>2434</x:v>
      </x:c>
      <x:c r="J265" s="88" t="s">
        <x:v>2435</x:v>
      </x:c>
      <x:c r="K265" s="88" t="s">
        <x:v>266</x:v>
      </x:c>
      <x:c r="L265" s="88"/>
      <x:c r="M265" s="88" t="s">
        <x:v>1164</x:v>
      </x:c>
      <x:c r="N265" s="88"/>
      <x:c r="O265" s="88"/>
      <x:c r="P265" s="88" t="s">
        <x:v>2417</x:v>
      </x:c>
      <x:c r="Q265" s="88" t="s">
        <x:v>256</x:v>
      </x:c>
      <x:c r="R265" s="88" t="s">
        <x:v>363</x:v>
      </x:c>
      <x:c r="S265" s="88"/>
      <x:c r="T265" s="88" t="s">
        <x:v>259</x:v>
      </x:c>
      <x:c r="U265" s="88" t="s">
        <x:v>1384</x:v>
      </x:c>
      <x:c r="V265" s="89">
        <x:v>46204.178489583333</x:v>
      </x:c>
      <x:c r="W265" s="88" t="s">
        <x:v>2436</x:v>
      </x:c>
      <x:c r="X265" s="88" t="s">
        <x:v>259</x:v>
      </x:c>
      <x:c r="Y265" s="88" t="s">
        <x:v>482</x:v>
      </x:c>
      <x:c r="Z265" s="89">
        <x:v>46204.182730266206</x:v>
      </x:c>
      <x:c r="AA265" s="88" t="s">
        <x:v>2396</x:v>
      </x:c>
      <x:c r="AB265" s="88" t="s">
        <x:v>259</x:v>
      </x:c>
      <x:c r="AC265" s="88" t="s">
        <x:v>111</x:v>
      </x:c>
      <x:c r="AD265" s="89">
        <x:v>46222.873294166668</x:v>
      </x:c>
      <x:c r="AE265" s="88" t="s">
        <x:v>2333</x:v>
      </x:c>
      <x:c r="AF265" s="88" t="s">
        <x:v>259</x:v>
      </x:c>
      <x:c r="AG265" s="88" t="s">
        <x:v>129</x:v>
      </x:c>
      <x:c r="AH265" s="89">
        <x:v>46232.179792662035</x:v>
      </x:c>
      <x:c r="AI265" s="88" t="s">
        <x:v>2419</x:v>
      </x:c>
      <x:c r="AJ265" s="88" t="s">
        <x:v>2437</x:v>
      </x:c>
      <x:c r="AK265" s="88">
        <x:v>3861</x:v>
      </x:c>
      <x:c r="AL265" s="88" t="s">
        <x:v>185</x:v>
      </x:c>
      <x:c r="AM265" s="88" t="s">
        <x:v>2438</x:v>
      </x:c>
      <x:c r="AN265" s="88" t="s">
        <x:v>369</x:v>
      </x:c>
      <x:c r="AO265" s="88">
        <x:v>0</x:v>
      </x:c>
    </x:row>
    <x:row r="266">
      <x:c r="A266" s="88" t="s">
        <x:v>2439</x:v>
      </x:c>
      <x:c r="B266" s="88" t="s">
        <x:v>2440</x:v>
      </x:c>
      <x:c r="C266" s="88" t="s">
        <x:v>479</x:v>
      </x:c>
      <x:c r="D266" s="88" t="s">
        <x:v>248</x:v>
      </x:c>
      <x:c r="E266" s="88" t="s">
        <x:v>329</x:v>
      </x:c>
      <x:c r="F266" s="89">
        <x:v>46204.212451481479</x:v>
      </x:c>
      <x:c r="G266" s="89">
        <x:v>46222.873836076389</x:v>
      </x:c>
      <x:c r="H266" s="89">
        <x:v>46204.212451481479</x:v>
      </x:c>
      <x:c r="I266" s="88" t="s">
        <x:v>2441</x:v>
      </x:c>
      <x:c r="J266" s="88" t="s">
        <x:v>2442</x:v>
      </x:c>
      <x:c r="K266" s="88" t="s">
        <x:v>266</x:v>
      </x:c>
      <x:c r="L266" s="88"/>
      <x:c r="M266" s="88" t="s">
        <x:v>1164</x:v>
      </x:c>
      <x:c r="N266" s="88" t="s">
        <x:v>498</x:v>
      </x:c>
      <x:c r="O266" s="88" t="s">
        <x:v>498</x:v>
      </x:c>
      <x:c r="P266" s="88" t="s">
        <x:v>2443</x:v>
      </x:c>
      <x:c r="Q266" s="88" t="s">
        <x:v>256</x:v>
      </x:c>
      <x:c r="R266" s="88" t="s">
        <x:v>363</x:v>
      </x:c>
      <x:c r="S266" s="88"/>
      <x:c r="T266" s="88" t="s">
        <x:v>259</x:v>
      </x:c>
      <x:c r="U266" s="88" t="s">
        <x:v>479</x:v>
      </x:c>
      <x:c r="V266" s="89">
        <x:v>46204.213216458331</x:v>
      </x:c>
      <x:c r="W266" s="88" t="s">
        <x:v>2443</x:v>
      </x:c>
      <x:c r="X266" s="88" t="s">
        <x:v>259</x:v>
      </x:c>
      <x:c r="Y266" s="88" t="s">
        <x:v>482</x:v>
      </x:c>
      <x:c r="Z266" s="89">
        <x:v>46205.209283715281</x:v>
      </x:c>
      <x:c r="AA266" s="88" t="s">
        <x:v>2443</x:v>
      </x:c>
      <x:c r="AB266" s="88" t="s">
        <x:v>259</x:v>
      </x:c>
      <x:c r="AC266" s="88" t="s">
        <x:v>111</x:v>
      </x:c>
      <x:c r="AD266" s="89">
        <x:v>46222.873836099534</x:v>
      </x:c>
      <x:c r="AE266" s="88" t="s">
        <x:v>2418</x:v>
      </x:c>
      <x:c r="AF266" s="88"/>
      <x:c r="AG266" s="88" t="s">
        <x:v>127</x:v>
      </x:c>
      <x:c r="AH266" s="89"/>
      <x:c r="AI266" s="88"/>
      <x:c r="AJ266" s="88" t="s">
        <x:v>2444</x:v>
      </x:c>
      <x:c r="AK266" s="88" t="s">
        <x:v>2445</x:v>
      </x:c>
      <x:c r="AL266" s="88" t="s">
        <x:v>185</x:v>
      </x:c>
      <x:c r="AM266" s="88" t="s">
        <x:v>2446</x:v>
      </x:c>
      <x:c r="AN266" s="88" t="s">
        <x:v>369</x:v>
      </x:c>
      <x:c r="AO266" s="88">
        <x:v>0</x:v>
      </x:c>
    </x:row>
    <x:row r="267">
      <x:c r="A267" s="88" t="s">
        <x:v>2447</x:v>
      </x:c>
      <x:c r="B267" s="88" t="s">
        <x:v>2448</x:v>
      </x:c>
      <x:c r="C267" s="88" t="s">
        <x:v>981</x:v>
      </x:c>
      <x:c r="D267" s="88" t="s">
        <x:v>248</x:v>
      </x:c>
      <x:c r="E267" s="88" t="s">
        <x:v>372</x:v>
      </x:c>
      <x:c r="F267" s="89">
        <x:v>46205.094609768516</x:v>
      </x:c>
      <x:c r="G267" s="89">
        <x:v>46205.104366747684</x:v>
      </x:c>
      <x:c r="H267" s="89">
        <x:v>46205.094609768516</x:v>
      </x:c>
      <x:c r="I267" s="88" t="s">
        <x:v>2311</x:v>
      </x:c>
      <x:c r="J267" s="88" t="s">
        <x:v>2312</x:v>
      </x:c>
      <x:c r="K267" s="88" t="s">
        <x:v>266</x:v>
      </x:c>
      <x:c r="L267" s="88"/>
      <x:c r="M267" s="88" t="s">
        <x:v>984</x:v>
      </x:c>
      <x:c r="N267" s="88"/>
      <x:c r="O267" s="88" t="s">
        <x:v>2449</x:v>
      </x:c>
      <x:c r="P267" s="88" t="s">
        <x:v>2450</x:v>
      </x:c>
      <x:c r="Q267" s="88" t="s">
        <x:v>323</x:v>
      </x:c>
      <x:c r="R267" s="88" t="s">
        <x:v>513</x:v>
      </x:c>
      <x:c r="S267" s="88"/>
      <x:c r="T267" s="88" t="s">
        <x:v>259</x:v>
      </x:c>
      <x:c r="U267" s="88" t="s">
        <x:v>981</x:v>
      </x:c>
      <x:c r="V267" s="89">
        <x:v>46205.10436675926</x:v>
      </x:c>
      <x:c r="W267" s="88" t="s">
        <x:v>2451</x:v>
      </x:c>
      <x:c r="X267" s="88"/>
      <x:c r="Y267" s="88" t="s">
        <x:v>984</x:v>
      </x:c>
      <x:c r="Z267" s="89"/>
      <x:c r="AA267" s="88"/>
      <x:c r="AB267" s="88"/>
      <x:c r="AC267" s="88" t="s">
        <x:v>273</x:v>
      </x:c>
      <x:c r="AD267" s="89"/>
      <x:c r="AE267" s="88"/>
      <x:c r="AF267" s="88"/>
      <x:c r="AG267" s="88" t="s">
        <x:v>161</x:v>
      </x:c>
      <x:c r="AH267" s="89"/>
      <x:c r="AI267" s="88"/>
      <x:c r="AJ267" s="88" t="s">
        <x:v>2315</x:v>
      </x:c>
      <x:c r="AK267" s="88">
        <x:v>2341</x:v>
      </x:c>
      <x:c r="AL267" s="88"/>
      <x:c r="AM267" s="88"/>
      <x:c r="AN267" s="88" t="s">
        <x:v>414</x:v>
      </x:c>
      <x:c r="AO267" s="88">
        <x:v>30</x:v>
      </x:c>
    </x:row>
    <x:row r="268">
      <x:c r="A268" s="88" t="s">
        <x:v>2452</x:v>
      </x:c>
      <x:c r="B268" s="88" t="s">
        <x:v>2453</x:v>
      </x:c>
      <x:c r="C268" s="88" t="s">
        <x:v>1129</x:v>
      </x:c>
      <x:c r="D268" s="88" t="s">
        <x:v>248</x:v>
      </x:c>
      <x:c r="E268" s="88" t="s">
        <x:v>342</x:v>
      </x:c>
      <x:c r="F268" s="89">
        <x:v>46206.292347893519</x:v>
      </x:c>
      <x:c r="G268" s="89">
        <x:v>46239.665299780092</x:v>
      </x:c>
      <x:c r="H268" s="89">
        <x:v>46206.292347893519</x:v>
      </x:c>
      <x:c r="I268" s="88" t="s">
        <x:v>2454</x:v>
      </x:c>
      <x:c r="J268" s="88" t="s">
        <x:v>2455</x:v>
      </x:c>
      <x:c r="K268" s="88" t="s">
        <x:v>380</x:v>
      </x:c>
      <x:c r="L268" s="88" t="s">
        <x:v>2456</x:v>
      </x:c>
      <x:c r="M268" s="88" t="s">
        <x:v>827</x:v>
      </x:c>
      <x:c r="N268" s="88" t="s">
        <x:v>2457</x:v>
      </x:c>
      <x:c r="O268" s="88" t="s">
        <x:v>2458</x:v>
      </x:c>
      <x:c r="P268" s="88" t="s">
        <x:v>2459</x:v>
      </x:c>
      <x:c r="Q268" s="88" t="s">
        <x:v>256</x:v>
      </x:c>
      <x:c r="R268" s="88" t="s">
        <x:v>283</x:v>
      </x:c>
      <x:c r="S268" s="88"/>
      <x:c r="T268" s="88" t="s">
        <x:v>259</x:v>
      </x:c>
      <x:c r="U268" s="88" t="s">
        <x:v>1129</x:v>
      </x:c>
      <x:c r="V268" s="89">
        <x:v>46206.295955381946</x:v>
      </x:c>
      <x:c r="W268" s="88" t="s">
        <x:v>2460</x:v>
      </x:c>
      <x:c r="X268" s="88" t="s">
        <x:v>259</x:v>
      </x:c>
      <x:c r="Y268" s="88" t="s">
        <x:v>827</x:v>
      </x:c>
      <x:c r="Z268" s="89">
        <x:v>46216.153470266203</x:v>
      </x:c>
      <x:c r="AA268" s="88" t="s">
        <x:v>259</x:v>
      </x:c>
      <x:c r="AB268" s="88" t="s">
        <x:v>259</x:v>
      </x:c>
      <x:c r="AC268" s="88" t="s">
        <x:v>111</x:v>
      </x:c>
      <x:c r="AD268" s="89">
        <x:v>46222.874689780096</x:v>
      </x:c>
      <x:c r="AE268" s="88" t="s">
        <x:v>2333</x:v>
      </x:c>
      <x:c r="AF268" s="88" t="s">
        <x:v>259</x:v>
      </x:c>
      <x:c r="AG268" s="88" t="s">
        <x:v>129</x:v>
      </x:c>
      <x:c r="AH268" s="89">
        <x:v>46239.665299780092</x:v>
      </x:c>
      <x:c r="AI268" s="88" t="s">
        <x:v>2461</x:v>
      </x:c>
      <x:c r="AJ268" s="88" t="s">
        <x:v>2462</x:v>
      </x:c>
      <x:c r="AK268" s="88">
        <x:v>2987</x:v>
      </x:c>
      <x:c r="AL268" s="88" t="s">
        <x:v>193</x:v>
      </x:c>
      <x:c r="AM268" s="88" t="s">
        <x:v>2463</x:v>
      </x:c>
      <x:c r="AN268" s="88" t="s">
        <x:v>391</x:v>
      </x:c>
      <x:c r="AO268" s="88">
        <x:v>0</x:v>
      </x:c>
    </x:row>
    <x:row r="269">
      <x:c r="A269" s="88" t="s">
        <x:v>2464</x:v>
      </x:c>
      <x:c r="B269" s="88" t="s">
        <x:v>2465</x:v>
      </x:c>
      <x:c r="C269" s="88" t="s">
        <x:v>2466</x:v>
      </x:c>
      <x:c r="D269" s="88" t="s">
        <x:v>248</x:v>
      </x:c>
      <x:c r="E269" s="88" t="s">
        <x:v>249</x:v>
      </x:c>
      <x:c r="F269" s="89">
        <x:v>46206.320695775466</x:v>
      </x:c>
      <x:c r="G269" s="89">
        <x:v>46206.331592881943</x:v>
      </x:c>
      <x:c r="H269" s="89">
        <x:v>46206.320695775466</x:v>
      </x:c>
      <x:c r="I269" s="88" t="s">
        <x:v>2467</x:v>
      </x:c>
      <x:c r="J269" s="88" t="s">
        <x:v>2468</x:v>
      </x:c>
      <x:c r="K269" s="88" t="s">
        <x:v>266</x:v>
      </x:c>
      <x:c r="L269" s="88"/>
      <x:c r="M269" s="88" t="s">
        <x:v>2469</x:v>
      </x:c>
      <x:c r="N269" s="88"/>
      <x:c r="O269" s="88"/>
      <x:c r="P269" s="88" t="s">
        <x:v>2470</x:v>
      </x:c>
      <x:c r="Q269" s="88" t="s">
        <x:v>256</x:v>
      </x:c>
      <x:c r="R269" s="88" t="s">
        <x:v>283</x:v>
      </x:c>
      <x:c r="S269" s="88"/>
      <x:c r="T269" s="88" t="s">
        <x:v>259</x:v>
      </x:c>
      <x:c r="U269" s="88" t="s">
        <x:v>2466</x:v>
      </x:c>
      <x:c r="V269" s="89">
        <x:v>46206.323143240741</x:v>
      </x:c>
      <x:c r="W269" s="88" t="s">
        <x:v>2471</x:v>
      </x:c>
      <x:c r="X269" s="88" t="s">
        <x:v>249</x:v>
      </x:c>
      <x:c r="Y269" s="88" t="s">
        <x:v>2469</x:v>
      </x:c>
      <x:c r="Z269" s="89">
        <x:v>46206.331592905095</x:v>
      </x:c>
      <x:c r="AA269" s="88" t="s">
        <x:v>2472</x:v>
      </x:c>
      <x:c r="AB269" s="88"/>
      <x:c r="AC269" s="88" t="s">
        <x:v>273</x:v>
      </x:c>
      <x:c r="AD269" s="89"/>
      <x:c r="AE269" s="88"/>
      <x:c r="AF269" s="88"/>
      <x:c r="AG269" s="88" t="s">
        <x:v>161</x:v>
      </x:c>
      <x:c r="AH269" s="89"/>
      <x:c r="AI269" s="88"/>
      <x:c r="AJ269" s="88" t="s">
        <x:v>2473</x:v>
      </x:c>
      <x:c r="AK269" s="88" t="s">
        <x:v>2474</x:v>
      </x:c>
      <x:c r="AL269" s="88"/>
      <x:c r="AM269" s="88"/>
      <x:c r="AN269" s="88" t="s">
        <x:v>369</x:v>
      </x:c>
      <x:c r="AO269" s="88">
        <x:v>0</x:v>
      </x:c>
    </x:row>
    <x:row r="270">
      <x:c r="A270" s="88" t="s">
        <x:v>2475</x:v>
      </x:c>
      <x:c r="B270" s="88" t="s">
        <x:v>2476</x:v>
      </x:c>
      <x:c r="C270" s="88" t="s">
        <x:v>2466</x:v>
      </x:c>
      <x:c r="D270" s="88" t="s">
        <x:v>248</x:v>
      </x:c>
      <x:c r="E270" s="88" t="s">
        <x:v>329</x:v>
      </x:c>
      <x:c r="F270" s="89">
        <x:v>46206.335672870373</x:v>
      </x:c>
      <x:c r="G270" s="89">
        <x:v>46239.623100185185</x:v>
      </x:c>
      <x:c r="H270" s="89">
        <x:v>46206.335672870373</x:v>
      </x:c>
      <x:c r="I270" s="88" t="s">
        <x:v>2467</x:v>
      </x:c>
      <x:c r="J270" s="88" t="s">
        <x:v>2468</x:v>
      </x:c>
      <x:c r="K270" s="88" t="s">
        <x:v>266</x:v>
      </x:c>
      <x:c r="L270" s="88"/>
      <x:c r="M270" s="88" t="s">
        <x:v>2469</x:v>
      </x:c>
      <x:c r="N270" s="88"/>
      <x:c r="O270" s="88"/>
      <x:c r="P270" s="88" t="s">
        <x:v>2477</x:v>
      </x:c>
      <x:c r="Q270" s="88" t="s">
        <x:v>256</x:v>
      </x:c>
      <x:c r="R270" s="88" t="s">
        <x:v>283</x:v>
      </x:c>
      <x:c r="S270" s="88"/>
      <x:c r="T270" s="88" t="s">
        <x:v>259</x:v>
      </x:c>
      <x:c r="U270" s="88" t="s">
        <x:v>2466</x:v>
      </x:c>
      <x:c r="V270" s="89">
        <x:v>46206.337318206017</x:v>
      </x:c>
      <x:c r="W270" s="88" t="s">
        <x:v>2478</x:v>
      </x:c>
      <x:c r="X270" s="88" t="s">
        <x:v>259</x:v>
      </x:c>
      <x:c r="Y270" s="88" t="s">
        <x:v>2469</x:v>
      </x:c>
      <x:c r="Z270" s="89">
        <x:v>46206.339653124996</x:v>
      </x:c>
      <x:c r="AA270" s="88" t="s">
        <x:v>2479</x:v>
      </x:c>
      <x:c r="AB270" s="88" t="s">
        <x:v>259</x:v>
      </x:c>
      <x:c r="AC270" s="88" t="s">
        <x:v>111</x:v>
      </x:c>
      <x:c r="AD270" s="89">
        <x:v>46239.623100196761</x:v>
      </x:c>
      <x:c r="AE270" s="88" t="s">
        <x:v>259</x:v>
      </x:c>
      <x:c r="AF270" s="88"/>
      <x:c r="AG270" s="88" t="s">
        <x:v>113</x:v>
      </x:c>
      <x:c r="AH270" s="89"/>
      <x:c r="AI270" s="88"/>
      <x:c r="AJ270" s="88" t="s">
        <x:v>2473</x:v>
      </x:c>
      <x:c r="AK270" s="88" t="s">
        <x:v>2474</x:v>
      </x:c>
      <x:c r="AL270" s="88" t="s">
        <x:v>162</x:v>
      </x:c>
      <x:c r="AM270" s="88" t="s">
        <x:v>2480</x:v>
      </x:c>
      <x:c r="AN270" s="88" t="s">
        <x:v>369</x:v>
      </x:c>
      <x:c r="AO270" s="88">
        <x:v>0</x:v>
      </x:c>
    </x:row>
    <x:row r="271">
      <x:c r="A271" s="88" t="s">
        <x:v>2481</x:v>
      </x:c>
      <x:c r="B271" s="88" t="s">
        <x:v>2482</x:v>
      </x:c>
      <x:c r="C271" s="88" t="s">
        <x:v>1138</x:v>
      </x:c>
      <x:c r="D271" s="88" t="s">
        <x:v>248</x:v>
      </x:c>
      <x:c r="E271" s="88" t="s">
        <x:v>278</x:v>
      </x:c>
      <x:c r="F271" s="89">
        <x:v>46206.372254837966</x:v>
      </x:c>
      <x:c r="G271" s="89">
        <x:v>46237.200887870371</x:v>
      </x:c>
      <x:c r="H271" s="89">
        <x:v>46237.192279930554</x:v>
      </x:c>
      <x:c r="I271" s="88" t="s">
        <x:v>2483</x:v>
      </x:c>
      <x:c r="J271" s="88" t="s">
        <x:v>2484</x:v>
      </x:c>
      <x:c r="K271" s="88" t="s">
        <x:v>380</x:v>
      </x:c>
      <x:c r="L271" s="88" t="s">
        <x:v>2485</x:v>
      </x:c>
      <x:c r="M271" s="88" t="s">
        <x:v>667</x:v>
      </x:c>
      <x:c r="N271" s="88" t="s">
        <x:v>2486</x:v>
      </x:c>
      <x:c r="O271" s="88"/>
      <x:c r="P271" s="88" t="s">
        <x:v>2487</x:v>
      </x:c>
      <x:c r="Q271" s="88" t="s">
        <x:v>256</x:v>
      </x:c>
      <x:c r="R271" s="88" t="s">
        <x:v>363</x:v>
      </x:c>
      <x:c r="S271" s="88"/>
      <x:c r="T271" s="88" t="s">
        <x:v>249</x:v>
      </x:c>
      <x:c r="U271" s="88" t="s">
        <x:v>1138</x:v>
      </x:c>
      <x:c r="V271" s="89">
        <x:v>46237.200887881947</x:v>
      </x:c>
      <x:c r="W271" s="88"/>
      <x:c r="X271" s="88"/>
      <x:c r="Y271" s="88" t="s">
        <x:v>616</x:v>
      </x:c>
      <x:c r="Z271" s="89"/>
      <x:c r="AA271" s="88"/>
      <x:c r="AB271" s="88"/>
      <x:c r="AC271" s="88" t="s">
        <x:v>2488</x:v>
      </x:c>
      <x:c r="AD271" s="89"/>
      <x:c r="AE271" s="88"/>
      <x:c r="AF271" s="88"/>
      <x:c r="AG271" s="88" t="s">
        <x:v>173</x:v>
      </x:c>
      <x:c r="AH271" s="89"/>
      <x:c r="AI271" s="88"/>
      <x:c r="AJ271" s="88" t="s">
        <x:v>2489</x:v>
      </x:c>
      <x:c r="AK271" s="88" t="s">
        <x:v>2490</x:v>
      </x:c>
      <x:c r="AL271" s="88" t="s">
        <x:v>185</x:v>
      </x:c>
      <x:c r="AM271" s="88"/>
      <x:c r="AN271" s="88" t="s">
        <x:v>369</x:v>
      </x:c>
      <x:c r="AO271" s="88">
        <x:v>0</x:v>
      </x:c>
    </x:row>
    <x:row r="272">
      <x:c r="A272" s="88" t="s">
        <x:v>2491</x:v>
      </x:c>
      <x:c r="B272" s="88" t="s">
        <x:v>2492</x:v>
      </x:c>
      <x:c r="C272" s="88" t="s">
        <x:v>1138</x:v>
      </x:c>
      <x:c r="D272" s="88" t="s">
        <x:v>248</x:v>
      </x:c>
      <x:c r="E272" s="88" t="s">
        <x:v>278</x:v>
      </x:c>
      <x:c r="F272" s="89">
        <x:v>46206.380816446763</x:v>
      </x:c>
      <x:c r="G272" s="89">
        <x:v>46237.199767951388</x:v>
      </x:c>
      <x:c r="H272" s="89">
        <x:v>46237.194642002316</x:v>
      </x:c>
      <x:c r="I272" s="88" t="s">
        <x:v>1139</x:v>
      </x:c>
      <x:c r="J272" s="88" t="s">
        <x:v>1140</x:v>
      </x:c>
      <x:c r="K272" s="88" t="s">
        <x:v>380</x:v>
      </x:c>
      <x:c r="L272" s="88" t="s">
        <x:v>2485</x:v>
      </x:c>
      <x:c r="M272" s="88" t="s">
        <x:v>667</x:v>
      </x:c>
      <x:c r="N272" s="88" t="s">
        <x:v>2493</x:v>
      </x:c>
      <x:c r="O272" s="88"/>
      <x:c r="P272" s="88" t="s">
        <x:v>363</x:v>
      </x:c>
      <x:c r="Q272" s="88" t="s">
        <x:v>256</x:v>
      </x:c>
      <x:c r="R272" s="88" t="s">
        <x:v>363</x:v>
      </x:c>
      <x:c r="S272" s="88"/>
      <x:c r="T272" s="88" t="s">
        <x:v>249</x:v>
      </x:c>
      <x:c r="U272" s="88" t="s">
        <x:v>1138</x:v>
      </x:c>
      <x:c r="V272" s="89">
        <x:v>46237.199767962964</x:v>
      </x:c>
      <x:c r="W272" s="88"/>
      <x:c r="X272" s="88"/>
      <x:c r="Y272" s="88" t="s">
        <x:v>616</x:v>
      </x:c>
      <x:c r="Z272" s="89"/>
      <x:c r="AA272" s="88"/>
      <x:c r="AB272" s="88"/>
      <x:c r="AC272" s="88" t="s">
        <x:v>2488</x:v>
      </x:c>
      <x:c r="AD272" s="89"/>
      <x:c r="AE272" s="88"/>
      <x:c r="AF272" s="88"/>
      <x:c r="AG272" s="88" t="s">
        <x:v>173</x:v>
      </x:c>
      <x:c r="AH272" s="89"/>
      <x:c r="AI272" s="88"/>
      <x:c r="AJ272" s="88" t="s">
        <x:v>1145</x:v>
      </x:c>
      <x:c r="AK272" s="88" t="s">
        <x:v>1146</x:v>
      </x:c>
      <x:c r="AL272" s="88" t="s">
        <x:v>185</x:v>
      </x:c>
      <x:c r="AM272" s="88"/>
      <x:c r="AN272" s="88" t="s">
        <x:v>369</x:v>
      </x:c>
      <x:c r="AO272" s="88">
        <x:v>0</x:v>
      </x:c>
    </x:row>
    <x:row r="273">
      <x:c r="A273" s="88" t="s">
        <x:v>2494</x:v>
      </x:c>
      <x:c r="B273" s="88" t="s">
        <x:v>2495</x:v>
      </x:c>
      <x:c r="C273" s="88" t="s">
        <x:v>1391</x:v>
      </x:c>
      <x:c r="D273" s="88" t="s">
        <x:v>248</x:v>
      </x:c>
      <x:c r="E273" s="88" t="s">
        <x:v>329</x:v>
      </x:c>
      <x:c r="F273" s="89">
        <x:v>46206.46205357639</x:v>
      </x:c>
      <x:c r="G273" s="89">
        <x:v>46222.862948599533</x:v>
      </x:c>
      <x:c r="H273" s="89">
        <x:v>46206.46205357639</x:v>
      </x:c>
      <x:c r="I273" s="88" t="s">
        <x:v>2496</x:v>
      </x:c>
      <x:c r="J273" s="88" t="s">
        <x:v>2496</x:v>
      </x:c>
      <x:c r="K273" s="88" t="s">
        <x:v>266</x:v>
      </x:c>
      <x:c r="L273" s="88"/>
      <x:c r="M273" s="88" t="s">
        <x:v>1164</x:v>
      </x:c>
      <x:c r="N273" s="88"/>
      <x:c r="O273" s="88"/>
      <x:c r="P273" s="88" t="s">
        <x:v>2497</x:v>
      </x:c>
      <x:c r="Q273" s="88" t="s">
        <x:v>256</x:v>
      </x:c>
      <x:c r="R273" s="88" t="s">
        <x:v>363</x:v>
      </x:c>
      <x:c r="S273" s="88"/>
      <x:c r="T273" s="88" t="s">
        <x:v>259</x:v>
      </x:c>
      <x:c r="U273" s="88" t="s">
        <x:v>1391</x:v>
      </x:c>
      <x:c r="V273" s="89">
        <x:v>46206.4626403125</x:v>
      </x:c>
      <x:c r="W273" s="88" t="s">
        <x:v>2498</x:v>
      </x:c>
      <x:c r="X273" s="88" t="s">
        <x:v>259</x:v>
      </x:c>
      <x:c r="Y273" s="88" t="s">
        <x:v>482</x:v>
      </x:c>
      <x:c r="Z273" s="89">
        <x:v>46209.251442071756</x:v>
      </x:c>
      <x:c r="AA273" s="88" t="s">
        <x:v>2499</x:v>
      </x:c>
      <x:c r="AB273" s="88" t="s">
        <x:v>259</x:v>
      </x:c>
      <x:c r="AC273" s="88" t="s">
        <x:v>111</x:v>
      </x:c>
      <x:c r="AD273" s="89">
        <x:v>46222.862948599533</x:v>
      </x:c>
      <x:c r="AE273" s="88" t="s">
        <x:v>2333</x:v>
      </x:c>
      <x:c r="AF273" s="88"/>
      <x:c r="AG273" s="88" t="s">
        <x:v>203</x:v>
      </x:c>
      <x:c r="AH273" s="89"/>
      <x:c r="AI273" s="88"/>
      <x:c r="AJ273" s="88" t="s">
        <x:v>2500</x:v>
      </x:c>
      <x:c r="AK273" s="88" t="s">
        <x:v>2501</x:v>
      </x:c>
      <x:c r="AL273" s="88" t="s">
        <x:v>162</x:v>
      </x:c>
      <x:c r="AM273" s="88" t="s">
        <x:v>2502</x:v>
      </x:c>
      <x:c r="AN273" s="88" t="s">
        <x:v>369</x:v>
      </x:c>
      <x:c r="AO273" s="88">
        <x:v>0</x:v>
      </x:c>
    </x:row>
    <x:row r="274">
      <x:c r="A274" s="88" t="s">
        <x:v>2503</x:v>
      </x:c>
      <x:c r="B274" s="88" t="s">
        <x:v>2504</x:v>
      </x:c>
      <x:c r="C274" s="88" t="s">
        <x:v>309</x:v>
      </x:c>
      <x:c r="D274" s="88" t="s">
        <x:v>248</x:v>
      </x:c>
      <x:c r="E274" s="88" t="s">
        <x:v>329</x:v>
      </x:c>
      <x:c r="F274" s="89">
        <x:v>46209.158434537036</x:v>
      </x:c>
      <x:c r="G274" s="89">
        <x:v>46209.168637627314</x:v>
      </x:c>
      <x:c r="H274" s="89">
        <x:v>46209.158434537036</x:v>
      </x:c>
      <x:c r="I274" s="88" t="s">
        <x:v>2505</x:v>
      </x:c>
      <x:c r="J274" s="88" t="s">
        <x:v>2506</x:v>
      </x:c>
      <x:c r="K274" s="88" t="s">
        <x:v>266</x:v>
      </x:c>
      <x:c r="L274" s="88"/>
      <x:c r="M274" s="88" t="s">
        <x:v>511</x:v>
      </x:c>
      <x:c r="N274" s="88"/>
      <x:c r="O274" s="88"/>
      <x:c r="P274" s="88" t="s">
        <x:v>2507</x:v>
      </x:c>
      <x:c r="Q274" s="88" t="s">
        <x:v>256</x:v>
      </x:c>
      <x:c r="R274" s="88" t="s">
        <x:v>257</x:v>
      </x:c>
      <x:c r="S274" s="88"/>
      <x:c r="T274" s="88" t="s">
        <x:v>259</x:v>
      </x:c>
      <x:c r="U274" s="88" t="s">
        <x:v>309</x:v>
      </x:c>
      <x:c r="V274" s="89">
        <x:v>46209.159640625003</x:v>
      </x:c>
      <x:c r="W274" s="88" t="s">
        <x:v>2508</x:v>
      </x:c>
      <x:c r="X274" s="88" t="s">
        <x:v>259</x:v>
      </x:c>
      <x:c r="Y274" s="88" t="s">
        <x:v>309</x:v>
      </x:c>
      <x:c r="Z274" s="89">
        <x:v>46209.160468877315</x:v>
      </x:c>
      <x:c r="AA274" s="88" t="s">
        <x:v>2509</x:v>
      </x:c>
      <x:c r="AB274" s="88" t="s">
        <x:v>259</x:v>
      </x:c>
      <x:c r="AC274" s="88" t="s">
        <x:v>122</x:v>
      </x:c>
      <x:c r="AD274" s="89">
        <x:v>46209.16863763889</x:v>
      </x:c>
      <x:c r="AE274" s="88" t="s">
        <x:v>2510</x:v>
      </x:c>
      <x:c r="AF274" s="88"/>
      <x:c r="AG274" s="88" t="s">
        <x:v>111</x:v>
      </x:c>
      <x:c r="AH274" s="89"/>
      <x:c r="AI274" s="88"/>
      <x:c r="AJ274" s="88" t="s">
        <x:v>2511</x:v>
      </x:c>
      <x:c r="AK274" s="88">
        <x:v>1824</x:v>
      </x:c>
      <x:c r="AL274" s="88" t="s">
        <x:v>162</x:v>
      </x:c>
      <x:c r="AM274" s="88" t="s">
        <x:v>2512</x:v>
      </x:c>
      <x:c r="AN274" s="88" t="s">
        <x:v>369</x:v>
      </x:c>
      <x:c r="AO274" s="88">
        <x:v>0</x:v>
      </x:c>
    </x:row>
    <x:row r="275">
      <x:c r="A275" s="88" t="s">
        <x:v>2513</x:v>
      </x:c>
      <x:c r="B275" s="88" t="s">
        <x:v>2514</x:v>
      </x:c>
      <x:c r="C275" s="88" t="s">
        <x:v>2028</x:v>
      </x:c>
      <x:c r="D275" s="88" t="s">
        <x:v>248</x:v>
      </x:c>
      <x:c r="E275" s="88" t="s">
        <x:v>249</x:v>
      </x:c>
      <x:c r="F275" s="89">
        <x:v>46210.073116493055</x:v>
      </x:c>
      <x:c r="G275" s="89">
        <x:v>46247.508493263886</x:v>
      </x:c>
      <x:c r="H275" s="89">
        <x:v>46210.073116493055</x:v>
      </x:c>
      <x:c r="I275" s="88" t="s">
        <x:v>2298</x:v>
      </x:c>
      <x:c r="J275" s="88" t="s">
        <x:v>2299</x:v>
      </x:c>
      <x:c r="K275" s="88" t="s">
        <x:v>380</x:v>
      </x:c>
      <x:c r="L275" s="88" t="s">
        <x:v>2300</x:v>
      </x:c>
      <x:c r="M275" s="88" t="s">
        <x:v>2031</x:v>
      </x:c>
      <x:c r="N275" s="88"/>
      <x:c r="O275" s="88"/>
      <x:c r="P275" s="88" t="s">
        <x:v>2515</x:v>
      </x:c>
      <x:c r="Q275" s="88" t="s">
        <x:v>256</x:v>
      </x:c>
      <x:c r="R275" s="88" t="s">
        <x:v>283</x:v>
      </x:c>
      <x:c r="S275" s="88"/>
      <x:c r="T275" s="88" t="s">
        <x:v>259</x:v>
      </x:c>
      <x:c r="U275" s="88" t="s">
        <x:v>2028</x:v>
      </x:c>
      <x:c r="V275" s="89">
        <x:v>46210.075290439818</x:v>
      </x:c>
      <x:c r="W275" s="88" t="s">
        <x:v>2516</x:v>
      </x:c>
      <x:c r="X275" s="88" t="s">
        <x:v>259</x:v>
      </x:c>
      <x:c r="Y275" s="88" t="s">
        <x:v>2033</x:v>
      </x:c>
      <x:c r="Z275" s="89">
        <x:v>46210.078729710651</x:v>
      </x:c>
      <x:c r="AA275" s="88" t="s">
        <x:v>2517</x:v>
      </x:c>
      <x:c r="AB275" s="88" t="s">
        <x:v>259</x:v>
      </x:c>
      <x:c r="AC275" s="88" t="s">
        <x:v>2518</x:v>
      </x:c>
      <x:c r="AD275" s="89">
        <x:v>46219.123980138887</x:v>
      </x:c>
      <x:c r="AE275" s="88" t="s">
        <x:v>2519</x:v>
      </x:c>
      <x:c r="AF275" s="88" t="s">
        <x:v>249</x:v>
      </x:c>
      <x:c r="AG275" s="88" t="s">
        <x:v>111</x:v>
      </x:c>
      <x:c r="AH275" s="89">
        <x:v>46247.508493275462</x:v>
      </x:c>
      <x:c r="AI275" s="88" t="s">
        <x:v>2520</x:v>
      </x:c>
      <x:c r="AJ275" s="88" t="s">
        <x:v>2302</x:v>
      </x:c>
      <x:c r="AK275" s="88" t="s">
        <x:v>2303</x:v>
      </x:c>
      <x:c r="AL275" s="88" t="s">
        <x:v>185</x:v>
      </x:c>
      <x:c r="AM275" s="88" t="s">
        <x:v>2521</x:v>
      </x:c>
      <x:c r="AN275" s="88" t="s">
        <x:v>369</x:v>
      </x:c>
      <x:c r="AO275" s="88">
        <x:v>0</x:v>
      </x:c>
    </x:row>
    <x:row r="276">
      <x:c r="A276" s="88" t="s">
        <x:v>2522</x:v>
      </x:c>
      <x:c r="B276" s="88" t="s">
        <x:v>2523</x:v>
      </x:c>
      <x:c r="C276" s="88" t="s">
        <x:v>2524</x:v>
      </x:c>
      <x:c r="D276" s="88" t="s">
        <x:v>248</x:v>
      </x:c>
      <x:c r="E276" s="88" t="s">
        <x:v>278</x:v>
      </x:c>
      <x:c r="F276" s="89">
        <x:v>46210.274297083335</x:v>
      </x:c>
      <x:c r="G276" s="89">
        <x:v>46210.275636331018</x:v>
      </x:c>
      <x:c r="H276" s="89">
        <x:v>46210.274297083335</x:v>
      </x:c>
      <x:c r="I276" s="88" t="s">
        <x:v>1537</x:v>
      </x:c>
      <x:c r="J276" s="88" t="s">
        <x:v>1538</x:v>
      </x:c>
      <x:c r="K276" s="88" t="s">
        <x:v>266</x:v>
      </x:c>
      <x:c r="L276" s="88"/>
      <x:c r="M276" s="88" t="s">
        <x:v>616</x:v>
      </x:c>
      <x:c r="N276" s="88"/>
      <x:c r="O276" s="88"/>
      <x:c r="P276" s="88" t="s">
        <x:v>2525</x:v>
      </x:c>
      <x:c r="Q276" s="88" t="s">
        <x:v>269</x:v>
      </x:c>
      <x:c r="R276" s="88" t="s">
        <x:v>283</x:v>
      </x:c>
      <x:c r="S276" s="88"/>
      <x:c r="T276" s="88" t="s">
        <x:v>249</x:v>
      </x:c>
      <x:c r="U276" s="88" t="s">
        <x:v>2524</x:v>
      </x:c>
      <x:c r="V276" s="89">
        <x:v>46210.275636342594</x:v>
      </x:c>
      <x:c r="W276" s="88"/>
      <x:c r="X276" s="88"/>
      <x:c r="Y276" s="88" t="s">
        <x:v>616</x:v>
      </x:c>
      <x:c r="Z276" s="89"/>
      <x:c r="AA276" s="88"/>
      <x:c r="AB276" s="88"/>
      <x:c r="AC276" s="88" t="s">
        <x:v>2488</x:v>
      </x:c>
      <x:c r="AD276" s="89"/>
      <x:c r="AE276" s="88"/>
      <x:c r="AF276" s="88"/>
      <x:c r="AG276" s="88" t="s">
        <x:v>173</x:v>
      </x:c>
      <x:c r="AH276" s="89"/>
      <x:c r="AI276" s="88"/>
      <x:c r="AJ276" s="88" t="s">
        <x:v>1540</x:v>
      </x:c>
      <x:c r="AK276" s="88">
        <x:v>3579</x:v>
      </x:c>
      <x:c r="AL276" s="88"/>
      <x:c r="AM276" s="88"/>
      <x:c r="AN276" s="88" t="s">
        <x:v>414</x:v>
      </x:c>
      <x:c r="AO276" s="88">
        <x:v>14</x:v>
      </x:c>
    </x:row>
    <x:row r="277">
      <x:c r="A277" s="88" t="s">
        <x:v>2526</x:v>
      </x:c>
      <x:c r="B277" s="88" t="s">
        <x:v>2527</x:v>
      </x:c>
      <x:c r="C277" s="88" t="s">
        <x:v>2524</x:v>
      </x:c>
      <x:c r="D277" s="88" t="s">
        <x:v>248</x:v>
      </x:c>
      <x:c r="E277" s="88" t="s">
        <x:v>278</x:v>
      </x:c>
      <x:c r="F277" s="89">
        <x:v>46210.285462893517</x:v>
      </x:c>
      <x:c r="G277" s="89">
        <x:v>46210.289554710645</x:v>
      </x:c>
      <x:c r="H277" s="89">
        <x:v>46210.285462893517</x:v>
      </x:c>
      <x:c r="I277" s="88" t="s">
        <x:v>2528</x:v>
      </x:c>
      <x:c r="J277" s="88" t="s">
        <x:v>2529</x:v>
      </x:c>
      <x:c r="K277" s="88" t="s">
        <x:v>266</x:v>
      </x:c>
      <x:c r="L277" s="88"/>
      <x:c r="M277" s="88" t="s">
        <x:v>616</x:v>
      </x:c>
      <x:c r="N277" s="88"/>
      <x:c r="O277" s="88"/>
      <x:c r="P277" s="88" t="s">
        <x:v>2530</x:v>
      </x:c>
      <x:c r="Q277" s="88" t="s">
        <x:v>256</x:v>
      </x:c>
      <x:c r="R277" s="88" t="s">
        <x:v>283</x:v>
      </x:c>
      <x:c r="S277" s="88"/>
      <x:c r="T277" s="88" t="s">
        <x:v>249</x:v>
      </x:c>
      <x:c r="U277" s="88" t="s">
        <x:v>2524</x:v>
      </x:c>
      <x:c r="V277" s="89">
        <x:v>46210.289554722222</x:v>
      </x:c>
      <x:c r="W277" s="88"/>
      <x:c r="X277" s="88"/>
      <x:c r="Y277" s="88" t="s">
        <x:v>616</x:v>
      </x:c>
      <x:c r="Z277" s="89"/>
      <x:c r="AA277" s="88"/>
      <x:c r="AB277" s="88"/>
      <x:c r="AC277" s="88" t="s">
        <x:v>2488</x:v>
      </x:c>
      <x:c r="AD277" s="89"/>
      <x:c r="AE277" s="88"/>
      <x:c r="AF277" s="88"/>
      <x:c r="AG277" s="88" t="s">
        <x:v>173</x:v>
      </x:c>
      <x:c r="AH277" s="89"/>
      <x:c r="AI277" s="88"/>
      <x:c r="AJ277" s="88" t="s">
        <x:v>2531</x:v>
      </x:c>
      <x:c r="AK277" s="88">
        <x:v>3114</x:v>
      </x:c>
      <x:c r="AL277" s="88"/>
      <x:c r="AM277" s="88"/>
      <x:c r="AN277" s="88" t="s">
        <x:v>414</x:v>
      </x:c>
      <x:c r="AO277" s="88">
        <x:v>14</x:v>
      </x:c>
    </x:row>
    <x:row r="278">
      <x:c r="A278" s="88" t="s">
        <x:v>2532</x:v>
      </x:c>
      <x:c r="B278" s="88" t="s">
        <x:v>2533</x:v>
      </x:c>
      <x:c r="C278" s="88" t="s">
        <x:v>2028</x:v>
      </x:c>
      <x:c r="D278" s="88" t="s">
        <x:v>248</x:v>
      </x:c>
      <x:c r="E278" s="88" t="s">
        <x:v>329</x:v>
      </x:c>
      <x:c r="F278" s="89">
        <x:v>46210.336582268515</x:v>
      </x:c>
      <x:c r="G278" s="89">
        <x:v>46222.86333241898</x:v>
      </x:c>
      <x:c r="H278" s="89">
        <x:v>46212.158407696763</x:v>
      </x:c>
      <x:c r="I278" s="88" t="s">
        <x:v>2534</x:v>
      </x:c>
      <x:c r="J278" s="88" t="s">
        <x:v>2535</x:v>
      </x:c>
      <x:c r="K278" s="88" t="s">
        <x:v>380</x:v>
      </x:c>
      <x:c r="L278" s="88" t="s">
        <x:v>2536</x:v>
      </x:c>
      <x:c r="M278" s="88" t="s">
        <x:v>2031</x:v>
      </x:c>
      <x:c r="N278" s="88"/>
      <x:c r="O278" s="88"/>
      <x:c r="P278" s="88" t="s">
        <x:v>2537</x:v>
      </x:c>
      <x:c r="Q278" s="88" t="s">
        <x:v>256</x:v>
      </x:c>
      <x:c r="R278" s="88" t="s">
        <x:v>283</x:v>
      </x:c>
      <x:c r="S278" s="88"/>
      <x:c r="T278" s="88" t="s">
        <x:v>259</x:v>
      </x:c>
      <x:c r="U278" s="88" t="s">
        <x:v>2028</x:v>
      </x:c>
      <x:c r="V278" s="89">
        <x:v>46212.158908449077</x:v>
      </x:c>
      <x:c r="W278" s="88" t="s">
        <x:v>2537</x:v>
      </x:c>
      <x:c r="X278" s="88" t="s">
        <x:v>259</x:v>
      </x:c>
      <x:c r="Y278" s="88" t="s">
        <x:v>2033</x:v>
      </x:c>
      <x:c r="Z278" s="89">
        <x:v>46212.16088033565</x:v>
      </x:c>
      <x:c r="AA278" s="88" t="s">
        <x:v>2538</x:v>
      </x:c>
      <x:c r="AB278" s="88" t="s">
        <x:v>259</x:v>
      </x:c>
      <x:c r="AC278" s="88" t="s">
        <x:v>111</x:v>
      </x:c>
      <x:c r="AD278" s="89">
        <x:v>46222.863332430556</x:v>
      </x:c>
      <x:c r="AE278" s="88" t="s">
        <x:v>2333</x:v>
      </x:c>
      <x:c r="AF278" s="88"/>
      <x:c r="AG278" s="88" t="s">
        <x:v>131</x:v>
      </x:c>
      <x:c r="AH278" s="89"/>
      <x:c r="AI278" s="88"/>
      <x:c r="AJ278" s="88" t="s">
        <x:v>2539</x:v>
      </x:c>
      <x:c r="AK278" s="88" t="s">
        <x:v>2540</x:v>
      </x:c>
      <x:c r="AL278" s="88" t="s">
        <x:v>162</x:v>
      </x:c>
      <x:c r="AM278" s="88" t="s">
        <x:v>2541</x:v>
      </x:c>
      <x:c r="AN278" s="88" t="s">
        <x:v>369</x:v>
      </x:c>
      <x:c r="AO278" s="88">
        <x:v>0</x:v>
      </x:c>
    </x:row>
    <x:row r="279">
      <x:c r="A279" s="88" t="s">
        <x:v>2542</x:v>
      </x:c>
      <x:c r="B279" s="88" t="s">
        <x:v>2543</x:v>
      </x:c>
      <x:c r="C279" s="88" t="s">
        <x:v>1219</x:v>
      </x:c>
      <x:c r="D279" s="88" t="s">
        <x:v>248</x:v>
      </x:c>
      <x:c r="E279" s="88" t="s">
        <x:v>342</x:v>
      </x:c>
      <x:c r="F279" s="89">
        <x:v>46211.339323819448</x:v>
      </x:c>
      <x:c r="G279" s="89">
        <x:v>46248.406909375</x:v>
      </x:c>
      <x:c r="H279" s="89">
        <x:v>46211.339323819448</x:v>
      </x:c>
      <x:c r="I279" s="88" t="s">
        <x:v>2544</x:v>
      </x:c>
      <x:c r="J279" s="88" t="s">
        <x:v>2545</x:v>
      </x:c>
      <x:c r="K279" s="88" t="s">
        <x:v>266</x:v>
      </x:c>
      <x:c r="L279" s="88"/>
      <x:c r="M279" s="88" t="s">
        <x:v>482</x:v>
      </x:c>
      <x:c r="N279" s="88"/>
      <x:c r="O279" s="88"/>
      <x:c r="P279" s="88" t="s">
        <x:v>680</x:v>
      </x:c>
      <x:c r="Q279" s="88" t="s">
        <x:v>256</x:v>
      </x:c>
      <x:c r="R279" s="88" t="s">
        <x:v>363</x:v>
      </x:c>
      <x:c r="S279" s="88"/>
      <x:c r="T279" s="88" t="s">
        <x:v>259</x:v>
      </x:c>
      <x:c r="U279" s="88" t="s">
        <x:v>1219</x:v>
      </x:c>
      <x:c r="V279" s="89">
        <x:v>46211.339671319445</x:v>
      </x:c>
      <x:c r="W279" s="88" t="s">
        <x:v>680</x:v>
      </x:c>
      <x:c r="X279" s="88" t="s">
        <x:v>259</x:v>
      </x:c>
      <x:c r="Y279" s="88" t="s">
        <x:v>482</x:v>
      </x:c>
      <x:c r="Z279" s="89">
        <x:v>46212.264278761577</x:v>
      </x:c>
      <x:c r="AA279" s="88" t="s">
        <x:v>680</x:v>
      </x:c>
      <x:c r="AB279" s="88" t="s">
        <x:v>259</x:v>
      </x:c>
      <x:c r="AC279" s="88" t="s">
        <x:v>111</x:v>
      </x:c>
      <x:c r="AD279" s="89">
        <x:v>46222.867346261577</x:v>
      </x:c>
      <x:c r="AE279" s="88" t="s">
        <x:v>2333</x:v>
      </x:c>
      <x:c r="AF279" s="88" t="s">
        <x:v>259</x:v>
      </x:c>
      <x:c r="AG279" s="88" t="s">
        <x:v>129</x:v>
      </x:c>
      <x:c r="AH279" s="89">
        <x:v>46248.406909386576</x:v>
      </x:c>
      <x:c r="AI279" s="88" t="s">
        <x:v>2546</x:v>
      </x:c>
      <x:c r="AJ279" s="88" t="s">
        <x:v>2547</x:v>
      </x:c>
      <x:c r="AK279" s="88" t="s">
        <x:v>2548</x:v>
      </x:c>
      <x:c r="AL279" s="88" t="s">
        <x:v>185</x:v>
      </x:c>
      <x:c r="AM279" s="88" t="s">
        <x:v>2549</x:v>
      </x:c>
      <x:c r="AN279" s="88" t="s">
        <x:v>369</x:v>
      </x:c>
      <x:c r="AO279" s="88">
        <x:v>0</x:v>
      </x:c>
    </x:row>
    <x:row r="280">
      <x:c r="A280" s="88" t="s">
        <x:v>2550</x:v>
      </x:c>
      <x:c r="B280" s="88" t="s">
        <x:v>2551</x:v>
      </x:c>
      <x:c r="C280" s="88" t="s">
        <x:v>1219</x:v>
      </x:c>
      <x:c r="D280" s="88" t="s">
        <x:v>248</x:v>
      </x:c>
      <x:c r="E280" s="88" t="s">
        <x:v>342</x:v>
      </x:c>
      <x:c r="F280" s="89">
        <x:v>46212.03723253472</x:v>
      </x:c>
      <x:c r="G280" s="89">
        <x:v>46234.470305011571</x:v>
      </x:c>
      <x:c r="H280" s="89">
        <x:v>46212.03723253472</x:v>
      </x:c>
      <x:c r="I280" s="88" t="s">
        <x:v>2552</x:v>
      </x:c>
      <x:c r="J280" s="88" t="s">
        <x:v>2553</x:v>
      </x:c>
      <x:c r="K280" s="88" t="s">
        <x:v>266</x:v>
      </x:c>
      <x:c r="L280" s="88"/>
      <x:c r="M280" s="88" t="s">
        <x:v>482</x:v>
      </x:c>
      <x:c r="N280" s="88"/>
      <x:c r="O280" s="88"/>
      <x:c r="P280" s="88" t="s">
        <x:v>680</x:v>
      </x:c>
      <x:c r="Q280" s="88" t="s">
        <x:v>256</x:v>
      </x:c>
      <x:c r="R280" s="88" t="s">
        <x:v>363</x:v>
      </x:c>
      <x:c r="S280" s="88"/>
      <x:c r="T280" s="88" t="s">
        <x:v>259</x:v>
      </x:c>
      <x:c r="U280" s="88" t="s">
        <x:v>1219</x:v>
      </x:c>
      <x:c r="V280" s="89">
        <x:v>46212.043282037041</x:v>
      </x:c>
      <x:c r="W280" s="88" t="s">
        <x:v>680</x:v>
      </x:c>
      <x:c r="X280" s="88" t="s">
        <x:v>259</x:v>
      </x:c>
      <x:c r="Y280" s="88" t="s">
        <x:v>482</x:v>
      </x:c>
      <x:c r="Z280" s="89">
        <x:v>46212.246299155093</x:v>
      </x:c>
      <x:c r="AA280" s="88" t="s">
        <x:v>680</x:v>
      </x:c>
      <x:c r="AB280" s="88" t="s">
        <x:v>259</x:v>
      </x:c>
      <x:c r="AC280" s="88" t="s">
        <x:v>111</x:v>
      </x:c>
      <x:c r="AD280" s="89">
        <x:v>46222.864841527778</x:v>
      </x:c>
      <x:c r="AE280" s="88" t="s">
        <x:v>2333</x:v>
      </x:c>
      <x:c r="AF280" s="88" t="s">
        <x:v>259</x:v>
      </x:c>
      <x:c r="AG280" s="88" t="s">
        <x:v>131</x:v>
      </x:c>
      <x:c r="AH280" s="89">
        <x:v>46234.470305023147</x:v>
      </x:c>
      <x:c r="AI280" s="88" t="s">
        <x:v>2554</x:v>
      </x:c>
      <x:c r="AJ280" s="88" t="s">
        <x:v>2555</x:v>
      </x:c>
      <x:c r="AK280" s="88">
        <x:v>4202</x:v>
      </x:c>
      <x:c r="AL280" s="88" t="s">
        <x:v>185</x:v>
      </x:c>
      <x:c r="AM280" s="88" t="s">
        <x:v>2556</x:v>
      </x:c>
      <x:c r="AN280" s="88" t="s">
        <x:v>369</x:v>
      </x:c>
      <x:c r="AO280" s="88">
        <x:v>0</x:v>
      </x:c>
    </x:row>
    <x:row r="281">
      <x:c r="A281" s="88" t="s">
        <x:v>2557</x:v>
      </x:c>
      <x:c r="B281" s="88" t="s">
        <x:v>2558</x:v>
      </x:c>
      <x:c r="C281" s="88" t="s">
        <x:v>2015</x:v>
      </x:c>
      <x:c r="D281" s="88" t="s">
        <x:v>248</x:v>
      </x:c>
      <x:c r="E281" s="88" t="s">
        <x:v>249</x:v>
      </x:c>
      <x:c r="F281" s="89">
        <x:v>46212.095840335649</x:v>
      </x:c>
      <x:c r="G281" s="89">
        <x:v>46212.132312071757</x:v>
      </x:c>
      <x:c r="H281" s="89">
        <x:v>46212.095840335649</x:v>
      </x:c>
      <x:c r="I281" s="88" t="s">
        <x:v>2559</x:v>
      </x:c>
      <x:c r="J281" s="88" t="s">
        <x:v>2560</x:v>
      </x:c>
      <x:c r="K281" s="88" t="s">
        <x:v>380</x:v>
      </x:c>
      <x:c r="L281" s="88" t="s">
        <x:v>2018</x:v>
      </x:c>
      <x:c r="M281" s="88" t="s">
        <x:v>2015</x:v>
      </x:c>
      <x:c r="N281" s="88" t="s">
        <x:v>2561</x:v>
      </x:c>
      <x:c r="O281" s="88">
        <x:v>1997</x:v>
      </x:c>
      <x:c r="P281" s="88" t="s">
        <x:v>2562</x:v>
      </x:c>
      <x:c r="Q281" s="88" t="s">
        <x:v>970</x:v>
      </x:c>
      <x:c r="R281" s="88" t="s">
        <x:v>283</x:v>
      </x:c>
      <x:c r="S281" s="88"/>
      <x:c r="T281" s="88" t="s">
        <x:v>259</x:v>
      </x:c>
      <x:c r="U281" s="88" t="s">
        <x:v>2015</x:v>
      </x:c>
      <x:c r="V281" s="89">
        <x:v>46212.098091655091</x:v>
      </x:c>
      <x:c r="W281" s="88" t="s">
        <x:v>2563</x:v>
      </x:c>
      <x:c r="X281" s="88" t="s">
        <x:v>259</x:v>
      </x:c>
      <x:c r="Y281" s="88" t="s">
        <x:v>2015</x:v>
      </x:c>
      <x:c r="Z281" s="89">
        <x:v>46212.098678657407</x:v>
      </x:c>
      <x:c r="AA281" s="88" t="s">
        <x:v>259</x:v>
      </x:c>
      <x:c r="AB281" s="88" t="s">
        <x:v>249</x:v>
      </x:c>
      <x:c r="AC281" s="88" t="s">
        <x:v>2518</x:v>
      </x:c>
      <x:c r="AD281" s="89">
        <x:v>46212.132312094909</x:v>
      </x:c>
      <x:c r="AE281" s="88" t="s">
        <x:v>2564</x:v>
      </x:c>
      <x:c r="AF281" s="88"/>
      <x:c r="AG281" s="88" t="s">
        <x:v>173</x:v>
      </x:c>
      <x:c r="AH281" s="89"/>
      <x:c r="AI281" s="88"/>
      <x:c r="AJ281" s="88" t="s">
        <x:v>2565</x:v>
      </x:c>
      <x:c r="AK281" s="88">
        <x:v>1997</x:v>
      </x:c>
      <x:c r="AL281" s="88"/>
      <x:c r="AM281" s="88"/>
      <x:c r="AN281" s="88" t="s">
        <x:v>414</x:v>
      </x:c>
      <x:c r="AO281" s="88">
        <x:v>180</x:v>
      </x:c>
    </x:row>
    <x:row r="282">
      <x:c r="A282" s="88" t="s">
        <x:v>2566</x:v>
      </x:c>
      <x:c r="B282" s="88" t="s">
        <x:v>2567</x:v>
      </x:c>
      <x:c r="C282" s="88" t="s">
        <x:v>2568</x:v>
      </x:c>
      <x:c r="D282" s="88" t="s">
        <x:v>248</x:v>
      </x:c>
      <x:c r="E282" s="88" t="s">
        <x:v>278</x:v>
      </x:c>
      <x:c r="F282" s="89">
        <x:v>46212.432087094909</x:v>
      </x:c>
      <x:c r="G282" s="89">
        <x:v>46230.129561979164</x:v>
      </x:c>
      <x:c r="H282" s="89">
        <x:v>46230.118697835649</x:v>
      </x:c>
      <x:c r="I282" s="88" t="s">
        <x:v>2569</x:v>
      </x:c>
      <x:c r="J282" s="88" t="s">
        <x:v>2570</x:v>
      </x:c>
      <x:c r="K282" s="88" t="s">
        <x:v>380</x:v>
      </x:c>
      <x:c r="L282" s="88" t="s">
        <x:v>2571</x:v>
      </x:c>
      <x:c r="M282" s="88" t="s">
        <x:v>2572</x:v>
      </x:c>
      <x:c r="N282" s="88"/>
      <x:c r="O282" s="88"/>
      <x:c r="P282" s="88" t="s">
        <x:v>2573</x:v>
      </x:c>
      <x:c r="Q282" s="88" t="s">
        <x:v>256</x:v>
      </x:c>
      <x:c r="R282" s="88" t="s">
        <x:v>363</x:v>
      </x:c>
      <x:c r="S282" s="88"/>
      <x:c r="T282" s="88" t="s">
        <x:v>249</x:v>
      </x:c>
      <x:c r="U282" s="88" t="s">
        <x:v>2568</x:v>
      </x:c>
      <x:c r="V282" s="89">
        <x:v>46230.12956199074</x:v>
      </x:c>
      <x:c r="W282" s="88"/>
      <x:c r="X282" s="88"/>
      <x:c r="Y282" s="88" t="s">
        <x:v>2572</x:v>
      </x:c>
      <x:c r="Z282" s="89"/>
      <x:c r="AA282" s="88"/>
      <x:c r="AB282" s="88"/>
      <x:c r="AC282" s="88" t="s">
        <x:v>273</x:v>
      </x:c>
      <x:c r="AD282" s="89"/>
      <x:c r="AE282" s="88"/>
      <x:c r="AF282" s="88"/>
      <x:c r="AG282" s="88" t="s">
        <x:v>273</x:v>
      </x:c>
      <x:c r="AH282" s="89"/>
      <x:c r="AI282" s="88"/>
      <x:c r="AJ282" s="88" t="s">
        <x:v>2574</x:v>
      </x:c>
      <x:c r="AK282" s="88" t="s">
        <x:v>2575</x:v>
      </x:c>
      <x:c r="AL282" s="88" t="s">
        <x:v>185</x:v>
      </x:c>
      <x:c r="AM282" s="88"/>
      <x:c r="AN282" s="88" t="s">
        <x:v>391</x:v>
      </x:c>
      <x:c r="AO282" s="88">
        <x:v>0</x:v>
      </x:c>
    </x:row>
    <x:row r="283">
      <x:c r="A283" s="88" t="s">
        <x:v>2576</x:v>
      </x:c>
      <x:c r="B283" s="88" t="s">
        <x:v>2577</x:v>
      </x:c>
      <x:c r="C283" s="88" t="s">
        <x:v>2578</x:v>
      </x:c>
      <x:c r="D283" s="88" t="s">
        <x:v>248</x:v>
      </x:c>
      <x:c r="E283" s="88" t="s">
        <x:v>249</x:v>
      </x:c>
      <x:c r="F283" s="89">
        <x:v>46213.075873055554</x:v>
      </x:c>
      <x:c r="G283" s="89">
        <x:v>46248.322439039352</x:v>
      </x:c>
      <x:c r="H283" s="89">
        <x:v>46216.40272121528</x:v>
      </x:c>
      <x:c r="I283" s="88" t="s">
        <x:v>2579</x:v>
      </x:c>
      <x:c r="J283" s="88" t="s">
        <x:v>2580</x:v>
      </x:c>
      <x:c r="K283" s="88" t="s">
        <x:v>380</x:v>
      </x:c>
      <x:c r="L283" s="88" t="s">
        <x:v>2581</x:v>
      </x:c>
      <x:c r="M283" s="88" t="s">
        <x:v>2582</x:v>
      </x:c>
      <x:c r="N283" s="88"/>
      <x:c r="O283" s="88"/>
      <x:c r="P283" s="88" t="s">
        <x:v>2583</x:v>
      </x:c>
      <x:c r="Q283" s="88" t="s">
        <x:v>269</x:v>
      </x:c>
      <x:c r="R283" s="88" t="s">
        <x:v>257</x:v>
      </x:c>
      <x:c r="S283" s="88"/>
      <x:c r="T283" s="88" t="s">
        <x:v>259</x:v>
      </x:c>
      <x:c r="U283" s="88" t="s">
        <x:v>2578</x:v>
      </x:c>
      <x:c r="V283" s="89">
        <x:v>46217.082337268519</x:v>
      </x:c>
      <x:c r="W283" s="88" t="s">
        <x:v>2584</x:v>
      </x:c>
      <x:c r="X283" s="88" t="s">
        <x:v>259</x:v>
      </x:c>
      <x:c r="Y283" s="88" t="s">
        <x:v>309</x:v>
      </x:c>
      <x:c r="Z283" s="89">
        <x:v>46248.321923344905</x:v>
      </x:c>
      <x:c r="AA283" s="88" t="s">
        <x:v>2585</x:v>
      </x:c>
      <x:c r="AB283" s="88" t="s">
        <x:v>249</x:v>
      </x:c>
      <x:c r="AC283" s="88" t="s">
        <x:v>309</x:v>
      </x:c>
      <x:c r="AD283" s="89">
        <x:v>46248.322439039352</x:v>
      </x:c>
      <x:c r="AE283" s="88" t="s">
        <x:v>2585</x:v>
      </x:c>
      <x:c r="AF283" s="88"/>
      <x:c r="AG283" s="88" t="s">
        <x:v>273</x:v>
      </x:c>
      <x:c r="AH283" s="89"/>
      <x:c r="AI283" s="88"/>
      <x:c r="AJ283" s="88" t="s">
        <x:v>2586</x:v>
      </x:c>
      <x:c r="AK283" s="88">
        <x:v>955</x:v>
      </x:c>
      <x:c r="AL283" s="88"/>
      <x:c r="AM283" s="88"/>
      <x:c r="AN283" s="88" t="s">
        <x:v>414</x:v>
      </x:c>
      <x:c r="AO283" s="88"/>
    </x:row>
    <x:row r="284">
      <x:c r="A284" s="88" t="s">
        <x:v>2587</x:v>
      </x:c>
      <x:c r="B284" s="88" t="s">
        <x:v>2588</x:v>
      </x:c>
      <x:c r="C284" s="88" t="s">
        <x:v>2589</x:v>
      </x:c>
      <x:c r="D284" s="88" t="s">
        <x:v>248</x:v>
      </x:c>
      <x:c r="E284" s="88" t="s">
        <x:v>372</x:v>
      </x:c>
      <x:c r="F284" s="89">
        <x:v>46213.096720682872</x:v>
      </x:c>
      <x:c r="G284" s="89">
        <x:v>46213.097909247685</x:v>
      </x:c>
      <x:c r="H284" s="89">
        <x:v>46213.096720682872</x:v>
      </x:c>
      <x:c r="I284" s="88" t="s">
        <x:v>2590</x:v>
      </x:c>
      <x:c r="J284" s="88" t="s">
        <x:v>2591</x:v>
      </x:c>
      <x:c r="K284" s="88" t="s">
        <x:v>380</x:v>
      </x:c>
      <x:c r="L284" s="88" t="s">
        <x:v>498</x:v>
      </x:c>
      <x:c r="M284" s="88" t="s">
        <x:v>2592</x:v>
      </x:c>
      <x:c r="N284" s="88" t="s">
        <x:v>2593</x:v>
      </x:c>
      <x:c r="O284" s="88"/>
      <x:c r="P284" s="88" t="s">
        <x:v>2594</x:v>
      </x:c>
      <x:c r="Q284" s="88" t="s">
        <x:v>323</x:v>
      </x:c>
      <x:c r="R284" s="88" t="s">
        <x:v>283</x:v>
      </x:c>
      <x:c r="S284" s="88"/>
      <x:c r="T284" s="88" t="s">
        <x:v>259</x:v>
      </x:c>
      <x:c r="U284" s="88" t="s">
        <x:v>2589</x:v>
      </x:c>
      <x:c r="V284" s="89">
        <x:v>46213.097909247685</x:v>
      </x:c>
      <x:c r="W284" s="88" t="s">
        <x:v>2595</x:v>
      </x:c>
      <x:c r="X284" s="88"/>
      <x:c r="Y284" s="88" t="s">
        <x:v>2596</x:v>
      </x:c>
      <x:c r="Z284" s="89"/>
      <x:c r="AA284" s="88"/>
      <x:c r="AB284" s="88"/>
      <x:c r="AC284" s="88" t="s">
        <x:v>2488</x:v>
      </x:c>
      <x:c r="AD284" s="89"/>
      <x:c r="AE284" s="88"/>
      <x:c r="AF284" s="88"/>
      <x:c r="AG284" s="88" t="s">
        <x:v>173</x:v>
      </x:c>
      <x:c r="AH284" s="89"/>
      <x:c r="AI284" s="88"/>
      <x:c r="AJ284" s="88" t="s">
        <x:v>2597</x:v>
      </x:c>
      <x:c r="AK284" s="88">
        <x:v>4201</x:v>
      </x:c>
      <x:c r="AL284" s="88"/>
      <x:c r="AM284" s="88"/>
      <x:c r="AN284" s="88" t="s">
        <x:v>414</x:v>
      </x:c>
      <x:c r="AO284" s="88">
        <x:v>30</x:v>
      </x:c>
    </x:row>
    <x:row r="285">
      <x:c r="A285" s="88" t="s">
        <x:v>2598</x:v>
      </x:c>
      <x:c r="B285" s="88" t="s">
        <x:v>2599</x:v>
      </x:c>
      <x:c r="C285" s="88" t="s">
        <x:v>1219</x:v>
      </x:c>
      <x:c r="D285" s="88" t="s">
        <x:v>248</x:v>
      </x:c>
      <x:c r="E285" s="88" t="s">
        <x:v>329</x:v>
      </x:c>
      <x:c r="F285" s="89">
        <x:v>46213.153485821756</x:v>
      </x:c>
      <x:c r="G285" s="89">
        <x:v>46222.859591030094</x:v>
      </x:c>
      <x:c r="H285" s="89">
        <x:v>46213.153485821756</x:v>
      </x:c>
      <x:c r="I285" s="88" t="s">
        <x:v>1068</x:v>
      </x:c>
      <x:c r="J285" s="88" t="s">
        <x:v>1069</x:v>
      </x:c>
      <x:c r="K285" s="88" t="s">
        <x:v>266</x:v>
      </x:c>
      <x:c r="L285" s="88"/>
      <x:c r="M285" s="88" t="s">
        <x:v>482</x:v>
      </x:c>
      <x:c r="N285" s="88"/>
      <x:c r="O285" s="88"/>
      <x:c r="P285" s="88" t="s">
        <x:v>680</x:v>
      </x:c>
      <x:c r="Q285" s="88" t="s">
        <x:v>256</x:v>
      </x:c>
      <x:c r="R285" s="88" t="s">
        <x:v>363</x:v>
      </x:c>
      <x:c r="S285" s="88"/>
      <x:c r="T285" s="88" t="s">
        <x:v>259</x:v>
      </x:c>
      <x:c r="U285" s="88" t="s">
        <x:v>1219</x:v>
      </x:c>
      <x:c r="V285" s="89">
        <x:v>46213.15433578704</x:v>
      </x:c>
      <x:c r="W285" s="88" t="s">
        <x:v>680</x:v>
      </x:c>
      <x:c r="X285" s="88" t="s">
        <x:v>259</x:v>
      </x:c>
      <x:c r="Y285" s="88" t="s">
        <x:v>482</x:v>
      </x:c>
      <x:c r="Z285" s="89">
        <x:v>46219.126527997687</x:v>
      </x:c>
      <x:c r="AA285" s="88" t="s">
        <x:v>680</x:v>
      </x:c>
      <x:c r="AB285" s="88" t="s">
        <x:v>259</x:v>
      </x:c>
      <x:c r="AC285" s="88" t="s">
        <x:v>111</x:v>
      </x:c>
      <x:c r="AD285" s="89">
        <x:v>46222.85959104167</x:v>
      </x:c>
      <x:c r="AE285" s="88" t="s">
        <x:v>2600</x:v>
      </x:c>
      <x:c r="AF285" s="88"/>
      <x:c r="AG285" s="88" t="s">
        <x:v>131</x:v>
      </x:c>
      <x:c r="AH285" s="89"/>
      <x:c r="AI285" s="88"/>
      <x:c r="AJ285" s="88" t="s">
        <x:v>1077</x:v>
      </x:c>
      <x:c r="AK285" s="88">
        <x:v>3374</x:v>
      </x:c>
      <x:c r="AL285" s="88" t="s">
        <x:v>193</x:v>
      </x:c>
      <x:c r="AM285" s="88" t="s">
        <x:v>2601</x:v>
      </x:c>
      <x:c r="AN285" s="88" t="s">
        <x:v>369</x:v>
      </x:c>
      <x:c r="AO285" s="88">
        <x:v>0</x:v>
      </x:c>
    </x:row>
    <x:row r="286">
      <x:c r="A286" s="88" t="s">
        <x:v>2602</x:v>
      </x:c>
      <x:c r="B286" s="88" t="s">
        <x:v>2603</x:v>
      </x:c>
      <x:c r="C286" s="88" t="s">
        <x:v>1446</x:v>
      </x:c>
      <x:c r="D286" s="88" t="s">
        <x:v>248</x:v>
      </x:c>
      <x:c r="E286" s="88" t="s">
        <x:v>372</x:v>
      </x:c>
      <x:c r="F286" s="89">
        <x:v>46216.196199583334</x:v>
      </x:c>
      <x:c r="G286" s="89">
        <x:v>46231.183565902778</x:v>
      </x:c>
      <x:c r="H286" s="89">
        <x:v>46216.196199583334</x:v>
      </x:c>
      <x:c r="I286" s="88" t="s">
        <x:v>2604</x:v>
      </x:c>
      <x:c r="J286" s="88" t="s">
        <x:v>2605</x:v>
      </x:c>
      <x:c r="K286" s="88" t="s">
        <x:v>266</x:v>
      </x:c>
      <x:c r="L286" s="88"/>
      <x:c r="M286" s="88" t="s">
        <x:v>2606</x:v>
      </x:c>
      <x:c r="N286" s="88"/>
      <x:c r="O286" s="88"/>
      <x:c r="P286" s="88" t="s">
        <x:v>2607</x:v>
      </x:c>
      <x:c r="Q286" s="88" t="s">
        <x:v>323</x:v>
      </x:c>
      <x:c r="R286" s="88" t="s">
        <x:v>257</x:v>
      </x:c>
      <x:c r="S286" s="88"/>
      <x:c r="T286" s="88" t="s">
        <x:v>259</x:v>
      </x:c>
      <x:c r="U286" s="88" t="s">
        <x:v>1446</x:v>
      </x:c>
      <x:c r="V286" s="89">
        <x:v>46231.183565902778</x:v>
      </x:c>
      <x:c r="W286" s="88" t="s">
        <x:v>2608</x:v>
      </x:c>
      <x:c r="X286" s="88"/>
      <x:c r="Y286" s="88" t="s">
        <x:v>2606</x:v>
      </x:c>
      <x:c r="Z286" s="89"/>
      <x:c r="AA286" s="88"/>
      <x:c r="AB286" s="88"/>
      <x:c r="AC286" s="88" t="s">
        <x:v>2488</x:v>
      </x:c>
      <x:c r="AD286" s="89"/>
      <x:c r="AE286" s="88"/>
      <x:c r="AF286" s="88"/>
      <x:c r="AG286" s="88" t="s">
        <x:v>173</x:v>
      </x:c>
      <x:c r="AH286" s="89"/>
      <x:c r="AI286" s="88"/>
      <x:c r="AJ286" s="88" t="s">
        <x:v>2609</x:v>
      </x:c>
      <x:c r="AK286" s="88" t="s">
        <x:v>2610</x:v>
      </x:c>
      <x:c r="AL286" s="88"/>
      <x:c r="AM286" s="88"/>
      <x:c r="AN286" s="88" t="s">
        <x:v>391</x:v>
      </x:c>
      <x:c r="AO286" s="88">
        <x:v>0</x:v>
      </x:c>
    </x:row>
    <x:row r="287">
      <x:c r="A287" s="88" t="s">
        <x:v>2611</x:v>
      </x:c>
      <x:c r="B287" s="88" t="s">
        <x:v>2612</x:v>
      </x:c>
      <x:c r="C287" s="88" t="s">
        <x:v>479</x:v>
      </x:c>
      <x:c r="D287" s="88" t="s">
        <x:v>248</x:v>
      </x:c>
      <x:c r="E287" s="88" t="s">
        <x:v>329</x:v>
      </x:c>
      <x:c r="F287" s="89">
        <x:v>46216.363403877316</x:v>
      </x:c>
      <x:c r="G287" s="89">
        <x:v>46222.859134328704</x:v>
      </x:c>
      <x:c r="H287" s="89">
        <x:v>46216.363403877316</x:v>
      </x:c>
      <x:c r="I287" s="88" t="s">
        <x:v>2613</x:v>
      </x:c>
      <x:c r="J287" s="88" t="s">
        <x:v>2614</x:v>
      </x:c>
      <x:c r="K287" s="88" t="s">
        <x:v>266</x:v>
      </x:c>
      <x:c r="L287" s="88"/>
      <x:c r="M287" s="88" t="s">
        <x:v>482</x:v>
      </x:c>
      <x:c r="N287" s="88" t="s">
        <x:v>498</x:v>
      </x:c>
      <x:c r="O287" s="88">
        <x:v>1802</x:v>
      </x:c>
      <x:c r="P287" s="88" t="s">
        <x:v>2615</x:v>
      </x:c>
      <x:c r="Q287" s="88" t="s">
        <x:v>256</x:v>
      </x:c>
      <x:c r="R287" s="88" t="s">
        <x:v>363</x:v>
      </x:c>
      <x:c r="S287" s="88"/>
      <x:c r="T287" s="88" t="s">
        <x:v>259</x:v>
      </x:c>
      <x:c r="U287" s="88" t="s">
        <x:v>479</x:v>
      </x:c>
      <x:c r="V287" s="89">
        <x:v>46216.365481967594</x:v>
      </x:c>
      <x:c r="W287" s="88" t="s">
        <x:v>2616</x:v>
      </x:c>
      <x:c r="X287" s="88" t="s">
        <x:v>259</x:v>
      </x:c>
      <x:c r="Y287" s="88" t="s">
        <x:v>482</x:v>
      </x:c>
      <x:c r="Z287" s="89">
        <x:v>46217.141275601854</x:v>
      </x:c>
      <x:c r="AA287" s="88" t="s">
        <x:v>2615</x:v>
      </x:c>
      <x:c r="AB287" s="88" t="s">
        <x:v>259</x:v>
      </x:c>
      <x:c r="AC287" s="88" t="s">
        <x:v>111</x:v>
      </x:c>
      <x:c r="AD287" s="89">
        <x:v>46222.85913434028</x:v>
      </x:c>
      <x:c r="AE287" s="88" t="s">
        <x:v>2333</x:v>
      </x:c>
      <x:c r="AF287" s="88"/>
      <x:c r="AG287" s="88" t="s">
        <x:v>203</x:v>
      </x:c>
      <x:c r="AH287" s="89"/>
      <x:c r="AI287" s="88"/>
      <x:c r="AJ287" s="88" t="s">
        <x:v>2617</x:v>
      </x:c>
      <x:c r="AK287" s="88">
        <x:v>1802</x:v>
      </x:c>
      <x:c r="AL287" s="88" t="s">
        <x:v>185</x:v>
      </x:c>
      <x:c r="AM287" s="88" t="s">
        <x:v>2618</x:v>
      </x:c>
      <x:c r="AN287" s="88" t="s">
        <x:v>369</x:v>
      </x:c>
      <x:c r="AO287" s="88">
        <x:v>0</x:v>
      </x:c>
    </x:row>
    <x:row r="288">
      <x:c r="A288" s="88" t="s">
        <x:v>2619</x:v>
      </x:c>
      <x:c r="B288" s="88" t="s">
        <x:v>2620</x:v>
      </x:c>
      <x:c r="C288" s="88" t="s">
        <x:v>318</x:v>
      </x:c>
      <x:c r="D288" s="88" t="s">
        <x:v>248</x:v>
      </x:c>
      <x:c r="E288" s="88" t="s">
        <x:v>278</x:v>
      </x:c>
      <x:c r="F288" s="89">
        <x:v>46217.161714108799</x:v>
      </x:c>
      <x:c r="G288" s="89">
        <x:v>46217.328436122683</x:v>
      </x:c>
      <x:c r="H288" s="89">
        <x:v>46217.282111898145</x:v>
      </x:c>
      <x:c r="I288" s="88" t="s">
        <x:v>2621</x:v>
      </x:c>
      <x:c r="J288" s="88" t="s">
        <x:v>2622</x:v>
      </x:c>
      <x:c r="K288" s="88" t="s">
        <x:v>380</x:v>
      </x:c>
      <x:c r="L288" s="88" t="s">
        <x:v>543</x:v>
      </x:c>
      <x:c r="M288" s="88" t="s">
        <x:v>321</x:v>
      </x:c>
      <x:c r="N288" s="88" t="s">
        <x:v>2623</x:v>
      </x:c>
      <x:c r="O288" s="88"/>
      <x:c r="P288" s="88" t="s">
        <x:v>2624</x:v>
      </x:c>
      <x:c r="Q288" s="88" t="s">
        <x:v>323</x:v>
      </x:c>
      <x:c r="R288" s="88" t="s">
        <x:v>283</x:v>
      </x:c>
      <x:c r="S288" s="88"/>
      <x:c r="T288" s="88" t="s">
        <x:v>249</x:v>
      </x:c>
      <x:c r="U288" s="88" t="s">
        <x:v>318</x:v>
      </x:c>
      <x:c r="V288" s="89">
        <x:v>46217.328436134259</x:v>
      </x:c>
      <x:c r="W288" s="88"/>
      <x:c r="X288" s="88"/>
      <x:c r="Y288" s="88" t="s">
        <x:v>324</x:v>
      </x:c>
      <x:c r="Z288" s="89"/>
      <x:c r="AA288" s="88"/>
      <x:c r="AB288" s="88"/>
      <x:c r="AC288" s="88" t="s">
        <x:v>273</x:v>
      </x:c>
      <x:c r="AD288" s="89"/>
      <x:c r="AE288" s="88"/>
      <x:c r="AF288" s="88"/>
      <x:c r="AG288" s="88" t="s">
        <x:v>273</x:v>
      </x:c>
      <x:c r="AH288" s="89"/>
      <x:c r="AI288" s="88"/>
      <x:c r="AJ288" s="88" t="s">
        <x:v>2625</x:v>
      </x:c>
      <x:c r="AK288" s="88">
        <x:v>3823</x:v>
      </x:c>
      <x:c r="AL288" s="88"/>
      <x:c r="AM288" s="88"/>
      <x:c r="AN288" s="88" t="s">
        <x:v>391</x:v>
      </x:c>
      <x:c r="AO288" s="88">
        <x:v>0</x:v>
      </x:c>
    </x:row>
    <x:row r="289">
      <x:c r="A289" s="88" t="s">
        <x:v>2626</x:v>
      </x:c>
      <x:c r="B289" s="88" t="s">
        <x:v>2627</x:v>
      </x:c>
      <x:c r="C289" s="88" t="s">
        <x:v>318</x:v>
      </x:c>
      <x:c r="D289" s="88" t="s">
        <x:v>248</x:v>
      </x:c>
      <x:c r="E289" s="88" t="s">
        <x:v>278</x:v>
      </x:c>
      <x:c r="F289" s="89">
        <x:v>46217.28798079861</x:v>
      </x:c>
      <x:c r="G289" s="89">
        <x:v>46217.400406932873</x:v>
      </x:c>
      <x:c r="H289" s="89">
        <x:v>46217.28798079861</x:v>
      </x:c>
      <x:c r="I289" s="88" t="s">
        <x:v>2621</x:v>
      </x:c>
      <x:c r="J289" s="88" t="s">
        <x:v>2628</x:v>
      </x:c>
      <x:c r="K289" s="88" t="s">
        <x:v>380</x:v>
      </x:c>
      <x:c r="L289" s="88" t="s">
        <x:v>543</x:v>
      </x:c>
      <x:c r="M289" s="88" t="s">
        <x:v>321</x:v>
      </x:c>
      <x:c r="N289" s="88" t="s">
        <x:v>2629</x:v>
      </x:c>
      <x:c r="O289" s="88"/>
      <x:c r="P289" s="88" t="s">
        <x:v>2624</x:v>
      </x:c>
      <x:c r="Q289" s="88" t="s">
        <x:v>323</x:v>
      </x:c>
      <x:c r="R289" s="88" t="s">
        <x:v>283</x:v>
      </x:c>
      <x:c r="S289" s="88"/>
      <x:c r="T289" s="88" t="s">
        <x:v>249</x:v>
      </x:c>
      <x:c r="U289" s="88" t="s">
        <x:v>318</x:v>
      </x:c>
      <x:c r="V289" s="89">
        <x:v>46217.400406944442</x:v>
      </x:c>
      <x:c r="W289" s="88"/>
      <x:c r="X289" s="88"/>
      <x:c r="Y289" s="88" t="s">
        <x:v>324</x:v>
      </x:c>
      <x:c r="Z289" s="89"/>
      <x:c r="AA289" s="88"/>
      <x:c r="AB289" s="88"/>
      <x:c r="AC289" s="88" t="s">
        <x:v>2488</x:v>
      </x:c>
      <x:c r="AD289" s="89"/>
      <x:c r="AE289" s="88"/>
      <x:c r="AF289" s="88"/>
      <x:c r="AG289" s="88" t="s">
        <x:v>173</x:v>
      </x:c>
      <x:c r="AH289" s="89"/>
      <x:c r="AI289" s="88"/>
      <x:c r="AJ289" s="88" t="s">
        <x:v>2625</x:v>
      </x:c>
      <x:c r="AK289" s="88">
        <x:v>176</x:v>
      </x:c>
      <x:c r="AL289" s="88"/>
      <x:c r="AM289" s="88"/>
      <x:c r="AN289" s="88" t="s">
        <x:v>391</x:v>
      </x:c>
      <x:c r="AO289" s="88">
        <x:v>0</x:v>
      </x:c>
    </x:row>
    <x:row r="290">
      <x:c r="A290" s="88" t="s">
        <x:v>2630</x:v>
      </x:c>
      <x:c r="B290" s="88" t="s">
        <x:v>2631</x:v>
      </x:c>
      <x:c r="C290" s="88" t="s">
        <x:v>318</x:v>
      </x:c>
      <x:c r="D290" s="88" t="s">
        <x:v>248</x:v>
      </x:c>
      <x:c r="E290" s="88" t="s">
        <x:v>342</x:v>
      </x:c>
      <x:c r="F290" s="89">
        <x:v>46217.332905636576</x:v>
      </x:c>
      <x:c r="G290" s="89">
        <x:v>46248.729913634263</x:v>
      </x:c>
      <x:c r="H290" s="89">
        <x:v>46217.332905636576</x:v>
      </x:c>
      <x:c r="I290" s="88" t="s">
        <x:v>2621</x:v>
      </x:c>
      <x:c r="J290" s="88" t="s">
        <x:v>2628</x:v>
      </x:c>
      <x:c r="K290" s="88" t="s">
        <x:v>380</x:v>
      </x:c>
      <x:c r="L290" s="88" t="s">
        <x:v>543</x:v>
      </x:c>
      <x:c r="M290" s="88" t="s">
        <x:v>321</x:v>
      </x:c>
      <x:c r="N290" s="88" t="s">
        <x:v>2629</x:v>
      </x:c>
      <x:c r="O290" s="88"/>
      <x:c r="P290" s="88" t="s">
        <x:v>2624</x:v>
      </x:c>
      <x:c r="Q290" s="88" t="s">
        <x:v>323</x:v>
      </x:c>
      <x:c r="R290" s="88" t="s">
        <x:v>283</x:v>
      </x:c>
      <x:c r="S290" s="88"/>
      <x:c r="T290" s="88" t="s">
        <x:v>259</x:v>
      </x:c>
      <x:c r="U290" s="88" t="s">
        <x:v>318</x:v>
      </x:c>
      <x:c r="V290" s="89">
        <x:v>46217.399275104166</x:v>
      </x:c>
      <x:c r="W290" s="88" t="s">
        <x:v>2632</x:v>
      </x:c>
      <x:c r="X290" s="88" t="s">
        <x:v>259</x:v>
      </x:c>
      <x:c r="Y290" s="88" t="s">
        <x:v>324</x:v>
      </x:c>
      <x:c r="Z290" s="89">
        <x:v>46220.100748761572</x:v>
      </x:c>
      <x:c r="AA290" s="88" t="s">
        <x:v>2633</x:v>
      </x:c>
      <x:c r="AB290" s="88" t="s">
        <x:v>259</x:v>
      </x:c>
      <x:c r="AC290" s="88" t="s">
        <x:v>111</x:v>
      </x:c>
      <x:c r="AD290" s="89">
        <x:v>46230.161696701391</x:v>
      </x:c>
      <x:c r="AE290" s="88" t="s">
        <x:v>385</x:v>
      </x:c>
      <x:c r="AF290" s="88" t="s">
        <x:v>259</x:v>
      </x:c>
      <x:c r="AG290" s="88" t="s">
        <x:v>129</x:v>
      </x:c>
      <x:c r="AH290" s="89">
        <x:v>46248.729913634263</x:v>
      </x:c>
      <x:c r="AI290" s="88" t="s">
        <x:v>2634</x:v>
      </x:c>
      <x:c r="AJ290" s="88" t="s">
        <x:v>2625</x:v>
      </x:c>
      <x:c r="AK290" s="88">
        <x:v>176</x:v>
      </x:c>
      <x:c r="AL290" s="88" t="s">
        <x:v>185</x:v>
      </x:c>
      <x:c r="AM290" s="88" t="s">
        <x:v>2635</x:v>
      </x:c>
      <x:c r="AN290" s="88" t="s">
        <x:v>391</x:v>
      </x:c>
      <x:c r="AO290" s="88">
        <x:v>0</x:v>
      </x:c>
    </x:row>
    <x:row r="291">
      <x:c r="A291" s="88" t="s">
        <x:v>2636</x:v>
      </x:c>
      <x:c r="B291" s="88" t="s">
        <x:v>2637</x:v>
      </x:c>
      <x:c r="C291" s="88" t="s">
        <x:v>2638</x:v>
      </x:c>
      <x:c r="D291" s="88" t="s">
        <x:v>248</x:v>
      </x:c>
      <x:c r="E291" s="88" t="s">
        <x:v>278</x:v>
      </x:c>
      <x:c r="F291" s="89">
        <x:v>46218.174622199076</x:v>
      </x:c>
      <x:c r="G291" s="89">
        <x:v>46218.178213090279</x:v>
      </x:c>
      <x:c r="H291" s="89">
        <x:v>46218.174622199076</x:v>
      </x:c>
      <x:c r="I291" s="88" t="s">
        <x:v>2639</x:v>
      </x:c>
      <x:c r="J291" s="88" t="s">
        <x:v>2640</x:v>
      </x:c>
      <x:c r="K291" s="88" t="s">
        <x:v>266</x:v>
      </x:c>
      <x:c r="L291" s="88"/>
      <x:c r="M291" s="88" t="s">
        <x:v>2641</x:v>
      </x:c>
      <x:c r="N291" s="88"/>
      <x:c r="O291" s="88"/>
      <x:c r="P291" s="88" t="s">
        <x:v>2642</x:v>
      </x:c>
      <x:c r="Q291" s="88" t="s">
        <x:v>256</x:v>
      </x:c>
      <x:c r="R291" s="88" t="s">
        <x:v>283</x:v>
      </x:c>
      <x:c r="S291" s="88"/>
      <x:c r="T291" s="88" t="s">
        <x:v>249</x:v>
      </x:c>
      <x:c r="U291" s="88" t="s">
        <x:v>2638</x:v>
      </x:c>
      <x:c r="V291" s="89">
        <x:v>46218.178213113424</x:v>
      </x:c>
      <x:c r="W291" s="88"/>
      <x:c r="X291" s="88"/>
      <x:c r="Y291" s="88" t="s">
        <x:v>2641</x:v>
      </x:c>
      <x:c r="Z291" s="89"/>
      <x:c r="AA291" s="88"/>
      <x:c r="AB291" s="88"/>
      <x:c r="AC291" s="88" t="s">
        <x:v>2488</x:v>
      </x:c>
      <x:c r="AD291" s="89"/>
      <x:c r="AE291" s="88"/>
      <x:c r="AF291" s="88"/>
      <x:c r="AG291" s="88" t="s">
        <x:v>173</x:v>
      </x:c>
      <x:c r="AH291" s="89"/>
      <x:c r="AI291" s="88"/>
      <x:c r="AJ291" s="88" t="s">
        <x:v>2643</x:v>
      </x:c>
      <x:c r="AK291" s="88" t="s">
        <x:v>2644</x:v>
      </x:c>
      <x:c r="AL291" s="88"/>
      <x:c r="AM291" s="88"/>
      <x:c r="AN291" s="88" t="s">
        <x:v>369</x:v>
      </x:c>
      <x:c r="AO291" s="88">
        <x:v>0</x:v>
      </x:c>
    </x:row>
    <x:row r="292">
      <x:c r="A292" s="88" t="s">
        <x:v>2645</x:v>
      </x:c>
      <x:c r="B292" s="88" t="s">
        <x:v>2646</x:v>
      </x:c>
      <x:c r="C292" s="88" t="s">
        <x:v>554</x:v>
      </x:c>
      <x:c r="D292" s="88" t="s">
        <x:v>248</x:v>
      </x:c>
      <x:c r="E292" s="88" t="s">
        <x:v>329</x:v>
      </x:c>
      <x:c r="F292" s="89">
        <x:v>46219.115175960651</x:v>
      </x:c>
      <x:c r="G292" s="89">
        <x:v>46222.85863195602</x:v>
      </x:c>
      <x:c r="H292" s="89">
        <x:v>46219.115175960651</x:v>
      </x:c>
      <x:c r="I292" s="88" t="s">
        <x:v>2647</x:v>
      </x:c>
      <x:c r="J292" s="88" t="s">
        <x:v>2648</x:v>
      </x:c>
      <x:c r="K292" s="88" t="s">
        <x:v>266</x:v>
      </x:c>
      <x:c r="L292" s="88"/>
      <x:c r="M292" s="88" t="s">
        <x:v>482</x:v>
      </x:c>
      <x:c r="N292" s="88"/>
      <x:c r="O292" s="88"/>
      <x:c r="P292" s="88" t="s">
        <x:v>680</x:v>
      </x:c>
      <x:c r="Q292" s="88" t="s">
        <x:v>256</x:v>
      </x:c>
      <x:c r="R292" s="88" t="s">
        <x:v>363</x:v>
      </x:c>
      <x:c r="S292" s="88"/>
      <x:c r="T292" s="88" t="s">
        <x:v>259</x:v>
      </x:c>
      <x:c r="U292" s="88" t="s">
        <x:v>554</x:v>
      </x:c>
      <x:c r="V292" s="89">
        <x:v>46219.118473842595</x:v>
      </x:c>
      <x:c r="W292" s="88" t="s">
        <x:v>680</x:v>
      </x:c>
      <x:c r="X292" s="88" t="s">
        <x:v>259</x:v>
      </x:c>
      <x:c r="Y292" s="88" t="s">
        <x:v>482</x:v>
      </x:c>
      <x:c r="Z292" s="89">
        <x:v>46219.147912118053</x:v>
      </x:c>
      <x:c r="AA292" s="88" t="s">
        <x:v>680</x:v>
      </x:c>
      <x:c r="AB292" s="88" t="s">
        <x:v>259</x:v>
      </x:c>
      <x:c r="AC292" s="88" t="s">
        <x:v>111</x:v>
      </x:c>
      <x:c r="AD292" s="89">
        <x:v>46222.858631967596</x:v>
      </x:c>
      <x:c r="AE292" s="88" t="s">
        <x:v>2600</x:v>
      </x:c>
      <x:c r="AF292" s="88"/>
      <x:c r="AG292" s="88" t="s">
        <x:v>131</x:v>
      </x:c>
      <x:c r="AH292" s="89"/>
      <x:c r="AI292" s="88"/>
      <x:c r="AJ292" s="88" t="s">
        <x:v>2649</x:v>
      </x:c>
      <x:c r="AK292" s="88" t="s">
        <x:v>2650</x:v>
      </x:c>
      <x:c r="AL292" s="88" t="s">
        <x:v>185</x:v>
      </x:c>
      <x:c r="AM292" s="88" t="s">
        <x:v>2651</x:v>
      </x:c>
      <x:c r="AN292" s="88" t="s">
        <x:v>369</x:v>
      </x:c>
      <x:c r="AO292" s="88">
        <x:v>0</x:v>
      </x:c>
    </x:row>
    <x:row r="293">
      <x:c r="A293" s="88" t="s">
        <x:v>2652</x:v>
      </x:c>
      <x:c r="B293" s="88" t="s">
        <x:v>2653</x:v>
      </x:c>
      <x:c r="C293" s="88" t="s">
        <x:v>554</x:v>
      </x:c>
      <x:c r="D293" s="88" t="s">
        <x:v>248</x:v>
      </x:c>
      <x:c r="E293" s="88" t="s">
        <x:v>329</x:v>
      </x:c>
      <x:c r="F293" s="89">
        <x:v>46219.124604988428</x:v>
      </x:c>
      <x:c r="G293" s="89">
        <x:v>46222.858132997688</x:v>
      </x:c>
      <x:c r="H293" s="89">
        <x:v>46219.124604988428</x:v>
      </x:c>
      <x:c r="I293" s="88" t="s">
        <x:v>2647</x:v>
      </x:c>
      <x:c r="J293" s="88" t="s">
        <x:v>2648</x:v>
      </x:c>
      <x:c r="K293" s="88" t="s">
        <x:v>266</x:v>
      </x:c>
      <x:c r="L293" s="88"/>
      <x:c r="M293" s="88" t="s">
        <x:v>482</x:v>
      </x:c>
      <x:c r="N293" s="88"/>
      <x:c r="O293" s="88"/>
      <x:c r="P293" s="88" t="s">
        <x:v>680</x:v>
      </x:c>
      <x:c r="Q293" s="88" t="s">
        <x:v>256</x:v>
      </x:c>
      <x:c r="R293" s="88" t="s">
        <x:v>363</x:v>
      </x:c>
      <x:c r="S293" s="88"/>
      <x:c r="T293" s="88" t="s">
        <x:v>259</x:v>
      </x:c>
      <x:c r="U293" s="88" t="s">
        <x:v>554</x:v>
      </x:c>
      <x:c r="V293" s="89">
        <x:v>46219.125516192129</x:v>
      </x:c>
      <x:c r="W293" s="88" t="s">
        <x:v>680</x:v>
      </x:c>
      <x:c r="X293" s="88" t="s">
        <x:v>259</x:v>
      </x:c>
      <x:c r="Y293" s="88" t="s">
        <x:v>482</x:v>
      </x:c>
      <x:c r="Z293" s="89">
        <x:v>46219.191297280093</x:v>
      </x:c>
      <x:c r="AA293" s="88" t="s">
        <x:v>680</x:v>
      </x:c>
      <x:c r="AB293" s="88" t="s">
        <x:v>259</x:v>
      </x:c>
      <x:c r="AC293" s="88" t="s">
        <x:v>111</x:v>
      </x:c>
      <x:c r="AD293" s="89">
        <x:v>46222.858133009257</x:v>
      </x:c>
      <x:c r="AE293" s="88" t="s">
        <x:v>2333</x:v>
      </x:c>
      <x:c r="AF293" s="88"/>
      <x:c r="AG293" s="88" t="s">
        <x:v>203</x:v>
      </x:c>
      <x:c r="AH293" s="89"/>
      <x:c r="AI293" s="88"/>
      <x:c r="AJ293" s="88" t="s">
        <x:v>2649</x:v>
      </x:c>
      <x:c r="AK293" s="88" t="s">
        <x:v>2654</x:v>
      </x:c>
      <x:c r="AL293" s="88" t="s">
        <x:v>162</x:v>
      </x:c>
      <x:c r="AM293" s="88" t="s">
        <x:v>2655</x:v>
      </x:c>
      <x:c r="AN293" s="88" t="s">
        <x:v>369</x:v>
      </x:c>
      <x:c r="AO293" s="88">
        <x:v>0</x:v>
      </x:c>
    </x:row>
    <x:row r="294">
      <x:c r="A294" s="88" t="s">
        <x:v>2656</x:v>
      </x:c>
      <x:c r="B294" s="88" t="s">
        <x:v>2657</x:v>
      </x:c>
      <x:c r="C294" s="88" t="s">
        <x:v>554</x:v>
      </x:c>
      <x:c r="D294" s="88" t="s">
        <x:v>248</x:v>
      </x:c>
      <x:c r="E294" s="88" t="s">
        <x:v>342</x:v>
      </x:c>
      <x:c r="F294" s="89">
        <x:v>46219.140974224538</x:v>
      </x:c>
      <x:c r="G294" s="89">
        <x:v>46234.469157650463</x:v>
      </x:c>
      <x:c r="H294" s="89">
        <x:v>46219.140974224538</x:v>
      </x:c>
      <x:c r="I294" s="88" t="s">
        <x:v>2658</x:v>
      </x:c>
      <x:c r="J294" s="88" t="s">
        <x:v>2659</x:v>
      </x:c>
      <x:c r="K294" s="88" t="s">
        <x:v>266</x:v>
      </x:c>
      <x:c r="L294" s="88"/>
      <x:c r="M294" s="88" t="s">
        <x:v>482</x:v>
      </x:c>
      <x:c r="N294" s="88"/>
      <x:c r="O294" s="88"/>
      <x:c r="P294" s="88" t="s">
        <x:v>680</x:v>
      </x:c>
      <x:c r="Q294" s="88" t="s">
        <x:v>256</x:v>
      </x:c>
      <x:c r="R294" s="88" t="s">
        <x:v>363</x:v>
      </x:c>
      <x:c r="S294" s="88"/>
      <x:c r="T294" s="88" t="s">
        <x:v>259</x:v>
      </x:c>
      <x:c r="U294" s="88" t="s">
        <x:v>554</x:v>
      </x:c>
      <x:c r="V294" s="89">
        <x:v>46219.143414918981</x:v>
      </x:c>
      <x:c r="W294" s="88" t="s">
        <x:v>680</x:v>
      </x:c>
      <x:c r="X294" s="88" t="s">
        <x:v>259</x:v>
      </x:c>
      <x:c r="Y294" s="88" t="s">
        <x:v>482</x:v>
      </x:c>
      <x:c r="Z294" s="89">
        <x:v>46219.200832766204</x:v>
      </x:c>
      <x:c r="AA294" s="88" t="s">
        <x:v>680</x:v>
      </x:c>
      <x:c r="AB294" s="88" t="s">
        <x:v>259</x:v>
      </x:c>
      <x:c r="AC294" s="88" t="s">
        <x:v>111</x:v>
      </x:c>
      <x:c r="AD294" s="89">
        <x:v>46222.79978429398</x:v>
      </x:c>
      <x:c r="AE294" s="88" t="s">
        <x:v>335</x:v>
      </x:c>
      <x:c r="AF294" s="88" t="s">
        <x:v>259</x:v>
      </x:c>
      <x:c r="AG294" s="88" t="s">
        <x:v>131</x:v>
      </x:c>
      <x:c r="AH294" s="89">
        <x:v>46234.469157662039</x:v>
      </x:c>
      <x:c r="AI294" s="88" t="s">
        <x:v>2660</x:v>
      </x:c>
      <x:c r="AJ294" s="88" t="s">
        <x:v>2661</x:v>
      </x:c>
      <x:c r="AK294" s="88" t="s">
        <x:v>2662</x:v>
      </x:c>
      <x:c r="AL294" s="88" t="s">
        <x:v>193</x:v>
      </x:c>
      <x:c r="AM294" s="88" t="s">
        <x:v>2663</x:v>
      </x:c>
      <x:c r="AN294" s="88" t="s">
        <x:v>369</x:v>
      </x:c>
      <x:c r="AO294" s="88">
        <x:v>0</x:v>
      </x:c>
    </x:row>
    <x:row r="295">
      <x:c r="A295" s="88" t="s">
        <x:v>2664</x:v>
      </x:c>
      <x:c r="B295" s="88" t="s">
        <x:v>2665</x:v>
      </x:c>
      <x:c r="C295" s="88" t="s">
        <x:v>554</x:v>
      </x:c>
      <x:c r="D295" s="88" t="s">
        <x:v>248</x:v>
      </x:c>
      <x:c r="E295" s="88" t="s">
        <x:v>372</x:v>
      </x:c>
      <x:c r="F295" s="89">
        <x:v>46219.28086363426</x:v>
      </x:c>
      <x:c r="G295" s="89">
        <x:v>46219.28086363426</x:v>
      </x:c>
      <x:c r="H295" s="89">
        <x:v>46219.28086363426</x:v>
      </x:c>
      <x:c r="I295" s="88" t="s">
        <x:v>2666</x:v>
      </x:c>
      <x:c r="J295" s="88" t="s">
        <x:v>2667</x:v>
      </x:c>
      <x:c r="K295" s="88" t="s">
        <x:v>266</x:v>
      </x:c>
      <x:c r="L295" s="88"/>
      <x:c r="M295" s="88" t="s">
        <x:v>482</x:v>
      </x:c>
      <x:c r="N295" s="88"/>
      <x:c r="O295" s="88"/>
      <x:c r="P295" s="88" t="s">
        <x:v>680</x:v>
      </x:c>
      <x:c r="Q295" s="88" t="s">
        <x:v>256</x:v>
      </x:c>
      <x:c r="R295" s="88" t="s">
        <x:v>363</x:v>
      </x:c>
      <x:c r="S295" s="88"/>
      <x:c r="T295" s="88" t="s">
        <x:v>372</x:v>
      </x:c>
      <x:c r="U295" s="88" t="s">
        <x:v>554</x:v>
      </x:c>
      <x:c r="V295" s="89"/>
      <x:c r="W295" s="88"/>
      <x:c r="X295" s="88"/>
      <x:c r="Y295" s="88" t="s">
        <x:v>482</x:v>
      </x:c>
      <x:c r="Z295" s="89"/>
      <x:c r="AA295" s="88"/>
      <x:c r="AB295" s="88"/>
      <x:c r="AC295" s="88" t="s">
        <x:v>2488</x:v>
      </x:c>
      <x:c r="AD295" s="89"/>
      <x:c r="AE295" s="88"/>
      <x:c r="AF295" s="88"/>
      <x:c r="AG295" s="88" t="s">
        <x:v>173</x:v>
      </x:c>
      <x:c r="AH295" s="89"/>
      <x:c r="AI295" s="88"/>
      <x:c r="AJ295" s="88" t="s">
        <x:v>2668</x:v>
      </x:c>
      <x:c r="AK295" s="88" t="s">
        <x:v>2669</x:v>
      </x:c>
      <x:c r="AL295" s="88"/>
      <x:c r="AM295" s="88"/>
      <x:c r="AN295" s="88" t="s">
        <x:v>369</x:v>
      </x:c>
      <x:c r="AO295" s="88">
        <x:v>0</x:v>
      </x:c>
    </x:row>
    <x:row r="296">
      <x:c r="A296" s="88" t="s">
        <x:v>2670</x:v>
      </x:c>
      <x:c r="B296" s="88" t="s">
        <x:v>2671</x:v>
      </x:c>
      <x:c r="C296" s="88" t="s">
        <x:v>2672</x:v>
      </x:c>
      <x:c r="D296" s="88" t="s">
        <x:v>248</x:v>
      </x:c>
      <x:c r="E296" s="88" t="s">
        <x:v>372</x:v>
      </x:c>
      <x:c r="F296" s="89">
        <x:v>46219.326117708333</x:v>
      </x:c>
      <x:c r="G296" s="89">
        <x:v>46219.333588981484</x:v>
      </x:c>
      <x:c r="H296" s="89">
        <x:v>46219.326117708333</x:v>
      </x:c>
      <x:c r="I296" s="88" t="s">
        <x:v>2673</x:v>
      </x:c>
      <x:c r="J296" s="88" t="s">
        <x:v>2674</x:v>
      </x:c>
      <x:c r="K296" s="88" t="s">
        <x:v>266</x:v>
      </x:c>
      <x:c r="L296" s="88"/>
      <x:c r="M296" s="88" t="s">
        <x:v>2675</x:v>
      </x:c>
      <x:c r="N296" s="88"/>
      <x:c r="O296" s="88"/>
      <x:c r="P296" s="88" t="s">
        <x:v>2676</x:v>
      </x:c>
      <x:c r="Q296" s="88" t="s">
        <x:v>256</x:v>
      </x:c>
      <x:c r="R296" s="88" t="s">
        <x:v>283</x:v>
      </x:c>
      <x:c r="S296" s="88"/>
      <x:c r="T296" s="88" t="s">
        <x:v>259</x:v>
      </x:c>
      <x:c r="U296" s="88" t="s">
        <x:v>2672</x:v>
      </x:c>
      <x:c r="V296" s="89">
        <x:v>46219.333588993053</x:v>
      </x:c>
      <x:c r="W296" s="88" t="s">
        <x:v>2676</x:v>
      </x:c>
      <x:c r="X296" s="88"/>
      <x:c r="Y296" s="88" t="s">
        <x:v>2675</x:v>
      </x:c>
      <x:c r="Z296" s="89"/>
      <x:c r="AA296" s="88"/>
      <x:c r="AB296" s="88"/>
      <x:c r="AC296" s="88" t="s">
        <x:v>2488</x:v>
      </x:c>
      <x:c r="AD296" s="89"/>
      <x:c r="AE296" s="88"/>
      <x:c r="AF296" s="88"/>
      <x:c r="AG296" s="88" t="s">
        <x:v>173</x:v>
      </x:c>
      <x:c r="AH296" s="89"/>
      <x:c r="AI296" s="88"/>
      <x:c r="AJ296" s="88" t="s">
        <x:v>2677</x:v>
      </x:c>
      <x:c r="AK296" s="88" t="s">
        <x:v>2678</x:v>
      </x:c>
      <x:c r="AL296" s="88"/>
      <x:c r="AM296" s="88"/>
      <x:c r="AN296" s="88" t="s">
        <x:v>369</x:v>
      </x:c>
      <x:c r="AO296" s="88">
        <x:v>0</x:v>
      </x:c>
    </x:row>
    <x:row r="297">
      <x:c r="A297" s="88" t="s">
        <x:v>2679</x:v>
      </x:c>
      <x:c r="B297" s="88" t="s">
        <x:v>2680</x:v>
      </x:c>
      <x:c r="C297" s="88" t="s">
        <x:v>2681</x:v>
      </x:c>
      <x:c r="D297" s="88" t="s">
        <x:v>248</x:v>
      </x:c>
      <x:c r="E297" s="88" t="s">
        <x:v>329</x:v>
      </x:c>
      <x:c r="F297" s="89">
        <x:v>46219.351567094905</x:v>
      </x:c>
      <x:c r="G297" s="89">
        <x:v>46239.622196388889</x:v>
      </x:c>
      <x:c r="H297" s="89">
        <x:v>46219.351567094905</x:v>
      </x:c>
      <x:c r="I297" s="88" t="s">
        <x:v>2682</x:v>
      </x:c>
      <x:c r="J297" s="88" t="s">
        <x:v>2683</x:v>
      </x:c>
      <x:c r="K297" s="88" t="s">
        <x:v>266</x:v>
      </x:c>
      <x:c r="L297" s="88"/>
      <x:c r="M297" s="88" t="s">
        <x:v>482</x:v>
      </x:c>
      <x:c r="N297" s="88"/>
      <x:c r="O297" s="88"/>
      <x:c r="P297" s="88" t="s">
        <x:v>680</x:v>
      </x:c>
      <x:c r="Q297" s="88" t="s">
        <x:v>256</x:v>
      </x:c>
      <x:c r="R297" s="88" t="s">
        <x:v>363</x:v>
      </x:c>
      <x:c r="S297" s="88"/>
      <x:c r="T297" s="88" t="s">
        <x:v>259</x:v>
      </x:c>
      <x:c r="U297" s="88" t="s">
        <x:v>2681</x:v>
      </x:c>
      <x:c r="V297" s="89">
        <x:v>46219.369400162039</x:v>
      </x:c>
      <x:c r="W297" s="88" t="s">
        <x:v>680</x:v>
      </x:c>
      <x:c r="X297" s="88" t="s">
        <x:v>259</x:v>
      </x:c>
      <x:c r="Y297" s="88" t="s">
        <x:v>482</x:v>
      </x:c>
      <x:c r="Z297" s="89">
        <x:v>46230.111956064815</x:v>
      </x:c>
      <x:c r="AA297" s="88" t="s">
        <x:v>2684</x:v>
      </x:c>
      <x:c r="AB297" s="88" t="s">
        <x:v>259</x:v>
      </x:c>
      <x:c r="AC297" s="88" t="s">
        <x:v>111</x:v>
      </x:c>
      <x:c r="AD297" s="89">
        <x:v>46239.622196400465</x:v>
      </x:c>
      <x:c r="AE297" s="88" t="s">
        <x:v>259</x:v>
      </x:c>
      <x:c r="AF297" s="88"/>
      <x:c r="AG297" s="88" t="s">
        <x:v>129</x:v>
      </x:c>
      <x:c r="AH297" s="89"/>
      <x:c r="AI297" s="88"/>
      <x:c r="AJ297" s="88" t="s">
        <x:v>2685</x:v>
      </x:c>
      <x:c r="AK297" s="88">
        <x:v>1387</x:v>
      </x:c>
      <x:c r="AL297" s="88" t="s">
        <x:v>185</x:v>
      </x:c>
      <x:c r="AM297" s="88" t="s">
        <x:v>2686</x:v>
      </x:c>
      <x:c r="AN297" s="88" t="s">
        <x:v>369</x:v>
      </x:c>
      <x:c r="AO297" s="88">
        <x:v>0</x:v>
      </x:c>
    </x:row>
    <x:row r="298">
      <x:c r="A298" s="88" t="s">
        <x:v>2687</x:v>
      </x:c>
      <x:c r="B298" s="88" t="s">
        <x:v>2688</x:v>
      </x:c>
      <x:c r="C298" s="88" t="s">
        <x:v>318</x:v>
      </x:c>
      <x:c r="D298" s="88" t="s">
        <x:v>248</x:v>
      </x:c>
      <x:c r="E298" s="88" t="s">
        <x:v>372</x:v>
      </x:c>
      <x:c r="F298" s="89">
        <x:v>46224.313083935187</x:v>
      </x:c>
      <x:c r="G298" s="89">
        <x:v>46233.364008518518</x:v>
      </x:c>
      <x:c r="H298" s="89">
        <x:v>46224.313083935187</x:v>
      </x:c>
      <x:c r="I298" s="88" t="s">
        <x:v>2689</x:v>
      </x:c>
      <x:c r="J298" s="88" t="s">
        <x:v>2690</x:v>
      </x:c>
      <x:c r="K298" s="88" t="s">
        <x:v>380</x:v>
      </x:c>
      <x:c r="L298" s="88" t="s">
        <x:v>543</x:v>
      </x:c>
      <x:c r="M298" s="88" t="s">
        <x:v>321</x:v>
      </x:c>
      <x:c r="N298" s="88"/>
      <x:c r="O298" s="88"/>
      <x:c r="P298" s="88" t="s">
        <x:v>2691</x:v>
      </x:c>
      <x:c r="Q298" s="88" t="s">
        <x:v>256</x:v>
      </x:c>
      <x:c r="R298" s="88" t="s">
        <x:v>283</x:v>
      </x:c>
      <x:c r="S298" s="88"/>
      <x:c r="T298" s="88" t="s">
        <x:v>259</x:v>
      </x:c>
      <x:c r="U298" s="88" t="s">
        <x:v>318</x:v>
      </x:c>
      <x:c r="V298" s="89">
        <x:v>46233.364008530094</x:v>
      </x:c>
      <x:c r="W298" s="88" t="s">
        <x:v>2692</x:v>
      </x:c>
      <x:c r="X298" s="88"/>
      <x:c r="Y298" s="88" t="s">
        <x:v>324</x:v>
      </x:c>
      <x:c r="Z298" s="89"/>
      <x:c r="AA298" s="88"/>
      <x:c r="AB298" s="88"/>
      <x:c r="AC298" s="88" t="s">
        <x:v>2488</x:v>
      </x:c>
      <x:c r="AD298" s="89"/>
      <x:c r="AE298" s="88"/>
      <x:c r="AF298" s="88"/>
      <x:c r="AG298" s="88" t="s">
        <x:v>173</x:v>
      </x:c>
      <x:c r="AH298" s="89"/>
      <x:c r="AI298" s="88"/>
      <x:c r="AJ298" s="88" t="s">
        <x:v>2693</x:v>
      </x:c>
      <x:c r="AK298" s="88">
        <x:v>4620</x:v>
      </x:c>
      <x:c r="AL298" s="88"/>
      <x:c r="AM298" s="88"/>
      <x:c r="AN298" s="88" t="s">
        <x:v>369</x:v>
      </x:c>
      <x:c r="AO298" s="88">
        <x:v>0</x:v>
      </x:c>
    </x:row>
    <x:row r="299">
      <x:c r="A299" s="88" t="s">
        <x:v>2694</x:v>
      </x:c>
      <x:c r="B299" s="88" t="s">
        <x:v>2695</x:v>
      </x:c>
      <x:c r="C299" s="88" t="s">
        <x:v>554</x:v>
      </x:c>
      <x:c r="D299" s="88" t="s">
        <x:v>248</x:v>
      </x:c>
      <x:c r="E299" s="88" t="s">
        <x:v>2209</x:v>
      </x:c>
      <x:c r="F299" s="89">
        <x:v>46225.028997314817</x:v>
      </x:c>
      <x:c r="G299" s="89">
        <x:v>46244.079157106484</x:v>
      </x:c>
      <x:c r="H299" s="89">
        <x:v>46225.028997314817</x:v>
      </x:c>
      <x:c r="I299" s="88" t="s">
        <x:v>1447</x:v>
      </x:c>
      <x:c r="J299" s="88" t="s">
        <x:v>1448</x:v>
      </x:c>
      <x:c r="K299" s="88" t="s">
        <x:v>266</x:v>
      </x:c>
      <x:c r="L299" s="88"/>
      <x:c r="M299" s="88" t="s">
        <x:v>482</x:v>
      </x:c>
      <x:c r="N299" s="88"/>
      <x:c r="O299" s="88"/>
      <x:c r="P299" s="88" t="s">
        <x:v>680</x:v>
      </x:c>
      <x:c r="Q299" s="88" t="s">
        <x:v>256</x:v>
      </x:c>
      <x:c r="R299" s="88" t="s">
        <x:v>363</x:v>
      </x:c>
      <x:c r="S299" s="88"/>
      <x:c r="T299" s="88" t="s">
        <x:v>259</x:v>
      </x:c>
      <x:c r="U299" s="88" t="s">
        <x:v>554</x:v>
      </x:c>
      <x:c r="V299" s="89">
        <x:v>46225.029215497685</x:v>
      </x:c>
      <x:c r="W299" s="88" t="s">
        <x:v>680</x:v>
      </x:c>
      <x:c r="X299" s="88" t="s">
        <x:v>259</x:v>
      </x:c>
      <x:c r="Y299" s="88" t="s">
        <x:v>482</x:v>
      </x:c>
      <x:c r="Z299" s="89">
        <x:v>46230.112486215279</x:v>
      </x:c>
      <x:c r="AA299" s="88" t="s">
        <x:v>2684</x:v>
      </x:c>
      <x:c r="AB299" s="88"/>
      <x:c r="AC299" s="88" t="s">
        <x:v>2214</x:v>
      </x:c>
      <x:c r="AD299" s="89"/>
      <x:c r="AE299" s="88"/>
      <x:c r="AF299" s="88"/>
      <x:c r="AG299" s="88" t="s">
        <x:v>173</x:v>
      </x:c>
      <x:c r="AH299" s="89"/>
      <x:c r="AI299" s="88"/>
      <x:c r="AJ299" s="88" t="s">
        <x:v>1453</x:v>
      </x:c>
      <x:c r="AK299" s="88">
        <x:v>3624</x:v>
      </x:c>
      <x:c r="AL299" s="88" t="s">
        <x:v>162</x:v>
      </x:c>
      <x:c r="AM299" s="88"/>
      <x:c r="AN299" s="88" t="s">
        <x:v>369</x:v>
      </x:c>
      <x:c r="AO299" s="88">
        <x:v>0</x:v>
      </x:c>
    </x:row>
    <x:row r="300">
      <x:c r="A300" s="88" t="s">
        <x:v>2696</x:v>
      </x:c>
      <x:c r="B300" s="88" t="s">
        <x:v>2697</x:v>
      </x:c>
      <x:c r="C300" s="88" t="s">
        <x:v>554</x:v>
      </x:c>
      <x:c r="D300" s="88" t="s">
        <x:v>248</x:v>
      </x:c>
      <x:c r="E300" s="88" t="s">
        <x:v>329</x:v>
      </x:c>
      <x:c r="F300" s="89">
        <x:v>46225.029883148149</x:v>
      </x:c>
      <x:c r="G300" s="89">
        <x:v>46239.622015520836</x:v>
      </x:c>
      <x:c r="H300" s="89">
        <x:v>46225.029883148149</x:v>
      </x:c>
      <x:c r="I300" s="88" t="s">
        <x:v>1447</x:v>
      </x:c>
      <x:c r="J300" s="88" t="s">
        <x:v>2698</x:v>
      </x:c>
      <x:c r="K300" s="88" t="s">
        <x:v>266</x:v>
      </x:c>
      <x:c r="L300" s="88"/>
      <x:c r="M300" s="88" t="s">
        <x:v>482</x:v>
      </x:c>
      <x:c r="N300" s="88"/>
      <x:c r="O300" s="88"/>
      <x:c r="P300" s="88" t="s">
        <x:v>680</x:v>
      </x:c>
      <x:c r="Q300" s="88" t="s">
        <x:v>256</x:v>
      </x:c>
      <x:c r="R300" s="88" t="s">
        <x:v>363</x:v>
      </x:c>
      <x:c r="S300" s="88"/>
      <x:c r="T300" s="88" t="s">
        <x:v>259</x:v>
      </x:c>
      <x:c r="U300" s="88" t="s">
        <x:v>554</x:v>
      </x:c>
      <x:c r="V300" s="89">
        <x:v>46225.031217511576</x:v>
      </x:c>
      <x:c r="W300" s="88" t="s">
        <x:v>680</x:v>
      </x:c>
      <x:c r="X300" s="88" t="s">
        <x:v>259</x:v>
      </x:c>
      <x:c r="Y300" s="88" t="s">
        <x:v>482</x:v>
      </x:c>
      <x:c r="Z300" s="89">
        <x:v>46230.114175810188</x:v>
      </x:c>
      <x:c r="AA300" s="88" t="s">
        <x:v>2684</x:v>
      </x:c>
      <x:c r="AB300" s="88" t="s">
        <x:v>259</x:v>
      </x:c>
      <x:c r="AC300" s="88" t="s">
        <x:v>111</x:v>
      </x:c>
      <x:c r="AD300" s="89">
        <x:v>46239.622015532404</x:v>
      </x:c>
      <x:c r="AE300" s="88" t="s">
        <x:v>2699</x:v>
      </x:c>
      <x:c r="AF300" s="88"/>
      <x:c r="AG300" s="88" t="s">
        <x:v>129</x:v>
      </x:c>
      <x:c r="AH300" s="89"/>
      <x:c r="AI300" s="88"/>
      <x:c r="AJ300" s="88" t="s">
        <x:v>1453</x:v>
      </x:c>
      <x:c r="AK300" s="88">
        <x:v>4596</x:v>
      </x:c>
      <x:c r="AL300" s="88" t="s">
        <x:v>162</x:v>
      </x:c>
      <x:c r="AM300" s="88" t="s">
        <x:v>2700</x:v>
      </x:c>
      <x:c r="AN300" s="88" t="s">
        <x:v>369</x:v>
      </x:c>
      <x:c r="AO300" s="88">
        <x:v>0</x:v>
      </x:c>
    </x:row>
    <x:row r="301">
      <x:c r="A301" s="88" t="s">
        <x:v>2701</x:v>
      </x:c>
      <x:c r="B301" s="88" t="s">
        <x:v>2702</x:v>
      </x:c>
      <x:c r="C301" s="88" t="s">
        <x:v>1129</x:v>
      </x:c>
      <x:c r="D301" s="88" t="s">
        <x:v>248</x:v>
      </x:c>
      <x:c r="E301" s="88" t="s">
        <x:v>278</x:v>
      </x:c>
      <x:c r="F301" s="89">
        <x:v>46225.036578622683</x:v>
      </x:c>
      <x:c r="G301" s="89">
        <x:v>46225.064375150461</x:v>
      </x:c>
      <x:c r="H301" s="89">
        <x:v>46225.037024305559</x:v>
      </x:c>
      <x:c r="I301" s="88" t="s">
        <x:v>2703</x:v>
      </x:c>
      <x:c r="J301" s="88" t="s">
        <x:v>2704</x:v>
      </x:c>
      <x:c r="K301" s="88" t="s">
        <x:v>266</x:v>
      </x:c>
      <x:c r="L301" s="88"/>
      <x:c r="M301" s="88" t="s">
        <x:v>827</x:v>
      </x:c>
      <x:c r="N301" s="88" t="s">
        <x:v>2705</x:v>
      </x:c>
      <x:c r="O301" s="88"/>
      <x:c r="P301" s="88" t="s">
        <x:v>2706</x:v>
      </x:c>
      <x:c r="Q301" s="88" t="s">
        <x:v>256</x:v>
      </x:c>
      <x:c r="R301" s="88" t="s">
        <x:v>283</x:v>
      </x:c>
      <x:c r="S301" s="88"/>
      <x:c r="T301" s="88" t="s">
        <x:v>249</x:v>
      </x:c>
      <x:c r="U301" s="88" t="s">
        <x:v>1129</x:v>
      </x:c>
      <x:c r="V301" s="89">
        <x:v>46225.064375150461</x:v>
      </x:c>
      <x:c r="W301" s="88"/>
      <x:c r="X301" s="88"/>
      <x:c r="Y301" s="88" t="s">
        <x:v>827</x:v>
      </x:c>
      <x:c r="Z301" s="89"/>
      <x:c r="AA301" s="88"/>
      <x:c r="AB301" s="88"/>
      <x:c r="AC301" s="88" t="s">
        <x:v>273</x:v>
      </x:c>
      <x:c r="AD301" s="89"/>
      <x:c r="AE301" s="88"/>
      <x:c r="AF301" s="88"/>
      <x:c r="AG301" s="88" t="s">
        <x:v>273</x:v>
      </x:c>
      <x:c r="AH301" s="89"/>
      <x:c r="AI301" s="88"/>
      <x:c r="AJ301" s="88" t="s">
        <x:v>2707</x:v>
      </x:c>
      <x:c r="AK301" s="88">
        <x:v>1672</x:v>
      </x:c>
      <x:c r="AL301" s="88"/>
      <x:c r="AM301" s="88"/>
      <x:c r="AN301" s="88" t="s">
        <x:v>414</x:v>
      </x:c>
      <x:c r="AO301" s="88"/>
    </x:row>
    <x:row r="302">
      <x:c r="A302" s="88" t="s">
        <x:v>2708</x:v>
      </x:c>
      <x:c r="B302" s="88" t="s">
        <x:v>2709</x:v>
      </x:c>
      <x:c r="C302" s="88" t="s">
        <x:v>1129</x:v>
      </x:c>
      <x:c r="D302" s="88" t="s">
        <x:v>248</x:v>
      </x:c>
      <x:c r="E302" s="88" t="s">
        <x:v>249</x:v>
      </x:c>
      <x:c r="F302" s="89">
        <x:v>46225.056435023151</x:v>
      </x:c>
      <x:c r="G302" s="89">
        <x:v>46225.118915567131</x:v>
      </x:c>
      <x:c r="H302" s="89">
        <x:v>46225.056435023151</x:v>
      </x:c>
      <x:c r="I302" s="88" t="s">
        <x:v>1633</x:v>
      </x:c>
      <x:c r="J302" s="88" t="s">
        <x:v>1634</x:v>
      </x:c>
      <x:c r="K302" s="88" t="s">
        <x:v>266</x:v>
      </x:c>
      <x:c r="L302" s="88"/>
      <x:c r="M302" s="88" t="s">
        <x:v>827</x:v>
      </x:c>
      <x:c r="N302" s="88" t="s">
        <x:v>2705</x:v>
      </x:c>
      <x:c r="O302" s="88"/>
      <x:c r="P302" s="88" t="s">
        <x:v>2710</x:v>
      </x:c>
      <x:c r="Q302" s="88" t="s">
        <x:v>256</x:v>
      </x:c>
      <x:c r="R302" s="88" t="s">
        <x:v>283</x:v>
      </x:c>
      <x:c r="S302" s="88"/>
      <x:c r="T302" s="88" t="s">
        <x:v>259</x:v>
      </x:c>
      <x:c r="U302" s="88" t="s">
        <x:v>1129</x:v>
      </x:c>
      <x:c r="V302" s="89">
        <x:v>46225.062828333335</x:v>
      </x:c>
      <x:c r="W302" s="88" t="s">
        <x:v>2711</x:v>
      </x:c>
      <x:c r="X302" s="88" t="s">
        <x:v>249</x:v>
      </x:c>
      <x:c r="Y302" s="88" t="s">
        <x:v>827</x:v>
      </x:c>
      <x:c r="Z302" s="89">
        <x:v>46225.118915578707</x:v>
      </x:c>
      <x:c r="AA302" s="88" t="s">
        <x:v>2712</x:v>
      </x:c>
      <x:c r="AB302" s="88"/>
      <x:c r="AC302" s="88" t="s">
        <x:v>2488</x:v>
      </x:c>
      <x:c r="AD302" s="89"/>
      <x:c r="AE302" s="88"/>
      <x:c r="AF302" s="88"/>
      <x:c r="AG302" s="88" t="s">
        <x:v>173</x:v>
      </x:c>
      <x:c r="AH302" s="89"/>
      <x:c r="AI302" s="88"/>
      <x:c r="AJ302" s="88" t="s">
        <x:v>1640</x:v>
      </x:c>
      <x:c r="AK302" s="88" t="s">
        <x:v>1641</x:v>
      </x:c>
      <x:c r="AL302" s="88"/>
      <x:c r="AM302" s="88"/>
      <x:c r="AN302" s="88" t="s">
        <x:v>414</x:v>
      </x:c>
      <x:c r="AO302" s="88">
        <x:v>14</x:v>
      </x:c>
    </x:row>
    <x:row r="303">
      <x:c r="A303" s="88" t="s">
        <x:v>2713</x:v>
      </x:c>
      <x:c r="B303" s="88" t="s">
        <x:v>2714</x:v>
      </x:c>
      <x:c r="C303" s="88" t="s">
        <x:v>1129</x:v>
      </x:c>
      <x:c r="D303" s="88" t="s">
        <x:v>248</x:v>
      </x:c>
      <x:c r="E303" s="88" t="s">
        <x:v>249</x:v>
      </x:c>
      <x:c r="F303" s="89">
        <x:v>46225.096734479164</x:v>
      </x:c>
      <x:c r="G303" s="89">
        <x:v>46232.103645347219</x:v>
      </x:c>
      <x:c r="H303" s="89">
        <x:v>46225.096734479164</x:v>
      </x:c>
      <x:c r="I303" s="88" t="s">
        <x:v>1633</x:v>
      </x:c>
      <x:c r="J303" s="88" t="s">
        <x:v>1634</x:v>
      </x:c>
      <x:c r="K303" s="88" t="s">
        <x:v>266</x:v>
      </x:c>
      <x:c r="L303" s="88"/>
      <x:c r="M303" s="88" t="s">
        <x:v>827</x:v>
      </x:c>
      <x:c r="N303" s="88" t="s">
        <x:v>2705</x:v>
      </x:c>
      <x:c r="O303" s="88"/>
      <x:c r="P303" s="88" t="s">
        <x:v>2715</x:v>
      </x:c>
      <x:c r="Q303" s="88" t="s">
        <x:v>256</x:v>
      </x:c>
      <x:c r="R303" s="88" t="s">
        <x:v>283</x:v>
      </x:c>
      <x:c r="S303" s="88"/>
      <x:c r="T303" s="88" t="s">
        <x:v>259</x:v>
      </x:c>
      <x:c r="U303" s="88" t="s">
        <x:v>1129</x:v>
      </x:c>
      <x:c r="V303" s="89">
        <x:v>46225.106475567132</x:v>
      </x:c>
      <x:c r="W303" s="88" t="s">
        <x:v>2716</x:v>
      </x:c>
      <x:c r="X303" s="88" t="s">
        <x:v>259</x:v>
      </x:c>
      <x:c r="Y303" s="88" t="s">
        <x:v>827</x:v>
      </x:c>
      <x:c r="Z303" s="89">
        <x:v>46225.11917766204</x:v>
      </x:c>
      <x:c r="AA303" s="88" t="s">
        <x:v>259</x:v>
      </x:c>
      <x:c r="AB303" s="88" t="s">
        <x:v>249</x:v>
      </x:c>
      <x:c r="AC303" s="88" t="s">
        <x:v>309</x:v>
      </x:c>
      <x:c r="AD303" s="89">
        <x:v>46232.103645358795</x:v>
      </x:c>
      <x:c r="AE303" s="88" t="s">
        <x:v>2717</x:v>
      </x:c>
      <x:c r="AF303" s="88"/>
      <x:c r="AG303" s="88" t="s">
        <x:v>173</x:v>
      </x:c>
      <x:c r="AH303" s="89"/>
      <x:c r="AI303" s="88"/>
      <x:c r="AJ303" s="88" t="s">
        <x:v>1640</x:v>
      </x:c>
      <x:c r="AK303" s="88" t="s">
        <x:v>1641</x:v>
      </x:c>
      <x:c r="AL303" s="88" t="s">
        <x:v>162</x:v>
      </x:c>
      <x:c r="AM303" s="88"/>
      <x:c r="AN303" s="88" t="s">
        <x:v>414</x:v>
      </x:c>
      <x:c r="AO303" s="88">
        <x:v>14</x:v>
      </x:c>
    </x:row>
    <x:row r="304">
      <x:c r="A304" s="88" t="s">
        <x:v>2718</x:v>
      </x:c>
      <x:c r="B304" s="88" t="s">
        <x:v>2719</x:v>
      </x:c>
      <x:c r="C304" s="88" t="s">
        <x:v>479</x:v>
      </x:c>
      <x:c r="D304" s="88" t="s">
        <x:v>248</x:v>
      </x:c>
      <x:c r="E304" s="88" t="s">
        <x:v>329</x:v>
      </x:c>
      <x:c r="F304" s="89">
        <x:v>46225.142065092594</x:v>
      </x:c>
      <x:c r="G304" s="89">
        <x:v>46239.621705937498</x:v>
      </x:c>
      <x:c r="H304" s="89">
        <x:v>46225.142065092594</x:v>
      </x:c>
      <x:c r="I304" s="88" t="s">
        <x:v>2720</x:v>
      </x:c>
      <x:c r="J304" s="88" t="s">
        <x:v>2721</x:v>
      </x:c>
      <x:c r="K304" s="88" t="s">
        <x:v>266</x:v>
      </x:c>
      <x:c r="L304" s="88"/>
      <x:c r="M304" s="88" t="s">
        <x:v>482</x:v>
      </x:c>
      <x:c r="N304" s="88" t="s">
        <x:v>498</x:v>
      </x:c>
      <x:c r="O304" s="88" t="s">
        <x:v>498</x:v>
      </x:c>
      <x:c r="P304" s="88" t="s">
        <x:v>2722</x:v>
      </x:c>
      <x:c r="Q304" s="88" t="s">
        <x:v>256</x:v>
      </x:c>
      <x:c r="R304" s="88" t="s">
        <x:v>363</x:v>
      </x:c>
      <x:c r="S304" s="88"/>
      <x:c r="T304" s="88" t="s">
        <x:v>259</x:v>
      </x:c>
      <x:c r="U304" s="88" t="s">
        <x:v>479</x:v>
      </x:c>
      <x:c r="V304" s="89">
        <x:v>46225.142450324071</x:v>
      </x:c>
      <x:c r="W304" s="88" t="s">
        <x:v>2722</x:v>
      </x:c>
      <x:c r="X304" s="88" t="s">
        <x:v>259</x:v>
      </x:c>
      <x:c r="Y304" s="88" t="s">
        <x:v>482</x:v>
      </x:c>
      <x:c r="Z304" s="89">
        <x:v>46230.11323653935</x:v>
      </x:c>
      <x:c r="AA304" s="88" t="s">
        <x:v>2684</x:v>
      </x:c>
      <x:c r="AB304" s="88" t="s">
        <x:v>259</x:v>
      </x:c>
      <x:c r="AC304" s="88" t="s">
        <x:v>111</x:v>
      </x:c>
      <x:c r="AD304" s="89">
        <x:v>46239.621705949074</x:v>
      </x:c>
      <x:c r="AE304" s="88" t="s">
        <x:v>259</x:v>
      </x:c>
      <x:c r="AF304" s="88"/>
      <x:c r="AG304" s="88" t="s">
        <x:v>113</x:v>
      </x:c>
      <x:c r="AH304" s="89"/>
      <x:c r="AI304" s="88"/>
      <x:c r="AJ304" s="88" t="s">
        <x:v>2723</x:v>
      </x:c>
      <x:c r="AK304" s="88" t="s">
        <x:v>2724</x:v>
      </x:c>
      <x:c r="AL304" s="88" t="s">
        <x:v>185</x:v>
      </x:c>
      <x:c r="AM304" s="88" t="s">
        <x:v>2725</x:v>
      </x:c>
      <x:c r="AN304" s="88" t="s">
        <x:v>369</x:v>
      </x:c>
      <x:c r="AO304" s="88">
        <x:v>0</x:v>
      </x:c>
    </x:row>
    <x:row r="305">
      <x:c r="A305" s="88" t="s">
        <x:v>2726</x:v>
      </x:c>
      <x:c r="B305" s="88" t="s">
        <x:v>2727</x:v>
      </x:c>
      <x:c r="C305" s="88" t="s">
        <x:v>2728</x:v>
      </x:c>
      <x:c r="D305" s="88" t="s">
        <x:v>248</x:v>
      </x:c>
      <x:c r="E305" s="88" t="s">
        <x:v>329</x:v>
      </x:c>
      <x:c r="F305" s="89">
        <x:v>46225.146818310182</x:v>
      </x:c>
      <x:c r="G305" s="89">
        <x:v>46233.107110266203</x:v>
      </x:c>
      <x:c r="H305" s="89">
        <x:v>46225.146818310182</x:v>
      </x:c>
      <x:c r="I305" s="88" t="s">
        <x:v>2729</x:v>
      </x:c>
      <x:c r="J305" s="88" t="s">
        <x:v>2730</x:v>
      </x:c>
      <x:c r="K305" s="88" t="s">
        <x:v>266</x:v>
      </x:c>
      <x:c r="L305" s="88"/>
      <x:c r="M305" s="88" t="s">
        <x:v>1129</x:v>
      </x:c>
      <x:c r="N305" s="88" t="s">
        <x:v>2731</x:v>
      </x:c>
      <x:c r="O305" s="88"/>
      <x:c r="P305" s="88" t="s">
        <x:v>2732</x:v>
      </x:c>
      <x:c r="Q305" s="88" t="s">
        <x:v>256</x:v>
      </x:c>
      <x:c r="R305" s="88" t="s">
        <x:v>283</x:v>
      </x:c>
      <x:c r="S305" s="88"/>
      <x:c r="T305" s="88" t="s">
        <x:v>259</x:v>
      </x:c>
      <x:c r="U305" s="88" t="s">
        <x:v>2728</x:v>
      </x:c>
      <x:c r="V305" s="89">
        <x:v>46225.159825601855</x:v>
      </x:c>
      <x:c r="W305" s="88" t="s">
        <x:v>2733</x:v>
      </x:c>
      <x:c r="X305" s="88" t="s">
        <x:v>259</x:v>
      </x:c>
      <x:c r="Y305" s="88" t="s">
        <x:v>1129</x:v>
      </x:c>
      <x:c r="Z305" s="89">
        <x:v>46231.161558784719</x:v>
      </x:c>
      <x:c r="AA305" s="88" t="s">
        <x:v>2734</x:v>
      </x:c>
      <x:c r="AB305" s="88" t="s">
        <x:v>259</x:v>
      </x:c>
      <x:c r="AC305" s="88" t="s">
        <x:v>111</x:v>
      </x:c>
      <x:c r="AD305" s="89">
        <x:v>46233.107110277779</x:v>
      </x:c>
      <x:c r="AE305" s="88" t="s">
        <x:v>335</x:v>
      </x:c>
      <x:c r="AF305" s="88"/>
      <x:c r="AG305" s="88" t="s">
        <x:v>131</x:v>
      </x:c>
      <x:c r="AH305" s="89"/>
      <x:c r="AI305" s="88"/>
      <x:c r="AJ305" s="88" t="s">
        <x:v>2735</x:v>
      </x:c>
      <x:c r="AK305" s="88">
        <x:v>617</x:v>
      </x:c>
      <x:c r="AL305" s="88" t="s">
        <x:v>185</x:v>
      </x:c>
      <x:c r="AM305" s="88" t="s">
        <x:v>2736</x:v>
      </x:c>
      <x:c r="AN305" s="88" t="s">
        <x:v>414</x:v>
      </x:c>
      <x:c r="AO305" s="88">
        <x:v>14</x:v>
      </x:c>
    </x:row>
    <x:row r="306">
      <x:c r="A306" s="88" t="s">
        <x:v>2737</x:v>
      </x:c>
      <x:c r="B306" s="88" t="s">
        <x:v>2738</x:v>
      </x:c>
      <x:c r="C306" s="88" t="s">
        <x:v>2739</x:v>
      </x:c>
      <x:c r="D306" s="88" t="s">
        <x:v>248</x:v>
      </x:c>
      <x:c r="E306" s="88" t="s">
        <x:v>329</x:v>
      </x:c>
      <x:c r="F306" s="89">
        <x:v>46226.089098032404</x:v>
      </x:c>
      <x:c r="G306" s="89">
        <x:v>46231.204605983796</x:v>
      </x:c>
      <x:c r="H306" s="89">
        <x:v>46226.089098032404</x:v>
      </x:c>
      <x:c r="I306" s="88" t="s">
        <x:v>2740</x:v>
      </x:c>
      <x:c r="J306" s="88" t="s">
        <x:v>2741</x:v>
      </x:c>
      <x:c r="K306" s="88" t="s">
        <x:v>266</x:v>
      </x:c>
      <x:c r="L306" s="88"/>
      <x:c r="M306" s="88" t="s">
        <x:v>2739</x:v>
      </x:c>
      <x:c r="N306" s="88"/>
      <x:c r="O306" s="88"/>
      <x:c r="P306" s="88" t="s">
        <x:v>2742</x:v>
      </x:c>
      <x:c r="Q306" s="88" t="s">
        <x:v>269</x:v>
      </x:c>
      <x:c r="R306" s="88" t="s">
        <x:v>257</x:v>
      </x:c>
      <x:c r="S306" s="88"/>
      <x:c r="T306" s="88" t="s">
        <x:v>259</x:v>
      </x:c>
      <x:c r="U306" s="88" t="s">
        <x:v>2739</x:v>
      </x:c>
      <x:c r="V306" s="89">
        <x:v>46226.09118333333</x:v>
      </x:c>
      <x:c r="W306" s="88" t="s">
        <x:v>2742</x:v>
      </x:c>
      <x:c r="X306" s="88" t="s">
        <x:v>259</x:v>
      </x:c>
      <x:c r="Y306" s="88" t="s">
        <x:v>2739</x:v>
      </x:c>
      <x:c r="Z306" s="89">
        <x:v>46226.09164298611</x:v>
      </x:c>
      <x:c r="AA306" s="88" t="s">
        <x:v>2742</x:v>
      </x:c>
      <x:c r="AB306" s="88" t="s">
        <x:v>259</x:v>
      </x:c>
      <x:c r="AC306" s="88" t="s">
        <x:v>111</x:v>
      </x:c>
      <x:c r="AD306" s="89">
        <x:v>46231.204606006948</x:v>
      </x:c>
      <x:c r="AE306" s="88" t="s">
        <x:v>2333</x:v>
      </x:c>
      <x:c r="AF306" s="88"/>
      <x:c r="AG306" s="88" t="s">
        <x:v>113</x:v>
      </x:c>
      <x:c r="AH306" s="89"/>
      <x:c r="AI306" s="88"/>
      <x:c r="AJ306" s="88" t="s">
        <x:v>2743</x:v>
      </x:c>
      <x:c r="AK306" s="88">
        <x:v>10099</x:v>
      </x:c>
      <x:c r="AL306" s="88" t="s">
        <x:v>162</x:v>
      </x:c>
      <x:c r="AM306" s="88" t="s">
        <x:v>2744</x:v>
      </x:c>
      <x:c r="AN306" s="88" t="s">
        <x:v>414</x:v>
      </x:c>
      <x:c r="AO306" s="88">
        <x:v>1</x:v>
      </x:c>
    </x:row>
    <x:row r="307">
      <x:c r="A307" s="88" t="s">
        <x:v>2745</x:v>
      </x:c>
      <x:c r="B307" s="88" t="s">
        <x:v>2746</x:v>
      </x:c>
      <x:c r="C307" s="88" t="s">
        <x:v>2739</x:v>
      </x:c>
      <x:c r="D307" s="88" t="s">
        <x:v>248</x:v>
      </x:c>
      <x:c r="E307" s="88" t="s">
        <x:v>329</x:v>
      </x:c>
      <x:c r="F307" s="89">
        <x:v>46226.10378109954</x:v>
      </x:c>
      <x:c r="G307" s="89">
        <x:v>46231.204190127311</x:v>
      </x:c>
      <x:c r="H307" s="89">
        <x:v>46226.10378109954</x:v>
      </x:c>
      <x:c r="I307" s="88" t="s">
        <x:v>2747</x:v>
      </x:c>
      <x:c r="J307" s="88" t="s">
        <x:v>2748</x:v>
      </x:c>
      <x:c r="K307" s="88" t="s">
        <x:v>266</x:v>
      </x:c>
      <x:c r="L307" s="88"/>
      <x:c r="M307" s="88" t="s">
        <x:v>2739</x:v>
      </x:c>
      <x:c r="N307" s="88"/>
      <x:c r="O307" s="88"/>
      <x:c r="P307" s="88" t="s">
        <x:v>2749</x:v>
      </x:c>
      <x:c r="Q307" s="88" t="s">
        <x:v>269</x:v>
      </x:c>
      <x:c r="R307" s="88" t="s">
        <x:v>283</x:v>
      </x:c>
      <x:c r="S307" s="88"/>
      <x:c r="T307" s="88" t="s">
        <x:v>259</x:v>
      </x:c>
      <x:c r="U307" s="88" t="s">
        <x:v>2739</x:v>
      </x:c>
      <x:c r="V307" s="89">
        <x:v>46226.104470208331</x:v>
      </x:c>
      <x:c r="W307" s="88" t="s">
        <x:v>2749</x:v>
      </x:c>
      <x:c r="X307" s="88" t="s">
        <x:v>259</x:v>
      </x:c>
      <x:c r="Y307" s="88" t="s">
        <x:v>2739</x:v>
      </x:c>
      <x:c r="Z307" s="89">
        <x:v>46226.104708483799</x:v>
      </x:c>
      <x:c r="AA307" s="88" t="s">
        <x:v>2749</x:v>
      </x:c>
      <x:c r="AB307" s="88" t="s">
        <x:v>259</x:v>
      </x:c>
      <x:c r="AC307" s="88" t="s">
        <x:v>111</x:v>
      </x:c>
      <x:c r="AD307" s="89">
        <x:v>46231.204190138887</x:v>
      </x:c>
      <x:c r="AE307" s="88" t="s">
        <x:v>2333</x:v>
      </x:c>
      <x:c r="AF307" s="88"/>
      <x:c r="AG307" s="88" t="s">
        <x:v>129</x:v>
      </x:c>
      <x:c r="AH307" s="89"/>
      <x:c r="AI307" s="88"/>
      <x:c r="AJ307" s="88" t="s">
        <x:v>2750</x:v>
      </x:c>
      <x:c r="AK307" s="88" t="s">
        <x:v>2751</x:v>
      </x:c>
      <x:c r="AL307" s="88" t="s">
        <x:v>185</x:v>
      </x:c>
      <x:c r="AM307" s="88" t="s">
        <x:v>2752</x:v>
      </x:c>
      <x:c r="AN307" s="88" t="s">
        <x:v>414</x:v>
      </x:c>
      <x:c r="AO307" s="88">
        <x:v>1</x:v>
      </x:c>
    </x:row>
    <x:row r="308">
      <x:c r="A308" s="88" t="s">
        <x:v>2753</x:v>
      </x:c>
      <x:c r="B308" s="88" t="s">
        <x:v>2754</x:v>
      </x:c>
      <x:c r="C308" s="88" t="s">
        <x:v>2739</x:v>
      </x:c>
      <x:c r="D308" s="88" t="s">
        <x:v>248</x:v>
      </x:c>
      <x:c r="E308" s="88" t="s">
        <x:v>249</x:v>
      </x:c>
      <x:c r="F308" s="89">
        <x:v>46226.108096574077</x:v>
      </x:c>
      <x:c r="G308" s="89">
        <x:v>46244.08433096065</x:v>
      </x:c>
      <x:c r="H308" s="89">
        <x:v>46226.108096574077</x:v>
      </x:c>
      <x:c r="I308" s="88" t="s">
        <x:v>2755</x:v>
      </x:c>
      <x:c r="J308" s="88" t="s">
        <x:v>2756</x:v>
      </x:c>
      <x:c r="K308" s="88" t="s">
        <x:v>266</x:v>
      </x:c>
      <x:c r="L308" s="88"/>
      <x:c r="M308" s="88" t="s">
        <x:v>2739</x:v>
      </x:c>
      <x:c r="N308" s="88"/>
      <x:c r="O308" s="88"/>
      <x:c r="P308" s="88" t="s">
        <x:v>2757</x:v>
      </x:c>
      <x:c r="Q308" s="88" t="s">
        <x:v>269</x:v>
      </x:c>
      <x:c r="R308" s="88" t="s">
        <x:v>283</x:v>
      </x:c>
      <x:c r="S308" s="88"/>
      <x:c r="T308" s="88" t="s">
        <x:v>259</x:v>
      </x:c>
      <x:c r="U308" s="88" t="s">
        <x:v>2739</x:v>
      </x:c>
      <x:c r="V308" s="89">
        <x:v>46226.108272060184</x:v>
      </x:c>
      <x:c r="W308" s="88" t="s">
        <x:v>2757</x:v>
      </x:c>
      <x:c r="X308" s="88" t="s">
        <x:v>259</x:v>
      </x:c>
      <x:c r="Y308" s="88" t="s">
        <x:v>2739</x:v>
      </x:c>
      <x:c r="Z308" s="89">
        <x:v>46226.109703287038</x:v>
      </x:c>
      <x:c r="AA308" s="88" t="s">
        <x:v>2758</x:v>
      </x:c>
      <x:c r="AB308" s="88" t="s">
        <x:v>249</x:v>
      </x:c>
      <x:c r="AC308" s="88" t="s">
        <x:v>2518</x:v>
      </x:c>
      <x:c r="AD308" s="89">
        <x:v>46244.084330972219</x:v>
      </x:c>
      <x:c r="AE308" s="88" t="s">
        <x:v>2759</x:v>
      </x:c>
      <x:c r="AF308" s="88"/>
      <x:c r="AG308" s="88" t="s">
        <x:v>173</x:v>
      </x:c>
      <x:c r="AH308" s="89"/>
      <x:c r="AI308" s="88"/>
      <x:c r="AJ308" s="88" t="s">
        <x:v>2760</x:v>
      </x:c>
      <x:c r="AK308" s="88">
        <x:v>10042</x:v>
      </x:c>
      <x:c r="AL308" s="88"/>
      <x:c r="AM308" s="88"/>
      <x:c r="AN308" s="88" t="s">
        <x:v>414</x:v>
      </x:c>
      <x:c r="AO308" s="88">
        <x:v>1</x:v>
      </x:c>
    </x:row>
    <x:row r="309">
      <x:c r="A309" s="88" t="s">
        <x:v>2761</x:v>
      </x:c>
      <x:c r="B309" s="88" t="s">
        <x:v>2762</x:v>
      </x:c>
      <x:c r="C309" s="88" t="s">
        <x:v>2739</x:v>
      </x:c>
      <x:c r="D309" s="88" t="s">
        <x:v>248</x:v>
      </x:c>
      <x:c r="E309" s="88" t="s">
        <x:v>329</x:v>
      </x:c>
      <x:c r="F309" s="89">
        <x:v>46226.123866539354</x:v>
      </x:c>
      <x:c r="G309" s="89">
        <x:v>46233.106772916668</x:v>
      </x:c>
      <x:c r="H309" s="89">
        <x:v>46226.123866539354</x:v>
      </x:c>
      <x:c r="I309" s="88" t="s">
        <x:v>2763</x:v>
      </x:c>
      <x:c r="J309" s="88" t="s">
        <x:v>2764</x:v>
      </x:c>
      <x:c r="K309" s="88" t="s">
        <x:v>266</x:v>
      </x:c>
      <x:c r="L309" s="88"/>
      <x:c r="M309" s="88" t="s">
        <x:v>2739</x:v>
      </x:c>
      <x:c r="N309" s="88"/>
      <x:c r="O309" s="88"/>
      <x:c r="P309" s="88" t="s">
        <x:v>2765</x:v>
      </x:c>
      <x:c r="Q309" s="88" t="s">
        <x:v>269</x:v>
      </x:c>
      <x:c r="R309" s="88" t="s">
        <x:v>283</x:v>
      </x:c>
      <x:c r="S309" s="88"/>
      <x:c r="T309" s="88" t="s">
        <x:v>259</x:v>
      </x:c>
      <x:c r="U309" s="88" t="s">
        <x:v>2739</x:v>
      </x:c>
      <x:c r="V309" s="89">
        <x:v>46226.124279745367</x:v>
      </x:c>
      <x:c r="W309" s="88" t="s">
        <x:v>2765</x:v>
      </x:c>
      <x:c r="X309" s="88" t="s">
        <x:v>259</x:v>
      </x:c>
      <x:c r="Y309" s="88" t="s">
        <x:v>2739</x:v>
      </x:c>
      <x:c r="Z309" s="89">
        <x:v>46226.124603553239</x:v>
      </x:c>
      <x:c r="AA309" s="88" t="s">
        <x:v>2765</x:v>
      </x:c>
      <x:c r="AB309" s="88" t="s">
        <x:v>259</x:v>
      </x:c>
      <x:c r="AC309" s="88" t="s">
        <x:v>111</x:v>
      </x:c>
      <x:c r="AD309" s="89">
        <x:v>46233.106772928244</x:v>
      </x:c>
      <x:c r="AE309" s="88" t="s">
        <x:v>335</x:v>
      </x:c>
      <x:c r="AF309" s="88"/>
      <x:c r="AG309" s="88" t="s">
        <x:v>131</x:v>
      </x:c>
      <x:c r="AH309" s="89"/>
      <x:c r="AI309" s="88"/>
      <x:c r="AJ309" s="88" t="s">
        <x:v>2766</x:v>
      </x:c>
      <x:c r="AK309" s="88" t="s">
        <x:v>2767</x:v>
      </x:c>
      <x:c r="AL309" s="88" t="s">
        <x:v>185</x:v>
      </x:c>
      <x:c r="AM309" s="88" t="s">
        <x:v>2768</x:v>
      </x:c>
      <x:c r="AN309" s="88" t="s">
        <x:v>414</x:v>
      </x:c>
      <x:c r="AO309" s="88">
        <x:v>1</x:v>
      </x:c>
    </x:row>
    <x:row r="310">
      <x:c r="A310" s="88" t="s">
        <x:v>2769</x:v>
      </x:c>
      <x:c r="B310" s="88" t="s">
        <x:v>2770</x:v>
      </x:c>
      <x:c r="C310" s="88" t="s">
        <x:v>2739</x:v>
      </x:c>
      <x:c r="D310" s="88" t="s">
        <x:v>248</x:v>
      </x:c>
      <x:c r="E310" s="88" t="s">
        <x:v>329</x:v>
      </x:c>
      <x:c r="F310" s="89">
        <x:v>46226.128341215277</x:v>
      </x:c>
      <x:c r="G310" s="89">
        <x:v>46233.10640715278</x:v>
      </x:c>
      <x:c r="H310" s="89">
        <x:v>46226.128341215277</x:v>
      </x:c>
      <x:c r="I310" s="88" t="s">
        <x:v>2771</x:v>
      </x:c>
      <x:c r="J310" s="88" t="s">
        <x:v>2772</x:v>
      </x:c>
      <x:c r="K310" s="88" t="s">
        <x:v>266</x:v>
      </x:c>
      <x:c r="L310" s="88"/>
      <x:c r="M310" s="88" t="s">
        <x:v>2739</x:v>
      </x:c>
      <x:c r="N310" s="88"/>
      <x:c r="O310" s="88"/>
      <x:c r="P310" s="88" t="s">
        <x:v>2773</x:v>
      </x:c>
      <x:c r="Q310" s="88" t="s">
        <x:v>269</x:v>
      </x:c>
      <x:c r="R310" s="88" t="s">
        <x:v>283</x:v>
      </x:c>
      <x:c r="S310" s="88"/>
      <x:c r="T310" s="88" t="s">
        <x:v>259</x:v>
      </x:c>
      <x:c r="U310" s="88" t="s">
        <x:v>2739</x:v>
      </x:c>
      <x:c r="V310" s="89">
        <x:v>46226.128910613428</x:v>
      </x:c>
      <x:c r="W310" s="88" t="s">
        <x:v>2773</x:v>
      </x:c>
      <x:c r="X310" s="88" t="s">
        <x:v>259</x:v>
      </x:c>
      <x:c r="Y310" s="88" t="s">
        <x:v>2739</x:v>
      </x:c>
      <x:c r="Z310" s="89">
        <x:v>46226.129133182869</x:v>
      </x:c>
      <x:c r="AA310" s="88" t="s">
        <x:v>2773</x:v>
      </x:c>
      <x:c r="AB310" s="88" t="s">
        <x:v>259</x:v>
      </x:c>
      <x:c r="AC310" s="88" t="s">
        <x:v>111</x:v>
      </x:c>
      <x:c r="AD310" s="89">
        <x:v>46233.106407164349</x:v>
      </x:c>
      <x:c r="AE310" s="88" t="s">
        <x:v>335</x:v>
      </x:c>
      <x:c r="AF310" s="88"/>
      <x:c r="AG310" s="88" t="s">
        <x:v>111</x:v>
      </x:c>
      <x:c r="AH310" s="89"/>
      <x:c r="AI310" s="88"/>
      <x:c r="AJ310" s="88" t="s">
        <x:v>2774</x:v>
      </x:c>
      <x:c r="AK310" s="88" t="s">
        <x:v>2775</x:v>
      </x:c>
      <x:c r="AL310" s="88" t="s">
        <x:v>185</x:v>
      </x:c>
      <x:c r="AM310" s="88" t="s">
        <x:v>2776</x:v>
      </x:c>
      <x:c r="AN310" s="88" t="s">
        <x:v>414</x:v>
      </x:c>
      <x:c r="AO310" s="88">
        <x:v>1</x:v>
      </x:c>
    </x:row>
    <x:row r="311">
      <x:c r="A311" s="88" t="s">
        <x:v>2777</x:v>
      </x:c>
      <x:c r="B311" s="88" t="s">
        <x:v>2778</x:v>
      </x:c>
      <x:c r="C311" s="88" t="s">
        <x:v>2739</x:v>
      </x:c>
      <x:c r="D311" s="88" t="s">
        <x:v>248</x:v>
      </x:c>
      <x:c r="E311" s="88" t="s">
        <x:v>329</x:v>
      </x:c>
      <x:c r="F311" s="89">
        <x:v>46226.140965833336</x:v>
      </x:c>
      <x:c r="G311" s="89">
        <x:v>46239.620899050926</x:v>
      </x:c>
      <x:c r="H311" s="89">
        <x:v>46226.140965833336</x:v>
      </x:c>
      <x:c r="I311" s="88" t="s">
        <x:v>2779</x:v>
      </x:c>
      <x:c r="J311" s="88" t="s">
        <x:v>2780</x:v>
      </x:c>
      <x:c r="K311" s="88" t="s">
        <x:v>266</x:v>
      </x:c>
      <x:c r="L311" s="88"/>
      <x:c r="M311" s="88" t="s">
        <x:v>2739</x:v>
      </x:c>
      <x:c r="N311" s="88"/>
      <x:c r="O311" s="88"/>
      <x:c r="P311" s="88" t="s">
        <x:v>2781</x:v>
      </x:c>
      <x:c r="Q311" s="88" t="s">
        <x:v>269</x:v>
      </x:c>
      <x:c r="R311" s="88" t="s">
        <x:v>283</x:v>
      </x:c>
      <x:c r="S311" s="88"/>
      <x:c r="T311" s="88" t="s">
        <x:v>259</x:v>
      </x:c>
      <x:c r="U311" s="88" t="s">
        <x:v>2739</x:v>
      </x:c>
      <x:c r="V311" s="89">
        <x:v>46226.141623113428</x:v>
      </x:c>
      <x:c r="W311" s="88" t="s">
        <x:v>2781</x:v>
      </x:c>
      <x:c r="X311" s="88" t="s">
        <x:v>259</x:v>
      </x:c>
      <x:c r="Y311" s="88" t="s">
        <x:v>2739</x:v>
      </x:c>
      <x:c r="Z311" s="89">
        <x:v>46226.141895578701</x:v>
      </x:c>
      <x:c r="AA311" s="88" t="s">
        <x:v>2781</x:v>
      </x:c>
      <x:c r="AB311" s="88" t="s">
        <x:v>259</x:v>
      </x:c>
      <x:c r="AC311" s="88" t="s">
        <x:v>111</x:v>
      </x:c>
      <x:c r="AD311" s="89">
        <x:v>46239.620899062502</x:v>
      </x:c>
      <x:c r="AE311" s="88" t="s">
        <x:v>259</x:v>
      </x:c>
      <x:c r="AF311" s="88"/>
      <x:c r="AG311" s="88" t="s">
        <x:v>122</x:v>
      </x:c>
      <x:c r="AH311" s="89"/>
      <x:c r="AI311" s="88"/>
      <x:c r="AJ311" s="88" t="s">
        <x:v>2782</x:v>
      </x:c>
      <x:c r="AK311" s="88">
        <x:v>10125</x:v>
      </x:c>
      <x:c r="AL311" s="88" t="s">
        <x:v>185</x:v>
      </x:c>
      <x:c r="AM311" s="88" t="s">
        <x:v>2783</x:v>
      </x:c>
      <x:c r="AN311" s="88" t="s">
        <x:v>414</x:v>
      </x:c>
      <x:c r="AO311" s="88">
        <x:v>1</x:v>
      </x:c>
    </x:row>
    <x:row r="312">
      <x:c r="A312" s="88" t="s">
        <x:v>2784</x:v>
      </x:c>
      <x:c r="B312" s="88" t="s">
        <x:v>2785</x:v>
      </x:c>
      <x:c r="C312" s="88" t="s">
        <x:v>2739</x:v>
      </x:c>
      <x:c r="D312" s="88" t="s">
        <x:v>248</x:v>
      </x:c>
      <x:c r="E312" s="88" t="s">
        <x:v>329</x:v>
      </x:c>
      <x:c r="F312" s="89">
        <x:v>46226.144208958336</x:v>
      </x:c>
      <x:c r="G312" s="89">
        <x:v>46239.620102604167</x:v>
      </x:c>
      <x:c r="H312" s="89">
        <x:v>46226.144208958336</x:v>
      </x:c>
      <x:c r="I312" s="88" t="s">
        <x:v>2755</x:v>
      </x:c>
      <x:c r="J312" s="88" t="s">
        <x:v>2756</x:v>
      </x:c>
      <x:c r="K312" s="88" t="s">
        <x:v>266</x:v>
      </x:c>
      <x:c r="L312" s="88"/>
      <x:c r="M312" s="88" t="s">
        <x:v>2739</x:v>
      </x:c>
      <x:c r="N312" s="88"/>
      <x:c r="O312" s="88"/>
      <x:c r="P312" s="88" t="s">
        <x:v>2786</x:v>
      </x:c>
      <x:c r="Q312" s="88" t="s">
        <x:v>269</x:v>
      </x:c>
      <x:c r="R312" s="88" t="s">
        <x:v>283</x:v>
      </x:c>
      <x:c r="S312" s="88"/>
      <x:c r="T312" s="88" t="s">
        <x:v>259</x:v>
      </x:c>
      <x:c r="U312" s="88" t="s">
        <x:v>2739</x:v>
      </x:c>
      <x:c r="V312" s="89">
        <x:v>46226.14457019676</x:v>
      </x:c>
      <x:c r="W312" s="88" t="s">
        <x:v>2786</x:v>
      </x:c>
      <x:c r="X312" s="88" t="s">
        <x:v>259</x:v>
      </x:c>
      <x:c r="Y312" s="88" t="s">
        <x:v>2739</x:v>
      </x:c>
      <x:c r="Z312" s="89">
        <x:v>46226.144800231479</x:v>
      </x:c>
      <x:c r="AA312" s="88" t="s">
        <x:v>2786</x:v>
      </x:c>
      <x:c r="AB312" s="88" t="s">
        <x:v>259</x:v>
      </x:c>
      <x:c r="AC312" s="88" t="s">
        <x:v>111</x:v>
      </x:c>
      <x:c r="AD312" s="89">
        <x:v>46239.620102604167</x:v>
      </x:c>
      <x:c r="AE312" s="88" t="s">
        <x:v>385</x:v>
      </x:c>
      <x:c r="AF312" s="88"/>
      <x:c r="AG312" s="88" t="s">
        <x:v>113</x:v>
      </x:c>
      <x:c r="AH312" s="89"/>
      <x:c r="AI312" s="88"/>
      <x:c r="AJ312" s="88" t="s">
        <x:v>2760</x:v>
      </x:c>
      <x:c r="AK312" s="88">
        <x:v>10042</x:v>
      </x:c>
      <x:c r="AL312" s="88" t="s">
        <x:v>185</x:v>
      </x:c>
      <x:c r="AM312" s="88" t="s">
        <x:v>2787</x:v>
      </x:c>
      <x:c r="AN312" s="88" t="s">
        <x:v>414</x:v>
      </x:c>
      <x:c r="AO312" s="88">
        <x:v>1</x:v>
      </x:c>
    </x:row>
    <x:row r="313">
      <x:c r="A313" s="88" t="s">
        <x:v>2788</x:v>
      </x:c>
      <x:c r="B313" s="88" t="s">
        <x:v>2789</x:v>
      </x:c>
      <x:c r="C313" s="88" t="s">
        <x:v>2739</x:v>
      </x:c>
      <x:c r="D313" s="88" t="s">
        <x:v>248</x:v>
      </x:c>
      <x:c r="E313" s="88" t="s">
        <x:v>329</x:v>
      </x:c>
      <x:c r="F313" s="89">
        <x:v>46226.150340659726</x:v>
      </x:c>
      <x:c r="G313" s="89">
        <x:v>46233.106046712965</x:v>
      </x:c>
      <x:c r="H313" s="89">
        <x:v>46226.150340659726</x:v>
      </x:c>
      <x:c r="I313" s="88" t="s">
        <x:v>2790</x:v>
      </x:c>
      <x:c r="J313" s="88" t="s">
        <x:v>2791</x:v>
      </x:c>
      <x:c r="K313" s="88" t="s">
        <x:v>266</x:v>
      </x:c>
      <x:c r="L313" s="88"/>
      <x:c r="M313" s="88" t="s">
        <x:v>2739</x:v>
      </x:c>
      <x:c r="N313" s="88"/>
      <x:c r="O313" s="88"/>
      <x:c r="P313" s="88" t="s">
        <x:v>2792</x:v>
      </x:c>
      <x:c r="Q313" s="88" t="s">
        <x:v>269</x:v>
      </x:c>
      <x:c r="R313" s="88" t="s">
        <x:v>283</x:v>
      </x:c>
      <x:c r="S313" s="88"/>
      <x:c r="T313" s="88" t="s">
        <x:v>259</x:v>
      </x:c>
      <x:c r="U313" s="88" t="s">
        <x:v>2739</x:v>
      </x:c>
      <x:c r="V313" s="89">
        <x:v>46226.150637881947</x:v>
      </x:c>
      <x:c r="W313" s="88" t="s">
        <x:v>2792</x:v>
      </x:c>
      <x:c r="X313" s="88" t="s">
        <x:v>259</x:v>
      </x:c>
      <x:c r="Y313" s="88" t="s">
        <x:v>2739</x:v>
      </x:c>
      <x:c r="Z313" s="89">
        <x:v>46226.150898541666</x:v>
      </x:c>
      <x:c r="AA313" s="88" t="s">
        <x:v>2792</x:v>
      </x:c>
      <x:c r="AB313" s="88" t="s">
        <x:v>259</x:v>
      </x:c>
      <x:c r="AC313" s="88" t="s">
        <x:v>111</x:v>
      </x:c>
      <x:c r="AD313" s="89">
        <x:v>46233.106046724541</x:v>
      </x:c>
      <x:c r="AE313" s="88" t="s">
        <x:v>335</x:v>
      </x:c>
      <x:c r="AF313" s="88"/>
      <x:c r="AG313" s="88" t="s">
        <x:v>129</x:v>
      </x:c>
      <x:c r="AH313" s="89"/>
      <x:c r="AI313" s="88"/>
      <x:c r="AJ313" s="88" t="s">
        <x:v>2793</x:v>
      </x:c>
      <x:c r="AK313" s="88" t="s">
        <x:v>2794</x:v>
      </x:c>
      <x:c r="AL313" s="88" t="s">
        <x:v>185</x:v>
      </x:c>
      <x:c r="AM313" s="88" t="s">
        <x:v>2795</x:v>
      </x:c>
      <x:c r="AN313" s="88" t="s">
        <x:v>414</x:v>
      </x:c>
      <x:c r="AO313" s="88">
        <x:v>1</x:v>
      </x:c>
    </x:row>
    <x:row r="314">
      <x:c r="A314" s="88" t="s">
        <x:v>2796</x:v>
      </x:c>
      <x:c r="B314" s="88" t="s">
        <x:v>2797</x:v>
      </x:c>
      <x:c r="C314" s="88" t="s">
        <x:v>2739</x:v>
      </x:c>
      <x:c r="D314" s="88" t="s">
        <x:v>248</x:v>
      </x:c>
      <x:c r="E314" s="88" t="s">
        <x:v>329</x:v>
      </x:c>
      <x:c r="F314" s="89">
        <x:v>46226.154782592595</x:v>
      </x:c>
      <x:c r="G314" s="89">
        <x:v>46233.105761608793</x:v>
      </x:c>
      <x:c r="H314" s="89">
        <x:v>46226.154782592595</x:v>
      </x:c>
      <x:c r="I314" s="88" t="s">
        <x:v>2790</x:v>
      </x:c>
      <x:c r="J314" s="88" t="s">
        <x:v>2791</x:v>
      </x:c>
      <x:c r="K314" s="88" t="s">
        <x:v>266</x:v>
      </x:c>
      <x:c r="L314" s="88"/>
      <x:c r="M314" s="88" t="s">
        <x:v>2739</x:v>
      </x:c>
      <x:c r="N314" s="88"/>
      <x:c r="O314" s="88"/>
      <x:c r="P314" s="88" t="s">
        <x:v>2798</x:v>
      </x:c>
      <x:c r="Q314" s="88" t="s">
        <x:v>269</x:v>
      </x:c>
      <x:c r="R314" s="88" t="s">
        <x:v>283</x:v>
      </x:c>
      <x:c r="S314" s="88"/>
      <x:c r="T314" s="88" t="s">
        <x:v>259</x:v>
      </x:c>
      <x:c r="U314" s="88" t="s">
        <x:v>2739</x:v>
      </x:c>
      <x:c r="V314" s="89">
        <x:v>46226.155102789351</x:v>
      </x:c>
      <x:c r="W314" s="88" t="s">
        <x:v>2798</x:v>
      </x:c>
      <x:c r="X314" s="88" t="s">
        <x:v>259</x:v>
      </x:c>
      <x:c r="Y314" s="88" t="s">
        <x:v>2739</x:v>
      </x:c>
      <x:c r="Z314" s="89">
        <x:v>46226.155349895831</x:v>
      </x:c>
      <x:c r="AA314" s="88" t="s">
        <x:v>2798</x:v>
      </x:c>
      <x:c r="AB314" s="88" t="s">
        <x:v>259</x:v>
      </x:c>
      <x:c r="AC314" s="88" t="s">
        <x:v>111</x:v>
      </x:c>
      <x:c r="AD314" s="89">
        <x:v>46233.105761620369</x:v>
      </x:c>
      <x:c r="AE314" s="88" t="s">
        <x:v>335</x:v>
      </x:c>
      <x:c r="AF314" s="88"/>
      <x:c r="AG314" s="88" t="s">
        <x:v>129</x:v>
      </x:c>
      <x:c r="AH314" s="89"/>
      <x:c r="AI314" s="88"/>
      <x:c r="AJ314" s="88" t="s">
        <x:v>2793</x:v>
      </x:c>
      <x:c r="AK314" s="88" t="s">
        <x:v>2794</x:v>
      </x:c>
      <x:c r="AL314" s="88" t="s">
        <x:v>185</x:v>
      </x:c>
      <x:c r="AM314" s="88" t="s">
        <x:v>2799</x:v>
      </x:c>
      <x:c r="AN314" s="88" t="s">
        <x:v>414</x:v>
      </x:c>
      <x:c r="AO314" s="88">
        <x:v>1</x:v>
      </x:c>
    </x:row>
    <x:row r="315">
      <x:c r="A315" s="88" t="s">
        <x:v>2800</x:v>
      </x:c>
      <x:c r="B315" s="88" t="s">
        <x:v>2801</x:v>
      </x:c>
      <x:c r="C315" s="88" t="s">
        <x:v>2802</x:v>
      </x:c>
      <x:c r="D315" s="88" t="s">
        <x:v>248</x:v>
      </x:c>
      <x:c r="E315" s="88" t="s">
        <x:v>329</x:v>
      </x:c>
      <x:c r="F315" s="89">
        <x:v>46226.166300173609</x:v>
      </x:c>
      <x:c r="G315" s="89">
        <x:v>46239.290182106481</x:v>
      </x:c>
      <x:c r="H315" s="89">
        <x:v>46226.166300173609</x:v>
      </x:c>
      <x:c r="I315" s="88" t="s">
        <x:v>2803</x:v>
      </x:c>
      <x:c r="J315" s="88" t="s">
        <x:v>2804</x:v>
      </x:c>
      <x:c r="K315" s="88" t="s">
        <x:v>380</x:v>
      </x:c>
      <x:c r="L315" s="88" t="s">
        <x:v>2805</x:v>
      </x:c>
      <x:c r="M315" s="88" t="s">
        <x:v>2806</x:v>
      </x:c>
      <x:c r="N315" s="88" t="s">
        <x:v>2807</x:v>
      </x:c>
      <x:c r="O315" s="88"/>
      <x:c r="P315" s="88" t="s">
        <x:v>2808</x:v>
      </x:c>
      <x:c r="Q315" s="88" t="s">
        <x:v>256</x:v>
      </x:c>
      <x:c r="R315" s="88" t="s">
        <x:v>257</x:v>
      </x:c>
      <x:c r="S315" s="88"/>
      <x:c r="T315" s="88" t="s">
        <x:v>259</x:v>
      </x:c>
      <x:c r="U315" s="88" t="s">
        <x:v>2802</x:v>
      </x:c>
      <x:c r="V315" s="89">
        <x:v>46226.172751122685</x:v>
      </x:c>
      <x:c r="W315" s="88" t="s">
        <x:v>2809</x:v>
      </x:c>
      <x:c r="X315" s="88" t="s">
        <x:v>259</x:v>
      </x:c>
      <x:c r="Y315" s="88" t="s">
        <x:v>2810</x:v>
      </x:c>
      <x:c r="Z315" s="89">
        <x:v>46226.336280682874</x:v>
      </x:c>
      <x:c r="AA315" s="88" t="s">
        <x:v>2479</x:v>
      </x:c>
      <x:c r="AB315" s="88" t="s">
        <x:v>259</x:v>
      </x:c>
      <x:c r="AC315" s="88" t="s">
        <x:v>111</x:v>
      </x:c>
      <x:c r="AD315" s="89">
        <x:v>46239.290182118057</x:v>
      </x:c>
      <x:c r="AE315" s="88" t="s">
        <x:v>335</x:v>
      </x:c>
      <x:c r="AF315" s="88"/>
      <x:c r="AG315" s="88" t="s">
        <x:v>113</x:v>
      </x:c>
      <x:c r="AH315" s="89"/>
      <x:c r="AI315" s="88"/>
      <x:c r="AJ315" s="88" t="s">
        <x:v>2811</x:v>
      </x:c>
      <x:c r="AK315" s="88">
        <x:v>3827</x:v>
      </x:c>
      <x:c r="AL315" s="88" t="s">
        <x:v>185</x:v>
      </x:c>
      <x:c r="AM315" s="88" t="s">
        <x:v>2812</x:v>
      </x:c>
      <x:c r="AN315" s="88" t="s">
        <x:v>414</x:v>
      </x:c>
      <x:c r="AO315" s="88">
        <x:v>2</x:v>
      </x:c>
    </x:row>
    <x:row r="316">
      <x:c r="A316" s="88" t="s">
        <x:v>2813</x:v>
      </x:c>
      <x:c r="B316" s="88" t="s">
        <x:v>2814</x:v>
      </x:c>
      <x:c r="C316" s="88" t="s">
        <x:v>2739</x:v>
      </x:c>
      <x:c r="D316" s="88" t="s">
        <x:v>248</x:v>
      </x:c>
      <x:c r="E316" s="88" t="s">
        <x:v>249</x:v>
      </x:c>
      <x:c r="F316" s="89">
        <x:v>46226.176827650466</x:v>
      </x:c>
      <x:c r="G316" s="89">
        <x:v>46244.086508576387</x:v>
      </x:c>
      <x:c r="H316" s="89">
        <x:v>46226.176827650466</x:v>
      </x:c>
      <x:c r="I316" s="88" t="s">
        <x:v>2815</x:v>
      </x:c>
      <x:c r="J316" s="88" t="s">
        <x:v>2816</x:v>
      </x:c>
      <x:c r="K316" s="88" t="s">
        <x:v>266</x:v>
      </x:c>
      <x:c r="L316" s="88"/>
      <x:c r="M316" s="88" t="s">
        <x:v>2739</x:v>
      </x:c>
      <x:c r="N316" s="88"/>
      <x:c r="O316" s="88"/>
      <x:c r="P316" s="88" t="s">
        <x:v>2817</x:v>
      </x:c>
      <x:c r="Q316" s="88" t="s">
        <x:v>269</x:v>
      </x:c>
      <x:c r="R316" s="88" t="s">
        <x:v>283</x:v>
      </x:c>
      <x:c r="S316" s="88"/>
      <x:c r="T316" s="88" t="s">
        <x:v>259</x:v>
      </x:c>
      <x:c r="U316" s="88" t="s">
        <x:v>2739</x:v>
      </x:c>
      <x:c r="V316" s="89">
        <x:v>46226.177177835649</x:v>
      </x:c>
      <x:c r="W316" s="88" t="s">
        <x:v>2817</x:v>
      </x:c>
      <x:c r="X316" s="88" t="s">
        <x:v>259</x:v>
      </x:c>
      <x:c r="Y316" s="88" t="s">
        <x:v>2739</x:v>
      </x:c>
      <x:c r="Z316" s="89">
        <x:v>46226.177439398147</x:v>
      </x:c>
      <x:c r="AA316" s="88" t="s">
        <x:v>2817</x:v>
      </x:c>
      <x:c r="AB316" s="88" t="s">
        <x:v>249</x:v>
      </x:c>
      <x:c r="AC316" s="88" t="s">
        <x:v>2518</x:v>
      </x:c>
      <x:c r="AD316" s="89">
        <x:v>46244.086508587963</x:v>
      </x:c>
      <x:c r="AE316" s="88" t="s">
        <x:v>2759</x:v>
      </x:c>
      <x:c r="AF316" s="88"/>
      <x:c r="AG316" s="88" t="s">
        <x:v>173</x:v>
      </x:c>
      <x:c r="AH316" s="89"/>
      <x:c r="AI316" s="88"/>
      <x:c r="AJ316" s="88" t="s">
        <x:v>2818</x:v>
      </x:c>
      <x:c r="AK316" s="88">
        <x:v>10062</x:v>
      </x:c>
      <x:c r="AL316" s="88"/>
      <x:c r="AM316" s="88"/>
      <x:c r="AN316" s="88" t="s">
        <x:v>414</x:v>
      </x:c>
      <x:c r="AO316" s="88">
        <x:v>1</x:v>
      </x:c>
    </x:row>
    <x:row r="317">
      <x:c r="A317" s="88" t="s">
        <x:v>2819</x:v>
      </x:c>
      <x:c r="B317" s="88" t="s">
        <x:v>2820</x:v>
      </x:c>
      <x:c r="C317" s="88" t="s">
        <x:v>2739</x:v>
      </x:c>
      <x:c r="D317" s="88" t="s">
        <x:v>248</x:v>
      </x:c>
      <x:c r="E317" s="88" t="s">
        <x:v>249</x:v>
      </x:c>
      <x:c r="F317" s="89">
        <x:v>46226.180257025466</x:v>
      </x:c>
      <x:c r="G317" s="89">
        <x:v>46244.085823460649</x:v>
      </x:c>
      <x:c r="H317" s="89">
        <x:v>46226.180257025466</x:v>
      </x:c>
      <x:c r="I317" s="88" t="s">
        <x:v>2821</x:v>
      </x:c>
      <x:c r="J317" s="88" t="s">
        <x:v>2822</x:v>
      </x:c>
      <x:c r="K317" s="88" t="s">
        <x:v>266</x:v>
      </x:c>
      <x:c r="L317" s="88"/>
      <x:c r="M317" s="88" t="s">
        <x:v>2739</x:v>
      </x:c>
      <x:c r="N317" s="88"/>
      <x:c r="O317" s="88"/>
      <x:c r="P317" s="88" t="s">
        <x:v>2823</x:v>
      </x:c>
      <x:c r="Q317" s="88" t="s">
        <x:v>269</x:v>
      </x:c>
      <x:c r="R317" s="88" t="s">
        <x:v>283</x:v>
      </x:c>
      <x:c r="S317" s="88"/>
      <x:c r="T317" s="88" t="s">
        <x:v>259</x:v>
      </x:c>
      <x:c r="U317" s="88" t="s">
        <x:v>2739</x:v>
      </x:c>
      <x:c r="V317" s="89">
        <x:v>46226.180871921293</x:v>
      </x:c>
      <x:c r="W317" s="88" t="s">
        <x:v>2823</x:v>
      </x:c>
      <x:c r="X317" s="88" t="s">
        <x:v>259</x:v>
      </x:c>
      <x:c r="Y317" s="88" t="s">
        <x:v>2739</x:v>
      </x:c>
      <x:c r="Z317" s="89">
        <x:v>46226.181167175928</x:v>
      </x:c>
      <x:c r="AA317" s="88" t="s">
        <x:v>2823</x:v>
      </x:c>
      <x:c r="AB317" s="88" t="s">
        <x:v>249</x:v>
      </x:c>
      <x:c r="AC317" s="88" t="s">
        <x:v>2518</x:v>
      </x:c>
      <x:c r="AD317" s="89">
        <x:v>46244.085823460649</x:v>
      </x:c>
      <x:c r="AE317" s="88" t="s">
        <x:v>2759</x:v>
      </x:c>
      <x:c r="AF317" s="88"/>
      <x:c r="AG317" s="88" t="s">
        <x:v>173</x:v>
      </x:c>
      <x:c r="AH317" s="89"/>
      <x:c r="AI317" s="88"/>
      <x:c r="AJ317" s="88" t="s">
        <x:v>2824</x:v>
      </x:c>
      <x:c r="AK317" s="88">
        <x:v>10152</x:v>
      </x:c>
      <x:c r="AL317" s="88"/>
      <x:c r="AM317" s="88"/>
      <x:c r="AN317" s="88" t="s">
        <x:v>414</x:v>
      </x:c>
      <x:c r="AO317" s="88">
        <x:v>1</x:v>
      </x:c>
    </x:row>
    <x:row r="318">
      <x:c r="A318" s="88" t="s">
        <x:v>2825</x:v>
      </x:c>
      <x:c r="B318" s="88" t="s">
        <x:v>2826</x:v>
      </x:c>
      <x:c r="C318" s="88" t="s">
        <x:v>2739</x:v>
      </x:c>
      <x:c r="D318" s="88" t="s">
        <x:v>248</x:v>
      </x:c>
      <x:c r="E318" s="88" t="s">
        <x:v>329</x:v>
      </x:c>
      <x:c r="F318" s="89">
        <x:v>46226.21102033565</x:v>
      </x:c>
      <x:c r="G318" s="89">
        <x:v>46239.619596921293</x:v>
      </x:c>
      <x:c r="H318" s="89">
        <x:v>46226.21102033565</x:v>
      </x:c>
      <x:c r="I318" s="88" t="s">
        <x:v>2827</x:v>
      </x:c>
      <x:c r="J318" s="88" t="s">
        <x:v>2828</x:v>
      </x:c>
      <x:c r="K318" s="88" t="s">
        <x:v>266</x:v>
      </x:c>
      <x:c r="L318" s="88"/>
      <x:c r="M318" s="88" t="s">
        <x:v>2739</x:v>
      </x:c>
      <x:c r="N318" s="88"/>
      <x:c r="O318" s="88"/>
      <x:c r="P318" s="88" t="s">
        <x:v>2829</x:v>
      </x:c>
      <x:c r="Q318" s="88" t="s">
        <x:v>269</x:v>
      </x:c>
      <x:c r="R318" s="88" t="s">
        <x:v>283</x:v>
      </x:c>
      <x:c r="S318" s="88"/>
      <x:c r="T318" s="88" t="s">
        <x:v>259</x:v>
      </x:c>
      <x:c r="U318" s="88" t="s">
        <x:v>2739</x:v>
      </x:c>
      <x:c r="V318" s="89">
        <x:v>46226.211347488425</x:v>
      </x:c>
      <x:c r="W318" s="88" t="s">
        <x:v>2829</x:v>
      </x:c>
      <x:c r="X318" s="88" t="s">
        <x:v>259</x:v>
      </x:c>
      <x:c r="Y318" s="88" t="s">
        <x:v>2739</x:v>
      </x:c>
      <x:c r="Z318" s="89">
        <x:v>46226.21167340278</x:v>
      </x:c>
      <x:c r="AA318" s="88" t="s">
        <x:v>2829</x:v>
      </x:c>
      <x:c r="AB318" s="88" t="s">
        <x:v>259</x:v>
      </x:c>
      <x:c r="AC318" s="88" t="s">
        <x:v>111</x:v>
      </x:c>
      <x:c r="AD318" s="89">
        <x:v>46239.619596932869</x:v>
      </x:c>
      <x:c r="AE318" s="88" t="s">
        <x:v>385</x:v>
      </x:c>
      <x:c r="AF318" s="88"/>
      <x:c r="AG318" s="88" t="s">
        <x:v>113</x:v>
      </x:c>
      <x:c r="AH318" s="89"/>
      <x:c r="AI318" s="88"/>
      <x:c r="AJ318" s="88" t="s">
        <x:v>2830</x:v>
      </x:c>
      <x:c r="AK318" s="88">
        <x:v>10159</x:v>
      </x:c>
      <x:c r="AL318" s="88" t="s">
        <x:v>185</x:v>
      </x:c>
      <x:c r="AM318" s="88" t="s">
        <x:v>2831</x:v>
      </x:c>
      <x:c r="AN318" s="88" t="s">
        <x:v>414</x:v>
      </x:c>
      <x:c r="AO318" s="88">
        <x:v>1</x:v>
      </x:c>
    </x:row>
    <x:row r="319">
      <x:c r="A319" s="88" t="s">
        <x:v>2832</x:v>
      </x:c>
      <x:c r="B319" s="88" t="s">
        <x:v>2833</x:v>
      </x:c>
      <x:c r="C319" s="88" t="s">
        <x:v>2739</x:v>
      </x:c>
      <x:c r="D319" s="88" t="s">
        <x:v>248</x:v>
      </x:c>
      <x:c r="E319" s="88" t="s">
        <x:v>329</x:v>
      </x:c>
      <x:c r="F319" s="89">
        <x:v>46226.244260752312</x:v>
      </x:c>
      <x:c r="G319" s="89">
        <x:v>46233.105323958334</x:v>
      </x:c>
      <x:c r="H319" s="89">
        <x:v>46226.244260752312</x:v>
      </x:c>
      <x:c r="I319" s="88" t="s">
        <x:v>2834</x:v>
      </x:c>
      <x:c r="J319" s="88" t="s">
        <x:v>2835</x:v>
      </x:c>
      <x:c r="K319" s="88" t="s">
        <x:v>266</x:v>
      </x:c>
      <x:c r="L319" s="88"/>
      <x:c r="M319" s="88" t="s">
        <x:v>2739</x:v>
      </x:c>
      <x:c r="N319" s="88"/>
      <x:c r="O319" s="88"/>
      <x:c r="P319" s="88" t="s">
        <x:v>2836</x:v>
      </x:c>
      <x:c r="Q319" s="88" t="s">
        <x:v>269</x:v>
      </x:c>
      <x:c r="R319" s="88" t="s">
        <x:v>283</x:v>
      </x:c>
      <x:c r="S319" s="88"/>
      <x:c r="T319" s="88" t="s">
        <x:v>259</x:v>
      </x:c>
      <x:c r="U319" s="88" t="s">
        <x:v>2739</x:v>
      </x:c>
      <x:c r="V319" s="89">
        <x:v>46226.248091493057</x:v>
      </x:c>
      <x:c r="W319" s="88" t="s">
        <x:v>2836</x:v>
      </x:c>
      <x:c r="X319" s="88" t="s">
        <x:v>259</x:v>
      </x:c>
      <x:c r="Y319" s="88" t="s">
        <x:v>2739</x:v>
      </x:c>
      <x:c r="Z319" s="89">
        <x:v>46226.248439363429</x:v>
      </x:c>
      <x:c r="AA319" s="88" t="s">
        <x:v>2836</x:v>
      </x:c>
      <x:c r="AB319" s="88" t="s">
        <x:v>259</x:v>
      </x:c>
      <x:c r="AC319" s="88" t="s">
        <x:v>111</x:v>
      </x:c>
      <x:c r="AD319" s="89">
        <x:v>46233.10532396991</x:v>
      </x:c>
      <x:c r="AE319" s="88" t="s">
        <x:v>335</x:v>
      </x:c>
      <x:c r="AF319" s="88"/>
      <x:c r="AG319" s="88" t="s">
        <x:v>184</x:v>
      </x:c>
      <x:c r="AH319" s="89"/>
      <x:c r="AI319" s="88"/>
      <x:c r="AJ319" s="88" t="s">
        <x:v>2837</x:v>
      </x:c>
      <x:c r="AK319" s="88" t="s">
        <x:v>2838</x:v>
      </x:c>
      <x:c r="AL319" s="88" t="s">
        <x:v>185</x:v>
      </x:c>
      <x:c r="AM319" s="88" t="s">
        <x:v>2839</x:v>
      </x:c>
      <x:c r="AN319" s="88" t="s">
        <x:v>414</x:v>
      </x:c>
      <x:c r="AO319" s="88">
        <x:v>1</x:v>
      </x:c>
    </x:row>
    <x:row r="320">
      <x:c r="A320" s="88" t="s">
        <x:v>2840</x:v>
      </x:c>
      <x:c r="B320" s="88" t="s">
        <x:v>2841</x:v>
      </x:c>
      <x:c r="C320" s="88" t="s">
        <x:v>2739</x:v>
      </x:c>
      <x:c r="D320" s="88" t="s">
        <x:v>248</x:v>
      </x:c>
      <x:c r="E320" s="88" t="s">
        <x:v>329</x:v>
      </x:c>
      <x:c r="F320" s="89">
        <x:v>46226.25001640046</x:v>
      </x:c>
      <x:c r="G320" s="89">
        <x:v>46239.619336041666</x:v>
      </x:c>
      <x:c r="H320" s="89">
        <x:v>46226.25001640046</x:v>
      </x:c>
      <x:c r="I320" s="88" t="s">
        <x:v>2834</x:v>
      </x:c>
      <x:c r="J320" s="88" t="s">
        <x:v>2835</x:v>
      </x:c>
      <x:c r="K320" s="88" t="s">
        <x:v>266</x:v>
      </x:c>
      <x:c r="L320" s="88"/>
      <x:c r="M320" s="88" t="s">
        <x:v>2739</x:v>
      </x:c>
      <x:c r="N320" s="88"/>
      <x:c r="O320" s="88"/>
      <x:c r="P320" s="88" t="s">
        <x:v>2842</x:v>
      </x:c>
      <x:c r="Q320" s="88" t="s">
        <x:v>269</x:v>
      </x:c>
      <x:c r="R320" s="88" t="s">
        <x:v>283</x:v>
      </x:c>
      <x:c r="S320" s="88"/>
      <x:c r="T320" s="88" t="s">
        <x:v>259</x:v>
      </x:c>
      <x:c r="U320" s="88" t="s">
        <x:v>2739</x:v>
      </x:c>
      <x:c r="V320" s="89">
        <x:v>46226.250126354164</x:v>
      </x:c>
      <x:c r="W320" s="88" t="s">
        <x:v>2842</x:v>
      </x:c>
      <x:c r="X320" s="88" t="s">
        <x:v>259</x:v>
      </x:c>
      <x:c r="Y320" s="88" t="s">
        <x:v>2739</x:v>
      </x:c>
      <x:c r="Z320" s="89">
        <x:v>46226.250710995373</x:v>
      </x:c>
      <x:c r="AA320" s="88" t="s">
        <x:v>2842</x:v>
      </x:c>
      <x:c r="AB320" s="88" t="s">
        <x:v>259</x:v>
      </x:c>
      <x:c r="AC320" s="88" t="s">
        <x:v>111</x:v>
      </x:c>
      <x:c r="AD320" s="89">
        <x:v>46239.619336053242</x:v>
      </x:c>
      <x:c r="AE320" s="88" t="s">
        <x:v>259</x:v>
      </x:c>
      <x:c r="AF320" s="88"/>
      <x:c r="AG320" s="88" t="s">
        <x:v>113</x:v>
      </x:c>
      <x:c r="AH320" s="89"/>
      <x:c r="AI320" s="88"/>
      <x:c r="AJ320" s="88" t="s">
        <x:v>2837</x:v>
      </x:c>
      <x:c r="AK320" s="88" t="s">
        <x:v>2838</x:v>
      </x:c>
      <x:c r="AL320" s="88" t="s">
        <x:v>185</x:v>
      </x:c>
      <x:c r="AM320" s="88" t="s">
        <x:v>2843</x:v>
      </x:c>
      <x:c r="AN320" s="88" t="s">
        <x:v>414</x:v>
      </x:c>
      <x:c r="AO320" s="88">
        <x:v>1</x:v>
      </x:c>
    </x:row>
    <x:row r="321">
      <x:c r="A321" s="88" t="s">
        <x:v>2844</x:v>
      </x:c>
      <x:c r="B321" s="88" t="s">
        <x:v>2845</x:v>
      </x:c>
      <x:c r="C321" s="88" t="s">
        <x:v>2739</x:v>
      </x:c>
      <x:c r="D321" s="88" t="s">
        <x:v>248</x:v>
      </x:c>
      <x:c r="E321" s="88" t="s">
        <x:v>329</x:v>
      </x:c>
      <x:c r="F321" s="89">
        <x:v>46226.252932453703</x:v>
      </x:c>
      <x:c r="G321" s="89">
        <x:v>46233.104958368058</x:v>
      </x:c>
      <x:c r="H321" s="89">
        <x:v>46226.252932453703</x:v>
      </x:c>
      <x:c r="I321" s="88" t="s">
        <x:v>2846</x:v>
      </x:c>
      <x:c r="J321" s="88" t="s">
        <x:v>2847</x:v>
      </x:c>
      <x:c r="K321" s="88" t="s">
        <x:v>266</x:v>
      </x:c>
      <x:c r="L321" s="88"/>
      <x:c r="M321" s="88" t="s">
        <x:v>2739</x:v>
      </x:c>
      <x:c r="N321" s="88"/>
      <x:c r="O321" s="88"/>
      <x:c r="P321" s="88" t="s">
        <x:v>2848</x:v>
      </x:c>
      <x:c r="Q321" s="88" t="s">
        <x:v>269</x:v>
      </x:c>
      <x:c r="R321" s="88" t="s">
        <x:v>283</x:v>
      </x:c>
      <x:c r="S321" s="88"/>
      <x:c r="T321" s="88" t="s">
        <x:v>259</x:v>
      </x:c>
      <x:c r="U321" s="88" t="s">
        <x:v>2739</x:v>
      </x:c>
      <x:c r="V321" s="89">
        <x:v>46226.253194305558</x:v>
      </x:c>
      <x:c r="W321" s="88" t="s">
        <x:v>2848</x:v>
      </x:c>
      <x:c r="X321" s="88" t="s">
        <x:v>259</x:v>
      </x:c>
      <x:c r="Y321" s="88" t="s">
        <x:v>2739</x:v>
      </x:c>
      <x:c r="Z321" s="89">
        <x:v>46226.253439062501</x:v>
      </x:c>
      <x:c r="AA321" s="88" t="s">
        <x:v>2848</x:v>
      </x:c>
      <x:c r="AB321" s="88" t="s">
        <x:v>259</x:v>
      </x:c>
      <x:c r="AC321" s="88" t="s">
        <x:v>111</x:v>
      </x:c>
      <x:c r="AD321" s="89">
        <x:v>46233.104958379627</x:v>
      </x:c>
      <x:c r="AE321" s="88" t="s">
        <x:v>335</x:v>
      </x:c>
      <x:c r="AF321" s="88"/>
      <x:c r="AG321" s="88" t="s">
        <x:v>184</x:v>
      </x:c>
      <x:c r="AH321" s="89"/>
      <x:c r="AI321" s="88"/>
      <x:c r="AJ321" s="88" t="s">
        <x:v>2849</x:v>
      </x:c>
      <x:c r="AK321" s="88">
        <x:v>10134</x:v>
      </x:c>
      <x:c r="AL321" s="88" t="s">
        <x:v>185</x:v>
      </x:c>
      <x:c r="AM321" s="88" t="s">
        <x:v>2850</x:v>
      </x:c>
      <x:c r="AN321" s="88" t="s">
        <x:v>414</x:v>
      </x:c>
      <x:c r="AO321" s="88">
        <x:v>1</x:v>
      </x:c>
    </x:row>
    <x:row r="322">
      <x:c r="A322" s="88" t="s">
        <x:v>2851</x:v>
      </x:c>
      <x:c r="B322" s="88" t="s">
        <x:v>2852</x:v>
      </x:c>
      <x:c r="C322" s="88" t="s">
        <x:v>2739</x:v>
      </x:c>
      <x:c r="D322" s="88" t="s">
        <x:v>248</x:v>
      </x:c>
      <x:c r="E322" s="88" t="s">
        <x:v>329</x:v>
      </x:c>
      <x:c r="F322" s="89">
        <x:v>46226.255092870371</x:v>
      </x:c>
      <x:c r="G322" s="89">
        <x:v>46239.619113125002</x:v>
      </x:c>
      <x:c r="H322" s="89">
        <x:v>46226.255092870371</x:v>
      </x:c>
      <x:c r="I322" s="88" t="s">
        <x:v>2834</x:v>
      </x:c>
      <x:c r="J322" s="88" t="s">
        <x:v>2835</x:v>
      </x:c>
      <x:c r="K322" s="88" t="s">
        <x:v>266</x:v>
      </x:c>
      <x:c r="L322" s="88"/>
      <x:c r="M322" s="88" t="s">
        <x:v>2739</x:v>
      </x:c>
      <x:c r="N322" s="88"/>
      <x:c r="O322" s="88"/>
      <x:c r="P322" s="88" t="s">
        <x:v>2853</x:v>
      </x:c>
      <x:c r="Q322" s="88" t="s">
        <x:v>269</x:v>
      </x:c>
      <x:c r="R322" s="88" t="s">
        <x:v>283</x:v>
      </x:c>
      <x:c r="S322" s="88"/>
      <x:c r="T322" s="88" t="s">
        <x:v>259</x:v>
      </x:c>
      <x:c r="U322" s="88" t="s">
        <x:v>2739</x:v>
      </x:c>
      <x:c r="V322" s="89">
        <x:v>46226.255417766202</x:v>
      </x:c>
      <x:c r="W322" s="88" t="s">
        <x:v>2853</x:v>
      </x:c>
      <x:c r="X322" s="88" t="s">
        <x:v>259</x:v>
      </x:c>
      <x:c r="Y322" s="88" t="s">
        <x:v>2739</x:v>
      </x:c>
      <x:c r="Z322" s="89">
        <x:v>46226.255639490744</x:v>
      </x:c>
      <x:c r="AA322" s="88" t="s">
        <x:v>2853</x:v>
      </x:c>
      <x:c r="AB322" s="88" t="s">
        <x:v>259</x:v>
      </x:c>
      <x:c r="AC322" s="88" t="s">
        <x:v>111</x:v>
      </x:c>
      <x:c r="AD322" s="89">
        <x:v>46239.619113136578</x:v>
      </x:c>
      <x:c r="AE322" s="88" t="s">
        <x:v>385</x:v>
      </x:c>
      <x:c r="AF322" s="88"/>
      <x:c r="AG322" s="88" t="s">
        <x:v>113</x:v>
      </x:c>
      <x:c r="AH322" s="89"/>
      <x:c r="AI322" s="88"/>
      <x:c r="AJ322" s="88" t="s">
        <x:v>2837</x:v>
      </x:c>
      <x:c r="AK322" s="88" t="s">
        <x:v>2838</x:v>
      </x:c>
      <x:c r="AL322" s="88" t="s">
        <x:v>185</x:v>
      </x:c>
      <x:c r="AM322" s="88" t="s">
        <x:v>2854</x:v>
      </x:c>
      <x:c r="AN322" s="88" t="s">
        <x:v>414</x:v>
      </x:c>
      <x:c r="AO322" s="88">
        <x:v>1</x:v>
      </x:c>
    </x:row>
    <x:row r="323">
      <x:c r="A323" s="88" t="s">
        <x:v>2855</x:v>
      </x:c>
      <x:c r="B323" s="88" t="s">
        <x:v>2856</x:v>
      </x:c>
      <x:c r="C323" s="88" t="s">
        <x:v>2739</x:v>
      </x:c>
      <x:c r="D323" s="88" t="s">
        <x:v>248</x:v>
      </x:c>
      <x:c r="E323" s="88" t="s">
        <x:v>329</x:v>
      </x:c>
      <x:c r="F323" s="89">
        <x:v>46226.263291342591</x:v>
      </x:c>
      <x:c r="G323" s="89">
        <x:v>46233.104649583336</x:v>
      </x:c>
      <x:c r="H323" s="89">
        <x:v>46226.263291342591</x:v>
      </x:c>
      <x:c r="I323" s="88" t="s">
        <x:v>2857</x:v>
      </x:c>
      <x:c r="J323" s="88" t="s">
        <x:v>2858</x:v>
      </x:c>
      <x:c r="K323" s="88" t="s">
        <x:v>266</x:v>
      </x:c>
      <x:c r="L323" s="88"/>
      <x:c r="M323" s="88" t="s">
        <x:v>2739</x:v>
      </x:c>
      <x:c r="N323" s="88"/>
      <x:c r="O323" s="88"/>
      <x:c r="P323" s="88" t="s">
        <x:v>2859</x:v>
      </x:c>
      <x:c r="Q323" s="88" t="s">
        <x:v>269</x:v>
      </x:c>
      <x:c r="R323" s="88" t="s">
        <x:v>283</x:v>
      </x:c>
      <x:c r="S323" s="88"/>
      <x:c r="T323" s="88" t="s">
        <x:v>259</x:v>
      </x:c>
      <x:c r="U323" s="88" t="s">
        <x:v>2739</x:v>
      </x:c>
      <x:c r="V323" s="89">
        <x:v>46226.26364355324</x:v>
      </x:c>
      <x:c r="W323" s="88" t="s">
        <x:v>2859</x:v>
      </x:c>
      <x:c r="X323" s="88" t="s">
        <x:v>259</x:v>
      </x:c>
      <x:c r="Y323" s="88" t="s">
        <x:v>2739</x:v>
      </x:c>
      <x:c r="Z323" s="89">
        <x:v>46226.263817962965</x:v>
      </x:c>
      <x:c r="AA323" s="88" t="s">
        <x:v>2859</x:v>
      </x:c>
      <x:c r="AB323" s="88" t="s">
        <x:v>259</x:v>
      </x:c>
      <x:c r="AC323" s="88" t="s">
        <x:v>111</x:v>
      </x:c>
      <x:c r="AD323" s="89">
        <x:v>46233.104649594905</x:v>
      </x:c>
      <x:c r="AE323" s="88" t="s">
        <x:v>335</x:v>
      </x:c>
      <x:c r="AF323" s="88"/>
      <x:c r="AG323" s="88" t="s">
        <x:v>113</x:v>
      </x:c>
      <x:c r="AH323" s="89"/>
      <x:c r="AI323" s="88"/>
      <x:c r="AJ323" s="88" t="s">
        <x:v>2860</x:v>
      </x:c>
      <x:c r="AK323" s="88">
        <x:v>10124</x:v>
      </x:c>
      <x:c r="AL323" s="88" t="s">
        <x:v>185</x:v>
      </x:c>
      <x:c r="AM323" s="88" t="s">
        <x:v>2861</x:v>
      </x:c>
      <x:c r="AN323" s="88" t="s">
        <x:v>414</x:v>
      </x:c>
      <x:c r="AO323" s="88">
        <x:v>1</x:v>
      </x:c>
    </x:row>
    <x:row r="324">
      <x:c r="A324" s="88" t="s">
        <x:v>2862</x:v>
      </x:c>
      <x:c r="B324" s="88" t="s">
        <x:v>2863</x:v>
      </x:c>
      <x:c r="C324" s="88" t="s">
        <x:v>2739</x:v>
      </x:c>
      <x:c r="D324" s="88" t="s">
        <x:v>248</x:v>
      </x:c>
      <x:c r="E324" s="88" t="s">
        <x:v>329</x:v>
      </x:c>
      <x:c r="F324" s="89">
        <x:v>46226.26594484954</x:v>
      </x:c>
      <x:c r="G324" s="89">
        <x:v>46233.104196030094</x:v>
      </x:c>
      <x:c r="H324" s="89">
        <x:v>46226.26594484954</x:v>
      </x:c>
      <x:c r="I324" s="88" t="s">
        <x:v>2864</x:v>
      </x:c>
      <x:c r="J324" s="88" t="s">
        <x:v>2865</x:v>
      </x:c>
      <x:c r="K324" s="88" t="s">
        <x:v>266</x:v>
      </x:c>
      <x:c r="L324" s="88"/>
      <x:c r="M324" s="88" t="s">
        <x:v>2739</x:v>
      </x:c>
      <x:c r="N324" s="88"/>
      <x:c r="O324" s="88"/>
      <x:c r="P324" s="88" t="s">
        <x:v>2866</x:v>
      </x:c>
      <x:c r="Q324" s="88" t="s">
        <x:v>269</x:v>
      </x:c>
      <x:c r="R324" s="88" t="s">
        <x:v>283</x:v>
      </x:c>
      <x:c r="S324" s="88"/>
      <x:c r="T324" s="88" t="s">
        <x:v>259</x:v>
      </x:c>
      <x:c r="U324" s="88" t="s">
        <x:v>2739</x:v>
      </x:c>
      <x:c r="V324" s="89">
        <x:v>46226.266303645833</x:v>
      </x:c>
      <x:c r="W324" s="88" t="s">
        <x:v>2866</x:v>
      </x:c>
      <x:c r="X324" s="88" t="s">
        <x:v>259</x:v>
      </x:c>
      <x:c r="Y324" s="88" t="s">
        <x:v>2739</x:v>
      </x:c>
      <x:c r="Z324" s="89">
        <x:v>46226.266475150464</x:v>
      </x:c>
      <x:c r="AA324" s="88" t="s">
        <x:v>2866</x:v>
      </x:c>
      <x:c r="AB324" s="88" t="s">
        <x:v>259</x:v>
      </x:c>
      <x:c r="AC324" s="88" t="s">
        <x:v>111</x:v>
      </x:c>
      <x:c r="AD324" s="89">
        <x:v>46233.10419604167</x:v>
      </x:c>
      <x:c r="AE324" s="88" t="s">
        <x:v>335</x:v>
      </x:c>
      <x:c r="AF324" s="88"/>
      <x:c r="AG324" s="88" t="s">
        <x:v>129</x:v>
      </x:c>
      <x:c r="AH324" s="89"/>
      <x:c r="AI324" s="88"/>
      <x:c r="AJ324" s="88" t="s">
        <x:v>2867</x:v>
      </x:c>
      <x:c r="AK324" s="88" t="s">
        <x:v>2868</x:v>
      </x:c>
      <x:c r="AL324" s="88" t="s">
        <x:v>185</x:v>
      </x:c>
      <x:c r="AM324" s="88" t="s">
        <x:v>2869</x:v>
      </x:c>
      <x:c r="AN324" s="88" t="s">
        <x:v>414</x:v>
      </x:c>
      <x:c r="AO324" s="88">
        <x:v>1</x:v>
      </x:c>
    </x:row>
    <x:row r="325">
      <x:c r="A325" s="88" t="s">
        <x:v>2870</x:v>
      </x:c>
      <x:c r="B325" s="88" t="s">
        <x:v>2871</x:v>
      </x:c>
      <x:c r="C325" s="88" t="s">
        <x:v>2739</x:v>
      </x:c>
      <x:c r="D325" s="88" t="s">
        <x:v>248</x:v>
      </x:c>
      <x:c r="E325" s="88" t="s">
        <x:v>329</x:v>
      </x:c>
      <x:c r="F325" s="89">
        <x:v>46226.269127604166</x:v>
      </x:c>
      <x:c r="G325" s="89">
        <x:v>46239.618911516205</x:v>
      </x:c>
      <x:c r="H325" s="89">
        <x:v>46226.269127604166</x:v>
      </x:c>
      <x:c r="I325" s="88" t="s">
        <x:v>2872</x:v>
      </x:c>
      <x:c r="J325" s="88" t="s">
        <x:v>2873</x:v>
      </x:c>
      <x:c r="K325" s="88" t="s">
        <x:v>266</x:v>
      </x:c>
      <x:c r="L325" s="88"/>
      <x:c r="M325" s="88" t="s">
        <x:v>2739</x:v>
      </x:c>
      <x:c r="N325" s="88"/>
      <x:c r="O325" s="88"/>
      <x:c r="P325" s="88" t="s">
        <x:v>2874</x:v>
      </x:c>
      <x:c r="Q325" s="88" t="s">
        <x:v>269</x:v>
      </x:c>
      <x:c r="R325" s="88" t="s">
        <x:v>283</x:v>
      </x:c>
      <x:c r="S325" s="88"/>
      <x:c r="T325" s="88" t="s">
        <x:v>259</x:v>
      </x:c>
      <x:c r="U325" s="88" t="s">
        <x:v>2739</x:v>
      </x:c>
      <x:c r="V325" s="89">
        <x:v>46226.269881643515</x:v>
      </x:c>
      <x:c r="W325" s="88" t="s">
        <x:v>2874</x:v>
      </x:c>
      <x:c r="X325" s="88" t="s">
        <x:v>259</x:v>
      </x:c>
      <x:c r="Y325" s="88" t="s">
        <x:v>2739</x:v>
      </x:c>
      <x:c r="Z325" s="89">
        <x:v>46226.270057453701</x:v>
      </x:c>
      <x:c r="AA325" s="88" t="s">
        <x:v>2874</x:v>
      </x:c>
      <x:c r="AB325" s="88" t="s">
        <x:v>259</x:v>
      </x:c>
      <x:c r="AC325" s="88" t="s">
        <x:v>111</x:v>
      </x:c>
      <x:c r="AD325" s="89">
        <x:v>46239.61891153935</x:v>
      </x:c>
      <x:c r="AE325" s="88" t="s">
        <x:v>259</x:v>
      </x:c>
      <x:c r="AF325" s="88"/>
      <x:c r="AG325" s="88" t="s">
        <x:v>113</x:v>
      </x:c>
      <x:c r="AH325" s="89"/>
      <x:c r="AI325" s="88"/>
      <x:c r="AJ325" s="88" t="s">
        <x:v>2875</x:v>
      </x:c>
      <x:c r="AK325" s="88" t="s">
        <x:v>2876</x:v>
      </x:c>
      <x:c r="AL325" s="88" t="s">
        <x:v>185</x:v>
      </x:c>
      <x:c r="AM325" s="88" t="s">
        <x:v>2877</x:v>
      </x:c>
      <x:c r="AN325" s="88" t="s">
        <x:v>414</x:v>
      </x:c>
      <x:c r="AO325" s="88">
        <x:v>1</x:v>
      </x:c>
    </x:row>
    <x:row r="326">
      <x:c r="A326" s="88" t="s">
        <x:v>2878</x:v>
      </x:c>
      <x:c r="B326" s="88" t="s">
        <x:v>2879</x:v>
      </x:c>
      <x:c r="C326" s="88" t="s">
        <x:v>2739</x:v>
      </x:c>
      <x:c r="D326" s="88" t="s">
        <x:v>248</x:v>
      </x:c>
      <x:c r="E326" s="88" t="s">
        <x:v>329</x:v>
      </x:c>
      <x:c r="F326" s="89">
        <x:v>46226.293494768521</x:v>
      </x:c>
      <x:c r="G326" s="89">
        <x:v>46233.103945844909</x:v>
      </x:c>
      <x:c r="H326" s="89">
        <x:v>46226.29349478009</x:v>
      </x:c>
      <x:c r="I326" s="88" t="s">
        <x:v>2880</x:v>
      </x:c>
      <x:c r="J326" s="88" t="s">
        <x:v>2881</x:v>
      </x:c>
      <x:c r="K326" s="88" t="s">
        <x:v>266</x:v>
      </x:c>
      <x:c r="L326" s="88"/>
      <x:c r="M326" s="88" t="s">
        <x:v>2739</x:v>
      </x:c>
      <x:c r="N326" s="88"/>
      <x:c r="O326" s="88"/>
      <x:c r="P326" s="88" t="s">
        <x:v>2882</x:v>
      </x:c>
      <x:c r="Q326" s="88" t="s">
        <x:v>269</x:v>
      </x:c>
      <x:c r="R326" s="88" t="s">
        <x:v>283</x:v>
      </x:c>
      <x:c r="S326" s="88"/>
      <x:c r="T326" s="88" t="s">
        <x:v>259</x:v>
      </x:c>
      <x:c r="U326" s="88" t="s">
        <x:v>2739</x:v>
      </x:c>
      <x:c r="V326" s="89">
        <x:v>46226.297026631946</x:v>
      </x:c>
      <x:c r="W326" s="88" t="s">
        <x:v>2882</x:v>
      </x:c>
      <x:c r="X326" s="88" t="s">
        <x:v>259</x:v>
      </x:c>
      <x:c r="Y326" s="88" t="s">
        <x:v>2739</x:v>
      </x:c>
      <x:c r="Z326" s="89">
        <x:v>46226.297353703703</x:v>
      </x:c>
      <x:c r="AA326" s="88" t="s">
        <x:v>2882</x:v>
      </x:c>
      <x:c r="AB326" s="88" t="s">
        <x:v>259</x:v>
      </x:c>
      <x:c r="AC326" s="88" t="s">
        <x:v>111</x:v>
      </x:c>
      <x:c r="AD326" s="89">
        <x:v>46233.103945856485</x:v>
      </x:c>
      <x:c r="AE326" s="88" t="s">
        <x:v>335</x:v>
      </x:c>
      <x:c r="AF326" s="88"/>
      <x:c r="AG326" s="88" t="s">
        <x:v>129</x:v>
      </x:c>
      <x:c r="AH326" s="89"/>
      <x:c r="AI326" s="88"/>
      <x:c r="AJ326" s="88" t="s">
        <x:v>2883</x:v>
      </x:c>
      <x:c r="AK326" s="88">
        <x:v>10224</x:v>
      </x:c>
      <x:c r="AL326" s="88" t="s">
        <x:v>185</x:v>
      </x:c>
      <x:c r="AM326" s="88" t="s">
        <x:v>2884</x:v>
      </x:c>
      <x:c r="AN326" s="88" t="s">
        <x:v>414</x:v>
      </x:c>
      <x:c r="AO326" s="88">
        <x:v>1</x:v>
      </x:c>
    </x:row>
    <x:row r="327">
      <x:c r="A327" s="88" t="s">
        <x:v>2885</x:v>
      </x:c>
      <x:c r="B327" s="88" t="s">
        <x:v>2886</x:v>
      </x:c>
      <x:c r="C327" s="88" t="s">
        <x:v>2739</x:v>
      </x:c>
      <x:c r="D327" s="88" t="s">
        <x:v>248</x:v>
      </x:c>
      <x:c r="E327" s="88" t="s">
        <x:v>329</x:v>
      </x:c>
      <x:c r="F327" s="89">
        <x:v>46226.295224965281</x:v>
      </x:c>
      <x:c r="G327" s="89">
        <x:v>46239.617916550924</x:v>
      </x:c>
      <x:c r="H327" s="89">
        <x:v>46226.295224965281</x:v>
      </x:c>
      <x:c r="I327" s="88" t="s">
        <x:v>2763</x:v>
      </x:c>
      <x:c r="J327" s="88" t="s">
        <x:v>2764</x:v>
      </x:c>
      <x:c r="K327" s="88" t="s">
        <x:v>266</x:v>
      </x:c>
      <x:c r="L327" s="88"/>
      <x:c r="M327" s="88" t="s">
        <x:v>2739</x:v>
      </x:c>
      <x:c r="N327" s="88"/>
      <x:c r="O327" s="88"/>
      <x:c r="P327" s="88" t="s">
        <x:v>2887</x:v>
      </x:c>
      <x:c r="Q327" s="88" t="s">
        <x:v>269</x:v>
      </x:c>
      <x:c r="R327" s="88" t="s">
        <x:v>283</x:v>
      </x:c>
      <x:c r="S327" s="88"/>
      <x:c r="T327" s="88" t="s">
        <x:v>259</x:v>
      </x:c>
      <x:c r="U327" s="88" t="s">
        <x:v>2739</x:v>
      </x:c>
      <x:c r="V327" s="89">
        <x:v>46226.297627222222</x:v>
      </x:c>
      <x:c r="W327" s="88" t="s">
        <x:v>2887</x:v>
      </x:c>
      <x:c r="X327" s="88" t="s">
        <x:v>259</x:v>
      </x:c>
      <x:c r="Y327" s="88" t="s">
        <x:v>2739</x:v>
      </x:c>
      <x:c r="Z327" s="89">
        <x:v>46226.298081504632</x:v>
      </x:c>
      <x:c r="AA327" s="88" t="s">
        <x:v>2887</x:v>
      </x:c>
      <x:c r="AB327" s="88" t="s">
        <x:v>259</x:v>
      </x:c>
      <x:c r="AC327" s="88" t="s">
        <x:v>111</x:v>
      </x:c>
      <x:c r="AD327" s="89">
        <x:v>46239.6179165625</x:v>
      </x:c>
      <x:c r="AE327" s="88" t="s">
        <x:v>335</x:v>
      </x:c>
      <x:c r="AF327" s="88"/>
      <x:c r="AG327" s="88" t="s">
        <x:v>113</x:v>
      </x:c>
      <x:c r="AH327" s="89"/>
      <x:c r="AI327" s="88"/>
      <x:c r="AJ327" s="88" t="s">
        <x:v>2766</x:v>
      </x:c>
      <x:c r="AK327" s="88" t="s">
        <x:v>2767</x:v>
      </x:c>
      <x:c r="AL327" s="88" t="s">
        <x:v>185</x:v>
      </x:c>
      <x:c r="AM327" s="88" t="s">
        <x:v>2888</x:v>
      </x:c>
      <x:c r="AN327" s="88" t="s">
        <x:v>414</x:v>
      </x:c>
      <x:c r="AO327" s="88">
        <x:v>1</x:v>
      </x:c>
    </x:row>
    <x:row r="328">
      <x:c r="A328" s="88" t="s">
        <x:v>2889</x:v>
      </x:c>
      <x:c r="B328" s="88" t="s">
        <x:v>2890</x:v>
      </x:c>
      <x:c r="C328" s="88" t="s">
        <x:v>2739</x:v>
      </x:c>
      <x:c r="D328" s="88" t="s">
        <x:v>248</x:v>
      </x:c>
      <x:c r="E328" s="88" t="s">
        <x:v>249</x:v>
      </x:c>
      <x:c r="F328" s="89">
        <x:v>46226.404679120373</x:v>
      </x:c>
      <x:c r="G328" s="89">
        <x:v>46244.087093275462</x:v>
      </x:c>
      <x:c r="H328" s="89">
        <x:v>46226.404679120373</x:v>
      </x:c>
      <x:c r="I328" s="88" t="s">
        <x:v>2891</x:v>
      </x:c>
      <x:c r="J328" s="88" t="s">
        <x:v>2892</x:v>
      </x:c>
      <x:c r="K328" s="88" t="s">
        <x:v>266</x:v>
      </x:c>
      <x:c r="L328" s="88"/>
      <x:c r="M328" s="88" t="s">
        <x:v>2739</x:v>
      </x:c>
      <x:c r="N328" s="88"/>
      <x:c r="O328" s="88"/>
      <x:c r="P328" s="88" t="s">
        <x:v>2893</x:v>
      </x:c>
      <x:c r="Q328" s="88" t="s">
        <x:v>269</x:v>
      </x:c>
      <x:c r="R328" s="88" t="s">
        <x:v>283</x:v>
      </x:c>
      <x:c r="S328" s="88"/>
      <x:c r="T328" s="88" t="s">
        <x:v>259</x:v>
      </x:c>
      <x:c r="U328" s="88" t="s">
        <x:v>2739</x:v>
      </x:c>
      <x:c r="V328" s="89">
        <x:v>46226.405763912036</x:v>
      </x:c>
      <x:c r="W328" s="88" t="s">
        <x:v>2893</x:v>
      </x:c>
      <x:c r="X328" s="88" t="s">
        <x:v>259</x:v>
      </x:c>
      <x:c r="Y328" s="88" t="s">
        <x:v>2739</x:v>
      </x:c>
      <x:c r="Z328" s="89">
        <x:v>46226.406003344906</x:v>
      </x:c>
      <x:c r="AA328" s="88" t="s">
        <x:v>2893</x:v>
      </x:c>
      <x:c r="AB328" s="88" t="s">
        <x:v>249</x:v>
      </x:c>
      <x:c r="AC328" s="88" t="s">
        <x:v>2518</x:v>
      </x:c>
      <x:c r="AD328" s="89">
        <x:v>46244.087093275462</x:v>
      </x:c>
      <x:c r="AE328" s="88" t="s">
        <x:v>2759</x:v>
      </x:c>
      <x:c r="AF328" s="88"/>
      <x:c r="AG328" s="88" t="s">
        <x:v>173</x:v>
      </x:c>
      <x:c r="AH328" s="89"/>
      <x:c r="AI328" s="88"/>
      <x:c r="AJ328" s="88" t="s">
        <x:v>2894</x:v>
      </x:c>
      <x:c r="AK328" s="88">
        <x:v>10076</x:v>
      </x:c>
      <x:c r="AL328" s="88"/>
      <x:c r="AM328" s="88"/>
      <x:c r="AN328" s="88" t="s">
        <x:v>414</x:v>
      </x:c>
      <x:c r="AO328" s="88">
        <x:v>1</x:v>
      </x:c>
    </x:row>
    <x:row r="329">
      <x:c r="A329" s="88" t="s">
        <x:v>2895</x:v>
      </x:c>
      <x:c r="B329" s="88" t="s">
        <x:v>2896</x:v>
      </x:c>
      <x:c r="C329" s="88" t="s">
        <x:v>1219</x:v>
      </x:c>
      <x:c r="D329" s="88" t="s">
        <x:v>248</x:v>
      </x:c>
      <x:c r="E329" s="88" t="s">
        <x:v>329</x:v>
      </x:c>
      <x:c r="F329" s="89">
        <x:v>46227.274995428241</x:v>
      </x:c>
      <x:c r="G329" s="89">
        <x:v>46231.203670787036</x:v>
      </x:c>
      <x:c r="H329" s="89">
        <x:v>46227.274995428241</x:v>
      </x:c>
      <x:c r="I329" s="88" t="s">
        <x:v>2897</x:v>
      </x:c>
      <x:c r="J329" s="88" t="s">
        <x:v>2898</x:v>
      </x:c>
      <x:c r="K329" s="88" t="s">
        <x:v>266</x:v>
      </x:c>
      <x:c r="L329" s="88"/>
      <x:c r="M329" s="88" t="s">
        <x:v>482</x:v>
      </x:c>
      <x:c r="N329" s="88"/>
      <x:c r="O329" s="88"/>
      <x:c r="P329" s="88" t="s">
        <x:v>680</x:v>
      </x:c>
      <x:c r="Q329" s="88" t="s">
        <x:v>256</x:v>
      </x:c>
      <x:c r="R329" s="88" t="s">
        <x:v>363</x:v>
      </x:c>
      <x:c r="S329" s="88"/>
      <x:c r="T329" s="88" t="s">
        <x:v>259</x:v>
      </x:c>
      <x:c r="U329" s="88" t="s">
        <x:v>1219</x:v>
      </x:c>
      <x:c r="V329" s="89">
        <x:v>46227.275602152775</x:v>
      </x:c>
      <x:c r="W329" s="88" t="s">
        <x:v>680</x:v>
      </x:c>
      <x:c r="X329" s="88" t="s">
        <x:v>259</x:v>
      </x:c>
      <x:c r="Y329" s="88" t="s">
        <x:v>482</x:v>
      </x:c>
      <x:c r="Z329" s="89">
        <x:v>46230.113412951388</x:v>
      </x:c>
      <x:c r="AA329" s="88" t="s">
        <x:v>2684</x:v>
      </x:c>
      <x:c r="AB329" s="88" t="s">
        <x:v>259</x:v>
      </x:c>
      <x:c r="AC329" s="88" t="s">
        <x:v>111</x:v>
      </x:c>
      <x:c r="AD329" s="89">
        <x:v>46231.203670787036</x:v>
      </x:c>
      <x:c r="AE329" s="88" t="s">
        <x:v>2333</x:v>
      </x:c>
      <x:c r="AF329" s="88"/>
      <x:c r="AG329" s="88" t="s">
        <x:v>129</x:v>
      </x:c>
      <x:c r="AH329" s="89"/>
      <x:c r="AI329" s="88"/>
      <x:c r="AJ329" s="88" t="s">
        <x:v>2899</x:v>
      </x:c>
      <x:c r="AK329" s="88" t="s">
        <x:v>2900</x:v>
      </x:c>
      <x:c r="AL329" s="88" t="s">
        <x:v>193</x:v>
      </x:c>
      <x:c r="AM329" s="88" t="s">
        <x:v>2901</x:v>
      </x:c>
      <x:c r="AN329" s="88" t="s">
        <x:v>369</x:v>
      </x:c>
      <x:c r="AO329" s="88">
        <x:v>0</x:v>
      </x:c>
    </x:row>
    <x:row r="330">
      <x:c r="A330" s="88" t="s">
        <x:v>2902</x:v>
      </x:c>
      <x:c r="B330" s="88" t="s">
        <x:v>2903</x:v>
      </x:c>
      <x:c r="C330" s="88" t="s">
        <x:v>2578</x:v>
      </x:c>
      <x:c r="D330" s="88" t="s">
        <x:v>248</x:v>
      </x:c>
      <x:c r="E330" s="88" t="s">
        <x:v>2209</x:v>
      </x:c>
      <x:c r="F330" s="89">
        <x:v>46227.312775613427</x:v>
      </x:c>
      <x:c r="G330" s="89">
        <x:v>46251.166840520833</x:v>
      </x:c>
      <x:c r="H330" s="89">
        <x:v>46227.312775613427</x:v>
      </x:c>
      <x:c r="I330" s="88" t="s">
        <x:v>2579</x:v>
      </x:c>
      <x:c r="J330" s="88" t="s">
        <x:v>2580</x:v>
      </x:c>
      <x:c r="K330" s="88" t="s">
        <x:v>266</x:v>
      </x:c>
      <x:c r="L330" s="88"/>
      <x:c r="M330" s="88" t="s">
        <x:v>2582</x:v>
      </x:c>
      <x:c r="N330" s="88"/>
      <x:c r="O330" s="88"/>
      <x:c r="P330" s="88" t="s">
        <x:v>2904</x:v>
      </x:c>
      <x:c r="Q330" s="88" t="s">
        <x:v>269</x:v>
      </x:c>
      <x:c r="R330" s="88" t="s">
        <x:v>257</x:v>
      </x:c>
      <x:c r="S330" s="88"/>
      <x:c r="T330" s="88" t="s">
        <x:v>259</x:v>
      </x:c>
      <x:c r="U330" s="88" t="s">
        <x:v>2578</x:v>
      </x:c>
      <x:c r="V330" s="89">
        <x:v>46227.316986979167</x:v>
      </x:c>
      <x:c r="W330" s="88" t="s">
        <x:v>2905</x:v>
      </x:c>
      <x:c r="X330" s="88" t="s">
        <x:v>259</x:v>
      </x:c>
      <x:c r="Y330" s="88" t="s">
        <x:v>2906</x:v>
      </x:c>
      <x:c r="Z330" s="89">
        <x:v>46248.143880810188</x:v>
      </x:c>
      <x:c r="AA330" s="88" t="s">
        <x:v>385</x:v>
      </x:c>
      <x:c r="AB330" s="88"/>
      <x:c r="AC330" s="88" t="s">
        <x:v>2214</x:v>
      </x:c>
      <x:c r="AD330" s="89"/>
      <x:c r="AE330" s="88"/>
      <x:c r="AF330" s="88"/>
      <x:c r="AG330" s="88" t="s">
        <x:v>173</x:v>
      </x:c>
      <x:c r="AH330" s="89"/>
      <x:c r="AI330" s="88"/>
      <x:c r="AJ330" s="88" t="s">
        <x:v>2586</x:v>
      </x:c>
      <x:c r="AK330" s="88">
        <x:v>955</x:v>
      </x:c>
      <x:c r="AL330" s="88" t="s">
        <x:v>193</x:v>
      </x:c>
      <x:c r="AM330" s="88"/>
      <x:c r="AN330" s="88" t="s">
        <x:v>414</x:v>
      </x:c>
      <x:c r="AO330" s="88">
        <x:v>365</x:v>
      </x:c>
    </x:row>
    <x:row r="331">
      <x:c r="A331" s="88" t="s">
        <x:v>2907</x:v>
      </x:c>
      <x:c r="B331" s="88" t="s">
        <x:v>2908</x:v>
      </x:c>
      <x:c r="C331" s="88" t="s">
        <x:v>1516</x:v>
      </x:c>
      <x:c r="D331" s="88" t="s">
        <x:v>248</x:v>
      </x:c>
      <x:c r="E331" s="88" t="s">
        <x:v>372</x:v>
      </x:c>
      <x:c r="F331" s="89">
        <x:v>46230.069221967591</x:v>
      </x:c>
      <x:c r="G331" s="89">
        <x:v>46230.170998912035</x:v>
      </x:c>
      <x:c r="H331" s="89">
        <x:v>46230.069221967591</x:v>
      </x:c>
      <x:c r="I331" s="88" t="s">
        <x:v>1517</x:v>
      </x:c>
      <x:c r="J331" s="88" t="s">
        <x:v>1518</x:v>
      </x:c>
      <x:c r="K331" s="88" t="s">
        <x:v>266</x:v>
      </x:c>
      <x:c r="L331" s="88"/>
      <x:c r="M331" s="88" t="s">
        <x:v>824</x:v>
      </x:c>
      <x:c r="N331" s="88"/>
      <x:c r="O331" s="88"/>
      <x:c r="P331" s="88" t="s">
        <x:v>2909</x:v>
      </x:c>
      <x:c r="Q331" s="88" t="s">
        <x:v>256</x:v>
      </x:c>
      <x:c r="R331" s="88" t="s">
        <x:v>283</x:v>
      </x:c>
      <x:c r="S331" s="88"/>
      <x:c r="T331" s="88" t="s">
        <x:v>259</x:v>
      </x:c>
      <x:c r="U331" s="88" t="s">
        <x:v>827</x:v>
      </x:c>
      <x:c r="V331" s="89">
        <x:v>46230.170998923611</x:v>
      </x:c>
      <x:c r="W331" s="88" t="s">
        <x:v>259</x:v>
      </x:c>
      <x:c r="X331" s="88"/>
      <x:c r="Y331" s="88" t="s">
        <x:v>827</x:v>
      </x:c>
      <x:c r="Z331" s="89"/>
      <x:c r="AA331" s="88"/>
      <x:c r="AB331" s="88"/>
      <x:c r="AC331" s="88" t="s">
        <x:v>2488</x:v>
      </x:c>
      <x:c r="AD331" s="89"/>
      <x:c r="AE331" s="88"/>
      <x:c r="AF331" s="88"/>
      <x:c r="AG331" s="88" t="s">
        <x:v>173</x:v>
      </x:c>
      <x:c r="AH331" s="89"/>
      <x:c r="AI331" s="88"/>
      <x:c r="AJ331" s="88" t="s">
        <x:v>1525</x:v>
      </x:c>
      <x:c r="AK331" s="88">
        <x:v>1709</x:v>
      </x:c>
      <x:c r="AL331" s="88"/>
      <x:c r="AM331" s="88"/>
      <x:c r="AN331" s="88" t="s">
        <x:v>369</x:v>
      </x:c>
      <x:c r="AO331" s="88">
        <x:v>0</x:v>
      </x:c>
    </x:row>
    <x:row r="332">
      <x:c r="A332" s="88" t="s">
        <x:v>2910</x:v>
      </x:c>
      <x:c r="B332" s="88" t="s">
        <x:v>2911</x:v>
      </x:c>
      <x:c r="C332" s="88" t="s">
        <x:v>1219</x:v>
      </x:c>
      <x:c r="D332" s="88" t="s">
        <x:v>248</x:v>
      </x:c>
      <x:c r="E332" s="88" t="s">
        <x:v>329</x:v>
      </x:c>
      <x:c r="F332" s="89">
        <x:v>46232.071628449077</x:v>
      </x:c>
      <x:c r="G332" s="89">
        <x:v>46246.653610682872</x:v>
      </x:c>
      <x:c r="H332" s="89">
        <x:v>46232.071628449077</x:v>
      </x:c>
      <x:c r="I332" s="88" t="s">
        <x:v>2483</x:v>
      </x:c>
      <x:c r="J332" s="88" t="s">
        <x:v>2484</x:v>
      </x:c>
      <x:c r="K332" s="88" t="s">
        <x:v>266</x:v>
      </x:c>
      <x:c r="L332" s="88"/>
      <x:c r="M332" s="88" t="s">
        <x:v>482</x:v>
      </x:c>
      <x:c r="N332" s="88"/>
      <x:c r="O332" s="88"/>
      <x:c r="P332" s="88" t="s">
        <x:v>680</x:v>
      </x:c>
      <x:c r="Q332" s="88" t="s">
        <x:v>256</x:v>
      </x:c>
      <x:c r="R332" s="88" t="s">
        <x:v>363</x:v>
      </x:c>
      <x:c r="S332" s="88"/>
      <x:c r="T332" s="88" t="s">
        <x:v>259</x:v>
      </x:c>
      <x:c r="U332" s="88" t="s">
        <x:v>1219</x:v>
      </x:c>
      <x:c r="V332" s="89">
        <x:v>46232.074580324072</x:v>
      </x:c>
      <x:c r="W332" s="88" t="s">
        <x:v>680</x:v>
      </x:c>
      <x:c r="X332" s="88" t="s">
        <x:v>259</x:v>
      </x:c>
      <x:c r="Y332" s="88" t="s">
        <x:v>482</x:v>
      </x:c>
      <x:c r="Z332" s="89">
        <x:v>46241.443700682874</x:v>
      </x:c>
      <x:c r="AA332" s="88" t="s">
        <x:v>680</x:v>
      </x:c>
      <x:c r="AB332" s="88" t="s">
        <x:v>259</x:v>
      </x:c>
      <x:c r="AC332" s="88" t="s">
        <x:v>111</x:v>
      </x:c>
      <x:c r="AD332" s="89">
        <x:v>46246.653610694448</x:v>
      </x:c>
      <x:c r="AE332" s="88" t="s">
        <x:v>335</x:v>
      </x:c>
      <x:c r="AF332" s="88"/>
      <x:c r="AG332" s="88" t="s">
        <x:v>120</x:v>
      </x:c>
      <x:c r="AH332" s="89"/>
      <x:c r="AI332" s="88"/>
      <x:c r="AJ332" s="88" t="s">
        <x:v>2489</x:v>
      </x:c>
      <x:c r="AK332" s="88" t="s">
        <x:v>2490</x:v>
      </x:c>
      <x:c r="AL332" s="88" t="s">
        <x:v>193</x:v>
      </x:c>
      <x:c r="AM332" s="88" t="s">
        <x:v>2912</x:v>
      </x:c>
      <x:c r="AN332" s="88" t="s">
        <x:v>369</x:v>
      </x:c>
      <x:c r="AO332" s="88">
        <x:v>0</x:v>
      </x:c>
    </x:row>
    <x:row r="333">
      <x:c r="A333" s="88" t="s">
        <x:v>2913</x:v>
      </x:c>
      <x:c r="B333" s="88" t="s">
        <x:v>2914</x:v>
      </x:c>
      <x:c r="C333" s="88" t="s">
        <x:v>1219</x:v>
      </x:c>
      <x:c r="D333" s="88" t="s">
        <x:v>248</x:v>
      </x:c>
      <x:c r="E333" s="88" t="s">
        <x:v>329</x:v>
      </x:c>
      <x:c r="F333" s="89">
        <x:v>46232.076016087965</x:v>
      </x:c>
      <x:c r="G333" s="89">
        <x:v>46246.653269062503</x:v>
      </x:c>
      <x:c r="H333" s="89">
        <x:v>46232.076016087965</x:v>
      </x:c>
      <x:c r="I333" s="88" t="s">
        <x:v>1139</x:v>
      </x:c>
      <x:c r="J333" s="88" t="s">
        <x:v>1140</x:v>
      </x:c>
      <x:c r="K333" s="88" t="s">
        <x:v>266</x:v>
      </x:c>
      <x:c r="L333" s="88"/>
      <x:c r="M333" s="88" t="s">
        <x:v>482</x:v>
      </x:c>
      <x:c r="N333" s="88"/>
      <x:c r="O333" s="88"/>
      <x:c r="P333" s="88" t="s">
        <x:v>680</x:v>
      </x:c>
      <x:c r="Q333" s="88" t="s">
        <x:v>256</x:v>
      </x:c>
      <x:c r="R333" s="88" t="s">
        <x:v>363</x:v>
      </x:c>
      <x:c r="S333" s="88"/>
      <x:c r="T333" s="88" t="s">
        <x:v>259</x:v>
      </x:c>
      <x:c r="U333" s="88" t="s">
        <x:v>1219</x:v>
      </x:c>
      <x:c r="V333" s="89">
        <x:v>46232.077132129627</x:v>
      </x:c>
      <x:c r="W333" s="88" t="s">
        <x:v>680</x:v>
      </x:c>
      <x:c r="X333" s="88" t="s">
        <x:v>259</x:v>
      </x:c>
      <x:c r="Y333" s="88" t="s">
        <x:v>482</x:v>
      </x:c>
      <x:c r="Z333" s="89">
        <x:v>46241.444855138892</x:v>
      </x:c>
      <x:c r="AA333" s="88" t="s">
        <x:v>680</x:v>
      </x:c>
      <x:c r="AB333" s="88" t="s">
        <x:v>259</x:v>
      </x:c>
      <x:c r="AC333" s="88" t="s">
        <x:v>111</x:v>
      </x:c>
      <x:c r="AD333" s="89">
        <x:v>46246.653269085647</x:v>
      </x:c>
      <x:c r="AE333" s="88" t="s">
        <x:v>2333</x:v>
      </x:c>
      <x:c r="AF333" s="88"/>
      <x:c r="AG333" s="88" t="s">
        <x:v>120</x:v>
      </x:c>
      <x:c r="AH333" s="89"/>
      <x:c r="AI333" s="88"/>
      <x:c r="AJ333" s="88" t="s">
        <x:v>1145</x:v>
      </x:c>
      <x:c r="AK333" s="88" t="s">
        <x:v>1146</x:v>
      </x:c>
      <x:c r="AL333" s="88" t="s">
        <x:v>193</x:v>
      </x:c>
      <x:c r="AM333" s="88" t="s">
        <x:v>2915</x:v>
      </x:c>
      <x:c r="AN333" s="88" t="s">
        <x:v>369</x:v>
      </x:c>
      <x:c r="AO333" s="88">
        <x:v>0</x:v>
      </x:c>
    </x:row>
    <x:row r="334">
      <x:c r="A334" s="88" t="s">
        <x:v>2916</x:v>
      </x:c>
      <x:c r="B334" s="88" t="s">
        <x:v>2917</x:v>
      </x:c>
      <x:c r="C334" s="88" t="s">
        <x:v>1219</x:v>
      </x:c>
      <x:c r="D334" s="88" t="s">
        <x:v>248</x:v>
      </x:c>
      <x:c r="E334" s="88" t="s">
        <x:v>2209</x:v>
      </x:c>
      <x:c r="F334" s="89">
        <x:v>46233.109634340275</x:v>
      </x:c>
      <x:c r="G334" s="89">
        <x:v>46251.16752747685</x:v>
      </x:c>
      <x:c r="H334" s="89">
        <x:v>46233.109634340275</x:v>
      </x:c>
      <x:c r="I334" s="88" t="s">
        <x:v>2918</x:v>
      </x:c>
      <x:c r="J334" s="88" t="s">
        <x:v>2919</x:v>
      </x:c>
      <x:c r="K334" s="88" t="s">
        <x:v>266</x:v>
      </x:c>
      <x:c r="L334" s="88"/>
      <x:c r="M334" s="88" t="s">
        <x:v>482</x:v>
      </x:c>
      <x:c r="N334" s="88"/>
      <x:c r="O334" s="88"/>
      <x:c r="P334" s="88" t="s">
        <x:v>680</x:v>
      </x:c>
      <x:c r="Q334" s="88" t="s">
        <x:v>256</x:v>
      </x:c>
      <x:c r="R334" s="88" t="s">
        <x:v>363</x:v>
      </x:c>
      <x:c r="S334" s="88"/>
      <x:c r="T334" s="88" t="s">
        <x:v>259</x:v>
      </x:c>
      <x:c r="U334" s="88" t="s">
        <x:v>1219</x:v>
      </x:c>
      <x:c r="V334" s="89">
        <x:v>46233.11143287037</x:v>
      </x:c>
      <x:c r="W334" s="88" t="s">
        <x:v>680</x:v>
      </x:c>
      <x:c r="X334" s="88" t="s">
        <x:v>259</x:v>
      </x:c>
      <x:c r="Y334" s="88" t="s">
        <x:v>482</x:v>
      </x:c>
      <x:c r="Z334" s="89">
        <x:v>46247.383317071763</x:v>
      </x:c>
      <x:c r="AA334" s="88" t="s">
        <x:v>680</x:v>
      </x:c>
      <x:c r="AB334" s="88"/>
      <x:c r="AC334" s="88" t="s">
        <x:v>2214</x:v>
      </x:c>
      <x:c r="AD334" s="89"/>
      <x:c r="AE334" s="88"/>
      <x:c r="AF334" s="88"/>
      <x:c r="AG334" s="88" t="s">
        <x:v>173</x:v>
      </x:c>
      <x:c r="AH334" s="89"/>
      <x:c r="AI334" s="88"/>
      <x:c r="AJ334" s="88" t="s">
        <x:v>2920</x:v>
      </x:c>
      <x:c r="AK334" s="88">
        <x:v>2687</x:v>
      </x:c>
      <x:c r="AL334" s="88" t="s">
        <x:v>193</x:v>
      </x:c>
      <x:c r="AM334" s="88"/>
      <x:c r="AN334" s="88" t="s">
        <x:v>369</x:v>
      </x:c>
      <x:c r="AO334" s="88">
        <x:v>0</x:v>
      </x:c>
    </x:row>
    <x:row r="335">
      <x:c r="A335" s="88" t="s">
        <x:v>2921</x:v>
      </x:c>
      <x:c r="B335" s="88" t="s">
        <x:v>2922</x:v>
      </x:c>
      <x:c r="C335" s="88" t="s">
        <x:v>1219</x:v>
      </x:c>
      <x:c r="D335" s="88" t="s">
        <x:v>248</x:v>
      </x:c>
      <x:c r="E335" s="88" t="s">
        <x:v>329</x:v>
      </x:c>
      <x:c r="F335" s="89">
        <x:v>46233.109674571759</x:v>
      </x:c>
      <x:c r="G335" s="89">
        <x:v>46246.652488252315</x:v>
      </x:c>
      <x:c r="H335" s="89">
        <x:v>46233.109674571759</x:v>
      </x:c>
      <x:c r="I335" s="88" t="s">
        <x:v>2918</x:v>
      </x:c>
      <x:c r="J335" s="88" t="s">
        <x:v>2923</x:v>
      </x:c>
      <x:c r="K335" s="88" t="s">
        <x:v>266</x:v>
      </x:c>
      <x:c r="L335" s="88"/>
      <x:c r="M335" s="88" t="s">
        <x:v>482</x:v>
      </x:c>
      <x:c r="N335" s="88"/>
      <x:c r="O335" s="88"/>
      <x:c r="P335" s="88" t="s">
        <x:v>680</x:v>
      </x:c>
      <x:c r="Q335" s="88" t="s">
        <x:v>256</x:v>
      </x:c>
      <x:c r="R335" s="88" t="s">
        <x:v>363</x:v>
      </x:c>
      <x:c r="S335" s="88"/>
      <x:c r="T335" s="88" t="s">
        <x:v>259</x:v>
      </x:c>
      <x:c r="U335" s="88" t="s">
        <x:v>1219</x:v>
      </x:c>
      <x:c r="V335" s="89">
        <x:v>46233.110526481483</x:v>
      </x:c>
      <x:c r="W335" s="88" t="s">
        <x:v>680</x:v>
      </x:c>
      <x:c r="X335" s="88" t="s">
        <x:v>259</x:v>
      </x:c>
      <x:c r="Y335" s="88" t="s">
        <x:v>482</x:v>
      </x:c>
      <x:c r="Z335" s="89">
        <x:v>46241.444319849536</x:v>
      </x:c>
      <x:c r="AA335" s="88" t="s">
        <x:v>680</x:v>
      </x:c>
      <x:c r="AB335" s="88" t="s">
        <x:v>259</x:v>
      </x:c>
      <x:c r="AC335" s="88" t="s">
        <x:v>111</x:v>
      </x:c>
      <x:c r="AD335" s="89">
        <x:v>46246.65248827546</x:v>
      </x:c>
      <x:c r="AE335" s="88" t="s">
        <x:v>2333</x:v>
      </x:c>
      <x:c r="AF335" s="88"/>
      <x:c r="AG335" s="88" t="s">
        <x:v>113</x:v>
      </x:c>
      <x:c r="AH335" s="89"/>
      <x:c r="AI335" s="88"/>
      <x:c r="AJ335" s="88" t="s">
        <x:v>2920</x:v>
      </x:c>
      <x:c r="AK335" s="88">
        <x:v>3349</x:v>
      </x:c>
      <x:c r="AL335" s="88" t="s">
        <x:v>185</x:v>
      </x:c>
      <x:c r="AM335" s="88" t="s">
        <x:v>2924</x:v>
      </x:c>
      <x:c r="AN335" s="88" t="s">
        <x:v>369</x:v>
      </x:c>
      <x:c r="AO335" s="88">
        <x:v>0</x:v>
      </x:c>
    </x:row>
    <x:row r="336">
      <x:c r="A336" s="88" t="s">
        <x:v>2925</x:v>
      </x:c>
      <x:c r="B336" s="88" t="s">
        <x:v>2926</x:v>
      </x:c>
      <x:c r="C336" s="88" t="s">
        <x:v>1219</x:v>
      </x:c>
      <x:c r="D336" s="88" t="s">
        <x:v>248</x:v>
      </x:c>
      <x:c r="E336" s="88" t="s">
        <x:v>329</x:v>
      </x:c>
      <x:c r="F336" s="89">
        <x:v>46233.109707407406</x:v>
      </x:c>
      <x:c r="G336" s="89">
        <x:v>46246.652084618057</x:v>
      </x:c>
      <x:c r="H336" s="89">
        <x:v>46233.109707407406</x:v>
      </x:c>
      <x:c r="I336" s="88" t="s">
        <x:v>2918</x:v>
      </x:c>
      <x:c r="J336" s="88" t="s">
        <x:v>2927</x:v>
      </x:c>
      <x:c r="K336" s="88" t="s">
        <x:v>266</x:v>
      </x:c>
      <x:c r="L336" s="88"/>
      <x:c r="M336" s="88" t="s">
        <x:v>482</x:v>
      </x:c>
      <x:c r="N336" s="88"/>
      <x:c r="O336" s="88"/>
      <x:c r="P336" s="88" t="s">
        <x:v>680</x:v>
      </x:c>
      <x:c r="Q336" s="88" t="s">
        <x:v>256</x:v>
      </x:c>
      <x:c r="R336" s="88" t="s">
        <x:v>363</x:v>
      </x:c>
      <x:c r="S336" s="88"/>
      <x:c r="T336" s="88" t="s">
        <x:v>259</x:v>
      </x:c>
      <x:c r="U336" s="88" t="s">
        <x:v>1219</x:v>
      </x:c>
      <x:c r="V336" s="89">
        <x:v>46233.110433414353</x:v>
      </x:c>
      <x:c r="W336" s="88" t="s">
        <x:v>680</x:v>
      </x:c>
      <x:c r="X336" s="88" t="s">
        <x:v>259</x:v>
      </x:c>
      <x:c r="Y336" s="88" t="s">
        <x:v>482</x:v>
      </x:c>
      <x:c r="Z336" s="89">
        <x:v>46241.443124872683</x:v>
      </x:c>
      <x:c r="AA336" s="88" t="s">
        <x:v>680</x:v>
      </x:c>
      <x:c r="AB336" s="88" t="s">
        <x:v>259</x:v>
      </x:c>
      <x:c r="AC336" s="88" t="s">
        <x:v>111</x:v>
      </x:c>
      <x:c r="AD336" s="89">
        <x:v>46246.652084641202</x:v>
      </x:c>
      <x:c r="AE336" s="88" t="s">
        <x:v>335</x:v>
      </x:c>
      <x:c r="AF336" s="88"/>
      <x:c r="AG336" s="88" t="s">
        <x:v>113</x:v>
      </x:c>
      <x:c r="AH336" s="89"/>
      <x:c r="AI336" s="88"/>
      <x:c r="AJ336" s="88" t="s">
        <x:v>2920</x:v>
      </x:c>
      <x:c r="AK336" s="88">
        <x:v>4271</x:v>
      </x:c>
      <x:c r="AL336" s="88" t="s">
        <x:v>185</x:v>
      </x:c>
      <x:c r="AM336" s="88" t="s">
        <x:v>2928</x:v>
      </x:c>
      <x:c r="AN336" s="88" t="s">
        <x:v>369</x:v>
      </x:c>
      <x:c r="AO336" s="88">
        <x:v>0</x:v>
      </x:c>
    </x:row>
    <x:row r="337">
      <x:c r="A337" s="88" t="s">
        <x:v>2929</x:v>
      </x:c>
      <x:c r="B337" s="88" t="s">
        <x:v>2930</x:v>
      </x:c>
      <x:c r="C337" s="88" t="s">
        <x:v>1219</x:v>
      </x:c>
      <x:c r="D337" s="88" t="s">
        <x:v>248</x:v>
      </x:c>
      <x:c r="E337" s="88" t="s">
        <x:v>329</x:v>
      </x:c>
      <x:c r="F337" s="89">
        <x:v>46234.056141655092</x:v>
      </x:c>
      <x:c r="G337" s="89">
        <x:v>46246.650986736109</x:v>
      </x:c>
      <x:c r="H337" s="89">
        <x:v>46234.056141655092</x:v>
      </x:c>
      <x:c r="I337" s="88" t="s">
        <x:v>2931</x:v>
      </x:c>
      <x:c r="J337" s="88" t="s">
        <x:v>2932</x:v>
      </x:c>
      <x:c r="K337" s="88" t="s">
        <x:v>266</x:v>
      </x:c>
      <x:c r="L337" s="88"/>
      <x:c r="M337" s="88" t="s">
        <x:v>482</x:v>
      </x:c>
      <x:c r="N337" s="88"/>
      <x:c r="O337" s="88"/>
      <x:c r="P337" s="88" t="s">
        <x:v>680</x:v>
      </x:c>
      <x:c r="Q337" s="88" t="s">
        <x:v>256</x:v>
      </x:c>
      <x:c r="R337" s="88" t="s">
        <x:v>363</x:v>
      </x:c>
      <x:c r="S337" s="88"/>
      <x:c r="T337" s="88" t="s">
        <x:v>259</x:v>
      </x:c>
      <x:c r="U337" s="88" t="s">
        <x:v>1219</x:v>
      </x:c>
      <x:c r="V337" s="89">
        <x:v>46234.057295879633</x:v>
      </x:c>
      <x:c r="W337" s="88" t="s">
        <x:v>680</x:v>
      </x:c>
      <x:c r="X337" s="88" t="s">
        <x:v>259</x:v>
      </x:c>
      <x:c r="Y337" s="88" t="s">
        <x:v>482</x:v>
      </x:c>
      <x:c r="Z337" s="89">
        <x:v>46241.442809976848</x:v>
      </x:c>
      <x:c r="AA337" s="88" t="s">
        <x:v>680</x:v>
      </x:c>
      <x:c r="AB337" s="88" t="s">
        <x:v>259</x:v>
      </x:c>
      <x:c r="AC337" s="88" t="s">
        <x:v>111</x:v>
      </x:c>
      <x:c r="AD337" s="89">
        <x:v>46246.650986736109</x:v>
      </x:c>
      <x:c r="AE337" s="88" t="s">
        <x:v>335</x:v>
      </x:c>
      <x:c r="AF337" s="88"/>
      <x:c r="AG337" s="88" t="s">
        <x:v>113</x:v>
      </x:c>
      <x:c r="AH337" s="89"/>
      <x:c r="AI337" s="88"/>
      <x:c r="AJ337" s="88" t="s">
        <x:v>2933</x:v>
      </x:c>
      <x:c r="AK337" s="88" t="s">
        <x:v>2934</x:v>
      </x:c>
      <x:c r="AL337" s="88" t="s">
        <x:v>193</x:v>
      </x:c>
      <x:c r="AM337" s="88" t="s">
        <x:v>2935</x:v>
      </x:c>
      <x:c r="AN337" s="88" t="s">
        <x:v>369</x:v>
      </x:c>
      <x:c r="AO337" s="88">
        <x:v>0</x:v>
      </x:c>
    </x:row>
    <x:row r="338">
      <x:c r="A338" s="88" t="s">
        <x:v>2936</x:v>
      </x:c>
      <x:c r="B338" s="88" t="s">
        <x:v>2937</x:v>
      </x:c>
      <x:c r="C338" s="88" t="s">
        <x:v>2938</x:v>
      </x:c>
      <x:c r="D338" s="88" t="s">
        <x:v>248</x:v>
      </x:c>
      <x:c r="E338" s="88" t="s">
        <x:v>329</x:v>
      </x:c>
      <x:c r="F338" s="89">
        <x:v>46237.102823969908</x:v>
      </x:c>
      <x:c r="G338" s="89">
        <x:v>46246.650579814814</x:v>
      </x:c>
      <x:c r="H338" s="89">
        <x:v>46237.401023368053</x:v>
      </x:c>
      <x:c r="I338" s="88" t="s">
        <x:v>2939</x:v>
      </x:c>
      <x:c r="J338" s="88" t="s">
        <x:v>2940</x:v>
      </x:c>
      <x:c r="K338" s="88" t="s">
        <x:v>380</x:v>
      </x:c>
      <x:c r="L338" s="88" t="s">
        <x:v>2941</x:v>
      </x:c>
      <x:c r="M338" s="88" t="s">
        <x:v>1055</x:v>
      </x:c>
      <x:c r="N338" s="88"/>
      <x:c r="O338" s="88"/>
      <x:c r="P338" s="88" t="s">
        <x:v>2942</x:v>
      </x:c>
      <x:c r="Q338" s="88" t="s">
        <x:v>269</x:v>
      </x:c>
      <x:c r="R338" s="88" t="s">
        <x:v>283</x:v>
      </x:c>
      <x:c r="S338" s="88"/>
      <x:c r="T338" s="88" t="s">
        <x:v>259</x:v>
      </x:c>
      <x:c r="U338" s="88" t="s">
        <x:v>2938</x:v>
      </x:c>
      <x:c r="V338" s="89">
        <x:v>46237.404301099537</x:v>
      </x:c>
      <x:c r="W338" s="88" t="s">
        <x:v>738</x:v>
      </x:c>
      <x:c r="X338" s="88" t="s">
        <x:v>259</x:v>
      </x:c>
      <x:c r="Y338" s="88" t="s">
        <x:v>1059</x:v>
      </x:c>
      <x:c r="Z338" s="89">
        <x:v>46239.303393877315</x:v>
      </x:c>
      <x:c r="AA338" s="88" t="s">
        <x:v>2943</x:v>
      </x:c>
      <x:c r="AB338" s="88" t="s">
        <x:v>259</x:v>
      </x:c>
      <x:c r="AC338" s="88" t="s">
        <x:v>111</x:v>
      </x:c>
      <x:c r="AD338" s="89">
        <x:v>46246.650579849535</x:v>
      </x:c>
      <x:c r="AE338" s="88" t="s">
        <x:v>2333</x:v>
      </x:c>
      <x:c r="AF338" s="88"/>
      <x:c r="AG338" s="88" t="s">
        <x:v>113</x:v>
      </x:c>
      <x:c r="AH338" s="89"/>
      <x:c r="AI338" s="88"/>
      <x:c r="AJ338" s="88" t="s">
        <x:v>2944</x:v>
      </x:c>
      <x:c r="AK338" s="88">
        <x:v>4702</x:v>
      </x:c>
      <x:c r="AL338" s="88" t="s">
        <x:v>185</x:v>
      </x:c>
      <x:c r="AM338" s="88" t="s">
        <x:v>2945</x:v>
      </x:c>
      <x:c r="AN338" s="88" t="s">
        <x:v>414</x:v>
      </x:c>
      <x:c r="AO338" s="88">
        <x:v>2520</x:v>
      </x:c>
    </x:row>
    <x:row r="339">
      <x:c r="A339" s="88" t="s">
        <x:v>2946</x:v>
      </x:c>
      <x:c r="B339" s="88" t="s">
        <x:v>2947</x:v>
      </x:c>
      <x:c r="C339" s="88" t="s">
        <x:v>2948</x:v>
      </x:c>
      <x:c r="D339" s="88" t="s">
        <x:v>248</x:v>
      </x:c>
      <x:c r="E339" s="88" t="s">
        <x:v>278</x:v>
      </x:c>
      <x:c r="F339" s="89">
        <x:v>46237.17056608796</x:v>
      </x:c>
      <x:c r="G339" s="89">
        <x:v>46237.171485810184</x:v>
      </x:c>
      <x:c r="H339" s="89">
        <x:v>46237.17056608796</x:v>
      </x:c>
      <x:c r="I339" s="88" t="s">
        <x:v>2949</x:v>
      </x:c>
      <x:c r="J339" s="88" t="s">
        <x:v>2950</x:v>
      </x:c>
      <x:c r="K339" s="88" t="s">
        <x:v>380</x:v>
      </x:c>
      <x:c r="L339" s="88" t="s">
        <x:v>2951</x:v>
      </x:c>
      <x:c r="M339" s="88" t="s">
        <x:v>824</x:v>
      </x:c>
      <x:c r="N339" s="88" t="s">
        <x:v>2952</x:v>
      </x:c>
      <x:c r="O339" s="88"/>
      <x:c r="P339" s="88" t="s">
        <x:v>2953</x:v>
      </x:c>
      <x:c r="Q339" s="88" t="s">
        <x:v>269</x:v>
      </x:c>
      <x:c r="R339" s="88" t="s">
        <x:v>283</x:v>
      </x:c>
      <x:c r="S339" s="88"/>
      <x:c r="T339" s="88" t="s">
        <x:v>249</x:v>
      </x:c>
      <x:c r="U339" s="88" t="s">
        <x:v>2948</x:v>
      </x:c>
      <x:c r="V339" s="89">
        <x:v>46237.171485810184</x:v>
      </x:c>
      <x:c r="W339" s="88"/>
      <x:c r="X339" s="88"/>
      <x:c r="Y339" s="88" t="s">
        <x:v>827</x:v>
      </x:c>
      <x:c r="Z339" s="89"/>
      <x:c r="AA339" s="88"/>
      <x:c r="AB339" s="88"/>
      <x:c r="AC339" s="88" t="s">
        <x:v>2488</x:v>
      </x:c>
      <x:c r="AD339" s="89"/>
      <x:c r="AE339" s="88"/>
      <x:c r="AF339" s="88"/>
      <x:c r="AG339" s="88" t="s">
        <x:v>173</x:v>
      </x:c>
      <x:c r="AH339" s="89"/>
      <x:c r="AI339" s="88"/>
      <x:c r="AJ339" s="88" t="s">
        <x:v>2954</x:v>
      </x:c>
      <x:c r="AK339" s="88" t="s">
        <x:v>2955</x:v>
      </x:c>
      <x:c r="AL339" s="88"/>
      <x:c r="AM339" s="88"/>
      <x:c r="AN339" s="88" t="s">
        <x:v>414</x:v>
      </x:c>
      <x:c r="AO339" s="88">
        <x:v>365</x:v>
      </x:c>
    </x:row>
    <x:row r="340">
      <x:c r="A340" s="88" t="s">
        <x:v>2956</x:v>
      </x:c>
      <x:c r="B340" s="88" t="s">
        <x:v>2957</x:v>
      </x:c>
      <x:c r="C340" s="88" t="s">
        <x:v>2948</x:v>
      </x:c>
      <x:c r="D340" s="88" t="s">
        <x:v>248</x:v>
      </x:c>
      <x:c r="E340" s="88" t="s">
        <x:v>372</x:v>
      </x:c>
      <x:c r="F340" s="89">
        <x:v>46237.172693819448</x:v>
      </x:c>
      <x:c r="G340" s="89">
        <x:v>46237.173705347224</x:v>
      </x:c>
      <x:c r="H340" s="89">
        <x:v>46237.172693819448</x:v>
      </x:c>
      <x:c r="I340" s="88" t="s">
        <x:v>2949</x:v>
      </x:c>
      <x:c r="J340" s="88" t="s">
        <x:v>2950</x:v>
      </x:c>
      <x:c r="K340" s="88" t="s">
        <x:v>380</x:v>
      </x:c>
      <x:c r="L340" s="88" t="s">
        <x:v>2951</x:v>
      </x:c>
      <x:c r="M340" s="88" t="s">
        <x:v>824</x:v>
      </x:c>
      <x:c r="N340" s="88" t="s">
        <x:v>2952</x:v>
      </x:c>
      <x:c r="O340" s="88"/>
      <x:c r="P340" s="88" t="s">
        <x:v>2958</x:v>
      </x:c>
      <x:c r="Q340" s="88" t="s">
        <x:v>269</x:v>
      </x:c>
      <x:c r="R340" s="88" t="s">
        <x:v>283</x:v>
      </x:c>
      <x:c r="S340" s="88"/>
      <x:c r="T340" s="88" t="s">
        <x:v>259</x:v>
      </x:c>
      <x:c r="U340" s="88" t="s">
        <x:v>2948</x:v>
      </x:c>
      <x:c r="V340" s="89">
        <x:v>46237.173705347224</x:v>
      </x:c>
      <x:c r="W340" s="88" t="s">
        <x:v>2959</x:v>
      </x:c>
      <x:c r="X340" s="88"/>
      <x:c r="Y340" s="88" t="s">
        <x:v>827</x:v>
      </x:c>
      <x:c r="Z340" s="89"/>
      <x:c r="AA340" s="88"/>
      <x:c r="AB340" s="88"/>
      <x:c r="AC340" s="88" t="s">
        <x:v>2488</x:v>
      </x:c>
      <x:c r="AD340" s="89"/>
      <x:c r="AE340" s="88"/>
      <x:c r="AF340" s="88"/>
      <x:c r="AG340" s="88" t="s">
        <x:v>173</x:v>
      </x:c>
      <x:c r="AH340" s="89"/>
      <x:c r="AI340" s="88"/>
      <x:c r="AJ340" s="88" t="s">
        <x:v>2954</x:v>
      </x:c>
      <x:c r="AK340" s="88" t="s">
        <x:v>2955</x:v>
      </x:c>
      <x:c r="AL340" s="88"/>
      <x:c r="AM340" s="88"/>
      <x:c r="AN340" s="88" t="s">
        <x:v>414</x:v>
      </x:c>
      <x:c r="AO340" s="88">
        <x:v>364</x:v>
      </x:c>
    </x:row>
    <x:row r="341">
      <x:c r="A341" s="88" t="s">
        <x:v>2960</x:v>
      </x:c>
      <x:c r="B341" s="88" t="s">
        <x:v>2961</x:v>
      </x:c>
      <x:c r="C341" s="88" t="s">
        <x:v>1138</x:v>
      </x:c>
      <x:c r="D341" s="88" t="s">
        <x:v>248</x:v>
      </x:c>
      <x:c r="E341" s="88" t="s">
        <x:v>329</x:v>
      </x:c>
      <x:c r="F341" s="89">
        <x:v>46237.561653055556</x:v>
      </x:c>
      <x:c r="G341" s="89">
        <x:v>46246.650259479167</x:v>
      </x:c>
      <x:c r="H341" s="89">
        <x:v>46237.561653055556</x:v>
      </x:c>
      <x:c r="I341" s="88" t="s">
        <x:v>2483</x:v>
      </x:c>
      <x:c r="J341" s="88" t="s">
        <x:v>2484</x:v>
      </x:c>
      <x:c r="K341" s="88" t="s">
        <x:v>266</x:v>
      </x:c>
      <x:c r="L341" s="88"/>
      <x:c r="M341" s="88" t="s">
        <x:v>667</x:v>
      </x:c>
      <x:c r="N341" s="88"/>
      <x:c r="O341" s="88"/>
      <x:c r="P341" s="88" t="s">
        <x:v>2962</x:v>
      </x:c>
      <x:c r="Q341" s="88" t="s">
        <x:v>256</x:v>
      </x:c>
      <x:c r="R341" s="88" t="s">
        <x:v>363</x:v>
      </x:c>
      <x:c r="S341" s="88"/>
      <x:c r="T341" s="88" t="s">
        <x:v>259</x:v>
      </x:c>
      <x:c r="U341" s="88" t="s">
        <x:v>1138</x:v>
      </x:c>
      <x:c r="V341" s="89">
        <x:v>46237.564457696761</x:v>
      </x:c>
      <x:c r="W341" s="88" t="s">
        <x:v>2963</x:v>
      </x:c>
      <x:c r="X341" s="88" t="s">
        <x:v>259</x:v>
      </x:c>
      <x:c r="Y341" s="88" t="s">
        <x:v>616</x:v>
      </x:c>
      <x:c r="Z341" s="89">
        <x:v>46241.080797685187</x:v>
      </x:c>
      <x:c r="AA341" s="88" t="s">
        <x:v>2213</x:v>
      </x:c>
      <x:c r="AB341" s="88" t="s">
        <x:v>259</x:v>
      </x:c>
      <x:c r="AC341" s="88" t="s">
        <x:v>111</x:v>
      </x:c>
      <x:c r="AD341" s="89">
        <x:v>46246.650259502312</x:v>
      </x:c>
      <x:c r="AE341" s="88" t="s">
        <x:v>335</x:v>
      </x:c>
      <x:c r="AF341" s="88"/>
      <x:c r="AG341" s="88" t="s">
        <x:v>129</x:v>
      </x:c>
      <x:c r="AH341" s="89"/>
      <x:c r="AI341" s="88"/>
      <x:c r="AJ341" s="88" t="s">
        <x:v>2489</x:v>
      </x:c>
      <x:c r="AK341" s="88" t="s">
        <x:v>2490</x:v>
      </x:c>
      <x:c r="AL341" s="88" t="s">
        <x:v>193</x:v>
      </x:c>
      <x:c r="AM341" s="88" t="s">
        <x:v>2964</x:v>
      </x:c>
      <x:c r="AN341" s="88" t="s">
        <x:v>369</x:v>
      </x:c>
      <x:c r="AO341" s="88">
        <x:v>0</x:v>
      </x:c>
    </x:row>
    <x:row r="342">
      <x:c r="A342" s="88" t="s">
        <x:v>2965</x:v>
      </x:c>
      <x:c r="B342" s="88" t="s">
        <x:v>2966</x:v>
      </x:c>
      <x:c r="C342" s="88" t="s">
        <x:v>1138</x:v>
      </x:c>
      <x:c r="D342" s="88" t="s">
        <x:v>248</x:v>
      </x:c>
      <x:c r="E342" s="88" t="s">
        <x:v>329</x:v>
      </x:c>
      <x:c r="F342" s="89">
        <x:v>46237.571238159719</x:v>
      </x:c>
      <x:c r="G342" s="89">
        <x:v>46246.649919479169</x:v>
      </x:c>
      <x:c r="H342" s="89">
        <x:v>46237.571238159719</x:v>
      </x:c>
      <x:c r="I342" s="88" t="s">
        <x:v>1139</x:v>
      </x:c>
      <x:c r="J342" s="88" t="s">
        <x:v>1140</x:v>
      </x:c>
      <x:c r="K342" s="88" t="s">
        <x:v>266</x:v>
      </x:c>
      <x:c r="L342" s="88"/>
      <x:c r="M342" s="88" t="s">
        <x:v>667</x:v>
      </x:c>
      <x:c r="N342" s="88"/>
      <x:c r="O342" s="88"/>
      <x:c r="P342" s="88" t="s">
        <x:v>2967</x:v>
      </x:c>
      <x:c r="Q342" s="88" t="s">
        <x:v>256</x:v>
      </x:c>
      <x:c r="R342" s="88" t="s">
        <x:v>363</x:v>
      </x:c>
      <x:c r="S342" s="88"/>
      <x:c r="T342" s="88" t="s">
        <x:v>259</x:v>
      </x:c>
      <x:c r="U342" s="88" t="s">
        <x:v>1138</x:v>
      </x:c>
      <x:c r="V342" s="89">
        <x:v>46237.57364328704</x:v>
      </x:c>
      <x:c r="W342" s="88" t="s">
        <x:v>2968</x:v>
      </x:c>
      <x:c r="X342" s="88" t="s">
        <x:v>259</x:v>
      </x:c>
      <x:c r="Y342" s="88" t="s">
        <x:v>616</x:v>
      </x:c>
      <x:c r="Z342" s="89">
        <x:v>46241.080134675925</x:v>
      </x:c>
      <x:c r="AA342" s="88" t="s">
        <x:v>2213</x:v>
      </x:c>
      <x:c r="AB342" s="88" t="s">
        <x:v>259</x:v>
      </x:c>
      <x:c r="AC342" s="88" t="s">
        <x:v>111</x:v>
      </x:c>
      <x:c r="AD342" s="89">
        <x:v>46246.649919502313</x:v>
      </x:c>
      <x:c r="AE342" s="88" t="s">
        <x:v>2333</x:v>
      </x:c>
      <x:c r="AF342" s="88"/>
      <x:c r="AG342" s="88" t="s">
        <x:v>129</x:v>
      </x:c>
      <x:c r="AH342" s="89"/>
      <x:c r="AI342" s="88"/>
      <x:c r="AJ342" s="88" t="s">
        <x:v>1145</x:v>
      </x:c>
      <x:c r="AK342" s="88" t="s">
        <x:v>1146</x:v>
      </x:c>
      <x:c r="AL342" s="88" t="s">
        <x:v>193</x:v>
      </x:c>
      <x:c r="AM342" s="88" t="s">
        <x:v>2969</x:v>
      </x:c>
      <x:c r="AN342" s="88" t="s">
        <x:v>369</x:v>
      </x:c>
      <x:c r="AO342" s="88">
        <x:v>0</x:v>
      </x:c>
    </x:row>
    <x:row r="343">
      <x:c r="A343" s="88" t="s">
        <x:v>2970</x:v>
      </x:c>
      <x:c r="B343" s="88" t="s">
        <x:v>2971</x:v>
      </x:c>
      <x:c r="C343" s="88" t="s">
        <x:v>2972</x:v>
      </x:c>
      <x:c r="D343" s="88" t="s">
        <x:v>248</x:v>
      </x:c>
      <x:c r="E343" s="88" t="s">
        <x:v>372</x:v>
      </x:c>
      <x:c r="F343" s="89">
        <x:v>46238.112743310186</x:v>
      </x:c>
      <x:c r="G343" s="89">
        <x:v>46238.114431481481</x:v>
      </x:c>
      <x:c r="H343" s="89">
        <x:v>46238.112743310186</x:v>
      </x:c>
      <x:c r="I343" s="88" t="s">
        <x:v>2973</x:v>
      </x:c>
      <x:c r="J343" s="88" t="s">
        <x:v>2974</x:v>
      </x:c>
      <x:c r="K343" s="88" t="s">
        <x:v>266</x:v>
      </x:c>
      <x:c r="L343" s="88"/>
      <x:c r="M343" s="88" t="s">
        <x:v>2975</x:v>
      </x:c>
      <x:c r="N343" s="88"/>
      <x:c r="O343" s="88"/>
      <x:c r="P343" s="88" t="s">
        <x:v>2976</x:v>
      </x:c>
      <x:c r="Q343" s="88" t="s">
        <x:v>256</x:v>
      </x:c>
      <x:c r="R343" s="88" t="s">
        <x:v>283</x:v>
      </x:c>
      <x:c r="S343" s="88"/>
      <x:c r="T343" s="88" t="s">
        <x:v>259</x:v>
      </x:c>
      <x:c r="U343" s="88" t="s">
        <x:v>2972</x:v>
      </x:c>
      <x:c r="V343" s="89">
        <x:v>46238.114431481481</x:v>
      </x:c>
      <x:c r="W343" s="88" t="s">
        <x:v>2977</x:v>
      </x:c>
      <x:c r="X343" s="88"/>
      <x:c r="Y343" s="88" t="s">
        <x:v>2641</x:v>
      </x:c>
      <x:c r="Z343" s="89"/>
      <x:c r="AA343" s="88"/>
      <x:c r="AB343" s="88"/>
      <x:c r="AC343" s="88" t="s">
        <x:v>2488</x:v>
      </x:c>
      <x:c r="AD343" s="89"/>
      <x:c r="AE343" s="88"/>
      <x:c r="AF343" s="88"/>
      <x:c r="AG343" s="88" t="s">
        <x:v>173</x:v>
      </x:c>
      <x:c r="AH343" s="89"/>
      <x:c r="AI343" s="88"/>
      <x:c r="AJ343" s="88" t="s">
        <x:v>2978</x:v>
      </x:c>
      <x:c r="AK343" s="88" t="s">
        <x:v>2979</x:v>
      </x:c>
      <x:c r="AL343" s="88"/>
      <x:c r="AM343" s="88"/>
      <x:c r="AN343" s="88" t="s">
        <x:v>369</x:v>
      </x:c>
      <x:c r="AO343" s="88">
        <x:v>0</x:v>
      </x:c>
    </x:row>
    <x:row r="344">
      <x:c r="A344" s="88" t="s">
        <x:v>2980</x:v>
      </x:c>
      <x:c r="B344" s="88" t="s">
        <x:v>2981</x:v>
      </x:c>
      <x:c r="C344" s="88" t="s">
        <x:v>951</x:v>
      </x:c>
      <x:c r="D344" s="88" t="s">
        <x:v>248</x:v>
      </x:c>
      <x:c r="E344" s="88" t="s">
        <x:v>278</x:v>
      </x:c>
      <x:c r="F344" s="89">
        <x:v>46238.187128043981</x:v>
      </x:c>
      <x:c r="G344" s="89">
        <x:v>46238.187557534722</x:v>
      </x:c>
      <x:c r="H344" s="89">
        <x:v>46238.187128043981</x:v>
      </x:c>
      <x:c r="I344" s="88" t="s">
        <x:v>1633</x:v>
      </x:c>
      <x:c r="J344" s="88" t="s">
        <x:v>2982</x:v>
      </x:c>
      <x:c r="K344" s="88" t="s">
        <x:v>954</x:v>
      </x:c>
      <x:c r="L344" s="88"/>
      <x:c r="M344" s="88" t="s">
        <x:v>951</x:v>
      </x:c>
      <x:c r="N344" s="88"/>
      <x:c r="O344" s="88"/>
      <x:c r="P344" s="88" t="s">
        <x:v>2983</x:v>
      </x:c>
      <x:c r="Q344" s="88" t="s">
        <x:v>347</x:v>
      </x:c>
      <x:c r="R344" s="88" t="s">
        <x:v>513</x:v>
      </x:c>
      <x:c r="S344" s="88"/>
      <x:c r="T344" s="88" t="s">
        <x:v>249</x:v>
      </x:c>
      <x:c r="U344" s="88" t="s">
        <x:v>951</x:v>
      </x:c>
      <x:c r="V344" s="89">
        <x:v>46238.187557546298</x:v>
      </x:c>
      <x:c r="W344" s="88"/>
      <x:c r="X344" s="88"/>
      <x:c r="Y344" s="88" t="s">
        <x:v>951</x:v>
      </x:c>
      <x:c r="Z344" s="89"/>
      <x:c r="AA344" s="88"/>
      <x:c r="AB344" s="88"/>
      <x:c r="AC344" s="88" t="s">
        <x:v>2488</x:v>
      </x:c>
      <x:c r="AD344" s="89"/>
      <x:c r="AE344" s="88"/>
      <x:c r="AF344" s="88"/>
      <x:c r="AG344" s="88" t="s">
        <x:v>173</x:v>
      </x:c>
      <x:c r="AH344" s="89"/>
      <x:c r="AI344" s="88"/>
      <x:c r="AJ344" s="88" t="s">
        <x:v>1640</x:v>
      </x:c>
      <x:c r="AK344" s="88" t="s">
        <x:v>2984</x:v>
      </x:c>
      <x:c r="AL344" s="88"/>
      <x:c r="AM344" s="88"/>
      <x:c r="AN344" s="88" t="s">
        <x:v>391</x:v>
      </x:c>
      <x:c r="AO344" s="88">
        <x:v>0</x:v>
      </x:c>
    </x:row>
    <x:row r="345">
      <x:c r="A345" s="88" t="s">
        <x:v>2985</x:v>
      </x:c>
      <x:c r="B345" s="88" t="s">
        <x:v>2986</x:v>
      </x:c>
      <x:c r="C345" s="88" t="s">
        <x:v>2972</x:v>
      </x:c>
      <x:c r="D345" s="88" t="s">
        <x:v>248</x:v>
      </x:c>
      <x:c r="E345" s="88" t="s">
        <x:v>372</x:v>
      </x:c>
      <x:c r="F345" s="89">
        <x:v>46238.235724155093</x:v>
      </x:c>
      <x:c r="G345" s="89">
        <x:v>46238.235724155093</x:v>
      </x:c>
      <x:c r="H345" s="89">
        <x:v>46238.235724155093</x:v>
      </x:c>
      <x:c r="I345" s="88" t="s">
        <x:v>2973</x:v>
      </x:c>
      <x:c r="J345" s="88" t="s">
        <x:v>2987</x:v>
      </x:c>
      <x:c r="K345" s="88" t="s">
        <x:v>266</x:v>
      </x:c>
      <x:c r="L345" s="88"/>
      <x:c r="M345" s="88" t="s">
        <x:v>2975</x:v>
      </x:c>
      <x:c r="N345" s="88"/>
      <x:c r="O345" s="88"/>
      <x:c r="P345" s="88" t="s">
        <x:v>2988</x:v>
      </x:c>
      <x:c r="Q345" s="88" t="s">
        <x:v>256</x:v>
      </x:c>
      <x:c r="R345" s="88" t="s">
        <x:v>283</x:v>
      </x:c>
      <x:c r="S345" s="88"/>
      <x:c r="T345" s="88" t="s">
        <x:v>372</x:v>
      </x:c>
      <x:c r="U345" s="88" t="s">
        <x:v>2972</x:v>
      </x:c>
      <x:c r="V345" s="89"/>
      <x:c r="W345" s="88"/>
      <x:c r="X345" s="88"/>
      <x:c r="Y345" s="88" t="s">
        <x:v>2641</x:v>
      </x:c>
      <x:c r="Z345" s="89"/>
      <x:c r="AA345" s="88"/>
      <x:c r="AB345" s="88"/>
      <x:c r="AC345" s="88" t="s">
        <x:v>2488</x:v>
      </x:c>
      <x:c r="AD345" s="89"/>
      <x:c r="AE345" s="88"/>
      <x:c r="AF345" s="88"/>
      <x:c r="AG345" s="88" t="s">
        <x:v>173</x:v>
      </x:c>
      <x:c r="AH345" s="89"/>
      <x:c r="AI345" s="88"/>
      <x:c r="AJ345" s="88" t="s">
        <x:v>2978</x:v>
      </x:c>
      <x:c r="AK345" s="88" t="s">
        <x:v>2989</x:v>
      </x:c>
      <x:c r="AL345" s="88"/>
      <x:c r="AM345" s="88"/>
      <x:c r="AN345" s="88" t="s">
        <x:v>369</x:v>
      </x:c>
      <x:c r="AO345" s="88">
        <x:v>0</x:v>
      </x:c>
    </x:row>
    <x:row r="346">
      <x:c r="A346" s="88" t="s">
        <x:v>2990</x:v>
      </x:c>
      <x:c r="B346" s="88" t="s">
        <x:v>2991</x:v>
      </x:c>
      <x:c r="C346" s="88" t="s">
        <x:v>2992</x:v>
      </x:c>
      <x:c r="D346" s="88" t="s">
        <x:v>248</x:v>
      </x:c>
      <x:c r="E346" s="88" t="s">
        <x:v>278</x:v>
      </x:c>
      <x:c r="F346" s="89">
        <x:v>46238.242216041668</x:v>
      </x:c>
      <x:c r="G346" s="89">
        <x:v>46238.2441056713</x:v>
      </x:c>
      <x:c r="H346" s="89">
        <x:v>46238.242216041668</x:v>
      </x:c>
      <x:c r="I346" s="88" t="s">
        <x:v>2973</x:v>
      </x:c>
      <x:c r="J346" s="88" t="s">
        <x:v>2987</x:v>
      </x:c>
      <x:c r="K346" s="88" t="s">
        <x:v>266</x:v>
      </x:c>
      <x:c r="L346" s="88"/>
      <x:c r="M346" s="88" t="s">
        <x:v>2641</x:v>
      </x:c>
      <x:c r="N346" s="88"/>
      <x:c r="O346" s="88"/>
      <x:c r="P346" s="88" t="s">
        <x:v>2993</x:v>
      </x:c>
      <x:c r="Q346" s="88" t="s">
        <x:v>256</x:v>
      </x:c>
      <x:c r="R346" s="88" t="s">
        <x:v>283</x:v>
      </x:c>
      <x:c r="S346" s="88"/>
      <x:c r="T346" s="88" t="s">
        <x:v>249</x:v>
      </x:c>
      <x:c r="U346" s="88" t="s">
        <x:v>2992</x:v>
      </x:c>
      <x:c r="V346" s="89">
        <x:v>46238.2441056713</x:v>
      </x:c>
      <x:c r="W346" s="88"/>
      <x:c r="X346" s="88"/>
      <x:c r="Y346" s="88" t="s">
        <x:v>2641</x:v>
      </x:c>
      <x:c r="Z346" s="89"/>
      <x:c r="AA346" s="88"/>
      <x:c r="AB346" s="88"/>
      <x:c r="AC346" s="88" t="s">
        <x:v>2488</x:v>
      </x:c>
      <x:c r="AD346" s="89"/>
      <x:c r="AE346" s="88"/>
      <x:c r="AF346" s="88"/>
      <x:c r="AG346" s="88" t="s">
        <x:v>173</x:v>
      </x:c>
      <x:c r="AH346" s="89"/>
      <x:c r="AI346" s="88"/>
      <x:c r="AJ346" s="88" t="s">
        <x:v>2978</x:v>
      </x:c>
      <x:c r="AK346" s="88" t="s">
        <x:v>2989</x:v>
      </x:c>
      <x:c r="AL346" s="88"/>
      <x:c r="AM346" s="88"/>
      <x:c r="AN346" s="88" t="s">
        <x:v>369</x:v>
      </x:c>
      <x:c r="AO346" s="88">
        <x:v>0</x:v>
      </x:c>
    </x:row>
    <x:row r="347">
      <x:c r="A347" s="88" t="s">
        <x:v>2994</x:v>
      </x:c>
      <x:c r="B347" s="88" t="s">
        <x:v>2995</x:v>
      </x:c>
      <x:c r="C347" s="88" t="s">
        <x:v>2972</x:v>
      </x:c>
      <x:c r="D347" s="88" t="s">
        <x:v>248</x:v>
      </x:c>
      <x:c r="E347" s="88" t="s">
        <x:v>372</x:v>
      </x:c>
      <x:c r="F347" s="89">
        <x:v>46238.247288622682</x:v>
      </x:c>
      <x:c r="G347" s="89">
        <x:v>46238.247288622682</x:v>
      </x:c>
      <x:c r="H347" s="89">
        <x:v>46238.247288622682</x:v>
      </x:c>
      <x:c r="I347" s="88" t="s">
        <x:v>2639</x:v>
      </x:c>
      <x:c r="J347" s="88" t="s">
        <x:v>2996</x:v>
      </x:c>
      <x:c r="K347" s="88" t="s">
        <x:v>266</x:v>
      </x:c>
      <x:c r="L347" s="88"/>
      <x:c r="M347" s="88" t="s">
        <x:v>2975</x:v>
      </x:c>
      <x:c r="N347" s="88"/>
      <x:c r="O347" s="88"/>
      <x:c r="P347" s="88" t="s">
        <x:v>2997</x:v>
      </x:c>
      <x:c r="Q347" s="88" t="s">
        <x:v>256</x:v>
      </x:c>
      <x:c r="R347" s="88" t="s">
        <x:v>283</x:v>
      </x:c>
      <x:c r="S347" s="88"/>
      <x:c r="T347" s="88" t="s">
        <x:v>372</x:v>
      </x:c>
      <x:c r="U347" s="88" t="s">
        <x:v>2972</x:v>
      </x:c>
      <x:c r="V347" s="89"/>
      <x:c r="W347" s="88"/>
      <x:c r="X347" s="88"/>
      <x:c r="Y347" s="88" t="s">
        <x:v>2641</x:v>
      </x:c>
      <x:c r="Z347" s="89"/>
      <x:c r="AA347" s="88"/>
      <x:c r="AB347" s="88"/>
      <x:c r="AC347" s="88" t="s">
        <x:v>2488</x:v>
      </x:c>
      <x:c r="AD347" s="89"/>
      <x:c r="AE347" s="88"/>
      <x:c r="AF347" s="88"/>
      <x:c r="AG347" s="88" t="s">
        <x:v>173</x:v>
      </x:c>
      <x:c r="AH347" s="89"/>
      <x:c r="AI347" s="88"/>
      <x:c r="AJ347" s="88" t="s">
        <x:v>2643</x:v>
      </x:c>
      <x:c r="AK347" s="88">
        <x:v>2450</x:v>
      </x:c>
      <x:c r="AL347" s="88"/>
      <x:c r="AM347" s="88"/>
      <x:c r="AN347" s="88" t="s">
        <x:v>369</x:v>
      </x:c>
      <x:c r="AO347" s="88">
        <x:v>0</x:v>
      </x:c>
    </x:row>
    <x:row r="348">
      <x:c r="A348" s="88" t="s">
        <x:v>2998</x:v>
      </x:c>
      <x:c r="B348" s="88" t="s">
        <x:v>2999</x:v>
      </x:c>
      <x:c r="C348" s="88" t="s">
        <x:v>358</x:v>
      </x:c>
      <x:c r="D348" s="88" t="s">
        <x:v>248</x:v>
      </x:c>
      <x:c r="E348" s="88" t="s">
        <x:v>278</x:v>
      </x:c>
      <x:c r="F348" s="89">
        <x:v>46239.065168807872</x:v>
      </x:c>
      <x:c r="G348" s="89">
        <x:v>46239.264718101855</x:v>
      </x:c>
      <x:c r="H348" s="89">
        <x:v>46239.065168807872</x:v>
      </x:c>
      <x:c r="I348" s="88" t="s">
        <x:v>1324</x:v>
      </x:c>
      <x:c r="J348" s="88" t="s">
        <x:v>1325</x:v>
      </x:c>
      <x:c r="K348" s="88" t="s">
        <x:v>266</x:v>
      </x:c>
      <x:c r="L348" s="88"/>
      <x:c r="M348" s="88" t="s">
        <x:v>992</x:v>
      </x:c>
      <x:c r="N348" s="88"/>
      <x:c r="O348" s="88"/>
      <x:c r="P348" s="88" t="s">
        <x:v>3000</x:v>
      </x:c>
      <x:c r="Q348" s="88" t="s">
        <x:v>323</x:v>
      </x:c>
      <x:c r="R348" s="88" t="s">
        <x:v>363</x:v>
      </x:c>
      <x:c r="S348" s="88"/>
      <x:c r="T348" s="88" t="s">
        <x:v>249</x:v>
      </x:c>
      <x:c r="U348" s="88" t="s">
        <x:v>358</x:v>
      </x:c>
      <x:c r="V348" s="89">
        <x:v>46239.264718113423</x:v>
      </x:c>
      <x:c r="W348" s="88"/>
      <x:c r="X348" s="88"/>
      <x:c r="Y348" s="88" t="s">
        <x:v>995</x:v>
      </x:c>
      <x:c r="Z348" s="89"/>
      <x:c r="AA348" s="88"/>
      <x:c r="AB348" s="88"/>
      <x:c r="AC348" s="88" t="s">
        <x:v>2488</x:v>
      </x:c>
      <x:c r="AD348" s="89"/>
      <x:c r="AE348" s="88"/>
      <x:c r="AF348" s="88"/>
      <x:c r="AG348" s="88" t="s">
        <x:v>173</x:v>
      </x:c>
      <x:c r="AH348" s="89"/>
      <x:c r="AI348" s="88"/>
      <x:c r="AJ348" s="88" t="s">
        <x:v>1331</x:v>
      </x:c>
      <x:c r="AK348" s="88">
        <x:v>2315</x:v>
      </x:c>
      <x:c r="AL348" s="88"/>
      <x:c r="AM348" s="88"/>
      <x:c r="AN348" s="88" t="s">
        <x:v>391</x:v>
      </x:c>
      <x:c r="AO348" s="88">
        <x:v>0</x:v>
      </x:c>
    </x:row>
    <x:row r="349">
      <x:c r="A349" s="88" t="s">
        <x:v>3001</x:v>
      </x:c>
      <x:c r="B349" s="88" t="s">
        <x:v>3002</x:v>
      </x:c>
      <x:c r="C349" s="88" t="s">
        <x:v>3003</x:v>
      </x:c>
      <x:c r="D349" s="88" t="s">
        <x:v>248</x:v>
      </x:c>
      <x:c r="E349" s="88" t="s">
        <x:v>278</x:v>
      </x:c>
      <x:c r="F349" s="89">
        <x:v>46239.078305833333</x:v>
      </x:c>
      <x:c r="G349" s="89">
        <x:v>46239.078833761574</x:v>
      </x:c>
      <x:c r="H349" s="89">
        <x:v>46239.078305833333</x:v>
      </x:c>
      <x:c r="I349" s="88" t="s">
        <x:v>1324</x:v>
      </x:c>
      <x:c r="J349" s="88" t="s">
        <x:v>3004</x:v>
      </x:c>
      <x:c r="K349" s="88" t="s">
        <x:v>266</x:v>
      </x:c>
      <x:c r="L349" s="88"/>
      <x:c r="M349" s="88" t="s">
        <x:v>358</x:v>
      </x:c>
      <x:c r="N349" s="88"/>
      <x:c r="O349" s="88"/>
      <x:c r="P349" s="88" t="s">
        <x:v>3005</x:v>
      </x:c>
      <x:c r="Q349" s="88" t="s">
        <x:v>323</x:v>
      </x:c>
      <x:c r="R349" s="88" t="s">
        <x:v>363</x:v>
      </x:c>
      <x:c r="S349" s="88"/>
      <x:c r="T349" s="88" t="s">
        <x:v>249</x:v>
      </x:c>
      <x:c r="U349" s="88" t="s">
        <x:v>3003</x:v>
      </x:c>
      <x:c r="V349" s="89">
        <x:v>46239.07883377315</x:v>
      </x:c>
      <x:c r="W349" s="88"/>
      <x:c r="X349" s="88"/>
      <x:c r="Y349" s="88" t="s">
        <x:v>358</x:v>
      </x:c>
      <x:c r="Z349" s="89"/>
      <x:c r="AA349" s="88"/>
      <x:c r="AB349" s="88"/>
      <x:c r="AC349" s="88" t="s">
        <x:v>2488</x:v>
      </x:c>
      <x:c r="AD349" s="89"/>
      <x:c r="AE349" s="88"/>
      <x:c r="AF349" s="88"/>
      <x:c r="AG349" s="88" t="s">
        <x:v>173</x:v>
      </x:c>
      <x:c r="AH349" s="89"/>
      <x:c r="AI349" s="88"/>
      <x:c r="AJ349" s="88" t="s">
        <x:v>1331</x:v>
      </x:c>
      <x:c r="AK349" s="88" t="s">
        <x:v>3006</x:v>
      </x:c>
      <x:c r="AL349" s="88"/>
      <x:c r="AM349" s="88"/>
      <x:c r="AN349" s="88" t="s">
        <x:v>369</x:v>
      </x:c>
      <x:c r="AO349" s="88">
        <x:v>0</x:v>
      </x:c>
    </x:row>
    <x:row r="350">
      <x:c r="A350" s="88" t="s">
        <x:v>3007</x:v>
      </x:c>
      <x:c r="B350" s="88" t="s">
        <x:v>3008</x:v>
      </x:c>
      <x:c r="C350" s="88" t="s">
        <x:v>3003</x:v>
      </x:c>
      <x:c r="D350" s="88" t="s">
        <x:v>248</x:v>
      </x:c>
      <x:c r="E350" s="88" t="s">
        <x:v>372</x:v>
      </x:c>
      <x:c r="F350" s="89">
        <x:v>46239.080210381944</x:v>
      </x:c>
      <x:c r="G350" s="89">
        <x:v>46239.080210381944</x:v>
      </x:c>
      <x:c r="H350" s="89">
        <x:v>46239.080210381944</x:v>
      </x:c>
      <x:c r="I350" s="88" t="s">
        <x:v>1324</x:v>
      </x:c>
      <x:c r="J350" s="88" t="s">
        <x:v>1325</x:v>
      </x:c>
      <x:c r="K350" s="88" t="s">
        <x:v>266</x:v>
      </x:c>
      <x:c r="L350" s="88"/>
      <x:c r="M350" s="88" t="s">
        <x:v>3003</x:v>
      </x:c>
      <x:c r="N350" s="88"/>
      <x:c r="O350" s="88"/>
      <x:c r="P350" s="88" t="s">
        <x:v>3005</x:v>
      </x:c>
      <x:c r="Q350" s="88" t="s">
        <x:v>323</x:v>
      </x:c>
      <x:c r="R350" s="88" t="s">
        <x:v>363</x:v>
      </x:c>
      <x:c r="S350" s="88"/>
      <x:c r="T350" s="88" t="s">
        <x:v>372</x:v>
      </x:c>
      <x:c r="U350" s="88" t="s">
        <x:v>3003</x:v>
      </x:c>
      <x:c r="V350" s="89"/>
      <x:c r="W350" s="88"/>
      <x:c r="X350" s="88"/>
      <x:c r="Y350" s="88" t="s">
        <x:v>3003</x:v>
      </x:c>
      <x:c r="Z350" s="89"/>
      <x:c r="AA350" s="88"/>
      <x:c r="AB350" s="88"/>
      <x:c r="AC350" s="88" t="s">
        <x:v>2488</x:v>
      </x:c>
      <x:c r="AD350" s="89"/>
      <x:c r="AE350" s="88"/>
      <x:c r="AF350" s="88"/>
      <x:c r="AG350" s="88" t="s">
        <x:v>173</x:v>
      </x:c>
      <x:c r="AH350" s="89"/>
      <x:c r="AI350" s="88"/>
      <x:c r="AJ350" s="88" t="s">
        <x:v>1331</x:v>
      </x:c>
      <x:c r="AK350" s="88">
        <x:v>2315</x:v>
      </x:c>
      <x:c r="AL350" s="88"/>
      <x:c r="AM350" s="88"/>
      <x:c r="AN350" s="88" t="s">
        <x:v>369</x:v>
      </x:c>
      <x:c r="AO350" s="88">
        <x:v>0</x:v>
      </x:c>
    </x:row>
    <x:row r="351">
      <x:c r="A351" s="88" t="s">
        <x:v>3009</x:v>
      </x:c>
      <x:c r="B351" s="88" t="s">
        <x:v>3010</x:v>
      </x:c>
      <x:c r="C351" s="88" t="s">
        <x:v>358</x:v>
      </x:c>
      <x:c r="D351" s="88" t="s">
        <x:v>248</x:v>
      </x:c>
      <x:c r="E351" s="88" t="s">
        <x:v>329</x:v>
      </x:c>
      <x:c r="F351" s="89">
        <x:v>46239.192937905093</x:v>
      </x:c>
      <x:c r="G351" s="89">
        <x:v>46246.648452592592</x:v>
      </x:c>
      <x:c r="H351" s="89">
        <x:v>46239.192937905093</x:v>
      </x:c>
      <x:c r="I351" s="88" t="s">
        <x:v>1324</x:v>
      </x:c>
      <x:c r="J351" s="88" t="s">
        <x:v>1325</x:v>
      </x:c>
      <x:c r="K351" s="88" t="s">
        <x:v>266</x:v>
      </x:c>
      <x:c r="L351" s="88"/>
      <x:c r="M351" s="88" t="s">
        <x:v>992</x:v>
      </x:c>
      <x:c r="N351" s="88"/>
      <x:c r="O351" s="88"/>
      <x:c r="P351" s="88" t="s">
        <x:v>3011</x:v>
      </x:c>
      <x:c r="Q351" s="88" t="s">
        <x:v>323</x:v>
      </x:c>
      <x:c r="R351" s="88" t="s">
        <x:v>363</x:v>
      </x:c>
      <x:c r="S351" s="88"/>
      <x:c r="T351" s="88" t="s">
        <x:v>259</x:v>
      </x:c>
      <x:c r="U351" s="88" t="s">
        <x:v>358</x:v>
      </x:c>
      <x:c r="V351" s="89">
        <x:v>46239.193858275466</x:v>
      </x:c>
      <x:c r="W351" s="88" t="s">
        <x:v>3012</x:v>
      </x:c>
      <x:c r="X351" s="88" t="s">
        <x:v>259</x:v>
      </x:c>
      <x:c r="Y351" s="88" t="s">
        <x:v>995</x:v>
      </x:c>
      <x:c r="Z351" s="89">
        <x:v>46241.155370439817</x:v>
      </x:c>
      <x:c r="AA351" s="88" t="s">
        <x:v>738</x:v>
      </x:c>
      <x:c r="AB351" s="88" t="s">
        <x:v>259</x:v>
      </x:c>
      <x:c r="AC351" s="88" t="s">
        <x:v>111</x:v>
      </x:c>
      <x:c r="AD351" s="89">
        <x:v>46246.648452604168</x:v>
      </x:c>
      <x:c r="AE351" s="88" t="s">
        <x:v>2333</x:v>
      </x:c>
      <x:c r="AF351" s="88"/>
      <x:c r="AG351" s="88" t="s">
        <x:v>120</x:v>
      </x:c>
      <x:c r="AH351" s="89"/>
      <x:c r="AI351" s="88"/>
      <x:c r="AJ351" s="88" t="s">
        <x:v>1331</x:v>
      </x:c>
      <x:c r="AK351" s="88">
        <x:v>2315</x:v>
      </x:c>
      <x:c r="AL351" s="88" t="s">
        <x:v>185</x:v>
      </x:c>
      <x:c r="AM351" s="88" t="s">
        <x:v>3013</x:v>
      </x:c>
      <x:c r="AN351" s="88" t="s">
        <x:v>369</x:v>
      </x:c>
      <x:c r="AO351" s="88">
        <x:v>0</x:v>
      </x:c>
    </x:row>
    <x:row r="352">
      <x:c r="A352" s="88" t="s">
        <x:v>3014</x:v>
      </x:c>
      <x:c r="B352" s="88" t="s">
        <x:v>3015</x:v>
      </x:c>
      <x:c r="C352" s="88" t="s">
        <x:v>358</x:v>
      </x:c>
      <x:c r="D352" s="88" t="s">
        <x:v>248</x:v>
      </x:c>
      <x:c r="E352" s="88" t="s">
        <x:v>329</x:v>
      </x:c>
      <x:c r="F352" s="89">
        <x:v>46239.262273391207</x:v>
      </x:c>
      <x:c r="G352" s="89">
        <x:v>46246.648167870371</x:v>
      </x:c>
      <x:c r="H352" s="89">
        <x:v>46239.262273391207</x:v>
      </x:c>
      <x:c r="I352" s="88" t="s">
        <x:v>1324</x:v>
      </x:c>
      <x:c r="J352" s="88" t="s">
        <x:v>3004</x:v>
      </x:c>
      <x:c r="K352" s="88" t="s">
        <x:v>266</x:v>
      </x:c>
      <x:c r="L352" s="88"/>
      <x:c r="M352" s="88" t="s">
        <x:v>992</x:v>
      </x:c>
      <x:c r="N352" s="88"/>
      <x:c r="O352" s="88"/>
      <x:c r="P352" s="88" t="s">
        <x:v>3016</x:v>
      </x:c>
      <x:c r="Q352" s="88" t="s">
        <x:v>323</x:v>
      </x:c>
      <x:c r="R352" s="88" t="s">
        <x:v>363</x:v>
      </x:c>
      <x:c r="S352" s="88"/>
      <x:c r="T352" s="88" t="s">
        <x:v>259</x:v>
      </x:c>
      <x:c r="U352" s="88" t="s">
        <x:v>358</x:v>
      </x:c>
      <x:c r="V352" s="89">
        <x:v>46239.263637060183</x:v>
      </x:c>
      <x:c r="W352" s="88" t="s">
        <x:v>3017</x:v>
      </x:c>
      <x:c r="X352" s="88" t="s">
        <x:v>259</x:v>
      </x:c>
      <x:c r="Y352" s="88" t="s">
        <x:v>995</x:v>
      </x:c>
      <x:c r="Z352" s="89">
        <x:v>46241.155705185185</x:v>
      </x:c>
      <x:c r="AA352" s="88" t="s">
        <x:v>738</x:v>
      </x:c>
      <x:c r="AB352" s="88" t="s">
        <x:v>259</x:v>
      </x:c>
      <x:c r="AC352" s="88" t="s">
        <x:v>111</x:v>
      </x:c>
      <x:c r="AD352" s="89">
        <x:v>46246.648167881947</x:v>
      </x:c>
      <x:c r="AE352" s="88" t="s">
        <x:v>335</x:v>
      </x:c>
      <x:c r="AF352" s="88"/>
      <x:c r="AG352" s="88" t="s">
        <x:v>120</x:v>
      </x:c>
      <x:c r="AH352" s="89"/>
      <x:c r="AI352" s="88"/>
      <x:c r="AJ352" s="88" t="s">
        <x:v>1331</x:v>
      </x:c>
      <x:c r="AK352" s="88" t="s">
        <x:v>3006</x:v>
      </x:c>
      <x:c r="AL352" s="88" t="s">
        <x:v>185</x:v>
      </x:c>
      <x:c r="AM352" s="88" t="s">
        <x:v>3018</x:v>
      </x:c>
      <x:c r="AN352" s="88" t="s">
        <x:v>369</x:v>
      </x:c>
      <x:c r="AO352" s="88">
        <x:v>0</x:v>
      </x:c>
    </x:row>
    <x:row r="353">
      <x:c r="A353" s="88" t="s">
        <x:v>3019</x:v>
      </x:c>
      <x:c r="B353" s="88" t="s">
        <x:v>3020</x:v>
      </x:c>
      <x:c r="C353" s="88" t="s">
        <x:v>1219</x:v>
      </x:c>
      <x:c r="D353" s="88" t="s">
        <x:v>248</x:v>
      </x:c>
      <x:c r="E353" s="88" t="s">
        <x:v>329</x:v>
      </x:c>
      <x:c r="F353" s="89">
        <x:v>46240.084827303239</x:v>
      </x:c>
      <x:c r="G353" s="89">
        <x:v>46246.64777236111</x:v>
      </x:c>
      <x:c r="H353" s="89">
        <x:v>46240.084827303239</x:v>
      </x:c>
      <x:c r="I353" s="88" t="s">
        <x:v>3021</x:v>
      </x:c>
      <x:c r="J353" s="88" t="s">
        <x:v>3022</x:v>
      </x:c>
      <x:c r="K353" s="88" t="s">
        <x:v>266</x:v>
      </x:c>
      <x:c r="L353" s="88"/>
      <x:c r="M353" s="88" t="s">
        <x:v>482</x:v>
      </x:c>
      <x:c r="N353" s="88"/>
      <x:c r="O353" s="88"/>
      <x:c r="P353" s="88" t="s">
        <x:v>680</x:v>
      </x:c>
      <x:c r="Q353" s="88" t="s">
        <x:v>256</x:v>
      </x:c>
      <x:c r="R353" s="88" t="s">
        <x:v>363</x:v>
      </x:c>
      <x:c r="S353" s="88"/>
      <x:c r="T353" s="88" t="s">
        <x:v>259</x:v>
      </x:c>
      <x:c r="U353" s="88" t="s">
        <x:v>1219</x:v>
      </x:c>
      <x:c r="V353" s="89">
        <x:v>46240.085372210648</x:v>
      </x:c>
      <x:c r="W353" s="88" t="s">
        <x:v>3023</x:v>
      </x:c>
      <x:c r="X353" s="88" t="s">
        <x:v>259</x:v>
      </x:c>
      <x:c r="Y353" s="88" t="s">
        <x:v>482</x:v>
      </x:c>
      <x:c r="Z353" s="89">
        <x:v>46241.442110277778</x:v>
      </x:c>
      <x:c r="AA353" s="88" t="s">
        <x:v>680</x:v>
      </x:c>
      <x:c r="AB353" s="88" t="s">
        <x:v>259</x:v>
      </x:c>
      <x:c r="AC353" s="88" t="s">
        <x:v>111</x:v>
      </x:c>
      <x:c r="AD353" s="89">
        <x:v>46246.647772372686</x:v>
      </x:c>
      <x:c r="AE353" s="88" t="s">
        <x:v>2333</x:v>
      </x:c>
      <x:c r="AF353" s="88"/>
      <x:c r="AG353" s="88" t="s">
        <x:v>129</x:v>
      </x:c>
      <x:c r="AH353" s="89"/>
      <x:c r="AI353" s="88"/>
      <x:c r="AJ353" s="88" t="s">
        <x:v>3024</x:v>
      </x:c>
      <x:c r="AK353" s="88">
        <x:v>3837</x:v>
      </x:c>
      <x:c r="AL353" s="88" t="s">
        <x:v>193</x:v>
      </x:c>
      <x:c r="AM353" s="88" t="s">
        <x:v>3025</x:v>
      </x:c>
      <x:c r="AN353" s="88" t="s">
        <x:v>369</x:v>
      </x:c>
      <x:c r="AO353" s="88">
        <x:v>0</x:v>
      </x:c>
    </x:row>
    <x:row r="354">
      <x:c r="A354" s="88" t="s">
        <x:v>3026</x:v>
      </x:c>
      <x:c r="B354" s="88" t="s">
        <x:v>3027</x:v>
      </x:c>
      <x:c r="C354" s="88" t="s">
        <x:v>2638</x:v>
      </x:c>
      <x:c r="D354" s="88" t="s">
        <x:v>248</x:v>
      </x:c>
      <x:c r="E354" s="88" t="s">
        <x:v>372</x:v>
      </x:c>
      <x:c r="F354" s="89">
        <x:v>46240.194402210647</x:v>
      </x:c>
      <x:c r="G354" s="89">
        <x:v>46240.195008564813</x:v>
      </x:c>
      <x:c r="H354" s="89">
        <x:v>46240.194402210647</x:v>
      </x:c>
      <x:c r="I354" s="88" t="s">
        <x:v>3028</x:v>
      </x:c>
      <x:c r="J354" s="88" t="s">
        <x:v>3029</x:v>
      </x:c>
      <x:c r="K354" s="88" t="s">
        <x:v>380</x:v>
      </x:c>
      <x:c r="L354" s="88" t="s">
        <x:v>252</x:v>
      </x:c>
      <x:c r="M354" s="88" t="s">
        <x:v>3030</x:v>
      </x:c>
      <x:c r="N354" s="88"/>
      <x:c r="O354" s="88"/>
      <x:c r="P354" s="88" t="s">
        <x:v>3031</x:v>
      </x:c>
      <x:c r="Q354" s="88" t="s">
        <x:v>256</x:v>
      </x:c>
      <x:c r="R354" s="88" t="s">
        <x:v>283</x:v>
      </x:c>
      <x:c r="S354" s="88"/>
      <x:c r="T354" s="88" t="s">
        <x:v>259</x:v>
      </x:c>
      <x:c r="U354" s="88" t="s">
        <x:v>2638</x:v>
      </x:c>
      <x:c r="V354" s="89">
        <x:v>46240.195008576389</x:v>
      </x:c>
      <x:c r="W354" s="88" t="s">
        <x:v>3032</x:v>
      </x:c>
      <x:c r="X354" s="88"/>
      <x:c r="Y354" s="88" t="s">
        <x:v>3030</x:v>
      </x:c>
      <x:c r="Z354" s="89"/>
      <x:c r="AA354" s="88"/>
      <x:c r="AB354" s="88"/>
      <x:c r="AC354" s="88" t="s">
        <x:v>2488</x:v>
      </x:c>
      <x:c r="AD354" s="89"/>
      <x:c r="AE354" s="88"/>
      <x:c r="AF354" s="88"/>
      <x:c r="AG354" s="88" t="s">
        <x:v>173</x:v>
      </x:c>
      <x:c r="AH354" s="89"/>
      <x:c r="AI354" s="88"/>
      <x:c r="AJ354" s="88" t="s">
        <x:v>3033</x:v>
      </x:c>
      <x:c r="AK354" s="88" t="s">
        <x:v>3034</x:v>
      </x:c>
      <x:c r="AL354" s="88"/>
      <x:c r="AM354" s="88"/>
      <x:c r="AN354" s="88" t="s">
        <x:v>369</x:v>
      </x:c>
      <x:c r="AO354" s="88">
        <x:v>0</x:v>
      </x:c>
    </x:row>
    <x:row r="355">
      <x:c r="A355" s="88" t="s">
        <x:v>3035</x:v>
      </x:c>
      <x:c r="B355" s="88" t="s">
        <x:v>3036</x:v>
      </x:c>
      <x:c r="C355" s="88" t="s">
        <x:v>1138</x:v>
      </x:c>
      <x:c r="D355" s="88" t="s">
        <x:v>248</x:v>
      </x:c>
      <x:c r="E355" s="88" t="s">
        <x:v>329</x:v>
      </x:c>
      <x:c r="F355" s="89">
        <x:v>46241.083838125</x:v>
      </x:c>
      <x:c r="G355" s="89">
        <x:v>46246.647137094908</x:v>
      </x:c>
      <x:c r="H355" s="89">
        <x:v>46241.083838125</x:v>
      </x:c>
      <x:c r="I355" s="88" t="s">
        <x:v>1139</x:v>
      </x:c>
      <x:c r="J355" s="88" t="s">
        <x:v>1140</x:v>
      </x:c>
      <x:c r="K355" s="88" t="s">
        <x:v>266</x:v>
      </x:c>
      <x:c r="L355" s="88"/>
      <x:c r="M355" s="88" t="s">
        <x:v>667</x:v>
      </x:c>
      <x:c r="N355" s="88"/>
      <x:c r="O355" s="88"/>
      <x:c r="P355" s="88" t="s">
        <x:v>363</x:v>
      </x:c>
      <x:c r="Q355" s="88" t="s">
        <x:v>256</x:v>
      </x:c>
      <x:c r="R355" s="88" t="s">
        <x:v>363</x:v>
      </x:c>
      <x:c r="S355" s="88"/>
      <x:c r="T355" s="88" t="s">
        <x:v>259</x:v>
      </x:c>
      <x:c r="U355" s="88" t="s">
        <x:v>1138</x:v>
      </x:c>
      <x:c r="V355" s="89">
        <x:v>46241.087645590276</x:v>
      </x:c>
      <x:c r="W355" s="88" t="s">
        <x:v>363</x:v>
      </x:c>
      <x:c r="X355" s="88" t="s">
        <x:v>259</x:v>
      </x:c>
      <x:c r="Y355" s="88" t="s">
        <x:v>616</x:v>
      </x:c>
      <x:c r="Z355" s="89">
        <x:v>46241.097662754626</x:v>
      </x:c>
      <x:c r="AA355" s="88" t="s">
        <x:v>3037</x:v>
      </x:c>
      <x:c r="AB355" s="88" t="s">
        <x:v>259</x:v>
      </x:c>
      <x:c r="AC355" s="88" t="s">
        <x:v>111</x:v>
      </x:c>
      <x:c r="AD355" s="89">
        <x:v>46246.647137129628</x:v>
      </x:c>
      <x:c r="AE355" s="88" t="s">
        <x:v>335</x:v>
      </x:c>
      <x:c r="AF355" s="88"/>
      <x:c r="AG355" s="88" t="s">
        <x:v>129</x:v>
      </x:c>
      <x:c r="AH355" s="89"/>
      <x:c r="AI355" s="88"/>
      <x:c r="AJ355" s="88" t="s">
        <x:v>1145</x:v>
      </x:c>
      <x:c r="AK355" s="88" t="s">
        <x:v>1146</x:v>
      </x:c>
      <x:c r="AL355" s="88" t="s">
        <x:v>193</x:v>
      </x:c>
      <x:c r="AM355" s="88" t="s">
        <x:v>3038</x:v>
      </x:c>
      <x:c r="AN355" s="88" t="s">
        <x:v>369</x:v>
      </x:c>
      <x:c r="AO355" s="88">
        <x:v>0</x:v>
      </x:c>
    </x:row>
    <x:row r="356">
      <x:c r="A356" s="88" t="s">
        <x:v>3039</x:v>
      </x:c>
      <x:c r="B356" s="88" t="s">
        <x:v>3040</x:v>
      </x:c>
      <x:c r="C356" s="88" t="s">
        <x:v>1138</x:v>
      </x:c>
      <x:c r="D356" s="88" t="s">
        <x:v>248</x:v>
      </x:c>
      <x:c r="E356" s="88" t="s">
        <x:v>278</x:v>
      </x:c>
      <x:c r="F356" s="89">
        <x:v>46241.092463460649</x:v>
      </x:c>
      <x:c r="G356" s="89">
        <x:v>46241.093683032406</x:v>
      </x:c>
      <x:c r="H356" s="89">
        <x:v>46241.092463460649</x:v>
      </x:c>
      <x:c r="I356" s="88" t="s">
        <x:v>1139</x:v>
      </x:c>
      <x:c r="J356" s="88" t="s">
        <x:v>1140</x:v>
      </x:c>
      <x:c r="K356" s="88" t="s">
        <x:v>266</x:v>
      </x:c>
      <x:c r="L356" s="88"/>
      <x:c r="M356" s="88" t="s">
        <x:v>667</x:v>
      </x:c>
      <x:c r="N356" s="88"/>
      <x:c r="O356" s="88"/>
      <x:c r="P356" s="88" t="s">
        <x:v>363</x:v>
      </x:c>
      <x:c r="Q356" s="88" t="s">
        <x:v>256</x:v>
      </x:c>
      <x:c r="R356" s="88" t="s">
        <x:v>363</x:v>
      </x:c>
      <x:c r="S356" s="88"/>
      <x:c r="T356" s="88" t="s">
        <x:v>249</x:v>
      </x:c>
      <x:c r="U356" s="88" t="s">
        <x:v>1138</x:v>
      </x:c>
      <x:c r="V356" s="89">
        <x:v>46241.093683032406</x:v>
      </x:c>
      <x:c r="W356" s="88"/>
      <x:c r="X356" s="88"/>
      <x:c r="Y356" s="88" t="s">
        <x:v>616</x:v>
      </x:c>
      <x:c r="Z356" s="89"/>
      <x:c r="AA356" s="88"/>
      <x:c r="AB356" s="88"/>
      <x:c r="AC356" s="88" t="s">
        <x:v>2488</x:v>
      </x:c>
      <x:c r="AD356" s="89"/>
      <x:c r="AE356" s="88"/>
      <x:c r="AF356" s="88"/>
      <x:c r="AG356" s="88" t="s">
        <x:v>173</x:v>
      </x:c>
      <x:c r="AH356" s="89"/>
      <x:c r="AI356" s="88"/>
      <x:c r="AJ356" s="88" t="s">
        <x:v>1145</x:v>
      </x:c>
      <x:c r="AK356" s="88" t="s">
        <x:v>1146</x:v>
      </x:c>
      <x:c r="AL356" s="88"/>
      <x:c r="AM356" s="88"/>
      <x:c r="AN356" s="88" t="s">
        <x:v>369</x:v>
      </x:c>
      <x:c r="AO356" s="88">
        <x:v>0</x:v>
      </x:c>
    </x:row>
    <x:row r="357">
      <x:c r="A357" s="88" t="s">
        <x:v>3041</x:v>
      </x:c>
      <x:c r="B357" s="88" t="s">
        <x:v>3042</x:v>
      </x:c>
      <x:c r="C357" s="88" t="s">
        <x:v>3043</x:v>
      </x:c>
      <x:c r="D357" s="88" t="s">
        <x:v>248</x:v>
      </x:c>
      <x:c r="E357" s="88" t="s">
        <x:v>278</x:v>
      </x:c>
      <x:c r="F357" s="89">
        <x:v>46245.176695682872</x:v>
      </x:c>
      <x:c r="G357" s="89">
        <x:v>46245.182913379627</x:v>
      </x:c>
      <x:c r="H357" s="89">
        <x:v>46245.176695682872</x:v>
      </x:c>
      <x:c r="I357" s="88" t="s">
        <x:v>3044</x:v>
      </x:c>
      <x:c r="J357" s="88" t="s">
        <x:v>3045</x:v>
      </x:c>
      <x:c r="K357" s="88" t="s">
        <x:v>380</x:v>
      </x:c>
      <x:c r="L357" s="88" t="s">
        <x:v>3046</x:v>
      </x:c>
      <x:c r="M357" s="88" t="s">
        <x:v>3043</x:v>
      </x:c>
      <x:c r="N357" s="88"/>
      <x:c r="O357" s="88"/>
      <x:c r="P357" s="88" t="s">
        <x:v>669</x:v>
      </x:c>
      <x:c r="Q357" s="88" t="s">
        <x:v>323</x:v>
      </x:c>
      <x:c r="R357" s="88" t="s">
        <x:v>283</x:v>
      </x:c>
      <x:c r="S357" s="88"/>
      <x:c r="T357" s="88" t="s">
        <x:v>249</x:v>
      </x:c>
      <x:c r="U357" s="88" t="s">
        <x:v>3043</x:v>
      </x:c>
      <x:c r="V357" s="89">
        <x:v>46245.182913391203</x:v>
      </x:c>
      <x:c r="W357" s="88"/>
      <x:c r="X357" s="88"/>
      <x:c r="Y357" s="88" t="s">
        <x:v>3043</x:v>
      </x:c>
      <x:c r="Z357" s="89"/>
      <x:c r="AA357" s="88"/>
      <x:c r="AB357" s="88"/>
      <x:c r="AC357" s="88" t="s">
        <x:v>2488</x:v>
      </x:c>
      <x:c r="AD357" s="89"/>
      <x:c r="AE357" s="88"/>
      <x:c r="AF357" s="88"/>
      <x:c r="AG357" s="88" t="s">
        <x:v>173</x:v>
      </x:c>
      <x:c r="AH357" s="89"/>
      <x:c r="AI357" s="88"/>
      <x:c r="AJ357" s="88" t="s">
        <x:v>3047</x:v>
      </x:c>
      <x:c r="AK357" s="88" t="s">
        <x:v>3048</x:v>
      </x:c>
      <x:c r="AL357" s="88"/>
      <x:c r="AM357" s="88"/>
      <x:c r="AN357" s="88" t="s">
        <x:v>414</x:v>
      </x:c>
      <x:c r="AO357" s="88">
        <x:v>1</x:v>
      </x:c>
    </x:row>
    <x:row r="358">
      <x:c r="A358" s="88" t="s">
        <x:v>3049</x:v>
      </x:c>
      <x:c r="B358" s="88" t="s">
        <x:v>3050</x:v>
      </x:c>
      <x:c r="C358" s="88" t="s">
        <x:v>318</x:v>
      </x:c>
      <x:c r="D358" s="88" t="s">
        <x:v>248</x:v>
      </x:c>
      <x:c r="E358" s="88" t="s">
        <x:v>372</x:v>
      </x:c>
      <x:c r="F358" s="89">
        <x:v>46245.29785141204</x:v>
      </x:c>
      <x:c r="G358" s="89">
        <x:v>46245.29785141204</x:v>
      </x:c>
      <x:c r="H358" s="89">
        <x:v>46245.29785141204</x:v>
      </x:c>
      <x:c r="I358" s="88" t="s">
        <x:v>3051</x:v>
      </x:c>
      <x:c r="J358" s="88" t="s">
        <x:v>3052</x:v>
      </x:c>
      <x:c r="K358" s="88" t="s">
        <x:v>380</x:v>
      </x:c>
      <x:c r="L358" s="88" t="s">
        <x:v>252</x:v>
      </x:c>
      <x:c r="M358" s="88" t="s">
        <x:v>3053</x:v>
      </x:c>
      <x:c r="N358" s="88"/>
      <x:c r="O358" s="88"/>
      <x:c r="P358" s="88" t="s">
        <x:v>3054</x:v>
      </x:c>
      <x:c r="Q358" s="88" t="s">
        <x:v>256</x:v>
      </x:c>
      <x:c r="R358" s="88" t="s">
        <x:v>283</x:v>
      </x:c>
      <x:c r="S358" s="88"/>
      <x:c r="T358" s="88" t="s">
        <x:v>372</x:v>
      </x:c>
      <x:c r="U358" s="88" t="s">
        <x:v>318</x:v>
      </x:c>
      <x:c r="V358" s="89"/>
      <x:c r="W358" s="88"/>
      <x:c r="X358" s="88"/>
      <x:c r="Y358" s="88" t="s">
        <x:v>3055</x:v>
      </x:c>
      <x:c r="Z358" s="89"/>
      <x:c r="AA358" s="88"/>
      <x:c r="AB358" s="88"/>
      <x:c r="AC358" s="88" t="s">
        <x:v>2488</x:v>
      </x:c>
      <x:c r="AD358" s="89"/>
      <x:c r="AE358" s="88"/>
      <x:c r="AF358" s="88"/>
      <x:c r="AG358" s="88" t="s">
        <x:v>173</x:v>
      </x:c>
      <x:c r="AH358" s="89"/>
      <x:c r="AI358" s="88"/>
      <x:c r="AJ358" s="88" t="s">
        <x:v>3056</x:v>
      </x:c>
      <x:c r="AK358" s="88" t="s">
        <x:v>3057</x:v>
      </x:c>
      <x:c r="AL358" s="88"/>
      <x:c r="AM358" s="88"/>
      <x:c r="AN358" s="88" t="s">
        <x:v>414</x:v>
      </x:c>
      <x:c r="AO358" s="88">
        <x:v>12</x:v>
      </x:c>
    </x:row>
    <x:row r="359">
      <x:c r="A359" s="88" t="s">
        <x:v>3058</x:v>
      </x:c>
      <x:c r="B359" s="88" t="s">
        <x:v>3059</x:v>
      </x:c>
      <x:c r="C359" s="88" t="s">
        <x:v>318</x:v>
      </x:c>
      <x:c r="D359" s="88" t="s">
        <x:v>248</x:v>
      </x:c>
      <x:c r="E359" s="88" t="s">
        <x:v>2209</x:v>
      </x:c>
      <x:c r="F359" s="89">
        <x:v>46245.320085902778</x:v>
      </x:c>
      <x:c r="G359" s="89">
        <x:v>46251.168267638888</x:v>
      </x:c>
      <x:c r="H359" s="89">
        <x:v>46245.320085902778</x:v>
      </x:c>
      <x:c r="I359" s="88" t="s">
        <x:v>3051</x:v>
      </x:c>
      <x:c r="J359" s="88" t="s">
        <x:v>3060</x:v>
      </x:c>
      <x:c r="K359" s="88" t="s">
        <x:v>380</x:v>
      </x:c>
      <x:c r="L359" s="88" t="s">
        <x:v>252</x:v>
      </x:c>
      <x:c r="M359" s="88" t="s">
        <x:v>3053</x:v>
      </x:c>
      <x:c r="N359" s="88"/>
      <x:c r="O359" s="88"/>
      <x:c r="P359" s="88" t="s">
        <x:v>3061</x:v>
      </x:c>
      <x:c r="Q359" s="88" t="s">
        <x:v>256</x:v>
      </x:c>
      <x:c r="R359" s="88" t="s">
        <x:v>283</x:v>
      </x:c>
      <x:c r="S359" s="88"/>
      <x:c r="T359" s="88" t="s">
        <x:v>259</x:v>
      </x:c>
      <x:c r="U359" s="88" t="s">
        <x:v>318</x:v>
      </x:c>
      <x:c r="V359" s="89">
        <x:v>46245.395613842593</x:v>
      </x:c>
      <x:c r="W359" s="88" t="s">
        <x:v>3062</x:v>
      </x:c>
      <x:c r="X359" s="88" t="s">
        <x:v>259</x:v>
      </x:c>
      <x:c r="Y359" s="88" t="s">
        <x:v>3055</x:v>
      </x:c>
      <x:c r="Z359" s="89">
        <x:v>46246.135183981482</x:v>
      </x:c>
      <x:c r="AA359" s="88" t="s">
        <x:v>3063</x:v>
      </x:c>
      <x:c r="AB359" s="88"/>
      <x:c r="AC359" s="88" t="s">
        <x:v>2214</x:v>
      </x:c>
      <x:c r="AD359" s="89"/>
      <x:c r="AE359" s="88"/>
      <x:c r="AF359" s="88"/>
      <x:c r="AG359" s="88" t="s">
        <x:v>173</x:v>
      </x:c>
      <x:c r="AH359" s="89"/>
      <x:c r="AI359" s="88"/>
      <x:c r="AJ359" s="88" t="s">
        <x:v>3056</x:v>
      </x:c>
      <x:c r="AK359" s="88" t="s">
        <x:v>3064</x:v>
      </x:c>
      <x:c r="AL359" s="88" t="s">
        <x:v>193</x:v>
      </x:c>
      <x:c r="AM359" s="88"/>
      <x:c r="AN359" s="88" t="s">
        <x:v>369</x:v>
      </x:c>
      <x:c r="AO359" s="88">
        <x:v>0</x:v>
      </x:c>
    </x:row>
    <x:row r="360">
      <x:c r="A360" s="88" t="s">
        <x:v>3065</x:v>
      </x:c>
      <x:c r="B360" s="88" t="s">
        <x:v>3066</x:v>
      </x:c>
      <x:c r="C360" s="88" t="s">
        <x:v>3067</x:v>
      </x:c>
      <x:c r="D360" s="88" t="s">
        <x:v>248</x:v>
      </x:c>
      <x:c r="E360" s="88" t="s">
        <x:v>372</x:v>
      </x:c>
      <x:c r="F360" s="89">
        <x:v>46245.321649490739</x:v>
      </x:c>
      <x:c r="G360" s="89">
        <x:v>46246.077217372687</x:v>
      </x:c>
      <x:c r="H360" s="89">
        <x:v>46246.075307013889</x:v>
      </x:c>
      <x:c r="I360" s="88" t="s">
        <x:v>3068</x:v>
      </x:c>
      <x:c r="J360" s="88" t="s">
        <x:v>3069</x:v>
      </x:c>
      <x:c r="K360" s="88" t="s">
        <x:v>380</x:v>
      </x:c>
      <x:c r="L360" s="88" t="s">
        <x:v>3070</x:v>
      </x:c>
      <x:c r="M360" s="88" t="s">
        <x:v>3071</x:v>
      </x:c>
      <x:c r="N360" s="88"/>
      <x:c r="O360" s="88"/>
      <x:c r="P360" s="88" t="s">
        <x:v>3072</x:v>
      </x:c>
      <x:c r="Q360" s="88" t="s">
        <x:v>256</x:v>
      </x:c>
      <x:c r="R360" s="88" t="s">
        <x:v>283</x:v>
      </x:c>
      <x:c r="S360" s="88"/>
      <x:c r="T360" s="88" t="s">
        <x:v>259</x:v>
      </x:c>
      <x:c r="U360" s="88" t="s">
        <x:v>3067</x:v>
      </x:c>
      <x:c r="V360" s="89">
        <x:v>46246.077217384256</x:v>
      </x:c>
      <x:c r="W360" s="88" t="s">
        <x:v>3072</x:v>
      </x:c>
      <x:c r="X360" s="88"/>
      <x:c r="Y360" s="88" t="s">
        <x:v>3071</x:v>
      </x:c>
      <x:c r="Z360" s="89"/>
      <x:c r="AA360" s="88"/>
      <x:c r="AB360" s="88"/>
      <x:c r="AC360" s="88" t="s">
        <x:v>2488</x:v>
      </x:c>
      <x:c r="AD360" s="89"/>
      <x:c r="AE360" s="88"/>
      <x:c r="AF360" s="88"/>
      <x:c r="AG360" s="88" t="s">
        <x:v>173</x:v>
      </x:c>
      <x:c r="AH360" s="89"/>
      <x:c r="AI360" s="88"/>
      <x:c r="AJ360" s="88" t="s">
        <x:v>3073</x:v>
      </x:c>
      <x:c r="AK360" s="88">
        <x:v>4126</x:v>
      </x:c>
      <x:c r="AL360" s="88"/>
      <x:c r="AM360" s="88"/>
      <x:c r="AN360" s="88" t="s">
        <x:v>369</x:v>
      </x:c>
      <x:c r="AO360" s="88">
        <x:v>0</x:v>
      </x:c>
    </x:row>
    <x:row r="361">
      <x:c r="A361" s="88" t="s">
        <x:v>3074</x:v>
      </x:c>
      <x:c r="B361" s="88" t="s">
        <x:v>3075</x:v>
      </x:c>
      <x:c r="C361" s="88" t="s">
        <x:v>318</x:v>
      </x:c>
      <x:c r="D361" s="88" t="s">
        <x:v>248</x:v>
      </x:c>
      <x:c r="E361" s="88" t="s">
        <x:v>372</x:v>
      </x:c>
      <x:c r="F361" s="89">
        <x:v>46245.354069791669</x:v>
      </x:c>
      <x:c r="G361" s="89">
        <x:v>46245.354069791669</x:v>
      </x:c>
      <x:c r="H361" s="89">
        <x:v>46245.354069791669</x:v>
      </x:c>
      <x:c r="I361" s="88" t="s">
        <x:v>3051</x:v>
      </x:c>
      <x:c r="J361" s="88" t="s">
        <x:v>3052</x:v>
      </x:c>
      <x:c r="K361" s="88" t="s">
        <x:v>380</x:v>
      </x:c>
      <x:c r="L361" s="88" t="s">
        <x:v>252</x:v>
      </x:c>
      <x:c r="M361" s="88" t="s">
        <x:v>3053</x:v>
      </x:c>
      <x:c r="N361" s="88"/>
      <x:c r="O361" s="88"/>
      <x:c r="P361" s="88" t="s">
        <x:v>3054</x:v>
      </x:c>
      <x:c r="Q361" s="88" t="s">
        <x:v>256</x:v>
      </x:c>
      <x:c r="R361" s="88" t="s">
        <x:v>283</x:v>
      </x:c>
      <x:c r="S361" s="88"/>
      <x:c r="T361" s="88" t="s">
        <x:v>372</x:v>
      </x:c>
      <x:c r="U361" s="88" t="s">
        <x:v>318</x:v>
      </x:c>
      <x:c r="V361" s="89"/>
      <x:c r="W361" s="88"/>
      <x:c r="X361" s="88"/>
      <x:c r="Y361" s="88" t="s">
        <x:v>3055</x:v>
      </x:c>
      <x:c r="Z361" s="89"/>
      <x:c r="AA361" s="88"/>
      <x:c r="AB361" s="88"/>
      <x:c r="AC361" s="88" t="s">
        <x:v>2488</x:v>
      </x:c>
      <x:c r="AD361" s="89"/>
      <x:c r="AE361" s="88"/>
      <x:c r="AF361" s="88"/>
      <x:c r="AG361" s="88" t="s">
        <x:v>173</x:v>
      </x:c>
      <x:c r="AH361" s="89"/>
      <x:c r="AI361" s="88"/>
      <x:c r="AJ361" s="88" t="s">
        <x:v>3056</x:v>
      </x:c>
      <x:c r="AK361" s="88" t="s">
        <x:v>3076</x:v>
      </x:c>
      <x:c r="AL361" s="88"/>
      <x:c r="AM361" s="88"/>
      <x:c r="AN361" s="88" t="s">
        <x:v>369</x:v>
      </x:c>
      <x:c r="AO361" s="88">
        <x:v>0</x:v>
      </x:c>
    </x:row>
    <x:row r="362">
      <x:c r="A362" s="88" t="s">
        <x:v>3077</x:v>
      </x:c>
      <x:c r="B362" s="88" t="s">
        <x:v>3078</x:v>
      </x:c>
      <x:c r="C362" s="88" t="s">
        <x:v>3079</x:v>
      </x:c>
      <x:c r="D362" s="88" t="s">
        <x:v>248</x:v>
      </x:c>
      <x:c r="E362" s="88" t="s">
        <x:v>372</x:v>
      </x:c>
      <x:c r="F362" s="89">
        <x:v>46245.485259548608</x:v>
      </x:c>
      <x:c r="G362" s="89">
        <x:v>46245.485259548608</x:v>
      </x:c>
      <x:c r="H362" s="89">
        <x:v>46245.485259548608</x:v>
      </x:c>
      <x:c r="I362" s="88" t="s">
        <x:v>2039</x:v>
      </x:c>
      <x:c r="J362" s="88" t="s">
        <x:v>3080</x:v>
      </x:c>
      <x:c r="K362" s="88" t="s">
        <x:v>266</x:v>
      </x:c>
      <x:c r="L362" s="88"/>
      <x:c r="M362" s="88" t="s">
        <x:v>917</x:v>
      </x:c>
      <x:c r="N362" s="88"/>
      <x:c r="O362" s="88"/>
      <x:c r="P362" s="88" t="s">
        <x:v>3081</x:v>
      </x:c>
      <x:c r="Q362" s="88" t="s">
        <x:v>323</x:v>
      </x:c>
      <x:c r="R362" s="88" t="s">
        <x:v>283</x:v>
      </x:c>
      <x:c r="S362" s="88"/>
      <x:c r="T362" s="88" t="s">
        <x:v>372</x:v>
      </x:c>
      <x:c r="U362" s="88" t="s">
        <x:v>3079</x:v>
      </x:c>
      <x:c r="V362" s="89"/>
      <x:c r="W362" s="88"/>
      <x:c r="X362" s="88"/>
      <x:c r="Y362" s="88" t="s">
        <x:v>917</x:v>
      </x:c>
      <x:c r="Z362" s="89"/>
      <x:c r="AA362" s="88"/>
      <x:c r="AB362" s="88"/>
      <x:c r="AC362" s="88" t="s">
        <x:v>2488</x:v>
      </x:c>
      <x:c r="AD362" s="89"/>
      <x:c r="AE362" s="88"/>
      <x:c r="AF362" s="88"/>
      <x:c r="AG362" s="88" t="s">
        <x:v>173</x:v>
      </x:c>
      <x:c r="AH362" s="89"/>
      <x:c r="AI362" s="88"/>
      <x:c r="AJ362" s="88" t="s">
        <x:v>2042</x:v>
      </x:c>
      <x:c r="AK362" s="88" t="s">
        <x:v>3082</x:v>
      </x:c>
      <x:c r="AL362" s="88"/>
      <x:c r="AM362" s="88"/>
      <x:c r="AN362" s="88" t="s">
        <x:v>369</x:v>
      </x:c>
      <x:c r="AO362" s="88">
        <x:v>0</x:v>
      </x:c>
    </x:row>
    <x:row r="363">
      <x:c r="A363" s="88" t="s">
        <x:v>3083</x:v>
      </x:c>
      <x:c r="B363" s="88" t="s">
        <x:v>3084</x:v>
      </x:c>
      <x:c r="C363" s="88" t="s">
        <x:v>3043</x:v>
      </x:c>
      <x:c r="D363" s="88" t="s">
        <x:v>248</x:v>
      </x:c>
      <x:c r="E363" s="88" t="s">
        <x:v>278</x:v>
      </x:c>
      <x:c r="F363" s="89">
        <x:v>46246.204025659725</x:v>
      </x:c>
      <x:c r="G363" s="89">
        <x:v>46246.204776574072</x:v>
      </x:c>
      <x:c r="H363" s="89">
        <x:v>46246.204025659725</x:v>
      </x:c>
      <x:c r="I363" s="88" t="s">
        <x:v>3044</x:v>
      </x:c>
      <x:c r="J363" s="88" t="s">
        <x:v>3045</x:v>
      </x:c>
      <x:c r="K363" s="88" t="s">
        <x:v>380</x:v>
      </x:c>
      <x:c r="L363" s="88" t="s">
        <x:v>252</x:v>
      </x:c>
      <x:c r="M363" s="88" t="s">
        <x:v>1070</x:v>
      </x:c>
      <x:c r="N363" s="88" t="s">
        <x:v>252</x:v>
      </x:c>
      <x:c r="O363" s="88" t="s">
        <x:v>252</x:v>
      </x:c>
      <x:c r="P363" s="88" t="s">
        <x:v>3085</x:v>
      </x:c>
      <x:c r="Q363" s="88" t="s">
        <x:v>269</x:v>
      </x:c>
      <x:c r="R363" s="88" t="s">
        <x:v>283</x:v>
      </x:c>
      <x:c r="S363" s="88"/>
      <x:c r="T363" s="88" t="s">
        <x:v>249</x:v>
      </x:c>
      <x:c r="U363" s="88" t="s">
        <x:v>3043</x:v>
      </x:c>
      <x:c r="V363" s="89">
        <x:v>46246.204776585648</x:v>
      </x:c>
      <x:c r="W363" s="88"/>
      <x:c r="X363" s="88"/>
      <x:c r="Y363" s="88" t="s">
        <x:v>1070</x:v>
      </x:c>
      <x:c r="Z363" s="89"/>
      <x:c r="AA363" s="88"/>
      <x:c r="AB363" s="88"/>
      <x:c r="AC363" s="88" t="s">
        <x:v>2488</x:v>
      </x:c>
      <x:c r="AD363" s="89"/>
      <x:c r="AE363" s="88"/>
      <x:c r="AF363" s="88"/>
      <x:c r="AG363" s="88" t="s">
        <x:v>173</x:v>
      </x:c>
      <x:c r="AH363" s="89"/>
      <x:c r="AI363" s="88"/>
      <x:c r="AJ363" s="88" t="s">
        <x:v>3047</x:v>
      </x:c>
      <x:c r="AK363" s="88" t="s">
        <x:v>3048</x:v>
      </x:c>
      <x:c r="AL363" s="88"/>
      <x:c r="AM363" s="88"/>
      <x:c r="AN363" s="88" t="s">
        <x:v>369</x:v>
      </x:c>
      <x:c r="AO363" s="88">
        <x:v>0</x:v>
      </x:c>
    </x:row>
    <x:row r="364">
      <x:c r="A364" s="88" t="s">
        <x:v>3086</x:v>
      </x:c>
      <x:c r="B364" s="88" t="s">
        <x:v>3087</x:v>
      </x:c>
      <x:c r="C364" s="88" t="s">
        <x:v>2681</x:v>
      </x:c>
      <x:c r="D364" s="88" t="s">
        <x:v>248</x:v>
      </x:c>
      <x:c r="E364" s="88" t="s">
        <x:v>2209</x:v>
      </x:c>
      <x:c r="F364" s="89">
        <x:v>46248.169692974538</x:v>
      </x:c>
      <x:c r="G364" s="89">
        <x:v>46251.168715254629</x:v>
      </x:c>
      <x:c r="H364" s="89">
        <x:v>46248.169692974538</x:v>
      </x:c>
      <x:c r="I364" s="88" t="s">
        <x:v>3088</x:v>
      </x:c>
      <x:c r="J364" s="88" t="s">
        <x:v>3089</x:v>
      </x:c>
      <x:c r="K364" s="88" t="s">
        <x:v>266</x:v>
      </x:c>
      <x:c r="L364" s="88"/>
      <x:c r="M364" s="88" t="s">
        <x:v>1164</x:v>
      </x:c>
      <x:c r="N364" s="88"/>
      <x:c r="O364" s="88"/>
      <x:c r="P364" s="88" t="s">
        <x:v>680</x:v>
      </x:c>
      <x:c r="Q364" s="88" t="s">
        <x:v>256</x:v>
      </x:c>
      <x:c r="R364" s="88" t="s">
        <x:v>363</x:v>
      </x:c>
      <x:c r="S364" s="88"/>
      <x:c r="T364" s="88" t="s">
        <x:v>259</x:v>
      </x:c>
      <x:c r="U364" s="88" t="s">
        <x:v>2681</x:v>
      </x:c>
      <x:c r="V364" s="89">
        <x:v>46248.172269826391</x:v>
      </x:c>
      <x:c r="W364" s="88" t="s">
        <x:v>2684</x:v>
      </x:c>
      <x:c r="X364" s="88" t="s">
        <x:v>259</x:v>
      </x:c>
      <x:c r="Y364" s="88" t="s">
        <x:v>482</x:v>
      </x:c>
      <x:c r="Z364" s="89">
        <x:v>46251.083009780094</x:v>
      </x:c>
      <x:c r="AA364" s="88" t="s">
        <x:v>680</x:v>
      </x:c>
      <x:c r="AB364" s="88"/>
      <x:c r="AC364" s="88" t="s">
        <x:v>2214</x:v>
      </x:c>
      <x:c r="AD364" s="89"/>
      <x:c r="AE364" s="88"/>
      <x:c r="AF364" s="88"/>
      <x:c r="AG364" s="88" t="s">
        <x:v>173</x:v>
      </x:c>
      <x:c r="AH364" s="89"/>
      <x:c r="AI364" s="88"/>
      <x:c r="AJ364" s="88" t="s">
        <x:v>3090</x:v>
      </x:c>
      <x:c r="AK364" s="88">
        <x:v>2332</x:v>
      </x:c>
      <x:c r="AL364" s="88" t="s">
        <x:v>193</x:v>
      </x:c>
      <x:c r="AM364" s="88"/>
      <x:c r="AN364" s="88" t="s">
        <x:v>369</x:v>
      </x:c>
      <x:c r="AO364" s="88">
        <x:v>0</x:v>
      </x:c>
    </x:row>
    <x:row r="365">
      <x:c r="A365" s="88" t="s">
        <x:v>3091</x:v>
      </x:c>
      <x:c r="B365" s="88" t="s">
        <x:v>3092</x:v>
      </x:c>
      <x:c r="C365" s="88" t="s">
        <x:v>3093</x:v>
      </x:c>
      <x:c r="D365" s="88" t="s">
        <x:v>248</x:v>
      </x:c>
      <x:c r="E365" s="88" t="s">
        <x:v>372</x:v>
      </x:c>
      <x:c r="F365" s="89">
        <x:v>46248.243215451388</x:v>
      </x:c>
      <x:c r="G365" s="89">
        <x:v>46248.247376412037</x:v>
      </x:c>
      <x:c r="H365" s="89">
        <x:v>46248.243215451388</x:v>
      </x:c>
      <x:c r="I365" s="88" t="s">
        <x:v>915</x:v>
      </x:c>
      <x:c r="J365" s="88" t="s">
        <x:v>3094</x:v>
      </x:c>
      <x:c r="K365" s="88" t="s">
        <x:v>266</x:v>
      </x:c>
      <x:c r="L365" s="88"/>
      <x:c r="M365" s="88" t="s">
        <x:v>917</x:v>
      </x:c>
      <x:c r="N365" s="88"/>
      <x:c r="O365" s="88"/>
      <x:c r="P365" s="88" t="s">
        <x:v>3095</x:v>
      </x:c>
      <x:c r="Q365" s="88" t="s">
        <x:v>323</x:v>
      </x:c>
      <x:c r="R365" s="88" t="s">
        <x:v>283</x:v>
      </x:c>
      <x:c r="S365" s="88"/>
      <x:c r="T365" s="88" t="s">
        <x:v>259</x:v>
      </x:c>
      <x:c r="U365" s="88" t="s">
        <x:v>3093</x:v>
      </x:c>
      <x:c r="V365" s="89">
        <x:v>46248.247376423613</x:v>
      </x:c>
      <x:c r="W365" s="88" t="s">
        <x:v>3096</x:v>
      </x:c>
      <x:c r="X365" s="88"/>
      <x:c r="Y365" s="88" t="s">
        <x:v>917</x:v>
      </x:c>
      <x:c r="Z365" s="89"/>
      <x:c r="AA365" s="88"/>
      <x:c r="AB365" s="88"/>
      <x:c r="AC365" s="88" t="s">
        <x:v>2488</x:v>
      </x:c>
      <x:c r="AD365" s="89"/>
      <x:c r="AE365" s="88"/>
      <x:c r="AF365" s="88"/>
      <x:c r="AG365" s="88" t="s">
        <x:v>173</x:v>
      </x:c>
      <x:c r="AH365" s="89"/>
      <x:c r="AI365" s="88"/>
      <x:c r="AJ365" s="88" t="s">
        <x:v>923</x:v>
      </x:c>
      <x:c r="AK365" s="88" t="s">
        <x:v>3097</x:v>
      </x:c>
      <x:c r="AL365" s="88"/>
      <x:c r="AM365" s="88"/>
      <x:c r="AN365" s="88" t="s">
        <x:v>369</x:v>
      </x:c>
      <x:c r="AO365" s="88">
        <x:v>0</x:v>
      </x:c>
    </x:row>
    <x:row r="366">
      <x:c r="A366" s="88" t="s">
        <x:v>3098</x:v>
      </x:c>
      <x:c r="B366" s="88" t="s">
        <x:v>3099</x:v>
      </x:c>
      <x:c r="C366" s="88" t="s">
        <x:v>3093</x:v>
      </x:c>
      <x:c r="D366" s="88" t="s">
        <x:v>248</x:v>
      </x:c>
      <x:c r="E366" s="88" t="s">
        <x:v>372</x:v>
      </x:c>
      <x:c r="F366" s="89">
        <x:v>46248.250335150464</x:v>
      </x:c>
      <x:c r="G366" s="89">
        <x:v>46248.251632407409</x:v>
      </x:c>
      <x:c r="H366" s="89">
        <x:v>46248.250335150464</x:v>
      </x:c>
      <x:c r="I366" s="88" t="s">
        <x:v>2039</x:v>
      </x:c>
      <x:c r="J366" s="88" t="s">
        <x:v>3080</x:v>
      </x:c>
      <x:c r="K366" s="88" t="s">
        <x:v>266</x:v>
      </x:c>
      <x:c r="L366" s="88"/>
      <x:c r="M366" s="88" t="s">
        <x:v>917</x:v>
      </x:c>
      <x:c r="N366" s="88"/>
      <x:c r="O366" s="88"/>
      <x:c r="P366" s="88" t="s">
        <x:v>3100</x:v>
      </x:c>
      <x:c r="Q366" s="88" t="s">
        <x:v>323</x:v>
      </x:c>
      <x:c r="R366" s="88" t="s">
        <x:v>283</x:v>
      </x:c>
      <x:c r="S366" s="88"/>
      <x:c r="T366" s="88" t="s">
        <x:v>259</x:v>
      </x:c>
      <x:c r="U366" s="88" t="s">
        <x:v>3093</x:v>
      </x:c>
      <x:c r="V366" s="89">
        <x:v>46248.251632418978</x:v>
      </x:c>
      <x:c r="W366" s="88" t="s">
        <x:v>3101</x:v>
      </x:c>
      <x:c r="X366" s="88"/>
      <x:c r="Y366" s="88" t="s">
        <x:v>917</x:v>
      </x:c>
      <x:c r="Z366" s="89"/>
      <x:c r="AA366" s="88"/>
      <x:c r="AB366" s="88"/>
      <x:c r="AC366" s="88" t="s">
        <x:v>2488</x:v>
      </x:c>
      <x:c r="AD366" s="89"/>
      <x:c r="AE366" s="88"/>
      <x:c r="AF366" s="88"/>
      <x:c r="AG366" s="88" t="s">
        <x:v>173</x:v>
      </x:c>
      <x:c r="AH366" s="89"/>
      <x:c r="AI366" s="88"/>
      <x:c r="AJ366" s="88" t="s">
        <x:v>2042</x:v>
      </x:c>
      <x:c r="AK366" s="88" t="s">
        <x:v>3082</x:v>
      </x:c>
      <x:c r="AL366" s="88"/>
      <x:c r="AM366" s="88"/>
      <x:c r="AN366" s="88" t="s">
        <x:v>369</x:v>
      </x:c>
      <x:c r="AO366" s="88">
        <x:v>0</x:v>
      </x:c>
    </x:row>
    <x:row r="367">
      <x:c r="A367" s="88" t="s">
        <x:v>3102</x:v>
      </x:c>
      <x:c r="B367" s="88" t="s">
        <x:v>3103</x:v>
      </x:c>
      <x:c r="C367" s="88" t="s">
        <x:v>3104</x:v>
      </x:c>
      <x:c r="D367" s="88" t="s">
        <x:v>248</x:v>
      </x:c>
      <x:c r="E367" s="88" t="s">
        <x:v>2209</x:v>
      </x:c>
      <x:c r="F367" s="89">
        <x:v>46251.283950300924</x:v>
      </x:c>
      <x:c r="G367" s="89">
        <x:v>46251.315905000003</x:v>
      </x:c>
      <x:c r="H367" s="89">
        <x:v>46251.283950300924</x:v>
      </x:c>
      <x:c r="I367" s="88" t="s">
        <x:v>3105</x:v>
      </x:c>
      <x:c r="J367" s="88" t="s">
        <x:v>3106</x:v>
      </x:c>
      <x:c r="K367" s="88" t="s">
        <x:v>380</x:v>
      </x:c>
      <x:c r="L367" s="88" t="s">
        <x:v>3107</x:v>
      </x:c>
      <x:c r="M367" s="88" t="s">
        <x:v>3108</x:v>
      </x:c>
      <x:c r="N367" s="88" t="s">
        <x:v>3109</x:v>
      </x:c>
      <x:c r="O367" s="88"/>
      <x:c r="P367" s="88" t="s">
        <x:v>3110</x:v>
      </x:c>
      <x:c r="Q367" s="88" t="s">
        <x:v>323</x:v>
      </x:c>
      <x:c r="R367" s="88" t="s">
        <x:v>283</x:v>
      </x:c>
      <x:c r="S367" s="88"/>
      <x:c r="T367" s="88" t="s">
        <x:v>259</x:v>
      </x:c>
      <x:c r="U367" s="88" t="s">
        <x:v>3111</x:v>
      </x:c>
      <x:c r="V367" s="89">
        <x:v>46251.284595462967</x:v>
      </x:c>
      <x:c r="W367" s="88" t="s">
        <x:v>571</x:v>
      </x:c>
      <x:c r="X367" s="88" t="s">
        <x:v>259</x:v>
      </x:c>
      <x:c r="Y367" s="88" t="s">
        <x:v>3112</x:v>
      </x:c>
      <x:c r="Z367" s="89">
        <x:v>46251.315905000003</x:v>
      </x:c>
      <x:c r="AA367" s="88" t="s">
        <x:v>3113</x:v>
      </x:c>
      <x:c r="AB367" s="88"/>
      <x:c r="AC367" s="88" t="s">
        <x:v>2488</x:v>
      </x:c>
      <x:c r="AD367" s="89"/>
      <x:c r="AE367" s="88"/>
      <x:c r="AF367" s="88"/>
      <x:c r="AG367" s="88" t="s">
        <x:v>173</x:v>
      </x:c>
      <x:c r="AH367" s="89"/>
      <x:c r="AI367" s="88"/>
      <x:c r="AJ367" s="88" t="s">
        <x:v>3114</x:v>
      </x:c>
      <x:c r="AK367" s="88" t="s">
        <x:v>3115</x:v>
      </x:c>
      <x:c r="AL367" s="88"/>
      <x:c r="AM367" s="88"/>
      <x:c r="AN367" s="88" t="s">
        <x:v>391</x:v>
      </x:c>
      <x:c r="AO367" s="88">
        <x:v>0</x:v>
      </x:c>
    </x:row>
    <x:row r="368">
      <x:c r="A368" s="88" t="s">
        <x:v>3116</x:v>
      </x:c>
      <x:c r="B368" s="88" t="s">
        <x:v>3117</x:v>
      </x:c>
      <x:c r="C368" s="88" t="s">
        <x:v>2681</x:v>
      </x:c>
      <x:c r="D368" s="88" t="s">
        <x:v>248</x:v>
      </x:c>
      <x:c r="E368" s="88" t="s">
        <x:v>372</x:v>
      </x:c>
      <x:c r="F368" s="89">
        <x:v>46251.295693506945</x:v>
      </x:c>
      <x:c r="G368" s="89">
        <x:v>46251.296332048609</x:v>
      </x:c>
      <x:c r="H368" s="89">
        <x:v>46251.295693506945</x:v>
      </x:c>
      <x:c r="I368" s="88" t="s">
        <x:v>2864</x:v>
      </x:c>
      <x:c r="J368" s="88" t="s">
        <x:v>3118</x:v>
      </x:c>
      <x:c r="K368" s="88" t="s">
        <x:v>266</x:v>
      </x:c>
      <x:c r="L368" s="88"/>
      <x:c r="M368" s="88" t="s">
        <x:v>1164</x:v>
      </x:c>
      <x:c r="N368" s="88"/>
      <x:c r="O368" s="88"/>
      <x:c r="P368" s="88" t="s">
        <x:v>680</x:v>
      </x:c>
      <x:c r="Q368" s="88" t="s">
        <x:v>256</x:v>
      </x:c>
      <x:c r="R368" s="88" t="s">
        <x:v>363</x:v>
      </x:c>
      <x:c r="S368" s="88"/>
      <x:c r="T368" s="88" t="s">
        <x:v>259</x:v>
      </x:c>
      <x:c r="U368" s="88" t="s">
        <x:v>2681</x:v>
      </x:c>
      <x:c r="V368" s="89">
        <x:v>46251.296332060185</x:v>
      </x:c>
      <x:c r="W368" s="88" t="s">
        <x:v>2684</x:v>
      </x:c>
      <x:c r="X368" s="88"/>
      <x:c r="Y368" s="88" t="s">
        <x:v>482</x:v>
      </x:c>
      <x:c r="Z368" s="89"/>
      <x:c r="AA368" s="88"/>
      <x:c r="AB368" s="88"/>
      <x:c r="AC368" s="88" t="s">
        <x:v>2488</x:v>
      </x:c>
      <x:c r="AD368" s="89"/>
      <x:c r="AE368" s="88"/>
      <x:c r="AF368" s="88"/>
      <x:c r="AG368" s="88" t="s">
        <x:v>173</x:v>
      </x:c>
      <x:c r="AH368" s="89"/>
      <x:c r="AI368" s="88"/>
      <x:c r="AJ368" s="88" t="s">
        <x:v>2867</x:v>
      </x:c>
      <x:c r="AK368" s="88">
        <x:v>2356</x:v>
      </x:c>
      <x:c r="AL368" s="88"/>
      <x:c r="AM368" s="88"/>
      <x:c r="AN368" s="88" t="s">
        <x:v>369</x:v>
      </x:c>
      <x:c r="AO368" s="88">
        <x:v>0</x:v>
      </x:c>
    </x:row>
    <x:row r="369">
      <x:c r="A369" s="88" t="s">
        <x:v>3119</x:v>
      </x:c>
      <x:c r="B369" s="88" t="s">
        <x:v>3120</x:v>
      </x:c>
      <x:c r="C369" s="88" t="s">
        <x:v>2681</x:v>
      </x:c>
      <x:c r="D369" s="88" t="s">
        <x:v>248</x:v>
      </x:c>
      <x:c r="E369" s="88" t="s">
        <x:v>372</x:v>
      </x:c>
      <x:c r="F369" s="89">
        <x:v>46251.298396284721</x:v>
      </x:c>
      <x:c r="G369" s="89">
        <x:v>46251.298804895836</x:v>
      </x:c>
      <x:c r="H369" s="89">
        <x:v>46251.298396284721</x:v>
      </x:c>
      <x:c r="I369" s="88" t="s">
        <x:v>3121</x:v>
      </x:c>
      <x:c r="J369" s="88" t="s">
        <x:v>3122</x:v>
      </x:c>
      <x:c r="K369" s="88" t="s">
        <x:v>266</x:v>
      </x:c>
      <x:c r="L369" s="88"/>
      <x:c r="M369" s="88" t="s">
        <x:v>1164</x:v>
      </x:c>
      <x:c r="N369" s="88"/>
      <x:c r="O369" s="88"/>
      <x:c r="P369" s="88" t="s">
        <x:v>680</x:v>
      </x:c>
      <x:c r="Q369" s="88" t="s">
        <x:v>256</x:v>
      </x:c>
      <x:c r="R369" s="88" t="s">
        <x:v>363</x:v>
      </x:c>
      <x:c r="S369" s="88"/>
      <x:c r="T369" s="88" t="s">
        <x:v>259</x:v>
      </x:c>
      <x:c r="U369" s="88" t="s">
        <x:v>2681</x:v>
      </x:c>
      <x:c r="V369" s="89">
        <x:v>46251.298804907405</x:v>
      </x:c>
      <x:c r="W369" s="88" t="s">
        <x:v>2684</x:v>
      </x:c>
      <x:c r="X369" s="88"/>
      <x:c r="Y369" s="88" t="s">
        <x:v>482</x:v>
      </x:c>
      <x:c r="Z369" s="89"/>
      <x:c r="AA369" s="88"/>
      <x:c r="AB369" s="88"/>
      <x:c r="AC369" s="88" t="s">
        <x:v>2488</x:v>
      </x:c>
      <x:c r="AD369" s="89"/>
      <x:c r="AE369" s="88"/>
      <x:c r="AF369" s="88"/>
      <x:c r="AG369" s="88" t="s">
        <x:v>173</x:v>
      </x:c>
      <x:c r="AH369" s="89"/>
      <x:c r="AI369" s="88"/>
      <x:c r="AJ369" s="88" t="s">
        <x:v>3123</x:v>
      </x:c>
      <x:c r="AK369" s="88">
        <x:v>4469</x:v>
      </x:c>
      <x:c r="AL369" s="88"/>
      <x:c r="AM369" s="88"/>
      <x:c r="AN369" s="88" t="s">
        <x:v>369</x:v>
      </x:c>
      <x:c r="AO369" s="88">
        <x:v>0</x:v>
      </x:c>
    </x:row>
  </x:sheetData>
  <x:pageMargins left="0.7" right="0.7" top="0.75" bottom="0.75" header="0.3" footer="0.3"/>
  <x:legacyDrawing xmlns:r="http://schemas.openxmlformats.org/officeDocument/2006/relationships" r:id="R653f4f6b1ac94a79"/>
  <x:tableParts count="1">
    <x:tablePart xmlns:r="http://schemas.openxmlformats.org/officeDocument/2006/relationships" r:id="R74be57d7dbe74e2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style="2" customWidth="1"/>
    <x:col min="2" max="2" width="17" style="2" customWidth="1"/>
    <x:col min="3" max="3" width="34" style="2" customWidth="1"/>
    <x:col min="4" max="4" width="15" style="2" customWidth="1"/>
    <x:col min="5" max="5" width="17" style="2" customWidth="1"/>
    <x:col min="6" max="8" width="20" style="2" customWidth="1"/>
    <x:col min="9" max="9" width="34" style="2" customWidth="1"/>
    <x:col min="10" max="10" width="19" style="2" customWidth="1"/>
    <x:col min="11" max="11" width="15" style="2" customWidth="1"/>
    <x:col min="12" max="12" width="40" style="2" customWidth="1"/>
    <x:col min="13" max="13" width="34" style="2" customWidth="1"/>
    <x:col min="14" max="14" width="17" style="2" customWidth="1"/>
    <x:col min="15" max="15" width="19" style="2" customWidth="1"/>
    <x:col min="16" max="16" width="14" style="2" customWidth="1"/>
    <x:col min="17" max="17" width="40" style="2" customWidth="1"/>
    <x:col min="18" max="18" width="15" style="2" customWidth="1"/>
    <x:col min="19" max="20" width="13" style="2" customWidth="1"/>
    <x:col min="21" max="21" width="40" style="2" customWidth="1"/>
    <x:col min="22" max="22" width="20" style="2" customWidth="1"/>
    <x:col min="23" max="23" width="34" style="2" customWidth="1"/>
    <x:col min="24" max="24" width="16" style="2" customWidth="1"/>
    <x:col min="25" max="25" width="40" style="2" customWidth="1"/>
    <x:col min="26" max="26" width="20" style="2" customWidth="1"/>
    <x:col min="27" max="27" width="34" style="2" customWidth="1"/>
    <x:col min="28" max="28" width="16" style="2" customWidth="1"/>
    <x:col min="29" max="29" width="40" style="2" customWidth="1"/>
    <x:col min="30" max="30" width="20" style="2" customWidth="1"/>
    <x:col min="31" max="31" width="34" style="2" customWidth="1"/>
    <x:col min="32" max="32" width="16" style="2" customWidth="1"/>
    <x:col min="33" max="33" width="40" style="2" customWidth="1"/>
    <x:col min="34" max="34" width="20" style="2" customWidth="1"/>
    <x:col min="35" max="35" width="34" style="2" customWidth="1"/>
    <x:col min="36" max="36" width="16" style="2" customWidth="1"/>
    <x:col min="37" max="37" width="13" style="2" customWidth="1"/>
    <x:col min="38" max="38" width="34" style="2" customWidth="1"/>
    <x:col min="39" max="16384" width="9" style="2" customWidth="0"/>
  </x:cols>
  <x:sheetData>
    <x:row r="1" ht="32.099998474121094" customHeight="1">
      <x:c r="A1" s="4" t="s">
        <x:v>204</x:v>
      </x:c>
      <x:c r="B1" s="5" t="s">
        <x:v>205</x:v>
      </x:c>
      <x:c r="C1" s="5" t="s">
        <x:v>206</x:v>
      </x:c>
      <x:c r="D1" s="5" t="s">
        <x:v>207</x:v>
      </x:c>
      <x:c r="E1" s="5" t="s">
        <x:v>208</x:v>
      </x:c>
      <x:c r="F1" s="5" t="s">
        <x:v>209</x:v>
      </x:c>
      <x:c r="G1" s="5" t="s">
        <x:v>211</x:v>
      </x:c>
      <x:c r="H1" s="5" t="s">
        <x:v>210</x:v>
      </x:c>
      <x:c r="I1" s="5" t="s">
        <x:v>239</x:v>
      </x:c>
      <x:c r="J1" s="5" t="s">
        <x:v>212</x:v>
      </x:c>
      <x:c r="K1" s="5" t="s">
        <x:v>240</x:v>
      </x:c>
      <x:c r="L1" s="5" t="s">
        <x:v>213</x:v>
      </x:c>
      <x:c r="M1" s="5" t="s">
        <x:v>216</x:v>
      </x:c>
      <x:c r="N1" s="5" t="s">
        <x:v>3124</x:v>
      </x:c>
      <x:c r="O1" s="5" t="s">
        <x:v>3125</x:v>
      </x:c>
      <x:c r="P1" s="5" t="s">
        <x:v>3126</x:v>
      </x:c>
      <x:c r="Q1" s="5" t="s">
        <x:v>3127</x:v>
      </x:c>
      <x:c r="R1" s="5" t="s">
        <x:v>241</x:v>
      </x:c>
      <x:c r="S1" s="5" t="s">
        <x:v>3128</x:v>
      </x:c>
      <x:c r="T1" s="5" t="s">
        <x:v>222</x:v>
      </x:c>
      <x:c r="U1" s="5" t="s">
        <x:v>226</x:v>
      </x:c>
      <x:c r="V1" s="5" t="s">
        <x:v>225</x:v>
      </x:c>
      <x:c r="W1" s="5" t="s">
        <x:v>224</x:v>
      </x:c>
      <x:c r="X1" s="5" t="s">
        <x:v>223</x:v>
      </x:c>
      <x:c r="Y1" s="5" t="s">
        <x:v>230</x:v>
      </x:c>
      <x:c r="Z1" s="5" t="s">
        <x:v>229</x:v>
      </x:c>
      <x:c r="AA1" s="5" t="s">
        <x:v>228</x:v>
      </x:c>
      <x:c r="AB1" s="5" t="s">
        <x:v>227</x:v>
      </x:c>
      <x:c r="AC1" s="5" t="s">
        <x:v>234</x:v>
      </x:c>
      <x:c r="AD1" s="5" t="s">
        <x:v>233</x:v>
      </x:c>
      <x:c r="AE1" s="5" t="s">
        <x:v>232</x:v>
      </x:c>
      <x:c r="AF1" s="5" t="s">
        <x:v>231</x:v>
      </x:c>
      <x:c r="AG1" s="5" t="s">
        <x:v>238</x:v>
      </x:c>
      <x:c r="AH1" s="5" t="s">
        <x:v>237</x:v>
      </x:c>
      <x:c r="AI1" s="5" t="s">
        <x:v>236</x:v>
      </x:c>
      <x:c r="AJ1" s="5" t="s">
        <x:v>235</x:v>
      </x:c>
      <x:c r="AK1" s="5" t="s">
        <x:v>242</x:v>
      </x:c>
      <x:c r="AL1" s="6" t="s">
        <x:v>3129</x:v>
      </x:c>
    </x:row>
    <x:row r="2">
      <x:c r="A2" s="88" t="s">
        <x:v>3130</x:v>
      </x:c>
      <x:c r="B2" s="88" t="s">
        <x:v>3131</x:v>
      </x:c>
      <x:c r="C2" s="88" t="s">
        <x:v>3132</x:v>
      </x:c>
      <x:c r="D2" s="88" t="s">
        <x:v>3133</x:v>
      </x:c>
      <x:c r="E2" s="88" t="s">
        <x:v>342</x:v>
      </x:c>
      <x:c r="F2" s="89" t="s">
        <x:v>3134</x:v>
      </x:c>
      <x:c r="G2" s="89" t="s">
        <x:v>3135</x:v>
      </x:c>
      <x:c r="H2" s="89">
        <x:v>46083.32523962963</x:v>
      </x:c>
      <x:c r="I2" s="88" t="s">
        <x:v>2954</x:v>
      </x:c>
      <x:c r="J2" s="88" t="s">
        <x:v>2949</x:v>
      </x:c>
      <x:c r="K2" s="88" t="s">
        <x:v>2955</x:v>
      </x:c>
      <x:c r="L2" s="88" t="s">
        <x:v>2950</x:v>
      </x:c>
      <x:c r="M2" s="88" t="s">
        <x:v>3132</x:v>
      </x:c>
      <x:c r="N2" s="88" t="s">
        <x:v>3136</x:v>
      </x:c>
      <x:c r="O2" s="88" t="s">
        <x:v>3137</x:v>
      </x:c>
      <x:c r="P2" s="88" t="s">
        <x:v>3138</x:v>
      </x:c>
      <x:c r="Q2" s="88" t="s">
        <x:v>3139</x:v>
      </x:c>
      <x:c r="R2" s="88" t="s">
        <x:v>174</x:v>
      </x:c>
      <x:c r="S2" s="88"/>
      <x:c r="T2" s="88" t="s">
        <x:v>258</x:v>
      </x:c>
      <x:c r="U2" s="88" t="s">
        <x:v>3131</x:v>
      </x:c>
      <x:c r="V2" s="89" t="s">
        <x:v>3135</x:v>
      </x:c>
      <x:c r="W2" s="88" t="s">
        <x:v>3132</x:v>
      </x:c>
      <x:c r="X2" s="88" t="s">
        <x:v>259</x:v>
      </x:c>
      <x:c r="Y2" s="88" t="s">
        <x:v>3140</x:v>
      </x:c>
      <x:c r="Z2" s="89" t="s">
        <x:v>3141</x:v>
      </x:c>
      <x:c r="AA2" s="88" t="s">
        <x:v>3142</x:v>
      </x:c>
      <x:c r="AB2" s="88" t="s">
        <x:v>259</x:v>
      </x:c>
      <x:c r="AC2" s="88" t="s">
        <x:v>3140</x:v>
      </x:c>
      <x:c r="AD2" s="89" t="s">
        <x:v>3141</x:v>
      </x:c>
      <x:c r="AE2" s="88" t="s">
        <x:v>3142</x:v>
      </x:c>
      <x:c r="AF2" s="88" t="s">
        <x:v>259</x:v>
      </x:c>
      <x:c r="AG2" s="88" t="s">
        <x:v>342</x:v>
      </x:c>
      <x:c r="AH2" s="89">
        <x:v>46083.325239641206</x:v>
      </x:c>
      <x:c r="AI2" s="88" t="s">
        <x:v>3143</x:v>
      </x:c>
      <x:c r="AJ2" s="88" t="s">
        <x:v>259</x:v>
      </x:c>
      <x:c r="AK2" s="88"/>
      <x:c r="AL2" s="88"/>
    </x:row>
    <x:row r="3">
      <x:c r="A3" s="88" t="s">
        <x:v>3144</x:v>
      </x:c>
      <x:c r="B3" s="88" t="s">
        <x:v>3145</x:v>
      </x:c>
      <x:c r="C3" s="88" t="s">
        <x:v>3003</x:v>
      </x:c>
      <x:c r="D3" s="88" t="s">
        <x:v>3133</x:v>
      </x:c>
      <x:c r="E3" s="88" t="s">
        <x:v>342</x:v>
      </x:c>
      <x:c r="F3" s="89" t="s">
        <x:v>3146</x:v>
      </x:c>
      <x:c r="G3" s="89" t="s">
        <x:v>3147</x:v>
      </x:c>
      <x:c r="H3" s="89">
        <x:v>46083.327214675926</x:v>
      </x:c>
      <x:c r="I3" s="88" t="s">
        <x:v>3148</x:v>
      </x:c>
      <x:c r="J3" s="88" t="s">
        <x:v>3149</x:v>
      </x:c>
      <x:c r="K3" s="88">
        <x:v>2204</x:v>
      </x:c>
      <x:c r="L3" s="88" t="s">
        <x:v>3150</x:v>
      </x:c>
      <x:c r="M3" s="88" t="s">
        <x:v>3003</x:v>
      </x:c>
      <x:c r="N3" s="88" t="s">
        <x:v>3151</x:v>
      </x:c>
      <x:c r="O3" s="88" t="s">
        <x:v>1087</x:v>
      </x:c>
      <x:c r="P3" s="88" t="s">
        <x:v>3152</x:v>
      </x:c>
      <x:c r="Q3" s="88" t="s">
        <x:v>3153</x:v>
      </x:c>
      <x:c r="R3" s="88"/>
      <x:c r="S3" s="88"/>
      <x:c r="T3" s="88" t="s">
        <x:v>258</x:v>
      </x:c>
      <x:c r="U3" s="88" t="s">
        <x:v>3145</x:v>
      </x:c>
      <x:c r="V3" s="89" t="s">
        <x:v>3147</x:v>
      </x:c>
      <x:c r="W3" s="88" t="s">
        <x:v>3003</x:v>
      </x:c>
      <x:c r="X3" s="88" t="s">
        <x:v>259</x:v>
      </x:c>
      <x:c r="Y3" s="88" t="s">
        <x:v>3154</x:v>
      </x:c>
      <x:c r="Z3" s="89" t="s">
        <x:v>3147</x:v>
      </x:c>
      <x:c r="AA3" s="88" t="s">
        <x:v>3142</x:v>
      </x:c>
      <x:c r="AB3" s="88" t="s">
        <x:v>259</x:v>
      </x:c>
      <x:c r="AC3" s="88" t="s">
        <x:v>3154</x:v>
      </x:c>
      <x:c r="AD3" s="89" t="s">
        <x:v>3147</x:v>
      </x:c>
      <x:c r="AE3" s="88" t="s">
        <x:v>3142</x:v>
      </x:c>
      <x:c r="AF3" s="88" t="s">
        <x:v>259</x:v>
      </x:c>
      <x:c r="AG3" s="88" t="s">
        <x:v>342</x:v>
      </x:c>
      <x:c r="AH3" s="89">
        <x:v>46083.327214675926</x:v>
      </x:c>
      <x:c r="AI3" s="88" t="s">
        <x:v>3143</x:v>
      </x:c>
      <x:c r="AJ3" s="88" t="s">
        <x:v>259</x:v>
      </x:c>
      <x:c r="AK3" s="88"/>
      <x:c r="AL3" s="88"/>
    </x:row>
    <x:row r="4">
      <x:c r="A4" s="88" t="s">
        <x:v>3155</x:v>
      </x:c>
      <x:c r="B4" s="88" t="s">
        <x:v>3156</x:v>
      </x:c>
      <x:c r="C4" s="88" t="s">
        <x:v>1108</x:v>
      </x:c>
      <x:c r="D4" s="88" t="s">
        <x:v>3133</x:v>
      </x:c>
      <x:c r="E4" s="88" t="s">
        <x:v>342</x:v>
      </x:c>
      <x:c r="F4" s="89">
        <x:v>45818.302789444446</x:v>
      </x:c>
      <x:c r="G4" s="89">
        <x:v>45818.302789444446</x:v>
      </x:c>
      <x:c r="H4" s="89">
        <x:v>46042.331727939818</x:v>
      </x:c>
      <x:c r="I4" s="88" t="s">
        <x:v>1113</x:v>
      </x:c>
      <x:c r="J4" s="88" t="s">
        <x:v>3157</x:v>
      </x:c>
      <x:c r="K4" s="88">
        <x:v>789</x:v>
      </x:c>
      <x:c r="L4" s="88" t="s">
        <x:v>1110</x:v>
      </x:c>
      <x:c r="M4" s="88" t="s">
        <x:v>3158</x:v>
      </x:c>
      <x:c r="N4" s="88" t="s">
        <x:v>3159</x:v>
      </x:c>
      <x:c r="O4" s="88" t="s">
        <x:v>3137</x:v>
      </x:c>
      <x:c r="P4" s="88" t="s">
        <x:v>3138</x:v>
      </x:c>
      <x:c r="Q4" s="88" t="s">
        <x:v>3160</x:v>
      </x:c>
      <x:c r="R4" s="88" t="s">
        <x:v>162</x:v>
      </x:c>
      <x:c r="S4" s="88"/>
      <x:c r="T4" s="88"/>
      <x:c r="U4" s="88" t="s">
        <x:v>3161</x:v>
      </x:c>
      <x:c r="V4" s="89">
        <x:v>45819.09947346065</x:v>
      </x:c>
      <x:c r="W4" s="88" t="s">
        <x:v>3162</x:v>
      </x:c>
      <x:c r="X4" s="88" t="s">
        <x:v>259</x:v>
      </x:c>
      <x:c r="Y4" s="88" t="s">
        <x:v>3163</x:v>
      </x:c>
      <x:c r="Z4" s="89">
        <x:v>45820.218626087961</x:v>
      </x:c>
      <x:c r="AA4" s="88" t="s">
        <x:v>2518</x:v>
      </x:c>
      <x:c r="AB4" s="88" t="s">
        <x:v>259</x:v>
      </x:c>
      <x:c r="AC4" s="88" t="s">
        <x:v>259</x:v>
      </x:c>
      <x:c r="AD4" s="89">
        <x:v>45824.062667418984</x:v>
      </x:c>
      <x:c r="AE4" s="88" t="s">
        <x:v>3142</x:v>
      </x:c>
      <x:c r="AF4" s="88" t="s">
        <x:v>259</x:v>
      </x:c>
      <x:c r="AG4" s="88" t="s">
        <x:v>3164</x:v>
      </x:c>
      <x:c r="AH4" s="89">
        <x:v>46042.331727951387</x:v>
      </x:c>
      <x:c r="AI4" s="88" t="s">
        <x:v>3165</x:v>
      </x:c>
      <x:c r="AJ4" s="88" t="s">
        <x:v>259</x:v>
      </x:c>
      <x:c r="AK4" s="88"/>
      <x:c r="AL4" s="88"/>
    </x:row>
    <x:row r="5">
      <x:c r="A5" s="88" t="s">
        <x:v>3166</x:v>
      </x:c>
      <x:c r="B5" s="88" t="s">
        <x:v>3167</x:v>
      </x:c>
      <x:c r="C5" s="88" t="s">
        <x:v>358</x:v>
      </x:c>
      <x:c r="D5" s="88" t="s">
        <x:v>3133</x:v>
      </x:c>
      <x:c r="E5" s="88" t="s">
        <x:v>249</x:v>
      </x:c>
      <x:c r="F5" s="89">
        <x:v>45946.394583287038</x:v>
      </x:c>
      <x:c r="G5" s="89">
        <x:v>45954.163437418982</x:v>
      </x:c>
      <x:c r="H5" s="89">
        <x:v>46057.865488611111</x:v>
      </x:c>
      <x:c r="I5" s="88" t="s">
        <x:v>3168</x:v>
      </x:c>
      <x:c r="J5" s="88" t="s">
        <x:v>3169</x:v>
      </x:c>
      <x:c r="K5" s="88" t="s">
        <x:v>3170</x:v>
      </x:c>
      <x:c r="L5" s="88" t="s">
        <x:v>3171</x:v>
      </x:c>
      <x:c r="M5" s="88" t="s">
        <x:v>361</x:v>
      </x:c>
      <x:c r="N5" s="88" t="s">
        <x:v>3172</x:v>
      </x:c>
      <x:c r="O5" s="88" t="s">
        <x:v>3137</x:v>
      </x:c>
      <x:c r="P5" s="88" t="s">
        <x:v>3173</x:v>
      </x:c>
      <x:c r="Q5" s="88" t="s">
        <x:v>3174</x:v>
      </x:c>
      <x:c r="R5" s="88"/>
      <x:c r="S5" s="88"/>
      <x:c r="T5" s="88"/>
      <x:c r="U5" s="88" t="s">
        <x:v>738</x:v>
      </x:c>
      <x:c r="V5" s="89">
        <x:v>46007.285213148149</x:v>
      </x:c>
      <x:c r="W5" s="88" t="s">
        <x:v>365</x:v>
      </x:c>
      <x:c r="X5" s="88" t="s">
        <x:v>259</x:v>
      </x:c>
      <x:c r="Y5" s="88" t="s">
        <x:v>2021</x:v>
      </x:c>
      <x:c r="Z5" s="89">
        <x:v>46009.125369236113</x:v>
      </x:c>
      <x:c r="AA5" s="88" t="s">
        <x:v>2518</x:v>
      </x:c>
      <x:c r="AB5" s="88" t="s">
        <x:v>259</x:v>
      </x:c>
      <x:c r="AC5" s="88" t="s">
        <x:v>3175</x:v>
      </x:c>
      <x:c r="AD5" s="89">
        <x:v>46057.865488622687</x:v>
      </x:c>
      <x:c r="AE5" s="88" t="s">
        <x:v>3142</x:v>
      </x:c>
      <x:c r="AF5" s="88" t="s">
        <x:v>249</x:v>
      </x:c>
      <x:c r="AG5" s="88"/>
      <x:c r="AH5" s="89"/>
      <x:c r="AI5" s="88" t="s">
        <x:v>3176</x:v>
      </x:c>
      <x:c r="AJ5" s="88"/>
      <x:c r="AK5" s="88"/>
      <x:c r="AL5" s="88"/>
    </x:row>
    <x:row r="6">
      <x:c r="A6" s="88" t="s">
        <x:v>3177</x:v>
      </x:c>
      <x:c r="B6" s="88" t="s">
        <x:v>3178</x:v>
      </x:c>
      <x:c r="C6" s="88" t="s">
        <x:v>358</x:v>
      </x:c>
      <x:c r="D6" s="88" t="s">
        <x:v>3133</x:v>
      </x:c>
      <x:c r="E6" s="88" t="s">
        <x:v>342</x:v>
      </x:c>
      <x:c r="F6" s="89">
        <x:v>45947.608965891202</x:v>
      </x:c>
      <x:c r="G6" s="89">
        <x:v>45958.022732337966</x:v>
      </x:c>
      <x:c r="H6" s="89">
        <x:v>46028.232191226853</x:v>
      </x:c>
      <x:c r="I6" s="88" t="s">
        <x:v>1048</x:v>
      </x:c>
      <x:c r="J6" s="88" t="s">
        <x:v>1042</x:v>
      </x:c>
      <x:c r="K6" s="88" t="s">
        <x:v>3179</x:v>
      </x:c>
      <x:c r="L6" s="88" t="s">
        <x:v>3180</x:v>
      </x:c>
      <x:c r="M6" s="88" t="s">
        <x:v>361</x:v>
      </x:c>
      <x:c r="N6" s="88" t="s">
        <x:v>3181</x:v>
      </x:c>
      <x:c r="O6" s="88" t="s">
        <x:v>3137</x:v>
      </x:c>
      <x:c r="P6" s="88" t="s">
        <x:v>3138</x:v>
      </x:c>
      <x:c r="Q6" s="88" t="s">
        <x:v>3182</x:v>
      </x:c>
      <x:c r="R6" s="88" t="s">
        <x:v>162</x:v>
      </x:c>
      <x:c r="S6" s="88"/>
      <x:c r="T6" s="88"/>
      <x:c r="U6" s="88" t="s">
        <x:v>738</x:v>
      </x:c>
      <x:c r="V6" s="89">
        <x:v>46007.284846192131</x:v>
      </x:c>
      <x:c r="W6" s="88" t="s">
        <x:v>365</x:v>
      </x:c>
      <x:c r="X6" s="88" t="s">
        <x:v>259</x:v>
      </x:c>
      <x:c r="Y6" s="88" t="s">
        <x:v>2021</x:v>
      </x:c>
      <x:c r="Z6" s="89">
        <x:v>46009.12768597222</x:v>
      </x:c>
      <x:c r="AA6" s="88" t="s">
        <x:v>2518</x:v>
      </x:c>
      <x:c r="AB6" s="88" t="s">
        <x:v>259</x:v>
      </x:c>
      <x:c r="AC6" s="88" t="s">
        <x:v>3183</x:v>
      </x:c>
      <x:c r="AD6" s="89">
        <x:v>46028.146935405093</x:v>
      </x:c>
      <x:c r="AE6" s="88" t="s">
        <x:v>3142</x:v>
      </x:c>
      <x:c r="AF6" s="88" t="s">
        <x:v>259</x:v>
      </x:c>
      <x:c r="AG6" s="88" t="s">
        <x:v>3184</x:v>
      </x:c>
      <x:c r="AH6" s="89">
        <x:v>46028.232191238429</x:v>
      </x:c>
      <x:c r="AI6" s="88" t="s">
        <x:v>3185</x:v>
      </x:c>
      <x:c r="AJ6" s="88" t="s">
        <x:v>259</x:v>
      </x:c>
      <x:c r="AK6" s="88" t="s">
        <x:v>3186</x:v>
      </x:c>
      <x:c r="AL6" s="88"/>
    </x:row>
    <x:row r="7">
      <x:c r="A7" s="88" t="s">
        <x:v>3187</x:v>
      </x:c>
      <x:c r="B7" s="88" t="s">
        <x:v>3188</x:v>
      </x:c>
      <x:c r="C7" s="88" t="s">
        <x:v>358</x:v>
      </x:c>
      <x:c r="D7" s="88" t="s">
        <x:v>3133</x:v>
      </x:c>
      <x:c r="E7" s="88" t="s">
        <x:v>342</x:v>
      </x:c>
      <x:c r="F7" s="89">
        <x:v>45959.054357743058</x:v>
      </x:c>
      <x:c r="G7" s="89">
        <x:v>45959.058811087962</x:v>
      </x:c>
      <x:c r="H7" s="89">
        <x:v>46031.563046099538</x:v>
      </x:c>
      <x:c r="I7" s="88" t="s">
        <x:v>1048</x:v>
      </x:c>
      <x:c r="J7" s="88" t="s">
        <x:v>1042</x:v>
      </x:c>
      <x:c r="K7" s="88" t="s">
        <x:v>3179</x:v>
      </x:c>
      <x:c r="L7" s="88" t="s">
        <x:v>3180</x:v>
      </x:c>
      <x:c r="M7" s="88" t="s">
        <x:v>992</x:v>
      </x:c>
      <x:c r="N7" s="88" t="s">
        <x:v>3181</x:v>
      </x:c>
      <x:c r="O7" s="88" t="s">
        <x:v>3137</x:v>
      </x:c>
      <x:c r="P7" s="88" t="s">
        <x:v>3138</x:v>
      </x:c>
      <x:c r="Q7" s="88" t="s">
        <x:v>3189</x:v>
      </x:c>
      <x:c r="R7" s="88" t="s">
        <x:v>162</x:v>
      </x:c>
      <x:c r="S7" s="88"/>
      <x:c r="T7" s="88"/>
      <x:c r="U7" s="88" t="s">
        <x:v>385</x:v>
      </x:c>
      <x:c r="V7" s="89">
        <x:v>45960.014649039353</x:v>
      </x:c>
      <x:c r="W7" s="88" t="s">
        <x:v>995</x:v>
      </x:c>
      <x:c r="X7" s="88" t="s">
        <x:v>259</x:v>
      </x:c>
      <x:c r="Y7" s="88" t="s">
        <x:v>2021</x:v>
      </x:c>
      <x:c r="Z7" s="89">
        <x:v>45960.073918321759</x:v>
      </x:c>
      <x:c r="AA7" s="88" t="s">
        <x:v>2518</x:v>
      </x:c>
      <x:c r="AB7" s="88" t="s">
        <x:v>259</x:v>
      </x:c>
      <x:c r="AC7" s="88" t="s">
        <x:v>3190</x:v>
      </x:c>
      <x:c r="AD7" s="89">
        <x:v>45961.174814768521</x:v>
      </x:c>
      <x:c r="AE7" s="88" t="s">
        <x:v>3142</x:v>
      </x:c>
      <x:c r="AF7" s="88" t="s">
        <x:v>259</x:v>
      </x:c>
      <x:c r="AG7" s="88" t="s">
        <x:v>3191</x:v>
      </x:c>
      <x:c r="AH7" s="89">
        <x:v>46031.563046099538</x:v>
      </x:c>
      <x:c r="AI7" s="88" t="s">
        <x:v>3192</x:v>
      </x:c>
      <x:c r="AJ7" s="88" t="s">
        <x:v>259</x:v>
      </x:c>
      <x:c r="AK7" s="88" t="s">
        <x:v>3193</x:v>
      </x:c>
      <x:c r="AL7" s="88" t="s">
        <x:v>3194</x:v>
      </x:c>
    </x:row>
    <x:row r="8">
      <x:c r="A8" s="88" t="s">
        <x:v>3195</x:v>
      </x:c>
      <x:c r="B8" s="88" t="s">
        <x:v>3196</x:v>
      </x:c>
      <x:c r="C8" s="88" t="s">
        <x:v>3197</x:v>
      </x:c>
      <x:c r="D8" s="88" t="s">
        <x:v>3133</x:v>
      </x:c>
      <x:c r="E8" s="88" t="s">
        <x:v>249</x:v>
      </x:c>
      <x:c r="F8" s="89">
        <x:v>45979.075304745369</x:v>
      </x:c>
      <x:c r="G8" s="89">
        <x:v>45979.075304745369</x:v>
      </x:c>
      <x:c r="H8" s="89">
        <x:v>46121.167867442127</x:v>
      </x:c>
      <x:c r="I8" s="88" t="s">
        <x:v>3198</x:v>
      </x:c>
      <x:c r="J8" s="88" t="s">
        <x:v>3199</x:v>
      </x:c>
      <x:c r="K8" s="88" t="s">
        <x:v>3200</x:v>
      </x:c>
      <x:c r="L8" s="88" t="s">
        <x:v>3201</x:v>
      </x:c>
      <x:c r="M8" s="88" t="s">
        <x:v>641</x:v>
      </x:c>
      <x:c r="N8" s="88" t="s">
        <x:v>3202</x:v>
      </x:c>
      <x:c r="O8" s="88" t="s">
        <x:v>3203</x:v>
      </x:c>
      <x:c r="P8" s="88" t="s">
        <x:v>3173</x:v>
      </x:c>
      <x:c r="Q8" s="88" t="s">
        <x:v>3204</x:v>
      </x:c>
      <x:c r="R8" s="88"/>
      <x:c r="S8" s="88"/>
      <x:c r="T8" s="88"/>
      <x:c r="U8" s="88" t="s">
        <x:v>3205</x:v>
      </x:c>
      <x:c r="V8" s="89">
        <x:v>46121.167867453703</x:v>
      </x:c>
      <x:c r="W8" s="88" t="s">
        <x:v>260</x:v>
      </x:c>
      <x:c r="X8" s="88" t="s">
        <x:v>249</x:v>
      </x:c>
      <x:c r="Y8" s="88"/>
      <x:c r="Z8" s="89"/>
      <x:c r="AA8" s="88" t="s">
        <x:v>3206</x:v>
      </x:c>
      <x:c r="AB8" s="88"/>
      <x:c r="AC8" s="88"/>
      <x:c r="AD8" s="89"/>
      <x:c r="AE8" s="88" t="s">
        <x:v>273</x:v>
      </x:c>
      <x:c r="AF8" s="88"/>
      <x:c r="AG8" s="88"/>
      <x:c r="AH8" s="89"/>
      <x:c r="AI8" s="88" t="s">
        <x:v>3176</x:v>
      </x:c>
      <x:c r="AJ8" s="88"/>
      <x:c r="AK8" s="88"/>
      <x:c r="AL8" s="88" t="s">
        <x:v>3207</x:v>
      </x:c>
    </x:row>
    <x:row r="9">
      <x:c r="A9" s="88" t="s">
        <x:v>3208</x:v>
      </x:c>
      <x:c r="B9" s="88" t="s">
        <x:v>3209</x:v>
      </x:c>
      <x:c r="C9" s="88" t="s">
        <x:v>1474</x:v>
      </x:c>
      <x:c r="D9" s="88" t="s">
        <x:v>3133</x:v>
      </x:c>
      <x:c r="E9" s="88" t="s">
        <x:v>249</x:v>
      </x:c>
      <x:c r="F9" s="89">
        <x:v>45980.137209074077</x:v>
      </x:c>
      <x:c r="G9" s="89">
        <x:v>45980.137209074077</x:v>
      </x:c>
      <x:c r="H9" s="89">
        <x:v>46090.445261608795</x:v>
      </x:c>
      <x:c r="I9" s="88" t="s">
        <x:v>3210</x:v>
      </x:c>
      <x:c r="J9" s="88" t="s">
        <x:v>3211</x:v>
      </x:c>
      <x:c r="K9" s="88">
        <x:v>520</x:v>
      </x:c>
      <x:c r="L9" s="88" t="s">
        <x:v>3212</x:v>
      </x:c>
      <x:c r="M9" s="88" t="s">
        <x:v>641</x:v>
      </x:c>
      <x:c r="N9" s="88" t="s">
        <x:v>3213</x:v>
      </x:c>
      <x:c r="O9" s="88" t="s">
        <x:v>3137</x:v>
      </x:c>
      <x:c r="P9" s="88" t="s">
        <x:v>3138</x:v>
      </x:c>
      <x:c r="Q9" s="88" t="s">
        <x:v>3214</x:v>
      </x:c>
      <x:c r="R9" s="88"/>
      <x:c r="S9" s="88"/>
      <x:c r="T9" s="88"/>
      <x:c r="U9" s="88" t="s">
        <x:v>3215</x:v>
      </x:c>
      <x:c r="V9" s="89">
        <x:v>46090.445261620371</x:v>
      </x:c>
      <x:c r="W9" s="88" t="s">
        <x:v>260</x:v>
      </x:c>
      <x:c r="X9" s="88" t="s">
        <x:v>249</x:v>
      </x:c>
      <x:c r="Y9" s="88"/>
      <x:c r="Z9" s="89"/>
      <x:c r="AA9" s="88" t="s">
        <x:v>3206</x:v>
      </x:c>
      <x:c r="AB9" s="88"/>
      <x:c r="AC9" s="88"/>
      <x:c r="AD9" s="89"/>
      <x:c r="AE9" s="88" t="s">
        <x:v>273</x:v>
      </x:c>
      <x:c r="AF9" s="88"/>
      <x:c r="AG9" s="88"/>
      <x:c r="AH9" s="89"/>
      <x:c r="AI9" s="88" t="s">
        <x:v>3176</x:v>
      </x:c>
      <x:c r="AJ9" s="88"/>
      <x:c r="AK9" s="88"/>
      <x:c r="AL9" s="88" t="s">
        <x:v>3216</x:v>
      </x:c>
    </x:row>
    <x:row r="10">
      <x:c r="A10" s="88" t="s">
        <x:v>3217</x:v>
      </x:c>
      <x:c r="B10" s="88" t="s">
        <x:v>3218</x:v>
      </x:c>
      <x:c r="C10" s="88" t="s">
        <x:v>3219</x:v>
      </x:c>
      <x:c r="D10" s="88" t="s">
        <x:v>3133</x:v>
      </x:c>
      <x:c r="E10" s="88" t="s">
        <x:v>342</x:v>
      </x:c>
      <x:c r="F10" s="89">
        <x:v>45985.133832175925</x:v>
      </x:c>
      <x:c r="G10" s="89">
        <x:v>46076.114281261573</x:v>
      </x:c>
      <x:c r="H10" s="89">
        <x:v>46091.097101724539</x:v>
      </x:c>
      <x:c r="I10" s="88" t="s">
        <x:v>3220</x:v>
      </x:c>
      <x:c r="J10" s="88" t="s">
        <x:v>3221</x:v>
      </x:c>
      <x:c r="K10" s="88">
        <x:v>3437</x:v>
      </x:c>
      <x:c r="L10" s="88" t="s">
        <x:v>3222</x:v>
      </x:c>
      <x:c r="M10" s="88" t="s">
        <x:v>3223</x:v>
      </x:c>
      <x:c r="N10" s="88" t="s">
        <x:v>3224</x:v>
      </x:c>
      <x:c r="O10" s="88" t="s">
        <x:v>3203</x:v>
      </x:c>
      <x:c r="P10" s="88" t="s">
        <x:v>3225</x:v>
      </x:c>
      <x:c r="Q10" s="88" t="s">
        <x:v>3226</x:v>
      </x:c>
      <x:c r="R10" s="88" t="s">
        <x:v>162</x:v>
      </x:c>
      <x:c r="S10" s="88"/>
      <x:c r="T10" s="88"/>
      <x:c r="U10" s="88" t="s">
        <x:v>1480</x:v>
      </x:c>
      <x:c r="V10" s="89">
        <x:v>46076.117447199074</x:v>
      </x:c>
      <x:c r="W10" s="88" t="s">
        <x:v>3227</x:v>
      </x:c>
      <x:c r="X10" s="88" t="s">
        <x:v>259</x:v>
      </x:c>
      <x:c r="Y10" s="88" t="s">
        <x:v>2021</x:v>
      </x:c>
      <x:c r="Z10" s="89">
        <x:v>46078.336317430556</x:v>
      </x:c>
      <x:c r="AA10" s="88" t="s">
        <x:v>2518</x:v>
      </x:c>
      <x:c r="AB10" s="88" t="s">
        <x:v>259</x:v>
      </x:c>
      <x:c r="AC10" s="88" t="s">
        <x:v>2368</x:v>
      </x:c>
      <x:c r="AD10" s="89">
        <x:v>46079.115045289349</x:v>
      </x:c>
      <x:c r="AE10" s="88" t="s">
        <x:v>3142</x:v>
      </x:c>
      <x:c r="AF10" s="88" t="s">
        <x:v>259</x:v>
      </x:c>
      <x:c r="AG10" s="88" t="s">
        <x:v>342</x:v>
      </x:c>
      <x:c r="AH10" s="89">
        <x:v>46091.097101736108</x:v>
      </x:c>
      <x:c r="AI10" s="88" t="s">
        <x:v>951</x:v>
      </x:c>
      <x:c r="AJ10" s="88" t="s">
        <x:v>259</x:v>
      </x:c>
      <x:c r="AK10" s="88" t="s">
        <x:v>3228</x:v>
      </x:c>
      <x:c r="AL10" s="88" t="s">
        <x:v>3229</x:v>
      </x:c>
    </x:row>
    <x:row r="11">
      <x:c r="A11" s="88" t="s">
        <x:v>3230</x:v>
      </x:c>
      <x:c r="B11" s="88" t="s">
        <x:v>3231</x:v>
      </x:c>
      <x:c r="C11" s="88" t="s">
        <x:v>3232</x:v>
      </x:c>
      <x:c r="D11" s="88" t="s">
        <x:v>3133</x:v>
      </x:c>
      <x:c r="E11" s="88" t="s">
        <x:v>342</x:v>
      </x:c>
      <x:c r="F11" s="89">
        <x:v>45986.106715497684</x:v>
      </x:c>
      <x:c r="G11" s="89">
        <x:v>45986.107889687497</x:v>
      </x:c>
      <x:c r="H11" s="89">
        <x:v>46031.756817372683</x:v>
      </x:c>
      <x:c r="I11" s="88" t="s">
        <x:v>3233</x:v>
      </x:c>
      <x:c r="J11" s="88" t="s">
        <x:v>3234</x:v>
      </x:c>
      <x:c r="K11" s="88">
        <x:v>4624</x:v>
      </x:c>
      <x:c r="L11" s="88" t="s">
        <x:v>3235</x:v>
      </x:c>
      <x:c r="M11" s="88" t="s">
        <x:v>3236</x:v>
      </x:c>
      <x:c r="N11" s="88" t="s">
        <x:v>3237</x:v>
      </x:c>
      <x:c r="O11" s="88" t="s">
        <x:v>3203</x:v>
      </x:c>
      <x:c r="P11" s="88" t="s">
        <x:v>3225</x:v>
      </x:c>
      <x:c r="Q11" s="88" t="s">
        <x:v>3238</x:v>
      </x:c>
      <x:c r="R11" s="88" t="s">
        <x:v>185</x:v>
      </x:c>
      <x:c r="S11" s="88"/>
      <x:c r="T11" s="88"/>
      <x:c r="U11" s="88" t="s">
        <x:v>1480</x:v>
      </x:c>
      <x:c r="V11" s="89">
        <x:v>45987.227182592593</x:v>
      </x:c>
      <x:c r="W11" s="88" t="s">
        <x:v>3239</x:v>
      </x:c>
      <x:c r="X11" s="88" t="s">
        <x:v>259</x:v>
      </x:c>
      <x:c r="Y11" s="88" t="s">
        <x:v>3240</x:v>
      </x:c>
      <x:c r="Z11" s="89">
        <x:v>45993.344528564812</x:v>
      </x:c>
      <x:c r="AA11" s="88" t="s">
        <x:v>2518</x:v>
      </x:c>
      <x:c r="AB11" s="88" t="s">
        <x:v>259</x:v>
      </x:c>
      <x:c r="AC11" s="88" t="s">
        <x:v>3241</x:v>
      </x:c>
      <x:c r="AD11" s="89">
        <x:v>45993.397225659719</x:v>
      </x:c>
      <x:c r="AE11" s="88" t="s">
        <x:v>3142</x:v>
      </x:c>
      <x:c r="AF11" s="88" t="s">
        <x:v>259</x:v>
      </x:c>
      <x:c r="AG11" s="88" t="s">
        <x:v>353</x:v>
      </x:c>
      <x:c r="AH11" s="89">
        <x:v>46031.756817384259</x:v>
      </x:c>
      <x:c r="AI11" s="88" t="s">
        <x:v>3242</x:v>
      </x:c>
      <x:c r="AJ11" s="88" t="s">
        <x:v>259</x:v>
      </x:c>
      <x:c r="AK11" s="88" t="s">
        <x:v>3243</x:v>
      </x:c>
      <x:c r="AL11" s="88" t="s">
        <x:v>3244</x:v>
      </x:c>
    </x:row>
    <x:row r="12">
      <x:c r="A12" s="88" t="s">
        <x:v>3245</x:v>
      </x:c>
      <x:c r="B12" s="88" t="s">
        <x:v>3246</x:v>
      </x:c>
      <x:c r="C12" s="88" t="s">
        <x:v>3232</x:v>
      </x:c>
      <x:c r="D12" s="88" t="s">
        <x:v>3133</x:v>
      </x:c>
      <x:c r="E12" s="88" t="s">
        <x:v>342</x:v>
      </x:c>
      <x:c r="F12" s="89">
        <x:v>45986.109319085648</x:v>
      </x:c>
      <x:c r="G12" s="89">
        <x:v>45986.109319085648</x:v>
      </x:c>
      <x:c r="H12" s="89">
        <x:v>46031.757119189817</x:v>
      </x:c>
      <x:c r="I12" s="88" t="s">
        <x:v>3233</x:v>
      </x:c>
      <x:c r="J12" s="88" t="s">
        <x:v>3234</x:v>
      </x:c>
      <x:c r="K12" s="88">
        <x:v>4624</x:v>
      </x:c>
      <x:c r="L12" s="88" t="s">
        <x:v>3235</x:v>
      </x:c>
      <x:c r="M12" s="88" t="s">
        <x:v>3236</x:v>
      </x:c>
      <x:c r="N12" s="88" t="s">
        <x:v>3237</x:v>
      </x:c>
      <x:c r="O12" s="88" t="s">
        <x:v>3203</x:v>
      </x:c>
      <x:c r="P12" s="88" t="s">
        <x:v>3173</x:v>
      </x:c>
      <x:c r="Q12" s="88" t="s">
        <x:v>3238</x:v>
      </x:c>
      <x:c r="R12" s="88" t="s">
        <x:v>185</x:v>
      </x:c>
      <x:c r="S12" s="88"/>
      <x:c r="T12" s="88"/>
      <x:c r="U12" s="88" t="s">
        <x:v>1480</x:v>
      </x:c>
      <x:c r="V12" s="89">
        <x:v>45987.228089317126</x:v>
      </x:c>
      <x:c r="W12" s="88" t="s">
        <x:v>3239</x:v>
      </x:c>
      <x:c r="X12" s="88" t="s">
        <x:v>259</x:v>
      </x:c>
      <x:c r="Y12" s="88" t="s">
        <x:v>3247</x:v>
      </x:c>
      <x:c r="Z12" s="89">
        <x:v>45993.345086805559</x:v>
      </x:c>
      <x:c r="AA12" s="88" t="s">
        <x:v>2518</x:v>
      </x:c>
      <x:c r="AB12" s="88" t="s">
        <x:v>259</x:v>
      </x:c>
      <x:c r="AC12" s="88" t="s">
        <x:v>3241</x:v>
      </x:c>
      <x:c r="AD12" s="89">
        <x:v>45993.397128634257</x:v>
      </x:c>
      <x:c r="AE12" s="88" t="s">
        <x:v>3142</x:v>
      </x:c>
      <x:c r="AF12" s="88" t="s">
        <x:v>259</x:v>
      </x:c>
      <x:c r="AG12" s="88" t="s">
        <x:v>353</x:v>
      </x:c>
      <x:c r="AH12" s="89">
        <x:v>46031.757119201386</x:v>
      </x:c>
      <x:c r="AI12" s="88" t="s">
        <x:v>3242</x:v>
      </x:c>
      <x:c r="AJ12" s="88" t="s">
        <x:v>259</x:v>
      </x:c>
      <x:c r="AK12" s="88" t="s">
        <x:v>3248</x:v>
      </x:c>
      <x:c r="AL12" s="88" t="s">
        <x:v>3244</x:v>
      </x:c>
    </x:row>
    <x:row r="13">
      <x:c r="A13" s="88" t="s">
        <x:v>3249</x:v>
      </x:c>
      <x:c r="B13" s="88" t="s">
        <x:v>3250</x:v>
      </x:c>
      <x:c r="C13" s="88" t="s">
        <x:v>3251</x:v>
      </x:c>
      <x:c r="D13" s="88" t="s">
        <x:v>3133</x:v>
      </x:c>
      <x:c r="E13" s="88" t="s">
        <x:v>342</x:v>
      </x:c>
      <x:c r="F13" s="89">
        <x:v>45994.338524444443</x:v>
      </x:c>
      <x:c r="G13" s="89">
        <x:v>45994.338524444443</x:v>
      </x:c>
      <x:c r="H13" s="89">
        <x:v>46028.053203912037</x:v>
      </x:c>
      <x:c r="I13" s="88" t="s">
        <x:v>3252</x:v>
      </x:c>
      <x:c r="J13" s="88" t="s">
        <x:v>3253</x:v>
      </x:c>
      <x:c r="K13" s="88">
        <x:v>3578</x:v>
      </x:c>
      <x:c r="L13" s="88" t="s">
        <x:v>3254</x:v>
      </x:c>
      <x:c r="M13" s="88" t="s">
        <x:v>3255</x:v>
      </x:c>
      <x:c r="N13" s="88" t="s">
        <x:v>3256</x:v>
      </x:c>
      <x:c r="O13" s="88" t="s">
        <x:v>3203</x:v>
      </x:c>
      <x:c r="P13" s="88" t="s">
        <x:v>3173</x:v>
      </x:c>
      <x:c r="Q13" s="88" t="s">
        <x:v>3257</x:v>
      </x:c>
      <x:c r="R13" s="88" t="s">
        <x:v>185</x:v>
      </x:c>
      <x:c r="S13" s="88"/>
      <x:c r="T13" s="88"/>
      <x:c r="U13" s="88" t="s">
        <x:v>3258</x:v>
      </x:c>
      <x:c r="V13" s="89">
        <x:v>45994.344667372687</x:v>
      </x:c>
      <x:c r="W13" s="88" t="s">
        <x:v>3259</x:v>
      </x:c>
      <x:c r="X13" s="88" t="s">
        <x:v>259</x:v>
      </x:c>
      <x:c r="Y13" s="88" t="s">
        <x:v>2021</x:v>
      </x:c>
      <x:c r="Z13" s="89">
        <x:v>45995.094082511576</x:v>
      </x:c>
      <x:c r="AA13" s="88" t="s">
        <x:v>2518</x:v>
      </x:c>
      <x:c r="AB13" s="88" t="s">
        <x:v>259</x:v>
      </x:c>
      <x:c r="AC13" s="88" t="s">
        <x:v>571</x:v>
      </x:c>
      <x:c r="AD13" s="89">
        <x:v>45995.128940092596</x:v>
      </x:c>
      <x:c r="AE13" s="88" t="s">
        <x:v>271</x:v>
      </x:c>
      <x:c r="AF13" s="88" t="s">
        <x:v>259</x:v>
      </x:c>
      <x:c r="AG13" s="88" t="s">
        <x:v>3260</x:v>
      </x:c>
      <x:c r="AH13" s="89">
        <x:v>46028.053203912037</x:v>
      </x:c>
      <x:c r="AI13" s="88" t="s">
        <x:v>3261</x:v>
      </x:c>
      <x:c r="AJ13" s="88" t="s">
        <x:v>259</x:v>
      </x:c>
      <x:c r="AK13" s="88" t="s">
        <x:v>3262</x:v>
      </x:c>
      <x:c r="AL13" s="88" t="s">
        <x:v>3263</x:v>
      </x:c>
    </x:row>
    <x:row r="14">
      <x:c r="A14" s="88" t="s">
        <x:v>3264</x:v>
      </x:c>
      <x:c r="B14" s="88" t="s">
        <x:v>3265</x:v>
      </x:c>
      <x:c r="C14" s="88" t="s">
        <x:v>3266</x:v>
      </x:c>
      <x:c r="D14" s="88" t="s">
        <x:v>3133</x:v>
      </x:c>
      <x:c r="E14" s="88" t="s">
        <x:v>342</x:v>
      </x:c>
      <x:c r="F14" s="89">
        <x:v>46000.143776064811</x:v>
      </x:c>
      <x:c r="G14" s="89">
        <x:v>46000.148014351849</x:v>
      </x:c>
      <x:c r="H14" s="89">
        <x:v>46028.198254085648</x:v>
      </x:c>
      <x:c r="I14" s="88" t="s">
        <x:v>3267</x:v>
      </x:c>
      <x:c r="J14" s="88" t="s">
        <x:v>3268</x:v>
      </x:c>
      <x:c r="K14" s="88">
        <x:v>435</x:v>
      </x:c>
      <x:c r="L14" s="88" t="s">
        <x:v>3269</x:v>
      </x:c>
      <x:c r="M14" s="88" t="s">
        <x:v>3270</x:v>
      </x:c>
      <x:c r="N14" s="88" t="s">
        <x:v>3271</x:v>
      </x:c>
      <x:c r="O14" s="88" t="s">
        <x:v>3137</x:v>
      </x:c>
      <x:c r="P14" s="88" t="s">
        <x:v>3138</x:v>
      </x:c>
      <x:c r="Q14" s="88" t="s">
        <x:v>3272</x:v>
      </x:c>
      <x:c r="R14" s="88" t="s">
        <x:v>162</x:v>
      </x:c>
      <x:c r="S14" s="88"/>
      <x:c r="T14" s="88"/>
      <x:c r="U14" s="88" t="s">
        <x:v>1190</x:v>
      </x:c>
      <x:c r="V14" s="89">
        <x:v>46000.149168391203</x:v>
      </x:c>
      <x:c r="W14" s="88" t="s">
        <x:v>3270</x:v>
      </x:c>
      <x:c r="X14" s="88" t="s">
        <x:v>259</x:v>
      </x:c>
      <x:c r="Y14" s="88" t="s">
        <x:v>2021</x:v>
      </x:c>
      <x:c r="Z14" s="89">
        <x:v>46001.095599513887</x:v>
      </x:c>
      <x:c r="AA14" s="88" t="s">
        <x:v>2518</x:v>
      </x:c>
      <x:c r="AB14" s="88" t="s">
        <x:v>259</x:v>
      </x:c>
      <x:c r="AC14" s="88" t="s">
        <x:v>2368</x:v>
      </x:c>
      <x:c r="AD14" s="89">
        <x:v>46002.291507511574</x:v>
      </x:c>
      <x:c r="AE14" s="88" t="s">
        <x:v>3142</x:v>
      </x:c>
      <x:c r="AF14" s="88" t="s">
        <x:v>259</x:v>
      </x:c>
      <x:c r="AG14" s="88" t="s">
        <x:v>3184</x:v>
      </x:c>
      <x:c r="AH14" s="89">
        <x:v>46028.198254108793</x:v>
      </x:c>
      <x:c r="AI14" s="88" t="s">
        <x:v>3273</x:v>
      </x:c>
      <x:c r="AJ14" s="88" t="s">
        <x:v>259</x:v>
      </x:c>
      <x:c r="AK14" s="88" t="s">
        <x:v>3274</x:v>
      </x:c>
      <x:c r="AL14" s="88" t="s">
        <x:v>3275</x:v>
      </x:c>
    </x:row>
    <x:row r="15">
      <x:c r="A15" s="88" t="s">
        <x:v>3276</x:v>
      </x:c>
      <x:c r="B15" s="88" t="s">
        <x:v>3277</x:v>
      </x:c>
      <x:c r="C15" s="88" t="s">
        <x:v>3219</x:v>
      </x:c>
      <x:c r="D15" s="88" t="s">
        <x:v>3133</x:v>
      </x:c>
      <x:c r="E15" s="88" t="s">
        <x:v>342</x:v>
      </x:c>
      <x:c r="F15" s="89">
        <x:v>46001.163603553243</x:v>
      </x:c>
      <x:c r="G15" s="89">
        <x:v>46028.273995150463</x:v>
      </x:c>
      <x:c r="H15" s="89">
        <x:v>46031.696577824077</x:v>
      </x:c>
      <x:c r="I15" s="88" t="s">
        <x:v>3220</x:v>
      </x:c>
      <x:c r="J15" s="88" t="s">
        <x:v>3221</x:v>
      </x:c>
      <x:c r="K15" s="88">
        <x:v>3437</x:v>
      </x:c>
      <x:c r="L15" s="88" t="s">
        <x:v>3222</x:v>
      </x:c>
      <x:c r="M15" s="88" t="s">
        <x:v>3223</x:v>
      </x:c>
      <x:c r="N15" s="88" t="s">
        <x:v>3278</x:v>
      </x:c>
      <x:c r="O15" s="88" t="s">
        <x:v>3203</x:v>
      </x:c>
      <x:c r="P15" s="88" t="s">
        <x:v>3225</x:v>
      </x:c>
      <x:c r="Q15" s="88" t="s">
        <x:v>3279</x:v>
      </x:c>
      <x:c r="R15" s="88" t="s">
        <x:v>162</x:v>
      </x:c>
      <x:c r="S15" s="88"/>
      <x:c r="T15" s="88"/>
      <x:c r="U15" s="88" t="s">
        <x:v>385</x:v>
      </x:c>
      <x:c r="V15" s="89">
        <x:v>46028.276417928239</x:v>
      </x:c>
      <x:c r="W15" s="88" t="s">
        <x:v>3227</x:v>
      </x:c>
      <x:c r="X15" s="88" t="s">
        <x:v>259</x:v>
      </x:c>
      <x:c r="Y15" s="88" t="s">
        <x:v>2021</x:v>
      </x:c>
      <x:c r="Z15" s="89">
        <x:v>46029.137359745371</x:v>
      </x:c>
      <x:c r="AA15" s="88" t="s">
        <x:v>2518</x:v>
      </x:c>
      <x:c r="AB15" s="88" t="s">
        <x:v>259</x:v>
      </x:c>
      <x:c r="AC15" s="88" t="s">
        <x:v>3280</x:v>
      </x:c>
      <x:c r="AD15" s="89">
        <x:v>46029.371209189812</x:v>
      </x:c>
      <x:c r="AE15" s="88" t="s">
        <x:v>3142</x:v>
      </x:c>
      <x:c r="AF15" s="88" t="s">
        <x:v>259</x:v>
      </x:c>
      <x:c r="AG15" s="88" t="s">
        <x:v>3281</x:v>
      </x:c>
      <x:c r="AH15" s="89">
        <x:v>46031.696577835646</x:v>
      </x:c>
      <x:c r="AI15" s="88" t="s">
        <x:v>3282</x:v>
      </x:c>
      <x:c r="AJ15" s="88" t="s">
        <x:v>259</x:v>
      </x:c>
      <x:c r="AK15" s="88" t="s">
        <x:v>3283</x:v>
      </x:c>
      <x:c r="AL15" s="88" t="s">
        <x:v>3229</x:v>
      </x:c>
    </x:row>
    <x:row r="16">
      <x:c r="A16" s="88" t="s">
        <x:v>3284</x:v>
      </x:c>
      <x:c r="B16" s="88" t="s">
        <x:v>3285</x:v>
      </x:c>
      <x:c r="C16" s="88" t="s">
        <x:v>3286</x:v>
      </x:c>
      <x:c r="D16" s="88" t="s">
        <x:v>3133</x:v>
      </x:c>
      <x:c r="E16" s="88" t="s">
        <x:v>342</x:v>
      </x:c>
      <x:c r="F16" s="89">
        <x:v>46003.364529918981</x:v>
      </x:c>
      <x:c r="G16" s="89">
        <x:v>46003.364529918981</x:v>
      </x:c>
      <x:c r="H16" s="89">
        <x:v>46029.275502557874</x:v>
      </x:c>
      <x:c r="I16" s="88" t="s">
        <x:v>3287</x:v>
      </x:c>
      <x:c r="J16" s="88" t="s">
        <x:v>3288</x:v>
      </x:c>
      <x:c r="K16" s="88">
        <x:v>1687</x:v>
      </x:c>
      <x:c r="L16" s="88" t="s">
        <x:v>3289</x:v>
      </x:c>
      <x:c r="M16" s="88" t="s">
        <x:v>3290</x:v>
      </x:c>
      <x:c r="N16" s="88" t="s">
        <x:v>3291</x:v>
      </x:c>
      <x:c r="O16" s="88" t="s">
        <x:v>3203</x:v>
      </x:c>
      <x:c r="P16" s="88" t="s">
        <x:v>3173</x:v>
      </x:c>
      <x:c r="Q16" s="88" t="s">
        <x:v>3292</x:v>
      </x:c>
      <x:c r="R16" s="88" t="s">
        <x:v>193</x:v>
      </x:c>
      <x:c r="S16" s="88"/>
      <x:c r="T16" s="88"/>
      <x:c r="U16" s="88" t="s">
        <x:v>3293</x:v>
      </x:c>
      <x:c r="V16" s="89">
        <x:v>46003.370390995369</x:v>
      </x:c>
      <x:c r="W16" s="88" t="s">
        <x:v>3294</x:v>
      </x:c>
      <x:c r="X16" s="88" t="s">
        <x:v>259</x:v>
      </x:c>
      <x:c r="Y16" s="88" t="s">
        <x:v>2021</x:v>
      </x:c>
      <x:c r="Z16" s="89">
        <x:v>46006.332823101853</x:v>
      </x:c>
      <x:c r="AA16" s="88" t="s">
        <x:v>2518</x:v>
      </x:c>
      <x:c r="AB16" s="88" t="s">
        <x:v>259</x:v>
      </x:c>
      <x:c r="AC16" s="88" t="s">
        <x:v>3295</x:v>
      </x:c>
      <x:c r="AD16" s="89">
        <x:v>46007.362374722223</x:v>
      </x:c>
      <x:c r="AE16" s="88" t="s">
        <x:v>3142</x:v>
      </x:c>
      <x:c r="AF16" s="88" t="s">
        <x:v>259</x:v>
      </x:c>
      <x:c r="AG16" s="88" t="s">
        <x:v>342</x:v>
      </x:c>
      <x:c r="AH16" s="89">
        <x:v>46029.275502557874</x:v>
      </x:c>
      <x:c r="AI16" s="88" t="s">
        <x:v>3296</x:v>
      </x:c>
      <x:c r="AJ16" s="88" t="s">
        <x:v>259</x:v>
      </x:c>
      <x:c r="AK16" s="88" t="s">
        <x:v>3297</x:v>
      </x:c>
      <x:c r="AL16" s="88" t="s">
        <x:v>3298</x:v>
      </x:c>
    </x:row>
    <x:row r="17">
      <x:c r="A17" s="88" t="s">
        <x:v>3299</x:v>
      </x:c>
      <x:c r="B17" s="88" t="s">
        <x:v>3300</x:v>
      </x:c>
      <x:c r="C17" s="88" t="s">
        <x:v>3301</x:v>
      </x:c>
      <x:c r="D17" s="88" t="s">
        <x:v>3133</x:v>
      </x:c>
      <x:c r="E17" s="88" t="s">
        <x:v>342</x:v>
      </x:c>
      <x:c r="F17" s="89">
        <x:v>46007.122948576391</x:v>
      </x:c>
      <x:c r="G17" s="89">
        <x:v>46021.083008321759</x:v>
      </x:c>
      <x:c r="H17" s="89">
        <x:v>46036.283825439816</x:v>
      </x:c>
      <x:c r="I17" s="88" t="s">
        <x:v>3302</x:v>
      </x:c>
      <x:c r="J17" s="88" t="s">
        <x:v>3303</x:v>
      </x:c>
      <x:c r="K17" s="88">
        <x:v>4435</x:v>
      </x:c>
      <x:c r="L17" s="88" t="s">
        <x:v>3304</x:v>
      </x:c>
      <x:c r="M17" s="88" t="s">
        <x:v>1782</x:v>
      </x:c>
      <x:c r="N17" s="88" t="s">
        <x:v>3305</x:v>
      </x:c>
      <x:c r="O17" s="88" t="s">
        <x:v>3203</x:v>
      </x:c>
      <x:c r="P17" s="88" t="s">
        <x:v>3225</x:v>
      </x:c>
      <x:c r="Q17" s="88" t="s">
        <x:v>3306</x:v>
      </x:c>
      <x:c r="R17" s="88" t="s">
        <x:v>185</x:v>
      </x:c>
      <x:c r="S17" s="88"/>
      <x:c r="T17" s="88"/>
      <x:c r="U17" s="88" t="s">
        <x:v>3307</x:v>
      </x:c>
      <x:c r="V17" s="89">
        <x:v>46022.05777994213</x:v>
      </x:c>
      <x:c r="W17" s="88" t="s">
        <x:v>1782</x:v>
      </x:c>
      <x:c r="X17" s="88" t="s">
        <x:v>259</x:v>
      </x:c>
      <x:c r="Y17" s="88" t="s">
        <x:v>2021</x:v>
      </x:c>
      <x:c r="Z17" s="89">
        <x:v>46029.131212222223</x:v>
      </x:c>
      <x:c r="AA17" s="88" t="s">
        <x:v>2518</x:v>
      </x:c>
      <x:c r="AB17" s="88" t="s">
        <x:v>259</x:v>
      </x:c>
      <x:c r="AC17" s="88" t="s">
        <x:v>3308</x:v>
      </x:c>
      <x:c r="AD17" s="89">
        <x:v>46031.318882719905</x:v>
      </x:c>
      <x:c r="AE17" s="88" t="s">
        <x:v>3142</x:v>
      </x:c>
      <x:c r="AF17" s="88" t="s">
        <x:v>259</x:v>
      </x:c>
      <x:c r="AG17" s="88" t="s">
        <x:v>3309</x:v>
      </x:c>
      <x:c r="AH17" s="89">
        <x:v>46036.283825451392</x:v>
      </x:c>
      <x:c r="AI17" s="88" t="s">
        <x:v>3310</x:v>
      </x:c>
      <x:c r="AJ17" s="88" t="s">
        <x:v>259</x:v>
      </x:c>
      <x:c r="AK17" s="88" t="s">
        <x:v>3311</x:v>
      </x:c>
      <x:c r="AL17" s="88" t="s">
        <x:v>3312</x:v>
      </x:c>
    </x:row>
    <x:row r="18">
      <x:c r="A18" s="88" t="s">
        <x:v>3313</x:v>
      </x:c>
      <x:c r="B18" s="88" t="s">
        <x:v>3314</x:v>
      </x:c>
      <x:c r="C18" s="88" t="s">
        <x:v>3315</x:v>
      </x:c>
      <x:c r="D18" s="88" t="s">
        <x:v>3133</x:v>
      </x:c>
      <x:c r="E18" s="88" t="s">
        <x:v>342</x:v>
      </x:c>
      <x:c r="F18" s="89">
        <x:v>46009.14081459491</x:v>
      </x:c>
      <x:c r="G18" s="89">
        <x:v>46009.14081459491</x:v>
      </x:c>
      <x:c r="H18" s="89">
        <x:v>46036.059964918983</x:v>
      </x:c>
      <x:c r="I18" s="88" t="s">
        <x:v>1681</x:v>
      </x:c>
      <x:c r="J18" s="88" t="s">
        <x:v>1677</x:v>
      </x:c>
      <x:c r="K18" s="88" t="s">
        <x:v>1687</x:v>
      </x:c>
      <x:c r="L18" s="88" t="s">
        <x:v>1686</x:v>
      </x:c>
      <x:c r="M18" s="88" t="s">
        <x:v>1576</x:v>
      </x:c>
      <x:c r="N18" s="88" t="s">
        <x:v>3316</x:v>
      </x:c>
      <x:c r="O18" s="88" t="s">
        <x:v>3137</x:v>
      </x:c>
      <x:c r="P18" s="88" t="s">
        <x:v>3173</x:v>
      </x:c>
      <x:c r="Q18" s="88" t="s">
        <x:v>3317</x:v>
      </x:c>
      <x:c r="R18" s="88" t="s">
        <x:v>185</x:v>
      </x:c>
      <x:c r="S18" s="88"/>
      <x:c r="T18" s="88"/>
      <x:c r="U18" s="88" t="s">
        <x:v>3318</x:v>
      </x:c>
      <x:c r="V18" s="89">
        <x:v>46009.187363275465</x:v>
      </x:c>
      <x:c r="W18" s="88" t="s">
        <x:v>1580</x:v>
      </x:c>
      <x:c r="X18" s="88" t="s">
        <x:v>259</x:v>
      </x:c>
      <x:c r="Y18" s="88" t="s">
        <x:v>2021</x:v>
      </x:c>
      <x:c r="Z18" s="89">
        <x:v>46010.147018425923</x:v>
      </x:c>
      <x:c r="AA18" s="88" t="s">
        <x:v>2518</x:v>
      </x:c>
      <x:c r="AB18" s="88" t="s">
        <x:v>259</x:v>
      </x:c>
      <x:c r="AC18" s="88" t="s">
        <x:v>3319</x:v>
      </x:c>
      <x:c r="AD18" s="89">
        <x:v>46013.059503136574</x:v>
      </x:c>
      <x:c r="AE18" s="88" t="s">
        <x:v>271</x:v>
      </x:c>
      <x:c r="AF18" s="88" t="s">
        <x:v>259</x:v>
      </x:c>
      <x:c r="AG18" s="88" t="s">
        <x:v>353</x:v>
      </x:c>
      <x:c r="AH18" s="89">
        <x:v>46036.059964930559</x:v>
      </x:c>
      <x:c r="AI18" s="88" t="s">
        <x:v>3242</x:v>
      </x:c>
      <x:c r="AJ18" s="88" t="s">
        <x:v>259</x:v>
      </x:c>
      <x:c r="AK18" s="88" t="s">
        <x:v>3320</x:v>
      </x:c>
      <x:c r="AL18" s="88" t="s">
        <x:v>3321</x:v>
      </x:c>
    </x:row>
    <x:row r="19">
      <x:c r="A19" s="88" t="s">
        <x:v>3322</x:v>
      </x:c>
      <x:c r="B19" s="88" t="s">
        <x:v>3323</x:v>
      </x:c>
      <x:c r="C19" s="88" t="s">
        <x:v>3324</x:v>
      </x:c>
      <x:c r="D19" s="88" t="s">
        <x:v>3133</x:v>
      </x:c>
      <x:c r="E19" s="88" t="s">
        <x:v>342</x:v>
      </x:c>
      <x:c r="F19" s="89">
        <x:v>46010.159208888886</x:v>
      </x:c>
      <x:c r="G19" s="89">
        <x:v>46010.159208888886</x:v>
      </x:c>
      <x:c r="H19" s="89">
        <x:v>46028.015467731479</x:v>
      </x:c>
      <x:c r="I19" s="88" t="s">
        <x:v>3325</x:v>
      </x:c>
      <x:c r="J19" s="88" t="s">
        <x:v>3326</x:v>
      </x:c>
      <x:c r="K19" s="88">
        <x:v>859</x:v>
      </x:c>
      <x:c r="L19" s="88" t="s">
        <x:v>3327</x:v>
      </x:c>
      <x:c r="M19" s="88" t="s">
        <x:v>3328</x:v>
      </x:c>
      <x:c r="N19" s="88" t="s">
        <x:v>3329</x:v>
      </x:c>
      <x:c r="O19" s="88" t="s">
        <x:v>3137</x:v>
      </x:c>
      <x:c r="P19" s="88" t="s">
        <x:v>3138</x:v>
      </x:c>
      <x:c r="Q19" s="88" t="s">
        <x:v>3330</x:v>
      </x:c>
      <x:c r="R19" s="88" t="s">
        <x:v>185</x:v>
      </x:c>
      <x:c r="S19" s="88"/>
      <x:c r="T19" s="88"/>
      <x:c r="U19" s="88" t="s">
        <x:v>3331</x:v>
      </x:c>
      <x:c r="V19" s="89">
        <x:v>46010.169773240741</x:v>
      </x:c>
      <x:c r="W19" s="88" t="s">
        <x:v>3328</x:v>
      </x:c>
      <x:c r="X19" s="88" t="s">
        <x:v>259</x:v>
      </x:c>
      <x:c r="Y19" s="88" t="s">
        <x:v>3332</x:v>
      </x:c>
      <x:c r="Z19" s="89">
        <x:v>46010.176239108798</x:v>
      </x:c>
      <x:c r="AA19" s="88" t="s">
        <x:v>2518</x:v>
      </x:c>
      <x:c r="AB19" s="88" t="s">
        <x:v>259</x:v>
      </x:c>
      <x:c r="AC19" s="88" t="s">
        <x:v>3333</x:v>
      </x:c>
      <x:c r="AD19" s="89">
        <x:v>46014.174875578705</x:v>
      </x:c>
      <x:c r="AE19" s="88" t="s">
        <x:v>3142</x:v>
      </x:c>
      <x:c r="AF19" s="88" t="s">
        <x:v>259</x:v>
      </x:c>
      <x:c r="AG19" s="88" t="s">
        <x:v>3334</x:v>
      </x:c>
      <x:c r="AH19" s="89">
        <x:v>46028.015467731479</x:v>
      </x:c>
      <x:c r="AI19" s="88" t="s">
        <x:v>3282</x:v>
      </x:c>
      <x:c r="AJ19" s="88" t="s">
        <x:v>259</x:v>
      </x:c>
      <x:c r="AK19" s="88" t="s">
        <x:v>3335</x:v>
      </x:c>
      <x:c r="AL19" s="88" t="s">
        <x:v>3336</x:v>
      </x:c>
    </x:row>
    <x:row r="20">
      <x:c r="A20" s="88" t="s">
        <x:v>3337</x:v>
      </x:c>
      <x:c r="B20" s="88" t="s">
        <x:v>3338</x:v>
      </x:c>
      <x:c r="C20" s="88" t="s">
        <x:v>3339</x:v>
      </x:c>
      <x:c r="D20" s="88" t="s">
        <x:v>3133</x:v>
      </x:c>
      <x:c r="E20" s="88" t="s">
        <x:v>342</x:v>
      </x:c>
      <x:c r="F20" s="89">
        <x:v>46010.294650474534</x:v>
      </x:c>
      <x:c r="G20" s="89">
        <x:v>46014.100777106483</x:v>
      </x:c>
      <x:c r="H20" s="89">
        <x:v>46031.279839560186</x:v>
      </x:c>
      <x:c r="I20" s="88" t="s">
        <x:v>3340</x:v>
      </x:c>
      <x:c r="J20" s="88" t="s">
        <x:v>3341</x:v>
      </x:c>
      <x:c r="K20" s="88" t="s">
        <x:v>3342</x:v>
      </x:c>
      <x:c r="L20" s="88" t="s">
        <x:v>3343</x:v>
      </x:c>
      <x:c r="M20" s="88" t="s">
        <x:v>1271</x:v>
      </x:c>
      <x:c r="N20" s="88" t="s">
        <x:v>3344</x:v>
      </x:c>
      <x:c r="O20" s="88" t="s">
        <x:v>3137</x:v>
      </x:c>
      <x:c r="P20" s="88" t="s">
        <x:v>3345</x:v>
      </x:c>
      <x:c r="Q20" s="88" t="s">
        <x:v>3346</x:v>
      </x:c>
      <x:c r="R20" s="88" t="s">
        <x:v>185</x:v>
      </x:c>
      <x:c r="S20" s="88"/>
      <x:c r="T20" s="88"/>
      <x:c r="U20" s="88" t="s">
        <x:v>738</x:v>
      </x:c>
      <x:c r="V20" s="89">
        <x:v>46014.108131898145</x:v>
      </x:c>
      <x:c r="W20" s="88" t="s">
        <x:v>1271</x:v>
      </x:c>
      <x:c r="X20" s="88" t="s">
        <x:v>259</x:v>
      </x:c>
      <x:c r="Y20" s="88" t="s">
        <x:v>2021</x:v>
      </x:c>
      <x:c r="Z20" s="89">
        <x:v>46029.125180740739</x:v>
      </x:c>
      <x:c r="AA20" s="88" t="s">
        <x:v>2518</x:v>
      </x:c>
      <x:c r="AB20" s="88" t="s">
        <x:v>259</x:v>
      </x:c>
      <x:c r="AC20" s="88" t="s">
        <x:v>3347</x:v>
      </x:c>
      <x:c r="AD20" s="89">
        <x:v>46029.301121331016</x:v>
      </x:c>
      <x:c r="AE20" s="88" t="s">
        <x:v>3142</x:v>
      </x:c>
      <x:c r="AF20" s="88" t="s">
        <x:v>259</x:v>
      </x:c>
      <x:c r="AG20" s="88" t="s">
        <x:v>353</x:v>
      </x:c>
      <x:c r="AH20" s="89">
        <x:v>46031.279839560186</x:v>
      </x:c>
      <x:c r="AI20" s="88" t="s">
        <x:v>789</x:v>
      </x:c>
      <x:c r="AJ20" s="88" t="s">
        <x:v>259</x:v>
      </x:c>
      <x:c r="AK20" s="88" t="s">
        <x:v>3348</x:v>
      </x:c>
      <x:c r="AL20" s="88" t="s">
        <x:v>3349</x:v>
      </x:c>
    </x:row>
    <x:row r="21">
      <x:c r="A21" s="88" t="s">
        <x:v>3350</x:v>
      </x:c>
      <x:c r="B21" s="88" t="s">
        <x:v>3351</x:v>
      </x:c>
      <x:c r="C21" s="88" t="s">
        <x:v>3352</x:v>
      </x:c>
      <x:c r="D21" s="88" t="s">
        <x:v>3133</x:v>
      </x:c>
      <x:c r="E21" s="88" t="s">
        <x:v>342</x:v>
      </x:c>
      <x:c r="F21" s="89">
        <x:v>46013.112887743053</x:v>
      </x:c>
      <x:c r="G21" s="89">
        <x:v>46013.112887743053</x:v>
      </x:c>
      <x:c r="H21" s="89">
        <x:v>46036.305529953701</x:v>
      </x:c>
      <x:c r="I21" s="88" t="s">
        <x:v>3353</x:v>
      </x:c>
      <x:c r="J21" s="88" t="s">
        <x:v>3354</x:v>
      </x:c>
      <x:c r="K21" s="88">
        <x:v>3948</x:v>
      </x:c>
      <x:c r="L21" s="88" t="s">
        <x:v>3355</x:v>
      </x:c>
      <x:c r="M21" s="88" t="s">
        <x:v>3356</x:v>
      </x:c>
      <x:c r="N21" s="88" t="s">
        <x:v>3354</x:v>
      </x:c>
      <x:c r="O21" s="88" t="s">
        <x:v>3137</x:v>
      </x:c>
      <x:c r="P21" s="88" t="s">
        <x:v>3225</x:v>
      </x:c>
      <x:c r="Q21" s="88" t="s">
        <x:v>3357</x:v>
      </x:c>
      <x:c r="R21" s="88" t="s">
        <x:v>185</x:v>
      </x:c>
      <x:c r="S21" s="88"/>
      <x:c r="T21" s="88"/>
      <x:c r="U21" s="88" t="s">
        <x:v>1257</x:v>
      </x:c>
      <x:c r="V21" s="89">
        <x:v>46013.367824884263</x:v>
      </x:c>
      <x:c r="W21" s="88" t="s">
        <x:v>3356</x:v>
      </x:c>
      <x:c r="X21" s="88" t="s">
        <x:v>259</x:v>
      </x:c>
      <x:c r="Y21" s="88" t="s">
        <x:v>3358</x:v>
      </x:c>
      <x:c r="Z21" s="89">
        <x:v>46029.118642013891</x:v>
      </x:c>
      <x:c r="AA21" s="88" t="s">
        <x:v>2518</x:v>
      </x:c>
      <x:c r="AB21" s="88" t="s">
        <x:v>259</x:v>
      </x:c>
      <x:c r="AC21" s="88" t="s">
        <x:v>3359</x:v>
      </x:c>
      <x:c r="AD21" s="89">
        <x:v>46029.147847222222</x:v>
      </x:c>
      <x:c r="AE21" s="88" t="s">
        <x:v>3142</x:v>
      </x:c>
      <x:c r="AF21" s="88" t="s">
        <x:v>259</x:v>
      </x:c>
      <x:c r="AG21" s="88" t="s">
        <x:v>342</x:v>
      </x:c>
      <x:c r="AH21" s="89">
        <x:v>46036.305529953701</x:v>
      </x:c>
      <x:c r="AI21" s="88" t="s">
        <x:v>3360</x:v>
      </x:c>
      <x:c r="AJ21" s="88" t="s">
        <x:v>259</x:v>
      </x:c>
      <x:c r="AK21" s="88" t="s">
        <x:v>3361</x:v>
      </x:c>
      <x:c r="AL21" s="88" t="s">
        <x:v>3362</x:v>
      </x:c>
    </x:row>
    <x:row r="22">
      <x:c r="A22" s="88" t="s">
        <x:v>3363</x:v>
      </x:c>
      <x:c r="B22" s="88" t="s">
        <x:v>3364</x:v>
      </x:c>
      <x:c r="C22" s="88" t="s">
        <x:v>3365</x:v>
      </x:c>
      <x:c r="D22" s="88" t="s">
        <x:v>3133</x:v>
      </x:c>
      <x:c r="E22" s="88" t="s">
        <x:v>342</x:v>
      </x:c>
      <x:c r="F22" s="89">
        <x:v>46014.099643194444</x:v>
      </x:c>
      <x:c r="G22" s="89">
        <x:v>46014.099643194444</x:v>
      </x:c>
      <x:c r="H22" s="89">
        <x:v>46034.088129791664</x:v>
      </x:c>
      <x:c r="I22" s="88" t="s">
        <x:v>3366</x:v>
      </x:c>
      <x:c r="J22" s="88" t="s">
        <x:v>3367</x:v>
      </x:c>
      <x:c r="K22" s="88">
        <x:v>426</x:v>
      </x:c>
      <x:c r="L22" s="88" t="s">
        <x:v>3368</x:v>
      </x:c>
      <x:c r="M22" s="88" t="s">
        <x:v>3369</x:v>
      </x:c>
      <x:c r="N22" s="88" t="s">
        <x:v>3367</x:v>
      </x:c>
      <x:c r="O22" s="88" t="s">
        <x:v>3137</x:v>
      </x:c>
      <x:c r="P22" s="88" t="s">
        <x:v>3138</x:v>
      </x:c>
      <x:c r="Q22" s="88" t="s">
        <x:v>3370</x:v>
      </x:c>
      <x:c r="R22" s="88" t="s">
        <x:v>162</x:v>
      </x:c>
      <x:c r="S22" s="88"/>
      <x:c r="T22" s="88"/>
      <x:c r="U22" s="88" t="s">
        <x:v>3371</x:v>
      </x:c>
      <x:c r="V22" s="89">
        <x:v>46014.190956782404</x:v>
      </x:c>
      <x:c r="W22" s="88" t="s">
        <x:v>3372</x:v>
      </x:c>
      <x:c r="X22" s="88" t="s">
        <x:v>259</x:v>
      </x:c>
      <x:c r="Y22" s="88" t="s">
        <x:v>2021</x:v>
      </x:c>
      <x:c r="Z22" s="89">
        <x:v>46029.120835983798</x:v>
      </x:c>
      <x:c r="AA22" s="88" t="s">
        <x:v>2518</x:v>
      </x:c>
      <x:c r="AB22" s="88" t="s">
        <x:v>259</x:v>
      </x:c>
      <x:c r="AC22" s="88" t="s">
        <x:v>3373</x:v>
      </x:c>
      <x:c r="AD22" s="89">
        <x:v>46029.289683263887</x:v>
      </x:c>
      <x:c r="AE22" s="88" t="s">
        <x:v>3142</x:v>
      </x:c>
      <x:c r="AF22" s="88" t="s">
        <x:v>259</x:v>
      </x:c>
      <x:c r="AG22" s="88" t="s">
        <x:v>3184</x:v>
      </x:c>
      <x:c r="AH22" s="89">
        <x:v>46034.088129791664</x:v>
      </x:c>
      <x:c r="AI22" s="88" t="s">
        <x:v>951</x:v>
      </x:c>
      <x:c r="AJ22" s="88" t="s">
        <x:v>259</x:v>
      </x:c>
      <x:c r="AK22" s="88" t="s">
        <x:v>3374</x:v>
      </x:c>
      <x:c r="AL22" s="88" t="s">
        <x:v>3375</x:v>
      </x:c>
    </x:row>
    <x:row r="23">
      <x:c r="A23" s="88" t="s">
        <x:v>3376</x:v>
      </x:c>
      <x:c r="B23" s="88" t="s">
        <x:v>3377</x:v>
      </x:c>
      <x:c r="C23" s="88" t="s">
        <x:v>479</x:v>
      </x:c>
      <x:c r="D23" s="88" t="s">
        <x:v>3133</x:v>
      </x:c>
      <x:c r="E23" s="88" t="s">
        <x:v>342</x:v>
      </x:c>
      <x:c r="F23" s="89">
        <x:v>46015.343057465281</x:v>
      </x:c>
      <x:c r="G23" s="89">
        <x:v>46017.063949861113</x:v>
      </x:c>
      <x:c r="H23" s="89">
        <x:v>46036.127110520836</x:v>
      </x:c>
      <x:c r="I23" s="88" t="s">
        <x:v>3378</x:v>
      </x:c>
      <x:c r="J23" s="88" t="s">
        <x:v>3379</x:v>
      </x:c>
      <x:c r="K23" s="88" t="s">
        <x:v>3380</x:v>
      </x:c>
      <x:c r="L23" s="88" t="s">
        <x:v>3381</x:v>
      </x:c>
      <x:c r="M23" s="88" t="s">
        <x:v>420</x:v>
      </x:c>
      <x:c r="N23" s="88" t="s">
        <x:v>3382</x:v>
      </x:c>
      <x:c r="O23" s="88" t="s">
        <x:v>3137</x:v>
      </x:c>
      <x:c r="P23" s="88" t="s">
        <x:v>3138</x:v>
      </x:c>
      <x:c r="Q23" s="88" t="s">
        <x:v>3383</x:v>
      </x:c>
      <x:c r="R23" s="88" t="s">
        <x:v>162</x:v>
      </x:c>
      <x:c r="S23" s="88"/>
      <x:c r="T23" s="88"/>
      <x:c r="U23" s="88" t="s">
        <x:v>3384</x:v>
      </x:c>
      <x:c r="V23" s="89">
        <x:v>46017.093234837965</x:v>
      </x:c>
      <x:c r="W23" s="88" t="s">
        <x:v>420</x:v>
      </x:c>
      <x:c r="X23" s="88" t="s">
        <x:v>259</x:v>
      </x:c>
      <x:c r="Y23" s="88" t="s">
        <x:v>3385</x:v>
      </x:c>
      <x:c r="Z23" s="89">
        <x:v>46017.291103750002</x:v>
      </x:c>
      <x:c r="AA23" s="88" t="s">
        <x:v>479</x:v>
      </x:c>
      <x:c r="AB23" s="88" t="s">
        <x:v>259</x:v>
      </x:c>
      <x:c r="AC23" s="88" t="s">
        <x:v>2368</x:v>
      </x:c>
      <x:c r="AD23" s="89">
        <x:v>46027.129005972223</x:v>
      </x:c>
      <x:c r="AE23" s="88" t="s">
        <x:v>3142</x:v>
      </x:c>
      <x:c r="AF23" s="88" t="s">
        <x:v>259</x:v>
      </x:c>
      <x:c r="AG23" s="88" t="s">
        <x:v>3386</x:v>
      </x:c>
      <x:c r="AH23" s="89">
        <x:v>46036.127110532405</x:v>
      </x:c>
      <x:c r="AI23" s="88" t="s">
        <x:v>3387</x:v>
      </x:c>
      <x:c r="AJ23" s="88" t="s">
        <x:v>259</x:v>
      </x:c>
      <x:c r="AK23" s="88" t="s">
        <x:v>3388</x:v>
      </x:c>
      <x:c r="AL23" s="88" t="s">
        <x:v>3389</x:v>
      </x:c>
    </x:row>
    <x:row r="24">
      <x:c r="A24" s="88" t="s">
        <x:v>3390</x:v>
      </x:c>
      <x:c r="B24" s="88" t="s">
        <x:v>3391</x:v>
      </x:c>
      <x:c r="C24" s="88" t="s">
        <x:v>3251</x:v>
      </x:c>
      <x:c r="D24" s="88" t="s">
        <x:v>3133</x:v>
      </x:c>
      <x:c r="E24" s="88" t="s">
        <x:v>342</x:v>
      </x:c>
      <x:c r="F24" s="89">
        <x:v>46019.588303356482</x:v>
      </x:c>
      <x:c r="G24" s="89">
        <x:v>46019.588921574075</x:v>
      </x:c>
      <x:c r="H24" s="89">
        <x:v>46043.045979444447</x:v>
      </x:c>
      <x:c r="I24" s="88" t="s">
        <x:v>3252</x:v>
      </x:c>
      <x:c r="J24" s="88" t="s">
        <x:v>3253</x:v>
      </x:c>
      <x:c r="K24" s="88">
        <x:v>3578</x:v>
      </x:c>
      <x:c r="L24" s="88" t="s">
        <x:v>3254</x:v>
      </x:c>
      <x:c r="M24" s="88" t="s">
        <x:v>3255</x:v>
      </x:c>
      <x:c r="N24" s="88" t="s">
        <x:v>3256</x:v>
      </x:c>
      <x:c r="O24" s="88" t="s">
        <x:v>3137</x:v>
      </x:c>
      <x:c r="P24" s="88" t="s">
        <x:v>3173</x:v>
      </x:c>
      <x:c r="Q24" s="88" t="s">
        <x:v>3392</x:v>
      </x:c>
      <x:c r="R24" s="88" t="s">
        <x:v>185</x:v>
      </x:c>
      <x:c r="S24" s="88"/>
      <x:c r="T24" s="88"/>
      <x:c r="U24" s="88" t="s">
        <x:v>1480</x:v>
      </x:c>
      <x:c r="V24" s="89">
        <x:v>46024.122436215279</x:v>
      </x:c>
      <x:c r="W24" s="88" t="s">
        <x:v>3259</x:v>
      </x:c>
      <x:c r="X24" s="88" t="s">
        <x:v>259</x:v>
      </x:c>
      <x:c r="Y24" s="88" t="s">
        <x:v>2021</x:v>
      </x:c>
      <x:c r="Z24" s="89">
        <x:v>46029.127243391202</x:v>
      </x:c>
      <x:c r="AA24" s="88" t="s">
        <x:v>2518</x:v>
      </x:c>
      <x:c r="AB24" s="88" t="s">
        <x:v>259</x:v>
      </x:c>
      <x:c r="AC24" s="88" t="s">
        <x:v>3393</x:v>
      </x:c>
      <x:c r="AD24" s="89">
        <x:v>46031.370311516206</x:v>
      </x:c>
      <x:c r="AE24" s="88" t="s">
        <x:v>3142</x:v>
      </x:c>
      <x:c r="AF24" s="88" t="s">
        <x:v>259</x:v>
      </x:c>
      <x:c r="AG24" s="88" t="s">
        <x:v>3394</x:v>
      </x:c>
      <x:c r="AH24" s="89">
        <x:v>46043.045979444447</x:v>
      </x:c>
      <x:c r="AI24" s="88" t="s">
        <x:v>3261</x:v>
      </x:c>
      <x:c r="AJ24" s="88" t="s">
        <x:v>259</x:v>
      </x:c>
      <x:c r="AK24" s="88" t="s">
        <x:v>3395</x:v>
      </x:c>
      <x:c r="AL24" s="88" t="s">
        <x:v>3263</x:v>
      </x:c>
    </x:row>
    <x:row r="25">
      <x:c r="A25" s="88" t="s">
        <x:v>3396</x:v>
      </x:c>
      <x:c r="B25" s="88" t="s">
        <x:v>3397</x:v>
      </x:c>
      <x:c r="C25" s="88" t="s">
        <x:v>3251</x:v>
      </x:c>
      <x:c r="D25" s="88" t="s">
        <x:v>3133</x:v>
      </x:c>
      <x:c r="E25" s="88" t="s">
        <x:v>342</x:v>
      </x:c>
      <x:c r="F25" s="89">
        <x:v>46019.590001550925</x:v>
      </x:c>
      <x:c r="G25" s="89">
        <x:v>46019.590001550925</x:v>
      </x:c>
      <x:c r="H25" s="89">
        <x:v>46043.046719988422</x:v>
      </x:c>
      <x:c r="I25" s="88" t="s">
        <x:v>3252</x:v>
      </x:c>
      <x:c r="J25" s="88" t="s">
        <x:v>3253</x:v>
      </x:c>
      <x:c r="K25" s="88">
        <x:v>3578</x:v>
      </x:c>
      <x:c r="L25" s="88" t="s">
        <x:v>3254</x:v>
      </x:c>
      <x:c r="M25" s="88" t="s">
        <x:v>3255</x:v>
      </x:c>
      <x:c r="N25" s="88" t="s">
        <x:v>3256</x:v>
      </x:c>
      <x:c r="O25" s="88" t="s">
        <x:v>3137</x:v>
      </x:c>
      <x:c r="P25" s="88" t="s">
        <x:v>3138</x:v>
      </x:c>
      <x:c r="Q25" s="88" t="s">
        <x:v>3398</x:v>
      </x:c>
      <x:c r="R25" s="88" t="s">
        <x:v>162</x:v>
      </x:c>
      <x:c r="S25" s="88"/>
      <x:c r="T25" s="88"/>
      <x:c r="U25" s="88" t="s">
        <x:v>385</x:v>
      </x:c>
      <x:c r="V25" s="89">
        <x:v>46027.255640509262</x:v>
      </x:c>
      <x:c r="W25" s="88" t="s">
        <x:v>3259</x:v>
      </x:c>
      <x:c r="X25" s="88" t="s">
        <x:v>259</x:v>
      </x:c>
      <x:c r="Y25" s="88" t="s">
        <x:v>2021</x:v>
      </x:c>
      <x:c r="Z25" s="89">
        <x:v>46029.127769560182</x:v>
      </x:c>
      <x:c r="AA25" s="88" t="s">
        <x:v>2518</x:v>
      </x:c>
      <x:c r="AB25" s="88" t="s">
        <x:v>259</x:v>
      </x:c>
      <x:c r="AC25" s="88" t="s">
        <x:v>3399</x:v>
      </x:c>
      <x:c r="AD25" s="89">
        <x:v>46031.370162557869</x:v>
      </x:c>
      <x:c r="AE25" s="88" t="s">
        <x:v>3142</x:v>
      </x:c>
      <x:c r="AF25" s="88" t="s">
        <x:v>259</x:v>
      </x:c>
      <x:c r="AG25" s="88" t="s">
        <x:v>3400</x:v>
      </x:c>
      <x:c r="AH25" s="89">
        <x:v>46043.046719999998</x:v>
      </x:c>
      <x:c r="AI25" s="88" t="s">
        <x:v>3261</x:v>
      </x:c>
      <x:c r="AJ25" s="88" t="s">
        <x:v>259</x:v>
      </x:c>
      <x:c r="AK25" s="88" t="s">
        <x:v>3401</x:v>
      </x:c>
      <x:c r="AL25" s="88" t="s">
        <x:v>3263</x:v>
      </x:c>
    </x:row>
    <x:row r="26">
      <x:c r="A26" s="88" t="s">
        <x:v>3402</x:v>
      </x:c>
      <x:c r="B26" s="88" t="s">
        <x:v>3403</x:v>
      </x:c>
      <x:c r="C26" s="88" t="s">
        <x:v>3339</x:v>
      </x:c>
      <x:c r="D26" s="88" t="s">
        <x:v>3133</x:v>
      </x:c>
      <x:c r="E26" s="88" t="s">
        <x:v>249</x:v>
      </x:c>
      <x:c r="F26" s="89">
        <x:v>46020.066615810189</x:v>
      </x:c>
      <x:c r="G26" s="89">
        <x:v>46020.066615810189</x:v>
      </x:c>
      <x:c r="H26" s="89">
        <x:v>46063.410666736112</x:v>
      </x:c>
      <x:c r="I26" s="88" t="s">
        <x:v>3252</x:v>
      </x:c>
      <x:c r="J26" s="88" t="s">
        <x:v>3253</x:v>
      </x:c>
      <x:c r="K26" s="88">
        <x:v>3578</x:v>
      </x:c>
      <x:c r="L26" s="88" t="s">
        <x:v>3254</x:v>
      </x:c>
      <x:c r="M26" s="88" t="s">
        <x:v>3404</x:v>
      </x:c>
      <x:c r="N26" s="88" t="s">
        <x:v>3256</x:v>
      </x:c>
      <x:c r="O26" s="88" t="s">
        <x:v>3137</x:v>
      </x:c>
      <x:c r="P26" s="88" t="s">
        <x:v>3225</x:v>
      </x:c>
      <x:c r="Q26" s="88" t="s">
        <x:v>3405</x:v>
      </x:c>
      <x:c r="R26" s="88" t="s">
        <x:v>162</x:v>
      </x:c>
      <x:c r="S26" s="88"/>
      <x:c r="T26" s="88"/>
      <x:c r="U26" s="88" t="s">
        <x:v>3406</x:v>
      </x:c>
      <x:c r="V26" s="89">
        <x:v>46020.09593891204</x:v>
      </x:c>
      <x:c r="W26" s="88" t="s">
        <x:v>3407</x:v>
      </x:c>
      <x:c r="X26" s="88" t="s">
        <x:v>259</x:v>
      </x:c>
      <x:c r="Y26" s="88" t="s">
        <x:v>2021</x:v>
      </x:c>
      <x:c r="Z26" s="89">
        <x:v>46029.129927141206</x:v>
      </x:c>
      <x:c r="AA26" s="88" t="s">
        <x:v>2518</x:v>
      </x:c>
      <x:c r="AB26" s="88" t="s">
        <x:v>259</x:v>
      </x:c>
      <x:c r="AC26" s="88" t="s">
        <x:v>3408</x:v>
      </x:c>
      <x:c r="AD26" s="89">
        <x:v>46031.368994872682</x:v>
      </x:c>
      <x:c r="AE26" s="88" t="s">
        <x:v>3142</x:v>
      </x:c>
      <x:c r="AF26" s="88" t="s">
        <x:v>259</x:v>
      </x:c>
      <x:c r="AG26" s="88"/>
      <x:c r="AH26" s="89">
        <x:v>46063.410666736112</x:v>
      </x:c>
      <x:c r="AI26" s="88" t="s">
        <x:v>3409</x:v>
      </x:c>
      <x:c r="AJ26" s="88" t="s">
        <x:v>249</x:v>
      </x:c>
      <x:c r="AK26" s="88" t="s">
        <x:v>3410</x:v>
      </x:c>
      <x:c r="AL26" s="88" t="s">
        <x:v>3263</x:v>
      </x:c>
    </x:row>
    <x:row r="27">
      <x:c r="A27" s="88" t="s">
        <x:v>3411</x:v>
      </x:c>
      <x:c r="B27" s="88" t="s">
        <x:v>3412</x:v>
      </x:c>
      <x:c r="C27" s="88" t="s">
        <x:v>3339</x:v>
      </x:c>
      <x:c r="D27" s="88" t="s">
        <x:v>3133</x:v>
      </x:c>
      <x:c r="E27" s="88" t="s">
        <x:v>342</x:v>
      </x:c>
      <x:c r="F27" s="89">
        <x:v>46021.297245289352</x:v>
      </x:c>
      <x:c r="G27" s="89">
        <x:v>46021.297245289352</x:v>
      </x:c>
      <x:c r="H27" s="89">
        <x:v>46035.043927037033</x:v>
      </x:c>
      <x:c r="I27" s="88" t="s">
        <x:v>3252</x:v>
      </x:c>
      <x:c r="J27" s="88" t="s">
        <x:v>3253</x:v>
      </x:c>
      <x:c r="K27" s="88">
        <x:v>3578</x:v>
      </x:c>
      <x:c r="L27" s="88" t="s">
        <x:v>3254</x:v>
      </x:c>
      <x:c r="M27" s="88" t="s">
        <x:v>3404</x:v>
      </x:c>
      <x:c r="N27" s="88" t="s">
        <x:v>3256</x:v>
      </x:c>
      <x:c r="O27" s="88" t="s">
        <x:v>3137</x:v>
      </x:c>
      <x:c r="P27" s="88" t="s">
        <x:v>3225</x:v>
      </x:c>
      <x:c r="Q27" s="88" t="s">
        <x:v>3413</x:v>
      </x:c>
      <x:c r="R27" s="88" t="s">
        <x:v>162</x:v>
      </x:c>
      <x:c r="S27" s="88"/>
      <x:c r="T27" s="88"/>
      <x:c r="U27" s="88" t="s">
        <x:v>3414</x:v>
      </x:c>
      <x:c r="V27" s="89">
        <x:v>46021.317614976855</x:v>
      </x:c>
      <x:c r="W27" s="88" t="s">
        <x:v>3407</x:v>
      </x:c>
      <x:c r="X27" s="88" t="s">
        <x:v>259</x:v>
      </x:c>
      <x:c r="Y27" s="88" t="s">
        <x:v>2021</x:v>
      </x:c>
      <x:c r="Z27" s="89">
        <x:v>46029.132118194444</x:v>
      </x:c>
      <x:c r="AA27" s="88" t="s">
        <x:v>2518</x:v>
      </x:c>
      <x:c r="AB27" s="88" t="s">
        <x:v>259</x:v>
      </x:c>
      <x:c r="AC27" s="88" t="s">
        <x:v>3415</x:v>
      </x:c>
      <x:c r="AD27" s="89">
        <x:v>46031.367661284719</x:v>
      </x:c>
      <x:c r="AE27" s="88" t="s">
        <x:v>3142</x:v>
      </x:c>
      <x:c r="AF27" s="88" t="s">
        <x:v>259</x:v>
      </x:c>
      <x:c r="AG27" s="88" t="s">
        <x:v>3416</x:v>
      </x:c>
      <x:c r="AH27" s="89">
        <x:v>46035.043927048609</x:v>
      </x:c>
      <x:c r="AI27" s="88" t="s">
        <x:v>3282</x:v>
      </x:c>
      <x:c r="AJ27" s="88" t="s">
        <x:v>259</x:v>
      </x:c>
      <x:c r="AK27" s="88" t="s">
        <x:v>3417</x:v>
      </x:c>
      <x:c r="AL27" s="88" t="s">
        <x:v>3263</x:v>
      </x:c>
    </x:row>
    <x:row r="28">
      <x:c r="A28" s="88" t="s">
        <x:v>3418</x:v>
      </x:c>
      <x:c r="B28" s="88" t="s">
        <x:v>3419</x:v>
      </x:c>
      <x:c r="C28" s="88" t="s">
        <x:v>3339</x:v>
      </x:c>
      <x:c r="D28" s="88" t="s">
        <x:v>3133</x:v>
      </x:c>
      <x:c r="E28" s="88" t="s">
        <x:v>372</x:v>
      </x:c>
      <x:c r="F28" s="89">
        <x:v>46027.109265254629</x:v>
      </x:c>
      <x:c r="G28" s="89">
        <x:v>46027.109265266205</x:v>
      </x:c>
      <x:c r="H28" s="89">
        <x:v>46027.109265254629</x:v>
      </x:c>
      <x:c r="I28" s="88" t="s">
        <x:v>3252</x:v>
      </x:c>
      <x:c r="J28" s="88" t="s">
        <x:v>3253</x:v>
      </x:c>
      <x:c r="K28" s="88">
        <x:v>3578</x:v>
      </x:c>
      <x:c r="L28" s="88" t="s">
        <x:v>3254</x:v>
      </x:c>
      <x:c r="M28" s="88" t="s">
        <x:v>3404</x:v>
      </x:c>
      <x:c r="N28" s="88" t="s">
        <x:v>3256</x:v>
      </x:c>
      <x:c r="O28" s="88" t="s">
        <x:v>3137</x:v>
      </x:c>
      <x:c r="P28" s="88" t="s">
        <x:v>3225</x:v>
      </x:c>
      <x:c r="Q28" s="88" t="s">
        <x:v>3420</x:v>
      </x:c>
      <x:c r="R28" s="88"/>
      <x:c r="S28" s="88"/>
      <x:c r="T28" s="88"/>
      <x:c r="U28" s="88"/>
      <x:c r="V28" s="89"/>
      <x:c r="W28" s="88" t="s">
        <x:v>3407</x:v>
      </x:c>
      <x:c r="X28" s="88"/>
      <x:c r="Y28" s="88"/>
      <x:c r="Z28" s="89"/>
      <x:c r="AA28" s="88" t="s">
        <x:v>3206</x:v>
      </x:c>
      <x:c r="AB28" s="88"/>
      <x:c r="AC28" s="88"/>
      <x:c r="AD28" s="89"/>
      <x:c r="AE28" s="88" t="s">
        <x:v>273</x:v>
      </x:c>
      <x:c r="AF28" s="88"/>
      <x:c r="AG28" s="88"/>
      <x:c r="AH28" s="89"/>
      <x:c r="AI28" s="88" t="s">
        <x:v>3176</x:v>
      </x:c>
      <x:c r="AJ28" s="88"/>
      <x:c r="AK28" s="88"/>
      <x:c r="AL28" s="88" t="s">
        <x:v>3263</x:v>
      </x:c>
    </x:row>
    <x:row r="29">
      <x:c r="A29" s="88" t="s">
        <x:v>3421</x:v>
      </x:c>
      <x:c r="B29" s="88" t="s">
        <x:v>3422</x:v>
      </x:c>
      <x:c r="C29" s="88" t="s">
        <x:v>3003</x:v>
      </x:c>
      <x:c r="D29" s="88" t="s">
        <x:v>3133</x:v>
      </x:c>
      <x:c r="E29" s="88" t="s">
        <x:v>342</x:v>
      </x:c>
      <x:c r="F29" s="89">
        <x:v>46028.251716527775</x:v>
      </x:c>
      <x:c r="G29" s="89">
        <x:v>46030.584430277777</x:v>
      </x:c>
      <x:c r="H29" s="89">
        <x:v>46052.366578842593</x:v>
      </x:c>
      <x:c r="I29" s="88" t="s">
        <x:v>1331</x:v>
      </x:c>
      <x:c r="J29" s="88" t="s">
        <x:v>1324</x:v>
      </x:c>
      <x:c r="K29" s="88" t="s">
        <x:v>3006</x:v>
      </x:c>
      <x:c r="L29" s="88" t="s">
        <x:v>3004</x:v>
      </x:c>
      <x:c r="M29" s="88" t="s">
        <x:v>292</x:v>
      </x:c>
      <x:c r="N29" s="88" t="s">
        <x:v>3423</x:v>
      </x:c>
      <x:c r="O29" s="88" t="s">
        <x:v>3137</x:v>
      </x:c>
      <x:c r="P29" s="88" t="s">
        <x:v>3173</x:v>
      </x:c>
      <x:c r="Q29" s="88" t="s">
        <x:v>3424</x:v>
      </x:c>
      <x:c r="R29" s="88" t="s">
        <x:v>185</x:v>
      </x:c>
      <x:c r="S29" s="88"/>
      <x:c r="T29" s="88"/>
      <x:c r="U29" s="88" t="s">
        <x:v>3425</x:v>
      </x:c>
      <x:c r="V29" s="89">
        <x:v>46031.041326168983</x:v>
      </x:c>
      <x:c r="W29" s="88" t="s">
        <x:v>1449</x:v>
      </x:c>
      <x:c r="X29" s="88" t="s">
        <x:v>259</x:v>
      </x:c>
      <x:c r="Y29" s="88" t="s">
        <x:v>2021</x:v>
      </x:c>
      <x:c r="Z29" s="89">
        <x:v>46036.0871634375</x:v>
      </x:c>
      <x:c r="AA29" s="88" t="s">
        <x:v>2518</x:v>
      </x:c>
      <x:c r="AB29" s="88" t="s">
        <x:v>259</x:v>
      </x:c>
      <x:c r="AC29" s="88" t="s">
        <x:v>3426</x:v>
      </x:c>
      <x:c r="AD29" s="89">
        <x:v>46036.169004143521</x:v>
      </x:c>
      <x:c r="AE29" s="88" t="s">
        <x:v>3142</x:v>
      </x:c>
      <x:c r="AF29" s="88" t="s">
        <x:v>259</x:v>
      </x:c>
      <x:c r="AG29" s="88" t="s">
        <x:v>3427</x:v>
      </x:c>
      <x:c r="AH29" s="89">
        <x:v>46052.366578854169</x:v>
      </x:c>
      <x:c r="AI29" s="88" t="s">
        <x:v>3165</x:v>
      </x:c>
      <x:c r="AJ29" s="88" t="s">
        <x:v>259</x:v>
      </x:c>
      <x:c r="AK29" s="88" t="s">
        <x:v>3428</x:v>
      </x:c>
      <x:c r="AL29" s="88" t="s">
        <x:v>3429</x:v>
      </x:c>
    </x:row>
    <x:row r="30">
      <x:c r="A30" s="88" t="s">
        <x:v>3430</x:v>
      </x:c>
      <x:c r="B30" s="88" t="s">
        <x:v>3431</x:v>
      </x:c>
      <x:c r="C30" s="88" t="s">
        <x:v>3251</x:v>
      </x:c>
      <x:c r="D30" s="88" t="s">
        <x:v>3133</x:v>
      </x:c>
      <x:c r="E30" s="88" t="s">
        <x:v>342</x:v>
      </x:c>
      <x:c r="F30" s="89">
        <x:v>46029.140984849539</x:v>
      </x:c>
      <x:c r="G30" s="89">
        <x:v>46029.140984849539</x:v>
      </x:c>
      <x:c r="H30" s="89">
        <x:v>46042.097286759257</x:v>
      </x:c>
      <x:c r="I30" s="88" t="s">
        <x:v>3432</x:v>
      </x:c>
      <x:c r="J30" s="88" t="s">
        <x:v>3433</x:v>
      </x:c>
      <x:c r="K30" s="88">
        <x:v>4007</x:v>
      </x:c>
      <x:c r="L30" s="88" t="s">
        <x:v>3434</x:v>
      </x:c>
      <x:c r="M30" s="88" t="s">
        <x:v>3255</x:v>
      </x:c>
      <x:c r="N30" s="88" t="s">
        <x:v>3435</x:v>
      </x:c>
      <x:c r="O30" s="88" t="s">
        <x:v>3137</x:v>
      </x:c>
      <x:c r="P30" s="88" t="s">
        <x:v>3225</x:v>
      </x:c>
      <x:c r="Q30" s="88" t="s">
        <x:v>3436</x:v>
      </x:c>
      <x:c r="R30" s="88" t="s">
        <x:v>162</x:v>
      </x:c>
      <x:c r="S30" s="88"/>
      <x:c r="T30" s="88"/>
      <x:c r="U30" s="88" t="s">
        <x:v>385</x:v>
      </x:c>
      <x:c r="V30" s="89">
        <x:v>46029.145506608795</x:v>
      </x:c>
      <x:c r="W30" s="88" t="s">
        <x:v>3259</x:v>
      </x:c>
      <x:c r="X30" s="88" t="s">
        <x:v>259</x:v>
      </x:c>
      <x:c r="Y30" s="88" t="s">
        <x:v>2021</x:v>
      </x:c>
      <x:c r="Z30" s="89">
        <x:v>46030.300084039351</x:v>
      </x:c>
      <x:c r="AA30" s="88" t="s">
        <x:v>2518</x:v>
      </x:c>
      <x:c r="AB30" s="88" t="s">
        <x:v>259</x:v>
      </x:c>
      <x:c r="AC30" s="88" t="s">
        <x:v>2368</x:v>
      </x:c>
      <x:c r="AD30" s="89">
        <x:v>46037.364669965275</x:v>
      </x:c>
      <x:c r="AE30" s="88" t="s">
        <x:v>3142</x:v>
      </x:c>
      <x:c r="AF30" s="88" t="s">
        <x:v>259</x:v>
      </x:c>
      <x:c r="AG30" s="88" t="s">
        <x:v>3184</x:v>
      </x:c>
      <x:c r="AH30" s="89">
        <x:v>46042.097286770833</x:v>
      </x:c>
      <x:c r="AI30" s="88" t="s">
        <x:v>951</x:v>
      </x:c>
      <x:c r="AJ30" s="88" t="s">
        <x:v>259</x:v>
      </x:c>
      <x:c r="AK30" s="88" t="s">
        <x:v>3437</x:v>
      </x:c>
      <x:c r="AL30" s="88" t="s">
        <x:v>3438</x:v>
      </x:c>
    </x:row>
    <x:row r="31">
      <x:c r="A31" s="88" t="s">
        <x:v>3439</x:v>
      </x:c>
      <x:c r="B31" s="88" t="s">
        <x:v>3440</x:v>
      </x:c>
      <x:c r="C31" s="88" t="s">
        <x:v>3251</x:v>
      </x:c>
      <x:c r="D31" s="88" t="s">
        <x:v>3133</x:v>
      </x:c>
      <x:c r="E31" s="88" t="s">
        <x:v>342</x:v>
      </x:c>
      <x:c r="F31" s="89">
        <x:v>46029.143836875002</x:v>
      </x:c>
      <x:c r="G31" s="89">
        <x:v>46029.143836875002</x:v>
      </x:c>
      <x:c r="H31" s="89">
        <x:v>46052.063834664354</x:v>
      </x:c>
      <x:c r="I31" s="88" t="s">
        <x:v>3432</x:v>
      </x:c>
      <x:c r="J31" s="88" t="s">
        <x:v>3433</x:v>
      </x:c>
      <x:c r="K31" s="88">
        <x:v>4007</x:v>
      </x:c>
      <x:c r="L31" s="88" t="s">
        <x:v>3434</x:v>
      </x:c>
      <x:c r="M31" s="88" t="s">
        <x:v>3255</x:v>
      </x:c>
      <x:c r="N31" s="88" t="s">
        <x:v>3435</x:v>
      </x:c>
      <x:c r="O31" s="88" t="s">
        <x:v>3137</x:v>
      </x:c>
      <x:c r="P31" s="88" t="s">
        <x:v>3138</x:v>
      </x:c>
      <x:c r="Q31" s="88" t="s">
        <x:v>3441</x:v>
      </x:c>
      <x:c r="R31" s="88" t="s">
        <x:v>185</x:v>
      </x:c>
      <x:c r="S31" s="88"/>
      <x:c r="T31" s="88"/>
      <x:c r="U31" s="88" t="s">
        <x:v>2333</x:v>
      </x:c>
      <x:c r="V31" s="89">
        <x:v>46029.1452078125</x:v>
      </x:c>
      <x:c r="W31" s="88" t="s">
        <x:v>3259</x:v>
      </x:c>
      <x:c r="X31" s="88" t="s">
        <x:v>259</x:v>
      </x:c>
      <x:c r="Y31" s="88" t="s">
        <x:v>2021</x:v>
      </x:c>
      <x:c r="Z31" s="89">
        <x:v>46030.300406539354</x:v>
      </x:c>
      <x:c r="AA31" s="88" t="s">
        <x:v>2518</x:v>
      </x:c>
      <x:c r="AB31" s="88" t="s">
        <x:v>259</x:v>
      </x:c>
      <x:c r="AC31" s="88" t="s">
        <x:v>2368</x:v>
      </x:c>
      <x:c r="AD31" s="89">
        <x:v>46038.310286863423</x:v>
      </x:c>
      <x:c r="AE31" s="88" t="s">
        <x:v>3142</x:v>
      </x:c>
      <x:c r="AF31" s="88" t="s">
        <x:v>259</x:v>
      </x:c>
      <x:c r="AG31" s="88" t="s">
        <x:v>3442</x:v>
      </x:c>
      <x:c r="AH31" s="89">
        <x:v>46052.063834675922</x:v>
      </x:c>
      <x:c r="AI31" s="88" t="s">
        <x:v>3282</x:v>
      </x:c>
      <x:c r="AJ31" s="88" t="s">
        <x:v>259</x:v>
      </x:c>
      <x:c r="AK31" s="88" t="s">
        <x:v>3443</x:v>
      </x:c>
      <x:c r="AL31" s="88" t="s">
        <x:v>3438</x:v>
      </x:c>
    </x:row>
    <x:row r="32">
      <x:c r="A32" s="88" t="s">
        <x:v>3444</x:v>
      </x:c>
      <x:c r="B32" s="88" t="s">
        <x:v>3445</x:v>
      </x:c>
      <x:c r="C32" s="88" t="s">
        <x:v>3446</x:v>
      </x:c>
      <x:c r="D32" s="88" t="s">
        <x:v>3133</x:v>
      </x:c>
      <x:c r="E32" s="88" t="s">
        <x:v>342</x:v>
      </x:c>
      <x:c r="F32" s="89">
        <x:v>46029.167608518517</x:v>
      </x:c>
      <x:c r="G32" s="89">
        <x:v>46031.18630739583</x:v>
      </x:c>
      <x:c r="H32" s="89">
        <x:v>46042.148840937502</x:v>
      </x:c>
      <x:c r="I32" s="88" t="s">
        <x:v>3447</x:v>
      </x:c>
      <x:c r="J32" s="88" t="s">
        <x:v>3448</x:v>
      </x:c>
      <x:c r="K32" s="88" t="s">
        <x:v>3449</x:v>
      </x:c>
      <x:c r="L32" s="88" t="s">
        <x:v>3450</x:v>
      </x:c>
      <x:c r="M32" s="88" t="s">
        <x:v>3451</x:v>
      </x:c>
      <x:c r="N32" s="88" t="s">
        <x:v>363</x:v>
      </x:c>
      <x:c r="O32" s="88" t="s">
        <x:v>3137</x:v>
      </x:c>
      <x:c r="P32" s="88" t="s">
        <x:v>3138</x:v>
      </x:c>
      <x:c r="Q32" s="88" t="s">
        <x:v>3452</x:v>
      </x:c>
      <x:c r="R32" s="88" t="s">
        <x:v>162</x:v>
      </x:c>
      <x:c r="S32" s="88"/>
      <x:c r="T32" s="88"/>
      <x:c r="U32" s="88" t="s">
        <x:v>3453</x:v>
      </x:c>
      <x:c r="V32" s="89">
        <x:v>46031.188925162038</x:v>
      </x:c>
      <x:c r="W32" s="88" t="s">
        <x:v>3454</x:v>
      </x:c>
      <x:c r="X32" s="88" t="s">
        <x:v>259</x:v>
      </x:c>
      <x:c r="Y32" s="88" t="s">
        <x:v>2021</x:v>
      </x:c>
      <x:c r="Z32" s="89">
        <x:v>46036.088424618058</x:v>
      </x:c>
      <x:c r="AA32" s="88" t="s">
        <x:v>2518</x:v>
      </x:c>
      <x:c r="AB32" s="88" t="s">
        <x:v>259</x:v>
      </x:c>
      <x:c r="AC32" s="88" t="s">
        <x:v>3455</x:v>
      </x:c>
      <x:c r="AD32" s="89">
        <x:v>46037.360458668983</x:v>
      </x:c>
      <x:c r="AE32" s="88" t="s">
        <x:v>3142</x:v>
      </x:c>
      <x:c r="AF32" s="88" t="s">
        <x:v>259</x:v>
      </x:c>
      <x:c r="AG32" s="88" t="s">
        <x:v>3456</x:v>
      </x:c>
      <x:c r="AH32" s="89">
        <x:v>46042.148840937502</x:v>
      </x:c>
      <x:c r="AI32" s="88" t="s">
        <x:v>3185</x:v>
      </x:c>
      <x:c r="AJ32" s="88" t="s">
        <x:v>259</x:v>
      </x:c>
      <x:c r="AK32" s="88" t="s">
        <x:v>3457</x:v>
      </x:c>
      <x:c r="AL32" s="88" t="s">
        <x:v>3458</x:v>
      </x:c>
    </x:row>
    <x:row r="33">
      <x:c r="A33" s="88" t="s">
        <x:v>3459</x:v>
      </x:c>
      <x:c r="B33" s="88" t="s">
        <x:v>3460</x:v>
      </x:c>
      <x:c r="C33" s="88" t="s">
        <x:v>1516</x:v>
      </x:c>
      <x:c r="D33" s="88" t="s">
        <x:v>3133</x:v>
      </x:c>
      <x:c r="E33" s="88" t="s">
        <x:v>342</x:v>
      </x:c>
      <x:c r="F33" s="89">
        <x:v>46030.094750671298</x:v>
      </x:c>
      <x:c r="G33" s="89">
        <x:v>46036.156789305554</x:v>
      </x:c>
      <x:c r="H33" s="89">
        <x:v>46052.347681412037</x:v>
      </x:c>
      <x:c r="I33" s="88" t="s">
        <x:v>1525</x:v>
      </x:c>
      <x:c r="J33" s="88" t="s">
        <x:v>1517</x:v>
      </x:c>
      <x:c r="K33" s="88">
        <x:v>1709</x:v>
      </x:c>
      <x:c r="L33" s="88" t="s">
        <x:v>1518</x:v>
      </x:c>
      <x:c r="M33" s="88" t="s">
        <x:v>824</x:v>
      </x:c>
      <x:c r="N33" s="88" t="s">
        <x:v>1517</x:v>
      </x:c>
      <x:c r="O33" s="88" t="s">
        <x:v>3137</x:v>
      </x:c>
      <x:c r="P33" s="88" t="s">
        <x:v>3138</x:v>
      </x:c>
      <x:c r="Q33" s="88" t="s">
        <x:v>3461</x:v>
      </x:c>
      <x:c r="R33" s="88" t="s">
        <x:v>185</x:v>
      </x:c>
      <x:c r="S33" s="88"/>
      <x:c r="T33" s="88"/>
      <x:c r="U33" s="88" t="s">
        <x:v>259</x:v>
      </x:c>
      <x:c r="V33" s="89">
        <x:v>46036.158328310186</x:v>
      </x:c>
      <x:c r="W33" s="88" t="s">
        <x:v>827</x:v>
      </x:c>
      <x:c r="X33" s="88" t="s">
        <x:v>259</x:v>
      </x:c>
      <x:c r="Y33" s="88" t="s">
        <x:v>2021</x:v>
      </x:c>
      <x:c r="Z33" s="89">
        <x:v>46038.157601828701</x:v>
      </x:c>
      <x:c r="AA33" s="88" t="s">
        <x:v>2518</x:v>
      </x:c>
      <x:c r="AB33" s="88" t="s">
        <x:v>259</x:v>
      </x:c>
      <x:c r="AC33" s="88" t="s">
        <x:v>3462</x:v>
      </x:c>
      <x:c r="AD33" s="89">
        <x:v>46042.148906481481</x:v>
      </x:c>
      <x:c r="AE33" s="88" t="s">
        <x:v>3142</x:v>
      </x:c>
      <x:c r="AF33" s="88" t="s">
        <x:v>259</x:v>
      </x:c>
      <x:c r="AG33" s="88" t="s">
        <x:v>3463</x:v>
      </x:c>
      <x:c r="AH33" s="89">
        <x:v>46052.347681423613</x:v>
      </x:c>
      <x:c r="AI33" s="88" t="s">
        <x:v>3387</x:v>
      </x:c>
      <x:c r="AJ33" s="88" t="s">
        <x:v>259</x:v>
      </x:c>
      <x:c r="AK33" s="88" t="s">
        <x:v>3464</x:v>
      </x:c>
      <x:c r="AL33" s="88" t="s">
        <x:v>3465</x:v>
      </x:c>
    </x:row>
    <x:row r="34">
      <x:c r="A34" s="88" t="s">
        <x:v>3466</x:v>
      </x:c>
      <x:c r="B34" s="88" t="s">
        <x:v>3467</x:v>
      </x:c>
      <x:c r="C34" s="88" t="s">
        <x:v>3468</x:v>
      </x:c>
      <x:c r="D34" s="88" t="s">
        <x:v>3133</x:v>
      </x:c>
      <x:c r="E34" s="88" t="s">
        <x:v>342</x:v>
      </x:c>
      <x:c r="F34" s="89">
        <x:v>46030.348573506948</x:v>
      </x:c>
      <x:c r="G34" s="89">
        <x:v>46030.40290202546</x:v>
      </x:c>
      <x:c r="H34" s="89">
        <x:v>46059.111418321758</x:v>
      </x:c>
      <x:c r="I34" s="88" t="s">
        <x:v>3469</x:v>
      </x:c>
      <x:c r="J34" s="88" t="s">
        <x:v>3470</x:v>
      </x:c>
      <x:c r="K34" s="88" t="s">
        <x:v>3471</x:v>
      </x:c>
      <x:c r="L34" s="88" t="s">
        <x:v>3472</x:v>
      </x:c>
      <x:c r="M34" s="88" t="s">
        <x:v>1753</x:v>
      </x:c>
      <x:c r="N34" s="88" t="s">
        <x:v>363</x:v>
      </x:c>
      <x:c r="O34" s="88" t="s">
        <x:v>3137</x:v>
      </x:c>
      <x:c r="P34" s="88" t="s">
        <x:v>3138</x:v>
      </x:c>
      <x:c r="Q34" s="88" t="s">
        <x:v>3473</x:v>
      </x:c>
      <x:c r="R34" s="88" t="s">
        <x:v>193</x:v>
      </x:c>
      <x:c r="S34" s="88"/>
      <x:c r="T34" s="88"/>
      <x:c r="U34" s="88" t="s">
        <x:v>3474</x:v>
      </x:c>
      <x:c r="V34" s="89">
        <x:v>46030.409880694446</x:v>
      </x:c>
      <x:c r="W34" s="88" t="s">
        <x:v>1753</x:v>
      </x:c>
      <x:c r="X34" s="88" t="s">
        <x:v>259</x:v>
      </x:c>
      <x:c r="Y34" s="88" t="s">
        <x:v>2021</x:v>
      </x:c>
      <x:c r="Z34" s="89">
        <x:v>46031.083612164352</x:v>
      </x:c>
      <x:c r="AA34" s="88" t="s">
        <x:v>2518</x:v>
      </x:c>
      <x:c r="AB34" s="88" t="s">
        <x:v>259</x:v>
      </x:c>
      <x:c r="AC34" s="88" t="s">
        <x:v>3475</x:v>
      </x:c>
      <x:c r="AD34" s="89">
        <x:v>46042.158284884259</x:v>
      </x:c>
      <x:c r="AE34" s="88" t="s">
        <x:v>3142</x:v>
      </x:c>
      <x:c r="AF34" s="88" t="s">
        <x:v>259</x:v>
      </x:c>
      <x:c r="AG34" s="88" t="s">
        <x:v>353</x:v>
      </x:c>
      <x:c r="AH34" s="89">
        <x:v>46059.111418321758</x:v>
      </x:c>
      <x:c r="AI34" s="88" t="s">
        <x:v>789</x:v>
      </x:c>
      <x:c r="AJ34" s="88" t="s">
        <x:v>259</x:v>
      </x:c>
      <x:c r="AK34" s="88" t="s">
        <x:v>3476</x:v>
      </x:c>
      <x:c r="AL34" s="88" t="s">
        <x:v>3477</x:v>
      </x:c>
    </x:row>
    <x:row r="35">
      <x:c r="A35" s="88" t="s">
        <x:v>3478</x:v>
      </x:c>
      <x:c r="B35" s="88" t="s">
        <x:v>3479</x:v>
      </x:c>
      <x:c r="C35" s="88" t="s">
        <x:v>3468</x:v>
      </x:c>
      <x:c r="D35" s="88" t="s">
        <x:v>3133</x:v>
      </x:c>
      <x:c r="E35" s="88" t="s">
        <x:v>342</x:v>
      </x:c>
      <x:c r="F35" s="89">
        <x:v>46030.349644837966</x:v>
      </x:c>
      <x:c r="G35" s="89">
        <x:v>46030.401049178239</x:v>
      </x:c>
      <x:c r="H35" s="89">
        <x:v>46059.110937268517</x:v>
      </x:c>
      <x:c r="I35" s="88" t="s">
        <x:v>3480</x:v>
      </x:c>
      <x:c r="J35" s="88" t="s">
        <x:v>3481</x:v>
      </x:c>
      <x:c r="K35" s="88" t="s">
        <x:v>3482</x:v>
      </x:c>
      <x:c r="L35" s="88" t="s">
        <x:v>3472</x:v>
      </x:c>
      <x:c r="M35" s="88" t="s">
        <x:v>1753</x:v>
      </x:c>
      <x:c r="N35" s="88" t="s">
        <x:v>363</x:v>
      </x:c>
      <x:c r="O35" s="88" t="s">
        <x:v>3137</x:v>
      </x:c>
      <x:c r="P35" s="88" t="s">
        <x:v>3138</x:v>
      </x:c>
      <x:c r="Q35" s="88" t="s">
        <x:v>3483</x:v>
      </x:c>
      <x:c r="R35" s="88" t="s">
        <x:v>193</x:v>
      </x:c>
      <x:c r="S35" s="88"/>
      <x:c r="T35" s="88"/>
      <x:c r="U35" s="88" t="s">
        <x:v>3474</x:v>
      </x:c>
      <x:c r="V35" s="89">
        <x:v>46030.402824247685</x:v>
      </x:c>
      <x:c r="W35" s="88" t="s">
        <x:v>1753</x:v>
      </x:c>
      <x:c r="X35" s="88" t="s">
        <x:v>259</x:v>
      </x:c>
      <x:c r="Y35" s="88" t="s">
        <x:v>385</x:v>
      </x:c>
      <x:c r="Z35" s="89">
        <x:v>46035.117824814814</x:v>
      </x:c>
      <x:c r="AA35" s="88" t="s">
        <x:v>3484</x:v>
      </x:c>
      <x:c r="AB35" s="88" t="s">
        <x:v>259</x:v>
      </x:c>
      <x:c r="AC35" s="88" t="s">
        <x:v>3485</x:v>
      </x:c>
      <x:c r="AD35" s="89">
        <x:v>46036.351393842589</x:v>
      </x:c>
      <x:c r="AE35" s="88" t="s">
        <x:v>3142</x:v>
      </x:c>
      <x:c r="AF35" s="88" t="s">
        <x:v>259</x:v>
      </x:c>
      <x:c r="AG35" s="88" t="s">
        <x:v>353</x:v>
      </x:c>
      <x:c r="AH35" s="89">
        <x:v>46059.110937268517</x:v>
      </x:c>
      <x:c r="AI35" s="88" t="s">
        <x:v>789</x:v>
      </x:c>
      <x:c r="AJ35" s="88" t="s">
        <x:v>259</x:v>
      </x:c>
      <x:c r="AK35" s="88" t="s">
        <x:v>3486</x:v>
      </x:c>
      <x:c r="AL35" s="88" t="s">
        <x:v>3487</x:v>
      </x:c>
    </x:row>
    <x:row r="36">
      <x:c r="A36" s="88" t="s">
        <x:v>3488</x:v>
      </x:c>
      <x:c r="B36" s="88" t="s">
        <x:v>3489</x:v>
      </x:c>
      <x:c r="C36" s="88" t="s">
        <x:v>3490</x:v>
      </x:c>
      <x:c r="D36" s="88" t="s">
        <x:v>3133</x:v>
      </x:c>
      <x:c r="E36" s="88" t="s">
        <x:v>342</x:v>
      </x:c>
      <x:c r="F36" s="89">
        <x:v>46030.382989618054</x:v>
      </x:c>
      <x:c r="G36" s="89">
        <x:v>46030.392926469911</x:v>
      </x:c>
      <x:c r="H36" s="89">
        <x:v>46064.143211388888</x:v>
      </x:c>
      <x:c r="I36" s="88" t="s">
        <x:v>3491</x:v>
      </x:c>
      <x:c r="J36" s="88" t="s">
        <x:v>3492</x:v>
      </x:c>
      <x:c r="K36" s="88" t="s">
        <x:v>3493</x:v>
      </x:c>
      <x:c r="L36" s="88" t="s">
        <x:v>3492</x:v>
      </x:c>
      <x:c r="M36" s="88" t="s">
        <x:v>3494</x:v>
      </x:c>
      <x:c r="N36" s="88" t="s">
        <x:v>3495</x:v>
      </x:c>
      <x:c r="O36" s="88" t="s">
        <x:v>3137</x:v>
      </x:c>
      <x:c r="P36" s="88" t="s">
        <x:v>3225</x:v>
      </x:c>
      <x:c r="Q36" s="88" t="s">
        <x:v>3496</x:v>
      </x:c>
      <x:c r="R36" s="88" t="s">
        <x:v>193</x:v>
      </x:c>
      <x:c r="S36" s="88"/>
      <x:c r="T36" s="88"/>
      <x:c r="U36" s="88" t="s">
        <x:v>3497</x:v>
      </x:c>
      <x:c r="V36" s="89">
        <x:v>46030.395041145835</x:v>
      </x:c>
      <x:c r="W36" s="88" t="s">
        <x:v>3490</x:v>
      </x:c>
      <x:c r="X36" s="88" t="s">
        <x:v>259</x:v>
      </x:c>
      <x:c r="Y36" s="88" t="s">
        <x:v>385</x:v>
      </x:c>
      <x:c r="Z36" s="89">
        <x:v>46035.115555659722</x:v>
      </x:c>
      <x:c r="AA36" s="88" t="s">
        <x:v>3484</x:v>
      </x:c>
      <x:c r="AB36" s="88" t="s">
        <x:v>259</x:v>
      </x:c>
      <x:c r="AC36" s="88" t="s">
        <x:v>3498</x:v>
      </x:c>
      <x:c r="AD36" s="89">
        <x:v>46037.358829675926</x:v>
      </x:c>
      <x:c r="AE36" s="88" t="s">
        <x:v>3142</x:v>
      </x:c>
      <x:c r="AF36" s="88" t="s">
        <x:v>259</x:v>
      </x:c>
      <x:c r="AG36" s="88" t="s">
        <x:v>3499</x:v>
      </x:c>
      <x:c r="AH36" s="89">
        <x:v>46064.143211400464</x:v>
      </x:c>
      <x:c r="AI36" s="88" t="s">
        <x:v>3387</x:v>
      </x:c>
      <x:c r="AJ36" s="88" t="s">
        <x:v>259</x:v>
      </x:c>
      <x:c r="AK36" s="88" t="s">
        <x:v>3500</x:v>
      </x:c>
      <x:c r="AL36" s="88" t="s">
        <x:v>3501</x:v>
      </x:c>
    </x:row>
    <x:row r="37">
      <x:c r="A37" s="88" t="s">
        <x:v>3502</x:v>
      </x:c>
      <x:c r="B37" s="88" t="s">
        <x:v>3503</x:v>
      </x:c>
      <x:c r="C37" s="88" t="s">
        <x:v>1623</x:v>
      </x:c>
      <x:c r="D37" s="88" t="s">
        <x:v>3133</x:v>
      </x:c>
      <x:c r="E37" s="88" t="s">
        <x:v>342</x:v>
      </x:c>
      <x:c r="F37" s="89">
        <x:v>46030.402267175923</x:v>
      </x:c>
      <x:c r="G37" s="89">
        <x:v>46030.402267175923</x:v>
      </x:c>
      <x:c r="H37" s="89">
        <x:v>46058.263396527778</x:v>
      </x:c>
      <x:c r="I37" s="88" t="s">
        <x:v>3504</x:v>
      </x:c>
      <x:c r="J37" s="88" t="s">
        <x:v>3505</x:v>
      </x:c>
      <x:c r="K37" s="88" t="s">
        <x:v>3506</x:v>
      </x:c>
      <x:c r="L37" s="88" t="s">
        <x:v>3507</x:v>
      </x:c>
      <x:c r="M37" s="88" t="s">
        <x:v>420</x:v>
      </x:c>
      <x:c r="N37" s="88" t="s">
        <x:v>3508</x:v>
      </x:c>
      <x:c r="O37" s="88" t="s">
        <x:v>3137</x:v>
      </x:c>
      <x:c r="P37" s="88" t="s">
        <x:v>3138</x:v>
      </x:c>
      <x:c r="Q37" s="88" t="s">
        <x:v>3509</x:v>
      </x:c>
      <x:c r="R37" s="88" t="s">
        <x:v>185</x:v>
      </x:c>
      <x:c r="S37" s="88"/>
      <x:c r="T37" s="88"/>
      <x:c r="U37" s="88" t="s">
        <x:v>3510</x:v>
      </x:c>
      <x:c r="V37" s="89">
        <x:v>46031.06285894676</x:v>
      </x:c>
      <x:c r="W37" s="88" t="s">
        <x:v>420</x:v>
      </x:c>
      <x:c r="X37" s="88" t="s">
        <x:v>259</x:v>
      </x:c>
      <x:c r="Y37" s="88" t="s">
        <x:v>2021</x:v>
      </x:c>
      <x:c r="Z37" s="89">
        <x:v>46031.081230509262</x:v>
      </x:c>
      <x:c r="AA37" s="88" t="s">
        <x:v>2518</x:v>
      </x:c>
      <x:c r="AB37" s="88" t="s">
        <x:v>259</x:v>
      </x:c>
      <x:c r="AC37" s="88" t="s">
        <x:v>3511</x:v>
      </x:c>
      <x:c r="AD37" s="89">
        <x:v>46031.08342653935</x:v>
      </x:c>
      <x:c r="AE37" s="88" t="s">
        <x:v>3142</x:v>
      </x:c>
      <x:c r="AF37" s="88" t="s">
        <x:v>259</x:v>
      </x:c>
      <x:c r="AG37" s="88" t="s">
        <x:v>3512</x:v>
      </x:c>
      <x:c r="AH37" s="89">
        <x:v>46058.263396550923</x:v>
      </x:c>
      <x:c r="AI37" s="88" t="s">
        <x:v>420</x:v>
      </x:c>
      <x:c r="AJ37" s="88" t="s">
        <x:v>259</x:v>
      </x:c>
      <x:c r="AK37" s="88" t="s">
        <x:v>3513</x:v>
      </x:c>
      <x:c r="AL37" s="88" t="s">
        <x:v>3514</x:v>
      </x:c>
    </x:row>
    <x:row r="38">
      <x:c r="A38" s="88" t="s">
        <x:v>3515</x:v>
      </x:c>
      <x:c r="B38" s="88" t="s">
        <x:v>3516</x:v>
      </x:c>
      <x:c r="C38" s="88" t="s">
        <x:v>1623</x:v>
      </x:c>
      <x:c r="D38" s="88" t="s">
        <x:v>3133</x:v>
      </x:c>
      <x:c r="E38" s="88" t="s">
        <x:v>342</x:v>
      </x:c>
      <x:c r="F38" s="89">
        <x:v>46030.403181620371</x:v>
      </x:c>
      <x:c r="G38" s="89">
        <x:v>46030.403181620371</x:v>
      </x:c>
      <x:c r="H38" s="89">
        <x:v>46058.264019050926</x:v>
      </x:c>
      <x:c r="I38" s="88" t="s">
        <x:v>3504</x:v>
      </x:c>
      <x:c r="J38" s="88" t="s">
        <x:v>3505</x:v>
      </x:c>
      <x:c r="K38" s="88" t="s">
        <x:v>3506</x:v>
      </x:c>
      <x:c r="L38" s="88" t="s">
        <x:v>3507</x:v>
      </x:c>
      <x:c r="M38" s="88" t="s">
        <x:v>420</x:v>
      </x:c>
      <x:c r="N38" s="88" t="s">
        <x:v>3508</x:v>
      </x:c>
      <x:c r="O38" s="88" t="s">
        <x:v>3137</x:v>
      </x:c>
      <x:c r="P38" s="88" t="s">
        <x:v>3173</x:v>
      </x:c>
      <x:c r="Q38" s="88" t="s">
        <x:v>3509</x:v>
      </x:c>
      <x:c r="R38" s="88" t="s">
        <x:v>185</x:v>
      </x:c>
      <x:c r="S38" s="88"/>
      <x:c r="T38" s="88"/>
      <x:c r="U38" s="88" t="s">
        <x:v>3510</x:v>
      </x:c>
      <x:c r="V38" s="89">
        <x:v>46031.063656631944</x:v>
      </x:c>
      <x:c r="W38" s="88" t="s">
        <x:v>420</x:v>
      </x:c>
      <x:c r="X38" s="88" t="s">
        <x:v>259</x:v>
      </x:c>
      <x:c r="Y38" s="88" t="s">
        <x:v>2021</x:v>
      </x:c>
      <x:c r="Z38" s="89">
        <x:v>46031.083302905092</x:v>
      </x:c>
      <x:c r="AA38" s="88" t="s">
        <x:v>2518</x:v>
      </x:c>
      <x:c r="AB38" s="88" t="s">
        <x:v>259</x:v>
      </x:c>
      <x:c r="AC38" s="88" t="s">
        <x:v>3511</x:v>
      </x:c>
      <x:c r="AD38" s="89">
        <x:v>46031.083865416666</x:v>
      </x:c>
      <x:c r="AE38" s="88" t="s">
        <x:v>3142</x:v>
      </x:c>
      <x:c r="AF38" s="88" t="s">
        <x:v>259</x:v>
      </x:c>
      <x:c r="AG38" s="88" t="s">
        <x:v>3512</x:v>
      </x:c>
      <x:c r="AH38" s="89">
        <x:v>46058.264019062502</x:v>
      </x:c>
      <x:c r="AI38" s="88" t="s">
        <x:v>420</x:v>
      </x:c>
      <x:c r="AJ38" s="88" t="s">
        <x:v>259</x:v>
      </x:c>
      <x:c r="AK38" s="88" t="s">
        <x:v>3517</x:v>
      </x:c>
      <x:c r="AL38" s="88" t="s">
        <x:v>3514</x:v>
      </x:c>
    </x:row>
    <x:row r="39">
      <x:c r="A39" s="88" t="s">
        <x:v>3518</x:v>
      </x:c>
      <x:c r="B39" s="88" t="s">
        <x:v>3519</x:v>
      </x:c>
      <x:c r="C39" s="88" t="s">
        <x:v>3520</x:v>
      </x:c>
      <x:c r="D39" s="88" t="s">
        <x:v>3133</x:v>
      </x:c>
      <x:c r="E39" s="88" t="s">
        <x:v>249</x:v>
      </x:c>
      <x:c r="F39" s="89">
        <x:v>46031.371606666668</x:v>
      </x:c>
      <x:c r="G39" s="89">
        <x:v>46036.140256620369</x:v>
      </x:c>
      <x:c r="H39" s="89">
        <x:v>46044.070796597225</x:v>
      </x:c>
      <x:c r="I39" s="88" t="s">
        <x:v>3521</x:v>
      </x:c>
      <x:c r="J39" s="88" t="s">
        <x:v>3522</x:v>
      </x:c>
      <x:c r="K39" s="88" t="s">
        <x:v>3523</x:v>
      </x:c>
      <x:c r="L39" s="88" t="s">
        <x:v>3524</x:v>
      </x:c>
      <x:c r="M39" s="88" t="s">
        <x:v>3525</x:v>
      </x:c>
      <x:c r="N39" s="88" t="s">
        <x:v>3526</x:v>
      </x:c>
      <x:c r="O39" s="88" t="s">
        <x:v>3203</x:v>
      </x:c>
      <x:c r="P39" s="88" t="s">
        <x:v>3173</x:v>
      </x:c>
      <x:c r="Q39" s="88" t="s">
        <x:v>3527</x:v>
      </x:c>
      <x:c r="R39" s="88"/>
      <x:c r="S39" s="88"/>
      <x:c r="T39" s="88"/>
      <x:c r="U39" s="88" t="s">
        <x:v>3528</x:v>
      </x:c>
      <x:c r="V39" s="89">
        <x:v>46036.260428784721</x:v>
      </x:c>
      <x:c r="W39" s="88" t="s">
        <x:v>1074</x:v>
      </x:c>
      <x:c r="X39" s="88" t="s">
        <x:v>259</x:v>
      </x:c>
      <x:c r="Y39" s="88" t="s">
        <x:v>3529</x:v>
      </x:c>
      <x:c r="Z39" s="89">
        <x:v>46044.070796597225</x:v>
      </x:c>
      <x:c r="AA39" s="88" t="s">
        <x:v>2518</x:v>
      </x:c>
      <x:c r="AB39" s="88" t="s">
        <x:v>249</x:v>
      </x:c>
      <x:c r="AC39" s="88"/>
      <x:c r="AD39" s="89"/>
      <x:c r="AE39" s="88" t="s">
        <x:v>273</x:v>
      </x:c>
      <x:c r="AF39" s="88"/>
      <x:c r="AG39" s="88"/>
      <x:c r="AH39" s="89"/>
      <x:c r="AI39" s="88" t="s">
        <x:v>3176</x:v>
      </x:c>
      <x:c r="AJ39" s="88"/>
      <x:c r="AK39" s="88"/>
      <x:c r="AL39" s="88" t="s">
        <x:v>3530</x:v>
      </x:c>
    </x:row>
    <x:row r="40">
      <x:c r="A40" s="88" t="s">
        <x:v>3531</x:v>
      </x:c>
      <x:c r="B40" s="88" t="s">
        <x:v>3532</x:v>
      </x:c>
      <x:c r="C40" s="88" t="s">
        <x:v>309</x:v>
      </x:c>
      <x:c r="D40" s="88" t="s">
        <x:v>3133</x:v>
      </x:c>
      <x:c r="E40" s="88" t="s">
        <x:v>342</x:v>
      </x:c>
      <x:c r="F40" s="89">
        <x:v>46034.075134583334</x:v>
      </x:c>
      <x:c r="G40" s="89">
        <x:v>46034.075134583334</x:v>
      </x:c>
      <x:c r="H40" s="89">
        <x:v>46036.183830590278</x:v>
      </x:c>
      <x:c r="I40" s="88" t="s">
        <x:v>2511</x:v>
      </x:c>
      <x:c r="J40" s="88" t="s">
        <x:v>2505</x:v>
      </x:c>
      <x:c r="K40" s="88" t="s">
        <x:v>3533</x:v>
      </x:c>
      <x:c r="L40" s="88" t="s">
        <x:v>3534</x:v>
      </x:c>
      <x:c r="M40" s="88" t="s">
        <x:v>420</x:v>
      </x:c>
      <x:c r="N40" s="88" t="s">
        <x:v>3534</x:v>
      </x:c>
      <x:c r="O40" s="88" t="s">
        <x:v>3137</x:v>
      </x:c>
      <x:c r="P40" s="88" t="s">
        <x:v>3138</x:v>
      </x:c>
      <x:c r="Q40" s="88" t="s">
        <x:v>3535</x:v>
      </x:c>
      <x:c r="R40" s="88" t="s">
        <x:v>162</x:v>
      </x:c>
      <x:c r="S40" s="88"/>
      <x:c r="T40" s="88"/>
      <x:c r="U40" s="88" t="s">
        <x:v>3536</x:v>
      </x:c>
      <x:c r="V40" s="89">
        <x:v>46034.076343206019</x:v>
      </x:c>
      <x:c r="W40" s="88" t="s">
        <x:v>420</x:v>
      </x:c>
      <x:c r="X40" s="88" t="s">
        <x:v>259</x:v>
      </x:c>
      <x:c r="Y40" s="88" t="s">
        <x:v>259</x:v>
      </x:c>
      <x:c r="Z40" s="89">
        <x:v>46034.093785370373</x:v>
      </x:c>
      <x:c r="AA40" s="88" t="s">
        <x:v>3484</x:v>
      </x:c>
      <x:c r="AB40" s="88" t="s">
        <x:v>259</x:v>
      </x:c>
      <x:c r="AC40" s="88" t="s">
        <x:v>3537</x:v>
      </x:c>
      <x:c r="AD40" s="89">
        <x:v>46034.097761157405</x:v>
      </x:c>
      <x:c r="AE40" s="88" t="s">
        <x:v>309</x:v>
      </x:c>
      <x:c r="AF40" s="88" t="s">
        <x:v>259</x:v>
      </x:c>
      <x:c r="AG40" s="88" t="s">
        <x:v>353</x:v>
      </x:c>
      <x:c r="AH40" s="89">
        <x:v>46036.183830601854</x:v>
      </x:c>
      <x:c r="AI40" s="88" t="s">
        <x:v>3538</x:v>
      </x:c>
      <x:c r="AJ40" s="88" t="s">
        <x:v>259</x:v>
      </x:c>
      <x:c r="AK40" s="88" t="s">
        <x:v>3539</x:v>
      </x:c>
      <x:c r="AL40" s="88" t="s">
        <x:v>3540</x:v>
      </x:c>
    </x:row>
    <x:row r="41">
      <x:c r="A41" s="88" t="s">
        <x:v>3541</x:v>
      </x:c>
      <x:c r="B41" s="88" t="s">
        <x:v>3542</x:v>
      </x:c>
      <x:c r="C41" s="88" t="s">
        <x:v>1268</x:v>
      </x:c>
      <x:c r="D41" s="88" t="s">
        <x:v>3133</x:v>
      </x:c>
      <x:c r="E41" s="88" t="s">
        <x:v>342</x:v>
      </x:c>
      <x:c r="F41" s="89">
        <x:v>46034.180042164349</x:v>
      </x:c>
      <x:c r="G41" s="89">
        <x:v>46034.180042164349</x:v>
      </x:c>
      <x:c r="H41" s="89">
        <x:v>46064.171301736111</x:v>
      </x:c>
      <x:c r="I41" s="88" t="s">
        <x:v>1277</x:v>
      </x:c>
      <x:c r="J41" s="88" t="s">
        <x:v>1269</x:v>
      </x:c>
      <x:c r="K41" s="88">
        <x:v>1116</x:v>
      </x:c>
      <x:c r="L41" s="88" t="s">
        <x:v>1270</x:v>
      </x:c>
      <x:c r="M41" s="88" t="s">
        <x:v>1662</x:v>
      </x:c>
      <x:c r="N41" s="88" t="s">
        <x:v>3543</x:v>
      </x:c>
      <x:c r="O41" s="88" t="s">
        <x:v>3137</x:v>
      </x:c>
      <x:c r="P41" s="88" t="s">
        <x:v>3138</x:v>
      </x:c>
      <x:c r="Q41" s="88" t="s">
        <x:v>3544</x:v>
      </x:c>
      <x:c r="R41" s="88" t="s">
        <x:v>162</x:v>
      </x:c>
      <x:c r="S41" s="88"/>
      <x:c r="T41" s="88"/>
      <x:c r="U41" s="88" t="s">
        <x:v>3545</x:v>
      </x:c>
      <x:c r="V41" s="89">
        <x:v>46035.096823715277</x:v>
      </x:c>
      <x:c r="W41" s="88" t="s">
        <x:v>784</x:v>
      </x:c>
      <x:c r="X41" s="88" t="s">
        <x:v>259</x:v>
      </x:c>
      <x:c r="Y41" s="88" t="s">
        <x:v>2021</x:v>
      </x:c>
      <x:c r="Z41" s="89">
        <x:v>46036.094710972226</x:v>
      </x:c>
      <x:c r="AA41" s="88" t="s">
        <x:v>2518</x:v>
      </x:c>
      <x:c r="AB41" s="88" t="s">
        <x:v>259</x:v>
      </x:c>
      <x:c r="AC41" s="88" t="s">
        <x:v>3546</x:v>
      </x:c>
      <x:c r="AD41" s="89">
        <x:v>46036.129204594909</x:v>
      </x:c>
      <x:c r="AE41" s="88" t="s">
        <x:v>3142</x:v>
      </x:c>
      <x:c r="AF41" s="88" t="s">
        <x:v>259</x:v>
      </x:c>
      <x:c r="AG41" s="88" t="s">
        <x:v>342</x:v>
      </x:c>
      <x:c r="AH41" s="89">
        <x:v>46064.171301747687</x:v>
      </x:c>
      <x:c r="AI41" s="88" t="s">
        <x:v>3547</x:v>
      </x:c>
      <x:c r="AJ41" s="88" t="s">
        <x:v>259</x:v>
      </x:c>
      <x:c r="AK41" s="88" t="s">
        <x:v>3548</x:v>
      </x:c>
      <x:c r="AL41" s="88" t="s">
        <x:v>3549</x:v>
      </x:c>
    </x:row>
    <x:row r="42">
      <x:c r="A42" s="88" t="s">
        <x:v>3550</x:v>
      </x:c>
      <x:c r="B42" s="88" t="s">
        <x:v>3551</x:v>
      </x:c>
      <x:c r="C42" s="88" t="s">
        <x:v>1776</x:v>
      </x:c>
      <x:c r="D42" s="88" t="s">
        <x:v>3133</x:v>
      </x:c>
      <x:c r="E42" s="88" t="s">
        <x:v>342</x:v>
      </x:c>
      <x:c r="F42" s="89">
        <x:v>46035.317188009256</x:v>
      </x:c>
      <x:c r="G42" s="89">
        <x:v>46038.207924814815</x:v>
      </x:c>
      <x:c r="H42" s="89">
        <x:v>46064.286271944446</x:v>
      </x:c>
      <x:c r="I42" s="88" t="s">
        <x:v>1785</x:v>
      </x:c>
      <x:c r="J42" s="88" t="s">
        <x:v>1777</x:v>
      </x:c>
      <x:c r="K42" s="88">
        <x:v>2902</x:v>
      </x:c>
      <x:c r="L42" s="88" t="s">
        <x:v>1778</x:v>
      </x:c>
      <x:c r="M42" s="88" t="s">
        <x:v>1779</x:v>
      </x:c>
      <x:c r="N42" s="88" t="s">
        <x:v>3552</x:v>
      </x:c>
      <x:c r="O42" s="88" t="s">
        <x:v>3137</x:v>
      </x:c>
      <x:c r="P42" s="88" t="s">
        <x:v>3138</x:v>
      </x:c>
      <x:c r="Q42" s="88" t="s">
        <x:v>3553</x:v>
      </x:c>
      <x:c r="R42" s="88" t="s">
        <x:v>185</x:v>
      </x:c>
      <x:c r="S42" s="88"/>
      <x:c r="T42" s="88"/>
      <x:c r="U42" s="88" t="s">
        <x:v>3554</x:v>
      </x:c>
      <x:c r="V42" s="89">
        <x:v>46043.17292675926</x:v>
      </x:c>
      <x:c r="W42" s="88" t="s">
        <x:v>1782</x:v>
      </x:c>
      <x:c r="X42" s="88" t="s">
        <x:v>259</x:v>
      </x:c>
      <x:c r="Y42" s="88" t="s">
        <x:v>2021</x:v>
      </x:c>
      <x:c r="Z42" s="89">
        <x:v>46044.074134953706</x:v>
      </x:c>
      <x:c r="AA42" s="88" t="s">
        <x:v>2518</x:v>
      </x:c>
      <x:c r="AB42" s="88" t="s">
        <x:v>259</x:v>
      </x:c>
      <x:c r="AC42" s="88" t="s">
        <x:v>2368</x:v>
      </x:c>
      <x:c r="AD42" s="89">
        <x:v>46057.865252916665</x:v>
      </x:c>
      <x:c r="AE42" s="88" t="s">
        <x:v>3142</x:v>
      </x:c>
      <x:c r="AF42" s="88" t="s">
        <x:v>259</x:v>
      </x:c>
      <x:c r="AG42" s="88" t="s">
        <x:v>3555</x:v>
      </x:c>
      <x:c r="AH42" s="89">
        <x:v>46064.286271956022</x:v>
      </x:c>
      <x:c r="AI42" s="88" t="s">
        <x:v>479</x:v>
      </x:c>
      <x:c r="AJ42" s="88" t="s">
        <x:v>259</x:v>
      </x:c>
      <x:c r="AK42" s="88" t="s">
        <x:v>3556</x:v>
      </x:c>
      <x:c r="AL42" s="88" t="s">
        <x:v>3557</x:v>
      </x:c>
    </x:row>
    <x:row r="43">
      <x:c r="A43" s="88" t="s">
        <x:v>3558</x:v>
      </x:c>
      <x:c r="B43" s="88" t="s">
        <x:v>3559</x:v>
      </x:c>
      <x:c r="C43" s="88" t="s">
        <x:v>1776</x:v>
      </x:c>
      <x:c r="D43" s="88" t="s">
        <x:v>3133</x:v>
      </x:c>
      <x:c r="E43" s="88" t="s">
        <x:v>342</x:v>
      </x:c>
      <x:c r="F43" s="89">
        <x:v>46035.325043784724</x:v>
      </x:c>
      <x:c r="G43" s="89">
        <x:v>46038.227984537036</x:v>
      </x:c>
      <x:c r="H43" s="89">
        <x:v>46062.270887916668</x:v>
      </x:c>
      <x:c r="I43" s="88" t="s">
        <x:v>1785</x:v>
      </x:c>
      <x:c r="J43" s="88" t="s">
        <x:v>1777</x:v>
      </x:c>
      <x:c r="K43" s="88">
        <x:v>2902</x:v>
      </x:c>
      <x:c r="L43" s="88" t="s">
        <x:v>1778</x:v>
      </x:c>
      <x:c r="M43" s="88" t="s">
        <x:v>1779</x:v>
      </x:c>
      <x:c r="N43" s="88" t="s">
        <x:v>3552</x:v>
      </x:c>
      <x:c r="O43" s="88" t="s">
        <x:v>3203</x:v>
      </x:c>
      <x:c r="P43" s="88" t="s">
        <x:v>3225</x:v>
      </x:c>
      <x:c r="Q43" s="88" t="s">
        <x:v>3560</x:v>
      </x:c>
      <x:c r="R43" s="88" t="s">
        <x:v>193</x:v>
      </x:c>
      <x:c r="S43" s="88"/>
      <x:c r="T43" s="88"/>
      <x:c r="U43" s="88" t="s">
        <x:v>3561</x:v>
      </x:c>
      <x:c r="V43" s="89">
        <x:v>46038.355093391205</x:v>
      </x:c>
      <x:c r="W43" s="88" t="s">
        <x:v>1782</x:v>
      </x:c>
      <x:c r="X43" s="88" t="s">
        <x:v>259</x:v>
      </x:c>
      <x:c r="Y43" s="88" t="s">
        <x:v>2021</x:v>
      </x:c>
      <x:c r="Z43" s="89">
        <x:v>46044.074913622688</x:v>
      </x:c>
      <x:c r="AA43" s="88" t="s">
        <x:v>2518</x:v>
      </x:c>
      <x:c r="AB43" s="88" t="s">
        <x:v>259</x:v>
      </x:c>
      <x:c r="AC43" s="88" t="s">
        <x:v>3308</x:v>
      </x:c>
      <x:c r="AD43" s="89">
        <x:v>46051.255481157408</x:v>
      </x:c>
      <x:c r="AE43" s="88" t="s">
        <x:v>3142</x:v>
      </x:c>
      <x:c r="AF43" s="88" t="s">
        <x:v>259</x:v>
      </x:c>
      <x:c r="AG43" s="88" t="s">
        <x:v>3562</x:v>
      </x:c>
      <x:c r="AH43" s="89">
        <x:v>46062.270887928244</x:v>
      </x:c>
      <x:c r="AI43" s="88" t="s">
        <x:v>3310</x:v>
      </x:c>
      <x:c r="AJ43" s="88" t="s">
        <x:v>259</x:v>
      </x:c>
      <x:c r="AK43" s="88" t="s">
        <x:v>3563</x:v>
      </x:c>
      <x:c r="AL43" s="88" t="s">
        <x:v>3557</x:v>
      </x:c>
    </x:row>
    <x:row r="44">
      <x:c r="A44" s="88" t="s">
        <x:v>3564</x:v>
      </x:c>
      <x:c r="B44" s="88" t="s">
        <x:v>3565</x:v>
      </x:c>
      <x:c r="C44" s="88" t="s">
        <x:v>3286</x:v>
      </x:c>
      <x:c r="D44" s="88" t="s">
        <x:v>3133</x:v>
      </x:c>
      <x:c r="E44" s="88" t="s">
        <x:v>342</x:v>
      </x:c>
      <x:c r="F44" s="89">
        <x:v>46035.40910582176</x:v>
      </x:c>
      <x:c r="G44" s="89">
        <x:v>46050.335676249997</x:v>
      </x:c>
      <x:c r="H44" s="89">
        <x:v>46064.287192326388</x:v>
      </x:c>
      <x:c r="I44" s="88" t="s">
        <x:v>3287</x:v>
      </x:c>
      <x:c r="J44" s="88" t="s">
        <x:v>3288</x:v>
      </x:c>
      <x:c r="K44" s="88">
        <x:v>1687</x:v>
      </x:c>
      <x:c r="L44" s="88" t="s">
        <x:v>3289</x:v>
      </x:c>
      <x:c r="M44" s="88" t="s">
        <x:v>3290</x:v>
      </x:c>
      <x:c r="N44" s="88" t="s">
        <x:v>3291</x:v>
      </x:c>
      <x:c r="O44" s="88" t="s">
        <x:v>3203</x:v>
      </x:c>
      <x:c r="P44" s="88" t="s">
        <x:v>3138</x:v>
      </x:c>
      <x:c r="Q44" s="88" t="s">
        <x:v>3566</x:v>
      </x:c>
      <x:c r="R44" s="88" t="s">
        <x:v>185</x:v>
      </x:c>
      <x:c r="S44" s="88" t="s">
        <x:v>3567</x:v>
      </x:c>
      <x:c r="T44" s="88"/>
      <x:c r="U44" s="88" t="s">
        <x:v>3568</x:v>
      </x:c>
      <x:c r="V44" s="89">
        <x:v>46050.996731956016</x:v>
      </x:c>
      <x:c r="W44" s="88" t="s">
        <x:v>3294</x:v>
      </x:c>
      <x:c r="X44" s="88" t="s">
        <x:v>259</x:v>
      </x:c>
      <x:c r="Y44" s="88" t="s">
        <x:v>2021</x:v>
      </x:c>
      <x:c r="Z44" s="89">
        <x:v>46051.138832986115</x:v>
      </x:c>
      <x:c r="AA44" s="88" t="s">
        <x:v>2518</x:v>
      </x:c>
      <x:c r="AB44" s="88" t="s">
        <x:v>259</x:v>
      </x:c>
      <x:c r="AC44" s="88" t="s">
        <x:v>3569</x:v>
      </x:c>
      <x:c r="AD44" s="89">
        <x:v>46057.863137430555</x:v>
      </x:c>
      <x:c r="AE44" s="88" t="s">
        <x:v>3142</x:v>
      </x:c>
      <x:c r="AF44" s="88" t="s">
        <x:v>259</x:v>
      </x:c>
      <x:c r="AG44" s="88" t="s">
        <x:v>3570</x:v>
      </x:c>
      <x:c r="AH44" s="89">
        <x:v>46064.287192337964</x:v>
      </x:c>
      <x:c r="AI44" s="88" t="s">
        <x:v>479</x:v>
      </x:c>
      <x:c r="AJ44" s="88" t="s">
        <x:v>259</x:v>
      </x:c>
      <x:c r="AK44" s="88" t="s">
        <x:v>3571</x:v>
      </x:c>
      <x:c r="AL44" s="88" t="s">
        <x:v>3298</x:v>
      </x:c>
    </x:row>
    <x:row r="45">
      <x:c r="A45" s="88" t="s">
        <x:v>3572</x:v>
      </x:c>
      <x:c r="B45" s="88" t="s">
        <x:v>3573</x:v>
      </x:c>
      <x:c r="C45" s="88" t="s">
        <x:v>3574</x:v>
      </x:c>
      <x:c r="D45" s="88" t="s">
        <x:v>3133</x:v>
      </x:c>
      <x:c r="E45" s="88" t="s">
        <x:v>249</x:v>
      </x:c>
      <x:c r="F45" s="89">
        <x:v>46043.341703472222</x:v>
      </x:c>
      <x:c r="G45" s="89">
        <x:v>46043.341703472222</x:v>
      </x:c>
      <x:c r="H45" s="89">
        <x:v>46050.127260590278</x:v>
      </x:c>
      <x:c r="I45" s="88" t="s">
        <x:v>3575</x:v>
      </x:c>
      <x:c r="J45" s="88" t="s">
        <x:v>3576</x:v>
      </x:c>
      <x:c r="K45" s="88" t="s">
        <x:v>3577</x:v>
      </x:c>
      <x:c r="L45" s="88" t="s">
        <x:v>3578</x:v>
      </x:c>
      <x:c r="M45" s="88" t="s">
        <x:v>3579</x:v>
      </x:c>
      <x:c r="N45" s="88" t="s">
        <x:v>3580</x:v>
      </x:c>
      <x:c r="O45" s="88" t="s">
        <x:v>3137</x:v>
      </x:c>
      <x:c r="P45" s="88" t="s">
        <x:v>3173</x:v>
      </x:c>
      <x:c r="Q45" s="88" t="s">
        <x:v>3581</x:v>
      </x:c>
      <x:c r="R45" s="88"/>
      <x:c r="S45" s="88"/>
      <x:c r="T45" s="88"/>
      <x:c r="U45" s="88" t="s">
        <x:v>3582</x:v>
      </x:c>
      <x:c r="V45" s="89">
        <x:v>46043.344392523148</x:v>
      </x:c>
      <x:c r="W45" s="88" t="s">
        <x:v>3583</x:v>
      </x:c>
      <x:c r="X45" s="88" t="s">
        <x:v>259</x:v>
      </x:c>
      <x:c r="Y45" s="88" t="s">
        <x:v>3584</x:v>
      </x:c>
      <x:c r="Z45" s="89">
        <x:v>46050.127260590278</x:v>
      </x:c>
      <x:c r="AA45" s="88" t="s">
        <x:v>3484</x:v>
      </x:c>
      <x:c r="AB45" s="88" t="s">
        <x:v>249</x:v>
      </x:c>
      <x:c r="AC45" s="88"/>
      <x:c r="AD45" s="89"/>
      <x:c r="AE45" s="88" t="s">
        <x:v>273</x:v>
      </x:c>
      <x:c r="AF45" s="88"/>
      <x:c r="AG45" s="88"/>
      <x:c r="AH45" s="89"/>
      <x:c r="AI45" s="88" t="s">
        <x:v>3176</x:v>
      </x:c>
      <x:c r="AJ45" s="88"/>
      <x:c r="AK45" s="88"/>
      <x:c r="AL45" s="88" t="s">
        <x:v>3585</x:v>
      </x:c>
    </x:row>
    <x:row r="46">
      <x:c r="A46" s="88" t="s">
        <x:v>3586</x:v>
      </x:c>
      <x:c r="B46" s="88" t="s">
        <x:v>3587</x:v>
      </x:c>
      <x:c r="C46" s="88" t="s">
        <x:v>3588</x:v>
      </x:c>
      <x:c r="D46" s="88" t="s">
        <x:v>3133</x:v>
      </x:c>
      <x:c r="E46" s="88" t="s">
        <x:v>342</x:v>
      </x:c>
      <x:c r="F46" s="89">
        <x:v>46043.35117908565</x:v>
      </x:c>
      <x:c r="G46" s="89">
        <x:v>46043.35117908565</x:v>
      </x:c>
      <x:c r="H46" s="89">
        <x:v>46050.17899443287</x:v>
      </x:c>
      <x:c r="I46" s="88" t="s">
        <x:v>1681</x:v>
      </x:c>
      <x:c r="J46" s="88" t="s">
        <x:v>1677</x:v>
      </x:c>
      <x:c r="K46" s="88" t="s">
        <x:v>1687</x:v>
      </x:c>
      <x:c r="L46" s="88" t="s">
        <x:v>1686</x:v>
      </x:c>
      <x:c r="M46" s="88" t="s">
        <x:v>1580</x:v>
      </x:c>
      <x:c r="N46" s="88" t="s">
        <x:v>3589</x:v>
      </x:c>
      <x:c r="O46" s="88" t="s">
        <x:v>3203</x:v>
      </x:c>
      <x:c r="P46" s="88" t="s">
        <x:v>3173</x:v>
      </x:c>
      <x:c r="Q46" s="88" t="s">
        <x:v>3590</x:v>
      </x:c>
      <x:c r="R46" s="88" t="s">
        <x:v>162</x:v>
      </x:c>
      <x:c r="S46" s="88"/>
      <x:c r="T46" s="88"/>
      <x:c r="U46" s="88" t="s">
        <x:v>1480</x:v>
      </x:c>
      <x:c r="V46" s="89">
        <x:v>46044.114594108796</x:v>
      </x:c>
      <x:c r="W46" s="88" t="s">
        <x:v>1580</x:v>
      </x:c>
      <x:c r="X46" s="88" t="s">
        <x:v>259</x:v>
      </x:c>
      <x:c r="Y46" s="88" t="s">
        <x:v>2021</x:v>
      </x:c>
      <x:c r="Z46" s="89">
        <x:v>46044.148965671295</x:v>
      </x:c>
      <x:c r="AA46" s="88" t="s">
        <x:v>2518</x:v>
      </x:c>
      <x:c r="AB46" s="88" t="s">
        <x:v>259</x:v>
      </x:c>
      <x:c r="AC46" s="88" t="s">
        <x:v>3591</x:v>
      </x:c>
      <x:c r="AD46" s="89">
        <x:v>46050.166012546295</x:v>
      </x:c>
      <x:c r="AE46" s="88" t="s">
        <x:v>3142</x:v>
      </x:c>
      <x:c r="AF46" s="88" t="s">
        <x:v>259</x:v>
      </x:c>
      <x:c r="AG46" s="88" t="s">
        <x:v>342</x:v>
      </x:c>
      <x:c r="AH46" s="89">
        <x:v>46050.178994444446</x:v>
      </x:c>
      <x:c r="AI46" s="88" t="s">
        <x:v>3360</x:v>
      </x:c>
      <x:c r="AJ46" s="88" t="s">
        <x:v>259</x:v>
      </x:c>
      <x:c r="AK46" s="88" t="s">
        <x:v>3592</x:v>
      </x:c>
      <x:c r="AL46" s="88" t="s">
        <x:v>3321</x:v>
      </x:c>
    </x:row>
    <x:row r="47">
      <x:c r="A47" s="88" t="s">
        <x:v>3593</x:v>
      </x:c>
      <x:c r="B47" s="88" t="s">
        <x:v>3594</x:v>
      </x:c>
      <x:c r="C47" s="88" t="s">
        <x:v>3315</x:v>
      </x:c>
      <x:c r="D47" s="88" t="s">
        <x:v>3133</x:v>
      </x:c>
      <x:c r="E47" s="88" t="s">
        <x:v>249</x:v>
      </x:c>
      <x:c r="F47" s="89">
        <x:v>46050.264532395835</x:v>
      </x:c>
      <x:c r="G47" s="89">
        <x:v>46050.264532395835</x:v>
      </x:c>
      <x:c r="H47" s="89">
        <x:v>46050.30232278935</x:v>
      </x:c>
      <x:c r="I47" s="88" t="s">
        <x:v>3595</x:v>
      </x:c>
      <x:c r="J47" s="88" t="s">
        <x:v>3596</x:v>
      </x:c>
      <x:c r="K47" s="88" t="s">
        <x:v>3597</x:v>
      </x:c>
      <x:c r="L47" s="88" t="s">
        <x:v>3598</x:v>
      </x:c>
      <x:c r="M47" s="88" t="s">
        <x:v>1576</x:v>
      </x:c>
      <x:c r="N47" s="88" t="s">
        <x:v>3599</x:v>
      </x:c>
      <x:c r="O47" s="88" t="s">
        <x:v>3137</x:v>
      </x:c>
      <x:c r="P47" s="88" t="s">
        <x:v>3138</x:v>
      </x:c>
      <x:c r="Q47" s="88" t="s">
        <x:v>3600</x:v>
      </x:c>
      <x:c r="R47" s="88"/>
      <x:c r="S47" s="88"/>
      <x:c r="T47" s="88"/>
      <x:c r="U47" s="88" t="s">
        <x:v>3601</x:v>
      </x:c>
      <x:c r="V47" s="89">
        <x:v>46050.302322800926</x:v>
      </x:c>
      <x:c r="W47" s="88" t="s">
        <x:v>1580</x:v>
      </x:c>
      <x:c r="X47" s="88" t="s">
        <x:v>249</x:v>
      </x:c>
      <x:c r="Y47" s="88"/>
      <x:c r="Z47" s="89"/>
      <x:c r="AA47" s="88" t="s">
        <x:v>3206</x:v>
      </x:c>
      <x:c r="AB47" s="88"/>
      <x:c r="AC47" s="88"/>
      <x:c r="AD47" s="89"/>
      <x:c r="AE47" s="88" t="s">
        <x:v>273</x:v>
      </x:c>
      <x:c r="AF47" s="88"/>
      <x:c r="AG47" s="88"/>
      <x:c r="AH47" s="89"/>
      <x:c r="AI47" s="88" t="s">
        <x:v>3176</x:v>
      </x:c>
      <x:c r="AJ47" s="88"/>
      <x:c r="AK47" s="88"/>
      <x:c r="AL47" s="88" t="s">
        <x:v>3602</x:v>
      </x:c>
    </x:row>
    <x:row r="48">
      <x:c r="A48" s="88" t="s">
        <x:v>3603</x:v>
      </x:c>
      <x:c r="B48" s="88" t="s">
        <x:v>3604</x:v>
      </x:c>
      <x:c r="C48" s="88" t="s">
        <x:v>3315</x:v>
      </x:c>
      <x:c r="D48" s="88" t="s">
        <x:v>3133</x:v>
      </x:c>
      <x:c r="E48" s="88" t="s">
        <x:v>342</x:v>
      </x:c>
      <x:c r="F48" s="89">
        <x:v>46050.326720138888</x:v>
      </x:c>
      <x:c r="G48" s="89">
        <x:v>46051.044484548613</x:v>
      </x:c>
      <x:c r="H48" s="89">
        <x:v>46059.208122326389</x:v>
      </x:c>
      <x:c r="I48" s="88" t="s">
        <x:v>3595</x:v>
      </x:c>
      <x:c r="J48" s="88" t="s">
        <x:v>3596</x:v>
      </x:c>
      <x:c r="K48" s="88" t="s">
        <x:v>3597</x:v>
      </x:c>
      <x:c r="L48" s="88" t="s">
        <x:v>3598</x:v>
      </x:c>
      <x:c r="M48" s="88" t="s">
        <x:v>1576</x:v>
      </x:c>
      <x:c r="N48" s="88" t="s">
        <x:v>3598</x:v>
      </x:c>
      <x:c r="O48" s="88" t="s">
        <x:v>3137</x:v>
      </x:c>
      <x:c r="P48" s="88" t="s">
        <x:v>3138</x:v>
      </x:c>
      <x:c r="Q48" s="88" t="s">
        <x:v>3605</x:v>
      </x:c>
      <x:c r="R48" s="88" t="s">
        <x:v>162</x:v>
      </x:c>
      <x:c r="S48" s="88"/>
      <x:c r="T48" s="88"/>
      <x:c r="U48" s="88" t="s">
        <x:v>3606</x:v>
      </x:c>
      <x:c r="V48" s="89">
        <x:v>46051.126992986108</x:v>
      </x:c>
      <x:c r="W48" s="88" t="s">
        <x:v>1580</x:v>
      </x:c>
      <x:c r="X48" s="88" t="s">
        <x:v>259</x:v>
      </x:c>
      <x:c r="Y48" s="88" t="s">
        <x:v>2021</x:v>
      </x:c>
      <x:c r="Z48" s="89">
        <x:v>46051.137274155095</x:v>
      </x:c>
      <x:c r="AA48" s="88" t="s">
        <x:v>2518</x:v>
      </x:c>
      <x:c r="AB48" s="88" t="s">
        <x:v>259</x:v>
      </x:c>
      <x:c r="AC48" s="88" t="s">
        <x:v>3607</x:v>
      </x:c>
      <x:c r="AD48" s="89">
        <x:v>46051.250695752315</x:v>
      </x:c>
      <x:c r="AE48" s="88" t="s">
        <x:v>3142</x:v>
      </x:c>
      <x:c r="AF48" s="88" t="s">
        <x:v>259</x:v>
      </x:c>
      <x:c r="AG48" s="88" t="s">
        <x:v>353</x:v>
      </x:c>
      <x:c r="AH48" s="89">
        <x:v>46059.208122326389</x:v>
      </x:c>
      <x:c r="AI48" s="88" t="s">
        <x:v>3185</x:v>
      </x:c>
      <x:c r="AJ48" s="88" t="s">
        <x:v>259</x:v>
      </x:c>
      <x:c r="AK48" s="88" t="s">
        <x:v>3608</x:v>
      </x:c>
      <x:c r="AL48" s="88" t="s">
        <x:v>3602</x:v>
      </x:c>
    </x:row>
    <x:row r="49">
      <x:c r="A49" s="88" t="s">
        <x:v>3609</x:v>
      </x:c>
      <x:c r="B49" s="88" t="s">
        <x:v>3610</x:v>
      </x:c>
      <x:c r="C49" s="88" t="s">
        <x:v>1908</x:v>
      </x:c>
      <x:c r="D49" s="88" t="s">
        <x:v>3133</x:v>
      </x:c>
      <x:c r="E49" s="88" t="s">
        <x:v>249</x:v>
      </x:c>
      <x:c r="F49" s="89">
        <x:v>46058.179556030096</x:v>
      </x:c>
      <x:c r="G49" s="89">
        <x:v>46058.179556030096</x:v>
      </x:c>
      <x:c r="H49" s="89">
        <x:v>46111.17450508102</x:v>
      </x:c>
      <x:c r="I49" s="88" t="s">
        <x:v>3611</x:v>
      </x:c>
      <x:c r="J49" s="88" t="s">
        <x:v>3612</x:v>
      </x:c>
      <x:c r="K49" s="88" t="s">
        <x:v>3613</x:v>
      </x:c>
      <x:c r="L49" s="88" t="s">
        <x:v>3614</x:v>
      </x:c>
      <x:c r="M49" s="88" t="s">
        <x:v>616</x:v>
      </x:c>
      <x:c r="N49" s="88" t="s">
        <x:v>3615</x:v>
      </x:c>
      <x:c r="O49" s="88" t="s">
        <x:v>3137</x:v>
      </x:c>
      <x:c r="P49" s="88" t="s">
        <x:v>3138</x:v>
      </x:c>
      <x:c r="Q49" s="88" t="s">
        <x:v>3616</x:v>
      </x:c>
      <x:c r="R49" s="88" t="s">
        <x:v>185</x:v>
      </x:c>
      <x:c r="S49" s="88"/>
      <x:c r="T49" s="88"/>
      <x:c r="U49" s="88" t="s">
        <x:v>3617</x:v>
      </x:c>
      <x:c r="V49" s="89">
        <x:v>46064.285141168984</x:v>
      </x:c>
      <x:c r="W49" s="88" t="s">
        <x:v>616</x:v>
      </x:c>
      <x:c r="X49" s="88" t="s">
        <x:v>259</x:v>
      </x:c>
      <x:c r="Y49" s="88" t="s">
        <x:v>2021</x:v>
      </x:c>
      <x:c r="Z49" s="89">
        <x:v>46066.354767986108</x:v>
      </x:c>
      <x:c r="AA49" s="88" t="s">
        <x:v>2518</x:v>
      </x:c>
      <x:c r="AB49" s="88" t="s">
        <x:v>259</x:v>
      </x:c>
      <x:c r="AC49" s="88" t="s">
        <x:v>3618</x:v>
      </x:c>
      <x:c r="AD49" s="89">
        <x:v>46072.237006921299</x:v>
      </x:c>
      <x:c r="AE49" s="88" t="s">
        <x:v>3142</x:v>
      </x:c>
      <x:c r="AF49" s="88" t="s">
        <x:v>259</x:v>
      </x:c>
      <x:c r="AG49" s="88" t="s">
        <x:v>3619</x:v>
      </x:c>
      <x:c r="AH49" s="89">
        <x:v>46111.174505092589</x:v>
      </x:c>
      <x:c r="AI49" s="88" t="s">
        <x:v>3409</x:v>
      </x:c>
      <x:c r="AJ49" s="88" t="s">
        <x:v>249</x:v>
      </x:c>
      <x:c r="AK49" s="88" t="s">
        <x:v>3620</x:v>
      </x:c>
      <x:c r="AL49" s="88" t="s">
        <x:v>3621</x:v>
      </x:c>
    </x:row>
    <x:row r="50">
      <x:c r="A50" s="88" t="s">
        <x:v>3622</x:v>
      </x:c>
      <x:c r="B50" s="88" t="s">
        <x:v>3623</x:v>
      </x:c>
      <x:c r="C50" s="88" t="s">
        <x:v>1877</x:v>
      </x:c>
      <x:c r="D50" s="88" t="s">
        <x:v>3133</x:v>
      </x:c>
      <x:c r="E50" s="88" t="s">
        <x:v>342</x:v>
      </x:c>
      <x:c r="F50" s="89">
        <x:v>46062.133217453702</x:v>
      </x:c>
      <x:c r="G50" s="89">
        <x:v>46062.133954965277</x:v>
      </x:c>
      <x:c r="H50" s="89">
        <x:v>46091.301164166667</x:v>
      </x:c>
      <x:c r="I50" s="88" t="s">
        <x:v>3624</x:v>
      </x:c>
      <x:c r="J50" s="88" t="s">
        <x:v>3625</x:v>
      </x:c>
      <x:c r="K50" s="88" t="s">
        <x:v>3626</x:v>
      </x:c>
      <x:c r="L50" s="88" t="s">
        <x:v>3627</x:v>
      </x:c>
      <x:c r="M50" s="88" t="s">
        <x:v>1255</x:v>
      </x:c>
      <x:c r="N50" s="88" t="s">
        <x:v>3628</x:v>
      </x:c>
      <x:c r="O50" s="88" t="s">
        <x:v>3137</x:v>
      </x:c>
      <x:c r="P50" s="88" t="s">
        <x:v>3138</x:v>
      </x:c>
      <x:c r="Q50" s="88" t="s">
        <x:v>3629</x:v>
      </x:c>
      <x:c r="R50" s="88" t="s">
        <x:v>185</x:v>
      </x:c>
      <x:c r="S50" s="88"/>
      <x:c r="T50" s="88"/>
      <x:c r="U50" s="88" t="s">
        <x:v>1257</x:v>
      </x:c>
      <x:c r="V50" s="89">
        <x:v>46062.13613082176</x:v>
      </x:c>
      <x:c r="W50" s="88" t="s">
        <x:v>1251</x:v>
      </x:c>
      <x:c r="X50" s="88" t="s">
        <x:v>259</x:v>
      </x:c>
      <x:c r="Y50" s="88" t="s">
        <x:v>2021</x:v>
      </x:c>
      <x:c r="Z50" s="89">
        <x:v>46066.356849201387</x:v>
      </x:c>
      <x:c r="AA50" s="88" t="s">
        <x:v>2518</x:v>
      </x:c>
      <x:c r="AB50" s="88" t="s">
        <x:v>259</x:v>
      </x:c>
      <x:c r="AC50" s="88" t="s">
        <x:v>3630</x:v>
      </x:c>
      <x:c r="AD50" s="89">
        <x:v>46072.247005798614</x:v>
      </x:c>
      <x:c r="AE50" s="88" t="s">
        <x:v>3142</x:v>
      </x:c>
      <x:c r="AF50" s="88" t="s">
        <x:v>259</x:v>
      </x:c>
      <x:c r="AG50" s="88" t="s">
        <x:v>353</x:v>
      </x:c>
      <x:c r="AH50" s="89">
        <x:v>46091.301164166667</x:v>
      </x:c>
      <x:c r="AI50" s="88" t="s">
        <x:v>3242</x:v>
      </x:c>
      <x:c r="AJ50" s="88" t="s">
        <x:v>259</x:v>
      </x:c>
      <x:c r="AK50" s="88" t="s">
        <x:v>3631</x:v>
      </x:c>
      <x:c r="AL50" s="88" t="s">
        <x:v>3632</x:v>
      </x:c>
    </x:row>
    <x:row r="51">
      <x:c r="A51" s="88" t="s">
        <x:v>3633</x:v>
      </x:c>
      <x:c r="B51" s="88" t="s">
        <x:v>3634</x:v>
      </x:c>
      <x:c r="C51" s="88" t="s">
        <x:v>3219</x:v>
      </x:c>
      <x:c r="D51" s="88" t="s">
        <x:v>3133</x:v>
      </x:c>
      <x:c r="E51" s="88" t="s">
        <x:v>342</x:v>
      </x:c>
      <x:c r="F51" s="89">
        <x:v>46062.371390844906</x:v>
      </x:c>
      <x:c r="G51" s="89">
        <x:v>46062.371390844906</x:v>
      </x:c>
      <x:c r="H51" s="89">
        <x:v>46072.196785555556</x:v>
      </x:c>
      <x:c r="I51" s="88" t="s">
        <x:v>3220</x:v>
      </x:c>
      <x:c r="J51" s="88" t="s">
        <x:v>3221</x:v>
      </x:c>
      <x:c r="K51" s="88">
        <x:v>3437</x:v>
      </x:c>
      <x:c r="L51" s="88" t="s">
        <x:v>3222</x:v>
      </x:c>
      <x:c r="M51" s="88" t="s">
        <x:v>3223</x:v>
      </x:c>
      <x:c r="N51" s="88" t="s">
        <x:v>3224</x:v>
      </x:c>
      <x:c r="O51" s="88" t="s">
        <x:v>3203</x:v>
      </x:c>
      <x:c r="P51" s="88" t="s">
        <x:v>3225</x:v>
      </x:c>
      <x:c r="Q51" s="88" t="s">
        <x:v>3635</x:v>
      </x:c>
      <x:c r="R51" s="88" t="s">
        <x:v>162</x:v>
      </x:c>
      <x:c r="S51" s="88"/>
      <x:c r="T51" s="88"/>
      <x:c r="U51" s="88" t="s">
        <x:v>3636</x:v>
      </x:c>
      <x:c r="V51" s="89">
        <x:v>46062.374896562498</x:v>
      </x:c>
      <x:c r="W51" s="88" t="s">
        <x:v>3227</x:v>
      </x:c>
      <x:c r="X51" s="88" t="s">
        <x:v>259</x:v>
      </x:c>
      <x:c r="Y51" s="88" t="s">
        <x:v>2021</x:v>
      </x:c>
      <x:c r="Z51" s="89">
        <x:v>46069.338544826387</x:v>
      </x:c>
      <x:c r="AA51" s="88" t="s">
        <x:v>2518</x:v>
      </x:c>
      <x:c r="AB51" s="88" t="s">
        <x:v>259</x:v>
      </x:c>
      <x:c r="AC51" s="88" t="s">
        <x:v>3637</x:v>
      </x:c>
      <x:c r="AD51" s="89">
        <x:v>46069.346455092593</x:v>
      </x:c>
      <x:c r="AE51" s="88" t="s">
        <x:v>3142</x:v>
      </x:c>
      <x:c r="AF51" s="88" t="s">
        <x:v>259</x:v>
      </x:c>
      <x:c r="AG51" s="88" t="s">
        <x:v>3638</x:v>
      </x:c>
      <x:c r="AH51" s="89">
        <x:v>46072.196785567132</x:v>
      </x:c>
      <x:c r="AI51" s="88" t="s">
        <x:v>3142</x:v>
      </x:c>
      <x:c r="AJ51" s="88" t="s">
        <x:v>259</x:v>
      </x:c>
      <x:c r="AK51" s="88" t="s">
        <x:v>3639</x:v>
      </x:c>
      <x:c r="AL51" s="88" t="s">
        <x:v>3229</x:v>
      </x:c>
    </x:row>
    <x:row r="52">
      <x:c r="A52" s="88" t="s">
        <x:v>3640</x:v>
      </x:c>
      <x:c r="B52" s="88" t="s">
        <x:v>3641</x:v>
      </x:c>
      <x:c r="C52" s="88" t="s">
        <x:v>3642</x:v>
      </x:c>
      <x:c r="D52" s="88" t="s">
        <x:v>3133</x:v>
      </x:c>
      <x:c r="E52" s="88" t="s">
        <x:v>342</x:v>
      </x:c>
      <x:c r="F52" s="89">
        <x:v>46062.41020395833</x:v>
      </x:c>
      <x:c r="G52" s="89">
        <x:v>46063.37428984954</x:v>
      </x:c>
      <x:c r="H52" s="89">
        <x:v>46198.145036666669</x:v>
      </x:c>
      <x:c r="I52" s="88" t="s">
        <x:v>3643</x:v>
      </x:c>
      <x:c r="J52" s="88" t="s">
        <x:v>3644</x:v>
      </x:c>
      <x:c r="K52" s="88">
        <x:v>4583</x:v>
      </x:c>
      <x:c r="L52" s="88" t="s">
        <x:v>3645</x:v>
      </x:c>
      <x:c r="M52" s="88" t="s">
        <x:v>3646</x:v>
      </x:c>
      <x:c r="N52" s="88" t="s">
        <x:v>3647</x:v>
      </x:c>
      <x:c r="O52" s="88" t="s">
        <x:v>3203</x:v>
      </x:c>
      <x:c r="P52" s="88" t="s">
        <x:v>3138</x:v>
      </x:c>
      <x:c r="Q52" s="88" t="s">
        <x:v>3648</x:v>
      </x:c>
      <x:c r="R52" s="88" t="s">
        <x:v>162</x:v>
      </x:c>
      <x:c r="S52" s="88" t="s">
        <x:v>3649</x:v>
      </x:c>
      <x:c r="T52" s="88"/>
      <x:c r="U52" s="88" t="s">
        <x:v>3650</x:v>
      </x:c>
      <x:c r="V52" s="89">
        <x:v>46063.37852111111</x:v>
      </x:c>
      <x:c r="W52" s="88" t="s">
        <x:v>1070</x:v>
      </x:c>
      <x:c r="X52" s="88" t="s">
        <x:v>259</x:v>
      </x:c>
      <x:c r="Y52" s="88" t="s">
        <x:v>3651</x:v>
      </x:c>
      <x:c r="Z52" s="89">
        <x:v>46063.380178032407</x:v>
      </x:c>
      <x:c r="AA52" s="88" t="s">
        <x:v>3484</x:v>
      </x:c>
      <x:c r="AB52" s="88" t="s">
        <x:v>259</x:v>
      </x:c>
      <x:c r="AC52" s="88" t="s">
        <x:v>3652</x:v>
      </x:c>
      <x:c r="AD52" s="89">
        <x:v>46063.468680138889</x:v>
      </x:c>
      <x:c r="AE52" s="88" t="s">
        <x:v>271</x:v>
      </x:c>
      <x:c r="AF52" s="88" t="s">
        <x:v>259</x:v>
      </x:c>
      <x:c r="AG52" s="88" t="s">
        <x:v>3653</x:v>
      </x:c>
      <x:c r="AH52" s="89">
        <x:v>46198.145036666669</x:v>
      </x:c>
      <x:c r="AI52" s="88" t="s">
        <x:v>3409</x:v>
      </x:c>
      <x:c r="AJ52" s="88" t="s">
        <x:v>259</x:v>
      </x:c>
      <x:c r="AK52" s="88" t="s">
        <x:v>3654</x:v>
      </x:c>
      <x:c r="AL52" s="88" t="s">
        <x:v>3655</x:v>
      </x:c>
    </x:row>
    <x:row r="53">
      <x:c r="A53" s="88" t="s">
        <x:v>3656</x:v>
      </x:c>
      <x:c r="B53" s="88" t="s">
        <x:v>3657</x:v>
      </x:c>
      <x:c r="C53" s="88" t="s">
        <x:v>3658</x:v>
      </x:c>
      <x:c r="D53" s="88" t="s">
        <x:v>3133</x:v>
      </x:c>
      <x:c r="E53" s="88" t="s">
        <x:v>342</x:v>
      </x:c>
      <x:c r="F53" s="89">
        <x:v>46063.148371076386</x:v>
      </x:c>
      <x:c r="G53" s="89">
        <x:v>46063.148371076386</x:v>
      </x:c>
      <x:c r="H53" s="89">
        <x:v>46072.252352418982</x:v>
      </x:c>
      <x:c r="I53" s="88" t="s">
        <x:v>3220</x:v>
      </x:c>
      <x:c r="J53" s="88" t="s">
        <x:v>3221</x:v>
      </x:c>
      <x:c r="K53" s="88">
        <x:v>3437</x:v>
      </x:c>
      <x:c r="L53" s="88" t="s">
        <x:v>3222</x:v>
      </x:c>
      <x:c r="M53" s="88" t="s">
        <x:v>3659</x:v>
      </x:c>
      <x:c r="N53" s="88" t="s">
        <x:v>3278</x:v>
      </x:c>
      <x:c r="O53" s="88" t="s">
        <x:v>3203</x:v>
      </x:c>
      <x:c r="P53" s="88" t="s">
        <x:v>3225</x:v>
      </x:c>
      <x:c r="Q53" s="88" t="s">
        <x:v>3660</x:v>
      </x:c>
      <x:c r="R53" s="88" t="s">
        <x:v>162</x:v>
      </x:c>
      <x:c r="S53" s="88"/>
      <x:c r="T53" s="88"/>
      <x:c r="U53" s="88" t="s">
        <x:v>3661</x:v>
      </x:c>
      <x:c r="V53" s="89">
        <x:v>46065.145531736111</x:v>
      </x:c>
      <x:c r="W53" s="88" t="s">
        <x:v>3662</x:v>
      </x:c>
      <x:c r="X53" s="88" t="s">
        <x:v>259</x:v>
      </x:c>
      <x:c r="Y53" s="88" t="s">
        <x:v>2021</x:v>
      </x:c>
      <x:c r="Z53" s="89">
        <x:v>46069.351858310183</x:v>
      </x:c>
      <x:c r="AA53" s="88" t="s">
        <x:v>2518</x:v>
      </x:c>
      <x:c r="AB53" s="88" t="s">
        <x:v>259</x:v>
      </x:c>
      <x:c r="AC53" s="88" t="s">
        <x:v>3663</x:v>
      </x:c>
      <x:c r="AD53" s="89">
        <x:v>46072.2521825</x:v>
      </x:c>
      <x:c r="AE53" s="88" t="s">
        <x:v>3142</x:v>
      </x:c>
      <x:c r="AF53" s="88" t="s">
        <x:v>259</x:v>
      </x:c>
      <x:c r="AG53" s="88" t="s">
        <x:v>3664</x:v>
      </x:c>
      <x:c r="AH53" s="89">
        <x:v>46072.252352418982</x:v>
      </x:c>
      <x:c r="AI53" s="88" t="s">
        <x:v>3142</x:v>
      </x:c>
      <x:c r="AJ53" s="88" t="s">
        <x:v>259</x:v>
      </x:c>
      <x:c r="AK53" s="88" t="s">
        <x:v>3665</x:v>
      </x:c>
      <x:c r="AL53" s="88" t="s">
        <x:v>3229</x:v>
      </x:c>
    </x:row>
    <x:row r="54">
      <x:c r="A54" s="88" t="s">
        <x:v>3666</x:v>
      </x:c>
      <x:c r="B54" s="88" t="s">
        <x:v>3667</x:v>
      </x:c>
      <x:c r="C54" s="88" t="s">
        <x:v>663</x:v>
      </x:c>
      <x:c r="D54" s="88" t="s">
        <x:v>3133</x:v>
      </x:c>
      <x:c r="E54" s="88" t="s">
        <x:v>249</x:v>
      </x:c>
      <x:c r="F54" s="89">
        <x:v>46063.310180405089</x:v>
      </x:c>
      <x:c r="G54" s="89">
        <x:v>46063.310180405089</x:v>
      </x:c>
      <x:c r="H54" s="89">
        <x:v>46069.339945671294</x:v>
      </x:c>
      <x:c r="I54" s="88" t="s">
        <x:v>3668</x:v>
      </x:c>
      <x:c r="J54" s="88" t="s">
        <x:v>3669</x:v>
      </x:c>
      <x:c r="K54" s="88" t="s">
        <x:v>3670</x:v>
      </x:c>
      <x:c r="L54" s="88" t="s">
        <x:v>3671</x:v>
      </x:c>
      <x:c r="M54" s="88" t="s">
        <x:v>667</x:v>
      </x:c>
      <x:c r="N54" s="88" t="s">
        <x:v>3672</x:v>
      </x:c>
      <x:c r="O54" s="88" t="s">
        <x:v>3203</x:v>
      </x:c>
      <x:c r="P54" s="88" t="s">
        <x:v>3138</x:v>
      </x:c>
      <x:c r="Q54" s="88" t="s">
        <x:v>3673</x:v>
      </x:c>
      <x:c r="R54" s="88"/>
      <x:c r="S54" s="88" t="s">
        <x:v>3674</x:v>
      </x:c>
      <x:c r="T54" s="88"/>
      <x:c r="U54" s="88" t="s">
        <x:v>1257</x:v>
      </x:c>
      <x:c r="V54" s="89">
        <x:v>46064.284703750003</x:v>
      </x:c>
      <x:c r="W54" s="88" t="s">
        <x:v>616</x:v>
      </x:c>
      <x:c r="X54" s="88" t="s">
        <x:v>259</x:v>
      </x:c>
      <x:c r="Y54" s="88" t="s">
        <x:v>3529</x:v>
      </x:c>
      <x:c r="Z54" s="89">
        <x:v>46069.339945706015</x:v>
      </x:c>
      <x:c r="AA54" s="88" t="s">
        <x:v>2518</x:v>
      </x:c>
      <x:c r="AB54" s="88" t="s">
        <x:v>249</x:v>
      </x:c>
      <x:c r="AC54" s="88"/>
      <x:c r="AD54" s="89"/>
      <x:c r="AE54" s="88" t="s">
        <x:v>273</x:v>
      </x:c>
      <x:c r="AF54" s="88"/>
      <x:c r="AG54" s="88"/>
      <x:c r="AH54" s="89"/>
      <x:c r="AI54" s="88" t="s">
        <x:v>3176</x:v>
      </x:c>
      <x:c r="AJ54" s="88"/>
      <x:c r="AK54" s="88"/>
      <x:c r="AL54" s="88" t="s">
        <x:v>3675</x:v>
      </x:c>
    </x:row>
    <x:row r="55">
      <x:c r="A55" s="88" t="s">
        <x:v>3676</x:v>
      </x:c>
      <x:c r="B55" s="88" t="s">
        <x:v>3677</x:v>
      </x:c>
      <x:c r="C55" s="88" t="s">
        <x:v>3520</x:v>
      </x:c>
      <x:c r="D55" s="88" t="s">
        <x:v>3133</x:v>
      </x:c>
      <x:c r="E55" s="88" t="s">
        <x:v>342</x:v>
      </x:c>
      <x:c r="F55" s="89">
        <x:v>46064.144128483793</x:v>
      </x:c>
      <x:c r="G55" s="89">
        <x:v>46064.144128483793</x:v>
      </x:c>
      <x:c r="H55" s="89">
        <x:v>46082.297218159722</x:v>
      </x:c>
      <x:c r="I55" s="88" t="s">
        <x:v>3521</x:v>
      </x:c>
      <x:c r="J55" s="88" t="s">
        <x:v>3522</x:v>
      </x:c>
      <x:c r="K55" s="88" t="s">
        <x:v>3523</x:v>
      </x:c>
      <x:c r="L55" s="88" t="s">
        <x:v>3524</x:v>
      </x:c>
      <x:c r="M55" s="88" t="s">
        <x:v>3525</x:v>
      </x:c>
      <x:c r="N55" s="88" t="s">
        <x:v>3526</x:v>
      </x:c>
      <x:c r="O55" s="88" t="s">
        <x:v>3203</x:v>
      </x:c>
      <x:c r="P55" s="88" t="s">
        <x:v>3173</x:v>
      </x:c>
      <x:c r="Q55" s="88" t="s">
        <x:v>3678</x:v>
      </x:c>
      <x:c r="R55" s="88" t="s">
        <x:v>185</x:v>
      </x:c>
      <x:c r="S55" s="88"/>
      <x:c r="T55" s="88"/>
      <x:c r="U55" s="88" t="s">
        <x:v>3679</x:v>
      </x:c>
      <x:c r="V55" s="89">
        <x:v>46064.33683403935</x:v>
      </x:c>
      <x:c r="W55" s="88" t="s">
        <x:v>1074</x:v>
      </x:c>
      <x:c r="X55" s="88" t="s">
        <x:v>259</x:v>
      </x:c>
      <x:c r="Y55" s="88" t="s">
        <x:v>2021</x:v>
      </x:c>
      <x:c r="Z55" s="89">
        <x:v>46066.35325388889</x:v>
      </x:c>
      <x:c r="AA55" s="88" t="s">
        <x:v>2518</x:v>
      </x:c>
      <x:c r="AB55" s="88" t="s">
        <x:v>259</x:v>
      </x:c>
      <x:c r="AC55" s="88" t="s">
        <x:v>3680</x:v>
      </x:c>
      <x:c r="AD55" s="89">
        <x:v>46072.256759027776</x:v>
      </x:c>
      <x:c r="AE55" s="88" t="s">
        <x:v>3142</x:v>
      </x:c>
      <x:c r="AF55" s="88" t="s">
        <x:v>259</x:v>
      </x:c>
      <x:c r="AG55" s="88" t="s">
        <x:v>3681</x:v>
      </x:c>
      <x:c r="AH55" s="89">
        <x:v>46082.297218171298</x:v>
      </x:c>
      <x:c r="AI55" s="88" t="s">
        <x:v>3282</x:v>
      </x:c>
      <x:c r="AJ55" s="88" t="s">
        <x:v>259</x:v>
      </x:c>
      <x:c r="AK55" s="88" t="s">
        <x:v>3682</x:v>
      </x:c>
      <x:c r="AL55" s="88" t="s">
        <x:v>3530</x:v>
      </x:c>
    </x:row>
    <x:row r="56">
      <x:c r="A56" s="88" t="s">
        <x:v>3683</x:v>
      </x:c>
      <x:c r="B56" s="88" t="s">
        <x:v>3684</x:v>
      </x:c>
      <x:c r="C56" s="88" t="s">
        <x:v>1294</x:v>
      </x:c>
      <x:c r="D56" s="88" t="s">
        <x:v>3133</x:v>
      </x:c>
      <x:c r="E56" s="88" t="s">
        <x:v>342</x:v>
      </x:c>
      <x:c r="F56" s="89">
        <x:v>46064.195385891202</x:v>
      </x:c>
      <x:c r="G56" s="89">
        <x:v>46072.083423715281</x:v>
      </x:c>
      <x:c r="H56" s="89">
        <x:v>46073.09537077546</x:v>
      </x:c>
      <x:c r="I56" s="88" t="s">
        <x:v>1592</x:v>
      </x:c>
      <x:c r="J56" s="88" t="s">
        <x:v>1587</x:v>
      </x:c>
      <x:c r="K56" s="88">
        <x:v>4569</x:v>
      </x:c>
      <x:c r="L56" s="88" t="s">
        <x:v>3685</x:v>
      </x:c>
      <x:c r="M56" s="88" t="s">
        <x:v>1297</x:v>
      </x:c>
      <x:c r="N56" s="88" t="s">
        <x:v>3686</x:v>
      </x:c>
      <x:c r="O56" s="88" t="s">
        <x:v>3203</x:v>
      </x:c>
      <x:c r="P56" s="88" t="s">
        <x:v>3225</x:v>
      </x:c>
      <x:c r="Q56" s="88" t="s">
        <x:v>3687</x:v>
      </x:c>
      <x:c r="R56" s="88" t="s">
        <x:v>185</x:v>
      </x:c>
      <x:c r="S56" s="88"/>
      <x:c r="T56" s="88"/>
      <x:c r="U56" s="88" t="s">
        <x:v>3688</x:v>
      </x:c>
      <x:c r="V56" s="89">
        <x:v>46072.172375451388</x:v>
      </x:c>
      <x:c r="W56" s="88" t="s">
        <x:v>1300</x:v>
      </x:c>
      <x:c r="X56" s="88" t="s">
        <x:v>259</x:v>
      </x:c>
      <x:c r="Y56" s="88" t="s">
        <x:v>3689</x:v>
      </x:c>
      <x:c r="Z56" s="89">
        <x:v>46073.064000995371</x:v>
      </x:c>
      <x:c r="AA56" s="88" t="s">
        <x:v>3310</x:v>
      </x:c>
      <x:c r="AB56" s="88" t="s">
        <x:v>259</x:v>
      </x:c>
      <x:c r="AC56" s="88" t="s">
        <x:v>2368</x:v>
      </x:c>
      <x:c r="AD56" s="89">
        <x:v>46073.082526446757</x:v>
      </x:c>
      <x:c r="AE56" s="88" t="s">
        <x:v>3142</x:v>
      </x:c>
      <x:c r="AF56" s="88" t="s">
        <x:v>259</x:v>
      </x:c>
      <x:c r="AG56" s="88" t="s">
        <x:v>3690</x:v>
      </x:c>
      <x:c r="AH56" s="89">
        <x:v>46073.095370787036</x:v>
      </x:c>
      <x:c r="AI56" s="88" t="s">
        <x:v>3310</x:v>
      </x:c>
      <x:c r="AJ56" s="88" t="s">
        <x:v>259</x:v>
      </x:c>
      <x:c r="AK56" s="88" t="s">
        <x:v>3691</x:v>
      </x:c>
      <x:c r="AL56" s="88" t="s">
        <x:v>3692</x:v>
      </x:c>
    </x:row>
    <x:row r="57">
      <x:c r="A57" s="88" t="s">
        <x:v>3693</x:v>
      </x:c>
      <x:c r="B57" s="88" t="s">
        <x:v>3694</x:v>
      </x:c>
      <x:c r="C57" s="88" t="s">
        <x:v>3251</x:v>
      </x:c>
      <x:c r="D57" s="88" t="s">
        <x:v>3133</x:v>
      </x:c>
      <x:c r="E57" s="88" t="s">
        <x:v>342</x:v>
      </x:c>
      <x:c r="F57" s="89">
        <x:v>46064.305340416664</x:v>
      </x:c>
      <x:c r="G57" s="89">
        <x:v>46069.171128449074</x:v>
      </x:c>
      <x:c r="H57" s="89">
        <x:v>46112.118893321756</x:v>
      </x:c>
      <x:c r="I57" s="88" t="s">
        <x:v>3252</x:v>
      </x:c>
      <x:c r="J57" s="88" t="s">
        <x:v>3253</x:v>
      </x:c>
      <x:c r="K57" s="88">
        <x:v>3578</x:v>
      </x:c>
      <x:c r="L57" s="88" t="s">
        <x:v>3254</x:v>
      </x:c>
      <x:c r="M57" s="88" t="s">
        <x:v>3255</x:v>
      </x:c>
      <x:c r="N57" s="88" t="s">
        <x:v>3256</x:v>
      </x:c>
      <x:c r="O57" s="88" t="s">
        <x:v>3203</x:v>
      </x:c>
      <x:c r="P57" s="88" t="s">
        <x:v>3173</x:v>
      </x:c>
      <x:c r="Q57" s="88" t="s">
        <x:v>3695</x:v>
      </x:c>
      <x:c r="R57" s="88" t="s">
        <x:v>193</x:v>
      </x:c>
      <x:c r="S57" s="88"/>
      <x:c r="T57" s="88"/>
      <x:c r="U57" s="88" t="s">
        <x:v>385</x:v>
      </x:c>
      <x:c r="V57" s="89">
        <x:v>46078.091358043981</x:v>
      </x:c>
      <x:c r="W57" s="88" t="s">
        <x:v>3259</x:v>
      </x:c>
      <x:c r="X57" s="88" t="s">
        <x:v>259</x:v>
      </x:c>
      <x:c r="Y57" s="88" t="s">
        <x:v>2021</x:v>
      </x:c>
      <x:c r="Z57" s="89">
        <x:v>46080.090917685186</x:v>
      </x:c>
      <x:c r="AA57" s="88" t="s">
        <x:v>2518</x:v>
      </x:c>
      <x:c r="AB57" s="88" t="s">
        <x:v>259</x:v>
      </x:c>
      <x:c r="AC57" s="88" t="s">
        <x:v>3696</x:v>
      </x:c>
      <x:c r="AD57" s="89">
        <x:v>46085.166137037035</x:v>
      </x:c>
      <x:c r="AE57" s="88" t="s">
        <x:v>3142</x:v>
      </x:c>
      <x:c r="AF57" s="88" t="s">
        <x:v>259</x:v>
      </x:c>
      <x:c r="AG57" s="88" t="s">
        <x:v>353</x:v>
      </x:c>
      <x:c r="AH57" s="89">
        <x:v>46112.118893333332</x:v>
      </x:c>
      <x:c r="AI57" s="88" t="s">
        <x:v>3310</x:v>
      </x:c>
      <x:c r="AJ57" s="88" t="s">
        <x:v>259</x:v>
      </x:c>
      <x:c r="AK57" s="88" t="s">
        <x:v>3697</x:v>
      </x:c>
      <x:c r="AL57" s="88" t="s">
        <x:v>3263</x:v>
      </x:c>
    </x:row>
    <x:row r="58">
      <x:c r="A58" s="88" t="s">
        <x:v>3698</x:v>
      </x:c>
      <x:c r="B58" s="88" t="s">
        <x:v>3699</x:v>
      </x:c>
      <x:c r="C58" s="88" t="s">
        <x:v>3251</x:v>
      </x:c>
      <x:c r="D58" s="88" t="s">
        <x:v>3133</x:v>
      </x:c>
      <x:c r="E58" s="88" t="s">
        <x:v>342</x:v>
      </x:c>
      <x:c r="F58" s="89">
        <x:v>46065.422258668979</x:v>
      </x:c>
      <x:c r="G58" s="89">
        <x:v>46065.422258668979</x:v>
      </x:c>
      <x:c r="H58" s="89">
        <x:v>46090.078410243055</x:v>
      </x:c>
      <x:c r="I58" s="88" t="s">
        <x:v>3432</x:v>
      </x:c>
      <x:c r="J58" s="88" t="s">
        <x:v>3433</x:v>
      </x:c>
      <x:c r="K58" s="88">
        <x:v>4007</x:v>
      </x:c>
      <x:c r="L58" s="88" t="s">
        <x:v>3434</x:v>
      </x:c>
      <x:c r="M58" s="88" t="s">
        <x:v>3255</x:v>
      </x:c>
      <x:c r="N58" s="88" t="s">
        <x:v>3435</x:v>
      </x:c>
      <x:c r="O58" s="88" t="s">
        <x:v>3137</x:v>
      </x:c>
      <x:c r="P58" s="88" t="s">
        <x:v>3138</x:v>
      </x:c>
      <x:c r="Q58" s="88" t="s">
        <x:v>3700</x:v>
      </x:c>
      <x:c r="R58" s="88" t="s">
        <x:v>185</x:v>
      </x:c>
      <x:c r="S58" s="88"/>
      <x:c r="T58" s="88"/>
      <x:c r="U58" s="88" t="s">
        <x:v>3701</x:v>
      </x:c>
      <x:c r="V58" s="89">
        <x:v>46066.140562291665</x:v>
      </x:c>
      <x:c r="W58" s="88" t="s">
        <x:v>3259</x:v>
      </x:c>
      <x:c r="X58" s="88" t="s">
        <x:v>259</x:v>
      </x:c>
      <x:c r="Y58" s="88" t="s">
        <x:v>2021</x:v>
      </x:c>
      <x:c r="Z58" s="89">
        <x:v>46066.340336250003</x:v>
      </x:c>
      <x:c r="AA58" s="88" t="s">
        <x:v>2518</x:v>
      </x:c>
      <x:c r="AB58" s="88" t="s">
        <x:v>259</x:v>
      </x:c>
      <x:c r="AC58" s="88" t="s">
        <x:v>3702</x:v>
      </x:c>
      <x:c r="AD58" s="89">
        <x:v>46072.263087916668</x:v>
      </x:c>
      <x:c r="AE58" s="88" t="s">
        <x:v>3142</x:v>
      </x:c>
      <x:c r="AF58" s="88" t="s">
        <x:v>259</x:v>
      </x:c>
      <x:c r="AG58" s="88" t="s">
        <x:v>3703</x:v>
      </x:c>
      <x:c r="AH58" s="89">
        <x:v>46090.078410243055</x:v>
      </x:c>
      <x:c r="AI58" s="88" t="s">
        <x:v>3165</x:v>
      </x:c>
      <x:c r="AJ58" s="88" t="s">
        <x:v>259</x:v>
      </x:c>
      <x:c r="AK58" s="88" t="s">
        <x:v>3704</x:v>
      </x:c>
      <x:c r="AL58" s="88" t="s">
        <x:v>3438</x:v>
      </x:c>
    </x:row>
    <x:row r="59">
      <x:c r="A59" s="88" t="s">
        <x:v>3705</x:v>
      </x:c>
      <x:c r="B59" s="88" t="s">
        <x:v>3706</x:v>
      </x:c>
      <x:c r="C59" s="88" t="s">
        <x:v>1706</x:v>
      </x:c>
      <x:c r="D59" s="88" t="s">
        <x:v>3133</x:v>
      </x:c>
      <x:c r="E59" s="88" t="s">
        <x:v>342</x:v>
      </x:c>
      <x:c r="F59" s="89">
        <x:v>46066.310932106484</x:v>
      </x:c>
      <x:c r="G59" s="89">
        <x:v>46066.341464606485</x:v>
      </x:c>
      <x:c r="H59" s="89">
        <x:v>46067.746366157407</x:v>
      </x:c>
      <x:c r="I59" s="88" t="s">
        <x:v>3707</x:v>
      </x:c>
      <x:c r="J59" s="88" t="s">
        <x:v>3708</x:v>
      </x:c>
      <x:c r="K59" s="88">
        <x:v>568</x:v>
      </x:c>
      <x:c r="L59" s="88" t="s">
        <x:v>3709</x:v>
      </x:c>
      <x:c r="M59" s="88" t="s">
        <x:v>3710</x:v>
      </x:c>
      <x:c r="N59" s="88" t="s">
        <x:v>3711</x:v>
      </x:c>
      <x:c r="O59" s="88" t="s">
        <x:v>3203</x:v>
      </x:c>
      <x:c r="P59" s="88" t="s">
        <x:v>3138</x:v>
      </x:c>
      <x:c r="Q59" s="88" t="s">
        <x:v>3712</x:v>
      </x:c>
      <x:c r="R59" s="88" t="s">
        <x:v>162</x:v>
      </x:c>
      <x:c r="S59" s="88" t="s">
        <x:v>3713</x:v>
      </x:c>
      <x:c r="T59" s="88"/>
      <x:c r="U59" s="88" t="s">
        <x:v>3714</x:v>
      </x:c>
      <x:c r="V59" s="89">
        <x:v>46066.342353553242</x:v>
      </x:c>
      <x:c r="W59" s="88" t="s">
        <x:v>3071</x:v>
      </x:c>
      <x:c r="X59" s="88" t="s">
        <x:v>259</x:v>
      </x:c>
      <x:c r="Y59" s="88" t="s">
        <x:v>2021</x:v>
      </x:c>
      <x:c r="Z59" s="89">
        <x:v>46066.345314537037</x:v>
      </x:c>
      <x:c r="AA59" s="88" t="s">
        <x:v>2518</x:v>
      </x:c>
      <x:c r="AB59" s="88" t="s">
        <x:v>259</x:v>
      </x:c>
      <x:c r="AC59" s="88" t="s">
        <x:v>3715</x:v>
      </x:c>
      <x:c r="AD59" s="89">
        <x:v>46066.369776550928</x:v>
      </x:c>
      <x:c r="AE59" s="88" t="s">
        <x:v>3142</x:v>
      </x:c>
      <x:c r="AF59" s="88" t="s">
        <x:v>259</x:v>
      </x:c>
      <x:c r="AG59" s="88" t="s">
        <x:v>342</x:v>
      </x:c>
      <x:c r="AH59" s="89">
        <x:v>46067.746366180552</x:v>
      </x:c>
      <x:c r="AI59" s="88" t="s">
        <x:v>3409</x:v>
      </x:c>
      <x:c r="AJ59" s="88" t="s">
        <x:v>259</x:v>
      </x:c>
      <x:c r="AK59" s="88" t="s">
        <x:v>3716</x:v>
      </x:c>
      <x:c r="AL59" s="88" t="s">
        <x:v>3717</x:v>
      </x:c>
    </x:row>
    <x:row r="60">
      <x:c r="A60" s="88" t="s">
        <x:v>3718</x:v>
      </x:c>
      <x:c r="B60" s="88" t="s">
        <x:v>3719</x:v>
      </x:c>
      <x:c r="C60" s="88" t="s">
        <x:v>3251</x:v>
      </x:c>
      <x:c r="D60" s="88" t="s">
        <x:v>3133</x:v>
      </x:c>
      <x:c r="E60" s="88" t="s">
        <x:v>342</x:v>
      </x:c>
      <x:c r="F60" s="89">
        <x:v>46069.197641597224</x:v>
      </x:c>
      <x:c r="G60" s="89">
        <x:v>46069.197641597224</x:v>
      </x:c>
      <x:c r="H60" s="89">
        <x:v>46090.07774414352</x:v>
      </x:c>
      <x:c r="I60" s="88" t="s">
        <x:v>3432</x:v>
      </x:c>
      <x:c r="J60" s="88" t="s">
        <x:v>3433</x:v>
      </x:c>
      <x:c r="K60" s="88">
        <x:v>4007</x:v>
      </x:c>
      <x:c r="L60" s="88" t="s">
        <x:v>3434</x:v>
      </x:c>
      <x:c r="M60" s="88" t="s">
        <x:v>3255</x:v>
      </x:c>
      <x:c r="N60" s="88" t="s">
        <x:v>3435</x:v>
      </x:c>
      <x:c r="O60" s="88" t="s">
        <x:v>3137</x:v>
      </x:c>
      <x:c r="P60" s="88" t="s">
        <x:v>3225</x:v>
      </x:c>
      <x:c r="Q60" s="88" t="s">
        <x:v>3720</x:v>
      </x:c>
      <x:c r="R60" s="88" t="s">
        <x:v>185</x:v>
      </x:c>
      <x:c r="S60" s="88"/>
      <x:c r="T60" s="88"/>
      <x:c r="U60" s="88" t="s">
        <x:v>3721</x:v>
      </x:c>
      <x:c r="V60" s="89">
        <x:v>46069.312812442127</x:v>
      </x:c>
      <x:c r="W60" s="88" t="s">
        <x:v>3259</x:v>
      </x:c>
      <x:c r="X60" s="88" t="s">
        <x:v>259</x:v>
      </x:c>
      <x:c r="Y60" s="88" t="s">
        <x:v>2021</x:v>
      </x:c>
      <x:c r="Z60" s="89">
        <x:v>46069.354966099534</x:v>
      </x:c>
      <x:c r="AA60" s="88" t="s">
        <x:v>2518</x:v>
      </x:c>
      <x:c r="AB60" s="88" t="s">
        <x:v>259</x:v>
      </x:c>
      <x:c r="AC60" s="88" t="s">
        <x:v>3722</x:v>
      </x:c>
      <x:c r="AD60" s="89">
        <x:v>46072.263352094909</x:v>
      </x:c>
      <x:c r="AE60" s="88" t="s">
        <x:v>3142</x:v>
      </x:c>
      <x:c r="AF60" s="88" t="s">
        <x:v>259</x:v>
      </x:c>
      <x:c r="AG60" s="88" t="s">
        <x:v>3723</x:v>
      </x:c>
      <x:c r="AH60" s="89">
        <x:v>46090.077744155089</x:v>
      </x:c>
      <x:c r="AI60" s="88" t="s">
        <x:v>3165</x:v>
      </x:c>
      <x:c r="AJ60" s="88" t="s">
        <x:v>259</x:v>
      </x:c>
      <x:c r="AK60" s="88" t="s">
        <x:v>3724</x:v>
      </x:c>
      <x:c r="AL60" s="88" t="s">
        <x:v>3438</x:v>
      </x:c>
    </x:row>
    <x:row r="61">
      <x:c r="A61" s="88" t="s">
        <x:v>3725</x:v>
      </x:c>
      <x:c r="B61" s="88" t="s">
        <x:v>3726</x:v>
      </x:c>
      <x:c r="C61" s="88" t="s">
        <x:v>3251</x:v>
      </x:c>
      <x:c r="D61" s="88" t="s">
        <x:v>3133</x:v>
      </x:c>
      <x:c r="E61" s="88" t="s">
        <x:v>342</x:v>
      </x:c>
      <x:c r="F61" s="89">
        <x:v>46069.30460880787</x:v>
      </x:c>
      <x:c r="G61" s="89">
        <x:v>46069.30460880787</x:v>
      </x:c>
      <x:c r="H61" s="89">
        <x:v>46114.188263263888</x:v>
      </x:c>
      <x:c r="I61" s="88" t="s">
        <x:v>3252</x:v>
      </x:c>
      <x:c r="J61" s="88" t="s">
        <x:v>3253</x:v>
      </x:c>
      <x:c r="K61" s="88">
        <x:v>3578</x:v>
      </x:c>
      <x:c r="L61" s="88" t="s">
        <x:v>3254</x:v>
      </x:c>
      <x:c r="M61" s="88" t="s">
        <x:v>3255</x:v>
      </x:c>
      <x:c r="N61" s="88" t="s">
        <x:v>3256</x:v>
      </x:c>
      <x:c r="O61" s="88" t="s">
        <x:v>3203</x:v>
      </x:c>
      <x:c r="P61" s="88" t="s">
        <x:v>3138</x:v>
      </x:c>
      <x:c r="Q61" s="88" t="s">
        <x:v>3727</x:v>
      </x:c>
      <x:c r="R61" s="88" t="s">
        <x:v>193</x:v>
      </x:c>
      <x:c r="S61" s="88" t="s">
        <x:v>3728</x:v>
      </x:c>
      <x:c r="T61" s="88"/>
      <x:c r="U61" s="88" t="s">
        <x:v>3729</x:v>
      </x:c>
      <x:c r="V61" s="89">
        <x:v>46069.310848587964</x:v>
      </x:c>
      <x:c r="W61" s="88" t="s">
        <x:v>3259</x:v>
      </x:c>
      <x:c r="X61" s="88" t="s">
        <x:v>259</x:v>
      </x:c>
      <x:c r="Y61" s="88" t="s">
        <x:v>2021</x:v>
      </x:c>
      <x:c r="Z61" s="89">
        <x:v>46069.353077789354</x:v>
      </x:c>
      <x:c r="AA61" s="88" t="s">
        <x:v>2518</x:v>
      </x:c>
      <x:c r="AB61" s="88" t="s">
        <x:v>259</x:v>
      </x:c>
      <x:c r="AC61" s="88" t="s">
        <x:v>3730</x:v>
      </x:c>
      <x:c r="AD61" s="89">
        <x:v>46072.270732384262</x:v>
      </x:c>
      <x:c r="AE61" s="88" t="s">
        <x:v>3142</x:v>
      </x:c>
      <x:c r="AF61" s="88" t="s">
        <x:v>259</x:v>
      </x:c>
      <x:c r="AG61" s="88" t="s">
        <x:v>3731</x:v>
      </x:c>
      <x:c r="AH61" s="89">
        <x:v>46114.188263275464</x:v>
      </x:c>
      <x:c r="AI61" s="88" t="s">
        <x:v>951</x:v>
      </x:c>
      <x:c r="AJ61" s="88" t="s">
        <x:v>259</x:v>
      </x:c>
      <x:c r="AK61" s="88" t="s">
        <x:v>3732</x:v>
      </x:c>
      <x:c r="AL61" s="88" t="s">
        <x:v>3263</x:v>
      </x:c>
    </x:row>
    <x:row r="62">
      <x:c r="A62" s="88" t="s">
        <x:v>3733</x:v>
      </x:c>
      <x:c r="B62" s="88" t="s">
        <x:v>3734</x:v>
      </x:c>
      <x:c r="C62" s="88" t="s">
        <x:v>663</x:v>
      </x:c>
      <x:c r="D62" s="88" t="s">
        <x:v>3133</x:v>
      </x:c>
      <x:c r="E62" s="88" t="s">
        <x:v>342</x:v>
      </x:c>
      <x:c r="F62" s="89">
        <x:v>46073.324634432873</x:v>
      </x:c>
      <x:c r="G62" s="89">
        <x:v>46073.324634432873</x:v>
      </x:c>
      <x:c r="H62" s="89">
        <x:v>46092.175488275461</x:v>
      </x:c>
      <x:c r="I62" s="88" t="s">
        <x:v>3668</x:v>
      </x:c>
      <x:c r="J62" s="88" t="s">
        <x:v>3669</x:v>
      </x:c>
      <x:c r="K62" s="88" t="s">
        <x:v>3670</x:v>
      </x:c>
      <x:c r="L62" s="88" t="s">
        <x:v>3671</x:v>
      </x:c>
      <x:c r="M62" s="88" t="s">
        <x:v>667</x:v>
      </x:c>
      <x:c r="N62" s="88" t="s">
        <x:v>3672</x:v>
      </x:c>
      <x:c r="O62" s="88" t="s">
        <x:v>3203</x:v>
      </x:c>
      <x:c r="P62" s="88" t="s">
        <x:v>3138</x:v>
      </x:c>
      <x:c r="Q62" s="88" t="s">
        <x:v>3673</x:v>
      </x:c>
      <x:c r="R62" s="88" t="s">
        <x:v>185</x:v>
      </x:c>
      <x:c r="S62" s="88" t="s">
        <x:v>3735</x:v>
      </x:c>
      <x:c r="T62" s="88"/>
      <x:c r="U62" s="88" t="s">
        <x:v>385</x:v>
      </x:c>
      <x:c r="V62" s="89">
        <x:v>46076.03206297454</x:v>
      </x:c>
      <x:c r="W62" s="88" t="s">
        <x:v>616</x:v>
      </x:c>
      <x:c r="X62" s="88" t="s">
        <x:v>259</x:v>
      </x:c>
      <x:c r="Y62" s="88" t="s">
        <x:v>2021</x:v>
      </x:c>
      <x:c r="Z62" s="89">
        <x:v>46077.32007829861</x:v>
      </x:c>
      <x:c r="AA62" s="88" t="s">
        <x:v>2518</x:v>
      </x:c>
      <x:c r="AB62" s="88" t="s">
        <x:v>259</x:v>
      </x:c>
      <x:c r="AC62" s="88" t="s">
        <x:v>3736</x:v>
      </x:c>
      <x:c r="AD62" s="89">
        <x:v>46077.327416805558</x:v>
      </x:c>
      <x:c r="AE62" s="88" t="s">
        <x:v>3142</x:v>
      </x:c>
      <x:c r="AF62" s="88" t="s">
        <x:v>259</x:v>
      </x:c>
      <x:c r="AG62" s="88" t="s">
        <x:v>3737</x:v>
      </x:c>
      <x:c r="AH62" s="89">
        <x:v>46092.175488287037</x:v>
      </x:c>
      <x:c r="AI62" s="88" t="s">
        <x:v>3296</x:v>
      </x:c>
      <x:c r="AJ62" s="88" t="s">
        <x:v>259</x:v>
      </x:c>
      <x:c r="AK62" s="88" t="s">
        <x:v>3738</x:v>
      </x:c>
      <x:c r="AL62" s="88" t="s">
        <x:v>3675</x:v>
      </x:c>
    </x:row>
    <x:row r="63">
      <x:c r="A63" s="88" t="s">
        <x:v>3739</x:v>
      </x:c>
      <x:c r="B63" s="88" t="s">
        <x:v>3740</x:v>
      </x:c>
      <x:c r="C63" s="88" t="s">
        <x:v>3741</x:v>
      </x:c>
      <x:c r="D63" s="88" t="s">
        <x:v>3133</x:v>
      </x:c>
      <x:c r="E63" s="88" t="s">
        <x:v>342</x:v>
      </x:c>
      <x:c r="F63" s="89">
        <x:v>46076.172252094904</x:v>
      </x:c>
      <x:c r="G63" s="89">
        <x:v>46076.172252094904</x:v>
      </x:c>
      <x:c r="H63" s="89">
        <x:v>46097.367066145831</x:v>
      </x:c>
      <x:c r="I63" s="88" t="s">
        <x:v>3742</x:v>
      </x:c>
      <x:c r="J63" s="88" t="s">
        <x:v>3743</x:v>
      </x:c>
      <x:c r="K63" s="88" t="s">
        <x:v>3744</x:v>
      </x:c>
      <x:c r="L63" s="88" t="s">
        <x:v>3745</x:v>
      </x:c>
      <x:c r="M63" s="88" t="s">
        <x:v>1638</x:v>
      </x:c>
      <x:c r="N63" s="88" t="s">
        <x:v>3746</x:v>
      </x:c>
      <x:c r="O63" s="88" t="s">
        <x:v>3137</x:v>
      </x:c>
      <x:c r="P63" s="88" t="s">
        <x:v>3138</x:v>
      </x:c>
      <x:c r="Q63" s="88" t="s">
        <x:v>3747</x:v>
      </x:c>
      <x:c r="R63" s="88" t="s">
        <x:v>185</x:v>
      </x:c>
      <x:c r="S63" s="88"/>
      <x:c r="T63" s="88"/>
      <x:c r="U63" s="88" t="s">
        <x:v>571</x:v>
      </x:c>
      <x:c r="V63" s="89">
        <x:v>46076.177799722223</x:v>
      </x:c>
      <x:c r="W63" s="88" t="s">
        <x:v>1638</x:v>
      </x:c>
      <x:c r="X63" s="88" t="s">
        <x:v>259</x:v>
      </x:c>
      <x:c r="Y63" s="88" t="s">
        <x:v>2021</x:v>
      </x:c>
      <x:c r="Z63" s="89">
        <x:v>46080.327154074075</x:v>
      </x:c>
      <x:c r="AA63" s="88" t="s">
        <x:v>2518</x:v>
      </x:c>
      <x:c r="AB63" s="88" t="s">
        <x:v>259</x:v>
      </x:c>
      <x:c r="AC63" s="88" t="s">
        <x:v>3748</x:v>
      </x:c>
      <x:c r="AD63" s="89">
        <x:v>46085.203419884259</x:v>
      </x:c>
      <x:c r="AE63" s="88" t="s">
        <x:v>3142</x:v>
      </x:c>
      <x:c r="AF63" s="88" t="s">
        <x:v>259</x:v>
      </x:c>
      <x:c r="AG63" s="88" t="s">
        <x:v>342</x:v>
      </x:c>
      <x:c r="AH63" s="89">
        <x:v>46097.367066145831</x:v>
      </x:c>
      <x:c r="AI63" s="88" t="s">
        <x:v>3360</x:v>
      </x:c>
      <x:c r="AJ63" s="88" t="s">
        <x:v>259</x:v>
      </x:c>
      <x:c r="AK63" s="88" t="s">
        <x:v>3749</x:v>
      </x:c>
      <x:c r="AL63" s="88" t="s">
        <x:v>3750</x:v>
      </x:c>
    </x:row>
    <x:row r="64">
      <x:c r="A64" s="88" t="s">
        <x:v>3751</x:v>
      </x:c>
      <x:c r="B64" s="88" t="s">
        <x:v>3752</x:v>
      </x:c>
      <x:c r="C64" s="88" t="s">
        <x:v>3658</x:v>
      </x:c>
      <x:c r="D64" s="88" t="s">
        <x:v>3133</x:v>
      </x:c>
      <x:c r="E64" s="88" t="s">
        <x:v>249</x:v>
      </x:c>
      <x:c r="F64" s="89">
        <x:v>46076.250437881943</x:v>
      </x:c>
      <x:c r="G64" s="89">
        <x:v>46076.250437881943</x:v>
      </x:c>
      <x:c r="H64" s="89">
        <x:v>46098.080907326388</x:v>
      </x:c>
      <x:c r="I64" s="88" t="s">
        <x:v>3491</x:v>
      </x:c>
      <x:c r="J64" s="88" t="s">
        <x:v>3492</x:v>
      </x:c>
      <x:c r="K64" s="88" t="s">
        <x:v>3493</x:v>
      </x:c>
      <x:c r="L64" s="88" t="s">
        <x:v>3492</x:v>
      </x:c>
      <x:c r="M64" s="88" t="s">
        <x:v>3659</x:v>
      </x:c>
      <x:c r="N64" s="88" t="s">
        <x:v>3278</x:v>
      </x:c>
      <x:c r="O64" s="88" t="s">
        <x:v>3137</x:v>
      </x:c>
      <x:c r="P64" s="88" t="s">
        <x:v>3225</x:v>
      </x:c>
      <x:c r="Q64" s="88" t="s">
        <x:v>3753</x:v>
      </x:c>
      <x:c r="R64" s="88"/>
      <x:c r="S64" s="88"/>
      <x:c r="T64" s="88"/>
      <x:c r="U64" s="88" t="s">
        <x:v>3688</x:v>
      </x:c>
      <x:c r="V64" s="89">
        <x:v>46097.442693622688</x:v>
      </x:c>
      <x:c r="W64" s="88" t="s">
        <x:v>3662</x:v>
      </x:c>
      <x:c r="X64" s="88" t="s">
        <x:v>259</x:v>
      </x:c>
      <x:c r="Y64" s="88" t="s">
        <x:v>3754</x:v>
      </x:c>
      <x:c r="Z64" s="89">
        <x:v>46098.080907337964</x:v>
      </x:c>
      <x:c r="AA64" s="88" t="s">
        <x:v>2518</x:v>
      </x:c>
      <x:c r="AB64" s="88" t="s">
        <x:v>249</x:v>
      </x:c>
      <x:c r="AC64" s="88"/>
      <x:c r="AD64" s="89"/>
      <x:c r="AE64" s="88" t="s">
        <x:v>273</x:v>
      </x:c>
      <x:c r="AF64" s="88"/>
      <x:c r="AG64" s="88"/>
      <x:c r="AH64" s="89"/>
      <x:c r="AI64" s="88" t="s">
        <x:v>3176</x:v>
      </x:c>
      <x:c r="AJ64" s="88"/>
      <x:c r="AK64" s="88"/>
      <x:c r="AL64" s="88" t="s">
        <x:v>3501</x:v>
      </x:c>
    </x:row>
    <x:row r="65">
      <x:c r="A65" s="88" t="s">
        <x:v>3755</x:v>
      </x:c>
      <x:c r="B65" s="88" t="s">
        <x:v>3756</x:v>
      </x:c>
      <x:c r="C65" s="88" t="s">
        <x:v>698</x:v>
      </x:c>
      <x:c r="D65" s="88" t="s">
        <x:v>3133</x:v>
      </x:c>
      <x:c r="E65" s="88" t="s">
        <x:v>342</x:v>
      </x:c>
      <x:c r="F65" s="89">
        <x:v>46077.304119444445</x:v>
      </x:c>
      <x:c r="G65" s="89">
        <x:v>46077.304119444445</x:v>
      </x:c>
      <x:c r="H65" s="89">
        <x:v>46094.279514791669</x:v>
      </x:c>
      <x:c r="I65" s="88" t="s">
        <x:v>704</x:v>
      </x:c>
      <x:c r="J65" s="88" t="s">
        <x:v>699</x:v>
      </x:c>
      <x:c r="K65" s="88">
        <x:v>100</x:v>
      </x:c>
      <x:c r="L65" s="88" t="s">
        <x:v>707</x:v>
      </x:c>
      <x:c r="M65" s="88" t="s">
        <x:v>701</x:v>
      </x:c>
      <x:c r="N65" s="88" t="s">
        <x:v>3757</x:v>
      </x:c>
      <x:c r="O65" s="88" t="s">
        <x:v>3203</x:v>
      </x:c>
      <x:c r="P65" s="88" t="s">
        <x:v>3225</x:v>
      </x:c>
      <x:c r="Q65" s="88" t="s">
        <x:v>3758</x:v>
      </x:c>
      <x:c r="R65" s="88" t="s">
        <x:v>185</x:v>
      </x:c>
      <x:c r="S65" s="88"/>
      <x:c r="T65" s="88"/>
      <x:c r="U65" s="88" t="s">
        <x:v>3759</x:v>
      </x:c>
      <x:c r="V65" s="89">
        <x:v>46078.076661585648</x:v>
      </x:c>
      <x:c r="W65" s="88" t="s">
        <x:v>703</x:v>
      </x:c>
      <x:c r="X65" s="88" t="s">
        <x:v>259</x:v>
      </x:c>
      <x:c r="Y65" s="88" t="s">
        <x:v>2021</x:v>
      </x:c>
      <x:c r="Z65" s="89">
        <x:v>46080.328649282405</x:v>
      </x:c>
      <x:c r="AA65" s="88" t="s">
        <x:v>2518</x:v>
      </x:c>
      <x:c r="AB65" s="88" t="s">
        <x:v>259</x:v>
      </x:c>
      <x:c r="AC65" s="88" t="s">
        <x:v>3760</x:v>
      </x:c>
      <x:c r="AD65" s="89">
        <x:v>46091.316564212961</x:v>
      </x:c>
      <x:c r="AE65" s="88" t="s">
        <x:v>3142</x:v>
      </x:c>
      <x:c r="AF65" s="88" t="s">
        <x:v>259</x:v>
      </x:c>
      <x:c r="AG65" s="88" t="s">
        <x:v>353</x:v>
      </x:c>
      <x:c r="AH65" s="89">
        <x:v>46094.279514791669</x:v>
      </x:c>
      <x:c r="AI65" s="88" t="s">
        <x:v>789</x:v>
      </x:c>
      <x:c r="AJ65" s="88" t="s">
        <x:v>259</x:v>
      </x:c>
      <x:c r="AK65" s="88" t="s">
        <x:v>3761</x:v>
      </x:c>
      <x:c r="AL65" s="88" t="s">
        <x:v>3762</x:v>
      </x:c>
    </x:row>
    <x:row r="66">
      <x:c r="A66" s="88" t="s">
        <x:v>3763</x:v>
      </x:c>
      <x:c r="B66" s="88" t="s">
        <x:v>3764</x:v>
      </x:c>
      <x:c r="C66" s="88" t="s">
        <x:v>1108</x:v>
      </x:c>
      <x:c r="D66" s="88" t="s">
        <x:v>3133</x:v>
      </x:c>
      <x:c r="E66" s="88" t="s">
        <x:v>342</x:v>
      </x:c>
      <x:c r="F66" s="89">
        <x:v>46078.012049317127</x:v>
      </x:c>
      <x:c r="G66" s="89">
        <x:v>46078.012049317127</x:v>
      </x:c>
      <x:c r="H66" s="89">
        <x:v>46219.069472824071</x:v>
      </x:c>
      <x:c r="I66" s="88" t="s">
        <x:v>1113</x:v>
      </x:c>
      <x:c r="J66" s="88" t="s">
        <x:v>1109</x:v>
      </x:c>
      <x:c r="K66" s="88">
        <x:v>789</x:v>
      </x:c>
      <x:c r="L66" s="88" t="s">
        <x:v>1110</x:v>
      </x:c>
      <x:c r="M66" s="88" t="s">
        <x:v>824</x:v>
      </x:c>
      <x:c r="N66" s="88" t="s">
        <x:v>3159</x:v>
      </x:c>
      <x:c r="O66" s="88" t="s">
        <x:v>3137</x:v>
      </x:c>
      <x:c r="P66" s="88" t="s">
        <x:v>3138</x:v>
      </x:c>
      <x:c r="Q66" s="88" t="s">
        <x:v>3765</x:v>
      </x:c>
      <x:c r="R66" s="88" t="s">
        <x:v>162</x:v>
      </x:c>
      <x:c r="S66" s="88"/>
      <x:c r="T66" s="88"/>
      <x:c r="U66" s="88" t="s">
        <x:v>259</x:v>
      </x:c>
      <x:c r="V66" s="89">
        <x:v>46078.032420960648</x:v>
      </x:c>
      <x:c r="W66" s="88" t="s">
        <x:v>827</x:v>
      </x:c>
      <x:c r="X66" s="88" t="s">
        <x:v>259</x:v>
      </x:c>
      <x:c r="Y66" s="88" t="s">
        <x:v>2021</x:v>
      </x:c>
      <x:c r="Z66" s="89">
        <x:v>46080.090211168979</x:v>
      </x:c>
      <x:c r="AA66" s="88" t="s">
        <x:v>2518</x:v>
      </x:c>
      <x:c r="AB66" s="88" t="s">
        <x:v>259</x:v>
      </x:c>
      <x:c r="AC66" s="88" t="s">
        <x:v>3766</x:v>
      </x:c>
      <x:c r="AD66" s="89">
        <x:v>46085.194525729166</x:v>
      </x:c>
      <x:c r="AE66" s="88" t="s">
        <x:v>3142</x:v>
      </x:c>
      <x:c r="AF66" s="88" t="s">
        <x:v>259</x:v>
      </x:c>
      <x:c r="AG66" s="88" t="s">
        <x:v>3767</x:v>
      </x:c>
      <x:c r="AH66" s="89">
        <x:v>46219.069472824071</x:v>
      </x:c>
      <x:c r="AI66" s="88" t="s">
        <x:v>3165</x:v>
      </x:c>
      <x:c r="AJ66" s="88" t="s">
        <x:v>259</x:v>
      </x:c>
      <x:c r="AK66" s="88" t="s">
        <x:v>3768</x:v>
      </x:c>
      <x:c r="AL66" s="88" t="s">
        <x:v>3769</x:v>
      </x:c>
    </x:row>
    <x:row r="67">
      <x:c r="A67" s="88" t="s">
        <x:v>3770</x:v>
      </x:c>
      <x:c r="B67" s="88" t="s">
        <x:v>3771</x:v>
      </x:c>
      <x:c r="C67" s="88" t="s">
        <x:v>3324</x:v>
      </x:c>
      <x:c r="D67" s="88" t="s">
        <x:v>3133</x:v>
      </x:c>
      <x:c r="E67" s="88" t="s">
        <x:v>342</x:v>
      </x:c>
      <x:c r="F67" s="89">
        <x:v>46078.141089988429</x:v>
      </x:c>
      <x:c r="G67" s="89">
        <x:v>46078.15010053241</x:v>
      </x:c>
      <x:c r="H67" s="89">
        <x:v>46091.358556932872</x:v>
      </x:c>
      <x:c r="I67" s="88" t="s">
        <x:v>3325</x:v>
      </x:c>
      <x:c r="J67" s="88" t="s">
        <x:v>3326</x:v>
      </x:c>
      <x:c r="K67" s="88">
        <x:v>859</x:v>
      </x:c>
      <x:c r="L67" s="88" t="s">
        <x:v>3327</x:v>
      </x:c>
      <x:c r="M67" s="88" t="s">
        <x:v>842</x:v>
      </x:c>
      <x:c r="N67" s="88" t="s">
        <x:v>3329</x:v>
      </x:c>
      <x:c r="O67" s="88" t="s">
        <x:v>3203</x:v>
      </x:c>
      <x:c r="P67" s="88" t="s">
        <x:v>3138</x:v>
      </x:c>
      <x:c r="Q67" s="88" t="s">
        <x:v>3772</x:v>
      </x:c>
      <x:c r="R67" s="88" t="s">
        <x:v>185</x:v>
      </x:c>
      <x:c r="S67" s="88" t="s">
        <x:v>3773</x:v>
      </x:c>
      <x:c r="T67" s="88"/>
      <x:c r="U67" s="88" t="s">
        <x:v>259</x:v>
      </x:c>
      <x:c r="V67" s="89">
        <x:v>46079.261650405089</x:v>
      </x:c>
      <x:c r="W67" s="88" t="s">
        <x:v>457</x:v>
      </x:c>
      <x:c r="X67" s="88" t="s">
        <x:v>259</x:v>
      </x:c>
      <x:c r="Y67" s="88" t="s">
        <x:v>2021</x:v>
      </x:c>
      <x:c r="Z67" s="89">
        <x:v>46079.278661990742</x:v>
      </x:c>
      <x:c r="AA67" s="88" t="s">
        <x:v>2518</x:v>
      </x:c>
      <x:c r="AB67" s="88" t="s">
        <x:v>259</x:v>
      </x:c>
      <x:c r="AC67" s="88" t="s">
        <x:v>3774</x:v>
      </x:c>
      <x:c r="AD67" s="89">
        <x:v>46079.323854571761</x:v>
      </x:c>
      <x:c r="AE67" s="88" t="s">
        <x:v>3142</x:v>
      </x:c>
      <x:c r="AF67" s="88" t="s">
        <x:v>259</x:v>
      </x:c>
      <x:c r="AG67" s="88" t="s">
        <x:v>3775</x:v>
      </x:c>
      <x:c r="AH67" s="89">
        <x:v>46091.358556944448</x:v>
      </x:c>
      <x:c r="AI67" s="88" t="s">
        <x:v>3142</x:v>
      </x:c>
      <x:c r="AJ67" s="88" t="s">
        <x:v>259</x:v>
      </x:c>
      <x:c r="AK67" s="88" t="s">
        <x:v>3776</x:v>
      </x:c>
      <x:c r="AL67" s="88" t="s">
        <x:v>3336</x:v>
      </x:c>
    </x:row>
    <x:row r="68">
      <x:c r="A68" s="88" t="s">
        <x:v>3777</x:v>
      </x:c>
      <x:c r="B68" s="88" t="s">
        <x:v>3778</x:v>
      </x:c>
      <x:c r="C68" s="88" t="s">
        <x:v>3779</x:v>
      </x:c>
      <x:c r="D68" s="88" t="s">
        <x:v>3133</x:v>
      </x:c>
      <x:c r="E68" s="88" t="s">
        <x:v>342</x:v>
      </x:c>
      <x:c r="F68" s="89">
        <x:v>46078.257248530092</x:v>
      </x:c>
      <x:c r="G68" s="89">
        <x:v>46078.257248530092</x:v>
      </x:c>
      <x:c r="H68" s="89">
        <x:v>46079.240320474535</x:v>
      </x:c>
      <x:c r="I68" s="88" t="s">
        <x:v>3780</x:v>
      </x:c>
      <x:c r="J68" s="88" t="s">
        <x:v>3781</x:v>
      </x:c>
      <x:c r="K68" s="88" t="s">
        <x:v>3782</x:v>
      </x:c>
      <x:c r="L68" s="88" t="s">
        <x:v>3783</x:v>
      </x:c>
      <x:c r="M68" s="88" t="s">
        <x:v>1164</x:v>
      </x:c>
      <x:c r="N68" s="88" t="s">
        <x:v>3784</x:v>
      </x:c>
      <x:c r="O68" s="88" t="s">
        <x:v>3137</x:v>
      </x:c>
      <x:c r="P68" s="88" t="s">
        <x:v>3173</x:v>
      </x:c>
      <x:c r="Q68" s="88" t="s">
        <x:v>3785</x:v>
      </x:c>
      <x:c r="R68" s="88" t="s">
        <x:v>162</x:v>
      </x:c>
      <x:c r="S68" s="88"/>
      <x:c r="T68" s="88"/>
      <x:c r="U68" s="88" t="s">
        <x:v>3786</x:v>
      </x:c>
      <x:c r="V68" s="89">
        <x:v>46078.267276550927</x:v>
      </x:c>
      <x:c r="W68" s="88" t="s">
        <x:v>482</x:v>
      </x:c>
      <x:c r="X68" s="88" t="s">
        <x:v>259</x:v>
      </x:c>
      <x:c r="Y68" s="88" t="s">
        <x:v>3787</x:v>
      </x:c>
      <x:c r="Z68" s="89">
        <x:v>46078.277961643522</x:v>
      </x:c>
      <x:c r="AA68" s="88" t="s">
        <x:v>1623</x:v>
      </x:c>
      <x:c r="AB68" s="88" t="s">
        <x:v>259</x:v>
      </x:c>
      <x:c r="AC68" s="88" t="s">
        <x:v>3788</x:v>
      </x:c>
      <x:c r="AD68" s="89">
        <x:v>46078.288705277781</x:v>
      </x:c>
      <x:c r="AE68" s="88" t="s">
        <x:v>3142</x:v>
      </x:c>
      <x:c r="AF68" s="88" t="s">
        <x:v>259</x:v>
      </x:c>
      <x:c r="AG68" s="88" t="s">
        <x:v>3789</x:v>
      </x:c>
      <x:c r="AH68" s="89">
        <x:v>46079.240320486111</x:v>
      </x:c>
      <x:c r="AI68" s="88" t="s">
        <x:v>420</x:v>
      </x:c>
      <x:c r="AJ68" s="88" t="s">
        <x:v>259</x:v>
      </x:c>
      <x:c r="AK68" s="88" t="s">
        <x:v>3790</x:v>
      </x:c>
      <x:c r="AL68" s="88" t="s">
        <x:v>3791</x:v>
      </x:c>
    </x:row>
    <x:row r="69">
      <x:c r="A69" s="88" t="s">
        <x:v>3792</x:v>
      </x:c>
      <x:c r="B69" s="88" t="s">
        <x:v>3793</x:v>
      </x:c>
      <x:c r="C69" s="88" t="s">
        <x:v>3779</x:v>
      </x:c>
      <x:c r="D69" s="88" t="s">
        <x:v>3133</x:v>
      </x:c>
      <x:c r="E69" s="88" t="s">
        <x:v>342</x:v>
      </x:c>
      <x:c r="F69" s="89">
        <x:v>46078.259619907411</x:v>
      </x:c>
      <x:c r="G69" s="89">
        <x:v>46078.259619907411</x:v>
      </x:c>
      <x:c r="H69" s="89">
        <x:v>46142.147448124997</x:v>
      </x:c>
      <x:c r="I69" s="88" t="s">
        <x:v>3780</x:v>
      </x:c>
      <x:c r="J69" s="88" t="s">
        <x:v>3781</x:v>
      </x:c>
      <x:c r="K69" s="88" t="s">
        <x:v>3782</x:v>
      </x:c>
      <x:c r="L69" s="88" t="s">
        <x:v>3783</x:v>
      </x:c>
      <x:c r="M69" s="88" t="s">
        <x:v>1164</x:v>
      </x:c>
      <x:c r="N69" s="88" t="s">
        <x:v>3784</x:v>
      </x:c>
      <x:c r="O69" s="88" t="s">
        <x:v>3137</x:v>
      </x:c>
      <x:c r="P69" s="88" t="s">
        <x:v>3138</x:v>
      </x:c>
      <x:c r="Q69" s="88" t="s">
        <x:v>3794</x:v>
      </x:c>
      <x:c r="R69" s="88" t="s">
        <x:v>162</x:v>
      </x:c>
      <x:c r="S69" s="88"/>
      <x:c r="T69" s="88"/>
      <x:c r="U69" s="88" t="s">
        <x:v>3786</x:v>
      </x:c>
      <x:c r="V69" s="89">
        <x:v>46078.267039618055</x:v>
      </x:c>
      <x:c r="W69" s="88" t="s">
        <x:v>482</x:v>
      </x:c>
      <x:c r="X69" s="88" t="s">
        <x:v>259</x:v>
      </x:c>
      <x:c r="Y69" s="88" t="s">
        <x:v>3787</x:v>
      </x:c>
      <x:c r="Z69" s="89">
        <x:v>46078.277938946761</x:v>
      </x:c>
      <x:c r="AA69" s="88" t="s">
        <x:v>1623</x:v>
      </x:c>
      <x:c r="AB69" s="88" t="s">
        <x:v>259</x:v>
      </x:c>
      <x:c r="AC69" s="88" t="s">
        <x:v>3788</x:v>
      </x:c>
      <x:c r="AD69" s="89">
        <x:v>46078.288740474534</x:v>
      </x:c>
      <x:c r="AE69" s="88" t="s">
        <x:v>3142</x:v>
      </x:c>
      <x:c r="AF69" s="88" t="s">
        <x:v>259</x:v>
      </x:c>
      <x:c r="AG69" s="88" t="s">
        <x:v>3795</x:v>
      </x:c>
      <x:c r="AH69" s="89">
        <x:v>46142.147448148149</x:v>
      </x:c>
      <x:c r="AI69" s="88" t="s">
        <x:v>3142</x:v>
      </x:c>
      <x:c r="AJ69" s="88" t="s">
        <x:v>259</x:v>
      </x:c>
      <x:c r="AK69" s="88" t="s">
        <x:v>3796</x:v>
      </x:c>
      <x:c r="AL69" s="88" t="s">
        <x:v>3791</x:v>
      </x:c>
    </x:row>
    <x:row r="70">
      <x:c r="A70" s="88" t="s">
        <x:v>3797</x:v>
      </x:c>
      <x:c r="B70" s="88" t="s">
        <x:v>3798</x:v>
      </x:c>
      <x:c r="C70" s="88" t="s">
        <x:v>3484</x:v>
      </x:c>
      <x:c r="D70" s="88" t="s">
        <x:v>3133</x:v>
      </x:c>
      <x:c r="E70" s="88" t="s">
        <x:v>342</x:v>
      </x:c>
      <x:c r="F70" s="89">
        <x:v>46079.317320196758</x:v>
      </x:c>
      <x:c r="G70" s="89">
        <x:v>46079.317320196758</x:v>
      </x:c>
      <x:c r="H70" s="89">
        <x:v>46092.031580462964</x:v>
      </x:c>
      <x:c r="I70" s="88" t="s">
        <x:v>3799</x:v>
      </x:c>
      <x:c r="J70" s="88" t="s">
        <x:v>3800</x:v>
      </x:c>
      <x:c r="K70" s="88" t="s">
        <x:v>3801</x:v>
      </x:c>
      <x:c r="L70" s="88" t="s">
        <x:v>3802</x:v>
      </x:c>
      <x:c r="M70" s="88" t="s">
        <x:v>420</x:v>
      </x:c>
      <x:c r="N70" s="88" t="s">
        <x:v>3803</x:v>
      </x:c>
      <x:c r="O70" s="88" t="s">
        <x:v>3137</x:v>
      </x:c>
      <x:c r="P70" s="88" t="s">
        <x:v>3225</x:v>
      </x:c>
      <x:c r="Q70" s="88" t="s">
        <x:v>3804</x:v>
      </x:c>
      <x:c r="R70" s="88" t="s">
        <x:v>185</x:v>
      </x:c>
      <x:c r="S70" s="88"/>
      <x:c r="T70" s="88"/>
      <x:c r="U70" s="88" t="s">
        <x:v>259</x:v>
      </x:c>
      <x:c r="V70" s="89">
        <x:v>46079.34509091435</x:v>
      </x:c>
      <x:c r="W70" s="88" t="s">
        <x:v>420</x:v>
      </x:c>
      <x:c r="X70" s="88" t="s">
        <x:v>259</x:v>
      </x:c>
      <x:c r="Y70" s="88" t="s">
        <x:v>2021</x:v>
      </x:c>
      <x:c r="Z70" s="89">
        <x:v>46080.089068125002</x:v>
      </x:c>
      <x:c r="AA70" s="88" t="s">
        <x:v>2518</x:v>
      </x:c>
      <x:c r="AB70" s="88" t="s">
        <x:v>259</x:v>
      </x:c>
      <x:c r="AC70" s="88" t="s">
        <x:v>3805</x:v>
      </x:c>
      <x:c r="AD70" s="89">
        <x:v>46080.120909965277</x:v>
      </x:c>
      <x:c r="AE70" s="88" t="s">
        <x:v>3142</x:v>
      </x:c>
      <x:c r="AF70" s="88" t="s">
        <x:v>259</x:v>
      </x:c>
      <x:c r="AG70" s="88" t="s">
        <x:v>353</x:v>
      </x:c>
      <x:c r="AH70" s="89">
        <x:v>46092.031580474541</x:v>
      </x:c>
      <x:c r="AI70" s="88" t="s">
        <x:v>3806</x:v>
      </x:c>
      <x:c r="AJ70" s="88" t="s">
        <x:v>259</x:v>
      </x:c>
      <x:c r="AK70" s="88" t="s">
        <x:v>3807</x:v>
      </x:c>
      <x:c r="AL70" s="88" t="s">
        <x:v>3808</x:v>
      </x:c>
    </x:row>
    <x:row r="71">
      <x:c r="A71" s="88" t="s">
        <x:v>3809</x:v>
      </x:c>
      <x:c r="B71" s="88" t="s">
        <x:v>3810</x:v>
      </x:c>
      <x:c r="C71" s="88" t="s">
        <x:v>3484</x:v>
      </x:c>
      <x:c r="D71" s="88" t="s">
        <x:v>3133</x:v>
      </x:c>
      <x:c r="E71" s="88" t="s">
        <x:v>342</x:v>
      </x:c>
      <x:c r="F71" s="89">
        <x:v>46079.319074907406</x:v>
      </x:c>
      <x:c r="G71" s="89">
        <x:v>46079.319074907406</x:v>
      </x:c>
      <x:c r="H71" s="89">
        <x:v>46092.287532800925</x:v>
      </x:c>
      <x:c r="I71" s="88" t="s">
        <x:v>3799</x:v>
      </x:c>
      <x:c r="J71" s="88" t="s">
        <x:v>3800</x:v>
      </x:c>
      <x:c r="K71" s="88" t="s">
        <x:v>3801</x:v>
      </x:c>
      <x:c r="L71" s="88" t="s">
        <x:v>3802</x:v>
      </x:c>
      <x:c r="M71" s="88" t="s">
        <x:v>420</x:v>
      </x:c>
      <x:c r="N71" s="88" t="s">
        <x:v>3803</x:v>
      </x:c>
      <x:c r="O71" s="88" t="s">
        <x:v>3137</x:v>
      </x:c>
      <x:c r="P71" s="88" t="s">
        <x:v>3138</x:v>
      </x:c>
      <x:c r="Q71" s="88" t="s">
        <x:v>3811</x:v>
      </x:c>
      <x:c r="R71" s="88" t="s">
        <x:v>185</x:v>
      </x:c>
      <x:c r="S71" s="88"/>
      <x:c r="T71" s="88"/>
      <x:c r="U71" s="88" t="s">
        <x:v>3812</x:v>
      </x:c>
      <x:c r="V71" s="89">
        <x:v>46079.344619872689</x:v>
      </x:c>
      <x:c r="W71" s="88" t="s">
        <x:v>420</x:v>
      </x:c>
      <x:c r="X71" s="88" t="s">
        <x:v>259</x:v>
      </x:c>
      <x:c r="Y71" s="88" t="s">
        <x:v>2021</x:v>
      </x:c>
      <x:c r="Z71" s="89">
        <x:v>46080.089454780093</x:v>
      </x:c>
      <x:c r="AA71" s="88" t="s">
        <x:v>2518</x:v>
      </x:c>
      <x:c r="AB71" s="88" t="s">
        <x:v>259</x:v>
      </x:c>
      <x:c r="AC71" s="88" t="s">
        <x:v>3813</x:v>
      </x:c>
      <x:c r="AD71" s="89">
        <x:v>46080.121178009256</x:v>
      </x:c>
      <x:c r="AE71" s="88" t="s">
        <x:v>3142</x:v>
      </x:c>
      <x:c r="AF71" s="88" t="s">
        <x:v>259</x:v>
      </x:c>
      <x:c r="AG71" s="88" t="s">
        <x:v>353</x:v>
      </x:c>
      <x:c r="AH71" s="89">
        <x:v>46092.287532824077</x:v>
      </x:c>
      <x:c r="AI71" s="88" t="s">
        <x:v>3806</x:v>
      </x:c>
      <x:c r="AJ71" s="88" t="s">
        <x:v>259</x:v>
      </x:c>
      <x:c r="AK71" s="88" t="s">
        <x:v>3814</x:v>
      </x:c>
      <x:c r="AL71" s="88" t="s">
        <x:v>3808</x:v>
      </x:c>
    </x:row>
    <x:row r="72">
      <x:c r="A72" s="88" t="s">
        <x:v>3815</x:v>
      </x:c>
      <x:c r="B72" s="88" t="s">
        <x:v>3816</x:v>
      </x:c>
      <x:c r="C72" s="88" t="s">
        <x:v>3817</x:v>
      </x:c>
      <x:c r="D72" s="88" t="s">
        <x:v>3133</x:v>
      </x:c>
      <x:c r="E72" s="88" t="s">
        <x:v>342</x:v>
      </x:c>
      <x:c r="F72" s="89">
        <x:v>46080.183925196761</x:v>
      </x:c>
      <x:c r="G72" s="89">
        <x:v>46080.183925196761</x:v>
      </x:c>
      <x:c r="H72" s="89">
        <x:v>46094.591606504633</x:v>
      </x:c>
      <x:c r="I72" s="88" t="s">
        <x:v>3818</x:v>
      </x:c>
      <x:c r="J72" s="88" t="s">
        <x:v>3819</x:v>
      </x:c>
      <x:c r="K72" s="88" t="s">
        <x:v>3820</x:v>
      </x:c>
      <x:c r="L72" s="88" t="s">
        <x:v>3821</x:v>
      </x:c>
      <x:c r="M72" s="88" t="s">
        <x:v>3822</x:v>
      </x:c>
      <x:c r="N72" s="88" t="s">
        <x:v>3819</x:v>
      </x:c>
      <x:c r="O72" s="88" t="s">
        <x:v>3137</x:v>
      </x:c>
      <x:c r="P72" s="88" t="s">
        <x:v>3173</x:v>
      </x:c>
      <x:c r="Q72" s="88" t="s">
        <x:v>3823</x:v>
      </x:c>
      <x:c r="R72" s="88" t="s">
        <x:v>193</x:v>
      </x:c>
      <x:c r="S72" s="88"/>
      <x:c r="T72" s="88"/>
      <x:c r="U72" s="88" t="s">
        <x:v>815</x:v>
      </x:c>
      <x:c r="V72" s="89">
        <x:v>46080.191637638891</x:v>
      </x:c>
      <x:c r="W72" s="88" t="s">
        <x:v>3824</x:v>
      </x:c>
      <x:c r="X72" s="88" t="s">
        <x:v>259</x:v>
      </x:c>
      <x:c r="Y72" s="88" t="s">
        <x:v>3825</x:v>
      </x:c>
      <x:c r="Z72" s="89">
        <x:v>46080.329951238426</x:v>
      </x:c>
      <x:c r="AA72" s="88" t="s">
        <x:v>2518</x:v>
      </x:c>
      <x:c r="AB72" s="88" t="s">
        <x:v>259</x:v>
      </x:c>
      <x:c r="AC72" s="88" t="s">
        <x:v>3826</x:v>
      </x:c>
      <x:c r="AD72" s="89">
        <x:v>46084.084973703706</x:v>
      </x:c>
      <x:c r="AE72" s="88" t="s">
        <x:v>3142</x:v>
      </x:c>
      <x:c r="AF72" s="88" t="s">
        <x:v>259</x:v>
      </x:c>
      <x:c r="AG72" s="88" t="s">
        <x:v>353</x:v>
      </x:c>
      <x:c r="AH72" s="89">
        <x:v>46094.591606516202</x:v>
      </x:c>
      <x:c r="AI72" s="88" t="s">
        <x:v>789</x:v>
      </x:c>
      <x:c r="AJ72" s="88" t="s">
        <x:v>259</x:v>
      </x:c>
      <x:c r="AK72" s="88" t="s">
        <x:v>3827</x:v>
      </x:c>
      <x:c r="AL72" s="88" t="s">
        <x:v>3828</x:v>
      </x:c>
    </x:row>
    <x:row r="73">
      <x:c r="A73" s="88" t="s">
        <x:v>3829</x:v>
      </x:c>
      <x:c r="B73" s="88" t="s">
        <x:v>3830</x:v>
      </x:c>
      <x:c r="C73" s="88" t="s">
        <x:v>3817</x:v>
      </x:c>
      <x:c r="D73" s="88" t="s">
        <x:v>3133</x:v>
      </x:c>
      <x:c r="E73" s="88" t="s">
        <x:v>342</x:v>
      </x:c>
      <x:c r="F73" s="89">
        <x:v>46083.17626547454</x:v>
      </x:c>
      <x:c r="G73" s="89">
        <x:v>46083.17626547454</x:v>
      </x:c>
      <x:c r="H73" s="89">
        <x:v>46163.057901701388</x:v>
      </x:c>
      <x:c r="I73" s="88" t="s">
        <x:v>3818</x:v>
      </x:c>
      <x:c r="J73" s="88" t="s">
        <x:v>3819</x:v>
      </x:c>
      <x:c r="K73" s="88" t="s">
        <x:v>3820</x:v>
      </x:c>
      <x:c r="L73" s="88" t="s">
        <x:v>3821</x:v>
      </x:c>
      <x:c r="M73" s="88" t="s">
        <x:v>3822</x:v>
      </x:c>
      <x:c r="N73" s="88" t="s">
        <x:v>3819</x:v>
      </x:c>
      <x:c r="O73" s="88" t="s">
        <x:v>3137</x:v>
      </x:c>
      <x:c r="P73" s="88" t="s">
        <x:v>3138</x:v>
      </x:c>
      <x:c r="Q73" s="88" t="s">
        <x:v>3831</x:v>
      </x:c>
      <x:c r="R73" s="88" t="s">
        <x:v>193</x:v>
      </x:c>
      <x:c r="S73" s="88"/>
      <x:c r="T73" s="88"/>
      <x:c r="U73" s="88" t="s">
        <x:v>815</x:v>
      </x:c>
      <x:c r="V73" s="89">
        <x:v>46083.180361516206</x:v>
      </x:c>
      <x:c r="W73" s="88" t="s">
        <x:v>3824</x:v>
      </x:c>
      <x:c r="X73" s="88" t="s">
        <x:v>259</x:v>
      </x:c>
      <x:c r="Y73" s="88" t="s">
        <x:v>2021</x:v>
      </x:c>
      <x:c r="Z73" s="89">
        <x:v>46084.040450486114</x:v>
      </x:c>
      <x:c r="AA73" s="88" t="s">
        <x:v>2518</x:v>
      </x:c>
      <x:c r="AB73" s="88" t="s">
        <x:v>259</x:v>
      </x:c>
      <x:c r="AC73" s="88" t="s">
        <x:v>3696</x:v>
      </x:c>
      <x:c r="AD73" s="89">
        <x:v>46084.187990972219</x:v>
      </x:c>
      <x:c r="AE73" s="88" t="s">
        <x:v>3142</x:v>
      </x:c>
      <x:c r="AF73" s="88" t="s">
        <x:v>259</x:v>
      </x:c>
      <x:c r="AG73" s="88" t="s">
        <x:v>3832</x:v>
      </x:c>
      <x:c r="AH73" s="89">
        <x:v>46163.057901701388</x:v>
      </x:c>
      <x:c r="AI73" s="88" t="s">
        <x:v>3261</x:v>
      </x:c>
      <x:c r="AJ73" s="88" t="s">
        <x:v>259</x:v>
      </x:c>
      <x:c r="AK73" s="88" t="s">
        <x:v>3833</x:v>
      </x:c>
      <x:c r="AL73" s="88" t="s">
        <x:v>3828</x:v>
      </x:c>
    </x:row>
    <x:row r="74">
      <x:c r="A74" s="88" t="s">
        <x:v>3834</x:v>
      </x:c>
      <x:c r="B74" s="88" t="s">
        <x:v>3835</x:v>
      </x:c>
      <x:c r="C74" s="88" t="s">
        <x:v>3836</x:v>
      </x:c>
      <x:c r="D74" s="88" t="s">
        <x:v>3133</x:v>
      </x:c>
      <x:c r="E74" s="88" t="s">
        <x:v>342</x:v>
      </x:c>
      <x:c r="F74" s="89">
        <x:v>46083.204416006942</x:v>
      </x:c>
      <x:c r="G74" s="89">
        <x:v>46083.204416006942</x:v>
      </x:c>
      <x:c r="H74" s="89">
        <x:v>46112.119710879633</x:v>
      </x:c>
      <x:c r="I74" s="88" t="s">
        <x:v>3780</x:v>
      </x:c>
      <x:c r="J74" s="88" t="s">
        <x:v>3781</x:v>
      </x:c>
      <x:c r="K74" s="88" t="s">
        <x:v>3782</x:v>
      </x:c>
      <x:c r="L74" s="88" t="s">
        <x:v>3783</x:v>
      </x:c>
      <x:c r="M74" s="88" t="s">
        <x:v>1164</x:v>
      </x:c>
      <x:c r="N74" s="88" t="s">
        <x:v>3784</x:v>
      </x:c>
      <x:c r="O74" s="88" t="s">
        <x:v>3137</x:v>
      </x:c>
      <x:c r="P74" s="88" t="s">
        <x:v>3138</x:v>
      </x:c>
      <x:c r="Q74" s="88" t="s">
        <x:v>3837</x:v>
      </x:c>
      <x:c r="R74" s="88" t="s">
        <x:v>185</x:v>
      </x:c>
      <x:c r="S74" s="88"/>
      <x:c r="T74" s="88"/>
      <x:c r="U74" s="88" t="s">
        <x:v>3838</x:v>
      </x:c>
      <x:c r="V74" s="89">
        <x:v>46085.057235821761</x:v>
      </x:c>
      <x:c r="W74" s="88" t="s">
        <x:v>482</x:v>
      </x:c>
      <x:c r="X74" s="88" t="s">
        <x:v>259</x:v>
      </x:c>
      <x:c r="Y74" s="88" t="s">
        <x:v>2021</x:v>
      </x:c>
      <x:c r="Z74" s="89">
        <x:v>46090.114045648152</x:v>
      </x:c>
      <x:c r="AA74" s="88" t="s">
        <x:v>2518</x:v>
      </x:c>
      <x:c r="AB74" s="88" t="s">
        <x:v>259</x:v>
      </x:c>
      <x:c r="AC74" s="88" t="s">
        <x:v>3839</x:v>
      </x:c>
      <x:c r="AD74" s="89">
        <x:v>46092.326412164351</x:v>
      </x:c>
      <x:c r="AE74" s="88" t="s">
        <x:v>3142</x:v>
      </x:c>
      <x:c r="AF74" s="88" t="s">
        <x:v>259</x:v>
      </x:c>
      <x:c r="AG74" s="88" t="s">
        <x:v>353</x:v>
      </x:c>
      <x:c r="AH74" s="89">
        <x:v>46112.119710891202</x:v>
      </x:c>
      <x:c r="AI74" s="88" t="s">
        <x:v>3310</x:v>
      </x:c>
      <x:c r="AJ74" s="88" t="s">
        <x:v>259</x:v>
      </x:c>
      <x:c r="AK74" s="88" t="s">
        <x:v>3840</x:v>
      </x:c>
      <x:c r="AL74" s="88" t="s">
        <x:v>3791</x:v>
      </x:c>
    </x:row>
    <x:row r="75">
      <x:c r="A75" s="88" t="s">
        <x:v>3841</x:v>
      </x:c>
      <x:c r="B75" s="88" t="s">
        <x:v>3842</x:v>
      </x:c>
      <x:c r="C75" s="88" t="s">
        <x:v>3843</x:v>
      </x:c>
      <x:c r="D75" s="88" t="s">
        <x:v>3133</x:v>
      </x:c>
      <x:c r="E75" s="88" t="s">
        <x:v>342</x:v>
      </x:c>
      <x:c r="F75" s="89">
        <x:v>46083.204575173608</x:v>
      </x:c>
      <x:c r="G75" s="89">
        <x:v>46083.204575173608</x:v>
      </x:c>
      <x:c r="H75" s="89">
        <x:v>46112.119832291668</x:v>
      </x:c>
      <x:c r="I75" s="88" t="s">
        <x:v>3780</x:v>
      </x:c>
      <x:c r="J75" s="88" t="s">
        <x:v>3781</x:v>
      </x:c>
      <x:c r="K75" s="88" t="s">
        <x:v>3782</x:v>
      </x:c>
      <x:c r="L75" s="88" t="s">
        <x:v>3783</x:v>
      </x:c>
      <x:c r="M75" s="88" t="s">
        <x:v>1164</x:v>
      </x:c>
      <x:c r="N75" s="88" t="s">
        <x:v>3784</x:v>
      </x:c>
      <x:c r="O75" s="88" t="s">
        <x:v>3137</x:v>
      </x:c>
      <x:c r="P75" s="88" t="s">
        <x:v>3173</x:v>
      </x:c>
      <x:c r="Q75" s="88" t="s">
        <x:v>3844</x:v>
      </x:c>
      <x:c r="R75" s="88" t="s">
        <x:v>185</x:v>
      </x:c>
      <x:c r="S75" s="88"/>
      <x:c r="T75" s="88"/>
      <x:c r="U75" s="88" t="s">
        <x:v>3838</x:v>
      </x:c>
      <x:c r="V75" s="89">
        <x:v>46085.056509664355</x:v>
      </x:c>
      <x:c r="W75" s="88" t="s">
        <x:v>482</x:v>
      </x:c>
      <x:c r="X75" s="88" t="s">
        <x:v>259</x:v>
      </x:c>
      <x:c r="Y75" s="88" t="s">
        <x:v>2021</x:v>
      </x:c>
      <x:c r="Z75" s="89">
        <x:v>46091.28116539352</x:v>
      </x:c>
      <x:c r="AA75" s="88" t="s">
        <x:v>2518</x:v>
      </x:c>
      <x:c r="AB75" s="88" t="s">
        <x:v>259</x:v>
      </x:c>
      <x:c r="AC75" s="88" t="s">
        <x:v>3845</x:v>
      </x:c>
      <x:c r="AD75" s="89">
        <x:v>46092.327011747686</x:v>
      </x:c>
      <x:c r="AE75" s="88" t="s">
        <x:v>3142</x:v>
      </x:c>
      <x:c r="AF75" s="88" t="s">
        <x:v>259</x:v>
      </x:c>
      <x:c r="AG75" s="88" t="s">
        <x:v>353</x:v>
      </x:c>
      <x:c r="AH75" s="89">
        <x:v>46112.119832291668</x:v>
      </x:c>
      <x:c r="AI75" s="88" t="s">
        <x:v>3310</x:v>
      </x:c>
      <x:c r="AJ75" s="88" t="s">
        <x:v>259</x:v>
      </x:c>
      <x:c r="AK75" s="88" t="s">
        <x:v>3846</x:v>
      </x:c>
      <x:c r="AL75" s="88" t="s">
        <x:v>3791</x:v>
      </x:c>
    </x:row>
    <x:row r="76">
      <x:c r="A76" s="88" t="s">
        <x:v>3847</x:v>
      </x:c>
      <x:c r="B76" s="88" t="s">
        <x:v>3848</x:v>
      </x:c>
      <x:c r="C76" s="88" t="s">
        <x:v>686</x:v>
      </x:c>
      <x:c r="D76" s="88" t="s">
        <x:v>3133</x:v>
      </x:c>
      <x:c r="E76" s="88" t="s">
        <x:v>342</x:v>
      </x:c>
      <x:c r="F76" s="89">
        <x:v>46083.205160763886</x:v>
      </x:c>
      <x:c r="G76" s="89">
        <x:v>46083.205160763886</x:v>
      </x:c>
      <x:c r="H76" s="89">
        <x:v>46093.176621701386</x:v>
      </x:c>
      <x:c r="I76" s="88" t="s">
        <x:v>3849</x:v>
      </x:c>
      <x:c r="J76" s="88" t="s">
        <x:v>3850</x:v>
      </x:c>
      <x:c r="K76" s="88">
        <x:v>4739</x:v>
      </x:c>
      <x:c r="L76" s="88" t="s">
        <x:v>3851</x:v>
      </x:c>
      <x:c r="M76" s="88" t="s">
        <x:v>3852</x:v>
      </x:c>
      <x:c r="N76" s="88" t="s">
        <x:v>3853</x:v>
      </x:c>
      <x:c r="O76" s="88" t="s">
        <x:v>3137</x:v>
      </x:c>
      <x:c r="P76" s="88" t="s">
        <x:v>3138</x:v>
      </x:c>
      <x:c r="Q76" s="88" t="s">
        <x:v>3854</x:v>
      </x:c>
      <x:c r="R76" s="88" t="s">
        <x:v>162</x:v>
      </x:c>
      <x:c r="S76" s="88"/>
      <x:c r="T76" s="88"/>
      <x:c r="U76" s="88" t="s">
        <x:v>3855</x:v>
      </x:c>
      <x:c r="V76" s="89">
        <x:v>46083.312263136577</x:v>
      </x:c>
      <x:c r="W76" s="88" t="s">
        <x:v>689</x:v>
      </x:c>
      <x:c r="X76" s="88" t="s">
        <x:v>259</x:v>
      </x:c>
      <x:c r="Y76" s="88" t="s">
        <x:v>2021</x:v>
      </x:c>
      <x:c r="Z76" s="89">
        <x:v>46084.04147596065</x:v>
      </x:c>
      <x:c r="AA76" s="88" t="s">
        <x:v>2518</x:v>
      </x:c>
      <x:c r="AB76" s="88" t="s">
        <x:v>259</x:v>
      </x:c>
      <x:c r="AC76" s="88" t="s">
        <x:v>3856</x:v>
      </x:c>
      <x:c r="AD76" s="89">
        <x:v>46085.198255972224</x:v>
      </x:c>
      <x:c r="AE76" s="88" t="s">
        <x:v>3142</x:v>
      </x:c>
      <x:c r="AF76" s="88" t="s">
        <x:v>259</x:v>
      </x:c>
      <x:c r="AG76" s="88" t="s">
        <x:v>3857</x:v>
      </x:c>
      <x:c r="AH76" s="89">
        <x:v>46093.176621712963</x:v>
      </x:c>
      <x:c r="AI76" s="88" t="s">
        <x:v>479</x:v>
      </x:c>
      <x:c r="AJ76" s="88" t="s">
        <x:v>259</x:v>
      </x:c>
      <x:c r="AK76" s="88" t="s">
        <x:v>3858</x:v>
      </x:c>
      <x:c r="AL76" s="88" t="s">
        <x:v>3859</x:v>
      </x:c>
    </x:row>
    <x:row r="77">
      <x:c r="A77" s="88" t="s">
        <x:v>3860</x:v>
      </x:c>
      <x:c r="B77" s="88" t="s">
        <x:v>3861</x:v>
      </x:c>
      <x:c r="C77" s="88" t="s">
        <x:v>3862</x:v>
      </x:c>
      <x:c r="D77" s="88" t="s">
        <x:v>3133</x:v>
      </x:c>
      <x:c r="E77" s="88" t="s">
        <x:v>342</x:v>
      </x:c>
      <x:c r="F77" s="89">
        <x:v>46083.205393171294</x:v>
      </x:c>
      <x:c r="G77" s="89">
        <x:v>46085.315212430556</x:v>
      </x:c>
      <x:c r="H77" s="89">
        <x:v>46092.370027395831</x:v>
      </x:c>
      <x:c r="I77" s="88" t="s">
        <x:v>3575</x:v>
      </x:c>
      <x:c r="J77" s="88" t="s">
        <x:v>3576</x:v>
      </x:c>
      <x:c r="K77" s="88" t="s">
        <x:v>3577</x:v>
      </x:c>
      <x:c r="L77" s="88" t="s">
        <x:v>3578</x:v>
      </x:c>
      <x:c r="M77" s="88" t="s">
        <x:v>3863</x:v>
      </x:c>
      <x:c r="N77" s="88" t="s">
        <x:v>3580</x:v>
      </x:c>
      <x:c r="O77" s="88" t="s">
        <x:v>3137</x:v>
      </x:c>
      <x:c r="P77" s="88" t="s">
        <x:v>3173</x:v>
      </x:c>
      <x:c r="Q77" s="88" t="s">
        <x:v>3864</x:v>
      </x:c>
      <x:c r="R77" s="88" t="s">
        <x:v>193</x:v>
      </x:c>
      <x:c r="S77" s="88"/>
      <x:c r="T77" s="88"/>
      <x:c r="U77" s="88" t="s">
        <x:v>3865</x:v>
      </x:c>
      <x:c r="V77" s="89">
        <x:v>46085.315914039355</x:v>
      </x:c>
      <x:c r="W77" s="88" t="s">
        <x:v>3574</x:v>
      </x:c>
      <x:c r="X77" s="88" t="s">
        <x:v>259</x:v>
      </x:c>
      <x:c r="Y77" s="88" t="s">
        <x:v>3866</x:v>
      </x:c>
      <x:c r="Z77" s="89">
        <x:v>46086.0998940625</x:v>
      </x:c>
      <x:c r="AA77" s="88" t="s">
        <x:v>3484</x:v>
      </x:c>
      <x:c r="AB77" s="88" t="s">
        <x:v>259</x:v>
      </x:c>
      <x:c r="AC77" s="88" t="s">
        <x:v>3867</x:v>
      </x:c>
      <x:c r="AD77" s="89">
        <x:v>46090.324439745367</x:v>
      </x:c>
      <x:c r="AE77" s="88" t="s">
        <x:v>3142</x:v>
      </x:c>
      <x:c r="AF77" s="88" t="s">
        <x:v>259</x:v>
      </x:c>
      <x:c r="AG77" s="88" t="s">
        <x:v>3789</x:v>
      </x:c>
      <x:c r="AH77" s="89">
        <x:v>46092.370027407407</x:v>
      </x:c>
      <x:c r="AI77" s="88" t="s">
        <x:v>3387</x:v>
      </x:c>
      <x:c r="AJ77" s="88" t="s">
        <x:v>259</x:v>
      </x:c>
      <x:c r="AK77" s="88" t="s">
        <x:v>3868</x:v>
      </x:c>
      <x:c r="AL77" s="88" t="s">
        <x:v>3585</x:v>
      </x:c>
    </x:row>
    <x:row r="78">
      <x:c r="A78" s="88" t="s">
        <x:v>3869</x:v>
      </x:c>
      <x:c r="B78" s="88" t="s">
        <x:v>3870</x:v>
      </x:c>
      <x:c r="C78" s="88" t="s">
        <x:v>3836</x:v>
      </x:c>
      <x:c r="D78" s="88" t="s">
        <x:v>3133</x:v>
      </x:c>
      <x:c r="E78" s="88" t="s">
        <x:v>342</x:v>
      </x:c>
      <x:c r="F78" s="89">
        <x:v>46083.205858067129</x:v>
      </x:c>
      <x:c r="G78" s="89">
        <x:v>46083.205858078705</x:v>
      </x:c>
      <x:c r="H78" s="89">
        <x:v>46112.120001886571</x:v>
      </x:c>
      <x:c r="I78" s="88" t="s">
        <x:v>3780</x:v>
      </x:c>
      <x:c r="J78" s="88" t="s">
        <x:v>3781</x:v>
      </x:c>
      <x:c r="K78" s="88" t="s">
        <x:v>3782</x:v>
      </x:c>
      <x:c r="L78" s="88" t="s">
        <x:v>3783</x:v>
      </x:c>
      <x:c r="M78" s="88" t="s">
        <x:v>1164</x:v>
      </x:c>
      <x:c r="N78" s="88" t="s">
        <x:v>3784</x:v>
      </x:c>
      <x:c r="O78" s="88" t="s">
        <x:v>3137</x:v>
      </x:c>
      <x:c r="P78" s="88" t="s">
        <x:v>3173</x:v>
      </x:c>
      <x:c r="Q78" s="88" t="s">
        <x:v>3837</x:v>
      </x:c>
      <x:c r="R78" s="88" t="s">
        <x:v>185</x:v>
      </x:c>
      <x:c r="S78" s="88"/>
      <x:c r="T78" s="88"/>
      <x:c r="U78" s="88" t="s">
        <x:v>3838</x:v>
      </x:c>
      <x:c r="V78" s="89">
        <x:v>46085.055152199071</x:v>
      </x:c>
      <x:c r="W78" s="88" t="s">
        <x:v>482</x:v>
      </x:c>
      <x:c r="X78" s="88" t="s">
        <x:v>259</x:v>
      </x:c>
      <x:c r="Y78" s="88" t="s">
        <x:v>2021</x:v>
      </x:c>
      <x:c r="Z78" s="89">
        <x:v>46091.281476990742</x:v>
      </x:c>
      <x:c r="AA78" s="88" t="s">
        <x:v>2518</x:v>
      </x:c>
      <x:c r="AB78" s="88" t="s">
        <x:v>259</x:v>
      </x:c>
      <x:c r="AC78" s="88" t="s">
        <x:v>3839</x:v>
      </x:c>
      <x:c r="AD78" s="89">
        <x:v>46092.326269895835</x:v>
      </x:c>
      <x:c r="AE78" s="88" t="s">
        <x:v>3142</x:v>
      </x:c>
      <x:c r="AF78" s="88" t="s">
        <x:v>259</x:v>
      </x:c>
      <x:c r="AG78" s="88" t="s">
        <x:v>353</x:v>
      </x:c>
      <x:c r="AH78" s="89">
        <x:v>46112.120001886571</x:v>
      </x:c>
      <x:c r="AI78" s="88" t="s">
        <x:v>3310</x:v>
      </x:c>
      <x:c r="AJ78" s="88" t="s">
        <x:v>259</x:v>
      </x:c>
      <x:c r="AK78" s="88" t="s">
        <x:v>3871</x:v>
      </x:c>
      <x:c r="AL78" s="88" t="s">
        <x:v>3791</x:v>
      </x:c>
    </x:row>
    <x:row r="79">
      <x:c r="A79" s="88" t="s">
        <x:v>3872</x:v>
      </x:c>
      <x:c r="B79" s="88" t="s">
        <x:v>3873</x:v>
      </x:c>
      <x:c r="C79" s="88" t="s">
        <x:v>3843</x:v>
      </x:c>
      <x:c r="D79" s="88" t="s">
        <x:v>3133</x:v>
      </x:c>
      <x:c r="E79" s="88" t="s">
        <x:v>342</x:v>
      </x:c>
      <x:c r="F79" s="89">
        <x:v>46083.20594104167</x:v>
      </x:c>
      <x:c r="G79" s="89">
        <x:v>46083.20594104167</x:v>
      </x:c>
      <x:c r="H79" s="89">
        <x:v>46112.120619328707</x:v>
      </x:c>
      <x:c r="I79" s="88" t="s">
        <x:v>3780</x:v>
      </x:c>
      <x:c r="J79" s="88" t="s">
        <x:v>3781</x:v>
      </x:c>
      <x:c r="K79" s="88" t="s">
        <x:v>3782</x:v>
      </x:c>
      <x:c r="L79" s="88" t="s">
        <x:v>3783</x:v>
      </x:c>
      <x:c r="M79" s="88" t="s">
        <x:v>1164</x:v>
      </x:c>
      <x:c r="N79" s="88" t="s">
        <x:v>3784</x:v>
      </x:c>
      <x:c r="O79" s="88" t="s">
        <x:v>3137</x:v>
      </x:c>
      <x:c r="P79" s="88" t="s">
        <x:v>3138</x:v>
      </x:c>
      <x:c r="Q79" s="88" t="s">
        <x:v>3874</x:v>
      </x:c>
      <x:c r="R79" s="88" t="s">
        <x:v>185</x:v>
      </x:c>
      <x:c r="S79" s="88"/>
      <x:c r="T79" s="88"/>
      <x:c r="U79" s="88" t="s">
        <x:v>3838</x:v>
      </x:c>
      <x:c r="V79" s="89">
        <x:v>46085.054448935189</x:v>
      </x:c>
      <x:c r="W79" s="88" t="s">
        <x:v>482</x:v>
      </x:c>
      <x:c r="X79" s="88" t="s">
        <x:v>259</x:v>
      </x:c>
      <x:c r="Y79" s="88" t="s">
        <x:v>2021</x:v>
      </x:c>
      <x:c r="Z79" s="89">
        <x:v>46091.281753541669</x:v>
      </x:c>
      <x:c r="AA79" s="88" t="s">
        <x:v>2518</x:v>
      </x:c>
      <x:c r="AB79" s="88" t="s">
        <x:v>259</x:v>
      </x:c>
      <x:c r="AC79" s="88" t="s">
        <x:v>3845</x:v>
      </x:c>
      <x:c r="AD79" s="89">
        <x:v>46092.32721797454</x:v>
      </x:c>
      <x:c r="AE79" s="88" t="s">
        <x:v>3142</x:v>
      </x:c>
      <x:c r="AF79" s="88" t="s">
        <x:v>259</x:v>
      </x:c>
      <x:c r="AG79" s="88" t="s">
        <x:v>353</x:v>
      </x:c>
      <x:c r="AH79" s="89">
        <x:v>46112.120619328707</x:v>
      </x:c>
      <x:c r="AI79" s="88" t="s">
        <x:v>3310</x:v>
      </x:c>
      <x:c r="AJ79" s="88" t="s">
        <x:v>259</x:v>
      </x:c>
      <x:c r="AK79" s="88" t="s">
        <x:v>3875</x:v>
      </x:c>
      <x:c r="AL79" s="88" t="s">
        <x:v>3791</x:v>
      </x:c>
    </x:row>
    <x:row r="80">
      <x:c r="A80" s="88" t="s">
        <x:v>3876</x:v>
      </x:c>
      <x:c r="B80" s="88" t="s">
        <x:v>3877</x:v>
      </x:c>
      <x:c r="C80" s="88" t="s">
        <x:v>3352</x:v>
      </x:c>
      <x:c r="D80" s="88" t="s">
        <x:v>3133</x:v>
      </x:c>
      <x:c r="E80" s="88" t="s">
        <x:v>342</x:v>
      </x:c>
      <x:c r="F80" s="89">
        <x:v>46083.271344976849</x:v>
      </x:c>
      <x:c r="G80" s="89">
        <x:v>46083.271344976849</x:v>
      </x:c>
      <x:c r="H80" s="89">
        <x:v>46092.126240081016</x:v>
      </x:c>
      <x:c r="I80" s="88" t="s">
        <x:v>3353</x:v>
      </x:c>
      <x:c r="J80" s="88" t="s">
        <x:v>3354</x:v>
      </x:c>
      <x:c r="K80" s="88">
        <x:v>3948</x:v>
      </x:c>
      <x:c r="L80" s="88" t="s">
        <x:v>3355</x:v>
      </x:c>
      <x:c r="M80" s="88" t="s">
        <x:v>473</x:v>
      </x:c>
      <x:c r="N80" s="88" t="s">
        <x:v>3354</x:v>
      </x:c>
      <x:c r="O80" s="88" t="s">
        <x:v>3137</x:v>
      </x:c>
      <x:c r="P80" s="88" t="s">
        <x:v>3225</x:v>
      </x:c>
      <x:c r="Q80" s="88" t="s">
        <x:v>3878</x:v>
      </x:c>
      <x:c r="R80" s="88" t="s">
        <x:v>162</x:v>
      </x:c>
      <x:c r="S80" s="88"/>
      <x:c r="T80" s="88"/>
      <x:c r="U80" s="88" t="s">
        <x:v>385</x:v>
      </x:c>
      <x:c r="V80" s="89">
        <x:v>46085.048265138888</x:v>
      </x:c>
      <x:c r="W80" s="88" t="s">
        <x:v>473</x:v>
      </x:c>
      <x:c r="X80" s="88" t="s">
        <x:v>259</x:v>
      </x:c>
      <x:c r="Y80" s="88" t="s">
        <x:v>3879</x:v>
      </x:c>
      <x:c r="Z80" s="89">
        <x:v>46086.327214386576</x:v>
      </x:c>
      <x:c r="AA80" s="88" t="s">
        <x:v>3484</x:v>
      </x:c>
      <x:c r="AB80" s="88" t="s">
        <x:v>259</x:v>
      </x:c>
      <x:c r="AC80" s="88" t="s">
        <x:v>3880</x:v>
      </x:c>
      <x:c r="AD80" s="89">
        <x:v>46086.340543356484</x:v>
      </x:c>
      <x:c r="AE80" s="88" t="s">
        <x:v>3142</x:v>
      </x:c>
      <x:c r="AF80" s="88" t="s">
        <x:v>259</x:v>
      </x:c>
      <x:c r="AG80" s="88" t="s">
        <x:v>353</x:v>
      </x:c>
      <x:c r="AH80" s="89">
        <x:v>46092.126240092592</x:v>
      </x:c>
      <x:c r="AI80" s="88" t="s">
        <x:v>3242</x:v>
      </x:c>
      <x:c r="AJ80" s="88" t="s">
        <x:v>259</x:v>
      </x:c>
      <x:c r="AK80" s="88" t="s">
        <x:v>3881</x:v>
      </x:c>
      <x:c r="AL80" s="88" t="s">
        <x:v>3362</x:v>
      </x:c>
    </x:row>
    <x:row r="81">
      <x:c r="A81" s="88" t="s">
        <x:v>3882</x:v>
      </x:c>
      <x:c r="B81" s="88" t="s">
        <x:v>3883</x:v>
      </x:c>
      <x:c r="C81" s="88" t="s">
        <x:v>686</x:v>
      </x:c>
      <x:c r="D81" s="88" t="s">
        <x:v>3133</x:v>
      </x:c>
      <x:c r="E81" s="88" t="s">
        <x:v>342</x:v>
      </x:c>
      <x:c r="F81" s="89">
        <x:v>46086.098320636571</x:v>
      </x:c>
      <x:c r="G81" s="89">
        <x:v>46086.098320636571</x:v>
      </x:c>
      <x:c r="H81" s="89">
        <x:v>46098.008077199076</x:v>
      </x:c>
      <x:c r="I81" s="88" t="s">
        <x:v>3849</x:v>
      </x:c>
      <x:c r="J81" s="88" t="s">
        <x:v>3850</x:v>
      </x:c>
      <x:c r="K81" s="88">
        <x:v>4739</x:v>
      </x:c>
      <x:c r="L81" s="88" t="s">
        <x:v>3851</x:v>
      </x:c>
      <x:c r="M81" s="88" t="s">
        <x:v>3852</x:v>
      </x:c>
      <x:c r="N81" s="88" t="s">
        <x:v>3853</x:v>
      </x:c>
      <x:c r="O81" s="88" t="s">
        <x:v>3137</x:v>
      </x:c>
      <x:c r="P81" s="88" t="s">
        <x:v>3138</x:v>
      </x:c>
      <x:c r="Q81" s="88" t="s">
        <x:v>3884</x:v>
      </x:c>
      <x:c r="R81" s="88" t="s">
        <x:v>162</x:v>
      </x:c>
      <x:c r="S81" s="88"/>
      <x:c r="T81" s="88"/>
      <x:c r="U81" s="88" t="s">
        <x:v>3885</x:v>
      </x:c>
      <x:c r="V81" s="89">
        <x:v>46086.112445231483</x:v>
      </x:c>
      <x:c r="W81" s="88" t="s">
        <x:v>689</x:v>
      </x:c>
      <x:c r="X81" s="88" t="s">
        <x:v>259</x:v>
      </x:c>
      <x:c r="Y81" s="88" t="s">
        <x:v>2021</x:v>
      </x:c>
      <x:c r="Z81" s="89">
        <x:v>46091.282881412037</x:v>
      </x:c>
      <x:c r="AA81" s="88" t="s">
        <x:v>2518</x:v>
      </x:c>
      <x:c r="AB81" s="88" t="s">
        <x:v>259</x:v>
      </x:c>
      <x:c r="AC81" s="88" t="s">
        <x:v>3886</x:v>
      </x:c>
      <x:c r="AD81" s="89">
        <x:v>46092.401859594909</x:v>
      </x:c>
      <x:c r="AE81" s="88" t="s">
        <x:v>3142</x:v>
      </x:c>
      <x:c r="AF81" s="88" t="s">
        <x:v>259</x:v>
      </x:c>
      <x:c r="AG81" s="88" t="s">
        <x:v>3887</x:v>
      </x:c>
      <x:c r="AH81" s="89">
        <x:v>46098.008077210645</x:v>
      </x:c>
      <x:c r="AI81" s="88" t="s">
        <x:v>3282</x:v>
      </x:c>
      <x:c r="AJ81" s="88" t="s">
        <x:v>259</x:v>
      </x:c>
      <x:c r="AK81" s="88" t="s">
        <x:v>3888</x:v>
      </x:c>
      <x:c r="AL81" s="88" t="s">
        <x:v>3859</x:v>
      </x:c>
    </x:row>
    <x:row r="82">
      <x:c r="A82" s="88" t="s">
        <x:v>3889</x:v>
      </x:c>
      <x:c r="B82" s="88" t="s">
        <x:v>3890</x:v>
      </x:c>
      <x:c r="C82" s="88" t="s">
        <x:v>1908</x:v>
      </x:c>
      <x:c r="D82" s="88" t="s">
        <x:v>3133</x:v>
      </x:c>
      <x:c r="E82" s="88" t="s">
        <x:v>342</x:v>
      </x:c>
      <x:c r="F82" s="89">
        <x:v>46086.263465706019</x:v>
      </x:c>
      <x:c r="G82" s="89">
        <x:v>46086.363029988424</x:v>
      </x:c>
      <x:c r="H82" s="89">
        <x:v>46097.12368866898</x:v>
      </x:c>
      <x:c r="I82" s="88" t="s">
        <x:v>3611</x:v>
      </x:c>
      <x:c r="J82" s="88" t="s">
        <x:v>3612</x:v>
      </x:c>
      <x:c r="K82" s="88" t="s">
        <x:v>3613</x:v>
      </x:c>
      <x:c r="L82" s="88" t="s">
        <x:v>3614</x:v>
      </x:c>
      <x:c r="M82" s="88" t="s">
        <x:v>667</x:v>
      </x:c>
      <x:c r="N82" s="88" t="s">
        <x:v>3615</x:v>
      </x:c>
      <x:c r="O82" s="88" t="s">
        <x:v>3203</x:v>
      </x:c>
      <x:c r="P82" s="88" t="s">
        <x:v>3138</x:v>
      </x:c>
      <x:c r="Q82" s="88" t="s">
        <x:v>3891</x:v>
      </x:c>
      <x:c r="R82" s="88" t="s">
        <x:v>185</x:v>
      </x:c>
      <x:c r="S82" s="88" t="s">
        <x:v>3892</x:v>
      </x:c>
      <x:c r="T82" s="88"/>
      <x:c r="U82" s="88" t="s">
        <x:v>3893</x:v>
      </x:c>
      <x:c r="V82" s="89">
        <x:v>46090.049893530093</x:v>
      </x:c>
      <x:c r="W82" s="88" t="s">
        <x:v>616</x:v>
      </x:c>
      <x:c r="X82" s="88" t="s">
        <x:v>259</x:v>
      </x:c>
      <x:c r="Y82" s="88" t="s">
        <x:v>2021</x:v>
      </x:c>
      <x:c r="Z82" s="89">
        <x:v>46091.28526193287</x:v>
      </x:c>
      <x:c r="AA82" s="88" t="s">
        <x:v>2518</x:v>
      </x:c>
      <x:c r="AB82" s="88" t="s">
        <x:v>259</x:v>
      </x:c>
      <x:c r="AC82" s="88" t="s">
        <x:v>3894</x:v>
      </x:c>
      <x:c r="AD82" s="89">
        <x:v>46091.368695844911</x:v>
      </x:c>
      <x:c r="AE82" s="88" t="s">
        <x:v>3142</x:v>
      </x:c>
      <x:c r="AF82" s="88" t="s">
        <x:v>259</x:v>
      </x:c>
      <x:c r="AG82" s="88" t="s">
        <x:v>3895</x:v>
      </x:c>
      <x:c r="AH82" s="89">
        <x:v>46097.123688680556</x:v>
      </x:c>
      <x:c r="AI82" s="88" t="s">
        <x:v>3142</x:v>
      </x:c>
      <x:c r="AJ82" s="88" t="s">
        <x:v>259</x:v>
      </x:c>
      <x:c r="AK82" s="88" t="s">
        <x:v>3896</x:v>
      </x:c>
      <x:c r="AL82" s="88" t="s">
        <x:v>3621</x:v>
      </x:c>
    </x:row>
    <x:row r="83">
      <x:c r="A83" s="88" t="s">
        <x:v>3897</x:v>
      </x:c>
      <x:c r="B83" s="88" t="s">
        <x:v>3898</x:v>
      </x:c>
      <x:c r="C83" s="88" t="s">
        <x:v>1084</x:v>
      </x:c>
      <x:c r="D83" s="88" t="s">
        <x:v>3133</x:v>
      </x:c>
      <x:c r="E83" s="88" t="s">
        <x:v>342</x:v>
      </x:c>
      <x:c r="F83" s="89">
        <x:v>46086.305306087961</x:v>
      </x:c>
      <x:c r="G83" s="89">
        <x:v>46086.305306087961</x:v>
      </x:c>
      <x:c r="H83" s="89">
        <x:v>46100.39461304398</x:v>
      </x:c>
      <x:c r="I83" s="88" t="s">
        <x:v>3899</x:v>
      </x:c>
      <x:c r="J83" s="88" t="s">
        <x:v>3900</x:v>
      </x:c>
      <x:c r="K83" s="88" t="s">
        <x:v>3901</x:v>
      </x:c>
      <x:c r="L83" s="88" t="s">
        <x:v>3902</x:v>
      </x:c>
      <x:c r="M83" s="88" t="s">
        <x:v>824</x:v>
      </x:c>
      <x:c r="N83" s="88" t="s">
        <x:v>3903</x:v>
      </x:c>
      <x:c r="O83" s="88" t="s">
        <x:v>3137</x:v>
      </x:c>
      <x:c r="P83" s="88" t="s">
        <x:v>3225</x:v>
      </x:c>
      <x:c r="Q83" s="88" t="s">
        <x:v>3904</x:v>
      </x:c>
      <x:c r="R83" s="88" t="s">
        <x:v>185</x:v>
      </x:c>
      <x:c r="S83" s="88"/>
      <x:c r="T83" s="88"/>
      <x:c r="U83" s="88" t="s">
        <x:v>259</x:v>
      </x:c>
      <x:c r="V83" s="89">
        <x:v>46086.31136861111</x:v>
      </x:c>
      <x:c r="W83" s="88" t="s">
        <x:v>827</x:v>
      </x:c>
      <x:c r="X83" s="88" t="s">
        <x:v>259</x:v>
      </x:c>
      <x:c r="Y83" s="88" t="s">
        <x:v>2021</x:v>
      </x:c>
      <x:c r="Z83" s="89">
        <x:v>46091.284103136575</x:v>
      </x:c>
      <x:c r="AA83" s="88" t="s">
        <x:v>2518</x:v>
      </x:c>
      <x:c r="AB83" s="88" t="s">
        <x:v>259</x:v>
      </x:c>
      <x:c r="AC83" s="88" t="s">
        <x:v>3905</x:v>
      </x:c>
      <x:c r="AD83" s="89">
        <x:v>46092.167422557868</x:v>
      </x:c>
      <x:c r="AE83" s="88" t="s">
        <x:v>3142</x:v>
      </x:c>
      <x:c r="AF83" s="88" t="s">
        <x:v>259</x:v>
      </x:c>
      <x:c r="AG83" s="88" t="s">
        <x:v>3906</x:v>
      </x:c>
      <x:c r="AH83" s="89">
        <x:v>46100.394613055556</x:v>
      </x:c>
      <x:c r="AI83" s="88" t="s">
        <x:v>2466</x:v>
      </x:c>
      <x:c r="AJ83" s="88" t="s">
        <x:v>259</x:v>
      </x:c>
      <x:c r="AK83" s="88" t="s">
        <x:v>3907</x:v>
      </x:c>
      <x:c r="AL83" s="88" t="s">
        <x:v>3908</x:v>
      </x:c>
    </x:row>
    <x:row r="84">
      <x:c r="A84" s="88" t="s">
        <x:v>3909</x:v>
      </x:c>
      <x:c r="B84" s="88" t="s">
        <x:v>3910</x:v>
      </x:c>
      <x:c r="C84" s="88" t="s">
        <x:v>1117</x:v>
      </x:c>
      <x:c r="D84" s="88" t="s">
        <x:v>3133</x:v>
      </x:c>
      <x:c r="E84" s="88" t="s">
        <x:v>342</x:v>
      </x:c>
      <x:c r="F84" s="89">
        <x:v>46087.002873182872</x:v>
      </x:c>
      <x:c r="G84" s="89">
        <x:v>46087.002873182872</x:v>
      </x:c>
      <x:c r="H84" s="89">
        <x:v>46088.708198900466</x:v>
      </x:c>
      <x:c r="I84" s="88" t="s">
        <x:v>2042</x:v>
      </x:c>
      <x:c r="J84" s="88" t="s">
        <x:v>2039</x:v>
      </x:c>
      <x:c r="K84" s="88" t="s">
        <x:v>2043</x:v>
      </x:c>
      <x:c r="L84" s="88" t="s">
        <x:v>2029</x:v>
      </x:c>
      <x:c r="M84" s="88" t="s">
        <x:v>2033</x:v>
      </x:c>
      <x:c r="N84" s="88" t="s">
        <x:v>3911</x:v>
      </x:c>
      <x:c r="O84" s="88" t="s">
        <x:v>3203</x:v>
      </x:c>
      <x:c r="P84" s="88" t="s">
        <x:v>3138</x:v>
      </x:c>
      <x:c r="Q84" s="88" t="s">
        <x:v>3912</x:v>
      </x:c>
      <x:c r="R84" s="88" t="s">
        <x:v>162</x:v>
      </x:c>
      <x:c r="S84" s="88" t="s">
        <x:v>3913</x:v>
      </x:c>
      <x:c r="T84" s="88"/>
      <x:c r="U84" s="88" t="s">
        <x:v>3914</x:v>
      </x:c>
      <x:c r="V84" s="89">
        <x:v>46087.010035937499</x:v>
      </x:c>
      <x:c r="W84" s="88" t="s">
        <x:v>2033</x:v>
      </x:c>
      <x:c r="X84" s="88" t="s">
        <x:v>259</x:v>
      </x:c>
      <x:c r="Y84" s="88" t="s">
        <x:v>3915</x:v>
      </x:c>
      <x:c r="Z84" s="89">
        <x:v>46087.129106435183</x:v>
      </x:c>
      <x:c r="AA84" s="88" t="s">
        <x:v>3310</x:v>
      </x:c>
      <x:c r="AB84" s="88" t="s">
        <x:v>259</x:v>
      </x:c>
      <x:c r="AC84" s="88" t="s">
        <x:v>3916</x:v>
      </x:c>
      <x:c r="AD84" s="89">
        <x:v>46087.174869710645</x:v>
      </x:c>
      <x:c r="AE84" s="88" t="s">
        <x:v>3142</x:v>
      </x:c>
      <x:c r="AF84" s="88" t="s">
        <x:v>259</x:v>
      </x:c>
      <x:c r="AG84" s="88" t="s">
        <x:v>3917</x:v>
      </x:c>
      <x:c r="AH84" s="89">
        <x:v>46088.708198912034</x:v>
      </x:c>
      <x:c r="AI84" s="88" t="s">
        <x:v>2466</x:v>
      </x:c>
      <x:c r="AJ84" s="88" t="s">
        <x:v>259</x:v>
      </x:c>
      <x:c r="AK84" s="88" t="s">
        <x:v>3918</x:v>
      </x:c>
      <x:c r="AL84" s="88" t="s">
        <x:v>3919</x:v>
      </x:c>
    </x:row>
    <x:row r="85">
      <x:c r="A85" s="88" t="s">
        <x:v>3920</x:v>
      </x:c>
      <x:c r="B85" s="88" t="s">
        <x:v>3921</x:v>
      </x:c>
      <x:c r="C85" s="88" t="s">
        <x:v>3490</x:v>
      </x:c>
      <x:c r="D85" s="88" t="s">
        <x:v>3133</x:v>
      </x:c>
      <x:c r="E85" s="88" t="s">
        <x:v>342</x:v>
      </x:c>
      <x:c r="F85" s="89">
        <x:v>46090.168200092594</x:v>
      </x:c>
      <x:c r="G85" s="89">
        <x:v>46090.168200092594</x:v>
      </x:c>
      <x:c r="H85" s="89">
        <x:v>46129.086684988426</x:v>
      </x:c>
      <x:c r="I85" s="88" t="s">
        <x:v>3491</x:v>
      </x:c>
      <x:c r="J85" s="88" t="s">
        <x:v>3492</x:v>
      </x:c>
      <x:c r="K85" s="88" t="s">
        <x:v>3493</x:v>
      </x:c>
      <x:c r="L85" s="88" t="s">
        <x:v>3492</x:v>
      </x:c>
      <x:c r="M85" s="88" t="s">
        <x:v>3490</x:v>
      </x:c>
      <x:c r="N85" s="88" t="s">
        <x:v>3495</x:v>
      </x:c>
      <x:c r="O85" s="88" t="s">
        <x:v>3137</x:v>
      </x:c>
      <x:c r="P85" s="88" t="s">
        <x:v>3173</x:v>
      </x:c>
      <x:c r="Q85" s="88" t="s">
        <x:v>3922</x:v>
      </x:c>
      <x:c r="R85" s="88" t="s">
        <x:v>193</x:v>
      </x:c>
      <x:c r="S85" s="88"/>
      <x:c r="T85" s="88"/>
      <x:c r="U85" s="88" t="s">
        <x:v>3923</x:v>
      </x:c>
      <x:c r="V85" s="89">
        <x:v>46090.173156747682</x:v>
      </x:c>
      <x:c r="W85" s="88" t="s">
        <x:v>3490</x:v>
      </x:c>
      <x:c r="X85" s="88" t="s">
        <x:v>259</x:v>
      </x:c>
      <x:c r="Y85" s="88" t="s">
        <x:v>2021</x:v>
      </x:c>
      <x:c r="Z85" s="89">
        <x:v>46091.28703550926</x:v>
      </x:c>
      <x:c r="AA85" s="88" t="s">
        <x:v>2518</x:v>
      </x:c>
      <x:c r="AB85" s="88" t="s">
        <x:v>259</x:v>
      </x:c>
      <x:c r="AC85" s="88" t="s">
        <x:v>3924</x:v>
      </x:c>
      <x:c r="AD85" s="89">
        <x:v>46092.16290703704</x:v>
      </x:c>
      <x:c r="AE85" s="88" t="s">
        <x:v>3142</x:v>
      </x:c>
      <x:c r="AF85" s="88" t="s">
        <x:v>259</x:v>
      </x:c>
      <x:c r="AG85" s="88" t="s">
        <x:v>342</x:v>
      </x:c>
      <x:c r="AH85" s="89">
        <x:v>46129.086685000002</x:v>
      </x:c>
      <x:c r="AI85" s="88" t="s">
        <x:v>3242</x:v>
      </x:c>
      <x:c r="AJ85" s="88" t="s">
        <x:v>259</x:v>
      </x:c>
      <x:c r="AK85" s="88" t="s">
        <x:v>3925</x:v>
      </x:c>
      <x:c r="AL85" s="88" t="s">
        <x:v>3501</x:v>
      </x:c>
    </x:row>
    <x:row r="86">
      <x:c r="A86" s="88" t="s">
        <x:v>3926</x:v>
      </x:c>
      <x:c r="B86" s="88" t="s">
        <x:v>3927</x:v>
      </x:c>
      <x:c r="C86" s="88" t="s">
        <x:v>3490</x:v>
      </x:c>
      <x:c r="D86" s="88" t="s">
        <x:v>3133</x:v>
      </x:c>
      <x:c r="E86" s="88" t="s">
        <x:v>342</x:v>
      </x:c>
      <x:c r="F86" s="89">
        <x:v>46090.16904212963</x:v>
      </x:c>
      <x:c r="G86" s="89">
        <x:v>46090.16904212963</x:v>
      </x:c>
      <x:c r="H86" s="89">
        <x:v>46129.087061631944</x:v>
      </x:c>
      <x:c r="I86" s="88" t="s">
        <x:v>3491</x:v>
      </x:c>
      <x:c r="J86" s="88" t="s">
        <x:v>3492</x:v>
      </x:c>
      <x:c r="K86" s="88" t="s">
        <x:v>3493</x:v>
      </x:c>
      <x:c r="L86" s="88" t="s">
        <x:v>3492</x:v>
      </x:c>
      <x:c r="M86" s="88" t="s">
        <x:v>3490</x:v>
      </x:c>
      <x:c r="N86" s="88" t="s">
        <x:v>3495</x:v>
      </x:c>
      <x:c r="O86" s="88" t="s">
        <x:v>3137</x:v>
      </x:c>
      <x:c r="P86" s="88" t="s">
        <x:v>3138</x:v>
      </x:c>
      <x:c r="Q86" s="88" t="s">
        <x:v>3928</x:v>
      </x:c>
      <x:c r="R86" s="88" t="s">
        <x:v>193</x:v>
      </x:c>
      <x:c r="S86" s="88"/>
      <x:c r="T86" s="88"/>
      <x:c r="U86" s="88" t="s">
        <x:v>3923</x:v>
      </x:c>
      <x:c r="V86" s="89">
        <x:v>46090.172824490743</x:v>
      </x:c>
      <x:c r="W86" s="88" t="s">
        <x:v>3490</x:v>
      </x:c>
      <x:c r="X86" s="88" t="s">
        <x:v>259</x:v>
      </x:c>
      <x:c r="Y86" s="88" t="s">
        <x:v>2021</x:v>
      </x:c>
      <x:c r="Z86" s="89">
        <x:v>46091.28732181713</x:v>
      </x:c>
      <x:c r="AA86" s="88" t="s">
        <x:v>2518</x:v>
      </x:c>
      <x:c r="AB86" s="88" t="s">
        <x:v>259</x:v>
      </x:c>
      <x:c r="AC86" s="88" t="s">
        <x:v>3924</x:v>
      </x:c>
      <x:c r="AD86" s="89">
        <x:v>46092.16267140046</x:v>
      </x:c>
      <x:c r="AE86" s="88" t="s">
        <x:v>3142</x:v>
      </x:c>
      <x:c r="AF86" s="88" t="s">
        <x:v>259</x:v>
      </x:c>
      <x:c r="AG86" s="88" t="s">
        <x:v>342</x:v>
      </x:c>
      <x:c r="AH86" s="89">
        <x:v>46129.087061631944</x:v>
      </x:c>
      <x:c r="AI86" s="88" t="s">
        <x:v>3242</x:v>
      </x:c>
      <x:c r="AJ86" s="88" t="s">
        <x:v>259</x:v>
      </x:c>
      <x:c r="AK86" s="88" t="s">
        <x:v>3929</x:v>
      </x:c>
      <x:c r="AL86" s="88" t="s">
        <x:v>3501</x:v>
      </x:c>
    </x:row>
    <x:row r="87">
      <x:c r="A87" s="88" t="s">
        <x:v>3930</x:v>
      </x:c>
      <x:c r="B87" s="88" t="s">
        <x:v>3931</x:v>
      </x:c>
      <x:c r="C87" s="88" t="s">
        <x:v>3324</x:v>
      </x:c>
      <x:c r="D87" s="88" t="s">
        <x:v>3133</x:v>
      </x:c>
      <x:c r="E87" s="88" t="s">
        <x:v>249</x:v>
      </x:c>
      <x:c r="F87" s="89">
        <x:v>46090.28968721065</x:v>
      </x:c>
      <x:c r="G87" s="89">
        <x:v>46091.084219745368</x:v>
      </x:c>
      <x:c r="H87" s="89">
        <x:v>46125.279041932874</x:v>
      </x:c>
      <x:c r="I87" s="88" t="s">
        <x:v>3325</x:v>
      </x:c>
      <x:c r="J87" s="88" t="s">
        <x:v>3326</x:v>
      </x:c>
      <x:c r="K87" s="88">
        <x:v>859</x:v>
      </x:c>
      <x:c r="L87" s="88" t="s">
        <x:v>3327</x:v>
      </x:c>
      <x:c r="M87" s="88" t="s">
        <x:v>842</x:v>
      </x:c>
      <x:c r="N87" s="88" t="s">
        <x:v>3329</x:v>
      </x:c>
      <x:c r="O87" s="88" t="s">
        <x:v>3203</x:v>
      </x:c>
      <x:c r="P87" s="88" t="s">
        <x:v>3138</x:v>
      </x:c>
      <x:c r="Q87" s="88" t="s">
        <x:v>3932</x:v>
      </x:c>
      <x:c r="R87" s="88"/>
      <x:c r="S87" s="88" t="s">
        <x:v>3933</x:v>
      </x:c>
      <x:c r="T87" s="88"/>
      <x:c r="U87" s="88" t="s">
        <x:v>249</x:v>
      </x:c>
      <x:c r="V87" s="89">
        <x:v>46125.279041944443</x:v>
      </x:c>
      <x:c r="W87" s="88" t="s">
        <x:v>457</x:v>
      </x:c>
      <x:c r="X87" s="88" t="s">
        <x:v>249</x:v>
      </x:c>
      <x:c r="Y87" s="88"/>
      <x:c r="Z87" s="89"/>
      <x:c r="AA87" s="88" t="s">
        <x:v>3206</x:v>
      </x:c>
      <x:c r="AB87" s="88"/>
      <x:c r="AC87" s="88"/>
      <x:c r="AD87" s="89"/>
      <x:c r="AE87" s="88" t="s">
        <x:v>273</x:v>
      </x:c>
      <x:c r="AF87" s="88"/>
      <x:c r="AG87" s="88"/>
      <x:c r="AH87" s="89"/>
      <x:c r="AI87" s="88" t="s">
        <x:v>3176</x:v>
      </x:c>
      <x:c r="AJ87" s="88"/>
      <x:c r="AK87" s="88"/>
      <x:c r="AL87" s="88" t="s">
        <x:v>3336</x:v>
      </x:c>
    </x:row>
    <x:row r="88">
      <x:c r="A88" s="88" t="s">
        <x:v>3934</x:v>
      </x:c>
      <x:c r="B88" s="88" t="s">
        <x:v>3935</x:v>
      </x:c>
      <x:c r="C88" s="88" t="s">
        <x:v>3936</x:v>
      </x:c>
      <x:c r="D88" s="88" t="s">
        <x:v>3133</x:v>
      </x:c>
      <x:c r="E88" s="88" t="s">
        <x:v>249</x:v>
      </x:c>
      <x:c r="F88" s="89">
        <x:v>46090.312586215281</x:v>
      </x:c>
      <x:c r="G88" s="89">
        <x:v>46090.312586215281</x:v>
      </x:c>
      <x:c r="H88" s="89">
        <x:v>46091.289560381942</x:v>
      </x:c>
      <x:c r="I88" s="88" t="s">
        <x:v>3937</x:v>
      </x:c>
      <x:c r="J88" s="88" t="s">
        <x:v>3938</x:v>
      </x:c>
      <x:c r="K88" s="88">
        <x:v>209</x:v>
      </x:c>
      <x:c r="L88" s="88" t="s">
        <x:v>3939</x:v>
      </x:c>
      <x:c r="M88" s="88" t="s">
        <x:v>3940</x:v>
      </x:c>
      <x:c r="N88" s="88" t="s">
        <x:v>3941</x:v>
      </x:c>
      <x:c r="O88" s="88" t="s">
        <x:v>3137</x:v>
      </x:c>
      <x:c r="P88" s="88" t="s">
        <x:v>3225</x:v>
      </x:c>
      <x:c r="Q88" s="88" t="s">
        <x:v>3942</x:v>
      </x:c>
      <x:c r="R88" s="88"/>
      <x:c r="S88" s="88"/>
      <x:c r="T88" s="88"/>
      <x:c r="U88" s="88" t="s">
        <x:v>3943</x:v>
      </x:c>
      <x:c r="V88" s="89">
        <x:v>46090.337183981479</x:v>
      </x:c>
      <x:c r="W88" s="88" t="s">
        <x:v>3944</x:v>
      </x:c>
      <x:c r="X88" s="88" t="s">
        <x:v>259</x:v>
      </x:c>
      <x:c r="Y88" s="88" t="s">
        <x:v>3945</x:v>
      </x:c>
      <x:c r="Z88" s="89">
        <x:v>46091.289560405094</x:v>
      </x:c>
      <x:c r="AA88" s="88" t="s">
        <x:v>2518</x:v>
      </x:c>
      <x:c r="AB88" s="88" t="s">
        <x:v>249</x:v>
      </x:c>
      <x:c r="AC88" s="88"/>
      <x:c r="AD88" s="89"/>
      <x:c r="AE88" s="88" t="s">
        <x:v>273</x:v>
      </x:c>
      <x:c r="AF88" s="88"/>
      <x:c r="AG88" s="88"/>
      <x:c r="AH88" s="89"/>
      <x:c r="AI88" s="88" t="s">
        <x:v>3176</x:v>
      </x:c>
      <x:c r="AJ88" s="88"/>
      <x:c r="AK88" s="88"/>
      <x:c r="AL88" s="88" t="s">
        <x:v>3946</x:v>
      </x:c>
    </x:row>
    <x:row r="89">
      <x:c r="A89" s="88" t="s">
        <x:v>3947</x:v>
      </x:c>
      <x:c r="B89" s="88" t="s">
        <x:v>3948</x:v>
      </x:c>
      <x:c r="C89" s="88" t="s">
        <x:v>2948</x:v>
      </x:c>
      <x:c r="D89" s="88" t="s">
        <x:v>3133</x:v>
      </x:c>
      <x:c r="E89" s="88" t="s">
        <x:v>342</x:v>
      </x:c>
      <x:c r="F89" s="89">
        <x:v>46090.330007094904</x:v>
      </x:c>
      <x:c r="G89" s="89">
        <x:v>46090.330007094904</x:v>
      </x:c>
      <x:c r="H89" s="89">
        <x:v>46135.337167916667</x:v>
      </x:c>
      <x:c r="I89" s="88" t="s">
        <x:v>587</x:v>
      </x:c>
      <x:c r="J89" s="88" t="s">
        <x:v>578</x:v>
      </x:c>
      <x:c r="K89" s="88">
        <x:v>4343</x:v>
      </x:c>
      <x:c r="L89" s="88" t="s">
        <x:v>579</x:v>
      </x:c>
      <x:c r="M89" s="88" t="s">
        <x:v>824</x:v>
      </x:c>
      <x:c r="N89" s="88" t="s">
        <x:v>3949</x:v>
      </x:c>
      <x:c r="O89" s="88" t="s">
        <x:v>3137</x:v>
      </x:c>
      <x:c r="P89" s="88" t="s">
        <x:v>3225</x:v>
      </x:c>
      <x:c r="Q89" s="88" t="s">
        <x:v>3950</x:v>
      </x:c>
      <x:c r="R89" s="88" t="s">
        <x:v>193</x:v>
      </x:c>
      <x:c r="S89" s="88"/>
      <x:c r="T89" s="88"/>
      <x:c r="U89" s="88" t="s">
        <x:v>259</x:v>
      </x:c>
      <x:c r="V89" s="89">
        <x:v>46090.344981793984</x:v>
      </x:c>
      <x:c r="W89" s="88" t="s">
        <x:v>827</x:v>
      </x:c>
      <x:c r="X89" s="88" t="s">
        <x:v>259</x:v>
      </x:c>
      <x:c r="Y89" s="88" t="s">
        <x:v>2021</x:v>
      </x:c>
      <x:c r="Z89" s="89">
        <x:v>46091.291307708336</x:v>
      </x:c>
      <x:c r="AA89" s="88" t="s">
        <x:v>2518</x:v>
      </x:c>
      <x:c r="AB89" s="88" t="s">
        <x:v>259</x:v>
      </x:c>
      <x:c r="AC89" s="88" t="s">
        <x:v>2368</x:v>
      </x:c>
      <x:c r="AD89" s="89">
        <x:v>46094.331166898148</x:v>
      </x:c>
      <x:c r="AE89" s="88" t="s">
        <x:v>3142</x:v>
      </x:c>
      <x:c r="AF89" s="88" t="s">
        <x:v>259</x:v>
      </x:c>
      <x:c r="AG89" s="88" t="s">
        <x:v>3951</x:v>
      </x:c>
      <x:c r="AH89" s="89">
        <x:v>46135.337167928243</x:v>
      </x:c>
      <x:c r="AI89" s="88" t="s">
        <x:v>3360</x:v>
      </x:c>
      <x:c r="AJ89" s="88" t="s">
        <x:v>259</x:v>
      </x:c>
      <x:c r="AK89" s="88" t="s">
        <x:v>3952</x:v>
      </x:c>
      <x:c r="AL89" s="88" t="s">
        <x:v>3953</x:v>
      </x:c>
    </x:row>
    <x:row r="90">
      <x:c r="A90" s="88" t="s">
        <x:v>3954</x:v>
      </x:c>
      <x:c r="B90" s="88" t="s">
        <x:v>3955</x:v>
      </x:c>
      <x:c r="C90" s="88" t="s">
        <x:v>3936</x:v>
      </x:c>
      <x:c r="D90" s="88" t="s">
        <x:v>3133</x:v>
      </x:c>
      <x:c r="E90" s="88" t="s">
        <x:v>342</x:v>
      </x:c>
      <x:c r="F90" s="89">
        <x:v>46091.117524895832</x:v>
      </x:c>
      <x:c r="G90" s="89">
        <x:v>46093.210536053244</x:v>
      </x:c>
      <x:c r="H90" s="89">
        <x:v>46121.26929103009</x:v>
      </x:c>
      <x:c r="I90" s="88" t="s">
        <x:v>3937</x:v>
      </x:c>
      <x:c r="J90" s="88" t="s">
        <x:v>3938</x:v>
      </x:c>
      <x:c r="K90" s="88">
        <x:v>209</x:v>
      </x:c>
      <x:c r="L90" s="88" t="s">
        <x:v>3939</x:v>
      </x:c>
      <x:c r="M90" s="88" t="s">
        <x:v>3940</x:v>
      </x:c>
      <x:c r="N90" s="88" t="s">
        <x:v>3941</x:v>
      </x:c>
      <x:c r="O90" s="88" t="s">
        <x:v>3137</x:v>
      </x:c>
      <x:c r="P90" s="88" t="s">
        <x:v>3173</x:v>
      </x:c>
      <x:c r="Q90" s="88" t="s">
        <x:v>3956</x:v>
      </x:c>
      <x:c r="R90" s="88" t="s">
        <x:v>185</x:v>
      </x:c>
      <x:c r="S90" s="88"/>
      <x:c r="T90" s="88"/>
      <x:c r="U90" s="88" t="s">
        <x:v>3957</x:v>
      </x:c>
      <x:c r="V90" s="89">
        <x:v>46093.218172719906</x:v>
      </x:c>
      <x:c r="W90" s="88" t="s">
        <x:v>3944</x:v>
      </x:c>
      <x:c r="X90" s="88" t="s">
        <x:v>259</x:v>
      </x:c>
      <x:c r="Y90" s="88" t="s">
        <x:v>2021</x:v>
      </x:c>
      <x:c r="Z90" s="89">
        <x:v>46112.076636261576</x:v>
      </x:c>
      <x:c r="AA90" s="88" t="s">
        <x:v>2518</x:v>
      </x:c>
      <x:c r="AB90" s="88" t="s">
        <x:v>259</x:v>
      </x:c>
      <x:c r="AC90" s="88" t="s">
        <x:v>3958</x:v>
      </x:c>
      <x:c r="AD90" s="89">
        <x:v>46113.110919212966</x:v>
      </x:c>
      <x:c r="AE90" s="88" t="s">
        <x:v>3142</x:v>
      </x:c>
      <x:c r="AF90" s="88" t="s">
        <x:v>259</x:v>
      </x:c>
      <x:c r="AG90" s="88" t="s">
        <x:v>3789</x:v>
      </x:c>
      <x:c r="AH90" s="89">
        <x:v>46121.269291053242</x:v>
      </x:c>
      <x:c r="AI90" s="88" t="s">
        <x:v>3387</x:v>
      </x:c>
      <x:c r="AJ90" s="88" t="s">
        <x:v>259</x:v>
      </x:c>
      <x:c r="AK90" s="88" t="s">
        <x:v>3959</x:v>
      </x:c>
      <x:c r="AL90" s="88" t="s">
        <x:v>3946</x:v>
      </x:c>
    </x:row>
    <x:row r="91">
      <x:c r="A91" s="88" t="s">
        <x:v>3960</x:v>
      </x:c>
      <x:c r="B91" s="88" t="s">
        <x:v>3961</x:v>
      </x:c>
      <x:c r="C91" s="88" t="s">
        <x:v>3324</x:v>
      </x:c>
      <x:c r="D91" s="88" t="s">
        <x:v>3133</x:v>
      </x:c>
      <x:c r="E91" s="88" t="s">
        <x:v>342</x:v>
      </x:c>
      <x:c r="F91" s="89">
        <x:v>46091.181582453704</x:v>
      </x:c>
      <x:c r="G91" s="89">
        <x:v>46091.181582453704</x:v>
      </x:c>
      <x:c r="H91" s="89">
        <x:v>46094.591880335647</x:v>
      </x:c>
      <x:c r="I91" s="88" t="s">
        <x:v>3325</x:v>
      </x:c>
      <x:c r="J91" s="88" t="s">
        <x:v>3326</x:v>
      </x:c>
      <x:c r="K91" s="88">
        <x:v>859</x:v>
      </x:c>
      <x:c r="L91" s="88" t="s">
        <x:v>3327</x:v>
      </x:c>
      <x:c r="M91" s="88" t="s">
        <x:v>3822</x:v>
      </x:c>
      <x:c r="N91" s="88" t="s">
        <x:v>3329</x:v>
      </x:c>
      <x:c r="O91" s="88" t="s">
        <x:v>3203</x:v>
      </x:c>
      <x:c r="P91" s="88" t="s">
        <x:v>3138</x:v>
      </x:c>
      <x:c r="Q91" s="88" t="s">
        <x:v>3962</x:v>
      </x:c>
      <x:c r="R91" s="88" t="s">
        <x:v>185</x:v>
      </x:c>
      <x:c r="S91" s="88" t="s">
        <x:v>3933</x:v>
      </x:c>
      <x:c r="T91" s="88"/>
      <x:c r="U91" s="88" t="s">
        <x:v>3963</x:v>
      </x:c>
      <x:c r="V91" s="89">
        <x:v>46091.256324560185</x:v>
      </x:c>
      <x:c r="W91" s="88" t="s">
        <x:v>3824</x:v>
      </x:c>
      <x:c r="X91" s="88" t="s">
        <x:v>259</x:v>
      </x:c>
      <x:c r="Y91" s="88" t="s">
        <x:v>2021</x:v>
      </x:c>
      <x:c r="Z91" s="89">
        <x:v>46091.293950879626</x:v>
      </x:c>
      <x:c r="AA91" s="88" t="s">
        <x:v>2518</x:v>
      </x:c>
      <x:c r="AB91" s="88" t="s">
        <x:v>259</x:v>
      </x:c>
      <x:c r="AC91" s="88" t="s">
        <x:v>3964</x:v>
      </x:c>
      <x:c r="AD91" s="89">
        <x:v>46091.34012508102</x:v>
      </x:c>
      <x:c r="AE91" s="88" t="s">
        <x:v>3142</x:v>
      </x:c>
      <x:c r="AF91" s="88" t="s">
        <x:v>259</x:v>
      </x:c>
      <x:c r="AG91" s="88" t="s">
        <x:v>353</x:v>
      </x:c>
      <x:c r="AH91" s="89">
        <x:v>46094.591880347223</x:v>
      </x:c>
      <x:c r="AI91" s="88" t="s">
        <x:v>789</x:v>
      </x:c>
      <x:c r="AJ91" s="88" t="s">
        <x:v>259</x:v>
      </x:c>
      <x:c r="AK91" s="88" t="s">
        <x:v>3965</x:v>
      </x:c>
      <x:c r="AL91" s="88" t="s">
        <x:v>3336</x:v>
      </x:c>
    </x:row>
    <x:row r="92">
      <x:c r="A92" s="88" t="s">
        <x:v>3966</x:v>
      </x:c>
      <x:c r="B92" s="88" t="s">
        <x:v>3967</x:v>
      </x:c>
      <x:c r="C92" s="88" t="s">
        <x:v>3968</x:v>
      </x:c>
      <x:c r="D92" s="88" t="s">
        <x:v>3133</x:v>
      </x:c>
      <x:c r="E92" s="88" t="s">
        <x:v>342</x:v>
      </x:c>
      <x:c r="F92" s="89">
        <x:v>46091.358968865738</x:v>
      </x:c>
      <x:c r="G92" s="89">
        <x:v>46091.379324675923</x:v>
      </x:c>
      <x:c r="H92" s="89">
        <x:v>46132.158502812497</x:v>
      </x:c>
      <x:c r="I92" s="88" t="s">
        <x:v>3325</x:v>
      </x:c>
      <x:c r="J92" s="88" t="s">
        <x:v>3326</x:v>
      </x:c>
      <x:c r="K92" s="88" t="s">
        <x:v>3969</x:v>
      </x:c>
      <x:c r="L92" s="88" t="s">
        <x:v>3970</x:v>
      </x:c>
      <x:c r="M92" s="88" t="s">
        <x:v>3822</x:v>
      </x:c>
      <x:c r="N92" s="88" t="s">
        <x:v>3329</x:v>
      </x:c>
      <x:c r="O92" s="88" t="s">
        <x:v>3203</x:v>
      </x:c>
      <x:c r="P92" s="88" t="s">
        <x:v>3138</x:v>
      </x:c>
      <x:c r="Q92" s="88" t="s">
        <x:v>3971</x:v>
      </x:c>
      <x:c r="R92" s="88" t="s">
        <x:v>185</x:v>
      </x:c>
      <x:c r="S92" s="88" t="s">
        <x:v>3933</x:v>
      </x:c>
      <x:c r="T92" s="88"/>
      <x:c r="U92" s="88" t="s">
        <x:v>3972</x:v>
      </x:c>
      <x:c r="V92" s="89">
        <x:v>46119.164511041665</x:v>
      </x:c>
      <x:c r="W92" s="88" t="s">
        <x:v>3824</x:v>
      </x:c>
      <x:c r="X92" s="88" t="s">
        <x:v>259</x:v>
      </x:c>
      <x:c r="Y92" s="88" t="s">
        <x:v>2021</x:v>
      </x:c>
      <x:c r="Z92" s="89">
        <x:v>46122.288105162035</x:v>
      </x:c>
      <x:c r="AA92" s="88" t="s">
        <x:v>2518</x:v>
      </x:c>
      <x:c r="AB92" s="88" t="s">
        <x:v>259</x:v>
      </x:c>
      <x:c r="AC92" s="88" t="s">
        <x:v>3973</x:v>
      </x:c>
      <x:c r="AD92" s="89">
        <x:v>46125.075407951386</x:v>
      </x:c>
      <x:c r="AE92" s="88" t="s">
        <x:v>3142</x:v>
      </x:c>
      <x:c r="AF92" s="88" t="s">
        <x:v>259</x:v>
      </x:c>
      <x:c r="AG92" s="88" t="s">
        <x:v>3974</x:v>
      </x:c>
      <x:c r="AH92" s="89">
        <x:v>46132.158502812497</x:v>
      </x:c>
      <x:c r="AI92" s="88" t="s">
        <x:v>789</x:v>
      </x:c>
      <x:c r="AJ92" s="88" t="s">
        <x:v>259</x:v>
      </x:c>
      <x:c r="AK92" s="88" t="s">
        <x:v>3975</x:v>
      </x:c>
      <x:c r="AL92" s="88" t="s">
        <x:v>3976</x:v>
      </x:c>
    </x:row>
    <x:row r="93">
      <x:c r="A93" s="88" t="s">
        <x:v>3977</x:v>
      </x:c>
      <x:c r="B93" s="88" t="s">
        <x:v>3978</x:v>
      </x:c>
      <x:c r="C93" s="88" t="s">
        <x:v>3979</x:v>
      </x:c>
      <x:c r="D93" s="88" t="s">
        <x:v>3133</x:v>
      </x:c>
      <x:c r="E93" s="88" t="s">
        <x:v>342</x:v>
      </x:c>
      <x:c r="F93" s="89">
        <x:v>46092.10369614583</x:v>
      </x:c>
      <x:c r="G93" s="89">
        <x:v>46092.10369614583</x:v>
      </x:c>
      <x:c r="H93" s="89">
        <x:v>46105.024373622684</x:v>
      </x:c>
      <x:c r="I93" s="88" t="s">
        <x:v>3980</x:v>
      </x:c>
      <x:c r="J93" s="88" t="s">
        <x:v>3981</x:v>
      </x:c>
      <x:c r="K93" s="88">
        <x:v>4682</x:v>
      </x:c>
      <x:c r="L93" s="88" t="s">
        <x:v>3982</x:v>
      </x:c>
      <x:c r="M93" s="88" t="s">
        <x:v>292</x:v>
      </x:c>
      <x:c r="N93" s="88" t="s">
        <x:v>3983</x:v>
      </x:c>
      <x:c r="O93" s="88" t="s">
        <x:v>3137</x:v>
      </x:c>
      <x:c r="P93" s="88" t="s">
        <x:v>3138</x:v>
      </x:c>
      <x:c r="Q93" s="88" t="s">
        <x:v>3984</x:v>
      </x:c>
      <x:c r="R93" s="88" t="s">
        <x:v>162</x:v>
      </x:c>
      <x:c r="S93" s="88"/>
      <x:c r="T93" s="88"/>
      <x:c r="U93" s="88" t="s">
        <x:v>3688</x:v>
      </x:c>
      <x:c r="V93" s="89">
        <x:v>46092.112915752317</x:v>
      </x:c>
      <x:c r="W93" s="88" t="s">
        <x:v>1449</x:v>
      </x:c>
      <x:c r="X93" s="88" t="s">
        <x:v>259</x:v>
      </x:c>
      <x:c r="Y93" s="88" t="s">
        <x:v>2021</x:v>
      </x:c>
      <x:c r="Z93" s="89">
        <x:v>46098.082760729165</x:v>
      </x:c>
      <x:c r="AA93" s="88" t="s">
        <x:v>2518</x:v>
      </x:c>
      <x:c r="AB93" s="88" t="s">
        <x:v>259</x:v>
      </x:c>
      <x:c r="AC93" s="88" t="s">
        <x:v>3985</x:v>
      </x:c>
      <x:c r="AD93" s="89">
        <x:v>46099.165236875</x:v>
      </x:c>
      <x:c r="AE93" s="88" t="s">
        <x:v>3142</x:v>
      </x:c>
      <x:c r="AF93" s="88" t="s">
        <x:v>259</x:v>
      </x:c>
      <x:c r="AG93" s="88" t="s">
        <x:v>3184</x:v>
      </x:c>
      <x:c r="AH93" s="89">
        <x:v>46105.02437363426</x:v>
      </x:c>
      <x:c r="AI93" s="88" t="s">
        <x:v>3538</x:v>
      </x:c>
      <x:c r="AJ93" s="88" t="s">
        <x:v>259</x:v>
      </x:c>
      <x:c r="AK93" s="88" t="s">
        <x:v>3986</x:v>
      </x:c>
      <x:c r="AL93" s="88" t="s">
        <x:v>3987</x:v>
      </x:c>
    </x:row>
    <x:row r="94">
      <x:c r="A94" s="88" t="s">
        <x:v>3988</x:v>
      </x:c>
      <x:c r="B94" s="88" t="s">
        <x:v>3989</x:v>
      </x:c>
      <x:c r="C94" s="88" t="s">
        <x:v>851</x:v>
      </x:c>
      <x:c r="D94" s="88" t="s">
        <x:v>3133</x:v>
      </x:c>
      <x:c r="E94" s="88" t="s">
        <x:v>342</x:v>
      </x:c>
      <x:c r="F94" s="89">
        <x:v>46092.154680868058</x:v>
      </x:c>
      <x:c r="G94" s="89">
        <x:v>46099.073301585646</x:v>
      </x:c>
      <x:c r="H94" s="89">
        <x:v>46119.168626921295</x:v>
      </x:c>
      <x:c r="I94" s="88" t="s">
        <x:v>3990</x:v>
      </x:c>
      <x:c r="J94" s="88" t="s">
        <x:v>3991</x:v>
      </x:c>
      <x:c r="K94" s="88">
        <x:v>4464</x:v>
      </x:c>
      <x:c r="L94" s="88" t="s">
        <x:v>3992</x:v>
      </x:c>
      <x:c r="M94" s="88" t="s">
        <x:v>995</x:v>
      </x:c>
      <x:c r="N94" s="88" t="s">
        <x:v>3991</x:v>
      </x:c>
      <x:c r="O94" s="88" t="s">
        <x:v>3203</x:v>
      </x:c>
      <x:c r="P94" s="88" t="s">
        <x:v>3138</x:v>
      </x:c>
      <x:c r="Q94" s="88" t="s">
        <x:v>3993</x:v>
      </x:c>
      <x:c r="R94" s="88" t="s">
        <x:v>185</x:v>
      </x:c>
      <x:c r="S94" s="88" t="s">
        <x:v>3994</x:v>
      </x:c>
      <x:c r="T94" s="88"/>
      <x:c r="U94" s="88" t="s">
        <x:v>1190</x:v>
      </x:c>
      <x:c r="V94" s="89">
        <x:v>46099.085392407411</x:v>
      </x:c>
      <x:c r="W94" s="88" t="s">
        <x:v>995</x:v>
      </x:c>
      <x:c r="X94" s="88" t="s">
        <x:v>259</x:v>
      </x:c>
      <x:c r="Y94" s="88" t="s">
        <x:v>2021</x:v>
      </x:c>
      <x:c r="Z94" s="89">
        <x:v>46112.366613587961</x:v>
      </x:c>
      <x:c r="AA94" s="88" t="s">
        <x:v>2518</x:v>
      </x:c>
      <x:c r="AB94" s="88" t="s">
        <x:v>259</x:v>
      </x:c>
      <x:c r="AC94" s="88" t="s">
        <x:v>3995</x:v>
      </x:c>
      <x:c r="AD94" s="89">
        <x:v>46114.317673206016</x:v>
      </x:c>
      <x:c r="AE94" s="88" t="s">
        <x:v>3142</x:v>
      </x:c>
      <x:c r="AF94" s="88" t="s">
        <x:v>259</x:v>
      </x:c>
      <x:c r="AG94" s="88" t="s">
        <x:v>342</x:v>
      </x:c>
      <x:c r="AH94" s="89">
        <x:v>46119.168626921295</x:v>
      </x:c>
      <x:c r="AI94" s="88" t="s">
        <x:v>3360</x:v>
      </x:c>
      <x:c r="AJ94" s="88" t="s">
        <x:v>259</x:v>
      </x:c>
      <x:c r="AK94" s="88" t="s">
        <x:v>3996</x:v>
      </x:c>
      <x:c r="AL94" s="88" t="s">
        <x:v>3997</x:v>
      </x:c>
    </x:row>
    <x:row r="95">
      <x:c r="A95" s="88" t="s">
        <x:v>3998</x:v>
      </x:c>
      <x:c r="B95" s="88" t="s">
        <x:v>3999</x:v>
      </x:c>
      <x:c r="C95" s="88" t="s">
        <x:v>3642</x:v>
      </x:c>
      <x:c r="D95" s="88" t="s">
        <x:v>3133</x:v>
      </x:c>
      <x:c r="E95" s="88" t="s">
        <x:v>342</x:v>
      </x:c>
      <x:c r="F95" s="89">
        <x:v>46092.415853877312</x:v>
      </x:c>
      <x:c r="G95" s="89">
        <x:v>46092.415853877312</x:v>
      </x:c>
      <x:c r="H95" s="89">
        <x:v>46098.194080231478</x:v>
      </x:c>
      <x:c r="I95" s="88" t="s">
        <x:v>3643</x:v>
      </x:c>
      <x:c r="J95" s="88" t="s">
        <x:v>3644</x:v>
      </x:c>
      <x:c r="K95" s="88">
        <x:v>4583</x:v>
      </x:c>
      <x:c r="L95" s="88" t="s">
        <x:v>3645</x:v>
      </x:c>
      <x:c r="M95" s="88" t="s">
        <x:v>3646</x:v>
      </x:c>
      <x:c r="N95" s="88" t="s">
        <x:v>3647</x:v>
      </x:c>
      <x:c r="O95" s="88" t="s">
        <x:v>3137</x:v>
      </x:c>
      <x:c r="P95" s="88" t="s">
        <x:v>3138</x:v>
      </x:c>
      <x:c r="Q95" s="88" t="s">
        <x:v>4000</x:v>
      </x:c>
      <x:c r="R95" s="88" t="s">
        <x:v>162</x:v>
      </x:c>
      <x:c r="S95" s="88"/>
      <x:c r="T95" s="88"/>
      <x:c r="U95" s="88" t="s">
        <x:v>4001</x:v>
      </x:c>
      <x:c r="V95" s="89">
        <x:v>46092.434311192126</x:v>
      </x:c>
      <x:c r="W95" s="88" t="s">
        <x:v>1070</x:v>
      </x:c>
      <x:c r="X95" s="88" t="s">
        <x:v>259</x:v>
      </x:c>
      <x:c r="Y95" s="88" t="s">
        <x:v>4002</x:v>
      </x:c>
      <x:c r="Z95" s="89">
        <x:v>46094.116392638891</x:v>
      </x:c>
      <x:c r="AA95" s="88" t="s">
        <x:v>3484</x:v>
      </x:c>
      <x:c r="AB95" s="88" t="s">
        <x:v>259</x:v>
      </x:c>
      <x:c r="AC95" s="88" t="s">
        <x:v>4003</x:v>
      </x:c>
      <x:c r="AD95" s="89">
        <x:v>46094.191168993057</x:v>
      </x:c>
      <x:c r="AE95" s="88" t="s">
        <x:v>271</x:v>
      </x:c>
      <x:c r="AF95" s="88" t="s">
        <x:v>259</x:v>
      </x:c>
      <x:c r="AG95" s="88" t="s">
        <x:v>4004</x:v>
      </x:c>
      <x:c r="AH95" s="89">
        <x:v>46098.194080254631</x:v>
      </x:c>
      <x:c r="AI95" s="88" t="s">
        <x:v>3165</x:v>
      </x:c>
      <x:c r="AJ95" s="88" t="s">
        <x:v>259</x:v>
      </x:c>
      <x:c r="AK95" s="88" t="s">
        <x:v>4005</x:v>
      </x:c>
      <x:c r="AL95" s="88" t="s">
        <x:v>3655</x:v>
      </x:c>
    </x:row>
    <x:row r="96">
      <x:c r="A96" s="88" t="s">
        <x:v>4006</x:v>
      </x:c>
      <x:c r="B96" s="88" t="s">
        <x:v>4007</x:v>
      </x:c>
      <x:c r="C96" s="88" t="s">
        <x:v>4008</x:v>
      </x:c>
      <x:c r="D96" s="88" t="s">
        <x:v>3133</x:v>
      </x:c>
      <x:c r="E96" s="88" t="s">
        <x:v>342</x:v>
      </x:c>
      <x:c r="F96" s="89">
        <x:v>46093.239640486114</x:v>
      </x:c>
      <x:c r="G96" s="89">
        <x:v>46097.100900115744</x:v>
      </x:c>
      <x:c r="H96" s="89">
        <x:v>46132.017837881947</x:v>
      </x:c>
      <x:c r="I96" s="88" t="s">
        <x:v>4009</x:v>
      </x:c>
      <x:c r="J96" s="88" t="s">
        <x:v>4010</x:v>
      </x:c>
      <x:c r="K96" s="88" t="s">
        <x:v>4011</x:v>
      </x:c>
      <x:c r="L96" s="88" t="s">
        <x:v>4012</x:v>
      </x:c>
      <x:c r="M96" s="88" t="s">
        <x:v>689</x:v>
      </x:c>
      <x:c r="N96" s="88" t="s">
        <x:v>3853</x:v>
      </x:c>
      <x:c r="O96" s="88" t="s">
        <x:v>3137</x:v>
      </x:c>
      <x:c r="P96" s="88" t="s">
        <x:v>3138</x:v>
      </x:c>
      <x:c r="Q96" s="88" t="s">
        <x:v>4013</x:v>
      </x:c>
      <x:c r="R96" s="88" t="s">
        <x:v>185</x:v>
      </x:c>
      <x:c r="S96" s="88"/>
      <x:c r="T96" s="88"/>
      <x:c r="U96" s="88" t="s">
        <x:v>4014</x:v>
      </x:c>
      <x:c r="V96" s="89">
        <x:v>46097.147276145835</x:v>
      </x:c>
      <x:c r="W96" s="88" t="s">
        <x:v>689</x:v>
      </x:c>
      <x:c r="X96" s="88" t="s">
        <x:v>259</x:v>
      </x:c>
      <x:c r="Y96" s="88" t="s">
        <x:v>2021</x:v>
      </x:c>
      <x:c r="Z96" s="89">
        <x:v>46111.078115243057</x:v>
      </x:c>
      <x:c r="AA96" s="88" t="s">
        <x:v>2518</x:v>
      </x:c>
      <x:c r="AB96" s="88" t="s">
        <x:v>259</x:v>
      </x:c>
      <x:c r="AC96" s="88" t="s">
        <x:v>3308</x:v>
      </x:c>
      <x:c r="AD96" s="89">
        <x:v>46113.105562083336</x:v>
      </x:c>
      <x:c r="AE96" s="88" t="s">
        <x:v>3142</x:v>
      </x:c>
      <x:c r="AF96" s="88" t="s">
        <x:v>259</x:v>
      </x:c>
      <x:c r="AG96" s="88" t="s">
        <x:v>4015</x:v>
      </x:c>
      <x:c r="AH96" s="89">
        <x:v>46132.017837881947</x:v>
      </x:c>
      <x:c r="AI96" s="88" t="s">
        <x:v>3282</x:v>
      </x:c>
      <x:c r="AJ96" s="88" t="s">
        <x:v>259</x:v>
      </x:c>
      <x:c r="AK96" s="88" t="s">
        <x:v>4016</x:v>
      </x:c>
      <x:c r="AL96" s="88" t="s">
        <x:v>4017</x:v>
      </x:c>
    </x:row>
    <x:row r="97">
      <x:c r="A97" s="88" t="s">
        <x:v>4018</x:v>
      </x:c>
      <x:c r="B97" s="88" t="s">
        <x:v>4019</x:v>
      </x:c>
      <x:c r="C97" s="88" t="s">
        <x:v>3936</x:v>
      </x:c>
      <x:c r="D97" s="88" t="s">
        <x:v>3133</x:v>
      </x:c>
      <x:c r="E97" s="88" t="s">
        <x:v>342</x:v>
      </x:c>
      <x:c r="F97" s="89">
        <x:v>46094.093478622686</x:v>
      </x:c>
      <x:c r="G97" s="89">
        <x:v>46094.093478622686</x:v>
      </x:c>
      <x:c r="H97" s="89">
        <x:v>46121.268734606485</x:v>
      </x:c>
      <x:c r="I97" s="88" t="s">
        <x:v>3937</x:v>
      </x:c>
      <x:c r="J97" s="88" t="s">
        <x:v>3938</x:v>
      </x:c>
      <x:c r="K97" s="88">
        <x:v>209</x:v>
      </x:c>
      <x:c r="L97" s="88" t="s">
        <x:v>3939</x:v>
      </x:c>
      <x:c r="M97" s="88" t="s">
        <x:v>3940</x:v>
      </x:c>
      <x:c r="N97" s="88" t="s">
        <x:v>3941</x:v>
      </x:c>
      <x:c r="O97" s="88" t="s">
        <x:v>3137</x:v>
      </x:c>
      <x:c r="P97" s="88" t="s">
        <x:v>3225</x:v>
      </x:c>
      <x:c r="Q97" s="88" t="s">
        <x:v>4020</x:v>
      </x:c>
      <x:c r="R97" s="88" t="s">
        <x:v>185</x:v>
      </x:c>
      <x:c r="S97" s="88"/>
      <x:c r="T97" s="88"/>
      <x:c r="U97" s="88" t="s">
        <x:v>4021</x:v>
      </x:c>
      <x:c r="V97" s="89">
        <x:v>46094.107965254632</x:v>
      </x:c>
      <x:c r="W97" s="88" t="s">
        <x:v>3944</x:v>
      </x:c>
      <x:c r="X97" s="88" t="s">
        <x:v>259</x:v>
      </x:c>
      <x:c r="Y97" s="88" t="s">
        <x:v>2021</x:v>
      </x:c>
      <x:c r="Z97" s="89">
        <x:v>46112.370966180555</x:v>
      </x:c>
      <x:c r="AA97" s="88" t="s">
        <x:v>2518</x:v>
      </x:c>
      <x:c r="AB97" s="88" t="s">
        <x:v>259</x:v>
      </x:c>
      <x:c r="AC97" s="88" t="s">
        <x:v>4022</x:v>
      </x:c>
      <x:c r="AD97" s="89">
        <x:v>46113.178402731479</x:v>
      </x:c>
      <x:c r="AE97" s="88" t="s">
        <x:v>3142</x:v>
      </x:c>
      <x:c r="AF97" s="88" t="s">
        <x:v>259</x:v>
      </x:c>
      <x:c r="AG97" s="88" t="s">
        <x:v>3789</x:v>
      </x:c>
      <x:c r="AH97" s="89">
        <x:v>46121.268734618054</x:v>
      </x:c>
      <x:c r="AI97" s="88" t="s">
        <x:v>3387</x:v>
      </x:c>
      <x:c r="AJ97" s="88" t="s">
        <x:v>259</x:v>
      </x:c>
      <x:c r="AK97" s="88" t="s">
        <x:v>4023</x:v>
      </x:c>
      <x:c r="AL97" s="88" t="s">
        <x:v>3946</x:v>
      </x:c>
    </x:row>
    <x:row r="98">
      <x:c r="A98" s="88" t="s">
        <x:v>4024</x:v>
      </x:c>
      <x:c r="B98" s="88" t="s">
        <x:v>4025</x:v>
      </x:c>
      <x:c r="C98" s="88" t="s">
        <x:v>4026</x:v>
      </x:c>
      <x:c r="D98" s="88" t="s">
        <x:v>3133</x:v>
      </x:c>
      <x:c r="E98" s="88" t="s">
        <x:v>372</x:v>
      </x:c>
      <x:c r="F98" s="89">
        <x:v>46094.442554710651</x:v>
      </x:c>
      <x:c r="G98" s="89">
        <x:v>46094.442554710651</x:v>
      </x:c>
      <x:c r="H98" s="89">
        <x:v>46219.268603252312</x:v>
      </x:c>
      <x:c r="I98" s="88" t="s">
        <x:v>4027</x:v>
      </x:c>
      <x:c r="J98" s="88" t="s">
        <x:v>4028</x:v>
      </x:c>
      <x:c r="K98" s="88">
        <x:v>3297</x:v>
      </x:c>
      <x:c r="L98" s="88" t="s">
        <x:v>4029</x:v>
      </x:c>
      <x:c r="M98" s="88" t="s">
        <x:v>4030</x:v>
      </x:c>
      <x:c r="N98" s="88" t="s">
        <x:v>4031</x:v>
      </x:c>
      <x:c r="O98" s="88" t="s">
        <x:v>4032</x:v>
      </x:c>
      <x:c r="P98" s="88" t="s">
        <x:v>3173</x:v>
      </x:c>
      <x:c r="Q98" s="88" t="s">
        <x:v>4033</x:v>
      </x:c>
      <x:c r="R98" s="88" t="s">
        <x:v>185</x:v>
      </x:c>
      <x:c r="S98" s="88"/>
      <x:c r="T98" s="88"/>
      <x:c r="U98" s="88" t="s">
        <x:v>4034</x:v>
      </x:c>
      <x:c r="V98" s="89">
        <x:v>46094.442554710651</x:v>
      </x:c>
      <x:c r="W98" s="88" t="s">
        <x:v>4035</x:v>
      </x:c>
      <x:c r="X98" s="88" t="s">
        <x:v>259</x:v>
      </x:c>
      <x:c r="Y98" s="88" t="s">
        <x:v>4034</x:v>
      </x:c>
      <x:c r="Z98" s="89">
        <x:v>46094.442554710651</x:v>
      </x:c>
      <x:c r="AA98" s="88" t="s">
        <x:v>3206</x:v>
      </x:c>
      <x:c r="AB98" s="88" t="s">
        <x:v>259</x:v>
      </x:c>
      <x:c r="AC98" s="88"/>
      <x:c r="AD98" s="89"/>
      <x:c r="AE98" s="88" t="s">
        <x:v>2214</x:v>
      </x:c>
      <x:c r="AF98" s="88"/>
      <x:c r="AG98" s="88"/>
      <x:c r="AH98" s="89"/>
      <x:c r="AI98" s="88" t="s">
        <x:v>3176</x:v>
      </x:c>
      <x:c r="AJ98" s="88"/>
      <x:c r="AK98" s="88"/>
      <x:c r="AL98" s="88" t="s">
        <x:v>4036</x:v>
      </x:c>
    </x:row>
    <x:row r="99">
      <x:c r="A99" s="88" t="s">
        <x:v>4037</x:v>
      </x:c>
      <x:c r="B99" s="88" t="s">
        <x:v>4038</x:v>
      </x:c>
      <x:c r="C99" s="88" t="s">
        <x:v>4039</x:v>
      </x:c>
      <x:c r="D99" s="88" t="s">
        <x:v>3133</x:v>
      </x:c>
      <x:c r="E99" s="88" t="s">
        <x:v>342</x:v>
      </x:c>
      <x:c r="F99" s="89">
        <x:v>46098.366590486112</x:v>
      </x:c>
      <x:c r="G99" s="89">
        <x:v>46114.144916504629</x:v>
      </x:c>
      <x:c r="H99" s="89">
        <x:v>46127.066424039353</x:v>
      </x:c>
      <x:c r="I99" s="88" t="s">
        <x:v>4040</x:v>
      </x:c>
      <x:c r="J99" s="88" t="s">
        <x:v>4041</x:v>
      </x:c>
      <x:c r="K99" s="88" t="s">
        <x:v>4042</x:v>
      </x:c>
      <x:c r="L99" s="88" t="s">
        <x:v>4043</x:v>
      </x:c>
      <x:c r="M99" s="88" t="s">
        <x:v>4044</x:v>
      </x:c>
      <x:c r="N99" s="88" t="s">
        <x:v>4045</x:v>
      </x:c>
      <x:c r="O99" s="88" t="s">
        <x:v>3137</x:v>
      </x:c>
      <x:c r="P99" s="88" t="s">
        <x:v>3225</x:v>
      </x:c>
      <x:c r="Q99" s="88" t="s">
        <x:v>4046</x:v>
      </x:c>
      <x:c r="R99" s="88" t="s">
        <x:v>185</x:v>
      </x:c>
      <x:c r="S99" s="88"/>
      <x:c r="T99" s="88"/>
      <x:c r="U99" s="88" t="s">
        <x:v>4047</x:v>
      </x:c>
      <x:c r="V99" s="89">
        <x:v>46114.163853703707</x:v>
      </x:c>
      <x:c r="W99" s="88" t="s">
        <x:v>4048</x:v>
      </x:c>
      <x:c r="X99" s="88" t="s">
        <x:v>259</x:v>
      </x:c>
      <x:c r="Y99" s="88" t="s">
        <x:v>2021</x:v>
      </x:c>
      <x:c r="Z99" s="89">
        <x:v>46114.185679340277</x:v>
      </x:c>
      <x:c r="AA99" s="88" t="s">
        <x:v>2518</x:v>
      </x:c>
      <x:c r="AB99" s="88" t="s">
        <x:v>259</x:v>
      </x:c>
      <x:c r="AC99" s="88" t="s">
        <x:v>4049</x:v>
      </x:c>
      <x:c r="AD99" s="89">
        <x:v>46115.11874888889</x:v>
      </x:c>
      <x:c r="AE99" s="88" t="s">
        <x:v>3142</x:v>
      </x:c>
      <x:c r="AF99" s="88" t="s">
        <x:v>259</x:v>
      </x:c>
      <x:c r="AG99" s="88" t="s">
        <x:v>353</x:v>
      </x:c>
      <x:c r="AH99" s="89">
        <x:v>46127.066424050929</x:v>
      </x:c>
      <x:c r="AI99" s="88" t="s">
        <x:v>3273</x:v>
      </x:c>
      <x:c r="AJ99" s="88" t="s">
        <x:v>259</x:v>
      </x:c>
      <x:c r="AK99" s="88" t="s">
        <x:v>4050</x:v>
      </x:c>
      <x:c r="AL99" s="88" t="s">
        <x:v>4051</x:v>
      </x:c>
    </x:row>
    <x:row r="100">
      <x:c r="A100" s="88" t="s">
        <x:v>4052</x:v>
      </x:c>
      <x:c r="B100" s="88" t="s">
        <x:v>4053</x:v>
      </x:c>
      <x:c r="C100" s="88" t="s">
        <x:v>4054</x:v>
      </x:c>
      <x:c r="D100" s="88" t="s">
        <x:v>3133</x:v>
      </x:c>
      <x:c r="E100" s="88" t="s">
        <x:v>249</x:v>
      </x:c>
      <x:c r="F100" s="89">
        <x:v>46106.046997939811</x:v>
      </x:c>
      <x:c r="G100" s="89">
        <x:v>46106.158590868057</x:v>
      </x:c>
      <x:c r="H100" s="89">
        <x:v>46126.328820798612</x:v>
      </x:c>
      <x:c r="I100" s="88" t="s">
        <x:v>3491</x:v>
      </x:c>
      <x:c r="J100" s="88" t="s">
        <x:v>3492</x:v>
      </x:c>
      <x:c r="K100" s="88" t="s">
        <x:v>3493</x:v>
      </x:c>
      <x:c r="L100" s="88" t="s">
        <x:v>3492</x:v>
      </x:c>
      <x:c r="M100" s="88" t="s">
        <x:v>4055</x:v>
      </x:c>
      <x:c r="N100" s="88" t="s">
        <x:v>3495</x:v>
      </x:c>
      <x:c r="O100" s="88" t="s">
        <x:v>3137</x:v>
      </x:c>
      <x:c r="P100" s="88" t="s">
        <x:v>3225</x:v>
      </x:c>
      <x:c r="Q100" s="88" t="s">
        <x:v>4056</x:v>
      </x:c>
      <x:c r="R100" s="88" t="s">
        <x:v>185</x:v>
      </x:c>
      <x:c r="S100" s="88"/>
      <x:c r="T100" s="88"/>
      <x:c r="U100" s="88" t="s">
        <x:v>385</x:v>
      </x:c>
      <x:c r="V100" s="89">
        <x:v>46106.165745625003</x:v>
      </x:c>
      <x:c r="W100" s="88" t="s">
        <x:v>4057</x:v>
      </x:c>
      <x:c r="X100" s="88" t="s">
        <x:v>259</x:v>
      </x:c>
      <x:c r="Y100" s="88" t="s">
        <x:v>2021</x:v>
      </x:c>
      <x:c r="Z100" s="89">
        <x:v>46112.368037708336</x:v>
      </x:c>
      <x:c r="AA100" s="88" t="s">
        <x:v>2518</x:v>
      </x:c>
      <x:c r="AB100" s="88" t="s">
        <x:v>259</x:v>
      </x:c>
      <x:c r="AC100" s="88" t="s">
        <x:v>4058</x:v>
      </x:c>
      <x:c r="AD100" s="89">
        <x:v>46113.315484074075</x:v>
      </x:c>
      <x:c r="AE100" s="88" t="s">
        <x:v>3142</x:v>
      </x:c>
      <x:c r="AF100" s="88" t="s">
        <x:v>259</x:v>
      </x:c>
      <x:c r="AG100" s="88" t="s">
        <x:v>4059</x:v>
      </x:c>
      <x:c r="AH100" s="89">
        <x:v>46126.328820810188</x:v>
      </x:c>
      <x:c r="AI100" s="88" t="s">
        <x:v>3538</x:v>
      </x:c>
      <x:c r="AJ100" s="88" t="s">
        <x:v>249</x:v>
      </x:c>
      <x:c r="AK100" s="88" t="s">
        <x:v>4060</x:v>
      </x:c>
      <x:c r="AL100" s="88" t="s">
        <x:v>3501</x:v>
      </x:c>
    </x:row>
    <x:row r="101">
      <x:c r="A101" s="88" t="s">
        <x:v>4061</x:v>
      </x:c>
      <x:c r="B101" s="88" t="s">
        <x:v>4062</x:v>
      </x:c>
      <x:c r="C101" s="88" t="s">
        <x:v>3219</x:v>
      </x:c>
      <x:c r="D101" s="88" t="s">
        <x:v>3133</x:v>
      </x:c>
      <x:c r="E101" s="88" t="s">
        <x:v>342</x:v>
      </x:c>
      <x:c r="F101" s="89">
        <x:v>46111.121352349539</x:v>
      </x:c>
      <x:c r="G101" s="89">
        <x:v>46111.121352349539</x:v>
      </x:c>
      <x:c r="H101" s="89">
        <x:v>46114.187422511575</x:v>
      </x:c>
      <x:c r="I101" s="88" t="s">
        <x:v>3220</x:v>
      </x:c>
      <x:c r="J101" s="88" t="s">
        <x:v>3221</x:v>
      </x:c>
      <x:c r="K101" s="88">
        <x:v>3437</x:v>
      </x:c>
      <x:c r="L101" s="88" t="s">
        <x:v>3222</x:v>
      </x:c>
      <x:c r="M101" s="88" t="s">
        <x:v>3223</x:v>
      </x:c>
      <x:c r="N101" s="88" t="s">
        <x:v>3224</x:v>
      </x:c>
      <x:c r="O101" s="88" t="s">
        <x:v>3203</x:v>
      </x:c>
      <x:c r="P101" s="88" t="s">
        <x:v>3225</x:v>
      </x:c>
      <x:c r="Q101" s="88" t="s">
        <x:v>4063</x:v>
      </x:c>
      <x:c r="R101" s="88" t="s">
        <x:v>162</x:v>
      </x:c>
      <x:c r="S101" s="88"/>
      <x:c r="T101" s="88"/>
      <x:c r="U101" s="88" t="s">
        <x:v>1480</x:v>
      </x:c>
      <x:c r="V101" s="89">
        <x:v>46111.127932303243</x:v>
      </x:c>
      <x:c r="W101" s="88" t="s">
        <x:v>3227</x:v>
      </x:c>
      <x:c r="X101" s="88" t="s">
        <x:v>259</x:v>
      </x:c>
      <x:c r="Y101" s="88" t="s">
        <x:v>2021</x:v>
      </x:c>
      <x:c r="Z101" s="89">
        <x:v>46112.370113321762</x:v>
      </x:c>
      <x:c r="AA101" s="88" t="s">
        <x:v>2518</x:v>
      </x:c>
      <x:c r="AB101" s="88" t="s">
        <x:v>259</x:v>
      </x:c>
      <x:c r="AC101" s="88" t="s">
        <x:v>3886</x:v>
      </x:c>
      <x:c r="AD101" s="89">
        <x:v>46113.138615104166</x:v>
      </x:c>
      <x:c r="AE101" s="88" t="s">
        <x:v>3142</x:v>
      </x:c>
      <x:c r="AF101" s="88" t="s">
        <x:v>259</x:v>
      </x:c>
      <x:c r="AG101" s="88" t="s">
        <x:v>3681</x:v>
      </x:c>
      <x:c r="AH101" s="89">
        <x:v>46114.187422511575</x:v>
      </x:c>
      <x:c r="AI101" s="88" t="s">
        <x:v>951</x:v>
      </x:c>
      <x:c r="AJ101" s="88" t="s">
        <x:v>259</x:v>
      </x:c>
      <x:c r="AK101" s="88" t="s">
        <x:v>4064</x:v>
      </x:c>
      <x:c r="AL101" s="88" t="s">
        <x:v>3229</x:v>
      </x:c>
    </x:row>
    <x:row r="102">
      <x:c r="A102" s="88" t="s">
        <x:v>4065</x:v>
      </x:c>
      <x:c r="B102" s="88" t="s">
        <x:v>4066</x:v>
      </x:c>
      <x:c r="C102" s="88" t="s">
        <x:v>4067</x:v>
      </x:c>
      <x:c r="D102" s="88" t="s">
        <x:v>3133</x:v>
      </x:c>
      <x:c r="E102" s="88" t="s">
        <x:v>342</x:v>
      </x:c>
      <x:c r="F102" s="89">
        <x:v>46111.157009363429</x:v>
      </x:c>
      <x:c r="G102" s="89">
        <x:v>46115.161941817132</x:v>
      </x:c>
      <x:c r="H102" s="89">
        <x:v>46141.635612245373</x:v>
      </x:c>
      <x:c r="I102" s="88" t="s">
        <x:v>4068</x:v>
      </x:c>
      <x:c r="J102" s="88" t="s">
        <x:v>4069</x:v>
      </x:c>
      <x:c r="K102" s="88">
        <x:v>315</x:v>
      </x:c>
      <x:c r="L102" s="88" t="s">
        <x:v>4070</x:v>
      </x:c>
      <x:c r="M102" s="88" t="s">
        <x:v>1567</x:v>
      </x:c>
      <x:c r="N102" s="88" t="s">
        <x:v>4071</x:v>
      </x:c>
      <x:c r="O102" s="88" t="s">
        <x:v>3137</x:v>
      </x:c>
      <x:c r="P102" s="88" t="s">
        <x:v>3138</x:v>
      </x:c>
      <x:c r="Q102" s="88" t="s">
        <x:v>4072</x:v>
      </x:c>
      <x:c r="R102" s="88" t="s">
        <x:v>185</x:v>
      </x:c>
      <x:c r="S102" s="88"/>
      <x:c r="T102" s="88"/>
      <x:c r="U102" s="88" t="s">
        <x:v>385</x:v>
      </x:c>
      <x:c r="V102" s="89">
        <x:v>46119.089208761572</x:v>
      </x:c>
      <x:c r="W102" s="88" t="s">
        <x:v>1567</x:v>
      </x:c>
      <x:c r="X102" s="88" t="s">
        <x:v>259</x:v>
      </x:c>
      <x:c r="Y102" s="88" t="s">
        <x:v>385</x:v>
      </x:c>
      <x:c r="Z102" s="89">
        <x:v>46129.085861643522</x:v>
      </x:c>
      <x:c r="AA102" s="88" t="s">
        <x:v>3484</x:v>
      </x:c>
      <x:c r="AB102" s="88" t="s">
        <x:v>259</x:v>
      </x:c>
      <x:c r="AC102" s="88" t="s">
        <x:v>2368</x:v>
      </x:c>
      <x:c r="AD102" s="89">
        <x:v>46134.116554120374</x:v>
      </x:c>
      <x:c r="AE102" s="88" t="s">
        <x:v>3142</x:v>
      </x:c>
      <x:c r="AF102" s="88" t="s">
        <x:v>259</x:v>
      </x:c>
      <x:c r="AG102" s="88" t="s">
        <x:v>342</x:v>
      </x:c>
      <x:c r="AH102" s="89">
        <x:v>46141.635612256941</x:v>
      </x:c>
      <x:c r="AI102" s="88" t="s">
        <x:v>3360</x:v>
      </x:c>
      <x:c r="AJ102" s="88" t="s">
        <x:v>259</x:v>
      </x:c>
      <x:c r="AK102" s="88" t="s">
        <x:v>4073</x:v>
      </x:c>
      <x:c r="AL102" s="88" t="s">
        <x:v>4074</x:v>
      </x:c>
    </x:row>
    <x:row r="103">
      <x:c r="A103" s="88" t="s">
        <x:v>4075</x:v>
      </x:c>
      <x:c r="B103" s="88" t="s">
        <x:v>4076</x:v>
      </x:c>
      <x:c r="C103" s="88" t="s">
        <x:v>4067</x:v>
      </x:c>
      <x:c r="D103" s="88" t="s">
        <x:v>3133</x:v>
      </x:c>
      <x:c r="E103" s="88" t="s">
        <x:v>342</x:v>
      </x:c>
      <x:c r="F103" s="89">
        <x:v>46111.158345578704</x:v>
      </x:c>
      <x:c r="G103" s="89">
        <x:v>46115.162452951387</x:v>
      </x:c>
      <x:c r="H103" s="89">
        <x:v>46135.337551087963</x:v>
      </x:c>
      <x:c r="I103" s="88" t="s">
        <x:v>4068</x:v>
      </x:c>
      <x:c r="J103" s="88" t="s">
        <x:v>4069</x:v>
      </x:c>
      <x:c r="K103" s="88">
        <x:v>315</x:v>
      </x:c>
      <x:c r="L103" s="88" t="s">
        <x:v>4070</x:v>
      </x:c>
      <x:c r="M103" s="88" t="s">
        <x:v>1567</x:v>
      </x:c>
      <x:c r="N103" s="88" t="s">
        <x:v>4071</x:v>
      </x:c>
      <x:c r="O103" s="88" t="s">
        <x:v>3137</x:v>
      </x:c>
      <x:c r="P103" s="88" t="s">
        <x:v>3173</x:v>
      </x:c>
      <x:c r="Q103" s="88" t="s">
        <x:v>4077</x:v>
      </x:c>
      <x:c r="R103" s="88" t="s">
        <x:v>193</x:v>
      </x:c>
      <x:c r="S103" s="88"/>
      <x:c r="T103" s="88"/>
      <x:c r="U103" s="88" t="s">
        <x:v>2333</x:v>
      </x:c>
      <x:c r="V103" s="89">
        <x:v>46119.088802708335</x:v>
      </x:c>
      <x:c r="W103" s="88" t="s">
        <x:v>1567</x:v>
      </x:c>
      <x:c r="X103" s="88" t="s">
        <x:v>259</x:v>
      </x:c>
      <x:c r="Y103" s="88" t="s">
        <x:v>385</x:v>
      </x:c>
      <x:c r="Z103" s="89">
        <x:v>46128.290990208334</x:v>
      </x:c>
      <x:c r="AA103" s="88" t="s">
        <x:v>3484</x:v>
      </x:c>
      <x:c r="AB103" s="88" t="s">
        <x:v>259</x:v>
      </x:c>
      <x:c r="AC103" s="88" t="s">
        <x:v>4078</x:v>
      </x:c>
      <x:c r="AD103" s="89">
        <x:v>46128.384577511577</x:v>
      </x:c>
      <x:c r="AE103" s="88" t="s">
        <x:v>3142</x:v>
      </x:c>
      <x:c r="AF103" s="88" t="s">
        <x:v>259</x:v>
      </x:c>
      <x:c r="AG103" s="88" t="s">
        <x:v>342</x:v>
      </x:c>
      <x:c r="AH103" s="89">
        <x:v>46135.337551099539</x:v>
      </x:c>
      <x:c r="AI103" s="88" t="s">
        <x:v>3360</x:v>
      </x:c>
      <x:c r="AJ103" s="88" t="s">
        <x:v>259</x:v>
      </x:c>
      <x:c r="AK103" s="88" t="s">
        <x:v>4079</x:v>
      </x:c>
      <x:c r="AL103" s="88" t="s">
        <x:v>4074</x:v>
      </x:c>
    </x:row>
    <x:row r="104">
      <x:c r="A104" s="88" t="s">
        <x:v>4080</x:v>
      </x:c>
      <x:c r="B104" s="88" t="s">
        <x:v>4081</x:v>
      </x:c>
      <x:c r="C104" s="88" t="s">
        <x:v>1908</x:v>
      </x:c>
      <x:c r="D104" s="88" t="s">
        <x:v>3133</x:v>
      </x:c>
      <x:c r="E104" s="88" t="s">
        <x:v>342</x:v>
      </x:c>
      <x:c r="F104" s="89">
        <x:v>46112.095105243054</x:v>
      </x:c>
      <x:c r="G104" s="89">
        <x:v>46112.176697164352</x:v>
      </x:c>
      <x:c r="H104" s="89">
        <x:v>46219.070597615741</x:v>
      </x:c>
      <x:c r="I104" s="88" t="s">
        <x:v>3611</x:v>
      </x:c>
      <x:c r="J104" s="88" t="s">
        <x:v>3612</x:v>
      </x:c>
      <x:c r="K104" s="88" t="s">
        <x:v>3613</x:v>
      </x:c>
      <x:c r="L104" s="88" t="s">
        <x:v>3614</x:v>
      </x:c>
      <x:c r="M104" s="88" t="s">
        <x:v>616</x:v>
      </x:c>
      <x:c r="N104" s="88" t="s">
        <x:v>3615</x:v>
      </x:c>
      <x:c r="O104" s="88" t="s">
        <x:v>3137</x:v>
      </x:c>
      <x:c r="P104" s="88" t="s">
        <x:v>3138</x:v>
      </x:c>
      <x:c r="Q104" s="88" t="s">
        <x:v>4082</x:v>
      </x:c>
      <x:c r="R104" s="88" t="s">
        <x:v>162</x:v>
      </x:c>
      <x:c r="S104" s="88"/>
      <x:c r="T104" s="88"/>
      <x:c r="U104" s="88" t="s">
        <x:v>4083</x:v>
      </x:c>
      <x:c r="V104" s="89">
        <x:v>46112.211288136576</x:v>
      </x:c>
      <x:c r="W104" s="88" t="s">
        <x:v>616</x:v>
      </x:c>
      <x:c r="X104" s="88" t="s">
        <x:v>259</x:v>
      </x:c>
      <x:c r="Y104" s="88" t="s">
        <x:v>2021</x:v>
      </x:c>
      <x:c r="Z104" s="89">
        <x:v>46112.275676956022</x:v>
      </x:c>
      <x:c r="AA104" s="88" t="s">
        <x:v>2518</x:v>
      </x:c>
      <x:c r="AB104" s="88" t="s">
        <x:v>259</x:v>
      </x:c>
      <x:c r="AC104" s="88" t="s">
        <x:v>4084</x:v>
      </x:c>
      <x:c r="AD104" s="89">
        <x:v>46112.297516354163</x:v>
      </x:c>
      <x:c r="AE104" s="88" t="s">
        <x:v>3142</x:v>
      </x:c>
      <x:c r="AF104" s="88" t="s">
        <x:v>259</x:v>
      </x:c>
      <x:c r="AG104" s="88" t="s">
        <x:v>4085</x:v>
      </x:c>
      <x:c r="AH104" s="89">
        <x:v>46219.070597627317</x:v>
      </x:c>
      <x:c r="AI104" s="88" t="s">
        <x:v>3165</x:v>
      </x:c>
      <x:c r="AJ104" s="88" t="s">
        <x:v>259</x:v>
      </x:c>
      <x:c r="AK104" s="88" t="s">
        <x:v>4086</x:v>
      </x:c>
      <x:c r="AL104" s="88" t="s">
        <x:v>3621</x:v>
      </x:c>
    </x:row>
    <x:row r="105">
      <x:c r="A105" s="88" t="s">
        <x:v>4087</x:v>
      </x:c>
      <x:c r="B105" s="88" t="s">
        <x:v>4088</x:v>
      </x:c>
      <x:c r="C105" s="88" t="s">
        <x:v>3936</x:v>
      </x:c>
      <x:c r="D105" s="88" t="s">
        <x:v>3133</x:v>
      </x:c>
      <x:c r="E105" s="88" t="s">
        <x:v>342</x:v>
      </x:c>
      <x:c r="F105" s="89">
        <x:v>46113.140046562497</x:v>
      </x:c>
      <x:c r="G105" s="89">
        <x:v>46113.140046562497</x:v>
      </x:c>
      <x:c r="H105" s="89">
        <x:v>46126.080628009258</x:v>
      </x:c>
      <x:c r="I105" s="88" t="s">
        <x:v>3937</x:v>
      </x:c>
      <x:c r="J105" s="88" t="s">
        <x:v>3938</x:v>
      </x:c>
      <x:c r="K105" s="88">
        <x:v>209</x:v>
      </x:c>
      <x:c r="L105" s="88" t="s">
        <x:v>3939</x:v>
      </x:c>
      <x:c r="M105" s="88" t="s">
        <x:v>3940</x:v>
      </x:c>
      <x:c r="N105" s="88" t="s">
        <x:v>3941</x:v>
      </x:c>
      <x:c r="O105" s="88" t="s">
        <x:v>3137</x:v>
      </x:c>
      <x:c r="P105" s="88" t="s">
        <x:v>3138</x:v>
      </x:c>
      <x:c r="Q105" s="88" t="s">
        <x:v>4089</x:v>
      </x:c>
      <x:c r="R105" s="88" t="s">
        <x:v>185</x:v>
      </x:c>
      <x:c r="S105" s="88"/>
      <x:c r="T105" s="88"/>
      <x:c r="U105" s="88" t="s">
        <x:v>4090</x:v>
      </x:c>
      <x:c r="V105" s="89">
        <x:v>46113.152284363423</x:v>
      </x:c>
      <x:c r="W105" s="88" t="s">
        <x:v>3944</x:v>
      </x:c>
      <x:c r="X105" s="88" t="s">
        <x:v>259</x:v>
      </x:c>
      <x:c r="Y105" s="88" t="s">
        <x:v>2021</x:v>
      </x:c>
      <x:c r="Z105" s="89">
        <x:v>46118.098674490742</x:v>
      </x:c>
      <x:c r="AA105" s="88" t="s">
        <x:v>2518</x:v>
      </x:c>
      <x:c r="AB105" s="88" t="s">
        <x:v>259</x:v>
      </x:c>
      <x:c r="AC105" s="88" t="s">
        <x:v>4091</x:v>
      </x:c>
      <x:c r="AD105" s="89">
        <x:v>46119.081428182872</x:v>
      </x:c>
      <x:c r="AE105" s="88" t="s">
        <x:v>3142</x:v>
      </x:c>
      <x:c r="AF105" s="88" t="s">
        <x:v>259</x:v>
      </x:c>
      <x:c r="AG105" s="88" t="s">
        <x:v>4092</x:v>
      </x:c>
      <x:c r="AH105" s="89">
        <x:v>46126.080628020834</x:v>
      </x:c>
      <x:c r="AI105" s="88" t="s">
        <x:v>3387</x:v>
      </x:c>
      <x:c r="AJ105" s="88" t="s">
        <x:v>259</x:v>
      </x:c>
      <x:c r="AK105" s="88" t="s">
        <x:v>4093</x:v>
      </x:c>
      <x:c r="AL105" s="88" t="s">
        <x:v>3946</x:v>
      </x:c>
    </x:row>
    <x:row r="106">
      <x:c r="A106" s="88" t="s">
        <x:v>4094</x:v>
      </x:c>
      <x:c r="B106" s="88" t="s">
        <x:v>4095</x:v>
      </x:c>
      <x:c r="C106" s="88" t="s">
        <x:v>1307</x:v>
      </x:c>
      <x:c r="D106" s="88" t="s">
        <x:v>3133</x:v>
      </x:c>
      <x:c r="E106" s="88" t="s">
        <x:v>342</x:v>
      </x:c>
      <x:c r="F106" s="89">
        <x:v>46113.251506597226</x:v>
      </x:c>
      <x:c r="G106" s="89">
        <x:v>46113.251506597226</x:v>
      </x:c>
      <x:c r="H106" s="89">
        <x:v>46149.263410497682</x:v>
      </x:c>
      <x:c r="I106" s="88" t="s">
        <x:v>4096</x:v>
      </x:c>
      <x:c r="J106" s="88" t="s">
        <x:v>4097</x:v>
      </x:c>
      <x:c r="K106" s="88" t="s">
        <x:v>4098</x:v>
      </x:c>
      <x:c r="L106" s="88" t="s">
        <x:v>4099</x:v>
      </x:c>
      <x:c r="M106" s="88" t="s">
        <x:v>2321</x:v>
      </x:c>
      <x:c r="N106" s="88" t="s">
        <x:v>4100</x:v>
      </x:c>
      <x:c r="O106" s="88" t="s">
        <x:v>3137</x:v>
      </x:c>
      <x:c r="P106" s="88" t="s">
        <x:v>3225</x:v>
      </x:c>
      <x:c r="Q106" s="88" t="s">
        <x:v>4101</x:v>
      </x:c>
      <x:c r="R106" s="88" t="s">
        <x:v>185</x:v>
      </x:c>
      <x:c r="S106" s="88"/>
      <x:c r="T106" s="88"/>
      <x:c r="U106" s="88" t="s">
        <x:v>385</x:v>
      </x:c>
      <x:c r="V106" s="89">
        <x:v>46113.272532187497</x:v>
      </x:c>
      <x:c r="W106" s="88" t="s">
        <x:v>1567</x:v>
      </x:c>
      <x:c r="X106" s="88" t="s">
        <x:v>259</x:v>
      </x:c>
      <x:c r="Y106" s="88" t="s">
        <x:v>2021</x:v>
      </x:c>
      <x:c r="Z106" s="89">
        <x:v>46118.099564074073</x:v>
      </x:c>
      <x:c r="AA106" s="88" t="s">
        <x:v>2518</x:v>
      </x:c>
      <x:c r="AB106" s="88" t="s">
        <x:v>259</x:v>
      </x:c>
      <x:c r="AC106" s="88" t="s">
        <x:v>4102</x:v>
      </x:c>
      <x:c r="AD106" s="89">
        <x:v>46119.083436469904</x:v>
      </x:c>
      <x:c r="AE106" s="88" t="s">
        <x:v>3142</x:v>
      </x:c>
      <x:c r="AF106" s="88" t="s">
        <x:v>259</x:v>
      </x:c>
      <x:c r="AG106" s="88" t="s">
        <x:v>3681</x:v>
      </x:c>
      <x:c r="AH106" s="89">
        <x:v>46149.263410497682</x:v>
      </x:c>
      <x:c r="AI106" s="88" t="s">
        <x:v>951</x:v>
      </x:c>
      <x:c r="AJ106" s="88" t="s">
        <x:v>259</x:v>
      </x:c>
      <x:c r="AK106" s="88" t="s">
        <x:v>4103</x:v>
      </x:c>
      <x:c r="AL106" s="88" t="s">
        <x:v>4104</x:v>
      </x:c>
    </x:row>
    <x:row r="107">
      <x:c r="A107" s="88" t="s">
        <x:v>4105</x:v>
      </x:c>
      <x:c r="B107" s="88" t="s">
        <x:v>4106</x:v>
      </x:c>
      <x:c r="C107" s="88" t="s">
        <x:v>4107</x:v>
      </x:c>
      <x:c r="D107" s="88" t="s">
        <x:v>3133</x:v>
      </x:c>
      <x:c r="E107" s="88" t="s">
        <x:v>372</x:v>
      </x:c>
      <x:c r="F107" s="89">
        <x:v>46114.157459189817</x:v>
      </x:c>
      <x:c r="G107" s="89">
        <x:v>46114.157459189817</x:v>
      </x:c>
      <x:c r="H107" s="89">
        <x:v>46114.157459189817</x:v>
      </x:c>
      <x:c r="I107" s="88" t="s">
        <x:v>4108</x:v>
      </x:c>
      <x:c r="J107" s="88" t="s">
        <x:v>4109</x:v>
      </x:c>
      <x:c r="K107" s="88">
        <x:v>192</x:v>
      </x:c>
      <x:c r="L107" s="88" t="s">
        <x:v>4110</x:v>
      </x:c>
      <x:c r="M107" s="88" t="s">
        <x:v>4111</x:v>
      </x:c>
      <x:c r="N107" s="88" t="s">
        <x:v>4112</x:v>
      </x:c>
      <x:c r="O107" s="88" t="s">
        <x:v>3203</x:v>
      </x:c>
      <x:c r="P107" s="88" t="s">
        <x:v>3138</x:v>
      </x:c>
      <x:c r="Q107" s="88" t="s">
        <x:v>4113</x:v>
      </x:c>
      <x:c r="R107" s="88"/>
      <x:c r="S107" s="88" t="s">
        <x:v>498</x:v>
      </x:c>
      <x:c r="T107" s="88"/>
      <x:c r="U107" s="88"/>
      <x:c r="V107" s="89"/>
      <x:c r="W107" s="88" t="s">
        <x:v>4111</x:v>
      </x:c>
      <x:c r="X107" s="88"/>
      <x:c r="Y107" s="88"/>
      <x:c r="Z107" s="89"/>
      <x:c r="AA107" s="88" t="s">
        <x:v>3206</x:v>
      </x:c>
      <x:c r="AB107" s="88"/>
      <x:c r="AC107" s="88"/>
      <x:c r="AD107" s="89"/>
      <x:c r="AE107" s="88" t="s">
        <x:v>273</x:v>
      </x:c>
      <x:c r="AF107" s="88"/>
      <x:c r="AG107" s="88"/>
      <x:c r="AH107" s="89"/>
      <x:c r="AI107" s="88" t="s">
        <x:v>3176</x:v>
      </x:c>
      <x:c r="AJ107" s="88"/>
      <x:c r="AK107" s="88"/>
      <x:c r="AL107" s="88" t="s">
        <x:v>4114</x:v>
      </x:c>
    </x:row>
    <x:row r="108">
      <x:c r="A108" s="88" t="s">
        <x:v>4115</x:v>
      </x:c>
      <x:c r="B108" s="88" t="s">
        <x:v>4116</x:v>
      </x:c>
      <x:c r="C108" s="88" t="s">
        <x:v>914</x:v>
      </x:c>
      <x:c r="D108" s="88" t="s">
        <x:v>3133</x:v>
      </x:c>
      <x:c r="E108" s="88" t="s">
        <x:v>342</x:v>
      </x:c>
      <x:c r="F108" s="89">
        <x:v>46114.19464947917</x:v>
      </x:c>
      <x:c r="G108" s="89">
        <x:v>46114.19464947917</x:v>
      </x:c>
      <x:c r="H108" s="89">
        <x:v>46219.137729918984</x:v>
      </x:c>
      <x:c r="I108" s="88" t="s">
        <x:v>923</x:v>
      </x:c>
      <x:c r="J108" s="88" t="s">
        <x:v>915</x:v>
      </x:c>
      <x:c r="K108" s="88" t="s">
        <x:v>2035</x:v>
      </x:c>
      <x:c r="L108" s="88" t="s">
        <x:v>2029</x:v>
      </x:c>
      <x:c r="M108" s="88" t="s">
        <x:v>2033</x:v>
      </x:c>
      <x:c r="N108" s="88" t="s">
        <x:v>3911</x:v>
      </x:c>
      <x:c r="O108" s="88" t="s">
        <x:v>3203</x:v>
      </x:c>
      <x:c r="P108" s="88" t="s">
        <x:v>3138</x:v>
      </x:c>
      <x:c r="Q108" s="88" t="s">
        <x:v>4117</x:v>
      </x:c>
      <x:c r="R108" s="88" t="s">
        <x:v>185</x:v>
      </x:c>
      <x:c r="S108" s="88" t="s">
        <x:v>4118</x:v>
      </x:c>
      <x:c r="T108" s="88"/>
      <x:c r="U108" s="88" t="s">
        <x:v>4119</x:v>
      </x:c>
      <x:c r="V108" s="89">
        <x:v>46114.269312662036</x:v>
      </x:c>
      <x:c r="W108" s="88" t="s">
        <x:v>2033</x:v>
      </x:c>
      <x:c r="X108" s="88" t="s">
        <x:v>259</x:v>
      </x:c>
      <x:c r="Y108" s="88" t="s">
        <x:v>2021</x:v>
      </x:c>
      <x:c r="Z108" s="89">
        <x:v>46114.374335208333</x:v>
      </x:c>
      <x:c r="AA108" s="88" t="s">
        <x:v>2518</x:v>
      </x:c>
      <x:c r="AB108" s="88" t="s">
        <x:v>259</x:v>
      </x:c>
      <x:c r="AC108" s="88" t="s">
        <x:v>4120</x:v>
      </x:c>
      <x:c r="AD108" s="89">
        <x:v>46114.408654918981</x:v>
      </x:c>
      <x:c r="AE108" s="88" t="s">
        <x:v>3142</x:v>
      </x:c>
      <x:c r="AF108" s="88" t="s">
        <x:v>259</x:v>
      </x:c>
      <x:c r="AG108" s="88" t="s">
        <x:v>342</x:v>
      </x:c>
      <x:c r="AH108" s="89">
        <x:v>46219.137729918984</x:v>
      </x:c>
      <x:c r="AI108" s="88" t="s">
        <x:v>3409</x:v>
      </x:c>
      <x:c r="AJ108" s="88" t="s">
        <x:v>259</x:v>
      </x:c>
      <x:c r="AK108" s="88" t="s">
        <x:v>4121</x:v>
      </x:c>
      <x:c r="AL108" s="88" t="s">
        <x:v>4122</x:v>
      </x:c>
    </x:row>
    <x:row r="109">
      <x:c r="A109" s="88" t="s">
        <x:v>4123</x:v>
      </x:c>
      <x:c r="B109" s="88" t="s">
        <x:v>4124</x:v>
      </x:c>
      <x:c r="C109" s="88" t="s">
        <x:v>3817</x:v>
      </x:c>
      <x:c r="D109" s="88" t="s">
        <x:v>3133</x:v>
      </x:c>
      <x:c r="E109" s="88" t="s">
        <x:v>342</x:v>
      </x:c>
      <x:c r="F109" s="89">
        <x:v>46114.268339745373</x:v>
      </x:c>
      <x:c r="G109" s="89">
        <x:v>46119.173100219909</x:v>
      </x:c>
      <x:c r="H109" s="89">
        <x:v>46129.087337673613</x:v>
      </x:c>
      <x:c r="I109" s="88" t="s">
        <x:v>3818</x:v>
      </x:c>
      <x:c r="J109" s="88" t="s">
        <x:v>3819</x:v>
      </x:c>
      <x:c r="K109" s="88" t="s">
        <x:v>3820</x:v>
      </x:c>
      <x:c r="L109" s="88" t="s">
        <x:v>3821</x:v>
      </x:c>
      <x:c r="M109" s="88" t="s">
        <x:v>3822</x:v>
      </x:c>
      <x:c r="N109" s="88" t="s">
        <x:v>3819</x:v>
      </x:c>
      <x:c r="O109" s="88" t="s">
        <x:v>3203</x:v>
      </x:c>
      <x:c r="P109" s="88" t="s">
        <x:v>3173</x:v>
      </x:c>
      <x:c r="Q109" s="88" t="s">
        <x:v>4125</x:v>
      </x:c>
      <x:c r="R109" s="88" t="s">
        <x:v>162</x:v>
      </x:c>
      <x:c r="S109" s="88"/>
      <x:c r="T109" s="88"/>
      <x:c r="U109" s="88" t="s">
        <x:v>4126</x:v>
      </x:c>
      <x:c r="V109" s="89">
        <x:v>46119.179449733798</x:v>
      </x:c>
      <x:c r="W109" s="88" t="s">
        <x:v>3824</x:v>
      </x:c>
      <x:c r="X109" s="88" t="s">
        <x:v>259</x:v>
      </x:c>
      <x:c r="Y109" s="88" t="s">
        <x:v>2021</x:v>
      </x:c>
      <x:c r="Z109" s="89">
        <x:v>46119.288903807872</x:v>
      </x:c>
      <x:c r="AA109" s="88" t="s">
        <x:v>2518</x:v>
      </x:c>
      <x:c r="AB109" s="88" t="s">
        <x:v>259</x:v>
      </x:c>
      <x:c r="AC109" s="88" t="s">
        <x:v>2368</x:v>
      </x:c>
      <x:c r="AD109" s="89">
        <x:v>46121.382872604168</x:v>
      </x:c>
      <x:c r="AE109" s="88" t="s">
        <x:v>3142</x:v>
      </x:c>
      <x:c r="AF109" s="88" t="s">
        <x:v>259</x:v>
      </x:c>
      <x:c r="AG109" s="88" t="s">
        <x:v>342</x:v>
      </x:c>
      <x:c r="AH109" s="89">
        <x:v>46129.087337673613</x:v>
      </x:c>
      <x:c r="AI109" s="88" t="s">
        <x:v>3242</x:v>
      </x:c>
      <x:c r="AJ109" s="88" t="s">
        <x:v>259</x:v>
      </x:c>
      <x:c r="AK109" s="88" t="s">
        <x:v>4127</x:v>
      </x:c>
      <x:c r="AL109" s="88" t="s">
        <x:v>3828</x:v>
      </x:c>
    </x:row>
    <x:row r="110">
      <x:c r="A110" s="88" t="s">
        <x:v>4128</x:v>
      </x:c>
      <x:c r="B110" s="88" t="s">
        <x:v>4129</x:v>
      </x:c>
      <x:c r="C110" s="88" t="s">
        <x:v>4130</x:v>
      </x:c>
      <x:c r="D110" s="88" t="s">
        <x:v>3133</x:v>
      </x:c>
      <x:c r="E110" s="88" t="s">
        <x:v>342</x:v>
      </x:c>
      <x:c r="F110" s="89">
        <x:v>46114.360750081018</x:v>
      </x:c>
      <x:c r="G110" s="89">
        <x:v>46114.360750081018</x:v>
      </x:c>
      <x:c r="H110" s="89">
        <x:v>46122.131456944444</x:v>
      </x:c>
      <x:c r="I110" s="88" t="s">
        <x:v>4131</x:v>
      </x:c>
      <x:c r="J110" s="88" t="s">
        <x:v>4132</x:v>
      </x:c>
      <x:c r="K110" s="88" t="s">
        <x:v>4133</x:v>
      </x:c>
      <x:c r="L110" s="88" t="s">
        <x:v>4134</x:v>
      </x:c>
      <x:c r="M110" s="88" t="s">
        <x:v>4135</x:v>
      </x:c>
      <x:c r="N110" s="88" t="s">
        <x:v>4136</x:v>
      </x:c>
      <x:c r="O110" s="88" t="s">
        <x:v>3137</x:v>
      </x:c>
      <x:c r="P110" s="88" t="s">
        <x:v>3225</x:v>
      </x:c>
      <x:c r="Q110" s="88" t="s">
        <x:v>4137</x:v>
      </x:c>
      <x:c r="R110" s="88" t="s">
        <x:v>162</x:v>
      </x:c>
      <x:c r="S110" s="88"/>
      <x:c r="T110" s="88"/>
      <x:c r="U110" s="88" t="s">
        <x:v>4138</x:v>
      </x:c>
      <x:c r="V110" s="89">
        <x:v>46114.414900798613</x:v>
      </x:c>
      <x:c r="W110" s="88" t="s">
        <x:v>4139</x:v>
      </x:c>
      <x:c r="X110" s="88" t="s">
        <x:v>259</x:v>
      </x:c>
      <x:c r="Y110" s="88" t="s">
        <x:v>2021</x:v>
      </x:c>
      <x:c r="Z110" s="89">
        <x:v>46118.095633182871</x:v>
      </x:c>
      <x:c r="AA110" s="88" t="s">
        <x:v>2518</x:v>
      </x:c>
      <x:c r="AB110" s="88" t="s">
        <x:v>259</x:v>
      </x:c>
      <x:c r="AC110" s="88" t="s">
        <x:v>4140</x:v>
      </x:c>
      <x:c r="AD110" s="89">
        <x:v>46119.085824108799</x:v>
      </x:c>
      <x:c r="AE110" s="88" t="s">
        <x:v>3142</x:v>
      </x:c>
      <x:c r="AF110" s="88" t="s">
        <x:v>259</x:v>
      </x:c>
      <x:c r="AG110" s="88" t="s">
        <x:v>4141</x:v>
      </x:c>
      <x:c r="AH110" s="89">
        <x:v>46122.13145695602</x:v>
      </x:c>
      <x:c r="AI110" s="88" t="s">
        <x:v>3165</x:v>
      </x:c>
      <x:c r="AJ110" s="88" t="s">
        <x:v>259</x:v>
      </x:c>
      <x:c r="AK110" s="88" t="s">
        <x:v>4142</x:v>
      </x:c>
      <x:c r="AL110" s="88" t="s">
        <x:v>4143</x:v>
      </x:c>
    </x:row>
    <x:row r="111">
      <x:c r="A111" s="88" t="s">
        <x:v>4144</x:v>
      </x:c>
      <x:c r="B111" s="88" t="s">
        <x:v>4145</x:v>
      </x:c>
      <x:c r="C111" s="88" t="s">
        <x:v>3936</x:v>
      </x:c>
      <x:c r="D111" s="88" t="s">
        <x:v>3133</x:v>
      </x:c>
      <x:c r="E111" s="88" t="s">
        <x:v>342</x:v>
      </x:c>
      <x:c r="F111" s="89">
        <x:v>46115.106471527775</x:v>
      </x:c>
      <x:c r="G111" s="89">
        <x:v>46115.106471527775</x:v>
      </x:c>
      <x:c r="H111" s="89">
        <x:v>46126.076336458333</x:v>
      </x:c>
      <x:c r="I111" s="88" t="s">
        <x:v>3937</x:v>
      </x:c>
      <x:c r="J111" s="88" t="s">
        <x:v>3938</x:v>
      </x:c>
      <x:c r="K111" s="88">
        <x:v>209</x:v>
      </x:c>
      <x:c r="L111" s="88" t="s">
        <x:v>3939</x:v>
      </x:c>
      <x:c r="M111" s="88" t="s">
        <x:v>3940</x:v>
      </x:c>
      <x:c r="N111" s="88" t="s">
        <x:v>3941</x:v>
      </x:c>
      <x:c r="O111" s="88" t="s">
        <x:v>3137</x:v>
      </x:c>
      <x:c r="P111" s="88" t="s">
        <x:v>3173</x:v>
      </x:c>
      <x:c r="Q111" s="88" t="s">
        <x:v>4146</x:v>
      </x:c>
      <x:c r="R111" s="88" t="s">
        <x:v>185</x:v>
      </x:c>
      <x:c r="S111" s="88"/>
      <x:c r="T111" s="88"/>
      <x:c r="U111" s="88" t="s">
        <x:v>4147</x:v>
      </x:c>
      <x:c r="V111" s="89">
        <x:v>46115.15099962963</x:v>
      </x:c>
      <x:c r="W111" s="88" t="s">
        <x:v>3944</x:v>
      </x:c>
      <x:c r="X111" s="88" t="s">
        <x:v>259</x:v>
      </x:c>
      <x:c r="Y111" s="88" t="s">
        <x:v>2021</x:v>
      </x:c>
      <x:c r="Z111" s="89">
        <x:v>46118.097331562501</x:v>
      </x:c>
      <x:c r="AA111" s="88" t="s">
        <x:v>2518</x:v>
      </x:c>
      <x:c r="AB111" s="88" t="s">
        <x:v>259</x:v>
      </x:c>
      <x:c r="AC111" s="88" t="s">
        <x:v>4148</x:v>
      </x:c>
      <x:c r="AD111" s="89">
        <x:v>46119.079867233799</x:v>
      </x:c>
      <x:c r="AE111" s="88" t="s">
        <x:v>3142</x:v>
      </x:c>
      <x:c r="AF111" s="88" t="s">
        <x:v>259</x:v>
      </x:c>
      <x:c r="AG111" s="88" t="s">
        <x:v>4149</x:v>
      </x:c>
      <x:c r="AH111" s="89">
        <x:v>46126.076336469909</x:v>
      </x:c>
      <x:c r="AI111" s="88" t="s">
        <x:v>3387</x:v>
      </x:c>
      <x:c r="AJ111" s="88" t="s">
        <x:v>259</x:v>
      </x:c>
      <x:c r="AK111" s="88" t="s">
        <x:v>4150</x:v>
      </x:c>
      <x:c r="AL111" s="88" t="s">
        <x:v>3946</x:v>
      </x:c>
    </x:row>
    <x:row r="112">
      <x:c r="A112" s="88" t="s">
        <x:v>4151</x:v>
      </x:c>
      <x:c r="B112" s="88" t="s">
        <x:v>4152</x:v>
      </x:c>
      <x:c r="C112" s="88" t="s">
        <x:v>3658</x:v>
      </x:c>
      <x:c r="D112" s="88" t="s">
        <x:v>3133</x:v>
      </x:c>
      <x:c r="E112" s="88" t="s">
        <x:v>342</x:v>
      </x:c>
      <x:c r="F112" s="89">
        <x:v>46119.088592939814</x:v>
      </x:c>
      <x:c r="G112" s="89">
        <x:v>46119.088592939814</x:v>
      </x:c>
      <x:c r="H112" s="89">
        <x:v>46132.018281979166</x:v>
      </x:c>
      <x:c r="I112" s="88" t="s">
        <x:v>3220</x:v>
      </x:c>
      <x:c r="J112" s="88" t="s">
        <x:v>3221</x:v>
      </x:c>
      <x:c r="K112" s="88">
        <x:v>3437</x:v>
      </x:c>
      <x:c r="L112" s="88" t="s">
        <x:v>3222</x:v>
      </x:c>
      <x:c r="M112" s="88" t="s">
        <x:v>3659</x:v>
      </x:c>
      <x:c r="N112" s="88" t="s">
        <x:v>3278</x:v>
      </x:c>
      <x:c r="O112" s="88" t="s">
        <x:v>3203</x:v>
      </x:c>
      <x:c r="P112" s="88" t="s">
        <x:v>3225</x:v>
      </x:c>
      <x:c r="Q112" s="88" t="s">
        <x:v>4153</x:v>
      </x:c>
      <x:c r="R112" s="88" t="s">
        <x:v>162</x:v>
      </x:c>
      <x:c r="S112" s="88"/>
      <x:c r="T112" s="88"/>
      <x:c r="U112" s="88" t="s">
        <x:v>366</x:v>
      </x:c>
      <x:c r="V112" s="89">
        <x:v>46119.128892222223</x:v>
      </x:c>
      <x:c r="W112" s="88" t="s">
        <x:v>3662</x:v>
      </x:c>
      <x:c r="X112" s="88" t="s">
        <x:v>259</x:v>
      </x:c>
      <x:c r="Y112" s="88" t="s">
        <x:v>2021</x:v>
      </x:c>
      <x:c r="Z112" s="89">
        <x:v>46120.37012378472</x:v>
      </x:c>
      <x:c r="AA112" s="88" t="s">
        <x:v>2518</x:v>
      </x:c>
      <x:c r="AB112" s="88" t="s">
        <x:v>259</x:v>
      </x:c>
      <x:c r="AC112" s="88" t="s">
        <x:v>3886</x:v>
      </x:c>
      <x:c r="AD112" s="89">
        <x:v>46121.384109502316</x:v>
      </x:c>
      <x:c r="AE112" s="88" t="s">
        <x:v>3142</x:v>
      </x:c>
      <x:c r="AF112" s="88" t="s">
        <x:v>259</x:v>
      </x:c>
      <x:c r="AG112" s="88" t="s">
        <x:v>3281</x:v>
      </x:c>
      <x:c r="AH112" s="89">
        <x:v>46132.018281990742</x:v>
      </x:c>
      <x:c r="AI112" s="88" t="s">
        <x:v>3282</x:v>
      </x:c>
      <x:c r="AJ112" s="88" t="s">
        <x:v>259</x:v>
      </x:c>
      <x:c r="AK112" s="88" t="s">
        <x:v>4154</x:v>
      </x:c>
      <x:c r="AL112" s="88" t="s">
        <x:v>3229</x:v>
      </x:c>
    </x:row>
    <x:row r="113">
      <x:c r="A113" s="88" t="s">
        <x:v>4155</x:v>
      </x:c>
      <x:c r="B113" s="88" t="s">
        <x:v>4156</x:v>
      </x:c>
      <x:c r="C113" s="88" t="s">
        <x:v>3642</x:v>
      </x:c>
      <x:c r="D113" s="88" t="s">
        <x:v>3133</x:v>
      </x:c>
      <x:c r="E113" s="88" t="s">
        <x:v>342</x:v>
      </x:c>
      <x:c r="F113" s="89">
        <x:v>46119.153086701386</x:v>
      </x:c>
      <x:c r="G113" s="89">
        <x:v>46119.153086701386</x:v>
      </x:c>
      <x:c r="H113" s="89">
        <x:v>46126.108006782408</x:v>
      </x:c>
      <x:c r="I113" s="88" t="s">
        <x:v>3643</x:v>
      </x:c>
      <x:c r="J113" s="88" t="s">
        <x:v>3644</x:v>
      </x:c>
      <x:c r="K113" s="88">
        <x:v>4583</x:v>
      </x:c>
      <x:c r="L113" s="88" t="s">
        <x:v>3645</x:v>
      </x:c>
      <x:c r="M113" s="88" t="s">
        <x:v>3646</x:v>
      </x:c>
      <x:c r="N113" s="88" t="s">
        <x:v>3647</x:v>
      </x:c>
      <x:c r="O113" s="88" t="s">
        <x:v>3203</x:v>
      </x:c>
      <x:c r="P113" s="88" t="s">
        <x:v>3173</x:v>
      </x:c>
      <x:c r="Q113" s="88" t="s">
        <x:v>4157</x:v>
      </x:c>
      <x:c r="R113" s="88" t="s">
        <x:v>185</x:v>
      </x:c>
      <x:c r="S113" s="88"/>
      <x:c r="T113" s="88"/>
      <x:c r="U113" s="88" t="s">
        <x:v>4158</x:v>
      </x:c>
      <x:c r="V113" s="89">
        <x:v>46119.319717511571</x:v>
      </x:c>
      <x:c r="W113" s="88" t="s">
        <x:v>1070</x:v>
      </x:c>
      <x:c r="X113" s="88" t="s">
        <x:v>259</x:v>
      </x:c>
      <x:c r="Y113" s="88" t="s">
        <x:v>4159</x:v>
      </x:c>
      <x:c r="Z113" s="89">
        <x:v>46120.097572094906</x:v>
      </x:c>
      <x:c r="AA113" s="88" t="s">
        <x:v>3484</x:v>
      </x:c>
      <x:c r="AB113" s="88" t="s">
        <x:v>259</x:v>
      </x:c>
      <x:c r="AC113" s="88" t="s">
        <x:v>4160</x:v>
      </x:c>
      <x:c r="AD113" s="89">
        <x:v>46121.113929282408</x:v>
      </x:c>
      <x:c r="AE113" s="88" t="s">
        <x:v>3142</x:v>
      </x:c>
      <x:c r="AF113" s="88" t="s">
        <x:v>259</x:v>
      </x:c>
      <x:c r="AG113" s="88" t="s">
        <x:v>3681</x:v>
      </x:c>
      <x:c r="AH113" s="89">
        <x:v>46126.108006782408</x:v>
      </x:c>
      <x:c r="AI113" s="88" t="s">
        <x:v>951</x:v>
      </x:c>
      <x:c r="AJ113" s="88" t="s">
        <x:v>259</x:v>
      </x:c>
      <x:c r="AK113" s="88" t="s">
        <x:v>4161</x:v>
      </x:c>
      <x:c r="AL113" s="88" t="s">
        <x:v>3655</x:v>
      </x:c>
    </x:row>
    <x:row r="114">
      <x:c r="A114" s="88" t="s">
        <x:v>4162</x:v>
      </x:c>
      <x:c r="B114" s="88" t="s">
        <x:v>4163</x:v>
      </x:c>
      <x:c r="C114" s="88" t="s">
        <x:v>4164</x:v>
      </x:c>
      <x:c r="D114" s="88" t="s">
        <x:v>3133</x:v>
      </x:c>
      <x:c r="E114" s="88" t="s">
        <x:v>342</x:v>
      </x:c>
      <x:c r="F114" s="89">
        <x:v>46119.329906701387</x:v>
      </x:c>
      <x:c r="G114" s="89">
        <x:v>46120.311258865739</x:v>
      </x:c>
      <x:c r="H114" s="89">
        <x:v>46128.382055648151</x:v>
      </x:c>
      <x:c r="I114" s="88" t="s">
        <x:v>4165</x:v>
      </x:c>
      <x:c r="J114" s="88" t="s">
        <x:v>4166</x:v>
      </x:c>
      <x:c r="K114" s="88">
        <x:v>4495</x:v>
      </x:c>
      <x:c r="L114" s="88" t="s">
        <x:v>4166</x:v>
      </x:c>
      <x:c r="M114" s="88" t="s">
        <x:v>4167</x:v>
      </x:c>
      <x:c r="N114" s="88" t="s">
        <x:v>4168</x:v>
      </x:c>
      <x:c r="O114" s="88" t="s">
        <x:v>3203</x:v>
      </x:c>
      <x:c r="P114" s="88" t="s">
        <x:v>3138</x:v>
      </x:c>
      <x:c r="Q114" s="88" t="s">
        <x:v>4169</x:v>
      </x:c>
      <x:c r="R114" s="88" t="s">
        <x:v>162</x:v>
      </x:c>
      <x:c r="S114" s="88" t="s">
        <x:v>498</x:v>
      </x:c>
      <x:c r="T114" s="88"/>
      <x:c r="U114" s="88" t="s">
        <x:v>4170</x:v>
      </x:c>
      <x:c r="V114" s="89">
        <x:v>46120.313588958335</x:v>
      </x:c>
      <x:c r="W114" s="88" t="s">
        <x:v>4167</x:v>
      </x:c>
      <x:c r="X114" s="88" t="s">
        <x:v>259</x:v>
      </x:c>
      <x:c r="Y114" s="88" t="s">
        <x:v>2021</x:v>
      </x:c>
      <x:c r="Z114" s="89">
        <x:v>46120.317961712964</x:v>
      </x:c>
      <x:c r="AA114" s="88" t="s">
        <x:v>2518</x:v>
      </x:c>
      <x:c r="AB114" s="88" t="s">
        <x:v>259</x:v>
      </x:c>
      <x:c r="AC114" s="88" t="s">
        <x:v>4171</x:v>
      </x:c>
      <x:c r="AD114" s="89">
        <x:v>46121.380516134261</x:v>
      </x:c>
      <x:c r="AE114" s="88" t="s">
        <x:v>3142</x:v>
      </x:c>
      <x:c r="AF114" s="88" t="s">
        <x:v>259</x:v>
      </x:c>
      <x:c r="AG114" s="88" t="s">
        <x:v>342</x:v>
      </x:c>
      <x:c r="AH114" s="89">
        <x:v>46128.38205565972</x:v>
      </x:c>
      <x:c r="AI114" s="88" t="s">
        <x:v>3360</x:v>
      </x:c>
      <x:c r="AJ114" s="88" t="s">
        <x:v>259</x:v>
      </x:c>
      <x:c r="AK114" s="88" t="s">
        <x:v>4172</x:v>
      </x:c>
      <x:c r="AL114" s="88" t="s">
        <x:v>4173</x:v>
      </x:c>
    </x:row>
    <x:row r="115">
      <x:c r="A115" s="88" t="s">
        <x:v>4174</x:v>
      </x:c>
      <x:c r="B115" s="88" t="s">
        <x:v>4175</x:v>
      </x:c>
      <x:c r="C115" s="88" t="s">
        <x:v>4039</x:v>
      </x:c>
      <x:c r="D115" s="88" t="s">
        <x:v>3133</x:v>
      </x:c>
      <x:c r="E115" s="88" t="s">
        <x:v>342</x:v>
      </x:c>
      <x:c r="F115" s="89">
        <x:v>46122.211081284724</x:v>
      </x:c>
      <x:c r="G115" s="89">
        <x:v>46122.212950046298</x:v>
      </x:c>
      <x:c r="H115" s="89">
        <x:v>46133.116105740737</x:v>
      </x:c>
      <x:c r="I115" s="88" t="s">
        <x:v>4040</x:v>
      </x:c>
      <x:c r="J115" s="88" t="s">
        <x:v>4041</x:v>
      </x:c>
      <x:c r="K115" s="88" t="s">
        <x:v>4042</x:v>
      </x:c>
      <x:c r="L115" s="88" t="s">
        <x:v>4043</x:v>
      </x:c>
      <x:c r="M115" s="88" t="s">
        <x:v>4044</x:v>
      </x:c>
      <x:c r="N115" s="88" t="s">
        <x:v>4045</x:v>
      </x:c>
      <x:c r="O115" s="88" t="s">
        <x:v>3137</x:v>
      </x:c>
      <x:c r="P115" s="88" t="s">
        <x:v>3138</x:v>
      </x:c>
      <x:c r="Q115" s="88" t="s">
        <x:v>4176</x:v>
      </x:c>
      <x:c r="R115" s="88" t="s">
        <x:v>162</x:v>
      </x:c>
      <x:c r="S115" s="88"/>
      <x:c r="T115" s="88"/>
      <x:c r="U115" s="88" t="s">
        <x:v>4177</x:v>
      </x:c>
      <x:c r="V115" s="89">
        <x:v>46122.213959421293</x:v>
      </x:c>
      <x:c r="W115" s="88" t="s">
        <x:v>4048</x:v>
      </x:c>
      <x:c r="X115" s="88" t="s">
        <x:v>259</x:v>
      </x:c>
      <x:c r="Y115" s="88" t="s">
        <x:v>2021</x:v>
      </x:c>
      <x:c r="Z115" s="89">
        <x:v>46122.276927129627</x:v>
      </x:c>
      <x:c r="AA115" s="88" t="s">
        <x:v>2518</x:v>
      </x:c>
      <x:c r="AB115" s="88" t="s">
        <x:v>259</x:v>
      </x:c>
      <x:c r="AC115" s="88" t="s">
        <x:v>4178</x:v>
      </x:c>
      <x:c r="AD115" s="89">
        <x:v>46124.998150868058</x:v>
      </x:c>
      <x:c r="AE115" s="88" t="s">
        <x:v>3142</x:v>
      </x:c>
      <x:c r="AF115" s="88" t="s">
        <x:v>259</x:v>
      </x:c>
      <x:c r="AG115" s="88" t="s">
        <x:v>342</x:v>
      </x:c>
      <x:c r="AH115" s="89">
        <x:v>46133.116105740737</x:v>
      </x:c>
      <x:c r="AI115" s="88" t="s">
        <x:v>3273</x:v>
      </x:c>
      <x:c r="AJ115" s="88" t="s">
        <x:v>259</x:v>
      </x:c>
      <x:c r="AK115" s="88" t="s">
        <x:v>4179</x:v>
      </x:c>
      <x:c r="AL115" s="88" t="s">
        <x:v>4051</x:v>
      </x:c>
    </x:row>
    <x:row r="116">
      <x:c r="A116" s="88" t="s">
        <x:v>4180</x:v>
      </x:c>
      <x:c r="B116" s="88" t="s">
        <x:v>4181</x:v>
      </x:c>
      <x:c r="C116" s="88" t="s">
        <x:v>4182</x:v>
      </x:c>
      <x:c r="D116" s="88" t="s">
        <x:v>3133</x:v>
      </x:c>
      <x:c r="E116" s="88" t="s">
        <x:v>342</x:v>
      </x:c>
      <x:c r="F116" s="89">
        <x:v>46122.417063564812</x:v>
      </x:c>
      <x:c r="G116" s="89">
        <x:v>46132.274378564813</x:v>
      </x:c>
      <x:c r="H116" s="89">
        <x:v>46140.430655081022</x:v>
      </x:c>
      <x:c r="I116" s="88" t="s">
        <x:v>1592</x:v>
      </x:c>
      <x:c r="J116" s="88" t="s">
        <x:v>2146</x:v>
      </x:c>
      <x:c r="K116" s="88">
        <x:v>4569</x:v>
      </x:c>
      <x:c r="L116" s="88" t="s">
        <x:v>3685</x:v>
      </x:c>
      <x:c r="M116" s="88" t="s">
        <x:v>4183</x:v>
      </x:c>
      <x:c r="N116" s="88" t="s">
        <x:v>3686</x:v>
      </x:c>
      <x:c r="O116" s="88" t="s">
        <x:v>3137</x:v>
      </x:c>
      <x:c r="P116" s="88" t="s">
        <x:v>3225</x:v>
      </x:c>
      <x:c r="Q116" s="88" t="s">
        <x:v>4184</x:v>
      </x:c>
      <x:c r="R116" s="88" t="s">
        <x:v>193</x:v>
      </x:c>
      <x:c r="S116" s="88"/>
      <x:c r="T116" s="88"/>
      <x:c r="U116" s="88" t="s">
        <x:v>2333</x:v>
      </x:c>
      <x:c r="V116" s="89">
        <x:v>46132.63048954861</x:v>
      </x:c>
      <x:c r="W116" s="88" t="s">
        <x:v>4185</x:v>
      </x:c>
      <x:c r="X116" s="88" t="s">
        <x:v>259</x:v>
      </x:c>
      <x:c r="Y116" s="88" t="s">
        <x:v>4186</x:v>
      </x:c>
      <x:c r="Z116" s="89">
        <x:v>46139.109714085651</x:v>
      </x:c>
      <x:c r="AA116" s="88" t="s">
        <x:v>3310</x:v>
      </x:c>
      <x:c r="AB116" s="88" t="s">
        <x:v>259</x:v>
      </x:c>
      <x:c r="AC116" s="88" t="s">
        <x:v>571</x:v>
      </x:c>
      <x:c r="AD116" s="89">
        <x:v>46139.149759872686</x:v>
      </x:c>
      <x:c r="AE116" s="88" t="s">
        <x:v>271</x:v>
      </x:c>
      <x:c r="AF116" s="88" t="s">
        <x:v>259</x:v>
      </x:c>
      <x:c r="AG116" s="88" t="s">
        <x:v>353</x:v>
      </x:c>
      <x:c r="AH116" s="89">
        <x:v>46140.430655081022</x:v>
      </x:c>
      <x:c r="AI116" s="88" t="s">
        <x:v>789</x:v>
      </x:c>
      <x:c r="AJ116" s="88" t="s">
        <x:v>259</x:v>
      </x:c>
      <x:c r="AK116" s="88" t="s">
        <x:v>4187</x:v>
      </x:c>
      <x:c r="AL116" s="88" t="s">
        <x:v>3692</x:v>
      </x:c>
    </x:row>
    <x:row r="117">
      <x:c r="A117" s="88" t="s">
        <x:v>4188</x:v>
      </x:c>
      <x:c r="B117" s="88" t="s">
        <x:v>4189</x:v>
      </x:c>
      <x:c r="C117" s="88" t="s">
        <x:v>698</x:v>
      </x:c>
      <x:c r="D117" s="88" t="s">
        <x:v>3133</x:v>
      </x:c>
      <x:c r="E117" s="88" t="s">
        <x:v>342</x:v>
      </x:c>
      <x:c r="F117" s="89">
        <x:v>46125.19915158565</x:v>
      </x:c>
      <x:c r="G117" s="89">
        <x:v>46125.19915158565</x:v>
      </x:c>
      <x:c r="H117" s="89">
        <x:v>46197.109712777776</x:v>
      </x:c>
      <x:c r="I117" s="88" t="s">
        <x:v>704</x:v>
      </x:c>
      <x:c r="J117" s="88" t="s">
        <x:v>699</x:v>
      </x:c>
      <x:c r="K117" s="88">
        <x:v>100</x:v>
      </x:c>
      <x:c r="L117" s="88" t="s">
        <x:v>707</x:v>
      </x:c>
      <x:c r="M117" s="88" t="s">
        <x:v>701</x:v>
      </x:c>
      <x:c r="N117" s="88" t="s">
        <x:v>3757</x:v>
      </x:c>
      <x:c r="O117" s="88" t="s">
        <x:v>3137</x:v>
      </x:c>
      <x:c r="P117" s="88" t="s">
        <x:v>3173</x:v>
      </x:c>
      <x:c r="Q117" s="88" t="s">
        <x:v>4190</x:v>
      </x:c>
      <x:c r="R117" s="88" t="s">
        <x:v>185</x:v>
      </x:c>
      <x:c r="S117" s="88"/>
      <x:c r="T117" s="88"/>
      <x:c r="U117" s="88" t="s">
        <x:v>4191</x:v>
      </x:c>
      <x:c r="V117" s="89">
        <x:v>46125.27377576389</x:v>
      </x:c>
      <x:c r="W117" s="88" t="s">
        <x:v>703</x:v>
      </x:c>
      <x:c r="X117" s="88" t="s">
        <x:v>259</x:v>
      </x:c>
      <x:c r="Y117" s="88" t="s">
        <x:v>2021</x:v>
      </x:c>
      <x:c r="Z117" s="89">
        <x:v>46133.11279994213</x:v>
      </x:c>
      <x:c r="AA117" s="88" t="s">
        <x:v>2518</x:v>
      </x:c>
      <x:c r="AB117" s="88" t="s">
        <x:v>259</x:v>
      </x:c>
      <x:c r="AC117" s="88" t="s">
        <x:v>4192</x:v>
      </x:c>
      <x:c r="AD117" s="89">
        <x:v>46133.165566504627</x:v>
      </x:c>
      <x:c r="AE117" s="88" t="s">
        <x:v>3142</x:v>
      </x:c>
      <x:c r="AF117" s="88" t="s">
        <x:v>259</x:v>
      </x:c>
      <x:c r="AG117" s="88" t="s">
        <x:v>4193</x:v>
      </x:c>
      <x:c r="AH117" s="89">
        <x:v>46197.109712789352</x:v>
      </x:c>
      <x:c r="AI117" s="88" t="s">
        <x:v>3242</x:v>
      </x:c>
      <x:c r="AJ117" s="88" t="s">
        <x:v>259</x:v>
      </x:c>
      <x:c r="AK117" s="88" t="s">
        <x:v>4194</x:v>
      </x:c>
      <x:c r="AL117" s="88" t="s">
        <x:v>3762</x:v>
      </x:c>
    </x:row>
    <x:row r="118">
      <x:c r="A118" s="88" t="s">
        <x:v>4195</x:v>
      </x:c>
      <x:c r="B118" s="88" t="s">
        <x:v>3927</x:v>
      </x:c>
      <x:c r="C118" s="88" t="s">
        <x:v>698</x:v>
      </x:c>
      <x:c r="D118" s="88" t="s">
        <x:v>3133</x:v>
      </x:c>
      <x:c r="E118" s="88" t="s">
        <x:v>342</x:v>
      </x:c>
      <x:c r="F118" s="89">
        <x:v>46125.201578032407</x:v>
      </x:c>
      <x:c r="G118" s="89">
        <x:v>46125.201578032407</x:v>
      </x:c>
      <x:c r="H118" s="89">
        <x:v>46197.109078877314</x:v>
      </x:c>
      <x:c r="I118" s="88" t="s">
        <x:v>704</x:v>
      </x:c>
      <x:c r="J118" s="88" t="s">
        <x:v>699</x:v>
      </x:c>
      <x:c r="K118" s="88">
        <x:v>100</x:v>
      </x:c>
      <x:c r="L118" s="88" t="s">
        <x:v>707</x:v>
      </x:c>
      <x:c r="M118" s="88" t="s">
        <x:v>701</x:v>
      </x:c>
      <x:c r="N118" s="88" t="s">
        <x:v>3757</x:v>
      </x:c>
      <x:c r="O118" s="88" t="s">
        <x:v>3137</x:v>
      </x:c>
      <x:c r="P118" s="88" t="s">
        <x:v>3138</x:v>
      </x:c>
      <x:c r="Q118" s="88" t="s">
        <x:v>4196</x:v>
      </x:c>
      <x:c r="R118" s="88" t="s">
        <x:v>185</x:v>
      </x:c>
      <x:c r="S118" s="88"/>
      <x:c r="T118" s="88"/>
      <x:c r="U118" s="88" t="s">
        <x:v>4191</x:v>
      </x:c>
      <x:c r="V118" s="89">
        <x:v>46125.273348912036</x:v>
      </x:c>
      <x:c r="W118" s="88" t="s">
        <x:v>703</x:v>
      </x:c>
      <x:c r="X118" s="88" t="s">
        <x:v>259</x:v>
      </x:c>
      <x:c r="Y118" s="88" t="s">
        <x:v>2021</x:v>
      </x:c>
      <x:c r="Z118" s="89">
        <x:v>46133.113456458334</x:v>
      </x:c>
      <x:c r="AA118" s="88" t="s">
        <x:v>2518</x:v>
      </x:c>
      <x:c r="AB118" s="88" t="s">
        <x:v>259</x:v>
      </x:c>
      <x:c r="AC118" s="88" t="s">
        <x:v>4197</x:v>
      </x:c>
      <x:c r="AD118" s="89">
        <x:v>46133.165292268517</x:v>
      </x:c>
      <x:c r="AE118" s="88" t="s">
        <x:v>3142</x:v>
      </x:c>
      <x:c r="AF118" s="88" t="s">
        <x:v>259</x:v>
      </x:c>
      <x:c r="AG118" s="88" t="s">
        <x:v>4193</x:v>
      </x:c>
      <x:c r="AH118" s="89">
        <x:v>46197.109078877314</x:v>
      </x:c>
      <x:c r="AI118" s="88" t="s">
        <x:v>3242</x:v>
      </x:c>
      <x:c r="AJ118" s="88" t="s">
        <x:v>259</x:v>
      </x:c>
      <x:c r="AK118" s="88" t="s">
        <x:v>4198</x:v>
      </x:c>
      <x:c r="AL118" s="88" t="s">
        <x:v>3762</x:v>
      </x:c>
    </x:row>
    <x:row r="119">
      <x:c r="A119" s="88" t="s">
        <x:v>4199</x:v>
      </x:c>
      <x:c r="B119" s="88" t="s">
        <x:v>4200</x:v>
      </x:c>
      <x:c r="C119" s="88" t="s">
        <x:v>4201</x:v>
      </x:c>
      <x:c r="D119" s="88" t="s">
        <x:v>3133</x:v>
      </x:c>
      <x:c r="E119" s="88" t="s">
        <x:v>342</x:v>
      </x:c>
      <x:c r="F119" s="89">
        <x:v>46125.32927065972</x:v>
      </x:c>
      <x:c r="G119" s="89">
        <x:v>46126.372832870373</x:v>
      </x:c>
      <x:c r="H119" s="89">
        <x:v>46128.079683611111</x:v>
      </x:c>
      <x:c r="I119" s="88" t="s">
        <x:v>549</x:v>
      </x:c>
      <x:c r="J119" s="88" t="s">
        <x:v>540</x:v>
      </x:c>
      <x:c r="K119" s="88" t="s">
        <x:v>550</x:v>
      </x:c>
      <x:c r="L119" s="88" t="s">
        <x:v>541</x:v>
      </x:c>
      <x:c r="M119" s="88" t="s">
        <x:v>4202</x:v>
      </x:c>
      <x:c r="N119" s="88" t="s">
        <x:v>4203</x:v>
      </x:c>
      <x:c r="O119" s="88" t="s">
        <x:v>3203</x:v>
      </x:c>
      <x:c r="P119" s="88" t="s">
        <x:v>3138</x:v>
      </x:c>
      <x:c r="Q119" s="88" t="s">
        <x:v>4204</x:v>
      </x:c>
      <x:c r="R119" s="88" t="s">
        <x:v>185</x:v>
      </x:c>
      <x:c r="S119" s="88" t="s">
        <x:v>4205</x:v>
      </x:c>
      <x:c r="T119" s="88"/>
      <x:c r="U119" s="88" t="s">
        <x:v>4206</x:v>
      </x:c>
      <x:c r="V119" s="89">
        <x:v>46127.263030324073</x:v>
      </x:c>
      <x:c r="W119" s="88" t="s">
        <x:v>4207</x:v>
      </x:c>
      <x:c r="X119" s="88" t="s">
        <x:v>259</x:v>
      </x:c>
      <x:c r="Y119" s="88" t="s">
        <x:v>4208</x:v>
      </x:c>
      <x:c r="Z119" s="89">
        <x:v>46127.275444421299</x:v>
      </x:c>
      <x:c r="AA119" s="88" t="s">
        <x:v>3484</x:v>
      </x:c>
      <x:c r="AB119" s="88" t="s">
        <x:v>259</x:v>
      </x:c>
      <x:c r="AC119" s="88" t="s">
        <x:v>4209</x:v>
      </x:c>
      <x:c r="AD119" s="89">
        <x:v>46127.32105846065</x:v>
      </x:c>
      <x:c r="AE119" s="88" t="s">
        <x:v>3142</x:v>
      </x:c>
      <x:c r="AF119" s="88" t="s">
        <x:v>259</x:v>
      </x:c>
      <x:c r="AG119" s="88" t="s">
        <x:v>353</x:v>
      </x:c>
      <x:c r="AH119" s="89">
        <x:v>46128.079683622687</x:v>
      </x:c>
      <x:c r="AI119" s="88" t="s">
        <x:v>789</x:v>
      </x:c>
      <x:c r="AJ119" s="88" t="s">
        <x:v>259</x:v>
      </x:c>
      <x:c r="AK119" s="88" t="s">
        <x:v>4210</x:v>
      </x:c>
      <x:c r="AL119" s="88" t="s">
        <x:v>4211</x:v>
      </x:c>
    </x:row>
    <x:row r="120">
      <x:c r="A120" s="88" t="s">
        <x:v>4212</x:v>
      </x:c>
      <x:c r="B120" s="88" t="s">
        <x:v>4213</x:v>
      </x:c>
      <x:c r="C120" s="88" t="s">
        <x:v>1516</x:v>
      </x:c>
      <x:c r="D120" s="88" t="s">
        <x:v>3133</x:v>
      </x:c>
      <x:c r="E120" s="88" t="s">
        <x:v>342</x:v>
      </x:c>
      <x:c r="F120" s="89">
        <x:v>46126.307994178242</x:v>
      </x:c>
      <x:c r="G120" s="89">
        <x:v>46126.307994178242</x:v>
      </x:c>
      <x:c r="H120" s="89">
        <x:v>46133.481803888892</x:v>
      </x:c>
      <x:c r="I120" s="88" t="s">
        <x:v>1525</x:v>
      </x:c>
      <x:c r="J120" s="88" t="s">
        <x:v>1517</x:v>
      </x:c>
      <x:c r="K120" s="88">
        <x:v>1709</x:v>
      </x:c>
      <x:c r="L120" s="88" t="s">
        <x:v>1518</x:v>
      </x:c>
      <x:c r="M120" s="88" t="s">
        <x:v>824</x:v>
      </x:c>
      <x:c r="N120" s="88" t="s">
        <x:v>1517</x:v>
      </x:c>
      <x:c r="O120" s="88" t="s">
        <x:v>3203</x:v>
      </x:c>
      <x:c r="P120" s="88" t="s">
        <x:v>3138</x:v>
      </x:c>
      <x:c r="Q120" s="88" t="s">
        <x:v>4214</x:v>
      </x:c>
      <x:c r="R120" s="88" t="s">
        <x:v>185</x:v>
      </x:c>
      <x:c r="S120" s="88" t="s">
        <x:v>543</x:v>
      </x:c>
      <x:c r="T120" s="88"/>
      <x:c r="U120" s="88" t="s">
        <x:v>4215</x:v>
      </x:c>
      <x:c r="V120" s="89">
        <x:v>46126.383045925926</x:v>
      </x:c>
      <x:c r="W120" s="88" t="s">
        <x:v>827</x:v>
      </x:c>
      <x:c r="X120" s="88" t="s">
        <x:v>259</x:v>
      </x:c>
      <x:c r="Y120" s="88" t="s">
        <x:v>2021</x:v>
      </x:c>
      <x:c r="Z120" s="89">
        <x:v>46133.11428292824</x:v>
      </x:c>
      <x:c r="AA120" s="88" t="s">
        <x:v>2518</x:v>
      </x:c>
      <x:c r="AB120" s="88" t="s">
        <x:v>259</x:v>
      </x:c>
      <x:c r="AC120" s="88" t="s">
        <x:v>4216</x:v>
      </x:c>
      <x:c r="AD120" s="89">
        <x:v>46133.302732280092</x:v>
      </x:c>
      <x:c r="AE120" s="88" t="s">
        <x:v>3142</x:v>
      </x:c>
      <x:c r="AF120" s="88" t="s">
        <x:v>259</x:v>
      </x:c>
      <x:c r="AG120" s="88" t="s">
        <x:v>4217</x:v>
      </x:c>
      <x:c r="AH120" s="89">
        <x:v>46133.48180390046</x:v>
      </x:c>
      <x:c r="AI120" s="88" t="s">
        <x:v>3538</x:v>
      </x:c>
      <x:c r="AJ120" s="88" t="s">
        <x:v>259</x:v>
      </x:c>
      <x:c r="AK120" s="88" t="s">
        <x:v>4218</x:v>
      </x:c>
      <x:c r="AL120" s="88" t="s">
        <x:v>3465</x:v>
      </x:c>
    </x:row>
    <x:row r="121">
      <x:c r="A121" s="88" t="s">
        <x:v>4219</x:v>
      </x:c>
      <x:c r="B121" s="88" t="s">
        <x:v>4220</x:v>
      </x:c>
      <x:c r="C121" s="88" t="s">
        <x:v>4107</x:v>
      </x:c>
      <x:c r="D121" s="88" t="s">
        <x:v>3133</x:v>
      </x:c>
      <x:c r="E121" s="88" t="s">
        <x:v>249</x:v>
      </x:c>
      <x:c r="F121" s="89">
        <x:v>46127.109772222226</x:v>
      </x:c>
      <x:c r="G121" s="89">
        <x:v>46127.109772222226</x:v>
      </x:c>
      <x:c r="H121" s="89">
        <x:v>46133.160988321761</x:v>
      </x:c>
      <x:c r="I121" s="88" t="s">
        <x:v>4108</x:v>
      </x:c>
      <x:c r="J121" s="88" t="s">
        <x:v>4109</x:v>
      </x:c>
      <x:c r="K121" s="88">
        <x:v>192</x:v>
      </x:c>
      <x:c r="L121" s="88" t="s">
        <x:v>4110</x:v>
      </x:c>
      <x:c r="M121" s="88" t="s">
        <x:v>1779</x:v>
      </x:c>
      <x:c r="N121" s="88" t="s">
        <x:v>4112</x:v>
      </x:c>
      <x:c r="O121" s="88" t="s">
        <x:v>3203</x:v>
      </x:c>
      <x:c r="P121" s="88" t="s">
        <x:v>3138</x:v>
      </x:c>
      <x:c r="Q121" s="88" t="s">
        <x:v>4221</x:v>
      </x:c>
      <x:c r="R121" s="88"/>
      <x:c r="S121" s="88" t="s">
        <x:v>498</x:v>
      </x:c>
      <x:c r="T121" s="88"/>
      <x:c r="U121" s="88" t="s">
        <x:v>4222</x:v>
      </x:c>
      <x:c r="V121" s="89">
        <x:v>46127.12662412037</x:v>
      </x:c>
      <x:c r="W121" s="88" t="s">
        <x:v>1782</x:v>
      </x:c>
      <x:c r="X121" s="88" t="s">
        <x:v>259</x:v>
      </x:c>
      <x:c r="Y121" s="88" t="s">
        <x:v>4223</x:v>
      </x:c>
      <x:c r="Z121" s="89">
        <x:v>46133.160988333337</x:v>
      </x:c>
      <x:c r="AA121" s="88" t="s">
        <x:v>2518</x:v>
      </x:c>
      <x:c r="AB121" s="88" t="s">
        <x:v>249</x:v>
      </x:c>
      <x:c r="AC121" s="88"/>
      <x:c r="AD121" s="89"/>
      <x:c r="AE121" s="88" t="s">
        <x:v>273</x:v>
      </x:c>
      <x:c r="AF121" s="88"/>
      <x:c r="AG121" s="88"/>
      <x:c r="AH121" s="89"/>
      <x:c r="AI121" s="88" t="s">
        <x:v>3176</x:v>
      </x:c>
      <x:c r="AJ121" s="88"/>
      <x:c r="AK121" s="88"/>
      <x:c r="AL121" s="88" t="s">
        <x:v>4114</x:v>
      </x:c>
    </x:row>
    <x:row r="122">
      <x:c r="A122" s="88" t="s">
        <x:v>4224</x:v>
      </x:c>
      <x:c r="B122" s="88" t="s">
        <x:v>4225</x:v>
      </x:c>
      <x:c r="C122" s="88" t="s">
        <x:v>3538</x:v>
      </x:c>
      <x:c r="D122" s="88" t="s">
        <x:v>3133</x:v>
      </x:c>
      <x:c r="E122" s="88" t="s">
        <x:v>249</x:v>
      </x:c>
      <x:c r="F122" s="89">
        <x:v>46127.323107129632</x:v>
      </x:c>
      <x:c r="G122" s="89">
        <x:v>46127.323107129632</x:v>
      </x:c>
      <x:c r="H122" s="89">
        <x:v>46176.049786747688</x:v>
      </x:c>
      <x:c r="I122" s="88" t="s">
        <x:v>2511</x:v>
      </x:c>
      <x:c r="J122" s="88" t="s">
        <x:v>2505</x:v>
      </x:c>
      <x:c r="K122" s="88" t="s">
        <x:v>3533</x:v>
      </x:c>
      <x:c r="L122" s="88" t="s">
        <x:v>3534</x:v>
      </x:c>
      <x:c r="M122" s="88" t="s">
        <x:v>4226</x:v>
      </x:c>
      <x:c r="N122" s="88" t="s">
        <x:v>3534</x:v>
      </x:c>
      <x:c r="O122" s="88" t="s">
        <x:v>3137</x:v>
      </x:c>
      <x:c r="P122" s="88" t="s">
        <x:v>3225</x:v>
      </x:c>
      <x:c r="Q122" s="88" t="s">
        <x:v>2128</x:v>
      </x:c>
      <x:c r="R122" s="88"/>
      <x:c r="S122" s="88"/>
      <x:c r="T122" s="88"/>
      <x:c r="U122" s="88"/>
      <x:c r="V122" s="89">
        <x:v>46176.049786759257</x:v>
      </x:c>
      <x:c r="W122" s="88" t="s">
        <x:v>309</x:v>
      </x:c>
      <x:c r="X122" s="88" t="s">
        <x:v>249</x:v>
      </x:c>
      <x:c r="Y122" s="88"/>
      <x:c r="Z122" s="89"/>
      <x:c r="AA122" s="88" t="s">
        <x:v>3206</x:v>
      </x:c>
      <x:c r="AB122" s="88"/>
      <x:c r="AC122" s="88"/>
      <x:c r="AD122" s="89"/>
      <x:c r="AE122" s="88" t="s">
        <x:v>273</x:v>
      </x:c>
      <x:c r="AF122" s="88"/>
      <x:c r="AG122" s="88"/>
      <x:c r="AH122" s="89"/>
      <x:c r="AI122" s="88" t="s">
        <x:v>3176</x:v>
      </x:c>
      <x:c r="AJ122" s="88"/>
      <x:c r="AK122" s="88"/>
      <x:c r="AL122" s="88" t="s">
        <x:v>3540</x:v>
      </x:c>
    </x:row>
    <x:row r="123">
      <x:c r="A123" s="88" t="s">
        <x:v>4227</x:v>
      </x:c>
      <x:c r="B123" s="88" t="s">
        <x:v>4228</x:v>
      </x:c>
      <x:c r="C123" s="88" t="s">
        <x:v>4229</x:v>
      </x:c>
      <x:c r="D123" s="88" t="s">
        <x:v>3133</x:v>
      </x:c>
      <x:c r="E123" s="88" t="s">
        <x:v>342</x:v>
      </x:c>
      <x:c r="F123" s="89">
        <x:v>46127.577842916668</x:v>
      </x:c>
      <x:c r="G123" s="89">
        <x:v>46127.577842916668</x:v>
      </x:c>
      <x:c r="H123" s="89">
        <x:v>46141.110181851851</x:v>
      </x:c>
      <x:c r="I123" s="88" t="s">
        <x:v>3937</x:v>
      </x:c>
      <x:c r="J123" s="88" t="s">
        <x:v>3938</x:v>
      </x:c>
      <x:c r="K123" s="88" t="s">
        <x:v>4230</x:v>
      </x:c>
      <x:c r="L123" s="88" t="s">
        <x:v>4231</x:v>
      </x:c>
      <x:c r="M123" s="88" t="s">
        <x:v>4232</x:v>
      </x:c>
      <x:c r="N123" s="88" t="s">
        <x:v>4233</x:v>
      </x:c>
      <x:c r="O123" s="88" t="s">
        <x:v>3137</x:v>
      </x:c>
      <x:c r="P123" s="88" t="s">
        <x:v>3173</x:v>
      </x:c>
      <x:c r="Q123" s="88" t="s">
        <x:v>4234</x:v>
      </x:c>
      <x:c r="R123" s="88" t="s">
        <x:v>185</x:v>
      </x:c>
      <x:c r="S123" s="88"/>
      <x:c r="T123" s="88"/>
      <x:c r="U123" s="88" t="s">
        <x:v>385</x:v>
      </x:c>
      <x:c r="V123" s="89">
        <x:v>46127.953664849534</x:v>
      </x:c>
      <x:c r="W123" s="88" t="s">
        <x:v>4232</x:v>
      </x:c>
      <x:c r="X123" s="88" t="s">
        <x:v>259</x:v>
      </x:c>
      <x:c r="Y123" s="88" t="s">
        <x:v>4235</x:v>
      </x:c>
      <x:c r="Z123" s="89">
        <x:v>46129.099986886577</x:v>
      </x:c>
      <x:c r="AA123" s="88" t="s">
        <x:v>3484</x:v>
      </x:c>
      <x:c r="AB123" s="88" t="s">
        <x:v>259</x:v>
      </x:c>
      <x:c r="AC123" s="88" t="s">
        <x:v>4236</x:v>
      </x:c>
      <x:c r="AD123" s="89">
        <x:v>46129.109916215275</x:v>
      </x:c>
      <x:c r="AE123" s="88" t="s">
        <x:v>3142</x:v>
      </x:c>
      <x:c r="AF123" s="88" t="s">
        <x:v>259</x:v>
      </x:c>
      <x:c r="AG123" s="88" t="s">
        <x:v>4237</x:v>
      </x:c>
      <x:c r="AH123" s="89">
        <x:v>46141.110181851851</x:v>
      </x:c>
      <x:c r="AI123" s="88" t="s">
        <x:v>3261</x:v>
      </x:c>
      <x:c r="AJ123" s="88" t="s">
        <x:v>259</x:v>
      </x:c>
      <x:c r="AK123" s="88" t="s">
        <x:v>4238</x:v>
      </x:c>
      <x:c r="AL123" s="88" t="s">
        <x:v>4239</x:v>
      </x:c>
    </x:row>
    <x:row r="124">
      <x:c r="A124" s="88" t="s">
        <x:v>4240</x:v>
      </x:c>
      <x:c r="B124" s="88" t="s">
        <x:v>4241</x:v>
      </x:c>
      <x:c r="C124" s="88" t="s">
        <x:v>4229</x:v>
      </x:c>
      <x:c r="D124" s="88" t="s">
        <x:v>3133</x:v>
      </x:c>
      <x:c r="E124" s="88" t="s">
        <x:v>342</x:v>
      </x:c>
      <x:c r="F124" s="89">
        <x:v>46127.580483530095</x:v>
      </x:c>
      <x:c r="G124" s="89">
        <x:v>46127.580483530095</x:v>
      </x:c>
      <x:c r="H124" s="89">
        <x:v>46141.11061059028</x:v>
      </x:c>
      <x:c r="I124" s="88" t="s">
        <x:v>3937</x:v>
      </x:c>
      <x:c r="J124" s="88" t="s">
        <x:v>3938</x:v>
      </x:c>
      <x:c r="K124" s="88" t="s">
        <x:v>4230</x:v>
      </x:c>
      <x:c r="L124" s="88" t="s">
        <x:v>4231</x:v>
      </x:c>
      <x:c r="M124" s="88" t="s">
        <x:v>4232</x:v>
      </x:c>
      <x:c r="N124" s="88" t="s">
        <x:v>4233</x:v>
      </x:c>
      <x:c r="O124" s="88" t="s">
        <x:v>3137</x:v>
      </x:c>
      <x:c r="P124" s="88" t="s">
        <x:v>3138</x:v>
      </x:c>
      <x:c r="Q124" s="88" t="s">
        <x:v>4234</x:v>
      </x:c>
      <x:c r="R124" s="88" t="s">
        <x:v>185</x:v>
      </x:c>
      <x:c r="S124" s="88"/>
      <x:c r="T124" s="88"/>
      <x:c r="U124" s="88" t="s">
        <x:v>385</x:v>
      </x:c>
      <x:c r="V124" s="89">
        <x:v>46127.954014479168</x:v>
      </x:c>
      <x:c r="W124" s="88" t="s">
        <x:v>4232</x:v>
      </x:c>
      <x:c r="X124" s="88" t="s">
        <x:v>259</x:v>
      </x:c>
      <x:c r="Y124" s="88" t="s">
        <x:v>385</x:v>
      </x:c>
      <x:c r="Z124" s="89">
        <x:v>46129.100153287036</x:v>
      </x:c>
      <x:c r="AA124" s="88" t="s">
        <x:v>3484</x:v>
      </x:c>
      <x:c r="AB124" s="88" t="s">
        <x:v>259</x:v>
      </x:c>
      <x:c r="AC124" s="88" t="s">
        <x:v>4236</x:v>
      </x:c>
      <x:c r="AD124" s="89">
        <x:v>46129.109801863429</x:v>
      </x:c>
      <x:c r="AE124" s="88" t="s">
        <x:v>3142</x:v>
      </x:c>
      <x:c r="AF124" s="88" t="s">
        <x:v>259</x:v>
      </x:c>
      <x:c r="AG124" s="88" t="s">
        <x:v>4242</x:v>
      </x:c>
      <x:c r="AH124" s="89">
        <x:v>46141.110610601849</x:v>
      </x:c>
      <x:c r="AI124" s="88" t="s">
        <x:v>3261</x:v>
      </x:c>
      <x:c r="AJ124" s="88" t="s">
        <x:v>259</x:v>
      </x:c>
      <x:c r="AK124" s="88" t="s">
        <x:v>4243</x:v>
      </x:c>
      <x:c r="AL124" s="88" t="s">
        <x:v>4239</x:v>
      </x:c>
    </x:row>
    <x:row r="125">
      <x:c r="A125" s="88" t="s">
        <x:v>4244</x:v>
      </x:c>
      <x:c r="B125" s="88" t="s">
        <x:v>4245</x:v>
      </x:c>
      <x:c r="C125" s="88" t="s">
        <x:v>4246</x:v>
      </x:c>
      <x:c r="D125" s="88" t="s">
        <x:v>3133</x:v>
      </x:c>
      <x:c r="E125" s="88" t="s">
        <x:v>342</x:v>
      </x:c>
      <x:c r="F125" s="89">
        <x:v>46129.332351655095</x:v>
      </x:c>
      <x:c r="G125" s="89">
        <x:v>46129.332351655095</x:v>
      </x:c>
      <x:c r="H125" s="89">
        <x:v>46133.402207476851</x:v>
      </x:c>
      <x:c r="I125" s="88" t="s">
        <x:v>4165</x:v>
      </x:c>
      <x:c r="J125" s="88" t="s">
        <x:v>4166</x:v>
      </x:c>
      <x:c r="K125" s="88">
        <x:v>4495</x:v>
      </x:c>
      <x:c r="L125" s="88" t="s">
        <x:v>4166</x:v>
      </x:c>
      <x:c r="M125" s="88" t="s">
        <x:v>4247</x:v>
      </x:c>
      <x:c r="N125" s="88" t="s">
        <x:v>4168</x:v>
      </x:c>
      <x:c r="O125" s="88" t="s">
        <x:v>3137</x:v>
      </x:c>
      <x:c r="P125" s="88" t="s">
        <x:v>3173</x:v>
      </x:c>
      <x:c r="Q125" s="88" t="s">
        <x:v>4248</x:v>
      </x:c>
      <x:c r="R125" s="88" t="s">
        <x:v>185</x:v>
      </x:c>
      <x:c r="S125" s="88"/>
      <x:c r="T125" s="88"/>
      <x:c r="U125" s="88" t="s">
        <x:v>3606</x:v>
      </x:c>
      <x:c r="V125" s="89">
        <x:v>46129.339821157409</x:v>
      </x:c>
      <x:c r="W125" s="88" t="s">
        <x:v>4249</x:v>
      </x:c>
      <x:c r="X125" s="88" t="s">
        <x:v>259</x:v>
      </x:c>
      <x:c r="Y125" s="88" t="s">
        <x:v>2021</x:v>
      </x:c>
      <x:c r="Z125" s="89">
        <x:v>46133.162748263887</x:v>
      </x:c>
      <x:c r="AA125" s="88" t="s">
        <x:v>2518</x:v>
      </x:c>
      <x:c r="AB125" s="88" t="s">
        <x:v>259</x:v>
      </x:c>
      <x:c r="AC125" s="88" t="s">
        <x:v>2368</x:v>
      </x:c>
      <x:c r="AD125" s="89">
        <x:v>46133.167040590277</x:v>
      </x:c>
      <x:c r="AE125" s="88" t="s">
        <x:v>3142</x:v>
      </x:c>
      <x:c r="AF125" s="88" t="s">
        <x:v>259</x:v>
      </x:c>
      <x:c r="AG125" s="88" t="s">
        <x:v>353</x:v>
      </x:c>
      <x:c r="AH125" s="89">
        <x:v>46133.402207476851</x:v>
      </x:c>
      <x:c r="AI125" s="88" t="s">
        <x:v>789</x:v>
      </x:c>
      <x:c r="AJ125" s="88" t="s">
        <x:v>259</x:v>
      </x:c>
      <x:c r="AK125" s="88" t="s">
        <x:v>4250</x:v>
      </x:c>
      <x:c r="AL125" s="88" t="s">
        <x:v>4173</x:v>
      </x:c>
    </x:row>
    <x:row r="126">
      <x:c r="A126" s="88" t="s">
        <x:v>4251</x:v>
      </x:c>
      <x:c r="B126" s="88" t="s">
        <x:v>4252</x:v>
      </x:c>
      <x:c r="C126" s="88" t="s">
        <x:v>4253</x:v>
      </x:c>
      <x:c r="D126" s="88" t="s">
        <x:v>3133</x:v>
      </x:c>
      <x:c r="E126" s="88" t="s">
        <x:v>342</x:v>
      </x:c>
      <x:c r="F126" s="89">
        <x:v>46129.339125914354</x:v>
      </x:c>
      <x:c r="G126" s="89">
        <x:v>46129.339125914354</x:v>
      </x:c>
      <x:c r="H126" s="89">
        <x:v>46198.124934976855</x:v>
      </x:c>
      <x:c r="I126" s="88" t="s">
        <x:v>4254</x:v>
      </x:c>
      <x:c r="J126" s="88" t="s">
        <x:v>4255</x:v>
      </x:c>
      <x:c r="K126" s="88" t="s">
        <x:v>4256</x:v>
      </x:c>
      <x:c r="L126" s="88" t="s">
        <x:v>4257</x:v>
      </x:c>
      <x:c r="M126" s="88" t="s">
        <x:v>2592</x:v>
      </x:c>
      <x:c r="N126" s="88" t="s">
        <x:v>4258</x:v>
      </x:c>
      <x:c r="O126" s="88" t="s">
        <x:v>3203</x:v>
      </x:c>
      <x:c r="P126" s="88" t="s">
        <x:v>3138</x:v>
      </x:c>
      <x:c r="Q126" s="88" t="s">
        <x:v>4259</x:v>
      </x:c>
      <x:c r="R126" s="88" t="s">
        <x:v>185</x:v>
      </x:c>
      <x:c r="S126" s="88" t="s">
        <x:v>4260</x:v>
      </x:c>
      <x:c r="T126" s="88"/>
      <x:c r="U126" s="88" t="s">
        <x:v>1257</x:v>
      </x:c>
      <x:c r="V126" s="89">
        <x:v>46133.076562141207</x:v>
      </x:c>
      <x:c r="W126" s="88" t="s">
        <x:v>2596</x:v>
      </x:c>
      <x:c r="X126" s="88" t="s">
        <x:v>259</x:v>
      </x:c>
      <x:c r="Y126" s="88" t="s">
        <x:v>2021</x:v>
      </x:c>
      <x:c r="Z126" s="89">
        <x:v>46133.083509814816</x:v>
      </x:c>
      <x:c r="AA126" s="88" t="s">
        <x:v>2518</x:v>
      </x:c>
      <x:c r="AB126" s="88" t="s">
        <x:v>259</x:v>
      </x:c>
      <x:c r="AC126" s="88" t="s">
        <x:v>4261</x:v>
      </x:c>
      <x:c r="AD126" s="89">
        <x:v>46133.292452071757</x:v>
      </x:c>
      <x:c r="AE126" s="88" t="s">
        <x:v>3142</x:v>
      </x:c>
      <x:c r="AF126" s="88" t="s">
        <x:v>259</x:v>
      </x:c>
      <x:c r="AG126" s="88" t="s">
        <x:v>3653</x:v>
      </x:c>
      <x:c r="AH126" s="89">
        <x:v>46198.124934976855</x:v>
      </x:c>
      <x:c r="AI126" s="88" t="s">
        <x:v>3409</x:v>
      </x:c>
      <x:c r="AJ126" s="88" t="s">
        <x:v>259</x:v>
      </x:c>
      <x:c r="AK126" s="88" t="s">
        <x:v>4262</x:v>
      </x:c>
      <x:c r="AL126" s="88" t="s">
        <x:v>4263</x:v>
      </x:c>
    </x:row>
    <x:row r="127">
      <x:c r="A127" s="88" t="s">
        <x:v>4264</x:v>
      </x:c>
      <x:c r="B127" s="88" t="s">
        <x:v>4265</x:v>
      </x:c>
      <x:c r="C127" s="88" t="s">
        <x:v>3520</x:v>
      </x:c>
      <x:c r="D127" s="88" t="s">
        <x:v>3133</x:v>
      </x:c>
      <x:c r="E127" s="88" t="s">
        <x:v>342</x:v>
      </x:c>
      <x:c r="F127" s="89">
        <x:v>46129.35443363426</x:v>
      </x:c>
      <x:c r="G127" s="89">
        <x:v>46129.35443363426</x:v>
      </x:c>
      <x:c r="H127" s="89">
        <x:v>46140.254022731482</x:v>
      </x:c>
      <x:c r="I127" s="88" t="s">
        <x:v>3521</x:v>
      </x:c>
      <x:c r="J127" s="88" t="s">
        <x:v>3522</x:v>
      </x:c>
      <x:c r="K127" s="88" t="s">
        <x:v>3523</x:v>
      </x:c>
      <x:c r="L127" s="88" t="s">
        <x:v>3524</x:v>
      </x:c>
      <x:c r="M127" s="88" t="s">
        <x:v>3525</x:v>
      </x:c>
      <x:c r="N127" s="88" t="s">
        <x:v>3526</x:v>
      </x:c>
      <x:c r="O127" s="88" t="s">
        <x:v>3137</x:v>
      </x:c>
      <x:c r="P127" s="88" t="s">
        <x:v>3225</x:v>
      </x:c>
      <x:c r="Q127" s="88" t="s">
        <x:v>4266</x:v>
      </x:c>
      <x:c r="R127" s="88" t="s">
        <x:v>162</x:v>
      </x:c>
      <x:c r="S127" s="88"/>
      <x:c r="T127" s="88"/>
      <x:c r="U127" s="88" t="s">
        <x:v>4267</x:v>
      </x:c>
      <x:c r="V127" s="89">
        <x:v>46129.438843877317</x:v>
      </x:c>
      <x:c r="W127" s="88" t="s">
        <x:v>1074</x:v>
      </x:c>
      <x:c r="X127" s="88" t="s">
        <x:v>259</x:v>
      </x:c>
      <x:c r="Y127" s="88" t="s">
        <x:v>2021</x:v>
      </x:c>
      <x:c r="Z127" s="89">
        <x:v>46133.165400694445</x:v>
      </x:c>
      <x:c r="AA127" s="88" t="s">
        <x:v>2518</x:v>
      </x:c>
      <x:c r="AB127" s="88" t="s">
        <x:v>259</x:v>
      </x:c>
      <x:c r="AC127" s="88" t="s">
        <x:v>3880</x:v>
      </x:c>
      <x:c r="AD127" s="89">
        <x:v>46134.11807222222</x:v>
      </x:c>
      <x:c r="AE127" s="88" t="s">
        <x:v>3142</x:v>
      </x:c>
      <x:c r="AF127" s="88" t="s">
        <x:v>259</x:v>
      </x:c>
      <x:c r="AG127" s="88" t="s">
        <x:v>4268</x:v>
      </x:c>
      <x:c r="AH127" s="89">
        <x:v>46140.254022743058</x:v>
      </x:c>
      <x:c r="AI127" s="88" t="s">
        <x:v>3165</x:v>
      </x:c>
      <x:c r="AJ127" s="88" t="s">
        <x:v>259</x:v>
      </x:c>
      <x:c r="AK127" s="88" t="s">
        <x:v>4269</x:v>
      </x:c>
      <x:c r="AL127" s="88" t="s">
        <x:v>3530</x:v>
      </x:c>
    </x:row>
    <x:row r="128">
      <x:c r="A128" s="88" t="s">
        <x:v>4270</x:v>
      </x:c>
      <x:c r="B128" s="88" t="s">
        <x:v>4271</x:v>
      </x:c>
      <x:c r="C128" s="88" t="s">
        <x:v>4272</x:v>
      </x:c>
      <x:c r="D128" s="88" t="s">
        <x:v>3133</x:v>
      </x:c>
      <x:c r="E128" s="88" t="s">
        <x:v>342</x:v>
      </x:c>
      <x:c r="F128" s="89">
        <x:v>46132.209358460648</x:v>
      </x:c>
      <x:c r="G128" s="89">
        <x:v>46132.209358460648</x:v>
      </x:c>
      <x:c r="H128" s="89">
        <x:v>46149.037220057871</x:v>
      </x:c>
      <x:c r="I128" s="88" t="s">
        <x:v>1425</x:v>
      </x:c>
      <x:c r="J128" s="88" t="s">
        <x:v>1420</x:v>
      </x:c>
      <x:c r="K128" s="88" t="s">
        <x:v>4273</x:v>
      </x:c>
      <x:c r="L128" s="88" t="s">
        <x:v>4274</x:v>
      </x:c>
      <x:c r="M128" s="88" t="s">
        <x:v>2273</x:v>
      </x:c>
      <x:c r="N128" s="88" t="s">
        <x:v>1035</x:v>
      </x:c>
      <x:c r="O128" s="88" t="s">
        <x:v>3137</x:v>
      </x:c>
      <x:c r="P128" s="88" t="s">
        <x:v>3138</x:v>
      </x:c>
      <x:c r="Q128" s="88" t="s">
        <x:v>4275</x:v>
      </x:c>
      <x:c r="R128" s="88" t="s">
        <x:v>162</x:v>
      </x:c>
      <x:c r="S128" s="88"/>
      <x:c r="T128" s="88"/>
      <x:c r="U128" s="88" t="s">
        <x:v>385</x:v>
      </x:c>
      <x:c r="V128" s="89">
        <x:v>46133.126148460651</x:v>
      </x:c>
      <x:c r="W128" s="88" t="s">
        <x:v>2273</x:v>
      </x:c>
      <x:c r="X128" s="88" t="s">
        <x:v>259</x:v>
      </x:c>
      <x:c r="Y128" s="88" t="s">
        <x:v>4276</x:v>
      </x:c>
      <x:c r="Z128" s="89">
        <x:v>46135.167247951387</x:v>
      </x:c>
      <x:c r="AA128" s="88" t="s">
        <x:v>2518</x:v>
      </x:c>
      <x:c r="AB128" s="88" t="s">
        <x:v>259</x:v>
      </x:c>
      <x:c r="AC128" s="88" t="s">
        <x:v>4277</x:v>
      </x:c>
      <x:c r="AD128" s="89">
        <x:v>46135.196904490738</x:v>
      </x:c>
      <x:c r="AE128" s="88" t="s">
        <x:v>3142</x:v>
      </x:c>
      <x:c r="AF128" s="88" t="s">
        <x:v>259</x:v>
      </x:c>
      <x:c r="AG128" s="88" t="s">
        <x:v>4015</x:v>
      </x:c>
      <x:c r="AH128" s="89">
        <x:v>46149.037220069447</x:v>
      </x:c>
      <x:c r="AI128" s="88" t="s">
        <x:v>3282</x:v>
      </x:c>
      <x:c r="AJ128" s="88" t="s">
        <x:v>259</x:v>
      </x:c>
      <x:c r="AK128" s="88" t="s">
        <x:v>4278</x:v>
      </x:c>
      <x:c r="AL128" s="88" t="s">
        <x:v>4279</x:v>
      </x:c>
    </x:row>
    <x:row r="129">
      <x:c r="A129" s="88" t="s">
        <x:v>4280</x:v>
      </x:c>
      <x:c r="B129" s="88" t="s">
        <x:v>4281</x:v>
      </x:c>
      <x:c r="C129" s="88" t="s">
        <x:v>613</x:v>
      </x:c>
      <x:c r="D129" s="88" t="s">
        <x:v>3133</x:v>
      </x:c>
      <x:c r="E129" s="88" t="s">
        <x:v>342</x:v>
      </x:c>
      <x:c r="F129" s="89">
        <x:v>46133.093222627314</x:v>
      </x:c>
      <x:c r="G129" s="89">
        <x:v>46133.093222627314</x:v>
      </x:c>
      <x:c r="H129" s="89">
        <x:v>46167.356639641206</x:v>
      </x:c>
      <x:c r="I129" s="88" t="s">
        <x:v>4282</x:v>
      </x:c>
      <x:c r="J129" s="88" t="s">
        <x:v>4283</x:v>
      </x:c>
      <x:c r="K129" s="88" t="s">
        <x:v>4284</x:v>
      </x:c>
      <x:c r="L129" s="88" t="s">
        <x:v>4285</x:v>
      </x:c>
      <x:c r="M129" s="88" t="s">
        <x:v>616</x:v>
      </x:c>
      <x:c r="N129" s="88" t="s">
        <x:v>4285</x:v>
      </x:c>
      <x:c r="O129" s="88" t="s">
        <x:v>3137</x:v>
      </x:c>
      <x:c r="P129" s="88" t="s">
        <x:v>3138</x:v>
      </x:c>
      <x:c r="Q129" s="88" t="s">
        <x:v>4286</x:v>
      </x:c>
      <x:c r="R129" s="88" t="s">
        <x:v>162</x:v>
      </x:c>
      <x:c r="S129" s="88"/>
      <x:c r="T129" s="88"/>
      <x:c r="U129" s="88" t="s">
        <x:v>4287</x:v>
      </x:c>
      <x:c r="V129" s="89">
        <x:v>46133.101111793978</x:v>
      </x:c>
      <x:c r="W129" s="88" t="s">
        <x:v>616</x:v>
      </x:c>
      <x:c r="X129" s="88" t="s">
        <x:v>259</x:v>
      </x:c>
      <x:c r="Y129" s="88" t="s">
        <x:v>2021</x:v>
      </x:c>
      <x:c r="Z129" s="89">
        <x:v>46136.417900127315</x:v>
      </x:c>
      <x:c r="AA129" s="88" t="s">
        <x:v>2518</x:v>
      </x:c>
      <x:c r="AB129" s="88" t="s">
        <x:v>259</x:v>
      </x:c>
      <x:c r="AC129" s="88" t="s">
        <x:v>2368</x:v>
      </x:c>
      <x:c r="AD129" s="89">
        <x:v>46146.303503148149</x:v>
      </x:c>
      <x:c r="AE129" s="88" t="s">
        <x:v>3142</x:v>
      </x:c>
      <x:c r="AF129" s="88" t="s">
        <x:v>259</x:v>
      </x:c>
      <x:c r="AG129" s="88" t="s">
        <x:v>4288</x:v>
      </x:c>
      <x:c r="AH129" s="89">
        <x:v>46167.356639652775</x:v>
      </x:c>
      <x:c r="AI129" s="88" t="s">
        <x:v>3165</x:v>
      </x:c>
      <x:c r="AJ129" s="88" t="s">
        <x:v>259</x:v>
      </x:c>
      <x:c r="AK129" s="88" t="s">
        <x:v>4289</x:v>
      </x:c>
      <x:c r="AL129" s="88" t="s">
        <x:v>4290</x:v>
      </x:c>
    </x:row>
    <x:row r="130">
      <x:c r="A130" s="88" t="s">
        <x:v>4291</x:v>
      </x:c>
      <x:c r="B130" s="88" t="s">
        <x:v>4292</x:v>
      </x:c>
      <x:c r="C130" s="88" t="s">
        <x:v>3817</x:v>
      </x:c>
      <x:c r="D130" s="88" t="s">
        <x:v>3133</x:v>
      </x:c>
      <x:c r="E130" s="88" t="s">
        <x:v>342</x:v>
      </x:c>
      <x:c r="F130" s="89">
        <x:v>46133.106502708331</x:v>
      </x:c>
      <x:c r="G130" s="89">
        <x:v>46133.106502708331</x:v>
      </x:c>
      <x:c r="H130" s="89">
        <x:v>46135.319113981481</x:v>
      </x:c>
      <x:c r="I130" s="88" t="s">
        <x:v>3818</x:v>
      </x:c>
      <x:c r="J130" s="88" t="s">
        <x:v>3819</x:v>
      </x:c>
      <x:c r="K130" s="88" t="s">
        <x:v>3820</x:v>
      </x:c>
      <x:c r="L130" s="88" t="s">
        <x:v>3821</x:v>
      </x:c>
      <x:c r="M130" s="88" t="s">
        <x:v>3822</x:v>
      </x:c>
      <x:c r="N130" s="88" t="s">
        <x:v>3819</x:v>
      </x:c>
      <x:c r="O130" s="88" t="s">
        <x:v>3203</x:v>
      </x:c>
      <x:c r="P130" s="88" t="s">
        <x:v>3138</x:v>
      </x:c>
      <x:c r="Q130" s="88" t="s">
        <x:v>4125</x:v>
      </x:c>
      <x:c r="R130" s="88" t="s">
        <x:v>162</x:v>
      </x:c>
      <x:c r="S130" s="88" t="s">
        <x:v>543</x:v>
      </x:c>
      <x:c r="T130" s="88"/>
      <x:c r="U130" s="88" t="s">
        <x:v>4293</x:v>
      </x:c>
      <x:c r="V130" s="89">
        <x:v>46133.11176965278</x:v>
      </x:c>
      <x:c r="W130" s="88" t="s">
        <x:v>3824</x:v>
      </x:c>
      <x:c r="X130" s="88" t="s">
        <x:v>259</x:v>
      </x:c>
      <x:c r="Y130" s="88" t="s">
        <x:v>2021</x:v>
      </x:c>
      <x:c r="Z130" s="89">
        <x:v>46135.092228773145</x:v>
      </x:c>
      <x:c r="AA130" s="88" t="s">
        <x:v>2518</x:v>
      </x:c>
      <x:c r="AB130" s="88" t="s">
        <x:v>259</x:v>
      </x:c>
      <x:c r="AC130" s="88" t="s">
        <x:v>2368</x:v>
      </x:c>
      <x:c r="AD130" s="89">
        <x:v>46135.103666643517</x:v>
      </x:c>
      <x:c r="AE130" s="88" t="s">
        <x:v>3142</x:v>
      </x:c>
      <x:c r="AF130" s="88" t="s">
        <x:v>259</x:v>
      </x:c>
      <x:c r="AG130" s="88" t="s">
        <x:v>4294</x:v>
      </x:c>
      <x:c r="AH130" s="89">
        <x:v>46135.319114004633</x:v>
      </x:c>
      <x:c r="AI130" s="88" t="s">
        <x:v>3143</x:v>
      </x:c>
      <x:c r="AJ130" s="88" t="s">
        <x:v>259</x:v>
      </x:c>
      <x:c r="AK130" s="88" t="s">
        <x:v>4295</x:v>
      </x:c>
      <x:c r="AL130" s="88" t="s">
        <x:v>3828</x:v>
      </x:c>
    </x:row>
    <x:row r="131">
      <x:c r="A131" s="88" t="s">
        <x:v>4296</x:v>
      </x:c>
      <x:c r="B131" s="88" t="s">
        <x:v>4297</x:v>
      </x:c>
      <x:c r="C131" s="88" t="s">
        <x:v>1184</x:v>
      </x:c>
      <x:c r="D131" s="88" t="s">
        <x:v>3133</x:v>
      </x:c>
      <x:c r="E131" s="88" t="s">
        <x:v>342</x:v>
      </x:c>
      <x:c r="F131" s="89">
        <x:v>46133.152506990744</x:v>
      </x:c>
      <x:c r="G131" s="89">
        <x:v>46133.181214826385</x:v>
      </x:c>
      <x:c r="H131" s="89">
        <x:v>46141.121513425926</x:v>
      </x:c>
      <x:c r="I131" s="88" t="s">
        <x:v>4298</x:v>
      </x:c>
      <x:c r="J131" s="88" t="s">
        <x:v>4299</x:v>
      </x:c>
      <x:c r="K131" s="88">
        <x:v>4712</x:v>
      </x:c>
      <x:c r="L131" s="88" t="s">
        <x:v>4300</x:v>
      </x:c>
      <x:c r="M131" s="88" t="s">
        <x:v>3646</x:v>
      </x:c>
      <x:c r="N131" s="88" t="s">
        <x:v>4301</x:v>
      </x:c>
      <x:c r="O131" s="88" t="s">
        <x:v>3137</x:v>
      </x:c>
      <x:c r="P131" s="88" t="s">
        <x:v>3225</x:v>
      </x:c>
      <x:c r="Q131" s="88" t="s">
        <x:v>4302</x:v>
      </x:c>
      <x:c r="R131" s="88" t="s">
        <x:v>162</x:v>
      </x:c>
      <x:c r="S131" s="88"/>
      <x:c r="T131" s="88"/>
      <x:c r="U131" s="88" t="s">
        <x:v>4303</x:v>
      </x:c>
      <x:c r="V131" s="89">
        <x:v>46133.182958530095</x:v>
      </x:c>
      <x:c r="W131" s="88" t="s">
        <x:v>1070</x:v>
      </x:c>
      <x:c r="X131" s="88" t="s">
        <x:v>259</x:v>
      </x:c>
      <x:c r="Y131" s="88" t="s">
        <x:v>4304</x:v>
      </x:c>
      <x:c r="Z131" s="89">
        <x:v>46134.30960886574</x:v>
      </x:c>
      <x:c r="AA131" s="88" t="s">
        <x:v>3484</x:v>
      </x:c>
      <x:c r="AB131" s="88" t="s">
        <x:v>259</x:v>
      </x:c>
      <x:c r="AC131" s="88" t="s">
        <x:v>4305</x:v>
      </x:c>
      <x:c r="AD131" s="89">
        <x:v>46134.358591284719</x:v>
      </x:c>
      <x:c r="AE131" s="88" t="s">
        <x:v>3142</x:v>
      </x:c>
      <x:c r="AF131" s="88" t="s">
        <x:v>259</x:v>
      </x:c>
      <x:c r="AG131" s="88" t="s">
        <x:v>4306</x:v>
      </x:c>
      <x:c r="AH131" s="89">
        <x:v>46141.121513425926</x:v>
      </x:c>
      <x:c r="AI131" s="88" t="s">
        <x:v>3387</x:v>
      </x:c>
      <x:c r="AJ131" s="88" t="s">
        <x:v>259</x:v>
      </x:c>
      <x:c r="AK131" s="88" t="s">
        <x:v>4307</x:v>
      </x:c>
      <x:c r="AL131" s="88" t="s">
        <x:v>4308</x:v>
      </x:c>
    </x:row>
    <x:row r="132">
      <x:c r="A132" s="88" t="s">
        <x:v>4309</x:v>
      </x:c>
      <x:c r="B132" s="88" t="s">
        <x:v>4310</x:v>
      </x:c>
      <x:c r="C132" s="88" t="s">
        <x:v>2948</x:v>
      </x:c>
      <x:c r="D132" s="88" t="s">
        <x:v>3133</x:v>
      </x:c>
      <x:c r="E132" s="88" t="s">
        <x:v>342</x:v>
      </x:c>
      <x:c r="F132" s="89">
        <x:v>46134.114225844911</x:v>
      </x:c>
      <x:c r="G132" s="89">
        <x:v>46134.114225844911</x:v>
      </x:c>
      <x:c r="H132" s="89">
        <x:v>46155.177876759262</x:v>
      </x:c>
      <x:c r="I132" s="88" t="s">
        <x:v>587</x:v>
      </x:c>
      <x:c r="J132" s="88" t="s">
        <x:v>578</x:v>
      </x:c>
      <x:c r="K132" s="88">
        <x:v>4343</x:v>
      </x:c>
      <x:c r="L132" s="88" t="s">
        <x:v>579</x:v>
      </x:c>
      <x:c r="M132" s="88" t="s">
        <x:v>824</x:v>
      </x:c>
      <x:c r="N132" s="88" t="s">
        <x:v>4311</x:v>
      </x:c>
      <x:c r="O132" s="88" t="s">
        <x:v>3137</x:v>
      </x:c>
      <x:c r="P132" s="88" t="s">
        <x:v>3225</x:v>
      </x:c>
      <x:c r="Q132" s="88" t="s">
        <x:v>4312</x:v>
      </x:c>
      <x:c r="R132" s="88" t="s">
        <x:v>193</x:v>
      </x:c>
      <x:c r="S132" s="88"/>
      <x:c r="T132" s="88"/>
      <x:c r="U132" s="88" t="s">
        <x:v>4313</x:v>
      </x:c>
      <x:c r="V132" s="89">
        <x:v>46134.263648009262</x:v>
      </x:c>
      <x:c r="W132" s="88" t="s">
        <x:v>827</x:v>
      </x:c>
      <x:c r="X132" s="88" t="s">
        <x:v>259</x:v>
      </x:c>
      <x:c r="Y132" s="88" t="s">
        <x:v>2021</x:v>
      </x:c>
      <x:c r="Z132" s="89">
        <x:v>46136.419652256947</x:v>
      </x:c>
      <x:c r="AA132" s="88" t="s">
        <x:v>2518</x:v>
      </x:c>
      <x:c r="AB132" s="88" t="s">
        <x:v>259</x:v>
      </x:c>
      <x:c r="AC132" s="88" t="s">
        <x:v>4314</x:v>
      </x:c>
      <x:c r="AD132" s="89">
        <x:v>46141.333839618055</x:v>
      </x:c>
      <x:c r="AE132" s="88" t="s">
        <x:v>3142</x:v>
      </x:c>
      <x:c r="AF132" s="88" t="s">
        <x:v>259</x:v>
      </x:c>
      <x:c r="AG132" s="88" t="s">
        <x:v>342</x:v>
      </x:c>
      <x:c r="AH132" s="89">
        <x:v>46155.177876759262</x:v>
      </x:c>
      <x:c r="AI132" s="88" t="s">
        <x:v>3360</x:v>
      </x:c>
      <x:c r="AJ132" s="88" t="s">
        <x:v>259</x:v>
      </x:c>
      <x:c r="AK132" s="88" t="s">
        <x:v>4315</x:v>
      </x:c>
      <x:c r="AL132" s="88" t="s">
        <x:v>4316</x:v>
      </x:c>
    </x:row>
    <x:row r="133">
      <x:c r="A133" s="88" t="s">
        <x:v>4317</x:v>
      </x:c>
      <x:c r="B133" s="88" t="s">
        <x:v>4318</x:v>
      </x:c>
      <x:c r="C133" s="88" t="s">
        <x:v>1129</x:v>
      </x:c>
      <x:c r="D133" s="88" t="s">
        <x:v>3133</x:v>
      </x:c>
      <x:c r="E133" s="88" t="s">
        <x:v>342</x:v>
      </x:c>
      <x:c r="F133" s="89">
        <x:v>46135.112589942131</x:v>
      </x:c>
      <x:c r="G133" s="89">
        <x:v>46135.112589942131</x:v>
      </x:c>
      <x:c r="H133" s="89">
        <x:v>46204.259071307868</x:v>
      </x:c>
      <x:c r="I133" s="88" t="s">
        <x:v>4319</x:v>
      </x:c>
      <x:c r="J133" s="88" t="s">
        <x:v>4320</x:v>
      </x:c>
      <x:c r="K133" s="88" t="s">
        <x:v>4321</x:v>
      </x:c>
      <x:c r="L133" s="88" t="s">
        <x:v>4322</x:v>
      </x:c>
      <x:c r="M133" s="88" t="s">
        <x:v>827</x:v>
      </x:c>
      <x:c r="N133" s="88" t="s">
        <x:v>4323</x:v>
      </x:c>
      <x:c r="O133" s="88" t="s">
        <x:v>3137</x:v>
      </x:c>
      <x:c r="P133" s="88" t="s">
        <x:v>3138</x:v>
      </x:c>
      <x:c r="Q133" s="88" t="s">
        <x:v>4324</x:v>
      </x:c>
      <x:c r="R133" s="88" t="s">
        <x:v>162</x:v>
      </x:c>
      <x:c r="S133" s="88"/>
      <x:c r="T133" s="88"/>
      <x:c r="U133" s="88" t="s">
        <x:v>4325</x:v>
      </x:c>
      <x:c r="V133" s="89">
        <x:v>46135.119771921294</x:v>
      </x:c>
      <x:c r="W133" s="88" t="s">
        <x:v>827</x:v>
      </x:c>
      <x:c r="X133" s="88" t="s">
        <x:v>259</x:v>
      </x:c>
      <x:c r="Y133" s="88" t="s">
        <x:v>2021</x:v>
      </x:c>
      <x:c r="Z133" s="89">
        <x:v>46136.420292974537</x:v>
      </x:c>
      <x:c r="AA133" s="88" t="s">
        <x:v>2518</x:v>
      </x:c>
      <x:c r="AB133" s="88" t="s">
        <x:v>259</x:v>
      </x:c>
      <x:c r="AC133" s="88" t="s">
        <x:v>4326</x:v>
      </x:c>
      <x:c r="AD133" s="89">
        <x:v>46142.315312025465</x:v>
      </x:c>
      <x:c r="AE133" s="88" t="s">
        <x:v>3142</x:v>
      </x:c>
      <x:c r="AF133" s="88" t="s">
        <x:v>259</x:v>
      </x:c>
      <x:c r="AG133" s="88" t="s">
        <x:v>4327</x:v>
      </x:c>
      <x:c r="AH133" s="89">
        <x:v>46204.259071319444</x:v>
      </x:c>
      <x:c r="AI133" s="88" t="s">
        <x:v>951</x:v>
      </x:c>
      <x:c r="AJ133" s="88" t="s">
        <x:v>259</x:v>
      </x:c>
      <x:c r="AK133" s="88" t="s">
        <x:v>4328</x:v>
      </x:c>
      <x:c r="AL133" s="88" t="s">
        <x:v>4329</x:v>
      </x:c>
    </x:row>
    <x:row r="134">
      <x:c r="A134" s="88" t="s">
        <x:v>4330</x:v>
      </x:c>
      <x:c r="B134" s="88" t="s">
        <x:v>4331</x:v>
      </x:c>
      <x:c r="C134" s="88" t="s">
        <x:v>686</x:v>
      </x:c>
      <x:c r="D134" s="88" t="s">
        <x:v>3133</x:v>
      </x:c>
      <x:c r="E134" s="88" t="s">
        <x:v>342</x:v>
      </x:c>
      <x:c r="F134" s="89">
        <x:v>46135.350320335645</x:v>
      </x:c>
      <x:c r="G134" s="89">
        <x:v>46135.350320335645</x:v>
      </x:c>
      <x:c r="H134" s="89">
        <x:v>46153.109534120369</x:v>
      </x:c>
      <x:c r="I134" s="88" t="s">
        <x:v>3849</x:v>
      </x:c>
      <x:c r="J134" s="88" t="s">
        <x:v>3850</x:v>
      </x:c>
      <x:c r="K134" s="88">
        <x:v>4739</x:v>
      </x:c>
      <x:c r="L134" s="88" t="s">
        <x:v>3851</x:v>
      </x:c>
      <x:c r="M134" s="88" t="s">
        <x:v>3852</x:v>
      </x:c>
      <x:c r="N134" s="88" t="s">
        <x:v>3853</x:v>
      </x:c>
      <x:c r="O134" s="88" t="s">
        <x:v>3137</x:v>
      </x:c>
      <x:c r="P134" s="88" t="s">
        <x:v>3138</x:v>
      </x:c>
      <x:c r="Q134" s="88" t="s">
        <x:v>4332</x:v>
      </x:c>
      <x:c r="R134" s="88" t="s">
        <x:v>162</x:v>
      </x:c>
      <x:c r="S134" s="88"/>
      <x:c r="T134" s="88"/>
      <x:c r="U134" s="88" t="s">
        <x:v>4333</x:v>
      </x:c>
      <x:c r="V134" s="89">
        <x:v>46135.358594398145</x:v>
      </x:c>
      <x:c r="W134" s="88" t="s">
        <x:v>689</x:v>
      </x:c>
      <x:c r="X134" s="88" t="s">
        <x:v>259</x:v>
      </x:c>
      <x:c r="Y134" s="88" t="s">
        <x:v>2021</x:v>
      </x:c>
      <x:c r="Z134" s="89">
        <x:v>46136.42092960648</x:v>
      </x:c>
      <x:c r="AA134" s="88" t="s">
        <x:v>2518</x:v>
      </x:c>
      <x:c r="AB134" s="88" t="s">
        <x:v>259</x:v>
      </x:c>
      <x:c r="AC134" s="88" t="s">
        <x:v>4334</x:v>
      </x:c>
      <x:c r="AD134" s="89">
        <x:v>46141.328421006947</x:v>
      </x:c>
      <x:c r="AE134" s="88" t="s">
        <x:v>3142</x:v>
      </x:c>
      <x:c r="AF134" s="88" t="s">
        <x:v>259</x:v>
      </x:c>
      <x:c r="AG134" s="88" t="s">
        <x:v>4335</x:v>
      </x:c>
      <x:c r="AH134" s="89">
        <x:v>46153.109534143521</x:v>
      </x:c>
      <x:c r="AI134" s="88" t="s">
        <x:v>3282</x:v>
      </x:c>
      <x:c r="AJ134" s="88" t="s">
        <x:v>259</x:v>
      </x:c>
      <x:c r="AK134" s="88" t="s">
        <x:v>4336</x:v>
      </x:c>
      <x:c r="AL134" s="88" t="s">
        <x:v>3859</x:v>
      </x:c>
    </x:row>
    <x:row r="135">
      <x:c r="A135" s="88" t="s">
        <x:v>4337</x:v>
      </x:c>
      <x:c r="B135" s="88" t="s">
        <x:v>4338</x:v>
      </x:c>
      <x:c r="C135" s="88" t="s">
        <x:v>2380</x:v>
      </x:c>
      <x:c r="D135" s="88" t="s">
        <x:v>3133</x:v>
      </x:c>
      <x:c r="E135" s="88" t="s">
        <x:v>249</x:v>
      </x:c>
      <x:c r="F135" s="89">
        <x:v>46138.652534108798</x:v>
      </x:c>
      <x:c r="G135" s="89">
        <x:v>46138.652534108798</x:v>
      </x:c>
      <x:c r="H135" s="89">
        <x:v>46147.164226018518</x:v>
      </x:c>
      <x:c r="I135" s="88" t="s">
        <x:v>2384</x:v>
      </x:c>
      <x:c r="J135" s="88" t="s">
        <x:v>2381</x:v>
      </x:c>
      <x:c r="K135" s="88" t="s">
        <x:v>2385</x:v>
      </x:c>
      <x:c r="L135" s="88" t="s">
        <x:v>2381</x:v>
      </x:c>
      <x:c r="M135" s="88" t="s">
        <x:v>2382</x:v>
      </x:c>
      <x:c r="N135" s="88" t="s">
        <x:v>4339</x:v>
      </x:c>
      <x:c r="O135" s="88" t="s">
        <x:v>4032</x:v>
      </x:c>
      <x:c r="P135" s="88" t="s">
        <x:v>3173</x:v>
      </x:c>
      <x:c r="Q135" s="88" t="s">
        <x:v>4340</x:v>
      </x:c>
      <x:c r="R135" s="88"/>
      <x:c r="S135" s="88"/>
      <x:c r="T135" s="88"/>
      <x:c r="U135" s="88" t="s">
        <x:v>4034</x:v>
      </x:c>
      <x:c r="V135" s="89">
        <x:v>46138.652534108798</x:v>
      </x:c>
      <x:c r="W135" s="88" t="s">
        <x:v>2382</x:v>
      </x:c>
      <x:c r="X135" s="88" t="s">
        <x:v>259</x:v>
      </x:c>
      <x:c r="Y135" s="88" t="s">
        <x:v>4034</x:v>
      </x:c>
      <x:c r="Z135" s="89">
        <x:v>46138.652534108798</x:v>
      </x:c>
      <x:c r="AA135" s="88" t="s">
        <x:v>3206</x:v>
      </x:c>
      <x:c r="AB135" s="88" t="s">
        <x:v>259</x:v>
      </x:c>
      <x:c r="AC135" s="88" t="s">
        <x:v>4341</x:v>
      </x:c>
      <x:c r="AD135" s="89">
        <x:v>46147.164226030094</x:v>
      </x:c>
      <x:c r="AE135" s="88" t="s">
        <x:v>3142</x:v>
      </x:c>
      <x:c r="AF135" s="88" t="s">
        <x:v>249</x:v>
      </x:c>
      <x:c r="AG135" s="88"/>
      <x:c r="AH135" s="89"/>
      <x:c r="AI135" s="88" t="s">
        <x:v>3176</x:v>
      </x:c>
      <x:c r="AJ135" s="88"/>
      <x:c r="AK135" s="88"/>
      <x:c r="AL135" s="88" t="s">
        <x:v>4342</x:v>
      </x:c>
    </x:row>
    <x:row r="136">
      <x:c r="A136" s="88" t="s">
        <x:v>4343</x:v>
      </x:c>
      <x:c r="B136" s="88" t="s">
        <x:v>4344</x:v>
      </x:c>
      <x:c r="C136" s="88" t="s">
        <x:v>3642</x:v>
      </x:c>
      <x:c r="D136" s="88" t="s">
        <x:v>3133</x:v>
      </x:c>
      <x:c r="E136" s="88" t="s">
        <x:v>342</x:v>
      </x:c>
      <x:c r="F136" s="89">
        <x:v>46139.954115381945</x:v>
      </x:c>
      <x:c r="G136" s="89">
        <x:v>46140.070033252312</x:v>
      </x:c>
      <x:c r="H136" s="89">
        <x:v>46167.072827557873</x:v>
      </x:c>
      <x:c r="I136" s="88" t="s">
        <x:v>3643</x:v>
      </x:c>
      <x:c r="J136" s="88" t="s">
        <x:v>3644</x:v>
      </x:c>
      <x:c r="K136" s="88">
        <x:v>4583</x:v>
      </x:c>
      <x:c r="L136" s="88" t="s">
        <x:v>3645</x:v>
      </x:c>
      <x:c r="M136" s="88" t="s">
        <x:v>3646</x:v>
      </x:c>
      <x:c r="N136" s="88" t="s">
        <x:v>3647</x:v>
      </x:c>
      <x:c r="O136" s="88" t="s">
        <x:v>3203</x:v>
      </x:c>
      <x:c r="P136" s="88" t="s">
        <x:v>3173</x:v>
      </x:c>
      <x:c r="Q136" s="88" t="s">
        <x:v>4345</x:v>
      </x:c>
      <x:c r="R136" s="88" t="s">
        <x:v>185</x:v>
      </x:c>
      <x:c r="S136" s="88"/>
      <x:c r="T136" s="88"/>
      <x:c r="U136" s="88" t="s">
        <x:v>4346</x:v>
      </x:c>
      <x:c r="V136" s="89">
        <x:v>46140.070940578706</x:v>
      </x:c>
      <x:c r="W136" s="88" t="s">
        <x:v>1070</x:v>
      </x:c>
      <x:c r="X136" s="88" t="s">
        <x:v>259</x:v>
      </x:c>
      <x:c r="Y136" s="88" t="s">
        <x:v>4347</x:v>
      </x:c>
      <x:c r="Z136" s="89">
        <x:v>46140.109233645831</x:v>
      </x:c>
      <x:c r="AA136" s="88" t="s">
        <x:v>3484</x:v>
      </x:c>
      <x:c r="AB136" s="88" t="s">
        <x:v>259</x:v>
      </x:c>
      <x:c r="AC136" s="88" t="s">
        <x:v>4348</x:v>
      </x:c>
      <x:c r="AD136" s="89">
        <x:v>46141.335422986114</x:v>
      </x:c>
      <x:c r="AE136" s="88" t="s">
        <x:v>3142</x:v>
      </x:c>
      <x:c r="AF136" s="88" t="s">
        <x:v>259</x:v>
      </x:c>
      <x:c r="AG136" s="88" t="s">
        <x:v>353</x:v>
      </x:c>
      <x:c r="AH136" s="89">
        <x:v>46167.072827557873</x:v>
      </x:c>
      <x:c r="AI136" s="88" t="s">
        <x:v>789</x:v>
      </x:c>
      <x:c r="AJ136" s="88" t="s">
        <x:v>259</x:v>
      </x:c>
      <x:c r="AK136" s="88" t="s">
        <x:v>4349</x:v>
      </x:c>
      <x:c r="AL136" s="88" t="s">
        <x:v>3655</x:v>
      </x:c>
    </x:row>
    <x:row r="137">
      <x:c r="A137" s="88" t="s">
        <x:v>4350</x:v>
      </x:c>
      <x:c r="B137" s="88" t="s">
        <x:v>4351</x:v>
      </x:c>
      <x:c r="C137" s="88" t="s">
        <x:v>1129</x:v>
      </x:c>
      <x:c r="D137" s="88" t="s">
        <x:v>3133</x:v>
      </x:c>
      <x:c r="E137" s="88" t="s">
        <x:v>342</x:v>
      </x:c>
      <x:c r="F137" s="89">
        <x:v>46140.078376817131</x:v>
      </x:c>
      <x:c r="G137" s="89">
        <x:v>46140.078376817131</x:v>
      </x:c>
      <x:c r="H137" s="89">
        <x:v>46167.027652372686</x:v>
      </x:c>
      <x:c r="I137" s="88" t="s">
        <x:v>2735</x:v>
      </x:c>
      <x:c r="J137" s="88" t="s">
        <x:v>2729</x:v>
      </x:c>
      <x:c r="K137" s="88">
        <x:v>617</x:v>
      </x:c>
      <x:c r="L137" s="88" t="s">
        <x:v>2730</x:v>
      </x:c>
      <x:c r="M137" s="88" t="s">
        <x:v>827</x:v>
      </x:c>
      <x:c r="N137" s="88" t="s">
        <x:v>4352</x:v>
      </x:c>
      <x:c r="O137" s="88" t="s">
        <x:v>3137</x:v>
      </x:c>
      <x:c r="P137" s="88" t="s">
        <x:v>3138</x:v>
      </x:c>
      <x:c r="Q137" s="88" t="s">
        <x:v>4353</x:v>
      </x:c>
      <x:c r="R137" s="88" t="s">
        <x:v>193</x:v>
      </x:c>
      <x:c r="S137" s="88"/>
      <x:c r="T137" s="88"/>
      <x:c r="U137" s="88" t="s">
        <x:v>259</x:v>
      </x:c>
      <x:c r="V137" s="89">
        <x:v>46140.246019826387</x:v>
      </x:c>
      <x:c r="W137" s="88" t="s">
        <x:v>827</x:v>
      </x:c>
      <x:c r="X137" s="88" t="s">
        <x:v>259</x:v>
      </x:c>
      <x:c r="Y137" s="88" t="s">
        <x:v>2021</x:v>
      </x:c>
      <x:c r="Z137" s="89">
        <x:v>46146.091803101852</x:v>
      </x:c>
      <x:c r="AA137" s="88" t="s">
        <x:v>2518</x:v>
      </x:c>
      <x:c r="AB137" s="88" t="s">
        <x:v>259</x:v>
      </x:c>
      <x:c r="AC137" s="88" t="s">
        <x:v>4354</x:v>
      </x:c>
      <x:c r="AD137" s="89">
        <x:v>46146.301369525463</x:v>
      </x:c>
      <x:c r="AE137" s="88" t="s">
        <x:v>3142</x:v>
      </x:c>
      <x:c r="AF137" s="88" t="s">
        <x:v>259</x:v>
      </x:c>
      <x:c r="AG137" s="88" t="s">
        <x:v>4355</x:v>
      </x:c>
      <x:c r="AH137" s="89">
        <x:v>46167.027652384262</x:v>
      </x:c>
      <x:c r="AI137" s="88" t="s">
        <x:v>3261</x:v>
      </x:c>
      <x:c r="AJ137" s="88" t="s">
        <x:v>259</x:v>
      </x:c>
      <x:c r="AK137" s="88" t="s">
        <x:v>4356</x:v>
      </x:c>
      <x:c r="AL137" s="88" t="s">
        <x:v>4357</x:v>
      </x:c>
    </x:row>
    <x:row r="138">
      <x:c r="A138" s="88" t="s">
        <x:v>4358</x:v>
      </x:c>
      <x:c r="B138" s="88" t="s">
        <x:v>4359</x:v>
      </x:c>
      <x:c r="C138" s="88" t="s">
        <x:v>4360</x:v>
      </x:c>
      <x:c r="D138" s="88" t="s">
        <x:v>3133</x:v>
      </x:c>
      <x:c r="E138" s="88" t="s">
        <x:v>342</x:v>
      </x:c>
      <x:c r="F138" s="89">
        <x:v>46140.277853171297</x:v>
      </x:c>
      <x:c r="G138" s="89">
        <x:v>46141.288705925923</x:v>
      </x:c>
      <x:c r="H138" s="89">
        <x:v>46219.106400520832</x:v>
      </x:c>
      <x:c r="I138" s="88" t="s">
        <x:v>4361</x:v>
      </x:c>
      <x:c r="J138" s="88" t="s">
        <x:v>4362</x:v>
      </x:c>
      <x:c r="K138" s="88" t="s">
        <x:v>4363</x:v>
      </x:c>
      <x:c r="L138" s="88" t="s">
        <x:v>4364</x:v>
      </x:c>
      <x:c r="M138" s="88" t="s">
        <x:v>4365</x:v>
      </x:c>
      <x:c r="N138" s="88" t="s">
        <x:v>4364</x:v>
      </x:c>
      <x:c r="O138" s="88" t="s">
        <x:v>3137</x:v>
      </x:c>
      <x:c r="P138" s="88" t="s">
        <x:v>3225</x:v>
      </x:c>
      <x:c r="Q138" s="88" t="s">
        <x:v>4366</x:v>
      </x:c>
      <x:c r="R138" s="88" t="s">
        <x:v>193</x:v>
      </x:c>
      <x:c r="S138" s="88"/>
      <x:c r="T138" s="88"/>
      <x:c r="U138" s="88" t="s">
        <x:v>385</x:v>
      </x:c>
      <x:c r="V138" s="89">
        <x:v>46141.316707835649</x:v>
      </x:c>
      <x:c r="W138" s="88" t="s">
        <x:v>4365</x:v>
      </x:c>
      <x:c r="X138" s="88" t="s">
        <x:v>259</x:v>
      </x:c>
      <x:c r="Y138" s="88" t="s">
        <x:v>4367</x:v>
      </x:c>
      <x:c r="Z138" s="89">
        <x:v>46141.351565474535</x:v>
      </x:c>
      <x:c r="AA138" s="88" t="s">
        <x:v>2518</x:v>
      </x:c>
      <x:c r="AB138" s="88" t="s">
        <x:v>259</x:v>
      </x:c>
      <x:c r="AC138" s="88" t="s">
        <x:v>4368</x:v>
      </x:c>
      <x:c r="AD138" s="89">
        <x:v>46142.321688958335</x:v>
      </x:c>
      <x:c r="AE138" s="88" t="s">
        <x:v>3142</x:v>
      </x:c>
      <x:c r="AF138" s="88" t="s">
        <x:v>259</x:v>
      </x:c>
      <x:c r="AG138" s="88" t="s">
        <x:v>4369</x:v>
      </x:c>
      <x:c r="AH138" s="89">
        <x:v>46219.106400532408</x:v>
      </x:c>
      <x:c r="AI138" s="88" t="s">
        <x:v>3387</x:v>
      </x:c>
      <x:c r="AJ138" s="88" t="s">
        <x:v>259</x:v>
      </x:c>
      <x:c r="AK138" s="88" t="s">
        <x:v>4370</x:v>
      </x:c>
      <x:c r="AL138" s="88" t="s">
        <x:v>4371</x:v>
      </x:c>
    </x:row>
    <x:row r="139">
      <x:c r="A139" s="88" t="s">
        <x:v>4372</x:v>
      </x:c>
      <x:c r="B139" s="88" t="s">
        <x:v>4373</x:v>
      </x:c>
      <x:c r="C139" s="88" t="s">
        <x:v>4374</x:v>
      </x:c>
      <x:c r="D139" s="88" t="s">
        <x:v>3133</x:v>
      </x:c>
      <x:c r="E139" s="88" t="s">
        <x:v>342</x:v>
      </x:c>
      <x:c r="F139" s="89">
        <x:v>46142.284721238429</x:v>
      </x:c>
      <x:c r="G139" s="89">
        <x:v>46142.287063599535</x:v>
      </x:c>
      <x:c r="H139" s="89">
        <x:v>46150.091963819446</x:v>
      </x:c>
      <x:c r="I139" s="88" t="s">
        <x:v>4375</x:v>
      </x:c>
      <x:c r="J139" s="88" t="s">
        <x:v>4376</x:v>
      </x:c>
      <x:c r="K139" s="88" t="s">
        <x:v>4377</x:v>
      </x:c>
      <x:c r="L139" s="88" t="s">
        <x:v>4378</x:v>
      </x:c>
      <x:c r="M139" s="88" t="s">
        <x:v>3822</x:v>
      </x:c>
      <x:c r="N139" s="88" t="s">
        <x:v>4379</x:v>
      </x:c>
      <x:c r="O139" s="88" t="s">
        <x:v>3203</x:v>
      </x:c>
      <x:c r="P139" s="88" t="s">
        <x:v>3225</x:v>
      </x:c>
      <x:c r="Q139" s="88" t="s">
        <x:v>4380</x:v>
      </x:c>
      <x:c r="R139" s="88" t="s">
        <x:v>185</x:v>
      </x:c>
      <x:c r="S139" s="88"/>
      <x:c r="T139" s="88"/>
      <x:c r="U139" s="88" t="s">
        <x:v>4381</x:v>
      </x:c>
      <x:c r="V139" s="89">
        <x:v>46142.334470682872</x:v>
      </x:c>
      <x:c r="W139" s="88" t="s">
        <x:v>3824</x:v>
      </x:c>
      <x:c r="X139" s="88" t="s">
        <x:v>259</x:v>
      </x:c>
      <x:c r="Y139" s="88" t="s">
        <x:v>4382</x:v>
      </x:c>
      <x:c r="Z139" s="89">
        <x:v>46148.069993217592</x:v>
      </x:c>
      <x:c r="AA139" s="88" t="s">
        <x:v>3484</x:v>
      </x:c>
      <x:c r="AB139" s="88" t="s">
        <x:v>259</x:v>
      </x:c>
      <x:c r="AC139" s="88" t="s">
        <x:v>4383</x:v>
      </x:c>
      <x:c r="AD139" s="89">
        <x:v>46148.083256724538</x:v>
      </x:c>
      <x:c r="AE139" s="88" t="s">
        <x:v>3142</x:v>
      </x:c>
      <x:c r="AF139" s="88" t="s">
        <x:v>259</x:v>
      </x:c>
      <x:c r="AG139" s="88" t="s">
        <x:v>353</x:v>
      </x:c>
      <x:c r="AH139" s="89">
        <x:v>46150.091963819446</x:v>
      </x:c>
      <x:c r="AI139" s="88" t="s">
        <x:v>789</x:v>
      </x:c>
      <x:c r="AJ139" s="88" t="s">
        <x:v>259</x:v>
      </x:c>
      <x:c r="AK139" s="88" t="s">
        <x:v>4384</x:v>
      </x:c>
      <x:c r="AL139" s="88"/>
    </x:row>
    <x:row r="140">
      <x:c r="A140" s="88" t="s">
        <x:v>4385</x:v>
      </x:c>
      <x:c r="B140" s="88" t="s">
        <x:v>4386</x:v>
      </x:c>
      <x:c r="C140" s="88" t="s">
        <x:v>4387</x:v>
      </x:c>
      <x:c r="D140" s="88" t="s">
        <x:v>3133</x:v>
      </x:c>
      <x:c r="E140" s="88" t="s">
        <x:v>249</x:v>
      </x:c>
      <x:c r="F140" s="89">
        <x:v>46147.080693877317</x:v>
      </x:c>
      <x:c r="G140" s="89">
        <x:v>46147.080693877317</x:v>
      </x:c>
      <x:c r="H140" s="89">
        <x:v>46155.39030363426</x:v>
      </x:c>
      <x:c r="I140" s="88" t="s">
        <x:v>3643</x:v>
      </x:c>
      <x:c r="J140" s="88" t="s">
        <x:v>3644</x:v>
      </x:c>
      <x:c r="K140" s="88">
        <x:v>4583</x:v>
      </x:c>
      <x:c r="L140" s="88" t="s">
        <x:v>3645</x:v>
      </x:c>
      <x:c r="M140" s="88" t="s">
        <x:v>3646</x:v>
      </x:c>
      <x:c r="N140" s="88" t="s">
        <x:v>3647</x:v>
      </x:c>
      <x:c r="O140" s="88" t="s">
        <x:v>3203</x:v>
      </x:c>
      <x:c r="P140" s="88" t="s">
        <x:v>3173</x:v>
      </x:c>
      <x:c r="Q140" s="88" t="s">
        <x:v>4388</x:v>
      </x:c>
      <x:c r="R140" s="88"/>
      <x:c r="S140" s="88"/>
      <x:c r="T140" s="88"/>
      <x:c r="U140" s="88" t="s">
        <x:v>4389</x:v>
      </x:c>
      <x:c r="V140" s="89">
        <x:v>46147.081335891206</x:v>
      </x:c>
      <x:c r="W140" s="88" t="s">
        <x:v>1070</x:v>
      </x:c>
      <x:c r="X140" s="88" t="s">
        <x:v>259</x:v>
      </x:c>
      <x:c r="Y140" s="88" t="s">
        <x:v>4390</x:v>
      </x:c>
      <x:c r="Z140" s="89">
        <x:v>46155.39030363426</x:v>
      </x:c>
      <x:c r="AA140" s="88" t="s">
        <x:v>3484</x:v>
      </x:c>
      <x:c r="AB140" s="88" t="s">
        <x:v>249</x:v>
      </x:c>
      <x:c r="AC140" s="88"/>
      <x:c r="AD140" s="89"/>
      <x:c r="AE140" s="88" t="s">
        <x:v>273</x:v>
      </x:c>
      <x:c r="AF140" s="88"/>
      <x:c r="AG140" s="88"/>
      <x:c r="AH140" s="89"/>
      <x:c r="AI140" s="88" t="s">
        <x:v>3176</x:v>
      </x:c>
      <x:c r="AJ140" s="88"/>
      <x:c r="AK140" s="88"/>
      <x:c r="AL140" s="88" t="s">
        <x:v>3655</x:v>
      </x:c>
    </x:row>
    <x:row r="141">
      <x:c r="A141" s="88" t="s">
        <x:v>4391</x:v>
      </x:c>
      <x:c r="B141" s="88" t="s">
        <x:v>4392</x:v>
      </x:c>
      <x:c r="C141" s="88" t="s">
        <x:v>698</x:v>
      </x:c>
      <x:c r="D141" s="88" t="s">
        <x:v>3133</x:v>
      </x:c>
      <x:c r="E141" s="88" t="s">
        <x:v>372</x:v>
      </x:c>
      <x:c r="F141" s="89">
        <x:v>46147.120774618059</x:v>
      </x:c>
      <x:c r="G141" s="89">
        <x:v>46147.120774618059</x:v>
      </x:c>
      <x:c r="H141" s="89">
        <x:v>46147.120774618059</x:v>
      </x:c>
      <x:c r="I141" s="88" t="s">
        <x:v>4393</x:v>
      </x:c>
      <x:c r="J141" s="88" t="s">
        <x:v>4394</x:v>
      </x:c>
      <x:c r="K141" s="88">
        <x:v>1808</x:v>
      </x:c>
      <x:c r="L141" s="88" t="s">
        <x:v>4395</x:v>
      </x:c>
      <x:c r="M141" s="88" t="s">
        <x:v>1559</x:v>
      </x:c>
      <x:c r="N141" s="88" t="s">
        <x:v>4396</x:v>
      </x:c>
      <x:c r="O141" s="88" t="s">
        <x:v>3137</x:v>
      </x:c>
      <x:c r="P141" s="88" t="s">
        <x:v>3173</x:v>
      </x:c>
      <x:c r="Q141" s="88" t="s">
        <x:v>4397</x:v>
      </x:c>
      <x:c r="R141" s="88"/>
      <x:c r="S141" s="88"/>
      <x:c r="T141" s="88"/>
      <x:c r="U141" s="88"/>
      <x:c r="V141" s="89"/>
      <x:c r="W141" s="88" t="s">
        <x:v>1562</x:v>
      </x:c>
      <x:c r="X141" s="88"/>
      <x:c r="Y141" s="88"/>
      <x:c r="Z141" s="89"/>
      <x:c r="AA141" s="88" t="s">
        <x:v>3206</x:v>
      </x:c>
      <x:c r="AB141" s="88"/>
      <x:c r="AC141" s="88"/>
      <x:c r="AD141" s="89"/>
      <x:c r="AE141" s="88" t="s">
        <x:v>273</x:v>
      </x:c>
      <x:c r="AF141" s="88"/>
      <x:c r="AG141" s="88"/>
      <x:c r="AH141" s="89"/>
      <x:c r="AI141" s="88" t="s">
        <x:v>3176</x:v>
      </x:c>
      <x:c r="AJ141" s="88"/>
      <x:c r="AK141" s="88"/>
      <x:c r="AL141" s="88" t="s">
        <x:v>4398</x:v>
      </x:c>
    </x:row>
    <x:row r="142">
      <x:c r="A142" s="88" t="s">
        <x:v>4399</x:v>
      </x:c>
      <x:c r="B142" s="88" t="s">
        <x:v>4400</x:v>
      </x:c>
      <x:c r="C142" s="88" t="s">
        <x:v>2948</x:v>
      </x:c>
      <x:c r="D142" s="88" t="s">
        <x:v>3133</x:v>
      </x:c>
      <x:c r="E142" s="88" t="s">
        <x:v>249</x:v>
      </x:c>
      <x:c r="F142" s="89">
        <x:v>46147.192312928244</x:v>
      </x:c>
      <x:c r="G142" s="89">
        <x:v>46147.192312928244</x:v>
      </x:c>
      <x:c r="H142" s="89">
        <x:v>46162.066324791667</x:v>
      </x:c>
      <x:c r="I142" s="88" t="s">
        <x:v>587</x:v>
      </x:c>
      <x:c r="J142" s="88" t="s">
        <x:v>578</x:v>
      </x:c>
      <x:c r="K142" s="88">
        <x:v>4343</x:v>
      </x:c>
      <x:c r="L142" s="88" t="s">
        <x:v>579</x:v>
      </x:c>
      <x:c r="M142" s="88" t="s">
        <x:v>824</x:v>
      </x:c>
      <x:c r="N142" s="88" t="s">
        <x:v>4311</x:v>
      </x:c>
      <x:c r="O142" s="88" t="s">
        <x:v>3137</x:v>
      </x:c>
      <x:c r="P142" s="88" t="s">
        <x:v>3225</x:v>
      </x:c>
      <x:c r="Q142" s="88" t="s">
        <x:v>4401</x:v>
      </x:c>
      <x:c r="R142" s="88"/>
      <x:c r="S142" s="88"/>
      <x:c r="T142" s="88"/>
      <x:c r="U142" s="88" t="s">
        <x:v>259</x:v>
      </x:c>
      <x:c r="V142" s="89">
        <x:v>46147.22252372685</x:v>
      </x:c>
      <x:c r="W142" s="88" t="s">
        <x:v>827</x:v>
      </x:c>
      <x:c r="X142" s="88" t="s">
        <x:v>259</x:v>
      </x:c>
      <x:c r="Y142" s="88" t="s">
        <x:v>4402</x:v>
      </x:c>
      <x:c r="Z142" s="89">
        <x:v>46162.066324803243</x:v>
      </x:c>
      <x:c r="AA142" s="88" t="s">
        <x:v>2518</x:v>
      </x:c>
      <x:c r="AB142" s="88" t="s">
        <x:v>249</x:v>
      </x:c>
      <x:c r="AC142" s="88"/>
      <x:c r="AD142" s="89"/>
      <x:c r="AE142" s="88" t="s">
        <x:v>273</x:v>
      </x:c>
      <x:c r="AF142" s="88"/>
      <x:c r="AG142" s="88"/>
      <x:c r="AH142" s="89"/>
      <x:c r="AI142" s="88" t="s">
        <x:v>3176</x:v>
      </x:c>
      <x:c r="AJ142" s="88"/>
      <x:c r="AK142" s="88"/>
      <x:c r="AL142" s="88" t="s">
        <x:v>4316</x:v>
      </x:c>
    </x:row>
    <x:row r="143">
      <x:c r="A143" s="88" t="s">
        <x:v>4403</x:v>
      </x:c>
      <x:c r="B143" s="88" t="s">
        <x:v>4404</x:v>
      </x:c>
      <x:c r="C143" s="88" t="s">
        <x:v>2948</x:v>
      </x:c>
      <x:c r="D143" s="88" t="s">
        <x:v>3133</x:v>
      </x:c>
      <x:c r="E143" s="88" t="s">
        <x:v>342</x:v>
      </x:c>
      <x:c r="F143" s="89">
        <x:v>46147.195287187496</x:v>
      </x:c>
      <x:c r="G143" s="89">
        <x:v>46168.199285578703</x:v>
      </x:c>
      <x:c r="H143" s="89">
        <x:v>46230.125940787038</x:v>
      </x:c>
      <x:c r="I143" s="88" t="s">
        <x:v>587</x:v>
      </x:c>
      <x:c r="J143" s="88" t="s">
        <x:v>578</x:v>
      </x:c>
      <x:c r="K143" s="88">
        <x:v>4343</x:v>
      </x:c>
      <x:c r="L143" s="88" t="s">
        <x:v>579</x:v>
      </x:c>
      <x:c r="M143" s="88" t="s">
        <x:v>824</x:v>
      </x:c>
      <x:c r="N143" s="88" t="s">
        <x:v>3949</x:v>
      </x:c>
      <x:c r="O143" s="88" t="s">
        <x:v>3137</x:v>
      </x:c>
      <x:c r="P143" s="88" t="s">
        <x:v>3138</x:v>
      </x:c>
      <x:c r="Q143" s="88" t="s">
        <x:v>4405</x:v>
      </x:c>
      <x:c r="R143" s="88" t="s">
        <x:v>193</x:v>
      </x:c>
      <x:c r="S143" s="88"/>
      <x:c r="T143" s="88"/>
      <x:c r="U143" s="88" t="s">
        <x:v>1112</x:v>
      </x:c>
      <x:c r="V143" s="89">
        <x:v>46168.205742418984</x:v>
      </x:c>
      <x:c r="W143" s="88" t="s">
        <x:v>827</x:v>
      </x:c>
      <x:c r="X143" s="88" t="s">
        <x:v>259</x:v>
      </x:c>
      <x:c r="Y143" s="88" t="s">
        <x:v>2021</x:v>
      </x:c>
      <x:c r="Z143" s="89">
        <x:v>46178.379774525463</x:v>
      </x:c>
      <x:c r="AA143" s="88" t="s">
        <x:v>2518</x:v>
      </x:c>
      <x:c r="AB143" s="88" t="s">
        <x:v>259</x:v>
      </x:c>
      <x:c r="AC143" s="88" t="s">
        <x:v>4406</x:v>
      </x:c>
      <x:c r="AD143" s="89">
        <x:v>46189.342141574074</x:v>
      </x:c>
      <x:c r="AE143" s="88" t="s">
        <x:v>3142</x:v>
      </x:c>
      <x:c r="AF143" s="88" t="s">
        <x:v>259</x:v>
      </x:c>
      <x:c r="AG143" s="88" t="s">
        <x:v>4407</x:v>
      </x:c>
      <x:c r="AH143" s="89">
        <x:v>46230.125940787038</x:v>
      </x:c>
      <x:c r="AI143" s="88" t="s">
        <x:v>3387</x:v>
      </x:c>
      <x:c r="AJ143" s="88" t="s">
        <x:v>259</x:v>
      </x:c>
      <x:c r="AK143" s="88" t="s">
        <x:v>4408</x:v>
      </x:c>
      <x:c r="AL143" s="88" t="s">
        <x:v>4316</x:v>
      </x:c>
    </x:row>
    <x:row r="144">
      <x:c r="A144" s="88" t="s">
        <x:v>4409</x:v>
      </x:c>
      <x:c r="B144" s="88" t="s">
        <x:v>4410</x:v>
      </x:c>
      <x:c r="C144" s="88" t="s">
        <x:v>2948</x:v>
      </x:c>
      <x:c r="D144" s="88" t="s">
        <x:v>3133</x:v>
      </x:c>
      <x:c r="E144" s="88" t="s">
        <x:v>342</x:v>
      </x:c>
      <x:c r="F144" s="89">
        <x:v>46147.196081018519</x:v>
      </x:c>
      <x:c r="G144" s="89">
        <x:v>46168.199700300924</x:v>
      </x:c>
      <x:c r="H144" s="89">
        <x:v>46230.12553769676</x:v>
      </x:c>
      <x:c r="I144" s="88" t="s">
        <x:v>587</x:v>
      </x:c>
      <x:c r="J144" s="88" t="s">
        <x:v>578</x:v>
      </x:c>
      <x:c r="K144" s="88">
        <x:v>4343</x:v>
      </x:c>
      <x:c r="L144" s="88" t="s">
        <x:v>579</x:v>
      </x:c>
      <x:c r="M144" s="88" t="s">
        <x:v>824</x:v>
      </x:c>
      <x:c r="N144" s="88" t="s">
        <x:v>3949</x:v>
      </x:c>
      <x:c r="O144" s="88" t="s">
        <x:v>3137</x:v>
      </x:c>
      <x:c r="P144" s="88" t="s">
        <x:v>3173</x:v>
      </x:c>
      <x:c r="Q144" s="88" t="s">
        <x:v>4411</x:v>
      </x:c>
      <x:c r="R144" s="88" t="s">
        <x:v>193</x:v>
      </x:c>
      <x:c r="S144" s="88"/>
      <x:c r="T144" s="88"/>
      <x:c r="U144" s="88" t="s">
        <x:v>259</x:v>
      </x:c>
      <x:c r="V144" s="89">
        <x:v>46168.207050011573</x:v>
      </x:c>
      <x:c r="W144" s="88" t="s">
        <x:v>827</x:v>
      </x:c>
      <x:c r="X144" s="88" t="s">
        <x:v>259</x:v>
      </x:c>
      <x:c r="Y144" s="88" t="s">
        <x:v>2021</x:v>
      </x:c>
      <x:c r="Z144" s="89">
        <x:v>46178.380208773146</x:v>
      </x:c>
      <x:c r="AA144" s="88" t="s">
        <x:v>2518</x:v>
      </x:c>
      <x:c r="AB144" s="88" t="s">
        <x:v>259</x:v>
      </x:c>
      <x:c r="AC144" s="88" t="s">
        <x:v>4412</x:v>
      </x:c>
      <x:c r="AD144" s="89">
        <x:v>46189.342088854166</x:v>
      </x:c>
      <x:c r="AE144" s="88" t="s">
        <x:v>3142</x:v>
      </x:c>
      <x:c r="AF144" s="88" t="s">
        <x:v>259</x:v>
      </x:c>
      <x:c r="AG144" s="88" t="s">
        <x:v>4407</x:v>
      </x:c>
      <x:c r="AH144" s="89">
        <x:v>46230.12553769676</x:v>
      </x:c>
      <x:c r="AI144" s="88" t="s">
        <x:v>3387</x:v>
      </x:c>
      <x:c r="AJ144" s="88" t="s">
        <x:v>259</x:v>
      </x:c>
      <x:c r="AK144" s="88" t="s">
        <x:v>4413</x:v>
      </x:c>
      <x:c r="AL144" s="88" t="s">
        <x:v>4316</x:v>
      </x:c>
    </x:row>
    <x:row r="145">
      <x:c r="A145" s="88" t="s">
        <x:v>4414</x:v>
      </x:c>
      <x:c r="B145" s="88" t="s">
        <x:v>4415</x:v>
      </x:c>
      <x:c r="C145" s="88" t="s">
        <x:v>2948</x:v>
      </x:c>
      <x:c r="D145" s="88" t="s">
        <x:v>3133</x:v>
      </x:c>
      <x:c r="E145" s="88" t="s">
        <x:v>342</x:v>
      </x:c>
      <x:c r="F145" s="89">
        <x:v>46147.196865115744</x:v>
      </x:c>
      <x:c r="G145" s="89">
        <x:v>46168.199997581018</x:v>
      </x:c>
      <x:c r="H145" s="89">
        <x:v>46224.104881458334</x:v>
      </x:c>
      <x:c r="I145" s="88" t="s">
        <x:v>587</x:v>
      </x:c>
      <x:c r="J145" s="88" t="s">
        <x:v>578</x:v>
      </x:c>
      <x:c r="K145" s="88">
        <x:v>4343</x:v>
      </x:c>
      <x:c r="L145" s="88" t="s">
        <x:v>579</x:v>
      </x:c>
      <x:c r="M145" s="88" t="s">
        <x:v>824</x:v>
      </x:c>
      <x:c r="N145" s="88" t="s">
        <x:v>3949</x:v>
      </x:c>
      <x:c r="O145" s="88" t="s">
        <x:v>3137</x:v>
      </x:c>
      <x:c r="P145" s="88" t="s">
        <x:v>3225</x:v>
      </x:c>
      <x:c r="Q145" s="88" t="s">
        <x:v>4416</x:v>
      </x:c>
      <x:c r="R145" s="88" t="s">
        <x:v>193</x:v>
      </x:c>
      <x:c r="S145" s="88"/>
      <x:c r="T145" s="88"/>
      <x:c r="U145" s="88" t="s">
        <x:v>1112</x:v>
      </x:c>
      <x:c r="V145" s="89">
        <x:v>46168.207265266203</x:v>
      </x:c>
      <x:c r="W145" s="88" t="s">
        <x:v>827</x:v>
      </x:c>
      <x:c r="X145" s="88" t="s">
        <x:v>259</x:v>
      </x:c>
      <x:c r="Y145" s="88" t="s">
        <x:v>259</x:v>
      </x:c>
      <x:c r="Z145" s="89">
        <x:v>46168.20769195602</x:v>
      </x:c>
      <x:c r="AA145" s="88" t="s">
        <x:v>827</x:v>
      </x:c>
      <x:c r="AB145" s="88" t="s">
        <x:v>259</x:v>
      </x:c>
      <x:c r="AC145" s="88" t="s">
        <x:v>4417</x:v>
      </x:c>
      <x:c r="AD145" s="89">
        <x:v>46189.342011018518</x:v>
      </x:c>
      <x:c r="AE145" s="88" t="s">
        <x:v>3142</x:v>
      </x:c>
      <x:c r="AF145" s="88" t="s">
        <x:v>259</x:v>
      </x:c>
      <x:c r="AG145" s="88" t="s">
        <x:v>3789</x:v>
      </x:c>
      <x:c r="AH145" s="89">
        <x:v>46224.104881481479</x:v>
      </x:c>
      <x:c r="AI145" s="88" t="s">
        <x:v>3387</x:v>
      </x:c>
      <x:c r="AJ145" s="88" t="s">
        <x:v>259</x:v>
      </x:c>
      <x:c r="AK145" s="88" t="s">
        <x:v>4418</x:v>
      </x:c>
      <x:c r="AL145" s="88" t="s">
        <x:v>4316</x:v>
      </x:c>
    </x:row>
    <x:row r="146">
      <x:c r="A146" s="88" t="s">
        <x:v>4419</x:v>
      </x:c>
      <x:c r="B146" s="88" t="s">
        <x:v>4420</x:v>
      </x:c>
      <x:c r="C146" s="88" t="s">
        <x:v>4421</x:v>
      </x:c>
      <x:c r="D146" s="88" t="s">
        <x:v>3133</x:v>
      </x:c>
      <x:c r="E146" s="88" t="s">
        <x:v>342</x:v>
      </x:c>
      <x:c r="F146" s="89">
        <x:v>46148.071698900465</x:v>
      </x:c>
      <x:c r="G146" s="89">
        <x:v>46148.071698900465</x:v>
      </x:c>
      <x:c r="H146" s="89">
        <x:v>46197.105333564818</x:v>
      </x:c>
      <x:c r="I146" s="88" t="s">
        <x:v>4422</x:v>
      </x:c>
      <x:c r="J146" s="88" t="s">
        <x:v>4423</x:v>
      </x:c>
      <x:c r="K146" s="88" t="s">
        <x:v>4424</x:v>
      </x:c>
      <x:c r="L146" s="88" t="s">
        <x:v>4425</x:v>
      </x:c>
      <x:c r="M146" s="88" t="s">
        <x:v>4167</x:v>
      </x:c>
      <x:c r="N146" s="88" t="s">
        <x:v>4426</x:v>
      </x:c>
      <x:c r="O146" s="88" t="s">
        <x:v>3137</x:v>
      </x:c>
      <x:c r="P146" s="88" t="s">
        <x:v>3225</x:v>
      </x:c>
      <x:c r="Q146" s="88" t="s">
        <x:v>4427</x:v>
      </x:c>
      <x:c r="R146" s="88" t="s">
        <x:v>185</x:v>
      </x:c>
      <x:c r="S146" s="88"/>
      <x:c r="T146" s="88"/>
      <x:c r="U146" s="88" t="s">
        <x:v>4428</x:v>
      </x:c>
      <x:c r="V146" s="89">
        <x:v>46148.382807662034</x:v>
      </x:c>
      <x:c r="W146" s="88" t="s">
        <x:v>4167</x:v>
      </x:c>
      <x:c r="X146" s="88" t="s">
        <x:v>259</x:v>
      </x:c>
      <x:c r="Y146" s="88" t="s">
        <x:v>4429</x:v>
      </x:c>
      <x:c r="Z146" s="89">
        <x:v>46148.38892449074</x:v>
      </x:c>
      <x:c r="AA146" s="88" t="s">
        <x:v>3484</x:v>
      </x:c>
      <x:c r="AB146" s="88" t="s">
        <x:v>259</x:v>
      </x:c>
      <x:c r="AC146" s="88" t="s">
        <x:v>4430</x:v>
      </x:c>
      <x:c r="AD146" s="89">
        <x:v>46149.456932384259</x:v>
      </x:c>
      <x:c r="AE146" s="88" t="s">
        <x:v>3142</x:v>
      </x:c>
      <x:c r="AF146" s="88" t="s">
        <x:v>259</x:v>
      </x:c>
      <x:c r="AG146" s="88" t="s">
        <x:v>3681</x:v>
      </x:c>
      <x:c r="AH146" s="89">
        <x:v>46197.105333576386</x:v>
      </x:c>
      <x:c r="AI146" s="88" t="s">
        <x:v>951</x:v>
      </x:c>
      <x:c r="AJ146" s="88" t="s">
        <x:v>259</x:v>
      </x:c>
      <x:c r="AK146" s="88" t="s">
        <x:v>4431</x:v>
      </x:c>
      <x:c r="AL146" s="88" t="s">
        <x:v>4432</x:v>
      </x:c>
    </x:row>
    <x:row r="147">
      <x:c r="A147" s="88" t="s">
        <x:v>4433</x:v>
      </x:c>
      <x:c r="B147" s="88" t="s">
        <x:v>4434</x:v>
      </x:c>
      <x:c r="C147" s="88" t="s">
        <x:v>4421</x:v>
      </x:c>
      <x:c r="D147" s="88" t="s">
        <x:v>3133</x:v>
      </x:c>
      <x:c r="E147" s="88" t="s">
        <x:v>342</x:v>
      </x:c>
      <x:c r="F147" s="89">
        <x:v>46148.073564166669</x:v>
      </x:c>
      <x:c r="G147" s="89">
        <x:v>46148.073564166669</x:v>
      </x:c>
      <x:c r="H147" s="89">
        <x:v>46212.242960231481</x:v>
      </x:c>
      <x:c r="I147" s="88" t="s">
        <x:v>4422</x:v>
      </x:c>
      <x:c r="J147" s="88" t="s">
        <x:v>4423</x:v>
      </x:c>
      <x:c r="K147" s="88" t="s">
        <x:v>4424</x:v>
      </x:c>
      <x:c r="L147" s="88" t="s">
        <x:v>4425</x:v>
      </x:c>
      <x:c r="M147" s="88" t="s">
        <x:v>4167</x:v>
      </x:c>
      <x:c r="N147" s="88" t="s">
        <x:v>4426</x:v>
      </x:c>
      <x:c r="O147" s="88" t="s">
        <x:v>3137</x:v>
      </x:c>
      <x:c r="P147" s="88" t="s">
        <x:v>3138</x:v>
      </x:c>
      <x:c r="Q147" s="88" t="s">
        <x:v>4435</x:v>
      </x:c>
      <x:c r="R147" s="88" t="s">
        <x:v>185</x:v>
      </x:c>
      <x:c r="S147" s="88"/>
      <x:c r="T147" s="88"/>
      <x:c r="U147" s="88" t="s">
        <x:v>4428</x:v>
      </x:c>
      <x:c r="V147" s="89">
        <x:v>46148.382416087959</x:v>
      </x:c>
      <x:c r="W147" s="88" t="s">
        <x:v>4167</x:v>
      </x:c>
      <x:c r="X147" s="88" t="s">
        <x:v>259</x:v>
      </x:c>
      <x:c r="Y147" s="88" t="s">
        <x:v>4429</x:v>
      </x:c>
      <x:c r="Z147" s="89">
        <x:v>46148.388300578707</x:v>
      </x:c>
      <x:c r="AA147" s="88" t="s">
        <x:v>3484</x:v>
      </x:c>
      <x:c r="AB147" s="88" t="s">
        <x:v>259</x:v>
      </x:c>
      <x:c r="AC147" s="88" t="s">
        <x:v>4430</x:v>
      </x:c>
      <x:c r="AD147" s="89">
        <x:v>46149.456799583335</x:v>
      </x:c>
      <x:c r="AE147" s="88" t="s">
        <x:v>3142</x:v>
      </x:c>
      <x:c r="AF147" s="88" t="s">
        <x:v>259</x:v>
      </x:c>
      <x:c r="AG147" s="88" t="s">
        <x:v>3681</x:v>
      </x:c>
      <x:c r="AH147" s="89">
        <x:v>46212.242960243057</x:v>
      </x:c>
      <x:c r="AI147" s="88" t="s">
        <x:v>951</x:v>
      </x:c>
      <x:c r="AJ147" s="88" t="s">
        <x:v>259</x:v>
      </x:c>
      <x:c r="AK147" s="88" t="s">
        <x:v>4436</x:v>
      </x:c>
      <x:c r="AL147" s="88" t="s">
        <x:v>4432</x:v>
      </x:c>
    </x:row>
    <x:row r="148">
      <x:c r="A148" s="88" t="s">
        <x:v>4437</x:v>
      </x:c>
      <x:c r="B148" s="88" t="s">
        <x:v>4438</x:v>
      </x:c>
      <x:c r="C148" s="88" t="s">
        <x:v>3979</x:v>
      </x:c>
      <x:c r="D148" s="88" t="s">
        <x:v>3133</x:v>
      </x:c>
      <x:c r="E148" s="88" t="s">
        <x:v>342</x:v>
      </x:c>
      <x:c r="F148" s="89">
        <x:v>46148.089793900464</x:v>
      </x:c>
      <x:c r="G148" s="89">
        <x:v>46148.089793900464</x:v>
      </x:c>
      <x:c r="H148" s="89">
        <x:v>46167.348609976849</x:v>
      </x:c>
      <x:c r="I148" s="88" t="s">
        <x:v>947</x:v>
      </x:c>
      <x:c r="J148" s="88" t="s">
        <x:v>940</x:v>
      </x:c>
      <x:c r="K148" s="88">
        <x:v>1478</x:v>
      </x:c>
      <x:c r="L148" s="88" t="s">
        <x:v>941</x:v>
      </x:c>
      <x:c r="M148" s="88" t="s">
        <x:v>1449</x:v>
      </x:c>
      <x:c r="N148" s="88" t="s">
        <x:v>4439</x:v>
      </x:c>
      <x:c r="O148" s="88" t="s">
        <x:v>3203</x:v>
      </x:c>
      <x:c r="P148" s="88" t="s">
        <x:v>3138</x:v>
      </x:c>
      <x:c r="Q148" s="88" t="s">
        <x:v>4440</x:v>
      </x:c>
      <x:c r="R148" s="88" t="s">
        <x:v>162</x:v>
      </x:c>
      <x:c r="S148" s="88" t="s">
        <x:v>4441</x:v>
      </x:c>
      <x:c r="T148" s="88"/>
      <x:c r="U148" s="88" t="s">
        <x:v>4442</x:v>
      </x:c>
      <x:c r="V148" s="89">
        <x:v>46148.096563587962</x:v>
      </x:c>
      <x:c r="W148" s="88" t="s">
        <x:v>1449</x:v>
      </x:c>
      <x:c r="X148" s="88" t="s">
        <x:v>259</x:v>
      </x:c>
      <x:c r="Y148" s="88" t="s">
        <x:v>2021</x:v>
      </x:c>
      <x:c r="Z148" s="89">
        <x:v>46162.069154050929</x:v>
      </x:c>
      <x:c r="AA148" s="88" t="s">
        <x:v>2518</x:v>
      </x:c>
      <x:c r="AB148" s="88" t="s">
        <x:v>259</x:v>
      </x:c>
      <x:c r="AC148" s="88" t="s">
        <x:v>4443</x:v>
      </x:c>
      <x:c r="AD148" s="89">
        <x:v>46162.29322284722</x:v>
      </x:c>
      <x:c r="AE148" s="88" t="s">
        <x:v>3142</x:v>
      </x:c>
      <x:c r="AF148" s="88" t="s">
        <x:v>259</x:v>
      </x:c>
      <x:c r="AG148" s="88" t="s">
        <x:v>4444</x:v>
      </x:c>
      <x:c r="AH148" s="89">
        <x:v>46167.348609988425</x:v>
      </x:c>
      <x:c r="AI148" s="88" t="s">
        <x:v>3165</x:v>
      </x:c>
      <x:c r="AJ148" s="88" t="s">
        <x:v>259</x:v>
      </x:c>
      <x:c r="AK148" s="88" t="s">
        <x:v>4445</x:v>
      </x:c>
      <x:c r="AL148" s="88" t="s">
        <x:v>4446</x:v>
      </x:c>
    </x:row>
    <x:row r="149">
      <x:c r="A149" s="88" t="s">
        <x:v>4447</x:v>
      </x:c>
      <x:c r="B149" s="88" t="s">
        <x:v>4448</x:v>
      </x:c>
      <x:c r="C149" s="88" t="s">
        <x:v>3251</x:v>
      </x:c>
      <x:c r="D149" s="88" t="s">
        <x:v>3133</x:v>
      </x:c>
      <x:c r="E149" s="88" t="s">
        <x:v>342</x:v>
      </x:c>
      <x:c r="F149" s="89">
        <x:v>46148.298025960648</x:v>
      </x:c>
      <x:c r="G149" s="89">
        <x:v>46148.304082048613</x:v>
      </x:c>
      <x:c r="H149" s="89">
        <x:v>46188.332113229168</x:v>
      </x:c>
      <x:c r="I149" s="88" t="s">
        <x:v>3432</x:v>
      </x:c>
      <x:c r="J149" s="88" t="s">
        <x:v>3433</x:v>
      </x:c>
      <x:c r="K149" s="88">
        <x:v>4007</x:v>
      </x:c>
      <x:c r="L149" s="88" t="s">
        <x:v>3434</x:v>
      </x:c>
      <x:c r="M149" s="88" t="s">
        <x:v>1449</x:v>
      </x:c>
      <x:c r="N149" s="88" t="s">
        <x:v>3435</x:v>
      </x:c>
      <x:c r="O149" s="88" t="s">
        <x:v>3137</x:v>
      </x:c>
      <x:c r="P149" s="88" t="s">
        <x:v>3138</x:v>
      </x:c>
      <x:c r="Q149" s="88" t="s">
        <x:v>4449</x:v>
      </x:c>
      <x:c r="R149" s="88" t="s">
        <x:v>162</x:v>
      </x:c>
      <x:c r="S149" s="88"/>
      <x:c r="T149" s="88"/>
      <x:c r="U149" s="88" t="s">
        <x:v>259</x:v>
      </x:c>
      <x:c r="V149" s="89">
        <x:v>46148.35187752315</x:v>
      </x:c>
      <x:c r="W149" s="88" t="s">
        <x:v>1449</x:v>
      </x:c>
      <x:c r="X149" s="88" t="s">
        <x:v>259</x:v>
      </x:c>
      <x:c r="Y149" s="88" t="s">
        <x:v>2021</x:v>
      </x:c>
      <x:c r="Z149" s="89">
        <x:v>46162.070313425924</x:v>
      </x:c>
      <x:c r="AA149" s="88" t="s">
        <x:v>2518</x:v>
      </x:c>
      <x:c r="AB149" s="88" t="s">
        <x:v>259</x:v>
      </x:c>
      <x:c r="AC149" s="88" t="s">
        <x:v>4450</x:v>
      </x:c>
      <x:c r="AD149" s="89">
        <x:v>46162.368698935185</x:v>
      </x:c>
      <x:c r="AE149" s="88" t="s">
        <x:v>3142</x:v>
      </x:c>
      <x:c r="AF149" s="88" t="s">
        <x:v>259</x:v>
      </x:c>
      <x:c r="AG149" s="88" t="s">
        <x:v>342</x:v>
      </x:c>
      <x:c r="AH149" s="89">
        <x:v>46188.332113240744</x:v>
      </x:c>
      <x:c r="AI149" s="88" t="s">
        <x:v>3360</x:v>
      </x:c>
      <x:c r="AJ149" s="88" t="s">
        <x:v>259</x:v>
      </x:c>
      <x:c r="AK149" s="88" t="s">
        <x:v>4451</x:v>
      </x:c>
      <x:c r="AL149" s="88" t="s">
        <x:v>3438</x:v>
      </x:c>
    </x:row>
    <x:row r="150">
      <x:c r="A150" s="88" t="s">
        <x:v>4452</x:v>
      </x:c>
      <x:c r="B150" s="88" t="s">
        <x:v>4453</x:v>
      </x:c>
      <x:c r="C150" s="88" t="s">
        <x:v>4387</x:v>
      </x:c>
      <x:c r="D150" s="88" t="s">
        <x:v>3133</x:v>
      </x:c>
      <x:c r="E150" s="88" t="s">
        <x:v>249</x:v>
      </x:c>
      <x:c r="F150" s="89">
        <x:v>46149.074333807868</x:v>
      </x:c>
      <x:c r="G150" s="89">
        <x:v>46149.074333807868</x:v>
      </x:c>
      <x:c r="H150" s="89">
        <x:v>46155.392810393518</x:v>
      </x:c>
      <x:c r="I150" s="88" t="s">
        <x:v>4454</x:v>
      </x:c>
      <x:c r="J150" s="88" t="s">
        <x:v>4455</x:v>
      </x:c>
      <x:c r="K150" s="88">
        <x:v>3559</x:v>
      </x:c>
      <x:c r="L150" s="88" t="s">
        <x:v>4455</x:v>
      </x:c>
      <x:c r="M150" s="88" t="s">
        <x:v>3646</x:v>
      </x:c>
      <x:c r="N150" s="88" t="s">
        <x:v>4455</x:v>
      </x:c>
      <x:c r="O150" s="88" t="s">
        <x:v>3203</x:v>
      </x:c>
      <x:c r="P150" s="88" t="s">
        <x:v>3138</x:v>
      </x:c>
      <x:c r="Q150" s="88" t="s">
        <x:v>4456</x:v>
      </x:c>
      <x:c r="R150" s="88"/>
      <x:c r="S150" s="88" t="s">
        <x:v>4457</x:v>
      </x:c>
      <x:c r="T150" s="88"/>
      <x:c r="U150" s="88" t="s">
        <x:v>4458</x:v>
      </x:c>
      <x:c r="V150" s="89">
        <x:v>46149.097481550925</x:v>
      </x:c>
      <x:c r="W150" s="88" t="s">
        <x:v>1070</x:v>
      </x:c>
      <x:c r="X150" s="88" t="s">
        <x:v>259</x:v>
      </x:c>
      <x:c r="Y150" s="88" t="s">
        <x:v>4459</x:v>
      </x:c>
      <x:c r="Z150" s="89">
        <x:v>46155.392810405094</x:v>
      </x:c>
      <x:c r="AA150" s="88" t="s">
        <x:v>3484</x:v>
      </x:c>
      <x:c r="AB150" s="88" t="s">
        <x:v>249</x:v>
      </x:c>
      <x:c r="AC150" s="88"/>
      <x:c r="AD150" s="89"/>
      <x:c r="AE150" s="88" t="s">
        <x:v>273</x:v>
      </x:c>
      <x:c r="AF150" s="88"/>
      <x:c r="AG150" s="88"/>
      <x:c r="AH150" s="89"/>
      <x:c r="AI150" s="88" t="s">
        <x:v>3176</x:v>
      </x:c>
      <x:c r="AJ150" s="88"/>
      <x:c r="AK150" s="88"/>
      <x:c r="AL150" s="88" t="s">
        <x:v>4460</x:v>
      </x:c>
    </x:row>
    <x:row r="151">
      <x:c r="A151" s="88" t="s">
        <x:v>4461</x:v>
      </x:c>
      <x:c r="B151" s="88" t="s">
        <x:v>4462</x:v>
      </x:c>
      <x:c r="C151" s="88" t="s">
        <x:v>4463</x:v>
      </x:c>
      <x:c r="D151" s="88" t="s">
        <x:v>3133</x:v>
      </x:c>
      <x:c r="E151" s="88" t="s">
        <x:v>249</x:v>
      </x:c>
      <x:c r="F151" s="89">
        <x:v>46149.138175520835</x:v>
      </x:c>
      <x:c r="G151" s="89">
        <x:v>46149.138175520835</x:v>
      </x:c>
      <x:c r="H151" s="89">
        <x:v>46162.353634687497</x:v>
      </x:c>
      <x:c r="I151" s="88" t="s">
        <x:v>3353</x:v>
      </x:c>
      <x:c r="J151" s="88" t="s">
        <x:v>3354</x:v>
      </x:c>
      <x:c r="K151" s="88">
        <x:v>3948</x:v>
      </x:c>
      <x:c r="L151" s="88" t="s">
        <x:v>3355</x:v>
      </x:c>
      <x:c r="M151" s="88" t="s">
        <x:v>473</x:v>
      </x:c>
      <x:c r="N151" s="88" t="s">
        <x:v>3354</x:v>
      </x:c>
      <x:c r="O151" s="88" t="s">
        <x:v>3137</x:v>
      </x:c>
      <x:c r="P151" s="88" t="s">
        <x:v>3138</x:v>
      </x:c>
      <x:c r="Q151" s="88" t="s">
        <x:v>4464</x:v>
      </x:c>
      <x:c r="R151" s="88"/>
      <x:c r="S151" s="88"/>
      <x:c r="T151" s="88"/>
      <x:c r="U151" s="88" t="s">
        <x:v>385</x:v>
      </x:c>
      <x:c r="V151" s="89">
        <x:v>46149.553193402775</x:v>
      </x:c>
      <x:c r="W151" s="88" t="s">
        <x:v>473</x:v>
      </x:c>
      <x:c r="X151" s="88" t="s">
        <x:v>259</x:v>
      </x:c>
      <x:c r="Y151" s="88" t="s">
        <x:v>2021</x:v>
      </x:c>
      <x:c r="Z151" s="89">
        <x:v>46162.070983229169</x:v>
      </x:c>
      <x:c r="AA151" s="88" t="s">
        <x:v>2518</x:v>
      </x:c>
      <x:c r="AB151" s="88" t="s">
        <x:v>259</x:v>
      </x:c>
      <x:c r="AC151" s="88" t="s">
        <x:v>4465</x:v>
      </x:c>
      <x:c r="AD151" s="89">
        <x:v>46162.353634699073</x:v>
      </x:c>
      <x:c r="AE151" s="88" t="s">
        <x:v>3142</x:v>
      </x:c>
      <x:c r="AF151" s="88" t="s">
        <x:v>249</x:v>
      </x:c>
      <x:c r="AG151" s="88"/>
      <x:c r="AH151" s="89"/>
      <x:c r="AI151" s="88" t="s">
        <x:v>3176</x:v>
      </x:c>
      <x:c r="AJ151" s="88"/>
      <x:c r="AK151" s="88"/>
      <x:c r="AL151" s="88" t="s">
        <x:v>3362</x:v>
      </x:c>
    </x:row>
    <x:row r="152">
      <x:c r="A152" s="88" t="s">
        <x:v>4466</x:v>
      </x:c>
      <x:c r="B152" s="88" t="s">
        <x:v>4467</x:v>
      </x:c>
      <x:c r="C152" s="88" t="s">
        <x:v>4463</x:v>
      </x:c>
      <x:c r="D152" s="88" t="s">
        <x:v>3133</x:v>
      </x:c>
      <x:c r="E152" s="88" t="s">
        <x:v>249</x:v>
      </x:c>
      <x:c r="F152" s="89">
        <x:v>46149.275710393522</x:v>
      </x:c>
      <x:c r="G152" s="89">
        <x:v>46149.275710393522</x:v>
      </x:c>
      <x:c r="H152" s="89">
        <x:v>46149.301994930553</x:v>
      </x:c>
      <x:c r="I152" s="88" t="s">
        <x:v>3353</x:v>
      </x:c>
      <x:c r="J152" s="88" t="s">
        <x:v>3354</x:v>
      </x:c>
      <x:c r="K152" s="88">
        <x:v>3948</x:v>
      </x:c>
      <x:c r="L152" s="88" t="s">
        <x:v>3355</x:v>
      </x:c>
      <x:c r="M152" s="88" t="s">
        <x:v>4468</x:v>
      </x:c>
      <x:c r="N152" s="88" t="s">
        <x:v>3354</x:v>
      </x:c>
      <x:c r="O152" s="88" t="s">
        <x:v>3137</x:v>
      </x:c>
      <x:c r="P152" s="88" t="s">
        <x:v>3138</x:v>
      </x:c>
      <x:c r="Q152" s="88" t="s">
        <x:v>4464</x:v>
      </x:c>
      <x:c r="R152" s="88"/>
      <x:c r="S152" s="88"/>
      <x:c r="T152" s="88"/>
      <x:c r="U152" s="88" t="s">
        <x:v>4469</x:v>
      </x:c>
      <x:c r="V152" s="89">
        <x:v>46149.301994942129</x:v>
      </x:c>
      <x:c r="W152" s="88" t="s">
        <x:v>3356</x:v>
      </x:c>
      <x:c r="X152" s="88" t="s">
        <x:v>249</x:v>
      </x:c>
      <x:c r="Y152" s="88"/>
      <x:c r="Z152" s="89"/>
      <x:c r="AA152" s="88" t="s">
        <x:v>3206</x:v>
      </x:c>
      <x:c r="AB152" s="88"/>
      <x:c r="AC152" s="88"/>
      <x:c r="AD152" s="89"/>
      <x:c r="AE152" s="88" t="s">
        <x:v>273</x:v>
      </x:c>
      <x:c r="AF152" s="88"/>
      <x:c r="AG152" s="88"/>
      <x:c r="AH152" s="89"/>
      <x:c r="AI152" s="88" t="s">
        <x:v>3176</x:v>
      </x:c>
      <x:c r="AJ152" s="88"/>
      <x:c r="AK152" s="88"/>
      <x:c r="AL152" s="88" t="s">
        <x:v>3362</x:v>
      </x:c>
    </x:row>
    <x:row r="153">
      <x:c r="A153" s="88" t="s">
        <x:v>4470</x:v>
      </x:c>
      <x:c r="B153" s="88" t="s">
        <x:v>4471</x:v>
      </x:c>
      <x:c r="C153" s="88" t="s">
        <x:v>4463</x:v>
      </x:c>
      <x:c r="D153" s="88" t="s">
        <x:v>3133</x:v>
      </x:c>
      <x:c r="E153" s="88" t="s">
        <x:v>342</x:v>
      </x:c>
      <x:c r="F153" s="89">
        <x:v>46149.32829445602</x:v>
      </x:c>
      <x:c r="G153" s="89">
        <x:v>46149.32829445602</x:v>
      </x:c>
      <x:c r="H153" s="89">
        <x:v>46176.031933043982</x:v>
      </x:c>
      <x:c r="I153" s="88" t="s">
        <x:v>3353</x:v>
      </x:c>
      <x:c r="J153" s="88" t="s">
        <x:v>3354</x:v>
      </x:c>
      <x:c r="K153" s="88">
        <x:v>3948</x:v>
      </x:c>
      <x:c r="L153" s="88" t="s">
        <x:v>3355</x:v>
      </x:c>
      <x:c r="M153" s="88" t="s">
        <x:v>4468</x:v>
      </x:c>
      <x:c r="N153" s="88" t="s">
        <x:v>3354</x:v>
      </x:c>
      <x:c r="O153" s="88" t="s">
        <x:v>3137</x:v>
      </x:c>
      <x:c r="P153" s="88" t="s">
        <x:v>3138</x:v>
      </x:c>
      <x:c r="Q153" s="88" t="s">
        <x:v>4472</x:v>
      </x:c>
      <x:c r="R153" s="88" t="s">
        <x:v>185</x:v>
      </x:c>
      <x:c r="S153" s="88"/>
      <x:c r="T153" s="88"/>
      <x:c r="U153" s="88" t="s">
        <x:v>1274</x:v>
      </x:c>
      <x:c r="V153" s="89">
        <x:v>46149.33131533565</x:v>
      </x:c>
      <x:c r="W153" s="88" t="s">
        <x:v>3356</x:v>
      </x:c>
      <x:c r="X153" s="88" t="s">
        <x:v>259</x:v>
      </x:c>
      <x:c r="Y153" s="88" t="s">
        <x:v>4473</x:v>
      </x:c>
      <x:c r="Z153" s="89">
        <x:v>46154.13634513889</x:v>
      </x:c>
      <x:c r="AA153" s="88" t="s">
        <x:v>3484</x:v>
      </x:c>
      <x:c r="AB153" s="88" t="s">
        <x:v>259</x:v>
      </x:c>
      <x:c r="AC153" s="88" t="s">
        <x:v>4474</x:v>
      </x:c>
      <x:c r="AD153" s="89">
        <x:v>46154.289414247687</x:v>
      </x:c>
      <x:c r="AE153" s="88" t="s">
        <x:v>3142</x:v>
      </x:c>
      <x:c r="AF153" s="88" t="s">
        <x:v>259</x:v>
      </x:c>
      <x:c r="AG153" s="88" t="s">
        <x:v>3681</x:v>
      </x:c>
      <x:c r="AH153" s="89">
        <x:v>46176.031933067126</x:v>
      </x:c>
      <x:c r="AI153" s="88" t="s">
        <x:v>3282</x:v>
      </x:c>
      <x:c r="AJ153" s="88" t="s">
        <x:v>259</x:v>
      </x:c>
      <x:c r="AK153" s="88" t="s">
        <x:v>4475</x:v>
      </x:c>
      <x:c r="AL153" s="88" t="s">
        <x:v>3362</x:v>
      </x:c>
    </x:row>
    <x:row r="154">
      <x:c r="A154" s="88" t="s">
        <x:v>4476</x:v>
      </x:c>
      <x:c r="B154" s="88" t="s">
        <x:v>4477</x:v>
      </x:c>
      <x:c r="C154" s="88" t="s">
        <x:v>2380</x:v>
      </x:c>
      <x:c r="D154" s="88" t="s">
        <x:v>3133</x:v>
      </x:c>
      <x:c r="E154" s="88" t="s">
        <x:v>342</x:v>
      </x:c>
      <x:c r="F154" s="89">
        <x:v>46150.065642199072</x:v>
      </x:c>
      <x:c r="G154" s="89">
        <x:v>46150.065642199072</x:v>
      </x:c>
      <x:c r="H154" s="89">
        <x:v>46191.319709618052</x:v>
      </x:c>
      <x:c r="I154" s="88" t="s">
        <x:v>2384</x:v>
      </x:c>
      <x:c r="J154" s="88" t="s">
        <x:v>2381</x:v>
      </x:c>
      <x:c r="K154" s="88" t="s">
        <x:v>2385</x:v>
      </x:c>
      <x:c r="L154" s="88" t="s">
        <x:v>2381</x:v>
      </x:c>
      <x:c r="M154" s="88" t="s">
        <x:v>2382</x:v>
      </x:c>
      <x:c r="N154" s="88" t="s">
        <x:v>4339</x:v>
      </x:c>
      <x:c r="O154" s="88" t="s">
        <x:v>3137</x:v>
      </x:c>
      <x:c r="P154" s="88" t="s">
        <x:v>3173</x:v>
      </x:c>
      <x:c r="Q154" s="88" t="s">
        <x:v>4478</x:v>
      </x:c>
      <x:c r="R154" s="88" t="s">
        <x:v>193</x:v>
      </x:c>
      <x:c r="S154" s="88"/>
      <x:c r="T154" s="88"/>
      <x:c r="U154" s="88" t="s">
        <x:v>4479</x:v>
      </x:c>
      <x:c r="V154" s="89">
        <x:v>46150.097349050928</x:v>
      </x:c>
      <x:c r="W154" s="88" t="s">
        <x:v>2382</x:v>
      </x:c>
      <x:c r="X154" s="88" t="s">
        <x:v>259</x:v>
      </x:c>
      <x:c r="Y154" s="88" t="s">
        <x:v>2021</x:v>
      </x:c>
      <x:c r="Z154" s="89">
        <x:v>46162.074771724539</x:v>
      </x:c>
      <x:c r="AA154" s="88" t="s">
        <x:v>2518</x:v>
      </x:c>
      <x:c r="AB154" s="88" t="s">
        <x:v>259</x:v>
      </x:c>
      <x:c r="AC154" s="88" t="s">
        <x:v>4480</x:v>
      </x:c>
      <x:c r="AD154" s="89">
        <x:v>46162.284680520832</x:v>
      </x:c>
      <x:c r="AE154" s="88" t="s">
        <x:v>3142</x:v>
      </x:c>
      <x:c r="AF154" s="88" t="s">
        <x:v>259</x:v>
      </x:c>
      <x:c r="AG154" s="88" t="s">
        <x:v>4481</x:v>
      </x:c>
      <x:c r="AH154" s="89">
        <x:v>46191.319709618052</x:v>
      </x:c>
      <x:c r="AI154" s="88" t="s">
        <x:v>789</x:v>
      </x:c>
      <x:c r="AJ154" s="88" t="s">
        <x:v>259</x:v>
      </x:c>
      <x:c r="AK154" s="88" t="s">
        <x:v>4482</x:v>
      </x:c>
      <x:c r="AL154" s="88" t="s">
        <x:v>4342</x:v>
      </x:c>
    </x:row>
    <x:row r="155">
      <x:c r="A155" s="88" t="s">
        <x:v>4483</x:v>
      </x:c>
      <x:c r="B155" s="88" t="s">
        <x:v>4484</x:v>
      </x:c>
      <x:c r="C155" s="88" t="s">
        <x:v>1516</x:v>
      </x:c>
      <x:c r="D155" s="88" t="s">
        <x:v>3133</x:v>
      </x:c>
      <x:c r="E155" s="88" t="s">
        <x:v>342</x:v>
      </x:c>
      <x:c r="F155" s="89">
        <x:v>46153.282059131947</x:v>
      </x:c>
      <x:c r="G155" s="89">
        <x:v>46168.193916805554</x:v>
      </x:c>
      <x:c r="H155" s="89">
        <x:v>46182.321829560184</x:v>
      </x:c>
      <x:c r="I155" s="88" t="s">
        <x:v>1525</x:v>
      </x:c>
      <x:c r="J155" s="88" t="s">
        <x:v>1517</x:v>
      </x:c>
      <x:c r="K155" s="88">
        <x:v>1709</x:v>
      </x:c>
      <x:c r="L155" s="88" t="s">
        <x:v>1518</x:v>
      </x:c>
      <x:c r="M155" s="88" t="s">
        <x:v>824</x:v>
      </x:c>
      <x:c r="N155" s="88" t="s">
        <x:v>1517</x:v>
      </x:c>
      <x:c r="O155" s="88" t="s">
        <x:v>3137</x:v>
      </x:c>
      <x:c r="P155" s="88" t="s">
        <x:v>3138</x:v>
      </x:c>
      <x:c r="Q155" s="88" t="s">
        <x:v>4485</x:v>
      </x:c>
      <x:c r="R155" s="88" t="s">
        <x:v>162</x:v>
      </x:c>
      <x:c r="S155" s="88"/>
      <x:c r="T155" s="88"/>
      <x:c r="U155" s="88" t="s">
        <x:v>259</x:v>
      </x:c>
      <x:c r="V155" s="89">
        <x:v>46168.204585648149</x:v>
      </x:c>
      <x:c r="W155" s="88" t="s">
        <x:v>827</x:v>
      </x:c>
      <x:c r="X155" s="88" t="s">
        <x:v>259</x:v>
      </x:c>
      <x:c r="Y155" s="88" t="s">
        <x:v>1112</x:v>
      </x:c>
      <x:c r="Z155" s="89">
        <x:v>46168.205013842591</x:v>
      </x:c>
      <x:c r="AA155" s="88" t="s">
        <x:v>827</x:v>
      </x:c>
      <x:c r="AB155" s="88" t="s">
        <x:v>259</x:v>
      </x:c>
      <x:c r="AC155" s="88" t="s">
        <x:v>4486</x:v>
      </x:c>
      <x:c r="AD155" s="89">
        <x:v>46171.313329687502</x:v>
      </x:c>
      <x:c r="AE155" s="88" t="s">
        <x:v>3142</x:v>
      </x:c>
      <x:c r="AF155" s="88" t="s">
        <x:v>259</x:v>
      </x:c>
      <x:c r="AG155" s="88" t="s">
        <x:v>342</x:v>
      </x:c>
      <x:c r="AH155" s="89">
        <x:v>46182.32182957176</x:v>
      </x:c>
      <x:c r="AI155" s="88" t="s">
        <x:v>3360</x:v>
      </x:c>
      <x:c r="AJ155" s="88" t="s">
        <x:v>259</x:v>
      </x:c>
      <x:c r="AK155" s="88" t="s">
        <x:v>4487</x:v>
      </x:c>
      <x:c r="AL155" s="88" t="s">
        <x:v>3465</x:v>
      </x:c>
    </x:row>
    <x:row r="156">
      <x:c r="A156" s="88" t="s">
        <x:v>4488</x:v>
      </x:c>
      <x:c r="B156" s="88" t="s">
        <x:v>4489</x:v>
      </x:c>
      <x:c r="C156" s="88" t="s">
        <x:v>2948</x:v>
      </x:c>
      <x:c r="D156" s="88" t="s">
        <x:v>3133</x:v>
      </x:c>
      <x:c r="E156" s="88" t="s">
        <x:v>342</x:v>
      </x:c>
      <x:c r="F156" s="89">
        <x:v>46154.131849537036</x:v>
      </x:c>
      <x:c r="G156" s="89">
        <x:v>46154.131849537036</x:v>
      </x:c>
      <x:c r="H156" s="89">
        <x:v>46204.255536550925</x:v>
      </x:c>
      <x:c r="I156" s="88" t="s">
        <x:v>587</x:v>
      </x:c>
      <x:c r="J156" s="88" t="s">
        <x:v>578</x:v>
      </x:c>
      <x:c r="K156" s="88">
        <x:v>4343</x:v>
      </x:c>
      <x:c r="L156" s="88" t="s">
        <x:v>579</x:v>
      </x:c>
      <x:c r="M156" s="88" t="s">
        <x:v>824</x:v>
      </x:c>
      <x:c r="N156" s="88" t="s">
        <x:v>4311</x:v>
      </x:c>
      <x:c r="O156" s="88" t="s">
        <x:v>3203</x:v>
      </x:c>
      <x:c r="P156" s="88" t="s">
        <x:v>3225</x:v>
      </x:c>
      <x:c r="Q156" s="88" t="s">
        <x:v>4490</x:v>
      </x:c>
      <x:c r="R156" s="88" t="s">
        <x:v>162</x:v>
      </x:c>
      <x:c r="S156" s="88"/>
      <x:c r="T156" s="88"/>
      <x:c r="U156" s="88" t="s">
        <x:v>259</x:v>
      </x:c>
      <x:c r="V156" s="89">
        <x:v>46154.156020069444</x:v>
      </x:c>
      <x:c r="W156" s="88" t="s">
        <x:v>827</x:v>
      </x:c>
      <x:c r="X156" s="88" t="s">
        <x:v>259</x:v>
      </x:c>
      <x:c r="Y156" s="88" t="s">
        <x:v>2021</x:v>
      </x:c>
      <x:c r="Z156" s="89">
        <x:v>46162.076177569441</x:v>
      </x:c>
      <x:c r="AA156" s="88" t="s">
        <x:v>2518</x:v>
      </x:c>
      <x:c r="AB156" s="88" t="s">
        <x:v>259</x:v>
      </x:c>
      <x:c r="AC156" s="88" t="s">
        <x:v>4491</x:v>
      </x:c>
      <x:c r="AD156" s="89">
        <x:v>46162.354426863429</x:v>
      </x:c>
      <x:c r="AE156" s="88" t="s">
        <x:v>3142</x:v>
      </x:c>
      <x:c r="AF156" s="88" t="s">
        <x:v>259</x:v>
      </x:c>
      <x:c r="AG156" s="88" t="s">
        <x:v>3281</x:v>
      </x:c>
      <x:c r="AH156" s="89">
        <x:v>46204.255536562501</x:v>
      </x:c>
      <x:c r="AI156" s="88" t="s">
        <x:v>951</x:v>
      </x:c>
      <x:c r="AJ156" s="88" t="s">
        <x:v>259</x:v>
      </x:c>
      <x:c r="AK156" s="88" t="s">
        <x:v>4492</x:v>
      </x:c>
      <x:c r="AL156" s="88" t="s">
        <x:v>4316</x:v>
      </x:c>
    </x:row>
    <x:row r="157">
      <x:c r="A157" s="88" t="s">
        <x:v>4493</x:v>
      </x:c>
      <x:c r="B157" s="88" t="s">
        <x:v>4494</x:v>
      </x:c>
      <x:c r="C157" s="88" t="s">
        <x:v>2948</x:v>
      </x:c>
      <x:c r="D157" s="88" t="s">
        <x:v>3133</x:v>
      </x:c>
      <x:c r="E157" s="88" t="s">
        <x:v>342</x:v>
      </x:c>
      <x:c r="F157" s="89">
        <x:v>46154.134597187498</x:v>
      </x:c>
      <x:c r="G157" s="89">
        <x:v>46168.197797789355</x:v>
      </x:c>
      <x:c r="H157" s="89">
        <x:v>46219.072681157406</x:v>
      </x:c>
      <x:c r="I157" s="88" t="s">
        <x:v>587</x:v>
      </x:c>
      <x:c r="J157" s="88" t="s">
        <x:v>578</x:v>
      </x:c>
      <x:c r="K157" s="88">
        <x:v>4343</x:v>
      </x:c>
      <x:c r="L157" s="88" t="s">
        <x:v>579</x:v>
      </x:c>
      <x:c r="M157" s="88" t="s">
        <x:v>824</x:v>
      </x:c>
      <x:c r="N157" s="88" t="s">
        <x:v>4311</x:v>
      </x:c>
      <x:c r="O157" s="88" t="s">
        <x:v>3137</x:v>
      </x:c>
      <x:c r="P157" s="88" t="s">
        <x:v>3225</x:v>
      </x:c>
      <x:c r="Q157" s="88" t="s">
        <x:v>4495</x:v>
      </x:c>
      <x:c r="R157" s="88" t="s">
        <x:v>185</x:v>
      </x:c>
      <x:c r="S157" s="88"/>
      <x:c r="T157" s="88"/>
      <x:c r="U157" s="88" t="s">
        <x:v>259</x:v>
      </x:c>
      <x:c r="V157" s="89">
        <x:v>46168.205436701392</x:v>
      </x:c>
      <x:c r="W157" s="88" t="s">
        <x:v>827</x:v>
      </x:c>
      <x:c r="X157" s="88" t="s">
        <x:v>259</x:v>
      </x:c>
      <x:c r="Y157" s="88" t="s">
        <x:v>2021</x:v>
      </x:c>
      <x:c r="Z157" s="89">
        <x:v>46178.379216006942</x:v>
      </x:c>
      <x:c r="AA157" s="88" t="s">
        <x:v>2518</x:v>
      </x:c>
      <x:c r="AB157" s="88" t="s">
        <x:v>259</x:v>
      </x:c>
      <x:c r="AC157" s="88" t="s">
        <x:v>4496</x:v>
      </x:c>
      <x:c r="AD157" s="89">
        <x:v>46189.296416886573</x:v>
      </x:c>
      <x:c r="AE157" s="88" t="s">
        <x:v>3142</x:v>
      </x:c>
      <x:c r="AF157" s="88" t="s">
        <x:v>259</x:v>
      </x:c>
      <x:c r="AG157" s="88" t="s">
        <x:v>4497</x:v>
      </x:c>
      <x:c r="AH157" s="89">
        <x:v>46219.072681157406</x:v>
      </x:c>
      <x:c r="AI157" s="88" t="s">
        <x:v>3165</x:v>
      </x:c>
      <x:c r="AJ157" s="88" t="s">
        <x:v>259</x:v>
      </x:c>
      <x:c r="AK157" s="88" t="s">
        <x:v>4498</x:v>
      </x:c>
      <x:c r="AL157" s="88" t="s">
        <x:v>4316</x:v>
      </x:c>
    </x:row>
    <x:row r="158">
      <x:c r="A158" s="88" t="s">
        <x:v>4499</x:v>
      </x:c>
      <x:c r="B158" s="88" t="s">
        <x:v>4500</x:v>
      </x:c>
      <x:c r="C158" s="88" t="s">
        <x:v>2380</x:v>
      </x:c>
      <x:c r="D158" s="88" t="s">
        <x:v>3133</x:v>
      </x:c>
      <x:c r="E158" s="88" t="s">
        <x:v>342</x:v>
      </x:c>
      <x:c r="F158" s="89">
        <x:v>46154.273037615741</x:v>
      </x:c>
      <x:c r="G158" s="89">
        <x:v>46154.273037615741</x:v>
      </x:c>
      <x:c r="H158" s="89">
        <x:v>46181.061876446758</x:v>
      </x:c>
      <x:c r="I158" s="88" t="s">
        <x:v>2384</x:v>
      </x:c>
      <x:c r="J158" s="88" t="s">
        <x:v>2381</x:v>
      </x:c>
      <x:c r="K158" s="88" t="s">
        <x:v>2385</x:v>
      </x:c>
      <x:c r="L158" s="88" t="s">
        <x:v>2381</x:v>
      </x:c>
      <x:c r="M158" s="88" t="s">
        <x:v>2382</x:v>
      </x:c>
      <x:c r="N158" s="88" t="s">
        <x:v>4339</x:v>
      </x:c>
      <x:c r="O158" s="88" t="s">
        <x:v>3137</x:v>
      </x:c>
      <x:c r="P158" s="88" t="s">
        <x:v>3138</x:v>
      </x:c>
      <x:c r="Q158" s="88" t="s">
        <x:v>4501</x:v>
      </x:c>
      <x:c r="R158" s="88" t="s">
        <x:v>193</x:v>
      </x:c>
      <x:c r="S158" s="88"/>
      <x:c r="T158" s="88"/>
      <x:c r="U158" s="88" t="s">
        <x:v>4502</x:v>
      </x:c>
      <x:c r="V158" s="89">
        <x:v>46155.189932199071</x:v>
      </x:c>
      <x:c r="W158" s="88" t="s">
        <x:v>2382</x:v>
      </x:c>
      <x:c r="X158" s="88" t="s">
        <x:v>259</x:v>
      </x:c>
      <x:c r="Y158" s="88" t="s">
        <x:v>335</x:v>
      </x:c>
      <x:c r="Z158" s="89">
        <x:v>46155.194676574072</x:v>
      </x:c>
      <x:c r="AA158" s="88" t="s">
        <x:v>2382</x:v>
      </x:c>
      <x:c r="AB158" s="88" t="s">
        <x:v>259</x:v>
      </x:c>
      <x:c r="AC158" s="88" t="s">
        <x:v>4480</x:v>
      </x:c>
      <x:c r="AD158" s="89">
        <x:v>46162.284826087962</x:v>
      </x:c>
      <x:c r="AE158" s="88" t="s">
        <x:v>3142</x:v>
      </x:c>
      <x:c r="AF158" s="88" t="s">
        <x:v>259</x:v>
      </x:c>
      <x:c r="AG158" s="88" t="s">
        <x:v>353</x:v>
      </x:c>
      <x:c r="AH158" s="89">
        <x:v>46181.061876458334</x:v>
      </x:c>
      <x:c r="AI158" s="88" t="s">
        <x:v>789</x:v>
      </x:c>
      <x:c r="AJ158" s="88" t="s">
        <x:v>259</x:v>
      </x:c>
      <x:c r="AK158" s="88" t="s">
        <x:v>4503</x:v>
      </x:c>
      <x:c r="AL158" s="88" t="s">
        <x:v>4342</x:v>
      </x:c>
    </x:row>
    <x:row r="159">
      <x:c r="A159" s="88" t="s">
        <x:v>4504</x:v>
      </x:c>
      <x:c r="B159" s="88" t="s">
        <x:v>4505</x:v>
      </x:c>
      <x:c r="C159" s="88" t="s">
        <x:v>358</x:v>
      </x:c>
      <x:c r="D159" s="88" t="s">
        <x:v>3133</x:v>
      </x:c>
      <x:c r="E159" s="88" t="s">
        <x:v>249</x:v>
      </x:c>
      <x:c r="F159" s="89">
        <x:v>46154.56921577546</x:v>
      </x:c>
      <x:c r="G159" s="89">
        <x:v>46154.56921577546</x:v>
      </x:c>
      <x:c r="H159" s="89">
        <x:v>46162.367760289351</x:v>
      </x:c>
      <x:c r="I159" s="88" t="s">
        <x:v>4506</x:v>
      </x:c>
      <x:c r="J159" s="88" t="s">
        <x:v>4507</x:v>
      </x:c>
      <x:c r="K159" s="88">
        <x:v>3421</x:v>
      </x:c>
      <x:c r="L159" s="88" t="s">
        <x:v>4508</x:v>
      </x:c>
      <x:c r="M159" s="88" t="s">
        <x:v>992</x:v>
      </x:c>
      <x:c r="N159" s="88" t="s">
        <x:v>4509</x:v>
      </x:c>
      <x:c r="O159" s="88" t="s">
        <x:v>3137</x:v>
      </x:c>
      <x:c r="P159" s="88" t="s">
        <x:v>3138</x:v>
      </x:c>
      <x:c r="Q159" s="88" t="s">
        <x:v>4510</x:v>
      </x:c>
      <x:c r="R159" s="88" t="s">
        <x:v>185</x:v>
      </x:c>
      <x:c r="S159" s="88"/>
      <x:c r="T159" s="88"/>
      <x:c r="U159" s="88" t="s">
        <x:v>4511</x:v>
      </x:c>
      <x:c r="V159" s="89">
        <x:v>46154.893127986114</x:v>
      </x:c>
      <x:c r="W159" s="88" t="s">
        <x:v>995</x:v>
      </x:c>
      <x:c r="X159" s="88" t="s">
        <x:v>259</x:v>
      </x:c>
      <x:c r="Y159" s="88" t="s">
        <x:v>2021</x:v>
      </x:c>
      <x:c r="Z159" s="89">
        <x:v>46162.078433761577</x:v>
      </x:c>
      <x:c r="AA159" s="88" t="s">
        <x:v>2518</x:v>
      </x:c>
      <x:c r="AB159" s="88" t="s">
        <x:v>259</x:v>
      </x:c>
      <x:c r="AC159" s="88" t="s">
        <x:v>2368</x:v>
      </x:c>
      <x:c r="AD159" s="89">
        <x:v>46162.367532523145</x:v>
      </x:c>
      <x:c r="AE159" s="88" t="s">
        <x:v>3142</x:v>
      </x:c>
      <x:c r="AF159" s="88" t="s">
        <x:v>259</x:v>
      </x:c>
      <x:c r="AG159" s="88" t="s">
        <x:v>4512</x:v>
      </x:c>
      <x:c r="AH159" s="89">
        <x:v>46162.367760300927</x:v>
      </x:c>
      <x:c r="AI159" s="88" t="s">
        <x:v>3142</x:v>
      </x:c>
      <x:c r="AJ159" s="88" t="s">
        <x:v>249</x:v>
      </x:c>
      <x:c r="AK159" s="88" t="s">
        <x:v>4513</x:v>
      </x:c>
      <x:c r="AL159" s="88" t="s">
        <x:v>4514</x:v>
      </x:c>
    </x:row>
    <x:row r="160">
      <x:c r="A160" s="88" t="s">
        <x:v>4515</x:v>
      </x:c>
      <x:c r="B160" s="88" t="s">
        <x:v>4516</x:v>
      </x:c>
      <x:c r="C160" s="88" t="s">
        <x:v>698</x:v>
      </x:c>
      <x:c r="D160" s="88" t="s">
        <x:v>3133</x:v>
      </x:c>
      <x:c r="E160" s="88" t="s">
        <x:v>342</x:v>
      </x:c>
      <x:c r="F160" s="89">
        <x:v>46157.185893912036</x:v>
      </x:c>
      <x:c r="G160" s="89">
        <x:v>46157.185893912036</x:v>
      </x:c>
      <x:c r="H160" s="89">
        <x:v>46178.428557951389</x:v>
      </x:c>
      <x:c r="I160" s="88" t="s">
        <x:v>704</x:v>
      </x:c>
      <x:c r="J160" s="88" t="s">
        <x:v>699</x:v>
      </x:c>
      <x:c r="K160" s="88">
        <x:v>100</x:v>
      </x:c>
      <x:c r="L160" s="88" t="s">
        <x:v>707</x:v>
      </x:c>
      <x:c r="M160" s="88" t="s">
        <x:v>701</x:v>
      </x:c>
      <x:c r="N160" s="88" t="s">
        <x:v>3757</x:v>
      </x:c>
      <x:c r="O160" s="88" t="s">
        <x:v>3137</x:v>
      </x:c>
      <x:c r="P160" s="88" t="s">
        <x:v>3225</x:v>
      </x:c>
      <x:c r="Q160" s="88" t="s">
        <x:v>4517</x:v>
      </x:c>
      <x:c r="R160" s="88" t="s">
        <x:v>185</x:v>
      </x:c>
      <x:c r="S160" s="88"/>
      <x:c r="T160" s="88"/>
      <x:c r="U160" s="88" t="s">
        <x:v>4518</x:v>
      </x:c>
      <x:c r="V160" s="89">
        <x:v>46157.302297627313</x:v>
      </x:c>
      <x:c r="W160" s="88" t="s">
        <x:v>703</x:v>
      </x:c>
      <x:c r="X160" s="88" t="s">
        <x:v>259</x:v>
      </x:c>
      <x:c r="Y160" s="88" t="s">
        <x:v>2021</x:v>
      </x:c>
      <x:c r="Z160" s="89">
        <x:v>46164.404482465281</x:v>
      </x:c>
      <x:c r="AA160" s="88" t="s">
        <x:v>2518</x:v>
      </x:c>
      <x:c r="AB160" s="88" t="s">
        <x:v>259</x:v>
      </x:c>
      <x:c r="AC160" s="88" t="s">
        <x:v>571</x:v>
      </x:c>
      <x:c r="AD160" s="89">
        <x:v>46167.098319814817</x:v>
      </x:c>
      <x:c r="AE160" s="88" t="s">
        <x:v>271</x:v>
      </x:c>
      <x:c r="AF160" s="88" t="s">
        <x:v>259</x:v>
      </x:c>
      <x:c r="AG160" s="88" t="s">
        <x:v>342</x:v>
      </x:c>
      <x:c r="AH160" s="89">
        <x:v>46178.428557951389</x:v>
      </x:c>
      <x:c r="AI160" s="88" t="s">
        <x:v>3360</x:v>
      </x:c>
      <x:c r="AJ160" s="88" t="s">
        <x:v>259</x:v>
      </x:c>
      <x:c r="AK160" s="88" t="s">
        <x:v>4519</x:v>
      </x:c>
      <x:c r="AL160" s="88" t="s">
        <x:v>3762</x:v>
      </x:c>
    </x:row>
    <x:row r="161">
      <x:c r="A161" s="88" t="s">
        <x:v>4520</x:v>
      </x:c>
      <x:c r="B161" s="88" t="s">
        <x:v>4521</x:v>
      </x:c>
      <x:c r="C161" s="88" t="s">
        <x:v>4522</x:v>
      </x:c>
      <x:c r="D161" s="88" t="s">
        <x:v>3133</x:v>
      </x:c>
      <x:c r="E161" s="88" t="s">
        <x:v>342</x:v>
      </x:c>
      <x:c r="F161" s="89">
        <x:v>46157.340464444445</x:v>
      </x:c>
      <x:c r="G161" s="89">
        <x:v>46157.347268622689</x:v>
      </x:c>
      <x:c r="H161" s="89">
        <x:v>46188.060327569445</x:v>
      </x:c>
      <x:c r="I161" s="88" t="s">
        <x:v>1592</x:v>
      </x:c>
      <x:c r="J161" s="88" t="s">
        <x:v>2146</x:v>
      </x:c>
      <x:c r="K161" s="88">
        <x:v>4569</x:v>
      </x:c>
      <x:c r="L161" s="88" t="s">
        <x:v>3685</x:v>
      </x:c>
      <x:c r="M161" s="88" t="s">
        <x:v>4183</x:v>
      </x:c>
      <x:c r="N161" s="88" t="s">
        <x:v>3686</x:v>
      </x:c>
      <x:c r="O161" s="88" t="s">
        <x:v>3137</x:v>
      </x:c>
      <x:c r="P161" s="88"/>
      <x:c r="Q161" s="88" t="s">
        <x:v>4523</x:v>
      </x:c>
      <x:c r="R161" s="88" t="s">
        <x:v>193</x:v>
      </x:c>
      <x:c r="S161" s="88"/>
      <x:c r="T161" s="88"/>
      <x:c r="U161" s="88" t="s">
        <x:v>2333</x:v>
      </x:c>
      <x:c r="V161" s="89">
        <x:v>46157.352548761577</x:v>
      </x:c>
      <x:c r="W161" s="88" t="s">
        <x:v>4185</x:v>
      </x:c>
      <x:c r="X161" s="88" t="s">
        <x:v>259</x:v>
      </x:c>
      <x:c r="Y161" s="88" t="s">
        <x:v>2021</x:v>
      </x:c>
      <x:c r="Z161" s="89">
        <x:v>46162.080210046297</x:v>
      </x:c>
      <x:c r="AA161" s="88" t="s">
        <x:v>2518</x:v>
      </x:c>
      <x:c r="AB161" s="88" t="s">
        <x:v>259</x:v>
      </x:c>
      <x:c r="AC161" s="88" t="s">
        <x:v>4524</x:v>
      </x:c>
      <x:c r="AD161" s="89">
        <x:v>46162.538642847219</x:v>
      </x:c>
      <x:c r="AE161" s="88" t="s">
        <x:v>3142</x:v>
      </x:c>
      <x:c r="AF161" s="88" t="s">
        <x:v>259</x:v>
      </x:c>
      <x:c r="AG161" s="88" t="s">
        <x:v>4525</x:v>
      </x:c>
      <x:c r="AH161" s="89">
        <x:v>46188.060327581021</x:v>
      </x:c>
      <x:c r="AI161" s="88" t="s">
        <x:v>3261</x:v>
      </x:c>
      <x:c r="AJ161" s="88" t="s">
        <x:v>259</x:v>
      </x:c>
      <x:c r="AK161" s="88" t="s">
        <x:v>4526</x:v>
      </x:c>
      <x:c r="AL161" s="88" t="s">
        <x:v>4527</x:v>
      </x:c>
    </x:row>
    <x:row r="162">
      <x:c r="A162" s="88" t="s">
        <x:v>4528</x:v>
      </x:c>
      <x:c r="B162" s="88" t="s">
        <x:v>4529</x:v>
      </x:c>
      <x:c r="C162" s="88" t="s">
        <x:v>4360</x:v>
      </x:c>
      <x:c r="D162" s="88" t="s">
        <x:v>3133</x:v>
      </x:c>
      <x:c r="E162" s="88" t="s">
        <x:v>342</x:v>
      </x:c>
      <x:c r="F162" s="89">
        <x:v>46160.313517650466</x:v>
      </x:c>
      <x:c r="G162" s="89">
        <x:v>46160.313517650466</x:v>
      </x:c>
      <x:c r="H162" s="89">
        <x:v>46219.106740659721</x:v>
      </x:c>
      <x:c r="I162" s="88" t="s">
        <x:v>4361</x:v>
      </x:c>
      <x:c r="J162" s="88" t="s">
        <x:v>4362</x:v>
      </x:c>
      <x:c r="K162" s="88" t="s">
        <x:v>4363</x:v>
      </x:c>
      <x:c r="L162" s="88" t="s">
        <x:v>4364</x:v>
      </x:c>
      <x:c r="M162" s="88" t="s">
        <x:v>4365</x:v>
      </x:c>
      <x:c r="N162" s="88" t="s">
        <x:v>4364</x:v>
      </x:c>
      <x:c r="O162" s="88" t="s">
        <x:v>3137</x:v>
      </x:c>
      <x:c r="P162" s="88" t="s">
        <x:v>3173</x:v>
      </x:c>
      <x:c r="Q162" s="88" t="s">
        <x:v>4530</x:v>
      </x:c>
      <x:c r="R162" s="88" t="s">
        <x:v>193</x:v>
      </x:c>
      <x:c r="S162" s="88"/>
      <x:c r="T162" s="88"/>
      <x:c r="U162" s="88" t="s">
        <x:v>815</x:v>
      </x:c>
      <x:c r="V162" s="89">
        <x:v>46160.321127222225</x:v>
      </x:c>
      <x:c r="W162" s="88" t="s">
        <x:v>4365</x:v>
      </x:c>
      <x:c r="X162" s="88" t="s">
        <x:v>259</x:v>
      </x:c>
      <x:c r="Y162" s="88" t="s">
        <x:v>2021</x:v>
      </x:c>
      <x:c r="Z162" s="89">
        <x:v>46162.079321631943</x:v>
      </x:c>
      <x:c r="AA162" s="88" t="s">
        <x:v>2518</x:v>
      </x:c>
      <x:c r="AB162" s="88" t="s">
        <x:v>259</x:v>
      </x:c>
      <x:c r="AC162" s="88" t="s">
        <x:v>4531</x:v>
      </x:c>
      <x:c r="AD162" s="89">
        <x:v>46162.360100891201</x:v>
      </x:c>
      <x:c r="AE162" s="88" t="s">
        <x:v>3142</x:v>
      </x:c>
      <x:c r="AF162" s="88" t="s">
        <x:v>259</x:v>
      </x:c>
      <x:c r="AG162" s="88" t="s">
        <x:v>4532</x:v>
      </x:c>
      <x:c r="AH162" s="89">
        <x:v>46219.106740671297</x:v>
      </x:c>
      <x:c r="AI162" s="88" t="s">
        <x:v>3387</x:v>
      </x:c>
      <x:c r="AJ162" s="88" t="s">
        <x:v>259</x:v>
      </x:c>
      <x:c r="AK162" s="88" t="s">
        <x:v>4533</x:v>
      </x:c>
      <x:c r="AL162" s="88" t="s">
        <x:v>4371</x:v>
      </x:c>
    </x:row>
    <x:row r="163">
      <x:c r="A163" s="88" t="s">
        <x:v>4534</x:v>
      </x:c>
      <x:c r="B163" s="88" t="s">
        <x:v>4535</x:v>
      </x:c>
      <x:c r="C163" s="88" t="s">
        <x:v>4360</x:v>
      </x:c>
      <x:c r="D163" s="88" t="s">
        <x:v>3133</x:v>
      </x:c>
      <x:c r="E163" s="88" t="s">
        <x:v>249</x:v>
      </x:c>
      <x:c r="F163" s="89">
        <x:v>46160.396259236113</x:v>
      </x:c>
      <x:c r="G163" s="89">
        <x:v>46160.396259236113</x:v>
      </x:c>
      <x:c r="H163" s="89">
        <x:v>46191.324295509257</x:v>
      </x:c>
      <x:c r="I163" s="88" t="s">
        <x:v>4361</x:v>
      </x:c>
      <x:c r="J163" s="88" t="s">
        <x:v>4362</x:v>
      </x:c>
      <x:c r="K163" s="88" t="s">
        <x:v>4363</x:v>
      </x:c>
      <x:c r="L163" s="88" t="s">
        <x:v>4364</x:v>
      </x:c>
      <x:c r="M163" s="88" t="s">
        <x:v>4365</x:v>
      </x:c>
      <x:c r="N163" s="88" t="s">
        <x:v>4364</x:v>
      </x:c>
      <x:c r="O163" s="88" t="s">
        <x:v>3137</x:v>
      </x:c>
      <x:c r="P163" s="88" t="s">
        <x:v>3138</x:v>
      </x:c>
      <x:c r="Q163" s="88" t="s">
        <x:v>4536</x:v>
      </x:c>
      <x:c r="R163" s="88"/>
      <x:c r="S163" s="88"/>
      <x:c r="T163" s="88"/>
      <x:c r="U163" s="88" t="s">
        <x:v>4537</x:v>
      </x:c>
      <x:c r="V163" s="89">
        <x:v>46191.324295509257</x:v>
      </x:c>
      <x:c r="W163" s="88" t="s">
        <x:v>4365</x:v>
      </x:c>
      <x:c r="X163" s="88" t="s">
        <x:v>249</x:v>
      </x:c>
      <x:c r="Y163" s="88"/>
      <x:c r="Z163" s="89"/>
      <x:c r="AA163" s="88" t="s">
        <x:v>3206</x:v>
      </x:c>
      <x:c r="AB163" s="88"/>
      <x:c r="AC163" s="88"/>
      <x:c r="AD163" s="89"/>
      <x:c r="AE163" s="88" t="s">
        <x:v>273</x:v>
      </x:c>
      <x:c r="AF163" s="88"/>
      <x:c r="AG163" s="88"/>
      <x:c r="AH163" s="89"/>
      <x:c r="AI163" s="88" t="s">
        <x:v>3176</x:v>
      </x:c>
      <x:c r="AJ163" s="88"/>
      <x:c r="AK163" s="88"/>
      <x:c r="AL163" s="88" t="s">
        <x:v>4371</x:v>
      </x:c>
    </x:row>
    <x:row r="164">
      <x:c r="A164" s="88" t="s">
        <x:v>4538</x:v>
      </x:c>
      <x:c r="B164" s="88" t="s">
        <x:v>4539</x:v>
      </x:c>
      <x:c r="C164" s="88" t="s">
        <x:v>1516</x:v>
      </x:c>
      <x:c r="D164" s="88" t="s">
        <x:v>3133</x:v>
      </x:c>
      <x:c r="E164" s="88" t="s">
        <x:v>342</x:v>
      </x:c>
      <x:c r="F164" s="89">
        <x:v>46162.40427259259</x:v>
      </x:c>
      <x:c r="G164" s="89">
        <x:v>46164.352070185188</x:v>
      </x:c>
      <x:c r="H164" s="89">
        <x:v>46188.061888969911</x:v>
      </x:c>
      <x:c r="I164" s="88" t="s">
        <x:v>1525</x:v>
      </x:c>
      <x:c r="J164" s="88" t="s">
        <x:v>1517</x:v>
      </x:c>
      <x:c r="K164" s="88">
        <x:v>1709</x:v>
      </x:c>
      <x:c r="L164" s="88" t="s">
        <x:v>1518</x:v>
      </x:c>
      <x:c r="M164" s="88" t="s">
        <x:v>824</x:v>
      </x:c>
      <x:c r="N164" s="88" t="s">
        <x:v>1517</x:v>
      </x:c>
      <x:c r="O164" s="88" t="s">
        <x:v>3137</x:v>
      </x:c>
      <x:c r="P164" s="88" t="s">
        <x:v>3173</x:v>
      </x:c>
      <x:c r="Q164" s="88" t="s">
        <x:v>4540</x:v>
      </x:c>
      <x:c r="R164" s="88" t="s">
        <x:v>185</x:v>
      </x:c>
      <x:c r="S164" s="88"/>
      <x:c r="T164" s="88"/>
      <x:c r="U164" s="88" t="s">
        <x:v>259</x:v>
      </x:c>
      <x:c r="V164" s="89">
        <x:v>46164.366104490742</x:v>
      </x:c>
      <x:c r="W164" s="88" t="s">
        <x:v>827</x:v>
      </x:c>
      <x:c r="X164" s="88" t="s">
        <x:v>259</x:v>
      </x:c>
      <x:c r="Y164" s="88" t="s">
        <x:v>2021</x:v>
      </x:c>
      <x:c r="Z164" s="89">
        <x:v>46164.403147500001</x:v>
      </x:c>
      <x:c r="AA164" s="88" t="s">
        <x:v>2518</x:v>
      </x:c>
      <x:c r="AB164" s="88" t="s">
        <x:v>259</x:v>
      </x:c>
      <x:c r="AC164" s="88" t="s">
        <x:v>4541</x:v>
      </x:c>
      <x:c r="AD164" s="89">
        <x:v>46167.093022650464</x:v>
      </x:c>
      <x:c r="AE164" s="88" t="s">
        <x:v>271</x:v>
      </x:c>
      <x:c r="AF164" s="88" t="s">
        <x:v>259</x:v>
      </x:c>
      <x:c r="AG164" s="88" t="s">
        <x:v>4542</x:v>
      </x:c>
      <x:c r="AH164" s="89">
        <x:v>46188.06188898148</x:v>
      </x:c>
      <x:c r="AI164" s="88" t="s">
        <x:v>3261</x:v>
      </x:c>
      <x:c r="AJ164" s="88" t="s">
        <x:v>259</x:v>
      </x:c>
      <x:c r="AK164" s="88" t="s">
        <x:v>4543</x:v>
      </x:c>
      <x:c r="AL164" s="88" t="s">
        <x:v>3465</x:v>
      </x:c>
    </x:row>
    <x:row r="165">
      <x:c r="A165" s="88" t="s">
        <x:v>4544</x:v>
      </x:c>
      <x:c r="B165" s="88" t="s">
        <x:v>4545</x:v>
      </x:c>
      <x:c r="C165" s="88" t="s">
        <x:v>4522</x:v>
      </x:c>
      <x:c r="D165" s="88" t="s">
        <x:v>3133</x:v>
      </x:c>
      <x:c r="E165" s="88" t="s">
        <x:v>342</x:v>
      </x:c>
      <x:c r="F165" s="89">
        <x:v>46167.124090844911</x:v>
      </x:c>
      <x:c r="G165" s="89">
        <x:v>46167.124090844911</x:v>
      </x:c>
      <x:c r="H165" s="89">
        <x:v>46196.152440439815</x:v>
      </x:c>
      <x:c r="I165" s="88" t="s">
        <x:v>1592</x:v>
      </x:c>
      <x:c r="J165" s="88" t="s">
        <x:v>2146</x:v>
      </x:c>
      <x:c r="K165" s="88">
        <x:v>4569</x:v>
      </x:c>
      <x:c r="L165" s="88" t="s">
        <x:v>3685</x:v>
      </x:c>
      <x:c r="M165" s="88" t="s">
        <x:v>4183</x:v>
      </x:c>
      <x:c r="N165" s="88" t="s">
        <x:v>3686</x:v>
      </x:c>
      <x:c r="O165" s="88" t="s">
        <x:v>3137</x:v>
      </x:c>
      <x:c r="P165" s="88" t="s">
        <x:v>3138</x:v>
      </x:c>
      <x:c r="Q165" s="88" t="s">
        <x:v>4546</x:v>
      </x:c>
      <x:c r="R165" s="88" t="s">
        <x:v>193</x:v>
      </x:c>
      <x:c r="S165" s="88"/>
      <x:c r="T165" s="88"/>
      <x:c r="U165" s="88" t="s">
        <x:v>2333</x:v>
      </x:c>
      <x:c r="V165" s="89">
        <x:v>46167.341987939813</x:v>
      </x:c>
      <x:c r="W165" s="88" t="s">
        <x:v>4185</x:v>
      </x:c>
      <x:c r="X165" s="88" t="s">
        <x:v>259</x:v>
      </x:c>
      <x:c r="Y165" s="88" t="s">
        <x:v>2021</x:v>
      </x:c>
      <x:c r="Z165" s="89">
        <x:v>46168.109302916666</x:v>
      </x:c>
      <x:c r="AA165" s="88" t="s">
        <x:v>2518</x:v>
      </x:c>
      <x:c r="AB165" s="88" t="s">
        <x:v>259</x:v>
      </x:c>
      <x:c r="AC165" s="88" t="s">
        <x:v>4547</x:v>
      </x:c>
      <x:c r="AD165" s="89">
        <x:v>46170.289815023149</x:v>
      </x:c>
      <x:c r="AE165" s="88" t="s">
        <x:v>3142</x:v>
      </x:c>
      <x:c r="AF165" s="88" t="s">
        <x:v>259</x:v>
      </x:c>
      <x:c r="AG165" s="88" t="s">
        <x:v>4548</x:v>
      </x:c>
      <x:c r="AH165" s="89">
        <x:v>46196.152440439815</x:v>
      </x:c>
      <x:c r="AI165" s="88" t="s">
        <x:v>3261</x:v>
      </x:c>
      <x:c r="AJ165" s="88" t="s">
        <x:v>259</x:v>
      </x:c>
      <x:c r="AK165" s="88" t="s">
        <x:v>4549</x:v>
      </x:c>
      <x:c r="AL165" s="88" t="s">
        <x:v>3692</x:v>
      </x:c>
    </x:row>
    <x:row r="166">
      <x:c r="A166" s="88" t="s">
        <x:v>4550</x:v>
      </x:c>
      <x:c r="B166" s="88" t="s">
        <x:v>4551</x:v>
      </x:c>
      <x:c r="C166" s="88" t="s">
        <x:v>1516</x:v>
      </x:c>
      <x:c r="D166" s="88" t="s">
        <x:v>3133</x:v>
      </x:c>
      <x:c r="E166" s="88" t="s">
        <x:v>342</x:v>
      </x:c>
      <x:c r="F166" s="89">
        <x:v>46168.143637442132</x:v>
      </x:c>
      <x:c r="G166" s="89">
        <x:v>46168.143637442132</x:v>
      </x:c>
      <x:c r="H166" s="89">
        <x:v>46191.319373206017</x:v>
      </x:c>
      <x:c r="I166" s="88" t="s">
        <x:v>4552</x:v>
      </x:c>
      <x:c r="J166" s="88" t="s">
        <x:v>4553</x:v>
      </x:c>
      <x:c r="K166" s="88">
        <x:v>3323</x:v>
      </x:c>
      <x:c r="L166" s="88" t="s">
        <x:v>4554</x:v>
      </x:c>
      <x:c r="M166" s="88" t="s">
        <x:v>827</x:v>
      </x:c>
      <x:c r="N166" s="88" t="s">
        <x:v>4555</x:v>
      </x:c>
      <x:c r="O166" s="88" t="s">
        <x:v>3137</x:v>
      </x:c>
      <x:c r="P166" s="88" t="s">
        <x:v>3138</x:v>
      </x:c>
      <x:c r="Q166" s="88" t="s">
        <x:v>4556</x:v>
      </x:c>
      <x:c r="R166" s="88" t="s">
        <x:v>162</x:v>
      </x:c>
      <x:c r="S166" s="88"/>
      <x:c r="T166" s="88"/>
      <x:c r="U166" s="88" t="s">
        <x:v>4557</x:v>
      </x:c>
      <x:c r="V166" s="89">
        <x:v>46168.1455397338</x:v>
      </x:c>
      <x:c r="W166" s="88" t="s">
        <x:v>827</x:v>
      </x:c>
      <x:c r="X166" s="88" t="s">
        <x:v>259</x:v>
      </x:c>
      <x:c r="Y166" s="88" t="s">
        <x:v>2021</x:v>
      </x:c>
      <x:c r="Z166" s="89">
        <x:v>46178.377685648149</x:v>
      </x:c>
      <x:c r="AA166" s="88" t="s">
        <x:v>2518</x:v>
      </x:c>
      <x:c r="AB166" s="88" t="s">
        <x:v>259</x:v>
      </x:c>
      <x:c r="AC166" s="88" t="s">
        <x:v>4558</x:v>
      </x:c>
      <x:c r="AD166" s="89">
        <x:v>46189.341289456017</x:v>
      </x:c>
      <x:c r="AE166" s="88" t="s">
        <x:v>3142</x:v>
      </x:c>
      <x:c r="AF166" s="88" t="s">
        <x:v>259</x:v>
      </x:c>
      <x:c r="AG166" s="88" t="s">
        <x:v>353</x:v>
      </x:c>
      <x:c r="AH166" s="89">
        <x:v>46191.319373206017</x:v>
      </x:c>
      <x:c r="AI166" s="88" t="s">
        <x:v>789</x:v>
      </x:c>
      <x:c r="AJ166" s="88" t="s">
        <x:v>259</x:v>
      </x:c>
      <x:c r="AK166" s="88" t="s">
        <x:v>4559</x:v>
      </x:c>
      <x:c r="AL166" s="88" t="s">
        <x:v>4560</x:v>
      </x:c>
    </x:row>
    <x:row r="167">
      <x:c r="A167" s="88" t="s">
        <x:v>4561</x:v>
      </x:c>
      <x:c r="B167" s="88" t="s">
        <x:v>4562</x:v>
      </x:c>
      <x:c r="C167" s="88" t="s">
        <x:v>453</x:v>
      </x:c>
      <x:c r="D167" s="88" t="s">
        <x:v>3133</x:v>
      </x:c>
      <x:c r="E167" s="88" t="s">
        <x:v>342</x:v>
      </x:c>
      <x:c r="F167" s="89">
        <x:v>46171.028300439815</x:v>
      </x:c>
      <x:c r="G167" s="89">
        <x:v>46171.028300439815</x:v>
      </x:c>
      <x:c r="H167" s="89">
        <x:v>46196.167391909723</x:v>
      </x:c>
      <x:c r="I167" s="88" t="s">
        <x:v>4563</x:v>
      </x:c>
      <x:c r="J167" s="88" t="s">
        <x:v>4564</x:v>
      </x:c>
      <x:c r="K167" s="88" t="s">
        <x:v>4565</x:v>
      </x:c>
      <x:c r="L167" s="88" t="s">
        <x:v>4566</x:v>
      </x:c>
      <x:c r="M167" s="88" t="s">
        <x:v>407</x:v>
      </x:c>
      <x:c r="N167" s="88" t="s">
        <x:v>4567</x:v>
      </x:c>
      <x:c r="O167" s="88" t="s">
        <x:v>3137</x:v>
      </x:c>
      <x:c r="P167" s="88" t="s">
        <x:v>3138</x:v>
      </x:c>
      <x:c r="Q167" s="88" t="s">
        <x:v>4568</x:v>
      </x:c>
      <x:c r="R167" s="88" t="s">
        <x:v>185</x:v>
      </x:c>
      <x:c r="S167" s="88"/>
      <x:c r="T167" s="88"/>
      <x:c r="U167" s="88" t="s">
        <x:v>4569</x:v>
      </x:c>
      <x:c r="V167" s="89">
        <x:v>46171.03457275463</x:v>
      </x:c>
      <x:c r="W167" s="88" t="s">
        <x:v>407</x:v>
      </x:c>
      <x:c r="X167" s="88" t="s">
        <x:v>259</x:v>
      </x:c>
      <x:c r="Y167" s="88" t="s">
        <x:v>2021</x:v>
      </x:c>
      <x:c r="Z167" s="89">
        <x:v>46178.382003194441</x:v>
      </x:c>
      <x:c r="AA167" s="88" t="s">
        <x:v>2518</x:v>
      </x:c>
      <x:c r="AB167" s="88" t="s">
        <x:v>259</x:v>
      </x:c>
      <x:c r="AC167" s="88" t="s">
        <x:v>4570</x:v>
      </x:c>
      <x:c r="AD167" s="89">
        <x:v>46195.349988738424</x:v>
      </x:c>
      <x:c r="AE167" s="88" t="s">
        <x:v>3142</x:v>
      </x:c>
      <x:c r="AF167" s="88" t="s">
        <x:v>259</x:v>
      </x:c>
      <x:c r="AG167" s="88" t="s">
        <x:v>4571</x:v>
      </x:c>
      <x:c r="AH167" s="89">
        <x:v>46196.167391932868</x:v>
      </x:c>
      <x:c r="AI167" s="88" t="s">
        <x:v>3538</x:v>
      </x:c>
      <x:c r="AJ167" s="88" t="s">
        <x:v>259</x:v>
      </x:c>
      <x:c r="AK167" s="88" t="s">
        <x:v>4572</x:v>
      </x:c>
      <x:c r="AL167" s="88" t="s">
        <x:v>4573</x:v>
      </x:c>
    </x:row>
    <x:row r="168">
      <x:c r="A168" s="88" t="s">
        <x:v>4574</x:v>
      </x:c>
      <x:c r="B168" s="88" t="s">
        <x:v>4575</x:v>
      </x:c>
      <x:c r="C168" s="88" t="s">
        <x:v>4576</x:v>
      </x:c>
      <x:c r="D168" s="88" t="s">
        <x:v>3133</x:v>
      </x:c>
      <x:c r="E168" s="88" t="s">
        <x:v>249</x:v>
      </x:c>
      <x:c r="F168" s="89">
        <x:v>46171.364378032406</x:v>
      </x:c>
      <x:c r="G168" s="89">
        <x:v>46171.364378032406</x:v>
      </x:c>
      <x:c r="H168" s="89">
        <x:v>46183.312471354169</x:v>
      </x:c>
      <x:c r="I168" s="88" t="s">
        <x:v>4577</x:v>
      </x:c>
      <x:c r="J168" s="88" t="s">
        <x:v>4578</x:v>
      </x:c>
      <x:c r="K168" s="88">
        <x:v>2427</x:v>
      </x:c>
      <x:c r="L168" s="88" t="s">
        <x:v>4579</x:v>
      </x:c>
      <x:c r="M168" s="88" t="s">
        <x:v>1449</x:v>
      </x:c>
      <x:c r="N168" s="88" t="s">
        <x:v>4580</x:v>
      </x:c>
      <x:c r="O168" s="88" t="s">
        <x:v>3137</x:v>
      </x:c>
      <x:c r="P168" s="88" t="s">
        <x:v>3173</x:v>
      </x:c>
      <x:c r="Q168" s="88" t="s">
        <x:v>4581</x:v>
      </x:c>
      <x:c r="R168" s="88"/>
      <x:c r="S168" s="88"/>
      <x:c r="T168" s="88"/>
      <x:c r="U168" s="88" t="s">
        <x:v>4582</x:v>
      </x:c>
      <x:c r="V168" s="89">
        <x:v>46177.153340358796</x:v>
      </x:c>
      <x:c r="W168" s="88" t="s">
        <x:v>1449</x:v>
      </x:c>
      <x:c r="X168" s="88" t="s">
        <x:v>259</x:v>
      </x:c>
      <x:c r="Y168" s="88" t="s">
        <x:v>4583</x:v>
      </x:c>
      <x:c r="Z168" s="89">
        <x:v>46183.312471365738</x:v>
      </x:c>
      <x:c r="AA168" s="88" t="s">
        <x:v>2518</x:v>
      </x:c>
      <x:c r="AB168" s="88" t="s">
        <x:v>249</x:v>
      </x:c>
      <x:c r="AC168" s="88"/>
      <x:c r="AD168" s="89"/>
      <x:c r="AE168" s="88" t="s">
        <x:v>273</x:v>
      </x:c>
      <x:c r="AF168" s="88"/>
      <x:c r="AG168" s="88"/>
      <x:c r="AH168" s="89"/>
      <x:c r="AI168" s="88" t="s">
        <x:v>3176</x:v>
      </x:c>
      <x:c r="AJ168" s="88"/>
      <x:c r="AK168" s="88"/>
      <x:c r="AL168" s="88" t="s">
        <x:v>4584</x:v>
      </x:c>
    </x:row>
    <x:row r="169">
      <x:c r="A169" s="88" t="s">
        <x:v>4585</x:v>
      </x:c>
      <x:c r="B169" s="88" t="s">
        <x:v>4586</x:v>
      </x:c>
      <x:c r="C169" s="88" t="s">
        <x:v>4576</x:v>
      </x:c>
      <x:c r="D169" s="88" t="s">
        <x:v>3133</x:v>
      </x:c>
      <x:c r="E169" s="88" t="s">
        <x:v>342</x:v>
      </x:c>
      <x:c r="F169" s="89">
        <x:v>46171.367260231484</x:v>
      </x:c>
      <x:c r="G169" s="89">
        <x:v>46171.367260231484</x:v>
      </x:c>
      <x:c r="H169" s="89">
        <x:v>46204.245732465279</x:v>
      </x:c>
      <x:c r="I169" s="88" t="s">
        <x:v>4577</x:v>
      </x:c>
      <x:c r="J169" s="88" t="s">
        <x:v>4578</x:v>
      </x:c>
      <x:c r="K169" s="88">
        <x:v>2427</x:v>
      </x:c>
      <x:c r="L169" s="88" t="s">
        <x:v>4579</x:v>
      </x:c>
      <x:c r="M169" s="88" t="s">
        <x:v>1449</x:v>
      </x:c>
      <x:c r="N169" s="88" t="s">
        <x:v>4580</x:v>
      </x:c>
      <x:c r="O169" s="88" t="s">
        <x:v>3137</x:v>
      </x:c>
      <x:c r="P169" s="88" t="s">
        <x:v>3173</x:v>
      </x:c>
      <x:c r="Q169" s="88" t="s">
        <x:v>4587</x:v>
      </x:c>
      <x:c r="R169" s="88" t="s">
        <x:v>162</x:v>
      </x:c>
      <x:c r="S169" s="88"/>
      <x:c r="T169" s="88"/>
      <x:c r="U169" s="88" t="s">
        <x:v>4582</x:v>
      </x:c>
      <x:c r="V169" s="89">
        <x:v>46177.152343402777</x:v>
      </x:c>
      <x:c r="W169" s="88" t="s">
        <x:v>1449</x:v>
      </x:c>
      <x:c r="X169" s="88" t="s">
        <x:v>259</x:v>
      </x:c>
      <x:c r="Y169" s="88" t="s">
        <x:v>4582</x:v>
      </x:c>
      <x:c r="Z169" s="89">
        <x:v>46177.152571469909</x:v>
      </x:c>
      <x:c r="AA169" s="88" t="s">
        <x:v>1449</x:v>
      </x:c>
      <x:c r="AB169" s="88" t="s">
        <x:v>259</x:v>
      </x:c>
      <x:c r="AC169" s="88" t="s">
        <x:v>4588</x:v>
      </x:c>
      <x:c r="AD169" s="89">
        <x:v>46195.379177222225</x:v>
      </x:c>
      <x:c r="AE169" s="88" t="s">
        <x:v>3142</x:v>
      </x:c>
      <x:c r="AF169" s="88" t="s">
        <x:v>259</x:v>
      </x:c>
      <x:c r="AG169" s="88" t="s">
        <x:v>3681</x:v>
      </x:c>
      <x:c r="AH169" s="89">
        <x:v>46204.245732465279</x:v>
      </x:c>
      <x:c r="AI169" s="88" t="s">
        <x:v>951</x:v>
      </x:c>
      <x:c r="AJ169" s="88" t="s">
        <x:v>259</x:v>
      </x:c>
      <x:c r="AK169" s="88" t="s">
        <x:v>4589</x:v>
      </x:c>
      <x:c r="AL169" s="88" t="s">
        <x:v>4584</x:v>
      </x:c>
    </x:row>
    <x:row r="170">
      <x:c r="A170" s="88" t="s">
        <x:v>4590</x:v>
      </x:c>
      <x:c r="B170" s="88" t="s">
        <x:v>4591</x:v>
      </x:c>
      <x:c r="C170" s="88" t="s">
        <x:v>4592</x:v>
      </x:c>
      <x:c r="D170" s="88" t="s">
        <x:v>3133</x:v>
      </x:c>
      <x:c r="E170" s="88" t="s">
        <x:v>249</x:v>
      </x:c>
      <x:c r="F170" s="89">
        <x:v>46177.067893206018</x:v>
      </x:c>
      <x:c r="G170" s="89">
        <x:v>46177.067893206018</x:v>
      </x:c>
      <x:c r="H170" s="89">
        <x:v>46183.292460567129</x:v>
      </x:c>
      <x:c r="I170" s="88" t="s">
        <x:v>4593</x:v>
      </x:c>
      <x:c r="J170" s="88" t="s">
        <x:v>4594</x:v>
      </x:c>
      <x:c r="K170" s="88">
        <x:v>1799</x:v>
      </x:c>
      <x:c r="L170" s="88" t="s">
        <x:v>4595</x:v>
      </x:c>
      <x:c r="M170" s="88" t="s">
        <x:v>4596</x:v>
      </x:c>
      <x:c r="N170" s="88" t="s">
        <x:v>4594</x:v>
      </x:c>
      <x:c r="O170" s="88" t="s">
        <x:v>3137</x:v>
      </x:c>
      <x:c r="P170" s="88" t="s">
        <x:v>3138</x:v>
      </x:c>
      <x:c r="Q170" s="88" t="s">
        <x:v>4597</x:v>
      </x:c>
      <x:c r="R170" s="88"/>
      <x:c r="S170" s="88"/>
      <x:c r="T170" s="88"/>
      <x:c r="U170" s="88" t="s">
        <x:v>4598</x:v>
      </x:c>
      <x:c r="V170" s="89">
        <x:v>46177.071253032409</x:v>
      </x:c>
      <x:c r="W170" s="88" t="s">
        <x:v>4599</x:v>
      </x:c>
      <x:c r="X170" s="88" t="s">
        <x:v>259</x:v>
      </x:c>
      <x:c r="Y170" s="88" t="s">
        <x:v>4402</x:v>
      </x:c>
      <x:c r="Z170" s="89">
        <x:v>46183.292460578705</x:v>
      </x:c>
      <x:c r="AA170" s="88" t="s">
        <x:v>2518</x:v>
      </x:c>
      <x:c r="AB170" s="88" t="s">
        <x:v>249</x:v>
      </x:c>
      <x:c r="AC170" s="88"/>
      <x:c r="AD170" s="89"/>
      <x:c r="AE170" s="88" t="s">
        <x:v>273</x:v>
      </x:c>
      <x:c r="AF170" s="88"/>
      <x:c r="AG170" s="88"/>
      <x:c r="AH170" s="89"/>
      <x:c r="AI170" s="88" t="s">
        <x:v>3176</x:v>
      </x:c>
      <x:c r="AJ170" s="88"/>
      <x:c r="AK170" s="88"/>
      <x:c r="AL170" s="88" t="s">
        <x:v>4600</x:v>
      </x:c>
    </x:row>
    <x:row r="171">
      <x:c r="A171" s="88" t="s">
        <x:v>4601</x:v>
      </x:c>
      <x:c r="B171" s="88" t="s">
        <x:v>4602</x:v>
      </x:c>
      <x:c r="C171" s="88" t="s">
        <x:v>686</x:v>
      </x:c>
      <x:c r="D171" s="88" t="s">
        <x:v>3133</x:v>
      </x:c>
      <x:c r="E171" s="88" t="s">
        <x:v>249</x:v>
      </x:c>
      <x:c r="F171" s="89">
        <x:v>46177.285762372689</x:v>
      </x:c>
      <x:c r="G171" s="89">
        <x:v>46177.285762372689</x:v>
      </x:c>
      <x:c r="H171" s="89">
        <x:v>46183.297444270836</x:v>
      </x:c>
      <x:c r="I171" s="88" t="s">
        <x:v>3849</x:v>
      </x:c>
      <x:c r="J171" s="88" t="s">
        <x:v>3850</x:v>
      </x:c>
      <x:c r="K171" s="88">
        <x:v>4739</x:v>
      </x:c>
      <x:c r="L171" s="88" t="s">
        <x:v>3851</x:v>
      </x:c>
      <x:c r="M171" s="88" t="s">
        <x:v>3852</x:v>
      </x:c>
      <x:c r="N171" s="88" t="s">
        <x:v>3853</x:v>
      </x:c>
      <x:c r="O171" s="88" t="s">
        <x:v>3137</x:v>
      </x:c>
      <x:c r="P171" s="88" t="s">
        <x:v>3138</x:v>
      </x:c>
      <x:c r="Q171" s="88" t="s">
        <x:v>4603</x:v>
      </x:c>
      <x:c r="R171" s="88"/>
      <x:c r="S171" s="88"/>
      <x:c r="T171" s="88"/>
      <x:c r="U171" s="88" t="s">
        <x:v>4604</x:v>
      </x:c>
      <x:c r="V171" s="89">
        <x:v>46177.345745636572</x:v>
      </x:c>
      <x:c r="W171" s="88" t="s">
        <x:v>689</x:v>
      </x:c>
      <x:c r="X171" s="88" t="s">
        <x:v>259</x:v>
      </x:c>
      <x:c r="Y171" s="88" t="s">
        <x:v>4605</x:v>
      </x:c>
      <x:c r="Z171" s="89">
        <x:v>46183.297444282405</x:v>
      </x:c>
      <x:c r="AA171" s="88" t="s">
        <x:v>2518</x:v>
      </x:c>
      <x:c r="AB171" s="88" t="s">
        <x:v>249</x:v>
      </x:c>
      <x:c r="AC171" s="88"/>
      <x:c r="AD171" s="89"/>
      <x:c r="AE171" s="88" t="s">
        <x:v>273</x:v>
      </x:c>
      <x:c r="AF171" s="88"/>
      <x:c r="AG171" s="88"/>
      <x:c r="AH171" s="89"/>
      <x:c r="AI171" s="88" t="s">
        <x:v>3176</x:v>
      </x:c>
      <x:c r="AJ171" s="88"/>
      <x:c r="AK171" s="88"/>
      <x:c r="AL171" s="88" t="s">
        <x:v>3859</x:v>
      </x:c>
    </x:row>
    <x:row r="172">
      <x:c r="A172" s="88" t="s">
        <x:v>4606</x:v>
      </x:c>
      <x:c r="B172" s="88" t="s">
        <x:v>4607</x:v>
      </x:c>
      <x:c r="C172" s="88" t="s">
        <x:v>3315</x:v>
      </x:c>
      <x:c r="D172" s="88" t="s">
        <x:v>3133</x:v>
      </x:c>
      <x:c r="E172" s="88" t="s">
        <x:v>342</x:v>
      </x:c>
      <x:c r="F172" s="89">
        <x:v>46177.306300034725</x:v>
      </x:c>
      <x:c r="G172" s="89">
        <x:v>46177.379876041668</x:v>
      </x:c>
      <x:c r="H172" s="89">
        <x:v>46196.341239907408</x:v>
      </x:c>
      <x:c r="I172" s="88" t="s">
        <x:v>4608</x:v>
      </x:c>
      <x:c r="J172" s="88" t="s">
        <x:v>4609</x:v>
      </x:c>
      <x:c r="K172" s="88" t="s">
        <x:v>4610</x:v>
      </x:c>
      <x:c r="L172" s="88" t="s">
        <x:v>4611</x:v>
      </x:c>
      <x:c r="M172" s="88" t="s">
        <x:v>4612</x:v>
      </x:c>
      <x:c r="N172" s="88" t="s">
        <x:v>4567</x:v>
      </x:c>
      <x:c r="O172" s="88" t="s">
        <x:v>3137</x:v>
      </x:c>
      <x:c r="P172" s="88" t="s">
        <x:v>3138</x:v>
      </x:c>
      <x:c r="Q172" s="88" t="s">
        <x:v>4613</x:v>
      </x:c>
      <x:c r="R172" s="88" t="s">
        <x:v>162</x:v>
      </x:c>
      <x:c r="S172" s="88"/>
      <x:c r="T172" s="88"/>
      <x:c r="U172" s="88" t="s">
        <x:v>4614</x:v>
      </x:c>
      <x:c r="V172" s="89">
        <x:v>46177.385070428238</x:v>
      </x:c>
      <x:c r="W172" s="88" t="s">
        <x:v>407</x:v>
      </x:c>
      <x:c r="X172" s="88" t="s">
        <x:v>259</x:v>
      </x:c>
      <x:c r="Y172" s="88" t="s">
        <x:v>2021</x:v>
      </x:c>
      <x:c r="Z172" s="89">
        <x:v>46183.301091678244</x:v>
      </x:c>
      <x:c r="AA172" s="88" t="s">
        <x:v>2518</x:v>
      </x:c>
      <x:c r="AB172" s="88" t="s">
        <x:v>259</x:v>
      </x:c>
      <x:c r="AC172" s="88" t="s">
        <x:v>4615</x:v>
      </x:c>
      <x:c r="AD172" s="89">
        <x:v>46195.342208483795</x:v>
      </x:c>
      <x:c r="AE172" s="88" t="s">
        <x:v>3142</x:v>
      </x:c>
      <x:c r="AF172" s="88" t="s">
        <x:v>259</x:v>
      </x:c>
      <x:c r="AG172" s="88" t="s">
        <x:v>353</x:v>
      </x:c>
      <x:c r="AH172" s="89">
        <x:v>46196.341239918984</x:v>
      </x:c>
      <x:c r="AI172" s="88" t="s">
        <x:v>3806</x:v>
      </x:c>
      <x:c r="AJ172" s="88" t="s">
        <x:v>259</x:v>
      </x:c>
      <x:c r="AK172" s="88" t="s">
        <x:v>4616</x:v>
      </x:c>
      <x:c r="AL172" s="88" t="s">
        <x:v>4617</x:v>
      </x:c>
    </x:row>
    <x:row r="173">
      <x:c r="A173" s="88" t="s">
        <x:v>4618</x:v>
      </x:c>
      <x:c r="B173" s="88" t="s">
        <x:v>4619</x:v>
      </x:c>
      <x:c r="C173" s="88" t="s">
        <x:v>4620</x:v>
      </x:c>
      <x:c r="D173" s="88" t="s">
        <x:v>3133</x:v>
      </x:c>
      <x:c r="E173" s="88" t="s">
        <x:v>342</x:v>
      </x:c>
      <x:c r="F173" s="89">
        <x:v>46177.360932384261</x:v>
      </x:c>
      <x:c r="G173" s="89">
        <x:v>46177.390082395832</x:v>
      </x:c>
      <x:c r="H173" s="89">
        <x:v>46196.167311874997</x:v>
      </x:c>
      <x:c r="I173" s="88" t="s">
        <x:v>4621</x:v>
      </x:c>
      <x:c r="J173" s="88" t="s">
        <x:v>4622</x:v>
      </x:c>
      <x:c r="K173" s="88" t="s">
        <x:v>4623</x:v>
      </x:c>
      <x:c r="L173" s="88" t="s">
        <x:v>4624</x:v>
      </x:c>
      <x:c r="M173" s="88" t="s">
        <x:v>4612</x:v>
      </x:c>
      <x:c r="N173" s="88" t="s">
        <x:v>4567</x:v>
      </x:c>
      <x:c r="O173" s="88" t="s">
        <x:v>3137</x:v>
      </x:c>
      <x:c r="P173" s="88" t="s">
        <x:v>3138</x:v>
      </x:c>
      <x:c r="Q173" s="88" t="s">
        <x:v>4625</x:v>
      </x:c>
      <x:c r="R173" s="88" t="s">
        <x:v>162</x:v>
      </x:c>
      <x:c r="S173" s="88"/>
      <x:c r="T173" s="88"/>
      <x:c r="U173" s="88" t="s">
        <x:v>4614</x:v>
      </x:c>
      <x:c r="V173" s="89">
        <x:v>46177.391295069443</x:v>
      </x:c>
      <x:c r="W173" s="88" t="s">
        <x:v>407</x:v>
      </x:c>
      <x:c r="X173" s="88" t="s">
        <x:v>259</x:v>
      </x:c>
      <x:c r="Y173" s="88" t="s">
        <x:v>2021</x:v>
      </x:c>
      <x:c r="Z173" s="89">
        <x:v>46183.301768668978</x:v>
      </x:c>
      <x:c r="AA173" s="88" t="s">
        <x:v>2518</x:v>
      </x:c>
      <x:c r="AB173" s="88" t="s">
        <x:v>259</x:v>
      </x:c>
      <x:c r="AC173" s="88" t="s">
        <x:v>4626</x:v>
      </x:c>
      <x:c r="AD173" s="89">
        <x:v>46195.343742557867</x:v>
      </x:c>
      <x:c r="AE173" s="88" t="s">
        <x:v>3142</x:v>
      </x:c>
      <x:c r="AF173" s="88" t="s">
        <x:v>259</x:v>
      </x:c>
      <x:c r="AG173" s="88" t="s">
        <x:v>4571</x:v>
      </x:c>
      <x:c r="AH173" s="89">
        <x:v>46196.167311898149</x:v>
      </x:c>
      <x:c r="AI173" s="88" t="s">
        <x:v>3538</x:v>
      </x:c>
      <x:c r="AJ173" s="88" t="s">
        <x:v>259</x:v>
      </x:c>
      <x:c r="AK173" s="88" t="s">
        <x:v>4627</x:v>
      </x:c>
      <x:c r="AL173" s="88" t="s">
        <x:v>4628</x:v>
      </x:c>
    </x:row>
    <x:row r="174">
      <x:c r="A174" s="88" t="s">
        <x:v>4629</x:v>
      </x:c>
      <x:c r="B174" s="88" t="s">
        <x:v>4630</x:v>
      </x:c>
      <x:c r="C174" s="88" t="s">
        <x:v>4631</x:v>
      </x:c>
      <x:c r="D174" s="88" t="s">
        <x:v>3133</x:v>
      </x:c>
      <x:c r="E174" s="88" t="s">
        <x:v>342</x:v>
      </x:c>
      <x:c r="F174" s="89">
        <x:v>46177.361566226849</x:v>
      </x:c>
      <x:c r="G174" s="89">
        <x:v>46177.378201979169</x:v>
      </x:c>
      <x:c r="H174" s="89">
        <x:v>46196.340316828704</x:v>
      </x:c>
      <x:c r="I174" s="88" t="s">
        <x:v>4632</x:v>
      </x:c>
      <x:c r="J174" s="88" t="s">
        <x:v>4633</x:v>
      </x:c>
      <x:c r="K174" s="88" t="s">
        <x:v>4634</x:v>
      </x:c>
      <x:c r="L174" s="88" t="s">
        <x:v>4635</x:v>
      </x:c>
      <x:c r="M174" s="88" t="s">
        <x:v>4612</x:v>
      </x:c>
      <x:c r="N174" s="88" t="s">
        <x:v>4567</x:v>
      </x:c>
      <x:c r="O174" s="88" t="s">
        <x:v>3137</x:v>
      </x:c>
      <x:c r="P174" s="88" t="s">
        <x:v>3138</x:v>
      </x:c>
      <x:c r="Q174" s="88" t="s">
        <x:v>4636</x:v>
      </x:c>
      <x:c r="R174" s="88" t="s">
        <x:v>185</x:v>
      </x:c>
      <x:c r="S174" s="88"/>
      <x:c r="T174" s="88"/>
      <x:c r="U174" s="88" t="s">
        <x:v>4614</x:v>
      </x:c>
      <x:c r="V174" s="89">
        <x:v>46177.384856273151</x:v>
      </x:c>
      <x:c r="W174" s="88" t="s">
        <x:v>407</x:v>
      </x:c>
      <x:c r="X174" s="88" t="s">
        <x:v>259</x:v>
      </x:c>
      <x:c r="Y174" s="88" t="s">
        <x:v>2021</x:v>
      </x:c>
      <x:c r="Z174" s="89">
        <x:v>46183.298837187504</x:v>
      </x:c>
      <x:c r="AA174" s="88" t="s">
        <x:v>2518</x:v>
      </x:c>
      <x:c r="AB174" s="88" t="s">
        <x:v>259</x:v>
      </x:c>
      <x:c r="AC174" s="88" t="s">
        <x:v>4637</x:v>
      </x:c>
      <x:c r="AD174" s="89">
        <x:v>46195.343061539352</x:v>
      </x:c>
      <x:c r="AE174" s="88" t="s">
        <x:v>3142</x:v>
      </x:c>
      <x:c r="AF174" s="88" t="s">
        <x:v>259</x:v>
      </x:c>
      <x:c r="AG174" s="88" t="s">
        <x:v>353</x:v>
      </x:c>
      <x:c r="AH174" s="89">
        <x:v>46196.34031684028</x:v>
      </x:c>
      <x:c r="AI174" s="88" t="s">
        <x:v>3806</x:v>
      </x:c>
      <x:c r="AJ174" s="88" t="s">
        <x:v>259</x:v>
      </x:c>
      <x:c r="AK174" s="88" t="s">
        <x:v>4638</x:v>
      </x:c>
      <x:c r="AL174" s="88" t="s">
        <x:v>4639</x:v>
      </x:c>
    </x:row>
    <x:row r="175">
      <x:c r="A175" s="88" t="s">
        <x:v>4640</x:v>
      </x:c>
      <x:c r="B175" s="88" t="s">
        <x:v>4641</x:v>
      </x:c>
      <x:c r="C175" s="88" t="s">
        <x:v>3642</x:v>
      </x:c>
      <x:c r="D175" s="88" t="s">
        <x:v>3133</x:v>
      </x:c>
      <x:c r="E175" s="88" t="s">
        <x:v>342</x:v>
      </x:c>
      <x:c r="F175" s="89">
        <x:v>46177.406961203706</x:v>
      </x:c>
      <x:c r="G175" s="89">
        <x:v>46177.406961203706</x:v>
      </x:c>
      <x:c r="H175" s="89">
        <x:v>46196.341319328705</x:v>
      </x:c>
      <x:c r="I175" s="88" t="s">
        <x:v>4642</x:v>
      </x:c>
      <x:c r="J175" s="88" t="s">
        <x:v>4643</x:v>
      </x:c>
      <x:c r="K175" s="88" t="s">
        <x:v>4644</x:v>
      </x:c>
      <x:c r="L175" s="88" t="s">
        <x:v>4645</x:v>
      </x:c>
      <x:c r="M175" s="88" t="s">
        <x:v>1059</x:v>
      </x:c>
      <x:c r="N175" s="88" t="s">
        <x:v>4646</x:v>
      </x:c>
      <x:c r="O175" s="88" t="s">
        <x:v>3137</x:v>
      </x:c>
      <x:c r="P175" s="88" t="s">
        <x:v>3138</x:v>
      </x:c>
      <x:c r="Q175" s="88" t="s">
        <x:v>4647</x:v>
      </x:c>
      <x:c r="R175" s="88" t="s">
        <x:v>185</x:v>
      </x:c>
      <x:c r="S175" s="88"/>
      <x:c r="T175" s="88"/>
      <x:c r="U175" s="88" t="s">
        <x:v>1060</x:v>
      </x:c>
      <x:c r="V175" s="89">
        <x:v>46177.410579074072</x:v>
      </x:c>
      <x:c r="W175" s="88" t="s">
        <x:v>1059</x:v>
      </x:c>
      <x:c r="X175" s="88" t="s">
        <x:v>259</x:v>
      </x:c>
      <x:c r="Y175" s="88" t="s">
        <x:v>2021</x:v>
      </x:c>
      <x:c r="Z175" s="89">
        <x:v>46183.302277893519</x:v>
      </x:c>
      <x:c r="AA175" s="88" t="s">
        <x:v>2518</x:v>
      </x:c>
      <x:c r="AB175" s="88" t="s">
        <x:v>259</x:v>
      </x:c>
      <x:c r="AC175" s="88" t="s">
        <x:v>4648</x:v>
      </x:c>
      <x:c r="AD175" s="89">
        <x:v>46195.344827488429</x:v>
      </x:c>
      <x:c r="AE175" s="88" t="s">
        <x:v>3142</x:v>
      </x:c>
      <x:c r="AF175" s="88" t="s">
        <x:v>259</x:v>
      </x:c>
      <x:c r="AG175" s="88" t="s">
        <x:v>353</x:v>
      </x:c>
      <x:c r="AH175" s="89">
        <x:v>46196.34131935185</x:v>
      </x:c>
      <x:c r="AI175" s="88" t="s">
        <x:v>3806</x:v>
      </x:c>
      <x:c r="AJ175" s="88" t="s">
        <x:v>259</x:v>
      </x:c>
      <x:c r="AK175" s="88" t="s">
        <x:v>4649</x:v>
      </x:c>
      <x:c r="AL175" s="88" t="s">
        <x:v>4650</x:v>
      </x:c>
    </x:row>
    <x:row r="176">
      <x:c r="A176" s="88" t="s">
        <x:v>4651</x:v>
      </x:c>
      <x:c r="B176" s="88" t="s">
        <x:v>4652</x:v>
      </x:c>
      <x:c r="C176" s="88" t="s">
        <x:v>4653</x:v>
      </x:c>
      <x:c r="D176" s="88" t="s">
        <x:v>3133</x:v>
      </x:c>
      <x:c r="E176" s="88" t="s">
        <x:v>342</x:v>
      </x:c>
      <x:c r="F176" s="89">
        <x:v>46178.055282627312</x:v>
      </x:c>
      <x:c r="G176" s="89">
        <x:v>46178.055282627312</x:v>
      </x:c>
      <x:c r="H176" s="89">
        <x:v>46189.103730127317</x:v>
      </x:c>
      <x:c r="I176" s="88" t="s">
        <x:v>4654</x:v>
      </x:c>
      <x:c r="J176" s="88" t="s">
        <x:v>4655</x:v>
      </x:c>
      <x:c r="K176" s="88" t="s">
        <x:v>4656</x:v>
      </x:c>
      <x:c r="L176" s="88" t="s">
        <x:v>4657</x:v>
      </x:c>
      <x:c r="M176" s="88" t="s">
        <x:v>4658</x:v>
      </x:c>
      <x:c r="N176" s="88" t="s">
        <x:v>4655</x:v>
      </x:c>
      <x:c r="O176" s="88" t="s">
        <x:v>3203</x:v>
      </x:c>
      <x:c r="P176" s="88" t="s">
        <x:v>3138</x:v>
      </x:c>
      <x:c r="Q176" s="88" t="s">
        <x:v>4659</x:v>
      </x:c>
      <x:c r="R176" s="88" t="s">
        <x:v>185</x:v>
      </x:c>
      <x:c r="S176" s="88" t="s">
        <x:v>4659</x:v>
      </x:c>
      <x:c r="T176" s="88"/>
      <x:c r="U176" s="88" t="s">
        <x:v>4660</x:v>
      </x:c>
      <x:c r="V176" s="89">
        <x:v>46178.081571550923</x:v>
      </x:c>
      <x:c r="W176" s="88" t="s">
        <x:v>4661</x:v>
      </x:c>
      <x:c r="X176" s="88" t="s">
        <x:v>259</x:v>
      </x:c>
      <x:c r="Y176" s="88" t="s">
        <x:v>2021</x:v>
      </x:c>
      <x:c r="Z176" s="89">
        <x:v>46178.368402789354</x:v>
      </x:c>
      <x:c r="AA176" s="88" t="s">
        <x:v>2518</x:v>
      </x:c>
      <x:c r="AB176" s="88" t="s">
        <x:v>259</x:v>
      </x:c>
      <x:c r="AC176" s="88" t="s">
        <x:v>4662</x:v>
      </x:c>
      <x:c r="AD176" s="89">
        <x:v>46182.279199282406</x:v>
      </x:c>
      <x:c r="AE176" s="88" t="s">
        <x:v>271</x:v>
      </x:c>
      <x:c r="AF176" s="88" t="s">
        <x:v>259</x:v>
      </x:c>
      <x:c r="AG176" s="88" t="s">
        <x:v>4015</x:v>
      </x:c>
      <x:c r="AH176" s="89">
        <x:v>46189.103730162038</x:v>
      </x:c>
      <x:c r="AI176" s="88" t="s">
        <x:v>3282</x:v>
      </x:c>
      <x:c r="AJ176" s="88" t="s">
        <x:v>259</x:v>
      </x:c>
      <x:c r="AK176" s="88" t="s">
        <x:v>4663</x:v>
      </x:c>
      <x:c r="AL176" s="88" t="s">
        <x:v>4664</x:v>
      </x:c>
    </x:row>
    <x:row r="177">
      <x:c r="A177" s="88" t="s">
        <x:v>4665</x:v>
      </x:c>
      <x:c r="B177" s="88" t="s">
        <x:v>4666</x:v>
      </x:c>
      <x:c r="C177" s="88" t="s">
        <x:v>613</x:v>
      </x:c>
      <x:c r="D177" s="88" t="s">
        <x:v>3133</x:v>
      </x:c>
      <x:c r="E177" s="88" t="s">
        <x:v>342</x:v>
      </x:c>
      <x:c r="F177" s="89">
        <x:v>46178.175059097222</x:v>
      </x:c>
      <x:c r="G177" s="89">
        <x:v>46178.175059097222</x:v>
      </x:c>
      <x:c r="H177" s="89">
        <x:v>46204.219643032404</x:v>
      </x:c>
      <x:c r="I177" s="88" t="s">
        <x:v>4667</x:v>
      </x:c>
      <x:c r="J177" s="88" t="s">
        <x:v>4668</x:v>
      </x:c>
      <x:c r="K177" s="88" t="s">
        <x:v>4669</x:v>
      </x:c>
      <x:c r="L177" s="88" t="s">
        <x:v>4670</x:v>
      </x:c>
      <x:c r="M177" s="88" t="s">
        <x:v>4612</x:v>
      </x:c>
      <x:c r="N177" s="88" t="s">
        <x:v>4567</x:v>
      </x:c>
      <x:c r="O177" s="88" t="s">
        <x:v>3137</x:v>
      </x:c>
      <x:c r="P177" s="88" t="s">
        <x:v>3138</x:v>
      </x:c>
      <x:c r="Q177" s="88" t="s">
        <x:v>4671</x:v>
      </x:c>
      <x:c r="R177" s="88" t="s">
        <x:v>185</x:v>
      </x:c>
      <x:c r="S177" s="88"/>
      <x:c r="T177" s="88"/>
      <x:c r="U177" s="88" t="s">
        <x:v>4614</x:v>
      </x:c>
      <x:c r="V177" s="89">
        <x:v>46178.176435486108</x:v>
      </x:c>
      <x:c r="W177" s="88" t="s">
        <x:v>407</x:v>
      </x:c>
      <x:c r="X177" s="88" t="s">
        <x:v>259</x:v>
      </x:c>
      <x:c r="Y177" s="88" t="s">
        <x:v>4614</x:v>
      </x:c>
      <x:c r="Z177" s="89">
        <x:v>46178.177552060188</x:v>
      </x:c>
      <x:c r="AA177" s="88" t="s">
        <x:v>407</x:v>
      </x:c>
      <x:c r="AB177" s="88" t="s">
        <x:v>259</x:v>
      </x:c>
      <x:c r="AC177" s="88" t="s">
        <x:v>4672</x:v>
      </x:c>
      <x:c r="AD177" s="89">
        <x:v>46195.346009328707</x:v>
      </x:c>
      <x:c r="AE177" s="88" t="s">
        <x:v>3142</x:v>
      </x:c>
      <x:c r="AF177" s="88" t="s">
        <x:v>259</x:v>
      </x:c>
      <x:c r="AG177" s="88" t="s">
        <x:v>4673</x:v>
      </x:c>
      <x:c r="AH177" s="89">
        <x:v>46204.21964304398</x:v>
      </x:c>
      <x:c r="AI177" s="88" t="s">
        <x:v>309</x:v>
      </x:c>
      <x:c r="AJ177" s="88" t="s">
        <x:v>259</x:v>
      </x:c>
      <x:c r="AK177" s="88" t="s">
        <x:v>4674</x:v>
      </x:c>
      <x:c r="AL177" s="88" t="s">
        <x:v>4675</x:v>
      </x:c>
    </x:row>
    <x:row r="178">
      <x:c r="A178" s="88" t="s">
        <x:v>4676</x:v>
      </x:c>
      <x:c r="B178" s="88" t="s">
        <x:v>4677</x:v>
      </x:c>
      <x:c r="C178" s="88" t="s">
        <x:v>4374</x:v>
      </x:c>
      <x:c r="D178" s="88" t="s">
        <x:v>3133</x:v>
      </x:c>
      <x:c r="E178" s="88" t="s">
        <x:v>342</x:v>
      </x:c>
      <x:c r="F178" s="89">
        <x:v>46178.302326261575</x:v>
      </x:c>
      <x:c r="G178" s="89">
        <x:v>46178.302326261575</x:v>
      </x:c>
      <x:c r="H178" s="89">
        <x:v>46196.167232199077</x:v>
      </x:c>
      <x:c r="I178" s="88" t="s">
        <x:v>4678</x:v>
      </x:c>
      <x:c r="J178" s="88" t="s">
        <x:v>4679</x:v>
      </x:c>
      <x:c r="K178" s="88" t="s">
        <x:v>4680</x:v>
      </x:c>
      <x:c r="L178" s="88" t="s">
        <x:v>4681</x:v>
      </x:c>
      <x:c r="M178" s="88" t="s">
        <x:v>3822</x:v>
      </x:c>
      <x:c r="N178" s="88" t="s">
        <x:v>4567</x:v>
      </x:c>
      <x:c r="O178" s="88" t="s">
        <x:v>3137</x:v>
      </x:c>
      <x:c r="P178" s="88" t="s">
        <x:v>3138</x:v>
      </x:c>
      <x:c r="Q178" s="88" t="s">
        <x:v>4682</x:v>
      </x:c>
      <x:c r="R178" s="88" t="s">
        <x:v>162</x:v>
      </x:c>
      <x:c r="S178" s="88"/>
      <x:c r="T178" s="88"/>
      <x:c r="U178" s="88" t="s">
        <x:v>4683</x:v>
      </x:c>
      <x:c r="V178" s="89">
        <x:v>46178.307855069441</x:v>
      </x:c>
      <x:c r="W178" s="88" t="s">
        <x:v>3824</x:v>
      </x:c>
      <x:c r="X178" s="88" t="s">
        <x:v>259</x:v>
      </x:c>
      <x:c r="Y178" s="88" t="s">
        <x:v>4684</x:v>
      </x:c>
      <x:c r="Z178" s="89">
        <x:v>46183.305741689815</x:v>
      </x:c>
      <x:c r="AA178" s="88" t="s">
        <x:v>2518</x:v>
      </x:c>
      <x:c r="AB178" s="88" t="s">
        <x:v>259</x:v>
      </x:c>
      <x:c r="AC178" s="88" t="s">
        <x:v>3880</x:v>
      </x:c>
      <x:c r="AD178" s="89">
        <x:v>46195.34891552083</x:v>
      </x:c>
      <x:c r="AE178" s="88" t="s">
        <x:v>3142</x:v>
      </x:c>
      <x:c r="AF178" s="88" t="s">
        <x:v>259</x:v>
      </x:c>
      <x:c r="AG178" s="88" t="s">
        <x:v>4571</x:v>
      </x:c>
      <x:c r="AH178" s="89">
        <x:v>46196.167232210646</x:v>
      </x:c>
      <x:c r="AI178" s="88" t="s">
        <x:v>3538</x:v>
      </x:c>
      <x:c r="AJ178" s="88" t="s">
        <x:v>259</x:v>
      </x:c>
      <x:c r="AK178" s="88" t="s">
        <x:v>4685</x:v>
      </x:c>
      <x:c r="AL178" s="88" t="s">
        <x:v>4686</x:v>
      </x:c>
    </x:row>
    <x:row r="179">
      <x:c r="A179" s="88" t="s">
        <x:v>4687</x:v>
      </x:c>
      <x:c r="B179" s="88" t="s">
        <x:v>4688</x:v>
      </x:c>
      <x:c r="C179" s="88" t="s">
        <x:v>3259</x:v>
      </x:c>
      <x:c r="D179" s="88" t="s">
        <x:v>3133</x:v>
      </x:c>
      <x:c r="E179" s="88" t="s">
        <x:v>342</x:v>
      </x:c>
      <x:c r="F179" s="89">
        <x:v>46182.327769074072</x:v>
      </x:c>
      <x:c r="G179" s="89">
        <x:v>46184.290564282404</x:v>
      </x:c>
      <x:c r="H179" s="89">
        <x:v>46199.23307775463</x:v>
      </x:c>
      <x:c r="I179" s="88" t="s">
        <x:v>4689</x:v>
      </x:c>
      <x:c r="J179" s="88" t="s">
        <x:v>4690</x:v>
      </x:c>
      <x:c r="K179" s="88" t="s">
        <x:v>4691</x:v>
      </x:c>
      <x:c r="L179" s="88" t="s">
        <x:v>4692</x:v>
      </x:c>
      <x:c r="M179" s="88" t="s">
        <x:v>4693</x:v>
      </x:c>
      <x:c r="N179" s="88" t="s">
        <x:v>4690</x:v>
      </x:c>
      <x:c r="O179" s="88" t="s">
        <x:v>3137</x:v>
      </x:c>
      <x:c r="P179" s="88" t="s">
        <x:v>3225</x:v>
      </x:c>
      <x:c r="Q179" s="88" t="s">
        <x:v>4694</x:v>
      </x:c>
      <x:c r="R179" s="88" t="s">
        <x:v>193</x:v>
      </x:c>
      <x:c r="S179" s="88"/>
      <x:c r="T179" s="88"/>
      <x:c r="U179" s="88" t="s">
        <x:v>4695</x:v>
      </x:c>
      <x:c r="V179" s="89">
        <x:v>46184.303156539354</x:v>
      </x:c>
      <x:c r="W179" s="88" t="s">
        <x:v>4696</x:v>
      </x:c>
      <x:c r="X179" s="88" t="s">
        <x:v>259</x:v>
      </x:c>
      <x:c r="Y179" s="88" t="s">
        <x:v>2021</x:v>
      </x:c>
      <x:c r="Z179" s="89">
        <x:v>46188.134317951386</x:v>
      </x:c>
      <x:c r="AA179" s="88" t="s">
        <x:v>2518</x:v>
      </x:c>
      <x:c r="AB179" s="88" t="s">
        <x:v>259</x:v>
      </x:c>
      <x:c r="AC179" s="88" t="s">
        <x:v>4697</x:v>
      </x:c>
      <x:c r="AD179" s="89">
        <x:v>46189.1154852662</x:v>
      </x:c>
      <x:c r="AE179" s="88" t="s">
        <x:v>3142</x:v>
      </x:c>
      <x:c r="AF179" s="88" t="s">
        <x:v>259</x:v>
      </x:c>
      <x:c r="AG179" s="88" t="s">
        <x:v>342</x:v>
      </x:c>
      <x:c r="AH179" s="89">
        <x:v>46199.233077766206</x:v>
      </x:c>
      <x:c r="AI179" s="88" t="s">
        <x:v>3360</x:v>
      </x:c>
      <x:c r="AJ179" s="88" t="s">
        <x:v>259</x:v>
      </x:c>
      <x:c r="AK179" s="88" t="s">
        <x:v>4698</x:v>
      </x:c>
      <x:c r="AL179" s="88" t="s">
        <x:v>4699</x:v>
      </x:c>
    </x:row>
    <x:row r="180">
      <x:c r="A180" s="88" t="s">
        <x:v>4700</x:v>
      </x:c>
      <x:c r="B180" s="88" t="s">
        <x:v>4701</x:v>
      </x:c>
      <x:c r="C180" s="88" t="s">
        <x:v>3259</x:v>
      </x:c>
      <x:c r="D180" s="88" t="s">
        <x:v>3133</x:v>
      </x:c>
      <x:c r="E180" s="88" t="s">
        <x:v>342</x:v>
      </x:c>
      <x:c r="F180" s="89">
        <x:v>46182.330031689817</x:v>
      </x:c>
      <x:c r="G180" s="89">
        <x:v>46184.289465092595</x:v>
      </x:c>
      <x:c r="H180" s="89">
        <x:v>46199.23329621528</x:v>
      </x:c>
      <x:c r="I180" s="88" t="s">
        <x:v>4689</x:v>
      </x:c>
      <x:c r="J180" s="88" t="s">
        <x:v>4690</x:v>
      </x:c>
      <x:c r="K180" s="88" t="s">
        <x:v>4691</x:v>
      </x:c>
      <x:c r="L180" s="88" t="s">
        <x:v>4692</x:v>
      </x:c>
      <x:c r="M180" s="88" t="s">
        <x:v>4693</x:v>
      </x:c>
      <x:c r="N180" s="88" t="s">
        <x:v>4690</x:v>
      </x:c>
      <x:c r="O180" s="88" t="s">
        <x:v>3137</x:v>
      </x:c>
      <x:c r="P180" s="88" t="s">
        <x:v>3173</x:v>
      </x:c>
      <x:c r="Q180" s="88" t="s">
        <x:v>4702</x:v>
      </x:c>
      <x:c r="R180" s="88" t="s">
        <x:v>193</x:v>
      </x:c>
      <x:c r="S180" s="88"/>
      <x:c r="T180" s="88"/>
      <x:c r="U180" s="88" t="s">
        <x:v>4703</x:v>
      </x:c>
      <x:c r="V180" s="89">
        <x:v>46184.292779224539</x:v>
      </x:c>
      <x:c r="W180" s="88" t="s">
        <x:v>4696</x:v>
      </x:c>
      <x:c r="X180" s="88" t="s">
        <x:v>259</x:v>
      </x:c>
      <x:c r="Y180" s="88" t="s">
        <x:v>2021</x:v>
      </x:c>
      <x:c r="Z180" s="89">
        <x:v>46188.13380236111</x:v>
      </x:c>
      <x:c r="AA180" s="88" t="s">
        <x:v>2518</x:v>
      </x:c>
      <x:c r="AB180" s="88" t="s">
        <x:v>259</x:v>
      </x:c>
      <x:c r="AC180" s="88" t="s">
        <x:v>4697</x:v>
      </x:c>
      <x:c r="AD180" s="89">
        <x:v>46189.115579456018</x:v>
      </x:c>
      <x:c r="AE180" s="88" t="s">
        <x:v>3142</x:v>
      </x:c>
      <x:c r="AF180" s="88" t="s">
        <x:v>259</x:v>
      </x:c>
      <x:c r="AG180" s="88" t="s">
        <x:v>342</x:v>
      </x:c>
      <x:c r="AH180" s="89">
        <x:v>46199.233296226848</x:v>
      </x:c>
      <x:c r="AI180" s="88" t="s">
        <x:v>3360</x:v>
      </x:c>
      <x:c r="AJ180" s="88" t="s">
        <x:v>259</x:v>
      </x:c>
      <x:c r="AK180" s="88" t="s">
        <x:v>4704</x:v>
      </x:c>
      <x:c r="AL180" s="88" t="s">
        <x:v>4699</x:v>
      </x:c>
    </x:row>
    <x:row r="181">
      <x:c r="A181" s="88" t="s">
        <x:v>4705</x:v>
      </x:c>
      <x:c r="B181" s="88" t="s">
        <x:v>4706</x:v>
      </x:c>
      <x:c r="C181" s="88" t="s">
        <x:v>3259</x:v>
      </x:c>
      <x:c r="D181" s="88" t="s">
        <x:v>3133</x:v>
      </x:c>
      <x:c r="E181" s="88" t="s">
        <x:v>342</x:v>
      </x:c>
      <x:c r="F181" s="89">
        <x:v>46182.330869583333</x:v>
      </x:c>
      <x:c r="G181" s="89">
        <x:v>46184.288308622687</x:v>
      </x:c>
      <x:c r="H181" s="89">
        <x:v>46199.233622361113</x:v>
      </x:c>
      <x:c r="I181" s="88" t="s">
        <x:v>4689</x:v>
      </x:c>
      <x:c r="J181" s="88" t="s">
        <x:v>4690</x:v>
      </x:c>
      <x:c r="K181" s="88" t="s">
        <x:v>4691</x:v>
      </x:c>
      <x:c r="L181" s="88" t="s">
        <x:v>4692</x:v>
      </x:c>
      <x:c r="M181" s="88" t="s">
        <x:v>4693</x:v>
      </x:c>
      <x:c r="N181" s="88" t="s">
        <x:v>4690</x:v>
      </x:c>
      <x:c r="O181" s="88" t="s">
        <x:v>3137</x:v>
      </x:c>
      <x:c r="P181" s="88" t="s">
        <x:v>3138</x:v>
      </x:c>
      <x:c r="Q181" s="88" t="s">
        <x:v>4707</x:v>
      </x:c>
      <x:c r="R181" s="88" t="s">
        <x:v>193</x:v>
      </x:c>
      <x:c r="S181" s="88"/>
      <x:c r="T181" s="88"/>
      <x:c r="U181" s="88" t="s">
        <x:v>4703</x:v>
      </x:c>
      <x:c r="V181" s="89">
        <x:v>46184.292292164355</x:v>
      </x:c>
      <x:c r="W181" s="88" t="s">
        <x:v>4696</x:v>
      </x:c>
      <x:c r="X181" s="88" t="s">
        <x:v>259</x:v>
      </x:c>
      <x:c r="Y181" s="88" t="s">
        <x:v>4703</x:v>
      </x:c>
      <x:c r="Z181" s="89">
        <x:v>46184.293584108796</x:v>
      </x:c>
      <x:c r="AA181" s="88" t="s">
        <x:v>4696</x:v>
      </x:c>
      <x:c r="AB181" s="88" t="s">
        <x:v>259</x:v>
      </x:c>
      <x:c r="AC181" s="88" t="s">
        <x:v>4697</x:v>
      </x:c>
      <x:c r="AD181" s="89">
        <x:v>46189.115711874998</x:v>
      </x:c>
      <x:c r="AE181" s="88" t="s">
        <x:v>3142</x:v>
      </x:c>
      <x:c r="AF181" s="88" t="s">
        <x:v>259</x:v>
      </x:c>
      <x:c r="AG181" s="88" t="s">
        <x:v>342</x:v>
      </x:c>
      <x:c r="AH181" s="89">
        <x:v>46199.233622372682</x:v>
      </x:c>
      <x:c r="AI181" s="88" t="s">
        <x:v>3360</x:v>
      </x:c>
      <x:c r="AJ181" s="88" t="s">
        <x:v>259</x:v>
      </x:c>
      <x:c r="AK181" s="88" t="s">
        <x:v>4708</x:v>
      </x:c>
      <x:c r="AL181" s="88" t="s">
        <x:v>4699</x:v>
      </x:c>
    </x:row>
    <x:row r="182">
      <x:c r="A182" s="88" t="s">
        <x:v>4709</x:v>
      </x:c>
      <x:c r="B182" s="88" t="s">
        <x:v>4710</x:v>
      </x:c>
      <x:c r="C182" s="88" t="s">
        <x:v>4711</x:v>
      </x:c>
      <x:c r="D182" s="88" t="s">
        <x:v>3133</x:v>
      </x:c>
      <x:c r="E182" s="88" t="s">
        <x:v>342</x:v>
      </x:c>
      <x:c r="F182" s="89">
        <x:v>46183.385447499997</x:v>
      </x:c>
      <x:c r="G182" s="89">
        <x:v>46184.289764583336</x:v>
      </x:c>
      <x:c r="H182" s="89">
        <x:v>46196.340884351848</x:v>
      </x:c>
      <x:c r="I182" s="88" t="s">
        <x:v>4712</x:v>
      </x:c>
      <x:c r="J182" s="88" t="s">
        <x:v>4713</x:v>
      </x:c>
      <x:c r="K182" s="88" t="s">
        <x:v>4714</x:v>
      </x:c>
      <x:c r="L182" s="88" t="s">
        <x:v>4715</x:v>
      </x:c>
      <x:c r="M182" s="88" t="s">
        <x:v>407</x:v>
      </x:c>
      <x:c r="N182" s="88" t="s">
        <x:v>4567</x:v>
      </x:c>
      <x:c r="O182" s="88" t="s">
        <x:v>3137</x:v>
      </x:c>
      <x:c r="P182" s="88" t="s">
        <x:v>3138</x:v>
      </x:c>
      <x:c r="Q182" s="88" t="s">
        <x:v>4716</x:v>
      </x:c>
      <x:c r="R182" s="88" t="s">
        <x:v>185</x:v>
      </x:c>
      <x:c r="S182" s="88"/>
      <x:c r="T182" s="88"/>
      <x:c r="U182" s="88" t="s">
        <x:v>4717</x:v>
      </x:c>
      <x:c r="V182" s="89">
        <x:v>46184.302174722223</x:v>
      </x:c>
      <x:c r="W182" s="88" t="s">
        <x:v>407</x:v>
      </x:c>
      <x:c r="X182" s="88" t="s">
        <x:v>259</x:v>
      </x:c>
      <x:c r="Y182" s="88" t="s">
        <x:v>2021</x:v>
      </x:c>
      <x:c r="Z182" s="89">
        <x:v>46188.137115972226</x:v>
      </x:c>
      <x:c r="AA182" s="88" t="s">
        <x:v>2518</x:v>
      </x:c>
      <x:c r="AB182" s="88" t="s">
        <x:v>259</x:v>
      </x:c>
      <x:c r="AC182" s="88" t="s">
        <x:v>4718</x:v>
      </x:c>
      <x:c r="AD182" s="89">
        <x:v>46195.347511759261</x:v>
      </x:c>
      <x:c r="AE182" s="88" t="s">
        <x:v>3142</x:v>
      </x:c>
      <x:c r="AF182" s="88" t="s">
        <x:v>259</x:v>
      </x:c>
      <x:c r="AG182" s="88" t="s">
        <x:v>353</x:v>
      </x:c>
      <x:c r="AH182" s="89">
        <x:v>46196.340884363424</x:v>
      </x:c>
      <x:c r="AI182" s="88" t="s">
        <x:v>3806</x:v>
      </x:c>
      <x:c r="AJ182" s="88" t="s">
        <x:v>259</x:v>
      </x:c>
      <x:c r="AK182" s="88" t="s">
        <x:v>4719</x:v>
      </x:c>
      <x:c r="AL182" s="88" t="s">
        <x:v>4720</x:v>
      </x:c>
    </x:row>
    <x:row r="183">
      <x:c r="A183" s="88" t="s">
        <x:v>4721</x:v>
      </x:c>
      <x:c r="B183" s="88" t="s">
        <x:v>4722</x:v>
      </x:c>
      <x:c r="C183" s="88" t="s">
        <x:v>4723</x:v>
      </x:c>
      <x:c r="D183" s="88" t="s">
        <x:v>3133</x:v>
      </x:c>
      <x:c r="E183" s="88" t="s">
        <x:v>342</x:v>
      </x:c>
      <x:c r="F183" s="89">
        <x:v>46184.093361770836</x:v>
      </x:c>
      <x:c r="G183" s="89">
        <x:v>46184.172722256946</x:v>
      </x:c>
      <x:c r="H183" s="89">
        <x:v>46196.167159143515</x:v>
      </x:c>
      <x:c r="I183" s="88" t="s">
        <x:v>4724</x:v>
      </x:c>
      <x:c r="J183" s="88" t="s">
        <x:v>4725</x:v>
      </x:c>
      <x:c r="K183" s="88" t="s">
        <x:v>4726</x:v>
      </x:c>
      <x:c r="L183" s="88" t="s">
        <x:v>4727</x:v>
      </x:c>
      <x:c r="M183" s="88" t="s">
        <x:v>407</x:v>
      </x:c>
      <x:c r="N183" s="88" t="s">
        <x:v>4567</x:v>
      </x:c>
      <x:c r="O183" s="88" t="s">
        <x:v>3137</x:v>
      </x:c>
      <x:c r="P183" s="88" t="s">
        <x:v>3138</x:v>
      </x:c>
      <x:c r="Q183" s="88" t="s">
        <x:v>4728</x:v>
      </x:c>
      <x:c r="R183" s="88" t="s">
        <x:v>185</x:v>
      </x:c>
      <x:c r="S183" s="88"/>
      <x:c r="T183" s="88"/>
      <x:c r="U183" s="88" t="s">
        <x:v>4729</x:v>
      </x:c>
      <x:c r="V183" s="89">
        <x:v>46184.178470925923</x:v>
      </x:c>
      <x:c r="W183" s="88" t="s">
        <x:v>407</x:v>
      </x:c>
      <x:c r="X183" s="88" t="s">
        <x:v>259</x:v>
      </x:c>
      <x:c r="Y183" s="88" t="s">
        <x:v>4730</x:v>
      </x:c>
      <x:c r="Z183" s="89">
        <x:v>46191.288401759259</x:v>
      </x:c>
      <x:c r="AA183" s="88" t="s">
        <x:v>2518</x:v>
      </x:c>
      <x:c r="AB183" s="88" t="s">
        <x:v>259</x:v>
      </x:c>
      <x:c r="AC183" s="88" t="s">
        <x:v>4731</x:v>
      </x:c>
      <x:c r="AD183" s="89">
        <x:v>46195.348289953705</x:v>
      </x:c>
      <x:c r="AE183" s="88" t="s">
        <x:v>3142</x:v>
      </x:c>
      <x:c r="AF183" s="88" t="s">
        <x:v>259</x:v>
      </x:c>
      <x:c r="AG183" s="88" t="s">
        <x:v>4571</x:v>
      </x:c>
      <x:c r="AH183" s="89">
        <x:v>46196.166693043982</x:v>
      </x:c>
      <x:c r="AI183" s="88" t="s">
        <x:v>3538</x:v>
      </x:c>
      <x:c r="AJ183" s="88" t="s">
        <x:v>259</x:v>
      </x:c>
      <x:c r="AK183" s="88" t="s">
        <x:v>4732</x:v>
      </x:c>
      <x:c r="AL183" s="88" t="s">
        <x:v>4733</x:v>
      </x:c>
    </x:row>
    <x:row r="184">
      <x:c r="A184" s="88" t="s">
        <x:v>4734</x:v>
      </x:c>
      <x:c r="B184" s="88" t="s">
        <x:v>4735</x:v>
      </x:c>
      <x:c r="C184" s="88" t="s">
        <x:v>4360</x:v>
      </x:c>
      <x:c r="D184" s="88" t="s">
        <x:v>3133</x:v>
      </x:c>
      <x:c r="E184" s="88" t="s">
        <x:v>342</x:v>
      </x:c>
      <x:c r="F184" s="89">
        <x:v>46191.316530879631</x:v>
      </x:c>
      <x:c r="G184" s="89">
        <x:v>46191.316530879631</x:v>
      </x:c>
      <x:c r="H184" s="89">
        <x:v>46204.112240856484</x:v>
      </x:c>
      <x:c r="I184" s="88" t="s">
        <x:v>4361</x:v>
      </x:c>
      <x:c r="J184" s="88" t="s">
        <x:v>4362</x:v>
      </x:c>
      <x:c r="K184" s="88" t="s">
        <x:v>4363</x:v>
      </x:c>
      <x:c r="L184" s="88" t="s">
        <x:v>4364</x:v>
      </x:c>
      <x:c r="M184" s="88" t="s">
        <x:v>4365</x:v>
      </x:c>
      <x:c r="N184" s="88" t="s">
        <x:v>4364</x:v>
      </x:c>
      <x:c r="O184" s="88" t="s">
        <x:v>3203</x:v>
      </x:c>
      <x:c r="P184" s="88" t="s">
        <x:v>3225</x:v>
      </x:c>
      <x:c r="Q184" s="88" t="s">
        <x:v>4736</x:v>
      </x:c>
      <x:c r="R184" s="88" t="s">
        <x:v>185</x:v>
      </x:c>
      <x:c r="S184" s="88"/>
      <x:c r="T184" s="88"/>
      <x:c r="U184" s="88" t="s">
        <x:v>385</x:v>
      </x:c>
      <x:c r="V184" s="89">
        <x:v>46191.322815370368</x:v>
      </x:c>
      <x:c r="W184" s="88" t="s">
        <x:v>4365</x:v>
      </x:c>
      <x:c r="X184" s="88" t="s">
        <x:v>259</x:v>
      </x:c>
      <x:c r="Y184" s="88" t="s">
        <x:v>2021</x:v>
      </x:c>
      <x:c r="Z184" s="89">
        <x:v>46192.141752777781</x:v>
      </x:c>
      <x:c r="AA184" s="88" t="s">
        <x:v>2518</x:v>
      </x:c>
      <x:c r="AB184" s="88" t="s">
        <x:v>259</x:v>
      </x:c>
      <x:c r="AC184" s="88" t="s">
        <x:v>4737</x:v>
      </x:c>
      <x:c r="AD184" s="89">
        <x:v>46195.362879351851</x:v>
      </x:c>
      <x:c r="AE184" s="88" t="s">
        <x:v>3142</x:v>
      </x:c>
      <x:c r="AF184" s="88" t="s">
        <x:v>259</x:v>
      </x:c>
      <x:c r="AG184" s="88" t="s">
        <x:v>3281</x:v>
      </x:c>
      <x:c r="AH184" s="89">
        <x:v>46204.112240868053</x:v>
      </x:c>
      <x:c r="AI184" s="88" t="s">
        <x:v>3282</x:v>
      </x:c>
      <x:c r="AJ184" s="88" t="s">
        <x:v>259</x:v>
      </x:c>
      <x:c r="AK184" s="88" t="s">
        <x:v>4738</x:v>
      </x:c>
      <x:c r="AL184" s="88" t="s">
        <x:v>4371</x:v>
      </x:c>
    </x:row>
    <x:row r="185">
      <x:c r="A185" s="88" t="s">
        <x:v>4739</x:v>
      </x:c>
      <x:c r="B185" s="88" t="s">
        <x:v>4740</x:v>
      </x:c>
      <x:c r="C185" s="88" t="s">
        <x:v>4360</x:v>
      </x:c>
      <x:c r="D185" s="88" t="s">
        <x:v>3133</x:v>
      </x:c>
      <x:c r="E185" s="88" t="s">
        <x:v>342</x:v>
      </x:c>
      <x:c r="F185" s="89">
        <x:v>46191.320757881942</x:v>
      </x:c>
      <x:c r="G185" s="89">
        <x:v>46191.320757881942</x:v>
      </x:c>
      <x:c r="H185" s="89">
        <x:v>46204.112013784725</x:v>
      </x:c>
      <x:c r="I185" s="88" t="s">
        <x:v>4361</x:v>
      </x:c>
      <x:c r="J185" s="88" t="s">
        <x:v>4362</x:v>
      </x:c>
      <x:c r="K185" s="88" t="s">
        <x:v>4363</x:v>
      </x:c>
      <x:c r="L185" s="88" t="s">
        <x:v>4364</x:v>
      </x:c>
      <x:c r="M185" s="88" t="s">
        <x:v>4365</x:v>
      </x:c>
      <x:c r="N185" s="88" t="s">
        <x:v>4364</x:v>
      </x:c>
      <x:c r="O185" s="88" t="s">
        <x:v>3203</x:v>
      </x:c>
      <x:c r="P185" s="88" t="s">
        <x:v>3173</x:v>
      </x:c>
      <x:c r="Q185" s="88" t="s">
        <x:v>4741</x:v>
      </x:c>
      <x:c r="R185" s="88" t="s">
        <x:v>185</x:v>
      </x:c>
      <x:c r="S185" s="88"/>
      <x:c r="T185" s="88"/>
      <x:c r="U185" s="88" t="s">
        <x:v>385</x:v>
      </x:c>
      <x:c r="V185" s="89">
        <x:v>46191.323336377318</x:v>
      </x:c>
      <x:c r="W185" s="88" t="s">
        <x:v>4365</x:v>
      </x:c>
      <x:c r="X185" s="88" t="s">
        <x:v>259</x:v>
      </x:c>
      <x:c r="Y185" s="88" t="s">
        <x:v>2021</x:v>
      </x:c>
      <x:c r="Z185" s="89">
        <x:v>46192.142148125</x:v>
      </x:c>
      <x:c r="AA185" s="88" t="s">
        <x:v>2518</x:v>
      </x:c>
      <x:c r="AB185" s="88" t="s">
        <x:v>259</x:v>
      </x:c>
      <x:c r="AC185" s="88" t="s">
        <x:v>4742</x:v>
      </x:c>
      <x:c r="AD185" s="89">
        <x:v>46195.362503784723</x:v>
      </x:c>
      <x:c r="AE185" s="88" t="s">
        <x:v>3142</x:v>
      </x:c>
      <x:c r="AF185" s="88" t="s">
        <x:v>259</x:v>
      </x:c>
      <x:c r="AG185" s="88" t="s">
        <x:v>3664</x:v>
      </x:c>
      <x:c r="AH185" s="89">
        <x:v>46204.112013796293</x:v>
      </x:c>
      <x:c r="AI185" s="88" t="s">
        <x:v>3282</x:v>
      </x:c>
      <x:c r="AJ185" s="88" t="s">
        <x:v>259</x:v>
      </x:c>
      <x:c r="AK185" s="88" t="s">
        <x:v>4743</x:v>
      </x:c>
      <x:c r="AL185" s="88" t="s">
        <x:v>4371</x:v>
      </x:c>
    </x:row>
    <x:row r="186">
      <x:c r="A186" s="88" t="s">
        <x:v>4744</x:v>
      </x:c>
      <x:c r="B186" s="88" t="s">
        <x:v>4745</x:v>
      </x:c>
      <x:c r="C186" s="88" t="s">
        <x:v>4522</x:v>
      </x:c>
      <x:c r="D186" s="88" t="s">
        <x:v>3133</x:v>
      </x:c>
      <x:c r="E186" s="88" t="s">
        <x:v>342</x:v>
      </x:c>
      <x:c r="F186" s="89">
        <x:v>46191.414665104166</x:v>
      </x:c>
      <x:c r="G186" s="89">
        <x:v>46191.414665104166</x:v>
      </x:c>
      <x:c r="H186" s="89">
        <x:v>46218.134194421298</x:v>
      </x:c>
      <x:c r="I186" s="88" t="s">
        <x:v>1592</x:v>
      </x:c>
      <x:c r="J186" s="88" t="s">
        <x:v>2146</x:v>
      </x:c>
      <x:c r="K186" s="88">
        <x:v>4569</x:v>
      </x:c>
      <x:c r="L186" s="88" t="s">
        <x:v>3685</x:v>
      </x:c>
      <x:c r="M186" s="88" t="s">
        <x:v>4183</x:v>
      </x:c>
      <x:c r="N186" s="88" t="s">
        <x:v>3686</x:v>
      </x:c>
      <x:c r="O186" s="88" t="s">
        <x:v>3137</x:v>
      </x:c>
      <x:c r="P186" s="88" t="s">
        <x:v>3138</x:v>
      </x:c>
      <x:c r="Q186" s="88" t="s">
        <x:v>4746</x:v>
      </x:c>
      <x:c r="R186" s="88" t="s">
        <x:v>193</x:v>
      </x:c>
      <x:c r="S186" s="88"/>
      <x:c r="T186" s="88"/>
      <x:c r="U186" s="88" t="s">
        <x:v>2333</x:v>
      </x:c>
      <x:c r="V186" s="89">
        <x:v>46192.302200914353</x:v>
      </x:c>
      <x:c r="W186" s="88" t="s">
        <x:v>4185</x:v>
      </x:c>
      <x:c r="X186" s="88" t="s">
        <x:v>259</x:v>
      </x:c>
      <x:c r="Y186" s="88" t="s">
        <x:v>2021</x:v>
      </x:c>
      <x:c r="Z186" s="89">
        <x:v>46202.117793645833</x:v>
      </x:c>
      <x:c r="AA186" s="88" t="s">
        <x:v>2518</x:v>
      </x:c>
      <x:c r="AB186" s="88" t="s">
        <x:v>259</x:v>
      </x:c>
      <x:c r="AC186" s="88" t="s">
        <x:v>4747</x:v>
      </x:c>
      <x:c r="AD186" s="89">
        <x:v>46203.286255555555</x:v>
      </x:c>
      <x:c r="AE186" s="88" t="s">
        <x:v>3142</x:v>
      </x:c>
      <x:c r="AF186" s="88" t="s">
        <x:v>259</x:v>
      </x:c>
      <x:c r="AG186" s="88" t="s">
        <x:v>4748</x:v>
      </x:c>
      <x:c r="AH186" s="89">
        <x:v>46218.134194432867</x:v>
      </x:c>
      <x:c r="AI186" s="88" t="s">
        <x:v>3296</x:v>
      </x:c>
      <x:c r="AJ186" s="88" t="s">
        <x:v>259</x:v>
      </x:c>
      <x:c r="AK186" s="88" t="s">
        <x:v>4749</x:v>
      </x:c>
      <x:c r="AL186" s="88" t="s">
        <x:v>3692</x:v>
      </x:c>
    </x:row>
    <x:row r="187">
      <x:c r="A187" s="88" t="s">
        <x:v>4750</x:v>
      </x:c>
      <x:c r="B187" s="88" t="s">
        <x:v>4751</x:v>
      </x:c>
      <x:c r="C187" s="88" t="s">
        <x:v>4752</x:v>
      </x:c>
      <x:c r="D187" s="88" t="s">
        <x:v>3133</x:v>
      </x:c>
      <x:c r="E187" s="88" t="s">
        <x:v>249</x:v>
      </x:c>
      <x:c r="F187" s="89">
        <x:v>46196.243857685186</x:v>
      </x:c>
      <x:c r="G187" s="89">
        <x:v>46197.186334953702</x:v>
      </x:c>
      <x:c r="H187" s="89">
        <x:v>46197.221415474538</x:v>
      </x:c>
      <x:c r="I187" s="88" t="s">
        <x:v>4753</x:v>
      </x:c>
      <x:c r="J187" s="88" t="s">
        <x:v>4754</x:v>
      </x:c>
      <x:c r="K187" s="88">
        <x:v>3055</x:v>
      </x:c>
      <x:c r="L187" s="88" t="s">
        <x:v>4755</x:v>
      </x:c>
      <x:c r="M187" s="88" t="s">
        <x:v>4756</x:v>
      </x:c>
      <x:c r="N187" s="88" t="s">
        <x:v>4757</x:v>
      </x:c>
      <x:c r="O187" s="88" t="s">
        <x:v>3137</x:v>
      </x:c>
      <x:c r="P187" s="88" t="s">
        <x:v>3138</x:v>
      </x:c>
      <x:c r="Q187" s="88" t="s">
        <x:v>4758</x:v>
      </x:c>
      <x:c r="R187" s="88"/>
      <x:c r="S187" s="88"/>
      <x:c r="T187" s="88"/>
      <x:c r="U187" s="88" t="s">
        <x:v>4759</x:v>
      </x:c>
      <x:c r="V187" s="89">
        <x:v>46197.221415497683</x:v>
      </x:c>
      <x:c r="W187" s="88" t="s">
        <x:v>4760</x:v>
      </x:c>
      <x:c r="X187" s="88" t="s">
        <x:v>249</x:v>
      </x:c>
      <x:c r="Y187" s="88"/>
      <x:c r="Z187" s="89"/>
      <x:c r="AA187" s="88" t="s">
        <x:v>3206</x:v>
      </x:c>
      <x:c r="AB187" s="88"/>
      <x:c r="AC187" s="88"/>
      <x:c r="AD187" s="89"/>
      <x:c r="AE187" s="88" t="s">
        <x:v>273</x:v>
      </x:c>
      <x:c r="AF187" s="88"/>
      <x:c r="AG187" s="88"/>
      <x:c r="AH187" s="89"/>
      <x:c r="AI187" s="88" t="s">
        <x:v>3176</x:v>
      </x:c>
      <x:c r="AJ187" s="88"/>
      <x:c r="AK187" s="88"/>
      <x:c r="AL187" s="88" t="s">
        <x:v>4761</x:v>
      </x:c>
    </x:row>
    <x:row r="188">
      <x:c r="A188" s="88" t="s">
        <x:v>4762</x:v>
      </x:c>
      <x:c r="B188" s="88" t="s">
        <x:v>4763</x:v>
      </x:c>
      <x:c r="C188" s="88" t="s">
        <x:v>4764</x:v>
      </x:c>
      <x:c r="D188" s="88" t="s">
        <x:v>3133</x:v>
      </x:c>
      <x:c r="E188" s="88" t="s">
        <x:v>249</x:v>
      </x:c>
      <x:c r="F188" s="89">
        <x:v>46197.117995706016</x:v>
      </x:c>
      <x:c r="G188" s="89">
        <x:v>46197.117995706016</x:v>
      </x:c>
      <x:c r="H188" s="89">
        <x:v>46202.13216947917</x:v>
      </x:c>
      <x:c r="I188" s="88" t="s">
        <x:v>4765</x:v>
      </x:c>
      <x:c r="J188" s="88" t="s">
        <x:v>4766</x:v>
      </x:c>
      <x:c r="K188" s="88" t="s">
        <x:v>4767</x:v>
      </x:c>
      <x:c r="L188" s="88" t="s">
        <x:v>4768</x:v>
      </x:c>
      <x:c r="M188" s="88" t="s">
        <x:v>284</x:v>
      </x:c>
      <x:c r="N188" s="88" t="s">
        <x:v>4769</x:v>
      </x:c>
      <x:c r="O188" s="88" t="s">
        <x:v>3137</x:v>
      </x:c>
      <x:c r="P188" s="88" t="s">
        <x:v>3138</x:v>
      </x:c>
      <x:c r="Q188" s="88" t="s">
        <x:v>4770</x:v>
      </x:c>
      <x:c r="R188" s="88"/>
      <x:c r="S188" s="88"/>
      <x:c r="T188" s="88"/>
      <x:c r="U188" s="88" t="s">
        <x:v>571</x:v>
      </x:c>
      <x:c r="V188" s="89">
        <x:v>46197.11861528935</x:v>
      </x:c>
      <x:c r="W188" s="88" t="s">
        <x:v>284</x:v>
      </x:c>
      <x:c r="X188" s="88" t="s">
        <x:v>259</x:v>
      </x:c>
      <x:c r="Y188" s="88" t="s">
        <x:v>4771</x:v>
      </x:c>
      <x:c r="Z188" s="89">
        <x:v>46202.132169490738</x:v>
      </x:c>
      <x:c r="AA188" s="88" t="s">
        <x:v>2518</x:v>
      </x:c>
      <x:c r="AB188" s="88" t="s">
        <x:v>249</x:v>
      </x:c>
      <x:c r="AC188" s="88"/>
      <x:c r="AD188" s="89"/>
      <x:c r="AE188" s="88" t="s">
        <x:v>273</x:v>
      </x:c>
      <x:c r="AF188" s="88"/>
      <x:c r="AG188" s="88"/>
      <x:c r="AH188" s="89"/>
      <x:c r="AI188" s="88" t="s">
        <x:v>3176</x:v>
      </x:c>
      <x:c r="AJ188" s="88"/>
      <x:c r="AK188" s="88"/>
      <x:c r="AL188" s="88" t="s">
        <x:v>4772</x:v>
      </x:c>
    </x:row>
    <x:row r="189">
      <x:c r="A189" s="88" t="s">
        <x:v>4773</x:v>
      </x:c>
      <x:c r="B189" s="88" t="s">
        <x:v>4774</x:v>
      </x:c>
      <x:c r="C189" s="88" t="s">
        <x:v>4775</x:v>
      </x:c>
      <x:c r="D189" s="88" t="s">
        <x:v>3133</x:v>
      </x:c>
      <x:c r="E189" s="88" t="s">
        <x:v>342</x:v>
      </x:c>
      <x:c r="F189" s="89">
        <x:v>46198.136387604165</x:v>
      </x:c>
      <x:c r="G189" s="89">
        <x:v>46223.089392442133</x:v>
      </x:c>
      <x:c r="H189" s="89">
        <x:v>46250.900932233795</x:v>
      </x:c>
      <x:c r="I189" s="88" t="s">
        <x:v>4776</x:v>
      </x:c>
      <x:c r="J189" s="88" t="s">
        <x:v>4777</x:v>
      </x:c>
      <x:c r="K189" s="88" t="s">
        <x:v>4778</x:v>
      </x:c>
      <x:c r="L189" s="88" t="s">
        <x:v>4779</x:v>
      </x:c>
      <x:c r="M189" s="88" t="s">
        <x:v>4780</x:v>
      </x:c>
      <x:c r="N189" s="88" t="s">
        <x:v>4781</x:v>
      </x:c>
      <x:c r="O189" s="88" t="s">
        <x:v>3137</x:v>
      </x:c>
      <x:c r="P189" s="88" t="s">
        <x:v>3138</x:v>
      </x:c>
      <x:c r="Q189" s="88" t="s">
        <x:v>4782</x:v>
      </x:c>
      <x:c r="R189" s="88" t="s">
        <x:v>185</x:v>
      </x:c>
      <x:c r="S189" s="88"/>
      <x:c r="T189" s="88"/>
      <x:c r="U189" s="88" t="s">
        <x:v>4783</x:v>
      </x:c>
      <x:c r="V189" s="89">
        <x:v>46223.128241909719</x:v>
      </x:c>
      <x:c r="W189" s="88" t="s">
        <x:v>4784</x:v>
      </x:c>
      <x:c r="X189" s="88" t="s">
        <x:v>259</x:v>
      </x:c>
      <x:c r="Y189" s="88" t="s">
        <x:v>2021</x:v>
      </x:c>
      <x:c r="Z189" s="89">
        <x:v>46231.35507060185</x:v>
      </x:c>
      <x:c r="AA189" s="88" t="s">
        <x:v>2518</x:v>
      </x:c>
      <x:c r="AB189" s="88" t="s">
        <x:v>259</x:v>
      </x:c>
      <x:c r="AC189" s="88" t="s">
        <x:v>385</x:v>
      </x:c>
      <x:c r="AD189" s="89">
        <x:v>46233.83137886574</x:v>
      </x:c>
      <x:c r="AE189" s="88" t="s">
        <x:v>111</x:v>
      </x:c>
      <x:c r="AF189" s="88" t="s">
        <x:v>259</x:v>
      </x:c>
      <x:c r="AG189" s="88" t="s">
        <x:v>342</x:v>
      </x:c>
      <x:c r="AH189" s="89">
        <x:v>46250.900932245371</x:v>
      </x:c>
      <x:c r="AI189" s="88" t="s">
        <x:v>120</x:v>
      </x:c>
      <x:c r="AJ189" s="88" t="s">
        <x:v>259</x:v>
      </x:c>
      <x:c r="AK189" s="88" t="s">
        <x:v>4785</x:v>
      </x:c>
      <x:c r="AL189" s="88" t="s">
        <x:v>4786</x:v>
      </x:c>
    </x:row>
    <x:row r="190">
      <x:c r="A190" s="88" t="s">
        <x:v>4787</x:v>
      </x:c>
      <x:c r="B190" s="88" t="s">
        <x:v>4788</x:v>
      </x:c>
      <x:c r="C190" s="88" t="s">
        <x:v>1184</x:v>
      </x:c>
      <x:c r="D190" s="88" t="s">
        <x:v>3133</x:v>
      </x:c>
      <x:c r="E190" s="88" t="s">
        <x:v>329</x:v>
      </x:c>
      <x:c r="F190" s="89">
        <x:v>46198.15172267361</x:v>
      </x:c>
      <x:c r="G190" s="89">
        <x:v>46198.15172267361</x:v>
      </x:c>
      <x:c r="H190" s="89">
        <x:v>46203.285801307873</x:v>
      </x:c>
      <x:c r="I190" s="88" t="s">
        <x:v>4298</x:v>
      </x:c>
      <x:c r="J190" s="88" t="s">
        <x:v>4299</x:v>
      </x:c>
      <x:c r="K190" s="88">
        <x:v>4712</x:v>
      </x:c>
      <x:c r="L190" s="88" t="s">
        <x:v>4300</x:v>
      </x:c>
      <x:c r="M190" s="88" t="s">
        <x:v>3646</x:v>
      </x:c>
      <x:c r="N190" s="88" t="s">
        <x:v>4301</x:v>
      </x:c>
      <x:c r="O190" s="88" t="s">
        <x:v>3203</x:v>
      </x:c>
      <x:c r="P190" s="88" t="s">
        <x:v>3173</x:v>
      </x:c>
      <x:c r="Q190" s="88" t="s">
        <x:v>4789</x:v>
      </x:c>
      <x:c r="R190" s="88" t="s">
        <x:v>185</x:v>
      </x:c>
      <x:c r="S190" s="88"/>
      <x:c r="T190" s="88"/>
      <x:c r="U190" s="88" t="s">
        <x:v>4790</x:v>
      </x:c>
      <x:c r="V190" s="89">
        <x:v>46198.159855381942</x:v>
      </x:c>
      <x:c r="W190" s="88" t="s">
        <x:v>1070</x:v>
      </x:c>
      <x:c r="X190" s="88" t="s">
        <x:v>259</x:v>
      </x:c>
      <x:c r="Y190" s="88" t="s">
        <x:v>2021</x:v>
      </x:c>
      <x:c r="Z190" s="89">
        <x:v>46203.134413020831</x:v>
      </x:c>
      <x:c r="AA190" s="88" t="s">
        <x:v>2518</x:v>
      </x:c>
      <x:c r="AB190" s="88" t="s">
        <x:v>259</x:v>
      </x:c>
      <x:c r="AC190" s="88" t="s">
        <x:v>4791</x:v>
      </x:c>
      <x:c r="AD190" s="89">
        <x:v>46203.285801319442</x:v>
      </x:c>
      <x:c r="AE190" s="88" t="s">
        <x:v>3142</x:v>
      </x:c>
      <x:c r="AF190" s="88" t="s">
        <x:v>259</x:v>
      </x:c>
      <x:c r="AG190" s="88"/>
      <x:c r="AH190" s="89"/>
      <x:c r="AI190" s="88" t="s">
        <x:v>108</x:v>
      </x:c>
      <x:c r="AJ190" s="88"/>
      <x:c r="AK190" s="88" t="s">
        <x:v>4792</x:v>
      </x:c>
      <x:c r="AL190" s="88" t="s">
        <x:v>4308</x:v>
      </x:c>
    </x:row>
    <x:row r="191">
      <x:c r="A191" s="88" t="s">
        <x:v>4793</x:v>
      </x:c>
      <x:c r="B191" s="88" t="s">
        <x:v>4794</x:v>
      </x:c>
      <x:c r="C191" s="88" t="s">
        <x:v>686</x:v>
      </x:c>
      <x:c r="D191" s="88" t="s">
        <x:v>3133</x:v>
      </x:c>
      <x:c r="E191" s="88" t="s">
        <x:v>342</x:v>
      </x:c>
      <x:c r="F191" s="89">
        <x:v>46199.039128634256</x:v>
      </x:c>
      <x:c r="G191" s="89">
        <x:v>46199.039128634256</x:v>
      </x:c>
      <x:c r="H191" s="89">
        <x:v>46210.41980679398</x:v>
      </x:c>
      <x:c r="I191" s="88" t="s">
        <x:v>3849</x:v>
      </x:c>
      <x:c r="J191" s="88" t="s">
        <x:v>3850</x:v>
      </x:c>
      <x:c r="K191" s="88">
        <x:v>4739</x:v>
      </x:c>
      <x:c r="L191" s="88" t="s">
        <x:v>3851</x:v>
      </x:c>
      <x:c r="M191" s="88" t="s">
        <x:v>3852</x:v>
      </x:c>
      <x:c r="N191" s="88" t="s">
        <x:v>3853</x:v>
      </x:c>
      <x:c r="O191" s="88" t="s">
        <x:v>3137</x:v>
      </x:c>
      <x:c r="P191" s="88" t="s">
        <x:v>3138</x:v>
      </x:c>
      <x:c r="Q191" s="88" t="s">
        <x:v>4795</x:v>
      </x:c>
      <x:c r="R191" s="88" t="s">
        <x:v>162</x:v>
      </x:c>
      <x:c r="S191" s="88"/>
      <x:c r="T191" s="88"/>
      <x:c r="U191" s="88" t="s">
        <x:v>4796</x:v>
      </x:c>
      <x:c r="V191" s="89">
        <x:v>46199.052101967594</x:v>
      </x:c>
      <x:c r="W191" s="88" t="s">
        <x:v>689</x:v>
      </x:c>
      <x:c r="X191" s="88" t="s">
        <x:v>259</x:v>
      </x:c>
      <x:c r="Y191" s="88" t="s">
        <x:v>2021</x:v>
      </x:c>
      <x:c r="Z191" s="89">
        <x:v>46203.132790752315</x:v>
      </x:c>
      <x:c r="AA191" s="88" t="s">
        <x:v>2518</x:v>
      </x:c>
      <x:c r="AB191" s="88" t="s">
        <x:v>259</x:v>
      </x:c>
      <x:c r="AC191" s="88" t="s">
        <x:v>3688</x:v>
      </x:c>
      <x:c r="AD191" s="89">
        <x:v>46210.406599097223</x:v>
      </x:c>
      <x:c r="AE191" s="88" t="s">
        <x:v>111</x:v>
      </x:c>
      <x:c r="AF191" s="88" t="s">
        <x:v>259</x:v>
      </x:c>
      <x:c r="AG191" s="88" t="s">
        <x:v>4797</x:v>
      </x:c>
      <x:c r="AH191" s="89">
        <x:v>46210.419806805556</x:v>
      </x:c>
      <x:c r="AI191" s="88" t="s">
        <x:v>131</x:v>
      </x:c>
      <x:c r="AJ191" s="88" t="s">
        <x:v>259</x:v>
      </x:c>
      <x:c r="AK191" s="88" t="s">
        <x:v>4798</x:v>
      </x:c>
      <x:c r="AL191" s="88" t="s">
        <x:v>3859</x:v>
      </x:c>
    </x:row>
    <x:row r="192">
      <x:c r="A192" s="88" t="s">
        <x:v>4799</x:v>
      </x:c>
      <x:c r="B192" s="88" t="s">
        <x:v>4800</x:v>
      </x:c>
      <x:c r="C192" s="88" t="s">
        <x:v>4801</x:v>
      </x:c>
      <x:c r="D192" s="88" t="s">
        <x:v>3133</x:v>
      </x:c>
      <x:c r="E192" s="88" t="s">
        <x:v>342</x:v>
      </x:c>
      <x:c r="F192" s="89">
        <x:v>46199.098916053241</x:v>
      </x:c>
      <x:c r="G192" s="89">
        <x:v>46204.154440046295</x:v>
      </x:c>
      <x:c r="H192" s="89">
        <x:v>46222.857360185182</x:v>
      </x:c>
      <x:c r="I192" s="88" t="s">
        <x:v>4802</x:v>
      </x:c>
      <x:c r="J192" s="88" t="s">
        <x:v>4803</x:v>
      </x:c>
      <x:c r="K192" s="88" t="s">
        <x:v>4804</x:v>
      </x:c>
      <x:c r="L192" s="88" t="s">
        <x:v>4805</x:v>
      </x:c>
      <x:c r="M192" s="88" t="s">
        <x:v>4806</x:v>
      </x:c>
      <x:c r="N192" s="88" t="s">
        <x:v>4807</x:v>
      </x:c>
      <x:c r="O192" s="88" t="s">
        <x:v>3137</x:v>
      </x:c>
      <x:c r="P192" s="88" t="s">
        <x:v>3225</x:v>
      </x:c>
      <x:c r="Q192" s="88" t="s">
        <x:v>4808</x:v>
      </x:c>
      <x:c r="R192" s="88" t="s">
        <x:v>162</x:v>
      </x:c>
      <x:c r="S192" s="88"/>
      <x:c r="T192" s="88"/>
      <x:c r="U192" s="88" t="s">
        <x:v>4809</x:v>
      </x:c>
      <x:c r="V192" s="89">
        <x:v>46204.340734560188</x:v>
      </x:c>
      <x:c r="W192" s="88" t="s">
        <x:v>4810</x:v>
      </x:c>
      <x:c r="X192" s="88" t="s">
        <x:v>259</x:v>
      </x:c>
      <x:c r="Y192" s="88" t="s">
        <x:v>4811</x:v>
      </x:c>
      <x:c r="Z192" s="89">
        <x:v>46205.071194259261</x:v>
      </x:c>
      <x:c r="AA192" s="88" t="s">
        <x:v>2518</x:v>
      </x:c>
      <x:c r="AB192" s="88" t="s">
        <x:v>259</x:v>
      </x:c>
      <x:c r="AC192" s="88" t="s">
        <x:v>335</x:v>
      </x:c>
      <x:c r="AD192" s="89">
        <x:v>46222.855895104163</x:v>
      </x:c>
      <x:c r="AE192" s="88" t="s">
        <x:v>111</x:v>
      </x:c>
      <x:c r="AF192" s="88" t="s">
        <x:v>259</x:v>
      </x:c>
      <x:c r="AG192" s="88" t="s">
        <x:v>2600</x:v>
      </x:c>
      <x:c r="AH192" s="89">
        <x:v>46222.857360185182</x:v>
      </x:c>
      <x:c r="AI192" s="88" t="s">
        <x:v>111</x:v>
      </x:c>
      <x:c r="AJ192" s="88" t="s">
        <x:v>259</x:v>
      </x:c>
      <x:c r="AK192" s="88" t="s">
        <x:v>4812</x:v>
      </x:c>
      <x:c r="AL192" s="88" t="s">
        <x:v>4813</x:v>
      </x:c>
    </x:row>
    <x:row r="193">
      <x:c r="A193" s="88" t="s">
        <x:v>4814</x:v>
      </x:c>
      <x:c r="B193" s="88" t="s">
        <x:v>4815</x:v>
      </x:c>
      <x:c r="C193" s="88" t="s">
        <x:v>4816</x:v>
      </x:c>
      <x:c r="D193" s="88" t="s">
        <x:v>3133</x:v>
      </x:c>
      <x:c r="E193" s="88" t="s">
        <x:v>342</x:v>
      </x:c>
      <x:c r="F193" s="89">
        <x:v>46202.241150497684</x:v>
      </x:c>
      <x:c r="G193" s="89">
        <x:v>46202.273092361109</x:v>
      </x:c>
      <x:c r="H193" s="89">
        <x:v>46251.064811076387</x:v>
      </x:c>
      <x:c r="I193" s="88" t="s">
        <x:v>4817</x:v>
      </x:c>
      <x:c r="J193" s="88" t="s">
        <x:v>4818</x:v>
      </x:c>
      <x:c r="K193" s="88">
        <x:v>2258</x:v>
      </x:c>
      <x:c r="L193" s="88" t="s">
        <x:v>4819</x:v>
      </x:c>
      <x:c r="M193" s="88" t="s">
        <x:v>4820</x:v>
      </x:c>
      <x:c r="N193" s="88" t="s">
        <x:v>4819</x:v>
      </x:c>
      <x:c r="O193" s="88" t="s">
        <x:v>3137</x:v>
      </x:c>
      <x:c r="P193" s="88" t="s">
        <x:v>3138</x:v>
      </x:c>
      <x:c r="Q193" s="88" t="s">
        <x:v>4821</x:v>
      </x:c>
      <x:c r="R193" s="88" t="s">
        <x:v>162</x:v>
      </x:c>
      <x:c r="S193" s="88"/>
      <x:c r="T193" s="88"/>
      <x:c r="U193" s="88" t="s">
        <x:v>4822</x:v>
      </x:c>
      <x:c r="V193" s="89">
        <x:v>46216.107962372684</x:v>
      </x:c>
      <x:c r="W193" s="88" t="s">
        <x:v>4823</x:v>
      </x:c>
      <x:c r="X193" s="88" t="s">
        <x:v>259</x:v>
      </x:c>
      <x:c r="Y193" s="88" t="s">
        <x:v>4824</x:v>
      </x:c>
      <x:c r="Z193" s="89">
        <x:v>46216.295579155092</x:v>
      </x:c>
      <x:c r="AA193" s="88" t="s">
        <x:v>2518</x:v>
      </x:c>
      <x:c r="AB193" s="88" t="s">
        <x:v>259</x:v>
      </x:c>
      <x:c r="AC193" s="88" t="s">
        <x:v>2333</x:v>
      </x:c>
      <x:c r="AD193" s="89">
        <x:v>46230.060397314817</x:v>
      </x:c>
      <x:c r="AE193" s="88" t="s">
        <x:v>111</x:v>
      </x:c>
      <x:c r="AF193" s="88" t="s">
        <x:v>259</x:v>
      </x:c>
      <x:c r="AG193" s="88" t="s">
        <x:v>4825</x:v>
      </x:c>
      <x:c r="AH193" s="89">
        <x:v>46251.064811087963</x:v>
      </x:c>
      <x:c r="AI193" s="88" t="s">
        <x:v>131</x:v>
      </x:c>
      <x:c r="AJ193" s="88" t="s">
        <x:v>259</x:v>
      </x:c>
      <x:c r="AK193" s="88" t="s">
        <x:v>4826</x:v>
      </x:c>
      <x:c r="AL193" s="88" t="s">
        <x:v>4827</x:v>
      </x:c>
    </x:row>
    <x:row r="194">
      <x:c r="A194" s="88" t="s">
        <x:v>4828</x:v>
      </x:c>
      <x:c r="B194" s="88" t="s">
        <x:v>4829</x:v>
      </x:c>
      <x:c r="C194" s="88" t="s">
        <x:v>4830</x:v>
      </x:c>
      <x:c r="D194" s="88" t="s">
        <x:v>3133</x:v>
      </x:c>
      <x:c r="E194" s="88" t="s">
        <x:v>342</x:v>
      </x:c>
      <x:c r="F194" s="89">
        <x:v>46202.267201736111</x:v>
      </x:c>
      <x:c r="G194" s="89">
        <x:v>46202.267201736111</x:v>
      </x:c>
      <x:c r="H194" s="89">
        <x:v>46234.146164247686</x:v>
      </x:c>
      <x:c r="I194" s="88" t="s">
        <x:v>4831</x:v>
      </x:c>
      <x:c r="J194" s="88" t="s">
        <x:v>4832</x:v>
      </x:c>
      <x:c r="K194" s="88" t="s">
        <x:v>4833</x:v>
      </x:c>
      <x:c r="L194" s="88" t="s">
        <x:v>4834</x:v>
      </x:c>
      <x:c r="M194" s="88" t="s">
        <x:v>4835</x:v>
      </x:c>
      <x:c r="N194" s="88" t="s">
        <x:v>4836</x:v>
      </x:c>
      <x:c r="O194" s="88" t="s">
        <x:v>3137</x:v>
      </x:c>
      <x:c r="P194" s="88" t="s">
        <x:v>3138</x:v>
      </x:c>
      <x:c r="Q194" s="88" t="s">
        <x:v>4837</x:v>
      </x:c>
      <x:c r="R194" s="88" t="s">
        <x:v>185</x:v>
      </x:c>
      <x:c r="S194" s="88"/>
      <x:c r="T194" s="88"/>
      <x:c r="U194" s="88" t="s">
        <x:v>4083</x:v>
      </x:c>
      <x:c r="V194" s="89">
        <x:v>46202.378000694443</x:v>
      </x:c>
      <x:c r="W194" s="88" t="s">
        <x:v>4167</x:v>
      </x:c>
      <x:c r="X194" s="88" t="s">
        <x:v>259</x:v>
      </x:c>
      <x:c r="Y194" s="88" t="s">
        <x:v>2021</x:v>
      </x:c>
      <x:c r="Z194" s="89">
        <x:v>46203.071390914352</x:v>
      </x:c>
      <x:c r="AA194" s="88" t="s">
        <x:v>2518</x:v>
      </x:c>
      <x:c r="AB194" s="88" t="s">
        <x:v>259</x:v>
      </x:c>
      <x:c r="AC194" s="88" t="s">
        <x:v>2333</x:v>
      </x:c>
      <x:c r="AD194" s="89">
        <x:v>46231.201937800928</x:v>
      </x:c>
      <x:c r="AE194" s="88" t="s">
        <x:v>111</x:v>
      </x:c>
      <x:c r="AF194" s="88" t="s">
        <x:v>259</x:v>
      </x:c>
      <x:c r="AG194" s="88" t="s">
        <x:v>4838</x:v>
      </x:c>
      <x:c r="AH194" s="89">
        <x:v>46234.146164259262</x:v>
      </x:c>
      <x:c r="AI194" s="88" t="s">
        <x:v>108</x:v>
      </x:c>
      <x:c r="AJ194" s="88" t="s">
        <x:v>259</x:v>
      </x:c>
      <x:c r="AK194" s="88" t="s">
        <x:v>4839</x:v>
      </x:c>
      <x:c r="AL194" s="88" t="s">
        <x:v>4840</x:v>
      </x:c>
    </x:row>
    <x:row r="195">
      <x:c r="A195" s="88" t="s">
        <x:v>4841</x:v>
      </x:c>
      <x:c r="B195" s="88" t="s">
        <x:v>4842</x:v>
      </x:c>
      <x:c r="C195" s="88" t="s">
        <x:v>4764</x:v>
      </x:c>
      <x:c r="D195" s="88" t="s">
        <x:v>3133</x:v>
      </x:c>
      <x:c r="E195" s="88" t="s">
        <x:v>342</x:v>
      </x:c>
      <x:c r="F195" s="89">
        <x:v>46203.075793946758</x:v>
      </x:c>
      <x:c r="G195" s="89">
        <x:v>46203.075793946758</x:v>
      </x:c>
      <x:c r="H195" s="89">
        <x:v>46233.585873101852</x:v>
      </x:c>
      <x:c r="I195" s="88" t="s">
        <x:v>4765</x:v>
      </x:c>
      <x:c r="J195" s="88" t="s">
        <x:v>4766</x:v>
      </x:c>
      <x:c r="K195" s="88" t="s">
        <x:v>4767</x:v>
      </x:c>
      <x:c r="L195" s="88" t="s">
        <x:v>4768</x:v>
      </x:c>
      <x:c r="M195" s="88" t="s">
        <x:v>284</x:v>
      </x:c>
      <x:c r="N195" s="88" t="s">
        <x:v>4769</x:v>
      </x:c>
      <x:c r="O195" s="88" t="s">
        <x:v>3137</x:v>
      </x:c>
      <x:c r="P195" s="88" t="s">
        <x:v>3138</x:v>
      </x:c>
      <x:c r="Q195" s="88" t="s">
        <x:v>4843</x:v>
      </x:c>
      <x:c r="R195" s="88" t="s">
        <x:v>162</x:v>
      </x:c>
      <x:c r="S195" s="88"/>
      <x:c r="T195" s="88"/>
      <x:c r="U195" s="88" t="s">
        <x:v>571</x:v>
      </x:c>
      <x:c r="V195" s="89">
        <x:v>46203.081546886577</x:v>
      </x:c>
      <x:c r="W195" s="88" t="s">
        <x:v>284</x:v>
      </x:c>
      <x:c r="X195" s="88" t="s">
        <x:v>259</x:v>
      </x:c>
      <x:c r="Y195" s="88" t="s">
        <x:v>2021</x:v>
      </x:c>
      <x:c r="Z195" s="89">
        <x:v>46203.154216550924</x:v>
      </x:c>
      <x:c r="AA195" s="88" t="s">
        <x:v>2518</x:v>
      </x:c>
      <x:c r="AB195" s="88" t="s">
        <x:v>259</x:v>
      </x:c>
      <x:c r="AC195" s="88" t="s">
        <x:v>2333</x:v>
      </x:c>
      <x:c r="AD195" s="89">
        <x:v>46231.20131556713</x:v>
      </x:c>
      <x:c r="AE195" s="88" t="s">
        <x:v>111</x:v>
      </x:c>
      <x:c r="AF195" s="88" t="s">
        <x:v>259</x:v>
      </x:c>
      <x:c r="AG195" s="88" t="s">
        <x:v>4844</x:v>
      </x:c>
      <x:c r="AH195" s="89">
        <x:v>46233.585873113429</x:v>
      </x:c>
      <x:c r="AI195" s="88" t="s">
        <x:v>131</x:v>
      </x:c>
      <x:c r="AJ195" s="88" t="s">
        <x:v>259</x:v>
      </x:c>
      <x:c r="AK195" s="88" t="s">
        <x:v>4845</x:v>
      </x:c>
      <x:c r="AL195" s="88" t="s">
        <x:v>4772</x:v>
      </x:c>
    </x:row>
    <x:row r="196">
      <x:c r="A196" s="88" t="s">
        <x:v>4846</x:v>
      </x:c>
      <x:c r="B196" s="88" t="s">
        <x:v>4847</x:v>
      </x:c>
      <x:c r="C196" s="88" t="s">
        <x:v>4801</x:v>
      </x:c>
      <x:c r="D196" s="88" t="s">
        <x:v>3133</x:v>
      </x:c>
      <x:c r="E196" s="88" t="s">
        <x:v>329</x:v>
      </x:c>
      <x:c r="F196" s="89">
        <x:v>46204.162991134261</x:v>
      </x:c>
      <x:c r="G196" s="89">
        <x:v>46204.162991134261</x:v>
      </x:c>
      <x:c r="H196" s="89">
        <x:v>46222.855439988423</x:v>
      </x:c>
      <x:c r="I196" s="88" t="s">
        <x:v>4802</x:v>
      </x:c>
      <x:c r="J196" s="88" t="s">
        <x:v>4803</x:v>
      </x:c>
      <x:c r="K196" s="88" t="s">
        <x:v>4804</x:v>
      </x:c>
      <x:c r="L196" s="88" t="s">
        <x:v>4805</x:v>
      </x:c>
      <x:c r="M196" s="88" t="s">
        <x:v>4806</x:v>
      </x:c>
      <x:c r="N196" s="88" t="s">
        <x:v>4807</x:v>
      </x:c>
      <x:c r="O196" s="88" t="s">
        <x:v>3137</x:v>
      </x:c>
      <x:c r="P196" s="88" t="s">
        <x:v>3138</x:v>
      </x:c>
      <x:c r="Q196" s="88" t="s">
        <x:v>4848</x:v>
      </x:c>
      <x:c r="R196" s="88" t="s">
        <x:v>162</x:v>
      </x:c>
      <x:c r="S196" s="88"/>
      <x:c r="T196" s="88"/>
      <x:c r="U196" s="88" t="s">
        <x:v>4809</x:v>
      </x:c>
      <x:c r="V196" s="89">
        <x:v>46204.341000393521</x:v>
      </x:c>
      <x:c r="W196" s="88" t="s">
        <x:v>4810</x:v>
      </x:c>
      <x:c r="X196" s="88" t="s">
        <x:v>259</x:v>
      </x:c>
      <x:c r="Y196" s="88" t="s">
        <x:v>4811</x:v>
      </x:c>
      <x:c r="Z196" s="89">
        <x:v>46205.066938888885</x:v>
      </x:c>
      <x:c r="AA196" s="88" t="s">
        <x:v>2518</x:v>
      </x:c>
      <x:c r="AB196" s="88" t="s">
        <x:v>259</x:v>
      </x:c>
      <x:c r="AC196" s="88" t="s">
        <x:v>2333</x:v>
      </x:c>
      <x:c r="AD196" s="89">
        <x:v>46222.855440011575</x:v>
      </x:c>
      <x:c r="AE196" s="88" t="s">
        <x:v>111</x:v>
      </x:c>
      <x:c r="AF196" s="88" t="s">
        <x:v>259</x:v>
      </x:c>
      <x:c r="AG196" s="88"/>
      <x:c r="AH196" s="89"/>
      <x:c r="AI196" s="88" t="s">
        <x:v>184</x:v>
      </x:c>
      <x:c r="AJ196" s="88"/>
      <x:c r="AK196" s="88" t="s">
        <x:v>4849</x:v>
      </x:c>
      <x:c r="AL196" s="88" t="s">
        <x:v>4813</x:v>
      </x:c>
    </x:row>
    <x:row r="197">
      <x:c r="A197" s="88" t="s">
        <x:v>4850</x:v>
      </x:c>
      <x:c r="B197" s="88" t="s">
        <x:v>4851</x:v>
      </x:c>
      <x:c r="C197" s="88" t="s">
        <x:v>4801</x:v>
      </x:c>
      <x:c r="D197" s="88" t="s">
        <x:v>3133</x:v>
      </x:c>
      <x:c r="E197" s="88" t="s">
        <x:v>329</x:v>
      </x:c>
      <x:c r="F197" s="89">
        <x:v>46204.163972627313</x:v>
      </x:c>
      <x:c r="G197" s="89">
        <x:v>46204.163972627313</x:v>
      </x:c>
      <x:c r="H197" s="89">
        <x:v>46222.854783726849</x:v>
      </x:c>
      <x:c r="I197" s="88" t="s">
        <x:v>4802</x:v>
      </x:c>
      <x:c r="J197" s="88" t="s">
        <x:v>4803</x:v>
      </x:c>
      <x:c r="K197" s="88" t="s">
        <x:v>4804</x:v>
      </x:c>
      <x:c r="L197" s="88" t="s">
        <x:v>4805</x:v>
      </x:c>
      <x:c r="M197" s="88" t="s">
        <x:v>4806</x:v>
      </x:c>
      <x:c r="N197" s="88" t="s">
        <x:v>4807</x:v>
      </x:c>
      <x:c r="O197" s="88" t="s">
        <x:v>3137</x:v>
      </x:c>
      <x:c r="P197" s="88" t="s">
        <x:v>3173</x:v>
      </x:c>
      <x:c r="Q197" s="88" t="s">
        <x:v>4848</x:v>
      </x:c>
      <x:c r="R197" s="88" t="s">
        <x:v>162</x:v>
      </x:c>
      <x:c r="S197" s="88"/>
      <x:c r="T197" s="88"/>
      <x:c r="U197" s="88" t="s">
        <x:v>4809</x:v>
      </x:c>
      <x:c r="V197" s="89">
        <x:v>46204.341193483793</x:v>
      </x:c>
      <x:c r="W197" s="88" t="s">
        <x:v>4810</x:v>
      </x:c>
      <x:c r="X197" s="88" t="s">
        <x:v>259</x:v>
      </x:c>
      <x:c r="Y197" s="88" t="s">
        <x:v>4811</x:v>
      </x:c>
      <x:c r="Z197" s="89">
        <x:v>46205.071510150461</x:v>
      </x:c>
      <x:c r="AA197" s="88" t="s">
        <x:v>2518</x:v>
      </x:c>
      <x:c r="AB197" s="88" t="s">
        <x:v>259</x:v>
      </x:c>
      <x:c r="AC197" s="88" t="s">
        <x:v>2600</x:v>
      </x:c>
      <x:c r="AD197" s="89">
        <x:v>46222.854783738425</x:v>
      </x:c>
      <x:c r="AE197" s="88" t="s">
        <x:v>111</x:v>
      </x:c>
      <x:c r="AF197" s="88" t="s">
        <x:v>259</x:v>
      </x:c>
      <x:c r="AG197" s="88"/>
      <x:c r="AH197" s="89"/>
      <x:c r="AI197" s="88" t="s">
        <x:v>184</x:v>
      </x:c>
      <x:c r="AJ197" s="88"/>
      <x:c r="AK197" s="88" t="s">
        <x:v>4852</x:v>
      </x:c>
      <x:c r="AL197" s="88" t="s">
        <x:v>4813</x:v>
      </x:c>
    </x:row>
    <x:row r="198">
      <x:c r="A198" s="88" t="s">
        <x:v>4853</x:v>
      </x:c>
      <x:c r="B198" s="88" t="s">
        <x:v>4854</x:v>
      </x:c>
      <x:c r="C198" s="88" t="s">
        <x:v>3339</x:v>
      </x:c>
      <x:c r="D198" s="88" t="s">
        <x:v>3133</x:v>
      </x:c>
      <x:c r="E198" s="88" t="s">
        <x:v>342</x:v>
      </x:c>
      <x:c r="F198" s="89">
        <x:v>46204.292654259261</x:v>
      </x:c>
      <x:c r="G198" s="89">
        <x:v>46204.292654259261</x:v>
      </x:c>
      <x:c r="H198" s="89">
        <x:v>46246.089970000001</x:v>
      </x:c>
      <x:c r="I198" s="88" t="s">
        <x:v>4855</x:v>
      </x:c>
      <x:c r="J198" s="88" t="s">
        <x:v>4856</x:v>
      </x:c>
      <x:c r="K198" s="88" t="s">
        <x:v>4857</x:v>
      </x:c>
      <x:c r="L198" s="88" t="s">
        <x:v>4858</x:v>
      </x:c>
      <x:c r="M198" s="88" t="s">
        <x:v>4859</x:v>
      </x:c>
      <x:c r="N198" s="88" t="s">
        <x:v>4858</x:v>
      </x:c>
      <x:c r="O198" s="88" t="s">
        <x:v>3137</x:v>
      </x:c>
      <x:c r="P198" s="88" t="s">
        <x:v>3225</x:v>
      </x:c>
      <x:c r="Q198" s="88" t="s">
        <x:v>4860</x:v>
      </x:c>
      <x:c r="R198" s="88" t="s">
        <x:v>193</x:v>
      </x:c>
      <x:c r="S198" s="88"/>
      <x:c r="T198" s="88"/>
      <x:c r="U198" s="88" t="s">
        <x:v>4861</x:v>
      </x:c>
      <x:c r="V198" s="89">
        <x:v>46204.312703101852</x:v>
      </x:c>
      <x:c r="W198" s="88" t="s">
        <x:v>4862</x:v>
      </x:c>
      <x:c r="X198" s="88" t="s">
        <x:v>259</x:v>
      </x:c>
      <x:c r="Y198" s="88" t="s">
        <x:v>2021</x:v>
      </x:c>
      <x:c r="Z198" s="89">
        <x:v>46205.119210671299</x:v>
      </x:c>
      <x:c r="AA198" s="88" t="s">
        <x:v>2518</x:v>
      </x:c>
      <x:c r="AB198" s="88" t="s">
        <x:v>259</x:v>
      </x:c>
      <x:c r="AC198" s="88" t="s">
        <x:v>4863</x:v>
      </x:c>
      <x:c r="AD198" s="89">
        <x:v>46206.332112349533</x:v>
      </x:c>
      <x:c r="AE198" s="88" t="s">
        <x:v>3142</x:v>
      </x:c>
      <x:c r="AF198" s="88" t="s">
        <x:v>259</x:v>
      </x:c>
      <x:c r="AG198" s="88" t="s">
        <x:v>4864</x:v>
      </x:c>
      <x:c r="AH198" s="89">
        <x:v>46246.089970011577</x:v>
      </x:c>
      <x:c r="AI198" s="88" t="s">
        <x:v>131</x:v>
      </x:c>
      <x:c r="AJ198" s="88" t="s">
        <x:v>259</x:v>
      </x:c>
      <x:c r="AK198" s="88" t="s">
        <x:v>4865</x:v>
      </x:c>
      <x:c r="AL198" s="88" t="s">
        <x:v>4866</x:v>
      </x:c>
    </x:row>
    <x:row r="199">
      <x:c r="A199" s="88" t="s">
        <x:v>4867</x:v>
      </x:c>
      <x:c r="B199" s="88" t="s">
        <x:v>4868</x:v>
      </x:c>
      <x:c r="C199" s="88" t="s">
        <x:v>1516</x:v>
      </x:c>
      <x:c r="D199" s="88" t="s">
        <x:v>3133</x:v>
      </x:c>
      <x:c r="E199" s="88" t="s">
        <x:v>342</x:v>
      </x:c>
      <x:c r="F199" s="89">
        <x:v>46205.130692592589</x:v>
      </x:c>
      <x:c r="G199" s="89">
        <x:v>46205.130692592589</x:v>
      </x:c>
      <x:c r="H199" s="89">
        <x:v>46243.642616840276</x:v>
      </x:c>
      <x:c r="I199" s="88" t="s">
        <x:v>1525</x:v>
      </x:c>
      <x:c r="J199" s="88" t="s">
        <x:v>1517</x:v>
      </x:c>
      <x:c r="K199" s="88">
        <x:v>1709</x:v>
      </x:c>
      <x:c r="L199" s="88" t="s">
        <x:v>1518</x:v>
      </x:c>
      <x:c r="M199" s="88" t="s">
        <x:v>824</x:v>
      </x:c>
      <x:c r="N199" s="88" t="s">
        <x:v>1517</x:v>
      </x:c>
      <x:c r="O199" s="88" t="s">
        <x:v>3203</x:v>
      </x:c>
      <x:c r="P199" s="88" t="s">
        <x:v>3173</x:v>
      </x:c>
      <x:c r="Q199" s="88" t="s">
        <x:v>4869</x:v>
      </x:c>
      <x:c r="R199" s="88" t="s">
        <x:v>162</x:v>
      </x:c>
      <x:c r="S199" s="88"/>
      <x:c r="T199" s="88"/>
      <x:c r="U199" s="88" t="s">
        <x:v>4870</x:v>
      </x:c>
      <x:c r="V199" s="89">
        <x:v>46205.140497222223</x:v>
      </x:c>
      <x:c r="W199" s="88" t="s">
        <x:v>827</x:v>
      </x:c>
      <x:c r="X199" s="88" t="s">
        <x:v>259</x:v>
      </x:c>
      <x:c r="Y199" s="88" t="s">
        <x:v>4871</x:v>
      </x:c>
      <x:c r="Z199" s="89">
        <x:v>46210.128969386577</x:v>
      </x:c>
      <x:c r="AA199" s="88" t="s">
        <x:v>2518</x:v>
      </x:c>
      <x:c r="AB199" s="88" t="s">
        <x:v>259</x:v>
      </x:c>
      <x:c r="AC199" s="88" t="s">
        <x:v>4872</x:v>
      </x:c>
      <x:c r="AD199" s="89">
        <x:v>46219.152023043978</x:v>
      </x:c>
      <x:c r="AE199" s="88" t="s">
        <x:v>122</x:v>
      </x:c>
      <x:c r="AF199" s="88" t="s">
        <x:v>259</x:v>
      </x:c>
      <x:c r="AG199" s="88" t="s">
        <x:v>4873</x:v>
      </x:c>
      <x:c r="AH199" s="89">
        <x:v>46243.642616840276</x:v>
      </x:c>
      <x:c r="AI199" s="88" t="s">
        <x:v>113</x:v>
      </x:c>
      <x:c r="AJ199" s="88" t="s">
        <x:v>259</x:v>
      </x:c>
      <x:c r="AK199" s="88" t="s">
        <x:v>4874</x:v>
      </x:c>
      <x:c r="AL199" s="88" t="s">
        <x:v>3465</x:v>
      </x:c>
    </x:row>
    <x:row r="200">
      <x:c r="A200" s="88" t="s">
        <x:v>4875</x:v>
      </x:c>
      <x:c r="B200" s="88" t="s">
        <x:v>4876</x:v>
      </x:c>
      <x:c r="C200" s="88" t="s">
        <x:v>2948</x:v>
      </x:c>
      <x:c r="D200" s="88" t="s">
        <x:v>3133</x:v>
      </x:c>
      <x:c r="E200" s="88" t="s">
        <x:v>249</x:v>
      </x:c>
      <x:c r="F200" s="89">
        <x:v>46205.247493518516</x:v>
      </x:c>
      <x:c r="G200" s="89">
        <x:v>46205.247493518516</x:v>
      </x:c>
      <x:c r="H200" s="89">
        <x:v>46210.275485092592</x:v>
      </x:c>
      <x:c r="I200" s="88" t="s">
        <x:v>587</x:v>
      </x:c>
      <x:c r="J200" s="88" t="s">
        <x:v>578</x:v>
      </x:c>
      <x:c r="K200" s="88">
        <x:v>4343</x:v>
      </x:c>
      <x:c r="L200" s="88" t="s">
        <x:v>579</x:v>
      </x:c>
      <x:c r="M200" s="88" t="s">
        <x:v>4877</x:v>
      </x:c>
      <x:c r="N200" s="88" t="s">
        <x:v>4311</x:v>
      </x:c>
      <x:c r="O200" s="88" t="s">
        <x:v>3137</x:v>
      </x:c>
      <x:c r="P200" s="88" t="s">
        <x:v>3138</x:v>
      </x:c>
      <x:c r="Q200" s="88" t="s">
        <x:v>4878</x:v>
      </x:c>
      <x:c r="R200" s="88" t="s">
        <x:v>185</x:v>
      </x:c>
      <x:c r="S200" s="88"/>
      <x:c r="T200" s="88"/>
      <x:c r="U200" s="88" t="s">
        <x:v>4879</x:v>
      </x:c>
      <x:c r="V200" s="89">
        <x:v>46205.253328599538</x:v>
      </x:c>
      <x:c r="W200" s="88" t="s">
        <x:v>4880</x:v>
      </x:c>
      <x:c r="X200" s="88" t="s">
        <x:v>259</x:v>
      </x:c>
      <x:c r="Y200" s="88" t="s">
        <x:v>4881</x:v>
      </x:c>
      <x:c r="Z200" s="89">
        <x:v>46210.275485115744</x:v>
      </x:c>
      <x:c r="AA200" s="88" t="s">
        <x:v>2518</x:v>
      </x:c>
      <x:c r="AB200" s="88" t="s">
        <x:v>249</x:v>
      </x:c>
      <x:c r="AC200" s="88"/>
      <x:c r="AD200" s="89"/>
      <x:c r="AE200" s="88" t="s">
        <x:v>2214</x:v>
      </x:c>
      <x:c r="AF200" s="88"/>
      <x:c r="AG200" s="88"/>
      <x:c r="AH200" s="89"/>
      <x:c r="AI200" s="88" t="s">
        <x:v>173</x:v>
      </x:c>
      <x:c r="AJ200" s="88"/>
      <x:c r="AK200" s="88"/>
      <x:c r="AL200" s="88" t="s">
        <x:v>4316</x:v>
      </x:c>
    </x:row>
    <x:row r="201">
      <x:c r="A201" s="88" t="s">
        <x:v>4882</x:v>
      </x:c>
      <x:c r="B201" s="88" t="s">
        <x:v>4883</x:v>
      </x:c>
      <x:c r="C201" s="88" t="s">
        <x:v>1184</x:v>
      </x:c>
      <x:c r="D201" s="88" t="s">
        <x:v>3133</x:v>
      </x:c>
      <x:c r="E201" s="88" t="s">
        <x:v>249</x:v>
      </x:c>
      <x:c r="F201" s="89">
        <x:v>46205.273837337962</x:v>
      </x:c>
      <x:c r="G201" s="89">
        <x:v>46205.273837337962</x:v>
      </x:c>
      <x:c r="H201" s="89">
        <x:v>46210.31215957176</x:v>
      </x:c>
      <x:c r="I201" s="88" t="s">
        <x:v>4298</x:v>
      </x:c>
      <x:c r="J201" s="88" t="s">
        <x:v>4299</x:v>
      </x:c>
      <x:c r="K201" s="88">
        <x:v>4712</x:v>
      </x:c>
      <x:c r="L201" s="88" t="s">
        <x:v>4300</x:v>
      </x:c>
      <x:c r="M201" s="88" t="s">
        <x:v>3646</x:v>
      </x:c>
      <x:c r="N201" s="88" t="s">
        <x:v>4301</x:v>
      </x:c>
      <x:c r="O201" s="88" t="s">
        <x:v>3137</x:v>
      </x:c>
      <x:c r="P201" s="88" t="s">
        <x:v>3138</x:v>
      </x:c>
      <x:c r="Q201" s="88" t="s">
        <x:v>4789</x:v>
      </x:c>
      <x:c r="R201" s="88" t="s">
        <x:v>162</x:v>
      </x:c>
      <x:c r="S201" s="88"/>
      <x:c r="T201" s="88"/>
      <x:c r="U201" s="88" t="s">
        <x:v>4884</x:v>
      </x:c>
      <x:c r="V201" s="89">
        <x:v>46206.035079745372</x:v>
      </x:c>
      <x:c r="W201" s="88" t="s">
        <x:v>1070</x:v>
      </x:c>
      <x:c r="X201" s="88" t="s">
        <x:v>259</x:v>
      </x:c>
      <x:c r="Y201" s="88" t="s">
        <x:v>4885</x:v>
      </x:c>
      <x:c r="Z201" s="89">
        <x:v>46210.312159583336</x:v>
      </x:c>
      <x:c r="AA201" s="88" t="s">
        <x:v>2518</x:v>
      </x:c>
      <x:c r="AB201" s="88" t="s">
        <x:v>249</x:v>
      </x:c>
      <x:c r="AC201" s="88"/>
      <x:c r="AD201" s="89"/>
      <x:c r="AE201" s="88" t="s">
        <x:v>2214</x:v>
      </x:c>
      <x:c r="AF201" s="88"/>
      <x:c r="AG201" s="88"/>
      <x:c r="AH201" s="89"/>
      <x:c r="AI201" s="88" t="s">
        <x:v>173</x:v>
      </x:c>
      <x:c r="AJ201" s="88"/>
      <x:c r="AK201" s="88"/>
      <x:c r="AL201" s="88" t="s">
        <x:v>4308</x:v>
      </x:c>
    </x:row>
    <x:row r="202">
      <x:c r="A202" s="88" t="s">
        <x:v>4886</x:v>
      </x:c>
      <x:c r="B202" s="88" t="s">
        <x:v>4887</x:v>
      </x:c>
      <x:c r="C202" s="88" t="s">
        <x:v>309</x:v>
      </x:c>
      <x:c r="D202" s="88" t="s">
        <x:v>3133</x:v>
      </x:c>
      <x:c r="E202" s="88" t="s">
        <x:v>249</x:v>
      </x:c>
      <x:c r="F202" s="89">
        <x:v>46208.780881886574</x:v>
      </x:c>
      <x:c r="G202" s="89">
        <x:v>46208.780881886574</x:v>
      </x:c>
      <x:c r="H202" s="89">
        <x:v>46209.076778958333</x:v>
      </x:c>
      <x:c r="I202" s="88" t="s">
        <x:v>2511</x:v>
      </x:c>
      <x:c r="J202" s="88" t="s">
        <x:v>2505</x:v>
      </x:c>
      <x:c r="K202" s="88">
        <x:v>1824</x:v>
      </x:c>
      <x:c r="L202" s="88" t="s">
        <x:v>2506</x:v>
      </x:c>
      <x:c r="M202" s="88" t="s">
        <x:v>511</x:v>
      </x:c>
      <x:c r="N202" s="88" t="s">
        <x:v>3534</x:v>
      </x:c>
      <x:c r="O202" s="88" t="s">
        <x:v>3137</x:v>
      </x:c>
      <x:c r="P202" s="88" t="s">
        <x:v>3225</x:v>
      </x:c>
      <x:c r="Q202" s="88" t="s">
        <x:v>4888</x:v>
      </x:c>
      <x:c r="R202" s="88"/>
      <x:c r="S202" s="88"/>
      <x:c r="T202" s="88"/>
      <x:c r="U202" s="88" t="s">
        <x:v>4889</x:v>
      </x:c>
      <x:c r="V202" s="89">
        <x:v>46209.076778958333</x:v>
      </x:c>
      <x:c r="W202" s="88" t="s">
        <x:v>309</x:v>
      </x:c>
      <x:c r="X202" s="88" t="s">
        <x:v>249</x:v>
      </x:c>
      <x:c r="Y202" s="88"/>
      <x:c r="Z202" s="89"/>
      <x:c r="AA202" s="88" t="s">
        <x:v>2488</x:v>
      </x:c>
      <x:c r="AB202" s="88"/>
      <x:c r="AC202" s="88"/>
      <x:c r="AD202" s="89"/>
      <x:c r="AE202" s="88" t="s">
        <x:v>2214</x:v>
      </x:c>
      <x:c r="AF202" s="88"/>
      <x:c r="AG202" s="88"/>
      <x:c r="AH202" s="89"/>
      <x:c r="AI202" s="88" t="s">
        <x:v>173</x:v>
      </x:c>
      <x:c r="AJ202" s="88"/>
      <x:c r="AK202" s="88"/>
      <x:c r="AL202" s="88" t="s">
        <x:v>4890</x:v>
      </x:c>
    </x:row>
    <x:row r="203">
      <x:c r="A203" s="88" t="s">
        <x:v>4891</x:v>
      </x:c>
      <x:c r="B203" s="88" t="s">
        <x:v>4892</x:v>
      </x:c>
      <x:c r="C203" s="88" t="s">
        <x:v>309</x:v>
      </x:c>
      <x:c r="D203" s="88" t="s">
        <x:v>3133</x:v>
      </x:c>
      <x:c r="E203" s="88" t="s">
        <x:v>342</x:v>
      </x:c>
      <x:c r="F203" s="89">
        <x:v>46209.139780983794</x:v>
      </x:c>
      <x:c r="G203" s="89">
        <x:v>46209.139780983794</x:v>
      </x:c>
      <x:c r="H203" s="89">
        <x:v>46231.281352951388</x:v>
      </x:c>
      <x:c r="I203" s="88" t="s">
        <x:v>2511</x:v>
      </x:c>
      <x:c r="J203" s="88" t="s">
        <x:v>2505</x:v>
      </x:c>
      <x:c r="K203" s="88">
        <x:v>1824</x:v>
      </x:c>
      <x:c r="L203" s="88" t="s">
        <x:v>2506</x:v>
      </x:c>
      <x:c r="M203" s="88" t="s">
        <x:v>511</x:v>
      </x:c>
      <x:c r="N203" s="88" t="s">
        <x:v>3534</x:v>
      </x:c>
      <x:c r="O203" s="88" t="s">
        <x:v>3137</x:v>
      </x:c>
      <x:c r="P203" s="88" t="s">
        <x:v>3225</x:v>
      </x:c>
      <x:c r="Q203" s="88" t="s">
        <x:v>4893</x:v>
      </x:c>
      <x:c r="R203" s="88" t="s">
        <x:v>162</x:v>
      </x:c>
      <x:c r="S203" s="88"/>
      <x:c r="T203" s="88"/>
      <x:c r="U203" s="88" t="s">
        <x:v>259</x:v>
      </x:c>
      <x:c r="V203" s="89">
        <x:v>46209.140441539355</x:v>
      </x:c>
      <x:c r="W203" s="88" t="s">
        <x:v>309</x:v>
      </x:c>
      <x:c r="X203" s="88" t="s">
        <x:v>259</x:v>
      </x:c>
      <x:c r="Y203" s="88" t="s">
        <x:v>2021</x:v>
      </x:c>
      <x:c r="Z203" s="89">
        <x:v>46209.143855219911</x:v>
      </x:c>
      <x:c r="AA203" s="88" t="s">
        <x:v>2518</x:v>
      </x:c>
      <x:c r="AB203" s="88" t="s">
        <x:v>259</x:v>
      </x:c>
      <x:c r="AC203" s="88" t="s">
        <x:v>4894</x:v>
      </x:c>
      <x:c r="AD203" s="89">
        <x:v>46209.14689827546</x:v>
      </x:c>
      <x:c r="AE203" s="88" t="s">
        <x:v>122</x:v>
      </x:c>
      <x:c r="AF203" s="88" t="s">
        <x:v>259</x:v>
      </x:c>
      <x:c r="AG203" s="88" t="s">
        <x:v>4895</x:v>
      </x:c>
      <x:c r="AH203" s="89">
        <x:v>46231.281352951388</x:v>
      </x:c>
      <x:c r="AI203" s="88" t="s">
        <x:v>309</x:v>
      </x:c>
      <x:c r="AJ203" s="88" t="s">
        <x:v>259</x:v>
      </x:c>
      <x:c r="AK203" s="88" t="s">
        <x:v>4896</x:v>
      </x:c>
      <x:c r="AL203" s="88" t="s">
        <x:v>4890</x:v>
      </x:c>
    </x:row>
    <x:row r="204">
      <x:c r="A204" s="88" t="s">
        <x:v>4897</x:v>
      </x:c>
      <x:c r="B204" s="88" t="s">
        <x:v>4898</x:v>
      </x:c>
      <x:c r="C204" s="88" t="s">
        <x:v>981</x:v>
      </x:c>
      <x:c r="D204" s="88" t="s">
        <x:v>3133</x:v>
      </x:c>
      <x:c r="E204" s="88" t="s">
        <x:v>342</x:v>
      </x:c>
      <x:c r="F204" s="89">
        <x:v>46211.118666770832</x:v>
      </x:c>
      <x:c r="G204" s="89">
        <x:v>46211.118666770832</x:v>
      </x:c>
      <x:c r="H204" s="89">
        <x:v>46243.349771643516</x:v>
      </x:c>
      <x:c r="I204" s="88" t="s">
        <x:v>987</x:v>
      </x:c>
      <x:c r="J204" s="88" t="s">
        <x:v>982</x:v>
      </x:c>
      <x:c r="K204" s="88" t="s">
        <x:v>4899</x:v>
      </x:c>
      <x:c r="L204" s="88" t="s">
        <x:v>4900</x:v>
      </x:c>
      <x:c r="M204" s="88" t="s">
        <x:v>984</x:v>
      </x:c>
      <x:c r="N204" s="88" t="s">
        <x:v>4901</x:v>
      </x:c>
      <x:c r="O204" s="88" t="s">
        <x:v>4032</x:v>
      </x:c>
      <x:c r="P204" s="88" t="s">
        <x:v>3138</x:v>
      </x:c>
      <x:c r="Q204" s="88" t="s">
        <x:v>4902</x:v>
      </x:c>
      <x:c r="R204" s="88" t="s">
        <x:v>185</x:v>
      </x:c>
      <x:c r="S204" s="88"/>
      <x:c r="T204" s="88"/>
      <x:c r="U204" s="88" t="s">
        <x:v>4034</x:v>
      </x:c>
      <x:c r="V204" s="89">
        <x:v>46211.118666770832</x:v>
      </x:c>
      <x:c r="W204" s="88" t="s">
        <x:v>984</x:v>
      </x:c>
      <x:c r="X204" s="88" t="s">
        <x:v>259</x:v>
      </x:c>
      <x:c r="Y204" s="88" t="s">
        <x:v>4034</x:v>
      </x:c>
      <x:c r="Z204" s="89">
        <x:v>46211.118666770832</x:v>
      </x:c>
      <x:c r="AA204" s="88" t="s">
        <x:v>3206</x:v>
      </x:c>
      <x:c r="AB204" s="88" t="s">
        <x:v>259</x:v>
      </x:c>
      <x:c r="AC204" s="88" t="s">
        <x:v>2333</x:v>
      </x:c>
      <x:c r="AD204" s="89">
        <x:v>46222.851107430557</x:v>
      </x:c>
      <x:c r="AE204" s="88" t="s">
        <x:v>111</x:v>
      </x:c>
      <x:c r="AF204" s="88" t="s">
        <x:v>259</x:v>
      </x:c>
      <x:c r="AG204" s="88" t="s">
        <x:v>4903</x:v>
      </x:c>
      <x:c r="AH204" s="89">
        <x:v>46243.349771678244</x:v>
      </x:c>
      <x:c r="AI204" s="88" t="s">
        <x:v>108</x:v>
      </x:c>
      <x:c r="AJ204" s="88" t="s">
        <x:v>259</x:v>
      </x:c>
      <x:c r="AK204" s="88" t="s">
        <x:v>4904</x:v>
      </x:c>
      <x:c r="AL204" s="88" t="s">
        <x:v>4905</x:v>
      </x:c>
    </x:row>
    <x:row r="205">
      <x:c r="A205" s="88" t="s">
        <x:v>4906</x:v>
      </x:c>
      <x:c r="B205" s="88" t="s">
        <x:v>4907</x:v>
      </x:c>
      <x:c r="C205" s="88" t="s">
        <x:v>3339</x:v>
      </x:c>
      <x:c r="D205" s="88" t="s">
        <x:v>3133</x:v>
      </x:c>
      <x:c r="E205" s="88" t="s">
        <x:v>342</x:v>
      </x:c>
      <x:c r="F205" s="89">
        <x:v>46211.369382627316</x:v>
      </x:c>
      <x:c r="G205" s="89">
        <x:v>46211.369382627316</x:v>
      </x:c>
      <x:c r="H205" s="89">
        <x:v>46237.205435162039</x:v>
      </x:c>
      <x:c r="I205" s="88" t="s">
        <x:v>4855</x:v>
      </x:c>
      <x:c r="J205" s="88" t="s">
        <x:v>4856</x:v>
      </x:c>
      <x:c r="K205" s="88" t="s">
        <x:v>4857</x:v>
      </x:c>
      <x:c r="L205" s="88" t="s">
        <x:v>4858</x:v>
      </x:c>
      <x:c r="M205" s="88" t="s">
        <x:v>4908</x:v>
      </x:c>
      <x:c r="N205" s="88" t="s">
        <x:v>4909</x:v>
      </x:c>
      <x:c r="O205" s="88" t="s">
        <x:v>3137</x:v>
      </x:c>
      <x:c r="P205" s="88" t="s">
        <x:v>3225</x:v>
      </x:c>
      <x:c r="Q205" s="88" t="s">
        <x:v>4910</x:v>
      </x:c>
      <x:c r="R205" s="88" t="s">
        <x:v>193</x:v>
      </x:c>
      <x:c r="S205" s="88"/>
      <x:c r="T205" s="88"/>
      <x:c r="U205" s="88" t="s">
        <x:v>4911</x:v>
      </x:c>
      <x:c r="V205" s="89">
        <x:v>46211.388677453702</x:v>
      </x:c>
      <x:c r="W205" s="88" t="s">
        <x:v>4912</x:v>
      </x:c>
      <x:c r="X205" s="88" t="s">
        <x:v>259</x:v>
      </x:c>
      <x:c r="Y205" s="88" t="s">
        <x:v>4913</x:v>
      </x:c>
      <x:c r="Z205" s="89">
        <x:v>46218.277658935185</x:v>
      </x:c>
      <x:c r="AA205" s="88" t="s">
        <x:v>2518</x:v>
      </x:c>
      <x:c r="AB205" s="88" t="s">
        <x:v>259</x:v>
      </x:c>
      <x:c r="AC205" s="88" t="s">
        <x:v>3688</x:v>
      </x:c>
      <x:c r="AD205" s="89">
        <x:v>46218.409872708333</x:v>
      </x:c>
      <x:c r="AE205" s="88" t="s">
        <x:v>111</x:v>
      </x:c>
      <x:c r="AF205" s="88" t="s">
        <x:v>259</x:v>
      </x:c>
      <x:c r="AG205" s="88" t="s">
        <x:v>4844</x:v>
      </x:c>
      <x:c r="AH205" s="89">
        <x:v>46237.205435173608</x:v>
      </x:c>
      <x:c r="AI205" s="88" t="s">
        <x:v>131</x:v>
      </x:c>
      <x:c r="AJ205" s="88" t="s">
        <x:v>259</x:v>
      </x:c>
      <x:c r="AK205" s="88" t="s">
        <x:v>4914</x:v>
      </x:c>
      <x:c r="AL205" s="88" t="s">
        <x:v>4866</x:v>
      </x:c>
    </x:row>
    <x:row r="206">
      <x:c r="A206" s="88" t="s">
        <x:v>4915</x:v>
      </x:c>
      <x:c r="B206" s="88" t="s">
        <x:v>4916</x:v>
      </x:c>
      <x:c r="C206" s="88" t="s">
        <x:v>1516</x:v>
      </x:c>
      <x:c r="D206" s="88" t="s">
        <x:v>3133</x:v>
      </x:c>
      <x:c r="E206" s="88" t="s">
        <x:v>342</x:v>
      </x:c>
      <x:c r="F206" s="89">
        <x:v>46212.067548391205</x:v>
      </x:c>
      <x:c r="G206" s="89">
        <x:v>46212.067548391205</x:v>
      </x:c>
      <x:c r="H206" s="89">
        <x:v>46228.27258326389</x:v>
      </x:c>
      <x:c r="I206" s="88" t="s">
        <x:v>1525</x:v>
      </x:c>
      <x:c r="J206" s="88" t="s">
        <x:v>1517</x:v>
      </x:c>
      <x:c r="K206" s="88">
        <x:v>1709</x:v>
      </x:c>
      <x:c r="L206" s="88" t="s">
        <x:v>1518</x:v>
      </x:c>
      <x:c r="M206" s="88" t="s">
        <x:v>827</x:v>
      </x:c>
      <x:c r="N206" s="88" t="s">
        <x:v>1517</x:v>
      </x:c>
      <x:c r="O206" s="88" t="s">
        <x:v>3203</x:v>
      </x:c>
      <x:c r="P206" s="88" t="s">
        <x:v>3173</x:v>
      </x:c>
      <x:c r="Q206" s="88" t="s">
        <x:v>4917</x:v>
      </x:c>
      <x:c r="R206" s="88" t="s">
        <x:v>185</x:v>
      </x:c>
      <x:c r="S206" s="88"/>
      <x:c r="T206" s="88"/>
      <x:c r="U206" s="88" t="s">
        <x:v>259</x:v>
      </x:c>
      <x:c r="V206" s="89">
        <x:v>46212.069993645833</x:v>
      </x:c>
      <x:c r="W206" s="88" t="s">
        <x:v>827</x:v>
      </x:c>
      <x:c r="X206" s="88" t="s">
        <x:v>259</x:v>
      </x:c>
      <x:c r="Y206" s="88" t="s">
        <x:v>4918</x:v>
      </x:c>
      <x:c r="Z206" s="89">
        <x:v>46218.290934340279</x:v>
      </x:c>
      <x:c r="AA206" s="88" t="s">
        <x:v>2518</x:v>
      </x:c>
      <x:c r="AB206" s="88" t="s">
        <x:v>259</x:v>
      </x:c>
      <x:c r="AC206" s="88" t="s">
        <x:v>2418</x:v>
      </x:c>
      <x:c r="AD206" s="89">
        <x:v>46219.039441828703</x:v>
      </x:c>
      <x:c r="AE206" s="88" t="s">
        <x:v>111</x:v>
      </x:c>
      <x:c r="AF206" s="88" t="s">
        <x:v>259</x:v>
      </x:c>
      <x:c r="AG206" s="88" t="s">
        <x:v>4919</x:v>
      </x:c>
      <x:c r="AH206" s="89">
        <x:v>46228.272583275466</x:v>
      </x:c>
      <x:c r="AI206" s="88" t="s">
        <x:v>131</x:v>
      </x:c>
      <x:c r="AJ206" s="88" t="s">
        <x:v>259</x:v>
      </x:c>
      <x:c r="AK206" s="88" t="s">
        <x:v>4920</x:v>
      </x:c>
      <x:c r="AL206" s="88" t="s">
        <x:v>3465</x:v>
      </x:c>
    </x:row>
    <x:row r="207">
      <x:c r="A207" s="88" t="s">
        <x:v>4921</x:v>
      </x:c>
      <x:c r="B207" s="88" t="s">
        <x:v>4922</x:v>
      </x:c>
      <x:c r="C207" s="88" t="s">
        <x:v>4923</x:v>
      </x:c>
      <x:c r="D207" s="88" t="s">
        <x:v>3133</x:v>
      </x:c>
      <x:c r="E207" s="88" t="s">
        <x:v>329</x:v>
      </x:c>
      <x:c r="F207" s="89">
        <x:v>46212.141928333331</x:v>
      </x:c>
      <x:c r="G207" s="89">
        <x:v>46212.141928333331</x:v>
      </x:c>
      <x:c r="H207" s="89">
        <x:v>46219.037344803241</x:v>
      </x:c>
      <x:c r="I207" s="88" t="s">
        <x:v>2384</x:v>
      </x:c>
      <x:c r="J207" s="88" t="s">
        <x:v>2381</x:v>
      </x:c>
      <x:c r="K207" s="88" t="s">
        <x:v>2385</x:v>
      </x:c>
      <x:c r="L207" s="88" t="s">
        <x:v>2381</x:v>
      </x:c>
      <x:c r="M207" s="88" t="s">
        <x:v>2382</x:v>
      </x:c>
      <x:c r="N207" s="88" t="s">
        <x:v>4339</x:v>
      </x:c>
      <x:c r="O207" s="88" t="s">
        <x:v>3137</x:v>
      </x:c>
      <x:c r="P207" s="88" t="s">
        <x:v>3138</x:v>
      </x:c>
      <x:c r="Q207" s="88" t="s">
        <x:v>4924</x:v>
      </x:c>
      <x:c r="R207" s="88" t="s">
        <x:v>193</x:v>
      </x:c>
      <x:c r="S207" s="88"/>
      <x:c r="T207" s="88"/>
      <x:c r="U207" s="88" t="s">
        <x:v>815</x:v>
      </x:c>
      <x:c r="V207" s="89">
        <x:v>46212.145349629631</x:v>
      </x:c>
      <x:c r="W207" s="88" t="s">
        <x:v>2382</x:v>
      </x:c>
      <x:c r="X207" s="88" t="s">
        <x:v>259</x:v>
      </x:c>
      <x:c r="Y207" s="88" t="s">
        <x:v>4925</x:v>
      </x:c>
      <x:c r="Z207" s="89">
        <x:v>46212.147386666664</x:v>
      </x:c>
      <x:c r="AA207" s="88" t="s">
        <x:v>2382</x:v>
      </x:c>
      <x:c r="AB207" s="88" t="s">
        <x:v>259</x:v>
      </x:c>
      <x:c r="AC207" s="88" t="s">
        <x:v>3688</x:v>
      </x:c>
      <x:c r="AD207" s="89">
        <x:v>46219.037344814817</x:v>
      </x:c>
      <x:c r="AE207" s="88" t="s">
        <x:v>111</x:v>
      </x:c>
      <x:c r="AF207" s="88" t="s">
        <x:v>259</x:v>
      </x:c>
      <x:c r="AG207" s="88"/>
      <x:c r="AH207" s="89"/>
      <x:c r="AI207" s="88" t="s">
        <x:v>108</x:v>
      </x:c>
      <x:c r="AJ207" s="88"/>
      <x:c r="AK207" s="88" t="s">
        <x:v>4926</x:v>
      </x:c>
      <x:c r="AL207" s="88" t="s">
        <x:v>4342</x:v>
      </x:c>
    </x:row>
    <x:row r="208">
      <x:c r="A208" s="88" t="s">
        <x:v>4927</x:v>
      </x:c>
      <x:c r="B208" s="88" t="s">
        <x:v>4928</x:v>
      </x:c>
      <x:c r="C208" s="88" t="s">
        <x:v>4360</x:v>
      </x:c>
      <x:c r="D208" s="88" t="s">
        <x:v>3133</x:v>
      </x:c>
      <x:c r="E208" s="88" t="s">
        <x:v>249</x:v>
      </x:c>
      <x:c r="F208" s="89">
        <x:v>46216.133661770837</x:v>
      </x:c>
      <x:c r="G208" s="89">
        <x:v>46216.133661770837</x:v>
      </x:c>
      <x:c r="H208" s="89">
        <x:v>46216.331451273145</x:v>
      </x:c>
      <x:c r="I208" s="88" t="s">
        <x:v>4361</x:v>
      </x:c>
      <x:c r="J208" s="88" t="s">
        <x:v>4362</x:v>
      </x:c>
      <x:c r="K208" s="88" t="s">
        <x:v>4363</x:v>
      </x:c>
      <x:c r="L208" s="88" t="s">
        <x:v>4364</x:v>
      </x:c>
      <x:c r="M208" s="88" t="s">
        <x:v>4365</x:v>
      </x:c>
      <x:c r="N208" s="88" t="s">
        <x:v>4364</x:v>
      </x:c>
      <x:c r="O208" s="88" t="s">
        <x:v>3137</x:v>
      </x:c>
      <x:c r="P208" s="88" t="s">
        <x:v>3138</x:v>
      </x:c>
      <x:c r="Q208" s="88" t="s">
        <x:v>4929</x:v>
      </x:c>
      <x:c r="R208" s="88"/>
      <x:c r="S208" s="88"/>
      <x:c r="T208" s="88"/>
      <x:c r="U208" s="88"/>
      <x:c r="V208" s="89">
        <x:v>46216.331451284721</x:v>
      </x:c>
      <x:c r="W208" s="88" t="s">
        <x:v>4365</x:v>
      </x:c>
      <x:c r="X208" s="88" t="s">
        <x:v>249</x:v>
      </x:c>
      <x:c r="Y208" s="88"/>
      <x:c r="Z208" s="89"/>
      <x:c r="AA208" s="88" t="s">
        <x:v>2488</x:v>
      </x:c>
      <x:c r="AB208" s="88"/>
      <x:c r="AC208" s="88"/>
      <x:c r="AD208" s="89"/>
      <x:c r="AE208" s="88" t="s">
        <x:v>2214</x:v>
      </x:c>
      <x:c r="AF208" s="88"/>
      <x:c r="AG208" s="88"/>
      <x:c r="AH208" s="89"/>
      <x:c r="AI208" s="88" t="s">
        <x:v>173</x:v>
      </x:c>
      <x:c r="AJ208" s="88"/>
      <x:c r="AK208" s="88"/>
      <x:c r="AL208" s="88" t="s">
        <x:v>4371</x:v>
      </x:c>
    </x:row>
    <x:row r="209">
      <x:c r="A209" s="88" t="s">
        <x:v>4930</x:v>
      </x:c>
      <x:c r="B209" s="88" t="s">
        <x:v>4931</x:v>
      </x:c>
      <x:c r="C209" s="88" t="s">
        <x:v>4360</x:v>
      </x:c>
      <x:c r="D209" s="88" t="s">
        <x:v>3133</x:v>
      </x:c>
      <x:c r="E209" s="88" t="s">
        <x:v>249</x:v>
      </x:c>
      <x:c r="F209" s="89">
        <x:v>46216.326334861114</x:v>
      </x:c>
      <x:c r="G209" s="89">
        <x:v>46216.326334861114</x:v>
      </x:c>
      <x:c r="H209" s="89">
        <x:v>46222.844187002316</x:v>
      </x:c>
      <x:c r="I209" s="88" t="s">
        <x:v>4361</x:v>
      </x:c>
      <x:c r="J209" s="88" t="s">
        <x:v>4362</x:v>
      </x:c>
      <x:c r="K209" s="88" t="s">
        <x:v>4363</x:v>
      </x:c>
      <x:c r="L209" s="88" t="s">
        <x:v>4364</x:v>
      </x:c>
      <x:c r="M209" s="88" t="s">
        <x:v>4365</x:v>
      </x:c>
      <x:c r="N209" s="88" t="s">
        <x:v>4364</x:v>
      </x:c>
      <x:c r="O209" s="88" t="s">
        <x:v>3137</x:v>
      </x:c>
      <x:c r="P209" s="88" t="s">
        <x:v>3138</x:v>
      </x:c>
      <x:c r="Q209" s="88" t="s">
        <x:v>4932</x:v>
      </x:c>
      <x:c r="R209" s="88" t="s">
        <x:v>185</x:v>
      </x:c>
      <x:c r="S209" s="88"/>
      <x:c r="T209" s="88"/>
      <x:c r="U209" s="88" t="s">
        <x:v>815</x:v>
      </x:c>
      <x:c r="V209" s="89">
        <x:v>46216.331883622683</x:v>
      </x:c>
      <x:c r="W209" s="88" t="s">
        <x:v>4365</x:v>
      </x:c>
      <x:c r="X209" s="88" t="s">
        <x:v>259</x:v>
      </x:c>
      <x:c r="Y209" s="88" t="s">
        <x:v>2519</x:v>
      </x:c>
      <x:c r="Z209" s="89">
        <x:v>46220.630814606484</x:v>
      </x:c>
      <x:c r="AA209" s="88" t="s">
        <x:v>2518</x:v>
      </x:c>
      <x:c r="AB209" s="88" t="s">
        <x:v>259</x:v>
      </x:c>
      <x:c r="AC209" s="88" t="s">
        <x:v>4933</x:v>
      </x:c>
      <x:c r="AD209" s="89">
        <x:v>46222.844187013892</x:v>
      </x:c>
      <x:c r="AE209" s="88" t="s">
        <x:v>111</x:v>
      </x:c>
      <x:c r="AF209" s="88" t="s">
        <x:v>249</x:v>
      </x:c>
      <x:c r="AG209" s="88"/>
      <x:c r="AH209" s="89"/>
      <x:c r="AI209" s="88" t="s">
        <x:v>131</x:v>
      </x:c>
      <x:c r="AJ209" s="88"/>
      <x:c r="AK209" s="88" t="s">
        <x:v>4934</x:v>
      </x:c>
      <x:c r="AL209" s="88" t="s">
        <x:v>4371</x:v>
      </x:c>
    </x:row>
    <x:row r="210">
      <x:c r="A210" s="88" t="s">
        <x:v>4935</x:v>
      </x:c>
      <x:c r="B210" s="88" t="s">
        <x:v>4936</x:v>
      </x:c>
      <x:c r="C210" s="88" t="s">
        <x:v>2948</x:v>
      </x:c>
      <x:c r="D210" s="88" t="s">
        <x:v>3133</x:v>
      </x:c>
      <x:c r="E210" s="88" t="s">
        <x:v>249</x:v>
      </x:c>
      <x:c r="F210" s="89">
        <x:v>46217.062814861114</x:v>
      </x:c>
      <x:c r="G210" s="89">
        <x:v>46217.062814861114</x:v>
      </x:c>
      <x:c r="H210" s="89">
        <x:v>46226.165743032405</x:v>
      </x:c>
      <x:c r="I210" s="88" t="s">
        <x:v>587</x:v>
      </x:c>
      <x:c r="J210" s="88" t="s">
        <x:v>578</x:v>
      </x:c>
      <x:c r="K210" s="88">
        <x:v>4343</x:v>
      </x:c>
      <x:c r="L210" s="88" t="s">
        <x:v>579</x:v>
      </x:c>
      <x:c r="M210" s="88" t="s">
        <x:v>4877</x:v>
      </x:c>
      <x:c r="N210" s="88" t="s">
        <x:v>4311</x:v>
      </x:c>
      <x:c r="O210" s="88" t="s">
        <x:v>3137</x:v>
      </x:c>
      <x:c r="P210" s="88" t="s">
        <x:v>3173</x:v>
      </x:c>
      <x:c r="Q210" s="88" t="s">
        <x:v>4937</x:v>
      </x:c>
      <x:c r="R210" s="88" t="s">
        <x:v>162</x:v>
      </x:c>
      <x:c r="S210" s="88"/>
      <x:c r="T210" s="88"/>
      <x:c r="U210" s="88" t="s">
        <x:v>4938</x:v>
      </x:c>
      <x:c r="V210" s="89">
        <x:v>46224.261606319444</x:v>
      </x:c>
      <x:c r="W210" s="88" t="s">
        <x:v>4880</x:v>
      </x:c>
      <x:c r="X210" s="88" t="s">
        <x:v>259</x:v>
      </x:c>
      <x:c r="Y210" s="88" t="s">
        <x:v>4939</x:v>
      </x:c>
      <x:c r="Z210" s="89">
        <x:v>46226.165743043981</x:v>
      </x:c>
      <x:c r="AA210" s="88" t="s">
        <x:v>2518</x:v>
      </x:c>
      <x:c r="AB210" s="88" t="s">
        <x:v>249</x:v>
      </x:c>
      <x:c r="AC210" s="88"/>
      <x:c r="AD210" s="89"/>
      <x:c r="AE210" s="88" t="s">
        <x:v>2214</x:v>
      </x:c>
      <x:c r="AF210" s="88"/>
      <x:c r="AG210" s="88"/>
      <x:c r="AH210" s="89"/>
      <x:c r="AI210" s="88" t="s">
        <x:v>173</x:v>
      </x:c>
      <x:c r="AJ210" s="88"/>
      <x:c r="AK210" s="88"/>
      <x:c r="AL210" s="88" t="s">
        <x:v>4316</x:v>
      </x:c>
    </x:row>
    <x:row r="211">
      <x:c r="A211" s="88" t="s">
        <x:v>4940</x:v>
      </x:c>
      <x:c r="B211" s="88" t="s">
        <x:v>4941</x:v>
      </x:c>
      <x:c r="C211" s="88" t="s">
        <x:v>4942</x:v>
      </x:c>
      <x:c r="D211" s="88" t="s">
        <x:v>3133</x:v>
      </x:c>
      <x:c r="E211" s="88" t="s">
        <x:v>249</x:v>
      </x:c>
      <x:c r="F211" s="89">
        <x:v>46217.262512777779</x:v>
      </x:c>
      <x:c r="G211" s="89">
        <x:v>46217.278950370368</x:v>
      </x:c>
      <x:c r="H211" s="89">
        <x:v>46226.178674490744</x:v>
      </x:c>
      <x:c r="I211" s="88" t="s">
        <x:v>4943</x:v>
      </x:c>
      <x:c r="J211" s="88" t="s">
        <x:v>4944</x:v>
      </x:c>
      <x:c r="K211" s="88" t="s">
        <x:v>4945</x:v>
      </x:c>
      <x:c r="L211" s="88" t="s">
        <x:v>4946</x:v>
      </x:c>
      <x:c r="M211" s="88" t="s">
        <x:v>4947</x:v>
      </x:c>
      <x:c r="N211" s="88" t="s">
        <x:v>4948</x:v>
      </x:c>
      <x:c r="O211" s="88" t="s">
        <x:v>3137</x:v>
      </x:c>
      <x:c r="P211" s="88" t="s">
        <x:v>3138</x:v>
      </x:c>
      <x:c r="Q211" s="88" t="s">
        <x:v>4949</x:v>
      </x:c>
      <x:c r="R211" s="88" t="s">
        <x:v>193</x:v>
      </x:c>
      <x:c r="S211" s="88"/>
      <x:c r="T211" s="88"/>
      <x:c r="U211" s="88" t="s">
        <x:v>2333</x:v>
      </x:c>
      <x:c r="V211" s="89">
        <x:v>46218.009582233797</x:v>
      </x:c>
      <x:c r="W211" s="88" t="s">
        <x:v>955</x:v>
      </x:c>
      <x:c r="X211" s="88" t="s">
        <x:v>259</x:v>
      </x:c>
      <x:c r="Y211" s="88" t="s">
        <x:v>4950</x:v>
      </x:c>
      <x:c r="Z211" s="89">
        <x:v>46226.178674502313</x:v>
      </x:c>
      <x:c r="AA211" s="88" t="s">
        <x:v>2518</x:v>
      </x:c>
      <x:c r="AB211" s="88" t="s">
        <x:v>249</x:v>
      </x:c>
      <x:c r="AC211" s="88"/>
      <x:c r="AD211" s="89"/>
      <x:c r="AE211" s="88" t="s">
        <x:v>2214</x:v>
      </x:c>
      <x:c r="AF211" s="88"/>
      <x:c r="AG211" s="88"/>
      <x:c r="AH211" s="89"/>
      <x:c r="AI211" s="88" t="s">
        <x:v>173</x:v>
      </x:c>
      <x:c r="AJ211" s="88"/>
      <x:c r="AK211" s="88"/>
      <x:c r="AL211" s="88" t="s">
        <x:v>4951</x:v>
      </x:c>
    </x:row>
    <x:row r="212">
      <x:c r="A212" s="88" t="s">
        <x:v>4952</x:v>
      </x:c>
      <x:c r="B212" s="88" t="s">
        <x:v>4953</x:v>
      </x:c>
      <x:c r="C212" s="88" t="s">
        <x:v>4653</x:v>
      </x:c>
      <x:c r="D212" s="88" t="s">
        <x:v>3133</x:v>
      </x:c>
      <x:c r="E212" s="88" t="s">
        <x:v>329</x:v>
      </x:c>
      <x:c r="F212" s="89">
        <x:v>46217.442103761576</x:v>
      </x:c>
      <x:c r="G212" s="89">
        <x:v>46227.09271931713</x:v>
      </x:c>
      <x:c r="H212" s="89">
        <x:v>46233.103235925926</x:v>
      </x:c>
      <x:c r="I212" s="88" t="s">
        <x:v>4654</x:v>
      </x:c>
      <x:c r="J212" s="88" t="s">
        <x:v>4655</x:v>
      </x:c>
      <x:c r="K212" s="88" t="s">
        <x:v>4656</x:v>
      </x:c>
      <x:c r="L212" s="88" t="s">
        <x:v>4657</x:v>
      </x:c>
      <x:c r="M212" s="88" t="s">
        <x:v>4661</x:v>
      </x:c>
      <x:c r="N212" s="88" t="s">
        <x:v>4655</x:v>
      </x:c>
      <x:c r="O212" s="88" t="s">
        <x:v>3137</x:v>
      </x:c>
      <x:c r="P212" s="88" t="s">
        <x:v>3138</x:v>
      </x:c>
      <x:c r="Q212" s="88" t="s">
        <x:v>4954</x:v>
      </x:c>
      <x:c r="R212" s="88" t="s">
        <x:v>193</x:v>
      </x:c>
      <x:c r="S212" s="88"/>
      <x:c r="T212" s="88"/>
      <x:c r="U212" s="88" t="s">
        <x:v>815</x:v>
      </x:c>
      <x:c r="V212" s="89">
        <x:v>46227.162715347222</x:v>
      </x:c>
      <x:c r="W212" s="88" t="s">
        <x:v>4661</x:v>
      </x:c>
      <x:c r="X212" s="88" t="s">
        <x:v>259</x:v>
      </x:c>
      <x:c r="Y212" s="88" t="s">
        <x:v>2021</x:v>
      </x:c>
      <x:c r="Z212" s="89">
        <x:v>46231.350956458336</x:v>
      </x:c>
      <x:c r="AA212" s="88" t="s">
        <x:v>2518</x:v>
      </x:c>
      <x:c r="AB212" s="88" t="s">
        <x:v>259</x:v>
      </x:c>
      <x:c r="AC212" s="88" t="s">
        <x:v>335</x:v>
      </x:c>
      <x:c r="AD212" s="89">
        <x:v>46233.103235937502</x:v>
      </x:c>
      <x:c r="AE212" s="88" t="s">
        <x:v>111</x:v>
      </x:c>
      <x:c r="AF212" s="88" t="s">
        <x:v>259</x:v>
      </x:c>
      <x:c r="AG212" s="88"/>
      <x:c r="AH212" s="89"/>
      <x:c r="AI212" s="88" t="s">
        <x:v>131</x:v>
      </x:c>
      <x:c r="AJ212" s="88"/>
      <x:c r="AK212" s="88" t="s">
        <x:v>4955</x:v>
      </x:c>
      <x:c r="AL212" s="88" t="s">
        <x:v>4664</x:v>
      </x:c>
    </x:row>
    <x:row r="213">
      <x:c r="A213" s="88" t="s">
        <x:v>4956</x:v>
      </x:c>
      <x:c r="B213" s="88" t="s">
        <x:v>4957</x:v>
      </x:c>
      <x:c r="C213" s="88" t="s">
        <x:v>1638</x:v>
      </x:c>
      <x:c r="D213" s="88" t="s">
        <x:v>3133</x:v>
      </x:c>
      <x:c r="E213" s="88" t="s">
        <x:v>329</x:v>
      </x:c>
      <x:c r="F213" s="89">
        <x:v>46218.141300960648</x:v>
      </x:c>
      <x:c r="G213" s="89">
        <x:v>46220.555625081019</x:v>
      </x:c>
      <x:c r="H213" s="89">
        <x:v>46225.368280706018</x:v>
      </x:c>
      <x:c r="I213" s="88" t="s">
        <x:v>4958</x:v>
      </x:c>
      <x:c r="J213" s="88" t="s">
        <x:v>4959</x:v>
      </x:c>
      <x:c r="K213" s="88" t="s">
        <x:v>4960</x:v>
      </x:c>
      <x:c r="L213" s="88" t="s">
        <x:v>4959</x:v>
      </x:c>
      <x:c r="M213" s="88" t="s">
        <x:v>4961</x:v>
      </x:c>
      <x:c r="N213" s="88" t="s">
        <x:v>3746</x:v>
      </x:c>
      <x:c r="O213" s="88" t="s">
        <x:v>3137</x:v>
      </x:c>
      <x:c r="P213" s="88" t="s">
        <x:v>3173</x:v>
      </x:c>
      <x:c r="Q213" s="88" t="s">
        <x:v>4962</x:v>
      </x:c>
      <x:c r="R213" s="88" t="s">
        <x:v>193</x:v>
      </x:c>
      <x:c r="S213" s="88"/>
      <x:c r="T213" s="88"/>
      <x:c r="U213" s="88" t="s">
        <x:v>738</x:v>
      </x:c>
      <x:c r="V213" s="89">
        <x:v>46220.61309309028</x:v>
      </x:c>
      <x:c r="W213" s="88" t="s">
        <x:v>4963</x:v>
      </x:c>
      <x:c r="X213" s="88" t="s">
        <x:v>259</x:v>
      </x:c>
      <x:c r="Y213" s="88" t="s">
        <x:v>2021</x:v>
      </x:c>
      <x:c r="Z213" s="89">
        <x:v>46220.623469895836</x:v>
      </x:c>
      <x:c r="AA213" s="88" t="s">
        <x:v>2518</x:v>
      </x:c>
      <x:c r="AB213" s="88" t="s">
        <x:v>259</x:v>
      </x:c>
      <x:c r="AC213" s="88" t="s">
        <x:v>335</x:v>
      </x:c>
      <x:c r="AD213" s="89">
        <x:v>46225.368280706018</x:v>
      </x:c>
      <x:c r="AE213" s="88" t="s">
        <x:v>111</x:v>
      </x:c>
      <x:c r="AF213" s="88" t="s">
        <x:v>259</x:v>
      </x:c>
      <x:c r="AG213" s="88"/>
      <x:c r="AH213" s="89"/>
      <x:c r="AI213" s="88" t="s">
        <x:v>108</x:v>
      </x:c>
      <x:c r="AJ213" s="88"/>
      <x:c r="AK213" s="88" t="s">
        <x:v>4964</x:v>
      </x:c>
      <x:c r="AL213" s="88" t="s">
        <x:v>4965</x:v>
      </x:c>
    </x:row>
    <x:row r="214">
      <x:c r="A214" s="88" t="s">
        <x:v>4966</x:v>
      </x:c>
      <x:c r="B214" s="88" t="s">
        <x:v>4967</x:v>
      </x:c>
      <x:c r="C214" s="88" t="s">
        <x:v>4968</x:v>
      </x:c>
      <x:c r="D214" s="88" t="s">
        <x:v>3133</x:v>
      </x:c>
      <x:c r="E214" s="88" t="s">
        <x:v>249</x:v>
      </x:c>
      <x:c r="F214" s="89">
        <x:v>46219.060472442128</x:v>
      </x:c>
      <x:c r="G214" s="89">
        <x:v>46219.060472442128</x:v>
      </x:c>
      <x:c r="H214" s="89">
        <x:v>46222.802982372683</x:v>
      </x:c>
      <x:c r="I214" s="88" t="s">
        <x:v>4969</x:v>
      </x:c>
      <x:c r="J214" s="88" t="s">
        <x:v>4970</x:v>
      </x:c>
      <x:c r="K214" s="88" t="s">
        <x:v>4971</x:v>
      </x:c>
      <x:c r="L214" s="88" t="s">
        <x:v>4972</x:v>
      </x:c>
      <x:c r="M214" s="88" t="s">
        <x:v>4973</x:v>
      </x:c>
      <x:c r="N214" s="88" t="s">
        <x:v>4970</x:v>
      </x:c>
      <x:c r="O214" s="88" t="s">
        <x:v>3137</x:v>
      </x:c>
      <x:c r="P214" s="88" t="s">
        <x:v>3173</x:v>
      </x:c>
      <x:c r="Q214" s="88" t="s">
        <x:v>4974</x:v>
      </x:c>
      <x:c r="R214" s="88" t="s">
        <x:v>162</x:v>
      </x:c>
      <x:c r="S214" s="88"/>
      <x:c r="T214" s="88"/>
      <x:c r="U214" s="88" t="s">
        <x:v>4975</x:v>
      </x:c>
      <x:c r="V214" s="89">
        <x:v>46219.156686736111</x:v>
      </x:c>
      <x:c r="W214" s="88" t="s">
        <x:v>4973</x:v>
      </x:c>
      <x:c r="X214" s="88" t="s">
        <x:v>259</x:v>
      </x:c>
      <x:c r="Y214" s="88" t="s">
        <x:v>4976</x:v>
      </x:c>
      <x:c r="Z214" s="89">
        <x:v>46219.290057002312</x:v>
      </x:c>
      <x:c r="AA214" s="88" t="s">
        <x:v>951</x:v>
      </x:c>
      <x:c r="AB214" s="88" t="s">
        <x:v>259</x:v>
      </x:c>
      <x:c r="AC214" s="88" t="s">
        <x:v>4977</x:v>
      </x:c>
      <x:c r="AD214" s="89">
        <x:v>46222.802982384259</x:v>
      </x:c>
      <x:c r="AE214" s="88" t="s">
        <x:v>111</x:v>
      </x:c>
      <x:c r="AF214" s="88" t="s">
        <x:v>249</x:v>
      </x:c>
      <x:c r="AG214" s="88"/>
      <x:c r="AH214" s="89"/>
      <x:c r="AI214" s="88" t="s">
        <x:v>173</x:v>
      </x:c>
      <x:c r="AJ214" s="88"/>
      <x:c r="AK214" s="88"/>
      <x:c r="AL214" s="88" t="s">
        <x:v>4978</x:v>
      </x:c>
    </x:row>
    <x:row r="215">
      <x:c r="A215" s="88" t="s">
        <x:v>4979</x:v>
      </x:c>
      <x:c r="B215" s="88" t="s">
        <x:v>4980</x:v>
      </x:c>
      <x:c r="C215" s="88" t="s">
        <x:v>1129</x:v>
      </x:c>
      <x:c r="D215" s="88" t="s">
        <x:v>3133</x:v>
      </x:c>
      <x:c r="E215" s="88" t="s">
        <x:v>342</x:v>
      </x:c>
      <x:c r="F215" s="89">
        <x:v>46220.073677905093</x:v>
      </x:c>
      <x:c r="G215" s="89">
        <x:v>46220.089643009262</x:v>
      </x:c>
      <x:c r="H215" s="89">
        <x:v>46244.060159224537</x:v>
      </x:c>
      <x:c r="I215" s="88" t="s">
        <x:v>4981</x:v>
      </x:c>
      <x:c r="J215" s="88" t="s">
        <x:v>4982</x:v>
      </x:c>
      <x:c r="K215" s="88">
        <x:v>1814</x:v>
      </x:c>
      <x:c r="L215" s="88" t="s">
        <x:v>4983</x:v>
      </x:c>
      <x:c r="M215" s="88" t="s">
        <x:v>827</x:v>
      </x:c>
      <x:c r="N215" s="88" t="s">
        <x:v>4984</x:v>
      </x:c>
      <x:c r="O215" s="88" t="s">
        <x:v>3137</x:v>
      </x:c>
      <x:c r="P215" s="88" t="s">
        <x:v>3138</x:v>
      </x:c>
      <x:c r="Q215" s="88" t="s">
        <x:v>4985</x:v>
      </x:c>
      <x:c r="R215" s="88" t="s">
        <x:v>162</x:v>
      </x:c>
      <x:c r="S215" s="88"/>
      <x:c r="T215" s="88"/>
      <x:c r="U215" s="88" t="s">
        <x:v>4986</x:v>
      </x:c>
      <x:c r="V215" s="89">
        <x:v>46220.118740196762</x:v>
      </x:c>
      <x:c r="W215" s="88" t="s">
        <x:v>827</x:v>
      </x:c>
      <x:c r="X215" s="88" t="s">
        <x:v>259</x:v>
      </x:c>
      <x:c r="Y215" s="88" t="s">
        <x:v>4987</x:v>
      </x:c>
      <x:c r="Z215" s="89">
        <x:v>46220.313442812498</x:v>
      </x:c>
      <x:c r="AA215" s="88" t="s">
        <x:v>2518</x:v>
      </x:c>
      <x:c r="AB215" s="88" t="s">
        <x:v>259</x:v>
      </x:c>
      <x:c r="AC215" s="88" t="s">
        <x:v>335</x:v>
      </x:c>
      <x:c r="AD215" s="89">
        <x:v>46225.372706805552</x:v>
      </x:c>
      <x:c r="AE215" s="88" t="s">
        <x:v>111</x:v>
      </x:c>
      <x:c r="AF215" s="88" t="s">
        <x:v>259</x:v>
      </x:c>
      <x:c r="AG215" s="88" t="s">
        <x:v>4988</x:v>
      </x:c>
      <x:c r="AH215" s="89">
        <x:v>46244.060159236113</x:v>
      </x:c>
      <x:c r="AI215" s="88" t="s">
        <x:v>131</x:v>
      </x:c>
      <x:c r="AJ215" s="88" t="s">
        <x:v>259</x:v>
      </x:c>
      <x:c r="AK215" s="88" t="s">
        <x:v>4989</x:v>
      </x:c>
      <x:c r="AL215" s="88" t="s">
        <x:v>4990</x:v>
      </x:c>
    </x:row>
    <x:row r="216">
      <x:c r="A216" s="88" t="s">
        <x:v>4991</x:v>
      </x:c>
      <x:c r="B216" s="88" t="s">
        <x:v>4992</x:v>
      </x:c>
      <x:c r="C216" s="88" t="s">
        <x:v>4993</x:v>
      </x:c>
      <x:c r="D216" s="88" t="s">
        <x:v>3133</x:v>
      </x:c>
      <x:c r="E216" s="88" t="s">
        <x:v>342</x:v>
      </x:c>
      <x:c r="F216" s="89">
        <x:v>46223.307811041668</x:v>
      </x:c>
      <x:c r="G216" s="89">
        <x:v>46230.150496145834</x:v>
      </x:c>
      <x:c r="H216" s="89">
        <x:v>46245.621780335649</x:v>
      </x:c>
      <x:c r="I216" s="88" t="s">
        <x:v>4994</x:v>
      </x:c>
      <x:c r="J216" s="88" t="s">
        <x:v>4995</x:v>
      </x:c>
      <x:c r="K216" s="88">
        <x:v>3784</x:v>
      </x:c>
      <x:c r="L216" s="88" t="s">
        <x:v>4996</x:v>
      </x:c>
      <x:c r="M216" s="88" t="s">
        <x:v>992</x:v>
      </x:c>
      <x:c r="N216" s="88" t="s">
        <x:v>4997</x:v>
      </x:c>
      <x:c r="O216" s="88" t="s">
        <x:v>3137</x:v>
      </x:c>
      <x:c r="P216" s="88" t="s">
        <x:v>3225</x:v>
      </x:c>
      <x:c r="Q216" s="88" t="s">
        <x:v>4998</x:v>
      </x:c>
      <x:c r="R216" s="88" t="s">
        <x:v>193</x:v>
      </x:c>
      <x:c r="S216" s="88"/>
      <x:c r="T216" s="88"/>
      <x:c r="U216" s="88" t="s">
        <x:v>385</x:v>
      </x:c>
      <x:c r="V216" s="89">
        <x:v>46224.270849097222</x:v>
      </x:c>
      <x:c r="W216" s="88" t="s">
        <x:v>995</x:v>
      </x:c>
      <x:c r="X216" s="88" t="s">
        <x:v>259</x:v>
      </x:c>
      <x:c r="Y216" s="88" t="s">
        <x:v>2021</x:v>
      </x:c>
      <x:c r="Z216" s="89">
        <x:v>46226.406443912034</x:v>
      </x:c>
      <x:c r="AA216" s="88" t="s">
        <x:v>2518</x:v>
      </x:c>
      <x:c r="AB216" s="88" t="s">
        <x:v>259</x:v>
      </x:c>
      <x:c r="AC216" s="88" t="s">
        <x:v>2333</x:v>
      </x:c>
      <x:c r="AD216" s="89">
        <x:v>46231.199956990742</x:v>
      </x:c>
      <x:c r="AE216" s="88" t="s">
        <x:v>111</x:v>
      </x:c>
      <x:c r="AF216" s="88" t="s">
        <x:v>259</x:v>
      </x:c>
      <x:c r="AG216" s="88" t="s">
        <x:v>4999</x:v>
      </x:c>
      <x:c r="AH216" s="89">
        <x:v>46245.621780347225</x:v>
      </x:c>
      <x:c r="AI216" s="88" t="s">
        <x:v>108</x:v>
      </x:c>
      <x:c r="AJ216" s="88" t="s">
        <x:v>259</x:v>
      </x:c>
      <x:c r="AK216" s="88" t="s">
        <x:v>5000</x:v>
      </x:c>
      <x:c r="AL216" s="88" t="s">
        <x:v>5001</x:v>
      </x:c>
    </x:row>
    <x:row r="217">
      <x:c r="A217" s="88" t="s">
        <x:v>5002</x:v>
      </x:c>
      <x:c r="B217" s="88" t="s">
        <x:v>5003</x:v>
      </x:c>
      <x:c r="C217" s="88" t="s">
        <x:v>4993</x:v>
      </x:c>
      <x:c r="D217" s="88" t="s">
        <x:v>3133</x:v>
      </x:c>
      <x:c r="E217" s="88" t="s">
        <x:v>329</x:v>
      </x:c>
      <x:c r="F217" s="89">
        <x:v>46223.310973958331</x:v>
      </x:c>
      <x:c r="G217" s="89">
        <x:v>46230.149668240738</x:v>
      </x:c>
      <x:c r="H217" s="89">
        <x:v>46231.200194050929</x:v>
      </x:c>
      <x:c r="I217" s="88" t="s">
        <x:v>4994</x:v>
      </x:c>
      <x:c r="J217" s="88" t="s">
        <x:v>4995</x:v>
      </x:c>
      <x:c r="K217" s="88">
        <x:v>3784</x:v>
      </x:c>
      <x:c r="L217" s="88" t="s">
        <x:v>4996</x:v>
      </x:c>
      <x:c r="M217" s="88" t="s">
        <x:v>992</x:v>
      </x:c>
      <x:c r="N217" s="88" t="s">
        <x:v>5004</x:v>
      </x:c>
      <x:c r="O217" s="88" t="s">
        <x:v>3137</x:v>
      </x:c>
      <x:c r="P217" s="88" t="s">
        <x:v>3173</x:v>
      </x:c>
      <x:c r="Q217" s="88" t="s">
        <x:v>5005</x:v>
      </x:c>
      <x:c r="R217" s="88" t="s">
        <x:v>193</x:v>
      </x:c>
      <x:c r="S217" s="88"/>
      <x:c r="T217" s="88"/>
      <x:c r="U217" s="88" t="s">
        <x:v>385</x:v>
      </x:c>
      <x:c r="V217" s="89">
        <x:v>46224.275264618052</x:v>
      </x:c>
      <x:c r="W217" s="88" t="s">
        <x:v>995</x:v>
      </x:c>
      <x:c r="X217" s="88" t="s">
        <x:v>259</x:v>
      </x:c>
      <x:c r="Y217" s="88" t="s">
        <x:v>2021</x:v>
      </x:c>
      <x:c r="Z217" s="89">
        <x:v>46226.406106898146</x:v>
      </x:c>
      <x:c r="AA217" s="88" t="s">
        <x:v>2518</x:v>
      </x:c>
      <x:c r="AB217" s="88" t="s">
        <x:v>259</x:v>
      </x:c>
      <x:c r="AC217" s="88" t="s">
        <x:v>2333</x:v>
      </x:c>
      <x:c r="AD217" s="89">
        <x:v>46231.200194062498</x:v>
      </x:c>
      <x:c r="AE217" s="88" t="s">
        <x:v>111</x:v>
      </x:c>
      <x:c r="AF217" s="88" t="s">
        <x:v>259</x:v>
      </x:c>
      <x:c r="AG217" s="88"/>
      <x:c r="AH217" s="89"/>
      <x:c r="AI217" s="88" t="s">
        <x:v>108</x:v>
      </x:c>
      <x:c r="AJ217" s="88"/>
      <x:c r="AK217" s="88" t="s">
        <x:v>5006</x:v>
      </x:c>
      <x:c r="AL217" s="88" t="s">
        <x:v>5001</x:v>
      </x:c>
    </x:row>
    <x:row r="218">
      <x:c r="A218" s="88" t="s">
        <x:v>5007</x:v>
      </x:c>
      <x:c r="B218" s="88" t="s">
        <x:v>5008</x:v>
      </x:c>
      <x:c r="C218" s="88" t="s">
        <x:v>4993</x:v>
      </x:c>
      <x:c r="D218" s="88" t="s">
        <x:v>3133</x:v>
      </x:c>
      <x:c r="E218" s="88" t="s">
        <x:v>329</x:v>
      </x:c>
      <x:c r="F218" s="89">
        <x:v>46223.31209334491</x:v>
      </x:c>
      <x:c r="G218" s="89">
        <x:v>46230.148398240737</x:v>
      </x:c>
      <x:c r="H218" s="89">
        <x:v>46231.200593657406</x:v>
      </x:c>
      <x:c r="I218" s="88" t="s">
        <x:v>4994</x:v>
      </x:c>
      <x:c r="J218" s="88" t="s">
        <x:v>4995</x:v>
      </x:c>
      <x:c r="K218" s="88">
        <x:v>3784</x:v>
      </x:c>
      <x:c r="L218" s="88" t="s">
        <x:v>4996</x:v>
      </x:c>
      <x:c r="M218" s="88" t="s">
        <x:v>992</x:v>
      </x:c>
      <x:c r="N218" s="88" t="s">
        <x:v>5004</x:v>
      </x:c>
      <x:c r="O218" s="88" t="s">
        <x:v>3137</x:v>
      </x:c>
      <x:c r="P218" s="88" t="s">
        <x:v>3138</x:v>
      </x:c>
      <x:c r="Q218" s="88" t="s">
        <x:v>5009</x:v>
      </x:c>
      <x:c r="R218" s="88" t="s">
        <x:v>193</x:v>
      </x:c>
      <x:c r="S218" s="88"/>
      <x:c r="T218" s="88"/>
      <x:c r="U218" s="88" t="s">
        <x:v>385</x:v>
      </x:c>
      <x:c r="V218" s="89">
        <x:v>46224.275264618052</x:v>
      </x:c>
      <x:c r="W218" s="88" t="s">
        <x:v>995</x:v>
      </x:c>
      <x:c r="X218" s="88" t="s">
        <x:v>259</x:v>
      </x:c>
      <x:c r="Y218" s="88" t="s">
        <x:v>2021</x:v>
      </x:c>
      <x:c r="Z218" s="89">
        <x:v>46226.406106898146</x:v>
      </x:c>
      <x:c r="AA218" s="88" t="s">
        <x:v>2518</x:v>
      </x:c>
      <x:c r="AB218" s="88" t="s">
        <x:v>259</x:v>
      </x:c>
      <x:c r="AC218" s="88" t="s">
        <x:v>2333</x:v>
      </x:c>
      <x:c r="AD218" s="89">
        <x:v>46231.200593657406</x:v>
      </x:c>
      <x:c r="AE218" s="88" t="s">
        <x:v>111</x:v>
      </x:c>
      <x:c r="AF218" s="88" t="s">
        <x:v>259</x:v>
      </x:c>
      <x:c r="AG218" s="88"/>
      <x:c r="AH218" s="89"/>
      <x:c r="AI218" s="88" t="s">
        <x:v>108</x:v>
      </x:c>
      <x:c r="AJ218" s="88"/>
      <x:c r="AK218" s="88" t="s">
        <x:v>5010</x:v>
      </x:c>
      <x:c r="AL218" s="88" t="s">
        <x:v>5001</x:v>
      </x:c>
    </x:row>
    <x:row r="219">
      <x:c r="A219" s="88" t="s">
        <x:v>5011</x:v>
      </x:c>
      <x:c r="B219" s="88" t="s">
        <x:v>5012</x:v>
      </x:c>
      <x:c r="C219" s="88" t="s">
        <x:v>5013</x:v>
      </x:c>
      <x:c r="D219" s="88" t="s">
        <x:v>3133</x:v>
      </x:c>
      <x:c r="E219" s="88" t="s">
        <x:v>342</x:v>
      </x:c>
      <x:c r="F219" s="89">
        <x:v>46224.205672731485</x:v>
      </x:c>
      <x:c r="G219" s="89">
        <x:v>46224.205672731485</x:v>
      </x:c>
      <x:c r="H219" s="89">
        <x:v>46232.186743356484</x:v>
      </x:c>
      <x:c r="I219" s="88" t="s">
        <x:v>5014</x:v>
      </x:c>
      <x:c r="J219" s="88" t="s">
        <x:v>5015</x:v>
      </x:c>
      <x:c r="K219" s="88" t="s">
        <x:v>5016</x:v>
      </x:c>
      <x:c r="L219" s="88" t="s">
        <x:v>5017</x:v>
      </x:c>
      <x:c r="M219" s="88" t="s">
        <x:v>5018</x:v>
      </x:c>
      <x:c r="N219" s="88" t="s">
        <x:v>5019</x:v>
      </x:c>
      <x:c r="O219" s="88" t="s">
        <x:v>3137</x:v>
      </x:c>
      <x:c r="P219" s="88" t="s">
        <x:v>3138</x:v>
      </x:c>
      <x:c r="Q219" s="88" t="s">
        <x:v>5020</x:v>
      </x:c>
      <x:c r="R219" s="88" t="s">
        <x:v>162</x:v>
      </x:c>
      <x:c r="S219" s="88"/>
      <x:c r="T219" s="88"/>
      <x:c r="U219" s="88" t="s">
        <x:v>5021</x:v>
      </x:c>
      <x:c r="V219" s="89">
        <x:v>46224.206785555558</x:v>
      </x:c>
      <x:c r="W219" s="88" t="s">
        <x:v>5018</x:v>
      </x:c>
      <x:c r="X219" s="88" t="s">
        <x:v>259</x:v>
      </x:c>
      <x:c r="Y219" s="88" t="s">
        <x:v>5022</x:v>
      </x:c>
      <x:c r="Z219" s="89">
        <x:v>46224.426074814815</x:v>
      </x:c>
      <x:c r="AA219" s="88" t="s">
        <x:v>3310</x:v>
      </x:c>
      <x:c r="AB219" s="88" t="s">
        <x:v>259</x:v>
      </x:c>
      <x:c r="AC219" s="88" t="s">
        <x:v>335</x:v>
      </x:c>
      <x:c r="AD219" s="89">
        <x:v>46225.367471516205</x:v>
      </x:c>
      <x:c r="AE219" s="88" t="s">
        <x:v>111</x:v>
      </x:c>
      <x:c r="AF219" s="88" t="s">
        <x:v>259</x:v>
      </x:c>
      <x:c r="AG219" s="88" t="s">
        <x:v>5023</x:v>
      </x:c>
      <x:c r="AH219" s="89">
        <x:v>46232.186743356484</x:v>
      </x:c>
      <x:c r="AI219" s="88" t="s">
        <x:v>113</x:v>
      </x:c>
      <x:c r="AJ219" s="88" t="s">
        <x:v>259</x:v>
      </x:c>
      <x:c r="AK219" s="88" t="s">
        <x:v>5024</x:v>
      </x:c>
      <x:c r="AL219" s="88" t="s">
        <x:v>5025</x:v>
      </x:c>
    </x:row>
    <x:row r="220">
      <x:c r="A220" s="88" t="s">
        <x:v>5026</x:v>
      </x:c>
      <x:c r="B220" s="88" t="s">
        <x:v>5027</x:v>
      </x:c>
      <x:c r="C220" s="88" t="s">
        <x:v>5013</x:v>
      </x:c>
      <x:c r="D220" s="88" t="s">
        <x:v>3133</x:v>
      </x:c>
      <x:c r="E220" s="88" t="s">
        <x:v>342</x:v>
      </x:c>
      <x:c r="F220" s="89">
        <x:v>46224.207256250003</x:v>
      </x:c>
      <x:c r="G220" s="89">
        <x:v>46224.207256250003</x:v>
      </x:c>
      <x:c r="H220" s="89">
        <x:v>46232.186232615742</x:v>
      </x:c>
      <x:c r="I220" s="88" t="s">
        <x:v>5014</x:v>
      </x:c>
      <x:c r="J220" s="88" t="s">
        <x:v>5015</x:v>
      </x:c>
      <x:c r="K220" s="88" t="s">
        <x:v>5016</x:v>
      </x:c>
      <x:c r="L220" s="88" t="s">
        <x:v>5017</x:v>
      </x:c>
      <x:c r="M220" s="88" t="s">
        <x:v>5018</x:v>
      </x:c>
      <x:c r="N220" s="88" t="s">
        <x:v>5019</x:v>
      </x:c>
      <x:c r="O220" s="88" t="s">
        <x:v>3137</x:v>
      </x:c>
      <x:c r="P220" s="88" t="s">
        <x:v>3173</x:v>
      </x:c>
      <x:c r="Q220" s="88" t="s">
        <x:v>5028</x:v>
      </x:c>
      <x:c r="R220" s="88" t="s">
        <x:v>162</x:v>
      </x:c>
      <x:c r="S220" s="88"/>
      <x:c r="T220" s="88"/>
      <x:c r="U220" s="88" t="s">
        <x:v>5021</x:v>
      </x:c>
      <x:c r="V220" s="89">
        <x:v>46224.209344710645</x:v>
      </x:c>
      <x:c r="W220" s="88" t="s">
        <x:v>5018</x:v>
      </x:c>
      <x:c r="X220" s="88" t="s">
        <x:v>259</x:v>
      </x:c>
      <x:c r="Y220" s="88" t="s">
        <x:v>5022</x:v>
      </x:c>
      <x:c r="Z220" s="89">
        <x:v>46224.42559259259</x:v>
      </x:c>
      <x:c r="AA220" s="88" t="s">
        <x:v>3310</x:v>
      </x:c>
      <x:c r="AB220" s="88" t="s">
        <x:v>259</x:v>
      </x:c>
      <x:c r="AC220" s="88" t="s">
        <x:v>335</x:v>
      </x:c>
      <x:c r="AD220" s="89">
        <x:v>46225.367030254631</x:v>
      </x:c>
      <x:c r="AE220" s="88" t="s">
        <x:v>111</x:v>
      </x:c>
      <x:c r="AF220" s="88" t="s">
        <x:v>259</x:v>
      </x:c>
      <x:c r="AG220" s="88" t="s">
        <x:v>5029</x:v>
      </x:c>
      <x:c r="AH220" s="89">
        <x:v>46232.186232615742</x:v>
      </x:c>
      <x:c r="AI220" s="88" t="s">
        <x:v>113</x:v>
      </x:c>
      <x:c r="AJ220" s="88" t="s">
        <x:v>259</x:v>
      </x:c>
      <x:c r="AK220" s="88" t="s">
        <x:v>5030</x:v>
      </x:c>
      <x:c r="AL220" s="88" t="s">
        <x:v>5025</x:v>
      </x:c>
    </x:row>
    <x:row r="221">
      <x:c r="A221" s="88" t="s">
        <x:v>5031</x:v>
      </x:c>
      <x:c r="B221" s="88" t="s">
        <x:v>5032</x:v>
      </x:c>
      <x:c r="C221" s="88" t="s">
        <x:v>2948</x:v>
      </x:c>
      <x:c r="D221" s="88" t="s">
        <x:v>3133</x:v>
      </x:c>
      <x:c r="E221" s="88" t="s">
        <x:v>249</x:v>
      </x:c>
      <x:c r="F221" s="89">
        <x:v>46224.31845791667</x:v>
      </x:c>
      <x:c r="G221" s="89">
        <x:v>46224.31845791667</x:v>
      </x:c>
      <x:c r="H221" s="89">
        <x:v>46232.308063912038</x:v>
      </x:c>
      <x:c r="I221" s="88" t="s">
        <x:v>5033</x:v>
      </x:c>
      <x:c r="J221" s="88" t="s">
        <x:v>5034</x:v>
      </x:c>
      <x:c r="K221" s="88">
        <x:v>1841</x:v>
      </x:c>
      <x:c r="L221" s="88" t="s">
        <x:v>5035</x:v>
      </x:c>
      <x:c r="M221" s="88" t="s">
        <x:v>4877</x:v>
      </x:c>
      <x:c r="N221" s="88" t="s">
        <x:v>5036</x:v>
      </x:c>
      <x:c r="O221" s="88" t="s">
        <x:v>3137</x:v>
      </x:c>
      <x:c r="P221" s="88" t="s">
        <x:v>3173</x:v>
      </x:c>
      <x:c r="Q221" s="88" t="s">
        <x:v>5037</x:v>
      </x:c>
      <x:c r="R221" s="88" t="s">
        <x:v>193</x:v>
      </x:c>
      <x:c r="S221" s="88"/>
      <x:c r="T221" s="88"/>
      <x:c r="U221" s="88" t="s">
        <x:v>4938</x:v>
      </x:c>
      <x:c r="V221" s="89">
        <x:v>46224.332152337964</x:v>
      </x:c>
      <x:c r="W221" s="88" t="s">
        <x:v>4880</x:v>
      </x:c>
      <x:c r="X221" s="88" t="s">
        <x:v>259</x:v>
      </x:c>
      <x:c r="Y221" s="88" t="s">
        <x:v>5038</x:v>
      </x:c>
      <x:c r="Z221" s="89">
        <x:v>46232.308063912038</x:v>
      </x:c>
      <x:c r="AA221" s="88" t="s">
        <x:v>2518</x:v>
      </x:c>
      <x:c r="AB221" s="88" t="s">
        <x:v>249</x:v>
      </x:c>
      <x:c r="AC221" s="88"/>
      <x:c r="AD221" s="89"/>
      <x:c r="AE221" s="88" t="s">
        <x:v>2214</x:v>
      </x:c>
      <x:c r="AF221" s="88"/>
      <x:c r="AG221" s="88"/>
      <x:c r="AH221" s="89"/>
      <x:c r="AI221" s="88" t="s">
        <x:v>173</x:v>
      </x:c>
      <x:c r="AJ221" s="88"/>
      <x:c r="AK221" s="88"/>
      <x:c r="AL221" s="88" t="s">
        <x:v>5039</x:v>
      </x:c>
    </x:row>
    <x:row r="222">
      <x:c r="A222" s="88" t="s">
        <x:v>5040</x:v>
      </x:c>
      <x:c r="B222" s="88" t="s">
        <x:v>5041</x:v>
      </x:c>
      <x:c r="C222" s="88" t="s">
        <x:v>2948</x:v>
      </x:c>
      <x:c r="D222" s="88" t="s">
        <x:v>3133</x:v>
      </x:c>
      <x:c r="E222" s="88" t="s">
        <x:v>249</x:v>
      </x:c>
      <x:c r="F222" s="89">
        <x:v>46224.326280810186</x:v>
      </x:c>
      <x:c r="G222" s="89">
        <x:v>46224.326280810186</x:v>
      </x:c>
      <x:c r="H222" s="89">
        <x:v>46232.30649826389</x:v>
      </x:c>
      <x:c r="I222" s="88" t="s">
        <x:v>5042</x:v>
      </x:c>
      <x:c r="J222" s="88" t="s">
        <x:v>5043</x:v>
      </x:c>
      <x:c r="K222" s="88">
        <x:v>3763</x:v>
      </x:c>
      <x:c r="L222" s="88" t="s">
        <x:v>5044</x:v>
      </x:c>
      <x:c r="M222" s="88" t="s">
        <x:v>4877</x:v>
      </x:c>
      <x:c r="N222" s="88" t="s">
        <x:v>5045</x:v>
      </x:c>
      <x:c r="O222" s="88" t="s">
        <x:v>3137</x:v>
      </x:c>
      <x:c r="P222" s="88" t="s">
        <x:v>3225</x:v>
      </x:c>
      <x:c r="Q222" s="88" t="s">
        <x:v>5046</x:v>
      </x:c>
      <x:c r="R222" s="88" t="s">
        <x:v>185</x:v>
      </x:c>
      <x:c r="S222" s="88"/>
      <x:c r="T222" s="88"/>
      <x:c r="U222" s="88" t="s">
        <x:v>4938</x:v>
      </x:c>
      <x:c r="V222" s="89">
        <x:v>46224.331812372686</x:v>
      </x:c>
      <x:c r="W222" s="88" t="s">
        <x:v>4880</x:v>
      </x:c>
      <x:c r="X222" s="88" t="s">
        <x:v>259</x:v>
      </x:c>
      <x:c r="Y222" s="88" t="s">
        <x:v>5047</x:v>
      </x:c>
      <x:c r="Z222" s="89">
        <x:v>46232.306498275466</x:v>
      </x:c>
      <x:c r="AA222" s="88" t="s">
        <x:v>2518</x:v>
      </x:c>
      <x:c r="AB222" s="88" t="s">
        <x:v>249</x:v>
      </x:c>
      <x:c r="AC222" s="88"/>
      <x:c r="AD222" s="89"/>
      <x:c r="AE222" s="88" t="s">
        <x:v>2214</x:v>
      </x:c>
      <x:c r="AF222" s="88"/>
      <x:c r="AG222" s="88"/>
      <x:c r="AH222" s="89"/>
      <x:c r="AI222" s="88" t="s">
        <x:v>173</x:v>
      </x:c>
      <x:c r="AJ222" s="88"/>
      <x:c r="AK222" s="88"/>
      <x:c r="AL222" s="88" t="s">
        <x:v>5048</x:v>
      </x:c>
    </x:row>
    <x:row r="223">
      <x:c r="A223" s="88" t="s">
        <x:v>5049</x:v>
      </x:c>
      <x:c r="B223" s="88" t="s">
        <x:v>5050</x:v>
      </x:c>
      <x:c r="C223" s="88" t="s">
        <x:v>2948</x:v>
      </x:c>
      <x:c r="D223" s="88" t="s">
        <x:v>3133</x:v>
      </x:c>
      <x:c r="E223" s="88" t="s">
        <x:v>249</x:v>
      </x:c>
      <x:c r="F223" s="89">
        <x:v>46224.327811909723</x:v>
      </x:c>
      <x:c r="G223" s="89">
        <x:v>46224.327811909723</x:v>
      </x:c>
      <x:c r="H223" s="89">
        <x:v>46232.30693460648</x:v>
      </x:c>
      <x:c r="I223" s="88" t="s">
        <x:v>5042</x:v>
      </x:c>
      <x:c r="J223" s="88" t="s">
        <x:v>5043</x:v>
      </x:c>
      <x:c r="K223" s="88">
        <x:v>3763</x:v>
      </x:c>
      <x:c r="L223" s="88" t="s">
        <x:v>5044</x:v>
      </x:c>
      <x:c r="M223" s="88" t="s">
        <x:v>4877</x:v>
      </x:c>
      <x:c r="N223" s="88" t="s">
        <x:v>5045</x:v>
      </x:c>
      <x:c r="O223" s="88" t="s">
        <x:v>3137</x:v>
      </x:c>
      <x:c r="P223" s="88" t="s">
        <x:v>3173</x:v>
      </x:c>
      <x:c r="Q223" s="88" t="s">
        <x:v>5051</x:v>
      </x:c>
      <x:c r="R223" s="88" t="s">
        <x:v>185</x:v>
      </x:c>
      <x:c r="S223" s="88"/>
      <x:c r="T223" s="88"/>
      <x:c r="U223" s="88" t="s">
        <x:v>4938</x:v>
      </x:c>
      <x:c r="V223" s="89">
        <x:v>46224.331504212962</x:v>
      </x:c>
      <x:c r="W223" s="88" t="s">
        <x:v>4880</x:v>
      </x:c>
      <x:c r="X223" s="88" t="s">
        <x:v>259</x:v>
      </x:c>
      <x:c r="Y223" s="88" t="s">
        <x:v>5047</x:v>
      </x:c>
      <x:c r="Z223" s="89">
        <x:v>46232.306934618056</x:v>
      </x:c>
      <x:c r="AA223" s="88" t="s">
        <x:v>2518</x:v>
      </x:c>
      <x:c r="AB223" s="88" t="s">
        <x:v>249</x:v>
      </x:c>
      <x:c r="AC223" s="88"/>
      <x:c r="AD223" s="89"/>
      <x:c r="AE223" s="88" t="s">
        <x:v>2214</x:v>
      </x:c>
      <x:c r="AF223" s="88"/>
      <x:c r="AG223" s="88"/>
      <x:c r="AH223" s="89"/>
      <x:c r="AI223" s="88" t="s">
        <x:v>173</x:v>
      </x:c>
      <x:c r="AJ223" s="88"/>
      <x:c r="AK223" s="88"/>
      <x:c r="AL223" s="88" t="s">
        <x:v>5048</x:v>
      </x:c>
    </x:row>
    <x:row r="224">
      <x:c r="A224" s="88" t="s">
        <x:v>5052</x:v>
      </x:c>
      <x:c r="B224" s="88" t="s">
        <x:v>5053</x:v>
      </x:c>
      <x:c r="C224" s="88" t="s">
        <x:v>2948</x:v>
      </x:c>
      <x:c r="D224" s="88" t="s">
        <x:v>3133</x:v>
      </x:c>
      <x:c r="E224" s="88" t="s">
        <x:v>249</x:v>
      </x:c>
      <x:c r="F224" s="89">
        <x:v>46224.328993634263</x:v>
      </x:c>
      <x:c r="G224" s="89">
        <x:v>46224.328993634263</x:v>
      </x:c>
      <x:c r="H224" s="89">
        <x:v>46232.30718851852</x:v>
      </x:c>
      <x:c r="I224" s="88" t="s">
        <x:v>5042</x:v>
      </x:c>
      <x:c r="J224" s="88" t="s">
        <x:v>5043</x:v>
      </x:c>
      <x:c r="K224" s="88">
        <x:v>3763</x:v>
      </x:c>
      <x:c r="L224" s="88" t="s">
        <x:v>5044</x:v>
      </x:c>
      <x:c r="M224" s="88" t="s">
        <x:v>4877</x:v>
      </x:c>
      <x:c r="N224" s="88" t="s">
        <x:v>5045</x:v>
      </x:c>
      <x:c r="O224" s="88" t="s">
        <x:v>3137</x:v>
      </x:c>
      <x:c r="P224" s="88" t="s">
        <x:v>3138</x:v>
      </x:c>
      <x:c r="Q224" s="88" t="s">
        <x:v>5054</x:v>
      </x:c>
      <x:c r="R224" s="88" t="s">
        <x:v>185</x:v>
      </x:c>
      <x:c r="S224" s="88"/>
      <x:c r="T224" s="88"/>
      <x:c r="U224" s="88" t="s">
        <x:v>4938</x:v>
      </x:c>
      <x:c r="V224" s="89">
        <x:v>46224.331100694442</x:v>
      </x:c>
      <x:c r="W224" s="88" t="s">
        <x:v>4880</x:v>
      </x:c>
      <x:c r="X224" s="88" t="s">
        <x:v>259</x:v>
      </x:c>
      <x:c r="Y224" s="88" t="s">
        <x:v>5047</x:v>
      </x:c>
      <x:c r="Z224" s="89">
        <x:v>46232.307188530096</x:v>
      </x:c>
      <x:c r="AA224" s="88" t="s">
        <x:v>2518</x:v>
      </x:c>
      <x:c r="AB224" s="88" t="s">
        <x:v>249</x:v>
      </x:c>
      <x:c r="AC224" s="88"/>
      <x:c r="AD224" s="89"/>
      <x:c r="AE224" s="88" t="s">
        <x:v>2214</x:v>
      </x:c>
      <x:c r="AF224" s="88"/>
      <x:c r="AG224" s="88"/>
      <x:c r="AH224" s="89"/>
      <x:c r="AI224" s="88" t="s">
        <x:v>173</x:v>
      </x:c>
      <x:c r="AJ224" s="88"/>
      <x:c r="AK224" s="88"/>
      <x:c r="AL224" s="88" t="s">
        <x:v>5048</x:v>
      </x:c>
    </x:row>
    <x:row r="225">
      <x:c r="A225" s="88" t="s">
        <x:v>5055</x:v>
      </x:c>
      <x:c r="B225" s="88" t="s">
        <x:v>5056</x:v>
      </x:c>
      <x:c r="C225" s="88" t="s">
        <x:v>5057</x:v>
      </x:c>
      <x:c r="D225" s="88" t="s">
        <x:v>3133</x:v>
      </x:c>
      <x:c r="E225" s="88" t="s">
        <x:v>329</x:v>
      </x:c>
      <x:c r="F225" s="89">
        <x:v>46225.007476365739</x:v>
      </x:c>
      <x:c r="G225" s="89">
        <x:v>46227.135383321758</x:v>
      </x:c>
      <x:c r="H225" s="89">
        <x:v>46233.102915844909</x:v>
      </x:c>
      <x:c r="I225" s="88" t="s">
        <x:v>1592</x:v>
      </x:c>
      <x:c r="J225" s="88" t="s">
        <x:v>2146</x:v>
      </x:c>
      <x:c r="K225" s="88">
        <x:v>4569</x:v>
      </x:c>
      <x:c r="L225" s="88" t="s">
        <x:v>3685</x:v>
      </x:c>
      <x:c r="M225" s="88" t="s">
        <x:v>4183</x:v>
      </x:c>
      <x:c r="N225" s="88" t="s">
        <x:v>5058</x:v>
      </x:c>
      <x:c r="O225" s="88" t="s">
        <x:v>3137</x:v>
      </x:c>
      <x:c r="P225" s="88" t="s">
        <x:v>3225</x:v>
      </x:c>
      <x:c r="Q225" s="88" t="s">
        <x:v>5059</x:v>
      </x:c>
      <x:c r="R225" s="88" t="s">
        <x:v>193</x:v>
      </x:c>
      <x:c r="S225" s="88"/>
      <x:c r="T225" s="88"/>
      <x:c r="U225" s="88" t="s">
        <x:v>2333</x:v>
      </x:c>
      <x:c r="V225" s="89">
        <x:v>46227.14261116898</x:v>
      </x:c>
      <x:c r="W225" s="88" t="s">
        <x:v>4185</x:v>
      </x:c>
      <x:c r="X225" s="88" t="s">
        <x:v>259</x:v>
      </x:c>
      <x:c r="Y225" s="88" t="s">
        <x:v>2021</x:v>
      </x:c>
      <x:c r="Z225" s="89">
        <x:v>46231.351985682872</x:v>
      </x:c>
      <x:c r="AA225" s="88" t="s">
        <x:v>2518</x:v>
      </x:c>
      <x:c r="AB225" s="88" t="s">
        <x:v>259</x:v>
      </x:c>
      <x:c r="AC225" s="88" t="s">
        <x:v>335</x:v>
      </x:c>
      <x:c r="AD225" s="89">
        <x:v>46233.102915856478</x:v>
      </x:c>
      <x:c r="AE225" s="88" t="s">
        <x:v>111</x:v>
      </x:c>
      <x:c r="AF225" s="88" t="s">
        <x:v>259</x:v>
      </x:c>
      <x:c r="AG225" s="88"/>
      <x:c r="AH225" s="89"/>
      <x:c r="AI225" s="88" t="s">
        <x:v>111</x:v>
      </x:c>
      <x:c r="AJ225" s="88"/>
      <x:c r="AK225" s="88" t="s">
        <x:v>5060</x:v>
      </x:c>
      <x:c r="AL225" s="88" t="s">
        <x:v>4527</x:v>
      </x:c>
    </x:row>
    <x:row r="226">
      <x:c r="A226" s="88" t="s">
        <x:v>5061</x:v>
      </x:c>
      <x:c r="B226" s="88" t="s">
        <x:v>5062</x:v>
      </x:c>
      <x:c r="C226" s="88" t="s">
        <x:v>1908</x:v>
      </x:c>
      <x:c r="D226" s="88" t="s">
        <x:v>3133</x:v>
      </x:c>
      <x:c r="E226" s="88" t="s">
        <x:v>342</x:v>
      </x:c>
      <x:c r="F226" s="89">
        <x:v>46225.072298726853</x:v>
      </x:c>
      <x:c r="G226" s="89">
        <x:v>46225.130283634258</x:v>
      </x:c>
      <x:c r="H226" s="89">
        <x:v>46230.221877905089</x:v>
      </x:c>
      <x:c r="I226" s="88" t="s">
        <x:v>3611</x:v>
      </x:c>
      <x:c r="J226" s="88" t="s">
        <x:v>3612</x:v>
      </x:c>
      <x:c r="K226" s="88" t="s">
        <x:v>3613</x:v>
      </x:c>
      <x:c r="L226" s="88" t="s">
        <x:v>3614</x:v>
      </x:c>
      <x:c r="M226" s="88" t="s">
        <x:v>667</x:v>
      </x:c>
      <x:c r="N226" s="88" t="s">
        <x:v>3615</x:v>
      </x:c>
      <x:c r="O226" s="88" t="s">
        <x:v>3203</x:v>
      </x:c>
      <x:c r="P226" s="88" t="s">
        <x:v>3138</x:v>
      </x:c>
      <x:c r="Q226" s="88" t="s">
        <x:v>5063</x:v>
      </x:c>
      <x:c r="R226" s="88" t="s">
        <x:v>162</x:v>
      </x:c>
      <x:c r="S226" s="88" t="s">
        <x:v>5064</x:v>
      </x:c>
      <x:c r="T226" s="88"/>
      <x:c r="U226" s="88" t="s">
        <x:v>5065</x:v>
      </x:c>
      <x:c r="V226" s="89">
        <x:v>46225.136044907405</x:v>
      </x:c>
      <x:c r="W226" s="88" t="s">
        <x:v>616</x:v>
      </x:c>
      <x:c r="X226" s="88" t="s">
        <x:v>259</x:v>
      </x:c>
      <x:c r="Y226" s="88" t="s">
        <x:v>5066</x:v>
      </x:c>
      <x:c r="Z226" s="89">
        <x:v>46227.080020983798</x:v>
      </x:c>
      <x:c r="AA226" s="88" t="s">
        <x:v>2518</x:v>
      </x:c>
      <x:c r="AB226" s="88" t="s">
        <x:v>259</x:v>
      </x:c>
      <x:c r="AC226" s="88" t="s">
        <x:v>2333</x:v>
      </x:c>
      <x:c r="AD226" s="89">
        <x:v>46229.6344641088</x:v>
      </x:c>
      <x:c r="AE226" s="88" t="s">
        <x:v>111</x:v>
      </x:c>
      <x:c r="AF226" s="88" t="s">
        <x:v>259</x:v>
      </x:c>
      <x:c r="AG226" s="88" t="s">
        <x:v>5067</x:v>
      </x:c>
      <x:c r="AH226" s="89">
        <x:v>46230.221877916665</x:v>
      </x:c>
      <x:c r="AI226" s="88" t="s">
        <x:v>129</x:v>
      </x:c>
      <x:c r="AJ226" s="88" t="s">
        <x:v>259</x:v>
      </x:c>
      <x:c r="AK226" s="88" t="s">
        <x:v>5068</x:v>
      </x:c>
      <x:c r="AL226" s="88" t="s">
        <x:v>3621</x:v>
      </x:c>
    </x:row>
    <x:row r="227">
      <x:c r="A227" s="88" t="s">
        <x:v>5069</x:v>
      </x:c>
      <x:c r="B227" s="88" t="s">
        <x:v>5070</x:v>
      </x:c>
      <x:c r="C227" s="88" t="s">
        <x:v>4592</x:v>
      </x:c>
      <x:c r="D227" s="88" t="s">
        <x:v>3133</x:v>
      </x:c>
      <x:c r="E227" s="88" t="s">
        <x:v>329</x:v>
      </x:c>
      <x:c r="F227" s="89">
        <x:v>46225.100457233799</x:v>
      </x:c>
      <x:c r="G227" s="89">
        <x:v>46225.100457233799</x:v>
      </x:c>
      <x:c r="H227" s="89">
        <x:v>46233.103644826391</x:v>
      </x:c>
      <x:c r="I227" s="88" t="s">
        <x:v>4593</x:v>
      </x:c>
      <x:c r="J227" s="88" t="s">
        <x:v>4594</x:v>
      </x:c>
      <x:c r="K227" s="88">
        <x:v>1799</x:v>
      </x:c>
      <x:c r="L227" s="88" t="s">
        <x:v>4595</x:v>
      </x:c>
      <x:c r="M227" s="88" t="s">
        <x:v>5071</x:v>
      </x:c>
      <x:c r="N227" s="88" t="s">
        <x:v>4594</x:v>
      </x:c>
      <x:c r="O227" s="88" t="s">
        <x:v>3203</x:v>
      </x:c>
      <x:c r="P227" s="88" t="s">
        <x:v>3138</x:v>
      </x:c>
      <x:c r="Q227" s="88" t="s">
        <x:v>5072</x:v>
      </x:c>
      <x:c r="R227" s="88" t="s">
        <x:v>185</x:v>
      </x:c>
      <x:c r="S227" s="88">
        <x:v>1799</x:v>
      </x:c>
      <x:c r="T227" s="88"/>
      <x:c r="U227" s="88" t="s">
        <x:v>5073</x:v>
      </x:c>
      <x:c r="V227" s="89">
        <x:v>46225.101675266204</x:v>
      </x:c>
      <x:c r="W227" s="88" t="s">
        <x:v>5071</x:v>
      </x:c>
      <x:c r="X227" s="88" t="s">
        <x:v>259</x:v>
      </x:c>
      <x:c r="Y227" s="88" t="s">
        <x:v>2021</x:v>
      </x:c>
      <x:c r="Z227" s="89">
        <x:v>46231.338716168983</x:v>
      </x:c>
      <x:c r="AA227" s="88" t="s">
        <x:v>2518</x:v>
      </x:c>
      <x:c r="AB227" s="88" t="s">
        <x:v>259</x:v>
      </x:c>
      <x:c r="AC227" s="88" t="s">
        <x:v>335</x:v>
      </x:c>
      <x:c r="AD227" s="89">
        <x:v>46233.10364483796</x:v>
      </x:c>
      <x:c r="AE227" s="88" t="s">
        <x:v>111</x:v>
      </x:c>
      <x:c r="AF227" s="88" t="s">
        <x:v>259</x:v>
      </x:c>
      <x:c r="AG227" s="88"/>
      <x:c r="AH227" s="89"/>
      <x:c r="AI227" s="88" t="s">
        <x:v>131</x:v>
      </x:c>
      <x:c r="AJ227" s="88"/>
      <x:c r="AK227" s="88" t="s">
        <x:v>5074</x:v>
      </x:c>
      <x:c r="AL227" s="88" t="s">
        <x:v>4600</x:v>
      </x:c>
    </x:row>
    <x:row r="228">
      <x:c r="A228" s="88" t="s">
        <x:v>5075</x:v>
      </x:c>
      <x:c r="B228" s="88" t="s">
        <x:v>5076</x:v>
      </x:c>
      <x:c r="C228" s="88" t="s">
        <x:v>4752</x:v>
      </x:c>
      <x:c r="D228" s="88" t="s">
        <x:v>3133</x:v>
      </x:c>
      <x:c r="E228" s="88" t="s">
        <x:v>329</x:v>
      </x:c>
      <x:c r="F228" s="89">
        <x:v>46225.157867696762</x:v>
      </x:c>
      <x:c r="G228" s="89">
        <x:v>46225.157867696762</x:v>
      </x:c>
      <x:c r="H228" s="89">
        <x:v>46225.366409664355</x:v>
      </x:c>
      <x:c r="I228" s="88" t="s">
        <x:v>4753</x:v>
      </x:c>
      <x:c r="J228" s="88" t="s">
        <x:v>4754</x:v>
      </x:c>
      <x:c r="K228" s="88">
        <x:v>3055</x:v>
      </x:c>
      <x:c r="L228" s="88" t="s">
        <x:v>4755</x:v>
      </x:c>
      <x:c r="M228" s="88" t="s">
        <x:v>4756</x:v>
      </x:c>
      <x:c r="N228" s="88" t="s">
        <x:v>4757</x:v>
      </x:c>
      <x:c r="O228" s="88" t="s">
        <x:v>4032</x:v>
      </x:c>
      <x:c r="P228" s="88" t="s">
        <x:v>3138</x:v>
      </x:c>
      <x:c r="Q228" s="88" t="s">
        <x:v>5077</x:v>
      </x:c>
      <x:c r="R228" s="88" t="s">
        <x:v>185</x:v>
      </x:c>
      <x:c r="S228" s="88"/>
      <x:c r="T228" s="88"/>
      <x:c r="U228" s="88" t="s">
        <x:v>4034</x:v>
      </x:c>
      <x:c r="V228" s="89">
        <x:v>46225.157867696762</x:v>
      </x:c>
      <x:c r="W228" s="88" t="s">
        <x:v>4760</x:v>
      </x:c>
      <x:c r="X228" s="88" t="s">
        <x:v>259</x:v>
      </x:c>
      <x:c r="Y228" s="88" t="s">
        <x:v>4034</x:v>
      </x:c>
      <x:c r="Z228" s="89">
        <x:v>46225.157867696762</x:v>
      </x:c>
      <x:c r="AA228" s="88" t="s">
        <x:v>3206</x:v>
      </x:c>
      <x:c r="AB228" s="88" t="s">
        <x:v>259</x:v>
      </x:c>
      <x:c r="AC228" s="88" t="s">
        <x:v>335</x:v>
      </x:c>
      <x:c r="AD228" s="89">
        <x:v>46225.366409675924</x:v>
      </x:c>
      <x:c r="AE228" s="88" t="s">
        <x:v>111</x:v>
      </x:c>
      <x:c r="AF228" s="88" t="s">
        <x:v>259</x:v>
      </x:c>
      <x:c r="AG228" s="88"/>
      <x:c r="AH228" s="89"/>
      <x:c r="AI228" s="88" t="s">
        <x:v>108</x:v>
      </x:c>
      <x:c r="AJ228" s="88"/>
      <x:c r="AK228" s="88" t="s">
        <x:v>5078</x:v>
      </x:c>
      <x:c r="AL228" s="88" t="s">
        <x:v>4761</x:v>
      </x:c>
    </x:row>
    <x:row r="229">
      <x:c r="A229" s="88" t="s">
        <x:v>5079</x:v>
      </x:c>
      <x:c r="B229" s="88" t="s">
        <x:v>5080</x:v>
      </x:c>
      <x:c r="C229" s="88" t="s">
        <x:v>3409</x:v>
      </x:c>
      <x:c r="D229" s="88" t="s">
        <x:v>3133</x:v>
      </x:c>
      <x:c r="E229" s="88" t="s">
        <x:v>372</x:v>
      </x:c>
      <x:c r="F229" s="89">
        <x:v>46225.32844002315</x:v>
      </x:c>
      <x:c r="G229" s="89">
        <x:v>46225.32844002315</x:v>
      </x:c>
      <x:c r="H229" s="89">
        <x:v>46225.32844002315</x:v>
      </x:c>
      <x:c r="I229" s="88" t="s">
        <x:v>5081</x:v>
      </x:c>
      <x:c r="J229" s="88" t="s">
        <x:v>5082</x:v>
      </x:c>
      <x:c r="K229" s="88" t="s">
        <x:v>5083</x:v>
      </x:c>
      <x:c r="L229" s="88" t="s">
        <x:v>5082</x:v>
      </x:c>
      <x:c r="M229" s="88" t="s">
        <x:v>5084</x:v>
      </x:c>
      <x:c r="N229" s="88" t="s">
        <x:v>5085</x:v>
      </x:c>
      <x:c r="O229" s="88" t="s">
        <x:v>3137</x:v>
      </x:c>
      <x:c r="P229" s="88" t="s">
        <x:v>3138</x:v>
      </x:c>
      <x:c r="Q229" s="88" t="s">
        <x:v>5086</x:v>
      </x:c>
      <x:c r="R229" s="88"/>
      <x:c r="S229" s="88"/>
      <x:c r="T229" s="88"/>
      <x:c r="U229" s="88"/>
      <x:c r="V229" s="89"/>
      <x:c r="W229" s="88" t="s">
        <x:v>5087</x:v>
      </x:c>
      <x:c r="X229" s="88"/>
      <x:c r="Y229" s="88"/>
      <x:c r="Z229" s="89"/>
      <x:c r="AA229" s="88" t="s">
        <x:v>2488</x:v>
      </x:c>
      <x:c r="AB229" s="88"/>
      <x:c r="AC229" s="88"/>
      <x:c r="AD229" s="89"/>
      <x:c r="AE229" s="88" t="s">
        <x:v>2214</x:v>
      </x:c>
      <x:c r="AF229" s="88"/>
      <x:c r="AG229" s="88"/>
      <x:c r="AH229" s="89"/>
      <x:c r="AI229" s="88" t="s">
        <x:v>173</x:v>
      </x:c>
      <x:c r="AJ229" s="88"/>
      <x:c r="AK229" s="88"/>
      <x:c r="AL229" s="88" t="s">
        <x:v>5088</x:v>
      </x:c>
    </x:row>
    <x:row r="230">
      <x:c r="A230" s="88" t="s">
        <x:v>5089</x:v>
      </x:c>
      <x:c r="B230" s="88" t="s">
        <x:v>5090</x:v>
      </x:c>
      <x:c r="C230" s="88" t="s">
        <x:v>5091</x:v>
      </x:c>
      <x:c r="D230" s="88" t="s">
        <x:v>3133</x:v>
      </x:c>
      <x:c r="E230" s="88" t="s">
        <x:v>372</x:v>
      </x:c>
      <x:c r="F230" s="89">
        <x:v>46226.060592442132</x:v>
      </x:c>
      <x:c r="G230" s="89">
        <x:v>46231.350330590278</x:v>
      </x:c>
      <x:c r="H230" s="89">
        <x:v>46231.350330590278</x:v>
      </x:c>
      <x:c r="I230" s="88" t="s">
        <x:v>5092</x:v>
      </x:c>
      <x:c r="J230" s="88" t="s">
        <x:v>5093</x:v>
      </x:c>
      <x:c r="K230" s="88" t="s">
        <x:v>5094</x:v>
      </x:c>
      <x:c r="L230" s="88" t="s">
        <x:v>5095</x:v>
      </x:c>
      <x:c r="M230" s="88" t="s">
        <x:v>1255</x:v>
      </x:c>
      <x:c r="N230" s="88" t="s">
        <x:v>5096</x:v>
      </x:c>
      <x:c r="O230" s="88" t="s">
        <x:v>3137</x:v>
      </x:c>
      <x:c r="P230" s="88" t="s">
        <x:v>3173</x:v>
      </x:c>
      <x:c r="Q230" s="88" t="s">
        <x:v>5097</x:v>
      </x:c>
      <x:c r="R230" s="88" t="s">
        <x:v>185</x:v>
      </x:c>
      <x:c r="S230" s="88"/>
      <x:c r="T230" s="88"/>
      <x:c r="U230" s="88"/>
      <x:c r="V230" s="89"/>
      <x:c r="W230" s="88" t="s">
        <x:v>1251</x:v>
      </x:c>
      <x:c r="X230" s="88"/>
      <x:c r="Y230" s="88"/>
      <x:c r="Z230" s="89"/>
      <x:c r="AA230" s="88" t="s">
        <x:v>2488</x:v>
      </x:c>
      <x:c r="AB230" s="88"/>
      <x:c r="AC230" s="88"/>
      <x:c r="AD230" s="89"/>
      <x:c r="AE230" s="88" t="s">
        <x:v>2214</x:v>
      </x:c>
      <x:c r="AF230" s="88"/>
      <x:c r="AG230" s="88"/>
      <x:c r="AH230" s="89"/>
      <x:c r="AI230" s="88" t="s">
        <x:v>173</x:v>
      </x:c>
      <x:c r="AJ230" s="88"/>
      <x:c r="AK230" s="88"/>
      <x:c r="AL230" s="88" t="s">
        <x:v>5098</x:v>
      </x:c>
    </x:row>
    <x:row r="231">
      <x:c r="A231" s="88" t="s">
        <x:v>5099</x:v>
      </x:c>
      <x:c r="B231" s="88" t="s">
        <x:v>5100</x:v>
      </x:c>
      <x:c r="C231" s="88" t="s">
        <x:v>5101</x:v>
      </x:c>
      <x:c r="D231" s="88" t="s">
        <x:v>3133</x:v>
      </x:c>
      <x:c r="E231" s="88" t="s">
        <x:v>249</x:v>
      </x:c>
      <x:c r="F231" s="89">
        <x:v>46226.143833784721</x:v>
      </x:c>
      <x:c r="G231" s="89">
        <x:v>46226.154961215281</x:v>
      </x:c>
      <x:c r="H231" s="89">
        <x:v>46231.348839143517</x:v>
      </x:c>
      <x:c r="I231" s="88" t="s">
        <x:v>5102</x:v>
      </x:c>
      <x:c r="J231" s="88" t="s">
        <x:v>5103</x:v>
      </x:c>
      <x:c r="K231" s="88" t="s">
        <x:v>5104</x:v>
      </x:c>
      <x:c r="L231" s="88" t="s">
        <x:v>5105</x:v>
      </x:c>
      <x:c r="M231" s="88" t="s">
        <x:v>5106</x:v>
      </x:c>
      <x:c r="N231" s="88" t="s">
        <x:v>5107</x:v>
      </x:c>
      <x:c r="O231" s="88" t="s">
        <x:v>3137</x:v>
      </x:c>
      <x:c r="P231" s="88" t="s">
        <x:v>3138</x:v>
      </x:c>
      <x:c r="Q231" s="88" t="s">
        <x:v>5108</x:v>
      </x:c>
      <x:c r="R231" s="88" t="s">
        <x:v>185</x:v>
      </x:c>
      <x:c r="S231" s="88"/>
      <x:c r="T231" s="88"/>
      <x:c r="U231" s="88" t="s">
        <x:v>385</x:v>
      </x:c>
      <x:c r="V231" s="89">
        <x:v>46226.257759398148</x:v>
      </x:c>
      <x:c r="W231" s="88" t="s">
        <x:v>5109</x:v>
      </x:c>
      <x:c r="X231" s="88" t="s">
        <x:v>259</x:v>
      </x:c>
      <x:c r="Y231" s="88" t="s">
        <x:v>5110</x:v>
      </x:c>
      <x:c r="Z231" s="89">
        <x:v>46231.348839155093</x:v>
      </x:c>
      <x:c r="AA231" s="88" t="s">
        <x:v>2518</x:v>
      </x:c>
      <x:c r="AB231" s="88" t="s">
        <x:v>249</x:v>
      </x:c>
      <x:c r="AC231" s="88"/>
      <x:c r="AD231" s="89"/>
      <x:c r="AE231" s="88" t="s">
        <x:v>2214</x:v>
      </x:c>
      <x:c r="AF231" s="88"/>
      <x:c r="AG231" s="88"/>
      <x:c r="AH231" s="89"/>
      <x:c r="AI231" s="88" t="s">
        <x:v>173</x:v>
      </x:c>
      <x:c r="AJ231" s="88"/>
      <x:c r="AK231" s="88"/>
      <x:c r="AL231" s="88" t="s">
        <x:v>5111</x:v>
      </x:c>
    </x:row>
    <x:row r="232">
      <x:c r="A232" s="88" t="s">
        <x:v>5112</x:v>
      </x:c>
      <x:c r="B232" s="88" t="s">
        <x:v>5113</x:v>
      </x:c>
      <x:c r="C232" s="88" t="s">
        <x:v>5057</x:v>
      </x:c>
      <x:c r="D232" s="88" t="s">
        <x:v>3133</x:v>
      </x:c>
      <x:c r="E232" s="88" t="s">
        <x:v>329</x:v>
      </x:c>
      <x:c r="F232" s="89">
        <x:v>46227.136849074072</x:v>
      </x:c>
      <x:c r="G232" s="89">
        <x:v>46227.136849074072</x:v>
      </x:c>
      <x:c r="H232" s="89">
        <x:v>46233.102639467594</x:v>
      </x:c>
      <x:c r="I232" s="88" t="s">
        <x:v>1592</x:v>
      </x:c>
      <x:c r="J232" s="88" t="s">
        <x:v>2146</x:v>
      </x:c>
      <x:c r="K232" s="88">
        <x:v>4569</x:v>
      </x:c>
      <x:c r="L232" s="88" t="s">
        <x:v>3685</x:v>
      </x:c>
      <x:c r="M232" s="88" t="s">
        <x:v>4183</x:v>
      </x:c>
      <x:c r="N232" s="88" t="s">
        <x:v>5058</x:v>
      </x:c>
      <x:c r="O232" s="88" t="s">
        <x:v>3137</x:v>
      </x:c>
      <x:c r="P232" s="88" t="s">
        <x:v>3138</x:v>
      </x:c>
      <x:c r="Q232" s="88" t="s">
        <x:v>5114</x:v>
      </x:c>
      <x:c r="R232" s="88" t="s">
        <x:v>193</x:v>
      </x:c>
      <x:c r="S232" s="88"/>
      <x:c r="T232" s="88"/>
      <x:c r="U232" s="88" t="s">
        <x:v>2333</x:v>
      </x:c>
      <x:c r="V232" s="89">
        <x:v>46227.137818333336</x:v>
      </x:c>
      <x:c r="W232" s="88" t="s">
        <x:v>4185</x:v>
      </x:c>
      <x:c r="X232" s="88" t="s">
        <x:v>259</x:v>
      </x:c>
      <x:c r="Y232" s="88" t="s">
        <x:v>2021</x:v>
      </x:c>
      <x:c r="Z232" s="89">
        <x:v>46231.336566076388</x:v>
      </x:c>
      <x:c r="AA232" s="88" t="s">
        <x:v>2518</x:v>
      </x:c>
      <x:c r="AB232" s="88" t="s">
        <x:v>259</x:v>
      </x:c>
      <x:c r="AC232" s="88" t="s">
        <x:v>335</x:v>
      </x:c>
      <x:c r="AD232" s="89">
        <x:v>46233.10263947917</x:v>
      </x:c>
      <x:c r="AE232" s="88" t="s">
        <x:v>111</x:v>
      </x:c>
      <x:c r="AF232" s="88" t="s">
        <x:v>259</x:v>
      </x:c>
      <x:c r="AG232" s="88"/>
      <x:c r="AH232" s="89"/>
      <x:c r="AI232" s="88" t="s">
        <x:v>111</x:v>
      </x:c>
      <x:c r="AJ232" s="88"/>
      <x:c r="AK232" s="88" t="s">
        <x:v>5115</x:v>
      </x:c>
      <x:c r="AL232" s="88" t="s">
        <x:v>3692</x:v>
      </x:c>
    </x:row>
    <x:row r="233">
      <x:c r="A233" s="88" t="s">
        <x:v>5116</x:v>
      </x:c>
      <x:c r="B233" s="88" t="s">
        <x:v>5117</x:v>
      </x:c>
      <x:c r="C233" s="88" t="s">
        <x:v>698</x:v>
      </x:c>
      <x:c r="D233" s="88" t="s">
        <x:v>3133</x:v>
      </x:c>
      <x:c r="E233" s="88" t="s">
        <x:v>329</x:v>
      </x:c>
      <x:c r="F233" s="89">
        <x:v>46227.353034155094</x:v>
      </x:c>
      <x:c r="G233" s="89">
        <x:v>46227.353034155094</x:v>
      </x:c>
      <x:c r="H233" s="89">
        <x:v>46233.10234542824</x:v>
      </x:c>
      <x:c r="I233" s="88" t="s">
        <x:v>704</x:v>
      </x:c>
      <x:c r="J233" s="88" t="s">
        <x:v>699</x:v>
      </x:c>
      <x:c r="K233" s="88">
        <x:v>100</x:v>
      </x:c>
      <x:c r="L233" s="88" t="s">
        <x:v>707</x:v>
      </x:c>
      <x:c r="M233" s="88" t="s">
        <x:v>701</x:v>
      </x:c>
      <x:c r="N233" s="88" t="s">
        <x:v>3757</x:v>
      </x:c>
      <x:c r="O233" s="88" t="s">
        <x:v>3137</x:v>
      </x:c>
      <x:c r="P233" s="88" t="s">
        <x:v>3173</x:v>
      </x:c>
      <x:c r="Q233" s="88" t="s">
        <x:v>5118</x:v>
      </x:c>
      <x:c r="R233" s="88" t="s">
        <x:v>185</x:v>
      </x:c>
      <x:c r="S233" s="88"/>
      <x:c r="T233" s="88"/>
      <x:c r="U233" s="88" t="s">
        <x:v>5119</x:v>
      </x:c>
      <x:c r="V233" s="89">
        <x:v>46227.358433020832</x:v>
      </x:c>
      <x:c r="W233" s="88" t="s">
        <x:v>703</x:v>
      </x:c>
      <x:c r="X233" s="88" t="s">
        <x:v>259</x:v>
      </x:c>
      <x:c r="Y233" s="88" t="s">
        <x:v>2021</x:v>
      </x:c>
      <x:c r="Z233" s="89">
        <x:v>46231.327960347226</x:v>
      </x:c>
      <x:c r="AA233" s="88" t="s">
        <x:v>2518</x:v>
      </x:c>
      <x:c r="AB233" s="88" t="s">
        <x:v>259</x:v>
      </x:c>
      <x:c r="AC233" s="88" t="s">
        <x:v>335</x:v>
      </x:c>
      <x:c r="AD233" s="89">
        <x:v>46233.102345439816</x:v>
      </x:c>
      <x:c r="AE233" s="88" t="s">
        <x:v>111</x:v>
      </x:c>
      <x:c r="AF233" s="88" t="s">
        <x:v>259</x:v>
      </x:c>
      <x:c r="AG233" s="88"/>
      <x:c r="AH233" s="89"/>
      <x:c r="AI233" s="88" t="s">
        <x:v>184</x:v>
      </x:c>
      <x:c r="AJ233" s="88"/>
      <x:c r="AK233" s="88" t="s">
        <x:v>5120</x:v>
      </x:c>
      <x:c r="AL233" s="88" t="s">
        <x:v>3762</x:v>
      </x:c>
    </x:row>
    <x:row r="234">
      <x:c r="A234" s="88" t="s">
        <x:v>5121</x:v>
      </x:c>
      <x:c r="B234" s="88" t="s">
        <x:v>5122</x:v>
      </x:c>
      <x:c r="C234" s="88" t="s">
        <x:v>698</x:v>
      </x:c>
      <x:c r="D234" s="88" t="s">
        <x:v>3133</x:v>
      </x:c>
      <x:c r="E234" s="88" t="s">
        <x:v>329</x:v>
      </x:c>
      <x:c r="F234" s="89">
        <x:v>46227.355753564814</x:v>
      </x:c>
      <x:c r="G234" s="89">
        <x:v>46227.355753564814</x:v>
      </x:c>
      <x:c r="H234" s="89">
        <x:v>46233.102050868052</x:v>
      </x:c>
      <x:c r="I234" s="88" t="s">
        <x:v>704</x:v>
      </x:c>
      <x:c r="J234" s="88" t="s">
        <x:v>699</x:v>
      </x:c>
      <x:c r="K234" s="88">
        <x:v>100</x:v>
      </x:c>
      <x:c r="L234" s="88" t="s">
        <x:v>707</x:v>
      </x:c>
      <x:c r="M234" s="88" t="s">
        <x:v>701</x:v>
      </x:c>
      <x:c r="N234" s="88" t="s">
        <x:v>3757</x:v>
      </x:c>
      <x:c r="O234" s="88" t="s">
        <x:v>3137</x:v>
      </x:c>
      <x:c r="P234" s="88" t="s">
        <x:v>3138</x:v>
      </x:c>
      <x:c r="Q234" s="88" t="s">
        <x:v>5123</x:v>
      </x:c>
      <x:c r="R234" s="88" t="s">
        <x:v>185</x:v>
      </x:c>
      <x:c r="S234" s="88"/>
      <x:c r="T234" s="88"/>
      <x:c r="U234" s="88" t="s">
        <x:v>5124</x:v>
      </x:c>
      <x:c r="V234" s="89">
        <x:v>46227.358890000003</x:v>
      </x:c>
      <x:c r="W234" s="88" t="s">
        <x:v>703</x:v>
      </x:c>
      <x:c r="X234" s="88" t="s">
        <x:v>259</x:v>
      </x:c>
      <x:c r="Y234" s="88" t="s">
        <x:v>2021</x:v>
      </x:c>
      <x:c r="Z234" s="89">
        <x:v>46231.323611030093</x:v>
      </x:c>
      <x:c r="AA234" s="88" t="s">
        <x:v>2518</x:v>
      </x:c>
      <x:c r="AB234" s="88" t="s">
        <x:v>259</x:v>
      </x:c>
      <x:c r="AC234" s="88" t="s">
        <x:v>335</x:v>
      </x:c>
      <x:c r="AD234" s="89">
        <x:v>46233.102050879628</x:v>
      </x:c>
      <x:c r="AE234" s="88" t="s">
        <x:v>111</x:v>
      </x:c>
      <x:c r="AF234" s="88" t="s">
        <x:v>259</x:v>
      </x:c>
      <x:c r="AG234" s="88"/>
      <x:c r="AH234" s="89"/>
      <x:c r="AI234" s="88" t="s">
        <x:v>184</x:v>
      </x:c>
      <x:c r="AJ234" s="88"/>
      <x:c r="AK234" s="88" t="s">
        <x:v>5125</x:v>
      </x:c>
      <x:c r="AL234" s="88" t="s">
        <x:v>3762</x:v>
      </x:c>
    </x:row>
    <x:row r="235">
      <x:c r="A235" s="88" t="s">
        <x:v>5126</x:v>
      </x:c>
      <x:c r="B235" s="88" t="s">
        <x:v>5127</x:v>
      </x:c>
      <x:c r="C235" s="88" t="s">
        <x:v>420</x:v>
      </x:c>
      <x:c r="D235" s="88" t="s">
        <x:v>3133</x:v>
      </x:c>
      <x:c r="E235" s="88" t="s">
        <x:v>342</x:v>
      </x:c>
      <x:c r="F235" s="89">
        <x:v>46231.1506853588</x:v>
      </x:c>
      <x:c r="G235" s="89">
        <x:v>46231.1506853588</x:v>
      </x:c>
      <x:c r="H235" s="89">
        <x:v>46232.188983414351</x:v>
      </x:c>
      <x:c r="I235" s="88" t="s">
        <x:v>5128</x:v>
      </x:c>
      <x:c r="J235" s="88" t="s">
        <x:v>5129</x:v>
      </x:c>
      <x:c r="K235" s="88" t="s">
        <x:v>5130</x:v>
      </x:c>
      <x:c r="L235" s="88" t="s">
        <x:v>5131</x:v>
      </x:c>
      <x:c r="M235" s="88" t="s">
        <x:v>5132</x:v>
      </x:c>
      <x:c r="N235" s="88" t="s">
        <x:v>5133</x:v>
      </x:c>
      <x:c r="O235" s="88" t="s">
        <x:v>3137</x:v>
      </x:c>
      <x:c r="P235" s="88" t="s">
        <x:v>5134</x:v>
      </x:c>
      <x:c r="Q235" s="88" t="s">
        <x:v>5135</x:v>
      </x:c>
      <x:c r="R235" s="88" t="s">
        <x:v>162</x:v>
      </x:c>
      <x:c r="S235" s="88"/>
      <x:c r="T235" s="88"/>
      <x:c r="U235" s="88" t="s">
        <x:v>385</x:v>
      </x:c>
      <x:c r="V235" s="89">
        <x:v>46231.157287245369</x:v>
      </x:c>
      <x:c r="W235" s="88" t="s">
        <x:v>5132</x:v>
      </x:c>
      <x:c r="X235" s="88" t="s">
        <x:v>259</x:v>
      </x:c>
      <x:c r="Y235" s="88" t="s">
        <x:v>5136</x:v>
      </x:c>
      <x:c r="Z235" s="89">
        <x:v>46231.158680347224</x:v>
      </x:c>
      <x:c r="AA235" s="88" t="s">
        <x:v>3310</x:v>
      </x:c>
      <x:c r="AB235" s="88" t="s">
        <x:v>259</x:v>
      </x:c>
      <x:c r="AC235" s="88" t="s">
        <x:v>385</x:v>
      </x:c>
      <x:c r="AD235" s="89">
        <x:v>46231.181361249997</x:v>
      </x:c>
      <x:c r="AE235" s="88" t="s">
        <x:v>111</x:v>
      </x:c>
      <x:c r="AF235" s="88" t="s">
        <x:v>259</x:v>
      </x:c>
      <x:c r="AG235" s="88" t="s">
        <x:v>5137</x:v>
      </x:c>
      <x:c r="AH235" s="89">
        <x:v>46232.188983425927</x:v>
      </x:c>
      <x:c r="AI235" s="88" t="s">
        <x:v>113</x:v>
      </x:c>
      <x:c r="AJ235" s="88" t="s">
        <x:v>259</x:v>
      </x:c>
      <x:c r="AK235" s="88" t="s">
        <x:v>5138</x:v>
      </x:c>
      <x:c r="AL235" s="88" t="s">
        <x:v>5139</x:v>
      </x:c>
    </x:row>
    <x:row r="236">
      <x:c r="A236" s="88" t="s">
        <x:v>5140</x:v>
      </x:c>
      <x:c r="B236" s="88" t="s">
        <x:v>5141</x:v>
      </x:c>
      <x:c r="C236" s="88" t="s">
        <x:v>5142</x:v>
      </x:c>
      <x:c r="D236" s="88" t="s">
        <x:v>3133</x:v>
      </x:c>
      <x:c r="E236" s="88" t="s">
        <x:v>329</x:v>
      </x:c>
      <x:c r="F236" s="89">
        <x:v>46231.391528587963</x:v>
      </x:c>
      <x:c r="G236" s="89">
        <x:v>46231.391528587963</x:v>
      </x:c>
      <x:c r="H236" s="89">
        <x:v>46233.101292349536</x:v>
      </x:c>
      <x:c r="I236" s="88" t="s">
        <x:v>5143</x:v>
      </x:c>
      <x:c r="J236" s="88" t="s">
        <x:v>5144</x:v>
      </x:c>
      <x:c r="K236" s="88" t="s">
        <x:v>5145</x:v>
      </x:c>
      <x:c r="L236" s="88" t="s">
        <x:v>5146</x:v>
      </x:c>
      <x:c r="M236" s="88" t="s">
        <x:v>5147</x:v>
      </x:c>
      <x:c r="N236" s="88" t="s">
        <x:v>5144</x:v>
      </x:c>
      <x:c r="O236" s="88" t="s">
        <x:v>3137</x:v>
      </x:c>
      <x:c r="P236" s="88" t="s">
        <x:v>3138</x:v>
      </x:c>
      <x:c r="Q236" s="88" t="s">
        <x:v>5148</x:v>
      </x:c>
      <x:c r="R236" s="88" t="s">
        <x:v>185</x:v>
      </x:c>
      <x:c r="S236" s="88"/>
      <x:c r="T236" s="88"/>
      <x:c r="U236" s="88" t="s">
        <x:v>5149</x:v>
      </x:c>
      <x:c r="V236" s="89">
        <x:v>46231.404331111109</x:v>
      </x:c>
      <x:c r="W236" s="88" t="s">
        <x:v>5147</x:v>
      </x:c>
      <x:c r="X236" s="88" t="s">
        <x:v>259</x:v>
      </x:c>
      <x:c r="Y236" s="88" t="s">
        <x:v>5150</x:v>
      </x:c>
      <x:c r="Z236" s="89">
        <x:v>46232.098070428241</x:v>
      </x:c>
      <x:c r="AA236" s="88" t="s">
        <x:v>3310</x:v>
      </x:c>
      <x:c r="AB236" s="88" t="s">
        <x:v>259</x:v>
      </x:c>
      <x:c r="AC236" s="88" t="s">
        <x:v>2333</x:v>
      </x:c>
      <x:c r="AD236" s="89">
        <x:v>46233.101292361112</x:v>
      </x:c>
      <x:c r="AE236" s="88" t="s">
        <x:v>111</x:v>
      </x:c>
      <x:c r="AF236" s="88" t="s">
        <x:v>259</x:v>
      </x:c>
      <x:c r="AG236" s="88"/>
      <x:c r="AH236" s="89"/>
      <x:c r="AI236" s="88" t="s">
        <x:v>111</x:v>
      </x:c>
      <x:c r="AJ236" s="88"/>
      <x:c r="AK236" s="88" t="s">
        <x:v>5151</x:v>
      </x:c>
      <x:c r="AL236" s="88" t="s">
        <x:v>5152</x:v>
      </x:c>
    </x:row>
    <x:row r="237">
      <x:c r="A237" s="88" t="s">
        <x:v>5153</x:v>
      </x:c>
      <x:c r="B237" s="88" t="s">
        <x:v>5154</x:v>
      </x:c>
      <x:c r="C237" s="88" t="s">
        <x:v>5142</x:v>
      </x:c>
      <x:c r="D237" s="88" t="s">
        <x:v>3133</x:v>
      </x:c>
      <x:c r="E237" s="88" t="s">
        <x:v>329</x:v>
      </x:c>
      <x:c r="F237" s="89">
        <x:v>46231.397869432869</x:v>
      </x:c>
      <x:c r="G237" s="89">
        <x:v>46231.397869432869</x:v>
      </x:c>
      <x:c r="H237" s="89">
        <x:v>46233.099746377316</x:v>
      </x:c>
      <x:c r="I237" s="88" t="s">
        <x:v>5155</x:v>
      </x:c>
      <x:c r="J237" s="88" t="s">
        <x:v>5156</x:v>
      </x:c>
      <x:c r="K237" s="88">
        <x:v>3940</x:v>
      </x:c>
      <x:c r="L237" s="88" t="s">
        <x:v>5157</x:v>
      </x:c>
      <x:c r="M237" s="88" t="s">
        <x:v>5147</x:v>
      </x:c>
      <x:c r="N237" s="88" t="s">
        <x:v>5158</x:v>
      </x:c>
      <x:c r="O237" s="88" t="s">
        <x:v>4032</x:v>
      </x:c>
      <x:c r="P237" s="88" t="s">
        <x:v>3138</x:v>
      </x:c>
      <x:c r="Q237" s="88" t="s">
        <x:v>5159</x:v>
      </x:c>
      <x:c r="R237" s="88" t="s">
        <x:v>185</x:v>
      </x:c>
      <x:c r="S237" s="88"/>
      <x:c r="T237" s="88"/>
      <x:c r="U237" s="88" t="s">
        <x:v>4034</x:v>
      </x:c>
      <x:c r="V237" s="89">
        <x:v>46231.397869432869</x:v>
      </x:c>
      <x:c r="W237" s="88" t="s">
        <x:v>5147</x:v>
      </x:c>
      <x:c r="X237" s="88" t="s">
        <x:v>259</x:v>
      </x:c>
      <x:c r="Y237" s="88" t="s">
        <x:v>4034</x:v>
      </x:c>
      <x:c r="Z237" s="89">
        <x:v>46231.397869432869</x:v>
      </x:c>
      <x:c r="AA237" s="88" t="s">
        <x:v>3206</x:v>
      </x:c>
      <x:c r="AB237" s="88" t="s">
        <x:v>259</x:v>
      </x:c>
      <x:c r="AC237" s="88" t="s">
        <x:v>335</x:v>
      </x:c>
      <x:c r="AD237" s="89">
        <x:v>46233.099746388893</x:v>
      </x:c>
      <x:c r="AE237" s="88" t="s">
        <x:v>111</x:v>
      </x:c>
      <x:c r="AF237" s="88" t="s">
        <x:v>259</x:v>
      </x:c>
      <x:c r="AG237" s="88"/>
      <x:c r="AH237" s="89"/>
      <x:c r="AI237" s="88" t="s">
        <x:v>113</x:v>
      </x:c>
      <x:c r="AJ237" s="88"/>
      <x:c r="AK237" s="88" t="s">
        <x:v>5160</x:v>
      </x:c>
      <x:c r="AL237" s="88" t="s">
        <x:v>5161</x:v>
      </x:c>
    </x:row>
    <x:row r="238">
      <x:c r="A238" s="88" t="s">
        <x:v>5162</x:v>
      </x:c>
      <x:c r="B238" s="88" t="s">
        <x:v>5163</x:v>
      </x:c>
      <x:c r="C238" s="88" t="s">
        <x:v>5164</x:v>
      </x:c>
      <x:c r="D238" s="88" t="s">
        <x:v>3133</x:v>
      </x:c>
      <x:c r="E238" s="88" t="s">
        <x:v>249</x:v>
      </x:c>
      <x:c r="F238" s="89">
        <x:v>46232.097751111112</x:v>
      </x:c>
      <x:c r="G238" s="89">
        <x:v>46232.097751111112</x:v>
      </x:c>
      <x:c r="H238" s="89">
        <x:v>46240.079019340279</x:v>
      </x:c>
      <x:c r="I238" s="88" t="s">
        <x:v>5165</x:v>
      </x:c>
      <x:c r="J238" s="88" t="s">
        <x:v>5166</x:v>
      </x:c>
      <x:c r="K238" s="88" t="s">
        <x:v>5167</x:v>
      </x:c>
      <x:c r="L238" s="88" t="s">
        <x:v>5168</x:v>
      </x:c>
      <x:c r="M238" s="88" t="s">
        <x:v>2806</x:v>
      </x:c>
      <x:c r="N238" s="88" t="s">
        <x:v>5169</x:v>
      </x:c>
      <x:c r="O238" s="88" t="s">
        <x:v>3137</x:v>
      </x:c>
      <x:c r="P238" s="88" t="s">
        <x:v>3225</x:v>
      </x:c>
      <x:c r="Q238" s="88" t="s">
        <x:v>5170</x:v>
      </x:c>
      <x:c r="R238" s="88"/>
      <x:c r="S238" s="88"/>
      <x:c r="T238" s="88"/>
      <x:c r="U238" s="88" t="s">
        <x:v>2585</x:v>
      </x:c>
      <x:c r="V238" s="89">
        <x:v>46240.079019351855</x:v>
      </x:c>
      <x:c r="W238" s="88" t="s">
        <x:v>309</x:v>
      </x:c>
      <x:c r="X238" s="88" t="s">
        <x:v>249</x:v>
      </x:c>
      <x:c r="Y238" s="88"/>
      <x:c r="Z238" s="89"/>
      <x:c r="AA238" s="88" t="s">
        <x:v>2488</x:v>
      </x:c>
      <x:c r="AB238" s="88"/>
      <x:c r="AC238" s="88"/>
      <x:c r="AD238" s="89"/>
      <x:c r="AE238" s="88" t="s">
        <x:v>2214</x:v>
      </x:c>
      <x:c r="AF238" s="88"/>
      <x:c r="AG238" s="88"/>
      <x:c r="AH238" s="89"/>
      <x:c r="AI238" s="88" t="s">
        <x:v>173</x:v>
      </x:c>
      <x:c r="AJ238" s="88"/>
      <x:c r="AK238" s="88"/>
      <x:c r="AL238" s="88" t="s">
        <x:v>5171</x:v>
      </x:c>
    </x:row>
    <x:row r="239">
      <x:c r="A239" s="88" t="s">
        <x:v>5172</x:v>
      </x:c>
      <x:c r="B239" s="88" t="s">
        <x:v>5173</x:v>
      </x:c>
      <x:c r="C239" s="88" t="s">
        <x:v>5091</x:v>
      </x:c>
      <x:c r="D239" s="88" t="s">
        <x:v>3133</x:v>
      </x:c>
      <x:c r="E239" s="88" t="s">
        <x:v>342</x:v>
      </x:c>
      <x:c r="F239" s="89">
        <x:v>46232.140511805555</x:v>
      </x:c>
      <x:c r="G239" s="89">
        <x:v>46232.140511805555</x:v>
      </x:c>
      <x:c r="H239" s="89">
        <x:v>46242.145454803242</x:v>
      </x:c>
      <x:c r="I239" s="88" t="s">
        <x:v>5092</x:v>
      </x:c>
      <x:c r="J239" s="88" t="s">
        <x:v>5093</x:v>
      </x:c>
      <x:c r="K239" s="88" t="s">
        <x:v>5094</x:v>
      </x:c>
      <x:c r="L239" s="88" t="s">
        <x:v>5095</x:v>
      </x:c>
      <x:c r="M239" s="88" t="s">
        <x:v>1251</x:v>
      </x:c>
      <x:c r="N239" s="88" t="s">
        <x:v>5096</x:v>
      </x:c>
      <x:c r="O239" s="88" t="s">
        <x:v>3137</x:v>
      </x:c>
      <x:c r="P239" s="88" t="s">
        <x:v>3173</x:v>
      </x:c>
      <x:c r="Q239" s="88" t="s">
        <x:v>5097</x:v>
      </x:c>
      <x:c r="R239" s="88" t="s">
        <x:v>193</x:v>
      </x:c>
      <x:c r="S239" s="88"/>
      <x:c r="T239" s="88"/>
      <x:c r="U239" s="88" t="s">
        <x:v>2333</x:v>
      </x:c>
      <x:c r="V239" s="89">
        <x:v>46232.153573796299</x:v>
      </x:c>
      <x:c r="W239" s="88" t="s">
        <x:v>1251</x:v>
      </x:c>
      <x:c r="X239" s="88" t="s">
        <x:v>259</x:v>
      </x:c>
      <x:c r="Y239" s="88" t="s">
        <x:v>2021</x:v>
      </x:c>
      <x:c r="Z239" s="89">
        <x:v>46232.282352349539</x:v>
      </x:c>
      <x:c r="AA239" s="88" t="s">
        <x:v>2518</x:v>
      </x:c>
      <x:c r="AB239" s="88" t="s">
        <x:v>259</x:v>
      </x:c>
      <x:c r="AC239" s="88" t="s">
        <x:v>2333</x:v>
      </x:c>
      <x:c r="AD239" s="89">
        <x:v>46232.322585104164</x:v>
      </x:c>
      <x:c r="AE239" s="88" t="s">
        <x:v>111</x:v>
      </x:c>
      <x:c r="AF239" s="88" t="s">
        <x:v>259</x:v>
      </x:c>
      <x:c r="AG239" s="88" t="s">
        <x:v>5174</x:v>
      </x:c>
      <x:c r="AH239" s="89">
        <x:v>46242.145454803242</x:v>
      </x:c>
      <x:c r="AI239" s="88" t="s">
        <x:v>108</x:v>
      </x:c>
      <x:c r="AJ239" s="88" t="s">
        <x:v>259</x:v>
      </x:c>
      <x:c r="AK239" s="88" t="s">
        <x:v>5175</x:v>
      </x:c>
      <x:c r="AL239" s="88" t="s">
        <x:v>5098</x:v>
      </x:c>
    </x:row>
    <x:row r="240">
      <x:c r="A240" s="88" t="s">
        <x:v>5176</x:v>
      </x:c>
      <x:c r="B240" s="88" t="s">
        <x:v>5177</x:v>
      </x:c>
      <x:c r="C240" s="88" t="s">
        <x:v>5164</x:v>
      </x:c>
      <x:c r="D240" s="88" t="s">
        <x:v>3133</x:v>
      </x:c>
      <x:c r="E240" s="88" t="s">
        <x:v>329</x:v>
      </x:c>
      <x:c r="F240" s="89">
        <x:v>46233.074819097223</x:v>
      </x:c>
      <x:c r="G240" s="89">
        <x:v>46233.074819097223</x:v>
      </x:c>
      <x:c r="H240" s="89">
        <x:v>46233.100357083335</x:v>
      </x:c>
      <x:c r="I240" s="88" t="s">
        <x:v>5165</x:v>
      </x:c>
      <x:c r="J240" s="88" t="s">
        <x:v>5166</x:v>
      </x:c>
      <x:c r="K240" s="88" t="s">
        <x:v>5167</x:v>
      </x:c>
      <x:c r="L240" s="88" t="s">
        <x:v>5168</x:v>
      </x:c>
      <x:c r="M240" s="88" t="s">
        <x:v>2810</x:v>
      </x:c>
      <x:c r="N240" s="88" t="s">
        <x:v>5169</x:v>
      </x:c>
      <x:c r="O240" s="88" t="s">
        <x:v>3137</x:v>
      </x:c>
      <x:c r="P240" s="88" t="s">
        <x:v>3173</x:v>
      </x:c>
      <x:c r="Q240" s="88" t="s">
        <x:v>5170</x:v>
      </x:c>
      <x:c r="R240" s="88" t="s">
        <x:v>193</x:v>
      </x:c>
      <x:c r="S240" s="88"/>
      <x:c r="T240" s="88"/>
      <x:c r="U240" s="88" t="s">
        <x:v>5178</x:v>
      </x:c>
      <x:c r="V240" s="89">
        <x:v>46233.077058854164</x:v>
      </x:c>
      <x:c r="W240" s="88" t="s">
        <x:v>2810</x:v>
      </x:c>
      <x:c r="X240" s="88" t="s">
        <x:v>259</x:v>
      </x:c>
      <x:c r="Y240" s="88" t="s">
        <x:v>2021</x:v>
      </x:c>
      <x:c r="Z240" s="89">
        <x:v>46233.09080017361</x:v>
      </x:c>
      <x:c r="AA240" s="88" t="s">
        <x:v>2518</x:v>
      </x:c>
      <x:c r="AB240" s="88" t="s">
        <x:v>259</x:v>
      </x:c>
      <x:c r="AC240" s="88" t="s">
        <x:v>2333</x:v>
      </x:c>
      <x:c r="AD240" s="89">
        <x:v>46233.100357094911</x:v>
      </x:c>
      <x:c r="AE240" s="88" t="s">
        <x:v>111</x:v>
      </x:c>
      <x:c r="AF240" s="88" t="s">
        <x:v>259</x:v>
      </x:c>
      <x:c r="AG240" s="88"/>
      <x:c r="AH240" s="89"/>
      <x:c r="AI240" s="88" t="s">
        <x:v>131</x:v>
      </x:c>
      <x:c r="AJ240" s="88"/>
      <x:c r="AK240" s="88" t="s">
        <x:v>5179</x:v>
      </x:c>
      <x:c r="AL240" s="88" t="s">
        <x:v>5171</x:v>
      </x:c>
    </x:row>
    <x:row r="241">
      <x:c r="A241" s="88" t="s">
        <x:v>5180</x:v>
      </x:c>
      <x:c r="B241" s="88" t="s">
        <x:v>5181</x:v>
      </x:c>
      <x:c r="C241" s="88" t="s">
        <x:v>5164</x:v>
      </x:c>
      <x:c r="D241" s="88" t="s">
        <x:v>3133</x:v>
      </x:c>
      <x:c r="E241" s="88" t="s">
        <x:v>329</x:v>
      </x:c>
      <x:c r="F241" s="89">
        <x:v>46233.110432719906</x:v>
      </x:c>
      <x:c r="G241" s="89">
        <x:v>46233.110432719906</x:v>
      </x:c>
      <x:c r="H241" s="89">
        <x:v>46238.16621505787</x:v>
      </x:c>
      <x:c r="I241" s="88" t="s">
        <x:v>5165</x:v>
      </x:c>
      <x:c r="J241" s="88" t="s">
        <x:v>5166</x:v>
      </x:c>
      <x:c r="K241" s="88" t="s">
        <x:v>5167</x:v>
      </x:c>
      <x:c r="L241" s="88" t="s">
        <x:v>5168</x:v>
      </x:c>
      <x:c r="M241" s="88" t="s">
        <x:v>2810</x:v>
      </x:c>
      <x:c r="N241" s="88" t="s">
        <x:v>5169</x:v>
      </x:c>
      <x:c r="O241" s="88" t="s">
        <x:v>3137</x:v>
      </x:c>
      <x:c r="P241" s="88" t="s">
        <x:v>3225</x:v>
      </x:c>
      <x:c r="Q241" s="88" t="s">
        <x:v>5170</x:v>
      </x:c>
      <x:c r="R241" s="88" t="s">
        <x:v>193</x:v>
      </x:c>
      <x:c r="S241" s="88"/>
      <x:c r="T241" s="88"/>
      <x:c r="U241" s="88" t="s">
        <x:v>5182</x:v>
      </x:c>
      <x:c r="V241" s="89">
        <x:v>46233.141382106478</x:v>
      </x:c>
      <x:c r="W241" s="88" t="s">
        <x:v>2810</x:v>
      </x:c>
      <x:c r="X241" s="88" t="s">
        <x:v>259</x:v>
      </x:c>
      <x:c r="Y241" s="88" t="s">
        <x:v>2021</x:v>
      </x:c>
      <x:c r="Z241" s="89">
        <x:v>46234.345401087965</x:v>
      </x:c>
      <x:c r="AA241" s="88" t="s">
        <x:v>2518</x:v>
      </x:c>
      <x:c r="AB241" s="88" t="s">
        <x:v>259</x:v>
      </x:c>
      <x:c r="AC241" s="88" t="s">
        <x:v>385</x:v>
      </x:c>
      <x:c r="AD241" s="89">
        <x:v>46238.166215069446</x:v>
      </x:c>
      <x:c r="AE241" s="88" t="s">
        <x:v>111</x:v>
      </x:c>
      <x:c r="AF241" s="88" t="s">
        <x:v>259</x:v>
      </x:c>
      <x:c r="AG241" s="88"/>
      <x:c r="AH241" s="89"/>
      <x:c r="AI241" s="88" t="s">
        <x:v>120</x:v>
      </x:c>
      <x:c r="AJ241" s="88"/>
      <x:c r="AK241" s="88" t="s">
        <x:v>5183</x:v>
      </x:c>
      <x:c r="AL241" s="88" t="s">
        <x:v>5171</x:v>
      </x:c>
    </x:row>
    <x:row r="242">
      <x:c r="A242" s="88" t="s">
        <x:v>5184</x:v>
      </x:c>
      <x:c r="B242" s="88" t="s">
        <x:v>5185</x:v>
      </x:c>
      <x:c r="C242" s="88" t="s">
        <x:v>3339</x:v>
      </x:c>
      <x:c r="D242" s="88" t="s">
        <x:v>3133</x:v>
      </x:c>
      <x:c r="E242" s="88" t="s">
        <x:v>372</x:v>
      </x:c>
      <x:c r="F242" s="89">
        <x:v>46233.362619618056</x:v>
      </x:c>
      <x:c r="G242" s="89">
        <x:v>46233.362619618056</x:v>
      </x:c>
      <x:c r="H242" s="89">
        <x:v>46233.362619618056</x:v>
      </x:c>
      <x:c r="I242" s="88" t="s">
        <x:v>4855</x:v>
      </x:c>
      <x:c r="J242" s="88" t="s">
        <x:v>4856</x:v>
      </x:c>
      <x:c r="K242" s="88" t="s">
        <x:v>4857</x:v>
      </x:c>
      <x:c r="L242" s="88" t="s">
        <x:v>4858</x:v>
      </x:c>
      <x:c r="M242" s="88" t="s">
        <x:v>4859</x:v>
      </x:c>
      <x:c r="N242" s="88" t="s">
        <x:v>4858</x:v>
      </x:c>
      <x:c r="O242" s="88" t="s">
        <x:v>3137</x:v>
      </x:c>
      <x:c r="P242" s="88" t="s">
        <x:v>3225</x:v>
      </x:c>
      <x:c r="Q242" s="88" t="s">
        <x:v>5186</x:v>
      </x:c>
      <x:c r="R242" s="88"/>
      <x:c r="S242" s="88"/>
      <x:c r="T242" s="88"/>
      <x:c r="U242" s="88"/>
      <x:c r="V242" s="89"/>
      <x:c r="W242" s="88" t="s">
        <x:v>4862</x:v>
      </x:c>
      <x:c r="X242" s="88"/>
      <x:c r="Y242" s="88"/>
      <x:c r="Z242" s="89"/>
      <x:c r="AA242" s="88" t="s">
        <x:v>2488</x:v>
      </x:c>
      <x:c r="AB242" s="88"/>
      <x:c r="AC242" s="88"/>
      <x:c r="AD242" s="89"/>
      <x:c r="AE242" s="88" t="s">
        <x:v>2214</x:v>
      </x:c>
      <x:c r="AF242" s="88"/>
      <x:c r="AG242" s="88"/>
      <x:c r="AH242" s="89"/>
      <x:c r="AI242" s="88" t="s">
        <x:v>173</x:v>
      </x:c>
      <x:c r="AJ242" s="88"/>
      <x:c r="AK242" s="88"/>
      <x:c r="AL242" s="88" t="s">
        <x:v>4866</x:v>
      </x:c>
    </x:row>
    <x:row r="243">
      <x:c r="A243" s="88" t="s">
        <x:v>5187</x:v>
      </x:c>
      <x:c r="B243" s="88" t="s">
        <x:v>5188</x:v>
      </x:c>
      <x:c r="C243" s="88" t="s">
        <x:v>3339</x:v>
      </x:c>
      <x:c r="D243" s="88" t="s">
        <x:v>3133</x:v>
      </x:c>
      <x:c r="E243" s="88" t="s">
        <x:v>342</x:v>
      </x:c>
      <x:c r="F243" s="89">
        <x:v>46234.288551064812</x:v>
      </x:c>
      <x:c r="G243" s="89">
        <x:v>46234.288551064812</x:v>
      </x:c>
      <x:c r="H243" s="89">
        <x:v>46249.373761828705</x:v>
      </x:c>
      <x:c r="I243" s="88" t="s">
        <x:v>4855</x:v>
      </x:c>
      <x:c r="J243" s="88" t="s">
        <x:v>4856</x:v>
      </x:c>
      <x:c r="K243" s="88" t="s">
        <x:v>4857</x:v>
      </x:c>
      <x:c r="L243" s="88" t="s">
        <x:v>4858</x:v>
      </x:c>
      <x:c r="M243" s="88" t="s">
        <x:v>4862</x:v>
      </x:c>
      <x:c r="N243" s="88" t="s">
        <x:v>4858</x:v>
      </x:c>
      <x:c r="O243" s="88" t="s">
        <x:v>3137</x:v>
      </x:c>
      <x:c r="P243" s="88" t="s">
        <x:v>3225</x:v>
      </x:c>
      <x:c r="Q243" s="88" t="s">
        <x:v>5189</x:v>
      </x:c>
      <x:c r="R243" s="88" t="s">
        <x:v>193</x:v>
      </x:c>
      <x:c r="S243" s="88"/>
      <x:c r="T243" s="88"/>
      <x:c r="U243" s="88" t="s">
        <x:v>5190</x:v>
      </x:c>
      <x:c r="V243" s="89">
        <x:v>46234.289529097223</x:v>
      </x:c>
      <x:c r="W243" s="88" t="s">
        <x:v>4862</x:v>
      </x:c>
      <x:c r="X243" s="88" t="s">
        <x:v>259</x:v>
      </x:c>
      <x:c r="Y243" s="88" t="s">
        <x:v>5191</x:v>
      </x:c>
      <x:c r="Z243" s="89">
        <x:v>46234.354383912039</x:v>
      </x:c>
      <x:c r="AA243" s="88" t="s">
        <x:v>2518</x:v>
      </x:c>
      <x:c r="AB243" s="88" t="s">
        <x:v>259</x:v>
      </x:c>
      <x:c r="AC243" s="88" t="s">
        <x:v>335</x:v>
      </x:c>
      <x:c r="AD243" s="89">
        <x:v>46239.341372071758</x:v>
      </x:c>
      <x:c r="AE243" s="88" t="s">
        <x:v>111</x:v>
      </x:c>
      <x:c r="AF243" s="88" t="s">
        <x:v>259</x:v>
      </x:c>
      <x:c r="AG243" s="88" t="s">
        <x:v>342</x:v>
      </x:c>
      <x:c r="AH243" s="89">
        <x:v>46249.37376185185</x:v>
      </x:c>
      <x:c r="AI243" s="88" t="s">
        <x:v>120</x:v>
      </x:c>
      <x:c r="AJ243" s="88" t="s">
        <x:v>259</x:v>
      </x:c>
      <x:c r="AK243" s="88" t="s">
        <x:v>5192</x:v>
      </x:c>
      <x:c r="AL243" s="88" t="s">
        <x:v>4866</x:v>
      </x:c>
    </x:row>
    <x:row r="244">
      <x:c r="A244" s="88" t="s">
        <x:v>5193</x:v>
      </x:c>
      <x:c r="B244" s="88" t="s">
        <x:v>5194</x:v>
      </x:c>
      <x:c r="C244" s="88" t="s">
        <x:v>5195</x:v>
      </x:c>
      <x:c r="D244" s="88" t="s">
        <x:v>3133</x:v>
      </x:c>
      <x:c r="E244" s="88" t="s">
        <x:v>372</x:v>
      </x:c>
      <x:c r="F244" s="89">
        <x:v>46235.607306388891</x:v>
      </x:c>
      <x:c r="G244" s="89">
        <x:v>46235.607306388891</x:v>
      </x:c>
      <x:c r="H244" s="89">
        <x:v>46235.607306388891</x:v>
      </x:c>
      <x:c r="I244" s="88" t="s">
        <x:v>3432</x:v>
      </x:c>
      <x:c r="J244" s="88" t="s">
        <x:v>3433</x:v>
      </x:c>
      <x:c r="K244" s="88">
        <x:v>4007</x:v>
      </x:c>
      <x:c r="L244" s="88" t="s">
        <x:v>3434</x:v>
      </x:c>
      <x:c r="M244" s="88" t="s">
        <x:v>5196</x:v>
      </x:c>
      <x:c r="N244" s="88" t="s">
        <x:v>5197</x:v>
      </x:c>
      <x:c r="O244" s="88" t="s">
        <x:v>3137</x:v>
      </x:c>
      <x:c r="P244" s="88" t="s">
        <x:v>3225</x:v>
      </x:c>
      <x:c r="Q244" s="88" t="s">
        <x:v>5198</x:v>
      </x:c>
      <x:c r="R244" s="88"/>
      <x:c r="S244" s="88"/>
      <x:c r="T244" s="88"/>
      <x:c r="U244" s="88"/>
      <x:c r="V244" s="89"/>
      <x:c r="W244" s="88" t="s">
        <x:v>3251</x:v>
      </x:c>
      <x:c r="X244" s="88"/>
      <x:c r="Y244" s="88"/>
      <x:c r="Z244" s="89"/>
      <x:c r="AA244" s="88" t="s">
        <x:v>2488</x:v>
      </x:c>
      <x:c r="AB244" s="88"/>
      <x:c r="AC244" s="88"/>
      <x:c r="AD244" s="89"/>
      <x:c r="AE244" s="88" t="s">
        <x:v>2214</x:v>
      </x:c>
      <x:c r="AF244" s="88"/>
      <x:c r="AG244" s="88"/>
      <x:c r="AH244" s="89"/>
      <x:c r="AI244" s="88" t="s">
        <x:v>173</x:v>
      </x:c>
      <x:c r="AJ244" s="88"/>
      <x:c r="AK244" s="88"/>
      <x:c r="AL244" s="88" t="s">
        <x:v>3438</x:v>
      </x:c>
    </x:row>
    <x:row r="245">
      <x:c r="A245" s="88" t="s">
        <x:v>5199</x:v>
      </x:c>
      <x:c r="B245" s="88" t="s">
        <x:v>5200</x:v>
      </x:c>
      <x:c r="C245" s="88" t="s">
        <x:v>4942</x:v>
      </x:c>
      <x:c r="D245" s="88" t="s">
        <x:v>3133</x:v>
      </x:c>
      <x:c r="E245" s="88" t="s">
        <x:v>372</x:v>
      </x:c>
      <x:c r="F245" s="89">
        <x:v>46237.081278807869</x:v>
      </x:c>
      <x:c r="G245" s="89">
        <x:v>46237.081278807869</x:v>
      </x:c>
      <x:c r="H245" s="89">
        <x:v>46237.081278807869</x:v>
      </x:c>
      <x:c r="I245" s="88" t="s">
        <x:v>4943</x:v>
      </x:c>
      <x:c r="J245" s="88" t="s">
        <x:v>4944</x:v>
      </x:c>
      <x:c r="K245" s="88" t="s">
        <x:v>4945</x:v>
      </x:c>
      <x:c r="L245" s="88" t="s">
        <x:v>4946</x:v>
      </x:c>
      <x:c r="M245" s="88" t="s">
        <x:v>4947</x:v>
      </x:c>
      <x:c r="N245" s="88" t="s">
        <x:v>4948</x:v>
      </x:c>
      <x:c r="O245" s="88" t="s">
        <x:v>3137</x:v>
      </x:c>
      <x:c r="P245" s="88" t="s">
        <x:v>3138</x:v>
      </x:c>
      <x:c r="Q245" s="88" t="s">
        <x:v>5201</x:v>
      </x:c>
      <x:c r="R245" s="88"/>
      <x:c r="S245" s="88"/>
      <x:c r="T245" s="88"/>
      <x:c r="U245" s="88"/>
      <x:c r="V245" s="89"/>
      <x:c r="W245" s="88" t="s">
        <x:v>955</x:v>
      </x:c>
      <x:c r="X245" s="88"/>
      <x:c r="Y245" s="88"/>
      <x:c r="Z245" s="89"/>
      <x:c r="AA245" s="88" t="s">
        <x:v>2488</x:v>
      </x:c>
      <x:c r="AB245" s="88"/>
      <x:c r="AC245" s="88"/>
      <x:c r="AD245" s="89"/>
      <x:c r="AE245" s="88" t="s">
        <x:v>2214</x:v>
      </x:c>
      <x:c r="AF245" s="88"/>
      <x:c r="AG245" s="88"/>
      <x:c r="AH245" s="89"/>
      <x:c r="AI245" s="88" t="s">
        <x:v>173</x:v>
      </x:c>
      <x:c r="AJ245" s="88"/>
      <x:c r="AK245" s="88"/>
      <x:c r="AL245" s="88" t="s">
        <x:v>4951</x:v>
      </x:c>
    </x:row>
    <x:row r="246">
      <x:c r="A246" s="88" t="s">
        <x:v>5202</x:v>
      </x:c>
      <x:c r="B246" s="88" t="s">
        <x:v>5203</x:v>
      </x:c>
      <x:c r="C246" s="88" t="s">
        <x:v>1108</x:v>
      </x:c>
      <x:c r="D246" s="88" t="s">
        <x:v>3133</x:v>
      </x:c>
      <x:c r="E246" s="88" t="s">
        <x:v>329</x:v>
      </x:c>
      <x:c r="F246" s="89">
        <x:v>46237.211060590278</x:v>
      </x:c>
      <x:c r="G246" s="89">
        <x:v>46237.211060590278</x:v>
      </x:c>
      <x:c r="H246" s="89">
        <x:v>46243.274711018516</x:v>
      </x:c>
      <x:c r="I246" s="88" t="s">
        <x:v>5204</x:v>
      </x:c>
      <x:c r="J246" s="88" t="s">
        <x:v>5205</x:v>
      </x:c>
      <x:c r="K246" s="88" t="s">
        <x:v>5206</x:v>
      </x:c>
      <x:c r="L246" s="88" t="s">
        <x:v>5207</x:v>
      </x:c>
      <x:c r="M246" s="88" t="s">
        <x:v>827</x:v>
      </x:c>
      <x:c r="N246" s="88" t="s">
        <x:v>5208</x:v>
      </x:c>
      <x:c r="O246" s="88" t="s">
        <x:v>3137</x:v>
      </x:c>
      <x:c r="P246" s="88" t="s">
        <x:v>3138</x:v>
      </x:c>
      <x:c r="Q246" s="88" t="s">
        <x:v>5209</x:v>
      </x:c>
      <x:c r="R246" s="88" t="s">
        <x:v>185</x:v>
      </x:c>
      <x:c r="S246" s="88"/>
      <x:c r="T246" s="88"/>
      <x:c r="U246" s="88" t="s">
        <x:v>259</x:v>
      </x:c>
      <x:c r="V246" s="89">
        <x:v>46237.261783761576</x:v>
      </x:c>
      <x:c r="W246" s="88" t="s">
        <x:v>827</x:v>
      </x:c>
      <x:c r="X246" s="88" t="s">
        <x:v>259</x:v>
      </x:c>
      <x:c r="Y246" s="88" t="s">
        <x:v>5210</x:v>
      </x:c>
      <x:c r="Z246" s="89">
        <x:v>46238.120039780093</x:v>
      </x:c>
      <x:c r="AA246" s="88" t="s">
        <x:v>2518</x:v>
      </x:c>
      <x:c r="AB246" s="88" t="s">
        <x:v>259</x:v>
      </x:c>
      <x:c r="AC246" s="88" t="s">
        <x:v>2333</x:v>
      </x:c>
      <x:c r="AD246" s="89">
        <x:v>46243.274711041668</x:v>
      </x:c>
      <x:c r="AE246" s="88" t="s">
        <x:v>111</x:v>
      </x:c>
      <x:c r="AF246" s="88" t="s">
        <x:v>259</x:v>
      </x:c>
      <x:c r="AG246" s="88"/>
      <x:c r="AH246" s="89"/>
      <x:c r="AI246" s="88" t="s">
        <x:v>113</x:v>
      </x:c>
      <x:c r="AJ246" s="88"/>
      <x:c r="AK246" s="88" t="s">
        <x:v>5211</x:v>
      </x:c>
      <x:c r="AL246" s="88" t="s">
        <x:v>5212</x:v>
      </x:c>
    </x:row>
    <x:row r="247">
      <x:c r="A247" s="88" t="s">
        <x:v>5213</x:v>
      </x:c>
      <x:c r="B247" s="88" t="s">
        <x:v>5214</x:v>
      </x:c>
      <x:c r="C247" s="88" t="s">
        <x:v>5195</x:v>
      </x:c>
      <x:c r="D247" s="88" t="s">
        <x:v>3133</x:v>
      </x:c>
      <x:c r="E247" s="88" t="s">
        <x:v>329</x:v>
      </x:c>
      <x:c r="F247" s="89">
        <x:v>46237.502958680554</x:v>
      </x:c>
      <x:c r="G247" s="89">
        <x:v>46237.502958680554</x:v>
      </x:c>
      <x:c r="H247" s="89">
        <x:v>46243.274047013889</x:v>
      </x:c>
      <x:c r="I247" s="88" t="s">
        <x:v>3432</x:v>
      </x:c>
      <x:c r="J247" s="88" t="s">
        <x:v>3433</x:v>
      </x:c>
      <x:c r="K247" s="88">
        <x:v>4007</x:v>
      </x:c>
      <x:c r="L247" s="88" t="s">
        <x:v>3434</x:v>
      </x:c>
      <x:c r="M247" s="88" t="s">
        <x:v>3251</x:v>
      </x:c>
      <x:c r="N247" s="88" t="s">
        <x:v>5197</x:v>
      </x:c>
      <x:c r="O247" s="88" t="s">
        <x:v>3137</x:v>
      </x:c>
      <x:c r="P247" s="88" t="s">
        <x:v>3225</x:v>
      </x:c>
      <x:c r="Q247" s="88" t="s">
        <x:v>5215</x:v>
      </x:c>
      <x:c r="R247" s="88" t="s">
        <x:v>185</x:v>
      </x:c>
      <x:c r="S247" s="88"/>
      <x:c r="T247" s="88"/>
      <x:c r="U247" s="88" t="s">
        <x:v>385</x:v>
      </x:c>
      <x:c r="V247" s="89">
        <x:v>46237.583406192127</x:v>
      </x:c>
      <x:c r="W247" s="88" t="s">
        <x:v>3251</x:v>
      </x:c>
      <x:c r="X247" s="88" t="s">
        <x:v>259</x:v>
      </x:c>
      <x:c r="Y247" s="88" t="s">
        <x:v>5216</x:v>
      </x:c>
      <x:c r="Z247" s="89">
        <x:v>46238.122394085651</x:v>
      </x:c>
      <x:c r="AA247" s="88" t="s">
        <x:v>2518</x:v>
      </x:c>
      <x:c r="AB247" s="88" t="s">
        <x:v>259</x:v>
      </x:c>
      <x:c r="AC247" s="88" t="s">
        <x:v>2333</x:v>
      </x:c>
      <x:c r="AD247" s="89">
        <x:v>46243.274047025465</x:v>
      </x:c>
      <x:c r="AE247" s="88" t="s">
        <x:v>111</x:v>
      </x:c>
      <x:c r="AF247" s="88" t="s">
        <x:v>259</x:v>
      </x:c>
      <x:c r="AG247" s="88"/>
      <x:c r="AH247" s="89"/>
      <x:c r="AI247" s="88" t="s">
        <x:v>113</x:v>
      </x:c>
      <x:c r="AJ247" s="88"/>
      <x:c r="AK247" s="88" t="s">
        <x:v>5217</x:v>
      </x:c>
      <x:c r="AL247" s="88" t="s">
        <x:v>3438</x:v>
      </x:c>
    </x:row>
    <x:row r="248">
      <x:c r="A248" s="88" t="s">
        <x:v>5218</x:v>
      </x:c>
      <x:c r="B248" s="88" t="s">
        <x:v>5219</x:v>
      </x:c>
      <x:c r="C248" s="88" t="s">
        <x:v>4942</x:v>
      </x:c>
      <x:c r="D248" s="88" t="s">
        <x:v>3133</x:v>
      </x:c>
      <x:c r="E248" s="88" t="s">
        <x:v>372</x:v>
      </x:c>
      <x:c r="F248" s="89">
        <x:v>46238.17587684028</x:v>
      </x:c>
      <x:c r="G248" s="89">
        <x:v>46238.17587684028</x:v>
      </x:c>
      <x:c r="H248" s="89">
        <x:v>46238.17587684028</x:v>
      </x:c>
      <x:c r="I248" s="88" t="s">
        <x:v>4943</x:v>
      </x:c>
      <x:c r="J248" s="88" t="s">
        <x:v>4944</x:v>
      </x:c>
      <x:c r="K248" s="88" t="s">
        <x:v>4945</x:v>
      </x:c>
      <x:c r="L248" s="88" t="s">
        <x:v>4946</x:v>
      </x:c>
      <x:c r="M248" s="88" t="s">
        <x:v>955</x:v>
      </x:c>
      <x:c r="N248" s="88" t="s">
        <x:v>4948</x:v>
      </x:c>
      <x:c r="O248" s="88" t="s">
        <x:v>3137</x:v>
      </x:c>
      <x:c r="P248" s="88" t="s">
        <x:v>3138</x:v>
      </x:c>
      <x:c r="Q248" s="88" t="s">
        <x:v>5220</x:v>
      </x:c>
      <x:c r="R248" s="88"/>
      <x:c r="S248" s="88"/>
      <x:c r="T248" s="88"/>
      <x:c r="U248" s="88"/>
      <x:c r="V248" s="89"/>
      <x:c r="W248" s="88" t="s">
        <x:v>955</x:v>
      </x:c>
      <x:c r="X248" s="88"/>
      <x:c r="Y248" s="88"/>
      <x:c r="Z248" s="89"/>
      <x:c r="AA248" s="88" t="s">
        <x:v>2488</x:v>
      </x:c>
      <x:c r="AB248" s="88"/>
      <x:c r="AC248" s="88"/>
      <x:c r="AD248" s="89"/>
      <x:c r="AE248" s="88" t="s">
        <x:v>2214</x:v>
      </x:c>
      <x:c r="AF248" s="88"/>
      <x:c r="AG248" s="88"/>
      <x:c r="AH248" s="89"/>
      <x:c r="AI248" s="88" t="s">
        <x:v>173</x:v>
      </x:c>
      <x:c r="AJ248" s="88"/>
      <x:c r="AK248" s="88"/>
      <x:c r="AL248" s="88" t="s">
        <x:v>4951</x:v>
      </x:c>
    </x:row>
    <x:row r="249">
      <x:c r="A249" s="88" t="s">
        <x:v>5221</x:v>
      </x:c>
      <x:c r="B249" s="88" t="s">
        <x:v>5222</x:v>
      </x:c>
      <x:c r="C249" s="88" t="s">
        <x:v>5223</x:v>
      </x:c>
      <x:c r="D249" s="88" t="s">
        <x:v>3133</x:v>
      </x:c>
      <x:c r="E249" s="88" t="s">
        <x:v>249</x:v>
      </x:c>
      <x:c r="F249" s="89">
        <x:v>46240.378803460648</x:v>
      </x:c>
      <x:c r="G249" s="89">
        <x:v>46240.378803460648</x:v>
      </x:c>
      <x:c r="H249" s="89">
        <x:v>46245.194728113427</x:v>
      </x:c>
      <x:c r="I249" s="88" t="s">
        <x:v>3937</x:v>
      </x:c>
      <x:c r="J249" s="88" t="s">
        <x:v>3938</x:v>
      </x:c>
      <x:c r="K249" s="88" t="s">
        <x:v>4230</x:v>
      </x:c>
      <x:c r="L249" s="88" t="s">
        <x:v>4231</x:v>
      </x:c>
      <x:c r="M249" s="88" t="s">
        <x:v>4229</x:v>
      </x:c>
      <x:c r="N249" s="88" t="s">
        <x:v>4233</x:v>
      </x:c>
      <x:c r="O249" s="88" t="s">
        <x:v>3203</x:v>
      </x:c>
      <x:c r="P249" s="88" t="s">
        <x:v>3173</x:v>
      </x:c>
      <x:c r="Q249" s="88" t="s">
        <x:v>5224</x:v>
      </x:c>
      <x:c r="R249" s="88" t="s">
        <x:v>162</x:v>
      </x:c>
      <x:c r="S249" s="88"/>
      <x:c r="T249" s="88"/>
      <x:c r="U249" s="88" t="s">
        <x:v>5225</x:v>
      </x:c>
      <x:c r="V249" s="89">
        <x:v>46240.381731979163</x:v>
      </x:c>
      <x:c r="W249" s="88" t="s">
        <x:v>4229</x:v>
      </x:c>
      <x:c r="X249" s="88" t="s">
        <x:v>259</x:v>
      </x:c>
      <x:c r="Y249" s="88" t="s">
        <x:v>5226</x:v>
      </x:c>
      <x:c r="Z249" s="89">
        <x:v>46245.194728136572</x:v>
      </x:c>
      <x:c r="AA249" s="88" t="s">
        <x:v>2518</x:v>
      </x:c>
      <x:c r="AB249" s="88" t="s">
        <x:v>249</x:v>
      </x:c>
      <x:c r="AC249" s="88"/>
      <x:c r="AD249" s="89"/>
      <x:c r="AE249" s="88" t="s">
        <x:v>2214</x:v>
      </x:c>
      <x:c r="AF249" s="88"/>
      <x:c r="AG249" s="88"/>
      <x:c r="AH249" s="89"/>
      <x:c r="AI249" s="88" t="s">
        <x:v>173</x:v>
      </x:c>
      <x:c r="AJ249" s="88"/>
      <x:c r="AK249" s="88"/>
      <x:c r="AL249" s="88" t="s">
        <x:v>4239</x:v>
      </x:c>
    </x:row>
    <x:row r="250">
      <x:c r="A250" s="88" t="s">
        <x:v>5227</x:v>
      </x:c>
      <x:c r="B250" s="88" t="s">
        <x:v>5228</x:v>
      </x:c>
      <x:c r="C250" s="88" t="s">
        <x:v>5229</x:v>
      </x:c>
      <x:c r="D250" s="88" t="s">
        <x:v>3133</x:v>
      </x:c>
      <x:c r="E250" s="88" t="s">
        <x:v>249</x:v>
      </x:c>
      <x:c r="F250" s="89">
        <x:v>46244.125039502316</x:v>
      </x:c>
      <x:c r="G250" s="89">
        <x:v>46244.335952164351</x:v>
      </x:c>
      <x:c r="H250" s="89">
        <x:v>46244.338357222223</x:v>
      </x:c>
      <x:c r="I250" s="88" t="s">
        <x:v>5230</x:v>
      </x:c>
      <x:c r="J250" s="88" t="s">
        <x:v>5231</x:v>
      </x:c>
      <x:c r="K250" s="88" t="s">
        <x:v>5232</x:v>
      </x:c>
      <x:c r="L250" s="88" t="s">
        <x:v>5233</x:v>
      </x:c>
      <x:c r="M250" s="88" t="s">
        <x:v>5234</x:v>
      </x:c>
      <x:c r="N250" s="88" t="s">
        <x:v>5235</x:v>
      </x:c>
      <x:c r="O250" s="88" t="s">
        <x:v>3203</x:v>
      </x:c>
      <x:c r="P250" s="88" t="s">
        <x:v>3138</x:v>
      </x:c>
      <x:c r="Q250" s="88" t="s">
        <x:v>5236</x:v>
      </x:c>
      <x:c r="R250" s="88" t="s">
        <x:v>185</x:v>
      </x:c>
      <x:c r="S250" s="88" t="s">
        <x:v>5237</x:v>
      </x:c>
      <x:c r="T250" s="88"/>
      <x:c r="U250" s="88"/>
      <x:c r="V250" s="89">
        <x:v>46244.338357233799</x:v>
      </x:c>
      <x:c r="W250" s="88" t="s">
        <x:v>5234</x:v>
      </x:c>
      <x:c r="X250" s="88" t="s">
        <x:v>249</x:v>
      </x:c>
      <x:c r="Y250" s="88"/>
      <x:c r="Z250" s="89"/>
      <x:c r="AA250" s="88" t="s">
        <x:v>2488</x:v>
      </x:c>
      <x:c r="AB250" s="88"/>
      <x:c r="AC250" s="88"/>
      <x:c r="AD250" s="89"/>
      <x:c r="AE250" s="88" t="s">
        <x:v>2214</x:v>
      </x:c>
      <x:c r="AF250" s="88"/>
      <x:c r="AG250" s="88"/>
      <x:c r="AH250" s="89"/>
      <x:c r="AI250" s="88" t="s">
        <x:v>173</x:v>
      </x:c>
      <x:c r="AJ250" s="88"/>
      <x:c r="AK250" s="88"/>
      <x:c r="AL250" s="88" t="s">
        <x:v>5238</x:v>
      </x:c>
    </x:row>
    <x:row r="251">
      <x:c r="A251" s="88" t="s">
        <x:v>5239</x:v>
      </x:c>
      <x:c r="B251" s="88" t="s">
        <x:v>5240</x:v>
      </x:c>
      <x:c r="C251" s="88" t="s">
        <x:v>5229</x:v>
      </x:c>
      <x:c r="D251" s="88" t="s">
        <x:v>3133</x:v>
      </x:c>
      <x:c r="E251" s="88" t="s">
        <x:v>329</x:v>
      </x:c>
      <x:c r="F251" s="89">
        <x:v>46244.343212916669</x:v>
      </x:c>
      <x:c r="G251" s="89">
        <x:v>46244.343212916669</x:v>
      </x:c>
      <x:c r="H251" s="89">
        <x:v>46247.304909398146</x:v>
      </x:c>
      <x:c r="I251" s="88" t="s">
        <x:v>5230</x:v>
      </x:c>
      <x:c r="J251" s="88" t="s">
        <x:v>5231</x:v>
      </x:c>
      <x:c r="K251" s="88" t="s">
        <x:v>5232</x:v>
      </x:c>
      <x:c r="L251" s="88" t="s">
        <x:v>5233</x:v>
      </x:c>
      <x:c r="M251" s="88" t="s">
        <x:v>5234</x:v>
      </x:c>
      <x:c r="N251" s="88" t="s">
        <x:v>5235</x:v>
      </x:c>
      <x:c r="O251" s="88" t="s">
        <x:v>3203</x:v>
      </x:c>
      <x:c r="P251" s="88" t="s">
        <x:v>3138</x:v>
      </x:c>
      <x:c r="Q251" s="88" t="s">
        <x:v>5241</x:v>
      </x:c>
      <x:c r="R251" s="88" t="s">
        <x:v>162</x:v>
      </x:c>
      <x:c r="S251" s="88" t="s">
        <x:v>5237</x:v>
      </x:c>
      <x:c r="T251" s="88"/>
      <x:c r="U251" s="88" t="s">
        <x:v>335</x:v>
      </x:c>
      <x:c r="V251" s="89">
        <x:v>46244.369191724538</x:v>
      </x:c>
      <x:c r="W251" s="88" t="s">
        <x:v>5234</x:v>
      </x:c>
      <x:c r="X251" s="88" t="s">
        <x:v>259</x:v>
      </x:c>
      <x:c r="Y251" s="88" t="s">
        <x:v>2021</x:v>
      </x:c>
      <x:c r="Z251" s="89">
        <x:v>46244.373270231481</x:v>
      </x:c>
      <x:c r="AA251" s="88" t="s">
        <x:v>2518</x:v>
      </x:c>
      <x:c r="AB251" s="88" t="s">
        <x:v>259</x:v>
      </x:c>
      <x:c r="AC251" s="88" t="s">
        <x:v>335</x:v>
      </x:c>
      <x:c r="AD251" s="89">
        <x:v>46247.304909409722</x:v>
      </x:c>
      <x:c r="AE251" s="88" t="s">
        <x:v>111</x:v>
      </x:c>
      <x:c r="AF251" s="88" t="s">
        <x:v>259</x:v>
      </x:c>
      <x:c r="AG251" s="88"/>
      <x:c r="AH251" s="89"/>
      <x:c r="AI251" s="88" t="s">
        <x:v>120</x:v>
      </x:c>
      <x:c r="AJ251" s="88"/>
      <x:c r="AK251" s="88" t="s">
        <x:v>5242</x:v>
      </x:c>
      <x:c r="AL251" s="88" t="s">
        <x:v>5238</x:v>
      </x:c>
    </x:row>
    <x:row r="252">
      <x:c r="A252" s="88" t="s">
        <x:v>5243</x:v>
      </x:c>
      <x:c r="B252" s="88" t="s">
        <x:v>5244</x:v>
      </x:c>
      <x:c r="C252" s="88" t="s">
        <x:v>4360</x:v>
      </x:c>
      <x:c r="D252" s="88" t="s">
        <x:v>3133</x:v>
      </x:c>
      <x:c r="E252" s="88" t="s">
        <x:v>249</x:v>
      </x:c>
      <x:c r="F252" s="89">
        <x:v>46244.354611643517</x:v>
      </x:c>
      <x:c r="G252" s="89">
        <x:v>46244.354611643517</x:v>
      </x:c>
      <x:c r="H252" s="89">
        <x:v>46244.361857372685</x:v>
      </x:c>
      <x:c r="I252" s="88" t="s">
        <x:v>4361</x:v>
      </x:c>
      <x:c r="J252" s="88" t="s">
        <x:v>4362</x:v>
      </x:c>
      <x:c r="K252" s="88" t="s">
        <x:v>4363</x:v>
      </x:c>
      <x:c r="L252" s="88" t="s">
        <x:v>4364</x:v>
      </x:c>
      <x:c r="M252" s="88" t="s">
        <x:v>4365</x:v>
      </x:c>
      <x:c r="N252" s="88" t="s">
        <x:v>4364</x:v>
      </x:c>
      <x:c r="O252" s="88" t="s">
        <x:v>3137</x:v>
      </x:c>
      <x:c r="P252" s="88" t="s">
        <x:v>3225</x:v>
      </x:c>
      <x:c r="Q252" s="88" t="s">
        <x:v>5245</x:v>
      </x:c>
      <x:c r="R252" s="88"/>
      <x:c r="S252" s="88"/>
      <x:c r="T252" s="88"/>
      <x:c r="U252" s="88" t="s">
        <x:v>5246</x:v>
      </x:c>
      <x:c r="V252" s="89">
        <x:v>46244.361857384261</x:v>
      </x:c>
      <x:c r="W252" s="88" t="s">
        <x:v>4365</x:v>
      </x:c>
      <x:c r="X252" s="88" t="s">
        <x:v>249</x:v>
      </x:c>
      <x:c r="Y252" s="88"/>
      <x:c r="Z252" s="89"/>
      <x:c r="AA252" s="88" t="s">
        <x:v>2488</x:v>
      </x:c>
      <x:c r="AB252" s="88"/>
      <x:c r="AC252" s="88"/>
      <x:c r="AD252" s="89"/>
      <x:c r="AE252" s="88" t="s">
        <x:v>2214</x:v>
      </x:c>
      <x:c r="AF252" s="88"/>
      <x:c r="AG252" s="88"/>
      <x:c r="AH252" s="89"/>
      <x:c r="AI252" s="88" t="s">
        <x:v>173</x:v>
      </x:c>
      <x:c r="AJ252" s="88"/>
      <x:c r="AK252" s="88"/>
      <x:c r="AL252" s="88" t="s">
        <x:v>4371</x:v>
      </x:c>
    </x:row>
    <x:row r="253">
      <x:c r="A253" s="88" t="s">
        <x:v>5247</x:v>
      </x:c>
      <x:c r="B253" s="88" t="s">
        <x:v>5248</x:v>
      </x:c>
      <x:c r="C253" s="88" t="s">
        <x:v>4360</x:v>
      </x:c>
      <x:c r="D253" s="88" t="s">
        <x:v>3133</x:v>
      </x:c>
      <x:c r="E253" s="88" t="s">
        <x:v>249</x:v>
      </x:c>
      <x:c r="F253" s="89">
        <x:v>46244.35588722222</x:v>
      </x:c>
      <x:c r="G253" s="89">
        <x:v>46244.35588722222</x:v>
      </x:c>
      <x:c r="H253" s="89">
        <x:v>46244.89826170139</x:v>
      </x:c>
      <x:c r="I253" s="88" t="s">
        <x:v>4361</x:v>
      </x:c>
      <x:c r="J253" s="88" t="s">
        <x:v>4362</x:v>
      </x:c>
      <x:c r="K253" s="88" t="s">
        <x:v>4363</x:v>
      </x:c>
      <x:c r="L253" s="88" t="s">
        <x:v>4364</x:v>
      </x:c>
      <x:c r="M253" s="88" t="s">
        <x:v>4365</x:v>
      </x:c>
      <x:c r="N253" s="88" t="s">
        <x:v>4364</x:v>
      </x:c>
      <x:c r="O253" s="88" t="s">
        <x:v>3137</x:v>
      </x:c>
      <x:c r="P253" s="88" t="s">
        <x:v>3173</x:v>
      </x:c>
      <x:c r="Q253" s="88" t="s">
        <x:v>5249</x:v>
      </x:c>
      <x:c r="R253" s="88"/>
      <x:c r="S253" s="88"/>
      <x:c r="T253" s="88"/>
      <x:c r="U253" s="88" t="s">
        <x:v>5250</x:v>
      </x:c>
      <x:c r="V253" s="89">
        <x:v>46244.89826170139</x:v>
      </x:c>
      <x:c r="W253" s="88" t="s">
        <x:v>4365</x:v>
      </x:c>
      <x:c r="X253" s="88" t="s">
        <x:v>249</x:v>
      </x:c>
      <x:c r="Y253" s="88"/>
      <x:c r="Z253" s="89"/>
      <x:c r="AA253" s="88" t="s">
        <x:v>2488</x:v>
      </x:c>
      <x:c r="AB253" s="88"/>
      <x:c r="AC253" s="88"/>
      <x:c r="AD253" s="89"/>
      <x:c r="AE253" s="88" t="s">
        <x:v>2214</x:v>
      </x:c>
      <x:c r="AF253" s="88"/>
      <x:c r="AG253" s="88"/>
      <x:c r="AH253" s="89"/>
      <x:c r="AI253" s="88" t="s">
        <x:v>173</x:v>
      </x:c>
      <x:c r="AJ253" s="88"/>
      <x:c r="AK253" s="88"/>
      <x:c r="AL253" s="88" t="s">
        <x:v>4371</x:v>
      </x:c>
    </x:row>
    <x:row r="254">
      <x:c r="A254" s="88" t="s">
        <x:v>5251</x:v>
      </x:c>
      <x:c r="B254" s="88" t="s">
        <x:v>5252</x:v>
      </x:c>
      <x:c r="C254" s="88" t="s">
        <x:v>5253</x:v>
      </x:c>
      <x:c r="D254" s="88" t="s">
        <x:v>3133</x:v>
      </x:c>
      <x:c r="E254" s="88" t="s">
        <x:v>249</x:v>
      </x:c>
      <x:c r="F254" s="89">
        <x:v>46244.599556076391</x:v>
      </x:c>
      <x:c r="G254" s="89">
        <x:v>46244.599556076391</x:v>
      </x:c>
      <x:c r="H254" s="89">
        <x:v>46246.142648958332</x:v>
      </x:c>
      <x:c r="I254" s="88" t="s">
        <x:v>5254</x:v>
      </x:c>
      <x:c r="J254" s="88" t="s">
        <x:v>5255</x:v>
      </x:c>
      <x:c r="K254" s="88" t="s">
        <x:v>5256</x:v>
      </x:c>
      <x:c r="L254" s="88" t="s">
        <x:v>5257</x:v>
      </x:c>
      <x:c r="M254" s="88" t="s">
        <x:v>5258</x:v>
      </x:c>
      <x:c r="N254" s="88" t="s">
        <x:v>5259</x:v>
      </x:c>
      <x:c r="O254" s="88" t="s">
        <x:v>3137</x:v>
      </x:c>
      <x:c r="P254" s="88" t="s">
        <x:v>3173</x:v>
      </x:c>
      <x:c r="Q254" s="88" t="s">
        <x:v>5260</x:v>
      </x:c>
      <x:c r="R254" s="88"/>
      <x:c r="S254" s="88"/>
      <x:c r="T254" s="88"/>
      <x:c r="U254" s="88"/>
      <x:c r="V254" s="89">
        <x:v>46246.142648981484</x:v>
      </x:c>
      <x:c r="W254" s="88" t="s">
        <x:v>5258</x:v>
      </x:c>
      <x:c r="X254" s="88" t="s">
        <x:v>249</x:v>
      </x:c>
      <x:c r="Y254" s="88"/>
      <x:c r="Z254" s="89"/>
      <x:c r="AA254" s="88" t="s">
        <x:v>2488</x:v>
      </x:c>
      <x:c r="AB254" s="88"/>
      <x:c r="AC254" s="88"/>
      <x:c r="AD254" s="89"/>
      <x:c r="AE254" s="88" t="s">
        <x:v>2214</x:v>
      </x:c>
      <x:c r="AF254" s="88"/>
      <x:c r="AG254" s="88"/>
      <x:c r="AH254" s="89"/>
      <x:c r="AI254" s="88" t="s">
        <x:v>173</x:v>
      </x:c>
      <x:c r="AJ254" s="88"/>
      <x:c r="AK254" s="88"/>
      <x:c r="AL254" s="88" t="s">
        <x:v>5261</x:v>
      </x:c>
    </x:row>
    <x:row r="255">
      <x:c r="A255" s="88" t="s">
        <x:v>5262</x:v>
      </x:c>
      <x:c r="B255" s="88" t="s">
        <x:v>5263</x:v>
      </x:c>
      <x:c r="C255" s="88" t="s">
        <x:v>3468</x:v>
      </x:c>
      <x:c r="D255" s="88" t="s">
        <x:v>3133</x:v>
      </x:c>
      <x:c r="E255" s="88" t="s">
        <x:v>329</x:v>
      </x:c>
      <x:c r="F255" s="89">
        <x:v>46245.382851111113</x:v>
      </x:c>
      <x:c r="G255" s="89">
        <x:v>46245.382851111113</x:v>
      </x:c>
      <x:c r="H255" s="89">
        <x:v>46249.352948148146</x:v>
      </x:c>
      <x:c r="I255" s="88" t="s">
        <x:v>3469</x:v>
      </x:c>
      <x:c r="J255" s="88" t="s">
        <x:v>3470</x:v>
      </x:c>
      <x:c r="K255" s="88" t="s">
        <x:v>3471</x:v>
      </x:c>
      <x:c r="L255" s="88" t="s">
        <x:v>3472</x:v>
      </x:c>
      <x:c r="M255" s="88" t="s">
        <x:v>5264</x:v>
      </x:c>
      <x:c r="N255" s="88" t="s">
        <x:v>5265</x:v>
      </x:c>
      <x:c r="O255" s="88" t="s">
        <x:v>3137</x:v>
      </x:c>
      <x:c r="P255" s="88" t="s">
        <x:v>3173</x:v>
      </x:c>
      <x:c r="Q255" s="88" t="s">
        <x:v>5266</x:v>
      </x:c>
      <x:c r="R255" s="88" t="s">
        <x:v>185</x:v>
      </x:c>
      <x:c r="S255" s="88"/>
      <x:c r="T255" s="88"/>
      <x:c r="U255" s="88" t="s">
        <x:v>5267</x:v>
      </x:c>
      <x:c r="V255" s="89">
        <x:v>46246.025241319447</x:v>
      </x:c>
      <x:c r="W255" s="88" t="s">
        <x:v>1753</x:v>
      </x:c>
      <x:c r="X255" s="88" t="s">
        <x:v>259</x:v>
      </x:c>
      <x:c r="Y255" s="88" t="s">
        <x:v>5268</x:v>
      </x:c>
      <x:c r="Z255" s="89">
        <x:v>46246.110032569442</x:v>
      </x:c>
      <x:c r="AA255" s="88" t="s">
        <x:v>2518</x:v>
      </x:c>
      <x:c r="AB255" s="88" t="s">
        <x:v>259</x:v>
      </x:c>
      <x:c r="AC255" s="88" t="s">
        <x:v>2333</x:v>
      </x:c>
      <x:c r="AD255" s="89">
        <x:v>46249.352948159722</x:v>
      </x:c>
      <x:c r="AE255" s="88" t="s">
        <x:v>125</x:v>
      </x:c>
      <x:c r="AF255" s="88" t="s">
        <x:v>259</x:v>
      </x:c>
      <x:c r="AG255" s="88"/>
      <x:c r="AH255" s="89"/>
      <x:c r="AI255" s="88" t="s">
        <x:v>125</x:v>
      </x:c>
      <x:c r="AJ255" s="88"/>
      <x:c r="AK255" s="88" t="s">
        <x:v>5269</x:v>
      </x:c>
      <x:c r="AL255" s="88" t="s">
        <x:v>3477</x:v>
      </x:c>
    </x:row>
    <x:row r="256">
      <x:c r="A256" s="88" t="s">
        <x:v>5270</x:v>
      </x:c>
      <x:c r="B256" s="88" t="s">
        <x:v>5271</x:v>
      </x:c>
      <x:c r="C256" s="88" t="s">
        <x:v>5223</x:v>
      </x:c>
      <x:c r="D256" s="88" t="s">
        <x:v>3133</x:v>
      </x:c>
      <x:c r="E256" s="88" t="s">
        <x:v>329</x:v>
      </x:c>
      <x:c r="F256" s="89">
        <x:v>46246.173350740741</x:v>
      </x:c>
      <x:c r="G256" s="89">
        <x:v>46246.173350740741</x:v>
      </x:c>
      <x:c r="H256" s="89">
        <x:v>46249.226012465275</x:v>
      </x:c>
      <x:c r="I256" s="88" t="s">
        <x:v>3937</x:v>
      </x:c>
      <x:c r="J256" s="88" t="s">
        <x:v>3938</x:v>
      </x:c>
      <x:c r="K256" s="88" t="s">
        <x:v>4230</x:v>
      </x:c>
      <x:c r="L256" s="88" t="s">
        <x:v>4231</x:v>
      </x:c>
      <x:c r="M256" s="88" t="s">
        <x:v>5272</x:v>
      </x:c>
      <x:c r="N256" s="88" t="s">
        <x:v>4233</x:v>
      </x:c>
      <x:c r="O256" s="88" t="s">
        <x:v>3203</x:v>
      </x:c>
      <x:c r="P256" s="88" t="s">
        <x:v>3173</x:v>
      </x:c>
      <x:c r="Q256" s="88" t="s">
        <x:v>5273</x:v>
      </x:c>
      <x:c r="R256" s="88" t="s">
        <x:v>162</x:v>
      </x:c>
      <x:c r="S256" s="88"/>
      <x:c r="T256" s="88"/>
      <x:c r="U256" s="88" t="s">
        <x:v>5274</x:v>
      </x:c>
      <x:c r="V256" s="89">
        <x:v>46246.24824364583</x:v>
      </x:c>
      <x:c r="W256" s="88" t="s">
        <x:v>4229</x:v>
      </x:c>
      <x:c r="X256" s="88" t="s">
        <x:v>259</x:v>
      </x:c>
      <x:c r="Y256" s="88" t="s">
        <x:v>2021</x:v>
      </x:c>
      <x:c r="Z256" s="89">
        <x:v>46246.297560775463</x:v>
      </x:c>
      <x:c r="AA256" s="88" t="s">
        <x:v>2518</x:v>
      </x:c>
      <x:c r="AB256" s="88" t="s">
        <x:v>259</x:v>
      </x:c>
      <x:c r="AC256" s="88" t="s">
        <x:v>2333</x:v>
      </x:c>
      <x:c r="AD256" s="89">
        <x:v>46249.226012465275</x:v>
      </x:c>
      <x:c r="AE256" s="88" t="s">
        <x:v>111</x:v>
      </x:c>
      <x:c r="AF256" s="88" t="s">
        <x:v>259</x:v>
      </x:c>
      <x:c r="AG256" s="88"/>
      <x:c r="AH256" s="89"/>
      <x:c r="AI256" s="88" t="s">
        <x:v>120</x:v>
      </x:c>
      <x:c r="AJ256" s="88"/>
      <x:c r="AK256" s="88" t="s">
        <x:v>5275</x:v>
      </x:c>
      <x:c r="AL256" s="88" t="s">
        <x:v>4239</x:v>
      </x:c>
    </x:row>
    <x:row r="257">
      <x:c r="A257" s="88" t="s">
        <x:v>5276</x:v>
      </x:c>
      <x:c r="B257" s="88" t="s">
        <x:v>5277</x:v>
      </x:c>
      <x:c r="C257" s="88" t="s">
        <x:v>5278</x:v>
      </x:c>
      <x:c r="D257" s="88" t="s">
        <x:v>3133</x:v>
      </x:c>
      <x:c r="E257" s="88" t="s">
        <x:v>329</x:v>
      </x:c>
      <x:c r="F257" s="89">
        <x:v>46246.635681412037</x:v>
      </x:c>
      <x:c r="G257" s="89">
        <x:v>46246.635681412037</x:v>
      </x:c>
      <x:c r="H257" s="89">
        <x:v>46249.355909687503</x:v>
      </x:c>
      <x:c r="I257" s="88" t="s">
        <x:v>5279</x:v>
      </x:c>
      <x:c r="J257" s="88" t="s">
        <x:v>5280</x:v>
      </x:c>
      <x:c r="K257" s="88" t="s">
        <x:v>5281</x:v>
      </x:c>
      <x:c r="L257" s="88" t="s">
        <x:v>5282</x:v>
      </x:c>
      <x:c r="M257" s="88" t="s">
        <x:v>5283</x:v>
      </x:c>
      <x:c r="N257" s="88" t="s">
        <x:v>5284</x:v>
      </x:c>
      <x:c r="O257" s="88" t="s">
        <x:v>3137</x:v>
      </x:c>
      <x:c r="P257" s="88" t="s">
        <x:v>3138</x:v>
      </x:c>
      <x:c r="Q257" s="88" t="s">
        <x:v>5285</x:v>
      </x:c>
      <x:c r="R257" s="88" t="s">
        <x:v>162</x:v>
      </x:c>
      <x:c r="S257" s="88"/>
      <x:c r="T257" s="88"/>
      <x:c r="U257" s="88" t="s">
        <x:v>5286</x:v>
      </x:c>
      <x:c r="V257" s="89">
        <x:v>46246.980111689816</x:v>
      </x:c>
      <x:c r="W257" s="88" t="s">
        <x:v>5287</x:v>
      </x:c>
      <x:c r="X257" s="88" t="s">
        <x:v>259</x:v>
      </x:c>
      <x:c r="Y257" s="88" t="s">
        <x:v>5288</x:v>
      </x:c>
      <x:c r="Z257" s="89">
        <x:v>46247.136905358799</x:v>
      </x:c>
      <x:c r="AA257" s="88" t="s">
        <x:v>2518</x:v>
      </x:c>
      <x:c r="AB257" s="88" t="s">
        <x:v>259</x:v>
      </x:c>
      <x:c r="AC257" s="88" t="s">
        <x:v>2333</x:v>
      </x:c>
      <x:c r="AD257" s="89">
        <x:v>46249.355909687503</x:v>
      </x:c>
      <x:c r="AE257" s="88" t="s">
        <x:v>125</x:v>
      </x:c>
      <x:c r="AF257" s="88" t="s">
        <x:v>259</x:v>
      </x:c>
      <x:c r="AG257" s="88"/>
      <x:c r="AH257" s="89"/>
      <x:c r="AI257" s="88" t="s">
        <x:v>115</x:v>
      </x:c>
      <x:c r="AJ257" s="88"/>
      <x:c r="AK257" s="88" t="s">
        <x:v>5289</x:v>
      </x:c>
      <x:c r="AL257" s="88" t="s">
        <x:v>5290</x:v>
      </x:c>
    </x:row>
    <x:row r="258">
      <x:c r="A258" s="88" t="s">
        <x:v>5291</x:v>
      </x:c>
      <x:c r="B258" s="88" t="s">
        <x:v>5292</x:v>
      </x:c>
      <x:c r="C258" s="88" t="s">
        <x:v>5253</x:v>
      </x:c>
      <x:c r="D258" s="88" t="s">
        <x:v>3133</x:v>
      </x:c>
      <x:c r="E258" s="88" t="s">
        <x:v>329</x:v>
      </x:c>
      <x:c r="F258" s="89">
        <x:v>46247.049233344907</x:v>
      </x:c>
      <x:c r="G258" s="89">
        <x:v>46247.049233344907</x:v>
      </x:c>
      <x:c r="H258" s="89">
        <x:v>46249.193385092593</x:v>
      </x:c>
      <x:c r="I258" s="88" t="s">
        <x:v>5254</x:v>
      </x:c>
      <x:c r="J258" s="88" t="s">
        <x:v>5255</x:v>
      </x:c>
      <x:c r="K258" s="88" t="s">
        <x:v>5256</x:v>
      </x:c>
      <x:c r="L258" s="88" t="s">
        <x:v>5257</x:v>
      </x:c>
      <x:c r="M258" s="88" t="s">
        <x:v>5258</x:v>
      </x:c>
      <x:c r="N258" s="88" t="s">
        <x:v>5259</x:v>
      </x:c>
      <x:c r="O258" s="88" t="s">
        <x:v>3137</x:v>
      </x:c>
      <x:c r="P258" s="88" t="s">
        <x:v>3173</x:v>
      </x:c>
      <x:c r="Q258" s="88" t="s">
        <x:v>5260</x:v>
      </x:c>
      <x:c r="R258" s="88" t="s">
        <x:v>185</x:v>
      </x:c>
      <x:c r="S258" s="88"/>
      <x:c r="T258" s="88"/>
      <x:c r="U258" s="88" t="s">
        <x:v>5293</x:v>
      </x:c>
      <x:c r="V258" s="89">
        <x:v>46247.193422268516</x:v>
      </x:c>
      <x:c r="W258" s="88" t="s">
        <x:v>5258</x:v>
      </x:c>
      <x:c r="X258" s="88" t="s">
        <x:v>259</x:v>
      </x:c>
      <x:c r="Y258" s="88" t="s">
        <x:v>2021</x:v>
      </x:c>
      <x:c r="Z258" s="89">
        <x:v>46247.284265798611</x:v>
      </x:c>
      <x:c r="AA258" s="88" t="s">
        <x:v>2518</x:v>
      </x:c>
      <x:c r="AB258" s="88" t="s">
        <x:v>259</x:v>
      </x:c>
      <x:c r="AC258" s="88" t="s">
        <x:v>2333</x:v>
      </x:c>
      <x:c r="AD258" s="89">
        <x:v>46249.193385104169</x:v>
      </x:c>
      <x:c r="AE258" s="88" t="s">
        <x:v>111</x:v>
      </x:c>
      <x:c r="AF258" s="88" t="s">
        <x:v>259</x:v>
      </x:c>
      <x:c r="AG258" s="88"/>
      <x:c r="AH258" s="89"/>
      <x:c r="AI258" s="88" t="s">
        <x:v>115</x:v>
      </x:c>
      <x:c r="AJ258" s="88"/>
      <x:c r="AK258" s="88" t="s">
        <x:v>5294</x:v>
      </x:c>
      <x:c r="AL258" s="88" t="s">
        <x:v>5261</x:v>
      </x:c>
    </x:row>
    <x:row r="259">
      <x:c r="A259" s="88" t="s">
        <x:v>5295</x:v>
      </x:c>
      <x:c r="B259" s="88" t="s">
        <x:v>5296</x:v>
      </x:c>
      <x:c r="C259" s="88" t="s">
        <x:v>4764</x:v>
      </x:c>
      <x:c r="D259" s="88" t="s">
        <x:v>3133</x:v>
      </x:c>
      <x:c r="E259" s="88" t="s">
        <x:v>2209</x:v>
      </x:c>
      <x:c r="F259" s="89">
        <x:v>46247.25359472222</x:v>
      </x:c>
      <x:c r="G259" s="89">
        <x:v>46247.25359472222</x:v>
      </x:c>
      <x:c r="H259" s="89">
        <x:v>46247.257060046293</x:v>
      </x:c>
      <x:c r="I259" s="88" t="s">
        <x:v>4765</x:v>
      </x:c>
      <x:c r="J259" s="88" t="s">
        <x:v>4766</x:v>
      </x:c>
      <x:c r="K259" s="88" t="s">
        <x:v>4767</x:v>
      </x:c>
      <x:c r="L259" s="88" t="s">
        <x:v>4768</x:v>
      </x:c>
      <x:c r="M259" s="88" t="s">
        <x:v>284</x:v>
      </x:c>
      <x:c r="N259" s="88" t="s">
        <x:v>4769</x:v>
      </x:c>
      <x:c r="O259" s="88" t="s">
        <x:v>3137</x:v>
      </x:c>
      <x:c r="P259" s="88" t="s">
        <x:v>3138</x:v>
      </x:c>
      <x:c r="Q259" s="88" t="s">
        <x:v>5297</x:v>
      </x:c>
      <x:c r="R259" s="88"/>
      <x:c r="S259" s="88"/>
      <x:c r="T259" s="88"/>
      <x:c r="U259" s="88" t="s">
        <x:v>571</x:v>
      </x:c>
      <x:c r="V259" s="89">
        <x:v>46247.257060057869</x:v>
      </x:c>
      <x:c r="W259" s="88" t="s">
        <x:v>284</x:v>
      </x:c>
      <x:c r="X259" s="88" t="s">
        <x:v>259</x:v>
      </x:c>
      <x:c r="Y259" s="88"/>
      <x:c r="Z259" s="89"/>
      <x:c r="AA259" s="88" t="s">
        <x:v>2488</x:v>
      </x:c>
      <x:c r="AB259" s="88"/>
      <x:c r="AC259" s="88"/>
      <x:c r="AD259" s="89"/>
      <x:c r="AE259" s="88" t="s">
        <x:v>2214</x:v>
      </x:c>
      <x:c r="AF259" s="88"/>
      <x:c r="AG259" s="88"/>
      <x:c r="AH259" s="89"/>
      <x:c r="AI259" s="88" t="s">
        <x:v>173</x:v>
      </x:c>
      <x:c r="AJ259" s="88"/>
      <x:c r="AK259" s="88"/>
      <x:c r="AL259" s="88" t="s">
        <x:v>4772</x:v>
      </x:c>
    </x:row>
    <x:row r="260">
      <x:c r="A260" s="88" t="s">
        <x:v>5298</x:v>
      </x:c>
      <x:c r="B260" s="88" t="s">
        <x:v>5299</x:v>
      </x:c>
      <x:c r="C260" s="88" t="s">
        <x:v>5253</x:v>
      </x:c>
      <x:c r="D260" s="88" t="s">
        <x:v>3133</x:v>
      </x:c>
      <x:c r="E260" s="88" t="s">
        <x:v>2209</x:v>
      </x:c>
      <x:c r="F260" s="89">
        <x:v>46247.26036521991</x:v>
      </x:c>
      <x:c r="G260" s="89">
        <x:v>46247.26036521991</x:v>
      </x:c>
      <x:c r="H260" s="89">
        <x:v>46251.170836134261</x:v>
      </x:c>
      <x:c r="I260" s="88" t="s">
        <x:v>5254</x:v>
      </x:c>
      <x:c r="J260" s="88" t="s">
        <x:v>5255</x:v>
      </x:c>
      <x:c r="K260" s="88" t="s">
        <x:v>5256</x:v>
      </x:c>
      <x:c r="L260" s="88" t="s">
        <x:v>5257</x:v>
      </x:c>
      <x:c r="M260" s="88" t="s">
        <x:v>5258</x:v>
      </x:c>
      <x:c r="N260" s="88" t="s">
        <x:v>5259</x:v>
      </x:c>
      <x:c r="O260" s="88" t="s">
        <x:v>3137</x:v>
      </x:c>
      <x:c r="P260" s="88" t="s">
        <x:v>3138</x:v>
      </x:c>
      <x:c r="Q260" s="88" t="s">
        <x:v>5260</x:v>
      </x:c>
      <x:c r="R260" s="88" t="s">
        <x:v>185</x:v>
      </x:c>
      <x:c r="S260" s="88"/>
      <x:c r="T260" s="88"/>
      <x:c r="U260" s="88" t="s">
        <x:v>5300</x:v>
      </x:c>
      <x:c r="V260" s="89">
        <x:v>46248.269833472223</x:v>
      </x:c>
      <x:c r="W260" s="88" t="s">
        <x:v>5258</x:v>
      </x:c>
      <x:c r="X260" s="88" t="s">
        <x:v>259</x:v>
      </x:c>
      <x:c r="Y260" s="88" t="s">
        <x:v>2021</x:v>
      </x:c>
      <x:c r="Z260" s="89">
        <x:v>46251.170836145837</x:v>
      </x:c>
      <x:c r="AA260" s="88" t="s">
        <x:v>2518</x:v>
      </x:c>
      <x:c r="AB260" s="88" t="s">
        <x:v>259</x:v>
      </x:c>
      <x:c r="AC260" s="88"/>
      <x:c r="AD260" s="89"/>
      <x:c r="AE260" s="88" t="s">
        <x:v>2214</x:v>
      </x:c>
      <x:c r="AF260" s="88"/>
      <x:c r="AG260" s="88"/>
      <x:c r="AH260" s="89"/>
      <x:c r="AI260" s="88" t="s">
        <x:v>173</x:v>
      </x:c>
      <x:c r="AJ260" s="88"/>
      <x:c r="AK260" s="88"/>
      <x:c r="AL260" s="88" t="s">
        <x:v>5261</x:v>
      </x:c>
    </x:row>
    <x:row r="261">
      <x:c r="A261" s="88" t="s">
        <x:v>5301</x:v>
      </x:c>
      <x:c r="B261" s="88" t="s">
        <x:v>5302</x:v>
      </x:c>
      <x:c r="C261" s="88" t="s">
        <x:v>5303</x:v>
      </x:c>
      <x:c r="D261" s="88" t="s">
        <x:v>3133</x:v>
      </x:c>
      <x:c r="E261" s="88" t="s">
        <x:v>249</x:v>
      </x:c>
      <x:c r="F261" s="89">
        <x:v>46248.098343113423</x:v>
      </x:c>
      <x:c r="G261" s="89">
        <x:v>46248.098343113423</x:v>
      </x:c>
      <x:c r="H261" s="89">
        <x:v>46251.164826261571</x:v>
      </x:c>
      <x:c r="I261" s="88" t="s">
        <x:v>5304</x:v>
      </x:c>
      <x:c r="J261" s="88" t="s">
        <x:v>5305</x:v>
      </x:c>
      <x:c r="K261" s="88" t="s">
        <x:v>5306</x:v>
      </x:c>
      <x:c r="L261" s="88" t="s">
        <x:v>5307</x:v>
      </x:c>
      <x:c r="M261" s="88" t="s">
        <x:v>5308</x:v>
      </x:c>
      <x:c r="N261" s="88" t="s">
        <x:v>5309</x:v>
      </x:c>
      <x:c r="O261" s="88" t="s">
        <x:v>3137</x:v>
      </x:c>
      <x:c r="P261" s="88" t="s">
        <x:v>5134</x:v>
      </x:c>
      <x:c r="Q261" s="88" t="s">
        <x:v>5310</x:v>
      </x:c>
      <x:c r="R261" s="88" t="s">
        <x:v>185</x:v>
      </x:c>
      <x:c r="S261" s="88"/>
      <x:c r="T261" s="88"/>
      <x:c r="U261" s="88" t="s">
        <x:v>5311</x:v>
      </x:c>
      <x:c r="V261" s="89">
        <x:v>46248.100088043982</x:v>
      </x:c>
      <x:c r="W261" s="88" t="s">
        <x:v>5308</x:v>
      </x:c>
      <x:c r="X261" s="88" t="s">
        <x:v>259</x:v>
      </x:c>
      <x:c r="Y261" s="88" t="s">
        <x:v>5038</x:v>
      </x:c>
      <x:c r="Z261" s="89">
        <x:v>46251.164826273147</x:v>
      </x:c>
      <x:c r="AA261" s="88" t="s">
        <x:v>2518</x:v>
      </x:c>
      <x:c r="AB261" s="88" t="s">
        <x:v>249</x:v>
      </x:c>
      <x:c r="AC261" s="88"/>
      <x:c r="AD261" s="89"/>
      <x:c r="AE261" s="88" t="s">
        <x:v>2214</x:v>
      </x:c>
      <x:c r="AF261" s="88"/>
      <x:c r="AG261" s="88"/>
      <x:c r="AH261" s="89"/>
      <x:c r="AI261" s="88" t="s">
        <x:v>173</x:v>
      </x:c>
      <x:c r="AJ261" s="88"/>
      <x:c r="AK261" s="88"/>
      <x:c r="AL261" s="88" t="s">
        <x:v>5312</x:v>
      </x:c>
    </x:row>
    <x:row r="262">
      <x:c r="A262" s="88" t="s">
        <x:v>5313</x:v>
      </x:c>
      <x:c r="B262" s="88" t="s">
        <x:v>5314</x:v>
      </x:c>
      <x:c r="C262" s="88" t="s">
        <x:v>4830</x:v>
      </x:c>
      <x:c r="D262" s="88" t="s">
        <x:v>3133</x:v>
      </x:c>
      <x:c r="E262" s="88" t="s">
        <x:v>2209</x:v>
      </x:c>
      <x:c r="F262" s="89">
        <x:v>46248.336791122689</x:v>
      </x:c>
      <x:c r="G262" s="89">
        <x:v>46248.336791122689</x:v>
      </x:c>
      <x:c r="H262" s="89">
        <x:v>46251.157290625</x:v>
      </x:c>
      <x:c r="I262" s="88" t="s">
        <x:v>4831</x:v>
      </x:c>
      <x:c r="J262" s="88" t="s">
        <x:v>4832</x:v>
      </x:c>
      <x:c r="K262" s="88" t="s">
        <x:v>4833</x:v>
      </x:c>
      <x:c r="L262" s="88" t="s">
        <x:v>4834</x:v>
      </x:c>
      <x:c r="M262" s="88" t="s">
        <x:v>4835</x:v>
      </x:c>
      <x:c r="N262" s="88" t="s">
        <x:v>4836</x:v>
      </x:c>
      <x:c r="O262" s="88" t="s">
        <x:v>3137</x:v>
      </x:c>
      <x:c r="P262" s="88" t="s">
        <x:v>3138</x:v>
      </x:c>
      <x:c r="Q262" s="88" t="s">
        <x:v>5315</x:v>
      </x:c>
      <x:c r="R262" s="88" t="s">
        <x:v>162</x:v>
      </x:c>
      <x:c r="S262" s="88"/>
      <x:c r="T262" s="88"/>
      <x:c r="U262" s="88" t="s">
        <x:v>5316</x:v>
      </x:c>
      <x:c r="V262" s="89">
        <x:v>46251.091994988426</x:v>
      </x:c>
      <x:c r="W262" s="88" t="s">
        <x:v>4167</x:v>
      </x:c>
      <x:c r="X262" s="88" t="s">
        <x:v>259</x:v>
      </x:c>
      <x:c r="Y262" s="88" t="s">
        <x:v>5317</x:v>
      </x:c>
      <x:c r="Z262" s="89">
        <x:v>46251.157290636576</x:v>
      </x:c>
      <x:c r="AA262" s="88" t="s">
        <x:v>2518</x:v>
      </x:c>
      <x:c r="AB262" s="88" t="s">
        <x:v>259</x:v>
      </x:c>
      <x:c r="AC262" s="88"/>
      <x:c r="AD262" s="89"/>
      <x:c r="AE262" s="88" t="s">
        <x:v>2214</x:v>
      </x:c>
      <x:c r="AF262" s="88"/>
      <x:c r="AG262" s="88"/>
      <x:c r="AH262" s="89"/>
      <x:c r="AI262" s="88" t="s">
        <x:v>173</x:v>
      </x:c>
      <x:c r="AJ262" s="88"/>
      <x:c r="AK262" s="88"/>
      <x:c r="AL262" s="88" t="s">
        <x:v>4840</x:v>
      </x:c>
    </x:row>
  </x:sheetData>
  <x:pageMargins left="0.7" right="0.7" top="0.75" bottom="0.75" header="0.3" footer="0.3"/>
  <x:legacyDrawing xmlns:r="http://schemas.openxmlformats.org/officeDocument/2006/relationships" r:id="R18dc10a031e04db3"/>
  <x:tableParts count="1">
    <x:tablePart xmlns:r="http://schemas.openxmlformats.org/officeDocument/2006/relationships" r:id="R9c1e098d552b4f8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48" hidden="0" customWidth="1"/>
    <x:col min="4" max="4" width="24" hidden="0" customWidth="1"/>
    <x:col min="5" max="5" width="31" hidden="0" customWidth="1"/>
    <x:col min="6" max="6" width="31" hidden="0" customWidth="1"/>
  </x:cols>
  <x:sheetData>
    <x:row r="1">
      <x:c r="A1" s="120" t="str">
        <x:v>Raw Data Refresh &amp; Reconciliation</x:v>
      </x:c>
      <x:c r="B1" s="120"/>
      <x:c r="C1" s="120"/>
      <x:c r="D1" s="120"/>
      <x:c r="E1" s="120"/>
      <x:c r="F1" s="120"/>
    </x:row>
    <x:row r="2">
      <x:c r="A2" s="122" t="str">
        <x:v>Replace raw snapshot values safely; engineer updates and disposition history remain separate and persistent.</x:v>
      </x:c>
      <x:c r="B2" s="122"/>
      <x:c r="C2" s="122"/>
      <x:c r="D2" s="122"/>
      <x:c r="E2" s="122"/>
      <x:c r="F2" s="122"/>
    </x:row>
    <x:row r="4">
      <x:c r="A4" s="123" t="str">
        <x:v>Last Raw Data Refresh</x:v>
      </x:c>
      <x:c r="B4" s="126" t="n">
        <x:v>46254</x:v>
      </x:c>
      <x:c r="D4" s="128" t="str">
        <x:v>Supported capacity</x:v>
      </x:c>
      <x:c r="E4" s="128" t="str">
        <x:v>Rows 2-1000 per raw sheet</x:v>
      </x:c>
    </x:row>
    <x:row r="6">
      <x:c r="A6" s="130" t="str">
        <x:v>REFRESH PROCEDURE — VALUES ONLY</x:v>
      </x:c>
      <x:c r="B6" s="130"/>
      <x:c r="C6" s="130"/>
      <x:c r="D6" s="130"/>
      <x:c r="E6" s="130"/>
      <x:c r="F6" s="130"/>
    </x:row>
    <x:row r="7">
      <x:c r="A7" s="135" t="n">
        <x:v>1</x:v>
      </x:c>
      <x:c r="B7" s="132" t="str">
        <x:v>Open the required Raw sheet</x:v>
      </x:c>
      <x:c r="C7" s="132" t="str">
        <x:v>Keep the worksheet name and header row exactly as supplied.</x:v>
      </x:c>
      <x:c r="D7"/>
      <x:c r="E7"/>
      <x:c r="F7"/>
    </x:row>
    <x:row r="8">
      <x:c r="A8" s="135" t="n">
        <x:v>2</x:v>
      </x:c>
      <x:c r="B8" s="132" t="str">
        <x:v>Clear old data rows</x:v>
      </x:c>
      <x:c r="C8" s="132" t="str">
        <x:v>Clear contents from row 2 through row 1000; never delete the worksheet or row 1.</x:v>
      </x:c>
      <x:c r="D8"/>
      <x:c r="E8"/>
      <x:c r="F8"/>
    </x:row>
    <x:row r="9">
      <x:c r="A9" s="135" t="n">
        <x:v>3</x:v>
      </x:c>
      <x:c r="B9" s="132" t="str">
        <x:v>Paste the new export</x:v>
      </x:c>
      <x:c r="C9" s="132" t="str">
        <x:v>Paste the complete export at A1, or paste data-only at A2 under the matching headers.</x:v>
      </x:c>
      <x:c r="D9"/>
      <x:c r="E9"/>
      <x:c r="F9"/>
    </x:row>
    <x:row r="10">
      <x:c r="A10" s="135" t="n">
        <x:v>4</x:v>
      </x:c>
      <x:c r="B10" s="132" t="str">
        <x:v>Update the refresh date</x:v>
      </x:c>
      <x:c r="C10" s="132" t="str">
        <x:v>Set B4 to the date/time of the imported snapshots.</x:v>
      </x:c>
      <x:c r="D10"/>
      <x:c r="E10"/>
      <x:c r="F10"/>
    </x:row>
    <x:row r="11">
      <x:c r="A11" s="135" t="n">
        <x:v>5</x:v>
      </x:c>
      <x:c r="B11" s="132" t="str">
        <x:v>Review reconciliation</x:v>
      </x:c>
      <x:c r="C11" s="132" t="str">
        <x:v>Confirm both header checks are OK and review completed/missing update rows below.</x:v>
      </x:c>
      <x:c r="D11"/>
      <x:c r="E11"/>
      <x:c r="F11"/>
    </x:row>
    <x:row r="13">
      <x:c r="A13" s="130" t="str">
        <x:v>Reconciliation Metric</x:v>
      </x:c>
      <x:c r="B13" s="130" t="str">
        <x:v>Current Result</x:v>
      </x:c>
      <x:c r="D13" s="130" t="str">
        <x:v>What remains persistent after raw replacement</x:v>
      </x:c>
      <x:c r="E13" s="130"/>
      <x:c r="F13" s="130"/>
    </x:row>
    <x:row r="14">
      <x:c r="A14" s="131" t="str">
        <x:v>Raw Decommissioning rows</x:v>
      </x:c>
      <x:c r="B14" s="137" t="n">
        <x:f>COUNTA('Raw Decommissioning'!$B$2:$B$1000)</x:f>
        <x:v>368</x:v>
      </x:c>
      <x:c r="D14" s="132" t="str">
        <x:v>Engineer Updates</x:v>
      </x:c>
      <x:c r="E14" s="132" t="str">
        <x:v>All timestamps, stages, comments, blockers, ETA, scope flags and evidence.</x:v>
      </x:c>
      <x:c r="F14" s="132"/>
    </x:row>
    <x:row r="15">
      <x:c r="A15" s="131" t="str">
        <x:v>Raw Provisioning rows</x:v>
      </x:c>
      <x:c r="B15" s="137" t="n">
        <x:f>COUNTA('Raw Provisioning'!$B$2:$B$1000)</x:f>
        <x:v>261</x:v>
      </x:c>
      <x:c r="D15" s="132" t="str">
        <x:v>Assignment History</x:v>
      </x:c>
      <x:c r="E15" s="132" t="str">
        <x:v>PIC replacements and manager disposition history.</x:v>
      </x:c>
      <x:c r="F15" s="132"/>
    </x:row>
    <x:row r="16">
      <x:c r="A16" s="131" t="str">
        <x:v>Executing tasks</x:v>
      </x:c>
      <x:c r="B16" s="137" t="n">
        <x:f>COUNTIF('Task Master'!$C$5:$C$804,"executing")</x:f>
        <x:v>81</x:v>
      </x:c>
      <x:c r="D16" s="132" t="str">
        <x:v>Daily Targets</x:v>
      </x:c>
      <x:c r="E16" s="132" t="str">
        <x:v>Daily commitments, results, evidence and carryover history.</x:v>
      </x:c>
      <x:c r="F16" s="132"/>
    </x:row>
    <x:row r="17">
      <x:c r="A17" s="131" t="str">
        <x:v>Processing / ready tasks</x:v>
      </x:c>
      <x:c r="B17" s="137" t="n">
        <x:f>COUNTIF('Task Master'!$C$5:$C$804,"processing")</x:f>
        <x:v>15</x:v>
      </x:c>
      <x:c r="D17" s="132" t="str">
        <x:v>Scope Review</x:v>
      </x:c>
      <x:c r="E17" s="132" t="str">
        <x:v>Manager decisions for on-prem/private-cloud exceptions.</x:v>
      </x:c>
      <x:c r="F17" s="132"/>
    </x:row>
    <x:row r="18">
      <x:c r="A18" s="131" t="str">
        <x:v>Completed tasks in latest raw</x:v>
      </x:c>
      <x:c r="B18" s="137" t="n">
        <x:f>COUNTIF('Task Master'!$C$5:$C$804,"completed")</x:f>
        <x:v>328</x:v>
      </x:c>
      <x:c r="D18" s="132" t="str">
        <x:v>Automatic fields</x:v>
      </x:c>
      <x:c r="E18" s="132" t="str">
        <x:v>Task type, current CSSP status and reconciliation state re-read the raw sheets.</x:v>
      </x:c>
      <x:c r="F18" s="132"/>
    </x:row>
    <x:row r="19">
      <x:c r="A19" s="131" t="str">
        <x:v>Other source statuses</x:v>
      </x:c>
      <x:c r="B19" s="137" t="n">
        <x:f>COUNTIF('Task Master'!$A$5:$A$804,"&lt;&gt;")-SUM(B16:B18)</x:f>
        <x:v>205</x:v>
      </x:c>
      <x:c r="D19" s="132" t="str">
        <x:v>Important</x:v>
      </x:c>
      <x:c r="E19" s="132" t="str">
        <x:v>If an export exceeds the supported capacity, extend the formulas before pasting.</x:v>
      </x:c>
      <x:c r="F19" s="132"/>
    </x:row>
    <x:row r="20">
      <x:c r="A20" s="131" t="str">
        <x:v>Managed backlog</x:v>
      </x:c>
      <x:c r="B20" s="137" t="n">
        <x:f>SUM(B16:B17)</x:f>
        <x:v>96</x:v>
      </x:c>
    </x:row>
    <x:row r="21">
      <x:c r="A21" s="131" t="str">
        <x:v>Engineer update rows now completed</x:v>
      </x:c>
      <x:c r="B21" s="137" t="n">
        <x:f>COUNTIF('Engineer Updates'!$D$5:$D$704,"completed")</x:f>
        <x:v>0</x:v>
      </x:c>
    </x:row>
    <x:row r="22">
      <x:c r="A22" s="131" t="str">
        <x:v>Engineer update rows missing from latest raw</x:v>
      </x:c>
      <x:c r="B22" s="137" t="n">
        <x:f>COUNTIF('Engineer Updates'!$D$5:$D$704,"Missing from latest raw")</x:f>
        <x:v>0</x:v>
      </x:c>
    </x:row>
    <x:row r="23">
      <x:c r="A23" s="131" t="str">
        <x:v>Raw header validation</x:v>
      </x:c>
      <x:c r="B23" s="137" t="str">
        <x:f>IF(AND('Raw Decommissioning'!B1="request_number",'Raw Decommissioning'!E1="request_status",'Raw Decommissioning'!AG1="gate_4_id",'Raw Provisioning'!B1="request_number",'Raw Provisioning'!E1="request_status",'Raw Provisioning'!AI1="gate_4_id"),"OK","CHECK HEADERS")</x:f>
        <x:v>OK</x:v>
      </x:c>
    </x:row>
  </x:sheetData>
  <x:mergeCells>
    <x:mergeCell ref="A1:F1"/>
    <x:mergeCell ref="A2:F2"/>
    <x:mergeCell ref="A6:F6"/>
    <x:mergeCell ref="D13:F13"/>
  </x:mergeCells>
  <x:conditionalFormatting sqref="B23:B23">
    <x:cfRule type="containsText" dxfId="200" priority="1" operator="containsText" text="CHECK"/>
  </x:conditionalFormatting>
  <x:pageMargins left="0.7" right="0.7" top="0.75" bottom="0.75" header="0.3" footer="0.3"/>
  <x:tableParts count="1">
    <x:tablePart xmlns:r="http://schemas.openxmlformats.org/officeDocument/2006/relationships" r:id="R15ce14a9723e43a5"/>
  </x:tableParts>
</x:worksheet>
</file>